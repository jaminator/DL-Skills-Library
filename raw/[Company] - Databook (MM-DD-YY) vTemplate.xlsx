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164" documentId="8_{19AA4741-A7B3-452C-8FF0-7E5DA2EC8C32}" xr6:coauthVersionLast="47" xr6:coauthVersionMax="47" xr10:uidLastSave="{B9AEF9E5-023F-4C29-88D1-960518F1EAC7}"/>
  <bookViews>
    <workbookView xWindow="71880" yWindow="-120" windowWidth="29040" windowHeight="17520" activeTab="4" xr2:uid="{1426941F-DD0F-40D5-88AE-AD8456F0CDB1}"/>
  </bookViews>
  <sheets>
    <sheet name="SUCAP" sheetId="11" r:id="rId1"/>
    <sheet name="Top Customer" sheetId="9" r:id="rId2"/>
    <sheet name="Top Supplier" sheetId="10" r:id="rId3"/>
    <sheet name="HistFin" sheetId="1" r:id="rId4"/>
    <sheet name="HistFin Charts" sheetId="14" r:id="rId5"/>
    <sheet name="EBITDA" sheetId="3" r:id="rId6"/>
    <sheet name="NWC" sheetId="4" r:id="rId7"/>
    <sheet name="Seasonality" sheetId="6" r:id="rId8"/>
    <sheet name="DSV" sheetId="8" r:id="rId9"/>
    <sheet name="FinInputs" sheetId="12" r:id="rId10"/>
  </sheets>
  <definedNames>
    <definedName name="CoName">SUCAP!$T$2</definedName>
    <definedName name="ImpEQT">SUCAP!$V$4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45706.5960069444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stActDate">SUCAP!$T$4</definedName>
    <definedName name="LastFYE">SUCAP!$T$3</definedName>
    <definedName name="LTMDate">SUCAP!$V$3</definedName>
  </definedNames>
  <calcPr calcId="191028" calcMode="autoNoTable" iterate="1" iterateCount="1000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9" i="14" l="1" a="1"/>
  <c r="U49" i="14" s="1"/>
  <c r="I25" i="11"/>
  <c r="AH2" i="12"/>
  <c r="AH191" i="12"/>
  <c r="AH197" i="12" s="1"/>
  <c r="AH198" i="12" s="1"/>
  <c r="AG191" i="12"/>
  <c r="AG197" i="12" s="1"/>
  <c r="AG198" i="12" s="1"/>
  <c r="AF191" i="12"/>
  <c r="AF197" i="12" s="1"/>
  <c r="AF198" i="12" s="1"/>
  <c r="AH155" i="12"/>
  <c r="AG155" i="12"/>
  <c r="AF155" i="12"/>
  <c r="AH154" i="12"/>
  <c r="AG154" i="12"/>
  <c r="AF154" i="12"/>
  <c r="AH153" i="12"/>
  <c r="AG153" i="12"/>
  <c r="AF153" i="12"/>
  <c r="AH152" i="12"/>
  <c r="AG152" i="12"/>
  <c r="AF152" i="12"/>
  <c r="AH113" i="12"/>
  <c r="AH122" i="12" s="1"/>
  <c r="AG113" i="12"/>
  <c r="AG122" i="12" s="1"/>
  <c r="AF113" i="12"/>
  <c r="AF122" i="12" s="1"/>
  <c r="V316" i="12"/>
  <c r="U316" i="12"/>
  <c r="T316" i="12"/>
  <c r="S316" i="12"/>
  <c r="R316" i="12"/>
  <c r="Q316" i="12"/>
  <c r="P316" i="12"/>
  <c r="O316" i="12"/>
  <c r="N316" i="12"/>
  <c r="M316" i="12"/>
  <c r="L316" i="12"/>
  <c r="K316" i="12"/>
  <c r="V310" i="12"/>
  <c r="U310" i="12"/>
  <c r="T310" i="12"/>
  <c r="S310" i="12"/>
  <c r="R310" i="12"/>
  <c r="Q310" i="12"/>
  <c r="P310" i="12"/>
  <c r="O310" i="12"/>
  <c r="N310" i="12"/>
  <c r="M310" i="12"/>
  <c r="L310" i="12"/>
  <c r="K310" i="12"/>
  <c r="V293" i="12"/>
  <c r="AG293" i="12" s="1"/>
  <c r="U293" i="12"/>
  <c r="T293" i="12"/>
  <c r="S293" i="12"/>
  <c r="R293" i="12"/>
  <c r="Q293" i="12"/>
  <c r="P293" i="12"/>
  <c r="O293" i="12"/>
  <c r="N293" i="12"/>
  <c r="M293" i="12"/>
  <c r="L293" i="12"/>
  <c r="K293" i="12"/>
  <c r="V292" i="12"/>
  <c r="AG292" i="12" s="1"/>
  <c r="U292" i="12"/>
  <c r="T292" i="12"/>
  <c r="S292" i="12"/>
  <c r="R292" i="12"/>
  <c r="Q292" i="12"/>
  <c r="P292" i="12"/>
  <c r="O292" i="12"/>
  <c r="N292" i="12"/>
  <c r="M292" i="12"/>
  <c r="L292" i="12"/>
  <c r="K292" i="12"/>
  <c r="V291" i="12"/>
  <c r="AG291" i="12" s="1"/>
  <c r="U291" i="12"/>
  <c r="T291" i="12"/>
  <c r="S291" i="12"/>
  <c r="R291" i="12"/>
  <c r="Q291" i="12"/>
  <c r="P291" i="12"/>
  <c r="O291" i="12"/>
  <c r="N291" i="12"/>
  <c r="M291" i="12"/>
  <c r="L291" i="12"/>
  <c r="K291" i="12"/>
  <c r="V287" i="12"/>
  <c r="AG287" i="12" s="1"/>
  <c r="U287" i="12"/>
  <c r="T287" i="12"/>
  <c r="S287" i="12"/>
  <c r="R287" i="12"/>
  <c r="Q287" i="12"/>
  <c r="P287" i="12"/>
  <c r="O287" i="12"/>
  <c r="N287" i="12"/>
  <c r="M287" i="12"/>
  <c r="L287" i="12"/>
  <c r="K287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V285" i="12"/>
  <c r="AG285" i="12" s="1"/>
  <c r="U285" i="12"/>
  <c r="T285" i="12"/>
  <c r="S285" i="12"/>
  <c r="R285" i="12"/>
  <c r="R288" i="12" s="1"/>
  <c r="Q285" i="12"/>
  <c r="Q288" i="12" s="1"/>
  <c r="P285" i="12"/>
  <c r="P288" i="12" s="1"/>
  <c r="O285" i="12"/>
  <c r="O288" i="12" s="1"/>
  <c r="O294" i="12" s="1"/>
  <c r="N285" i="12"/>
  <c r="M285" i="12"/>
  <c r="L285" i="12"/>
  <c r="L288" i="12" s="1"/>
  <c r="L294" i="12" s="1"/>
  <c r="K285" i="12"/>
  <c r="V280" i="12"/>
  <c r="AG280" i="12" s="1"/>
  <c r="U280" i="12"/>
  <c r="T280" i="12"/>
  <c r="S280" i="12"/>
  <c r="R280" i="12"/>
  <c r="Q280" i="12"/>
  <c r="P280" i="12"/>
  <c r="O280" i="12"/>
  <c r="N280" i="12"/>
  <c r="M280" i="12"/>
  <c r="L280" i="12"/>
  <c r="K280" i="12"/>
  <c r="V279" i="12"/>
  <c r="AG279" i="12" s="1"/>
  <c r="U279" i="12"/>
  <c r="T279" i="12"/>
  <c r="S279" i="12"/>
  <c r="R279" i="12"/>
  <c r="Q279" i="12"/>
  <c r="P279" i="12"/>
  <c r="O279" i="12"/>
  <c r="N279" i="12"/>
  <c r="M279" i="12"/>
  <c r="L279" i="12"/>
  <c r="K279" i="12"/>
  <c r="V278" i="12"/>
  <c r="AG278" i="12" s="1"/>
  <c r="U278" i="12"/>
  <c r="T278" i="12"/>
  <c r="S278" i="12"/>
  <c r="R278" i="12"/>
  <c r="Q278" i="12"/>
  <c r="P278" i="12"/>
  <c r="O278" i="12"/>
  <c r="N278" i="12"/>
  <c r="M278" i="12"/>
  <c r="L278" i="12"/>
  <c r="K278" i="12"/>
  <c r="V277" i="12"/>
  <c r="AG277" i="12" s="1"/>
  <c r="U277" i="12"/>
  <c r="T277" i="12"/>
  <c r="S277" i="12"/>
  <c r="R277" i="12"/>
  <c r="Q277" i="12"/>
  <c r="P277" i="12"/>
  <c r="O277" i="12"/>
  <c r="N277" i="12"/>
  <c r="M277" i="12"/>
  <c r="L277" i="12"/>
  <c r="K277" i="12"/>
  <c r="V276" i="12"/>
  <c r="AG276" i="12" s="1"/>
  <c r="U276" i="12"/>
  <c r="T276" i="12"/>
  <c r="S276" i="12"/>
  <c r="R276" i="12"/>
  <c r="Q276" i="12"/>
  <c r="P276" i="12"/>
  <c r="O276" i="12"/>
  <c r="N276" i="12"/>
  <c r="M276" i="12"/>
  <c r="L276" i="12"/>
  <c r="K276" i="12"/>
  <c r="V275" i="12"/>
  <c r="AG275" i="12" s="1"/>
  <c r="U275" i="12"/>
  <c r="T275" i="12"/>
  <c r="S275" i="12"/>
  <c r="R275" i="12"/>
  <c r="Q275" i="12"/>
  <c r="P275" i="12"/>
  <c r="O275" i="12"/>
  <c r="N275" i="12"/>
  <c r="M275" i="12"/>
  <c r="L275" i="12"/>
  <c r="K275" i="12"/>
  <c r="V274" i="12"/>
  <c r="AG274" i="12" s="1"/>
  <c r="U274" i="12"/>
  <c r="T274" i="12"/>
  <c r="S274" i="12"/>
  <c r="R274" i="12"/>
  <c r="Q274" i="12"/>
  <c r="P274" i="12"/>
  <c r="O274" i="12"/>
  <c r="N274" i="12"/>
  <c r="M274" i="12"/>
  <c r="L274" i="12"/>
  <c r="K274" i="12"/>
  <c r="V273" i="12"/>
  <c r="AG273" i="12" s="1"/>
  <c r="U273" i="12"/>
  <c r="T273" i="12"/>
  <c r="S273" i="12"/>
  <c r="R273" i="12"/>
  <c r="Q273" i="12"/>
  <c r="P273" i="12"/>
  <c r="O273" i="12"/>
  <c r="N273" i="12"/>
  <c r="M273" i="12"/>
  <c r="L273" i="12"/>
  <c r="K273" i="12"/>
  <c r="V272" i="12"/>
  <c r="AG272" i="12" s="1"/>
  <c r="U272" i="12"/>
  <c r="T272" i="12"/>
  <c r="S272" i="12"/>
  <c r="R272" i="12"/>
  <c r="Q272" i="12"/>
  <c r="P272" i="12"/>
  <c r="O272" i="12"/>
  <c r="N272" i="12"/>
  <c r="M272" i="12"/>
  <c r="L272" i="12"/>
  <c r="K272" i="12"/>
  <c r="V271" i="12"/>
  <c r="AG271" i="12" s="1"/>
  <c r="U271" i="12"/>
  <c r="T271" i="12"/>
  <c r="S271" i="12"/>
  <c r="R271" i="12"/>
  <c r="Q271" i="12"/>
  <c r="P271" i="12"/>
  <c r="O271" i="12"/>
  <c r="N271" i="12"/>
  <c r="M271" i="12"/>
  <c r="L271" i="12"/>
  <c r="K271" i="12"/>
  <c r="V266" i="12"/>
  <c r="AG266" i="12" s="1"/>
  <c r="U266" i="12"/>
  <c r="T266" i="12"/>
  <c r="S266" i="12"/>
  <c r="R266" i="12"/>
  <c r="Q266" i="12"/>
  <c r="P266" i="12"/>
  <c r="O266" i="12"/>
  <c r="N266" i="12"/>
  <c r="M266" i="12"/>
  <c r="L266" i="12"/>
  <c r="K266" i="12"/>
  <c r="V265" i="12"/>
  <c r="AG265" i="12" s="1"/>
  <c r="U265" i="12"/>
  <c r="T265" i="12"/>
  <c r="S265" i="12"/>
  <c r="R265" i="12"/>
  <c r="Q265" i="12"/>
  <c r="P265" i="12"/>
  <c r="O265" i="12"/>
  <c r="N265" i="12"/>
  <c r="M265" i="12"/>
  <c r="L265" i="12"/>
  <c r="K265" i="12"/>
  <c r="V264" i="12"/>
  <c r="AG264" i="12" s="1"/>
  <c r="U264" i="12"/>
  <c r="T264" i="12"/>
  <c r="S264" i="12"/>
  <c r="R264" i="12"/>
  <c r="Q264" i="12"/>
  <c r="P264" i="12"/>
  <c r="O264" i="12"/>
  <c r="N264" i="12"/>
  <c r="M264" i="12"/>
  <c r="L264" i="12"/>
  <c r="K264" i="12"/>
  <c r="V263" i="12"/>
  <c r="AG263" i="12" s="1"/>
  <c r="U263" i="12"/>
  <c r="T263" i="12"/>
  <c r="S263" i="12"/>
  <c r="R263" i="12"/>
  <c r="Q263" i="12"/>
  <c r="P263" i="12"/>
  <c r="O263" i="12"/>
  <c r="N263" i="12"/>
  <c r="M263" i="12"/>
  <c r="L263" i="12"/>
  <c r="K263" i="12"/>
  <c r="V262" i="12"/>
  <c r="AG262" i="12" s="1"/>
  <c r="U262" i="12"/>
  <c r="T262" i="12"/>
  <c r="S262" i="12"/>
  <c r="R262" i="12"/>
  <c r="Q262" i="12"/>
  <c r="P262" i="12"/>
  <c r="O262" i="12"/>
  <c r="N262" i="12"/>
  <c r="M262" i="12"/>
  <c r="L262" i="12"/>
  <c r="K262" i="12"/>
  <c r="V261" i="12"/>
  <c r="AG261" i="12" s="1"/>
  <c r="U261" i="12"/>
  <c r="T261" i="12"/>
  <c r="S261" i="12"/>
  <c r="R261" i="12"/>
  <c r="Q261" i="12"/>
  <c r="P261" i="12"/>
  <c r="O261" i="12"/>
  <c r="N261" i="12"/>
  <c r="M261" i="12"/>
  <c r="L261" i="12"/>
  <c r="K261" i="12"/>
  <c r="V260" i="12"/>
  <c r="AG260" i="12" s="1"/>
  <c r="U260" i="12"/>
  <c r="T260" i="12"/>
  <c r="S260" i="12"/>
  <c r="R260" i="12"/>
  <c r="Q260" i="12"/>
  <c r="P260" i="12"/>
  <c r="O260" i="12"/>
  <c r="N260" i="12"/>
  <c r="M260" i="12"/>
  <c r="L260" i="12"/>
  <c r="K260" i="12"/>
  <c r="V259" i="12"/>
  <c r="AG259" i="12" s="1"/>
  <c r="U259" i="12"/>
  <c r="T259" i="12"/>
  <c r="S259" i="12"/>
  <c r="R259" i="12"/>
  <c r="Q259" i="12"/>
  <c r="P259" i="12"/>
  <c r="O259" i="12"/>
  <c r="N259" i="12"/>
  <c r="M259" i="12"/>
  <c r="L259" i="12"/>
  <c r="K259" i="12"/>
  <c r="V258" i="12"/>
  <c r="AG258" i="12" s="1"/>
  <c r="U258" i="12"/>
  <c r="T258" i="12"/>
  <c r="S258" i="12"/>
  <c r="R258" i="12"/>
  <c r="Q258" i="12"/>
  <c r="P258" i="12"/>
  <c r="O258" i="12"/>
  <c r="N258" i="12"/>
  <c r="M258" i="12"/>
  <c r="L258" i="12"/>
  <c r="K258" i="12"/>
  <c r="V257" i="12"/>
  <c r="AG257" i="12" s="1"/>
  <c r="U257" i="12"/>
  <c r="T257" i="12"/>
  <c r="S257" i="12"/>
  <c r="R257" i="12"/>
  <c r="Q257" i="12"/>
  <c r="P257" i="12"/>
  <c r="O257" i="12"/>
  <c r="N257" i="12"/>
  <c r="M257" i="12"/>
  <c r="L257" i="12"/>
  <c r="K257" i="12"/>
  <c r="V241" i="12"/>
  <c r="AG241" i="12" s="1"/>
  <c r="AG249" i="12" s="1"/>
  <c r="U241" i="12"/>
  <c r="U249" i="12" s="1"/>
  <c r="T241" i="12"/>
  <c r="S241" i="12"/>
  <c r="R241" i="12"/>
  <c r="Q241" i="12"/>
  <c r="Q249" i="12" s="1"/>
  <c r="P241" i="12"/>
  <c r="O241" i="12"/>
  <c r="N241" i="12"/>
  <c r="N249" i="12" s="1"/>
  <c r="M241" i="12"/>
  <c r="L241" i="12"/>
  <c r="K241" i="12"/>
  <c r="K249" i="12" s="1"/>
  <c r="V236" i="12"/>
  <c r="AG236" i="12" s="1"/>
  <c r="U236" i="12"/>
  <c r="T236" i="12"/>
  <c r="S236" i="12"/>
  <c r="R236" i="12"/>
  <c r="Q236" i="12"/>
  <c r="P236" i="12"/>
  <c r="O236" i="12"/>
  <c r="N236" i="12"/>
  <c r="M236" i="12"/>
  <c r="L236" i="12"/>
  <c r="K236" i="12"/>
  <c r="V235" i="12"/>
  <c r="V250" i="12" s="1"/>
  <c r="U235" i="12"/>
  <c r="U250" i="12" s="1"/>
  <c r="T235" i="12"/>
  <c r="T250" i="12" s="1"/>
  <c r="S235" i="12"/>
  <c r="S250" i="12" s="1"/>
  <c r="R235" i="12"/>
  <c r="R250" i="12" s="1"/>
  <c r="Q235" i="12"/>
  <c r="Q250" i="12" s="1"/>
  <c r="P235" i="12"/>
  <c r="P250" i="12" s="1"/>
  <c r="O235" i="12"/>
  <c r="O250" i="12" s="1"/>
  <c r="N235" i="12"/>
  <c r="N250" i="12" s="1"/>
  <c r="M235" i="12"/>
  <c r="M250" i="12" s="1"/>
  <c r="L235" i="12"/>
  <c r="L250" i="12" s="1"/>
  <c r="K235" i="12"/>
  <c r="K250" i="12" s="1"/>
  <c r="V230" i="12"/>
  <c r="AG230" i="12" s="1"/>
  <c r="U230" i="12"/>
  <c r="T230" i="12"/>
  <c r="S230" i="12"/>
  <c r="R230" i="12"/>
  <c r="Q230" i="12"/>
  <c r="P230" i="12"/>
  <c r="O230" i="12"/>
  <c r="N230" i="12"/>
  <c r="M230" i="12"/>
  <c r="L230" i="12"/>
  <c r="K230" i="12"/>
  <c r="V229" i="12"/>
  <c r="V252" i="12" s="1"/>
  <c r="U229" i="12"/>
  <c r="U252" i="12" s="1"/>
  <c r="T229" i="12"/>
  <c r="T252" i="12" s="1"/>
  <c r="S229" i="12"/>
  <c r="S252" i="12" s="1"/>
  <c r="R229" i="12"/>
  <c r="R252" i="12" s="1"/>
  <c r="Q229" i="12"/>
  <c r="Q252" i="12" s="1"/>
  <c r="P229" i="12"/>
  <c r="P252" i="12" s="1"/>
  <c r="O229" i="12"/>
  <c r="O252" i="12" s="1"/>
  <c r="N229" i="12"/>
  <c r="N252" i="12" s="1"/>
  <c r="M229" i="12"/>
  <c r="M252" i="12" s="1"/>
  <c r="L229" i="12"/>
  <c r="L252" i="12" s="1"/>
  <c r="K229" i="12"/>
  <c r="K252" i="12" s="1"/>
  <c r="V228" i="12"/>
  <c r="AG228" i="12" s="1"/>
  <c r="AG251" i="12" s="1"/>
  <c r="U228" i="12"/>
  <c r="U251" i="12" s="1"/>
  <c r="T228" i="12"/>
  <c r="T251" i="12" s="1"/>
  <c r="S228" i="12"/>
  <c r="S251" i="12" s="1"/>
  <c r="R228" i="12"/>
  <c r="R251" i="12" s="1"/>
  <c r="Q228" i="12"/>
  <c r="Q251" i="12" s="1"/>
  <c r="P228" i="12"/>
  <c r="P251" i="12" s="1"/>
  <c r="O228" i="12"/>
  <c r="O251" i="12" s="1"/>
  <c r="N228" i="12"/>
  <c r="N251" i="12" s="1"/>
  <c r="M228" i="12"/>
  <c r="M251" i="12" s="1"/>
  <c r="L228" i="12"/>
  <c r="L251" i="12" s="1"/>
  <c r="K228" i="12"/>
  <c r="K251" i="12" s="1"/>
  <c r="V227" i="12"/>
  <c r="AG227" i="12" s="1"/>
  <c r="U227" i="12"/>
  <c r="T227" i="12"/>
  <c r="S227" i="12"/>
  <c r="R227" i="12"/>
  <c r="Q227" i="12"/>
  <c r="P227" i="12"/>
  <c r="O227" i="12"/>
  <c r="N227" i="12"/>
  <c r="M227" i="12"/>
  <c r="L227" i="12"/>
  <c r="K227" i="12"/>
  <c r="V226" i="12"/>
  <c r="AG226" i="12" s="1"/>
  <c r="U226" i="12"/>
  <c r="T226" i="12"/>
  <c r="S226" i="12"/>
  <c r="R226" i="12"/>
  <c r="Q226" i="12"/>
  <c r="P226" i="12"/>
  <c r="O226" i="12"/>
  <c r="N226" i="12"/>
  <c r="M226" i="12"/>
  <c r="L226" i="12"/>
  <c r="K226" i="12"/>
  <c r="V225" i="12"/>
  <c r="AG225" i="12" s="1"/>
  <c r="U225" i="12"/>
  <c r="T225" i="12"/>
  <c r="S225" i="12"/>
  <c r="R225" i="12"/>
  <c r="Q225" i="12"/>
  <c r="P225" i="12"/>
  <c r="O225" i="12"/>
  <c r="N225" i="12"/>
  <c r="M225" i="12"/>
  <c r="L225" i="12"/>
  <c r="K225" i="12"/>
  <c r="V224" i="12"/>
  <c r="AG224" i="12" s="1"/>
  <c r="U224" i="12"/>
  <c r="T224" i="12"/>
  <c r="S224" i="12"/>
  <c r="R224" i="12"/>
  <c r="Q224" i="12"/>
  <c r="P224" i="12"/>
  <c r="O224" i="12"/>
  <c r="N224" i="12"/>
  <c r="M224" i="12"/>
  <c r="L224" i="12"/>
  <c r="K224" i="12"/>
  <c r="V223" i="12"/>
  <c r="AG223" i="12" s="1"/>
  <c r="U223" i="12"/>
  <c r="T223" i="12"/>
  <c r="S223" i="12"/>
  <c r="R223" i="12"/>
  <c r="Q223" i="12"/>
  <c r="P223" i="12"/>
  <c r="O223" i="12"/>
  <c r="N223" i="12"/>
  <c r="M223" i="12"/>
  <c r="L223" i="12"/>
  <c r="K223" i="12"/>
  <c r="V218" i="12"/>
  <c r="AG218" i="12" s="1"/>
  <c r="U218" i="12"/>
  <c r="T218" i="12"/>
  <c r="S218" i="12"/>
  <c r="R218" i="12"/>
  <c r="Q218" i="12"/>
  <c r="P218" i="12"/>
  <c r="O218" i="12"/>
  <c r="N218" i="12"/>
  <c r="M218" i="12"/>
  <c r="L218" i="12"/>
  <c r="K218" i="12"/>
  <c r="V217" i="12"/>
  <c r="AG217" i="12" s="1"/>
  <c r="U217" i="12"/>
  <c r="T217" i="12"/>
  <c r="S217" i="12"/>
  <c r="R217" i="12"/>
  <c r="Q217" i="12"/>
  <c r="P217" i="12"/>
  <c r="O217" i="12"/>
  <c r="N217" i="12"/>
  <c r="M217" i="12"/>
  <c r="L217" i="12"/>
  <c r="K217" i="12"/>
  <c r="V216" i="12"/>
  <c r="AG216" i="12" s="1"/>
  <c r="U216" i="12"/>
  <c r="T216" i="12"/>
  <c r="S216" i="12"/>
  <c r="R216" i="12"/>
  <c r="Q216" i="12"/>
  <c r="P216" i="12"/>
  <c r="O216" i="12"/>
  <c r="N216" i="12"/>
  <c r="M216" i="12"/>
  <c r="L216" i="12"/>
  <c r="K216" i="12"/>
  <c r="V215" i="12"/>
  <c r="AG215" i="12" s="1"/>
  <c r="U215" i="12"/>
  <c r="T215" i="12"/>
  <c r="S215" i="12"/>
  <c r="R215" i="12"/>
  <c r="Q215" i="12"/>
  <c r="P215" i="12"/>
  <c r="O215" i="12"/>
  <c r="N215" i="12"/>
  <c r="M215" i="12"/>
  <c r="L215" i="12"/>
  <c r="K215" i="12"/>
  <c r="V214" i="12"/>
  <c r="AG214" i="12" s="1"/>
  <c r="U214" i="12"/>
  <c r="T214" i="12"/>
  <c r="S214" i="12"/>
  <c r="R214" i="12"/>
  <c r="Q214" i="12"/>
  <c r="P214" i="12"/>
  <c r="O214" i="12"/>
  <c r="N214" i="12"/>
  <c r="M214" i="12"/>
  <c r="L214" i="12"/>
  <c r="K214" i="12"/>
  <c r="V213" i="12"/>
  <c r="AG213" i="12" s="1"/>
  <c r="U213" i="12"/>
  <c r="T213" i="12"/>
  <c r="S213" i="12"/>
  <c r="R213" i="12"/>
  <c r="Q213" i="12"/>
  <c r="P213" i="12"/>
  <c r="O213" i="12"/>
  <c r="N213" i="12"/>
  <c r="M213" i="12"/>
  <c r="L213" i="12"/>
  <c r="K213" i="12"/>
  <c r="V209" i="12"/>
  <c r="AG209" i="12" s="1"/>
  <c r="U209" i="12"/>
  <c r="T209" i="12"/>
  <c r="S209" i="12"/>
  <c r="R209" i="12"/>
  <c r="Q209" i="12"/>
  <c r="P209" i="12"/>
  <c r="O209" i="12"/>
  <c r="N209" i="12"/>
  <c r="M209" i="12"/>
  <c r="L209" i="12"/>
  <c r="K209" i="12"/>
  <c r="V208" i="12"/>
  <c r="AG208" i="12" s="1"/>
  <c r="U208" i="12"/>
  <c r="T208" i="12"/>
  <c r="S208" i="12"/>
  <c r="R208" i="12"/>
  <c r="Q208" i="12"/>
  <c r="P208" i="12"/>
  <c r="O208" i="12"/>
  <c r="N208" i="12"/>
  <c r="M208" i="12"/>
  <c r="L208" i="12"/>
  <c r="K208" i="12"/>
  <c r="V207" i="12"/>
  <c r="AG207" i="12" s="1"/>
  <c r="U207" i="12"/>
  <c r="T207" i="12"/>
  <c r="S207" i="12"/>
  <c r="R207" i="12"/>
  <c r="Q207" i="12"/>
  <c r="P207" i="12"/>
  <c r="O207" i="12"/>
  <c r="N207" i="12"/>
  <c r="M207" i="12"/>
  <c r="L207" i="12"/>
  <c r="K207" i="12"/>
  <c r="V206" i="12"/>
  <c r="AG206" i="12" s="1"/>
  <c r="U206" i="12"/>
  <c r="T206" i="12"/>
  <c r="S206" i="12"/>
  <c r="R206" i="12"/>
  <c r="Q206" i="12"/>
  <c r="P206" i="12"/>
  <c r="O206" i="12"/>
  <c r="N206" i="12"/>
  <c r="M206" i="12"/>
  <c r="L206" i="12"/>
  <c r="K206" i="12"/>
  <c r="V205" i="12"/>
  <c r="AG205" i="12" s="1"/>
  <c r="U205" i="12"/>
  <c r="T205" i="12"/>
  <c r="S205" i="12"/>
  <c r="R205" i="12"/>
  <c r="Q205" i="12"/>
  <c r="P205" i="12"/>
  <c r="O205" i="12"/>
  <c r="N205" i="12"/>
  <c r="M205" i="12"/>
  <c r="L205" i="12"/>
  <c r="K205" i="12"/>
  <c r="V204" i="12"/>
  <c r="U204" i="12"/>
  <c r="T204" i="12"/>
  <c r="S204" i="12"/>
  <c r="R204" i="12"/>
  <c r="Q204" i="12"/>
  <c r="P204" i="12"/>
  <c r="O204" i="12"/>
  <c r="N204" i="12"/>
  <c r="M204" i="12"/>
  <c r="L204" i="12"/>
  <c r="K204" i="12"/>
  <c r="S196" i="12"/>
  <c r="T196" i="12" s="1"/>
  <c r="U196" i="12" s="1"/>
  <c r="V196" i="12" s="1"/>
  <c r="O196" i="12"/>
  <c r="P196" i="12" s="1"/>
  <c r="Q196" i="12" s="1"/>
  <c r="R196" i="12" s="1"/>
  <c r="K196" i="12"/>
  <c r="L196" i="12" s="1"/>
  <c r="M196" i="12" s="1"/>
  <c r="N196" i="12" s="1"/>
  <c r="S195" i="12"/>
  <c r="T195" i="12" s="1"/>
  <c r="U195" i="12" s="1"/>
  <c r="V195" i="12" s="1"/>
  <c r="O195" i="12"/>
  <c r="P195" i="12" s="1"/>
  <c r="Q195" i="12" s="1"/>
  <c r="R195" i="12" s="1"/>
  <c r="K195" i="12"/>
  <c r="L195" i="12" s="1"/>
  <c r="M195" i="12" s="1"/>
  <c r="N195" i="12" s="1"/>
  <c r="S194" i="12"/>
  <c r="T194" i="12" s="1"/>
  <c r="U194" i="12" s="1"/>
  <c r="O194" i="12"/>
  <c r="P194" i="12" s="1"/>
  <c r="K194" i="12"/>
  <c r="L194" i="12" s="1"/>
  <c r="S190" i="12"/>
  <c r="T190" i="12" s="1"/>
  <c r="U190" i="12" s="1"/>
  <c r="V190" i="12" s="1"/>
  <c r="O190" i="12"/>
  <c r="P190" i="12" s="1"/>
  <c r="Q190" i="12" s="1"/>
  <c r="R190" i="12" s="1"/>
  <c r="K190" i="12"/>
  <c r="L190" i="12" s="1"/>
  <c r="M190" i="12" s="1"/>
  <c r="N190" i="12" s="1"/>
  <c r="S189" i="12"/>
  <c r="T189" i="12" s="1"/>
  <c r="U189" i="12" s="1"/>
  <c r="V189" i="12" s="1"/>
  <c r="O189" i="12"/>
  <c r="P189" i="12" s="1"/>
  <c r="Q189" i="12" s="1"/>
  <c r="R189" i="12" s="1"/>
  <c r="K189" i="12"/>
  <c r="L189" i="12" s="1"/>
  <c r="M189" i="12" s="1"/>
  <c r="N189" i="12" s="1"/>
  <c r="S188" i="12"/>
  <c r="T188" i="12" s="1"/>
  <c r="O188" i="12"/>
  <c r="P188" i="12" s="1"/>
  <c r="Q188" i="12" s="1"/>
  <c r="K188" i="12"/>
  <c r="S183" i="12"/>
  <c r="T183" i="12" s="1"/>
  <c r="U183" i="12" s="1"/>
  <c r="V183" i="12" s="1"/>
  <c r="O183" i="12"/>
  <c r="P183" i="12" s="1"/>
  <c r="Q183" i="12" s="1"/>
  <c r="R183" i="12" s="1"/>
  <c r="K183" i="12"/>
  <c r="L183" i="12" s="1"/>
  <c r="M183" i="12" s="1"/>
  <c r="N183" i="12" s="1"/>
  <c r="S182" i="12"/>
  <c r="T182" i="12" s="1"/>
  <c r="U182" i="12" s="1"/>
  <c r="V182" i="12" s="1"/>
  <c r="O182" i="12"/>
  <c r="P182" i="12" s="1"/>
  <c r="Q182" i="12" s="1"/>
  <c r="R182" i="12" s="1"/>
  <c r="K182" i="12"/>
  <c r="L182" i="12" s="1"/>
  <c r="M182" i="12" s="1"/>
  <c r="N182" i="12" s="1"/>
  <c r="S181" i="12"/>
  <c r="T181" i="12" s="1"/>
  <c r="U181" i="12" s="1"/>
  <c r="V181" i="12" s="1"/>
  <c r="O181" i="12"/>
  <c r="P181" i="12" s="1"/>
  <c r="Q181" i="12" s="1"/>
  <c r="R181" i="12" s="1"/>
  <c r="K181" i="12"/>
  <c r="L181" i="12" s="1"/>
  <c r="M181" i="12" s="1"/>
  <c r="N181" i="12" s="1"/>
  <c r="S180" i="12"/>
  <c r="T180" i="12" s="1"/>
  <c r="U180" i="12" s="1"/>
  <c r="V180" i="12" s="1"/>
  <c r="O180" i="12"/>
  <c r="P180" i="12" s="1"/>
  <c r="Q180" i="12" s="1"/>
  <c r="R180" i="12" s="1"/>
  <c r="K180" i="12"/>
  <c r="L180" i="12" s="1"/>
  <c r="M180" i="12" s="1"/>
  <c r="N180" i="12" s="1"/>
  <c r="S179" i="12"/>
  <c r="T179" i="12" s="1"/>
  <c r="U179" i="12" s="1"/>
  <c r="V179" i="12" s="1"/>
  <c r="O179" i="12"/>
  <c r="P179" i="12" s="1"/>
  <c r="Q179" i="12" s="1"/>
  <c r="R179" i="12" s="1"/>
  <c r="K179" i="12"/>
  <c r="L179" i="12" s="1"/>
  <c r="M179" i="12" s="1"/>
  <c r="N179" i="12" s="1"/>
  <c r="S178" i="12"/>
  <c r="T178" i="12" s="1"/>
  <c r="U178" i="12" s="1"/>
  <c r="V178" i="12" s="1"/>
  <c r="O178" i="12"/>
  <c r="P178" i="12" s="1"/>
  <c r="Q178" i="12" s="1"/>
  <c r="R178" i="12" s="1"/>
  <c r="K178" i="12"/>
  <c r="L178" i="12" s="1"/>
  <c r="M178" i="12" s="1"/>
  <c r="N178" i="12" s="1"/>
  <c r="S177" i="12"/>
  <c r="T177" i="12" s="1"/>
  <c r="U177" i="12" s="1"/>
  <c r="V177" i="12" s="1"/>
  <c r="O177" i="12"/>
  <c r="P177" i="12" s="1"/>
  <c r="Q177" i="12" s="1"/>
  <c r="R177" i="12" s="1"/>
  <c r="K177" i="12"/>
  <c r="L177" i="12" s="1"/>
  <c r="M177" i="12" s="1"/>
  <c r="N177" i="12" s="1"/>
  <c r="S176" i="12"/>
  <c r="T176" i="12" s="1"/>
  <c r="U176" i="12" s="1"/>
  <c r="V176" i="12" s="1"/>
  <c r="O176" i="12"/>
  <c r="P176" i="12" s="1"/>
  <c r="Q176" i="12" s="1"/>
  <c r="R176" i="12" s="1"/>
  <c r="K176" i="12"/>
  <c r="L176" i="12" s="1"/>
  <c r="M176" i="12" s="1"/>
  <c r="N176" i="12" s="1"/>
  <c r="S175" i="12"/>
  <c r="T175" i="12" s="1"/>
  <c r="U175" i="12" s="1"/>
  <c r="V175" i="12" s="1"/>
  <c r="O175" i="12"/>
  <c r="P175" i="12" s="1"/>
  <c r="Q175" i="12" s="1"/>
  <c r="R175" i="12" s="1"/>
  <c r="K175" i="12"/>
  <c r="L175" i="12" s="1"/>
  <c r="M175" i="12" s="1"/>
  <c r="N175" i="12" s="1"/>
  <c r="S174" i="12"/>
  <c r="T174" i="12" s="1"/>
  <c r="U174" i="12" s="1"/>
  <c r="V174" i="12" s="1"/>
  <c r="O174" i="12"/>
  <c r="P174" i="12" s="1"/>
  <c r="Q174" i="12" s="1"/>
  <c r="R174" i="12" s="1"/>
  <c r="K174" i="12"/>
  <c r="L174" i="12" s="1"/>
  <c r="M174" i="12" s="1"/>
  <c r="N174" i="12" s="1"/>
  <c r="S169" i="12"/>
  <c r="T169" i="12" s="1"/>
  <c r="U169" i="12" s="1"/>
  <c r="V169" i="12" s="1"/>
  <c r="O169" i="12"/>
  <c r="P169" i="12" s="1"/>
  <c r="Q169" i="12" s="1"/>
  <c r="R169" i="12" s="1"/>
  <c r="K169" i="12"/>
  <c r="L169" i="12" s="1"/>
  <c r="M169" i="12" s="1"/>
  <c r="N169" i="12" s="1"/>
  <c r="S168" i="12"/>
  <c r="T168" i="12" s="1"/>
  <c r="U168" i="12" s="1"/>
  <c r="V168" i="12" s="1"/>
  <c r="O168" i="12"/>
  <c r="P168" i="12" s="1"/>
  <c r="Q168" i="12" s="1"/>
  <c r="R168" i="12" s="1"/>
  <c r="K168" i="12"/>
  <c r="L168" i="12" s="1"/>
  <c r="M168" i="12" s="1"/>
  <c r="N168" i="12" s="1"/>
  <c r="S167" i="12"/>
  <c r="T167" i="12" s="1"/>
  <c r="U167" i="12" s="1"/>
  <c r="V167" i="12" s="1"/>
  <c r="O167" i="12"/>
  <c r="P167" i="12" s="1"/>
  <c r="Q167" i="12" s="1"/>
  <c r="R167" i="12" s="1"/>
  <c r="K167" i="12"/>
  <c r="L167" i="12" s="1"/>
  <c r="M167" i="12" s="1"/>
  <c r="N167" i="12" s="1"/>
  <c r="S166" i="12"/>
  <c r="T166" i="12" s="1"/>
  <c r="U166" i="12" s="1"/>
  <c r="V166" i="12" s="1"/>
  <c r="O166" i="12"/>
  <c r="P166" i="12" s="1"/>
  <c r="Q166" i="12" s="1"/>
  <c r="R166" i="12" s="1"/>
  <c r="K166" i="12"/>
  <c r="L166" i="12" s="1"/>
  <c r="M166" i="12" s="1"/>
  <c r="N166" i="12" s="1"/>
  <c r="S165" i="12"/>
  <c r="T165" i="12" s="1"/>
  <c r="U165" i="12" s="1"/>
  <c r="V165" i="12" s="1"/>
  <c r="O165" i="12"/>
  <c r="P165" i="12" s="1"/>
  <c r="Q165" i="12" s="1"/>
  <c r="R165" i="12" s="1"/>
  <c r="K165" i="12"/>
  <c r="L165" i="12" s="1"/>
  <c r="M165" i="12" s="1"/>
  <c r="N165" i="12" s="1"/>
  <c r="S164" i="12"/>
  <c r="T164" i="12" s="1"/>
  <c r="U164" i="12" s="1"/>
  <c r="V164" i="12" s="1"/>
  <c r="O164" i="12"/>
  <c r="P164" i="12" s="1"/>
  <c r="Q164" i="12" s="1"/>
  <c r="R164" i="12" s="1"/>
  <c r="K164" i="12"/>
  <c r="L164" i="12" s="1"/>
  <c r="M164" i="12" s="1"/>
  <c r="N164" i="12" s="1"/>
  <c r="S163" i="12"/>
  <c r="T163" i="12" s="1"/>
  <c r="U163" i="12" s="1"/>
  <c r="V163" i="12" s="1"/>
  <c r="O163" i="12"/>
  <c r="P163" i="12" s="1"/>
  <c r="Q163" i="12" s="1"/>
  <c r="R163" i="12" s="1"/>
  <c r="K163" i="12"/>
  <c r="L163" i="12" s="1"/>
  <c r="M163" i="12" s="1"/>
  <c r="N163" i="12" s="1"/>
  <c r="S162" i="12"/>
  <c r="T162" i="12" s="1"/>
  <c r="U162" i="12" s="1"/>
  <c r="V162" i="12" s="1"/>
  <c r="O162" i="12"/>
  <c r="P162" i="12" s="1"/>
  <c r="Q162" i="12" s="1"/>
  <c r="R162" i="12" s="1"/>
  <c r="K162" i="12"/>
  <c r="L162" i="12" s="1"/>
  <c r="M162" i="12" s="1"/>
  <c r="N162" i="12" s="1"/>
  <c r="S161" i="12"/>
  <c r="T161" i="12" s="1"/>
  <c r="U161" i="12" s="1"/>
  <c r="V161" i="12" s="1"/>
  <c r="O161" i="12"/>
  <c r="P161" i="12" s="1"/>
  <c r="Q161" i="12" s="1"/>
  <c r="R161" i="12" s="1"/>
  <c r="K161" i="12"/>
  <c r="L161" i="12" s="1"/>
  <c r="M161" i="12" s="1"/>
  <c r="N161" i="12" s="1"/>
  <c r="S160" i="12"/>
  <c r="T160" i="12" s="1"/>
  <c r="U160" i="12" s="1"/>
  <c r="V160" i="12" s="1"/>
  <c r="O160" i="12"/>
  <c r="P160" i="12" s="1"/>
  <c r="Q160" i="12" s="1"/>
  <c r="R160" i="12" s="1"/>
  <c r="K160" i="12"/>
  <c r="L160" i="12" s="1"/>
  <c r="M160" i="12" s="1"/>
  <c r="N160" i="12" s="1"/>
  <c r="S144" i="12"/>
  <c r="T144" i="12" s="1"/>
  <c r="O144" i="12"/>
  <c r="P144" i="12" s="1"/>
  <c r="K144" i="12"/>
  <c r="K152" i="12" s="1"/>
  <c r="S139" i="12"/>
  <c r="T139" i="12" s="1"/>
  <c r="U139" i="12" s="1"/>
  <c r="V139" i="12" s="1"/>
  <c r="O139" i="12"/>
  <c r="P139" i="12" s="1"/>
  <c r="Q139" i="12" s="1"/>
  <c r="R139" i="12" s="1"/>
  <c r="K139" i="12"/>
  <c r="L139" i="12" s="1"/>
  <c r="M139" i="12" s="1"/>
  <c r="N139" i="12" s="1"/>
  <c r="S138" i="12"/>
  <c r="S153" i="12" s="1"/>
  <c r="O138" i="12"/>
  <c r="P138" i="12" s="1"/>
  <c r="K138" i="12"/>
  <c r="L138" i="12" s="1"/>
  <c r="S133" i="12"/>
  <c r="T133" i="12" s="1"/>
  <c r="U133" i="12" s="1"/>
  <c r="V133" i="12" s="1"/>
  <c r="O133" i="12"/>
  <c r="P133" i="12" s="1"/>
  <c r="Q133" i="12" s="1"/>
  <c r="R133" i="12" s="1"/>
  <c r="K133" i="12"/>
  <c r="L133" i="12" s="1"/>
  <c r="M133" i="12" s="1"/>
  <c r="N133" i="12" s="1"/>
  <c r="S132" i="12"/>
  <c r="S155" i="12" s="1"/>
  <c r="O132" i="12"/>
  <c r="O155" i="12" s="1"/>
  <c r="K132" i="12"/>
  <c r="L132" i="12" s="1"/>
  <c r="M132" i="12" s="1"/>
  <c r="S131" i="12"/>
  <c r="S154" i="12" s="1"/>
  <c r="O131" i="12"/>
  <c r="O154" i="12" s="1"/>
  <c r="K131" i="12"/>
  <c r="K154" i="12" s="1"/>
  <c r="S130" i="12"/>
  <c r="T130" i="12" s="1"/>
  <c r="U130" i="12" s="1"/>
  <c r="V130" i="12" s="1"/>
  <c r="O130" i="12"/>
  <c r="P130" i="12" s="1"/>
  <c r="Q130" i="12" s="1"/>
  <c r="R130" i="12" s="1"/>
  <c r="K130" i="12"/>
  <c r="L130" i="12" s="1"/>
  <c r="M130" i="12" s="1"/>
  <c r="N130" i="12" s="1"/>
  <c r="S129" i="12"/>
  <c r="T129" i="12" s="1"/>
  <c r="U129" i="12" s="1"/>
  <c r="V129" i="12" s="1"/>
  <c r="O129" i="12"/>
  <c r="P129" i="12" s="1"/>
  <c r="Q129" i="12" s="1"/>
  <c r="R129" i="12" s="1"/>
  <c r="K129" i="12"/>
  <c r="L129" i="12" s="1"/>
  <c r="M129" i="12" s="1"/>
  <c r="N129" i="12" s="1"/>
  <c r="S128" i="12"/>
  <c r="T128" i="12" s="1"/>
  <c r="U128" i="12" s="1"/>
  <c r="V128" i="12" s="1"/>
  <c r="O128" i="12"/>
  <c r="P128" i="12" s="1"/>
  <c r="Q128" i="12" s="1"/>
  <c r="R128" i="12" s="1"/>
  <c r="K128" i="12"/>
  <c r="L128" i="12" s="1"/>
  <c r="M128" i="12" s="1"/>
  <c r="N128" i="12" s="1"/>
  <c r="S127" i="12"/>
  <c r="T127" i="12" s="1"/>
  <c r="U127" i="12" s="1"/>
  <c r="V127" i="12" s="1"/>
  <c r="O127" i="12"/>
  <c r="P127" i="12" s="1"/>
  <c r="Q127" i="12" s="1"/>
  <c r="R127" i="12" s="1"/>
  <c r="K127" i="12"/>
  <c r="L127" i="12" s="1"/>
  <c r="M127" i="12" s="1"/>
  <c r="N127" i="12" s="1"/>
  <c r="S126" i="12"/>
  <c r="T126" i="12" s="1"/>
  <c r="U126" i="12" s="1"/>
  <c r="V126" i="12" s="1"/>
  <c r="O126" i="12"/>
  <c r="P126" i="12" s="1"/>
  <c r="Q126" i="12" s="1"/>
  <c r="R126" i="12" s="1"/>
  <c r="K126" i="12"/>
  <c r="L126" i="12" s="1"/>
  <c r="M126" i="12" s="1"/>
  <c r="N126" i="12" s="1"/>
  <c r="S121" i="12"/>
  <c r="T121" i="12" s="1"/>
  <c r="U121" i="12" s="1"/>
  <c r="V121" i="12" s="1"/>
  <c r="O121" i="12"/>
  <c r="P121" i="12" s="1"/>
  <c r="Q121" i="12" s="1"/>
  <c r="R121" i="12" s="1"/>
  <c r="K121" i="12"/>
  <c r="L121" i="12" s="1"/>
  <c r="M121" i="12" s="1"/>
  <c r="N121" i="12" s="1"/>
  <c r="S120" i="12"/>
  <c r="T120" i="12" s="1"/>
  <c r="U120" i="12" s="1"/>
  <c r="V120" i="12" s="1"/>
  <c r="O120" i="12"/>
  <c r="P120" i="12" s="1"/>
  <c r="Q120" i="12" s="1"/>
  <c r="R120" i="12" s="1"/>
  <c r="K120" i="12"/>
  <c r="L120" i="12" s="1"/>
  <c r="M120" i="12" s="1"/>
  <c r="N120" i="12" s="1"/>
  <c r="S119" i="12"/>
  <c r="T119" i="12" s="1"/>
  <c r="U119" i="12" s="1"/>
  <c r="V119" i="12" s="1"/>
  <c r="O119" i="12"/>
  <c r="P119" i="12" s="1"/>
  <c r="Q119" i="12" s="1"/>
  <c r="R119" i="12" s="1"/>
  <c r="K119" i="12"/>
  <c r="L119" i="12" s="1"/>
  <c r="M119" i="12" s="1"/>
  <c r="N119" i="12" s="1"/>
  <c r="S118" i="12"/>
  <c r="T118" i="12" s="1"/>
  <c r="U118" i="12" s="1"/>
  <c r="V118" i="12" s="1"/>
  <c r="O118" i="12"/>
  <c r="P118" i="12" s="1"/>
  <c r="Q118" i="12" s="1"/>
  <c r="R118" i="12" s="1"/>
  <c r="K118" i="12"/>
  <c r="L118" i="12" s="1"/>
  <c r="M118" i="12" s="1"/>
  <c r="N118" i="12" s="1"/>
  <c r="S117" i="12"/>
  <c r="T117" i="12" s="1"/>
  <c r="U117" i="12" s="1"/>
  <c r="V117" i="12" s="1"/>
  <c r="O117" i="12"/>
  <c r="P117" i="12" s="1"/>
  <c r="Q117" i="12" s="1"/>
  <c r="R117" i="12" s="1"/>
  <c r="K117" i="12"/>
  <c r="L117" i="12" s="1"/>
  <c r="M117" i="12" s="1"/>
  <c r="N117" i="12" s="1"/>
  <c r="S116" i="12"/>
  <c r="T116" i="12" s="1"/>
  <c r="U116" i="12" s="1"/>
  <c r="V116" i="12" s="1"/>
  <c r="O116" i="12"/>
  <c r="P116" i="12" s="1"/>
  <c r="Q116" i="12" s="1"/>
  <c r="R116" i="12" s="1"/>
  <c r="K116" i="12"/>
  <c r="L116" i="12" s="1"/>
  <c r="M116" i="12" s="1"/>
  <c r="N116" i="12" s="1"/>
  <c r="S112" i="12"/>
  <c r="T112" i="12" s="1"/>
  <c r="U112" i="12" s="1"/>
  <c r="V112" i="12" s="1"/>
  <c r="O112" i="12"/>
  <c r="P112" i="12" s="1"/>
  <c r="Q112" i="12" s="1"/>
  <c r="R112" i="12" s="1"/>
  <c r="K112" i="12"/>
  <c r="L112" i="12" s="1"/>
  <c r="M112" i="12" s="1"/>
  <c r="N112" i="12" s="1"/>
  <c r="S111" i="12"/>
  <c r="T111" i="12" s="1"/>
  <c r="U111" i="12" s="1"/>
  <c r="V111" i="12" s="1"/>
  <c r="O111" i="12"/>
  <c r="P111" i="12" s="1"/>
  <c r="Q111" i="12" s="1"/>
  <c r="R111" i="12" s="1"/>
  <c r="K111" i="12"/>
  <c r="L111" i="12" s="1"/>
  <c r="M111" i="12" s="1"/>
  <c r="N111" i="12" s="1"/>
  <c r="S110" i="12"/>
  <c r="T110" i="12" s="1"/>
  <c r="U110" i="12" s="1"/>
  <c r="V110" i="12" s="1"/>
  <c r="O110" i="12"/>
  <c r="P110" i="12" s="1"/>
  <c r="Q110" i="12" s="1"/>
  <c r="R110" i="12" s="1"/>
  <c r="K110" i="12"/>
  <c r="L110" i="12" s="1"/>
  <c r="M110" i="12" s="1"/>
  <c r="N110" i="12" s="1"/>
  <c r="S109" i="12"/>
  <c r="T109" i="12" s="1"/>
  <c r="U109" i="12" s="1"/>
  <c r="V109" i="12" s="1"/>
  <c r="O109" i="12"/>
  <c r="P109" i="12" s="1"/>
  <c r="Q109" i="12" s="1"/>
  <c r="R109" i="12" s="1"/>
  <c r="K109" i="12"/>
  <c r="L109" i="12" s="1"/>
  <c r="M109" i="12" s="1"/>
  <c r="N109" i="12" s="1"/>
  <c r="S108" i="12"/>
  <c r="T108" i="12" s="1"/>
  <c r="U108" i="12" s="1"/>
  <c r="V108" i="12" s="1"/>
  <c r="O108" i="12"/>
  <c r="P108" i="12" s="1"/>
  <c r="Q108" i="12" s="1"/>
  <c r="R108" i="12" s="1"/>
  <c r="K108" i="12"/>
  <c r="L108" i="12" s="1"/>
  <c r="M108" i="12" s="1"/>
  <c r="N108" i="12" s="1"/>
  <c r="S107" i="12"/>
  <c r="O107" i="12"/>
  <c r="P107" i="12" s="1"/>
  <c r="K107" i="12"/>
  <c r="L107" i="12" s="1"/>
  <c r="M107" i="12" s="1"/>
  <c r="N107" i="12" s="1"/>
  <c r="V94" i="12"/>
  <c r="U94" i="12"/>
  <c r="U100" i="12" s="1"/>
  <c r="U101" i="12" s="1"/>
  <c r="T94" i="12"/>
  <c r="T100" i="12" s="1"/>
  <c r="T101" i="12" s="1"/>
  <c r="S94" i="12"/>
  <c r="S100" i="12" s="1"/>
  <c r="S101" i="12" s="1"/>
  <c r="R94" i="12"/>
  <c r="R100" i="12" s="1"/>
  <c r="R101" i="12" s="1"/>
  <c r="Q94" i="12"/>
  <c r="Q100" i="12" s="1"/>
  <c r="Q101" i="12" s="1"/>
  <c r="P94" i="12"/>
  <c r="O94" i="12"/>
  <c r="O100" i="12" s="1"/>
  <c r="O101" i="12" s="1"/>
  <c r="N94" i="12"/>
  <c r="M94" i="12"/>
  <c r="M100" i="12" s="1"/>
  <c r="M101" i="12" s="1"/>
  <c r="L94" i="12"/>
  <c r="L100" i="12" s="1"/>
  <c r="L101" i="12" s="1"/>
  <c r="K94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V16" i="12"/>
  <c r="U16" i="12"/>
  <c r="T16" i="12"/>
  <c r="S16" i="12"/>
  <c r="S25" i="12" s="1"/>
  <c r="R16" i="12"/>
  <c r="Q16" i="12"/>
  <c r="Q25" i="12" s="1"/>
  <c r="P16" i="12"/>
  <c r="P25" i="12" s="1"/>
  <c r="O16" i="12"/>
  <c r="N16" i="12"/>
  <c r="N25" i="12" s="1"/>
  <c r="M16" i="12"/>
  <c r="L16" i="12"/>
  <c r="K16" i="12"/>
  <c r="K25" i="12" s="1"/>
  <c r="AG3" i="12"/>
  <c r="AG2" i="12" s="1"/>
  <c r="AF316" i="12"/>
  <c r="AF310" i="12"/>
  <c r="AF94" i="12"/>
  <c r="AF100" i="12" s="1"/>
  <c r="AF101" i="12" s="1"/>
  <c r="AF58" i="12"/>
  <c r="AF57" i="12"/>
  <c r="AF56" i="12"/>
  <c r="AF55" i="12"/>
  <c r="AF16" i="12"/>
  <c r="C1" i="12"/>
  <c r="Z3" i="12"/>
  <c r="Z2" i="12" s="1"/>
  <c r="C3" i="12"/>
  <c r="C5" i="12"/>
  <c r="G16" i="12"/>
  <c r="G25" i="12" s="1"/>
  <c r="G37" i="12" s="1"/>
  <c r="H16" i="12"/>
  <c r="H25" i="12" s="1"/>
  <c r="H37" i="12" s="1"/>
  <c r="I16" i="12"/>
  <c r="J16" i="12"/>
  <c r="J25" i="12" s="1"/>
  <c r="J37" i="12" s="1"/>
  <c r="J43" i="12" s="1"/>
  <c r="W16" i="12"/>
  <c r="X16" i="12"/>
  <c r="Y16" i="12"/>
  <c r="Z16" i="12"/>
  <c r="AA16" i="12"/>
  <c r="AA25" i="12" s="1"/>
  <c r="AB16" i="12"/>
  <c r="AB25" i="12" s="1"/>
  <c r="AC16" i="12"/>
  <c r="AD16" i="12"/>
  <c r="AD25" i="12" s="1"/>
  <c r="AG16" i="12"/>
  <c r="AH16" i="12"/>
  <c r="AH25" i="12" s="1"/>
  <c r="AH37" i="12" s="1"/>
  <c r="AH38" i="12" s="1"/>
  <c r="C55" i="12"/>
  <c r="C152" i="12" s="1"/>
  <c r="G55" i="12"/>
  <c r="H55" i="12"/>
  <c r="I55" i="12"/>
  <c r="J55" i="12"/>
  <c r="W55" i="12"/>
  <c r="X55" i="12"/>
  <c r="Y55" i="12"/>
  <c r="Z55" i="12"/>
  <c r="AA55" i="12"/>
  <c r="AB55" i="12"/>
  <c r="AC55" i="12"/>
  <c r="AD55" i="12"/>
  <c r="AG55" i="12"/>
  <c r="AH55" i="12"/>
  <c r="C56" i="12"/>
  <c r="C153" i="12" s="1"/>
  <c r="G56" i="12"/>
  <c r="H56" i="12"/>
  <c r="I56" i="12"/>
  <c r="J56" i="12"/>
  <c r="W56" i="12"/>
  <c r="X56" i="12"/>
  <c r="Y56" i="12"/>
  <c r="Z56" i="12"/>
  <c r="AA56" i="12"/>
  <c r="AB56" i="12"/>
  <c r="AC56" i="12"/>
  <c r="AD56" i="12"/>
  <c r="AG56" i="12"/>
  <c r="AH56" i="12"/>
  <c r="C57" i="12"/>
  <c r="C154" i="12" s="1"/>
  <c r="G57" i="12"/>
  <c r="H57" i="12"/>
  <c r="I57" i="12"/>
  <c r="J57" i="12"/>
  <c r="W57" i="12"/>
  <c r="X57" i="12"/>
  <c r="Y57" i="12"/>
  <c r="Z57" i="12"/>
  <c r="AA57" i="12"/>
  <c r="AB57" i="12"/>
  <c r="AC57" i="12"/>
  <c r="AD57" i="12"/>
  <c r="AG57" i="12"/>
  <c r="AH57" i="12"/>
  <c r="C58" i="12"/>
  <c r="C155" i="12" s="1"/>
  <c r="G58" i="12"/>
  <c r="H58" i="12"/>
  <c r="I58" i="12"/>
  <c r="J58" i="12"/>
  <c r="W58" i="12"/>
  <c r="X58" i="12"/>
  <c r="Y58" i="12"/>
  <c r="Z58" i="12"/>
  <c r="AA58" i="12"/>
  <c r="AB58" i="12"/>
  <c r="AC58" i="12"/>
  <c r="AD58" i="12"/>
  <c r="AG58" i="12"/>
  <c r="AH58" i="12"/>
  <c r="G94" i="12"/>
  <c r="H94" i="12"/>
  <c r="I94" i="12"/>
  <c r="I100" i="12" s="1"/>
  <c r="I101" i="12" s="1"/>
  <c r="J94" i="12"/>
  <c r="J100" i="12" s="1"/>
  <c r="J101" i="12" s="1"/>
  <c r="W94" i="12"/>
  <c r="W100" i="12" s="1"/>
  <c r="W101" i="12" s="1"/>
  <c r="X94" i="12"/>
  <c r="X100" i="12" s="1"/>
  <c r="X101" i="12" s="1"/>
  <c r="Y94" i="12"/>
  <c r="Z94" i="12"/>
  <c r="Z100" i="12" s="1"/>
  <c r="Z101" i="12" s="1"/>
  <c r="AA94" i="12"/>
  <c r="AB94" i="12"/>
  <c r="AB100" i="12" s="1"/>
  <c r="AB101" i="12" s="1"/>
  <c r="AC94" i="12"/>
  <c r="AC100" i="12" s="1"/>
  <c r="AC101" i="12" s="1"/>
  <c r="AD94" i="12"/>
  <c r="AD100" i="12" s="1"/>
  <c r="AD101" i="12" s="1"/>
  <c r="AG94" i="12"/>
  <c r="AH94" i="12"/>
  <c r="C107" i="12"/>
  <c r="G107" i="12"/>
  <c r="W107" i="12"/>
  <c r="AA107" i="12"/>
  <c r="AB107" i="12" s="1"/>
  <c r="C108" i="12"/>
  <c r="G108" i="12"/>
  <c r="H108" i="12" s="1"/>
  <c r="I108" i="12" s="1"/>
  <c r="J108" i="12" s="1"/>
  <c r="W108" i="12"/>
  <c r="X108" i="12" s="1"/>
  <c r="Y108" i="12" s="1"/>
  <c r="Z108" i="12" s="1"/>
  <c r="AA108" i="12"/>
  <c r="C109" i="12"/>
  <c r="G109" i="12"/>
  <c r="H109" i="12" s="1"/>
  <c r="I109" i="12" s="1"/>
  <c r="J109" i="12" s="1"/>
  <c r="W109" i="12"/>
  <c r="X109" i="12" s="1"/>
  <c r="Y109" i="12" s="1"/>
  <c r="Z109" i="12" s="1"/>
  <c r="AA109" i="12"/>
  <c r="AB109" i="12" s="1"/>
  <c r="AC109" i="12" s="1"/>
  <c r="AD109" i="12" s="1"/>
  <c r="C110" i="12"/>
  <c r="G110" i="12"/>
  <c r="H110" i="12" s="1"/>
  <c r="I110" i="12" s="1"/>
  <c r="J110" i="12" s="1"/>
  <c r="W110" i="12"/>
  <c r="X110" i="12" s="1"/>
  <c r="Y110" i="12" s="1"/>
  <c r="Z110" i="12" s="1"/>
  <c r="AA110" i="12"/>
  <c r="AB110" i="12" s="1"/>
  <c r="AC110" i="12" s="1"/>
  <c r="AD110" i="12" s="1"/>
  <c r="C111" i="12"/>
  <c r="G111" i="12"/>
  <c r="H111" i="12" s="1"/>
  <c r="I111" i="12" s="1"/>
  <c r="J111" i="12" s="1"/>
  <c r="W111" i="12"/>
  <c r="X111" i="12" s="1"/>
  <c r="Y111" i="12" s="1"/>
  <c r="Z111" i="12" s="1"/>
  <c r="AA111" i="12"/>
  <c r="AB111" i="12" s="1"/>
  <c r="AC111" i="12" s="1"/>
  <c r="AD111" i="12" s="1"/>
  <c r="C112" i="12"/>
  <c r="G112" i="12"/>
  <c r="H112" i="12" s="1"/>
  <c r="I112" i="12" s="1"/>
  <c r="J112" i="12" s="1"/>
  <c r="W112" i="12"/>
  <c r="X112" i="12" s="1"/>
  <c r="Y112" i="12" s="1"/>
  <c r="Z112" i="12" s="1"/>
  <c r="AA112" i="12"/>
  <c r="AB112" i="12" s="1"/>
  <c r="AC112" i="12" s="1"/>
  <c r="AD112" i="12" s="1"/>
  <c r="C113" i="12"/>
  <c r="C114" i="12"/>
  <c r="C116" i="12"/>
  <c r="G116" i="12"/>
  <c r="H116" i="12" s="1"/>
  <c r="I116" i="12" s="1"/>
  <c r="J116" i="12" s="1"/>
  <c r="W116" i="12"/>
  <c r="X116" i="12" s="1"/>
  <c r="Y116" i="12" s="1"/>
  <c r="Z116" i="12" s="1"/>
  <c r="AA116" i="12"/>
  <c r="AB116" i="12" s="1"/>
  <c r="AC116" i="12" s="1"/>
  <c r="AD116" i="12" s="1"/>
  <c r="C117" i="12"/>
  <c r="G117" i="12"/>
  <c r="H117" i="12" s="1"/>
  <c r="I117" i="12" s="1"/>
  <c r="J117" i="12" s="1"/>
  <c r="W117" i="12"/>
  <c r="X117" i="12" s="1"/>
  <c r="Y117" i="12" s="1"/>
  <c r="Z117" i="12" s="1"/>
  <c r="AA117" i="12"/>
  <c r="AB117" i="12" s="1"/>
  <c r="AC117" i="12" s="1"/>
  <c r="AD117" i="12" s="1"/>
  <c r="C118" i="12"/>
  <c r="G118" i="12"/>
  <c r="H118" i="12" s="1"/>
  <c r="I118" i="12" s="1"/>
  <c r="J118" i="12" s="1"/>
  <c r="W118" i="12"/>
  <c r="X118" i="12" s="1"/>
  <c r="Y118" i="12" s="1"/>
  <c r="Z118" i="12" s="1"/>
  <c r="AA118" i="12"/>
  <c r="AB118" i="12" s="1"/>
  <c r="AC118" i="12" s="1"/>
  <c r="AD118" i="12" s="1"/>
  <c r="C119" i="12"/>
  <c r="G119" i="12"/>
  <c r="H119" i="12" s="1"/>
  <c r="I119" i="12" s="1"/>
  <c r="J119" i="12" s="1"/>
  <c r="W119" i="12"/>
  <c r="X119" i="12" s="1"/>
  <c r="Y119" i="12" s="1"/>
  <c r="Z119" i="12" s="1"/>
  <c r="AA119" i="12"/>
  <c r="AB119" i="12" s="1"/>
  <c r="AC119" i="12" s="1"/>
  <c r="AD119" i="12" s="1"/>
  <c r="C120" i="12"/>
  <c r="G120" i="12"/>
  <c r="H120" i="12" s="1"/>
  <c r="I120" i="12" s="1"/>
  <c r="J120" i="12" s="1"/>
  <c r="W120" i="12"/>
  <c r="X120" i="12" s="1"/>
  <c r="Y120" i="12" s="1"/>
  <c r="Z120" i="12" s="1"/>
  <c r="AA120" i="12"/>
  <c r="AB120" i="12" s="1"/>
  <c r="AC120" i="12" s="1"/>
  <c r="AD120" i="12" s="1"/>
  <c r="C121" i="12"/>
  <c r="G121" i="12"/>
  <c r="H121" i="12" s="1"/>
  <c r="I121" i="12" s="1"/>
  <c r="J121" i="12" s="1"/>
  <c r="W121" i="12"/>
  <c r="X121" i="12" s="1"/>
  <c r="Y121" i="12" s="1"/>
  <c r="Z121" i="12" s="1"/>
  <c r="AA121" i="12"/>
  <c r="AB121" i="12" s="1"/>
  <c r="AC121" i="12" s="1"/>
  <c r="AD121" i="12" s="1"/>
  <c r="C122" i="12"/>
  <c r="C123" i="12"/>
  <c r="C124" i="12"/>
  <c r="C126" i="12"/>
  <c r="G126" i="12"/>
  <c r="H126" i="12" s="1"/>
  <c r="I126" i="12" s="1"/>
  <c r="J126" i="12" s="1"/>
  <c r="W126" i="12"/>
  <c r="X126" i="12" s="1"/>
  <c r="Y126" i="12" s="1"/>
  <c r="Z126" i="12" s="1"/>
  <c r="AA126" i="12"/>
  <c r="AB126" i="12" s="1"/>
  <c r="AC126" i="12" s="1"/>
  <c r="AD126" i="12" s="1"/>
  <c r="C127" i="12"/>
  <c r="G127" i="12"/>
  <c r="H127" i="12" s="1"/>
  <c r="I127" i="12" s="1"/>
  <c r="J127" i="12" s="1"/>
  <c r="W127" i="12"/>
  <c r="X127" i="12" s="1"/>
  <c r="Y127" i="12" s="1"/>
  <c r="Z127" i="12" s="1"/>
  <c r="AA127" i="12"/>
  <c r="AB127" i="12" s="1"/>
  <c r="AC127" i="12" s="1"/>
  <c r="AD127" i="12" s="1"/>
  <c r="C128" i="12"/>
  <c r="G128" i="12"/>
  <c r="H128" i="12" s="1"/>
  <c r="I128" i="12" s="1"/>
  <c r="J128" i="12" s="1"/>
  <c r="W128" i="12"/>
  <c r="X128" i="12" s="1"/>
  <c r="Y128" i="12" s="1"/>
  <c r="Z128" i="12" s="1"/>
  <c r="AA128" i="12"/>
  <c r="AB128" i="12" s="1"/>
  <c r="AC128" i="12" s="1"/>
  <c r="AD128" i="12" s="1"/>
  <c r="C129" i="12"/>
  <c r="G129" i="12"/>
  <c r="H129" i="12" s="1"/>
  <c r="I129" i="12" s="1"/>
  <c r="J129" i="12" s="1"/>
  <c r="W129" i="12"/>
  <c r="X129" i="12" s="1"/>
  <c r="Y129" i="12" s="1"/>
  <c r="Z129" i="12" s="1"/>
  <c r="AA129" i="12"/>
  <c r="AB129" i="12" s="1"/>
  <c r="AC129" i="12" s="1"/>
  <c r="AD129" i="12" s="1"/>
  <c r="C130" i="12"/>
  <c r="G130" i="12"/>
  <c r="H130" i="12" s="1"/>
  <c r="I130" i="12" s="1"/>
  <c r="J130" i="12" s="1"/>
  <c r="W130" i="12"/>
  <c r="X130" i="12" s="1"/>
  <c r="Y130" i="12" s="1"/>
  <c r="Z130" i="12" s="1"/>
  <c r="AA130" i="12"/>
  <c r="AB130" i="12" s="1"/>
  <c r="AC130" i="12" s="1"/>
  <c r="AD130" i="12" s="1"/>
  <c r="C131" i="12"/>
  <c r="G131" i="12"/>
  <c r="H131" i="12" s="1"/>
  <c r="H154" i="12" s="1"/>
  <c r="W131" i="12"/>
  <c r="X131" i="12" s="1"/>
  <c r="Y131" i="12" s="1"/>
  <c r="Z131" i="12" s="1"/>
  <c r="Z154" i="12" s="1"/>
  <c r="AA131" i="12"/>
  <c r="AB131" i="12" s="1"/>
  <c r="AB154" i="12" s="1"/>
  <c r="C132" i="12"/>
  <c r="G132" i="12"/>
  <c r="H132" i="12" s="1"/>
  <c r="I132" i="12" s="1"/>
  <c r="W132" i="12"/>
  <c r="AA132" i="12"/>
  <c r="AB132" i="12" s="1"/>
  <c r="AB155" i="12" s="1"/>
  <c r="C133" i="12"/>
  <c r="G133" i="12"/>
  <c r="H133" i="12" s="1"/>
  <c r="I133" i="12" s="1"/>
  <c r="J133" i="12" s="1"/>
  <c r="W133" i="12"/>
  <c r="X133" i="12" s="1"/>
  <c r="Y133" i="12" s="1"/>
  <c r="Z133" i="12" s="1"/>
  <c r="AA133" i="12"/>
  <c r="AB133" i="12" s="1"/>
  <c r="AC133" i="12" s="1"/>
  <c r="AD133" i="12" s="1"/>
  <c r="C134" i="12"/>
  <c r="C135" i="12"/>
  <c r="C136" i="12"/>
  <c r="C138" i="12"/>
  <c r="G138" i="12"/>
  <c r="G153" i="12" s="1"/>
  <c r="W138" i="12"/>
  <c r="X138" i="12" s="1"/>
  <c r="X153" i="12" s="1"/>
  <c r="AA138" i="12"/>
  <c r="AB138" i="12" s="1"/>
  <c r="AC138" i="12" s="1"/>
  <c r="AC153" i="12" s="1"/>
  <c r="C139" i="12"/>
  <c r="G139" i="12"/>
  <c r="H139" i="12" s="1"/>
  <c r="I139" i="12" s="1"/>
  <c r="J139" i="12" s="1"/>
  <c r="W139" i="12"/>
  <c r="X139" i="12" s="1"/>
  <c r="Y139" i="12" s="1"/>
  <c r="Z139" i="12" s="1"/>
  <c r="AA139" i="12"/>
  <c r="AB139" i="12" s="1"/>
  <c r="AC139" i="12" s="1"/>
  <c r="AD139" i="12" s="1"/>
  <c r="C140" i="12"/>
  <c r="C141" i="12"/>
  <c r="C142" i="12"/>
  <c r="C144" i="12"/>
  <c r="G144" i="12"/>
  <c r="G152" i="12" s="1"/>
  <c r="W144" i="12"/>
  <c r="W152" i="12" s="1"/>
  <c r="AA144" i="12"/>
  <c r="AB144" i="12" s="1"/>
  <c r="AC144" i="12" s="1"/>
  <c r="C145" i="12"/>
  <c r="C147" i="12"/>
  <c r="C148" i="12"/>
  <c r="C149" i="12"/>
  <c r="C151" i="12"/>
  <c r="C156" i="12"/>
  <c r="C157" i="12"/>
  <c r="C158" i="12"/>
  <c r="C160" i="12"/>
  <c r="G160" i="12"/>
  <c r="H160" i="12" s="1"/>
  <c r="I160" i="12" s="1"/>
  <c r="J160" i="12" s="1"/>
  <c r="W160" i="12"/>
  <c r="X160" i="12" s="1"/>
  <c r="Y160" i="12" s="1"/>
  <c r="Z160" i="12" s="1"/>
  <c r="AA160" i="12"/>
  <c r="AB160" i="12" s="1"/>
  <c r="AC160" i="12" s="1"/>
  <c r="AD160" i="12" s="1"/>
  <c r="C161" i="12"/>
  <c r="G161" i="12"/>
  <c r="H161" i="12" s="1"/>
  <c r="I161" i="12" s="1"/>
  <c r="J161" i="12" s="1"/>
  <c r="W161" i="12"/>
  <c r="X161" i="12" s="1"/>
  <c r="Y161" i="12" s="1"/>
  <c r="Z161" i="12" s="1"/>
  <c r="AA161" i="12"/>
  <c r="AB161" i="12" s="1"/>
  <c r="AC161" i="12" s="1"/>
  <c r="AD161" i="12" s="1"/>
  <c r="C162" i="12"/>
  <c r="G162" i="12"/>
  <c r="H162" i="12" s="1"/>
  <c r="I162" i="12" s="1"/>
  <c r="J162" i="12" s="1"/>
  <c r="W162" i="12"/>
  <c r="X162" i="12" s="1"/>
  <c r="Y162" i="12" s="1"/>
  <c r="Z162" i="12" s="1"/>
  <c r="AA162" i="12"/>
  <c r="AB162" i="12" s="1"/>
  <c r="AC162" i="12" s="1"/>
  <c r="AD162" i="12" s="1"/>
  <c r="C163" i="12"/>
  <c r="G163" i="12"/>
  <c r="H163" i="12" s="1"/>
  <c r="I163" i="12" s="1"/>
  <c r="J163" i="12" s="1"/>
  <c r="W163" i="12"/>
  <c r="X163" i="12" s="1"/>
  <c r="Y163" i="12" s="1"/>
  <c r="Z163" i="12" s="1"/>
  <c r="AA163" i="12"/>
  <c r="AB163" i="12" s="1"/>
  <c r="AC163" i="12" s="1"/>
  <c r="AD163" i="12" s="1"/>
  <c r="C164" i="12"/>
  <c r="G164" i="12"/>
  <c r="H164" i="12" s="1"/>
  <c r="I164" i="12" s="1"/>
  <c r="J164" i="12" s="1"/>
  <c r="W164" i="12"/>
  <c r="X164" i="12" s="1"/>
  <c r="Y164" i="12" s="1"/>
  <c r="Z164" i="12" s="1"/>
  <c r="AA164" i="12"/>
  <c r="AB164" i="12" s="1"/>
  <c r="AC164" i="12" s="1"/>
  <c r="AD164" i="12" s="1"/>
  <c r="C165" i="12"/>
  <c r="G165" i="12"/>
  <c r="H165" i="12" s="1"/>
  <c r="I165" i="12" s="1"/>
  <c r="J165" i="12" s="1"/>
  <c r="W165" i="12"/>
  <c r="X165" i="12" s="1"/>
  <c r="Y165" i="12" s="1"/>
  <c r="Z165" i="12" s="1"/>
  <c r="AA165" i="12"/>
  <c r="AB165" i="12" s="1"/>
  <c r="AC165" i="12" s="1"/>
  <c r="AD165" i="12" s="1"/>
  <c r="C166" i="12"/>
  <c r="G166" i="12"/>
  <c r="H166" i="12" s="1"/>
  <c r="I166" i="12" s="1"/>
  <c r="J166" i="12" s="1"/>
  <c r="W166" i="12"/>
  <c r="X166" i="12" s="1"/>
  <c r="Y166" i="12" s="1"/>
  <c r="Z166" i="12" s="1"/>
  <c r="AA166" i="12"/>
  <c r="AB166" i="12" s="1"/>
  <c r="AC166" i="12" s="1"/>
  <c r="AD166" i="12" s="1"/>
  <c r="C167" i="12"/>
  <c r="G167" i="12"/>
  <c r="H167" i="12" s="1"/>
  <c r="I167" i="12" s="1"/>
  <c r="J167" i="12" s="1"/>
  <c r="W167" i="12"/>
  <c r="X167" i="12" s="1"/>
  <c r="Y167" i="12" s="1"/>
  <c r="Z167" i="12" s="1"/>
  <c r="AA167" i="12"/>
  <c r="AB167" i="12" s="1"/>
  <c r="AC167" i="12" s="1"/>
  <c r="AD167" i="12" s="1"/>
  <c r="C168" i="12"/>
  <c r="G168" i="12"/>
  <c r="H168" i="12" s="1"/>
  <c r="I168" i="12" s="1"/>
  <c r="J168" i="12" s="1"/>
  <c r="W168" i="12"/>
  <c r="X168" i="12" s="1"/>
  <c r="Y168" i="12" s="1"/>
  <c r="Z168" i="12" s="1"/>
  <c r="AA168" i="12"/>
  <c r="AB168" i="12" s="1"/>
  <c r="AC168" i="12" s="1"/>
  <c r="AD168" i="12" s="1"/>
  <c r="C169" i="12"/>
  <c r="G169" i="12"/>
  <c r="H169" i="12" s="1"/>
  <c r="I169" i="12" s="1"/>
  <c r="J169" i="12" s="1"/>
  <c r="W169" i="12"/>
  <c r="X169" i="12" s="1"/>
  <c r="Y169" i="12" s="1"/>
  <c r="Z169" i="12" s="1"/>
  <c r="AA169" i="12"/>
  <c r="AB169" i="12" s="1"/>
  <c r="AC169" i="12" s="1"/>
  <c r="AD169" i="12" s="1"/>
  <c r="C170" i="12"/>
  <c r="C171" i="12"/>
  <c r="C172" i="12"/>
  <c r="C174" i="12"/>
  <c r="G174" i="12"/>
  <c r="H174" i="12" s="1"/>
  <c r="I174" i="12" s="1"/>
  <c r="J174" i="12" s="1"/>
  <c r="W174" i="12"/>
  <c r="X174" i="12" s="1"/>
  <c r="Y174" i="12" s="1"/>
  <c r="Z174" i="12" s="1"/>
  <c r="AA174" i="12"/>
  <c r="AB174" i="12" s="1"/>
  <c r="AC174" i="12" s="1"/>
  <c r="AD174" i="12" s="1"/>
  <c r="C175" i="12"/>
  <c r="G175" i="12"/>
  <c r="H175" i="12" s="1"/>
  <c r="I175" i="12" s="1"/>
  <c r="J175" i="12" s="1"/>
  <c r="W175" i="12"/>
  <c r="X175" i="12" s="1"/>
  <c r="Y175" i="12" s="1"/>
  <c r="Z175" i="12" s="1"/>
  <c r="AA175" i="12"/>
  <c r="AB175" i="12" s="1"/>
  <c r="AC175" i="12" s="1"/>
  <c r="AD175" i="12" s="1"/>
  <c r="C176" i="12"/>
  <c r="G176" i="12"/>
  <c r="H176" i="12" s="1"/>
  <c r="I176" i="12" s="1"/>
  <c r="J176" i="12" s="1"/>
  <c r="W176" i="12"/>
  <c r="X176" i="12" s="1"/>
  <c r="Y176" i="12" s="1"/>
  <c r="Z176" i="12" s="1"/>
  <c r="AA176" i="12"/>
  <c r="AB176" i="12" s="1"/>
  <c r="AC176" i="12" s="1"/>
  <c r="AD176" i="12" s="1"/>
  <c r="C177" i="12"/>
  <c r="G177" i="12"/>
  <c r="H177" i="12" s="1"/>
  <c r="I177" i="12" s="1"/>
  <c r="J177" i="12" s="1"/>
  <c r="W177" i="12"/>
  <c r="X177" i="12" s="1"/>
  <c r="Y177" i="12" s="1"/>
  <c r="Z177" i="12" s="1"/>
  <c r="AA177" i="12"/>
  <c r="AB177" i="12" s="1"/>
  <c r="AC177" i="12" s="1"/>
  <c r="AD177" i="12" s="1"/>
  <c r="C178" i="12"/>
  <c r="G178" i="12"/>
  <c r="H178" i="12" s="1"/>
  <c r="I178" i="12" s="1"/>
  <c r="J178" i="12" s="1"/>
  <c r="W178" i="12"/>
  <c r="X178" i="12" s="1"/>
  <c r="Y178" i="12" s="1"/>
  <c r="Z178" i="12" s="1"/>
  <c r="AA178" i="12"/>
  <c r="AB178" i="12" s="1"/>
  <c r="AC178" i="12" s="1"/>
  <c r="AD178" i="12" s="1"/>
  <c r="C179" i="12"/>
  <c r="G179" i="12"/>
  <c r="H179" i="12" s="1"/>
  <c r="I179" i="12" s="1"/>
  <c r="J179" i="12" s="1"/>
  <c r="W179" i="12"/>
  <c r="X179" i="12" s="1"/>
  <c r="Y179" i="12" s="1"/>
  <c r="Z179" i="12" s="1"/>
  <c r="AA179" i="12"/>
  <c r="AB179" i="12" s="1"/>
  <c r="AC179" i="12" s="1"/>
  <c r="AD179" i="12" s="1"/>
  <c r="C180" i="12"/>
  <c r="G180" i="12"/>
  <c r="H180" i="12" s="1"/>
  <c r="I180" i="12" s="1"/>
  <c r="J180" i="12" s="1"/>
  <c r="W180" i="12"/>
  <c r="X180" i="12" s="1"/>
  <c r="Y180" i="12" s="1"/>
  <c r="Z180" i="12" s="1"/>
  <c r="AA180" i="12"/>
  <c r="AB180" i="12" s="1"/>
  <c r="AC180" i="12" s="1"/>
  <c r="AD180" i="12" s="1"/>
  <c r="C181" i="12"/>
  <c r="G181" i="12"/>
  <c r="H181" i="12" s="1"/>
  <c r="I181" i="12" s="1"/>
  <c r="J181" i="12" s="1"/>
  <c r="W181" i="12"/>
  <c r="X181" i="12" s="1"/>
  <c r="Y181" i="12" s="1"/>
  <c r="Z181" i="12" s="1"/>
  <c r="AA181" i="12"/>
  <c r="AB181" i="12" s="1"/>
  <c r="AC181" i="12" s="1"/>
  <c r="AD181" i="12" s="1"/>
  <c r="C182" i="12"/>
  <c r="G182" i="12"/>
  <c r="H182" i="12" s="1"/>
  <c r="I182" i="12" s="1"/>
  <c r="J182" i="12" s="1"/>
  <c r="W182" i="12"/>
  <c r="X182" i="12" s="1"/>
  <c r="Y182" i="12" s="1"/>
  <c r="Z182" i="12" s="1"/>
  <c r="AA182" i="12"/>
  <c r="AB182" i="12" s="1"/>
  <c r="AC182" i="12" s="1"/>
  <c r="AD182" i="12" s="1"/>
  <c r="C183" i="12"/>
  <c r="G183" i="12"/>
  <c r="H183" i="12" s="1"/>
  <c r="I183" i="12" s="1"/>
  <c r="J183" i="12" s="1"/>
  <c r="W183" i="12"/>
  <c r="X183" i="12" s="1"/>
  <c r="Y183" i="12" s="1"/>
  <c r="Z183" i="12" s="1"/>
  <c r="AA183" i="12"/>
  <c r="AB183" i="12" s="1"/>
  <c r="AC183" i="12" s="1"/>
  <c r="AD183" i="12" s="1"/>
  <c r="C184" i="12"/>
  <c r="C185" i="12"/>
  <c r="C186" i="12"/>
  <c r="C188" i="12"/>
  <c r="G188" i="12"/>
  <c r="W188" i="12"/>
  <c r="X188" i="12" s="1"/>
  <c r="Y188" i="12" s="1"/>
  <c r="Z188" i="12" s="1"/>
  <c r="AA188" i="12"/>
  <c r="AB188" i="12" s="1"/>
  <c r="AC188" i="12" s="1"/>
  <c r="AD188" i="12" s="1"/>
  <c r="C189" i="12"/>
  <c r="G189" i="12"/>
  <c r="H189" i="12" s="1"/>
  <c r="I189" i="12" s="1"/>
  <c r="J189" i="12" s="1"/>
  <c r="W189" i="12"/>
  <c r="AA189" i="12"/>
  <c r="AB189" i="12" s="1"/>
  <c r="AC189" i="12" s="1"/>
  <c r="AD189" i="12" s="1"/>
  <c r="C190" i="12"/>
  <c r="G190" i="12"/>
  <c r="H190" i="12" s="1"/>
  <c r="I190" i="12" s="1"/>
  <c r="J190" i="12" s="1"/>
  <c r="W190" i="12"/>
  <c r="X190" i="12" s="1"/>
  <c r="Y190" i="12" s="1"/>
  <c r="Z190" i="12" s="1"/>
  <c r="AA190" i="12"/>
  <c r="AB190" i="12" s="1"/>
  <c r="AC190" i="12" s="1"/>
  <c r="AD190" i="12" s="1"/>
  <c r="C191" i="12"/>
  <c r="C192" i="12"/>
  <c r="C194" i="12"/>
  <c r="G194" i="12"/>
  <c r="H194" i="12" s="1"/>
  <c r="I194" i="12" s="1"/>
  <c r="J194" i="12" s="1"/>
  <c r="W194" i="12"/>
  <c r="X194" i="12" s="1"/>
  <c r="AA194" i="12"/>
  <c r="C195" i="12"/>
  <c r="G195" i="12"/>
  <c r="W195" i="12"/>
  <c r="X195" i="12" s="1"/>
  <c r="Y195" i="12" s="1"/>
  <c r="Z195" i="12" s="1"/>
  <c r="AA195" i="12"/>
  <c r="AB195" i="12" s="1"/>
  <c r="AC195" i="12" s="1"/>
  <c r="AD195" i="12" s="1"/>
  <c r="C196" i="12"/>
  <c r="G196" i="12"/>
  <c r="H196" i="12" s="1"/>
  <c r="I196" i="12" s="1"/>
  <c r="J196" i="12" s="1"/>
  <c r="W196" i="12"/>
  <c r="X196" i="12" s="1"/>
  <c r="Y196" i="12" s="1"/>
  <c r="Z196" i="12" s="1"/>
  <c r="AA196" i="12"/>
  <c r="AB196" i="12" s="1"/>
  <c r="AC196" i="12" s="1"/>
  <c r="AD196" i="12" s="1"/>
  <c r="C197" i="12"/>
  <c r="C198" i="12"/>
  <c r="C199" i="12"/>
  <c r="C204" i="12"/>
  <c r="C11" i="1" s="1"/>
  <c r="J204" i="12"/>
  <c r="W204" i="12"/>
  <c r="X204" i="12"/>
  <c r="Y204" i="12"/>
  <c r="Z204" i="12"/>
  <c r="AH204" i="12" s="1"/>
  <c r="AA204" i="12"/>
  <c r="AB204" i="12"/>
  <c r="AC204" i="12"/>
  <c r="AD204" i="12"/>
  <c r="C205" i="12"/>
  <c r="C12" i="1" s="1"/>
  <c r="J205" i="12"/>
  <c r="W205" i="12"/>
  <c r="X205" i="12"/>
  <c r="Y205" i="12"/>
  <c r="Z205" i="12"/>
  <c r="AH205" i="12" s="1"/>
  <c r="AA205" i="12"/>
  <c r="AB205" i="12"/>
  <c r="AC205" i="12"/>
  <c r="AD205" i="12"/>
  <c r="C206" i="12"/>
  <c r="C13" i="1" s="1"/>
  <c r="J206" i="12"/>
  <c r="W206" i="12"/>
  <c r="X206" i="12"/>
  <c r="Y206" i="12"/>
  <c r="Z206" i="12"/>
  <c r="AH206" i="12" s="1"/>
  <c r="AA206" i="12"/>
  <c r="AB206" i="12"/>
  <c r="AC206" i="12"/>
  <c r="AD206" i="12"/>
  <c r="C207" i="12"/>
  <c r="C14" i="1" s="1"/>
  <c r="J207" i="12"/>
  <c r="W207" i="12"/>
  <c r="X207" i="12"/>
  <c r="Y207" i="12"/>
  <c r="Z207" i="12"/>
  <c r="AH207" i="12" s="1"/>
  <c r="AA207" i="12"/>
  <c r="AB207" i="12"/>
  <c r="AC207" i="12"/>
  <c r="AD207" i="12"/>
  <c r="C208" i="12"/>
  <c r="C15" i="1" s="1"/>
  <c r="J208" i="12"/>
  <c r="W208" i="12"/>
  <c r="X208" i="12"/>
  <c r="Y208" i="12"/>
  <c r="Z208" i="12"/>
  <c r="AH208" i="12" s="1"/>
  <c r="AA208" i="12"/>
  <c r="AB208" i="12"/>
  <c r="AC208" i="12"/>
  <c r="AD208" i="12"/>
  <c r="C209" i="12"/>
  <c r="C16" i="1" s="1"/>
  <c r="J209" i="12"/>
  <c r="W209" i="12"/>
  <c r="X209" i="12"/>
  <c r="Y209" i="12"/>
  <c r="Z209" i="12"/>
  <c r="AH209" i="12" s="1"/>
  <c r="AA209" i="12"/>
  <c r="AB209" i="12"/>
  <c r="AC209" i="12"/>
  <c r="AD209" i="12"/>
  <c r="C210" i="12"/>
  <c r="C17" i="1" s="1"/>
  <c r="C211" i="12"/>
  <c r="C18" i="1" s="1"/>
  <c r="C213" i="12"/>
  <c r="C20" i="1" s="1"/>
  <c r="J213" i="12"/>
  <c r="W213" i="12"/>
  <c r="X213" i="12"/>
  <c r="Y213" i="12"/>
  <c r="Z213" i="12"/>
  <c r="AH213" i="12" s="1"/>
  <c r="AA213" i="12"/>
  <c r="AB213" i="12"/>
  <c r="AC213" i="12"/>
  <c r="AD213" i="12"/>
  <c r="C214" i="12"/>
  <c r="C21" i="1" s="1"/>
  <c r="J214" i="12"/>
  <c r="W214" i="12"/>
  <c r="X214" i="12"/>
  <c r="Y214" i="12"/>
  <c r="Z214" i="12"/>
  <c r="AH214" i="12" s="1"/>
  <c r="AA214" i="12"/>
  <c r="AB214" i="12"/>
  <c r="AC214" i="12"/>
  <c r="AD214" i="12"/>
  <c r="C215" i="12"/>
  <c r="C22" i="1" s="1"/>
  <c r="J215" i="12"/>
  <c r="W215" i="12"/>
  <c r="X215" i="12"/>
  <c r="Y215" i="12"/>
  <c r="Z215" i="12"/>
  <c r="AH215" i="12" s="1"/>
  <c r="AA215" i="12"/>
  <c r="AB215" i="12"/>
  <c r="AC215" i="12"/>
  <c r="AD215" i="12"/>
  <c r="C216" i="12"/>
  <c r="C23" i="1" s="1"/>
  <c r="J216" i="12"/>
  <c r="W216" i="12"/>
  <c r="X216" i="12"/>
  <c r="Y216" i="12"/>
  <c r="Z216" i="12"/>
  <c r="AH216" i="12" s="1"/>
  <c r="AA216" i="12"/>
  <c r="AB216" i="12"/>
  <c r="AC216" i="12"/>
  <c r="AD216" i="12"/>
  <c r="C217" i="12"/>
  <c r="C24" i="1" s="1"/>
  <c r="J217" i="12"/>
  <c r="W217" i="12"/>
  <c r="X217" i="12"/>
  <c r="Y217" i="12"/>
  <c r="Z217" i="12"/>
  <c r="AH217" i="12" s="1"/>
  <c r="AA217" i="12"/>
  <c r="AB217" i="12"/>
  <c r="AC217" i="12"/>
  <c r="AD217" i="12"/>
  <c r="C218" i="12"/>
  <c r="C25" i="1" s="1"/>
  <c r="J218" i="12"/>
  <c r="W218" i="12"/>
  <c r="X218" i="12"/>
  <c r="Y218" i="12"/>
  <c r="Z218" i="12"/>
  <c r="AH218" i="12" s="1"/>
  <c r="AA218" i="12"/>
  <c r="AB218" i="12"/>
  <c r="AC218" i="12"/>
  <c r="AD218" i="12"/>
  <c r="C219" i="12"/>
  <c r="C26" i="1" s="1"/>
  <c r="C220" i="12"/>
  <c r="C27" i="1" s="1"/>
  <c r="C221" i="12"/>
  <c r="C28" i="1" s="1"/>
  <c r="C223" i="12"/>
  <c r="C30" i="1" s="1"/>
  <c r="J223" i="12"/>
  <c r="W223" i="12"/>
  <c r="X223" i="12"/>
  <c r="Y223" i="12"/>
  <c r="Z223" i="12"/>
  <c r="AH223" i="12" s="1"/>
  <c r="AA223" i="12"/>
  <c r="AB223" i="12"/>
  <c r="AC223" i="12"/>
  <c r="AD223" i="12"/>
  <c r="C224" i="12"/>
  <c r="C31" i="1" s="1"/>
  <c r="J224" i="12"/>
  <c r="W224" i="12"/>
  <c r="X224" i="12"/>
  <c r="Y224" i="12"/>
  <c r="Z224" i="12"/>
  <c r="AH224" i="12" s="1"/>
  <c r="AA224" i="12"/>
  <c r="AB224" i="12"/>
  <c r="AC224" i="12"/>
  <c r="AD224" i="12"/>
  <c r="C225" i="12"/>
  <c r="C32" i="1" s="1"/>
  <c r="J225" i="12"/>
  <c r="W225" i="12"/>
  <c r="X225" i="12"/>
  <c r="Y225" i="12"/>
  <c r="Z225" i="12"/>
  <c r="AH225" i="12" s="1"/>
  <c r="AA225" i="12"/>
  <c r="AB225" i="12"/>
  <c r="AC225" i="12"/>
  <c r="AD225" i="12"/>
  <c r="C226" i="12"/>
  <c r="C33" i="1" s="1"/>
  <c r="J226" i="12"/>
  <c r="W226" i="12"/>
  <c r="X226" i="12"/>
  <c r="Y226" i="12"/>
  <c r="Z226" i="12"/>
  <c r="AH226" i="12" s="1"/>
  <c r="AA226" i="12"/>
  <c r="AB226" i="12"/>
  <c r="AC226" i="12"/>
  <c r="AD226" i="12"/>
  <c r="C227" i="12"/>
  <c r="C34" i="1" s="1"/>
  <c r="J227" i="12"/>
  <c r="W227" i="12"/>
  <c r="X227" i="12"/>
  <c r="Y227" i="12"/>
  <c r="Z227" i="12"/>
  <c r="AH227" i="12" s="1"/>
  <c r="AA227" i="12"/>
  <c r="AB227" i="12"/>
  <c r="AC227" i="12"/>
  <c r="AD227" i="12"/>
  <c r="C228" i="12"/>
  <c r="J228" i="12"/>
  <c r="J251" i="12" s="1"/>
  <c r="W228" i="12"/>
  <c r="W251" i="12" s="1"/>
  <c r="X228" i="12"/>
  <c r="X251" i="12" s="1"/>
  <c r="Y228" i="12"/>
  <c r="Y251" i="12" s="1"/>
  <c r="Z228" i="12"/>
  <c r="Z251" i="12" s="1"/>
  <c r="AA228" i="12"/>
  <c r="AA251" i="12" s="1"/>
  <c r="AB228" i="12"/>
  <c r="AB251" i="12" s="1"/>
  <c r="AC228" i="12"/>
  <c r="AC251" i="12" s="1"/>
  <c r="AD228" i="12"/>
  <c r="AD251" i="12" s="1"/>
  <c r="C229" i="12"/>
  <c r="J229" i="12"/>
  <c r="J252" i="12" s="1"/>
  <c r="W229" i="12"/>
  <c r="W252" i="12" s="1"/>
  <c r="X229" i="12"/>
  <c r="X252" i="12" s="1"/>
  <c r="Y229" i="12"/>
  <c r="Y252" i="12" s="1"/>
  <c r="Z229" i="12"/>
  <c r="Z252" i="12" s="1"/>
  <c r="AA229" i="12"/>
  <c r="AA252" i="12" s="1"/>
  <c r="AB229" i="12"/>
  <c r="AB252" i="12" s="1"/>
  <c r="AC229" i="12"/>
  <c r="AC252" i="12" s="1"/>
  <c r="AD229" i="12"/>
  <c r="AD252" i="12" s="1"/>
  <c r="C230" i="12"/>
  <c r="J230" i="12"/>
  <c r="W230" i="12"/>
  <c r="X230" i="12"/>
  <c r="Y230" i="12"/>
  <c r="Z230" i="12"/>
  <c r="AH230" i="12" s="1"/>
  <c r="AA230" i="12"/>
  <c r="AB230" i="12"/>
  <c r="AC230" i="12"/>
  <c r="AD230" i="12"/>
  <c r="C231" i="12"/>
  <c r="C232" i="12"/>
  <c r="C233" i="12"/>
  <c r="C235" i="12"/>
  <c r="J235" i="12"/>
  <c r="J250" i="12" s="1"/>
  <c r="W235" i="12"/>
  <c r="W250" i="12" s="1"/>
  <c r="X235" i="12"/>
  <c r="X250" i="12" s="1"/>
  <c r="Y235" i="12"/>
  <c r="Y250" i="12" s="1"/>
  <c r="Z235" i="12"/>
  <c r="Z250" i="12" s="1"/>
  <c r="AA235" i="12"/>
  <c r="AA250" i="12" s="1"/>
  <c r="AB235" i="12"/>
  <c r="AB250" i="12" s="1"/>
  <c r="AC235" i="12"/>
  <c r="AC250" i="12" s="1"/>
  <c r="AD235" i="12"/>
  <c r="AD250" i="12" s="1"/>
  <c r="C236" i="12"/>
  <c r="J236" i="12"/>
  <c r="W236" i="12"/>
  <c r="X236" i="12"/>
  <c r="Y236" i="12"/>
  <c r="Z236" i="12"/>
  <c r="AH236" i="12" s="1"/>
  <c r="AA236" i="12"/>
  <c r="AB236" i="12"/>
  <c r="AC236" i="12"/>
  <c r="AD236" i="12"/>
  <c r="C237" i="12"/>
  <c r="C238" i="12"/>
  <c r="C239" i="12"/>
  <c r="C241" i="12"/>
  <c r="J241" i="12"/>
  <c r="J249" i="12" s="1"/>
  <c r="W241" i="12"/>
  <c r="W249" i="12" s="1"/>
  <c r="X241" i="12"/>
  <c r="X249" i="12" s="1"/>
  <c r="Y241" i="12"/>
  <c r="Y249" i="12" s="1"/>
  <c r="Z241" i="12"/>
  <c r="Z249" i="12" s="1"/>
  <c r="AA241" i="12"/>
  <c r="AA249" i="12" s="1"/>
  <c r="AB241" i="12"/>
  <c r="AC241" i="12"/>
  <c r="AD241" i="12"/>
  <c r="AD249" i="12" s="1"/>
  <c r="C242" i="12"/>
  <c r="C244" i="12"/>
  <c r="C245" i="12"/>
  <c r="C246" i="12"/>
  <c r="C248" i="12"/>
  <c r="C251" i="12"/>
  <c r="C253" i="12"/>
  <c r="C18" i="3" s="1"/>
  <c r="C254" i="12"/>
  <c r="C37" i="1" s="1"/>
  <c r="C255" i="12"/>
  <c r="C38" i="1" s="1"/>
  <c r="C257" i="12"/>
  <c r="D21" i="3" s="1"/>
  <c r="J257" i="12"/>
  <c r="W257" i="12"/>
  <c r="X257" i="12"/>
  <c r="Y257" i="12"/>
  <c r="Z257" i="12"/>
  <c r="AH257" i="12" s="1"/>
  <c r="AA257" i="12"/>
  <c r="AB257" i="12"/>
  <c r="AC257" i="12"/>
  <c r="AD257" i="12"/>
  <c r="C258" i="12"/>
  <c r="D22" i="3" s="1"/>
  <c r="J258" i="12"/>
  <c r="W258" i="12"/>
  <c r="X258" i="12"/>
  <c r="Y258" i="12"/>
  <c r="Z258" i="12"/>
  <c r="AH258" i="12" s="1"/>
  <c r="AA258" i="12"/>
  <c r="AB258" i="12"/>
  <c r="AC258" i="12"/>
  <c r="AD258" i="12"/>
  <c r="C259" i="12"/>
  <c r="D23" i="3" s="1"/>
  <c r="J259" i="12"/>
  <c r="W259" i="12"/>
  <c r="X259" i="12"/>
  <c r="Y259" i="12"/>
  <c r="Z259" i="12"/>
  <c r="AH259" i="12" s="1"/>
  <c r="AA259" i="12"/>
  <c r="AB259" i="12"/>
  <c r="AC259" i="12"/>
  <c r="AD259" i="12"/>
  <c r="C260" i="12"/>
  <c r="D24" i="3" s="1"/>
  <c r="J260" i="12"/>
  <c r="W260" i="12"/>
  <c r="X260" i="12"/>
  <c r="Y260" i="12"/>
  <c r="Z260" i="12"/>
  <c r="AH260" i="12" s="1"/>
  <c r="AA260" i="12"/>
  <c r="AB260" i="12"/>
  <c r="AC260" i="12"/>
  <c r="AD260" i="12"/>
  <c r="C261" i="12"/>
  <c r="D25" i="3" s="1"/>
  <c r="J261" i="12"/>
  <c r="W261" i="12"/>
  <c r="X261" i="12"/>
  <c r="Y261" i="12"/>
  <c r="Z261" i="12"/>
  <c r="AH261" i="12" s="1"/>
  <c r="AA261" i="12"/>
  <c r="AB261" i="12"/>
  <c r="AC261" i="12"/>
  <c r="AD261" i="12"/>
  <c r="C262" i="12"/>
  <c r="D26" i="3" s="1"/>
  <c r="J262" i="12"/>
  <c r="W262" i="12"/>
  <c r="X262" i="12"/>
  <c r="Y262" i="12"/>
  <c r="Z262" i="12"/>
  <c r="AH262" i="12" s="1"/>
  <c r="AA262" i="12"/>
  <c r="AB262" i="12"/>
  <c r="AC262" i="12"/>
  <c r="AD262" i="12"/>
  <c r="C263" i="12"/>
  <c r="D27" i="3" s="1"/>
  <c r="J263" i="12"/>
  <c r="W263" i="12"/>
  <c r="X263" i="12"/>
  <c r="Y263" i="12"/>
  <c r="Z263" i="12"/>
  <c r="AH263" i="12" s="1"/>
  <c r="AA263" i="12"/>
  <c r="AB263" i="12"/>
  <c r="AC263" i="12"/>
  <c r="AD263" i="12"/>
  <c r="C264" i="12"/>
  <c r="D28" i="3" s="1"/>
  <c r="J264" i="12"/>
  <c r="W264" i="12"/>
  <c r="X264" i="12"/>
  <c r="Y264" i="12"/>
  <c r="Z264" i="12"/>
  <c r="AH264" i="12" s="1"/>
  <c r="AA264" i="12"/>
  <c r="AB264" i="12"/>
  <c r="AC264" i="12"/>
  <c r="AD264" i="12"/>
  <c r="C265" i="12"/>
  <c r="D29" i="3" s="1"/>
  <c r="J265" i="12"/>
  <c r="W265" i="12"/>
  <c r="X265" i="12"/>
  <c r="Y265" i="12"/>
  <c r="Z265" i="12"/>
  <c r="AH265" i="12" s="1"/>
  <c r="AA265" i="12"/>
  <c r="AB265" i="12"/>
  <c r="AC265" i="12"/>
  <c r="AD265" i="12"/>
  <c r="C266" i="12"/>
  <c r="D30" i="3" s="1"/>
  <c r="J266" i="12"/>
  <c r="W266" i="12"/>
  <c r="X266" i="12"/>
  <c r="Y266" i="12"/>
  <c r="Z266" i="12"/>
  <c r="AH266" i="12" s="1"/>
  <c r="AA266" i="12"/>
  <c r="AB266" i="12"/>
  <c r="AC266" i="12"/>
  <c r="AD266" i="12"/>
  <c r="C267" i="12"/>
  <c r="C33" i="3" s="1"/>
  <c r="C268" i="12"/>
  <c r="C269" i="12"/>
  <c r="C271" i="12"/>
  <c r="D36" i="3" s="1"/>
  <c r="J271" i="12"/>
  <c r="W271" i="12"/>
  <c r="X271" i="12"/>
  <c r="Y271" i="12"/>
  <c r="Z271" i="12"/>
  <c r="AH271" i="12" s="1"/>
  <c r="AA271" i="12"/>
  <c r="AB271" i="12"/>
  <c r="AC271" i="12"/>
  <c r="AD271" i="12"/>
  <c r="C272" i="12"/>
  <c r="D37" i="3" s="1"/>
  <c r="J272" i="12"/>
  <c r="W272" i="12"/>
  <c r="X272" i="12"/>
  <c r="Y272" i="12"/>
  <c r="Z272" i="12"/>
  <c r="AH272" i="12" s="1"/>
  <c r="AA272" i="12"/>
  <c r="AB272" i="12"/>
  <c r="AC272" i="12"/>
  <c r="AD272" i="12"/>
  <c r="C273" i="12"/>
  <c r="D38" i="3" s="1"/>
  <c r="J273" i="12"/>
  <c r="W273" i="12"/>
  <c r="X273" i="12"/>
  <c r="Y273" i="12"/>
  <c r="Z273" i="12"/>
  <c r="AH273" i="12" s="1"/>
  <c r="AA273" i="12"/>
  <c r="AB273" i="12"/>
  <c r="AC273" i="12"/>
  <c r="AD273" i="12"/>
  <c r="C274" i="12"/>
  <c r="D39" i="3" s="1"/>
  <c r="J274" i="12"/>
  <c r="W274" i="12"/>
  <c r="X274" i="12"/>
  <c r="Y274" i="12"/>
  <c r="Z274" i="12"/>
  <c r="AH274" i="12" s="1"/>
  <c r="AA274" i="12"/>
  <c r="AB274" i="12"/>
  <c r="AC274" i="12"/>
  <c r="AD274" i="12"/>
  <c r="C275" i="12"/>
  <c r="D40" i="3" s="1"/>
  <c r="J275" i="12"/>
  <c r="W275" i="12"/>
  <c r="X275" i="12"/>
  <c r="Y275" i="12"/>
  <c r="Z275" i="12"/>
  <c r="AH275" i="12" s="1"/>
  <c r="AA275" i="12"/>
  <c r="AB275" i="12"/>
  <c r="AC275" i="12"/>
  <c r="AD275" i="12"/>
  <c r="C276" i="12"/>
  <c r="D41" i="3" s="1"/>
  <c r="J276" i="12"/>
  <c r="W276" i="12"/>
  <c r="X276" i="12"/>
  <c r="Y276" i="12"/>
  <c r="Z276" i="12"/>
  <c r="AH276" i="12" s="1"/>
  <c r="AA276" i="12"/>
  <c r="AB276" i="12"/>
  <c r="AC276" i="12"/>
  <c r="AD276" i="12"/>
  <c r="C277" i="12"/>
  <c r="D42" i="3" s="1"/>
  <c r="J277" i="12"/>
  <c r="W277" i="12"/>
  <c r="X277" i="12"/>
  <c r="Y277" i="12"/>
  <c r="Z277" i="12"/>
  <c r="AH277" i="12" s="1"/>
  <c r="AA277" i="12"/>
  <c r="AB277" i="12"/>
  <c r="AC277" i="12"/>
  <c r="AD277" i="12"/>
  <c r="C278" i="12"/>
  <c r="D43" i="3" s="1"/>
  <c r="J278" i="12"/>
  <c r="W278" i="12"/>
  <c r="X278" i="12"/>
  <c r="Y278" i="12"/>
  <c r="Z278" i="12"/>
  <c r="AH278" i="12" s="1"/>
  <c r="AA278" i="12"/>
  <c r="AB278" i="12"/>
  <c r="AC278" i="12"/>
  <c r="AD278" i="12"/>
  <c r="C279" i="12"/>
  <c r="D44" i="3" s="1"/>
  <c r="J279" i="12"/>
  <c r="W279" i="12"/>
  <c r="X279" i="12"/>
  <c r="Y279" i="12"/>
  <c r="Z279" i="12"/>
  <c r="AH279" i="12" s="1"/>
  <c r="AA279" i="12"/>
  <c r="AB279" i="12"/>
  <c r="AC279" i="12"/>
  <c r="AD279" i="12"/>
  <c r="C280" i="12"/>
  <c r="D45" i="3" s="1"/>
  <c r="J280" i="12"/>
  <c r="W280" i="12"/>
  <c r="X280" i="12"/>
  <c r="Y280" i="12"/>
  <c r="Z280" i="12"/>
  <c r="AH280" i="12" s="1"/>
  <c r="AA280" i="12"/>
  <c r="AB280" i="12"/>
  <c r="AC280" i="12"/>
  <c r="AD280" i="12"/>
  <c r="C281" i="12"/>
  <c r="C48" i="3" s="1"/>
  <c r="C282" i="12"/>
  <c r="C42" i="1" s="1"/>
  <c r="C283" i="12"/>
  <c r="C43" i="1" s="1"/>
  <c r="C285" i="12"/>
  <c r="J285" i="12"/>
  <c r="W285" i="12"/>
  <c r="X285" i="12"/>
  <c r="Y285" i="12"/>
  <c r="Z285" i="12"/>
  <c r="AH285" i="12" s="1"/>
  <c r="AA285" i="12"/>
  <c r="AB285" i="12"/>
  <c r="AC285" i="12"/>
  <c r="AD285" i="12"/>
  <c r="C286" i="12"/>
  <c r="C46" i="1" s="1"/>
  <c r="J286" i="12"/>
  <c r="W286" i="12"/>
  <c r="X286" i="12"/>
  <c r="Y286" i="12"/>
  <c r="Z286" i="12"/>
  <c r="AH286" i="12" s="1"/>
  <c r="AA286" i="12"/>
  <c r="AB286" i="12"/>
  <c r="AC286" i="12"/>
  <c r="AD286" i="12"/>
  <c r="C287" i="12"/>
  <c r="C47" i="1" s="1"/>
  <c r="J287" i="12"/>
  <c r="W287" i="12"/>
  <c r="X287" i="12"/>
  <c r="Y287" i="12"/>
  <c r="Z287" i="12"/>
  <c r="AH287" i="12" s="1"/>
  <c r="AA287" i="12"/>
  <c r="AB287" i="12"/>
  <c r="AC287" i="12"/>
  <c r="AD287" i="12"/>
  <c r="C288" i="12"/>
  <c r="C48" i="1" s="1"/>
  <c r="C289" i="12"/>
  <c r="C49" i="1" s="1"/>
  <c r="C291" i="12"/>
  <c r="J291" i="12"/>
  <c r="W291" i="12"/>
  <c r="X291" i="12"/>
  <c r="Y291" i="12"/>
  <c r="Z291" i="12"/>
  <c r="AH291" i="12" s="1"/>
  <c r="AA291" i="12"/>
  <c r="AB291" i="12"/>
  <c r="AC291" i="12"/>
  <c r="AD291" i="12"/>
  <c r="C292" i="12"/>
  <c r="J292" i="12"/>
  <c r="W292" i="12"/>
  <c r="X292" i="12"/>
  <c r="Y292" i="12"/>
  <c r="Z292" i="12"/>
  <c r="AH292" i="12" s="1"/>
  <c r="AA292" i="12"/>
  <c r="AB292" i="12"/>
  <c r="AC292" i="12"/>
  <c r="AD292" i="12"/>
  <c r="C293" i="12"/>
  <c r="J293" i="12"/>
  <c r="W293" i="12"/>
  <c r="X293" i="12"/>
  <c r="Y293" i="12"/>
  <c r="Z293" i="12"/>
  <c r="AH293" i="12" s="1"/>
  <c r="AA293" i="12"/>
  <c r="AB293" i="12"/>
  <c r="AC293" i="12"/>
  <c r="AD293" i="12"/>
  <c r="C294" i="12"/>
  <c r="C295" i="12"/>
  <c r="C296" i="12"/>
  <c r="G310" i="12"/>
  <c r="H310" i="12"/>
  <c r="I310" i="12"/>
  <c r="J310" i="12"/>
  <c r="W310" i="12"/>
  <c r="X310" i="12"/>
  <c r="Y310" i="12"/>
  <c r="Z310" i="12"/>
  <c r="AA310" i="12"/>
  <c r="AB310" i="12"/>
  <c r="AC310" i="12"/>
  <c r="AD310" i="12"/>
  <c r="AG310" i="12"/>
  <c r="AH310" i="12"/>
  <c r="G316" i="12"/>
  <c r="H316" i="12"/>
  <c r="I316" i="12"/>
  <c r="J316" i="12"/>
  <c r="W316" i="12"/>
  <c r="X316" i="12"/>
  <c r="Y316" i="12"/>
  <c r="Z316" i="12"/>
  <c r="AA316" i="12"/>
  <c r="AB316" i="12"/>
  <c r="AC316" i="12"/>
  <c r="AD316" i="12"/>
  <c r="AG316" i="12"/>
  <c r="AH316" i="12"/>
  <c r="C1" i="8"/>
  <c r="C3" i="8"/>
  <c r="C5" i="8"/>
  <c r="C8" i="8"/>
  <c r="H11" i="8"/>
  <c r="H12" i="8"/>
  <c r="H13" i="8"/>
  <c r="Q13" i="8"/>
  <c r="U13" i="8"/>
  <c r="F22" i="8"/>
  <c r="G22" i="8" s="1"/>
  <c r="H22" i="8" s="1"/>
  <c r="I22" i="8" s="1"/>
  <c r="J22" i="8" s="1"/>
  <c r="K22" i="8" s="1"/>
  <c r="P22" i="8"/>
  <c r="Q22" i="8" s="1"/>
  <c r="R22" i="8" s="1"/>
  <c r="S22" i="8" s="1"/>
  <c r="T22" i="8" s="1"/>
  <c r="U22" i="8" s="1"/>
  <c r="Z33" i="8"/>
  <c r="Z34" i="8"/>
  <c r="D24" i="8"/>
  <c r="D25" i="8" s="1"/>
  <c r="D26" i="8" s="1"/>
  <c r="D27" i="8" s="1"/>
  <c r="D28" i="8" s="1"/>
  <c r="D29" i="8" s="1"/>
  <c r="N24" i="8"/>
  <c r="N25" i="8" s="1"/>
  <c r="N26" i="8" s="1"/>
  <c r="N27" i="8" s="1"/>
  <c r="N28" i="8" s="1"/>
  <c r="N29" i="8" s="1"/>
  <c r="C1" i="6"/>
  <c r="Q2" i="6"/>
  <c r="P2" i="6" s="1"/>
  <c r="C3" i="6"/>
  <c r="C5" i="6"/>
  <c r="C7" i="6"/>
  <c r="K7" i="6"/>
  <c r="C24" i="6"/>
  <c r="K24" i="6"/>
  <c r="C43" i="6"/>
  <c r="C1" i="4"/>
  <c r="P2" i="4"/>
  <c r="P25" i="4" s="1"/>
  <c r="C3" i="4"/>
  <c r="C5" i="4"/>
  <c r="C25" i="4"/>
  <c r="C26" i="4"/>
  <c r="C27" i="4"/>
  <c r="C28" i="4"/>
  <c r="C29" i="4"/>
  <c r="C30" i="4"/>
  <c r="C32" i="4"/>
  <c r="C33" i="4"/>
  <c r="C34" i="4"/>
  <c r="C35" i="4"/>
  <c r="C36" i="4"/>
  <c r="C38" i="4"/>
  <c r="C39" i="4"/>
  <c r="C42" i="4"/>
  <c r="C43" i="4"/>
  <c r="C46" i="4"/>
  <c r="C48" i="4"/>
  <c r="C49" i="4"/>
  <c r="C50" i="4"/>
  <c r="C51" i="4"/>
  <c r="C1" i="3"/>
  <c r="J2" i="3"/>
  <c r="J9" i="3" s="1"/>
  <c r="K2" i="3"/>
  <c r="K9" i="3" s="1"/>
  <c r="L2" i="3"/>
  <c r="C3" i="3"/>
  <c r="C5" i="3"/>
  <c r="C9" i="3"/>
  <c r="C22" i="3"/>
  <c r="C23" i="3" s="1"/>
  <c r="C24" i="3" s="1"/>
  <c r="C25" i="3" s="1"/>
  <c r="C26" i="3" s="1"/>
  <c r="C27" i="3" s="1"/>
  <c r="C28" i="3" s="1"/>
  <c r="C29" i="3" s="1"/>
  <c r="C30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1" i="14"/>
  <c r="C3" i="14"/>
  <c r="C5" i="14"/>
  <c r="T49" i="14"/>
  <c r="T50" i="14" s="1"/>
  <c r="T51" i="14" s="1"/>
  <c r="T52" i="14" s="1"/>
  <c r="T53" i="14" s="1"/>
  <c r="C1" i="1"/>
  <c r="I2" i="1"/>
  <c r="J2" i="1"/>
  <c r="K2" i="1"/>
  <c r="C3" i="1"/>
  <c r="C5" i="1"/>
  <c r="C9" i="1"/>
  <c r="C1" i="10"/>
  <c r="I2" i="10"/>
  <c r="J2" i="10"/>
  <c r="T2" i="10" s="1"/>
  <c r="T9" i="10" s="1"/>
  <c r="C3" i="10"/>
  <c r="C5" i="10"/>
  <c r="C7" i="10"/>
  <c r="M7" i="10"/>
  <c r="K11" i="10"/>
  <c r="N11" i="10"/>
  <c r="O11" i="10"/>
  <c r="P11" i="10"/>
  <c r="K12" i="10"/>
  <c r="N12" i="10"/>
  <c r="O12" i="10"/>
  <c r="P12" i="10"/>
  <c r="K13" i="10"/>
  <c r="N13" i="10"/>
  <c r="O13" i="10"/>
  <c r="P13" i="10"/>
  <c r="K14" i="10"/>
  <c r="N14" i="10"/>
  <c r="O14" i="10"/>
  <c r="P14" i="10"/>
  <c r="K15" i="10"/>
  <c r="N15" i="10"/>
  <c r="O15" i="10"/>
  <c r="P15" i="10"/>
  <c r="K16" i="10"/>
  <c r="N16" i="10"/>
  <c r="O16" i="10"/>
  <c r="P16" i="10"/>
  <c r="K17" i="10"/>
  <c r="N17" i="10"/>
  <c r="O17" i="10"/>
  <c r="P17" i="10"/>
  <c r="K18" i="10"/>
  <c r="N18" i="10"/>
  <c r="O18" i="10"/>
  <c r="P18" i="10"/>
  <c r="K19" i="10"/>
  <c r="N19" i="10"/>
  <c r="O19" i="10"/>
  <c r="P19" i="10"/>
  <c r="K20" i="10"/>
  <c r="N20" i="10"/>
  <c r="O20" i="10"/>
  <c r="P20" i="10"/>
  <c r="G21" i="10"/>
  <c r="G23" i="10" s="1"/>
  <c r="H21" i="10"/>
  <c r="H23" i="10" s="1"/>
  <c r="I21" i="10"/>
  <c r="I23" i="10" s="1"/>
  <c r="J21" i="10"/>
  <c r="J23" i="10" s="1"/>
  <c r="T21" i="10"/>
  <c r="T23" i="10" s="1"/>
  <c r="N24" i="10"/>
  <c r="O24" i="10"/>
  <c r="P24" i="10"/>
  <c r="C1" i="9"/>
  <c r="I2" i="9"/>
  <c r="I9" i="9" s="1"/>
  <c r="J2" i="9"/>
  <c r="P2" i="9" s="1"/>
  <c r="P33" i="9" s="1"/>
  <c r="C3" i="9"/>
  <c r="C5" i="9"/>
  <c r="C7" i="9"/>
  <c r="G21" i="9"/>
  <c r="H21" i="9"/>
  <c r="I21" i="9"/>
  <c r="J21" i="9"/>
  <c r="M21" i="9"/>
  <c r="N21" i="9"/>
  <c r="O21" i="9"/>
  <c r="P21" i="9"/>
  <c r="T21" i="9"/>
  <c r="G31" i="9"/>
  <c r="M31" i="9"/>
  <c r="C35" i="9"/>
  <c r="H35" i="9"/>
  <c r="I35" i="9"/>
  <c r="J35" i="9"/>
  <c r="M35" i="9"/>
  <c r="N35" i="9"/>
  <c r="O35" i="9"/>
  <c r="P35" i="9"/>
  <c r="C36" i="9"/>
  <c r="H36" i="9"/>
  <c r="I36" i="9"/>
  <c r="J36" i="9"/>
  <c r="M36" i="9"/>
  <c r="N36" i="9"/>
  <c r="O36" i="9"/>
  <c r="P36" i="9"/>
  <c r="C37" i="9"/>
  <c r="H37" i="9"/>
  <c r="I37" i="9"/>
  <c r="J37" i="9"/>
  <c r="M37" i="9"/>
  <c r="N37" i="9"/>
  <c r="O37" i="9"/>
  <c r="P37" i="9"/>
  <c r="C38" i="9"/>
  <c r="H38" i="9"/>
  <c r="I38" i="9"/>
  <c r="J38" i="9"/>
  <c r="M38" i="9"/>
  <c r="N38" i="9"/>
  <c r="O38" i="9"/>
  <c r="P38" i="9"/>
  <c r="C39" i="9"/>
  <c r="H39" i="9"/>
  <c r="I39" i="9"/>
  <c r="J39" i="9"/>
  <c r="M39" i="9"/>
  <c r="N39" i="9"/>
  <c r="O39" i="9"/>
  <c r="P39" i="9"/>
  <c r="C40" i="9"/>
  <c r="H40" i="9"/>
  <c r="I40" i="9"/>
  <c r="J40" i="9"/>
  <c r="M40" i="9"/>
  <c r="N40" i="9"/>
  <c r="O40" i="9"/>
  <c r="P40" i="9"/>
  <c r="C41" i="9"/>
  <c r="H41" i="9"/>
  <c r="I41" i="9"/>
  <c r="J41" i="9"/>
  <c r="M41" i="9"/>
  <c r="N41" i="9"/>
  <c r="O41" i="9"/>
  <c r="P41" i="9"/>
  <c r="C42" i="9"/>
  <c r="H42" i="9"/>
  <c r="I42" i="9"/>
  <c r="J42" i="9"/>
  <c r="M42" i="9"/>
  <c r="N42" i="9"/>
  <c r="O42" i="9"/>
  <c r="P42" i="9"/>
  <c r="C43" i="9"/>
  <c r="H43" i="9"/>
  <c r="I43" i="9"/>
  <c r="J43" i="9"/>
  <c r="M43" i="9"/>
  <c r="N43" i="9"/>
  <c r="O43" i="9"/>
  <c r="P43" i="9"/>
  <c r="C44" i="9"/>
  <c r="H44" i="9"/>
  <c r="I44" i="9"/>
  <c r="J44" i="9"/>
  <c r="M44" i="9"/>
  <c r="N44" i="9"/>
  <c r="O44" i="9"/>
  <c r="P44" i="9"/>
  <c r="C45" i="9"/>
  <c r="C47" i="9"/>
  <c r="C48" i="9"/>
  <c r="C1" i="11"/>
  <c r="C3" i="11"/>
  <c r="C5" i="11"/>
  <c r="S52" i="11"/>
  <c r="C10" i="11" s="1"/>
  <c r="C31" i="11" s="1"/>
  <c r="S51" i="11"/>
  <c r="C42" i="11"/>
  <c r="M10" i="11" s="1"/>
  <c r="C11" i="11"/>
  <c r="S53" i="11"/>
  <c r="U56" i="11"/>
  <c r="S59" i="11"/>
  <c r="C12" i="11" s="1"/>
  <c r="J12" i="8" s="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P18" i="11"/>
  <c r="C27" i="11"/>
  <c r="Z52" i="11"/>
  <c r="Z56" i="11"/>
  <c r="Z59" i="11"/>
  <c r="C37" i="11"/>
  <c r="Z51" i="11"/>
  <c r="Z53" i="11"/>
  <c r="U54" i="11"/>
  <c r="Z54" i="11"/>
  <c r="U55" i="11"/>
  <c r="Z55" i="11"/>
  <c r="U57" i="11"/>
  <c r="Z57" i="11"/>
  <c r="U58" i="11"/>
  <c r="Z58" i="11"/>
  <c r="U60" i="11"/>
  <c r="Z60" i="11"/>
  <c r="S61" i="11"/>
  <c r="Z61" i="11"/>
  <c r="U62" i="11"/>
  <c r="Z62" i="11"/>
  <c r="S63" i="11"/>
  <c r="Z63" i="11"/>
  <c r="U64" i="11"/>
  <c r="Z64" i="11"/>
  <c r="S65" i="11"/>
  <c r="Z65" i="11"/>
  <c r="U66" i="11"/>
  <c r="Z66" i="11"/>
  <c r="S67" i="11"/>
  <c r="Z67" i="11"/>
  <c r="U68" i="11"/>
  <c r="Z68" i="11"/>
  <c r="S69" i="11"/>
  <c r="Z69" i="11"/>
  <c r="U70" i="11"/>
  <c r="U71" i="11"/>
  <c r="S288" i="12" l="1"/>
  <c r="N210" i="12"/>
  <c r="N303" i="12" s="1"/>
  <c r="C45" i="1"/>
  <c r="N288" i="12"/>
  <c r="N294" i="12" s="1"/>
  <c r="N295" i="12" s="1"/>
  <c r="K288" i="12"/>
  <c r="K294" i="12" s="1"/>
  <c r="K295" i="12" s="1"/>
  <c r="M210" i="12"/>
  <c r="M303" i="12" s="1"/>
  <c r="Q318" i="12"/>
  <c r="R210" i="12"/>
  <c r="R303" i="12" s="1"/>
  <c r="R318" i="12"/>
  <c r="L318" i="12"/>
  <c r="O318" i="12"/>
  <c r="K210" i="12"/>
  <c r="K303" i="12" s="1"/>
  <c r="L210" i="12"/>
  <c r="L303" i="12" s="1"/>
  <c r="C250" i="12"/>
  <c r="H45" i="9"/>
  <c r="S210" i="12"/>
  <c r="S219" i="12" s="1"/>
  <c r="T288" i="12"/>
  <c r="T294" i="12" s="1"/>
  <c r="T295" i="12" s="1"/>
  <c r="U288" i="12"/>
  <c r="U294" i="12" s="1"/>
  <c r="U295" i="12" s="1"/>
  <c r="V210" i="12"/>
  <c r="V219" i="12" s="1"/>
  <c r="V304" i="12" s="1"/>
  <c r="T318" i="12"/>
  <c r="U210" i="12"/>
  <c r="M45" i="9"/>
  <c r="M318" i="12"/>
  <c r="N45" i="9"/>
  <c r="S113" i="12"/>
  <c r="S122" i="12" s="1"/>
  <c r="P45" i="9"/>
  <c r="V95" i="12"/>
  <c r="O210" i="12"/>
  <c r="O303" i="12" s="1"/>
  <c r="P318" i="12"/>
  <c r="S318" i="12"/>
  <c r="R17" i="12"/>
  <c r="V251" i="12"/>
  <c r="C36" i="1"/>
  <c r="T17" i="12"/>
  <c r="N318" i="12"/>
  <c r="J45" i="9"/>
  <c r="T210" i="12"/>
  <c r="T219" i="12" s="1"/>
  <c r="T304" i="12" s="1"/>
  <c r="Q43" i="9"/>
  <c r="Q40" i="9"/>
  <c r="Q144" i="12"/>
  <c r="R144" i="12" s="1"/>
  <c r="P152" i="12"/>
  <c r="S26" i="12"/>
  <c r="S37" i="12"/>
  <c r="S43" i="12" s="1"/>
  <c r="U17" i="12"/>
  <c r="Q41" i="9"/>
  <c r="O152" i="12"/>
  <c r="K95" i="12"/>
  <c r="R95" i="12"/>
  <c r="L102" i="12"/>
  <c r="M102" i="12"/>
  <c r="Q39" i="9"/>
  <c r="Q36" i="9"/>
  <c r="O95" i="12"/>
  <c r="Q102" i="12"/>
  <c r="R102" i="12"/>
  <c r="N26" i="12"/>
  <c r="N37" i="12"/>
  <c r="N38" i="12" s="1"/>
  <c r="P210" i="12"/>
  <c r="P289" i="12" s="1"/>
  <c r="V288" i="12"/>
  <c r="V294" i="12" s="1"/>
  <c r="V295" i="12" s="1"/>
  <c r="T138" i="12"/>
  <c r="Q210" i="12"/>
  <c r="Q303" i="12" s="1"/>
  <c r="Q44" i="9"/>
  <c r="Q38" i="9"/>
  <c r="Q35" i="9"/>
  <c r="V17" i="12"/>
  <c r="T107" i="12"/>
  <c r="U107" i="12" s="1"/>
  <c r="K17" i="12"/>
  <c r="K155" i="12"/>
  <c r="M288" i="12"/>
  <c r="M294" i="12" s="1"/>
  <c r="M295" i="12" s="1"/>
  <c r="AF199" i="12"/>
  <c r="AH241" i="12"/>
  <c r="AH249" i="12" s="1"/>
  <c r="L17" i="12"/>
  <c r="N17" i="12"/>
  <c r="N95" i="12"/>
  <c r="L155" i="12"/>
  <c r="K191" i="12"/>
  <c r="K197" i="12" s="1"/>
  <c r="K198" i="12" s="1"/>
  <c r="AG199" i="12"/>
  <c r="M17" i="12"/>
  <c r="M25" i="12"/>
  <c r="M37" i="12" s="1"/>
  <c r="M38" i="12" s="1"/>
  <c r="O102" i="12"/>
  <c r="O191" i="12"/>
  <c r="O197" i="12" s="1"/>
  <c r="O198" i="12" s="1"/>
  <c r="U318" i="12"/>
  <c r="AH199" i="12"/>
  <c r="AH228" i="12"/>
  <c r="AH251" i="12" s="1"/>
  <c r="Q42" i="9"/>
  <c r="J102" i="12"/>
  <c r="P95" i="12"/>
  <c r="V100" i="12"/>
  <c r="V101" i="12" s="1"/>
  <c r="V102" i="12" s="1"/>
  <c r="S191" i="12"/>
  <c r="S197" i="12" s="1"/>
  <c r="S198" i="12" s="1"/>
  <c r="P191" i="12"/>
  <c r="P197" i="12" s="1"/>
  <c r="P198" i="12" s="1"/>
  <c r="V318" i="12"/>
  <c r="AG204" i="12"/>
  <c r="AG210" i="12" s="1"/>
  <c r="AG229" i="12"/>
  <c r="AG252" i="12" s="1"/>
  <c r="K14" i="11"/>
  <c r="K20" i="11" s="1"/>
  <c r="F20" i="11" s="1"/>
  <c r="AB153" i="12"/>
  <c r="R25" i="12"/>
  <c r="R26" i="12" s="1"/>
  <c r="Q95" i="12"/>
  <c r="L295" i="12"/>
  <c r="AH229" i="12"/>
  <c r="AH252" i="12" s="1"/>
  <c r="T25" i="12"/>
  <c r="T26" i="12" s="1"/>
  <c r="S102" i="12"/>
  <c r="AF318" i="12"/>
  <c r="T102" i="12"/>
  <c r="AG235" i="12"/>
  <c r="AG250" i="12" s="1"/>
  <c r="AG286" i="12"/>
  <c r="AG288" i="12" s="1"/>
  <c r="AG294" i="12" s="1"/>
  <c r="AG295" i="12" s="1"/>
  <c r="O45" i="9"/>
  <c r="K21" i="10"/>
  <c r="U102" i="12"/>
  <c r="AH235" i="12"/>
  <c r="AH250" i="12" s="1"/>
  <c r="AH124" i="12"/>
  <c r="AH123" i="12"/>
  <c r="AH134" i="12"/>
  <c r="AF134" i="12"/>
  <c r="AF123" i="12"/>
  <c r="AG124" i="12"/>
  <c r="AG123" i="12"/>
  <c r="AG134" i="12"/>
  <c r="AF192" i="12"/>
  <c r="AG114" i="12"/>
  <c r="AG192" i="12"/>
  <c r="AH114" i="12"/>
  <c r="AH192" i="12"/>
  <c r="Q26" i="12"/>
  <c r="Q37" i="12"/>
  <c r="P26" i="12"/>
  <c r="P37" i="12"/>
  <c r="L113" i="12"/>
  <c r="N113" i="12"/>
  <c r="Q107" i="12"/>
  <c r="P113" i="12"/>
  <c r="K37" i="12"/>
  <c r="K26" i="12"/>
  <c r="K27" i="12"/>
  <c r="O17" i="12"/>
  <c r="S95" i="12"/>
  <c r="K113" i="12"/>
  <c r="N132" i="12"/>
  <c r="N155" i="12" s="1"/>
  <c r="M155" i="12"/>
  <c r="P17" i="12"/>
  <c r="T95" i="12"/>
  <c r="M138" i="12"/>
  <c r="L153" i="12"/>
  <c r="Q17" i="12"/>
  <c r="U25" i="12"/>
  <c r="U95" i="12"/>
  <c r="M113" i="12"/>
  <c r="P132" i="12"/>
  <c r="Q138" i="12"/>
  <c r="P153" i="12"/>
  <c r="V25" i="12"/>
  <c r="N27" i="12"/>
  <c r="S17" i="12"/>
  <c r="K100" i="12"/>
  <c r="K101" i="12" s="1"/>
  <c r="K102" i="12" s="1"/>
  <c r="O113" i="12"/>
  <c r="P294" i="12"/>
  <c r="P295" i="12" s="1"/>
  <c r="N100" i="12"/>
  <c r="N101" i="12" s="1"/>
  <c r="N102" i="12" s="1"/>
  <c r="Q294" i="12"/>
  <c r="Q295" i="12" s="1"/>
  <c r="U144" i="12"/>
  <c r="T152" i="12"/>
  <c r="R188" i="12"/>
  <c r="R191" i="12" s="1"/>
  <c r="Q191" i="12"/>
  <c r="R294" i="12"/>
  <c r="R295" i="12" s="1"/>
  <c r="L25" i="12"/>
  <c r="P27" i="12" s="1"/>
  <c r="L95" i="12"/>
  <c r="P100" i="12"/>
  <c r="P101" i="12" s="1"/>
  <c r="P102" i="12" s="1"/>
  <c r="S294" i="12"/>
  <c r="S295" i="12" s="1"/>
  <c r="M95" i="12"/>
  <c r="T191" i="12"/>
  <c r="U188" i="12"/>
  <c r="V194" i="12"/>
  <c r="O25" i="12"/>
  <c r="S27" i="12" s="1"/>
  <c r="L131" i="12"/>
  <c r="M194" i="12"/>
  <c r="Q194" i="12"/>
  <c r="S249" i="12"/>
  <c r="O295" i="12"/>
  <c r="K318" i="12"/>
  <c r="L249" i="12"/>
  <c r="M249" i="12"/>
  <c r="S152" i="12"/>
  <c r="O249" i="12"/>
  <c r="P131" i="12"/>
  <c r="T132" i="12"/>
  <c r="L144" i="12"/>
  <c r="P249" i="12"/>
  <c r="R249" i="12"/>
  <c r="K153" i="12"/>
  <c r="T131" i="12"/>
  <c r="L188" i="12"/>
  <c r="T249" i="12"/>
  <c r="V249" i="12"/>
  <c r="O153" i="12"/>
  <c r="C249" i="12"/>
  <c r="G95" i="12"/>
  <c r="AF3" i="12"/>
  <c r="AF2" i="12" s="1"/>
  <c r="Z301" i="12"/>
  <c r="I102" i="12"/>
  <c r="H95" i="12"/>
  <c r="AG95" i="12"/>
  <c r="AA95" i="12"/>
  <c r="AF95" i="12"/>
  <c r="C252" i="12"/>
  <c r="AF102" i="12"/>
  <c r="AB318" i="12"/>
  <c r="W153" i="12"/>
  <c r="AF25" i="12"/>
  <c r="Y17" i="12"/>
  <c r="AC318" i="12"/>
  <c r="AB102" i="12"/>
  <c r="Z318" i="12"/>
  <c r="Y318" i="12"/>
  <c r="W288" i="12"/>
  <c r="W294" i="12" s="1"/>
  <c r="W295" i="12" s="1"/>
  <c r="X144" i="12"/>
  <c r="X152" i="12" s="1"/>
  <c r="AC102" i="12"/>
  <c r="AD210" i="12"/>
  <c r="AD303" i="12" s="1"/>
  <c r="AB288" i="12"/>
  <c r="AB294" i="12" s="1"/>
  <c r="AB295" i="12" s="1"/>
  <c r="G100" i="12"/>
  <c r="G101" i="12" s="1"/>
  <c r="G102" i="12" s="1"/>
  <c r="X288" i="12"/>
  <c r="X294" i="12" s="1"/>
  <c r="X295" i="12" s="1"/>
  <c r="AA318" i="12"/>
  <c r="AA113" i="12"/>
  <c r="I95" i="12"/>
  <c r="X102" i="12"/>
  <c r="AH95" i="12"/>
  <c r="W102" i="12"/>
  <c r="I318" i="12"/>
  <c r="AH318" i="12"/>
  <c r="AA191" i="12"/>
  <c r="AA197" i="12" s="1"/>
  <c r="AA198" i="12" s="1"/>
  <c r="W154" i="12"/>
  <c r="G38" i="12"/>
  <c r="G43" i="12"/>
  <c r="G44" i="12" s="1"/>
  <c r="AB37" i="12"/>
  <c r="AB38" i="12" s="1"/>
  <c r="AB26" i="12"/>
  <c r="AH100" i="12"/>
  <c r="AH101" i="12" s="1"/>
  <c r="AH102" i="12" s="1"/>
  <c r="AA288" i="12"/>
  <c r="X318" i="12"/>
  <c r="AA100" i="12"/>
  <c r="AA101" i="12" s="1"/>
  <c r="AA102" i="12" s="1"/>
  <c r="G318" i="12"/>
  <c r="Z210" i="12"/>
  <c r="Z219" i="12" s="1"/>
  <c r="J33" i="9"/>
  <c r="J9" i="9"/>
  <c r="Q43" i="6"/>
  <c r="AA3" i="12"/>
  <c r="G26" i="12"/>
  <c r="N23" i="10"/>
  <c r="J132" i="12"/>
  <c r="J155" i="12" s="1"/>
  <c r="I155" i="12"/>
  <c r="H43" i="12"/>
  <c r="H38" i="12"/>
  <c r="P46" i="4"/>
  <c r="O2" i="4"/>
  <c r="O25" i="4" s="1"/>
  <c r="H318" i="12"/>
  <c r="G154" i="12"/>
  <c r="J38" i="12"/>
  <c r="AD138" i="12"/>
  <c r="AG100" i="12"/>
  <c r="AG101" i="12" s="1"/>
  <c r="AG102" i="12" s="1"/>
  <c r="AD102" i="12"/>
  <c r="J95" i="12"/>
  <c r="AH43" i="12"/>
  <c r="AH48" i="12" s="1"/>
  <c r="J26" i="12"/>
  <c r="T2" i="9"/>
  <c r="T9" i="9" s="1"/>
  <c r="J9" i="10"/>
  <c r="H26" i="12"/>
  <c r="I45" i="9"/>
  <c r="Y210" i="12"/>
  <c r="Y303" i="12" s="1"/>
  <c r="AH210" i="12"/>
  <c r="AH303" i="12" s="1"/>
  <c r="AA154" i="12"/>
  <c r="AB108" i="12"/>
  <c r="AC108" i="12" s="1"/>
  <c r="AD108" i="12" s="1"/>
  <c r="F11" i="11"/>
  <c r="I32" i="11" s="1"/>
  <c r="C41" i="1"/>
  <c r="AA48" i="14" a="1"/>
  <c r="AA48" i="14" s="1"/>
  <c r="I2" i="3"/>
  <c r="G155" i="12"/>
  <c r="Y154" i="12"/>
  <c r="I131" i="12"/>
  <c r="O23" i="10"/>
  <c r="AA210" i="12"/>
  <c r="AA303" i="12" s="1"/>
  <c r="H2" i="9"/>
  <c r="N21" i="10"/>
  <c r="P2" i="10"/>
  <c r="P9" i="10" s="1"/>
  <c r="AD288" i="12"/>
  <c r="J288" i="12"/>
  <c r="J294" i="12" s="1"/>
  <c r="J295" i="12" s="1"/>
  <c r="X210" i="12"/>
  <c r="X303" i="12" s="1"/>
  <c r="H138" i="12"/>
  <c r="I138" i="12" s="1"/>
  <c r="Y3" i="12"/>
  <c r="X3" i="12" s="1"/>
  <c r="W3" i="12" s="1"/>
  <c r="V3" i="12" s="1"/>
  <c r="AD318" i="12"/>
  <c r="Y288" i="12"/>
  <c r="AH288" i="12"/>
  <c r="AH294" i="12" s="1"/>
  <c r="AH295" i="12" s="1"/>
  <c r="AC288" i="12"/>
  <c r="AC294" i="12" s="1"/>
  <c r="AC295" i="12" s="1"/>
  <c r="Y25" i="12"/>
  <c r="AH26" i="12"/>
  <c r="T54" i="14"/>
  <c r="O31" i="11"/>
  <c r="M31" i="11"/>
  <c r="N31" i="11"/>
  <c r="P31" i="11"/>
  <c r="P23" i="10"/>
  <c r="K23" i="10"/>
  <c r="H2" i="10"/>
  <c r="I9" i="10"/>
  <c r="F10" i="11"/>
  <c r="I31" i="11" s="1"/>
  <c r="O2" i="6"/>
  <c r="F12" i="11"/>
  <c r="I33" i="11" s="1"/>
  <c r="O21" i="10"/>
  <c r="K9" i="1"/>
  <c r="P43" i="6"/>
  <c r="J10" i="8"/>
  <c r="Q2" i="1"/>
  <c r="P21" i="10"/>
  <c r="C32" i="11"/>
  <c r="J11" i="8"/>
  <c r="L2" i="1"/>
  <c r="I9" i="1"/>
  <c r="H2" i="1"/>
  <c r="O12" i="8"/>
  <c r="Q12" i="8"/>
  <c r="U12" i="8"/>
  <c r="C33" i="11"/>
  <c r="O2" i="10"/>
  <c r="O9" i="10" s="1"/>
  <c r="Q37" i="9"/>
  <c r="P9" i="9"/>
  <c r="J9" i="1"/>
  <c r="AC249" i="12"/>
  <c r="L9" i="3"/>
  <c r="N9" i="3" s="1"/>
  <c r="AB249" i="12"/>
  <c r="H188" i="12"/>
  <c r="G191" i="12"/>
  <c r="X189" i="12"/>
  <c r="Y189" i="12" s="1"/>
  <c r="Z189" i="12" s="1"/>
  <c r="Z191" i="12" s="1"/>
  <c r="W191" i="12"/>
  <c r="O2" i="9"/>
  <c r="O9" i="9"/>
  <c r="AC152" i="12"/>
  <c r="AD144" i="12"/>
  <c r="X107" i="12"/>
  <c r="W113" i="12"/>
  <c r="W210" i="12"/>
  <c r="J318" i="12"/>
  <c r="J210" i="12"/>
  <c r="AB194" i="12"/>
  <c r="AD191" i="12"/>
  <c r="Z288" i="12"/>
  <c r="Y194" i="12"/>
  <c r="AG318" i="12"/>
  <c r="W318" i="12"/>
  <c r="AC210" i="12"/>
  <c r="H195" i="12"/>
  <c r="H155" i="12"/>
  <c r="AC131" i="12"/>
  <c r="AC191" i="12"/>
  <c r="AB210" i="12"/>
  <c r="AB191" i="12"/>
  <c r="AB152" i="12"/>
  <c r="AA152" i="12"/>
  <c r="AC132" i="12"/>
  <c r="X25" i="12"/>
  <c r="X17" i="12"/>
  <c r="AB17" i="12"/>
  <c r="X154" i="12"/>
  <c r="W155" i="12"/>
  <c r="X132" i="12"/>
  <c r="H100" i="12"/>
  <c r="H101" i="12" s="1"/>
  <c r="H102" i="12" s="1"/>
  <c r="AA155" i="12"/>
  <c r="Y138" i="12"/>
  <c r="AD95" i="12"/>
  <c r="Y100" i="12"/>
  <c r="Y101" i="12" s="1"/>
  <c r="Y102" i="12" s="1"/>
  <c r="Y95" i="12"/>
  <c r="H144" i="12"/>
  <c r="AC107" i="12"/>
  <c r="AB95" i="12"/>
  <c r="X95" i="12"/>
  <c r="AA153" i="12"/>
  <c r="W95" i="12"/>
  <c r="AC25" i="12"/>
  <c r="AC17" i="12"/>
  <c r="I25" i="12"/>
  <c r="Z102" i="12"/>
  <c r="AD17" i="12"/>
  <c r="Z25" i="12"/>
  <c r="AD27" i="12" s="1"/>
  <c r="Z95" i="12"/>
  <c r="Z17" i="12"/>
  <c r="AH17" i="12"/>
  <c r="AG25" i="12"/>
  <c r="AG17" i="12"/>
  <c r="AA17" i="12"/>
  <c r="W25" i="12"/>
  <c r="AA27" i="12" s="1"/>
  <c r="W17" i="12"/>
  <c r="AD37" i="12"/>
  <c r="AD26" i="12"/>
  <c r="G113" i="12"/>
  <c r="G122" i="12" s="1"/>
  <c r="H107" i="12"/>
  <c r="AA37" i="12"/>
  <c r="AA26" i="12"/>
  <c r="W1" i="12"/>
  <c r="X2" i="12"/>
  <c r="Y2" i="12"/>
  <c r="W2" i="12"/>
  <c r="AC95" i="12"/>
  <c r="J44" i="12"/>
  <c r="J48" i="12"/>
  <c r="J50" i="12"/>
  <c r="N219" i="12" l="1"/>
  <c r="N220" i="12" s="1"/>
  <c r="N211" i="12"/>
  <c r="N296" i="12"/>
  <c r="R219" i="12"/>
  <c r="R304" i="12" s="1"/>
  <c r="N289" i="12"/>
  <c r="K296" i="12"/>
  <c r="R289" i="12"/>
  <c r="R296" i="12"/>
  <c r="R211" i="12"/>
  <c r="K219" i="12"/>
  <c r="K304" i="12" s="1"/>
  <c r="R319" i="12"/>
  <c r="K289" i="12"/>
  <c r="M219" i="12"/>
  <c r="M304" i="12" s="1"/>
  <c r="M296" i="12"/>
  <c r="P296" i="12"/>
  <c r="O319" i="12"/>
  <c r="O296" i="12"/>
  <c r="S289" i="12"/>
  <c r="L289" i="12"/>
  <c r="L219" i="12"/>
  <c r="L304" i="12" s="1"/>
  <c r="S296" i="12"/>
  <c r="L296" i="12"/>
  <c r="V211" i="12"/>
  <c r="Q152" i="12"/>
  <c r="P211" i="12"/>
  <c r="Y27" i="12"/>
  <c r="S303" i="12"/>
  <c r="S319" i="12" s="1"/>
  <c r="O211" i="12"/>
  <c r="U289" i="12"/>
  <c r="S211" i="12"/>
  <c r="O219" i="12"/>
  <c r="O231" i="12" s="1"/>
  <c r="V296" i="12"/>
  <c r="V303" i="12"/>
  <c r="V319" i="12" s="1"/>
  <c r="Q45" i="9"/>
  <c r="S114" i="12"/>
  <c r="U219" i="12"/>
  <c r="U304" i="12" s="1"/>
  <c r="U296" i="12"/>
  <c r="S38" i="12"/>
  <c r="M289" i="12"/>
  <c r="U303" i="12"/>
  <c r="U319" i="12" s="1"/>
  <c r="O289" i="12"/>
  <c r="K192" i="12"/>
  <c r="P303" i="12"/>
  <c r="P319" i="12" s="1"/>
  <c r="P219" i="12"/>
  <c r="P304" i="12" s="1"/>
  <c r="N43" i="12"/>
  <c r="N45" i="12" s="1"/>
  <c r="S199" i="12"/>
  <c r="T27" i="12"/>
  <c r="T113" i="12"/>
  <c r="T192" i="12" s="1"/>
  <c r="T37" i="12"/>
  <c r="T39" i="12" s="1"/>
  <c r="T289" i="12"/>
  <c r="T296" i="12"/>
  <c r="T303" i="12"/>
  <c r="T319" i="12" s="1"/>
  <c r="T211" i="12"/>
  <c r="Q296" i="12"/>
  <c r="Q211" i="12"/>
  <c r="K199" i="12"/>
  <c r="O192" i="12"/>
  <c r="O199" i="12"/>
  <c r="R37" i="12"/>
  <c r="R39" i="12" s="1"/>
  <c r="N39" i="12"/>
  <c r="R27" i="12"/>
  <c r="Q27" i="12"/>
  <c r="Q219" i="12"/>
  <c r="P199" i="12"/>
  <c r="S192" i="12"/>
  <c r="P192" i="12"/>
  <c r="K319" i="12"/>
  <c r="W289" i="12"/>
  <c r="U138" i="12"/>
  <c r="T153" i="12"/>
  <c r="M26" i="12"/>
  <c r="M43" i="12"/>
  <c r="M44" i="12" s="1"/>
  <c r="V289" i="12"/>
  <c r="L319" i="12"/>
  <c r="U211" i="12"/>
  <c r="Q289" i="12"/>
  <c r="K24" i="10"/>
  <c r="M27" i="12"/>
  <c r="M319" i="12"/>
  <c r="U3" i="12"/>
  <c r="V301" i="12"/>
  <c r="V322" i="12" s="1"/>
  <c r="AG140" i="12"/>
  <c r="AG136" i="12"/>
  <c r="AG135" i="12"/>
  <c r="AF140" i="12"/>
  <c r="AF135" i="12"/>
  <c r="AH140" i="12"/>
  <c r="AH136" i="12"/>
  <c r="AH135" i="12"/>
  <c r="T197" i="12"/>
  <c r="T198" i="12" s="1"/>
  <c r="M122" i="12"/>
  <c r="K38" i="12"/>
  <c r="K39" i="12"/>
  <c r="K43" i="12"/>
  <c r="U113" i="12"/>
  <c r="V107" i="12"/>
  <c r="V113" i="12" s="1"/>
  <c r="L152" i="12"/>
  <c r="M144" i="12"/>
  <c r="S134" i="12"/>
  <c r="S123" i="12"/>
  <c r="P155" i="12"/>
  <c r="Q132" i="12"/>
  <c r="T155" i="12"/>
  <c r="U132" i="12"/>
  <c r="U26" i="12"/>
  <c r="U27" i="12"/>
  <c r="U37" i="12"/>
  <c r="P122" i="12"/>
  <c r="P114" i="12"/>
  <c r="P154" i="12"/>
  <c r="Q131" i="12"/>
  <c r="Q113" i="12"/>
  <c r="Q192" i="12" s="1"/>
  <c r="R107" i="12"/>
  <c r="R113" i="12" s="1"/>
  <c r="R192" i="12" s="1"/>
  <c r="R194" i="12"/>
  <c r="N319" i="12"/>
  <c r="K114" i="12"/>
  <c r="K122" i="12"/>
  <c r="N122" i="12"/>
  <c r="R231" i="12"/>
  <c r="R220" i="12"/>
  <c r="L122" i="12"/>
  <c r="S220" i="12"/>
  <c r="S231" i="12"/>
  <c r="Q319" i="12"/>
  <c r="P38" i="12"/>
  <c r="P43" i="12"/>
  <c r="Q197" i="12"/>
  <c r="Q198" i="12" s="1"/>
  <c r="V27" i="12"/>
  <c r="V37" i="12"/>
  <c r="V26" i="12"/>
  <c r="L191" i="12"/>
  <c r="M188" i="12"/>
  <c r="N231" i="12"/>
  <c r="N194" i="12"/>
  <c r="N138" i="12"/>
  <c r="N153" i="12" s="1"/>
  <c r="M153" i="12"/>
  <c r="U191" i="12"/>
  <c r="V188" i="12"/>
  <c r="V191" i="12" s="1"/>
  <c r="T154" i="12"/>
  <c r="U131" i="12"/>
  <c r="L154" i="12"/>
  <c r="M131" i="12"/>
  <c r="L37" i="12"/>
  <c r="L26" i="12"/>
  <c r="L27" i="12"/>
  <c r="V144" i="12"/>
  <c r="U152" i="12"/>
  <c r="R152" i="12"/>
  <c r="O122" i="12"/>
  <c r="S124" i="12" s="1"/>
  <c r="O114" i="12"/>
  <c r="V220" i="12"/>
  <c r="V221" i="12"/>
  <c r="V231" i="12"/>
  <c r="R197" i="12"/>
  <c r="N304" i="12"/>
  <c r="Q38" i="12"/>
  <c r="Q39" i="12"/>
  <c r="Q43" i="12"/>
  <c r="S304" i="12"/>
  <c r="O26" i="12"/>
  <c r="O27" i="12"/>
  <c r="O37" i="12"/>
  <c r="T220" i="12"/>
  <c r="T231" i="12"/>
  <c r="S48" i="12"/>
  <c r="S50" i="12"/>
  <c r="S44" i="12"/>
  <c r="R138" i="12"/>
  <c r="R153" i="12" s="1"/>
  <c r="Q153" i="12"/>
  <c r="X219" i="12"/>
  <c r="X304" i="12" s="1"/>
  <c r="AD319" i="12"/>
  <c r="X319" i="12"/>
  <c r="AA219" i="12"/>
  <c r="AA304" i="12" s="1"/>
  <c r="AF303" i="12"/>
  <c r="AF319" i="12" s="1"/>
  <c r="AD219" i="12"/>
  <c r="AD221" i="12" s="1"/>
  <c r="AA199" i="12"/>
  <c r="AD153" i="12"/>
  <c r="Y144" i="12"/>
  <c r="Y152" i="12" s="1"/>
  <c r="AA289" i="12"/>
  <c r="AB113" i="12"/>
  <c r="AB192" i="12" s="1"/>
  <c r="AH44" i="12"/>
  <c r="AF37" i="12"/>
  <c r="AF26" i="12"/>
  <c r="AF304" i="12"/>
  <c r="Y289" i="12"/>
  <c r="H153" i="12"/>
  <c r="X296" i="12"/>
  <c r="Y294" i="12"/>
  <c r="Y295" i="12" s="1"/>
  <c r="Y296" i="12" s="1"/>
  <c r="G50" i="12"/>
  <c r="G51" i="12" s="1"/>
  <c r="G48" i="12"/>
  <c r="X289" i="12"/>
  <c r="AA294" i="12"/>
  <c r="AA295" i="12" s="1"/>
  <c r="AA296" i="12" s="1"/>
  <c r="AA114" i="12"/>
  <c r="AB43" i="12"/>
  <c r="AB48" i="12" s="1"/>
  <c r="Y211" i="12"/>
  <c r="J296" i="12"/>
  <c r="AH319" i="12"/>
  <c r="AH50" i="12"/>
  <c r="AH51" i="12" s="1"/>
  <c r="AB296" i="12"/>
  <c r="AD211" i="12"/>
  <c r="Y219" i="12"/>
  <c r="Y220" i="12" s="1"/>
  <c r="AA122" i="12"/>
  <c r="AA134" i="12" s="1"/>
  <c r="J289" i="12"/>
  <c r="AA192" i="12"/>
  <c r="Z303" i="12"/>
  <c r="Z211" i="12"/>
  <c r="AC289" i="12"/>
  <c r="AH211" i="12"/>
  <c r="Y37" i="12"/>
  <c r="Y43" i="12" s="1"/>
  <c r="AH219" i="12"/>
  <c r="AH304" i="12" s="1"/>
  <c r="AH296" i="12"/>
  <c r="Y26" i="12"/>
  <c r="AB3" i="12"/>
  <c r="AA301" i="12"/>
  <c r="AA321" i="12" s="1" a="1"/>
  <c r="AA321" i="12" s="1"/>
  <c r="H9" i="9"/>
  <c r="G2" i="9"/>
  <c r="N9" i="9"/>
  <c r="N2" i="9"/>
  <c r="N2" i="4"/>
  <c r="O46" i="4"/>
  <c r="AD294" i="12"/>
  <c r="AD295" i="12" s="1"/>
  <c r="AD296" i="12" s="1"/>
  <c r="AD289" i="12"/>
  <c r="H2" i="3"/>
  <c r="H9" i="3" s="1"/>
  <c r="I9" i="3"/>
  <c r="Y301" i="12"/>
  <c r="Y321" i="12" s="1" a="1"/>
  <c r="Y321" i="12" s="1"/>
  <c r="H44" i="12"/>
  <c r="H50" i="12"/>
  <c r="H48" i="12"/>
  <c r="AH289" i="12"/>
  <c r="I154" i="12"/>
  <c r="J131" i="12"/>
  <c r="J154" i="12" s="1"/>
  <c r="AG296" i="12"/>
  <c r="Z197" i="12"/>
  <c r="I144" i="12"/>
  <c r="H152" i="12"/>
  <c r="AB197" i="12"/>
  <c r="AB198" i="12" s="1"/>
  <c r="I195" i="12"/>
  <c r="Z289" i="12"/>
  <c r="Z294" i="12"/>
  <c r="Z295" i="12" s="1"/>
  <c r="Z296" i="12" s="1"/>
  <c r="Z220" i="12"/>
  <c r="Z231" i="12"/>
  <c r="Z304" i="12"/>
  <c r="AB289" i="12"/>
  <c r="AA211" i="12"/>
  <c r="O10" i="8"/>
  <c r="Q10" i="8"/>
  <c r="U10" i="8"/>
  <c r="W37" i="12"/>
  <c r="AA39" i="12" s="1"/>
  <c r="W27" i="12"/>
  <c r="W26" i="12"/>
  <c r="AC194" i="12"/>
  <c r="Y319" i="12"/>
  <c r="AD197" i="12"/>
  <c r="AA319" i="12"/>
  <c r="O43" i="6"/>
  <c r="N2" i="6"/>
  <c r="G2" i="1"/>
  <c r="H9" i="1"/>
  <c r="AD38" i="12"/>
  <c r="AD43" i="12"/>
  <c r="Z138" i="12"/>
  <c r="Z153" i="12" s="1"/>
  <c r="Y153" i="12"/>
  <c r="I33" i="9"/>
  <c r="O33" i="9"/>
  <c r="AC296" i="12"/>
  <c r="AG27" i="12"/>
  <c r="AH27" i="12"/>
  <c r="AG37" i="12"/>
  <c r="AG26" i="12"/>
  <c r="AD107" i="12"/>
  <c r="AC113" i="12"/>
  <c r="X191" i="12"/>
  <c r="W122" i="12"/>
  <c r="W114" i="12"/>
  <c r="I34" i="11"/>
  <c r="I35" i="11" s="1"/>
  <c r="N2" i="10"/>
  <c r="N9" i="10" s="1"/>
  <c r="G2" i="10"/>
  <c r="H9" i="10"/>
  <c r="W219" i="12"/>
  <c r="W304" i="12" s="1"/>
  <c r="W303" i="12"/>
  <c r="W211" i="12"/>
  <c r="X155" i="12"/>
  <c r="Y132" i="12"/>
  <c r="X26" i="12"/>
  <c r="X37" i="12"/>
  <c r="X27" i="12"/>
  <c r="AB27" i="12"/>
  <c r="I26" i="12"/>
  <c r="I37" i="12"/>
  <c r="M39" i="12" s="1"/>
  <c r="AD132" i="12"/>
  <c r="AC155" i="12"/>
  <c r="Y191" i="12"/>
  <c r="X211" i="12"/>
  <c r="Y107" i="12"/>
  <c r="X113" i="12"/>
  <c r="W192" i="12"/>
  <c r="W197" i="12"/>
  <c r="W198" i="12" s="1"/>
  <c r="W199" i="12" s="1"/>
  <c r="G192" i="12"/>
  <c r="G197" i="12"/>
  <c r="G198" i="12" s="1"/>
  <c r="G199" i="12" s="1"/>
  <c r="J138" i="12"/>
  <c r="J153" i="12" s="1"/>
  <c r="I153" i="12"/>
  <c r="AD131" i="12"/>
  <c r="AC154" i="12"/>
  <c r="AC219" i="12"/>
  <c r="AC304" i="12" s="1"/>
  <c r="AC303" i="12"/>
  <c r="AC211" i="12"/>
  <c r="AG219" i="12"/>
  <c r="AG211" i="12"/>
  <c r="AG289" i="12"/>
  <c r="AG303" i="12"/>
  <c r="L9" i="1"/>
  <c r="Q9" i="1"/>
  <c r="P2" i="1"/>
  <c r="T55" i="14"/>
  <c r="H113" i="12"/>
  <c r="H122" i="12" s="1"/>
  <c r="I107" i="12"/>
  <c r="AC197" i="12"/>
  <c r="I188" i="12"/>
  <c r="H191" i="12"/>
  <c r="Q11" i="8"/>
  <c r="O11" i="8"/>
  <c r="U11" i="8"/>
  <c r="M32" i="11"/>
  <c r="N32" i="11"/>
  <c r="O32" i="11"/>
  <c r="P32" i="11"/>
  <c r="AB211" i="12"/>
  <c r="AB303" i="12"/>
  <c r="AB219" i="12"/>
  <c r="AB304" i="12" s="1"/>
  <c r="G134" i="12"/>
  <c r="G123" i="12"/>
  <c r="P33" i="11"/>
  <c r="N33" i="11"/>
  <c r="M33" i="11"/>
  <c r="O33" i="11"/>
  <c r="Z194" i="12"/>
  <c r="J219" i="12"/>
  <c r="N221" i="12" s="1"/>
  <c r="J303" i="12"/>
  <c r="J319" i="12" s="1"/>
  <c r="AD152" i="12"/>
  <c r="AA38" i="12"/>
  <c r="AA43" i="12"/>
  <c r="AC27" i="12"/>
  <c r="AC26" i="12"/>
  <c r="AC37" i="12"/>
  <c r="J51" i="12"/>
  <c r="J54" i="12"/>
  <c r="J59" i="12" s="1"/>
  <c r="Z26" i="12"/>
  <c r="Z27" i="12"/>
  <c r="Z37" i="12"/>
  <c r="W296" i="12"/>
  <c r="F13" i="11"/>
  <c r="I37" i="11" s="1"/>
  <c r="R221" i="12" l="1"/>
  <c r="K220" i="12"/>
  <c r="M231" i="12"/>
  <c r="M237" i="12" s="1"/>
  <c r="K231" i="12"/>
  <c r="K232" i="12" s="1"/>
  <c r="S221" i="12"/>
  <c r="M220" i="12"/>
  <c r="O304" i="12"/>
  <c r="L220" i="12"/>
  <c r="L231" i="12"/>
  <c r="L232" i="12" s="1"/>
  <c r="U220" i="12"/>
  <c r="O221" i="12"/>
  <c r="O220" i="12"/>
  <c r="U231" i="12"/>
  <c r="U237" i="12" s="1"/>
  <c r="U221" i="12"/>
  <c r="P231" i="12"/>
  <c r="P237" i="12" s="1"/>
  <c r="N50" i="12"/>
  <c r="N52" i="12" s="1"/>
  <c r="N44" i="12"/>
  <c r="P221" i="12"/>
  <c r="P220" i="12"/>
  <c r="T221" i="12"/>
  <c r="T43" i="12"/>
  <c r="T50" i="12" s="1"/>
  <c r="T38" i="12"/>
  <c r="Z144" i="12"/>
  <c r="Z152" i="12" s="1"/>
  <c r="Q304" i="12"/>
  <c r="Q221" i="12"/>
  <c r="N48" i="12"/>
  <c r="T114" i="12"/>
  <c r="T122" i="12"/>
  <c r="T134" i="12" s="1"/>
  <c r="Q220" i="12"/>
  <c r="T199" i="12"/>
  <c r="R43" i="12"/>
  <c r="R48" i="12" s="1"/>
  <c r="R38" i="12"/>
  <c r="V321" i="12" a="1"/>
  <c r="V321" i="12" s="1"/>
  <c r="V323" i="12"/>
  <c r="Q199" i="12"/>
  <c r="Q231" i="12"/>
  <c r="Q237" i="12" s="1"/>
  <c r="Y39" i="12"/>
  <c r="L114" i="12"/>
  <c r="U153" i="12"/>
  <c r="V138" i="12"/>
  <c r="V153" i="12" s="1"/>
  <c r="M50" i="12"/>
  <c r="M54" i="12" s="1"/>
  <c r="M59" i="12" s="1"/>
  <c r="M48" i="12"/>
  <c r="T3" i="12"/>
  <c r="U301" i="12"/>
  <c r="AH142" i="12"/>
  <c r="AH141" i="12"/>
  <c r="AH147" i="12"/>
  <c r="AH145" i="12"/>
  <c r="AF145" i="12"/>
  <c r="AF141" i="12"/>
  <c r="AF147" i="12"/>
  <c r="AG142" i="12"/>
  <c r="AG141" i="12"/>
  <c r="AG145" i="12"/>
  <c r="AG147" i="12"/>
  <c r="M154" i="12"/>
  <c r="N131" i="12"/>
  <c r="N154" i="12" s="1"/>
  <c r="R122" i="12"/>
  <c r="R114" i="12"/>
  <c r="M152" i="12"/>
  <c r="N144" i="12"/>
  <c r="Q122" i="12"/>
  <c r="Q114" i="12"/>
  <c r="Q155" i="12"/>
  <c r="R132" i="12"/>
  <c r="R155" i="12" s="1"/>
  <c r="M191" i="12"/>
  <c r="N188" i="12"/>
  <c r="N191" i="12" s="1"/>
  <c r="V122" i="12"/>
  <c r="V114" i="12"/>
  <c r="U39" i="12"/>
  <c r="U43" i="12"/>
  <c r="Y45" i="12" s="1"/>
  <c r="U38" i="12"/>
  <c r="O38" i="12"/>
  <c r="O39" i="12"/>
  <c r="O43" i="12"/>
  <c r="S39" i="12"/>
  <c r="V197" i="12"/>
  <c r="V198" i="12" s="1"/>
  <c r="V199" i="12" s="1"/>
  <c r="V192" i="12"/>
  <c r="S140" i="12"/>
  <c r="S135" i="12"/>
  <c r="X231" i="12"/>
  <c r="X237" i="12" s="1"/>
  <c r="O124" i="12"/>
  <c r="O134" i="12"/>
  <c r="S136" i="12" s="1"/>
  <c r="O123" i="12"/>
  <c r="U197" i="12"/>
  <c r="U198" i="12" s="1"/>
  <c r="U199" i="12" s="1"/>
  <c r="U192" i="12"/>
  <c r="R237" i="12"/>
  <c r="R232" i="12"/>
  <c r="R233" i="12"/>
  <c r="K44" i="12"/>
  <c r="K45" i="12"/>
  <c r="K48" i="12"/>
  <c r="K50" i="12"/>
  <c r="N123" i="12"/>
  <c r="V237" i="12"/>
  <c r="V232" i="12"/>
  <c r="V233" i="12"/>
  <c r="U154" i="12"/>
  <c r="V131" i="12"/>
  <c r="V154" i="12" s="1"/>
  <c r="L197" i="12"/>
  <c r="L198" i="12" s="1"/>
  <c r="L199" i="12" s="1"/>
  <c r="L192" i="12"/>
  <c r="Q154" i="12"/>
  <c r="R131" i="12"/>
  <c r="R154" i="12" s="1"/>
  <c r="U122" i="12"/>
  <c r="U114" i="12"/>
  <c r="X220" i="12"/>
  <c r="S237" i="12"/>
  <c r="S232" i="12"/>
  <c r="S233" i="12"/>
  <c r="Q45" i="12"/>
  <c r="Q48" i="12"/>
  <c r="Q50" i="12"/>
  <c r="Q44" i="12"/>
  <c r="P124" i="12"/>
  <c r="P134" i="12"/>
  <c r="P123" i="12"/>
  <c r="V43" i="12"/>
  <c r="V39" i="12"/>
  <c r="V38" i="12"/>
  <c r="M123" i="12"/>
  <c r="M134" i="12"/>
  <c r="L123" i="12"/>
  <c r="L124" i="12"/>
  <c r="L134" i="12"/>
  <c r="K123" i="12"/>
  <c r="K124" i="12"/>
  <c r="K134" i="12"/>
  <c r="O237" i="12"/>
  <c r="O232" i="12"/>
  <c r="O233" i="12"/>
  <c r="V152" i="12"/>
  <c r="N237" i="12"/>
  <c r="N232" i="12"/>
  <c r="S54" i="12"/>
  <c r="S59" i="12" s="1"/>
  <c r="S51" i="12"/>
  <c r="P48" i="12"/>
  <c r="P50" i="12"/>
  <c r="P44" i="12"/>
  <c r="T237" i="12"/>
  <c r="T232" i="12"/>
  <c r="L38" i="12"/>
  <c r="L39" i="12"/>
  <c r="L43" i="12"/>
  <c r="P45" i="12" s="1"/>
  <c r="P39" i="12"/>
  <c r="R198" i="12"/>
  <c r="R199" i="12" s="1"/>
  <c r="U155" i="12"/>
  <c r="V132" i="12"/>
  <c r="V155" i="12" s="1"/>
  <c r="Y38" i="12"/>
  <c r="AH220" i="12"/>
  <c r="AB122" i="12"/>
  <c r="AB134" i="12" s="1"/>
  <c r="Z221" i="12"/>
  <c r="AA123" i="12"/>
  <c r="AA231" i="12"/>
  <c r="AA232" i="12" s="1"/>
  <c r="AA220" i="12"/>
  <c r="G54" i="12"/>
  <c r="G59" i="12" s="1"/>
  <c r="G60" i="12" s="1"/>
  <c r="AD220" i="12"/>
  <c r="AD231" i="12"/>
  <c r="AD233" i="12" s="1"/>
  <c r="AD304" i="12"/>
  <c r="AH54" i="12"/>
  <c r="AH59" i="12" s="1"/>
  <c r="AH60" i="12" s="1"/>
  <c r="AD155" i="12"/>
  <c r="AD154" i="12"/>
  <c r="AD113" i="12"/>
  <c r="AD122" i="12" s="1"/>
  <c r="AB199" i="12"/>
  <c r="AF43" i="12"/>
  <c r="AF38" i="12"/>
  <c r="Y231" i="12"/>
  <c r="Y232" i="12" s="1"/>
  <c r="AA221" i="12"/>
  <c r="AB50" i="12"/>
  <c r="AB51" i="12" s="1"/>
  <c r="Y304" i="12"/>
  <c r="Y323" i="12" s="1"/>
  <c r="AB44" i="12"/>
  <c r="AH221" i="12"/>
  <c r="Y221" i="12"/>
  <c r="AA323" i="12"/>
  <c r="AA322" i="12"/>
  <c r="Z321" i="12" a="1"/>
  <c r="Z321" i="12" s="1"/>
  <c r="Z319" i="12"/>
  <c r="Z198" i="12"/>
  <c r="AH231" i="12"/>
  <c r="AH232" i="12" s="1"/>
  <c r="AC3" i="12"/>
  <c r="AB301" i="12"/>
  <c r="AB323" i="12" s="1"/>
  <c r="M2" i="4"/>
  <c r="N46" i="4"/>
  <c r="N25" i="4"/>
  <c r="X301" i="12"/>
  <c r="X321" i="12" s="1" a="1"/>
  <c r="X321" i="12" s="1"/>
  <c r="H33" i="9"/>
  <c r="N33" i="9"/>
  <c r="W319" i="12"/>
  <c r="M9" i="9"/>
  <c r="K40" i="9"/>
  <c r="K43" i="9"/>
  <c r="G9" i="9"/>
  <c r="K45" i="9"/>
  <c r="M2" i="9"/>
  <c r="K41" i="9"/>
  <c r="K36" i="9"/>
  <c r="K39" i="9"/>
  <c r="K42" i="9"/>
  <c r="K35" i="9"/>
  <c r="K38" i="9"/>
  <c r="K37" i="9"/>
  <c r="K44" i="9"/>
  <c r="H54" i="12"/>
  <c r="H59" i="12" s="1"/>
  <c r="H51" i="12"/>
  <c r="M2" i="6"/>
  <c r="N43" i="6"/>
  <c r="AB319" i="12"/>
  <c r="Z38" i="12"/>
  <c r="Z39" i="12"/>
  <c r="Z43" i="12"/>
  <c r="AC39" i="12"/>
  <c r="AC38" i="12"/>
  <c r="AC43" i="12"/>
  <c r="Y44" i="12"/>
  <c r="Y50" i="12"/>
  <c r="Y48" i="12"/>
  <c r="W123" i="12"/>
  <c r="W124" i="12"/>
  <c r="W134" i="12"/>
  <c r="AA136" i="12" s="1"/>
  <c r="I152" i="12"/>
  <c r="J144" i="12"/>
  <c r="AB221" i="12"/>
  <c r="AB220" i="12"/>
  <c r="AB231" i="12"/>
  <c r="H197" i="12"/>
  <c r="H198" i="12" s="1"/>
  <c r="H199" i="12" s="1"/>
  <c r="H192" i="12"/>
  <c r="X39" i="12"/>
  <c r="X38" i="12"/>
  <c r="X43" i="12"/>
  <c r="AB39" i="12"/>
  <c r="AC122" i="12"/>
  <c r="I113" i="12"/>
  <c r="J107" i="12"/>
  <c r="J113" i="12" s="1"/>
  <c r="H134" i="12"/>
  <c r="H123" i="12"/>
  <c r="AG304" i="12"/>
  <c r="Q17" i="10"/>
  <c r="Q14" i="10"/>
  <c r="M2" i="10"/>
  <c r="M9" i="10" s="1"/>
  <c r="Q18" i="10"/>
  <c r="Q15" i="10"/>
  <c r="Q20" i="10"/>
  <c r="Q13" i="10"/>
  <c r="Q11" i="10"/>
  <c r="Q16" i="10"/>
  <c r="Q24" i="10"/>
  <c r="Q19" i="10"/>
  <c r="G9" i="10"/>
  <c r="Q12" i="10"/>
  <c r="Q21" i="10"/>
  <c r="Q23" i="10"/>
  <c r="W38" i="12"/>
  <c r="W39" i="12"/>
  <c r="W43" i="12"/>
  <c r="AA45" i="12" s="1"/>
  <c r="X221" i="12"/>
  <c r="T56" i="14"/>
  <c r="X114" i="12"/>
  <c r="X122" i="12"/>
  <c r="Z132" i="12"/>
  <c r="Z155" i="12" s="1"/>
  <c r="Y155" i="12"/>
  <c r="U14" i="8"/>
  <c r="M17" i="8" s="1"/>
  <c r="Y113" i="12"/>
  <c r="Z107" i="12"/>
  <c r="Z113" i="12" s="1"/>
  <c r="Y197" i="12"/>
  <c r="Y198" i="12" s="1"/>
  <c r="I191" i="12"/>
  <c r="J188" i="12"/>
  <c r="J191" i="12" s="1"/>
  <c r="AG231" i="12"/>
  <c r="AG220" i="12"/>
  <c r="AG221" i="12"/>
  <c r="J220" i="12"/>
  <c r="J231" i="12"/>
  <c r="N233" i="12" s="1"/>
  <c r="AD44" i="12"/>
  <c r="AD50" i="12"/>
  <c r="AD48" i="12"/>
  <c r="O14" i="8"/>
  <c r="C17" i="8" s="1"/>
  <c r="AC319" i="12"/>
  <c r="AG38" i="12"/>
  <c r="AG39" i="12"/>
  <c r="AH39" i="12"/>
  <c r="AG43" i="12"/>
  <c r="G9" i="1"/>
  <c r="N9" i="1" s="1"/>
  <c r="X192" i="12"/>
  <c r="X197" i="12"/>
  <c r="X198" i="12" s="1"/>
  <c r="X199" i="12" s="1"/>
  <c r="AD39" i="12"/>
  <c r="J195" i="12"/>
  <c r="I38" i="12"/>
  <c r="I43" i="12"/>
  <c r="M45" i="12" s="1"/>
  <c r="AB114" i="12"/>
  <c r="Z323" i="12"/>
  <c r="Z322" i="12"/>
  <c r="AA124" i="12"/>
  <c r="J304" i="12"/>
  <c r="J73" i="12"/>
  <c r="J60" i="12"/>
  <c r="P9" i="1"/>
  <c r="AC221" i="12"/>
  <c r="AC220" i="12"/>
  <c r="AC231" i="12"/>
  <c r="AA44" i="12"/>
  <c r="AA50" i="12"/>
  <c r="AA48" i="12"/>
  <c r="G140" i="12"/>
  <c r="G135" i="12"/>
  <c r="AG319" i="12"/>
  <c r="AC192" i="12"/>
  <c r="W231" i="12"/>
  <c r="W220" i="12"/>
  <c r="W221" i="12"/>
  <c r="AD194" i="12"/>
  <c r="AC198" i="12"/>
  <c r="AC199" i="12" s="1"/>
  <c r="Z237" i="12"/>
  <c r="Z232" i="12"/>
  <c r="AA140" i="12"/>
  <c r="AA135" i="12"/>
  <c r="L237" i="12" l="1"/>
  <c r="P239" i="12" s="1"/>
  <c r="K237" i="12"/>
  <c r="O239" i="12" s="1"/>
  <c r="M232" i="12"/>
  <c r="N51" i="12"/>
  <c r="U232" i="12"/>
  <c r="T124" i="12"/>
  <c r="N54" i="12"/>
  <c r="N59" i="12" s="1"/>
  <c r="N73" i="12" s="1"/>
  <c r="T48" i="12"/>
  <c r="P232" i="12"/>
  <c r="T233" i="12"/>
  <c r="P233" i="12"/>
  <c r="V324" i="12"/>
  <c r="Q233" i="12"/>
  <c r="T123" i="12"/>
  <c r="T45" i="12"/>
  <c r="T44" i="12"/>
  <c r="U233" i="12"/>
  <c r="Q232" i="12"/>
  <c r="R44" i="12"/>
  <c r="N134" i="12"/>
  <c r="N140" i="12" s="1"/>
  <c r="N145" i="12" s="1"/>
  <c r="R50" i="12"/>
  <c r="R52" i="12" s="1"/>
  <c r="R45" i="12"/>
  <c r="M51" i="12"/>
  <c r="X232" i="12"/>
  <c r="AA237" i="12"/>
  <c r="AA244" i="12" s="1"/>
  <c r="U321" i="12" a="1"/>
  <c r="U321" i="12" s="1"/>
  <c r="U323" i="12"/>
  <c r="U322" i="12"/>
  <c r="S3" i="12"/>
  <c r="T301" i="12"/>
  <c r="J122" i="12"/>
  <c r="N124" i="12" s="1"/>
  <c r="N114" i="12"/>
  <c r="I122" i="12"/>
  <c r="M124" i="12" s="1"/>
  <c r="M114" i="12"/>
  <c r="Y322" i="12"/>
  <c r="Y324" i="12" s="1"/>
  <c r="AG151" i="12"/>
  <c r="AG156" i="12" s="1"/>
  <c r="AG149" i="12"/>
  <c r="AG148" i="12"/>
  <c r="AF151" i="12"/>
  <c r="AF156" i="12" s="1"/>
  <c r="AF148" i="12"/>
  <c r="AH151" i="12"/>
  <c r="AH156" i="12" s="1"/>
  <c r="AH149" i="12"/>
  <c r="AH148" i="12"/>
  <c r="T244" i="12"/>
  <c r="T238" i="12"/>
  <c r="T239" i="12"/>
  <c r="T242" i="12"/>
  <c r="K51" i="12"/>
  <c r="K52" i="12"/>
  <c r="K54" i="12"/>
  <c r="K59" i="12" s="1"/>
  <c r="Q242" i="12"/>
  <c r="Q244" i="12"/>
  <c r="Q238" i="12"/>
  <c r="Q239" i="12"/>
  <c r="S147" i="12"/>
  <c r="S141" i="12"/>
  <c r="S145" i="12"/>
  <c r="V134" i="12"/>
  <c r="V123" i="12"/>
  <c r="V124" i="12"/>
  <c r="N197" i="12"/>
  <c r="N198" i="12" s="1"/>
  <c r="N199" i="12" s="1"/>
  <c r="N192" i="12"/>
  <c r="U244" i="12"/>
  <c r="U238" i="12"/>
  <c r="U239" i="12"/>
  <c r="U242" i="12"/>
  <c r="U134" i="12"/>
  <c r="U123" i="12"/>
  <c r="U124" i="12"/>
  <c r="T140" i="12"/>
  <c r="T135" i="12"/>
  <c r="T136" i="12"/>
  <c r="K136" i="12"/>
  <c r="K140" i="12"/>
  <c r="K135" i="12"/>
  <c r="P140" i="12"/>
  <c r="P135" i="12"/>
  <c r="P136" i="12"/>
  <c r="R244" i="12"/>
  <c r="R238" i="12"/>
  <c r="R239" i="12"/>
  <c r="R242" i="12"/>
  <c r="O244" i="12"/>
  <c r="O238" i="12"/>
  <c r="O242" i="12"/>
  <c r="S244" i="12"/>
  <c r="S238" i="12"/>
  <c r="S239" i="12"/>
  <c r="S242" i="12"/>
  <c r="T54" i="12"/>
  <c r="T59" i="12" s="1"/>
  <c r="T51" i="12"/>
  <c r="T52" i="12"/>
  <c r="M197" i="12"/>
  <c r="M198" i="12" s="1"/>
  <c r="M199" i="12" s="1"/>
  <c r="M192" i="12"/>
  <c r="V50" i="12"/>
  <c r="V44" i="12"/>
  <c r="V48" i="12"/>
  <c r="V45" i="12"/>
  <c r="P54" i="12"/>
  <c r="P59" i="12" s="1"/>
  <c r="P51" i="12"/>
  <c r="L136" i="12"/>
  <c r="L140" i="12"/>
  <c r="L135" i="12"/>
  <c r="Q52" i="12"/>
  <c r="Q54" i="12"/>
  <c r="Q59" i="12" s="1"/>
  <c r="Q51" i="12"/>
  <c r="K238" i="12"/>
  <c r="K242" i="12"/>
  <c r="P244" i="12"/>
  <c r="P238" i="12"/>
  <c r="P242" i="12"/>
  <c r="M60" i="12"/>
  <c r="M73" i="12"/>
  <c r="O45" i="12"/>
  <c r="O48" i="12"/>
  <c r="O50" i="12"/>
  <c r="O44" i="12"/>
  <c r="S45" i="12"/>
  <c r="L44" i="12"/>
  <c r="L45" i="12"/>
  <c r="L48" i="12"/>
  <c r="L50" i="12"/>
  <c r="R124" i="12"/>
  <c r="R134" i="12"/>
  <c r="R123" i="12"/>
  <c r="S73" i="12"/>
  <c r="S60" i="12"/>
  <c r="Q124" i="12"/>
  <c r="Q134" i="12"/>
  <c r="Q123" i="12"/>
  <c r="N152" i="12"/>
  <c r="N244" i="12"/>
  <c r="N238" i="12"/>
  <c r="N242" i="12"/>
  <c r="M140" i="12"/>
  <c r="M135" i="12"/>
  <c r="V244" i="12"/>
  <c r="V238" i="12"/>
  <c r="V239" i="12"/>
  <c r="V242" i="12"/>
  <c r="O140" i="12"/>
  <c r="S142" i="12" s="1"/>
  <c r="O135" i="12"/>
  <c r="O136" i="12"/>
  <c r="M244" i="12"/>
  <c r="M238" i="12"/>
  <c r="M242" i="12"/>
  <c r="U48" i="12"/>
  <c r="U50" i="12"/>
  <c r="Y52" i="12" s="1"/>
  <c r="U44" i="12"/>
  <c r="U45" i="12"/>
  <c r="AD192" i="12"/>
  <c r="Z233" i="12"/>
  <c r="AB123" i="12"/>
  <c r="AB124" i="12"/>
  <c r="G73" i="12"/>
  <c r="G87" i="12" s="1"/>
  <c r="G88" i="12" s="1"/>
  <c r="AH73" i="12"/>
  <c r="AH74" i="12" s="1"/>
  <c r="AA233" i="12"/>
  <c r="AD237" i="12"/>
  <c r="AD239" i="12" s="1"/>
  <c r="AD232" i="12"/>
  <c r="Y237" i="12"/>
  <c r="Y244" i="12" s="1"/>
  <c r="AD114" i="12"/>
  <c r="AA324" i="12"/>
  <c r="AD198" i="12"/>
  <c r="AD199" i="12" s="1"/>
  <c r="AF50" i="12"/>
  <c r="AF48" i="12"/>
  <c r="AF44" i="12"/>
  <c r="AB54" i="12"/>
  <c r="AB59" i="12" s="1"/>
  <c r="Z199" i="12"/>
  <c r="AH237" i="12"/>
  <c r="AH238" i="12" s="1"/>
  <c r="AH233" i="12"/>
  <c r="AB322" i="12"/>
  <c r="AB321" i="12" a="1"/>
  <c r="AB321" i="12" s="1"/>
  <c r="AD3" i="12"/>
  <c r="AC301" i="12"/>
  <c r="X323" i="12"/>
  <c r="W301" i="12"/>
  <c r="X322" i="12"/>
  <c r="H73" i="12"/>
  <c r="H60" i="12"/>
  <c r="L2" i="4"/>
  <c r="M46" i="4"/>
  <c r="M25" i="4"/>
  <c r="G33" i="9"/>
  <c r="M33" i="9"/>
  <c r="J192" i="12"/>
  <c r="J197" i="12"/>
  <c r="J198" i="12" s="1"/>
  <c r="J199" i="12" s="1"/>
  <c r="X239" i="12"/>
  <c r="I192" i="12"/>
  <c r="I197" i="12"/>
  <c r="I198" i="12" s="1"/>
  <c r="I199" i="12" s="1"/>
  <c r="Z48" i="12"/>
  <c r="Z44" i="12"/>
  <c r="Z50" i="12"/>
  <c r="AD52" i="12" s="1"/>
  <c r="Z45" i="12"/>
  <c r="J87" i="12"/>
  <c r="J88" i="12" s="1"/>
  <c r="J74" i="12"/>
  <c r="W48" i="12"/>
  <c r="W44" i="12"/>
  <c r="W45" i="12"/>
  <c r="W50" i="12"/>
  <c r="X238" i="12"/>
  <c r="X244" i="12"/>
  <c r="X242" i="12"/>
  <c r="AG48" i="12"/>
  <c r="AG50" i="12"/>
  <c r="AG45" i="12"/>
  <c r="AG44" i="12"/>
  <c r="AH45" i="12"/>
  <c r="Y122" i="12"/>
  <c r="AC124" i="12" s="1"/>
  <c r="Y114" i="12"/>
  <c r="Z239" i="12"/>
  <c r="Z244" i="12"/>
  <c r="Z238" i="12"/>
  <c r="Z242" i="12"/>
  <c r="H140" i="12"/>
  <c r="H135" i="12"/>
  <c r="X233" i="12"/>
  <c r="AC237" i="12"/>
  <c r="AC232" i="12"/>
  <c r="AC233" i="12"/>
  <c r="X134" i="12"/>
  <c r="X123" i="12"/>
  <c r="X124" i="12"/>
  <c r="J152" i="12"/>
  <c r="W233" i="12"/>
  <c r="W237" i="12"/>
  <c r="W232" i="12"/>
  <c r="Z324" i="12"/>
  <c r="I50" i="12"/>
  <c r="M52" i="12" s="1"/>
  <c r="I44" i="12"/>
  <c r="I48" i="12"/>
  <c r="AD51" i="12"/>
  <c r="AD54" i="12"/>
  <c r="AD59" i="12" s="1"/>
  <c r="J232" i="12"/>
  <c r="J237" i="12"/>
  <c r="N239" i="12" s="1"/>
  <c r="W135" i="12"/>
  <c r="W140" i="12"/>
  <c r="AA142" i="12" s="1"/>
  <c r="W136" i="12"/>
  <c r="Y51" i="12"/>
  <c r="Y54" i="12"/>
  <c r="Y59" i="12" s="1"/>
  <c r="AD45" i="12"/>
  <c r="AC123" i="12"/>
  <c r="AC134" i="12"/>
  <c r="AB233" i="12"/>
  <c r="AB232" i="12"/>
  <c r="AB237" i="12"/>
  <c r="Y192" i="12"/>
  <c r="T57" i="14"/>
  <c r="AD134" i="12"/>
  <c r="AD123" i="12"/>
  <c r="AC114" i="12"/>
  <c r="AB135" i="12"/>
  <c r="AB140" i="12"/>
  <c r="Y199" i="12"/>
  <c r="AC45" i="12"/>
  <c r="AC44" i="12"/>
  <c r="AC48" i="12"/>
  <c r="AC50" i="12"/>
  <c r="AA147" i="12"/>
  <c r="AA141" i="12"/>
  <c r="AA145" i="12"/>
  <c r="Y233" i="12"/>
  <c r="G141" i="12"/>
  <c r="G147" i="12"/>
  <c r="G145" i="12"/>
  <c r="AA51" i="12"/>
  <c r="AA54" i="12"/>
  <c r="AA59" i="12" s="1"/>
  <c r="AG233" i="12"/>
  <c r="AG232" i="12"/>
  <c r="AG237" i="12"/>
  <c r="Z122" i="12"/>
  <c r="AD124" i="12" s="1"/>
  <c r="Z114" i="12"/>
  <c r="Z192" i="12"/>
  <c r="X45" i="12"/>
  <c r="X44" i="12"/>
  <c r="X48" i="12"/>
  <c r="X50" i="12"/>
  <c r="AB45" i="12"/>
  <c r="L2" i="6"/>
  <c r="M43" i="6"/>
  <c r="L242" i="12" l="1"/>
  <c r="L244" i="12"/>
  <c r="L248" i="12" s="1"/>
  <c r="L253" i="12" s="1"/>
  <c r="L238" i="12"/>
  <c r="K244" i="12"/>
  <c r="K245" i="12" s="1"/>
  <c r="N61" i="12"/>
  <c r="N60" i="12"/>
  <c r="R54" i="12"/>
  <c r="R59" i="12" s="1"/>
  <c r="R61" i="12" s="1"/>
  <c r="AA242" i="12"/>
  <c r="AA238" i="12"/>
  <c r="N135" i="12"/>
  <c r="R51" i="12"/>
  <c r="I123" i="12"/>
  <c r="J123" i="12"/>
  <c r="J134" i="12"/>
  <c r="N136" i="12" s="1"/>
  <c r="I134" i="12"/>
  <c r="M136" i="12" s="1"/>
  <c r="G74" i="12"/>
  <c r="T321" i="12" a="1"/>
  <c r="T321" i="12" s="1"/>
  <c r="T322" i="12"/>
  <c r="T323" i="12"/>
  <c r="R3" i="12"/>
  <c r="S301" i="12"/>
  <c r="U324" i="12"/>
  <c r="AF157" i="12"/>
  <c r="AF170" i="12"/>
  <c r="AG158" i="12"/>
  <c r="AG157" i="12"/>
  <c r="AG170" i="12"/>
  <c r="AH157" i="12"/>
  <c r="AH170" i="12"/>
  <c r="AH158" i="12"/>
  <c r="N245" i="12"/>
  <c r="N248" i="12"/>
  <c r="N253" i="12" s="1"/>
  <c r="L51" i="12"/>
  <c r="L52" i="12"/>
  <c r="L54" i="12"/>
  <c r="L59" i="12" s="1"/>
  <c r="P61" i="12" s="1"/>
  <c r="S151" i="12"/>
  <c r="S156" i="12" s="1"/>
  <c r="S148" i="12"/>
  <c r="M245" i="12"/>
  <c r="M248" i="12"/>
  <c r="M253" i="12" s="1"/>
  <c r="U140" i="12"/>
  <c r="U135" i="12"/>
  <c r="U136" i="12"/>
  <c r="Q246" i="12"/>
  <c r="Q248" i="12"/>
  <c r="Q253" i="12" s="1"/>
  <c r="Q245" i="12"/>
  <c r="P246" i="12"/>
  <c r="P248" i="12"/>
  <c r="P253" i="12" s="1"/>
  <c r="P245" i="12"/>
  <c r="V54" i="12"/>
  <c r="V59" i="12" s="1"/>
  <c r="V51" i="12"/>
  <c r="V52" i="12"/>
  <c r="Q140" i="12"/>
  <c r="Q135" i="12"/>
  <c r="Q136" i="12"/>
  <c r="Q61" i="12"/>
  <c r="Q73" i="12"/>
  <c r="Q60" i="12"/>
  <c r="R246" i="12"/>
  <c r="R248" i="12"/>
  <c r="R253" i="12" s="1"/>
  <c r="R245" i="12"/>
  <c r="O142" i="12"/>
  <c r="O147" i="12"/>
  <c r="S149" i="12" s="1"/>
  <c r="O141" i="12"/>
  <c r="O145" i="12"/>
  <c r="O52" i="12"/>
  <c r="O54" i="12"/>
  <c r="O59" i="12" s="1"/>
  <c r="O51" i="12"/>
  <c r="S52" i="12"/>
  <c r="L147" i="12"/>
  <c r="L141" i="12"/>
  <c r="L142" i="12"/>
  <c r="L145" i="12"/>
  <c r="P142" i="12"/>
  <c r="P147" i="12"/>
  <c r="P141" i="12"/>
  <c r="P145" i="12"/>
  <c r="U248" i="12"/>
  <c r="U253" i="12" s="1"/>
  <c r="U245" i="12"/>
  <c r="U246" i="12"/>
  <c r="K60" i="12"/>
  <c r="K61" i="12"/>
  <c r="K73" i="12"/>
  <c r="T147" i="12"/>
  <c r="T141" i="12"/>
  <c r="T142" i="12"/>
  <c r="T145" i="12"/>
  <c r="M87" i="12"/>
  <c r="M74" i="12"/>
  <c r="L245" i="12"/>
  <c r="K147" i="12"/>
  <c r="K141" i="12"/>
  <c r="K142" i="12"/>
  <c r="K145" i="12"/>
  <c r="R140" i="12"/>
  <c r="R135" i="12"/>
  <c r="R136" i="12"/>
  <c r="M147" i="12"/>
  <c r="M141" i="12"/>
  <c r="M145" i="12"/>
  <c r="P73" i="12"/>
  <c r="P60" i="12"/>
  <c r="O248" i="12"/>
  <c r="O253" i="12" s="1"/>
  <c r="O245" i="12"/>
  <c r="T73" i="12"/>
  <c r="T60" i="12"/>
  <c r="T61" i="12"/>
  <c r="S74" i="12"/>
  <c r="S87" i="12"/>
  <c r="V248" i="12"/>
  <c r="V253" i="12" s="1"/>
  <c r="V245" i="12"/>
  <c r="V246" i="12"/>
  <c r="P52" i="12"/>
  <c r="S248" i="12"/>
  <c r="S253" i="12" s="1"/>
  <c r="S245" i="12"/>
  <c r="S246" i="12"/>
  <c r="N87" i="12"/>
  <c r="N75" i="12"/>
  <c r="N74" i="12"/>
  <c r="V140" i="12"/>
  <c r="V135" i="12"/>
  <c r="V136" i="12"/>
  <c r="U54" i="12"/>
  <c r="U59" i="12" s="1"/>
  <c r="Y61" i="12" s="1"/>
  <c r="U51" i="12"/>
  <c r="U52" i="12"/>
  <c r="N147" i="12"/>
  <c r="N141" i="12"/>
  <c r="T248" i="12"/>
  <c r="T253" i="12" s="1"/>
  <c r="T245" i="12"/>
  <c r="T246" i="12"/>
  <c r="Y242" i="12"/>
  <c r="X324" i="12"/>
  <c r="AD244" i="12"/>
  <c r="AD245" i="12" s="1"/>
  <c r="AH87" i="12"/>
  <c r="AH88" i="12" s="1"/>
  <c r="AD238" i="12"/>
  <c r="AD242" i="12"/>
  <c r="Y239" i="12"/>
  <c r="Y238" i="12"/>
  <c r="AH244" i="12"/>
  <c r="AH248" i="12" s="1"/>
  <c r="AH253" i="12" s="1"/>
  <c r="AH242" i="12"/>
  <c r="AF54" i="12"/>
  <c r="AF59" i="12" s="1"/>
  <c r="AF51" i="12"/>
  <c r="AB324" i="12"/>
  <c r="AB60" i="12"/>
  <c r="AB73" i="12"/>
  <c r="AC323" i="12"/>
  <c r="AC322" i="12"/>
  <c r="AC321" i="12" a="1"/>
  <c r="AC321" i="12" s="1"/>
  <c r="AD301" i="12"/>
  <c r="AB2" i="12"/>
  <c r="AC2" i="12"/>
  <c r="AA2" i="12"/>
  <c r="AA1" i="12"/>
  <c r="AF301" i="12"/>
  <c r="AD2" i="12"/>
  <c r="W321" i="12" a="1"/>
  <c r="W321" i="12" s="1"/>
  <c r="W322" i="12"/>
  <c r="W323" i="12"/>
  <c r="L46" i="4"/>
  <c r="L25" i="4"/>
  <c r="K2" i="4"/>
  <c r="H74" i="12"/>
  <c r="H87" i="12"/>
  <c r="H88" i="12" s="1"/>
  <c r="S2" i="12"/>
  <c r="V2" i="12"/>
  <c r="T2" i="12"/>
  <c r="U2" i="12"/>
  <c r="S1" i="12"/>
  <c r="X135" i="12"/>
  <c r="X136" i="12"/>
  <c r="X140" i="12"/>
  <c r="AB142" i="12" s="1"/>
  <c r="Z123" i="12"/>
  <c r="Z124" i="12"/>
  <c r="Z134" i="12"/>
  <c r="AD136" i="12" s="1"/>
  <c r="G148" i="12"/>
  <c r="G151" i="12"/>
  <c r="G156" i="12" s="1"/>
  <c r="AD140" i="12"/>
  <c r="AD135" i="12"/>
  <c r="AB147" i="12"/>
  <c r="AB141" i="12"/>
  <c r="AB145" i="12"/>
  <c r="Y60" i="12"/>
  <c r="Y73" i="12"/>
  <c r="AD73" i="12"/>
  <c r="AD60" i="12"/>
  <c r="AA151" i="12"/>
  <c r="AA156" i="12" s="1"/>
  <c r="AA148" i="12"/>
  <c r="AC52" i="12"/>
  <c r="AC54" i="12"/>
  <c r="AC59" i="12" s="1"/>
  <c r="AC51" i="12"/>
  <c r="AB136" i="12"/>
  <c r="X246" i="12"/>
  <c r="Z54" i="12"/>
  <c r="Z59" i="12" s="1"/>
  <c r="AD61" i="12" s="1"/>
  <c r="Z52" i="12"/>
  <c r="Z51" i="12"/>
  <c r="K2" i="6"/>
  <c r="L43" i="6"/>
  <c r="AB239" i="12"/>
  <c r="AB244" i="12"/>
  <c r="AB238" i="12"/>
  <c r="AB242" i="12"/>
  <c r="W244" i="12"/>
  <c r="AA246" i="12" s="1"/>
  <c r="W238" i="12"/>
  <c r="W239" i="12"/>
  <c r="W242" i="12"/>
  <c r="AG54" i="12"/>
  <c r="AG59" i="12" s="1"/>
  <c r="AG52" i="12"/>
  <c r="AG51" i="12"/>
  <c r="AH52" i="12"/>
  <c r="X248" i="12"/>
  <c r="X253" i="12" s="1"/>
  <c r="X245" i="12"/>
  <c r="AA239" i="12"/>
  <c r="X54" i="12"/>
  <c r="X59" i="12" s="1"/>
  <c r="X51" i="12"/>
  <c r="X52" i="12"/>
  <c r="AB52" i="12"/>
  <c r="T58" i="14"/>
  <c r="W147" i="12"/>
  <c r="AA149" i="12" s="1"/>
  <c r="W142" i="12"/>
  <c r="W141" i="12"/>
  <c r="W145" i="12"/>
  <c r="I51" i="12"/>
  <c r="I54" i="12"/>
  <c r="I59" i="12" s="1"/>
  <c r="M61" i="12" s="1"/>
  <c r="H141" i="12"/>
  <c r="H147" i="12"/>
  <c r="H145" i="12"/>
  <c r="Z246" i="12"/>
  <c r="Z248" i="12"/>
  <c r="Z253" i="12" s="1"/>
  <c r="Z245" i="12"/>
  <c r="AG244" i="12"/>
  <c r="AG242" i="12"/>
  <c r="AG238" i="12"/>
  <c r="AG239" i="12"/>
  <c r="Y246" i="12"/>
  <c r="AA248" i="12"/>
  <c r="AA253" i="12" s="1"/>
  <c r="AA245" i="12"/>
  <c r="AC239" i="12"/>
  <c r="AC238" i="12"/>
  <c r="AC244" i="12"/>
  <c r="AC242" i="12"/>
  <c r="Y124" i="12"/>
  <c r="Y134" i="12"/>
  <c r="Y123" i="12"/>
  <c r="W54" i="12"/>
  <c r="W59" i="12" s="1"/>
  <c r="AA61" i="12" s="1"/>
  <c r="W51" i="12"/>
  <c r="W52" i="12"/>
  <c r="Y248" i="12"/>
  <c r="Y253" i="12" s="1"/>
  <c r="Y245" i="12"/>
  <c r="AA73" i="12"/>
  <c r="AA60" i="12"/>
  <c r="J244" i="12"/>
  <c r="N246" i="12" s="1"/>
  <c r="J238" i="12"/>
  <c r="J242" i="12"/>
  <c r="AA52" i="12"/>
  <c r="AC135" i="12"/>
  <c r="AC140" i="12"/>
  <c r="AH239" i="12"/>
  <c r="O246" i="12" l="1"/>
  <c r="K248" i="12"/>
  <c r="K253" i="12" s="1"/>
  <c r="R60" i="12"/>
  <c r="R73" i="12"/>
  <c r="R87" i="12" s="1"/>
  <c r="AD246" i="12"/>
  <c r="I135" i="12"/>
  <c r="I140" i="12"/>
  <c r="M142" i="12" s="1"/>
  <c r="J140" i="12"/>
  <c r="N142" i="12" s="1"/>
  <c r="J135" i="12"/>
  <c r="S321" i="12" a="1"/>
  <c r="S321" i="12" s="1"/>
  <c r="S322" i="12"/>
  <c r="S323" i="12"/>
  <c r="T324" i="12"/>
  <c r="Q3" i="12"/>
  <c r="R301" i="12"/>
  <c r="AH184" i="12"/>
  <c r="AH172" i="12"/>
  <c r="AH171" i="12"/>
  <c r="AG184" i="12"/>
  <c r="AG172" i="12"/>
  <c r="AG171" i="12"/>
  <c r="AF184" i="12"/>
  <c r="AF185" i="12" s="1"/>
  <c r="AF171" i="12"/>
  <c r="M267" i="12"/>
  <c r="M254" i="12"/>
  <c r="U147" i="12"/>
  <c r="U141" i="12"/>
  <c r="U142" i="12"/>
  <c r="U145" i="12"/>
  <c r="L148" i="12"/>
  <c r="L149" i="12"/>
  <c r="L151" i="12"/>
  <c r="L156" i="12" s="1"/>
  <c r="K267" i="12"/>
  <c r="K254" i="12"/>
  <c r="O61" i="12"/>
  <c r="O73" i="12"/>
  <c r="O60" i="12"/>
  <c r="S61" i="12"/>
  <c r="V267" i="12"/>
  <c r="V254" i="12"/>
  <c r="V255" i="12"/>
  <c r="V60" i="12"/>
  <c r="V73" i="12"/>
  <c r="V61" i="12"/>
  <c r="U73" i="12"/>
  <c r="Y75" i="12" s="1"/>
  <c r="U60" i="12"/>
  <c r="U61" i="12"/>
  <c r="K75" i="12"/>
  <c r="K87" i="12"/>
  <c r="K74" i="12"/>
  <c r="S170" i="12"/>
  <c r="S157" i="12"/>
  <c r="Q142" i="12"/>
  <c r="Q147" i="12"/>
  <c r="Q141" i="12"/>
  <c r="Q145" i="12"/>
  <c r="P255" i="12"/>
  <c r="P267" i="12"/>
  <c r="P254" i="12"/>
  <c r="R142" i="12"/>
  <c r="R147" i="12"/>
  <c r="R141" i="12"/>
  <c r="R145" i="12"/>
  <c r="U267" i="12"/>
  <c r="U254" i="12"/>
  <c r="U255" i="12"/>
  <c r="N148" i="12"/>
  <c r="N151" i="12"/>
  <c r="N156" i="12" s="1"/>
  <c r="O148" i="12"/>
  <c r="O149" i="12"/>
  <c r="O151" i="12"/>
  <c r="O156" i="12" s="1"/>
  <c r="S158" i="12" s="1"/>
  <c r="O255" i="12"/>
  <c r="O254" i="12"/>
  <c r="O267" i="12"/>
  <c r="L267" i="12"/>
  <c r="L254" i="12"/>
  <c r="Q255" i="12"/>
  <c r="Q267" i="12"/>
  <c r="Q254" i="12"/>
  <c r="Q87" i="12"/>
  <c r="Q74" i="12"/>
  <c r="Q75" i="12"/>
  <c r="M148" i="12"/>
  <c r="M151" i="12"/>
  <c r="M156" i="12" s="1"/>
  <c r="S88" i="12"/>
  <c r="N88" i="12"/>
  <c r="N89" i="12"/>
  <c r="S267" i="12"/>
  <c r="S254" i="12"/>
  <c r="S255" i="12"/>
  <c r="R255" i="12"/>
  <c r="R267" i="12"/>
  <c r="R254" i="12"/>
  <c r="N267" i="12"/>
  <c r="N254" i="12"/>
  <c r="M88" i="12"/>
  <c r="V147" i="12"/>
  <c r="V141" i="12"/>
  <c r="V142" i="12"/>
  <c r="V145" i="12"/>
  <c r="T267" i="12"/>
  <c r="T254" i="12"/>
  <c r="T255" i="12"/>
  <c r="P148" i="12"/>
  <c r="P149" i="12"/>
  <c r="P151" i="12"/>
  <c r="P156" i="12" s="1"/>
  <c r="T149" i="12"/>
  <c r="T151" i="12"/>
  <c r="T156" i="12" s="1"/>
  <c r="T148" i="12"/>
  <c r="T74" i="12"/>
  <c r="T75" i="12"/>
  <c r="T87" i="12"/>
  <c r="L60" i="12"/>
  <c r="L61" i="12"/>
  <c r="L73" i="12"/>
  <c r="P75" i="12" s="1"/>
  <c r="K148" i="12"/>
  <c r="K149" i="12"/>
  <c r="K151" i="12"/>
  <c r="K156" i="12" s="1"/>
  <c r="P87" i="12"/>
  <c r="P74" i="12"/>
  <c r="AD248" i="12"/>
  <c r="AD253" i="12" s="1"/>
  <c r="AD254" i="12" s="1"/>
  <c r="AH246" i="12"/>
  <c r="AH245" i="12"/>
  <c r="AF321" i="12" a="1"/>
  <c r="AF321" i="12" s="1"/>
  <c r="AF323" i="12"/>
  <c r="AF322" i="12"/>
  <c r="AF73" i="12"/>
  <c r="AF60" i="12"/>
  <c r="AB74" i="12"/>
  <c r="AB87" i="12"/>
  <c r="AB88" i="12" s="1"/>
  <c r="W324" i="12"/>
  <c r="AD321" i="12" a="1"/>
  <c r="AD321" i="12" s="1"/>
  <c r="AD323" i="12"/>
  <c r="AD322" i="12"/>
  <c r="AC324" i="12"/>
  <c r="K46" i="4"/>
  <c r="J2" i="4"/>
  <c r="K25" i="4"/>
  <c r="T59" i="14"/>
  <c r="J245" i="12"/>
  <c r="J248" i="12"/>
  <c r="J253" i="12" s="1"/>
  <c r="N255" i="12" s="1"/>
  <c r="X254" i="12"/>
  <c r="X267" i="12"/>
  <c r="H148" i="12"/>
  <c r="H151" i="12"/>
  <c r="H156" i="12" s="1"/>
  <c r="AD74" i="12"/>
  <c r="AD87" i="12"/>
  <c r="AC73" i="12"/>
  <c r="AC60" i="12"/>
  <c r="AC61" i="12"/>
  <c r="G157" i="12"/>
  <c r="G170" i="12"/>
  <c r="AA267" i="12"/>
  <c r="AA254" i="12"/>
  <c r="Z73" i="12"/>
  <c r="AD75" i="12" s="1"/>
  <c r="Z60" i="12"/>
  <c r="Z61" i="12"/>
  <c r="AB148" i="12"/>
  <c r="AB151" i="12"/>
  <c r="AB156" i="12" s="1"/>
  <c r="K43" i="6"/>
  <c r="J2" i="6"/>
  <c r="AG60" i="12"/>
  <c r="AG61" i="12"/>
  <c r="AG73" i="12"/>
  <c r="AH61" i="12"/>
  <c r="AA74" i="12"/>
  <c r="AA87" i="12"/>
  <c r="AC147" i="12"/>
  <c r="AC141" i="12"/>
  <c r="AC145" i="12"/>
  <c r="Y267" i="12"/>
  <c r="Y254" i="12"/>
  <c r="AA157" i="12"/>
  <c r="AA170" i="12"/>
  <c r="X147" i="12"/>
  <c r="AB149" i="12" s="1"/>
  <c r="X142" i="12"/>
  <c r="X141" i="12"/>
  <c r="X145" i="12"/>
  <c r="Y136" i="12"/>
  <c r="Y135" i="12"/>
  <c r="Y140" i="12"/>
  <c r="AC142" i="12" s="1"/>
  <c r="AC246" i="12"/>
  <c r="AC248" i="12"/>
  <c r="AC253" i="12" s="1"/>
  <c r="AC245" i="12"/>
  <c r="Y74" i="12"/>
  <c r="Y87" i="12"/>
  <c r="W73" i="12"/>
  <c r="AA75" i="12" s="1"/>
  <c r="W60" i="12"/>
  <c r="W61" i="12"/>
  <c r="AB245" i="12"/>
  <c r="AB248" i="12"/>
  <c r="AB253" i="12" s="1"/>
  <c r="AB246" i="12"/>
  <c r="AD147" i="12"/>
  <c r="AD141" i="12"/>
  <c r="AD145" i="12"/>
  <c r="Z135" i="12"/>
  <c r="Z136" i="12"/>
  <c r="Z140" i="12"/>
  <c r="AD142" i="12" s="1"/>
  <c r="AH254" i="12"/>
  <c r="AH267" i="12"/>
  <c r="W246" i="12"/>
  <c r="W245" i="12"/>
  <c r="W248" i="12"/>
  <c r="W253" i="12" s="1"/>
  <c r="Z267" i="12"/>
  <c r="Z255" i="12"/>
  <c r="Z254" i="12"/>
  <c r="I73" i="12"/>
  <c r="M75" i="12" s="1"/>
  <c r="I60" i="12"/>
  <c r="AC136" i="12"/>
  <c r="X61" i="12"/>
  <c r="X73" i="12"/>
  <c r="X60" i="12"/>
  <c r="AB61" i="12"/>
  <c r="AG246" i="12"/>
  <c r="AG245" i="12"/>
  <c r="AG248" i="12"/>
  <c r="AG253" i="12" s="1"/>
  <c r="W151" i="12"/>
  <c r="W156" i="12" s="1"/>
  <c r="AA158" i="12" s="1"/>
  <c r="W148" i="12"/>
  <c r="W149" i="12"/>
  <c r="R75" i="12" l="1"/>
  <c r="R74" i="12"/>
  <c r="I145" i="12"/>
  <c r="I141" i="12"/>
  <c r="J147" i="12"/>
  <c r="N149" i="12" s="1"/>
  <c r="I147" i="12"/>
  <c r="M149" i="12" s="1"/>
  <c r="J145" i="12"/>
  <c r="J141" i="12"/>
  <c r="AD255" i="12"/>
  <c r="AD267" i="12"/>
  <c r="AD281" i="12" s="1"/>
  <c r="R321" i="12" a="1"/>
  <c r="R321" i="12" s="1"/>
  <c r="R322" i="12"/>
  <c r="R323" i="12"/>
  <c r="P3" i="12"/>
  <c r="Q301" i="12"/>
  <c r="S324" i="12"/>
  <c r="AG186" i="12"/>
  <c r="AG185" i="12"/>
  <c r="AH185" i="12"/>
  <c r="AH186" i="12"/>
  <c r="S184" i="12"/>
  <c r="S171" i="12"/>
  <c r="P88" i="12"/>
  <c r="R148" i="12"/>
  <c r="R149" i="12"/>
  <c r="R151" i="12"/>
  <c r="R156" i="12" s="1"/>
  <c r="O87" i="12"/>
  <c r="O74" i="12"/>
  <c r="O75" i="12"/>
  <c r="S75" i="12"/>
  <c r="O281" i="12"/>
  <c r="O268" i="12"/>
  <c r="O269" i="12"/>
  <c r="O170" i="12"/>
  <c r="S172" i="12" s="1"/>
  <c r="O157" i="12"/>
  <c r="O158" i="12"/>
  <c r="K281" i="12"/>
  <c r="K268" i="12"/>
  <c r="V149" i="12"/>
  <c r="V151" i="12"/>
  <c r="V156" i="12" s="1"/>
  <c r="V148" i="12"/>
  <c r="Q281" i="12"/>
  <c r="Q268" i="12"/>
  <c r="Q269" i="12"/>
  <c r="K170" i="12"/>
  <c r="K157" i="12"/>
  <c r="K158" i="12"/>
  <c r="U74" i="12"/>
  <c r="U75" i="12"/>
  <c r="U87" i="12"/>
  <c r="Y89" i="12" s="1"/>
  <c r="T88" i="12"/>
  <c r="T89" i="12"/>
  <c r="K88" i="12"/>
  <c r="K89" i="12"/>
  <c r="M170" i="12"/>
  <c r="M157" i="12"/>
  <c r="N170" i="12"/>
  <c r="N157" i="12"/>
  <c r="U149" i="12"/>
  <c r="U151" i="12"/>
  <c r="U156" i="12" s="1"/>
  <c r="U148" i="12"/>
  <c r="U269" i="12"/>
  <c r="U281" i="12"/>
  <c r="U268" i="12"/>
  <c r="L170" i="12"/>
  <c r="L157" i="12"/>
  <c r="L158" i="12"/>
  <c r="P170" i="12"/>
  <c r="P157" i="12"/>
  <c r="P158" i="12"/>
  <c r="S269" i="12"/>
  <c r="S268" i="12"/>
  <c r="S281" i="12"/>
  <c r="T269" i="12"/>
  <c r="T281" i="12"/>
  <c r="T268" i="12"/>
  <c r="R88" i="12"/>
  <c r="R89" i="12"/>
  <c r="V74" i="12"/>
  <c r="V75" i="12"/>
  <c r="V87" i="12"/>
  <c r="Q148" i="12"/>
  <c r="Q149" i="12"/>
  <c r="Q151" i="12"/>
  <c r="Q156" i="12" s="1"/>
  <c r="V269" i="12"/>
  <c r="V281" i="12"/>
  <c r="V268" i="12"/>
  <c r="R281" i="12"/>
  <c r="R268" i="12"/>
  <c r="R269" i="12"/>
  <c r="L281" i="12"/>
  <c r="L268" i="12"/>
  <c r="L75" i="12"/>
  <c r="L87" i="12"/>
  <c r="P89" i="12" s="1"/>
  <c r="L74" i="12"/>
  <c r="P281" i="12"/>
  <c r="P268" i="12"/>
  <c r="P269" i="12"/>
  <c r="T158" i="12"/>
  <c r="T170" i="12"/>
  <c r="T157" i="12"/>
  <c r="N281" i="12"/>
  <c r="N268" i="12"/>
  <c r="Q88" i="12"/>
  <c r="Q89" i="12"/>
  <c r="M281" i="12"/>
  <c r="M268" i="12"/>
  <c r="AF324" i="12"/>
  <c r="AF87" i="12"/>
  <c r="AF88" i="12" s="1"/>
  <c r="AF74" i="12"/>
  <c r="AD324" i="12"/>
  <c r="I2" i="4"/>
  <c r="J25" i="4"/>
  <c r="J46" i="4"/>
  <c r="X269" i="12"/>
  <c r="AD88" i="12"/>
  <c r="J254" i="12"/>
  <c r="J267" i="12"/>
  <c r="N269" i="12" s="1"/>
  <c r="W255" i="12"/>
  <c r="W267" i="12"/>
  <c r="AA269" i="12" s="1"/>
  <c r="W254" i="12"/>
  <c r="Z141" i="12"/>
  <c r="Z147" i="12"/>
  <c r="AD149" i="12" s="1"/>
  <c r="Z142" i="12"/>
  <c r="Z145" i="12"/>
  <c r="W87" i="12"/>
  <c r="W74" i="12"/>
  <c r="W75" i="12"/>
  <c r="AA171" i="12"/>
  <c r="AA184" i="12"/>
  <c r="AB157" i="12"/>
  <c r="AB170" i="12"/>
  <c r="AB255" i="12"/>
  <c r="AB267" i="12"/>
  <c r="AB254" i="12"/>
  <c r="J43" i="6"/>
  <c r="I2" i="6"/>
  <c r="X255" i="12"/>
  <c r="X281" i="12"/>
  <c r="X268" i="12"/>
  <c r="Y269" i="12"/>
  <c r="AC151" i="12"/>
  <c r="AC156" i="12" s="1"/>
  <c r="AC148" i="12"/>
  <c r="G171" i="12"/>
  <c r="G184" i="12"/>
  <c r="G185" i="12" s="1"/>
  <c r="Y142" i="12"/>
  <c r="Y141" i="12"/>
  <c r="Y147" i="12"/>
  <c r="Y145" i="12"/>
  <c r="AC74" i="12"/>
  <c r="AC75" i="12"/>
  <c r="AC87" i="12"/>
  <c r="Z268" i="12"/>
  <c r="Z281" i="12"/>
  <c r="Z269" i="12"/>
  <c r="Z74" i="12"/>
  <c r="Z75" i="12"/>
  <c r="Z87" i="12"/>
  <c r="AD89" i="12" s="1"/>
  <c r="H157" i="12"/>
  <c r="H170" i="12"/>
  <c r="AD148" i="12"/>
  <c r="AD151" i="12"/>
  <c r="AD156" i="12" s="1"/>
  <c r="AA255" i="12"/>
  <c r="T60" i="14"/>
  <c r="AA88" i="12"/>
  <c r="Y255" i="12"/>
  <c r="AA281" i="12"/>
  <c r="AA268" i="12"/>
  <c r="AG255" i="12"/>
  <c r="AG254" i="12"/>
  <c r="AG267" i="12"/>
  <c r="AH281" i="12"/>
  <c r="AH268" i="12"/>
  <c r="W158" i="12"/>
  <c r="W157" i="12"/>
  <c r="W170" i="12"/>
  <c r="X149" i="12"/>
  <c r="X151" i="12"/>
  <c r="X156" i="12" s="1"/>
  <c r="AB158" i="12" s="1"/>
  <c r="X148" i="12"/>
  <c r="Y88" i="12"/>
  <c r="X74" i="12"/>
  <c r="X87" i="12"/>
  <c r="X75" i="12"/>
  <c r="AB75" i="12"/>
  <c r="I87" i="12"/>
  <c r="M89" i="12" s="1"/>
  <c r="I74" i="12"/>
  <c r="AH255" i="12"/>
  <c r="AC254" i="12"/>
  <c r="AC267" i="12"/>
  <c r="AC255" i="12"/>
  <c r="Y268" i="12"/>
  <c r="Y281" i="12"/>
  <c r="AG74" i="12"/>
  <c r="AG87" i="12"/>
  <c r="AG75" i="12"/>
  <c r="AH75" i="12"/>
  <c r="J151" i="12" l="1"/>
  <c r="J156" i="12" s="1"/>
  <c r="N158" i="12" s="1"/>
  <c r="J148" i="12"/>
  <c r="I148" i="12"/>
  <c r="I151" i="12"/>
  <c r="I156" i="12" s="1"/>
  <c r="M158" i="12" s="1"/>
  <c r="AD269" i="12"/>
  <c r="AD268" i="12"/>
  <c r="O3" i="12"/>
  <c r="P301" i="12"/>
  <c r="Q321" i="12" a="1"/>
  <c r="Q321" i="12" s="1"/>
  <c r="Q322" i="12"/>
  <c r="Q323" i="12"/>
  <c r="R324" i="12"/>
  <c r="R170" i="12"/>
  <c r="R157" i="12"/>
  <c r="R158" i="12"/>
  <c r="O282" i="12"/>
  <c r="O283" i="12"/>
  <c r="N184" i="12"/>
  <c r="N171" i="12"/>
  <c r="U282" i="12"/>
  <c r="U283" i="12"/>
  <c r="O88" i="12"/>
  <c r="O89" i="12"/>
  <c r="S89" i="12"/>
  <c r="T184" i="12"/>
  <c r="T171" i="12"/>
  <c r="T172" i="12"/>
  <c r="M184" i="12"/>
  <c r="M171" i="12"/>
  <c r="U158" i="12"/>
  <c r="U170" i="12"/>
  <c r="U157" i="12"/>
  <c r="T282" i="12"/>
  <c r="T283" i="12"/>
  <c r="N282" i="12"/>
  <c r="V158" i="12"/>
  <c r="V170" i="12"/>
  <c r="V157" i="12"/>
  <c r="R282" i="12"/>
  <c r="R283" i="12"/>
  <c r="V282" i="12"/>
  <c r="V283" i="12"/>
  <c r="K184" i="12"/>
  <c r="K171" i="12"/>
  <c r="K172" i="12"/>
  <c r="S282" i="12"/>
  <c r="S283" i="12"/>
  <c r="P184" i="12"/>
  <c r="P171" i="12"/>
  <c r="P172" i="12"/>
  <c r="K282" i="12"/>
  <c r="L88" i="12"/>
  <c r="L89" i="12"/>
  <c r="M282" i="12"/>
  <c r="L282" i="12"/>
  <c r="Q170" i="12"/>
  <c r="Q157" i="12"/>
  <c r="Q158" i="12"/>
  <c r="P282" i="12"/>
  <c r="P283" i="12"/>
  <c r="V89" i="12"/>
  <c r="V88" i="12"/>
  <c r="L184" i="12"/>
  <c r="L171" i="12"/>
  <c r="L172" i="12"/>
  <c r="O184" i="12"/>
  <c r="O171" i="12"/>
  <c r="O172" i="12"/>
  <c r="Q282" i="12"/>
  <c r="Q283" i="12"/>
  <c r="U88" i="12"/>
  <c r="U89" i="12"/>
  <c r="S185" i="12"/>
  <c r="O1" i="12"/>
  <c r="R2" i="12"/>
  <c r="Q2" i="12"/>
  <c r="P2" i="12"/>
  <c r="O2" i="12"/>
  <c r="H2" i="4"/>
  <c r="I25" i="4"/>
  <c r="I46" i="4"/>
  <c r="H2" i="6"/>
  <c r="I43" i="6"/>
  <c r="AB171" i="12"/>
  <c r="AB184" i="12"/>
  <c r="AD283" i="12"/>
  <c r="AD282" i="12"/>
  <c r="AA282" i="12"/>
  <c r="Y148" i="12"/>
  <c r="Y151" i="12"/>
  <c r="Y156" i="12" s="1"/>
  <c r="AC158" i="12" s="1"/>
  <c r="Y149" i="12"/>
  <c r="Z149" i="12"/>
  <c r="Z151" i="12"/>
  <c r="Z156" i="12" s="1"/>
  <c r="AD158" i="12" s="1"/>
  <c r="Z148" i="12"/>
  <c r="AG268" i="12"/>
  <c r="AG281" i="12"/>
  <c r="AH283" i="12" s="1"/>
  <c r="AG269" i="12"/>
  <c r="Y282" i="12"/>
  <c r="Z89" i="12"/>
  <c r="Z88" i="12"/>
  <c r="AA185" i="12"/>
  <c r="AH282" i="12"/>
  <c r="W171" i="12"/>
  <c r="W184" i="12"/>
  <c r="AA186" i="12" s="1"/>
  <c r="W172" i="12"/>
  <c r="AA172" i="12"/>
  <c r="W268" i="12"/>
  <c r="W269" i="12"/>
  <c r="W281" i="12"/>
  <c r="I88" i="12"/>
  <c r="X158" i="12"/>
  <c r="X157" i="12"/>
  <c r="X170" i="12"/>
  <c r="AB172" i="12" s="1"/>
  <c r="AC149" i="12"/>
  <c r="AB268" i="12"/>
  <c r="AB269" i="12"/>
  <c r="AB281" i="12"/>
  <c r="W88" i="12"/>
  <c r="W89" i="12"/>
  <c r="AA89" i="12"/>
  <c r="Z282" i="12"/>
  <c r="Z283" i="12"/>
  <c r="J281" i="12"/>
  <c r="J282" i="12" s="1"/>
  <c r="J268" i="12"/>
  <c r="H184" i="12"/>
  <c r="H185" i="12" s="1"/>
  <c r="H171" i="12"/>
  <c r="AC170" i="12"/>
  <c r="AC157" i="12"/>
  <c r="T61" i="14"/>
  <c r="AC281" i="12"/>
  <c r="AC269" i="12"/>
  <c r="AC268" i="12"/>
  <c r="AG88" i="12"/>
  <c r="AG89" i="12"/>
  <c r="AH89" i="12"/>
  <c r="X88" i="12"/>
  <c r="X89" i="12"/>
  <c r="AB89" i="12"/>
  <c r="AH269" i="12"/>
  <c r="AD157" i="12"/>
  <c r="AD170" i="12"/>
  <c r="AC88" i="12"/>
  <c r="AC89" i="12"/>
  <c r="X282" i="12"/>
  <c r="J157" i="12" l="1"/>
  <c r="J170" i="12"/>
  <c r="N172" i="12" s="1"/>
  <c r="I157" i="12"/>
  <c r="I170" i="12"/>
  <c r="M172" i="12" s="1"/>
  <c r="N283" i="12"/>
  <c r="Q324" i="12"/>
  <c r="P321" i="12" a="1"/>
  <c r="P321" i="12" s="1"/>
  <c r="P322" i="12"/>
  <c r="P323" i="12"/>
  <c r="N3" i="12"/>
  <c r="O301" i="12"/>
  <c r="V184" i="12"/>
  <c r="V171" i="12"/>
  <c r="V172" i="12"/>
  <c r="N185" i="12"/>
  <c r="L186" i="12"/>
  <c r="L185" i="12"/>
  <c r="U184" i="12"/>
  <c r="U171" i="12"/>
  <c r="U172" i="12"/>
  <c r="P185" i="12"/>
  <c r="P186" i="12"/>
  <c r="T185" i="12"/>
  <c r="T186" i="12"/>
  <c r="O185" i="12"/>
  <c r="O186" i="12"/>
  <c r="Q184" i="12"/>
  <c r="Q171" i="12"/>
  <c r="Q172" i="12"/>
  <c r="K186" i="12"/>
  <c r="K185" i="12"/>
  <c r="S186" i="12"/>
  <c r="M185" i="12"/>
  <c r="R184" i="12"/>
  <c r="R171" i="12"/>
  <c r="R172" i="12"/>
  <c r="H46" i="4"/>
  <c r="H25" i="4"/>
  <c r="G2" i="4"/>
  <c r="Z170" i="12"/>
  <c r="AD172" i="12" s="1"/>
  <c r="Z158" i="12"/>
  <c r="Z157" i="12"/>
  <c r="AB185" i="12"/>
  <c r="W282" i="12"/>
  <c r="W283" i="12"/>
  <c r="X283" i="12"/>
  <c r="AB282" i="12"/>
  <c r="AB283" i="12"/>
  <c r="X171" i="12"/>
  <c r="X172" i="12"/>
  <c r="X184" i="12"/>
  <c r="AB186" i="12" s="1"/>
  <c r="Y283" i="12"/>
  <c r="W185" i="12"/>
  <c r="W186" i="12"/>
  <c r="AG282" i="12"/>
  <c r="AG283" i="12"/>
  <c r="H43" i="6"/>
  <c r="G2" i="6"/>
  <c r="AD184" i="12"/>
  <c r="AD171" i="12"/>
  <c r="AC283" i="12"/>
  <c r="AC282" i="12"/>
  <c r="AC171" i="12"/>
  <c r="AC184" i="12"/>
  <c r="Y157" i="12"/>
  <c r="Y158" i="12"/>
  <c r="Y170" i="12"/>
  <c r="AC172" i="12" s="1"/>
  <c r="AA283" i="12"/>
  <c r="J171" i="12" l="1"/>
  <c r="J184" i="12"/>
  <c r="J185" i="12" s="1"/>
  <c r="I184" i="12"/>
  <c r="I185" i="12" s="1"/>
  <c r="I171" i="12"/>
  <c r="O321" i="12" a="1"/>
  <c r="O321" i="12" s="1"/>
  <c r="O322" i="12"/>
  <c r="O323" i="12"/>
  <c r="M3" i="12"/>
  <c r="N301" i="12"/>
  <c r="P324" i="12"/>
  <c r="R185" i="12"/>
  <c r="R186" i="12"/>
  <c r="U185" i="12"/>
  <c r="U186" i="12"/>
  <c r="Q185" i="12"/>
  <c r="Q186" i="12"/>
  <c r="V185" i="12"/>
  <c r="V186" i="12"/>
  <c r="AG301" i="12"/>
  <c r="G25" i="4"/>
  <c r="S59" i="4" s="1" a="1"/>
  <c r="S59" i="4" s="1"/>
  <c r="G46" i="4"/>
  <c r="Y171" i="12"/>
  <c r="Y184" i="12"/>
  <c r="AC186" i="12" s="1"/>
  <c r="Y172" i="12"/>
  <c r="F2" i="6"/>
  <c r="G43" i="6"/>
  <c r="AD185" i="12"/>
  <c r="X186" i="12"/>
  <c r="X185" i="12"/>
  <c r="Z172" i="12"/>
  <c r="Z171" i="12"/>
  <c r="Z184" i="12"/>
  <c r="AD186" i="12" s="1"/>
  <c r="AC185" i="12"/>
  <c r="N186" i="12" l="1"/>
  <c r="M186" i="12"/>
  <c r="N321" i="12" a="1"/>
  <c r="N321" i="12" s="1"/>
  <c r="N322" i="12"/>
  <c r="N323" i="12"/>
  <c r="L3" i="12"/>
  <c r="M301" i="12"/>
  <c r="O324" i="12"/>
  <c r="AG321" i="12" a="1"/>
  <c r="AG321" i="12" s="1"/>
  <c r="AG323" i="12"/>
  <c r="AG322" i="12"/>
  <c r="W77" i="6"/>
  <c r="W85" i="6"/>
  <c r="U85" i="6"/>
  <c r="U69" i="6"/>
  <c r="F43" i="6"/>
  <c r="V77" i="6"/>
  <c r="U77" i="6"/>
  <c r="W69" i="6"/>
  <c r="V85" i="6"/>
  <c r="V69" i="6"/>
  <c r="U61" i="6"/>
  <c r="V61" i="6"/>
  <c r="W61" i="6"/>
  <c r="Y186" i="12"/>
  <c r="Y185" i="12"/>
  <c r="Z185" i="12"/>
  <c r="Z186" i="12"/>
  <c r="N324" i="12" l="1"/>
  <c r="K3" i="12"/>
  <c r="L301" i="12"/>
  <c r="M321" i="12" a="1"/>
  <c r="M321" i="12" s="1"/>
  <c r="M322" i="12"/>
  <c r="M323" i="12"/>
  <c r="K1" i="12"/>
  <c r="K2" i="12"/>
  <c r="N2" i="12"/>
  <c r="M2" i="12"/>
  <c r="L2" i="12"/>
  <c r="AG324" i="12"/>
  <c r="T62" i="6" a="1"/>
  <c r="T78" i="6" a="1"/>
  <c r="T70" i="6" a="1"/>
  <c r="T86" i="6" a="1"/>
  <c r="M324" i="12" l="1"/>
  <c r="L323" i="12"/>
  <c r="L321" i="12" a="1"/>
  <c r="L321" i="12" s="1"/>
  <c r="L322" i="12"/>
  <c r="J3" i="12"/>
  <c r="K301" i="12"/>
  <c r="J40" i="11"/>
  <c r="T86" i="6"/>
  <c r="T70" i="6"/>
  <c r="T78" i="6"/>
  <c r="T62" i="6"/>
  <c r="L324" i="12" l="1"/>
  <c r="K321" i="12" a="1"/>
  <c r="K321" i="12" s="1"/>
  <c r="K322" i="12"/>
  <c r="K323" i="12"/>
  <c r="I3" i="12"/>
  <c r="G2" i="12"/>
  <c r="H2" i="12"/>
  <c r="I2" i="12"/>
  <c r="J2" i="12"/>
  <c r="G1" i="12"/>
  <c r="J301" i="12"/>
  <c r="AH301" i="12"/>
  <c r="K324" i="12" l="1"/>
  <c r="J321" i="12" a="1"/>
  <c r="J321" i="12" s="1"/>
  <c r="J323" i="12"/>
  <c r="J322" i="12"/>
  <c r="H3" i="12"/>
  <c r="I301" i="12"/>
  <c r="AH321" i="12" a="1"/>
  <c r="AH321" i="12" s="1"/>
  <c r="AH322" i="12"/>
  <c r="AH323" i="12"/>
  <c r="G3" i="12" l="1"/>
  <c r="H301" i="12"/>
  <c r="J324" i="12"/>
  <c r="AH324" i="12"/>
  <c r="F51" i="6" l="1" a="1"/>
  <c r="F51" i="6" s="1"/>
  <c r="F44" i="6" a="1"/>
  <c r="F44" i="6" s="1"/>
  <c r="F47" i="6" a="1"/>
  <c r="F47" i="6" s="1"/>
  <c r="H24" i="3" a="1"/>
  <c r="H24" i="3" s="1"/>
  <c r="G23" i="1" a="1"/>
  <c r="G23" i="1" s="1"/>
  <c r="H26" i="3" a="1"/>
  <c r="H26" i="3" s="1"/>
  <c r="G15" i="1" a="1"/>
  <c r="G15" i="1" s="1"/>
  <c r="H36" i="3" a="1"/>
  <c r="H36" i="3" s="1"/>
  <c r="H51" i="6" a="1"/>
  <c r="H51" i="6" s="1"/>
  <c r="G33" i="1" a="1"/>
  <c r="G33" i="1" s="1"/>
  <c r="M24" i="9" a="1"/>
  <c r="M24" i="9" s="1"/>
  <c r="H45" i="3" a="1"/>
  <c r="H45" i="3" s="1"/>
  <c r="I51" i="6" a="1"/>
  <c r="I51" i="6" s="1"/>
  <c r="G44" i="6" a="1"/>
  <c r="G44" i="6" s="1"/>
  <c r="H43" i="3" a="1"/>
  <c r="H43" i="3" s="1"/>
  <c r="G21" i="1" a="1"/>
  <c r="G21" i="1" s="1"/>
  <c r="H44" i="3" a="1"/>
  <c r="H44" i="3" s="1"/>
  <c r="G51" i="6" a="1"/>
  <c r="G51" i="6" s="1"/>
  <c r="G45" i="1" a="1"/>
  <c r="G45" i="1" s="1"/>
  <c r="H23" i="3" a="1"/>
  <c r="H23" i="3" s="1"/>
  <c r="G47" i="6" a="1"/>
  <c r="G47" i="6" s="1"/>
  <c r="G47" i="1" a="1"/>
  <c r="G47" i="1" s="1"/>
  <c r="G24" i="1" a="1"/>
  <c r="G24" i="1" s="1"/>
  <c r="H41" i="3" a="1"/>
  <c r="H41" i="3" s="1"/>
  <c r="H25" i="3" a="1"/>
  <c r="H25" i="3" s="1"/>
  <c r="I47" i="6" a="1"/>
  <c r="I47" i="6" s="1"/>
  <c r="H28" i="3" a="1"/>
  <c r="H28" i="3" s="1"/>
  <c r="H22" i="3" a="1"/>
  <c r="H22" i="3" s="1"/>
  <c r="G12" i="1" a="1"/>
  <c r="G12" i="1" s="1"/>
  <c r="H21" i="3" a="1"/>
  <c r="H21" i="3" s="1"/>
  <c r="G26" i="1" a="1"/>
  <c r="G26" i="1" s="1"/>
  <c r="G24" i="9" a="1"/>
  <c r="G24" i="9" s="1"/>
  <c r="G23" i="9" s="1"/>
  <c r="H39" i="3" a="1"/>
  <c r="H39" i="3" s="1"/>
  <c r="H16" i="3" a="1"/>
  <c r="H16" i="3" s="1"/>
  <c r="H40" i="3" a="1"/>
  <c r="H40" i="3" s="1"/>
  <c r="G13" i="1" a="1"/>
  <c r="G13" i="1" s="1"/>
  <c r="G14" i="1" a="1"/>
  <c r="G14" i="1" s="1"/>
  <c r="H17" i="3" a="1"/>
  <c r="H17" i="3" s="1"/>
  <c r="H27" i="3" a="1"/>
  <c r="H27" i="3" s="1"/>
  <c r="G41" i="1" a="1"/>
  <c r="G41" i="1" s="1"/>
  <c r="G22" i="1" a="1"/>
  <c r="G22" i="1" s="1"/>
  <c r="G31" i="1" a="1"/>
  <c r="G31" i="1" s="1"/>
  <c r="G11" i="1" a="1"/>
  <c r="G11" i="1" s="1"/>
  <c r="H15" i="3" a="1"/>
  <c r="H15" i="3" s="1"/>
  <c r="G46" i="1" a="1"/>
  <c r="G46" i="1" s="1"/>
  <c r="W49" i="14" a="1"/>
  <c r="W49" i="14" s="1"/>
  <c r="I44" i="6" a="1"/>
  <c r="I44" i="6" s="1"/>
  <c r="H47" i="6" a="1"/>
  <c r="H47" i="6" s="1"/>
  <c r="G32" i="1" a="1"/>
  <c r="G32" i="1" s="1"/>
  <c r="G34" i="1" a="1"/>
  <c r="G34" i="1" s="1"/>
  <c r="G301" i="12"/>
  <c r="H11" i="3" a="1"/>
  <c r="H11" i="3" s="1"/>
  <c r="G20" i="1" a="1"/>
  <c r="G20" i="1" s="1"/>
  <c r="H29" i="3" a="1"/>
  <c r="H29" i="3" s="1"/>
  <c r="H42" i="3" a="1"/>
  <c r="H42" i="3" s="1"/>
  <c r="G36" i="1" a="1"/>
  <c r="G36" i="1" s="1"/>
  <c r="H44" i="6" a="1"/>
  <c r="H44" i="6" s="1"/>
  <c r="H30" i="3" a="1"/>
  <c r="H30" i="3" s="1"/>
  <c r="G17" i="1" a="1"/>
  <c r="G17" i="1" s="1"/>
  <c r="H38" i="3" a="1"/>
  <c r="H38" i="3" s="1"/>
  <c r="G30" i="1" a="1"/>
  <c r="G30" i="1" s="1"/>
  <c r="H37" i="3" a="1"/>
  <c r="H37" i="3" s="1"/>
  <c r="Y49" i="14" a="1"/>
  <c r="Y49" i="14" s="1"/>
  <c r="H14" i="3" a="1"/>
  <c r="H14" i="3" s="1"/>
  <c r="P23" i="1" a="1"/>
  <c r="P23" i="1" s="1"/>
  <c r="K17" i="1" a="1"/>
  <c r="K17" i="1" s="1"/>
  <c r="I42" i="3" a="1"/>
  <c r="I42" i="3" s="1"/>
  <c r="Q47" i="1" a="1"/>
  <c r="Q47" i="1" s="1"/>
  <c r="L38" i="3" a="1"/>
  <c r="L38" i="3" s="1"/>
  <c r="N26" i="4" a="1"/>
  <c r="N26" i="4" s="1"/>
  <c r="L22" i="3" a="1"/>
  <c r="L22" i="3" s="1"/>
  <c r="V59" i="14" a="1"/>
  <c r="V59" i="14" s="1"/>
  <c r="W53" i="14" a="1"/>
  <c r="W53" i="14" s="1"/>
  <c r="L47" i="6" a="1"/>
  <c r="L47" i="6" s="1"/>
  <c r="I46" i="1" a="1"/>
  <c r="I46" i="1" s="1"/>
  <c r="M47" i="6" a="1"/>
  <c r="M47" i="6" s="1"/>
  <c r="L42" i="3" a="1"/>
  <c r="L42" i="3" s="1"/>
  <c r="Q41" i="1" a="1"/>
  <c r="Q41" i="1" s="1"/>
  <c r="K27" i="4" a="1"/>
  <c r="K27" i="4" s="1"/>
  <c r="P34" i="1" a="1"/>
  <c r="P34" i="1" s="1"/>
  <c r="H13" i="1" a="1"/>
  <c r="H13" i="1" s="1"/>
  <c r="K38" i="1" a="1"/>
  <c r="K38" i="1" s="1"/>
  <c r="J28" i="4" a="1"/>
  <c r="J28" i="4" s="1"/>
  <c r="G28" i="4" a="1"/>
  <c r="G28" i="4" s="1"/>
  <c r="K44" i="6" a="1"/>
  <c r="K44" i="6" s="1"/>
  <c r="J34" i="1" a="1"/>
  <c r="J34" i="1" s="1"/>
  <c r="H11" i="1" a="1"/>
  <c r="H11" i="1" s="1"/>
  <c r="J20" i="1" a="1"/>
  <c r="J20" i="1" s="1"/>
  <c r="P24" i="9" a="1"/>
  <c r="P24" i="9" s="1"/>
  <c r="L20" i="1" a="1"/>
  <c r="L20" i="1" s="1"/>
  <c r="G35" i="4" a="1"/>
  <c r="G35" i="4" s="1"/>
  <c r="L41" i="3" a="1"/>
  <c r="L41" i="3" s="1"/>
  <c r="H33" i="1" a="1"/>
  <c r="H33" i="1" s="1"/>
  <c r="J40" i="3" a="1"/>
  <c r="J40" i="3" s="1"/>
  <c r="L22" i="1" a="1"/>
  <c r="L22" i="1" s="1"/>
  <c r="P43" i="1" a="1"/>
  <c r="P43" i="1" s="1"/>
  <c r="L16" i="3" a="1"/>
  <c r="L16" i="3" s="1"/>
  <c r="I25" i="3" a="1"/>
  <c r="I25" i="3" s="1"/>
  <c r="K38" i="3" a="1"/>
  <c r="K38" i="3" s="1"/>
  <c r="P21" i="1" a="1"/>
  <c r="P21" i="1" s="1"/>
  <c r="L23" i="3" a="1"/>
  <c r="L23" i="3" s="1"/>
  <c r="I15" i="3" a="1"/>
  <c r="I15" i="3" s="1"/>
  <c r="U54" i="14" a="1"/>
  <c r="U54" i="14" s="1"/>
  <c r="H21" i="1" a="1"/>
  <c r="H21" i="1" s="1"/>
  <c r="L39" i="3" a="1"/>
  <c r="L39" i="3" s="1"/>
  <c r="K14" i="1" a="1"/>
  <c r="K14" i="1" s="1"/>
  <c r="K11" i="3" a="1"/>
  <c r="K11" i="3" s="1"/>
  <c r="L26" i="1" a="1"/>
  <c r="L26" i="1" s="1"/>
  <c r="K36" i="3" a="1"/>
  <c r="K36" i="3" s="1"/>
  <c r="P17" i="1" a="1"/>
  <c r="P17" i="1" s="1"/>
  <c r="U52" i="14" a="1"/>
  <c r="U52" i="14" s="1"/>
  <c r="O34" i="4" a="1"/>
  <c r="O34" i="4" s="1"/>
  <c r="L26" i="3" a="1"/>
  <c r="L26" i="3" s="1"/>
  <c r="J21" i="3" a="1"/>
  <c r="J21" i="3" s="1"/>
  <c r="L37" i="3" a="1"/>
  <c r="L37" i="3" s="1"/>
  <c r="P32" i="1" a="1"/>
  <c r="P32" i="1" s="1"/>
  <c r="I43" i="4" a="1"/>
  <c r="I43" i="4" s="1"/>
  <c r="N43" i="4" a="1"/>
  <c r="N43" i="4" s="1"/>
  <c r="K39" i="3" a="1"/>
  <c r="K39" i="3" s="1"/>
  <c r="Y51" i="14" a="1"/>
  <c r="Y51" i="14" s="1"/>
  <c r="J34" i="4" a="1"/>
  <c r="J34" i="4" s="1"/>
  <c r="U50" i="14" a="1"/>
  <c r="U50" i="14" s="1"/>
  <c r="K26" i="3" a="1"/>
  <c r="K26" i="3" s="1"/>
  <c r="N27" i="4" a="1"/>
  <c r="N27" i="4" s="1"/>
  <c r="L45" i="3" a="1"/>
  <c r="L45" i="3" s="1"/>
  <c r="J24" i="1" a="1"/>
  <c r="J24" i="1" s="1"/>
  <c r="J14" i="3" a="1"/>
  <c r="J14" i="3" s="1"/>
  <c r="K20" i="1" a="1"/>
  <c r="K20" i="1" s="1"/>
  <c r="L27" i="3" a="1"/>
  <c r="L27" i="3" s="1"/>
  <c r="J33" i="1" a="1"/>
  <c r="J33" i="1" s="1"/>
  <c r="K41" i="1" a="1"/>
  <c r="K41" i="1" s="1"/>
  <c r="N32" i="4" a="1"/>
  <c r="N32" i="4" s="1"/>
  <c r="I17" i="1" a="1"/>
  <c r="I17" i="1" s="1"/>
  <c r="P13" i="1" a="1"/>
  <c r="P13" i="1" s="1"/>
  <c r="K26" i="1" a="1"/>
  <c r="K26" i="1" s="1"/>
  <c r="I43" i="3" a="1"/>
  <c r="I43" i="3" s="1"/>
  <c r="J30" i="3" a="1"/>
  <c r="J30" i="3" s="1"/>
  <c r="J26" i="1" a="1"/>
  <c r="J26" i="1" s="1"/>
  <c r="K33" i="1" a="1"/>
  <c r="K33" i="1" s="1"/>
  <c r="Q12" i="1" a="1"/>
  <c r="Q12" i="1" s="1"/>
  <c r="K42" i="3" a="1"/>
  <c r="K42" i="3" s="1"/>
  <c r="O35" i="4" a="1"/>
  <c r="O35" i="4" s="1"/>
  <c r="P24" i="1" a="1"/>
  <c r="P24" i="1" s="1"/>
  <c r="Q45" i="1" a="1"/>
  <c r="Q45" i="1" s="1"/>
  <c r="K51" i="6" a="1"/>
  <c r="K51" i="6" s="1"/>
  <c r="K31" i="1" a="1"/>
  <c r="K31" i="1" s="1"/>
  <c r="K45" i="3" a="1"/>
  <c r="K45" i="3" s="1"/>
  <c r="W54" i="14" a="1"/>
  <c r="W54" i="14" s="1"/>
  <c r="L26" i="4" a="1"/>
  <c r="L26" i="4" s="1"/>
  <c r="I26" i="1" a="1"/>
  <c r="I26" i="1" s="1"/>
  <c r="L35" i="4" a="1"/>
  <c r="L35" i="4" s="1"/>
  <c r="Q47" i="6" a="1"/>
  <c r="Q47" i="6" s="1"/>
  <c r="L43" i="4" a="1"/>
  <c r="L43" i="4" s="1"/>
  <c r="J41" i="1" a="1"/>
  <c r="J41" i="1" s="1"/>
  <c r="V57" i="14" a="1"/>
  <c r="V57" i="14" s="1"/>
  <c r="I27" i="4" a="1"/>
  <c r="I27" i="4" s="1"/>
  <c r="K28" i="1" a="1"/>
  <c r="K28" i="1" s="1"/>
  <c r="K23" i="1" a="1"/>
  <c r="K23" i="1" s="1"/>
  <c r="J28" i="1" a="1"/>
  <c r="J28" i="1" s="1"/>
  <c r="J21" i="1" a="1"/>
  <c r="J21" i="1" s="1"/>
  <c r="H33" i="4" a="1"/>
  <c r="H33" i="4" s="1"/>
  <c r="W57" i="14" a="1"/>
  <c r="W57" i="14" s="1"/>
  <c r="I21" i="1" a="1"/>
  <c r="I21" i="1" s="1"/>
  <c r="I42" i="11" a="1"/>
  <c r="I42" i="11" s="1"/>
  <c r="K14" i="3" a="1"/>
  <c r="K14" i="3" s="1"/>
  <c r="P33" i="4" a="1"/>
  <c r="P33" i="4" s="1"/>
  <c r="P47" i="1" a="1"/>
  <c r="P47" i="1" s="1"/>
  <c r="L46" i="1" a="1"/>
  <c r="L46" i="1" s="1"/>
  <c r="H47" i="1" a="1"/>
  <c r="H47" i="1" s="1"/>
  <c r="I33" i="1" a="1"/>
  <c r="I33" i="1" s="1"/>
  <c r="J26" i="4" a="1"/>
  <c r="J26" i="4" s="1"/>
  <c r="H14" i="1" a="1"/>
  <c r="H14" i="1" s="1"/>
  <c r="J22" i="1" a="1"/>
  <c r="J22" i="1" s="1"/>
  <c r="J15" i="1" a="1"/>
  <c r="J15" i="1" s="1"/>
  <c r="P30" i="1" a="1"/>
  <c r="P30" i="1" s="1"/>
  <c r="P27" i="4" a="1"/>
  <c r="P27" i="4" s="1"/>
  <c r="I40" i="3" a="1"/>
  <c r="I40" i="3" s="1"/>
  <c r="P29" i="4" a="1"/>
  <c r="P29" i="4" s="1"/>
  <c r="O24" i="9" a="1"/>
  <c r="O24" i="9" s="1"/>
  <c r="K35" i="4" a="1"/>
  <c r="K35" i="4" s="1"/>
  <c r="U55" i="14" a="1"/>
  <c r="U55" i="14" s="1"/>
  <c r="Y59" i="14" a="1"/>
  <c r="Y59" i="14" s="1"/>
  <c r="U58" i="14" a="1"/>
  <c r="U58" i="14" s="1"/>
  <c r="J44" i="3" a="1"/>
  <c r="J44" i="3" s="1"/>
  <c r="K43" i="4" a="1"/>
  <c r="K43" i="4" s="1"/>
  <c r="N51" i="6" a="1"/>
  <c r="N51" i="6" s="1"/>
  <c r="L21" i="3" a="1"/>
  <c r="L21" i="3" s="1"/>
  <c r="K17" i="3" a="1"/>
  <c r="K17" i="3" s="1"/>
  <c r="Y61" i="14" a="1"/>
  <c r="Y61" i="14" s="1"/>
  <c r="K16" i="3" a="1"/>
  <c r="K16" i="3" s="1"/>
  <c r="K30" i="3" a="1"/>
  <c r="K30" i="3" s="1"/>
  <c r="L41" i="1" a="1"/>
  <c r="L41" i="1" s="1"/>
  <c r="L33" i="4" a="1"/>
  <c r="L33" i="4" s="1"/>
  <c r="J43" i="4" a="1"/>
  <c r="J43" i="4" s="1"/>
  <c r="I23" i="1" a="1"/>
  <c r="I23" i="1" s="1"/>
  <c r="J45" i="3" a="1"/>
  <c r="J45" i="3" s="1"/>
  <c r="L31" i="1" a="1"/>
  <c r="L31" i="1" s="1"/>
  <c r="I45" i="1" a="1"/>
  <c r="I45" i="1" s="1"/>
  <c r="H46" i="1" a="1"/>
  <c r="H46" i="1" s="1"/>
  <c r="L15" i="3" a="1"/>
  <c r="L15" i="3" s="1"/>
  <c r="Q22" i="1" a="1"/>
  <c r="Q22" i="1" s="1"/>
  <c r="I15" i="1" a="1"/>
  <c r="I15" i="1" s="1"/>
  <c r="Q14" i="1" a="1"/>
  <c r="Q14" i="1" s="1"/>
  <c r="N33" i="4" a="1"/>
  <c r="N33" i="4" s="1"/>
  <c r="L17" i="3" a="1"/>
  <c r="L17" i="3" s="1"/>
  <c r="L14" i="3" a="1"/>
  <c r="L14" i="3" s="1"/>
  <c r="J43" i="3" a="1"/>
  <c r="J43" i="3" s="1"/>
  <c r="Q33" i="1" a="1"/>
  <c r="Q33" i="1" s="1"/>
  <c r="J15" i="3" a="1"/>
  <c r="J15" i="3" s="1"/>
  <c r="Y57" i="14" a="1"/>
  <c r="Y57" i="14" s="1"/>
  <c r="H28" i="4" a="1"/>
  <c r="H28" i="4" s="1"/>
  <c r="H24" i="1" a="1"/>
  <c r="H24" i="1" s="1"/>
  <c r="L21" i="1" a="1"/>
  <c r="L21" i="1" s="1"/>
  <c r="J24" i="9" a="1"/>
  <c r="J24" i="9" s="1"/>
  <c r="Q26" i="1" a="1"/>
  <c r="Q26" i="1" s="1"/>
  <c r="Q11" i="1" a="1"/>
  <c r="Q11" i="1" s="1"/>
  <c r="W51" i="14" a="1"/>
  <c r="W51" i="14" s="1"/>
  <c r="J51" i="6" a="1"/>
  <c r="J51" i="6" s="1"/>
  <c r="L44" i="3" a="1"/>
  <c r="L44" i="3" s="1"/>
  <c r="K47" i="6" a="1"/>
  <c r="K47" i="6" s="1"/>
  <c r="I29" i="4" a="1"/>
  <c r="I29" i="4" s="1"/>
  <c r="N47" i="6" a="1"/>
  <c r="N47" i="6" s="1"/>
  <c r="L34" i="4" a="1"/>
  <c r="L34" i="4" s="1"/>
  <c r="J27" i="3" a="1"/>
  <c r="J27" i="3" s="1"/>
  <c r="J12" i="1" a="1"/>
  <c r="J12" i="1" s="1"/>
  <c r="J36" i="1" a="1"/>
  <c r="J36" i="1" s="1"/>
  <c r="W50" i="14" a="1"/>
  <c r="W50" i="14" s="1"/>
  <c r="H26" i="4" a="1"/>
  <c r="H26" i="4" s="1"/>
  <c r="Y54" i="14" a="1"/>
  <c r="Y54" i="14" s="1"/>
  <c r="L11" i="1" a="1"/>
  <c r="L11" i="1" s="1"/>
  <c r="I44" i="3" a="1"/>
  <c r="I44" i="3" s="1"/>
  <c r="L29" i="3" a="1"/>
  <c r="L29" i="3" s="1"/>
  <c r="P31" i="1" a="1"/>
  <c r="P31" i="1" s="1"/>
  <c r="K45" i="1" a="1"/>
  <c r="K45" i="1" s="1"/>
  <c r="H41" i="1" a="1"/>
  <c r="H41" i="1" s="1"/>
  <c r="J30" i="1" a="1"/>
  <c r="J30" i="1" s="1"/>
  <c r="W52" i="14" a="1"/>
  <c r="W52" i="14" s="1"/>
  <c r="K24" i="3" a="1"/>
  <c r="K24" i="3" s="1"/>
  <c r="K28" i="3" a="1"/>
  <c r="K28" i="3" s="1"/>
  <c r="I28" i="4" a="1"/>
  <c r="I28" i="4" s="1"/>
  <c r="L27" i="4" a="1"/>
  <c r="L27" i="4" s="1"/>
  <c r="I26" i="4" a="1"/>
  <c r="I26" i="4" s="1"/>
  <c r="K23" i="3" a="1"/>
  <c r="K23" i="3" s="1"/>
  <c r="P32" i="4" a="1"/>
  <c r="P32" i="4" s="1"/>
  <c r="L12" i="1" a="1"/>
  <c r="L12" i="1" s="1"/>
  <c r="J29" i="4" a="1"/>
  <c r="J29" i="4" s="1"/>
  <c r="O44" i="6" a="1"/>
  <c r="O44" i="6" s="1"/>
  <c r="L25" i="3" a="1"/>
  <c r="L25" i="3" s="1"/>
  <c r="P18" i="1" a="1"/>
  <c r="P18" i="1" s="1"/>
  <c r="L29" i="4" a="1"/>
  <c r="L29" i="4" s="1"/>
  <c r="H23" i="1" a="1"/>
  <c r="H23" i="1" s="1"/>
  <c r="O28" i="4" a="1"/>
  <c r="O28" i="4" s="1"/>
  <c r="P12" i="1" a="1"/>
  <c r="P12" i="1" s="1"/>
  <c r="O43" i="4" a="1"/>
  <c r="O43" i="4" s="1"/>
  <c r="K27" i="3" a="1"/>
  <c r="K27" i="3" s="1"/>
  <c r="J14" i="1" a="1"/>
  <c r="J14" i="1" s="1"/>
  <c r="G43" i="4" a="1"/>
  <c r="G43" i="4" s="1"/>
  <c r="W56" i="14" a="1"/>
  <c r="W56" i="14" s="1"/>
  <c r="I16" i="3" a="1"/>
  <c r="I16" i="3" s="1"/>
  <c r="V53" i="14" a="1"/>
  <c r="V53" i="14" s="1"/>
  <c r="K28" i="4" a="1"/>
  <c r="K28" i="4" s="1"/>
  <c r="H35" i="4" a="1"/>
  <c r="H35" i="4" s="1"/>
  <c r="O51" i="6" a="1"/>
  <c r="O51" i="6" s="1"/>
  <c r="J32" i="4" a="1"/>
  <c r="J32" i="4" s="1"/>
  <c r="L51" i="6" a="1"/>
  <c r="L51" i="6" s="1"/>
  <c r="H8" i="8" a="1"/>
  <c r="H8" i="8" s="1"/>
  <c r="H14" i="8" s="1"/>
  <c r="G26" i="4" a="1"/>
  <c r="G26" i="4" s="1"/>
  <c r="T24" i="9" a="1"/>
  <c r="T24" i="9" s="1"/>
  <c r="T23" i="9" s="1"/>
  <c r="U60" i="14" a="1"/>
  <c r="U60" i="14" s="1"/>
  <c r="I39" i="3" a="1"/>
  <c r="I39" i="3" s="1"/>
  <c r="I32" i="1" a="1"/>
  <c r="I32" i="1" s="1"/>
  <c r="I31" i="1" a="1"/>
  <c r="I31" i="1" s="1"/>
  <c r="Q44" i="6" a="1"/>
  <c r="Q44" i="6" s="1"/>
  <c r="J22" i="3" a="1"/>
  <c r="J22" i="3" s="1"/>
  <c r="U51" i="14" a="1"/>
  <c r="U51" i="14" s="1"/>
  <c r="I24" i="1" a="1"/>
  <c r="I24" i="1" s="1"/>
  <c r="I47" i="1" a="1"/>
  <c r="I47" i="1" s="1"/>
  <c r="H32" i="4" a="1"/>
  <c r="H32" i="4" s="1"/>
  <c r="I41" i="1" a="1"/>
  <c r="I41" i="1" s="1"/>
  <c r="J42" i="4" a="1"/>
  <c r="J42" i="4" s="1"/>
  <c r="J44" i="6" a="1"/>
  <c r="J44" i="6" s="1"/>
  <c r="J18" i="1" a="1"/>
  <c r="J18" i="1" s="1"/>
  <c r="U53" i="14" a="1"/>
  <c r="U53" i="14" s="1"/>
  <c r="P15" i="1" a="1"/>
  <c r="P15" i="1" s="1"/>
  <c r="H34" i="4" a="1"/>
  <c r="H34" i="4" s="1"/>
  <c r="V55" i="14" a="1"/>
  <c r="V55" i="14" s="1"/>
  <c r="H27" i="4" a="1"/>
  <c r="H27" i="4" s="1"/>
  <c r="O33" i="4" a="1"/>
  <c r="O33" i="4" s="1"/>
  <c r="J26" i="3" a="1"/>
  <c r="J26" i="3" s="1"/>
  <c r="K15" i="1" a="1"/>
  <c r="K15" i="1" s="1"/>
  <c r="H45" i="1" a="1"/>
  <c r="H45" i="1" s="1"/>
  <c r="Q20" i="1" a="1"/>
  <c r="Q20" i="1" s="1"/>
  <c r="I17" i="3" a="1"/>
  <c r="I17" i="3" s="1"/>
  <c r="Y53" i="14" a="1"/>
  <c r="Y53" i="14" s="1"/>
  <c r="Q51" i="6" a="1"/>
  <c r="Q51" i="6" s="1"/>
  <c r="W55" i="14" a="1"/>
  <c r="W55" i="14" s="1"/>
  <c r="I26" i="3" a="1"/>
  <c r="I26" i="3" s="1"/>
  <c r="L42" i="4" a="1"/>
  <c r="L42" i="4" s="1"/>
  <c r="K22" i="1" a="1"/>
  <c r="K22" i="1" s="1"/>
  <c r="J11" i="3" a="1"/>
  <c r="J11" i="3" s="1"/>
  <c r="J41" i="3" a="1"/>
  <c r="J41" i="3" s="1"/>
  <c r="P38" i="1" a="1"/>
  <c r="P38" i="1" s="1"/>
  <c r="P35" i="4" a="1"/>
  <c r="P35" i="4" s="1"/>
  <c r="U57" i="14" a="1"/>
  <c r="U57" i="14" s="1"/>
  <c r="P20" i="1" a="1"/>
  <c r="P20" i="1" s="1"/>
  <c r="J39" i="3" a="1"/>
  <c r="J39" i="3" s="1"/>
  <c r="Y55" i="14" a="1"/>
  <c r="Y55" i="14" s="1"/>
  <c r="N35" i="4" a="1"/>
  <c r="N35" i="4" s="1"/>
  <c r="H30" i="1" a="1"/>
  <c r="H30" i="1" s="1"/>
  <c r="L24" i="3" a="1"/>
  <c r="L24" i="3" s="1"/>
  <c r="L28" i="4" a="1"/>
  <c r="L28" i="4" s="1"/>
  <c r="K30" i="1" a="1"/>
  <c r="K30" i="1" s="1"/>
  <c r="P22" i="1" a="1"/>
  <c r="P22" i="1" s="1"/>
  <c r="J36" i="3" a="1"/>
  <c r="J36" i="3" s="1"/>
  <c r="L15" i="1" a="1"/>
  <c r="L15" i="1" s="1"/>
  <c r="I14" i="3" a="1"/>
  <c r="I14" i="3" s="1"/>
  <c r="I24" i="9" a="1"/>
  <c r="I24" i="9" s="1"/>
  <c r="M33" i="4" a="1"/>
  <c r="M33" i="4" s="1"/>
  <c r="G34" i="4" a="1"/>
  <c r="G34" i="4" s="1"/>
  <c r="N29" i="4" a="1"/>
  <c r="N29" i="4" s="1"/>
  <c r="H20" i="1" a="1"/>
  <c r="H20" i="1" s="1"/>
  <c r="I36" i="3" a="1"/>
  <c r="I36" i="3" s="1"/>
  <c r="J33" i="4" a="1"/>
  <c r="J33" i="4" s="1"/>
  <c r="H29" i="4" a="1"/>
  <c r="H29" i="4" s="1"/>
  <c r="Q32" i="1" a="1"/>
  <c r="Q32" i="1" s="1"/>
  <c r="J11" i="1" a="1"/>
  <c r="J11" i="1" s="1"/>
  <c r="J35" i="4" a="1"/>
  <c r="J35" i="4" s="1"/>
  <c r="M32" i="4" a="1"/>
  <c r="M32" i="4" s="1"/>
  <c r="P46" i="1" a="1"/>
  <c r="P46" i="1" s="1"/>
  <c r="K37" i="3" a="1"/>
  <c r="K37" i="3" s="1"/>
  <c r="Q46" i="1" a="1"/>
  <c r="Q46" i="1" s="1"/>
  <c r="K29" i="4" a="1"/>
  <c r="K29" i="4" s="1"/>
  <c r="I41" i="3" a="1"/>
  <c r="I41" i="3" s="1"/>
  <c r="K26" i="4" a="1"/>
  <c r="K26" i="4" s="1"/>
  <c r="K18" i="1" a="1"/>
  <c r="K18" i="1" s="1"/>
  <c r="K34" i="4" a="1"/>
  <c r="K34" i="4" s="1"/>
  <c r="N34" i="4" a="1"/>
  <c r="N34" i="4" s="1"/>
  <c r="O32" i="4" a="1"/>
  <c r="O32" i="4" s="1"/>
  <c r="Q15" i="1" a="1"/>
  <c r="Q15" i="1" s="1"/>
  <c r="I13" i="1" a="1"/>
  <c r="I13" i="1" s="1"/>
  <c r="J23" i="3" a="1"/>
  <c r="J23" i="3" s="1"/>
  <c r="V61" i="14" a="1"/>
  <c r="V61" i="14" s="1"/>
  <c r="M26" i="4" a="1"/>
  <c r="M26" i="4" s="1"/>
  <c r="H42" i="4" a="1"/>
  <c r="H42" i="4" s="1"/>
  <c r="J17" i="3" a="1"/>
  <c r="J17" i="3" s="1"/>
  <c r="G27" i="4" a="1"/>
  <c r="G27" i="4" s="1"/>
  <c r="I35" i="4" a="1"/>
  <c r="I35" i="4" s="1"/>
  <c r="I37" i="3" a="1"/>
  <c r="I37" i="3" s="1"/>
  <c r="L36" i="1" a="1"/>
  <c r="L36" i="1" s="1"/>
  <c r="P42" i="4" a="1"/>
  <c r="P42" i="4" s="1"/>
  <c r="Y58" i="14" a="1"/>
  <c r="Y58" i="14" s="1"/>
  <c r="J43" i="1" a="1"/>
  <c r="J43" i="1" s="1"/>
  <c r="P43" i="4" a="1"/>
  <c r="P43" i="4" s="1"/>
  <c r="K12" i="1" a="1"/>
  <c r="K12" i="1" s="1"/>
  <c r="G33" i="4" a="1"/>
  <c r="G33" i="4" s="1"/>
  <c r="P28" i="4" a="1"/>
  <c r="P28" i="4" s="1"/>
  <c r="L30" i="3" a="1"/>
  <c r="L30" i="3" s="1"/>
  <c r="K36" i="1" a="1"/>
  <c r="K36" i="1" s="1"/>
  <c r="H24" i="9" a="1"/>
  <c r="H24" i="9" s="1"/>
  <c r="J23" i="1" a="1"/>
  <c r="J23" i="1" s="1"/>
  <c r="K42" i="4" a="1"/>
  <c r="K42" i="4" s="1"/>
  <c r="K29" i="3" a="1"/>
  <c r="K29" i="3" s="1"/>
  <c r="J25" i="3" a="1"/>
  <c r="J25" i="3" s="1"/>
  <c r="I27" i="3" a="1"/>
  <c r="I27" i="3" s="1"/>
  <c r="O42" i="4" a="1"/>
  <c r="O42" i="4" s="1"/>
  <c r="P41" i="1" a="1"/>
  <c r="P41" i="1" s="1"/>
  <c r="J28" i="3" a="1"/>
  <c r="J28" i="3" s="1"/>
  <c r="N24" i="9" a="1"/>
  <c r="N24" i="9" s="1"/>
  <c r="M29" i="4" a="1"/>
  <c r="M29" i="4" s="1"/>
  <c r="K43" i="3" a="1"/>
  <c r="K43" i="3" s="1"/>
  <c r="L28" i="3" a="1"/>
  <c r="L28" i="3" s="1"/>
  <c r="I11" i="3" a="1"/>
  <c r="I11" i="3" s="1"/>
  <c r="Y60" i="14" a="1"/>
  <c r="Y60" i="14" s="1"/>
  <c r="Q30" i="1" a="1"/>
  <c r="Q30" i="1" s="1"/>
  <c r="J38" i="3" a="1"/>
  <c r="J38" i="3" s="1"/>
  <c r="L47" i="1" a="1"/>
  <c r="L47" i="1" s="1"/>
  <c r="I22" i="3" a="1"/>
  <c r="I22" i="3" s="1"/>
  <c r="H12" i="1" a="1"/>
  <c r="H12" i="1" s="1"/>
  <c r="O27" i="4" a="1"/>
  <c r="O27" i="4" s="1"/>
  <c r="V58" i="14" a="1"/>
  <c r="V58" i="14" s="1"/>
  <c r="J38" i="1" a="1"/>
  <c r="J38" i="1" s="1"/>
  <c r="K15" i="3" a="1"/>
  <c r="K15" i="3" s="1"/>
  <c r="W59" i="14" a="1"/>
  <c r="W59" i="14" s="1"/>
  <c r="P26" i="4" a="1"/>
  <c r="P26" i="4" s="1"/>
  <c r="H36" i="1" a="1"/>
  <c r="H36" i="1" s="1"/>
  <c r="J24" i="3" a="1"/>
  <c r="J24" i="3" s="1"/>
  <c r="L11" i="3" a="1"/>
  <c r="L11" i="3" s="1"/>
  <c r="J17" i="1" a="1"/>
  <c r="J17" i="1" s="1"/>
  <c r="J37" i="3" a="1"/>
  <c r="J37" i="3" s="1"/>
  <c r="H17" i="1" a="1"/>
  <c r="H17" i="1" s="1"/>
  <c r="I42" i="4" a="1"/>
  <c r="I42" i="4" s="1"/>
  <c r="I14" i="1" a="1"/>
  <c r="I14" i="1" s="1"/>
  <c r="J45" i="1" a="1"/>
  <c r="J45" i="1" s="1"/>
  <c r="I30" i="1" a="1"/>
  <c r="I30" i="1" s="1"/>
  <c r="I34" i="4" a="1"/>
  <c r="I34" i="4" s="1"/>
  <c r="P45" i="1" a="1"/>
  <c r="P45" i="1" s="1"/>
  <c r="L45" i="1" a="1"/>
  <c r="L45" i="1" s="1"/>
  <c r="L43" i="3" a="1"/>
  <c r="L43" i="3" s="1"/>
  <c r="O26" i="4" a="1"/>
  <c r="O26" i="4" s="1"/>
  <c r="L32" i="1" a="1"/>
  <c r="L32" i="1" s="1"/>
  <c r="P47" i="6" a="1"/>
  <c r="P47" i="6" s="1"/>
  <c r="I12" i="1" a="1"/>
  <c r="I12" i="1" s="1"/>
  <c r="K32" i="1" a="1"/>
  <c r="K32" i="1" s="1"/>
  <c r="H34" i="1" a="1"/>
  <c r="H34" i="1" s="1"/>
  <c r="P11" i="1" a="1"/>
  <c r="P11" i="1" s="1"/>
  <c r="H32" i="1" a="1"/>
  <c r="H32" i="1" s="1"/>
  <c r="P51" i="6" a="1"/>
  <c r="P51" i="6" s="1"/>
  <c r="K11" i="1" a="1"/>
  <c r="K11" i="1" s="1"/>
  <c r="K21" i="1" a="1"/>
  <c r="K21" i="1" s="1"/>
  <c r="I29" i="3" a="1"/>
  <c r="I29" i="3" s="1"/>
  <c r="L40" i="3" a="1"/>
  <c r="L40" i="3" s="1"/>
  <c r="L24" i="1" a="1"/>
  <c r="L24" i="1" s="1"/>
  <c r="K32" i="4" a="1"/>
  <c r="K32" i="4" s="1"/>
  <c r="V60" i="14" a="1"/>
  <c r="V60" i="14" s="1"/>
  <c r="W61" i="14" a="1"/>
  <c r="W61" i="14" s="1"/>
  <c r="U61" i="14" a="1"/>
  <c r="U61" i="14" s="1"/>
  <c r="I11" i="1" a="1"/>
  <c r="I11" i="1" s="1"/>
  <c r="L17" i="1" a="1"/>
  <c r="L17" i="1" s="1"/>
  <c r="G32" i="4" a="1"/>
  <c r="G32" i="4" s="1"/>
  <c r="J32" i="1" a="1"/>
  <c r="J32" i="1" s="1"/>
  <c r="Q34" i="1" a="1"/>
  <c r="Q34" i="1" s="1"/>
  <c r="J29" i="3" a="1"/>
  <c r="J29" i="3" s="1"/>
  <c r="H31" i="1" a="1"/>
  <c r="H31" i="1" s="1"/>
  <c r="J46" i="1" a="1"/>
  <c r="J46" i="1" s="1"/>
  <c r="N46" i="1" s="1"/>
  <c r="Q36" i="1" a="1"/>
  <c r="Q36" i="1" s="1"/>
  <c r="P36" i="1" a="1"/>
  <c r="P36" i="1" s="1"/>
  <c r="V56" i="14" a="1"/>
  <c r="V56" i="14" s="1"/>
  <c r="J47" i="1" a="1"/>
  <c r="J47" i="1" s="1"/>
  <c r="K41" i="3" a="1"/>
  <c r="K41" i="3" s="1"/>
  <c r="I23" i="3" a="1"/>
  <c r="I23" i="3" s="1"/>
  <c r="L36" i="3" a="1"/>
  <c r="L36" i="3" s="1"/>
  <c r="M44" i="6" a="1"/>
  <c r="M44" i="6" s="1"/>
  <c r="K13" i="1" a="1"/>
  <c r="K13" i="1" s="1"/>
  <c r="J31" i="1" a="1"/>
  <c r="J31" i="1" s="1"/>
  <c r="J47" i="6" a="1"/>
  <c r="J47" i="6" s="1"/>
  <c r="Q31" i="1" a="1"/>
  <c r="Q31" i="1" s="1"/>
  <c r="I24" i="3" a="1"/>
  <c r="I24" i="3" s="1"/>
  <c r="Y52" i="14" a="1"/>
  <c r="Y52" i="14" s="1"/>
  <c r="P44" i="6" a="1"/>
  <c r="P44" i="6" s="1"/>
  <c r="M34" i="4" a="1"/>
  <c r="M34" i="4" s="1"/>
  <c r="H26" i="1" a="1"/>
  <c r="H26" i="1" s="1"/>
  <c r="K44" i="3" a="1"/>
  <c r="K44" i="3" s="1"/>
  <c r="V54" i="14" a="1"/>
  <c r="V54" i="14" s="1"/>
  <c r="L32" i="4" a="1"/>
  <c r="L32" i="4" s="1"/>
  <c r="I45" i="3" a="1"/>
  <c r="I45" i="3" s="1"/>
  <c r="N44" i="6" a="1"/>
  <c r="N44" i="6" s="1"/>
  <c r="K40" i="3" a="1"/>
  <c r="K40" i="3" s="1"/>
  <c r="K43" i="1" a="1"/>
  <c r="K43" i="1" s="1"/>
  <c r="H15" i="1" a="1"/>
  <c r="H15" i="1" s="1"/>
  <c r="I34" i="1" a="1"/>
  <c r="I34" i="1" s="1"/>
  <c r="L23" i="1" a="1"/>
  <c r="L23" i="1" s="1"/>
  <c r="M42" i="4" a="1"/>
  <c r="M42" i="4" s="1"/>
  <c r="I21" i="3" a="1"/>
  <c r="I21" i="3" s="1"/>
  <c r="H43" i="4" a="1"/>
  <c r="H43" i="4" s="1"/>
  <c r="K47" i="1" a="1"/>
  <c r="K47" i="1" s="1"/>
  <c r="K24" i="1" a="1"/>
  <c r="K24" i="1" s="1"/>
  <c r="G42" i="4" a="1"/>
  <c r="G42" i="4" s="1"/>
  <c r="I28" i="3" a="1"/>
  <c r="I28" i="3" s="1"/>
  <c r="P14" i="1" a="1"/>
  <c r="P14" i="1" s="1"/>
  <c r="J42" i="3" a="1"/>
  <c r="J42" i="3" s="1"/>
  <c r="G29" i="4" a="1"/>
  <c r="G29" i="4" s="1"/>
  <c r="P34" i="4" a="1"/>
  <c r="P34" i="4" s="1"/>
  <c r="I33" i="4" a="1"/>
  <c r="I33" i="4" s="1"/>
  <c r="U56" i="14" a="1"/>
  <c r="U56" i="14" s="1"/>
  <c r="K46" i="1" a="1"/>
  <c r="K46" i="1" s="1"/>
  <c r="Y50" i="14" a="1"/>
  <c r="Y50" i="14" s="1"/>
  <c r="K25" i="3" a="1"/>
  <c r="K25" i="3" s="1"/>
  <c r="N28" i="4" a="1"/>
  <c r="N28" i="4" s="1"/>
  <c r="O29" i="4" a="1"/>
  <c r="O29" i="4" s="1"/>
  <c r="M27" i="4" a="1"/>
  <c r="M27" i="4" s="1"/>
  <c r="Q21" i="1" a="1"/>
  <c r="Q21" i="1" s="1"/>
  <c r="K21" i="3" a="1"/>
  <c r="K21" i="3" s="1"/>
  <c r="I36" i="1" a="1"/>
  <c r="I36" i="1" s="1"/>
  <c r="L14" i="1" a="1"/>
  <c r="L14" i="1" s="1"/>
  <c r="M51" i="6" a="1"/>
  <c r="M51" i="6" s="1"/>
  <c r="L30" i="1" a="1"/>
  <c r="L30" i="1" s="1"/>
  <c r="I22" i="1" a="1"/>
  <c r="I22" i="1" s="1"/>
  <c r="J27" i="4" a="1"/>
  <c r="J27" i="4" s="1"/>
  <c r="M43" i="4" a="1"/>
  <c r="M43" i="4" s="1"/>
  <c r="L33" i="1" a="1"/>
  <c r="L33" i="1" s="1"/>
  <c r="Q17" i="1" a="1"/>
  <c r="Q17" i="1" s="1"/>
  <c r="K22" i="3" a="1"/>
  <c r="K22" i="3" s="1"/>
  <c r="J16" i="3" a="1"/>
  <c r="J16" i="3" s="1"/>
  <c r="L44" i="6" a="1"/>
  <c r="L44" i="6" s="1"/>
  <c r="P33" i="1" a="1"/>
  <c r="P33" i="1" s="1"/>
  <c r="M28" i="4" a="1"/>
  <c r="M28" i="4" s="1"/>
  <c r="L34" i="1" a="1"/>
  <c r="L34" i="1" s="1"/>
  <c r="I38" i="3" a="1"/>
  <c r="I38" i="3" s="1"/>
  <c r="Q23" i="1" a="1"/>
  <c r="Q23" i="1" s="1"/>
  <c r="M35" i="4" a="1"/>
  <c r="M35" i="4" s="1"/>
  <c r="Q13" i="1" a="1"/>
  <c r="Q13" i="1" s="1"/>
  <c r="J13" i="1" a="1"/>
  <c r="J13" i="1" s="1"/>
  <c r="N13" i="1" s="1"/>
  <c r="K33" i="4" a="1"/>
  <c r="K33" i="4" s="1"/>
  <c r="W60" i="14" a="1"/>
  <c r="W60" i="14" s="1"/>
  <c r="I30" i="3" a="1"/>
  <c r="I30" i="3" s="1"/>
  <c r="P26" i="1" a="1"/>
  <c r="P26" i="1" s="1"/>
  <c r="Y56" i="14" a="1"/>
  <c r="Y56" i="14" s="1"/>
  <c r="P28" i="1" a="1"/>
  <c r="P28" i="1" s="1"/>
  <c r="K34" i="1" a="1"/>
  <c r="K34" i="1" s="1"/>
  <c r="L13" i="1" a="1"/>
  <c r="L13" i="1" s="1"/>
  <c r="I20" i="1" a="1"/>
  <c r="I20" i="1" s="1"/>
  <c r="W58" i="14" a="1"/>
  <c r="W58" i="14" s="1"/>
  <c r="X58" i="14" s="1"/>
  <c r="Q24" i="1" a="1"/>
  <c r="Q24" i="1" s="1"/>
  <c r="H22" i="1" a="1"/>
  <c r="H22" i="1" s="1"/>
  <c r="I32" i="4" a="1"/>
  <c r="I32" i="4" s="1"/>
  <c r="U59" i="14" a="1"/>
  <c r="U59" i="14" s="1"/>
  <c r="O47" i="6" a="1"/>
  <c r="O47" i="6" s="1"/>
  <c r="N42" i="4" a="1"/>
  <c r="N42" i="4" s="1"/>
  <c r="X52" i="14" l="1"/>
  <c r="N23" i="1"/>
  <c r="N49" i="4"/>
  <c r="N21" i="1"/>
  <c r="N20" i="1"/>
  <c r="Z50" i="14"/>
  <c r="U65" i="6" a="1"/>
  <c r="U65" i="6" s="1"/>
  <c r="X65" i="6" s="1"/>
  <c r="K49" i="4"/>
  <c r="N15" i="1"/>
  <c r="Z53" i="14"/>
  <c r="I49" i="4"/>
  <c r="G37" i="1"/>
  <c r="N14" i="1"/>
  <c r="Z58" i="14"/>
  <c r="M49" i="4"/>
  <c r="N24" i="1"/>
  <c r="P48" i="1"/>
  <c r="P49" i="1" s="1"/>
  <c r="N34" i="1"/>
  <c r="H48" i="1"/>
  <c r="H49" i="1" s="1"/>
  <c r="P49" i="4"/>
  <c r="Z54" i="14"/>
  <c r="X54" i="14"/>
  <c r="Z52" i="14"/>
  <c r="N22" i="1"/>
  <c r="O30" i="4"/>
  <c r="I48" i="4" a="1"/>
  <c r="I48" i="4" s="1"/>
  <c r="N32" i="1"/>
  <c r="L49" i="4"/>
  <c r="J18" i="3"/>
  <c r="N30" i="1"/>
  <c r="N12" i="1"/>
  <c r="Z49" i="14"/>
  <c r="N31" i="1"/>
  <c r="K37" i="1"/>
  <c r="N47" i="1"/>
  <c r="N11" i="1"/>
  <c r="Z59" i="14"/>
  <c r="O48" i="4" a="1"/>
  <c r="O48" i="4" s="1"/>
  <c r="K48" i="4" a="1"/>
  <c r="K48" i="4" s="1"/>
  <c r="J53" i="6"/>
  <c r="J52" i="6"/>
  <c r="V78" i="6" a="1"/>
  <c r="V78" i="6" s="1"/>
  <c r="J30" i="4"/>
  <c r="J35" i="1"/>
  <c r="N26" i="1"/>
  <c r="J27" i="1"/>
  <c r="J31" i="3"/>
  <c r="P42" i="1"/>
  <c r="P40" i="1"/>
  <c r="AD61" i="14"/>
  <c r="AE61" i="14" s="1"/>
  <c r="J46" i="3"/>
  <c r="I42" i="1"/>
  <c r="I43" i="1"/>
  <c r="I40" i="1"/>
  <c r="W63" i="6" a="1"/>
  <c r="W63" i="6" s="1"/>
  <c r="O45" i="6"/>
  <c r="H30" i="4"/>
  <c r="X51" i="14"/>
  <c r="L48" i="4" a="1"/>
  <c r="L48" i="4" s="1"/>
  <c r="M23" i="9"/>
  <c r="M47" i="9" s="1"/>
  <c r="M48" i="9"/>
  <c r="M45" i="6"/>
  <c r="V65" i="6" a="1"/>
  <c r="V65" i="6" s="1"/>
  <c r="J16" i="1"/>
  <c r="N17" i="1"/>
  <c r="J25" i="1"/>
  <c r="G48" i="4" a="1"/>
  <c r="G48" i="4" s="1"/>
  <c r="K30" i="4"/>
  <c r="H50" i="4"/>
  <c r="H36" i="4"/>
  <c r="G30" i="4"/>
  <c r="AD60" i="14"/>
  <c r="AE60" i="14" s="1"/>
  <c r="X50" i="14"/>
  <c r="N48" i="4" a="1"/>
  <c r="N48" i="4" s="1"/>
  <c r="L42" i="1"/>
  <c r="L40" i="1"/>
  <c r="L43" i="1"/>
  <c r="AD55" i="14"/>
  <c r="AE55" i="14" s="1"/>
  <c r="Q40" i="1"/>
  <c r="Q42" i="1"/>
  <c r="Q43" i="1"/>
  <c r="K25" i="1"/>
  <c r="K16" i="1"/>
  <c r="G48" i="6"/>
  <c r="G55" i="6"/>
  <c r="U71" i="6" a="1"/>
  <c r="U71" i="6" s="1"/>
  <c r="X71" i="6" s="1"/>
  <c r="M52" i="6"/>
  <c r="M53" i="6"/>
  <c r="V81" i="6" a="1"/>
  <c r="V81" i="6" s="1"/>
  <c r="H35" i="1"/>
  <c r="H28" i="1"/>
  <c r="H27" i="1"/>
  <c r="L46" i="3"/>
  <c r="L18" i="3"/>
  <c r="J48" i="4" a="1"/>
  <c r="J48" i="4" s="1"/>
  <c r="Y32" i="8"/>
  <c r="Y35" i="8" s="1"/>
  <c r="Y36" i="8" s="1"/>
  <c r="D22" i="8" s="1"/>
  <c r="J21" i="8"/>
  <c r="G21" i="8"/>
  <c r="Q21" i="8"/>
  <c r="P21" i="8"/>
  <c r="K21" i="8"/>
  <c r="O21" i="8"/>
  <c r="S21" i="8"/>
  <c r="Z32" i="8"/>
  <c r="Z35" i="8" s="1"/>
  <c r="Z36" i="8" s="1"/>
  <c r="N22" i="8" s="1"/>
  <c r="R21" i="8"/>
  <c r="I21" i="8"/>
  <c r="T21" i="8"/>
  <c r="H21" i="8"/>
  <c r="F21" i="8"/>
  <c r="U21" i="8"/>
  <c r="E21" i="8"/>
  <c r="Q27" i="1"/>
  <c r="Q35" i="1"/>
  <c r="Q28" i="1"/>
  <c r="K35" i="1"/>
  <c r="K27" i="1"/>
  <c r="Q16" i="9"/>
  <c r="Q17" i="9"/>
  <c r="Q15" i="9"/>
  <c r="P48" i="9"/>
  <c r="Q19" i="9"/>
  <c r="Q12" i="9"/>
  <c r="Q20" i="9"/>
  <c r="P23" i="9"/>
  <c r="Q13" i="9"/>
  <c r="Q14" i="9"/>
  <c r="Q18" i="9"/>
  <c r="Q11" i="9"/>
  <c r="U80" i="6" a="1"/>
  <c r="U80" i="6" s="1"/>
  <c r="X80" i="6" s="1"/>
  <c r="H52" i="6"/>
  <c r="K52" i="6"/>
  <c r="K53" i="6"/>
  <c r="V79" i="6" a="1"/>
  <c r="V79" i="6" s="1"/>
  <c r="P16" i="1"/>
  <c r="P25" i="1"/>
  <c r="M49" i="6"/>
  <c r="M48" i="6"/>
  <c r="V73" i="6" a="1"/>
  <c r="V73" i="6" s="1"/>
  <c r="M55" i="6"/>
  <c r="G27" i="1"/>
  <c r="G35" i="1"/>
  <c r="G48" i="1"/>
  <c r="G49" i="1" s="1"/>
  <c r="H46" i="3"/>
  <c r="P50" i="4"/>
  <c r="P36" i="4"/>
  <c r="O55" i="6"/>
  <c r="W71" i="6" a="1"/>
  <c r="W71" i="6" s="1"/>
  <c r="O48" i="6"/>
  <c r="O49" i="6"/>
  <c r="Z60" i="14"/>
  <c r="J36" i="4"/>
  <c r="J50" i="4"/>
  <c r="Z61" i="14"/>
  <c r="Q48" i="1"/>
  <c r="Q49" i="1" s="1"/>
  <c r="I18" i="1"/>
  <c r="I25" i="1"/>
  <c r="I16" i="1"/>
  <c r="AD57" i="14"/>
  <c r="AE57" i="14" s="1"/>
  <c r="H18" i="3"/>
  <c r="H31" i="3"/>
  <c r="G52" i="6"/>
  <c r="U79" i="6" a="1"/>
  <c r="U79" i="6" s="1"/>
  <c r="X79" i="6" s="1"/>
  <c r="K36" i="4"/>
  <c r="K50" i="4"/>
  <c r="P48" i="6"/>
  <c r="P55" i="6"/>
  <c r="W72" i="6" a="1"/>
  <c r="W72" i="6" s="1"/>
  <c r="P49" i="6"/>
  <c r="M30" i="4"/>
  <c r="AD59" i="14"/>
  <c r="AE59" i="14" s="1"/>
  <c r="N36" i="1"/>
  <c r="J37" i="1"/>
  <c r="Z56" i="14"/>
  <c r="I38" i="1"/>
  <c r="I37" i="1"/>
  <c r="L48" i="1"/>
  <c r="L49" i="1" s="1"/>
  <c r="I46" i="3"/>
  <c r="L45" i="6"/>
  <c r="V64" i="6" a="1"/>
  <c r="V64" i="6" s="1"/>
  <c r="P30" i="4"/>
  <c r="I18" i="3"/>
  <c r="O53" i="6"/>
  <c r="O52" i="6"/>
  <c r="W79" i="6" a="1"/>
  <c r="W79" i="6" s="1"/>
  <c r="H42" i="1"/>
  <c r="H43" i="1"/>
  <c r="H40" i="1"/>
  <c r="P48" i="4" a="1"/>
  <c r="P48" i="4" s="1"/>
  <c r="J40" i="1"/>
  <c r="J42" i="1"/>
  <c r="N41" i="1"/>
  <c r="N36" i="4"/>
  <c r="N50" i="4"/>
  <c r="Z51" i="14"/>
  <c r="K46" i="3"/>
  <c r="V72" i="6" a="1"/>
  <c r="V72" i="6" s="1"/>
  <c r="L48" i="6"/>
  <c r="L55" i="6"/>
  <c r="L49" i="6"/>
  <c r="G40" i="1"/>
  <c r="G42" i="1"/>
  <c r="L50" i="4"/>
  <c r="L36" i="4"/>
  <c r="I31" i="3"/>
  <c r="O23" i="9"/>
  <c r="O48" i="9"/>
  <c r="K31" i="3"/>
  <c r="I36" i="4"/>
  <c r="I50" i="4"/>
  <c r="G36" i="4"/>
  <c r="G50" i="4"/>
  <c r="AD58" i="14"/>
  <c r="AE58" i="14" s="1"/>
  <c r="O49" i="4"/>
  <c r="K48" i="1"/>
  <c r="K49" i="1" s="1"/>
  <c r="H49" i="4"/>
  <c r="L31" i="3"/>
  <c r="K40" i="1"/>
  <c r="K42" i="1"/>
  <c r="L35" i="1"/>
  <c r="L28" i="1"/>
  <c r="L27" i="1"/>
  <c r="K45" i="6"/>
  <c r="V63" i="6" a="1"/>
  <c r="V63" i="6" s="1"/>
  <c r="X53" i="14"/>
  <c r="L52" i="6"/>
  <c r="V80" i="6" a="1"/>
  <c r="V80" i="6" s="1"/>
  <c r="L53" i="6"/>
  <c r="K48" i="9"/>
  <c r="K12" i="9"/>
  <c r="K17" i="9"/>
  <c r="J23" i="9"/>
  <c r="K14" i="9"/>
  <c r="K16" i="9"/>
  <c r="K20" i="9"/>
  <c r="J48" i="9"/>
  <c r="K11" i="9"/>
  <c r="K13" i="9"/>
  <c r="K18" i="9"/>
  <c r="K15" i="9"/>
  <c r="K19" i="9"/>
  <c r="P45" i="6"/>
  <c r="W64" i="6" a="1"/>
  <c r="W64" i="6" s="1"/>
  <c r="H38" i="1"/>
  <c r="H37" i="1"/>
  <c r="P35" i="1"/>
  <c r="P27" i="1"/>
  <c r="P52" i="6"/>
  <c r="P53" i="6"/>
  <c r="W80" i="6" a="1"/>
  <c r="W80" i="6" s="1"/>
  <c r="X59" i="14"/>
  <c r="X60" i="14"/>
  <c r="AD52" i="14"/>
  <c r="AE52" i="14" s="1"/>
  <c r="P37" i="1"/>
  <c r="L16" i="1"/>
  <c r="L25" i="1"/>
  <c r="L18" i="1"/>
  <c r="H23" i="9"/>
  <c r="H47" i="9" s="1"/>
  <c r="H48" i="9"/>
  <c r="Z55" i="14"/>
  <c r="X55" i="14"/>
  <c r="W65" i="6" a="1"/>
  <c r="W65" i="6" s="1"/>
  <c r="Q45" i="6"/>
  <c r="W70" i="6" a="1"/>
  <c r="W70" i="6" s="1"/>
  <c r="N49" i="6"/>
  <c r="N48" i="6"/>
  <c r="N55" i="6"/>
  <c r="Z57" i="14"/>
  <c r="I48" i="1"/>
  <c r="I49" i="1" s="1"/>
  <c r="N53" i="6"/>
  <c r="N52" i="6"/>
  <c r="W78" i="6" a="1"/>
  <c r="W78" i="6" s="1"/>
  <c r="J31" i="11"/>
  <c r="J32" i="11"/>
  <c r="I40" i="11"/>
  <c r="I39" i="11" s="1"/>
  <c r="J34" i="11"/>
  <c r="P10" i="11"/>
  <c r="P14" i="11" s="1"/>
  <c r="P20" i="11" s="1"/>
  <c r="J37" i="11"/>
  <c r="J35" i="11"/>
  <c r="J33" i="11"/>
  <c r="Q55" i="6"/>
  <c r="Q49" i="6"/>
  <c r="W73" i="6" a="1"/>
  <c r="W73" i="6" s="1"/>
  <c r="Q48" i="6"/>
  <c r="AD56" i="14"/>
  <c r="AE56" i="14" s="1"/>
  <c r="N33" i="1"/>
  <c r="K18" i="3"/>
  <c r="G49" i="4"/>
  <c r="H25" i="1"/>
  <c r="H18" i="1"/>
  <c r="H16" i="1"/>
  <c r="AD50" i="14"/>
  <c r="AE50" i="14" s="1"/>
  <c r="Q25" i="1"/>
  <c r="Q16" i="1"/>
  <c r="Q18" i="1"/>
  <c r="J49" i="6"/>
  <c r="J48" i="6"/>
  <c r="V70" i="6" a="1"/>
  <c r="V70" i="6" s="1"/>
  <c r="J55" i="6"/>
  <c r="AD51" i="14"/>
  <c r="AE51" i="14" s="1"/>
  <c r="J48" i="1"/>
  <c r="N45" i="1"/>
  <c r="L37" i="1"/>
  <c r="L38" i="1"/>
  <c r="O50" i="4"/>
  <c r="O36" i="4"/>
  <c r="M36" i="4"/>
  <c r="M50" i="4"/>
  <c r="M48" i="4" a="1"/>
  <c r="M48" i="4" s="1"/>
  <c r="W81" i="6" a="1"/>
  <c r="W81" i="6" s="1"/>
  <c r="Q53" i="6"/>
  <c r="Q52" i="6"/>
  <c r="I30" i="4"/>
  <c r="J49" i="4"/>
  <c r="G16" i="1"/>
  <c r="G25" i="1"/>
  <c r="U72" i="6" a="1"/>
  <c r="U72" i="6" s="1"/>
  <c r="X72" i="6" s="1"/>
  <c r="H48" i="6"/>
  <c r="H55" i="6"/>
  <c r="I55" i="6"/>
  <c r="I48" i="6"/>
  <c r="U73" i="6" a="1"/>
  <c r="U73" i="6" s="1"/>
  <c r="X73" i="6" s="1"/>
  <c r="F55" i="6"/>
  <c r="F48" i="6"/>
  <c r="U70" i="6" a="1"/>
  <c r="U70" i="6" s="1"/>
  <c r="X70" i="6" s="1"/>
  <c r="N48" i="9"/>
  <c r="N23" i="9"/>
  <c r="K55" i="6"/>
  <c r="K49" i="6"/>
  <c r="K48" i="6"/>
  <c r="V71" i="6" a="1"/>
  <c r="V71" i="6" s="1"/>
  <c r="U63" i="6" a="1"/>
  <c r="U63" i="6" s="1"/>
  <c r="X63" i="6" s="1"/>
  <c r="U62" i="6" a="1"/>
  <c r="U62" i="6" s="1"/>
  <c r="X62" i="6" s="1"/>
  <c r="N45" i="6"/>
  <c r="W62" i="6" a="1"/>
  <c r="W62" i="6" s="1"/>
  <c r="Q37" i="1"/>
  <c r="Q38" i="1"/>
  <c r="I23" i="9"/>
  <c r="I48" i="9"/>
  <c r="X57" i="14"/>
  <c r="I27" i="1"/>
  <c r="I28" i="1"/>
  <c r="I35" i="1"/>
  <c r="N30" i="4"/>
  <c r="AD49" i="14"/>
  <c r="AE49" i="14" s="1"/>
  <c r="AD53" i="14"/>
  <c r="AE53" i="14" s="1"/>
  <c r="X61" i="14"/>
  <c r="J45" i="6"/>
  <c r="V62" i="6" a="1"/>
  <c r="V62" i="6" s="1"/>
  <c r="X56" i="14"/>
  <c r="H48" i="4" a="1"/>
  <c r="H48" i="4" s="1"/>
  <c r="L30" i="4"/>
  <c r="AD54" i="14"/>
  <c r="AE54" i="14" s="1"/>
  <c r="U64" i="6" a="1"/>
  <c r="U64" i="6" s="1"/>
  <c r="X64" i="6" s="1"/>
  <c r="X49" i="14"/>
  <c r="U81" i="6" a="1"/>
  <c r="U81" i="6" s="1"/>
  <c r="X81" i="6" s="1"/>
  <c r="I52" i="6"/>
  <c r="F52" i="6"/>
  <c r="U78" i="6" a="1"/>
  <c r="U78" i="6" s="1"/>
  <c r="X78" i="6" s="1"/>
  <c r="P38" i="4" l="1"/>
  <c r="P39" i="4" s="1"/>
  <c r="O38" i="4"/>
  <c r="O39" i="4" s="1"/>
  <c r="I51" i="4"/>
  <c r="J33" i="3"/>
  <c r="J48" i="3" s="1"/>
  <c r="M51" i="4"/>
  <c r="P51" i="4"/>
  <c r="K38" i="4"/>
  <c r="K39" i="4" s="1"/>
  <c r="L38" i="4"/>
  <c r="L39" i="4" s="1"/>
  <c r="Q48" i="9"/>
  <c r="N38" i="4"/>
  <c r="N39" i="4" s="1"/>
  <c r="K51" i="4"/>
  <c r="H51" i="4"/>
  <c r="O51" i="4"/>
  <c r="J38" i="4"/>
  <c r="J39" i="4" s="1"/>
  <c r="N51" i="4"/>
  <c r="I38" i="4"/>
  <c r="I39" i="4" s="1"/>
  <c r="N40" i="1"/>
  <c r="P56" i="6"/>
  <c r="W88" i="6" a="1"/>
  <c r="W88" i="6" s="1"/>
  <c r="P57" i="6"/>
  <c r="L33" i="3"/>
  <c r="L48" i="3" s="1"/>
  <c r="J27" i="9"/>
  <c r="K21" i="9"/>
  <c r="G38" i="4"/>
  <c r="I56" i="6"/>
  <c r="U89" i="6" a="1"/>
  <c r="U89" i="6" s="1"/>
  <c r="X89" i="6" s="1"/>
  <c r="P27" i="9"/>
  <c r="Q21" i="9"/>
  <c r="H56" i="6"/>
  <c r="U88" i="6" a="1"/>
  <c r="U88" i="6" s="1"/>
  <c r="X88" i="6" s="1"/>
  <c r="L56" i="6"/>
  <c r="V88" i="6" a="1"/>
  <c r="V88" i="6" s="1"/>
  <c r="L57" i="6"/>
  <c r="M57" i="6"/>
  <c r="M56" i="6"/>
  <c r="V89" i="6" a="1"/>
  <c r="V89" i="6" s="1"/>
  <c r="H38" i="4"/>
  <c r="H39" i="4" s="1"/>
  <c r="Q56" i="6"/>
  <c r="Q57" i="6"/>
  <c r="W89" i="6" a="1"/>
  <c r="W89" i="6" s="1"/>
  <c r="G51" i="4"/>
  <c r="N35" i="1"/>
  <c r="K56" i="6"/>
  <c r="K57" i="6"/>
  <c r="V87" i="6" a="1"/>
  <c r="V87" i="6" s="1"/>
  <c r="K23" i="9"/>
  <c r="K47" i="9"/>
  <c r="J47" i="9"/>
  <c r="Q23" i="9"/>
  <c r="P47" i="9"/>
  <c r="Q47" i="9" s="1"/>
  <c r="N25" i="1"/>
  <c r="N47" i="9"/>
  <c r="N56" i="6"/>
  <c r="W86" i="6" a="1"/>
  <c r="W86" i="6" s="1"/>
  <c r="N57" i="6"/>
  <c r="H33" i="3"/>
  <c r="H48" i="3" s="1"/>
  <c r="I47" i="9"/>
  <c r="O47" i="9"/>
  <c r="I33" i="3"/>
  <c r="I48" i="3" s="1"/>
  <c r="O56" i="6"/>
  <c r="W87" i="6" a="1"/>
  <c r="W87" i="6" s="1"/>
  <c r="O57" i="6"/>
  <c r="N16" i="1"/>
  <c r="M38" i="4"/>
  <c r="M39" i="4" s="1"/>
  <c r="N48" i="1"/>
  <c r="J49" i="1"/>
  <c r="F56" i="6"/>
  <c r="U86" i="6" a="1"/>
  <c r="U86" i="6" s="1"/>
  <c r="X86" i="6" s="1"/>
  <c r="J56" i="6"/>
  <c r="J57" i="6"/>
  <c r="V86" i="6" a="1"/>
  <c r="V86" i="6" s="1"/>
  <c r="K33" i="3"/>
  <c r="K48" i="3" s="1"/>
  <c r="K37" i="11"/>
  <c r="I38" i="11"/>
  <c r="K31" i="11"/>
  <c r="K34" i="11"/>
  <c r="K33" i="11"/>
  <c r="K39" i="11"/>
  <c r="K32" i="11"/>
  <c r="J39" i="11"/>
  <c r="L51" i="4"/>
  <c r="J51" i="4"/>
  <c r="G56" i="6"/>
  <c r="U87" i="6" a="1"/>
  <c r="U87" i="6" s="1"/>
  <c r="X87" i="6" s="1"/>
  <c r="K38" i="11" l="1"/>
  <c r="J38" i="11"/>
  <c r="G54" i="4"/>
  <c r="T59" i="4" a="1"/>
  <c r="T59" i="4" s="1"/>
  <c r="G39" i="4"/>
  <c r="U59" i="4" s="1" a="1"/>
  <c r="U59" i="4" s="1"/>
  <c r="G53" i="4"/>
  <c r="Q24" i="9"/>
  <c r="P28" i="9"/>
  <c r="K24" i="9"/>
  <c r="J28" i="9"/>
  <c r="N18" i="3"/>
  <c r="N27" i="3"/>
  <c r="N38" i="3"/>
  <c r="N29" i="3"/>
  <c r="N44" i="3"/>
  <c r="N42" i="3"/>
  <c r="N28" i="3"/>
  <c r="N25" i="3"/>
  <c r="N41" i="3"/>
  <c r="N24" i="3"/>
  <c r="N21" i="3"/>
  <c r="N37" i="3"/>
  <c r="N40" i="3"/>
  <c r="N22" i="3"/>
  <c r="N23" i="3"/>
  <c r="N30" i="3"/>
  <c r="N45" i="3"/>
  <c r="N36" i="3"/>
  <c r="N39" i="3"/>
  <c r="N31" i="3"/>
  <c r="N43" i="3"/>
  <c r="N26" i="3"/>
  <c r="G55" i="4" l="1"/>
  <c r="N33" i="3"/>
  <c r="N46" i="3"/>
  <c r="N4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<sst xmlns="http://schemas.openxmlformats.org/spreadsheetml/2006/main" count="573" uniqueCount="202">
  <si>
    <t>Don't Delete Columns</t>
  </si>
  <si>
    <t>Sources &amp; Uses | Pro Forma Capitalization</t>
  </si>
  <si>
    <t>Company:</t>
  </si>
  <si>
    <t>[Company Name] ([Sponsor Name / Non-Sponsored])</t>
  </si>
  <si>
    <t>Last FYE:</t>
  </si>
  <si>
    <t>LTM Period:</t>
  </si>
  <si>
    <t>Last Actuals:</t>
  </si>
  <si>
    <t>Implied Eqt (Y/N)</t>
  </si>
  <si>
    <t>x</t>
  </si>
  <si>
    <t>USD in 000s, except where noted</t>
  </si>
  <si>
    <t>Sources</t>
  </si>
  <si>
    <t>Uses</t>
  </si>
  <si>
    <t>Opening FCCR</t>
  </si>
  <si>
    <t>[Purchase Price]</t>
  </si>
  <si>
    <t>[Use]</t>
  </si>
  <si>
    <t>( – ) Adjustments</t>
  </si>
  <si>
    <t>( – ) Cash Taxes</t>
  </si>
  <si>
    <t>Owner Common Equity</t>
  </si>
  <si>
    <t>( – ) Capital Expenditures</t>
  </si>
  <si>
    <t>Financing Fees</t>
  </si>
  <si>
    <t>FCCR Numerator</t>
  </si>
  <si>
    <t>Transaction Expenses</t>
  </si>
  <si>
    <t>Cash Interest Expense</t>
  </si>
  <si>
    <t>( + ) Mandatory Amortization</t>
  </si>
  <si>
    <t>FCCR Denomintor</t>
  </si>
  <si>
    <t>Total Sources</t>
  </si>
  <si>
    <t>Total Uses</t>
  </si>
  <si>
    <t>FCCR</t>
  </si>
  <si>
    <t>Pro Forma Capitalization</t>
  </si>
  <si>
    <t>USD in 000's, except where noted</t>
  </si>
  <si>
    <t>$</t>
  </si>
  <si>
    <t>Multiple</t>
  </si>
  <si>
    <t>% Cap</t>
  </si>
  <si>
    <t>Maturity</t>
  </si>
  <si>
    <t>Pricing</t>
  </si>
  <si>
    <t>OID</t>
  </si>
  <si>
    <t>Call Pro</t>
  </si>
  <si>
    <t>Cash &amp; Equivalents</t>
  </si>
  <si>
    <t>Total Debt</t>
  </si>
  <si>
    <t>Total Net Debt</t>
  </si>
  <si>
    <t>Implied Equity</t>
  </si>
  <si>
    <t>Total Capitalization</t>
  </si>
  <si>
    <t>TEV</t>
  </si>
  <si>
    <t>Facilities Detail</t>
  </si>
  <si>
    <t>Fees</t>
  </si>
  <si>
    <t>Tranche</t>
  </si>
  <si>
    <t>Global $</t>
  </si>
  <si>
    <t>Funded $</t>
  </si>
  <si>
    <t>Upfront Fees (%)</t>
  </si>
  <si>
    <t>Deferred (%)</t>
  </si>
  <si>
    <t>Total (%)</t>
  </si>
  <si>
    <t>Upfront</t>
  </si>
  <si>
    <t>n/a</t>
  </si>
  <si>
    <t>1L Term Loan A</t>
  </si>
  <si>
    <t>1L FO Term Loan</t>
  </si>
  <si>
    <t>1L Term Loan B</t>
  </si>
  <si>
    <t>102 / 101</t>
  </si>
  <si>
    <t>1L LO Term Loan</t>
  </si>
  <si>
    <t>1L Unitranche Term Loan</t>
  </si>
  <si>
    <t>2L Term Loan</t>
  </si>
  <si>
    <t>103 / 102 / 101</t>
  </si>
  <si>
    <t>Senior Secured Notes</t>
  </si>
  <si>
    <t>Secured Notes</t>
  </si>
  <si>
    <t>Unsecured Notes</t>
  </si>
  <si>
    <t>NC1 / 103 / 101</t>
  </si>
  <si>
    <t>HoldCo Notes</t>
  </si>
  <si>
    <t>NC2 / 103 / 101</t>
  </si>
  <si>
    <t>Preferred Equity</t>
  </si>
  <si>
    <t>Common Equity</t>
  </si>
  <si>
    <t>Valuation</t>
  </si>
  <si>
    <t>Estimated TEV Multiple</t>
  </si>
  <si>
    <t>Top 10 Customer Detail</t>
  </si>
  <si>
    <t>TTM Revenue</t>
  </si>
  <si>
    <t>TTM [Gross Profit]</t>
  </si>
  <si>
    <t>Customer</t>
  </si>
  <si>
    <t>% Total</t>
  </si>
  <si>
    <t>[Customer]</t>
  </si>
  <si>
    <t>Top 10 Customers</t>
  </si>
  <si>
    <t>All Other (n = [X])</t>
  </si>
  <si>
    <t>Total</t>
  </si>
  <si>
    <t>Memo: Global Top 1 / 10 Customer (% Total)</t>
  </si>
  <si>
    <t>Global Top Customer</t>
  </si>
  <si>
    <t>Global Top 10 Customer</t>
  </si>
  <si>
    <t>CAGR</t>
  </si>
  <si>
    <t>∆ bps</t>
  </si>
  <si>
    <t>Top 10 Supplier Detail</t>
  </si>
  <si>
    <t>TTM Purchases</t>
  </si>
  <si>
    <t>Supplier</t>
  </si>
  <si>
    <t>[Supplier]</t>
  </si>
  <si>
    <t>Top 10 Suppliers</t>
  </si>
  <si>
    <t>Total Purchases</t>
  </si>
  <si>
    <t>Historical Financial Summary</t>
  </si>
  <si>
    <t>Trailing Twelve Month Period Ending,</t>
  </si>
  <si>
    <t>YTD Period Ending,</t>
  </si>
  <si>
    <t>Other Expense (Income)</t>
  </si>
  <si>
    <t>( + ) Adjustments</t>
  </si>
  <si>
    <t>Historical Financial Charts</t>
  </si>
  <si>
    <t>TTM Revenue (% y/y)</t>
  </si>
  <si>
    <t>TTM Gross Profit (% margin)</t>
  </si>
  <si>
    <t>USD in millions</t>
  </si>
  <si>
    <t>TTM CA EBITDA (% margin)</t>
  </si>
  <si>
    <t>TTM Capital Expenditures (% revenue)</t>
  </si>
  <si>
    <t>Date</t>
  </si>
  <si>
    <t>Revenue</t>
  </si>
  <si>
    <t>% y/y</t>
  </si>
  <si>
    <t>Gross Profit</t>
  </si>
  <si>
    <t>% margin</t>
  </si>
  <si>
    <t>CA EBITDA</t>
  </si>
  <si>
    <t>Capex</t>
  </si>
  <si>
    <t>% revenue</t>
  </si>
  <si>
    <t>EBITDA Adjustment Detail</t>
  </si>
  <si>
    <t>Net Income (GAAP)</t>
  </si>
  <si>
    <t>Definitional Adjustments</t>
  </si>
  <si>
    <t>Income Tax Expense (Benefit)</t>
  </si>
  <si>
    <t>Interest Expense (Income)</t>
  </si>
  <si>
    <t>Depreciation</t>
  </si>
  <si>
    <t>Amortization</t>
  </si>
  <si>
    <t>Diligence Adjustments</t>
  </si>
  <si>
    <t>Total Diligence Adjustments</t>
  </si>
  <si>
    <t>Pro Forma Adjustments</t>
  </si>
  <si>
    <t>Total Pro Forma Adjustments</t>
  </si>
  <si>
    <t>Historical NWC Detail</t>
  </si>
  <si>
    <t>USD in millions, except where noted</t>
  </si>
  <si>
    <t>Fiscal Period Ending,</t>
  </si>
  <si>
    <t>Memo:</t>
  </si>
  <si>
    <t>Net Working Capital Ratios:</t>
  </si>
  <si>
    <t>NWC Peak</t>
  </si>
  <si>
    <t>NWC Trough</t>
  </si>
  <si>
    <t>∆ Trough-to-Peak (Cash Use)</t>
  </si>
  <si>
    <t>Period</t>
  </si>
  <si>
    <t>NWC</t>
  </si>
  <si>
    <t>% TTM revenue</t>
  </si>
  <si>
    <t>Historical Seasonality Detail</t>
  </si>
  <si>
    <t>Capital Expenditures</t>
  </si>
  <si>
    <t>FCF</t>
  </si>
  <si>
    <t>% conversion</t>
  </si>
  <si>
    <t>Revenue (% FY)</t>
  </si>
  <si>
    <t>Avg</t>
  </si>
  <si>
    <t>CA EBITDA (% FY)</t>
  </si>
  <si>
    <t>Capital Expenditures (% FY)</t>
  </si>
  <si>
    <t>FCF (% FY)</t>
  </si>
  <si>
    <t>Distressed Sale Value</t>
  </si>
  <si>
    <t>( + ) Operational Synergies</t>
  </si>
  <si>
    <t>( + ) Corporate Overhead</t>
  </si>
  <si>
    <t>( + ) Acquisitions Under LOI</t>
  </si>
  <si>
    <t>Capital Leases &amp; Other</t>
  </si>
  <si>
    <t>Valuation EBITDA</t>
  </si>
  <si>
    <t>Total Debt (Thru Overland Attachment)</t>
  </si>
  <si>
    <t>Total Debt (Fully Drawn)</t>
  </si>
  <si>
    <t>Valuation EBITDA (% Discount)</t>
  </si>
  <si>
    <t>TEV / EBITDA</t>
  </si>
  <si>
    <t>EBITDA</t>
  </si>
  <si>
    <t>Discount</t>
  </si>
  <si>
    <t>Mult.</t>
  </si>
  <si>
    <t>% Cov.</t>
  </si>
  <si>
    <t>DSV Case Toggle</t>
  </si>
  <si>
    <t>Operational Synergies</t>
  </si>
  <si>
    <t>Corporate Overhead</t>
  </si>
  <si>
    <t>Acquisitions Under LOI</t>
  </si>
  <si>
    <t>Stub Periods</t>
  </si>
  <si>
    <t>Financial Inputs</t>
  </si>
  <si>
    <t>Quarterly Income Statement &amp; Cash Flow Statement Detail</t>
  </si>
  <si>
    <t>[Segment]</t>
  </si>
  <si>
    <t>Other</t>
  </si>
  <si>
    <t>[COGS]</t>
  </si>
  <si>
    <t>Other COGS</t>
  </si>
  <si>
    <t>[Operating Exepnse]</t>
  </si>
  <si>
    <t>Other Operating Expense (Income)</t>
  </si>
  <si>
    <t>Operating Income (Loss)</t>
  </si>
  <si>
    <t>Pre-Tax Income (Loss)</t>
  </si>
  <si>
    <t>% effective rate</t>
  </si>
  <si>
    <t>Net Income</t>
  </si>
  <si>
    <t>EBITDA (Reported)</t>
  </si>
  <si>
    <t>( + ) [Diligence Adjustment]</t>
  </si>
  <si>
    <t>Adjusted EBITDA</t>
  </si>
  <si>
    <t>( + ) [Pro Forma Adjustment]</t>
  </si>
  <si>
    <t>Maintenance Capex</t>
  </si>
  <si>
    <t>Growth Capex</t>
  </si>
  <si>
    <t>Other Capex</t>
  </si>
  <si>
    <t>Cash Flow from Operations</t>
  </si>
  <si>
    <t>( + ) Cash Tax Expense (Benefit)</t>
  </si>
  <si>
    <t>( + ) Cash Interest Expense (Income)</t>
  </si>
  <si>
    <t>Unlevered FCF</t>
  </si>
  <si>
    <t>YTD Income Statement &amp; Cash Flow Statement Detail</t>
  </si>
  <si>
    <t>TTM Income Statement &amp; Cash Flow Statement Detail</t>
  </si>
  <si>
    <t>Quarterly Net Working Capital</t>
  </si>
  <si>
    <t>Days in Period</t>
  </si>
  <si>
    <t>TTM COGS</t>
  </si>
  <si>
    <t>Accounts Receivable</t>
  </si>
  <si>
    <t>Costs in Excess of Billings ("CIE")</t>
  </si>
  <si>
    <t>Inventory</t>
  </si>
  <si>
    <t>Prepaid &amp; Other</t>
  </si>
  <si>
    <t>Current Assets</t>
  </si>
  <si>
    <t>Accounts Payable</t>
  </si>
  <si>
    <t>Billings in Excess of Costs ("BIE")</t>
  </si>
  <si>
    <t>Deferred Revenue</t>
  </si>
  <si>
    <t>Accrued &amp; Other</t>
  </si>
  <si>
    <t>Current Liabilities</t>
  </si>
  <si>
    <t>DSO</t>
  </si>
  <si>
    <t>DIH</t>
  </si>
  <si>
    <t>DPO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</si>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</sst>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&quot;$&quot;#,##0_);\(&quot;$&quot;#,##0\);&quot;$--&quot;_);@_)"/>
    <numFmt numFmtId="165" formatCode="#,##0_);\(#,##0\);&quot;--&quot;_);@_)"/>
    <numFmt numFmtId="166" formatCode="#,##0.0%_);\(#,##0.0%\);&quot;--%&quot;_);@_)"/>
    <numFmt numFmtId="167" formatCode="#,##0.00\x_);\(#,##0.00\x\);&quot;--x&quot;_);@_)"/>
    <numFmt numFmtId="168" formatCode="&quot;$&quot;#,##0.0_);\(&quot;$&quot;#,##0.0\);&quot;$--&quot;_);@_)"/>
    <numFmt numFmtId="169" formatCode="#,##0.0\x_);\(#,##0.0\x\);&quot;--x&quot;_);@_)"/>
    <numFmt numFmtId="170" formatCode="#,##0%_);\(#,##0%\);&quot;--%&quot;_);@_)"/>
    <numFmt numFmtId="171" formatCode="#,##0&quot; bps&quot;_);\(#,##0&quot; bps&quot;\);&quot;-- bps&quot;_);@_)"/>
    <numFmt numFmtId="172" formatCode="#,##0.00_);\(#,##0.00\);&quot;--&quot;_);@_)"/>
    <numFmt numFmtId="173" formatCode="m/d/yy"/>
    <numFmt numFmtId="174" formatCode="#,##0.000%_);\(#,##0.000%\);&quot;--%&quot;_);@_)"/>
    <numFmt numFmtId="175" formatCode="#,##0.00%_);\(#,##0.00%\);&quot;--%&quot;_);@_)"/>
    <numFmt numFmtId="176" formatCode="&quot;Y&quot;;&quot;N&quot;;&quot;N&quot;"/>
  </numFmts>
  <fonts count="26" x14ac:knownFonts="1"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u val="singleAccounting"/>
      <sz val="1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sz val="10"/>
      <color rgb="FF00B050"/>
      <name val="Calibri"/>
      <family val="2"/>
    </font>
    <font>
      <b/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  <font>
      <sz val="10"/>
      <name val="Calibri"/>
      <family val="2"/>
      <scheme val="major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u val="singleAccounting"/>
      <sz val="10"/>
      <name val="Calibri"/>
      <family val="2"/>
      <scheme val="major"/>
    </font>
    <font>
      <b/>
      <i/>
      <sz val="10"/>
      <color theme="1"/>
      <name val="Calibri"/>
      <family val="2"/>
    </font>
    <font>
      <i/>
      <sz val="10"/>
      <color rgb="FF0000FF"/>
      <name val="Calibri"/>
      <family val="2"/>
    </font>
    <font>
      <b/>
      <sz val="10"/>
      <color theme="0"/>
      <name val="Calibri"/>
      <family val="2"/>
      <scheme val="major"/>
    </font>
    <font>
      <i/>
      <sz val="10"/>
      <name val="Calibri"/>
      <family val="2"/>
      <scheme val="major"/>
    </font>
    <font>
      <sz val="10"/>
      <color rgb="FF0000FF"/>
      <name val="Calibri"/>
      <family val="2"/>
      <scheme val="major"/>
    </font>
    <font>
      <b/>
      <sz val="10"/>
      <name val="Calibri"/>
      <family val="2"/>
      <scheme val="major"/>
    </font>
    <font>
      <b/>
      <sz val="10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64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4" fillId="2" borderId="6" xfId="0" applyFont="1" applyFill="1" applyBorder="1"/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5" fillId="0" borderId="0" xfId="0" applyFont="1"/>
    <xf numFmtId="17" fontId="2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2" fillId="0" borderId="0" xfId="0" applyNumberFormat="1" applyFont="1" applyAlignment="1">
      <alignment horizontal="center"/>
    </xf>
    <xf numFmtId="0" fontId="3" fillId="0" borderId="2" xfId="0" applyFont="1" applyBorder="1"/>
    <xf numFmtId="0" fontId="5" fillId="0" borderId="0" xfId="0" applyFont="1" applyAlignment="1">
      <alignment horizontal="left" indent="1"/>
    </xf>
    <xf numFmtId="0" fontId="2" fillId="0" borderId="0" xfId="0" quotePrefix="1" applyFont="1"/>
    <xf numFmtId="166" fontId="3" fillId="0" borderId="2" xfId="0" applyNumberFormat="1" applyFont="1" applyBorder="1" applyAlignment="1">
      <alignment horizontal="center"/>
    </xf>
    <xf numFmtId="44" fontId="6" fillId="3" borderId="0" xfId="0" applyNumberFormat="1" applyFont="1" applyFill="1" applyAlignment="1">
      <alignment horizontal="centerContinuous"/>
    </xf>
    <xf numFmtId="44" fontId="7" fillId="3" borderId="0" xfId="0" applyNumberFormat="1" applyFont="1" applyFill="1" applyAlignment="1">
      <alignment horizontal="centerContinuous"/>
    </xf>
    <xf numFmtId="44" fontId="7" fillId="3" borderId="0" xfId="0" applyNumberFormat="1" applyFont="1" applyFill="1" applyAlignment="1">
      <alignment horizontal="center"/>
    </xf>
    <xf numFmtId="0" fontId="3" fillId="4" borderId="2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164" fontId="3" fillId="4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center"/>
    </xf>
    <xf numFmtId="0" fontId="3" fillId="4" borderId="9" xfId="0" applyFont="1" applyFill="1" applyBorder="1"/>
    <xf numFmtId="0" fontId="2" fillId="4" borderId="9" xfId="0" applyFont="1" applyFill="1" applyBorder="1"/>
    <xf numFmtId="164" fontId="3" fillId="4" borderId="9" xfId="0" applyNumberFormat="1" applyFont="1" applyFill="1" applyBorder="1" applyAlignment="1">
      <alignment horizontal="right"/>
    </xf>
    <xf numFmtId="166" fontId="3" fillId="4" borderId="9" xfId="0" applyNumberFormat="1" applyFont="1" applyFill="1" applyBorder="1" applyAlignment="1">
      <alignment horizontal="center"/>
    </xf>
    <xf numFmtId="44" fontId="6" fillId="0" borderId="10" xfId="0" applyNumberFormat="1" applyFont="1" applyBorder="1" applyAlignment="1">
      <alignment horizontal="center"/>
    </xf>
    <xf numFmtId="0" fontId="2" fillId="0" borderId="11" xfId="0" applyFont="1" applyBorder="1"/>
    <xf numFmtId="165" fontId="2" fillId="0" borderId="11" xfId="0" applyNumberFormat="1" applyFont="1" applyBorder="1" applyAlignment="1">
      <alignment horizontal="right"/>
    </xf>
    <xf numFmtId="164" fontId="3" fillId="4" borderId="12" xfId="0" applyNumberFormat="1" applyFont="1" applyFill="1" applyBorder="1" applyAlignment="1">
      <alignment horizontal="right"/>
    </xf>
    <xf numFmtId="166" fontId="5" fillId="0" borderId="11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0" fontId="2" fillId="0" borderId="14" xfId="0" applyFont="1" applyBorder="1"/>
    <xf numFmtId="165" fontId="2" fillId="0" borderId="0" xfId="0" applyNumberFormat="1" applyFont="1" applyAlignment="1">
      <alignment horizontal="right" indent="1"/>
    </xf>
    <xf numFmtId="17" fontId="9" fillId="0" borderId="0" xfId="0" applyNumberFormat="1" applyFont="1" applyAlignment="1">
      <alignment horizontal="center"/>
    </xf>
    <xf numFmtId="164" fontId="3" fillId="4" borderId="11" xfId="0" applyNumberFormat="1" applyFont="1" applyFill="1" applyBorder="1" applyAlignment="1">
      <alignment horizontal="right"/>
    </xf>
    <xf numFmtId="0" fontId="3" fillId="4" borderId="0" xfId="0" applyFont="1" applyFill="1"/>
    <xf numFmtId="164" fontId="3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right"/>
    </xf>
    <xf numFmtId="164" fontId="9" fillId="0" borderId="11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165" fontId="9" fillId="0" borderId="11" xfId="0" applyNumberFormat="1" applyFont="1" applyBorder="1" applyAlignment="1">
      <alignment horizontal="right"/>
    </xf>
    <xf numFmtId="166" fontId="11" fillId="0" borderId="11" xfId="0" applyNumberFormat="1" applyFont="1" applyBorder="1" applyAlignment="1">
      <alignment horizontal="right"/>
    </xf>
    <xf numFmtId="166" fontId="11" fillId="0" borderId="0" xfId="0" applyNumberFormat="1" applyFont="1" applyAlignment="1">
      <alignment horizontal="right"/>
    </xf>
    <xf numFmtId="164" fontId="10" fillId="4" borderId="9" xfId="0" applyNumberFormat="1" applyFont="1" applyFill="1" applyBorder="1" applyAlignment="1">
      <alignment horizontal="right"/>
    </xf>
    <xf numFmtId="164" fontId="10" fillId="4" borderId="13" xfId="0" applyNumberFormat="1" applyFont="1" applyFill="1" applyBorder="1" applyAlignment="1">
      <alignment horizontal="right"/>
    </xf>
    <xf numFmtId="0" fontId="4" fillId="0" borderId="0" xfId="0" applyFont="1"/>
    <xf numFmtId="166" fontId="3" fillId="4" borderId="0" xfId="0" applyNumberFormat="1" applyFont="1" applyFill="1" applyAlignment="1">
      <alignment horizontal="center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2" fillId="2" borderId="1" xfId="0" applyFont="1" applyFill="1" applyBorder="1"/>
    <xf numFmtId="164" fontId="9" fillId="2" borderId="2" xfId="0" applyNumberFormat="1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right"/>
    </xf>
    <xf numFmtId="0" fontId="2" fillId="2" borderId="6" xfId="0" applyFont="1" applyFill="1" applyBorder="1"/>
    <xf numFmtId="164" fontId="9" fillId="2" borderId="7" xfId="0" applyNumberFormat="1" applyFont="1" applyFill="1" applyBorder="1" applyAlignment="1">
      <alignment horizontal="right"/>
    </xf>
    <xf numFmtId="164" fontId="9" fillId="2" borderId="8" xfId="0" applyNumberFormat="1" applyFont="1" applyFill="1" applyBorder="1" applyAlignment="1">
      <alignment horizontal="right"/>
    </xf>
    <xf numFmtId="165" fontId="2" fillId="2" borderId="2" xfId="0" applyNumberFormat="1" applyFont="1" applyFill="1" applyBorder="1"/>
    <xf numFmtId="165" fontId="2" fillId="2" borderId="3" xfId="0" applyNumberFormat="1" applyFont="1" applyFill="1" applyBorder="1"/>
    <xf numFmtId="0" fontId="2" fillId="2" borderId="4" xfId="0" applyFont="1" applyFill="1" applyBorder="1"/>
    <xf numFmtId="0" fontId="14" fillId="2" borderId="4" xfId="0" applyFont="1" applyFill="1" applyBorder="1"/>
    <xf numFmtId="0" fontId="3" fillId="2" borderId="16" xfId="0" applyFont="1" applyFill="1" applyBorder="1"/>
    <xf numFmtId="0" fontId="2" fillId="2" borderId="17" xfId="0" applyFont="1" applyFill="1" applyBorder="1"/>
    <xf numFmtId="164" fontId="3" fillId="2" borderId="3" xfId="0" applyNumberFormat="1" applyFont="1" applyFill="1" applyBorder="1"/>
    <xf numFmtId="164" fontId="3" fillId="2" borderId="5" xfId="0" applyNumberFormat="1" applyFont="1" applyFill="1" applyBorder="1"/>
    <xf numFmtId="0" fontId="5" fillId="2" borderId="6" xfId="0" applyFont="1" applyFill="1" applyBorder="1" applyAlignment="1">
      <alignment horizontal="left" indent="1"/>
    </xf>
    <xf numFmtId="164" fontId="5" fillId="2" borderId="8" xfId="0" applyNumberFormat="1" applyFont="1" applyFill="1" applyBorder="1"/>
    <xf numFmtId="0" fontId="2" fillId="0" borderId="0" xfId="0" applyFont="1" applyAlignment="1">
      <alignment horizontal="center"/>
    </xf>
    <xf numFmtId="168" fontId="2" fillId="0" borderId="0" xfId="0" applyNumberFormat="1" applyFont="1"/>
    <xf numFmtId="0" fontId="2" fillId="0" borderId="0" xfId="0" applyFont="1" applyAlignment="1">
      <alignment horizontal="centerContinuous"/>
    </xf>
    <xf numFmtId="0" fontId="12" fillId="0" borderId="17" xfId="0" applyFont="1" applyBorder="1" applyAlignment="1">
      <alignment horizontal="centerContinuous"/>
    </xf>
    <xf numFmtId="0" fontId="12" fillId="0" borderId="18" xfId="0" applyFont="1" applyBorder="1" applyAlignment="1">
      <alignment horizontal="centerContinuous"/>
    </xf>
    <xf numFmtId="0" fontId="15" fillId="0" borderId="16" xfId="0" applyFont="1" applyBorder="1" applyAlignment="1">
      <alignment horizontal="centerContinuous"/>
    </xf>
    <xf numFmtId="0" fontId="15" fillId="0" borderId="17" xfId="0" applyFont="1" applyBorder="1" applyAlignment="1">
      <alignment horizontal="centerContinuous"/>
    </xf>
    <xf numFmtId="0" fontId="15" fillId="0" borderId="18" xfId="0" applyFont="1" applyBorder="1" applyAlignment="1">
      <alignment horizontal="centerContinuous"/>
    </xf>
    <xf numFmtId="169" fontId="2" fillId="2" borderId="0" xfId="0" applyNumberFormat="1" applyFont="1" applyFill="1" applyAlignment="1">
      <alignment horizontal="right"/>
    </xf>
    <xf numFmtId="169" fontId="2" fillId="2" borderId="5" xfId="0" applyNumberFormat="1" applyFont="1" applyFill="1" applyBorder="1" applyAlignment="1">
      <alignment horizontal="right"/>
    </xf>
    <xf numFmtId="169" fontId="3" fillId="2" borderId="17" xfId="0" applyNumberFormat="1" applyFont="1" applyFill="1" applyBorder="1" applyAlignment="1">
      <alignment horizontal="right"/>
    </xf>
    <xf numFmtId="169" fontId="3" fillId="2" borderId="18" xfId="0" applyNumberFormat="1" applyFont="1" applyFill="1" applyBorder="1" applyAlignment="1">
      <alignment horizontal="right"/>
    </xf>
    <xf numFmtId="166" fontId="5" fillId="2" borderId="0" xfId="0" applyNumberFormat="1" applyFont="1" applyFill="1"/>
    <xf numFmtId="164" fontId="10" fillId="0" borderId="0" xfId="0" applyNumberFormat="1" applyFont="1" applyAlignment="1">
      <alignment horizontal="right"/>
    </xf>
    <xf numFmtId="0" fontId="2" fillId="0" borderId="7" xfId="0" applyFont="1" applyBorder="1" applyAlignment="1">
      <alignment horizontal="centerContinuous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8" fillId="0" borderId="11" xfId="0" applyNumberFormat="1" applyFont="1" applyBorder="1" applyAlignment="1">
      <alignment horizontal="right"/>
    </xf>
    <xf numFmtId="164" fontId="10" fillId="4" borderId="0" xfId="0" applyNumberFormat="1" applyFont="1" applyFill="1" applyAlignment="1">
      <alignment horizontal="right"/>
    </xf>
    <xf numFmtId="164" fontId="10" fillId="4" borderId="11" xfId="0" applyNumberFormat="1" applyFont="1" applyFill="1" applyBorder="1" applyAlignment="1">
      <alignment horizontal="right"/>
    </xf>
    <xf numFmtId="44" fontId="6" fillId="0" borderId="0" xfId="0" applyNumberFormat="1" applyFont="1" applyAlignment="1">
      <alignment horizontal="centerContinuous"/>
    </xf>
    <xf numFmtId="0" fontId="1" fillId="3" borderId="0" xfId="0" applyFont="1" applyFill="1" applyAlignment="1">
      <alignment vertical="center"/>
    </xf>
    <xf numFmtId="44" fontId="6" fillId="4" borderId="16" xfId="0" applyNumberFormat="1" applyFont="1" applyFill="1" applyBorder="1" applyAlignment="1">
      <alignment horizontal="centerContinuous"/>
    </xf>
    <xf numFmtId="44" fontId="6" fillId="4" borderId="17" xfId="0" applyNumberFormat="1" applyFont="1" applyFill="1" applyBorder="1" applyAlignment="1">
      <alignment horizontal="centerContinuous"/>
    </xf>
    <xf numFmtId="44" fontId="6" fillId="4" borderId="18" xfId="0" applyNumberFormat="1" applyFont="1" applyFill="1" applyBorder="1" applyAlignment="1">
      <alignment horizontal="centerContinuous"/>
    </xf>
    <xf numFmtId="166" fontId="2" fillId="0" borderId="7" xfId="0" applyNumberFormat="1" applyFont="1" applyBorder="1"/>
    <xf numFmtId="167" fontId="2" fillId="0" borderId="20" xfId="0" applyNumberFormat="1" applyFont="1" applyBorder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166" fontId="8" fillId="5" borderId="15" xfId="0" applyNumberFormat="1" applyFont="1" applyFill="1" applyBorder="1"/>
    <xf numFmtId="167" fontId="8" fillId="5" borderId="15" xfId="0" applyNumberFormat="1" applyFont="1" applyFill="1" applyBorder="1"/>
    <xf numFmtId="0" fontId="8" fillId="5" borderId="15" xfId="0" applyFont="1" applyFill="1" applyBorder="1" applyAlignment="1">
      <alignment horizontal="center"/>
    </xf>
    <xf numFmtId="164" fontId="8" fillId="5" borderId="15" xfId="0" applyNumberFormat="1" applyFont="1" applyFill="1" applyBorder="1"/>
    <xf numFmtId="166" fontId="13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70" fontId="2" fillId="0" borderId="16" xfId="0" applyNumberFormat="1" applyFont="1" applyBorder="1" applyAlignment="1">
      <alignment horizontal="right"/>
    </xf>
    <xf numFmtId="170" fontId="2" fillId="0" borderId="17" xfId="0" applyNumberFormat="1" applyFont="1" applyBorder="1" applyAlignment="1">
      <alignment horizontal="right"/>
    </xf>
    <xf numFmtId="170" fontId="2" fillId="0" borderId="18" xfId="0" applyNumberFormat="1" applyFont="1" applyBorder="1" applyAlignment="1">
      <alignment horizontal="right"/>
    </xf>
    <xf numFmtId="164" fontId="10" fillId="4" borderId="0" xfId="0" applyNumberFormat="1" applyFont="1" applyFill="1"/>
    <xf numFmtId="17" fontId="3" fillId="4" borderId="0" xfId="0" applyNumberFormat="1" applyFont="1" applyFill="1"/>
    <xf numFmtId="166" fontId="16" fillId="0" borderId="0" xfId="0" applyNumberFormat="1" applyFont="1" applyAlignment="1">
      <alignment horizontal="center"/>
    </xf>
    <xf numFmtId="166" fontId="17" fillId="4" borderId="2" xfId="0" applyNumberFormat="1" applyFont="1" applyFill="1" applyBorder="1" applyAlignment="1">
      <alignment horizontal="center"/>
    </xf>
    <xf numFmtId="166" fontId="16" fillId="0" borderId="0" xfId="0" applyNumberFormat="1" applyFont="1" applyAlignment="1">
      <alignment horizontal="right"/>
    </xf>
    <xf numFmtId="166" fontId="17" fillId="4" borderId="9" xfId="0" applyNumberFormat="1" applyFont="1" applyFill="1" applyBorder="1" applyAlignment="1">
      <alignment horizontal="right"/>
    </xf>
    <xf numFmtId="166" fontId="17" fillId="4" borderId="9" xfId="0" applyNumberFormat="1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164" fontId="8" fillId="0" borderId="11" xfId="0" applyNumberFormat="1" applyFont="1" applyBorder="1" applyAlignment="1">
      <alignment horizontal="right"/>
    </xf>
    <xf numFmtId="164" fontId="17" fillId="4" borderId="2" xfId="0" applyNumberFormat="1" applyFont="1" applyFill="1" applyBorder="1" applyAlignment="1">
      <alignment horizontal="right"/>
    </xf>
    <xf numFmtId="164" fontId="17" fillId="4" borderId="12" xfId="0" applyNumberFormat="1" applyFont="1" applyFill="1" applyBorder="1" applyAlignment="1">
      <alignment horizontal="right"/>
    </xf>
    <xf numFmtId="166" fontId="17" fillId="4" borderId="2" xfId="0" applyNumberFormat="1" applyFont="1" applyFill="1" applyBorder="1" applyAlignment="1">
      <alignment horizontal="right"/>
    </xf>
    <xf numFmtId="166" fontId="17" fillId="4" borderId="12" xfId="0" applyNumberFormat="1" applyFont="1" applyFill="1" applyBorder="1" applyAlignment="1">
      <alignment horizontal="right"/>
    </xf>
    <xf numFmtId="166" fontId="16" fillId="0" borderId="11" xfId="0" applyNumberFormat="1" applyFont="1" applyBorder="1" applyAlignment="1">
      <alignment horizontal="right"/>
    </xf>
    <xf numFmtId="166" fontId="17" fillId="4" borderId="13" xfId="0" applyNumberFormat="1" applyFont="1" applyFill="1" applyBorder="1" applyAlignment="1">
      <alignment horizontal="right"/>
    </xf>
    <xf numFmtId="44" fontId="18" fillId="0" borderId="0" xfId="0" applyNumberFormat="1" applyFont="1" applyAlignment="1">
      <alignment horizontal="center"/>
    </xf>
    <xf numFmtId="171" fontId="16" fillId="0" borderId="0" xfId="0" applyNumberFormat="1" applyFont="1" applyAlignment="1">
      <alignment horizontal="right"/>
    </xf>
    <xf numFmtId="171" fontId="17" fillId="4" borderId="22" xfId="0" applyNumberFormat="1" applyFont="1" applyFill="1" applyBorder="1" applyAlignment="1">
      <alignment horizontal="right"/>
    </xf>
    <xf numFmtId="171" fontId="17" fillId="4" borderId="23" xfId="0" applyNumberFormat="1" applyFont="1" applyFill="1" applyBorder="1" applyAlignment="1">
      <alignment horizontal="right"/>
    </xf>
    <xf numFmtId="0" fontId="19" fillId="0" borderId="0" xfId="0" applyFont="1"/>
    <xf numFmtId="0" fontId="0" fillId="2" borderId="1" xfId="0" applyFill="1" applyBorder="1"/>
    <xf numFmtId="0" fontId="0" fillId="2" borderId="2" xfId="0" applyFill="1" applyBorder="1"/>
    <xf numFmtId="166" fontId="2" fillId="2" borderId="12" xfId="0" applyNumberFormat="1" applyFont="1" applyFill="1" applyBorder="1" applyAlignment="1">
      <alignment horizontal="right"/>
    </xf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166" fontId="2" fillId="2" borderId="24" xfId="0" applyNumberFormat="1" applyFont="1" applyFill="1" applyBorder="1" applyAlignment="1">
      <alignment horizontal="right"/>
    </xf>
    <xf numFmtId="0" fontId="0" fillId="2" borderId="8" xfId="0" applyFill="1" applyBorder="1"/>
    <xf numFmtId="166" fontId="16" fillId="2" borderId="0" xfId="0" applyNumberFormat="1" applyFont="1" applyFill="1" applyAlignment="1">
      <alignment horizontal="right"/>
    </xf>
    <xf numFmtId="166" fontId="12" fillId="2" borderId="2" xfId="0" applyNumberFormat="1" applyFont="1" applyFill="1" applyBorder="1" applyAlignment="1">
      <alignment horizontal="right"/>
    </xf>
    <xf numFmtId="166" fontId="12" fillId="2" borderId="7" xfId="0" applyNumberFormat="1" applyFont="1" applyFill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center"/>
    </xf>
    <xf numFmtId="167" fontId="3" fillId="4" borderId="9" xfId="0" applyNumberFormat="1" applyFont="1" applyFill="1" applyBorder="1" applyAlignment="1">
      <alignment horizontal="right"/>
    </xf>
    <xf numFmtId="166" fontId="3" fillId="4" borderId="9" xfId="0" applyNumberFormat="1" applyFont="1" applyFill="1" applyBorder="1" applyAlignment="1">
      <alignment horizontal="right"/>
    </xf>
    <xf numFmtId="0" fontId="2" fillId="2" borderId="18" xfId="0" applyFont="1" applyFill="1" applyBorder="1"/>
    <xf numFmtId="164" fontId="3" fillId="4" borderId="9" xfId="0" applyNumberFormat="1" applyFont="1" applyFill="1" applyBorder="1"/>
    <xf numFmtId="173" fontId="2" fillId="0" borderId="0" xfId="0" applyNumberFormat="1" applyFont="1" applyAlignment="1">
      <alignment horizontal="center"/>
    </xf>
    <xf numFmtId="0" fontId="8" fillId="0" borderId="0" xfId="0" applyFont="1"/>
    <xf numFmtId="0" fontId="8" fillId="5" borderId="0" xfId="0" applyFont="1" applyFill="1"/>
    <xf numFmtId="0" fontId="2" fillId="5" borderId="0" xfId="0" applyFont="1" applyFill="1"/>
    <xf numFmtId="44" fontId="7" fillId="3" borderId="25" xfId="0" applyNumberFormat="1" applyFont="1" applyFill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2" fillId="0" borderId="6" xfId="0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8" xfId="0" applyNumberFormat="1" applyFont="1" applyBorder="1" applyAlignment="1">
      <alignment horizontal="center"/>
    </xf>
    <xf numFmtId="17" fontId="8" fillId="5" borderId="15" xfId="0" applyNumberFormat="1" applyFont="1" applyFill="1" applyBorder="1" applyAlignment="1">
      <alignment horizontal="center"/>
    </xf>
    <xf numFmtId="0" fontId="2" fillId="0" borderId="9" xfId="0" applyFont="1" applyBorder="1"/>
    <xf numFmtId="44" fontId="7" fillId="3" borderId="6" xfId="0" applyNumberFormat="1" applyFont="1" applyFill="1" applyBorder="1" applyAlignment="1">
      <alignment horizontal="centerContinuous"/>
    </xf>
    <xf numFmtId="44" fontId="7" fillId="3" borderId="8" xfId="0" applyNumberFormat="1" applyFont="1" applyFill="1" applyBorder="1" applyAlignment="1">
      <alignment horizontal="centerContinuous"/>
    </xf>
    <xf numFmtId="166" fontId="20" fillId="2" borderId="0" xfId="0" applyNumberFormat="1" applyFont="1" applyFill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5" fontId="2" fillId="0" borderId="0" xfId="0" applyNumberFormat="1" applyFont="1"/>
    <xf numFmtId="164" fontId="3" fillId="0" borderId="2" xfId="0" applyNumberFormat="1" applyFont="1" applyBorder="1"/>
    <xf numFmtId="164" fontId="8" fillId="5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164" fontId="2" fillId="2" borderId="0" xfId="0" applyNumberFormat="1" applyFont="1" applyFill="1"/>
    <xf numFmtId="165" fontId="2" fillId="2" borderId="0" xfId="0" applyNumberFormat="1" applyFont="1" applyFill="1"/>
    <xf numFmtId="164" fontId="3" fillId="2" borderId="2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9" fontId="2" fillId="0" borderId="0" xfId="0" applyNumberFormat="1" applyFont="1" applyAlignment="1">
      <alignment horizontal="right"/>
    </xf>
    <xf numFmtId="169" fontId="3" fillId="2" borderId="2" xfId="0" applyNumberFormat="1" applyFont="1" applyFill="1" applyBorder="1" applyAlignment="1">
      <alignment horizontal="right"/>
    </xf>
    <xf numFmtId="169" fontId="3" fillId="0" borderId="2" xfId="0" applyNumberFormat="1" applyFont="1" applyBorder="1" applyAlignment="1">
      <alignment horizontal="right"/>
    </xf>
    <xf numFmtId="0" fontId="21" fillId="3" borderId="0" xfId="0" applyFont="1" applyFill="1" applyAlignment="1">
      <alignment vertical="center"/>
    </xf>
    <xf numFmtId="0" fontId="22" fillId="0" borderId="0" xfId="0" applyFont="1"/>
    <xf numFmtId="0" fontId="14" fillId="0" borderId="0" xfId="0" applyFont="1"/>
    <xf numFmtId="0" fontId="23" fillId="5" borderId="0" xfId="0" applyFont="1" applyFill="1"/>
    <xf numFmtId="0" fontId="24" fillId="0" borderId="2" xfId="0" applyFont="1" applyBorder="1"/>
    <xf numFmtId="0" fontId="22" fillId="0" borderId="0" xfId="0" applyFont="1" applyAlignment="1">
      <alignment horizontal="left" indent="1"/>
    </xf>
    <xf numFmtId="0" fontId="24" fillId="0" borderId="9" xfId="0" applyFont="1" applyBorder="1"/>
    <xf numFmtId="167" fontId="8" fillId="5" borderId="15" xfId="0" applyNumberFormat="1" applyFont="1" applyFill="1" applyBorder="1" applyAlignment="1">
      <alignment horizontal="right"/>
    </xf>
    <xf numFmtId="0" fontId="9" fillId="0" borderId="0" xfId="0" applyFont="1"/>
    <xf numFmtId="0" fontId="10" fillId="4" borderId="2" xfId="0" applyFont="1" applyFill="1" applyBorder="1"/>
    <xf numFmtId="0" fontId="11" fillId="0" borderId="0" xfId="0" applyFont="1" applyAlignment="1">
      <alignment horizontal="left" indent="1"/>
    </xf>
    <xf numFmtId="0" fontId="10" fillId="4" borderId="9" xfId="0" applyFont="1" applyFill="1" applyBorder="1"/>
    <xf numFmtId="0" fontId="10" fillId="4" borderId="0" xfId="0" applyFont="1" applyFill="1"/>
    <xf numFmtId="0" fontId="5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4" fontId="7" fillId="3" borderId="16" xfId="0" applyNumberFormat="1" applyFont="1" applyFill="1" applyBorder="1" applyAlignment="1">
      <alignment horizontal="centerContinuous"/>
    </xf>
    <xf numFmtId="44" fontId="6" fillId="3" borderId="17" xfId="0" applyNumberFormat="1" applyFont="1" applyFill="1" applyBorder="1" applyAlignment="1">
      <alignment horizontal="centerContinuous"/>
    </xf>
    <xf numFmtId="44" fontId="6" fillId="3" borderId="18" xfId="0" applyNumberFormat="1" applyFont="1" applyFill="1" applyBorder="1" applyAlignment="1">
      <alignment horizontal="centerContinuous"/>
    </xf>
    <xf numFmtId="17" fontId="16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25" fillId="4" borderId="9" xfId="0" applyNumberFormat="1" applyFont="1" applyFill="1" applyBorder="1" applyAlignment="1">
      <alignment horizontal="right"/>
    </xf>
    <xf numFmtId="164" fontId="25" fillId="4" borderId="13" xfId="0" applyNumberFormat="1" applyFont="1" applyFill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0" fontId="3" fillId="2" borderId="0" xfId="0" applyFont="1" applyFill="1"/>
    <xf numFmtId="164" fontId="3" fillId="2" borderId="0" xfId="0" applyNumberFormat="1" applyFont="1" applyFill="1" applyAlignment="1">
      <alignment horizontal="right"/>
    </xf>
    <xf numFmtId="0" fontId="1" fillId="3" borderId="0" xfId="0" applyFont="1" applyFill="1"/>
    <xf numFmtId="167" fontId="2" fillId="0" borderId="7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67" fontId="3" fillId="4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4" fontId="3" fillId="2" borderId="17" xfId="0" applyNumberFormat="1" applyFont="1" applyFill="1" applyBorder="1"/>
    <xf numFmtId="0" fontId="2" fillId="0" borderId="15" xfId="0" applyFont="1" applyBorder="1"/>
    <xf numFmtId="0" fontId="8" fillId="5" borderId="16" xfId="0" applyFont="1" applyFill="1" applyBorder="1"/>
    <xf numFmtId="0" fontId="8" fillId="5" borderId="17" xfId="0" applyFont="1" applyFill="1" applyBorder="1"/>
    <xf numFmtId="0" fontId="8" fillId="5" borderId="18" xfId="0" applyFont="1" applyFill="1" applyBorder="1"/>
    <xf numFmtId="175" fontId="2" fillId="0" borderId="0" xfId="0" applyNumberFormat="1" applyFont="1" applyAlignment="1">
      <alignment horizontal="right"/>
    </xf>
    <xf numFmtId="175" fontId="8" fillId="0" borderId="0" xfId="0" applyNumberFormat="1" applyFont="1" applyAlignment="1">
      <alignment horizontal="right"/>
    </xf>
    <xf numFmtId="165" fontId="8" fillId="0" borderId="0" xfId="0" applyNumberFormat="1" applyFont="1"/>
    <xf numFmtId="173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44" fontId="6" fillId="0" borderId="15" xfId="0" applyNumberFormat="1" applyFont="1" applyBorder="1" applyAlignment="1">
      <alignment horizontal="centerContinuous"/>
    </xf>
    <xf numFmtId="176" fontId="8" fillId="5" borderId="15" xfId="0" applyNumberFormat="1" applyFont="1" applyFill="1" applyBorder="1" applyAlignment="1">
      <alignment horizontal="center"/>
    </xf>
    <xf numFmtId="17" fontId="9" fillId="5" borderId="15" xfId="0" applyNumberFormat="1" applyFont="1" applyFill="1" applyBorder="1" applyAlignment="1">
      <alignment horizontal="center"/>
    </xf>
    <xf numFmtId="0" fontId="9" fillId="0" borderId="7" xfId="0" applyFont="1" applyBorder="1"/>
    <xf numFmtId="165" fontId="2" fillId="0" borderId="24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center"/>
    </xf>
    <xf numFmtId="0" fontId="10" fillId="0" borderId="0" xfId="0" applyFont="1"/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10" fillId="0" borderId="1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5" fontId="9" fillId="0" borderId="7" xfId="0" applyNumberFormat="1" applyFont="1" applyBorder="1" applyAlignment="1">
      <alignment horizontal="right"/>
    </xf>
    <xf numFmtId="165" fontId="9" fillId="0" borderId="24" xfId="0" applyNumberFormat="1" applyFont="1" applyBorder="1" applyAlignment="1">
      <alignment horizontal="right"/>
    </xf>
    <xf numFmtId="17" fontId="8" fillId="0" borderId="8" xfId="0" applyNumberFormat="1" applyFont="1" applyBorder="1" applyAlignment="1">
      <alignment horizontal="center"/>
    </xf>
    <xf numFmtId="44" fontId="7" fillId="3" borderId="17" xfId="0" applyNumberFormat="1" applyFont="1" applyFill="1" applyBorder="1" applyAlignment="1">
      <alignment horizontal="centerContinuous"/>
    </xf>
    <xf numFmtId="44" fontId="7" fillId="3" borderId="18" xfId="0" applyNumberFormat="1" applyFont="1" applyFill="1" applyBorder="1" applyAlignment="1">
      <alignment horizontal="centerContinuous"/>
    </xf>
    <xf numFmtId="0" fontId="3" fillId="4" borderId="19" xfId="0" applyFont="1" applyFill="1" applyBorder="1" applyAlignment="1">
      <alignment horizontal="center" vertical="center" textRotation="90" wrapText="1"/>
    </xf>
    <xf numFmtId="0" fontId="3" fillId="4" borderId="20" xfId="0" applyFont="1" applyFill="1" applyBorder="1" applyAlignment="1">
      <alignment horizontal="center" vertical="center" textRotation="90" wrapText="1"/>
    </xf>
    <xf numFmtId="0" fontId="3" fillId="4" borderId="2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'HistFin Charts'!$U$48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Charts'!$U$49:$U$61</c:f>
              <c:numCache>
                <c:formatCode>"$"#,##0.0_);\("$"#,##0.0\);"$--"_);@_)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4-4F8F-8386-6B109DAC7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392390623"/>
        <c:axId val="1392391103"/>
      </c:barChart>
      <c:lineChart>
        <c:grouping val="standard"/>
        <c:varyColors val="0"/>
        <c:ser>
          <c:idx val="1"/>
          <c:order val="1"/>
          <c:tx>
            <c:strRef>
              <c:f>'HistFin Charts'!$V$48</c:f>
              <c:strCache>
                <c:ptCount val="1"/>
                <c:pt idx="0">
                  <c:v> % y/y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Charts'!$V$49:$V$61</c:f>
              <c:numCache>
                <c:formatCode>#,##0.0%_);\(#,##0.0%\);"--%"_);@_)</c:formatCode>
                <c:ptCount val="13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4-4F8F-8386-6B109DAC7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834319"/>
        <c:axId val="794833359"/>
      </c:lineChart>
      <c:catAx>
        <c:axId val="13923906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1103"/>
        <c:crosses val="autoZero"/>
        <c:auto val="0"/>
        <c:lblAlgn val="ctr"/>
        <c:lblOffset val="100"/>
        <c:noMultiLvlLbl val="0"/>
      </c:catAx>
      <c:valAx>
        <c:axId val="1392391103"/>
        <c:scaling>
          <c:orientation val="minMax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0623"/>
        <c:crosses val="autoZero"/>
        <c:crossBetween val="between"/>
      </c:valAx>
      <c:valAx>
        <c:axId val="794833359"/>
        <c:scaling>
          <c:orientation val="minMax"/>
          <c:max val="0.5"/>
          <c:min val="-0.5"/>
        </c:scaling>
        <c:delete val="0"/>
        <c:axPos val="r"/>
        <c:numFmt formatCode="#,##0.0%_);\(#,##0.0%\);&quot;--%&quot;_);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34319"/>
        <c:crosses val="max"/>
        <c:crossBetween val="between"/>
      </c:valAx>
      <c:dateAx>
        <c:axId val="79483431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9483335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'HistFin Charts'!$W$48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Charts'!$W$49:$W$61</c:f>
              <c:numCache>
                <c:formatCode>"$"#,##0.0_);\("$"#,##0.0\);"$--"_);@_)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4-4658-9A29-7AEBF0EF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392390623"/>
        <c:axId val="1392391103"/>
      </c:barChart>
      <c:lineChart>
        <c:grouping val="standard"/>
        <c:varyColors val="0"/>
        <c:ser>
          <c:idx val="1"/>
          <c:order val="1"/>
          <c:tx>
            <c:strRef>
              <c:f>'HistFin Charts'!$X$48</c:f>
              <c:strCache>
                <c:ptCount val="1"/>
                <c:pt idx="0">
                  <c:v> % margin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Charts'!$X$49:$X$61</c:f>
              <c:numCache>
                <c:formatCode>#,##0.0%_);\(#,##0.0%\);"--%"_);@_)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E4-4658-9A29-7AEBF0EF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834319"/>
        <c:axId val="794833359"/>
      </c:lineChart>
      <c:catAx>
        <c:axId val="13923906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1103"/>
        <c:crosses val="autoZero"/>
        <c:auto val="0"/>
        <c:lblAlgn val="ctr"/>
        <c:lblOffset val="100"/>
        <c:noMultiLvlLbl val="0"/>
      </c:catAx>
      <c:valAx>
        <c:axId val="1392391103"/>
        <c:scaling>
          <c:orientation val="minMax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0623"/>
        <c:crosses val="autoZero"/>
        <c:crossBetween val="between"/>
      </c:valAx>
      <c:valAx>
        <c:axId val="794833359"/>
        <c:scaling>
          <c:orientation val="minMax"/>
          <c:max val="2"/>
          <c:min val="0"/>
        </c:scaling>
        <c:delete val="0"/>
        <c:axPos val="r"/>
        <c:numFmt formatCode="#,##0.0%_);\(#,##0.0%\);&quot;--%&quot;_);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34319"/>
        <c:crosses val="max"/>
        <c:crossBetween val="between"/>
      </c:valAx>
      <c:dateAx>
        <c:axId val="79483431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94833359"/>
        <c:crosses val="autoZero"/>
        <c:auto val="1"/>
        <c:lblOffset val="100"/>
        <c:baseTimeUnit val="months"/>
      </c:date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'HistFin Charts'!$Y$48</c:f>
              <c:strCache>
                <c:ptCount val="1"/>
                <c:pt idx="0">
                  <c:v> CA EBITDA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Charts'!$Y$49:$Y$61</c:f>
              <c:numCache>
                <c:formatCode>"$"#,##0.0_);\("$"#,##0.0\);"$--"_);@_)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D-4881-80A5-49DC7A60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392390623"/>
        <c:axId val="1392391103"/>
      </c:barChart>
      <c:lineChart>
        <c:grouping val="standard"/>
        <c:varyColors val="0"/>
        <c:ser>
          <c:idx val="1"/>
          <c:order val="1"/>
          <c:tx>
            <c:strRef>
              <c:f>'HistFin Charts'!$Z$48</c:f>
              <c:strCache>
                <c:ptCount val="1"/>
                <c:pt idx="0">
                  <c:v> % margin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Charts'!$Z$49:$Z$61</c:f>
              <c:numCache>
                <c:formatCode>#,##0.0%_);\(#,##0.0%\);"--%"_);@_)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6D-4881-80A5-49DC7A60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834319"/>
        <c:axId val="794833359"/>
      </c:lineChart>
      <c:catAx>
        <c:axId val="139239062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1103"/>
        <c:crosses val="autoZero"/>
        <c:auto val="0"/>
        <c:lblAlgn val="ctr"/>
        <c:lblOffset val="100"/>
        <c:noMultiLvlLbl val="0"/>
      </c:catAx>
      <c:valAx>
        <c:axId val="1392391103"/>
        <c:scaling>
          <c:orientation val="minMax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90623"/>
        <c:crosses val="autoZero"/>
        <c:crossBetween val="between"/>
      </c:valAx>
      <c:valAx>
        <c:axId val="794833359"/>
        <c:scaling>
          <c:orientation val="minMax"/>
          <c:max val="2"/>
          <c:min val="0"/>
        </c:scaling>
        <c:delete val="0"/>
        <c:axPos val="r"/>
        <c:numFmt formatCode="#,##0.0%_);\(#,##0.0%\);&quot;--%&quot;_);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34319"/>
        <c:crosses val="max"/>
        <c:crossBetween val="between"/>
      </c:valAx>
      <c:dateAx>
        <c:axId val="79483431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94833359"/>
        <c:crosses val="autoZero"/>
        <c:auto val="1"/>
        <c:lblOffset val="100"/>
        <c:baseTimeUnit val="months"/>
      </c:date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'HistFin Charts'!$AA$48</c:f>
              <c:strCache>
                <c:ptCount val="1"/>
                <c:pt idx="0">
                  <c:v> Maintenance Capex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Charts'!$AA$49:$AA$61</c:f>
              <c:numCache>
                <c:formatCode>"$"#,##0.0_);\("$"#,##0.0\);"$--"_);@_)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8-4175-AC3E-CDFF27461158}"/>
            </c:ext>
          </c:extLst>
        </c:ser>
        <c:ser>
          <c:idx val="1"/>
          <c:order val="1"/>
          <c:tx>
            <c:strRef>
              <c:f>'HistFin Charts'!$AB$48</c:f>
              <c:strCache>
                <c:ptCount val="1"/>
                <c:pt idx="0">
                  <c:v> Growth Capex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Charts'!$AB$49:$AB$61</c:f>
              <c:numCache>
                <c:formatCode>"$"#,##0.0_);\("$"#,##0.0\);"$--"_);@_)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8-4175-AC3E-CDFF27461158}"/>
            </c:ext>
          </c:extLst>
        </c:ser>
        <c:ser>
          <c:idx val="2"/>
          <c:order val="2"/>
          <c:tx>
            <c:strRef>
              <c:f>'HistFin Charts'!$AC$48</c:f>
              <c:strCache>
                <c:ptCount val="1"/>
                <c:pt idx="0">
                  <c:v> Other Capex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Charts'!$AC$49:$AC$61</c:f>
              <c:numCache>
                <c:formatCode>"$"#,##0.0_);\("$"#,##0.0\);"$--"_);@_)</c:formatCode>
                <c:ptCount val="1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8-4175-AC3E-CDFF27461158}"/>
            </c:ext>
          </c:extLst>
        </c:ser>
        <c:ser>
          <c:idx val="3"/>
          <c:order val="3"/>
          <c:tx>
            <c:strRef>
              <c:f>'HistFin Charts'!$AD$48</c:f>
              <c:strCache>
                <c:ptCount val="1"/>
                <c:pt idx="0">
                  <c:v> Capex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Charts'!$AD$49:$AD$61</c:f>
              <c:numCache>
                <c:formatCode>"$"#,##0.0_);\("$"#,##0.0\);"$--"_);@_)</c:formatCode>
                <c:ptCount val="13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8-4175-AC3E-CDFF2746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930918703"/>
        <c:axId val="930916783"/>
      </c:barChart>
      <c:lineChart>
        <c:grouping val="standard"/>
        <c:varyColors val="0"/>
        <c:ser>
          <c:idx val="4"/>
          <c:order val="4"/>
          <c:tx>
            <c:strRef>
              <c:f>'HistFin Charts'!$AE$48</c:f>
              <c:strCache>
                <c:ptCount val="1"/>
                <c:pt idx="0">
                  <c:v> % revenue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'HistFin Charts'!$T$49:$T$61</c:f>
              <c:numCache>
                <c:formatCode>mmm\-yy</c:formatCode>
                <c:ptCount val="13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</c:numCache>
            </c:numRef>
          </c:cat>
          <c:val>
            <c:numRef>
              <c:f>'HistFin Charts'!$AE$49:$AE$61</c:f>
              <c:numCache>
                <c:formatCode>#,##0.0%_);\(#,##0.0%\);"--%"_);@_)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A8-4175-AC3E-CDFF2746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868367"/>
        <c:axId val="938867407"/>
      </c:lineChart>
      <c:catAx>
        <c:axId val="9309187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16783"/>
        <c:crosses val="autoZero"/>
        <c:auto val="0"/>
        <c:lblAlgn val="ctr"/>
        <c:lblOffset val="100"/>
        <c:noMultiLvlLbl val="0"/>
      </c:catAx>
      <c:valAx>
        <c:axId val="930916783"/>
        <c:scaling>
          <c:orientation val="minMax"/>
          <c:max val="40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18703"/>
        <c:crosses val="autoZero"/>
        <c:crossBetween val="between"/>
      </c:valAx>
      <c:valAx>
        <c:axId val="938867407"/>
        <c:scaling>
          <c:orientation val="minMax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68367"/>
        <c:crosses val="max"/>
        <c:crossBetween val="between"/>
      </c:valAx>
      <c:dateAx>
        <c:axId val="9388683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93886740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NWC!$T$58</c:f>
              <c:strCache>
                <c:ptCount val="1"/>
                <c:pt idx="0">
                  <c:v> NWC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NWC!$S$59:$S$68</c:f>
              <c:strCache>
                <c:ptCount val="10"/>
                <c:pt idx="0">
                  <c:v>Q2'23A</c:v>
                </c:pt>
                <c:pt idx="1">
                  <c:v>Q3'23A</c:v>
                </c:pt>
                <c:pt idx="2">
                  <c:v>Q4'23A</c:v>
                </c:pt>
                <c:pt idx="3">
                  <c:v>Q1'24A</c:v>
                </c:pt>
                <c:pt idx="4">
                  <c:v>Q2'24A</c:v>
                </c:pt>
                <c:pt idx="5">
                  <c:v>Q3'24A</c:v>
                </c:pt>
                <c:pt idx="6">
                  <c:v>Q4'24A</c:v>
                </c:pt>
                <c:pt idx="7">
                  <c:v>Q1'25A</c:v>
                </c:pt>
                <c:pt idx="8">
                  <c:v>Q2'25A</c:v>
                </c:pt>
                <c:pt idx="9">
                  <c:v>Q3'25A</c:v>
                </c:pt>
              </c:strCache>
            </c:strRef>
          </c:cat>
          <c:val>
            <c:numRef>
              <c:f>NWC!$T$59:$T$68</c:f>
              <c:numCache>
                <c:formatCode>"$"#,##0.0_);\("$"#,##0.0\);"$--"_);@_)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5-4224-A7A7-4260EF23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33400799"/>
        <c:axId val="233387359"/>
      </c:barChart>
      <c:lineChart>
        <c:grouping val="standard"/>
        <c:varyColors val="0"/>
        <c:ser>
          <c:idx val="1"/>
          <c:order val="1"/>
          <c:tx>
            <c:strRef>
              <c:f>NWC!$U$58</c:f>
              <c:strCache>
                <c:ptCount val="1"/>
                <c:pt idx="0">
                  <c:v> % TTM revenue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NWC!$S$59:$S$68</c:f>
              <c:strCache>
                <c:ptCount val="10"/>
                <c:pt idx="0">
                  <c:v>Q2'23A</c:v>
                </c:pt>
                <c:pt idx="1">
                  <c:v>Q3'23A</c:v>
                </c:pt>
                <c:pt idx="2">
                  <c:v>Q4'23A</c:v>
                </c:pt>
                <c:pt idx="3">
                  <c:v>Q1'24A</c:v>
                </c:pt>
                <c:pt idx="4">
                  <c:v>Q2'24A</c:v>
                </c:pt>
                <c:pt idx="5">
                  <c:v>Q3'24A</c:v>
                </c:pt>
                <c:pt idx="6">
                  <c:v>Q4'24A</c:v>
                </c:pt>
                <c:pt idx="7">
                  <c:v>Q1'25A</c:v>
                </c:pt>
                <c:pt idx="8">
                  <c:v>Q2'25A</c:v>
                </c:pt>
                <c:pt idx="9">
                  <c:v>Q3'25A</c:v>
                </c:pt>
              </c:strCache>
            </c:strRef>
          </c:cat>
          <c:val>
            <c:numRef>
              <c:f>NWC!$U$59:$U$68</c:f>
              <c:numCache>
                <c:formatCode>#,##0.0%_);\(#,##0.0%\);"--%"_);@_)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5-4224-A7A7-4260EF23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658111"/>
        <c:axId val="602655231"/>
      </c:lineChart>
      <c:catAx>
        <c:axId val="23340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387359"/>
        <c:crosses val="autoZero"/>
        <c:auto val="1"/>
        <c:lblAlgn val="ctr"/>
        <c:lblOffset val="100"/>
        <c:noMultiLvlLbl val="0"/>
      </c:catAx>
      <c:valAx>
        <c:axId val="233387359"/>
        <c:scaling>
          <c:orientation val="minMax"/>
          <c:max val="10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400799"/>
        <c:crosses val="autoZero"/>
        <c:crossBetween val="between"/>
      </c:valAx>
      <c:valAx>
        <c:axId val="602655231"/>
        <c:scaling>
          <c:orientation val="minMax"/>
          <c:max val="0.8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58111"/>
        <c:crosses val="max"/>
        <c:crossBetween val="between"/>
      </c:valAx>
      <c:catAx>
        <c:axId val="602658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2655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54626227277146"/>
          <c:y val="0"/>
          <c:w val="0.21678247880305285"/>
          <c:h val="9.301910177894430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Seasonality!$T$78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Seasonality!$U$77:$X$77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Seasonality!$U$78:$X$78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8E-4CFB-9586-1F3D61A46C88}"/>
            </c:ext>
          </c:extLst>
        </c:ser>
        <c:ser>
          <c:idx val="1"/>
          <c:order val="1"/>
          <c:tx>
            <c:strRef>
              <c:f>Seasonality!$T$79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Seasonality!$U$77:$X$77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Seasonality!$U$79:$X$79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8E-4CFB-9586-1F3D61A46C88}"/>
            </c:ext>
          </c:extLst>
        </c:ser>
        <c:ser>
          <c:idx val="2"/>
          <c:order val="2"/>
          <c:tx>
            <c:strRef>
              <c:f>Seasonality!$T$80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Seasonality!$U$77:$X$77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Seasonality!$U$80:$X$80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8E-4CFB-9586-1F3D61A46C88}"/>
            </c:ext>
          </c:extLst>
        </c:ser>
        <c:ser>
          <c:idx val="3"/>
          <c:order val="3"/>
          <c:tx>
            <c:strRef>
              <c:f>Seasonality!$T$81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Seasonality!$U$77:$X$77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Seasonality!$U$81:$X$81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8E-4CFB-9586-1F3D61A46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2672511"/>
        <c:axId val="602674431"/>
      </c:barChart>
      <c:catAx>
        <c:axId val="6026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4431"/>
        <c:crosses val="autoZero"/>
        <c:auto val="1"/>
        <c:lblAlgn val="ctr"/>
        <c:lblOffset val="100"/>
        <c:noMultiLvlLbl val="0"/>
      </c:catAx>
      <c:valAx>
        <c:axId val="6026744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5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Seasonality!$T$62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Seasonality!$U$61:$X$61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Seasonality!$U$62:$X$62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1-4462-B09D-BCF73C41D5E8}"/>
            </c:ext>
          </c:extLst>
        </c:ser>
        <c:ser>
          <c:idx val="1"/>
          <c:order val="1"/>
          <c:tx>
            <c:strRef>
              <c:f>Seasonality!$T$63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Seasonality!$U$61:$X$61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Seasonality!$U$63:$X$63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1-4462-B09D-BCF73C41D5E8}"/>
            </c:ext>
          </c:extLst>
        </c:ser>
        <c:ser>
          <c:idx val="2"/>
          <c:order val="2"/>
          <c:tx>
            <c:strRef>
              <c:f>Seasonality!$T$64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Seasonality!$U$61:$X$61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Seasonality!$U$64:$X$64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1-4462-B09D-BCF73C41D5E8}"/>
            </c:ext>
          </c:extLst>
        </c:ser>
        <c:ser>
          <c:idx val="3"/>
          <c:order val="3"/>
          <c:tx>
            <c:strRef>
              <c:f>Seasonality!$T$65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Seasonality!$U$61:$X$61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Seasonality!$U$65:$X$65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1-4462-B09D-BCF73C41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2672511"/>
        <c:axId val="602674431"/>
      </c:barChart>
      <c:catAx>
        <c:axId val="6026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4431"/>
        <c:crosses val="autoZero"/>
        <c:auto val="1"/>
        <c:lblAlgn val="ctr"/>
        <c:lblOffset val="100"/>
        <c:noMultiLvlLbl val="0"/>
      </c:catAx>
      <c:valAx>
        <c:axId val="6026744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Seasonality!$T$70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Seasonality!$U$69:$X$69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Seasonality!$U$70:$X$70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0-4B22-AF9F-39BAD5DB7086}"/>
            </c:ext>
          </c:extLst>
        </c:ser>
        <c:ser>
          <c:idx val="1"/>
          <c:order val="1"/>
          <c:tx>
            <c:strRef>
              <c:f>Seasonality!$T$71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Seasonality!$U$69:$X$69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Seasonality!$U$71:$X$71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0-4B22-AF9F-39BAD5DB7086}"/>
            </c:ext>
          </c:extLst>
        </c:ser>
        <c:ser>
          <c:idx val="2"/>
          <c:order val="2"/>
          <c:tx>
            <c:strRef>
              <c:f>Seasonality!$T$72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Seasonality!$U$69:$X$69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Seasonality!$U$72:$X$72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00-4B22-AF9F-39BAD5DB7086}"/>
            </c:ext>
          </c:extLst>
        </c:ser>
        <c:ser>
          <c:idx val="3"/>
          <c:order val="3"/>
          <c:tx>
            <c:strRef>
              <c:f>Seasonality!$T$73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Seasonality!$U$69:$X$69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Seasonality!$U$73:$X$73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00-4B22-AF9F-39BAD5DB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2672511"/>
        <c:axId val="602674431"/>
      </c:barChart>
      <c:catAx>
        <c:axId val="6026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4431"/>
        <c:crosses val="autoZero"/>
        <c:auto val="1"/>
        <c:lblAlgn val="ctr"/>
        <c:lblOffset val="100"/>
        <c:noMultiLvlLbl val="0"/>
      </c:catAx>
      <c:valAx>
        <c:axId val="6026744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5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Seasonality!$T$86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Seasonality!$U$85:$X$85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Seasonality!$U$86:$X$86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6B-44F1-957A-3ACDCFF3AD9C}"/>
            </c:ext>
          </c:extLst>
        </c:ser>
        <c:ser>
          <c:idx val="1"/>
          <c:order val="1"/>
          <c:tx>
            <c:strRef>
              <c:f>Seasonality!$T$87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Seasonality!$U$85:$X$85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Seasonality!$U$87:$X$87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6B-44F1-957A-3ACDCFF3AD9C}"/>
            </c:ext>
          </c:extLst>
        </c:ser>
        <c:ser>
          <c:idx val="2"/>
          <c:order val="2"/>
          <c:tx>
            <c:strRef>
              <c:f>Seasonality!$T$88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Seasonality!$U$85:$X$85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Seasonality!$U$88:$X$88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6B-44F1-957A-3ACDCFF3AD9C}"/>
            </c:ext>
          </c:extLst>
        </c:ser>
        <c:ser>
          <c:idx val="3"/>
          <c:order val="3"/>
          <c:tx>
            <c:strRef>
              <c:f>Seasonality!$T$89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Seasonality!$U$85:$X$85</c:f>
              <c:strCache>
                <c:ptCount val="4"/>
                <c:pt idx="0">
                  <c:v>FY'22A</c:v>
                </c:pt>
                <c:pt idx="1">
                  <c:v>FY'23A</c:v>
                </c:pt>
                <c:pt idx="2">
                  <c:v>FY'24A</c:v>
                </c:pt>
                <c:pt idx="3">
                  <c:v>Avg</c:v>
                </c:pt>
              </c:strCache>
            </c:strRef>
          </c:cat>
          <c:val>
            <c:numRef>
              <c:f>Seasonality!$U$89:$X$89</c:f>
              <c:numCache>
                <c:formatCode>#,##0.0%_);\(#,##0.0%\);"--%"_);@_)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6B-44F1-957A-3ACDCFF3A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2672511"/>
        <c:axId val="602674431"/>
      </c:barChart>
      <c:catAx>
        <c:axId val="6026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4431"/>
        <c:crosses val="autoZero"/>
        <c:auto val="1"/>
        <c:lblAlgn val="ctr"/>
        <c:lblOffset val="100"/>
        <c:noMultiLvlLbl val="0"/>
      </c:catAx>
      <c:valAx>
        <c:axId val="6026744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5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179293</xdr:colOff>
      <xdr:row>7</xdr:row>
      <xdr:rowOff>56028</xdr:rowOff>
    </xdr:from>
    <xdr:to>
      <xdr:col>9</xdr:col>
      <xdr:colOff>9896</xdr:colOff>
      <xdr:row>25</xdr:row>
      <xdr:rowOff>7808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8C6034-87E3-41BB-A9D8-1CCB57CAF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179293</xdr:colOff>
      <xdr:row>7</xdr:row>
      <xdr:rowOff>56028</xdr:rowOff>
    </xdr:from>
    <xdr:to>
      <xdr:col>17</xdr:col>
      <xdr:colOff>9897</xdr:colOff>
      <xdr:row>25</xdr:row>
      <xdr:rowOff>7808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7D82CB-70B3-430D-8504-8B2D2041F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179293</xdr:colOff>
      <xdr:row>27</xdr:row>
      <xdr:rowOff>56027</xdr:rowOff>
    </xdr:from>
    <xdr:to>
      <xdr:col>9</xdr:col>
      <xdr:colOff>9896</xdr:colOff>
      <xdr:row>45</xdr:row>
      <xdr:rowOff>7808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2F9C62-1AF1-42F7-A257-C616C86E2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179293</xdr:colOff>
      <xdr:row>27</xdr:row>
      <xdr:rowOff>56027</xdr:rowOff>
    </xdr:from>
    <xdr:to>
      <xdr:col>17</xdr:col>
      <xdr:colOff>9897</xdr:colOff>
      <xdr:row>45</xdr:row>
      <xdr:rowOff>7808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88356E-794C-42B1-87E7-93C0BD1A4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15</xdr:col>
      <xdr:colOff>732416</xdr:colOff>
      <xdr:row>21</xdr:row>
      <xdr:rowOff>115645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FFC667-C90E-44A7-B660-8C4ECE222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9</xdr:col>
      <xdr:colOff>15688</xdr:colOff>
      <xdr:row>39</xdr:row>
      <xdr:rowOff>125058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B41C5E-A0E2-4FA7-AEB5-0CA9278F2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7</xdr:row>
      <xdr:rowOff>0</xdr:rowOff>
    </xdr:from>
    <xdr:to>
      <xdr:col>9</xdr:col>
      <xdr:colOff>15688</xdr:colOff>
      <xdr:row>22</xdr:row>
      <xdr:rowOff>125057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D5CA4E-F708-42F1-BA36-84FD2530B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15688</xdr:colOff>
      <xdr:row>22</xdr:row>
      <xdr:rowOff>125057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511AC6-7246-46E0-BB7D-DEFEFE786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15688</xdr:colOff>
      <xdr:row>39</xdr:row>
      <xdr:rowOff>125058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0195410-9008-4230-BE21-898AA84CC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2024 Centerbridge PPT Template">
  <a:themeElements>
    <a:clrScheme name="Centerbridge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AFBE70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2E303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3CDB-75FD-4EAB-A595-4B888D467A6F}">
  <sheetPr codeName="Sheet1"/>
  <dimension ref="A1:AB88"/>
  <sheetViews>
    <sheetView showGridLines="0" zoomScale="85" zoomScaleNormal="85"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C1" sqref="C1:P42"/>
    </sheetView>
  </sheetViews>
  <sheetFormatPr defaultRowHeight="13.15" outlineLevelCol="1" x14ac:dyDescent="0.4"/>
  <cols>
    <col min="1" max="2" width="2.7109375" style="1" customWidth="1"/>
    <col min="3" max="6" width="9.7109375" style="1" customWidth="1"/>
    <col min="7" max="7" width="2.7109375" style="1" customWidth="1"/>
    <col min="8" max="11" width="9.7109375" style="1" customWidth="1"/>
    <col min="12" max="12" width="2.7109375" style="1" customWidth="1"/>
    <col min="13" max="15" width="9.7109375" style="1" customWidth="1"/>
    <col min="16" max="16" width="11.5703125" style="1" bestFit="1" customWidth="1"/>
    <col min="17" max="18" width="9.140625" style="1"/>
    <col min="19" max="28" width="15.7109375" style="1" customWidth="1" outlineLevel="1"/>
    <col min="29" max="16384" width="9.140625" style="1"/>
  </cols>
  <sheetData>
    <row r="1" spans="1:28" x14ac:dyDescent="0.4">
      <c r="C1" s="9" t="str">
        <f>++CoName</f>
        <v>[Company Name] ([Sponsor Name / Non-Sponsored])</v>
      </c>
      <c r="D1" s="3"/>
      <c r="E1" s="4"/>
      <c r="S1" s="90" t="s">
        <v>0</v>
      </c>
      <c r="T1" s="88"/>
      <c r="U1" s="88"/>
      <c r="V1" s="88"/>
      <c r="W1" s="88"/>
      <c r="X1" s="88"/>
      <c r="Y1" s="88"/>
      <c r="Z1" s="88"/>
      <c r="AA1" s="88"/>
      <c r="AB1" s="89"/>
    </row>
    <row r="2" spans="1:28" x14ac:dyDescent="0.4">
      <c r="C2" s="10" t="s">
        <v>1</v>
      </c>
      <c r="D2" s="5"/>
      <c r="E2" s="6"/>
      <c r="S2" s="234" t="s">
        <v>2</v>
      </c>
      <c r="T2" s="235" t="s">
        <v>3</v>
      </c>
      <c r="U2" s="236"/>
      <c r="V2" s="237"/>
    </row>
    <row r="3" spans="1:28" x14ac:dyDescent="0.4">
      <c r="C3" s="11" t="str">
        <f ca="1">++TEXT(TODAY(),"MMMM D, YYYY")</f>
        <v>April 21, 2026</v>
      </c>
      <c r="D3" s="7"/>
      <c r="E3" s="8"/>
      <c r="S3" s="234" t="s">
        <v>4</v>
      </c>
      <c r="T3" s="173">
        <v>45657</v>
      </c>
      <c r="U3" s="234" t="s">
        <v>5</v>
      </c>
      <c r="V3" s="173">
        <v>45930</v>
      </c>
    </row>
    <row r="4" spans="1:28" x14ac:dyDescent="0.4">
      <c r="S4" s="234" t="s">
        <v>6</v>
      </c>
      <c r="T4" s="173">
        <v>45930</v>
      </c>
      <c r="U4" s="234" t="s">
        <v>7</v>
      </c>
      <c r="V4" s="246">
        <v>1</v>
      </c>
    </row>
    <row r="5" spans="1:28" x14ac:dyDescent="0.4">
      <c r="A5" s="12" t="s">
        <v>8</v>
      </c>
      <c r="B5" s="12" t="s">
        <v>8</v>
      </c>
      <c r="C5" s="106" t="str">
        <f>++C2</f>
        <v>Sources &amp; Uses | Pro Forma Capitalization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28" x14ac:dyDescent="0.4">
      <c r="C6" s="14" t="s">
        <v>9</v>
      </c>
    </row>
    <row r="7" spans="1:28" ht="5.0999999999999996" customHeight="1" x14ac:dyDescent="0.4"/>
    <row r="8" spans="1:28" ht="15.4" x14ac:dyDescent="0.7">
      <c r="A8" s="12" t="s">
        <v>8</v>
      </c>
      <c r="B8" s="12" t="s">
        <v>8</v>
      </c>
      <c r="C8" s="27" t="s">
        <v>10</v>
      </c>
      <c r="D8" s="26"/>
      <c r="E8" s="26"/>
      <c r="F8" s="26"/>
      <c r="H8" s="27" t="s">
        <v>11</v>
      </c>
      <c r="I8" s="26"/>
      <c r="J8" s="26"/>
      <c r="K8" s="26"/>
      <c r="M8" s="27" t="s">
        <v>12</v>
      </c>
      <c r="N8" s="26"/>
      <c r="O8" s="26"/>
      <c r="P8" s="26"/>
    </row>
    <row r="9" spans="1:28" ht="5.0999999999999996" customHeight="1" x14ac:dyDescent="0.4"/>
    <row r="10" spans="1:28" x14ac:dyDescent="0.4">
      <c r="C10" s="1" t="str">
        <f>++S52</f>
        <v>Priority Revolver ($0.0MM)</v>
      </c>
      <c r="F10" s="63">
        <f>++INDEX($U$51:$U$71,MATCH($C10,$S$51:$S$71,0))</f>
        <v>0</v>
      </c>
      <c r="H10" s="1" t="s">
        <v>13</v>
      </c>
      <c r="K10" s="63">
        <v>0</v>
      </c>
      <c r="M10" s="1" t="str">
        <f>++C42</f>
        <v>LTM 9/25A CA EBITDA</v>
      </c>
      <c r="P10" s="63">
        <f>++I42</f>
        <v>0</v>
      </c>
    </row>
    <row r="11" spans="1:28" x14ac:dyDescent="0.4">
      <c r="C11" s="1" t="str">
        <f>++S56</f>
        <v>1L Term Loan B</v>
      </c>
      <c r="F11" s="179">
        <f t="shared" ref="F11:F12" si="0">++INDEX($U$51:$U$71,MATCH($C11,$S$51:$S$71,0))</f>
        <v>0</v>
      </c>
      <c r="H11" s="1" t="s">
        <v>14</v>
      </c>
      <c r="K11" s="17">
        <v>0</v>
      </c>
      <c r="M11" s="1" t="s">
        <v>15</v>
      </c>
      <c r="P11" s="17">
        <v>0</v>
      </c>
    </row>
    <row r="12" spans="1:28" x14ac:dyDescent="0.4">
      <c r="C12" s="1" t="str">
        <f>++S59</f>
        <v>1L DDTL ($0.0MM)</v>
      </c>
      <c r="F12" s="179">
        <f t="shared" si="0"/>
        <v>0</v>
      </c>
      <c r="H12" s="1" t="s">
        <v>14</v>
      </c>
      <c r="K12" s="17">
        <v>0</v>
      </c>
      <c r="M12" s="1" t="s">
        <v>16</v>
      </c>
      <c r="P12" s="17">
        <v>0</v>
      </c>
    </row>
    <row r="13" spans="1:28" x14ac:dyDescent="0.4">
      <c r="C13" s="1" t="s">
        <v>17</v>
      </c>
      <c r="F13" s="179">
        <f>++F20-SUM(F10:F12)</f>
        <v>0</v>
      </c>
      <c r="H13" s="1" t="s">
        <v>14</v>
      </c>
      <c r="K13" s="17">
        <v>0</v>
      </c>
      <c r="M13" s="212" t="s">
        <v>18</v>
      </c>
      <c r="N13" s="212"/>
      <c r="O13" s="212"/>
      <c r="P13" s="222">
        <v>0</v>
      </c>
    </row>
    <row r="14" spans="1:28" x14ac:dyDescent="0.4">
      <c r="H14" s="1" t="s">
        <v>19</v>
      </c>
      <c r="K14" s="17">
        <f>++SUM(AA51:AA71)</f>
        <v>0</v>
      </c>
      <c r="M14" s="223" t="s">
        <v>20</v>
      </c>
      <c r="N14" s="5"/>
      <c r="O14" s="5"/>
      <c r="P14" s="224">
        <f>++SUM(P10:P13)</f>
        <v>0</v>
      </c>
    </row>
    <row r="15" spans="1:28" x14ac:dyDescent="0.4">
      <c r="F15" s="179"/>
      <c r="H15" s="1" t="s">
        <v>21</v>
      </c>
      <c r="K15" s="17">
        <v>0</v>
      </c>
    </row>
    <row r="16" spans="1:28" x14ac:dyDescent="0.4">
      <c r="F16" s="179"/>
      <c r="M16" s="1" t="s">
        <v>22</v>
      </c>
      <c r="P16" s="17">
        <v>0</v>
      </c>
    </row>
    <row r="17" spans="1:16" x14ac:dyDescent="0.4">
      <c r="M17" s="212" t="s">
        <v>23</v>
      </c>
      <c r="N17" s="212"/>
      <c r="O17" s="212"/>
      <c r="P17" s="222">
        <v>0</v>
      </c>
    </row>
    <row r="18" spans="1:16" x14ac:dyDescent="0.4">
      <c r="M18" s="223" t="s">
        <v>24</v>
      </c>
      <c r="N18" s="5"/>
      <c r="O18" s="5"/>
      <c r="P18" s="224">
        <f>++SUM(P16:P17)</f>
        <v>0</v>
      </c>
    </row>
    <row r="20" spans="1:16" ht="13.5" thickBot="1" x14ac:dyDescent="0.45">
      <c r="C20" s="34" t="s">
        <v>25</v>
      </c>
      <c r="D20" s="35"/>
      <c r="E20" s="35"/>
      <c r="F20" s="161">
        <f>++K20</f>
        <v>0</v>
      </c>
      <c r="H20" s="34" t="s">
        <v>26</v>
      </c>
      <c r="I20" s="35"/>
      <c r="J20" s="35"/>
      <c r="K20" s="161">
        <f>++SUM(K10:K19)</f>
        <v>0</v>
      </c>
      <c r="M20" s="34" t="s">
        <v>27</v>
      </c>
      <c r="N20" s="35"/>
      <c r="O20" s="35"/>
      <c r="P20" s="158">
        <f>++IFERROR(P14/P18,0)</f>
        <v>0</v>
      </c>
    </row>
    <row r="21" spans="1:16" ht="13.5" thickTop="1" x14ac:dyDescent="0.4"/>
    <row r="23" spans="1:16" x14ac:dyDescent="0.4">
      <c r="A23" s="12"/>
      <c r="B23" s="12" t="s">
        <v>8</v>
      </c>
      <c r="C23" s="225" t="s">
        <v>28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5.0999999999999996" customHeight="1" x14ac:dyDescent="0.4"/>
    <row r="25" spans="1:16" ht="15.4" x14ac:dyDescent="0.7">
      <c r="C25" s="14" t="s">
        <v>29</v>
      </c>
      <c r="I25" s="27" t="str">
        <f>++"Pro Forma ("&amp;TEXT(LTMDate,"M/YY")&amp;IF(LTMDate&gt;LastActDate,"E","A")&amp;")"</f>
        <v>Pro Forma (9/25A)</v>
      </c>
      <c r="J25" s="26"/>
      <c r="K25" s="26"/>
    </row>
    <row r="26" spans="1:16" ht="5.0999999999999996" customHeight="1" x14ac:dyDescent="0.4"/>
    <row r="27" spans="1:16" ht="15.4" x14ac:dyDescent="0.7">
      <c r="C27" s="14" t="str">
        <f>++"FYE "&amp;TEXT(LastFYE,"MMMM DD")&amp;"st"</f>
        <v>FYE December 31st</v>
      </c>
      <c r="I27" s="16" t="s">
        <v>30</v>
      </c>
      <c r="J27" s="16" t="s">
        <v>31</v>
      </c>
      <c r="K27" s="16" t="s">
        <v>32</v>
      </c>
      <c r="M27" s="16" t="s">
        <v>33</v>
      </c>
      <c r="N27" s="16" t="s">
        <v>34</v>
      </c>
      <c r="O27" s="16" t="s">
        <v>35</v>
      </c>
      <c r="P27" s="16" t="s">
        <v>36</v>
      </c>
    </row>
    <row r="28" spans="1:16" ht="5.0999999999999996" customHeight="1" x14ac:dyDescent="0.4"/>
    <row r="29" spans="1:16" x14ac:dyDescent="0.4">
      <c r="C29" s="1" t="s">
        <v>37</v>
      </c>
      <c r="I29" s="63">
        <v>0</v>
      </c>
      <c r="J29" s="155"/>
      <c r="K29" s="112"/>
    </row>
    <row r="31" spans="1:16" x14ac:dyDescent="0.4">
      <c r="C31" s="1" t="str">
        <f>++C10</f>
        <v>Priority Revolver ($0.0MM)</v>
      </c>
      <c r="I31" s="17">
        <f>++F10</f>
        <v>0</v>
      </c>
      <c r="J31" s="155">
        <f>++IFERROR(I31/I$42,0)</f>
        <v>0</v>
      </c>
      <c r="K31" s="112">
        <f>++IFERROR(I31/I$39,0)</f>
        <v>0</v>
      </c>
      <c r="M31" s="162">
        <f>++INDEX(V$51:V$71,MATCH($C31,$S$51:$S$71,0))</f>
        <v>45199</v>
      </c>
      <c r="N31" s="85" t="str">
        <f>++"S + "&amp;TEXT(INDEX(W$51:W$71,MATCH($C31,$S$51:$S$71,0))*10000,"#,###")</f>
        <v>S + 350</v>
      </c>
      <c r="O31" s="157">
        <f>100-(INDEX(Z$51:Z$71,MATCH($C31,$S$51:$S$71,0))*100)</f>
        <v>99.5</v>
      </c>
      <c r="P31" s="85" t="str">
        <f>++INDEX(AB$51:AB$71,MATCH($C31,$S$51:$S$71,0))</f>
        <v>n/a</v>
      </c>
    </row>
    <row r="32" spans="1:16" x14ac:dyDescent="0.4">
      <c r="C32" s="1" t="str">
        <f>++C11</f>
        <v>1L Term Loan B</v>
      </c>
      <c r="I32" s="17">
        <f>++F11</f>
        <v>0</v>
      </c>
      <c r="J32" s="155">
        <f t="shared" ref="J32:J35" si="1">++IFERROR(I32/I$42,0)</f>
        <v>0</v>
      </c>
      <c r="K32" s="112">
        <f t="shared" ref="K32:K34" si="2">++IFERROR(I32/I$39,0)</f>
        <v>0</v>
      </c>
      <c r="M32" s="162">
        <f t="shared" ref="M32:M33" si="3">++INDEX(V$51:V$71,MATCH($C32,$S$51:$S$71,0))</f>
        <v>45199</v>
      </c>
      <c r="N32" s="85" t="str">
        <f t="shared" ref="N32:N33" si="4">++"S + "&amp;TEXT(INDEX(W$51:W$71,MATCH($C32,$S$51:$S$71,0))*10000,"#,###")</f>
        <v>S + 525</v>
      </c>
      <c r="O32" s="157">
        <f t="shared" ref="O32:O33" si="5">100-(INDEX(Z$51:Z$71,MATCH($C32,$S$51:$S$71,0))*100)</f>
        <v>98</v>
      </c>
      <c r="P32" s="85" t="str">
        <f t="shared" ref="P32:P33" si="6">++INDEX(AB$51:AB$71,MATCH($C32,$S$51:$S$71,0))</f>
        <v>102 / 101</v>
      </c>
    </row>
    <row r="33" spans="1:28" x14ac:dyDescent="0.4">
      <c r="C33" s="212" t="str">
        <f>++C12</f>
        <v>1L DDTL ($0.0MM)</v>
      </c>
      <c r="D33" s="212"/>
      <c r="E33" s="212"/>
      <c r="F33" s="212"/>
      <c r="G33" s="212"/>
      <c r="H33" s="212"/>
      <c r="I33" s="222">
        <f>++F12</f>
        <v>0</v>
      </c>
      <c r="J33" s="226">
        <f t="shared" si="1"/>
        <v>0</v>
      </c>
      <c r="K33" s="227">
        <f t="shared" si="2"/>
        <v>0</v>
      </c>
      <c r="L33" s="212"/>
      <c r="M33" s="228">
        <f t="shared" si="3"/>
        <v>45199</v>
      </c>
      <c r="N33" s="229" t="str">
        <f t="shared" si="4"/>
        <v>S + 525</v>
      </c>
      <c r="O33" s="230">
        <f t="shared" si="5"/>
        <v>98</v>
      </c>
      <c r="P33" s="229" t="str">
        <f t="shared" si="6"/>
        <v>102 / 101</v>
      </c>
    </row>
    <row r="34" spans="1:28" x14ac:dyDescent="0.4">
      <c r="C34" s="49" t="s">
        <v>38</v>
      </c>
      <c r="D34" s="31"/>
      <c r="E34" s="31"/>
      <c r="F34" s="31"/>
      <c r="G34" s="31"/>
      <c r="H34" s="31"/>
      <c r="I34" s="50">
        <f>++SUM(I31:I33)</f>
        <v>0</v>
      </c>
      <c r="J34" s="231">
        <f t="shared" si="1"/>
        <v>0</v>
      </c>
      <c r="K34" s="232">
        <f t="shared" si="2"/>
        <v>0</v>
      </c>
      <c r="L34" s="31"/>
      <c r="M34" s="31"/>
      <c r="N34" s="31"/>
      <c r="O34" s="31"/>
      <c r="P34" s="31"/>
    </row>
    <row r="35" spans="1:28" x14ac:dyDescent="0.4">
      <c r="C35" s="23" t="s">
        <v>39</v>
      </c>
      <c r="I35" s="154">
        <f>++I34-I$29</f>
        <v>0</v>
      </c>
      <c r="J35" s="156">
        <f t="shared" si="1"/>
        <v>0</v>
      </c>
      <c r="K35" s="112"/>
    </row>
    <row r="37" spans="1:28" x14ac:dyDescent="0.4">
      <c r="C37" s="1" t="str">
        <f>++C13</f>
        <v>Owner Common Equity</v>
      </c>
      <c r="I37" s="17">
        <f>++F13</f>
        <v>0</v>
      </c>
      <c r="J37" s="155">
        <f t="shared" ref="J37:J39" si="7">++IFERROR(I37/I$42,0)</f>
        <v>0</v>
      </c>
      <c r="K37" s="112">
        <f t="shared" ref="K37:K39" si="8">++IFERROR(I37/I$39,0)</f>
        <v>0</v>
      </c>
    </row>
    <row r="38" spans="1:28" x14ac:dyDescent="0.4">
      <c r="C38" s="1" t="s">
        <v>40</v>
      </c>
      <c r="I38" s="17">
        <f>++IF(ImpEQT=1,I39-SUM(I34,I37),0)</f>
        <v>0</v>
      </c>
      <c r="J38" s="155">
        <f t="shared" si="7"/>
        <v>0</v>
      </c>
      <c r="K38" s="112">
        <f t="shared" si="8"/>
        <v>0</v>
      </c>
    </row>
    <row r="39" spans="1:28" ht="13.5" thickBot="1" x14ac:dyDescent="0.45">
      <c r="C39" s="34" t="s">
        <v>41</v>
      </c>
      <c r="D39" s="35"/>
      <c r="E39" s="35"/>
      <c r="F39" s="35"/>
      <c r="G39" s="35"/>
      <c r="H39" s="35"/>
      <c r="I39" s="36">
        <f>++IF(ImpEQT=1,SUM(I40,I29),SUM(I34,I37:I38))</f>
        <v>0</v>
      </c>
      <c r="J39" s="158">
        <f t="shared" si="7"/>
        <v>0</v>
      </c>
      <c r="K39" s="159">
        <f t="shared" si="8"/>
        <v>0</v>
      </c>
      <c r="L39" s="35"/>
      <c r="M39" s="35"/>
      <c r="N39" s="35"/>
      <c r="O39" s="35"/>
      <c r="P39" s="35"/>
    </row>
    <row r="40" spans="1:28" ht="13.5" thickTop="1" x14ac:dyDescent="0.4">
      <c r="C40" s="23" t="s">
        <v>42</v>
      </c>
      <c r="I40" s="154">
        <f>++IF(ImpEQT=1,I42*J40,I39-I$29)</f>
        <v>0</v>
      </c>
      <c r="J40" s="156">
        <f>++IF(ImpEQT=1,$U$76,IFERROR(I40/I$42,0))</f>
        <v>10</v>
      </c>
      <c r="K40" s="112"/>
    </row>
    <row r="42" spans="1:28" x14ac:dyDescent="0.4">
      <c r="C42" s="79" t="str">
        <f>++"LTM "&amp;TEXT(LTMDate,"M/YY")&amp;IF(LTMDate&gt;LastActDate,"E","A")&amp;" CA EBITDA"</f>
        <v>LTM 9/25A CA EBITDA</v>
      </c>
      <c r="D42" s="80"/>
      <c r="E42" s="80"/>
      <c r="F42" s="80"/>
      <c r="G42" s="80"/>
      <c r="H42" s="80"/>
      <c r="I42" s="233" cm="1">
        <f t="array" ref="I42">++INDEX(FinInputs!$G281:$AH281,0,MATCH(LTMDate,FinInputs!$G$3:$AH$3,0))</f>
        <v>0</v>
      </c>
      <c r="J42" s="80"/>
      <c r="K42" s="80"/>
      <c r="L42" s="80"/>
      <c r="M42" s="80"/>
      <c r="N42" s="80"/>
      <c r="O42" s="80"/>
      <c r="P42" s="160"/>
    </row>
    <row r="45" spans="1:28" ht="15.4" x14ac:dyDescent="0.7">
      <c r="A45" s="12" t="s">
        <v>8</v>
      </c>
      <c r="B45" s="12" t="s">
        <v>8</v>
      </c>
      <c r="S45" s="245" t="s">
        <v>43</v>
      </c>
      <c r="T45" s="245"/>
      <c r="U45" s="245"/>
      <c r="V45" s="245"/>
      <c r="W45" s="245"/>
      <c r="X45" s="245"/>
      <c r="Y45" s="245"/>
      <c r="Z45" s="245"/>
      <c r="AA45" s="245"/>
      <c r="AB45" s="245"/>
    </row>
    <row r="46" spans="1:28" ht="5.0999999999999996" customHeight="1" x14ac:dyDescent="0.4"/>
    <row r="47" spans="1:28" ht="15.4" x14ac:dyDescent="0.7">
      <c r="X47" s="105" t="s">
        <v>44</v>
      </c>
      <c r="Y47" s="105"/>
      <c r="Z47" s="105"/>
      <c r="AA47" s="105"/>
    </row>
    <row r="48" spans="1:28" ht="5.0999999999999996" customHeight="1" x14ac:dyDescent="0.4"/>
    <row r="49" spans="19:28" ht="15.4" x14ac:dyDescent="0.7">
      <c r="S49" s="16" t="s">
        <v>45</v>
      </c>
      <c r="T49" s="16" t="s">
        <v>46</v>
      </c>
      <c r="U49" s="16" t="s">
        <v>47</v>
      </c>
      <c r="V49" s="16" t="s">
        <v>33</v>
      </c>
      <c r="W49" s="16" t="s">
        <v>34</v>
      </c>
      <c r="X49" s="16" t="s">
        <v>48</v>
      </c>
      <c r="Y49" s="16" t="s">
        <v>49</v>
      </c>
      <c r="Z49" s="16" t="s">
        <v>50</v>
      </c>
      <c r="AA49" s="16" t="s">
        <v>51</v>
      </c>
      <c r="AB49" s="16" t="s">
        <v>36</v>
      </c>
    </row>
    <row r="50" spans="19:28" ht="5.0999999999999996" customHeight="1" x14ac:dyDescent="0.4"/>
    <row r="51" spans="19:28" x14ac:dyDescent="0.4">
      <c r="S51" s="163" t="str">
        <f>++"ABL Revolver ($"&amp;TEXT(T51/1000,"#,##0.0")&amp;"MM)"</f>
        <v>ABL Revolver ($0.0MM)</v>
      </c>
      <c r="T51" s="67">
        <v>0</v>
      </c>
      <c r="U51" s="67">
        <v>0</v>
      </c>
      <c r="V51" s="241">
        <v>45199</v>
      </c>
      <c r="W51" s="242">
        <v>3.5000000000000003E-2</v>
      </c>
      <c r="X51" s="239">
        <v>5.0000000000000001E-3</v>
      </c>
      <c r="Y51" s="239">
        <v>0</v>
      </c>
      <c r="Z51" s="238">
        <f>++SUM(X51:Y51)</f>
        <v>5.0000000000000001E-3</v>
      </c>
      <c r="AA51" s="63">
        <f>++IFERROR(T51*X51,"n/a")</f>
        <v>0</v>
      </c>
      <c r="AB51" s="243" t="s">
        <v>52</v>
      </c>
    </row>
    <row r="52" spans="19:28" x14ac:dyDescent="0.4">
      <c r="S52" s="163" t="str">
        <f>++"Priority Revolver ($"&amp;TEXT(T52/1000,"#,##0.0")&amp;"MM)"</f>
        <v>Priority Revolver ($0.0MM)</v>
      </c>
      <c r="T52" s="240">
        <v>0</v>
      </c>
      <c r="U52" s="240">
        <v>0</v>
      </c>
      <c r="V52" s="241">
        <v>45199</v>
      </c>
      <c r="W52" s="242">
        <v>3.5000000000000003E-2</v>
      </c>
      <c r="X52" s="239">
        <v>5.0000000000000001E-3</v>
      </c>
      <c r="Y52" s="239">
        <v>0</v>
      </c>
      <c r="Z52" s="238">
        <f t="shared" ref="Z52:Z69" si="9">++SUM(X52:Y52)</f>
        <v>5.0000000000000001E-3</v>
      </c>
      <c r="AA52" s="17">
        <f t="shared" ref="AA52:AA71" si="10">++IFERROR(T52*X52,"n/a")</f>
        <v>0</v>
      </c>
      <c r="AB52" s="243" t="s">
        <v>52</v>
      </c>
    </row>
    <row r="53" spans="19:28" x14ac:dyDescent="0.4">
      <c r="S53" s="163" t="str">
        <f>++"Revolver ($"&amp;TEXT(T53/1000,"#,##0.0")&amp;"MM)"</f>
        <v>Revolver ($0.0MM)</v>
      </c>
      <c r="T53" s="240">
        <v>0</v>
      </c>
      <c r="U53" s="240">
        <v>0</v>
      </c>
      <c r="V53" s="241">
        <v>45199</v>
      </c>
      <c r="W53" s="242">
        <v>5.2499999999999998E-2</v>
      </c>
      <c r="X53" s="239">
        <v>0.02</v>
      </c>
      <c r="Y53" s="239">
        <v>0</v>
      </c>
      <c r="Z53" s="238">
        <f t="shared" si="9"/>
        <v>0.02</v>
      </c>
      <c r="AA53" s="17">
        <f t="shared" si="10"/>
        <v>0</v>
      </c>
      <c r="AB53" s="243" t="s">
        <v>52</v>
      </c>
    </row>
    <row r="54" spans="19:28" x14ac:dyDescent="0.4">
      <c r="S54" s="163" t="s">
        <v>53</v>
      </c>
      <c r="T54" s="240">
        <v>0</v>
      </c>
      <c r="U54" s="240">
        <f>++T54</f>
        <v>0</v>
      </c>
      <c r="V54" s="241">
        <v>45199</v>
      </c>
      <c r="W54" s="242">
        <v>3.5000000000000003E-2</v>
      </c>
      <c r="X54" s="239">
        <v>0.01</v>
      </c>
      <c r="Y54" s="239">
        <v>0</v>
      </c>
      <c r="Z54" s="238">
        <f t="shared" si="9"/>
        <v>0.01</v>
      </c>
      <c r="AA54" s="17">
        <f t="shared" si="10"/>
        <v>0</v>
      </c>
      <c r="AB54" s="244">
        <v>101</v>
      </c>
    </row>
    <row r="55" spans="19:28" x14ac:dyDescent="0.4">
      <c r="S55" s="163" t="s">
        <v>54</v>
      </c>
      <c r="T55" s="240">
        <v>0</v>
      </c>
      <c r="U55" s="240">
        <f t="shared" ref="U55:U58" si="11">++T55</f>
        <v>0</v>
      </c>
      <c r="V55" s="241">
        <v>45199</v>
      </c>
      <c r="W55" s="242">
        <v>3.5000000000000003E-2</v>
      </c>
      <c r="X55" s="239">
        <v>0.01</v>
      </c>
      <c r="Y55" s="239">
        <v>0</v>
      </c>
      <c r="Z55" s="238">
        <f t="shared" si="9"/>
        <v>0.01</v>
      </c>
      <c r="AA55" s="17">
        <f t="shared" si="10"/>
        <v>0</v>
      </c>
      <c r="AB55" s="244">
        <v>101</v>
      </c>
    </row>
    <row r="56" spans="19:28" x14ac:dyDescent="0.4">
      <c r="S56" s="163" t="s">
        <v>55</v>
      </c>
      <c r="T56" s="240">
        <v>0</v>
      </c>
      <c r="U56" s="240">
        <f t="shared" si="11"/>
        <v>0</v>
      </c>
      <c r="V56" s="241">
        <v>45199</v>
      </c>
      <c r="W56" s="242">
        <v>5.2499999999999998E-2</v>
      </c>
      <c r="X56" s="239">
        <v>0.02</v>
      </c>
      <c r="Y56" s="239">
        <v>0</v>
      </c>
      <c r="Z56" s="238">
        <f t="shared" si="9"/>
        <v>0.02</v>
      </c>
      <c r="AA56" s="17">
        <f t="shared" si="10"/>
        <v>0</v>
      </c>
      <c r="AB56" s="244" t="s">
        <v>56</v>
      </c>
    </row>
    <row r="57" spans="19:28" x14ac:dyDescent="0.4">
      <c r="S57" s="163" t="s">
        <v>57</v>
      </c>
      <c r="T57" s="240">
        <v>0</v>
      </c>
      <c r="U57" s="240">
        <f t="shared" si="11"/>
        <v>0</v>
      </c>
      <c r="V57" s="241">
        <v>45199</v>
      </c>
      <c r="W57" s="242">
        <v>5.2499999999999998E-2</v>
      </c>
      <c r="X57" s="239">
        <v>0.02</v>
      </c>
      <c r="Y57" s="239">
        <v>0</v>
      </c>
      <c r="Z57" s="238">
        <f t="shared" si="9"/>
        <v>0.02</v>
      </c>
      <c r="AA57" s="17">
        <f t="shared" si="10"/>
        <v>0</v>
      </c>
      <c r="AB57" s="244" t="s">
        <v>56</v>
      </c>
    </row>
    <row r="58" spans="19:28" x14ac:dyDescent="0.4">
      <c r="S58" s="163" t="s">
        <v>58</v>
      </c>
      <c r="T58" s="240">
        <v>0</v>
      </c>
      <c r="U58" s="240">
        <f t="shared" si="11"/>
        <v>0</v>
      </c>
      <c r="V58" s="241">
        <v>45199</v>
      </c>
      <c r="W58" s="242">
        <v>5.2499999999999998E-2</v>
      </c>
      <c r="X58" s="239">
        <v>0.02</v>
      </c>
      <c r="Y58" s="239">
        <v>0</v>
      </c>
      <c r="Z58" s="238">
        <f t="shared" si="9"/>
        <v>0.02</v>
      </c>
      <c r="AA58" s="17">
        <f t="shared" si="10"/>
        <v>0</v>
      </c>
      <c r="AB58" s="244" t="s">
        <v>56</v>
      </c>
    </row>
    <row r="59" spans="19:28" x14ac:dyDescent="0.4">
      <c r="S59" s="163" t="str">
        <f>++"1L DDTL ($"&amp;TEXT(T59/1000,"#,##0.0")&amp;"MM)"</f>
        <v>1L DDTL ($0.0MM)</v>
      </c>
      <c r="T59" s="240">
        <v>0</v>
      </c>
      <c r="U59" s="240">
        <v>0</v>
      </c>
      <c r="V59" s="241">
        <v>45199</v>
      </c>
      <c r="W59" s="242">
        <v>5.2499999999999998E-2</v>
      </c>
      <c r="X59" s="239">
        <v>0.01</v>
      </c>
      <c r="Y59" s="239">
        <v>0.01</v>
      </c>
      <c r="Z59" s="238">
        <f t="shared" si="9"/>
        <v>0.02</v>
      </c>
      <c r="AA59" s="17">
        <f t="shared" si="10"/>
        <v>0</v>
      </c>
      <c r="AB59" s="244" t="s">
        <v>56</v>
      </c>
    </row>
    <row r="60" spans="19:28" x14ac:dyDescent="0.4">
      <c r="S60" s="163" t="s">
        <v>59</v>
      </c>
      <c r="T60" s="240">
        <v>0</v>
      </c>
      <c r="U60" s="240">
        <f>++T60</f>
        <v>0</v>
      </c>
      <c r="V60" s="241">
        <v>45199</v>
      </c>
      <c r="W60" s="242">
        <v>7.4999999999999997E-2</v>
      </c>
      <c r="X60" s="239">
        <v>0.03</v>
      </c>
      <c r="Y60" s="239">
        <v>0</v>
      </c>
      <c r="Z60" s="238">
        <f t="shared" si="9"/>
        <v>0.03</v>
      </c>
      <c r="AA60" s="17">
        <f t="shared" si="10"/>
        <v>0</v>
      </c>
      <c r="AB60" s="244" t="s">
        <v>60</v>
      </c>
    </row>
    <row r="61" spans="19:28" x14ac:dyDescent="0.4">
      <c r="S61" s="163" t="str">
        <f>++"2L DDTL ($"&amp;TEXT(T61/1000,"#,##0.0")&amp;"MM)"</f>
        <v>2L DDTL ($0.0MM)</v>
      </c>
      <c r="T61" s="240">
        <v>0</v>
      </c>
      <c r="U61" s="240">
        <v>0</v>
      </c>
      <c r="V61" s="241">
        <v>45199</v>
      </c>
      <c r="W61" s="242">
        <v>7.4999999999999997E-2</v>
      </c>
      <c r="X61" s="239">
        <v>1.4999999999999999E-2</v>
      </c>
      <c r="Y61" s="239">
        <v>1.4999999999999999E-2</v>
      </c>
      <c r="Z61" s="238">
        <f t="shared" si="9"/>
        <v>0.03</v>
      </c>
      <c r="AA61" s="17">
        <f t="shared" si="10"/>
        <v>0</v>
      </c>
      <c r="AB61" s="244" t="s">
        <v>60</v>
      </c>
    </row>
    <row r="62" spans="19:28" x14ac:dyDescent="0.4">
      <c r="S62" s="163" t="s">
        <v>61</v>
      </c>
      <c r="T62" s="240">
        <v>0</v>
      </c>
      <c r="U62" s="240">
        <f>++T62</f>
        <v>0</v>
      </c>
      <c r="V62" s="241">
        <v>45199</v>
      </c>
      <c r="W62" s="242">
        <v>7.4999999999999997E-2</v>
      </c>
      <c r="X62" s="239">
        <v>0.03</v>
      </c>
      <c r="Y62" s="239">
        <v>0</v>
      </c>
      <c r="Z62" s="238">
        <f t="shared" si="9"/>
        <v>0.03</v>
      </c>
      <c r="AA62" s="17">
        <f t="shared" si="10"/>
        <v>0</v>
      </c>
      <c r="AB62" s="244" t="s">
        <v>60</v>
      </c>
    </row>
    <row r="63" spans="19:28" x14ac:dyDescent="0.4">
      <c r="S63" s="163" t="str">
        <f>++"Senior Secured DD Notes ($"&amp;TEXT(T63/1000,"#,##0.0")&amp;"MM)"</f>
        <v>Senior Secured DD Notes ($0.0MM)</v>
      </c>
      <c r="T63" s="240">
        <v>0</v>
      </c>
      <c r="U63" s="240">
        <v>0</v>
      </c>
      <c r="V63" s="241">
        <v>45199</v>
      </c>
      <c r="W63" s="242">
        <v>7.4999999999999997E-2</v>
      </c>
      <c r="X63" s="239">
        <v>1.4999999999999999E-2</v>
      </c>
      <c r="Y63" s="239">
        <v>1.4999999999999999E-2</v>
      </c>
      <c r="Z63" s="238">
        <f t="shared" si="9"/>
        <v>0.03</v>
      </c>
      <c r="AA63" s="17">
        <f t="shared" si="10"/>
        <v>0</v>
      </c>
      <c r="AB63" s="244" t="s">
        <v>60</v>
      </c>
    </row>
    <row r="64" spans="19:28" x14ac:dyDescent="0.4">
      <c r="S64" s="163" t="s">
        <v>62</v>
      </c>
      <c r="T64" s="240">
        <v>0</v>
      </c>
      <c r="U64" s="240">
        <f t="shared" ref="U64" si="12">++T64</f>
        <v>0</v>
      </c>
      <c r="V64" s="241">
        <v>45199</v>
      </c>
      <c r="W64" s="242">
        <v>8.5000000000000006E-2</v>
      </c>
      <c r="X64" s="239">
        <v>0.03</v>
      </c>
      <c r="Y64" s="239">
        <v>0</v>
      </c>
      <c r="Z64" s="238">
        <f t="shared" si="9"/>
        <v>0.03</v>
      </c>
      <c r="AA64" s="17">
        <f t="shared" si="10"/>
        <v>0</v>
      </c>
      <c r="AB64" s="244" t="s">
        <v>60</v>
      </c>
    </row>
    <row r="65" spans="1:28" x14ac:dyDescent="0.4">
      <c r="S65" s="163" t="str">
        <f>++"Secured DD Notes ($"&amp;TEXT(T65/1000,"#,##0.0")&amp;"MM)"</f>
        <v>Secured DD Notes ($0.0MM)</v>
      </c>
      <c r="T65" s="240">
        <v>0</v>
      </c>
      <c r="U65" s="240">
        <v>0</v>
      </c>
      <c r="V65" s="241">
        <v>45199</v>
      </c>
      <c r="W65" s="242">
        <v>8.5000000000000006E-2</v>
      </c>
      <c r="X65" s="239">
        <v>1.4999999999999999E-2</v>
      </c>
      <c r="Y65" s="239">
        <v>1.4999999999999999E-2</v>
      </c>
      <c r="Z65" s="238">
        <f t="shared" si="9"/>
        <v>0.03</v>
      </c>
      <c r="AA65" s="17">
        <f t="shared" si="10"/>
        <v>0</v>
      </c>
      <c r="AB65" s="244" t="s">
        <v>60</v>
      </c>
    </row>
    <row r="66" spans="1:28" x14ac:dyDescent="0.4">
      <c r="S66" s="163" t="s">
        <v>63</v>
      </c>
      <c r="T66" s="240">
        <v>0</v>
      </c>
      <c r="U66" s="240">
        <f t="shared" ref="U66" si="13">++T66</f>
        <v>0</v>
      </c>
      <c r="V66" s="241">
        <v>45199</v>
      </c>
      <c r="W66" s="242">
        <v>9.5000000000000001E-2</v>
      </c>
      <c r="X66" s="239">
        <v>0.03</v>
      </c>
      <c r="Y66" s="239">
        <v>0</v>
      </c>
      <c r="Z66" s="238">
        <f t="shared" si="9"/>
        <v>0.03</v>
      </c>
      <c r="AA66" s="17">
        <f t="shared" si="10"/>
        <v>0</v>
      </c>
      <c r="AB66" s="244" t="s">
        <v>64</v>
      </c>
    </row>
    <row r="67" spans="1:28" x14ac:dyDescent="0.4">
      <c r="S67" s="163" t="str">
        <f>++"Unsecured DD Notes ($"&amp;TEXT(T67/1000,"#,##0.0")&amp;"MM)"</f>
        <v>Unsecured DD Notes ($0.0MM)</v>
      </c>
      <c r="T67" s="240">
        <v>0</v>
      </c>
      <c r="U67" s="240">
        <v>0</v>
      </c>
      <c r="V67" s="241">
        <v>45199</v>
      </c>
      <c r="W67" s="242">
        <v>9.5000000000000001E-2</v>
      </c>
      <c r="X67" s="239">
        <v>1.4999999999999999E-2</v>
      </c>
      <c r="Y67" s="239">
        <v>1.4999999999999999E-2</v>
      </c>
      <c r="Z67" s="238">
        <f t="shared" si="9"/>
        <v>0.03</v>
      </c>
      <c r="AA67" s="17">
        <f t="shared" si="10"/>
        <v>0</v>
      </c>
      <c r="AB67" s="244" t="s">
        <v>64</v>
      </c>
    </row>
    <row r="68" spans="1:28" x14ac:dyDescent="0.4">
      <c r="S68" s="163" t="s">
        <v>65</v>
      </c>
      <c r="T68" s="240">
        <v>0</v>
      </c>
      <c r="U68" s="240">
        <f t="shared" ref="U68" si="14">++T68</f>
        <v>0</v>
      </c>
      <c r="V68" s="241">
        <v>45199</v>
      </c>
      <c r="W68" s="242">
        <v>0.11</v>
      </c>
      <c r="X68" s="239">
        <v>0.03</v>
      </c>
      <c r="Y68" s="239">
        <v>0</v>
      </c>
      <c r="Z68" s="238">
        <f t="shared" si="9"/>
        <v>0.03</v>
      </c>
      <c r="AA68" s="17">
        <f t="shared" si="10"/>
        <v>0</v>
      </c>
      <c r="AB68" s="244" t="s">
        <v>66</v>
      </c>
    </row>
    <row r="69" spans="1:28" x14ac:dyDescent="0.4">
      <c r="S69" s="163" t="str">
        <f>++"HoldCo DD Notes ($"&amp;TEXT(T69/1000,"#,##0.0")&amp;"MM)"</f>
        <v>HoldCo DD Notes ($0.0MM)</v>
      </c>
      <c r="T69" s="240">
        <v>0</v>
      </c>
      <c r="U69" s="240">
        <v>0</v>
      </c>
      <c r="V69" s="241">
        <v>45199</v>
      </c>
      <c r="W69" s="242">
        <v>0.11</v>
      </c>
      <c r="X69" s="239">
        <v>1.4999999999999999E-2</v>
      </c>
      <c r="Y69" s="239">
        <v>1.4999999999999999E-2</v>
      </c>
      <c r="Z69" s="238">
        <f t="shared" si="9"/>
        <v>0.03</v>
      </c>
      <c r="AA69" s="17">
        <f t="shared" si="10"/>
        <v>0</v>
      </c>
      <c r="AB69" s="244" t="s">
        <v>66</v>
      </c>
    </row>
    <row r="70" spans="1:28" x14ac:dyDescent="0.4">
      <c r="S70" s="163" t="s">
        <v>67</v>
      </c>
      <c r="T70" s="240">
        <v>0</v>
      </c>
      <c r="U70" s="240">
        <f>++T70</f>
        <v>0</v>
      </c>
      <c r="V70" s="241">
        <v>45199</v>
      </c>
      <c r="W70" s="242">
        <v>0.12</v>
      </c>
      <c r="X70" s="239" t="s">
        <v>52</v>
      </c>
      <c r="Y70" s="239" t="s">
        <v>52</v>
      </c>
      <c r="Z70" s="239" t="s">
        <v>52</v>
      </c>
      <c r="AA70" s="17" t="str">
        <f t="shared" si="10"/>
        <v>n/a</v>
      </c>
      <c r="AB70" s="244" t="s">
        <v>52</v>
      </c>
    </row>
    <row r="71" spans="1:28" x14ac:dyDescent="0.4">
      <c r="S71" s="163" t="s">
        <v>68</v>
      </c>
      <c r="T71" s="179">
        <v>0</v>
      </c>
      <c r="U71" s="240">
        <f t="shared" ref="U71" si="15">++T71</f>
        <v>0</v>
      </c>
      <c r="V71" s="241">
        <v>45199</v>
      </c>
      <c r="W71" s="242" t="s">
        <v>52</v>
      </c>
      <c r="X71" s="239" t="s">
        <v>52</v>
      </c>
      <c r="Y71" s="239" t="s">
        <v>52</v>
      </c>
      <c r="Z71" s="239" t="s">
        <v>52</v>
      </c>
      <c r="AA71" s="17" t="str">
        <f t="shared" si="10"/>
        <v>n/a</v>
      </c>
      <c r="AB71" s="244" t="s">
        <v>52</v>
      </c>
    </row>
    <row r="74" spans="1:28" ht="15.4" x14ac:dyDescent="0.7">
      <c r="A74" s="12" t="s">
        <v>8</v>
      </c>
      <c r="B74" s="12" t="s">
        <v>8</v>
      </c>
      <c r="S74" s="245" t="s">
        <v>69</v>
      </c>
      <c r="T74" s="245"/>
      <c r="U74" s="245"/>
      <c r="V74" s="245"/>
      <c r="W74" s="245"/>
      <c r="X74" s="245"/>
      <c r="Y74" s="245"/>
      <c r="Z74" s="245"/>
      <c r="AA74" s="245"/>
      <c r="AB74" s="245"/>
    </row>
    <row r="75" spans="1:28" ht="5.0999999999999996" customHeight="1" x14ac:dyDescent="0.4"/>
    <row r="76" spans="1:28" x14ac:dyDescent="0.4">
      <c r="S76" s="1" t="s">
        <v>70</v>
      </c>
      <c r="U76" s="201">
        <v>10</v>
      </c>
    </row>
    <row r="88" spans="1:2" x14ac:dyDescent="0.4">
      <c r="A88" s="12" t="s">
        <v>8</v>
      </c>
      <c r="B88" s="12" t="s">
        <v>8</v>
      </c>
    </row>
  </sheetData>
  <pageMargins left="0.7" right="0.7" top="0.75" bottom="0.75" header="0.3" footer="0.3"/>
  <customProperties>
    <customPr name="OrphanNamesChecked" r:id="rId1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E6FD58-287A-4FAC-BD4E-7DF59375B519}">
          <x14:formula1>
            <xm:f>FinInputs!$G$3:$AH$3</xm:f>
          </x14:formula1>
          <xm:sqref>T3:T4 V3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6589-FC1E-4153-81F7-8E83D91A43D4}">
  <sheetPr codeName="Sheet2"/>
  <dimension ref="A1:U52"/>
  <sheetViews>
    <sheetView showGridLines="0" zoomScale="85" zoomScaleNormal="85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G11" sqref="G11"/>
    </sheetView>
  </sheetViews>
  <sheetFormatPr defaultRowHeight="13.15" outlineLevelCol="1" x14ac:dyDescent="0.4"/>
  <cols>
    <col min="1" max="2" width="2.7109375" style="1" customWidth="1"/>
    <col min="3" max="5" width="10.7109375" style="1" customWidth="1"/>
    <col min="6" max="6" width="2.7109375" style="1" customWidth="1"/>
    <col min="7" max="11" width="11.28515625" style="1" customWidth="1"/>
    <col min="12" max="12" width="2.7109375" style="1" customWidth="1"/>
    <col min="13" max="17" width="11.28515625" style="1" customWidth="1"/>
    <col min="18" max="19" width="9.140625" style="1"/>
    <col min="20" max="20" width="11.28515625" style="1" hidden="1" customWidth="1" outlineLevel="1"/>
    <col min="21" max="21" width="9.140625" style="1" collapsed="1"/>
    <col min="22" max="16384" width="9.140625" style="1"/>
  </cols>
  <sheetData>
    <row r="1" spans="1:20" x14ac:dyDescent="0.4">
      <c r="C1" s="9" t="str">
        <f>++CoName</f>
        <v>[Company Name] ([Sponsor Name / Non-Sponsored])</v>
      </c>
      <c r="D1" s="3"/>
      <c r="E1" s="4"/>
    </row>
    <row r="2" spans="1:20" x14ac:dyDescent="0.4">
      <c r="C2" s="10" t="s">
        <v>71</v>
      </c>
      <c r="D2" s="5"/>
      <c r="E2" s="6"/>
      <c r="G2" s="15">
        <f t="shared" ref="G2" si="0">++EOMONTH(H2,-12)</f>
        <v>44926</v>
      </c>
      <c r="H2" s="15">
        <f>++EOMONTH(I2,-12)</f>
        <v>45291</v>
      </c>
      <c r="I2" s="47">
        <f>++LastFYE</f>
        <v>45657</v>
      </c>
      <c r="J2" s="47">
        <f>++LastActDate</f>
        <v>45930</v>
      </c>
      <c r="M2" s="130">
        <f>++G2</f>
        <v>44926</v>
      </c>
      <c r="N2" s="130">
        <f t="shared" ref="N2:P2" si="1">++H2</f>
        <v>45291</v>
      </c>
      <c r="O2" s="130">
        <f t="shared" si="1"/>
        <v>45657</v>
      </c>
      <c r="P2" s="130">
        <f t="shared" si="1"/>
        <v>45930</v>
      </c>
      <c r="Q2"/>
      <c r="T2" s="130">
        <f>++EOMONTH(J2,-12)</f>
        <v>45565</v>
      </c>
    </row>
    <row r="3" spans="1:20" x14ac:dyDescent="0.4">
      <c r="C3" s="11" t="str">
        <f ca="1">++TEXT(TODAY(),"MMMM D, YYYY")</f>
        <v>April 21, 2026</v>
      </c>
      <c r="D3" s="7"/>
      <c r="E3" s="8"/>
    </row>
    <row r="5" spans="1:20" x14ac:dyDescent="0.4">
      <c r="A5" s="12" t="s">
        <v>8</v>
      </c>
      <c r="B5" s="12" t="s">
        <v>8</v>
      </c>
      <c r="C5" s="106" t="str">
        <f>++C2</f>
        <v>Top 10 Customer Detail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0" ht="5.0999999999999996" customHeight="1" x14ac:dyDescent="0.4"/>
    <row r="7" spans="1:20" ht="15.4" x14ac:dyDescent="0.7">
      <c r="C7" s="14" t="str">
        <f>++"USD in 000s | FYE "&amp;TEXT(LastFYE,"M/D")</f>
        <v>USD in 000s | FYE 12/31</v>
      </c>
      <c r="G7" s="27" t="s">
        <v>72</v>
      </c>
      <c r="H7" s="27"/>
      <c r="I7" s="27"/>
      <c r="J7" s="27"/>
      <c r="K7" s="27"/>
      <c r="M7" s="27" t="s">
        <v>73</v>
      </c>
      <c r="N7" s="27"/>
      <c r="O7" s="27"/>
      <c r="P7" s="27"/>
      <c r="Q7" s="27"/>
    </row>
    <row r="8" spans="1:20" ht="5.0999999999999996" customHeight="1" x14ac:dyDescent="0.4"/>
    <row r="9" spans="1:20" ht="15.4" x14ac:dyDescent="0.7">
      <c r="C9" s="105" t="s">
        <v>74</v>
      </c>
      <c r="D9" s="87"/>
      <c r="E9" s="87"/>
      <c r="G9" s="16" t="str">
        <f>++"FY'"&amp;RIGHT(YEAR(G$2),2)&amp;"A"</f>
        <v>FY'22A</v>
      </c>
      <c r="H9" s="16" t="str">
        <f t="shared" ref="H9:I9" si="2">++"FY'"&amp;RIGHT(YEAR(H$2),2)&amp;"A"</f>
        <v>FY'23A</v>
      </c>
      <c r="I9" s="16" t="str">
        <f t="shared" si="2"/>
        <v>FY'24A</v>
      </c>
      <c r="J9" s="38" t="str">
        <f>++"LTM "&amp;TEXT(J$2,"M/YY")&amp;"A"</f>
        <v>LTM 9/25A</v>
      </c>
      <c r="K9" s="16" t="s">
        <v>75</v>
      </c>
      <c r="M9" s="16" t="str">
        <f>++"FY'"&amp;RIGHT(YEAR(G$2),2)&amp;"A"</f>
        <v>FY'22A</v>
      </c>
      <c r="N9" s="16" t="str">
        <f>++"FY'"&amp;RIGHT(YEAR(H$2),2)&amp;"A"</f>
        <v>FY'23A</v>
      </c>
      <c r="O9" s="16" t="str">
        <f>++"FY'"&amp;RIGHT(YEAR(I$2),2)&amp;"A"</f>
        <v>FY'24A</v>
      </c>
      <c r="P9" s="38" t="str">
        <f>++"LTM "&amp;TEXT(P$2,"M/YY")&amp;"A"</f>
        <v>LTM 9/25A</v>
      </c>
      <c r="Q9" s="16" t="s">
        <v>75</v>
      </c>
      <c r="T9" s="38" t="str">
        <f>++"LTM "&amp;TEXT(T$2,"M/YY")</f>
        <v>LTM 9/24</v>
      </c>
    </row>
    <row r="10" spans="1:20" customFormat="1" ht="5.0999999999999996" customHeight="1" x14ac:dyDescent="0.4">
      <c r="G10" s="1"/>
      <c r="H10" s="1"/>
      <c r="I10" s="1"/>
      <c r="J10" s="39"/>
      <c r="K10" s="1"/>
      <c r="M10" s="1"/>
      <c r="N10" s="1"/>
      <c r="O10" s="1"/>
      <c r="P10" s="39"/>
      <c r="Q10" s="1"/>
      <c r="T10" s="39"/>
    </row>
    <row r="11" spans="1:20" x14ac:dyDescent="0.4">
      <c r="A11" s="12" t="s">
        <v>8</v>
      </c>
      <c r="B11" s="12" t="s">
        <v>8</v>
      </c>
      <c r="C11" s="164" t="s">
        <v>76</v>
      </c>
      <c r="D11" s="165"/>
      <c r="E11" s="165"/>
      <c r="G11" s="67">
        <v>0</v>
      </c>
      <c r="H11" s="67">
        <v>0</v>
      </c>
      <c r="I11" s="67">
        <v>0</v>
      </c>
      <c r="J11" s="131">
        <v>0</v>
      </c>
      <c r="K11" s="125">
        <f t="shared" ref="K11:K20" si="3">++IFERROR(J11/J$24,0)</f>
        <v>0</v>
      </c>
      <c r="M11" s="67">
        <v>0</v>
      </c>
      <c r="N11" s="67">
        <v>0</v>
      </c>
      <c r="O11" s="67">
        <v>0</v>
      </c>
      <c r="P11" s="131">
        <v>0</v>
      </c>
      <c r="Q11" s="125">
        <f t="shared" ref="Q11:Q20" si="4">++IFERROR(P11/P$24,0)</f>
        <v>0</v>
      </c>
      <c r="T11" s="131">
        <v>0</v>
      </c>
    </row>
    <row r="12" spans="1:20" x14ac:dyDescent="0.4">
      <c r="C12" s="164" t="s">
        <v>76</v>
      </c>
      <c r="D12" s="165"/>
      <c r="E12" s="165"/>
      <c r="G12" s="68">
        <v>0</v>
      </c>
      <c r="H12" s="68">
        <v>0</v>
      </c>
      <c r="I12" s="68">
        <v>0</v>
      </c>
      <c r="J12" s="102">
        <v>0</v>
      </c>
      <c r="K12" s="125">
        <f t="shared" si="3"/>
        <v>0</v>
      </c>
      <c r="M12" s="68">
        <v>0</v>
      </c>
      <c r="N12" s="68">
        <v>0</v>
      </c>
      <c r="O12" s="68">
        <v>0</v>
      </c>
      <c r="P12" s="102">
        <v>0</v>
      </c>
      <c r="Q12" s="125">
        <f t="shared" si="4"/>
        <v>0</v>
      </c>
      <c r="T12" s="102">
        <v>0</v>
      </c>
    </row>
    <row r="13" spans="1:20" x14ac:dyDescent="0.4">
      <c r="C13" s="164" t="s">
        <v>76</v>
      </c>
      <c r="D13" s="165"/>
      <c r="E13" s="165"/>
      <c r="G13" s="68">
        <v>0</v>
      </c>
      <c r="H13" s="68">
        <v>0</v>
      </c>
      <c r="I13" s="68">
        <v>0</v>
      </c>
      <c r="J13" s="102">
        <v>0</v>
      </c>
      <c r="K13" s="125">
        <f t="shared" si="3"/>
        <v>0</v>
      </c>
      <c r="M13" s="68">
        <v>0</v>
      </c>
      <c r="N13" s="68">
        <v>0</v>
      </c>
      <c r="O13" s="68">
        <v>0</v>
      </c>
      <c r="P13" s="102">
        <v>0</v>
      </c>
      <c r="Q13" s="125">
        <f t="shared" si="4"/>
        <v>0</v>
      </c>
      <c r="T13" s="102">
        <v>0</v>
      </c>
    </row>
    <row r="14" spans="1:20" x14ac:dyDescent="0.4">
      <c r="C14" s="164" t="s">
        <v>76</v>
      </c>
      <c r="D14" s="165"/>
      <c r="E14" s="165"/>
      <c r="G14" s="68">
        <v>0</v>
      </c>
      <c r="H14" s="68">
        <v>0</v>
      </c>
      <c r="I14" s="68">
        <v>0</v>
      </c>
      <c r="J14" s="102">
        <v>0</v>
      </c>
      <c r="K14" s="125">
        <f t="shared" si="3"/>
        <v>0</v>
      </c>
      <c r="M14" s="68">
        <v>0</v>
      </c>
      <c r="N14" s="68">
        <v>0</v>
      </c>
      <c r="O14" s="68">
        <v>0</v>
      </c>
      <c r="P14" s="102">
        <v>0</v>
      </c>
      <c r="Q14" s="125">
        <f t="shared" si="4"/>
        <v>0</v>
      </c>
      <c r="T14" s="102">
        <v>0</v>
      </c>
    </row>
    <row r="15" spans="1:20" x14ac:dyDescent="0.4">
      <c r="C15" s="164" t="s">
        <v>76</v>
      </c>
      <c r="D15" s="165"/>
      <c r="E15" s="165"/>
      <c r="G15" s="68">
        <v>0</v>
      </c>
      <c r="H15" s="68">
        <v>0</v>
      </c>
      <c r="I15" s="68">
        <v>0</v>
      </c>
      <c r="J15" s="102">
        <v>0</v>
      </c>
      <c r="K15" s="125">
        <f t="shared" si="3"/>
        <v>0</v>
      </c>
      <c r="M15" s="68">
        <v>0</v>
      </c>
      <c r="N15" s="68">
        <v>0</v>
      </c>
      <c r="O15" s="68">
        <v>0</v>
      </c>
      <c r="P15" s="102">
        <v>0</v>
      </c>
      <c r="Q15" s="125">
        <f t="shared" si="4"/>
        <v>0</v>
      </c>
      <c r="T15" s="102">
        <v>0</v>
      </c>
    </row>
    <row r="16" spans="1:20" x14ac:dyDescent="0.4">
      <c r="C16" s="164" t="s">
        <v>76</v>
      </c>
      <c r="D16" s="165"/>
      <c r="E16" s="165"/>
      <c r="G16" s="68">
        <v>0</v>
      </c>
      <c r="H16" s="68">
        <v>0</v>
      </c>
      <c r="I16" s="68">
        <v>0</v>
      </c>
      <c r="J16" s="102">
        <v>0</v>
      </c>
      <c r="K16" s="125">
        <f t="shared" si="3"/>
        <v>0</v>
      </c>
      <c r="M16" s="68">
        <v>0</v>
      </c>
      <c r="N16" s="68">
        <v>0</v>
      </c>
      <c r="O16" s="68">
        <v>0</v>
      </c>
      <c r="P16" s="102">
        <v>0</v>
      </c>
      <c r="Q16" s="125">
        <f t="shared" si="4"/>
        <v>0</v>
      </c>
      <c r="T16" s="102">
        <v>0</v>
      </c>
    </row>
    <row r="17" spans="2:20" x14ac:dyDescent="0.4">
      <c r="C17" s="164" t="s">
        <v>76</v>
      </c>
      <c r="D17" s="165"/>
      <c r="E17" s="165"/>
      <c r="G17" s="68">
        <v>0</v>
      </c>
      <c r="H17" s="68">
        <v>0</v>
      </c>
      <c r="I17" s="68">
        <v>0</v>
      </c>
      <c r="J17" s="102">
        <v>0</v>
      </c>
      <c r="K17" s="125">
        <f t="shared" si="3"/>
        <v>0</v>
      </c>
      <c r="M17" s="68">
        <v>0</v>
      </c>
      <c r="N17" s="68">
        <v>0</v>
      </c>
      <c r="O17" s="68">
        <v>0</v>
      </c>
      <c r="P17" s="102">
        <v>0</v>
      </c>
      <c r="Q17" s="125">
        <f t="shared" si="4"/>
        <v>0</v>
      </c>
      <c r="T17" s="102">
        <v>0</v>
      </c>
    </row>
    <row r="18" spans="2:20" x14ac:dyDescent="0.4">
      <c r="C18" s="164" t="s">
        <v>76</v>
      </c>
      <c r="D18" s="165"/>
      <c r="E18" s="165"/>
      <c r="G18" s="68">
        <v>0</v>
      </c>
      <c r="H18" s="68">
        <v>0</v>
      </c>
      <c r="I18" s="68">
        <v>0</v>
      </c>
      <c r="J18" s="102">
        <v>0</v>
      </c>
      <c r="K18" s="125">
        <f t="shared" si="3"/>
        <v>0</v>
      </c>
      <c r="M18" s="68">
        <v>0</v>
      </c>
      <c r="N18" s="68">
        <v>0</v>
      </c>
      <c r="O18" s="68">
        <v>0</v>
      </c>
      <c r="P18" s="102">
        <v>0</v>
      </c>
      <c r="Q18" s="125">
        <f t="shared" si="4"/>
        <v>0</v>
      </c>
      <c r="T18" s="102">
        <v>0</v>
      </c>
    </row>
    <row r="19" spans="2:20" x14ac:dyDescent="0.4">
      <c r="C19" s="164" t="s">
        <v>76</v>
      </c>
      <c r="D19" s="165"/>
      <c r="E19" s="165"/>
      <c r="G19" s="68">
        <v>0</v>
      </c>
      <c r="H19" s="68">
        <v>0</v>
      </c>
      <c r="I19" s="68">
        <v>0</v>
      </c>
      <c r="J19" s="102">
        <v>0</v>
      </c>
      <c r="K19" s="125">
        <f t="shared" si="3"/>
        <v>0</v>
      </c>
      <c r="M19" s="68">
        <v>0</v>
      </c>
      <c r="N19" s="68">
        <v>0</v>
      </c>
      <c r="O19" s="68">
        <v>0</v>
      </c>
      <c r="P19" s="102">
        <v>0</v>
      </c>
      <c r="Q19" s="125">
        <f t="shared" si="4"/>
        <v>0</v>
      </c>
      <c r="T19" s="102">
        <v>0</v>
      </c>
    </row>
    <row r="20" spans="2:20" x14ac:dyDescent="0.4">
      <c r="C20" s="164" t="s">
        <v>76</v>
      </c>
      <c r="D20" s="165"/>
      <c r="E20" s="165"/>
      <c r="G20" s="68">
        <v>0</v>
      </c>
      <c r="H20" s="68">
        <v>0</v>
      </c>
      <c r="I20" s="68">
        <v>0</v>
      </c>
      <c r="J20" s="102">
        <v>0</v>
      </c>
      <c r="K20" s="125">
        <f t="shared" si="3"/>
        <v>0</v>
      </c>
      <c r="M20" s="68">
        <v>0</v>
      </c>
      <c r="N20" s="68">
        <v>0</v>
      </c>
      <c r="O20" s="68">
        <v>0</v>
      </c>
      <c r="P20" s="102">
        <v>0</v>
      </c>
      <c r="Q20" s="125">
        <f t="shared" si="4"/>
        <v>0</v>
      </c>
      <c r="T20" s="102">
        <v>0</v>
      </c>
    </row>
    <row r="21" spans="2:20" x14ac:dyDescent="0.4">
      <c r="B21" s="12" t="s">
        <v>8</v>
      </c>
      <c r="C21" s="29" t="s">
        <v>77</v>
      </c>
      <c r="D21" s="30"/>
      <c r="E21" s="30"/>
      <c r="F21" s="31"/>
      <c r="G21" s="132">
        <f>++SUM(G11:G20)</f>
        <v>0</v>
      </c>
      <c r="H21" s="132">
        <f t="shared" ref="H21:K21" si="5">++SUM(H11:H20)</f>
        <v>0</v>
      </c>
      <c r="I21" s="132">
        <f t="shared" si="5"/>
        <v>0</v>
      </c>
      <c r="J21" s="133">
        <f t="shared" si="5"/>
        <v>0</v>
      </c>
      <c r="K21" s="126">
        <f t="shared" si="5"/>
        <v>0</v>
      </c>
      <c r="M21" s="132">
        <f>++SUM(M11:M20)</f>
        <v>0</v>
      </c>
      <c r="N21" s="132">
        <f t="shared" ref="N21" si="6">++SUM(N11:N20)</f>
        <v>0</v>
      </c>
      <c r="O21" s="132">
        <f t="shared" ref="O21" si="7">++SUM(O11:O20)</f>
        <v>0</v>
      </c>
      <c r="P21" s="133">
        <f t="shared" ref="P21" si="8">++SUM(P11:P20)</f>
        <v>0</v>
      </c>
      <c r="Q21" s="126">
        <f t="shared" ref="Q21" si="9">++SUM(Q11:Q20)</f>
        <v>0</v>
      </c>
      <c r="T21" s="133">
        <f t="shared" ref="T21" si="10">++SUM(T11:T20)</f>
        <v>0</v>
      </c>
    </row>
    <row r="22" spans="2:20" ht="5.0999999999999996" customHeight="1" x14ac:dyDescent="0.4">
      <c r="J22" s="39"/>
      <c r="P22" s="39"/>
      <c r="T22" s="39"/>
    </row>
    <row r="23" spans="2:20" x14ac:dyDescent="0.4">
      <c r="C23" s="164" t="s">
        <v>78</v>
      </c>
      <c r="D23" s="165"/>
      <c r="E23" s="165"/>
      <c r="G23" s="17">
        <f>++G24-G21</f>
        <v>0</v>
      </c>
      <c r="H23" s="17">
        <f>++H24-H21</f>
        <v>0</v>
      </c>
      <c r="I23" s="17">
        <f>++I24-I21</f>
        <v>0</v>
      </c>
      <c r="J23" s="40">
        <f>++J24-J21</f>
        <v>0</v>
      </c>
      <c r="K23" s="125">
        <f t="shared" ref="K23" si="11">++IFERROR(J23/J$24,0)</f>
        <v>0</v>
      </c>
      <c r="M23" s="17">
        <f>++M24-M21</f>
        <v>0</v>
      </c>
      <c r="N23" s="17">
        <f>++N24-N21</f>
        <v>0</v>
      </c>
      <c r="O23" s="17">
        <f>++O24-O21</f>
        <v>0</v>
      </c>
      <c r="P23" s="40">
        <f>++P24-P21</f>
        <v>0</v>
      </c>
      <c r="Q23" s="125">
        <f>++IFERROR(P23/P$24,0)</f>
        <v>0</v>
      </c>
      <c r="T23" s="40">
        <f>++T24-T21</f>
        <v>0</v>
      </c>
    </row>
    <row r="24" spans="2:20" ht="13.5" thickBot="1" x14ac:dyDescent="0.45">
      <c r="B24" s="12" t="s">
        <v>8</v>
      </c>
      <c r="C24" s="34" t="s">
        <v>79</v>
      </c>
      <c r="D24" s="35"/>
      <c r="E24" s="35"/>
      <c r="F24" s="31"/>
      <c r="G24" s="58" cm="1">
        <f t="array" ref="G24">++INDEX(FinInputs!$G210:$AH210,0,MATCH(G$2,FinInputs!$G$3:$AH$3,0))</f>
        <v>0</v>
      </c>
      <c r="H24" s="58" cm="1">
        <f t="array" ref="H24">++INDEX(FinInputs!$G210:$AH210,0,MATCH(H$2,FinInputs!$G$3:$AH$3,0))</f>
        <v>0</v>
      </c>
      <c r="I24" s="58" cm="1">
        <f t="array" ref="I24">++INDEX(FinInputs!$G210:$AH210,0,MATCH(I$2,FinInputs!$G$3:$AH$3,0))</f>
        <v>0</v>
      </c>
      <c r="J24" s="59" cm="1">
        <f t="array" ref="J24">++INDEX(FinInputs!$G210:$AH210,0,MATCH(J$2,FinInputs!$G$3:$AH$3,0))</f>
        <v>0</v>
      </c>
      <c r="K24" s="129">
        <f>++SUM(K21,K23)</f>
        <v>0</v>
      </c>
      <c r="M24" s="58" cm="1">
        <f t="array" ref="M24">++INDEX(FinInputs!$G219:$AH219,0,MATCH(G$2,FinInputs!$G$3:$AH$3,0))</f>
        <v>0</v>
      </c>
      <c r="N24" s="58" cm="1">
        <f t="array" ref="N24">++INDEX(FinInputs!$G219:$AH219,0,MATCH(H$2,FinInputs!$G$3:$AH$3,0))</f>
        <v>0</v>
      </c>
      <c r="O24" s="58" cm="1">
        <f t="array" ref="O24">++INDEX(FinInputs!$G219:$AH219,0,MATCH(I$2,FinInputs!$G$3:$AH$3,0))</f>
        <v>0</v>
      </c>
      <c r="P24" s="59" cm="1">
        <f t="array" ref="P24">++INDEX(FinInputs!$G219:$AH219,0,MATCH(J$2,FinInputs!$G$3:$AH$3,0))</f>
        <v>0</v>
      </c>
      <c r="Q24" s="129">
        <f>++SUM(Q21,Q23)</f>
        <v>0</v>
      </c>
      <c r="T24" s="59" cm="1">
        <f t="array" ref="T24">++INDEX(FinInputs!$G210:$AH210,0,MATCH(T$2,FinInputs!$G$3:$AH$3,0))</f>
        <v>0</v>
      </c>
    </row>
    <row r="25" spans="2:20" customFormat="1" ht="13.5" thickTop="1" x14ac:dyDescent="0.4">
      <c r="G25" s="1"/>
      <c r="H25" s="1"/>
      <c r="I25" s="1"/>
      <c r="J25" s="39"/>
      <c r="K25" s="1"/>
      <c r="P25" s="39"/>
    </row>
    <row r="26" spans="2:20" customFormat="1" x14ac:dyDescent="0.4">
      <c r="C26" s="142" t="s">
        <v>80</v>
      </c>
      <c r="G26" s="1"/>
      <c r="H26" s="1"/>
      <c r="I26" s="1"/>
      <c r="J26" s="39"/>
      <c r="K26" s="1"/>
      <c r="P26" s="39"/>
    </row>
    <row r="27" spans="2:20" customFormat="1" x14ac:dyDescent="0.4">
      <c r="C27" s="143" t="s">
        <v>81</v>
      </c>
      <c r="D27" s="144"/>
      <c r="E27" s="144"/>
      <c r="F27" s="144"/>
      <c r="G27" s="152">
        <v>0</v>
      </c>
      <c r="H27" s="152">
        <v>0</v>
      </c>
      <c r="I27" s="152">
        <v>0</v>
      </c>
      <c r="J27" s="145">
        <f>++K11</f>
        <v>0</v>
      </c>
      <c r="K27" s="3"/>
      <c r="L27" s="144"/>
      <c r="M27" s="152">
        <v>0</v>
      </c>
      <c r="N27" s="152">
        <v>0</v>
      </c>
      <c r="O27" s="152">
        <v>0</v>
      </c>
      <c r="P27" s="145">
        <f>++Q11</f>
        <v>0</v>
      </c>
      <c r="Q27" s="146"/>
    </row>
    <row r="28" spans="2:20" customFormat="1" x14ac:dyDescent="0.4">
      <c r="C28" s="147" t="s">
        <v>82</v>
      </c>
      <c r="D28" s="148"/>
      <c r="E28" s="148"/>
      <c r="F28" s="148"/>
      <c r="G28" s="153">
        <v>0</v>
      </c>
      <c r="H28" s="153">
        <v>0</v>
      </c>
      <c r="I28" s="153">
        <v>0</v>
      </c>
      <c r="J28" s="149">
        <f>++K21</f>
        <v>0</v>
      </c>
      <c r="K28" s="7"/>
      <c r="L28" s="148"/>
      <c r="M28" s="153">
        <v>0</v>
      </c>
      <c r="N28" s="153">
        <v>0</v>
      </c>
      <c r="O28" s="153">
        <v>0</v>
      </c>
      <c r="P28" s="149">
        <f>++Q21</f>
        <v>0</v>
      </c>
      <c r="Q28" s="150"/>
    </row>
    <row r="29" spans="2:20" ht="5.0999999999999996" customHeight="1" x14ac:dyDescent="0.4">
      <c r="J29" s="45"/>
      <c r="P29" s="45"/>
    </row>
    <row r="30" spans="2:20" ht="5.0999999999999996" customHeight="1" x14ac:dyDescent="0.4"/>
    <row r="31" spans="2:20" customFormat="1" ht="15.4" x14ac:dyDescent="0.7">
      <c r="G31" s="27" t="str">
        <f>++G7&amp;" (% y/y)"</f>
        <v>TTM Revenue (% y/y)</v>
      </c>
      <c r="H31" s="27"/>
      <c r="I31" s="27"/>
      <c r="J31" s="27"/>
      <c r="K31" s="27"/>
      <c r="M31" s="27" t="str">
        <f>++M7&amp;" (% margin)"</f>
        <v>TTM [Gross Profit] (% margin)</v>
      </c>
      <c r="N31" s="27"/>
      <c r="O31" s="27"/>
      <c r="P31" s="27"/>
      <c r="Q31" s="27"/>
      <c r="T31" s="1"/>
    </row>
    <row r="32" spans="2:20" ht="5.0999999999999996" customHeight="1" x14ac:dyDescent="0.4"/>
    <row r="33" spans="3:20" ht="15.4" x14ac:dyDescent="0.7">
      <c r="C33" s="105" t="s">
        <v>74</v>
      </c>
      <c r="D33" s="87"/>
      <c r="E33" s="87"/>
      <c r="G33" s="16" t="str">
        <f>++"FY'"&amp;RIGHT(YEAR(M$2),2)&amp;"A"</f>
        <v>FY'22A</v>
      </c>
      <c r="H33" s="16" t="str">
        <f>++"FY'"&amp;RIGHT(YEAR(N$2),2)&amp;"A"</f>
        <v>FY'23A</v>
      </c>
      <c r="I33" s="16" t="str">
        <f>++"FY'"&amp;RIGHT(YEAR(O$2),2)&amp;"A"</f>
        <v>FY'24A</v>
      </c>
      <c r="J33" s="38" t="str">
        <f>++"LTM "&amp;TEXT(J$2,"M/YY")&amp;"A"</f>
        <v>LTM 9/25A</v>
      </c>
      <c r="K33" s="16" t="s">
        <v>83</v>
      </c>
      <c r="M33" s="16" t="str">
        <f>++"FY'"&amp;RIGHT(YEAR(M$2),2)&amp;"A"</f>
        <v>FY'22A</v>
      </c>
      <c r="N33" s="16" t="str">
        <f t="shared" ref="N33:O33" si="12">++"FY'"&amp;RIGHT(YEAR(N$2),2)&amp;"A"</f>
        <v>FY'23A</v>
      </c>
      <c r="O33" s="16" t="str">
        <f t="shared" si="12"/>
        <v>FY'24A</v>
      </c>
      <c r="P33" s="38" t="str">
        <f>++"LTM "&amp;TEXT(P$2,"M/YY")&amp;"A"</f>
        <v>LTM 9/25A</v>
      </c>
      <c r="Q33" s="138" t="s">
        <v>84</v>
      </c>
    </row>
    <row r="34" spans="3:20" customFormat="1" ht="5.0999999999999996" customHeight="1" x14ac:dyDescent="0.4">
      <c r="J34" s="39"/>
      <c r="P34" s="39"/>
      <c r="T34" s="1"/>
    </row>
    <row r="35" spans="3:20" customFormat="1" x14ac:dyDescent="0.4">
      <c r="C35" s="1" t="str">
        <f>++C11</f>
        <v>[Customer]</v>
      </c>
      <c r="D35" s="1"/>
      <c r="E35" s="1"/>
      <c r="F35" s="1"/>
      <c r="G35" s="151"/>
      <c r="H35" s="127">
        <f t="shared" ref="H35:I45" si="13">++IFERROR(H11/G11-1,0)</f>
        <v>0</v>
      </c>
      <c r="I35" s="127">
        <f t="shared" si="13"/>
        <v>0</v>
      </c>
      <c r="J35" s="136">
        <f t="shared" ref="J35:J45" si="14">++IFERROR(J11/T11-1,0)</f>
        <v>0</v>
      </c>
      <c r="K35" s="125" t="str">
        <f t="shared" ref="K35:K45" si="15">++IFERROR((J11/G11)^(1/YEARFRAC(G$2,J$2,1))-1,"nmf")</f>
        <v>nmf</v>
      </c>
      <c r="M35" s="127">
        <f t="shared" ref="M35:M45" si="16">++IFERROR(M11/G11,0)</f>
        <v>0</v>
      </c>
      <c r="N35" s="127">
        <f t="shared" ref="N35:N45" si="17">++IFERROR(N11/H11,0)</f>
        <v>0</v>
      </c>
      <c r="O35" s="127">
        <f t="shared" ref="O35:O45" si="18">++IFERROR(O11/I11,0)</f>
        <v>0</v>
      </c>
      <c r="P35" s="136">
        <f t="shared" ref="P35:P45" si="19">++IFERROR(P11/J11,0)</f>
        <v>0</v>
      </c>
      <c r="Q35" s="139">
        <f>++(P35-M35)*10000</f>
        <v>0</v>
      </c>
      <c r="T35" s="1"/>
    </row>
    <row r="36" spans="3:20" customFormat="1" x14ac:dyDescent="0.4">
      <c r="C36" s="1" t="str">
        <f t="shared" ref="C36:C45" si="20">++C12</f>
        <v>[Customer]</v>
      </c>
      <c r="D36" s="1"/>
      <c r="E36" s="1"/>
      <c r="F36" s="1"/>
      <c r="G36" s="151"/>
      <c r="H36" s="127">
        <f t="shared" si="13"/>
        <v>0</v>
      </c>
      <c r="I36" s="127">
        <f t="shared" si="13"/>
        <v>0</v>
      </c>
      <c r="J36" s="136">
        <f t="shared" si="14"/>
        <v>0</v>
      </c>
      <c r="K36" s="125" t="str">
        <f t="shared" si="15"/>
        <v>nmf</v>
      </c>
      <c r="M36" s="127">
        <f t="shared" si="16"/>
        <v>0</v>
      </c>
      <c r="N36" s="127">
        <f t="shared" si="17"/>
        <v>0</v>
      </c>
      <c r="O36" s="127">
        <f t="shared" si="18"/>
        <v>0</v>
      </c>
      <c r="P36" s="136">
        <f t="shared" si="19"/>
        <v>0</v>
      </c>
      <c r="Q36" s="139">
        <f t="shared" ref="Q36:Q48" si="21">++(P36-M36)*10000</f>
        <v>0</v>
      </c>
      <c r="T36" s="1"/>
    </row>
    <row r="37" spans="3:20" customFormat="1" x14ac:dyDescent="0.4">
      <c r="C37" s="1" t="str">
        <f t="shared" si="20"/>
        <v>[Customer]</v>
      </c>
      <c r="D37" s="1"/>
      <c r="E37" s="1"/>
      <c r="F37" s="1"/>
      <c r="G37" s="151"/>
      <c r="H37" s="127">
        <f t="shared" si="13"/>
        <v>0</v>
      </c>
      <c r="I37" s="127">
        <f t="shared" si="13"/>
        <v>0</v>
      </c>
      <c r="J37" s="136">
        <f t="shared" si="14"/>
        <v>0</v>
      </c>
      <c r="K37" s="125" t="str">
        <f t="shared" si="15"/>
        <v>nmf</v>
      </c>
      <c r="M37" s="127">
        <f t="shared" si="16"/>
        <v>0</v>
      </c>
      <c r="N37" s="127">
        <f t="shared" si="17"/>
        <v>0</v>
      </c>
      <c r="O37" s="127">
        <f t="shared" si="18"/>
        <v>0</v>
      </c>
      <c r="P37" s="136">
        <f t="shared" si="19"/>
        <v>0</v>
      </c>
      <c r="Q37" s="139">
        <f t="shared" si="21"/>
        <v>0</v>
      </c>
      <c r="T37" s="1"/>
    </row>
    <row r="38" spans="3:20" customFormat="1" x14ac:dyDescent="0.4">
      <c r="C38" s="1" t="str">
        <f t="shared" si="20"/>
        <v>[Customer]</v>
      </c>
      <c r="D38" s="1"/>
      <c r="E38" s="1"/>
      <c r="F38" s="1"/>
      <c r="G38" s="151"/>
      <c r="H38" s="127">
        <f t="shared" si="13"/>
        <v>0</v>
      </c>
      <c r="I38" s="127">
        <f t="shared" si="13"/>
        <v>0</v>
      </c>
      <c r="J38" s="136">
        <f t="shared" si="14"/>
        <v>0</v>
      </c>
      <c r="K38" s="125" t="str">
        <f t="shared" si="15"/>
        <v>nmf</v>
      </c>
      <c r="M38" s="127">
        <f t="shared" si="16"/>
        <v>0</v>
      </c>
      <c r="N38" s="127">
        <f t="shared" si="17"/>
        <v>0</v>
      </c>
      <c r="O38" s="127">
        <f t="shared" si="18"/>
        <v>0</v>
      </c>
      <c r="P38" s="136">
        <f t="shared" si="19"/>
        <v>0</v>
      </c>
      <c r="Q38" s="139">
        <f t="shared" si="21"/>
        <v>0</v>
      </c>
      <c r="T38" s="1"/>
    </row>
    <row r="39" spans="3:20" customFormat="1" x14ac:dyDescent="0.4">
      <c r="C39" s="1" t="str">
        <f t="shared" si="20"/>
        <v>[Customer]</v>
      </c>
      <c r="D39" s="1"/>
      <c r="E39" s="1"/>
      <c r="F39" s="1"/>
      <c r="G39" s="151"/>
      <c r="H39" s="127">
        <f t="shared" si="13"/>
        <v>0</v>
      </c>
      <c r="I39" s="127">
        <f t="shared" si="13"/>
        <v>0</v>
      </c>
      <c r="J39" s="136">
        <f t="shared" si="14"/>
        <v>0</v>
      </c>
      <c r="K39" s="125" t="str">
        <f t="shared" si="15"/>
        <v>nmf</v>
      </c>
      <c r="M39" s="127">
        <f t="shared" si="16"/>
        <v>0</v>
      </c>
      <c r="N39" s="127">
        <f t="shared" si="17"/>
        <v>0</v>
      </c>
      <c r="O39" s="127">
        <f t="shared" si="18"/>
        <v>0</v>
      </c>
      <c r="P39" s="136">
        <f t="shared" si="19"/>
        <v>0</v>
      </c>
      <c r="Q39" s="139">
        <f t="shared" si="21"/>
        <v>0</v>
      </c>
      <c r="T39" s="1"/>
    </row>
    <row r="40" spans="3:20" customFormat="1" x14ac:dyDescent="0.4">
      <c r="C40" s="1" t="str">
        <f t="shared" si="20"/>
        <v>[Customer]</v>
      </c>
      <c r="D40" s="1"/>
      <c r="E40" s="1"/>
      <c r="F40" s="1"/>
      <c r="G40" s="151"/>
      <c r="H40" s="127">
        <f t="shared" si="13"/>
        <v>0</v>
      </c>
      <c r="I40" s="127">
        <f t="shared" si="13"/>
        <v>0</v>
      </c>
      <c r="J40" s="136">
        <f t="shared" si="14"/>
        <v>0</v>
      </c>
      <c r="K40" s="125" t="str">
        <f t="shared" si="15"/>
        <v>nmf</v>
      </c>
      <c r="M40" s="127">
        <f t="shared" si="16"/>
        <v>0</v>
      </c>
      <c r="N40" s="127">
        <f t="shared" si="17"/>
        <v>0</v>
      </c>
      <c r="O40" s="127">
        <f t="shared" si="18"/>
        <v>0</v>
      </c>
      <c r="P40" s="136">
        <f t="shared" si="19"/>
        <v>0</v>
      </c>
      <c r="Q40" s="139">
        <f t="shared" si="21"/>
        <v>0</v>
      </c>
      <c r="T40" s="1"/>
    </row>
    <row r="41" spans="3:20" customFormat="1" x14ac:dyDescent="0.4">
      <c r="C41" s="1" t="str">
        <f t="shared" si="20"/>
        <v>[Customer]</v>
      </c>
      <c r="D41" s="1"/>
      <c r="E41" s="1"/>
      <c r="F41" s="1"/>
      <c r="G41" s="151"/>
      <c r="H41" s="127">
        <f t="shared" si="13"/>
        <v>0</v>
      </c>
      <c r="I41" s="127">
        <f t="shared" si="13"/>
        <v>0</v>
      </c>
      <c r="J41" s="136">
        <f t="shared" si="14"/>
        <v>0</v>
      </c>
      <c r="K41" s="125" t="str">
        <f t="shared" si="15"/>
        <v>nmf</v>
      </c>
      <c r="M41" s="127">
        <f t="shared" si="16"/>
        <v>0</v>
      </c>
      <c r="N41" s="127">
        <f t="shared" si="17"/>
        <v>0</v>
      </c>
      <c r="O41" s="127">
        <f t="shared" si="18"/>
        <v>0</v>
      </c>
      <c r="P41" s="136">
        <f t="shared" si="19"/>
        <v>0</v>
      </c>
      <c r="Q41" s="139">
        <f t="shared" si="21"/>
        <v>0</v>
      </c>
      <c r="T41" s="1"/>
    </row>
    <row r="42" spans="3:20" customFormat="1" x14ac:dyDescent="0.4">
      <c r="C42" s="1" t="str">
        <f t="shared" si="20"/>
        <v>[Customer]</v>
      </c>
      <c r="D42" s="1"/>
      <c r="E42" s="1"/>
      <c r="F42" s="1"/>
      <c r="G42" s="151"/>
      <c r="H42" s="127">
        <f t="shared" si="13"/>
        <v>0</v>
      </c>
      <c r="I42" s="127">
        <f t="shared" si="13"/>
        <v>0</v>
      </c>
      <c r="J42" s="136">
        <f t="shared" si="14"/>
        <v>0</v>
      </c>
      <c r="K42" s="125" t="str">
        <f t="shared" si="15"/>
        <v>nmf</v>
      </c>
      <c r="M42" s="127">
        <f t="shared" si="16"/>
        <v>0</v>
      </c>
      <c r="N42" s="127">
        <f t="shared" si="17"/>
        <v>0</v>
      </c>
      <c r="O42" s="127">
        <f t="shared" si="18"/>
        <v>0</v>
      </c>
      <c r="P42" s="136">
        <f t="shared" si="19"/>
        <v>0</v>
      </c>
      <c r="Q42" s="139">
        <f t="shared" si="21"/>
        <v>0</v>
      </c>
      <c r="T42" s="1"/>
    </row>
    <row r="43" spans="3:20" customFormat="1" x14ac:dyDescent="0.4">
      <c r="C43" s="1" t="str">
        <f t="shared" si="20"/>
        <v>[Customer]</v>
      </c>
      <c r="D43" s="1"/>
      <c r="E43" s="1"/>
      <c r="F43" s="1"/>
      <c r="G43" s="151"/>
      <c r="H43" s="127">
        <f t="shared" si="13"/>
        <v>0</v>
      </c>
      <c r="I43" s="127">
        <f t="shared" si="13"/>
        <v>0</v>
      </c>
      <c r="J43" s="136">
        <f t="shared" si="14"/>
        <v>0</v>
      </c>
      <c r="K43" s="125" t="str">
        <f t="shared" si="15"/>
        <v>nmf</v>
      </c>
      <c r="M43" s="127">
        <f t="shared" si="16"/>
        <v>0</v>
      </c>
      <c r="N43" s="127">
        <f t="shared" si="17"/>
        <v>0</v>
      </c>
      <c r="O43" s="127">
        <f t="shared" si="18"/>
        <v>0</v>
      </c>
      <c r="P43" s="136">
        <f t="shared" si="19"/>
        <v>0</v>
      </c>
      <c r="Q43" s="139">
        <f t="shared" si="21"/>
        <v>0</v>
      </c>
      <c r="T43" s="1"/>
    </row>
    <row r="44" spans="3:20" customFormat="1" x14ac:dyDescent="0.4">
      <c r="C44" s="1" t="str">
        <f t="shared" si="20"/>
        <v>[Customer]</v>
      </c>
      <c r="D44" s="1"/>
      <c r="E44" s="1"/>
      <c r="F44" s="1"/>
      <c r="G44" s="151"/>
      <c r="H44" s="127">
        <f t="shared" si="13"/>
        <v>0</v>
      </c>
      <c r="I44" s="127">
        <f t="shared" si="13"/>
        <v>0</v>
      </c>
      <c r="J44" s="136">
        <f t="shared" si="14"/>
        <v>0</v>
      </c>
      <c r="K44" s="125" t="str">
        <f t="shared" si="15"/>
        <v>nmf</v>
      </c>
      <c r="M44" s="127">
        <f t="shared" si="16"/>
        <v>0</v>
      </c>
      <c r="N44" s="127">
        <f t="shared" si="17"/>
        <v>0</v>
      </c>
      <c r="O44" s="127">
        <f t="shared" si="18"/>
        <v>0</v>
      </c>
      <c r="P44" s="136">
        <f t="shared" si="19"/>
        <v>0</v>
      </c>
      <c r="Q44" s="139">
        <f t="shared" si="21"/>
        <v>0</v>
      </c>
      <c r="T44" s="1"/>
    </row>
    <row r="45" spans="3:20" customFormat="1" x14ac:dyDescent="0.4">
      <c r="C45" s="29" t="str">
        <f t="shared" si="20"/>
        <v>Top 10 Customers</v>
      </c>
      <c r="D45" s="30"/>
      <c r="E45" s="30"/>
      <c r="F45" s="31"/>
      <c r="G45" s="134"/>
      <c r="H45" s="134">
        <f t="shared" si="13"/>
        <v>0</v>
      </c>
      <c r="I45" s="134">
        <f t="shared" si="13"/>
        <v>0</v>
      </c>
      <c r="J45" s="135">
        <f t="shared" si="14"/>
        <v>0</v>
      </c>
      <c r="K45" s="126" t="str">
        <f t="shared" si="15"/>
        <v>nmf</v>
      </c>
      <c r="M45" s="134">
        <f t="shared" si="16"/>
        <v>0</v>
      </c>
      <c r="N45" s="134">
        <f t="shared" si="17"/>
        <v>0</v>
      </c>
      <c r="O45" s="134">
        <f t="shared" si="18"/>
        <v>0</v>
      </c>
      <c r="P45" s="135">
        <f t="shared" si="19"/>
        <v>0</v>
      </c>
      <c r="Q45" s="140">
        <f t="shared" si="21"/>
        <v>0</v>
      </c>
      <c r="T45" s="1"/>
    </row>
    <row r="46" spans="3:20" customFormat="1" ht="5.0999999999999996" customHeight="1" x14ac:dyDescent="0.4">
      <c r="C46" s="1"/>
      <c r="D46" s="1"/>
      <c r="E46" s="1"/>
      <c r="F46" s="1"/>
      <c r="G46" s="1"/>
      <c r="H46" s="1"/>
      <c r="I46" s="1"/>
      <c r="J46" s="39"/>
      <c r="K46" s="1"/>
      <c r="M46" s="1"/>
      <c r="N46" s="1"/>
      <c r="O46" s="1"/>
      <c r="P46" s="39"/>
      <c r="Q46" s="1"/>
      <c r="T46" s="1"/>
    </row>
    <row r="47" spans="3:20" customFormat="1" x14ac:dyDescent="0.4">
      <c r="C47" s="1" t="str">
        <f>++C23</f>
        <v>All Other (n = [X])</v>
      </c>
      <c r="D47" s="1"/>
      <c r="E47" s="1"/>
      <c r="F47" s="1"/>
      <c r="G47" s="151"/>
      <c r="H47" s="127">
        <f>++IFERROR(H23/G23-1,0)</f>
        <v>0</v>
      </c>
      <c r="I47" s="127">
        <f>++IFERROR(I23/H23-1,0)</f>
        <v>0</v>
      </c>
      <c r="J47" s="136">
        <f>++IFERROR(J23/T23-1,0)</f>
        <v>0</v>
      </c>
      <c r="K47" s="125" t="str">
        <f>++IFERROR((J23/G23)^(1/YEARFRAC(G$2,J$2,1))-1,"nmf")</f>
        <v>nmf</v>
      </c>
      <c r="M47" s="127">
        <f t="shared" ref="M47:P48" si="22">++IFERROR(M23/G23,0)</f>
        <v>0</v>
      </c>
      <c r="N47" s="127">
        <f t="shared" si="22"/>
        <v>0</v>
      </c>
      <c r="O47" s="127">
        <f t="shared" si="22"/>
        <v>0</v>
      </c>
      <c r="P47" s="136">
        <f t="shared" si="22"/>
        <v>0</v>
      </c>
      <c r="Q47" s="139">
        <f t="shared" si="21"/>
        <v>0</v>
      </c>
      <c r="T47" s="1"/>
    </row>
    <row r="48" spans="3:20" customFormat="1" ht="13.5" thickBot="1" x14ac:dyDescent="0.45">
      <c r="C48" s="34" t="str">
        <f>++C24</f>
        <v>Total</v>
      </c>
      <c r="D48" s="35"/>
      <c r="E48" s="35"/>
      <c r="F48" s="31"/>
      <c r="G48" s="128"/>
      <c r="H48" s="128">
        <f>++IFERROR(H24/G24-1,0)</f>
        <v>0</v>
      </c>
      <c r="I48" s="128">
        <f>++IFERROR(I24/H24-1,0)</f>
        <v>0</v>
      </c>
      <c r="J48" s="137">
        <f>++IFERROR(J24/T24-1,0)</f>
        <v>0</v>
      </c>
      <c r="K48" s="129" t="str">
        <f>++IFERROR((J24/G24)^(1/YEARFRAC(G$2,J$2,1))-1,"nmf")</f>
        <v>nmf</v>
      </c>
      <c r="M48" s="128">
        <f t="shared" si="22"/>
        <v>0</v>
      </c>
      <c r="N48" s="128">
        <f t="shared" si="22"/>
        <v>0</v>
      </c>
      <c r="O48" s="128">
        <f t="shared" si="22"/>
        <v>0</v>
      </c>
      <c r="P48" s="137">
        <f t="shared" si="22"/>
        <v>0</v>
      </c>
      <c r="Q48" s="141">
        <f t="shared" si="21"/>
        <v>0</v>
      </c>
      <c r="T48" s="1"/>
    </row>
    <row r="49" spans="1:16" ht="5.0999999999999996" customHeight="1" thickTop="1" x14ac:dyDescent="0.4">
      <c r="J49" s="45"/>
      <c r="P49" s="45"/>
    </row>
    <row r="52" spans="1:16" x14ac:dyDescent="0.4">
      <c r="A52" s="12" t="s">
        <v>8</v>
      </c>
      <c r="B52" s="12" t="s">
        <v>8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E3FD-18BC-4C27-B095-2C1F7DDBDD97}">
  <sheetPr codeName="Sheet3"/>
  <dimension ref="A1:U29"/>
  <sheetViews>
    <sheetView showGridLines="0" zoomScale="85" zoomScaleNormal="85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N46" sqref="N46"/>
    </sheetView>
  </sheetViews>
  <sheetFormatPr defaultRowHeight="13.15" outlineLevelCol="1" x14ac:dyDescent="0.4"/>
  <cols>
    <col min="1" max="2" width="2.7109375" style="1" customWidth="1"/>
    <col min="3" max="5" width="10.7109375" style="1" customWidth="1"/>
    <col min="6" max="6" width="2.7109375" style="1" customWidth="1"/>
    <col min="7" max="11" width="11.28515625" style="1" customWidth="1"/>
    <col min="12" max="12" width="2.7109375" style="1" customWidth="1"/>
    <col min="13" max="17" width="11.28515625" style="1" customWidth="1"/>
    <col min="18" max="19" width="9.140625" style="1"/>
    <col min="20" max="20" width="11.28515625" style="1" hidden="1" customWidth="1" outlineLevel="1"/>
    <col min="21" max="21" width="9.140625" style="1" collapsed="1"/>
    <col min="22" max="16384" width="9.140625" style="1"/>
  </cols>
  <sheetData>
    <row r="1" spans="1:20" x14ac:dyDescent="0.4">
      <c r="C1" s="9" t="str">
        <f>++CoName</f>
        <v>[Company Name] ([Sponsor Name / Non-Sponsored])</v>
      </c>
      <c r="D1" s="3"/>
      <c r="E1" s="4"/>
    </row>
    <row r="2" spans="1:20" x14ac:dyDescent="0.4">
      <c r="C2" s="10" t="s">
        <v>85</v>
      </c>
      <c r="D2" s="5"/>
      <c r="E2" s="6"/>
      <c r="G2" s="15">
        <f t="shared" ref="G2" si="0">++EOMONTH(H2,-12)</f>
        <v>44926</v>
      </c>
      <c r="H2" s="15">
        <f>++EOMONTH(I2,-12)</f>
        <v>45291</v>
      </c>
      <c r="I2" s="47">
        <f>++LastFYE</f>
        <v>45657</v>
      </c>
      <c r="J2" s="47">
        <f>++LastActDate</f>
        <v>45930</v>
      </c>
      <c r="M2" s="130">
        <f>++G2</f>
        <v>44926</v>
      </c>
      <c r="N2" s="130">
        <f t="shared" ref="N2:P2" si="1">++H2</f>
        <v>45291</v>
      </c>
      <c r="O2" s="130">
        <f t="shared" si="1"/>
        <v>45657</v>
      </c>
      <c r="P2" s="130">
        <f t="shared" si="1"/>
        <v>45930</v>
      </c>
      <c r="Q2"/>
      <c r="T2" s="130">
        <f>++EOMONTH(J2,-12)</f>
        <v>45565</v>
      </c>
    </row>
    <row r="3" spans="1:20" x14ac:dyDescent="0.4">
      <c r="C3" s="11" t="str">
        <f ca="1">++TEXT(TODAY(),"MMMM D, YYYY")</f>
        <v>April 21, 2026</v>
      </c>
      <c r="D3" s="7"/>
      <c r="E3" s="8"/>
    </row>
    <row r="5" spans="1:20" x14ac:dyDescent="0.4">
      <c r="A5" s="12" t="s">
        <v>8</v>
      </c>
      <c r="B5" s="12" t="s">
        <v>8</v>
      </c>
      <c r="C5" s="106" t="str">
        <f>++C2</f>
        <v>Top 10 Supplier Detail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0" ht="5.0999999999999996" customHeight="1" x14ac:dyDescent="0.4"/>
    <row r="7" spans="1:20" ht="15.4" x14ac:dyDescent="0.7">
      <c r="C7" s="14" t="str">
        <f>++"USD in 000s | FYE "&amp;TEXT(LastFYE,"M/D")</f>
        <v>USD in 000s | FYE 12/31</v>
      </c>
      <c r="G7" s="27" t="s">
        <v>86</v>
      </c>
      <c r="H7" s="27"/>
      <c r="I7" s="27"/>
      <c r="J7" s="27"/>
      <c r="K7" s="27"/>
      <c r="M7" s="27" t="str">
        <f>++G7&amp;" (% y/y)"</f>
        <v>TTM Purchases (% y/y)</v>
      </c>
      <c r="N7" s="27"/>
      <c r="O7" s="27"/>
      <c r="P7" s="27"/>
      <c r="Q7" s="27"/>
    </row>
    <row r="8" spans="1:20" ht="5.0999999999999996" customHeight="1" x14ac:dyDescent="0.4"/>
    <row r="9" spans="1:20" ht="15.4" x14ac:dyDescent="0.7">
      <c r="C9" s="105" t="s">
        <v>87</v>
      </c>
      <c r="D9" s="87"/>
      <c r="E9" s="87"/>
      <c r="G9" s="16" t="str">
        <f>++"FY'"&amp;RIGHT(YEAR(G$2),2)&amp;"A"</f>
        <v>FY'22A</v>
      </c>
      <c r="H9" s="16" t="str">
        <f t="shared" ref="H9:I9" si="2">++"FY'"&amp;RIGHT(YEAR(H$2),2)&amp;"A"</f>
        <v>FY'23A</v>
      </c>
      <c r="I9" s="16" t="str">
        <f t="shared" si="2"/>
        <v>FY'24A</v>
      </c>
      <c r="J9" s="38" t="str">
        <f>++"LTM "&amp;TEXT(J$2,"M/YY")&amp;"A"</f>
        <v>LTM 9/25A</v>
      </c>
      <c r="K9" s="16" t="s">
        <v>75</v>
      </c>
      <c r="M9" s="16" t="str">
        <f>++"FY'"&amp;RIGHT(YEAR(M$2),2)&amp;"A"</f>
        <v>FY'22A</v>
      </c>
      <c r="N9" s="16" t="str">
        <f>++"FY'"&amp;RIGHT(YEAR(N$2),2)&amp;"A"</f>
        <v>FY'23A</v>
      </c>
      <c r="O9" s="16" t="str">
        <f>++"FY'"&amp;RIGHT(YEAR(O$2),2)&amp;"A"</f>
        <v>FY'24A</v>
      </c>
      <c r="P9" s="38" t="str">
        <f>++"LTM "&amp;TEXT(P$2,"M/YY")&amp;"A"</f>
        <v>LTM 9/25A</v>
      </c>
      <c r="Q9" s="16" t="s">
        <v>83</v>
      </c>
      <c r="T9" s="38" t="str">
        <f>++"LTM "&amp;TEXT(T$2,"M/YY")&amp;"A"</f>
        <v>LTM 9/24A</v>
      </c>
    </row>
    <row r="10" spans="1:20" customFormat="1" ht="5.0999999999999996" customHeight="1" x14ac:dyDescent="0.4">
      <c r="G10" s="1"/>
      <c r="H10" s="1"/>
      <c r="I10" s="1"/>
      <c r="J10" s="39"/>
      <c r="K10" s="1"/>
      <c r="P10" s="39"/>
      <c r="T10" s="39"/>
    </row>
    <row r="11" spans="1:20" x14ac:dyDescent="0.4">
      <c r="A11" s="12" t="s">
        <v>8</v>
      </c>
      <c r="B11" s="12" t="s">
        <v>8</v>
      </c>
      <c r="C11" s="164" t="s">
        <v>88</v>
      </c>
      <c r="D11" s="165"/>
      <c r="E11" s="165"/>
      <c r="G11" s="67">
        <v>0</v>
      </c>
      <c r="H11" s="67">
        <v>0</v>
      </c>
      <c r="I11" s="67">
        <v>0</v>
      </c>
      <c r="J11" s="131">
        <v>0</v>
      </c>
      <c r="K11" s="125">
        <f t="shared" ref="K11:K20" si="3">++IFERROR(J11/J$24,0)</f>
        <v>0</v>
      </c>
      <c r="M11" s="151"/>
      <c r="N11" s="127">
        <f t="shared" ref="N11:N21" si="4">++IFERROR(H11/G11-1,0)</f>
        <v>0</v>
      </c>
      <c r="O11" s="127">
        <f t="shared" ref="O11:O21" si="5">++IFERROR(I11/H11-1,0)</f>
        <v>0</v>
      </c>
      <c r="P11" s="136">
        <f t="shared" ref="P11:P21" si="6">++IFERROR(J11/T11-1,0)</f>
        <v>0</v>
      </c>
      <c r="Q11" s="125" t="str">
        <f t="shared" ref="Q11:Q21" si="7">++IFERROR((J11/G11)^(1/YEARFRAC(G$2,J$2,1))-1,"nmf")</f>
        <v>nmf</v>
      </c>
      <c r="T11" s="131">
        <v>0</v>
      </c>
    </row>
    <row r="12" spans="1:20" x14ac:dyDescent="0.4">
      <c r="C12" s="164" t="s">
        <v>88</v>
      </c>
      <c r="D12" s="165"/>
      <c r="E12" s="165"/>
      <c r="G12" s="68">
        <v>0</v>
      </c>
      <c r="H12" s="68">
        <v>0</v>
      </c>
      <c r="I12" s="68">
        <v>0</v>
      </c>
      <c r="J12" s="102">
        <v>0</v>
      </c>
      <c r="K12" s="125">
        <f t="shared" si="3"/>
        <v>0</v>
      </c>
      <c r="M12" s="151"/>
      <c r="N12" s="127">
        <f t="shared" si="4"/>
        <v>0</v>
      </c>
      <c r="O12" s="127">
        <f t="shared" si="5"/>
        <v>0</v>
      </c>
      <c r="P12" s="136">
        <f t="shared" si="6"/>
        <v>0</v>
      </c>
      <c r="Q12" s="125" t="str">
        <f t="shared" si="7"/>
        <v>nmf</v>
      </c>
      <c r="T12" s="102">
        <v>0</v>
      </c>
    </row>
    <row r="13" spans="1:20" x14ac:dyDescent="0.4">
      <c r="C13" s="164" t="s">
        <v>88</v>
      </c>
      <c r="D13" s="165"/>
      <c r="E13" s="165"/>
      <c r="G13" s="68">
        <v>0</v>
      </c>
      <c r="H13" s="68">
        <v>0</v>
      </c>
      <c r="I13" s="68">
        <v>0</v>
      </c>
      <c r="J13" s="102">
        <v>0</v>
      </c>
      <c r="K13" s="125">
        <f t="shared" si="3"/>
        <v>0</v>
      </c>
      <c r="M13" s="151"/>
      <c r="N13" s="127">
        <f t="shared" si="4"/>
        <v>0</v>
      </c>
      <c r="O13" s="127">
        <f t="shared" si="5"/>
        <v>0</v>
      </c>
      <c r="P13" s="136">
        <f t="shared" si="6"/>
        <v>0</v>
      </c>
      <c r="Q13" s="125" t="str">
        <f t="shared" si="7"/>
        <v>nmf</v>
      </c>
      <c r="T13" s="102">
        <v>0</v>
      </c>
    </row>
    <row r="14" spans="1:20" x14ac:dyDescent="0.4">
      <c r="C14" s="164" t="s">
        <v>88</v>
      </c>
      <c r="D14" s="165"/>
      <c r="E14" s="165"/>
      <c r="G14" s="68">
        <v>0</v>
      </c>
      <c r="H14" s="68">
        <v>0</v>
      </c>
      <c r="I14" s="68">
        <v>0</v>
      </c>
      <c r="J14" s="102">
        <v>0</v>
      </c>
      <c r="K14" s="125">
        <f t="shared" si="3"/>
        <v>0</v>
      </c>
      <c r="M14" s="151"/>
      <c r="N14" s="127">
        <f t="shared" si="4"/>
        <v>0</v>
      </c>
      <c r="O14" s="127">
        <f t="shared" si="5"/>
        <v>0</v>
      </c>
      <c r="P14" s="136">
        <f t="shared" si="6"/>
        <v>0</v>
      </c>
      <c r="Q14" s="125" t="str">
        <f t="shared" si="7"/>
        <v>nmf</v>
      </c>
      <c r="T14" s="102">
        <v>0</v>
      </c>
    </row>
    <row r="15" spans="1:20" x14ac:dyDescent="0.4">
      <c r="C15" s="164" t="s">
        <v>88</v>
      </c>
      <c r="D15" s="165"/>
      <c r="E15" s="165"/>
      <c r="G15" s="68">
        <v>0</v>
      </c>
      <c r="H15" s="68">
        <v>0</v>
      </c>
      <c r="I15" s="68">
        <v>0</v>
      </c>
      <c r="J15" s="102">
        <v>0</v>
      </c>
      <c r="K15" s="125">
        <f t="shared" si="3"/>
        <v>0</v>
      </c>
      <c r="M15" s="151"/>
      <c r="N15" s="127">
        <f t="shared" si="4"/>
        <v>0</v>
      </c>
      <c r="O15" s="127">
        <f t="shared" si="5"/>
        <v>0</v>
      </c>
      <c r="P15" s="136">
        <f t="shared" si="6"/>
        <v>0</v>
      </c>
      <c r="Q15" s="125" t="str">
        <f t="shared" si="7"/>
        <v>nmf</v>
      </c>
      <c r="T15" s="102">
        <v>0</v>
      </c>
    </row>
    <row r="16" spans="1:20" x14ac:dyDescent="0.4">
      <c r="C16" s="164" t="s">
        <v>88</v>
      </c>
      <c r="D16" s="165"/>
      <c r="E16" s="165"/>
      <c r="G16" s="68">
        <v>0</v>
      </c>
      <c r="H16" s="68">
        <v>0</v>
      </c>
      <c r="I16" s="68">
        <v>0</v>
      </c>
      <c r="J16" s="102">
        <v>0</v>
      </c>
      <c r="K16" s="125">
        <f t="shared" si="3"/>
        <v>0</v>
      </c>
      <c r="M16" s="151"/>
      <c r="N16" s="127">
        <f t="shared" si="4"/>
        <v>0</v>
      </c>
      <c r="O16" s="127">
        <f t="shared" si="5"/>
        <v>0</v>
      </c>
      <c r="P16" s="136">
        <f t="shared" si="6"/>
        <v>0</v>
      </c>
      <c r="Q16" s="125" t="str">
        <f t="shared" si="7"/>
        <v>nmf</v>
      </c>
      <c r="T16" s="102">
        <v>0</v>
      </c>
    </row>
    <row r="17" spans="1:20" x14ac:dyDescent="0.4">
      <c r="C17" s="164" t="s">
        <v>88</v>
      </c>
      <c r="D17" s="165"/>
      <c r="E17" s="165"/>
      <c r="G17" s="68">
        <v>0</v>
      </c>
      <c r="H17" s="68">
        <v>0</v>
      </c>
      <c r="I17" s="68">
        <v>0</v>
      </c>
      <c r="J17" s="102">
        <v>0</v>
      </c>
      <c r="K17" s="125">
        <f t="shared" si="3"/>
        <v>0</v>
      </c>
      <c r="M17" s="151"/>
      <c r="N17" s="127">
        <f t="shared" si="4"/>
        <v>0</v>
      </c>
      <c r="O17" s="127">
        <f t="shared" si="5"/>
        <v>0</v>
      </c>
      <c r="P17" s="136">
        <f t="shared" si="6"/>
        <v>0</v>
      </c>
      <c r="Q17" s="125" t="str">
        <f t="shared" si="7"/>
        <v>nmf</v>
      </c>
      <c r="T17" s="102">
        <v>0</v>
      </c>
    </row>
    <row r="18" spans="1:20" x14ac:dyDescent="0.4">
      <c r="C18" s="164" t="s">
        <v>88</v>
      </c>
      <c r="D18" s="165"/>
      <c r="E18" s="165"/>
      <c r="G18" s="68">
        <v>0</v>
      </c>
      <c r="H18" s="68">
        <v>0</v>
      </c>
      <c r="I18" s="68">
        <v>0</v>
      </c>
      <c r="J18" s="102">
        <v>0</v>
      </c>
      <c r="K18" s="125">
        <f t="shared" si="3"/>
        <v>0</v>
      </c>
      <c r="M18" s="151"/>
      <c r="N18" s="127">
        <f t="shared" si="4"/>
        <v>0</v>
      </c>
      <c r="O18" s="127">
        <f t="shared" si="5"/>
        <v>0</v>
      </c>
      <c r="P18" s="136">
        <f t="shared" si="6"/>
        <v>0</v>
      </c>
      <c r="Q18" s="125" t="str">
        <f t="shared" si="7"/>
        <v>nmf</v>
      </c>
      <c r="T18" s="102">
        <v>0</v>
      </c>
    </row>
    <row r="19" spans="1:20" x14ac:dyDescent="0.4">
      <c r="C19" s="164" t="s">
        <v>88</v>
      </c>
      <c r="D19" s="165"/>
      <c r="E19" s="165"/>
      <c r="G19" s="68">
        <v>0</v>
      </c>
      <c r="H19" s="68">
        <v>0</v>
      </c>
      <c r="I19" s="68">
        <v>0</v>
      </c>
      <c r="J19" s="102">
        <v>0</v>
      </c>
      <c r="K19" s="125">
        <f t="shared" si="3"/>
        <v>0</v>
      </c>
      <c r="M19" s="151"/>
      <c r="N19" s="127">
        <f t="shared" si="4"/>
        <v>0</v>
      </c>
      <c r="O19" s="127">
        <f t="shared" si="5"/>
        <v>0</v>
      </c>
      <c r="P19" s="136">
        <f t="shared" si="6"/>
        <v>0</v>
      </c>
      <c r="Q19" s="125" t="str">
        <f t="shared" si="7"/>
        <v>nmf</v>
      </c>
      <c r="T19" s="102">
        <v>0</v>
      </c>
    </row>
    <row r="20" spans="1:20" x14ac:dyDescent="0.4">
      <c r="C20" s="164" t="s">
        <v>88</v>
      </c>
      <c r="D20" s="165"/>
      <c r="E20" s="165"/>
      <c r="G20" s="68">
        <v>0</v>
      </c>
      <c r="H20" s="68">
        <v>0</v>
      </c>
      <c r="I20" s="68">
        <v>0</v>
      </c>
      <c r="J20" s="102">
        <v>0</v>
      </c>
      <c r="K20" s="125">
        <f t="shared" si="3"/>
        <v>0</v>
      </c>
      <c r="M20" s="151"/>
      <c r="N20" s="127">
        <f t="shared" si="4"/>
        <v>0</v>
      </c>
      <c r="O20" s="127">
        <f t="shared" si="5"/>
        <v>0</v>
      </c>
      <c r="P20" s="136">
        <f t="shared" si="6"/>
        <v>0</v>
      </c>
      <c r="Q20" s="125" t="str">
        <f t="shared" si="7"/>
        <v>nmf</v>
      </c>
      <c r="T20" s="102">
        <v>0</v>
      </c>
    </row>
    <row r="21" spans="1:20" x14ac:dyDescent="0.4">
      <c r="B21" s="12" t="s">
        <v>8</v>
      </c>
      <c r="C21" s="29" t="s">
        <v>89</v>
      </c>
      <c r="D21" s="30"/>
      <c r="E21" s="30"/>
      <c r="F21" s="31"/>
      <c r="G21" s="132">
        <f>++SUM(G11:G20)</f>
        <v>0</v>
      </c>
      <c r="H21" s="132">
        <f t="shared" ref="H21:K21" si="8">++SUM(H11:H20)</f>
        <v>0</v>
      </c>
      <c r="I21" s="132">
        <f t="shared" si="8"/>
        <v>0</v>
      </c>
      <c r="J21" s="133">
        <f t="shared" si="8"/>
        <v>0</v>
      </c>
      <c r="K21" s="126">
        <f t="shared" si="8"/>
        <v>0</v>
      </c>
      <c r="M21" s="134"/>
      <c r="N21" s="134">
        <f t="shared" si="4"/>
        <v>0</v>
      </c>
      <c r="O21" s="134">
        <f t="shared" si="5"/>
        <v>0</v>
      </c>
      <c r="P21" s="135">
        <f t="shared" si="6"/>
        <v>0</v>
      </c>
      <c r="Q21" s="126" t="str">
        <f t="shared" si="7"/>
        <v>nmf</v>
      </c>
      <c r="T21" s="133">
        <f t="shared" ref="T21" si="9">++SUM(T11:T20)</f>
        <v>0</v>
      </c>
    </row>
    <row r="22" spans="1:20" ht="5.0999999999999996" customHeight="1" x14ac:dyDescent="0.4">
      <c r="J22" s="39"/>
      <c r="P22" s="39"/>
      <c r="T22" s="39"/>
    </row>
    <row r="23" spans="1:20" x14ac:dyDescent="0.4">
      <c r="C23" s="164" t="s">
        <v>78</v>
      </c>
      <c r="D23" s="164"/>
      <c r="E23" s="164"/>
      <c r="G23" s="17">
        <f>++G24-G21</f>
        <v>0</v>
      </c>
      <c r="H23" s="17">
        <f>++H24-H21</f>
        <v>0</v>
      </c>
      <c r="I23" s="17">
        <f>++I24-I21</f>
        <v>0</v>
      </c>
      <c r="J23" s="40">
        <f>++J24-J21</f>
        <v>0</v>
      </c>
      <c r="K23" s="125">
        <f t="shared" ref="K23" si="10">++IFERROR(J23/J$24,0)</f>
        <v>0</v>
      </c>
      <c r="M23" s="151"/>
      <c r="N23" s="127">
        <f>++IFERROR(H23/G23-1,0)</f>
        <v>0</v>
      </c>
      <c r="O23" s="127">
        <f>++IFERROR(I23/H23-1,0)</f>
        <v>0</v>
      </c>
      <c r="P23" s="136">
        <f>++IFERROR(J23/T23-1,0)</f>
        <v>0</v>
      </c>
      <c r="Q23" s="125" t="str">
        <f>++IFERROR((J23/G23)^(1/YEARFRAC(G$2,J$2,1))-1,"nmf")</f>
        <v>nmf</v>
      </c>
      <c r="T23" s="40">
        <f>++T24-T21</f>
        <v>0</v>
      </c>
    </row>
    <row r="24" spans="1:20" ht="13.5" thickBot="1" x14ac:dyDescent="0.45">
      <c r="B24" s="12" t="s">
        <v>8</v>
      </c>
      <c r="C24" s="34" t="s">
        <v>90</v>
      </c>
      <c r="D24" s="35"/>
      <c r="E24" s="35"/>
      <c r="F24" s="31"/>
      <c r="G24" s="220">
        <v>0</v>
      </c>
      <c r="H24" s="220">
        <v>0</v>
      </c>
      <c r="I24" s="220">
        <v>0</v>
      </c>
      <c r="J24" s="221">
        <v>0</v>
      </c>
      <c r="K24" s="129">
        <f>++SUM(K21,K23)</f>
        <v>0</v>
      </c>
      <c r="M24" s="128"/>
      <c r="N24" s="128">
        <f>++IFERROR(H24/G24-1,0)</f>
        <v>0</v>
      </c>
      <c r="O24" s="128">
        <f>++IFERROR(I24/H24-1,0)</f>
        <v>0</v>
      </c>
      <c r="P24" s="137">
        <f>++IFERROR(J24/T24-1,0)</f>
        <v>0</v>
      </c>
      <c r="Q24" s="129" t="str">
        <f>++IFERROR((J24/G24)^(1/YEARFRAC(G$2,J$2,1))-1,"nmf")</f>
        <v>nmf</v>
      </c>
      <c r="T24" s="221">
        <v>0</v>
      </c>
    </row>
    <row r="25" spans="1:20" ht="5.0999999999999996" customHeight="1" thickTop="1" x14ac:dyDescent="0.4">
      <c r="J25" s="45"/>
      <c r="P25" s="45"/>
    </row>
    <row r="26" spans="1:20" ht="5.0999999999999996" customHeight="1" x14ac:dyDescent="0.4"/>
    <row r="29" spans="1:20" x14ac:dyDescent="0.4">
      <c r="A29" s="12" t="s">
        <v>8</v>
      </c>
      <c r="B29" s="12" t="s">
        <v>8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BB28-6085-4CAC-88CA-E8D4905A5D6E}">
  <sheetPr codeName="Sheet4"/>
  <dimension ref="A1:Q53"/>
  <sheetViews>
    <sheetView showGridLines="0" zoomScale="85" zoomScaleNormal="85" workbookViewId="0">
      <pane xSplit="6" ySplit="9" topLeftCell="G10" activePane="bottomRight" state="frozen"/>
      <selection pane="topRight" activeCell="N9" sqref="N9"/>
      <selection pane="bottomLeft" activeCell="N9" sqref="N9"/>
      <selection pane="bottomRight" activeCell="G10" sqref="G10"/>
    </sheetView>
  </sheetViews>
  <sheetFormatPr defaultRowHeight="13.15" outlineLevelCol="1" x14ac:dyDescent="0.4"/>
  <cols>
    <col min="1" max="2" width="2.7109375" style="1" customWidth="1"/>
    <col min="3" max="5" width="10.7109375" style="1" customWidth="1"/>
    <col min="6" max="6" width="2.7109375" style="1" customWidth="1"/>
    <col min="7" max="10" width="11.28515625" style="1" customWidth="1"/>
    <col min="11" max="11" width="11.28515625" style="1" customWidth="1" outlineLevel="1"/>
    <col min="12" max="12" width="11.28515625" style="1" customWidth="1"/>
    <col min="13" max="13" width="2.7109375" style="1" customWidth="1"/>
    <col min="14" max="14" width="11.28515625" style="1" customWidth="1"/>
    <col min="15" max="15" width="2.7109375" style="1" customWidth="1"/>
    <col min="16" max="17" width="11.28515625" style="1" customWidth="1"/>
    <col min="18" max="16384" width="9.140625" style="1"/>
  </cols>
  <sheetData>
    <row r="1" spans="1:17" x14ac:dyDescent="0.4">
      <c r="C1" s="9" t="str">
        <f>++CoName</f>
        <v>[Company Name] ([Sponsor Name / Non-Sponsored])</v>
      </c>
      <c r="D1" s="3"/>
      <c r="E1" s="4"/>
    </row>
    <row r="2" spans="1:17" x14ac:dyDescent="0.4">
      <c r="C2" s="10" t="s">
        <v>91</v>
      </c>
      <c r="D2" s="5"/>
      <c r="E2" s="6"/>
      <c r="G2" s="15">
        <f t="shared" ref="G2" si="0">++EOMONTH(H2,-12)</f>
        <v>44926</v>
      </c>
      <c r="H2" s="15">
        <f>++EOMONTH(I2,-12)</f>
        <v>45291</v>
      </c>
      <c r="I2" s="47">
        <f>++LastFYE</f>
        <v>45657</v>
      </c>
      <c r="J2" s="47">
        <f>++LastActDate</f>
        <v>45930</v>
      </c>
      <c r="K2" s="47">
        <f>++LTMDate</f>
        <v>45930</v>
      </c>
      <c r="L2" s="15">
        <f>++EOMONTH(I2,12)</f>
        <v>46022</v>
      </c>
      <c r="P2" s="15">
        <f>++EOMONTH(Q2,-12)</f>
        <v>45565</v>
      </c>
      <c r="Q2" s="15">
        <f>++J2</f>
        <v>45930</v>
      </c>
    </row>
    <row r="3" spans="1:17" x14ac:dyDescent="0.4">
      <c r="C3" s="11" t="str">
        <f ca="1">++TEXT(TODAY(),"MMMM D, YYYY")</f>
        <v>April 21, 2026</v>
      </c>
      <c r="D3" s="7"/>
      <c r="E3" s="8"/>
    </row>
    <row r="5" spans="1:17" x14ac:dyDescent="0.4">
      <c r="A5" s="12" t="s">
        <v>8</v>
      </c>
      <c r="B5" s="12" t="s">
        <v>8</v>
      </c>
      <c r="C5" s="106" t="str">
        <f>++C2</f>
        <v>Historical Financial Summary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5.0999999999999996" customHeight="1" x14ac:dyDescent="0.4"/>
    <row r="7" spans="1:17" ht="15.4" x14ac:dyDescent="0.7">
      <c r="C7" s="14" t="s">
        <v>9</v>
      </c>
      <c r="G7" s="27" t="s">
        <v>92</v>
      </c>
      <c r="H7" s="27"/>
      <c r="I7" s="27"/>
      <c r="J7" s="27"/>
      <c r="K7" s="27"/>
      <c r="L7" s="27"/>
      <c r="N7" s="28" t="s">
        <v>83</v>
      </c>
      <c r="P7" s="27" t="s">
        <v>93</v>
      </c>
      <c r="Q7" s="27"/>
    </row>
    <row r="8" spans="1:17" ht="5.0999999999999996" customHeight="1" x14ac:dyDescent="0.4"/>
    <row r="9" spans="1:17" ht="15.4" x14ac:dyDescent="0.7">
      <c r="C9" s="14" t="str">
        <f>++"FYE "&amp;TEXT(LastFYE,"MMMM DD")&amp;"st"</f>
        <v>FYE December 31st</v>
      </c>
      <c r="G9" s="16" t="str">
        <f>++"FY'"&amp;RIGHT(YEAR(G$2),2)&amp;"A"</f>
        <v>FY'22A</v>
      </c>
      <c r="H9" s="16" t="str">
        <f t="shared" ref="H9:I9" si="1">++"FY'"&amp;RIGHT(YEAR(H$2),2)&amp;"A"</f>
        <v>FY'23A</v>
      </c>
      <c r="I9" s="16" t="str">
        <f t="shared" si="1"/>
        <v>FY'24A</v>
      </c>
      <c r="J9" s="38" t="str">
        <f>++"LTM "&amp;TEXT(J$2,"M/YY")&amp;"A"</f>
        <v>LTM 9/25A</v>
      </c>
      <c r="K9" s="38" t="str">
        <f>++"LTM "&amp;TEXT(K$2,"M/YY")&amp;IF(LTMDate&gt;LastActDate,"E","A")</f>
        <v>LTM 9/25A</v>
      </c>
      <c r="L9" s="16" t="str">
        <f>++"FY'"&amp;RIGHT(YEAR(L$2),2)&amp;"E"</f>
        <v>FY'25E</v>
      </c>
      <c r="N9" s="16" t="str">
        <f>++RIGHT(G9,4)&amp;" - LTM"</f>
        <v>'22A - LTM</v>
      </c>
      <c r="P9" s="16" t="str">
        <f>++TEXT(P$2,"M/YY")&amp;"A"</f>
        <v>9/24A</v>
      </c>
      <c r="Q9" s="38" t="str">
        <f t="shared" ref="Q9" si="2">++TEXT(Q$2,"M/YY")&amp;"A"</f>
        <v>9/25A</v>
      </c>
    </row>
    <row r="10" spans="1:17" ht="5.0999999999999996" customHeight="1" x14ac:dyDescent="0.4">
      <c r="J10" s="39"/>
      <c r="K10" s="39"/>
      <c r="Q10" s="39"/>
    </row>
    <row r="11" spans="1:17" x14ac:dyDescent="0.4">
      <c r="A11" s="12" t="s">
        <v>8</v>
      </c>
      <c r="B11" s="12" t="s">
        <v>8</v>
      </c>
      <c r="C11" s="202" t="str">
        <f>++FinInputs!C204</f>
        <v>[Segment]</v>
      </c>
      <c r="G11" s="52" cm="1">
        <f t="array" ref="G11">++INDEX(FinInputs!$G204:$AH204,0,MATCH(G$2,FinInputs!$G$3:$AH$3,0))</f>
        <v>0</v>
      </c>
      <c r="H11" s="52" cm="1">
        <f t="array" ref="H11">++INDEX(FinInputs!$G204:$AH204,0,MATCH(H$2,FinInputs!$G$3:$AH$3,0))</f>
        <v>0</v>
      </c>
      <c r="I11" s="52" cm="1">
        <f t="array" ref="I11">++INDEX(FinInputs!$G204:$AH204,0,MATCH(I$2,FinInputs!$G$3:$AH$3,0))</f>
        <v>0</v>
      </c>
      <c r="J11" s="53" cm="1">
        <f t="array" ref="J11">++INDEX(FinInputs!$G204:$AH204,0,MATCH(J$2,FinInputs!$G$3:$AH$3,0))</f>
        <v>0</v>
      </c>
      <c r="K11" s="53" cm="1">
        <f t="array" ref="K11">++INDEX(FinInputs!$G204:$AH204,0,MATCH(K$2,FinInputs!$G$3:$AH$3,0))</f>
        <v>0</v>
      </c>
      <c r="L11" s="52" cm="1">
        <f t="array" ref="L11">++INDEX(FinInputs!$G204:$AH204,0,MATCH(L$2,FinInputs!$G$3:$AH$3,0))</f>
        <v>0</v>
      </c>
      <c r="N11" s="21" t="str">
        <f t="shared" ref="N11:N17" si="3">++IFERROR((J11/G11)^(1/YEARFRAC(G$2,J$2,1))-1,"nmf")</f>
        <v>nmf</v>
      </c>
      <c r="P11" s="52" cm="1">
        <f t="array" ref="P11">++INDEX(FinInputs!$G107:$AH107,0,MATCH(P$2,FinInputs!$G$3:$AH$3,0))</f>
        <v>0</v>
      </c>
      <c r="Q11" s="53" cm="1">
        <f t="array" ref="Q11">++INDEX(FinInputs!$G107:$AH107,0,MATCH(Q$2,FinInputs!$G$3:$AH$3,0))</f>
        <v>0</v>
      </c>
    </row>
    <row r="12" spans="1:17" x14ac:dyDescent="0.4">
      <c r="C12" s="202" t="str">
        <f>++FinInputs!C205</f>
        <v>[Segment]</v>
      </c>
      <c r="G12" s="54" cm="1">
        <f t="array" ref="G12">++INDEX(FinInputs!$G205:$AH205,0,MATCH(G$2,FinInputs!$G$3:$AH$3,0))</f>
        <v>0</v>
      </c>
      <c r="H12" s="54" cm="1">
        <f t="array" ref="H12">++INDEX(FinInputs!$G205:$AH205,0,MATCH(H$2,FinInputs!$G$3:$AH$3,0))</f>
        <v>0</v>
      </c>
      <c r="I12" s="54" cm="1">
        <f t="array" ref="I12">++INDEX(FinInputs!$G205:$AH205,0,MATCH(I$2,FinInputs!$G$3:$AH$3,0))</f>
        <v>0</v>
      </c>
      <c r="J12" s="55" cm="1">
        <f t="array" ref="J12">++INDEX(FinInputs!$G205:$AH205,0,MATCH(J$2,FinInputs!$G$3:$AH$3,0))</f>
        <v>0</v>
      </c>
      <c r="K12" s="55" cm="1">
        <f t="array" ref="K12">++INDEX(FinInputs!$G205:$AH205,0,MATCH(K$2,FinInputs!$G$3:$AH$3,0))</f>
        <v>0</v>
      </c>
      <c r="L12" s="54" cm="1">
        <f t="array" ref="L12">++INDEX(FinInputs!$G205:$AH205,0,MATCH(L$2,FinInputs!$G$3:$AH$3,0))</f>
        <v>0</v>
      </c>
      <c r="N12" s="21" t="str">
        <f t="shared" si="3"/>
        <v>nmf</v>
      </c>
      <c r="P12" s="54" cm="1">
        <f t="array" ref="P12">++INDEX(FinInputs!$G108:$AH108,0,MATCH(P$2,FinInputs!$G$3:$AH$3,0))</f>
        <v>0</v>
      </c>
      <c r="Q12" s="55" cm="1">
        <f t="array" ref="Q12">++INDEX(FinInputs!$G108:$AH108,0,MATCH(Q$2,FinInputs!$G$3:$AH$3,0))</f>
        <v>0</v>
      </c>
    </row>
    <row r="13" spans="1:17" x14ac:dyDescent="0.4">
      <c r="C13" s="202" t="str">
        <f>++FinInputs!C206</f>
        <v>[Segment]</v>
      </c>
      <c r="G13" s="54" cm="1">
        <f t="array" ref="G13">++INDEX(FinInputs!$G206:$AH206,0,MATCH(G$2,FinInputs!$G$3:$AH$3,0))</f>
        <v>0</v>
      </c>
      <c r="H13" s="54" cm="1">
        <f t="array" ref="H13">++INDEX(FinInputs!$G206:$AH206,0,MATCH(H$2,FinInputs!$G$3:$AH$3,0))</f>
        <v>0</v>
      </c>
      <c r="I13" s="54" cm="1">
        <f t="array" ref="I13">++INDEX(FinInputs!$G206:$AH206,0,MATCH(I$2,FinInputs!$G$3:$AH$3,0))</f>
        <v>0</v>
      </c>
      <c r="J13" s="55" cm="1">
        <f t="array" ref="J13">++INDEX(FinInputs!$G206:$AH206,0,MATCH(J$2,FinInputs!$G$3:$AH$3,0))</f>
        <v>0</v>
      </c>
      <c r="K13" s="55" cm="1">
        <f t="array" ref="K13">++INDEX(FinInputs!$G206:$AH206,0,MATCH(K$2,FinInputs!$G$3:$AH$3,0))</f>
        <v>0</v>
      </c>
      <c r="L13" s="54" cm="1">
        <f t="array" ref="L13">++INDEX(FinInputs!$G206:$AH206,0,MATCH(L$2,FinInputs!$G$3:$AH$3,0))</f>
        <v>0</v>
      </c>
      <c r="N13" s="21" t="str">
        <f t="shared" si="3"/>
        <v>nmf</v>
      </c>
      <c r="P13" s="54" cm="1">
        <f t="array" ref="P13">++INDEX(FinInputs!$G109:$AH109,0,MATCH(P$2,FinInputs!$G$3:$AH$3,0))</f>
        <v>0</v>
      </c>
      <c r="Q13" s="55" cm="1">
        <f t="array" ref="Q13">++INDEX(FinInputs!$G109:$AH109,0,MATCH(Q$2,FinInputs!$G$3:$AH$3,0))</f>
        <v>0</v>
      </c>
    </row>
    <row r="14" spans="1:17" x14ac:dyDescent="0.4">
      <c r="C14" s="202" t="str">
        <f>++FinInputs!C207</f>
        <v>[Segment]</v>
      </c>
      <c r="G14" s="54" cm="1">
        <f t="array" ref="G14">++INDEX(FinInputs!$G207:$AH207,0,MATCH(G$2,FinInputs!$G$3:$AH$3,0))</f>
        <v>0</v>
      </c>
      <c r="H14" s="54" cm="1">
        <f t="array" ref="H14">++INDEX(FinInputs!$G207:$AH207,0,MATCH(H$2,FinInputs!$G$3:$AH$3,0))</f>
        <v>0</v>
      </c>
      <c r="I14" s="54" cm="1">
        <f t="array" ref="I14">++INDEX(FinInputs!$G207:$AH207,0,MATCH(I$2,FinInputs!$G$3:$AH$3,0))</f>
        <v>0</v>
      </c>
      <c r="J14" s="55" cm="1">
        <f t="array" ref="J14">++INDEX(FinInputs!$G207:$AH207,0,MATCH(J$2,FinInputs!$G$3:$AH$3,0))</f>
        <v>0</v>
      </c>
      <c r="K14" s="55" cm="1">
        <f t="array" ref="K14">++INDEX(FinInputs!$G207:$AH207,0,MATCH(K$2,FinInputs!$G$3:$AH$3,0))</f>
        <v>0</v>
      </c>
      <c r="L14" s="54" cm="1">
        <f t="array" ref="L14">++INDEX(FinInputs!$G207:$AH207,0,MATCH(L$2,FinInputs!$G$3:$AH$3,0))</f>
        <v>0</v>
      </c>
      <c r="N14" s="21" t="str">
        <f t="shared" si="3"/>
        <v>nmf</v>
      </c>
      <c r="P14" s="54" cm="1">
        <f t="array" ref="P14">++INDEX(FinInputs!$G110:$AH110,0,MATCH(P$2,FinInputs!$G$3:$AH$3,0))</f>
        <v>0</v>
      </c>
      <c r="Q14" s="55" cm="1">
        <f t="array" ref="Q14">++INDEX(FinInputs!$G110:$AH110,0,MATCH(Q$2,FinInputs!$G$3:$AH$3,0))</f>
        <v>0</v>
      </c>
    </row>
    <row r="15" spans="1:17" x14ac:dyDescent="0.4">
      <c r="C15" s="202" t="str">
        <f>++FinInputs!C208</f>
        <v>[Segment]</v>
      </c>
      <c r="G15" s="54" cm="1">
        <f t="array" ref="G15">++INDEX(FinInputs!$G208:$AH208,0,MATCH(G$2,FinInputs!$G$3:$AH$3,0))</f>
        <v>0</v>
      </c>
      <c r="H15" s="54" cm="1">
        <f t="array" ref="H15">++INDEX(FinInputs!$G208:$AH208,0,MATCH(H$2,FinInputs!$G$3:$AH$3,0))</f>
        <v>0</v>
      </c>
      <c r="I15" s="54" cm="1">
        <f t="array" ref="I15">++INDEX(FinInputs!$G208:$AH208,0,MATCH(I$2,FinInputs!$G$3:$AH$3,0))</f>
        <v>0</v>
      </c>
      <c r="J15" s="55" cm="1">
        <f t="array" ref="J15">++INDEX(FinInputs!$G208:$AH208,0,MATCH(J$2,FinInputs!$G$3:$AH$3,0))</f>
        <v>0</v>
      </c>
      <c r="K15" s="55" cm="1">
        <f t="array" ref="K15">++INDEX(FinInputs!$G208:$AH208,0,MATCH(K$2,FinInputs!$G$3:$AH$3,0))</f>
        <v>0</v>
      </c>
      <c r="L15" s="54" cm="1">
        <f t="array" ref="L15">++INDEX(FinInputs!$G208:$AH208,0,MATCH(L$2,FinInputs!$G$3:$AH$3,0))</f>
        <v>0</v>
      </c>
      <c r="N15" s="21" t="str">
        <f t="shared" si="3"/>
        <v>nmf</v>
      </c>
      <c r="P15" s="54" cm="1">
        <f t="array" ref="P15">++INDEX(FinInputs!$G111:$AH111,0,MATCH(P$2,FinInputs!$G$3:$AH$3,0))</f>
        <v>0</v>
      </c>
      <c r="Q15" s="55" cm="1">
        <f t="array" ref="Q15">++INDEX(FinInputs!$G111:$AH111,0,MATCH(Q$2,FinInputs!$G$3:$AH$3,0))</f>
        <v>0</v>
      </c>
    </row>
    <row r="16" spans="1:17" x14ac:dyDescent="0.4">
      <c r="C16" s="248" t="str">
        <f>++FinInputs!C209</f>
        <v>Other</v>
      </c>
      <c r="D16" s="212"/>
      <c r="E16" s="212"/>
      <c r="G16" s="222">
        <f>++G17-SUM(G11:G15)</f>
        <v>0</v>
      </c>
      <c r="H16" s="222">
        <f t="shared" ref="H16:J16" si="4">++H17-SUM(H11:H15)</f>
        <v>0</v>
      </c>
      <c r="I16" s="222">
        <f t="shared" si="4"/>
        <v>0</v>
      </c>
      <c r="J16" s="249">
        <f t="shared" si="4"/>
        <v>0</v>
      </c>
      <c r="K16" s="249">
        <f t="shared" ref="K16" si="5">++K17-SUM(K11:K15)</f>
        <v>0</v>
      </c>
      <c r="L16" s="222">
        <f t="shared" ref="L16" si="6">++L17-SUM(L11:L15)</f>
        <v>0</v>
      </c>
      <c r="N16" s="250" t="str">
        <f t="shared" si="3"/>
        <v>nmf</v>
      </c>
      <c r="P16" s="222">
        <f t="shared" ref="P16:Q16" si="7">++P17-SUM(P11:P15)</f>
        <v>0</v>
      </c>
      <c r="Q16" s="249">
        <f t="shared" si="7"/>
        <v>0</v>
      </c>
    </row>
    <row r="17" spans="2:17" x14ac:dyDescent="0.4">
      <c r="B17" s="12" t="s">
        <v>8</v>
      </c>
      <c r="C17" s="206" t="str">
        <f>++FinInputs!C210</f>
        <v>Revenue</v>
      </c>
      <c r="D17" s="31"/>
      <c r="E17" s="31"/>
      <c r="F17" s="31"/>
      <c r="G17" s="103" cm="1">
        <f t="array" ref="G17">++INDEX(FinInputs!$G210:$AH210,0,MATCH(G$2,FinInputs!$G$3:$AH$3,0))</f>
        <v>0</v>
      </c>
      <c r="H17" s="103" cm="1">
        <f t="array" ref="H17">++INDEX(FinInputs!$G210:$AH210,0,MATCH(H$2,FinInputs!$G$3:$AH$3,0))</f>
        <v>0</v>
      </c>
      <c r="I17" s="103" cm="1">
        <f t="array" ref="I17">++INDEX(FinInputs!$G210:$AH210,0,MATCH(I$2,FinInputs!$G$3:$AH$3,0))</f>
        <v>0</v>
      </c>
      <c r="J17" s="104" cm="1">
        <f t="array" ref="J17">++INDEX(FinInputs!$G210:$AH210,0,MATCH(J$2,FinInputs!$G$3:$AH$3,0))</f>
        <v>0</v>
      </c>
      <c r="K17" s="104" cm="1">
        <f t="array" ref="K17">++INDEX(FinInputs!$G210:$AH210,0,MATCH(K$2,FinInputs!$G$3:$AH$3,0))</f>
        <v>0</v>
      </c>
      <c r="L17" s="103" cm="1">
        <f t="array" ref="L17">++INDEX(FinInputs!$G210:$AH210,0,MATCH(L$2,FinInputs!$G$3:$AH$3,0))</f>
        <v>0</v>
      </c>
      <c r="N17" s="61" t="str">
        <f t="shared" si="3"/>
        <v>nmf</v>
      </c>
      <c r="P17" s="103" cm="1">
        <f t="array" ref="P17">++INDEX(FinInputs!$G113:$AH113,0,MATCH(P$2,FinInputs!$G$3:$AH$3,0))</f>
        <v>0</v>
      </c>
      <c r="Q17" s="104" cm="1">
        <f t="array" ref="Q17">++INDEX(FinInputs!$G113:$AH113,0,MATCH(Q$2,FinInputs!$G$3:$AH$3,0))</f>
        <v>0</v>
      </c>
    </row>
    <row r="18" spans="2:17" x14ac:dyDescent="0.4">
      <c r="C18" s="204" t="str">
        <f>++FinInputs!C211</f>
        <v>% y/y</v>
      </c>
      <c r="G18" s="20"/>
      <c r="H18" s="19">
        <f>++IFERROR(H17/G17-1,0)</f>
        <v>0</v>
      </c>
      <c r="I18" s="19">
        <f t="shared" ref="I18" si="8">++IFERROR(I17/H17-1,0)</f>
        <v>0</v>
      </c>
      <c r="J18" s="56" cm="1">
        <f t="array" ref="J18">++INDEX(FinInputs!$G211:$AH211,0,MATCH(J$2,FinInputs!$G$3:$AH$3,0))</f>
        <v>0</v>
      </c>
      <c r="K18" s="56" cm="1">
        <f t="array" ref="K18">++INDEX(FinInputs!$G211:$AH211,0,MATCH(K$2,FinInputs!$G$3:$AH$3,0))</f>
        <v>0</v>
      </c>
      <c r="L18" s="19">
        <f>++IFERROR(L17/I17-1,0)</f>
        <v>0</v>
      </c>
      <c r="P18" s="57" cm="1">
        <f t="array" ref="P18">++INDEX(FinInputs!$G114:$AH114,0,MATCH(P$2,FinInputs!$G$3:$AH$3,0))</f>
        <v>0</v>
      </c>
      <c r="Q18" s="42">
        <f t="shared" ref="Q18" si="9">++IFERROR(Q17/P17-1,0)</f>
        <v>0</v>
      </c>
    </row>
    <row r="19" spans="2:17" x14ac:dyDescent="0.4">
      <c r="J19" s="39"/>
      <c r="K19" s="39"/>
      <c r="Q19" s="39"/>
    </row>
    <row r="20" spans="2:17" x14ac:dyDescent="0.4">
      <c r="C20" s="202" t="str">
        <f>++FinInputs!C213</f>
        <v>[COGS]</v>
      </c>
      <c r="G20" s="54" cm="1">
        <f t="array" ref="G20">++INDEX(FinInputs!$G213:$AH213,0,MATCH(G$2,FinInputs!$G$3:$AH$3,0))</f>
        <v>0</v>
      </c>
      <c r="H20" s="54" cm="1">
        <f t="array" ref="H20">++INDEX(FinInputs!$G213:$AH213,0,MATCH(H$2,FinInputs!$G$3:$AH$3,0))</f>
        <v>0</v>
      </c>
      <c r="I20" s="54" cm="1">
        <f t="array" ref="I20">++INDEX(FinInputs!$G213:$AH213,0,MATCH(I$2,FinInputs!$G$3:$AH$3,0))</f>
        <v>0</v>
      </c>
      <c r="J20" s="55" cm="1">
        <f t="array" ref="J20">++INDEX(FinInputs!$G213:$AH213,0,MATCH(J$2,FinInputs!$G$3:$AH$3,0))</f>
        <v>0</v>
      </c>
      <c r="K20" s="55" cm="1">
        <f t="array" ref="K20">++INDEX(FinInputs!$G213:$AH213,0,MATCH(K$2,FinInputs!$G$3:$AH$3,0))</f>
        <v>0</v>
      </c>
      <c r="L20" s="54" cm="1">
        <f t="array" ref="L20">++INDEX(FinInputs!$G213:$AH213,0,MATCH(L$2,FinInputs!$G$3:$AH$3,0))</f>
        <v>0</v>
      </c>
      <c r="N20" s="21" t="str">
        <f t="shared" ref="N20:N26" si="10">++IFERROR((J20/G20)^(1/YEARFRAC(G$2,J$2,1))-1,"nmf")</f>
        <v>nmf</v>
      </c>
      <c r="P20" s="54" cm="1">
        <f t="array" ref="P20">++INDEX(FinInputs!$G116:$AH116,0,MATCH(P$2,FinInputs!$G$3:$AH$3,0))</f>
        <v>0</v>
      </c>
      <c r="Q20" s="55" cm="1">
        <f t="array" ref="Q20">++INDEX(FinInputs!$G116:$AH116,0,MATCH(Q$2,FinInputs!$G$3:$AH$3,0))</f>
        <v>0</v>
      </c>
    </row>
    <row r="21" spans="2:17" x14ac:dyDescent="0.4">
      <c r="C21" s="202" t="str">
        <f>++FinInputs!C214</f>
        <v>[COGS]</v>
      </c>
      <c r="G21" s="54" cm="1">
        <f t="array" ref="G21">++INDEX(FinInputs!$G214:$AH214,0,MATCH(G$2,FinInputs!$G$3:$AH$3,0))</f>
        <v>0</v>
      </c>
      <c r="H21" s="54" cm="1">
        <f t="array" ref="H21">++INDEX(FinInputs!$G214:$AH214,0,MATCH(H$2,FinInputs!$G$3:$AH$3,0))</f>
        <v>0</v>
      </c>
      <c r="I21" s="54" cm="1">
        <f t="array" ref="I21">++INDEX(FinInputs!$G214:$AH214,0,MATCH(I$2,FinInputs!$G$3:$AH$3,0))</f>
        <v>0</v>
      </c>
      <c r="J21" s="55" cm="1">
        <f t="array" ref="J21">++INDEX(FinInputs!$G214:$AH214,0,MATCH(J$2,FinInputs!$G$3:$AH$3,0))</f>
        <v>0</v>
      </c>
      <c r="K21" s="55" cm="1">
        <f t="array" ref="K21">++INDEX(FinInputs!$G214:$AH214,0,MATCH(K$2,FinInputs!$G$3:$AH$3,0))</f>
        <v>0</v>
      </c>
      <c r="L21" s="54" cm="1">
        <f t="array" ref="L21">++INDEX(FinInputs!$G214:$AH214,0,MATCH(L$2,FinInputs!$G$3:$AH$3,0))</f>
        <v>0</v>
      </c>
      <c r="N21" s="21" t="str">
        <f t="shared" si="10"/>
        <v>nmf</v>
      </c>
      <c r="P21" s="54" cm="1">
        <f t="array" ref="P21">++INDEX(FinInputs!$G117:$AH117,0,MATCH(P$2,FinInputs!$G$3:$AH$3,0))</f>
        <v>0</v>
      </c>
      <c r="Q21" s="55" cm="1">
        <f t="array" ref="Q21">++INDEX(FinInputs!$G117:$AH117,0,MATCH(Q$2,FinInputs!$G$3:$AH$3,0))</f>
        <v>0</v>
      </c>
    </row>
    <row r="22" spans="2:17" x14ac:dyDescent="0.4">
      <c r="C22" s="202" t="str">
        <f>++FinInputs!C215</f>
        <v>[COGS]</v>
      </c>
      <c r="G22" s="54" cm="1">
        <f t="array" ref="G22">++INDEX(FinInputs!$G215:$AH215,0,MATCH(G$2,FinInputs!$G$3:$AH$3,0))</f>
        <v>0</v>
      </c>
      <c r="H22" s="54" cm="1">
        <f t="array" ref="H22">++INDEX(FinInputs!$G215:$AH215,0,MATCH(H$2,FinInputs!$G$3:$AH$3,0))</f>
        <v>0</v>
      </c>
      <c r="I22" s="54" cm="1">
        <f t="array" ref="I22">++INDEX(FinInputs!$G215:$AH215,0,MATCH(I$2,FinInputs!$G$3:$AH$3,0))</f>
        <v>0</v>
      </c>
      <c r="J22" s="55" cm="1">
        <f t="array" ref="J22">++INDEX(FinInputs!$G215:$AH215,0,MATCH(J$2,FinInputs!$G$3:$AH$3,0))</f>
        <v>0</v>
      </c>
      <c r="K22" s="55" cm="1">
        <f t="array" ref="K22">++INDEX(FinInputs!$G215:$AH215,0,MATCH(K$2,FinInputs!$G$3:$AH$3,0))</f>
        <v>0</v>
      </c>
      <c r="L22" s="54" cm="1">
        <f t="array" ref="L22">++INDEX(FinInputs!$G215:$AH215,0,MATCH(L$2,FinInputs!$G$3:$AH$3,0))</f>
        <v>0</v>
      </c>
      <c r="N22" s="21" t="str">
        <f t="shared" si="10"/>
        <v>nmf</v>
      </c>
      <c r="P22" s="54" cm="1">
        <f t="array" ref="P22">++INDEX(FinInputs!$G118:$AH118,0,MATCH(P$2,FinInputs!$G$3:$AH$3,0))</f>
        <v>0</v>
      </c>
      <c r="Q22" s="55" cm="1">
        <f t="array" ref="Q22">++INDEX(FinInputs!$G118:$AH118,0,MATCH(Q$2,FinInputs!$G$3:$AH$3,0))</f>
        <v>0</v>
      </c>
    </row>
    <row r="23" spans="2:17" x14ac:dyDescent="0.4">
      <c r="C23" s="202" t="str">
        <f>++FinInputs!C216</f>
        <v>[COGS]</v>
      </c>
      <c r="G23" s="54" cm="1">
        <f t="array" ref="G23">++INDEX(FinInputs!$G216:$AH216,0,MATCH(G$2,FinInputs!$G$3:$AH$3,0))</f>
        <v>0</v>
      </c>
      <c r="H23" s="54" cm="1">
        <f t="array" ref="H23">++INDEX(FinInputs!$G216:$AH216,0,MATCH(H$2,FinInputs!$G$3:$AH$3,0))</f>
        <v>0</v>
      </c>
      <c r="I23" s="54" cm="1">
        <f t="array" ref="I23">++INDEX(FinInputs!$G216:$AH216,0,MATCH(I$2,FinInputs!$G$3:$AH$3,0))</f>
        <v>0</v>
      </c>
      <c r="J23" s="55" cm="1">
        <f t="array" ref="J23">++INDEX(FinInputs!$G216:$AH216,0,MATCH(J$2,FinInputs!$G$3:$AH$3,0))</f>
        <v>0</v>
      </c>
      <c r="K23" s="55" cm="1">
        <f t="array" ref="K23">++INDEX(FinInputs!$G216:$AH216,0,MATCH(K$2,FinInputs!$G$3:$AH$3,0))</f>
        <v>0</v>
      </c>
      <c r="L23" s="54" cm="1">
        <f t="array" ref="L23">++INDEX(FinInputs!$G216:$AH216,0,MATCH(L$2,FinInputs!$G$3:$AH$3,0))</f>
        <v>0</v>
      </c>
      <c r="N23" s="21" t="str">
        <f t="shared" si="10"/>
        <v>nmf</v>
      </c>
      <c r="P23" s="54" cm="1">
        <f t="array" ref="P23">++INDEX(FinInputs!$G119:$AH119,0,MATCH(P$2,FinInputs!$G$3:$AH$3,0))</f>
        <v>0</v>
      </c>
      <c r="Q23" s="55" cm="1">
        <f t="array" ref="Q23">++INDEX(FinInputs!$G119:$AH119,0,MATCH(Q$2,FinInputs!$G$3:$AH$3,0))</f>
        <v>0</v>
      </c>
    </row>
    <row r="24" spans="2:17" x14ac:dyDescent="0.4">
      <c r="C24" s="202" t="str">
        <f>++FinInputs!C217</f>
        <v>[COGS]</v>
      </c>
      <c r="G24" s="54" cm="1">
        <f t="array" ref="G24">++INDEX(FinInputs!$G217:$AH217,0,MATCH(G$2,FinInputs!$G$3:$AH$3,0))</f>
        <v>0</v>
      </c>
      <c r="H24" s="54" cm="1">
        <f t="array" ref="H24">++INDEX(FinInputs!$G217:$AH217,0,MATCH(H$2,FinInputs!$G$3:$AH$3,0))</f>
        <v>0</v>
      </c>
      <c r="I24" s="54" cm="1">
        <f t="array" ref="I24">++INDEX(FinInputs!$G217:$AH217,0,MATCH(I$2,FinInputs!$G$3:$AH$3,0))</f>
        <v>0</v>
      </c>
      <c r="J24" s="55" cm="1">
        <f t="array" ref="J24">++INDEX(FinInputs!$G217:$AH217,0,MATCH(J$2,FinInputs!$G$3:$AH$3,0))</f>
        <v>0</v>
      </c>
      <c r="K24" s="55" cm="1">
        <f t="array" ref="K24">++INDEX(FinInputs!$G217:$AH217,0,MATCH(K$2,FinInputs!$G$3:$AH$3,0))</f>
        <v>0</v>
      </c>
      <c r="L24" s="54" cm="1">
        <f t="array" ref="L24">++INDEX(FinInputs!$G217:$AH217,0,MATCH(L$2,FinInputs!$G$3:$AH$3,0))</f>
        <v>0</v>
      </c>
      <c r="N24" s="21" t="str">
        <f t="shared" si="10"/>
        <v>nmf</v>
      </c>
      <c r="P24" s="54" cm="1">
        <f t="array" ref="P24">++INDEX(FinInputs!$G120:$AH120,0,MATCH(P$2,FinInputs!$G$3:$AH$3,0))</f>
        <v>0</v>
      </c>
      <c r="Q24" s="55" cm="1">
        <f t="array" ref="Q24">++INDEX(FinInputs!$G120:$AH120,0,MATCH(Q$2,FinInputs!$G$3:$AH$3,0))</f>
        <v>0</v>
      </c>
    </row>
    <row r="25" spans="2:17" x14ac:dyDescent="0.4">
      <c r="C25" s="248" t="str">
        <f>++FinInputs!C218</f>
        <v>Other COGS</v>
      </c>
      <c r="D25" s="212"/>
      <c r="E25" s="212"/>
      <c r="G25" s="222">
        <f>++(G17-G26)-SUM(G20:G24)</f>
        <v>0</v>
      </c>
      <c r="H25" s="222">
        <f t="shared" ref="H25:J25" si="11">++(H17-H26)-SUM(H20:H24)</f>
        <v>0</v>
      </c>
      <c r="I25" s="222">
        <f t="shared" si="11"/>
        <v>0</v>
      </c>
      <c r="J25" s="249">
        <f t="shared" si="11"/>
        <v>0</v>
      </c>
      <c r="K25" s="249">
        <f t="shared" ref="K25" si="12">++(K17-K26)-SUM(K20:K24)</f>
        <v>0</v>
      </c>
      <c r="L25" s="222">
        <f t="shared" ref="L25" si="13">++(L17-L26)-SUM(L20:L24)</f>
        <v>0</v>
      </c>
      <c r="N25" s="250" t="str">
        <f t="shared" si="10"/>
        <v>nmf</v>
      </c>
      <c r="P25" s="222">
        <f t="shared" ref="P25:Q25" si="14">++(P17-P26)-SUM(P20:P24)</f>
        <v>0</v>
      </c>
      <c r="Q25" s="249">
        <f t="shared" si="14"/>
        <v>0</v>
      </c>
    </row>
    <row r="26" spans="2:17" x14ac:dyDescent="0.4">
      <c r="B26" s="12" t="s">
        <v>8</v>
      </c>
      <c r="C26" s="206" t="str">
        <f>++FinInputs!C219</f>
        <v>Gross Profit</v>
      </c>
      <c r="D26" s="31"/>
      <c r="E26" s="31"/>
      <c r="F26" s="31"/>
      <c r="G26" s="103" cm="1">
        <f t="array" ref="G26">++INDEX(FinInputs!$G219:$AH219,0,MATCH(G$2,FinInputs!$G$3:$AH$3,0))</f>
        <v>0</v>
      </c>
      <c r="H26" s="103" cm="1">
        <f t="array" ref="H26">++INDEX(FinInputs!$G219:$AH219,0,MATCH(H$2,FinInputs!$G$3:$AH$3,0))</f>
        <v>0</v>
      </c>
      <c r="I26" s="103" cm="1">
        <f t="array" ref="I26">++INDEX(FinInputs!$G219:$AH219,0,MATCH(I$2,FinInputs!$G$3:$AH$3,0))</f>
        <v>0</v>
      </c>
      <c r="J26" s="104" cm="1">
        <f t="array" ref="J26">++INDEX(FinInputs!$G219:$AH219,0,MATCH(J$2,FinInputs!$G$3:$AH$3,0))</f>
        <v>0</v>
      </c>
      <c r="K26" s="104" cm="1">
        <f t="array" ref="K26">++INDEX(FinInputs!$G219:$AH219,0,MATCH(K$2,FinInputs!$G$3:$AH$3,0))</f>
        <v>0</v>
      </c>
      <c r="L26" s="103" cm="1">
        <f t="array" ref="L26">++INDEX(FinInputs!$G219:$AH219,0,MATCH(L$2,FinInputs!$G$3:$AH$3,0))</f>
        <v>0</v>
      </c>
      <c r="N26" s="61" t="str">
        <f t="shared" si="10"/>
        <v>nmf</v>
      </c>
      <c r="P26" s="103" cm="1">
        <f t="array" ref="P26">++INDEX(FinInputs!$G122:$AH122,0,MATCH(P$2,FinInputs!$G$3:$AH$3,0))</f>
        <v>0</v>
      </c>
      <c r="Q26" s="104" cm="1">
        <f t="array" ref="Q26">++INDEX(FinInputs!$G122:$AH122,0,MATCH(Q$2,FinInputs!$G$3:$AH$3,0))</f>
        <v>0</v>
      </c>
    </row>
    <row r="27" spans="2:17" x14ac:dyDescent="0.4">
      <c r="C27" s="204" t="str">
        <f>++FinInputs!C220</f>
        <v>% margin</v>
      </c>
      <c r="G27" s="19">
        <f>++IFERROR(G26/G$17,0)</f>
        <v>0</v>
      </c>
      <c r="H27" s="19">
        <f t="shared" ref="H27" si="15">++IFERROR(H26/H$17,0)</f>
        <v>0</v>
      </c>
      <c r="I27" s="19">
        <f t="shared" ref="I27" si="16">++IFERROR(I26/I$17,0)</f>
        <v>0</v>
      </c>
      <c r="J27" s="42">
        <f t="shared" ref="J27" si="17">++IFERROR(J26/J$17,0)</f>
        <v>0</v>
      </c>
      <c r="K27" s="42">
        <f t="shared" ref="K27" si="18">++IFERROR(K26/K$17,0)</f>
        <v>0</v>
      </c>
      <c r="L27" s="19">
        <f t="shared" ref="L27" si="19">++IFERROR(L26/L$17,0)</f>
        <v>0</v>
      </c>
      <c r="P27" s="19">
        <f t="shared" ref="P27" si="20">++IFERROR(P26/P$17,0)</f>
        <v>0</v>
      </c>
      <c r="Q27" s="42">
        <f t="shared" ref="Q27" si="21">++IFERROR(Q26/Q$17,0)</f>
        <v>0</v>
      </c>
    </row>
    <row r="28" spans="2:17" x14ac:dyDescent="0.4">
      <c r="C28" s="204" t="str">
        <f>++FinInputs!C221</f>
        <v>% y/y</v>
      </c>
      <c r="G28" s="20"/>
      <c r="H28" s="19">
        <f>++IFERROR(H26/G26-1,0)</f>
        <v>0</v>
      </c>
      <c r="I28" s="19">
        <f t="shared" ref="I28" si="22">++IFERROR(I26/H26-1,0)</f>
        <v>0</v>
      </c>
      <c r="J28" s="56" cm="1">
        <f t="array" ref="J28">++INDEX(FinInputs!$G221:$AH221,0,MATCH(J$2,FinInputs!$G$3:$AH$3,0))</f>
        <v>0</v>
      </c>
      <c r="K28" s="56" cm="1">
        <f t="array" ref="K28">++INDEX(FinInputs!$G221:$AH221,0,MATCH(K$2,FinInputs!$G$3:$AH$3,0))</f>
        <v>0</v>
      </c>
      <c r="L28" s="19">
        <f>++IFERROR(L26/I26-1,0)</f>
        <v>0</v>
      </c>
      <c r="P28" s="57" cm="1">
        <f t="array" ref="P28">++INDEX(FinInputs!$G124:$AH124,0,MATCH(P$2,FinInputs!$G$3:$AH$3,0))</f>
        <v>0</v>
      </c>
      <c r="Q28" s="42">
        <f t="shared" ref="Q28" si="23">++IFERROR(Q26/P26-1,0)</f>
        <v>0</v>
      </c>
    </row>
    <row r="29" spans="2:17" x14ac:dyDescent="0.4">
      <c r="J29" s="39"/>
      <c r="K29" s="39"/>
      <c r="Q29" s="39"/>
    </row>
    <row r="30" spans="2:17" x14ac:dyDescent="0.4">
      <c r="C30" s="202" t="str">
        <f>++FinInputs!C223</f>
        <v>[Operating Exepnse]</v>
      </c>
      <c r="G30" s="54" cm="1">
        <f t="array" ref="G30">++INDEX(FinInputs!$G223:$AH223,0,MATCH(G$2,FinInputs!$G$3:$AH$3,0))</f>
        <v>0</v>
      </c>
      <c r="H30" s="54" cm="1">
        <f t="array" ref="H30">++INDEX(FinInputs!$G223:$AH223,0,MATCH(H$2,FinInputs!$G$3:$AH$3,0))</f>
        <v>0</v>
      </c>
      <c r="I30" s="54" cm="1">
        <f t="array" ref="I30">++INDEX(FinInputs!$G223:$AH223,0,MATCH(I$2,FinInputs!$G$3:$AH$3,0))</f>
        <v>0</v>
      </c>
      <c r="J30" s="55" cm="1">
        <f t="array" ref="J30">++INDEX(FinInputs!$G223:$AH223,0,MATCH(J$2,FinInputs!$G$3:$AH$3,0))</f>
        <v>0</v>
      </c>
      <c r="K30" s="55" cm="1">
        <f t="array" ref="K30">++INDEX(FinInputs!$G223:$AH223,0,MATCH(K$2,FinInputs!$G$3:$AH$3,0))</f>
        <v>0</v>
      </c>
      <c r="L30" s="54" cm="1">
        <f t="array" ref="L30">++INDEX(FinInputs!$G223:$AH223,0,MATCH(L$2,FinInputs!$G$3:$AH$3,0))</f>
        <v>0</v>
      </c>
      <c r="N30" s="21" t="str">
        <f t="shared" ref="N30:N36" si="24">++IFERROR((J30/G30)^(1/YEARFRAC(G$2,J$2,1))-1,"nmf")</f>
        <v>nmf</v>
      </c>
      <c r="P30" s="54" cm="1">
        <f t="array" ref="P30">++INDEX(FinInputs!$G126:$AH126,0,MATCH(P$2,FinInputs!$G$3:$AH$3,0))</f>
        <v>0</v>
      </c>
      <c r="Q30" s="55" cm="1">
        <f t="array" ref="Q30">++INDEX(FinInputs!$G126:$AH126,0,MATCH(Q$2,FinInputs!$G$3:$AH$3,0))</f>
        <v>0</v>
      </c>
    </row>
    <row r="31" spans="2:17" x14ac:dyDescent="0.4">
      <c r="C31" s="202" t="str">
        <f>++FinInputs!C224</f>
        <v>[Operating Exepnse]</v>
      </c>
      <c r="G31" s="54" cm="1">
        <f t="array" ref="G31">++INDEX(FinInputs!$G224:$AH224,0,MATCH(G$2,FinInputs!$G$3:$AH$3,0))</f>
        <v>0</v>
      </c>
      <c r="H31" s="54" cm="1">
        <f t="array" ref="H31">++INDEX(FinInputs!$G224:$AH224,0,MATCH(H$2,FinInputs!$G$3:$AH$3,0))</f>
        <v>0</v>
      </c>
      <c r="I31" s="54" cm="1">
        <f t="array" ref="I31">++INDEX(FinInputs!$G224:$AH224,0,MATCH(I$2,FinInputs!$G$3:$AH$3,0))</f>
        <v>0</v>
      </c>
      <c r="J31" s="55" cm="1">
        <f t="array" ref="J31">++INDEX(FinInputs!$G224:$AH224,0,MATCH(J$2,FinInputs!$G$3:$AH$3,0))</f>
        <v>0</v>
      </c>
      <c r="K31" s="55" cm="1">
        <f t="array" ref="K31">++INDEX(FinInputs!$G224:$AH224,0,MATCH(K$2,FinInputs!$G$3:$AH$3,0))</f>
        <v>0</v>
      </c>
      <c r="L31" s="54" cm="1">
        <f t="array" ref="L31">++INDEX(FinInputs!$G224:$AH224,0,MATCH(L$2,FinInputs!$G$3:$AH$3,0))</f>
        <v>0</v>
      </c>
      <c r="N31" s="21" t="str">
        <f t="shared" si="24"/>
        <v>nmf</v>
      </c>
      <c r="P31" s="54" cm="1">
        <f t="array" ref="P31">++INDEX(FinInputs!$G127:$AH127,0,MATCH(P$2,FinInputs!$G$3:$AH$3,0))</f>
        <v>0</v>
      </c>
      <c r="Q31" s="55" cm="1">
        <f t="array" ref="Q31">++INDEX(FinInputs!$G127:$AH127,0,MATCH(Q$2,FinInputs!$G$3:$AH$3,0))</f>
        <v>0</v>
      </c>
    </row>
    <row r="32" spans="2:17" x14ac:dyDescent="0.4">
      <c r="C32" s="202" t="str">
        <f>++FinInputs!C225</f>
        <v>[Operating Exepnse]</v>
      </c>
      <c r="G32" s="54" cm="1">
        <f t="array" ref="G32">++INDEX(FinInputs!$G225:$AH225,0,MATCH(G$2,FinInputs!$G$3:$AH$3,0))</f>
        <v>0</v>
      </c>
      <c r="H32" s="54" cm="1">
        <f t="array" ref="H32">++INDEX(FinInputs!$G225:$AH225,0,MATCH(H$2,FinInputs!$G$3:$AH$3,0))</f>
        <v>0</v>
      </c>
      <c r="I32" s="54" cm="1">
        <f t="array" ref="I32">++INDEX(FinInputs!$G225:$AH225,0,MATCH(I$2,FinInputs!$G$3:$AH$3,0))</f>
        <v>0</v>
      </c>
      <c r="J32" s="55" cm="1">
        <f t="array" ref="J32">++INDEX(FinInputs!$G225:$AH225,0,MATCH(J$2,FinInputs!$G$3:$AH$3,0))</f>
        <v>0</v>
      </c>
      <c r="K32" s="55" cm="1">
        <f t="array" ref="K32">++INDEX(FinInputs!$G225:$AH225,0,MATCH(K$2,FinInputs!$G$3:$AH$3,0))</f>
        <v>0</v>
      </c>
      <c r="L32" s="54" cm="1">
        <f t="array" ref="L32">++INDEX(FinInputs!$G225:$AH225,0,MATCH(L$2,FinInputs!$G$3:$AH$3,0))</f>
        <v>0</v>
      </c>
      <c r="N32" s="21" t="str">
        <f t="shared" si="24"/>
        <v>nmf</v>
      </c>
      <c r="P32" s="54" cm="1">
        <f t="array" ref="P32">++INDEX(FinInputs!$G128:$AH128,0,MATCH(P$2,FinInputs!$G$3:$AH$3,0))</f>
        <v>0</v>
      </c>
      <c r="Q32" s="55" cm="1">
        <f t="array" ref="Q32">++INDEX(FinInputs!$G128:$AH128,0,MATCH(Q$2,FinInputs!$G$3:$AH$3,0))</f>
        <v>0</v>
      </c>
    </row>
    <row r="33" spans="2:17" x14ac:dyDescent="0.4">
      <c r="C33" s="202" t="str">
        <f>++FinInputs!C226</f>
        <v>[Operating Exepnse]</v>
      </c>
      <c r="G33" s="54" cm="1">
        <f t="array" ref="G33">++INDEX(FinInputs!$G226:$AH226,0,MATCH(G$2,FinInputs!$G$3:$AH$3,0))</f>
        <v>0</v>
      </c>
      <c r="H33" s="54" cm="1">
        <f t="array" ref="H33">++INDEX(FinInputs!$G226:$AH226,0,MATCH(H$2,FinInputs!$G$3:$AH$3,0))</f>
        <v>0</v>
      </c>
      <c r="I33" s="54" cm="1">
        <f t="array" ref="I33">++INDEX(FinInputs!$G226:$AH226,0,MATCH(I$2,FinInputs!$G$3:$AH$3,0))</f>
        <v>0</v>
      </c>
      <c r="J33" s="55" cm="1">
        <f t="array" ref="J33">++INDEX(FinInputs!$G226:$AH226,0,MATCH(J$2,FinInputs!$G$3:$AH$3,0))</f>
        <v>0</v>
      </c>
      <c r="K33" s="55" cm="1">
        <f t="array" ref="K33">++INDEX(FinInputs!$G226:$AH226,0,MATCH(K$2,FinInputs!$G$3:$AH$3,0))</f>
        <v>0</v>
      </c>
      <c r="L33" s="54" cm="1">
        <f t="array" ref="L33">++INDEX(FinInputs!$G226:$AH226,0,MATCH(L$2,FinInputs!$G$3:$AH$3,0))</f>
        <v>0</v>
      </c>
      <c r="N33" s="21" t="str">
        <f t="shared" si="24"/>
        <v>nmf</v>
      </c>
      <c r="P33" s="54" cm="1">
        <f t="array" ref="P33">++INDEX(FinInputs!$G129:$AH129,0,MATCH(P$2,FinInputs!$G$3:$AH$3,0))</f>
        <v>0</v>
      </c>
      <c r="Q33" s="55" cm="1">
        <f t="array" ref="Q33">++INDEX(FinInputs!$G129:$AH129,0,MATCH(Q$2,FinInputs!$G$3:$AH$3,0))</f>
        <v>0</v>
      </c>
    </row>
    <row r="34" spans="2:17" x14ac:dyDescent="0.4">
      <c r="C34" s="202" t="str">
        <f>++FinInputs!C227</f>
        <v>[Operating Exepnse]</v>
      </c>
      <c r="G34" s="54" cm="1">
        <f t="array" ref="G34">++INDEX(FinInputs!$G227:$AH227,0,MATCH(G$2,FinInputs!$G$3:$AH$3,0))</f>
        <v>0</v>
      </c>
      <c r="H34" s="54" cm="1">
        <f t="array" ref="H34">++INDEX(FinInputs!$G227:$AH227,0,MATCH(H$2,FinInputs!$G$3:$AH$3,0))</f>
        <v>0</v>
      </c>
      <c r="I34" s="54" cm="1">
        <f t="array" ref="I34">++INDEX(FinInputs!$G227:$AH227,0,MATCH(I$2,FinInputs!$G$3:$AH$3,0))</f>
        <v>0</v>
      </c>
      <c r="J34" s="55" cm="1">
        <f t="array" ref="J34">++INDEX(FinInputs!$G227:$AH227,0,MATCH(J$2,FinInputs!$G$3:$AH$3,0))</f>
        <v>0</v>
      </c>
      <c r="K34" s="55" cm="1">
        <f t="array" ref="K34">++INDEX(FinInputs!$G227:$AH227,0,MATCH(K$2,FinInputs!$G$3:$AH$3,0))</f>
        <v>0</v>
      </c>
      <c r="L34" s="54" cm="1">
        <f t="array" ref="L34">++INDEX(FinInputs!$G227:$AH227,0,MATCH(L$2,FinInputs!$G$3:$AH$3,0))</f>
        <v>0</v>
      </c>
      <c r="N34" s="21" t="str">
        <f t="shared" si="24"/>
        <v>nmf</v>
      </c>
      <c r="P34" s="54" cm="1">
        <f t="array" ref="P34">++INDEX(FinInputs!$G130:$AH130,0,MATCH(P$2,FinInputs!$G$3:$AH$3,0))</f>
        <v>0</v>
      </c>
      <c r="Q34" s="55" cm="1">
        <f t="array" ref="Q34">++INDEX(FinInputs!$G130:$AH130,0,MATCH(Q$2,FinInputs!$G$3:$AH$3,0))</f>
        <v>0</v>
      </c>
    </row>
    <row r="35" spans="2:17" x14ac:dyDescent="0.4">
      <c r="C35" s="212" t="s">
        <v>94</v>
      </c>
      <c r="D35" s="212"/>
      <c r="E35" s="212"/>
      <c r="G35" s="222">
        <f>++(G26-G36)-SUM(G30:G34)</f>
        <v>0</v>
      </c>
      <c r="H35" s="222">
        <f t="shared" ref="H35:J35" si="25">++(H26-H36)-SUM(H30:H34)</f>
        <v>0</v>
      </c>
      <c r="I35" s="222">
        <f t="shared" si="25"/>
        <v>0</v>
      </c>
      <c r="J35" s="249">
        <f t="shared" si="25"/>
        <v>0</v>
      </c>
      <c r="K35" s="249">
        <f t="shared" ref="K35" si="26">++(K26-K36)-SUM(K30:K34)</f>
        <v>0</v>
      </c>
      <c r="L35" s="222">
        <f t="shared" ref="L35" si="27">++(L26-L36)-SUM(L30:L34)</f>
        <v>0</v>
      </c>
      <c r="N35" s="250" t="str">
        <f t="shared" si="24"/>
        <v>nmf</v>
      </c>
      <c r="P35" s="222">
        <f t="shared" ref="P35:Q35" si="28">++(P26-P36)-SUM(P30:P34)</f>
        <v>0</v>
      </c>
      <c r="Q35" s="249">
        <f t="shared" si="28"/>
        <v>0</v>
      </c>
    </row>
    <row r="36" spans="2:17" x14ac:dyDescent="0.4">
      <c r="C36" s="251" t="str">
        <f>++FinInputs!C253</f>
        <v>EBITDA (Reported)</v>
      </c>
      <c r="G36" s="98" cm="1">
        <f t="array" ref="G36">++INDEX(FinInputs!$G253:$AH253,0,MATCH(G$2,FinInputs!$G$3:$AH$3,0))</f>
        <v>0</v>
      </c>
      <c r="H36" s="98" cm="1">
        <f t="array" ref="H36">++INDEX(FinInputs!$G253:$AH253,0,MATCH(H$2,FinInputs!$G$3:$AH$3,0))</f>
        <v>0</v>
      </c>
      <c r="I36" s="98" cm="1">
        <f t="array" ref="I36">++INDEX(FinInputs!$G253:$AH253,0,MATCH(I$2,FinInputs!$G$3:$AH$3,0))</f>
        <v>0</v>
      </c>
      <c r="J36" s="254" cm="1">
        <f t="array" ref="J36">++INDEX(FinInputs!$G253:$AH253,0,MATCH(J$2,FinInputs!$G$3:$AH$3,0))</f>
        <v>0</v>
      </c>
      <c r="K36" s="254" cm="1">
        <f t="array" ref="K36">++INDEX(FinInputs!$G253:$AH253,0,MATCH(K$2,FinInputs!$G$3:$AH$3,0))</f>
        <v>0</v>
      </c>
      <c r="L36" s="98" cm="1">
        <f t="array" ref="L36">++INDEX(FinInputs!$G253:$AH253,0,MATCH(L$2,FinInputs!$G$3:$AH$3,0))</f>
        <v>0</v>
      </c>
      <c r="N36" s="252" t="str">
        <f t="shared" si="24"/>
        <v>nmf</v>
      </c>
      <c r="P36" s="98" cm="1">
        <f t="array" ref="P36">++INDEX(FinInputs!$G156:$AH156,0,MATCH(P$2,FinInputs!$G$3:$AH$3,0))</f>
        <v>0</v>
      </c>
      <c r="Q36" s="254" cm="1">
        <f t="array" ref="Q36">++INDEX(FinInputs!$G156:$AH156,0,MATCH(Q$2,FinInputs!$G$3:$AH$3,0))</f>
        <v>0</v>
      </c>
    </row>
    <row r="37" spans="2:17" x14ac:dyDescent="0.4">
      <c r="C37" s="204" t="str">
        <f>++FinInputs!C254</f>
        <v>% margin</v>
      </c>
      <c r="G37" s="19">
        <f>++IFERROR(G36/G$17,0)</f>
        <v>0</v>
      </c>
      <c r="H37" s="19">
        <f t="shared" ref="H37" si="29">++IFERROR(H36/H$17,0)</f>
        <v>0</v>
      </c>
      <c r="I37" s="19">
        <f t="shared" ref="I37" si="30">++IFERROR(I36/I$17,0)</f>
        <v>0</v>
      </c>
      <c r="J37" s="42">
        <f t="shared" ref="J37" si="31">++IFERROR(J36/J$17,0)</f>
        <v>0</v>
      </c>
      <c r="K37" s="42">
        <f t="shared" ref="K37" si="32">++IFERROR(K36/K$17,0)</f>
        <v>0</v>
      </c>
      <c r="L37" s="19">
        <f t="shared" ref="L37" si="33">++IFERROR(L36/L$17,0)</f>
        <v>0</v>
      </c>
      <c r="P37" s="19">
        <f t="shared" ref="P37" si="34">++IFERROR(P36/P$17,0)</f>
        <v>0</v>
      </c>
      <c r="Q37" s="42">
        <f t="shared" ref="Q37" si="35">++IFERROR(Q36/Q$17,0)</f>
        <v>0</v>
      </c>
    </row>
    <row r="38" spans="2:17" x14ac:dyDescent="0.4">
      <c r="C38" s="204" t="str">
        <f>++FinInputs!C255</f>
        <v>% y/y</v>
      </c>
      <c r="G38" s="20"/>
      <c r="H38" s="19">
        <f>++IFERROR(H36/G36-1,0)</f>
        <v>0</v>
      </c>
      <c r="I38" s="19">
        <f t="shared" ref="I38" si="36">++IFERROR(I36/H36-1,0)</f>
        <v>0</v>
      </c>
      <c r="J38" s="56" cm="1">
        <f t="array" ref="J38">++INDEX(FinInputs!$G255:$AH255,0,MATCH(J$2,FinInputs!$G$3:$AH$3,0))</f>
        <v>0</v>
      </c>
      <c r="K38" s="56" cm="1">
        <f t="array" ref="K38">++INDEX(FinInputs!$G255:$AH255,0,MATCH(K$2,FinInputs!$G$3:$AH$3,0))</f>
        <v>0</v>
      </c>
      <c r="L38" s="19">
        <f>++IFERROR(L36/I36-1,0)</f>
        <v>0</v>
      </c>
      <c r="P38" s="57" cm="1">
        <f t="array" ref="P38">++INDEX(FinInputs!$G158:$AH158,0,MATCH(P$2,FinInputs!$G$3:$AH$3,0))</f>
        <v>0</v>
      </c>
      <c r="Q38" s="42">
        <f t="shared" ref="Q38" si="37">++IFERROR(Q36/P36-1,0)</f>
        <v>0</v>
      </c>
    </row>
    <row r="39" spans="2:17" x14ac:dyDescent="0.4">
      <c r="J39" s="39"/>
      <c r="K39" s="39"/>
      <c r="Q39" s="39"/>
    </row>
    <row r="40" spans="2:17" x14ac:dyDescent="0.4">
      <c r="C40" s="24" t="s">
        <v>95</v>
      </c>
      <c r="G40" s="17">
        <f>++G41-G36</f>
        <v>0</v>
      </c>
      <c r="H40" s="17">
        <f t="shared" ref="H40:J40" si="38">++H41-H36</f>
        <v>0</v>
      </c>
      <c r="I40" s="17">
        <f t="shared" si="38"/>
        <v>0</v>
      </c>
      <c r="J40" s="40">
        <f t="shared" si="38"/>
        <v>0</v>
      </c>
      <c r="K40" s="40">
        <f t="shared" ref="K40" si="39">++K41-K36</f>
        <v>0</v>
      </c>
      <c r="L40" s="17">
        <f t="shared" ref="L40" si="40">++L41-L36</f>
        <v>0</v>
      </c>
      <c r="N40" s="21" t="str">
        <f>++IFERROR((J40/G40)^(1/YEARFRAC(G$2,J$2,1))-1,"nmf")</f>
        <v>nmf</v>
      </c>
      <c r="P40" s="17">
        <f t="shared" ref="P40:Q40" si="41">++P41-P36</f>
        <v>0</v>
      </c>
      <c r="Q40" s="40">
        <f t="shared" si="41"/>
        <v>0</v>
      </c>
    </row>
    <row r="41" spans="2:17" ht="13.5" thickBot="1" x14ac:dyDescent="0.45">
      <c r="B41" s="12" t="s">
        <v>8</v>
      </c>
      <c r="C41" s="205" t="str">
        <f>++FinInputs!C281</f>
        <v>CA EBITDA</v>
      </c>
      <c r="D41" s="35"/>
      <c r="E41" s="35"/>
      <c r="F41" s="31"/>
      <c r="G41" s="58" cm="1">
        <f t="array" ref="G41">++INDEX(FinInputs!$G281:$AH281,0,MATCH(G$2,FinInputs!$G$3:$AH$3,0))</f>
        <v>0</v>
      </c>
      <c r="H41" s="58" cm="1">
        <f t="array" ref="H41">++INDEX(FinInputs!$G281:$AH281,0,MATCH(H$2,FinInputs!$G$3:$AH$3,0))</f>
        <v>0</v>
      </c>
      <c r="I41" s="58" cm="1">
        <f t="array" ref="I41">++INDEX(FinInputs!$G281:$AH281,0,MATCH(I$2,FinInputs!$G$3:$AH$3,0))</f>
        <v>0</v>
      </c>
      <c r="J41" s="59" cm="1">
        <f t="array" ref="J41">++INDEX(FinInputs!$G281:$AH281,0,MATCH(J$2,FinInputs!$G$3:$AH$3,0))</f>
        <v>0</v>
      </c>
      <c r="K41" s="59" cm="1">
        <f t="array" ref="K41">++INDEX(FinInputs!$G281:$AH281,0,MATCH(K$2,FinInputs!$G$3:$AH$3,0))</f>
        <v>0</v>
      </c>
      <c r="L41" s="58" cm="1">
        <f t="array" ref="L41">++INDEX(FinInputs!$G281:$AH281,0,MATCH(L$2,FinInputs!$G$3:$AH$3,0))</f>
        <v>0</v>
      </c>
      <c r="N41" s="37" t="str">
        <f>++IFERROR((J41/G41)^(1/YEARFRAC(G$2,J$2,1))-1,"nmf")</f>
        <v>nmf</v>
      </c>
      <c r="P41" s="58" cm="1">
        <f t="array" ref="P41">++INDEX(FinInputs!$G184:$AH184,0,MATCH(P$2,FinInputs!$G$3:$AH$3,0))</f>
        <v>0</v>
      </c>
      <c r="Q41" s="59" cm="1">
        <f t="array" ref="Q41">++INDEX(FinInputs!$G184:$AH184,0,MATCH(Q$2,FinInputs!$G$3:$AH$3,0))</f>
        <v>0</v>
      </c>
    </row>
    <row r="42" spans="2:17" ht="13.5" thickTop="1" x14ac:dyDescent="0.4">
      <c r="C42" s="204" t="str">
        <f>++FinInputs!C282</f>
        <v>% margin</v>
      </c>
      <c r="G42" s="19">
        <f>++IFERROR(G41/G$17,0)</f>
        <v>0</v>
      </c>
      <c r="H42" s="19">
        <f t="shared" ref="H42:L42" si="42">++IFERROR(H41/H$17,0)</f>
        <v>0</v>
      </c>
      <c r="I42" s="19">
        <f t="shared" si="42"/>
        <v>0</v>
      </c>
      <c r="J42" s="42">
        <f t="shared" si="42"/>
        <v>0</v>
      </c>
      <c r="K42" s="42">
        <f t="shared" ref="K42" si="43">++IFERROR(K41/K$17,0)</f>
        <v>0</v>
      </c>
      <c r="L42" s="19">
        <f t="shared" si="42"/>
        <v>0</v>
      </c>
      <c r="P42" s="19">
        <f t="shared" ref="P42:Q42" si="44">++IFERROR(P41/P$17,0)</f>
        <v>0</v>
      </c>
      <c r="Q42" s="42">
        <f t="shared" si="44"/>
        <v>0</v>
      </c>
    </row>
    <row r="43" spans="2:17" x14ac:dyDescent="0.4">
      <c r="C43" s="204" t="str">
        <f>++FinInputs!C283</f>
        <v>% y/y</v>
      </c>
      <c r="G43" s="20"/>
      <c r="H43" s="19">
        <f>++IFERROR(H41/G41-1,0)</f>
        <v>0</v>
      </c>
      <c r="I43" s="19">
        <f t="shared" ref="I43" si="45">++IFERROR(I41/H41-1,0)</f>
        <v>0</v>
      </c>
      <c r="J43" s="56" cm="1">
        <f t="array" ref="J43">++INDEX(FinInputs!$G283:$AH283,0,MATCH(J$2,FinInputs!$G$3:$AH$3,0))</f>
        <v>0</v>
      </c>
      <c r="K43" s="56" cm="1">
        <f t="array" ref="K43">++INDEX(FinInputs!$G283:$AH283,0,MATCH(K$2,FinInputs!$G$3:$AH$3,0))</f>
        <v>0</v>
      </c>
      <c r="L43" s="19">
        <f>++IFERROR(L41/I41-1,0)</f>
        <v>0</v>
      </c>
      <c r="P43" s="57" cm="1">
        <f t="array" ref="P43">++INDEX(FinInputs!$G186:$AH186,0,MATCH(P$2,FinInputs!$G$3:$AH$3,0))</f>
        <v>0</v>
      </c>
      <c r="Q43" s="42">
        <f t="shared" ref="Q43" si="46">++IFERROR(Q41/P41-1,0)</f>
        <v>0</v>
      </c>
    </row>
    <row r="44" spans="2:17" x14ac:dyDescent="0.4">
      <c r="J44" s="39"/>
      <c r="K44" s="39"/>
      <c r="Q44" s="39"/>
    </row>
    <row r="45" spans="2:17" x14ac:dyDescent="0.4">
      <c r="C45" s="202" t="str">
        <f>++FinInputs!C285</f>
        <v>Maintenance Capex</v>
      </c>
      <c r="G45" s="54" cm="1">
        <f t="array" ref="G45">++INDEX(FinInputs!$G285:$AH285,0,MATCH(G$2,FinInputs!$G$3:$AH$3,0))</f>
        <v>0</v>
      </c>
      <c r="H45" s="54" cm="1">
        <f t="array" ref="H45">++INDEX(FinInputs!$G285:$AH285,0,MATCH(H$2,FinInputs!$G$3:$AH$3,0))</f>
        <v>0</v>
      </c>
      <c r="I45" s="54" cm="1">
        <f t="array" ref="I45">++INDEX(FinInputs!$G285:$AH285,0,MATCH(I$2,FinInputs!$G$3:$AH$3,0))</f>
        <v>0</v>
      </c>
      <c r="J45" s="55" cm="1">
        <f t="array" ref="J45">++INDEX(FinInputs!$G285:$AH285,0,MATCH(J$2,FinInputs!$G$3:$AH$3,0))</f>
        <v>0</v>
      </c>
      <c r="K45" s="55" cm="1">
        <f t="array" ref="K45">++INDEX(FinInputs!$G285:$AH285,0,MATCH(K$2,FinInputs!$G$3:$AH$3,0))</f>
        <v>0</v>
      </c>
      <c r="L45" s="54" cm="1">
        <f t="array" ref="L45">++INDEX(FinInputs!$G285:$AH285,0,MATCH(L$2,FinInputs!$G$3:$AH$3,0))</f>
        <v>0</v>
      </c>
      <c r="N45" s="21" t="str">
        <f>++IFERROR((J45/G45)^(1/YEARFRAC(G$2,J$2,1))-1,"nmf")</f>
        <v>nmf</v>
      </c>
      <c r="P45" s="54" cm="1">
        <f t="array" ref="P45">++INDEX(FinInputs!$G188:$AH188,0,MATCH(P$2,FinInputs!$G$3:$AH$3,0))</f>
        <v>0</v>
      </c>
      <c r="Q45" s="55" cm="1">
        <f t="array" ref="Q45">++INDEX(FinInputs!$G188:$AH188,0,MATCH(Q$2,FinInputs!$G$3:$AH$3,0))</f>
        <v>0</v>
      </c>
    </row>
    <row r="46" spans="2:17" x14ac:dyDescent="0.4">
      <c r="C46" s="202" t="str">
        <f>++FinInputs!C286</f>
        <v>Growth Capex</v>
      </c>
      <c r="G46" s="54" cm="1">
        <f t="array" ref="G46">++INDEX(FinInputs!$G286:$AH286,0,MATCH(G$2,FinInputs!$G$3:$AH$3,0))</f>
        <v>0</v>
      </c>
      <c r="H46" s="54" cm="1">
        <f t="array" ref="H46">++INDEX(FinInputs!$G286:$AH286,0,MATCH(H$2,FinInputs!$G$3:$AH$3,0))</f>
        <v>0</v>
      </c>
      <c r="I46" s="54" cm="1">
        <f t="array" ref="I46">++INDEX(FinInputs!$G286:$AH286,0,MATCH(I$2,FinInputs!$G$3:$AH$3,0))</f>
        <v>0</v>
      </c>
      <c r="J46" s="55" cm="1">
        <f t="array" ref="J46">++INDEX(FinInputs!$G286:$AH286,0,MATCH(J$2,FinInputs!$G$3:$AH$3,0))</f>
        <v>0</v>
      </c>
      <c r="K46" s="55" cm="1">
        <f t="array" ref="K46">++INDEX(FinInputs!$G286:$AH286,0,MATCH(K$2,FinInputs!$G$3:$AH$3,0))</f>
        <v>0</v>
      </c>
      <c r="L46" s="54" cm="1">
        <f t="array" ref="L46">++INDEX(FinInputs!$G286:$AH286,0,MATCH(L$2,FinInputs!$G$3:$AH$3,0))</f>
        <v>0</v>
      </c>
      <c r="N46" s="21" t="str">
        <f>++IFERROR((J46/G46)^(1/YEARFRAC(G$2,J$2,1))-1,"nmf")</f>
        <v>nmf</v>
      </c>
      <c r="P46" s="54" cm="1">
        <f t="array" ref="P46">++INDEX(FinInputs!$G189:$AH189,0,MATCH(P$2,FinInputs!$G$3:$AH$3,0))</f>
        <v>0</v>
      </c>
      <c r="Q46" s="55" cm="1">
        <f t="array" ref="Q46">++INDEX(FinInputs!$G189:$AH189,0,MATCH(Q$2,FinInputs!$G$3:$AH$3,0))</f>
        <v>0</v>
      </c>
    </row>
    <row r="47" spans="2:17" x14ac:dyDescent="0.4">
      <c r="C47" s="248" t="str">
        <f>++FinInputs!C287</f>
        <v>Other Capex</v>
      </c>
      <c r="D47" s="212"/>
      <c r="E47" s="212"/>
      <c r="G47" s="256" cm="1">
        <f t="array" ref="G47">++INDEX(FinInputs!$G287:$AH287,0,MATCH(G$2,FinInputs!$G$3:$AH$3,0))</f>
        <v>0</v>
      </c>
      <c r="H47" s="256" cm="1">
        <f t="array" ref="H47">++INDEX(FinInputs!$G287:$AH287,0,MATCH(H$2,FinInputs!$G$3:$AH$3,0))</f>
        <v>0</v>
      </c>
      <c r="I47" s="256" cm="1">
        <f t="array" ref="I47">++INDEX(FinInputs!$G287:$AH287,0,MATCH(I$2,FinInputs!$G$3:$AH$3,0))</f>
        <v>0</v>
      </c>
      <c r="J47" s="257" cm="1">
        <f t="array" ref="J47">++INDEX(FinInputs!$G287:$AH287,0,MATCH(J$2,FinInputs!$G$3:$AH$3,0))</f>
        <v>0</v>
      </c>
      <c r="K47" s="257" cm="1">
        <f t="array" ref="K47">++INDEX(FinInputs!$G287:$AH287,0,MATCH(K$2,FinInputs!$G$3:$AH$3,0))</f>
        <v>0</v>
      </c>
      <c r="L47" s="256" cm="1">
        <f t="array" ref="L47">++INDEX(FinInputs!$G287:$AH287,0,MATCH(L$2,FinInputs!$G$3:$AH$3,0))</f>
        <v>0</v>
      </c>
      <c r="N47" s="250" t="str">
        <f>++IFERROR((J47/G47)^(1/YEARFRAC(G$2,J$2,1))-1,"nmf")</f>
        <v>nmf</v>
      </c>
      <c r="P47" s="256" cm="1">
        <f t="array" ref="P47">++INDEX(FinInputs!$G190:$AH190,0,MATCH(P$2,FinInputs!$G$3:$AH$3,0))</f>
        <v>0</v>
      </c>
      <c r="Q47" s="257" cm="1">
        <f t="array" ref="Q47">++INDEX(FinInputs!$G190:$AH190,0,MATCH(Q$2,FinInputs!$G$3:$AH$3,0))</f>
        <v>0</v>
      </c>
    </row>
    <row r="48" spans="2:17" x14ac:dyDescent="0.4">
      <c r="B48" s="12" t="s">
        <v>8</v>
      </c>
      <c r="C48" s="251" t="str">
        <f>++FinInputs!C288</f>
        <v>Capital Expenditures</v>
      </c>
      <c r="G48" s="253">
        <f>++SUM(G45:G47)</f>
        <v>0</v>
      </c>
      <c r="H48" s="253">
        <f t="shared" ref="H48:L48" si="47">++SUM(H45:H47)</f>
        <v>0</v>
      </c>
      <c r="I48" s="253">
        <f t="shared" si="47"/>
        <v>0</v>
      </c>
      <c r="J48" s="255">
        <f t="shared" si="47"/>
        <v>0</v>
      </c>
      <c r="K48" s="255">
        <f t="shared" ref="K48" si="48">++SUM(K45:K47)</f>
        <v>0</v>
      </c>
      <c r="L48" s="253">
        <f t="shared" si="47"/>
        <v>0</v>
      </c>
      <c r="N48" s="252" t="str">
        <f>++IFERROR((J48/G48)^(1/YEARFRAC(G$2,J$2,1))-1,"nmf")</f>
        <v>nmf</v>
      </c>
      <c r="P48" s="253">
        <f t="shared" ref="P48:Q48" si="49">++SUM(P45:P47)</f>
        <v>0</v>
      </c>
      <c r="Q48" s="255">
        <f t="shared" si="49"/>
        <v>0</v>
      </c>
    </row>
    <row r="49" spans="1:17" x14ac:dyDescent="0.4">
      <c r="C49" s="204" t="str">
        <f>++FinInputs!C289</f>
        <v>% revenue</v>
      </c>
      <c r="G49" s="19">
        <f>++IFERROR(G48/G$17,0)</f>
        <v>0</v>
      </c>
      <c r="H49" s="19">
        <f t="shared" ref="H49" si="50">++IFERROR(H48/H$17,0)</f>
        <v>0</v>
      </c>
      <c r="I49" s="19">
        <f t="shared" ref="I49" si="51">++IFERROR(I48/I$17,0)</f>
        <v>0</v>
      </c>
      <c r="J49" s="42">
        <f t="shared" ref="J49" si="52">++IFERROR(J48/J$17,0)</f>
        <v>0</v>
      </c>
      <c r="K49" s="42">
        <f t="shared" ref="K49" si="53">++IFERROR(K48/K$17,0)</f>
        <v>0</v>
      </c>
      <c r="L49" s="19">
        <f t="shared" ref="L49" si="54">++IFERROR(L48/L$17,0)</f>
        <v>0</v>
      </c>
      <c r="P49" s="19">
        <f t="shared" ref="P49" si="55">++IFERROR(P48/P$17,0)</f>
        <v>0</v>
      </c>
      <c r="Q49" s="42">
        <f t="shared" ref="Q49" si="56">++IFERROR(Q48/Q$17,0)</f>
        <v>0</v>
      </c>
    </row>
    <row r="50" spans="1:17" ht="5.0999999999999996" customHeight="1" x14ac:dyDescent="0.4">
      <c r="J50" s="45"/>
      <c r="K50" s="45"/>
      <c r="Q50" s="45"/>
    </row>
    <row r="53" spans="1:17" x14ac:dyDescent="0.4">
      <c r="A53" s="12" t="s">
        <v>8</v>
      </c>
      <c r="B53" s="12" t="s">
        <v>8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D789-C965-4926-BAFB-00C7509F6833}">
  <sheetPr codeName="Sheet5"/>
  <dimension ref="A1:AE61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42" sqref="X42"/>
    </sheetView>
  </sheetViews>
  <sheetFormatPr defaultRowHeight="13.15" outlineLevelCol="1" x14ac:dyDescent="0.4"/>
  <cols>
    <col min="1" max="2" width="2.7109375" style="1" customWidth="1"/>
    <col min="3" max="9" width="10.7109375" style="1" customWidth="1"/>
    <col min="10" max="10" width="2.7109375" style="1" customWidth="1"/>
    <col min="11" max="17" width="10.7109375" style="1" customWidth="1"/>
    <col min="18" max="19" width="9.140625" style="1"/>
    <col min="20" max="31" width="9.140625" style="1" customWidth="1" outlineLevel="1"/>
    <col min="32" max="16384" width="9.140625" style="1"/>
  </cols>
  <sheetData>
    <row r="1" spans="1:17" x14ac:dyDescent="0.4">
      <c r="C1" s="9" t="str">
        <f>++CoName</f>
        <v>[Company Name] ([Sponsor Name / Non-Sponsored])</v>
      </c>
      <c r="D1" s="3"/>
      <c r="E1" s="4"/>
    </row>
    <row r="2" spans="1:17" x14ac:dyDescent="0.4">
      <c r="C2" s="10" t="s">
        <v>96</v>
      </c>
      <c r="D2" s="5"/>
      <c r="E2" s="6"/>
    </row>
    <row r="3" spans="1:17" x14ac:dyDescent="0.4">
      <c r="C3" s="11" t="str">
        <f ca="1">++TEXT(TODAY(),"MMMM D, YYYY")</f>
        <v>April 21, 2026</v>
      </c>
      <c r="D3" s="7"/>
      <c r="E3" s="8"/>
    </row>
    <row r="5" spans="1:17" x14ac:dyDescent="0.4">
      <c r="A5" s="12" t="s">
        <v>8</v>
      </c>
      <c r="B5" s="12" t="s">
        <v>8</v>
      </c>
      <c r="C5" s="106" t="str">
        <f>++C2</f>
        <v>Historical Financial Charts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ht="5.0999999999999996" customHeight="1" x14ac:dyDescent="0.4"/>
    <row r="7" spans="1:17" ht="15.4" x14ac:dyDescent="0.7">
      <c r="A7" s="12" t="s">
        <v>8</v>
      </c>
      <c r="B7" s="12" t="s">
        <v>8</v>
      </c>
      <c r="C7" s="214" t="s">
        <v>97</v>
      </c>
      <c r="D7" s="215"/>
      <c r="E7" s="215"/>
      <c r="F7" s="215"/>
      <c r="G7" s="215"/>
      <c r="H7" s="215"/>
      <c r="I7" s="216"/>
      <c r="J7"/>
      <c r="K7" s="214" t="s">
        <v>98</v>
      </c>
      <c r="L7" s="215"/>
      <c r="M7" s="215"/>
      <c r="N7" s="215"/>
      <c r="O7" s="215"/>
      <c r="P7" s="215"/>
      <c r="Q7" s="216"/>
    </row>
    <row r="8" spans="1:17" ht="5.0999999999999996" customHeight="1" x14ac:dyDescent="0.4"/>
    <row r="9" spans="1:17" x14ac:dyDescent="0.4">
      <c r="C9" s="207" t="s">
        <v>99</v>
      </c>
      <c r="D9" s="2"/>
      <c r="E9" s="2"/>
      <c r="F9" s="2"/>
      <c r="G9" s="2"/>
      <c r="H9" s="2"/>
      <c r="I9" s="208"/>
      <c r="K9" s="207" t="s">
        <v>99</v>
      </c>
      <c r="L9" s="2"/>
      <c r="M9" s="2"/>
      <c r="N9" s="2"/>
      <c r="O9" s="2"/>
      <c r="P9" s="2"/>
      <c r="Q9" s="208"/>
    </row>
    <row r="10" spans="1:17" x14ac:dyDescent="0.4">
      <c r="C10" s="209"/>
      <c r="I10" s="210"/>
      <c r="K10" s="209"/>
      <c r="Q10" s="210"/>
    </row>
    <row r="11" spans="1:17" x14ac:dyDescent="0.4">
      <c r="C11" s="209"/>
      <c r="I11" s="210"/>
      <c r="K11" s="209"/>
      <c r="Q11" s="210"/>
    </row>
    <row r="12" spans="1:17" x14ac:dyDescent="0.4">
      <c r="C12" s="209"/>
      <c r="I12" s="210"/>
      <c r="K12" s="209"/>
      <c r="Q12" s="210"/>
    </row>
    <row r="13" spans="1:17" x14ac:dyDescent="0.4">
      <c r="C13" s="209"/>
      <c r="I13" s="210"/>
      <c r="K13" s="209"/>
      <c r="Q13" s="210"/>
    </row>
    <row r="14" spans="1:17" x14ac:dyDescent="0.4">
      <c r="C14" s="209"/>
      <c r="I14" s="210"/>
      <c r="K14" s="209"/>
      <c r="Q14" s="210"/>
    </row>
    <row r="15" spans="1:17" x14ac:dyDescent="0.4">
      <c r="C15" s="209"/>
      <c r="I15" s="210"/>
      <c r="K15" s="209"/>
      <c r="Q15" s="210"/>
    </row>
    <row r="16" spans="1:17" x14ac:dyDescent="0.4">
      <c r="C16" s="209"/>
      <c r="I16" s="210"/>
      <c r="K16" s="209"/>
      <c r="Q16" s="210"/>
    </row>
    <row r="17" spans="1:17" x14ac:dyDescent="0.4">
      <c r="C17" s="209"/>
      <c r="I17" s="210"/>
      <c r="K17" s="209"/>
      <c r="Q17" s="210"/>
    </row>
    <row r="18" spans="1:17" x14ac:dyDescent="0.4">
      <c r="C18" s="209"/>
      <c r="I18" s="210"/>
      <c r="K18" s="209"/>
      <c r="Q18" s="210"/>
    </row>
    <row r="19" spans="1:17" x14ac:dyDescent="0.4">
      <c r="C19" s="209"/>
      <c r="I19" s="210"/>
      <c r="K19" s="209"/>
      <c r="Q19" s="210"/>
    </row>
    <row r="20" spans="1:17" x14ac:dyDescent="0.4">
      <c r="C20" s="209"/>
      <c r="I20" s="210"/>
      <c r="K20" s="209"/>
      <c r="Q20" s="210"/>
    </row>
    <row r="21" spans="1:17" x14ac:dyDescent="0.4">
      <c r="C21" s="209"/>
      <c r="I21" s="210"/>
      <c r="K21" s="209"/>
      <c r="Q21" s="210"/>
    </row>
    <row r="22" spans="1:17" x14ac:dyDescent="0.4">
      <c r="C22" s="209"/>
      <c r="I22" s="210"/>
      <c r="K22" s="209"/>
      <c r="Q22" s="210"/>
    </row>
    <row r="23" spans="1:17" x14ac:dyDescent="0.4">
      <c r="C23" s="209"/>
      <c r="I23" s="210"/>
      <c r="K23" s="209"/>
      <c r="Q23" s="210"/>
    </row>
    <row r="24" spans="1:17" x14ac:dyDescent="0.4">
      <c r="C24" s="209"/>
      <c r="I24" s="210"/>
      <c r="K24" s="209"/>
      <c r="Q24" s="210"/>
    </row>
    <row r="25" spans="1:17" x14ac:dyDescent="0.4">
      <c r="C25" s="211"/>
      <c r="D25" s="212"/>
      <c r="E25" s="212"/>
      <c r="F25" s="212"/>
      <c r="G25" s="212"/>
      <c r="H25" s="212"/>
      <c r="I25" s="213"/>
      <c r="K25" s="211"/>
      <c r="L25" s="212"/>
      <c r="M25" s="212"/>
      <c r="N25" s="212"/>
      <c r="O25" s="212"/>
      <c r="P25" s="212"/>
      <c r="Q25" s="213"/>
    </row>
    <row r="27" spans="1:17" ht="15.4" x14ac:dyDescent="0.7">
      <c r="A27" s="12"/>
      <c r="B27" s="12" t="s">
        <v>8</v>
      </c>
      <c r="C27" s="214" t="s">
        <v>100</v>
      </c>
      <c r="D27" s="215"/>
      <c r="E27" s="215"/>
      <c r="F27" s="215"/>
      <c r="G27" s="215"/>
      <c r="H27" s="215"/>
      <c r="I27" s="216"/>
      <c r="J27"/>
      <c r="K27" s="214" t="s">
        <v>101</v>
      </c>
      <c r="L27" s="215"/>
      <c r="M27" s="215"/>
      <c r="N27" s="215"/>
      <c r="O27" s="215"/>
      <c r="P27" s="215"/>
      <c r="Q27" s="216"/>
    </row>
    <row r="28" spans="1:17" ht="5.0999999999999996" customHeight="1" x14ac:dyDescent="0.4"/>
    <row r="29" spans="1:17" x14ac:dyDescent="0.4">
      <c r="C29" s="207" t="s">
        <v>99</v>
      </c>
      <c r="D29" s="2"/>
      <c r="E29" s="2"/>
      <c r="F29" s="2"/>
      <c r="G29" s="2"/>
      <c r="H29" s="2"/>
      <c r="I29" s="208"/>
      <c r="K29" s="207" t="s">
        <v>99</v>
      </c>
      <c r="L29" s="2"/>
      <c r="M29" s="2"/>
      <c r="N29" s="2"/>
      <c r="O29" s="2"/>
      <c r="P29" s="2"/>
      <c r="Q29" s="208"/>
    </row>
    <row r="30" spans="1:17" x14ac:dyDescent="0.4">
      <c r="C30" s="209"/>
      <c r="I30" s="210"/>
      <c r="K30" s="209"/>
      <c r="Q30" s="210"/>
    </row>
    <row r="31" spans="1:17" x14ac:dyDescent="0.4">
      <c r="C31" s="209"/>
      <c r="I31" s="210"/>
      <c r="K31" s="209"/>
      <c r="Q31" s="210"/>
    </row>
    <row r="32" spans="1:17" x14ac:dyDescent="0.4">
      <c r="C32" s="209"/>
      <c r="I32" s="210"/>
      <c r="K32" s="209"/>
      <c r="Q32" s="210"/>
    </row>
    <row r="33" spans="1:31" x14ac:dyDescent="0.4">
      <c r="C33" s="209"/>
      <c r="I33" s="210"/>
      <c r="K33" s="209"/>
      <c r="Q33" s="210"/>
    </row>
    <row r="34" spans="1:31" x14ac:dyDescent="0.4">
      <c r="C34" s="209"/>
      <c r="I34" s="210"/>
      <c r="K34" s="209"/>
      <c r="Q34" s="210"/>
    </row>
    <row r="35" spans="1:31" x14ac:dyDescent="0.4">
      <c r="C35" s="209"/>
      <c r="I35" s="210"/>
      <c r="K35" s="209"/>
      <c r="Q35" s="210"/>
    </row>
    <row r="36" spans="1:31" x14ac:dyDescent="0.4">
      <c r="C36" s="209"/>
      <c r="I36" s="210"/>
      <c r="K36" s="209"/>
      <c r="Q36" s="210"/>
    </row>
    <row r="37" spans="1:31" x14ac:dyDescent="0.4">
      <c r="C37" s="209"/>
      <c r="I37" s="210"/>
      <c r="K37" s="209"/>
      <c r="Q37" s="210"/>
    </row>
    <row r="38" spans="1:31" x14ac:dyDescent="0.4">
      <c r="C38" s="209"/>
      <c r="I38" s="210"/>
      <c r="K38" s="209"/>
      <c r="Q38" s="210"/>
    </row>
    <row r="39" spans="1:31" x14ac:dyDescent="0.4">
      <c r="C39" s="209"/>
      <c r="I39" s="210"/>
      <c r="K39" s="209"/>
      <c r="Q39" s="210"/>
    </row>
    <row r="40" spans="1:31" x14ac:dyDescent="0.4">
      <c r="C40" s="209"/>
      <c r="I40" s="210"/>
      <c r="K40" s="209"/>
      <c r="Q40" s="210"/>
    </row>
    <row r="41" spans="1:31" x14ac:dyDescent="0.4">
      <c r="C41" s="209"/>
      <c r="I41" s="210"/>
      <c r="K41" s="209"/>
      <c r="Q41" s="210"/>
    </row>
    <row r="42" spans="1:31" x14ac:dyDescent="0.4">
      <c r="C42" s="209"/>
      <c r="I42" s="210"/>
      <c r="K42" s="209"/>
      <c r="Q42" s="210"/>
    </row>
    <row r="43" spans="1:31" x14ac:dyDescent="0.4">
      <c r="C43" s="209"/>
      <c r="I43" s="210"/>
      <c r="K43" s="209"/>
      <c r="Q43" s="210"/>
    </row>
    <row r="44" spans="1:31" x14ac:dyDescent="0.4">
      <c r="C44" s="209"/>
      <c r="I44" s="210"/>
      <c r="K44" s="209"/>
      <c r="Q44" s="210"/>
    </row>
    <row r="45" spans="1:31" x14ac:dyDescent="0.4">
      <c r="C45" s="211"/>
      <c r="D45" s="212"/>
      <c r="E45" s="212"/>
      <c r="F45" s="212"/>
      <c r="G45" s="212"/>
      <c r="H45" s="212"/>
      <c r="I45" s="213"/>
      <c r="K45" s="211"/>
      <c r="L45" s="212"/>
      <c r="M45" s="212"/>
      <c r="N45" s="212"/>
      <c r="O45" s="212"/>
      <c r="P45" s="212"/>
      <c r="Q45" s="213"/>
    </row>
    <row r="48" spans="1:31" ht="15.4" x14ac:dyDescent="0.7">
      <c r="A48" s="12" t="s">
        <v>8</v>
      </c>
      <c r="B48" s="12" t="s">
        <v>8</v>
      </c>
      <c r="T48" s="16" t="s">
        <v>102</v>
      </c>
      <c r="U48" s="16" t="s">
        <v>103</v>
      </c>
      <c r="V48" s="16" t="s">
        <v>104</v>
      </c>
      <c r="W48" s="16" t="s">
        <v>105</v>
      </c>
      <c r="X48" s="16" t="s">
        <v>106</v>
      </c>
      <c r="Y48" s="16" t="s">
        <v>107</v>
      </c>
      <c r="Z48" s="16" t="s">
        <v>106</v>
      </c>
      <c r="AA48" s="16" t="str" cm="1">
        <f t="array" ref="AA48:AC48">++TRANSPOSE(FinInputs!C285:C287)</f>
        <v>Maintenance Capex</v>
      </c>
      <c r="AB48" s="16" t="str">
        <v>Growth Capex</v>
      </c>
      <c r="AC48" s="16" t="str">
        <v>Other Capex</v>
      </c>
      <c r="AD48" s="16" t="s">
        <v>108</v>
      </c>
      <c r="AE48" s="16" t="s">
        <v>109</v>
      </c>
    </row>
    <row r="49" spans="20:31" x14ac:dyDescent="0.4">
      <c r="T49" s="47">
        <f>++EOMONTH(LastFYE,-24)</f>
        <v>44926</v>
      </c>
      <c r="U49" s="218" cm="1">
        <f t="array" ref="U49">++INDEX(FinInputs!$G$210:$AH$210,0,MATCH($T49,FinInputs!$G$3:$AH$3,0))/1000</f>
        <v>0</v>
      </c>
      <c r="V49" s="112"/>
      <c r="W49" s="218" cm="1">
        <f t="array" ref="W49">++INDEX(FinInputs!$G$219:$AH$219,0,MATCH($T49,FinInputs!$G$3:$AH$3,0))/1000</f>
        <v>0</v>
      </c>
      <c r="X49" s="112">
        <f>++IFERROR(W49/$U49,0)</f>
        <v>0</v>
      </c>
      <c r="Y49" s="218" cm="1">
        <f t="array" ref="Y49">++INDEX(FinInputs!$G$281:$AH$281,0,MATCH($T49,FinInputs!$G$3:$AH$3,0))/1000</f>
        <v>0</v>
      </c>
      <c r="Z49" s="112">
        <f>++IFERROR(Y49/$U49,0)</f>
        <v>0</v>
      </c>
      <c r="AA49" s="218">
        <v>100</v>
      </c>
      <c r="AB49" s="218">
        <v>100</v>
      </c>
      <c r="AC49" s="218">
        <v>50</v>
      </c>
      <c r="AD49" s="219">
        <f>++SUM(AA49:AC49)</f>
        <v>250</v>
      </c>
      <c r="AE49" s="112">
        <f>++IFERROR(AD49/$U49,0)</f>
        <v>0</v>
      </c>
    </row>
    <row r="50" spans="20:31" x14ac:dyDescent="0.4">
      <c r="T50" s="217">
        <f>++EOMONTH(T49,3)</f>
        <v>45016</v>
      </c>
      <c r="U50" s="218" cm="1">
        <f t="array" ref="U50">++INDEX(FinInputs!$G$210:$AH$210,0,MATCH($T50,FinInputs!$G$3:$AH$3,0))/1000</f>
        <v>0</v>
      </c>
      <c r="V50" s="112"/>
      <c r="W50" s="218" cm="1">
        <f t="array" ref="W50">++INDEX(FinInputs!$G$219:$AH$219,0,MATCH($T50,FinInputs!$G$3:$AH$3,0))/1000</f>
        <v>0</v>
      </c>
      <c r="X50" s="112">
        <f t="shared" ref="X50:Z61" si="0">++IFERROR(W50/$U50,0)</f>
        <v>0</v>
      </c>
      <c r="Y50" s="218" cm="1">
        <f t="array" ref="Y50">++INDEX(FinInputs!$G$281:$AH$281,0,MATCH($T50,FinInputs!$G$3:$AH$3,0))/1000</f>
        <v>0</v>
      </c>
      <c r="Z50" s="112">
        <f t="shared" si="0"/>
        <v>0</v>
      </c>
      <c r="AA50" s="218">
        <v>100</v>
      </c>
      <c r="AB50" s="218">
        <v>100</v>
      </c>
      <c r="AC50" s="218">
        <v>50</v>
      </c>
      <c r="AD50" s="219">
        <f t="shared" ref="AD50:AD61" si="1">++SUM(AA50:AC50)</f>
        <v>250</v>
      </c>
      <c r="AE50" s="112">
        <f>++IFERROR(AD50/$U50,0)</f>
        <v>0</v>
      </c>
    </row>
    <row r="51" spans="20:31" x14ac:dyDescent="0.4">
      <c r="T51" s="217">
        <f t="shared" ref="T51:T61" si="2">++EOMONTH(T50,3)</f>
        <v>45107</v>
      </c>
      <c r="U51" s="218" cm="1">
        <f t="array" ref="U51">++INDEX(FinInputs!$G$210:$AH$210,0,MATCH($T51,FinInputs!$G$3:$AH$3,0))/1000</f>
        <v>0</v>
      </c>
      <c r="V51" s="112"/>
      <c r="W51" s="218" cm="1">
        <f t="array" ref="W51">++INDEX(FinInputs!$G$219:$AH$219,0,MATCH($T51,FinInputs!$G$3:$AH$3,0))/1000</f>
        <v>0</v>
      </c>
      <c r="X51" s="112">
        <f t="shared" si="0"/>
        <v>0</v>
      </c>
      <c r="Y51" s="218" cm="1">
        <f t="array" ref="Y51">++INDEX(FinInputs!$G$281:$AH$281,0,MATCH($T51,FinInputs!$G$3:$AH$3,0))/1000</f>
        <v>0</v>
      </c>
      <c r="Z51" s="112">
        <f t="shared" si="0"/>
        <v>0</v>
      </c>
      <c r="AA51" s="218">
        <v>100</v>
      </c>
      <c r="AB51" s="218">
        <v>100</v>
      </c>
      <c r="AC51" s="218">
        <v>50</v>
      </c>
      <c r="AD51" s="219">
        <f t="shared" si="1"/>
        <v>250</v>
      </c>
      <c r="AE51" s="112">
        <f t="shared" ref="AE51" si="3">++IFERROR(AD51/$U51,0)</f>
        <v>0</v>
      </c>
    </row>
    <row r="52" spans="20:31" x14ac:dyDescent="0.4">
      <c r="T52" s="217">
        <f t="shared" si="2"/>
        <v>45199</v>
      </c>
      <c r="U52" s="218" cm="1">
        <f t="array" ref="U52">++INDEX(FinInputs!$G$210:$AH$210,0,MATCH($T52,FinInputs!$G$3:$AH$3,0))/1000</f>
        <v>0</v>
      </c>
      <c r="V52" s="112"/>
      <c r="W52" s="218" cm="1">
        <f t="array" ref="W52">++INDEX(FinInputs!$G$219:$AH$219,0,MATCH($T52,FinInputs!$G$3:$AH$3,0))/1000</f>
        <v>0</v>
      </c>
      <c r="X52" s="112">
        <f t="shared" si="0"/>
        <v>0</v>
      </c>
      <c r="Y52" s="218" cm="1">
        <f t="array" ref="Y52">++INDEX(FinInputs!$G$281:$AH$281,0,MATCH($T52,FinInputs!$G$3:$AH$3,0))/1000</f>
        <v>0</v>
      </c>
      <c r="Z52" s="112">
        <f t="shared" si="0"/>
        <v>0</v>
      </c>
      <c r="AA52" s="218">
        <v>100</v>
      </c>
      <c r="AB52" s="218">
        <v>100</v>
      </c>
      <c r="AC52" s="218">
        <v>50</v>
      </c>
      <c r="AD52" s="219">
        <f t="shared" si="1"/>
        <v>250</v>
      </c>
      <c r="AE52" s="112">
        <f t="shared" ref="AE52" si="4">++IFERROR(AD52/$U52,0)</f>
        <v>0</v>
      </c>
    </row>
    <row r="53" spans="20:31" x14ac:dyDescent="0.4">
      <c r="T53" s="217">
        <f t="shared" si="2"/>
        <v>45291</v>
      </c>
      <c r="U53" s="218" cm="1">
        <f t="array" ref="U53">++INDEX(FinInputs!$G$210:$AH$210,0,MATCH($T53,FinInputs!$G$3:$AH$3,0))/1000</f>
        <v>0</v>
      </c>
      <c r="V53" s="112" cm="1">
        <f t="array" ref="V53">++INDEX(FinInputs!$G$211:$AH$211,0,MATCH($T53,FinInputs!$G$3:$AH$3,0))</f>
        <v>0</v>
      </c>
      <c r="W53" s="218" cm="1">
        <f t="array" ref="W53">++INDEX(FinInputs!$G$219:$AH$219,0,MATCH($T53,FinInputs!$G$3:$AH$3,0))/1000</f>
        <v>0</v>
      </c>
      <c r="X53" s="112">
        <f t="shared" si="0"/>
        <v>0</v>
      </c>
      <c r="Y53" s="218" cm="1">
        <f t="array" ref="Y53">++INDEX(FinInputs!$G$281:$AH$281,0,MATCH($T53,FinInputs!$G$3:$AH$3,0))/1000</f>
        <v>0</v>
      </c>
      <c r="Z53" s="112">
        <f t="shared" si="0"/>
        <v>0</v>
      </c>
      <c r="AA53" s="218">
        <v>100</v>
      </c>
      <c r="AB53" s="218">
        <v>100</v>
      </c>
      <c r="AC53" s="218">
        <v>50</v>
      </c>
      <c r="AD53" s="219">
        <f t="shared" si="1"/>
        <v>250</v>
      </c>
      <c r="AE53" s="112">
        <f t="shared" ref="AE53" si="5">++IFERROR(AD53/$U53,0)</f>
        <v>0</v>
      </c>
    </row>
    <row r="54" spans="20:31" x14ac:dyDescent="0.4">
      <c r="T54" s="217">
        <f t="shared" si="2"/>
        <v>45382</v>
      </c>
      <c r="U54" s="218" cm="1">
        <f t="array" ref="U54">++INDEX(FinInputs!$G$210:$AH$210,0,MATCH($T54,FinInputs!$G$3:$AH$3,0))/1000</f>
        <v>0</v>
      </c>
      <c r="V54" s="112" cm="1">
        <f t="array" ref="V54">++INDEX(FinInputs!$G$211:$AH$211,0,MATCH($T54,FinInputs!$G$3:$AH$3,0))</f>
        <v>0</v>
      </c>
      <c r="W54" s="218" cm="1">
        <f t="array" ref="W54">++INDEX(FinInputs!$G$219:$AH$219,0,MATCH($T54,FinInputs!$G$3:$AH$3,0))/1000</f>
        <v>0</v>
      </c>
      <c r="X54" s="112">
        <f t="shared" si="0"/>
        <v>0</v>
      </c>
      <c r="Y54" s="218" cm="1">
        <f t="array" ref="Y54">++INDEX(FinInputs!$G$281:$AH$281,0,MATCH($T54,FinInputs!$G$3:$AH$3,0))/1000</f>
        <v>0</v>
      </c>
      <c r="Z54" s="112">
        <f t="shared" si="0"/>
        <v>0</v>
      </c>
      <c r="AA54" s="218">
        <v>100</v>
      </c>
      <c r="AB54" s="218">
        <v>100</v>
      </c>
      <c r="AC54" s="218">
        <v>50</v>
      </c>
      <c r="AD54" s="219">
        <f t="shared" si="1"/>
        <v>250</v>
      </c>
      <c r="AE54" s="112">
        <f t="shared" ref="AE54" si="6">++IFERROR(AD54/$U54,0)</f>
        <v>0</v>
      </c>
    </row>
    <row r="55" spans="20:31" x14ac:dyDescent="0.4">
      <c r="T55" s="217">
        <f t="shared" si="2"/>
        <v>45473</v>
      </c>
      <c r="U55" s="218" cm="1">
        <f t="array" ref="U55">++INDEX(FinInputs!$G$210:$AH$210,0,MATCH($T55,FinInputs!$G$3:$AH$3,0))/1000</f>
        <v>0</v>
      </c>
      <c r="V55" s="112" cm="1">
        <f t="array" ref="V55">++INDEX(FinInputs!$G$211:$AH$211,0,MATCH($T55,FinInputs!$G$3:$AH$3,0))</f>
        <v>0</v>
      </c>
      <c r="W55" s="218" cm="1">
        <f t="array" ref="W55">++INDEX(FinInputs!$G$219:$AH$219,0,MATCH($T55,FinInputs!$G$3:$AH$3,0))/1000</f>
        <v>0</v>
      </c>
      <c r="X55" s="112">
        <f t="shared" si="0"/>
        <v>0</v>
      </c>
      <c r="Y55" s="218" cm="1">
        <f t="array" ref="Y55">++INDEX(FinInputs!$G$281:$AH$281,0,MATCH($T55,FinInputs!$G$3:$AH$3,0))/1000</f>
        <v>0</v>
      </c>
      <c r="Z55" s="112">
        <f t="shared" si="0"/>
        <v>0</v>
      </c>
      <c r="AA55" s="218">
        <v>100</v>
      </c>
      <c r="AB55" s="218">
        <v>100</v>
      </c>
      <c r="AC55" s="218">
        <v>50</v>
      </c>
      <c r="AD55" s="219">
        <f t="shared" si="1"/>
        <v>250</v>
      </c>
      <c r="AE55" s="112">
        <f t="shared" ref="AE55" si="7">++IFERROR(AD55/$U55,0)</f>
        <v>0</v>
      </c>
    </row>
    <row r="56" spans="20:31" x14ac:dyDescent="0.4">
      <c r="T56" s="217">
        <f t="shared" si="2"/>
        <v>45565</v>
      </c>
      <c r="U56" s="218" cm="1">
        <f t="array" ref="U56">++INDEX(FinInputs!$G$210:$AH$210,0,MATCH($T56,FinInputs!$G$3:$AH$3,0))/1000</f>
        <v>0</v>
      </c>
      <c r="V56" s="112" cm="1">
        <f t="array" ref="V56">++INDEX(FinInputs!$G$211:$AH$211,0,MATCH($T56,FinInputs!$G$3:$AH$3,0))</f>
        <v>0</v>
      </c>
      <c r="W56" s="218" cm="1">
        <f t="array" ref="W56">++INDEX(FinInputs!$G$219:$AH$219,0,MATCH($T56,FinInputs!$G$3:$AH$3,0))/1000</f>
        <v>0</v>
      </c>
      <c r="X56" s="112">
        <f t="shared" si="0"/>
        <v>0</v>
      </c>
      <c r="Y56" s="218" cm="1">
        <f t="array" ref="Y56">++INDEX(FinInputs!$G$281:$AH$281,0,MATCH($T56,FinInputs!$G$3:$AH$3,0))/1000</f>
        <v>0</v>
      </c>
      <c r="Z56" s="112">
        <f t="shared" si="0"/>
        <v>0</v>
      </c>
      <c r="AA56" s="218">
        <v>100</v>
      </c>
      <c r="AB56" s="218">
        <v>100</v>
      </c>
      <c r="AC56" s="218">
        <v>50</v>
      </c>
      <c r="AD56" s="219">
        <f t="shared" si="1"/>
        <v>250</v>
      </c>
      <c r="AE56" s="112">
        <f t="shared" ref="AE56:AE59" si="8">++IFERROR(AD56/$U56,0)</f>
        <v>0</v>
      </c>
    </row>
    <row r="57" spans="20:31" x14ac:dyDescent="0.4">
      <c r="T57" s="217">
        <f t="shared" si="2"/>
        <v>45657</v>
      </c>
      <c r="U57" s="218" cm="1">
        <f t="array" ref="U57">++INDEX(FinInputs!$G$210:$AH$210,0,MATCH($T57,FinInputs!$G$3:$AH$3,0))/1000</f>
        <v>0</v>
      </c>
      <c r="V57" s="112" cm="1">
        <f t="array" ref="V57">++INDEX(FinInputs!$G$211:$AH$211,0,MATCH($T57,FinInputs!$G$3:$AH$3,0))</f>
        <v>0</v>
      </c>
      <c r="W57" s="218" cm="1">
        <f t="array" ref="W57">++INDEX(FinInputs!$G$219:$AH$219,0,MATCH($T57,FinInputs!$G$3:$AH$3,0))/1000</f>
        <v>0</v>
      </c>
      <c r="X57" s="112">
        <f t="shared" si="0"/>
        <v>0</v>
      </c>
      <c r="Y57" s="218" cm="1">
        <f t="array" ref="Y57">++INDEX(FinInputs!$G$281:$AH$281,0,MATCH($T57,FinInputs!$G$3:$AH$3,0))/1000</f>
        <v>0</v>
      </c>
      <c r="Z57" s="112">
        <f t="shared" si="0"/>
        <v>0</v>
      </c>
      <c r="AA57" s="218">
        <v>100</v>
      </c>
      <c r="AB57" s="218">
        <v>100</v>
      </c>
      <c r="AC57" s="218">
        <v>50</v>
      </c>
      <c r="AD57" s="219">
        <f t="shared" si="1"/>
        <v>250</v>
      </c>
      <c r="AE57" s="112">
        <f t="shared" ref="AE57" si="9">++IFERROR(AD57/$U57,0)</f>
        <v>0</v>
      </c>
    </row>
    <row r="58" spans="20:31" x14ac:dyDescent="0.4">
      <c r="T58" s="217">
        <f t="shared" si="2"/>
        <v>45747</v>
      </c>
      <c r="U58" s="218" cm="1">
        <f t="array" ref="U58">++INDEX(FinInputs!$G$210:$AH$210,0,MATCH($T58,FinInputs!$G$3:$AH$3,0))/1000</f>
        <v>0</v>
      </c>
      <c r="V58" s="112" cm="1">
        <f t="array" ref="V58">++INDEX(FinInputs!$G$211:$AH$211,0,MATCH($T58,FinInputs!$G$3:$AH$3,0))</f>
        <v>0</v>
      </c>
      <c r="W58" s="218" cm="1">
        <f t="array" ref="W58">++INDEX(FinInputs!$G$219:$AH$219,0,MATCH($T58,FinInputs!$G$3:$AH$3,0))/1000</f>
        <v>0</v>
      </c>
      <c r="X58" s="112">
        <f t="shared" ref="X58:X59" si="10">++IFERROR(W58/$U58,0)</f>
        <v>0</v>
      </c>
      <c r="Y58" s="218" cm="1">
        <f t="array" ref="Y58">++INDEX(FinInputs!$G$281:$AH$281,0,MATCH($T58,FinInputs!$G$3:$AH$3,0))/1000</f>
        <v>0</v>
      </c>
      <c r="Z58" s="112">
        <f t="shared" ref="Z58:Z59" si="11">++IFERROR(Y58/$U58,0)</f>
        <v>0</v>
      </c>
      <c r="AA58" s="218">
        <v>100</v>
      </c>
      <c r="AB58" s="218">
        <v>100</v>
      </c>
      <c r="AC58" s="218">
        <v>50</v>
      </c>
      <c r="AD58" s="219">
        <f t="shared" ref="AD58:AD59" si="12">++SUM(AA58:AC58)</f>
        <v>250</v>
      </c>
      <c r="AE58" s="112">
        <f t="shared" si="8"/>
        <v>0</v>
      </c>
    </row>
    <row r="59" spans="20:31" x14ac:dyDescent="0.4">
      <c r="T59" s="217">
        <f t="shared" si="2"/>
        <v>45838</v>
      </c>
      <c r="U59" s="218" cm="1">
        <f t="array" ref="U59">++INDEX(FinInputs!$G$210:$AH$210,0,MATCH($T59,FinInputs!$G$3:$AH$3,0))/1000</f>
        <v>0</v>
      </c>
      <c r="V59" s="112" cm="1">
        <f t="array" ref="V59">++INDEX(FinInputs!$G$211:$AH$211,0,MATCH($T59,FinInputs!$G$3:$AH$3,0))</f>
        <v>0</v>
      </c>
      <c r="W59" s="218" cm="1">
        <f t="array" ref="W59">++INDEX(FinInputs!$G$219:$AH$219,0,MATCH($T59,FinInputs!$G$3:$AH$3,0))/1000</f>
        <v>0</v>
      </c>
      <c r="X59" s="112">
        <f t="shared" si="10"/>
        <v>0</v>
      </c>
      <c r="Y59" s="218" cm="1">
        <f t="array" ref="Y59">++INDEX(FinInputs!$G$281:$AH$281,0,MATCH($T59,FinInputs!$G$3:$AH$3,0))/1000</f>
        <v>0</v>
      </c>
      <c r="Z59" s="112">
        <f t="shared" si="11"/>
        <v>0</v>
      </c>
      <c r="AA59" s="218">
        <v>100</v>
      </c>
      <c r="AB59" s="218">
        <v>100</v>
      </c>
      <c r="AC59" s="218">
        <v>50</v>
      </c>
      <c r="AD59" s="219">
        <f t="shared" si="12"/>
        <v>250</v>
      </c>
      <c r="AE59" s="112">
        <f t="shared" si="8"/>
        <v>0</v>
      </c>
    </row>
    <row r="60" spans="20:31" x14ac:dyDescent="0.4">
      <c r="T60" s="217">
        <f t="shared" si="2"/>
        <v>45930</v>
      </c>
      <c r="U60" s="218" cm="1">
        <f t="array" ref="U60">++INDEX(FinInputs!$G$210:$AH$210,0,MATCH($T60,FinInputs!$G$3:$AH$3,0))/1000</f>
        <v>0</v>
      </c>
      <c r="V60" s="112" cm="1">
        <f t="array" ref="V60">++INDEX(FinInputs!$G$211:$AH$211,0,MATCH($T60,FinInputs!$G$3:$AH$3,0))</f>
        <v>0</v>
      </c>
      <c r="W60" s="218" cm="1">
        <f t="array" ref="W60">++INDEX(FinInputs!$G$219:$AH$219,0,MATCH($T60,FinInputs!$G$3:$AH$3,0))/1000</f>
        <v>0</v>
      </c>
      <c r="X60" s="112">
        <f t="shared" si="0"/>
        <v>0</v>
      </c>
      <c r="Y60" s="218" cm="1">
        <f t="array" ref="Y60">++INDEX(FinInputs!$G$281:$AH$281,0,MATCH($T60,FinInputs!$G$3:$AH$3,0))/1000</f>
        <v>0</v>
      </c>
      <c r="Z60" s="112">
        <f t="shared" si="0"/>
        <v>0</v>
      </c>
      <c r="AA60" s="218">
        <v>100</v>
      </c>
      <c r="AB60" s="218">
        <v>100</v>
      </c>
      <c r="AC60" s="218">
        <v>50</v>
      </c>
      <c r="AD60" s="219">
        <f t="shared" si="1"/>
        <v>250</v>
      </c>
      <c r="AE60" s="112">
        <f t="shared" ref="AE60" si="13">++IFERROR(AD60/$U60,0)</f>
        <v>0</v>
      </c>
    </row>
    <row r="61" spans="20:31" x14ac:dyDescent="0.4">
      <c r="T61" s="217">
        <f t="shared" si="2"/>
        <v>46022</v>
      </c>
      <c r="U61" s="218" cm="1">
        <f t="array" ref="U61">++INDEX(FinInputs!$G$210:$AH$210,0,MATCH($T61,FinInputs!$G$3:$AH$3,0))/1000</f>
        <v>0</v>
      </c>
      <c r="V61" s="112" cm="1">
        <f t="array" ref="V61">++INDEX(FinInputs!$G$211:$AH$211,0,MATCH($T61,FinInputs!$G$3:$AH$3,0))</f>
        <v>0</v>
      </c>
      <c r="W61" s="218" cm="1">
        <f t="array" ref="W61">++INDEX(FinInputs!$G$219:$AH$219,0,MATCH($T61,FinInputs!$G$3:$AH$3,0))/1000</f>
        <v>0</v>
      </c>
      <c r="X61" s="112">
        <f t="shared" si="0"/>
        <v>0</v>
      </c>
      <c r="Y61" s="218" cm="1">
        <f t="array" ref="Y61">++INDEX(FinInputs!$G$281:$AH$281,0,MATCH($T61,FinInputs!$G$3:$AH$3,0))/1000</f>
        <v>0</v>
      </c>
      <c r="Z61" s="112">
        <f t="shared" si="0"/>
        <v>0</v>
      </c>
      <c r="AA61" s="218">
        <v>100</v>
      </c>
      <c r="AB61" s="218">
        <v>100</v>
      </c>
      <c r="AC61" s="218">
        <v>50</v>
      </c>
      <c r="AD61" s="219">
        <f t="shared" si="1"/>
        <v>250</v>
      </c>
      <c r="AE61" s="112">
        <f t="shared" ref="AE61" si="14">++IFERROR(AD61/$U61,0)</f>
        <v>0</v>
      </c>
    </row>
  </sheetData>
  <pageMargins left="0.7" right="0.7" top="0.75" bottom="0.75" header="0.3" footer="0.3"/>
  <customProperties>
    <customPr name="OrphanNamesChecke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851A-6D1D-4218-882B-C6F4CF07CB81}">
  <sheetPr codeName="Sheet6"/>
  <dimension ref="A1:N52"/>
  <sheetViews>
    <sheetView showGridLines="0" zoomScale="85" zoomScaleNormal="85" workbookViewId="0">
      <pane xSplit="7" ySplit="10" topLeftCell="H11" activePane="bottomRight" state="frozen"/>
      <selection pane="topRight" activeCell="N9" sqref="N9"/>
      <selection pane="bottomLeft" activeCell="N9" sqref="N9"/>
      <selection pane="bottomRight" activeCell="H11" sqref="H11"/>
    </sheetView>
  </sheetViews>
  <sheetFormatPr defaultRowHeight="13.15" outlineLevelCol="1" x14ac:dyDescent="0.4"/>
  <cols>
    <col min="1" max="2" width="2.7109375" style="1" customWidth="1"/>
    <col min="3" max="3" width="5.28515625" style="1" customWidth="1"/>
    <col min="4" max="6" width="11.28515625" style="1" customWidth="1"/>
    <col min="7" max="7" width="2.7109375" style="1" customWidth="1"/>
    <col min="8" max="10" width="11.28515625" style="1" customWidth="1"/>
    <col min="11" max="11" width="11.28515625" style="1" hidden="1" customWidth="1" outlineLevel="1"/>
    <col min="12" max="12" width="11.28515625" style="1" customWidth="1" collapsed="1"/>
    <col min="13" max="13" width="2.7109375" style="1" customWidth="1"/>
    <col min="14" max="14" width="11.28515625" style="1" customWidth="1"/>
    <col min="15" max="16384" width="9.140625" style="1"/>
  </cols>
  <sheetData>
    <row r="1" spans="1:14" x14ac:dyDescent="0.4">
      <c r="C1" s="9" t="str">
        <f>++CoName</f>
        <v>[Company Name] ([Sponsor Name / Non-Sponsored])</v>
      </c>
      <c r="D1" s="3"/>
      <c r="E1" s="3"/>
      <c r="F1" s="4"/>
    </row>
    <row r="2" spans="1:14" x14ac:dyDescent="0.4">
      <c r="C2" s="10" t="s">
        <v>110</v>
      </c>
      <c r="D2" s="5"/>
      <c r="E2" s="5"/>
      <c r="F2" s="6"/>
      <c r="H2" s="15">
        <f t="shared" ref="H2" si="0">++EOMONTH(I2,-12)</f>
        <v>44926</v>
      </c>
      <c r="I2" s="15">
        <f>++EOMONTH(J2,-12)</f>
        <v>45291</v>
      </c>
      <c r="J2" s="47">
        <f>++LastFYE</f>
        <v>45657</v>
      </c>
      <c r="K2" s="47">
        <f>+LastActDate</f>
        <v>45930</v>
      </c>
      <c r="L2" s="47">
        <f>++LTMDate</f>
        <v>45930</v>
      </c>
    </row>
    <row r="3" spans="1:14" x14ac:dyDescent="0.4">
      <c r="C3" s="11" t="str">
        <f ca="1">++TEXT(TODAY(),"MMMM D, YYYY")</f>
        <v>April 21, 2026</v>
      </c>
      <c r="D3" s="7"/>
      <c r="E3" s="7"/>
      <c r="F3" s="8"/>
    </row>
    <row r="5" spans="1:14" x14ac:dyDescent="0.4">
      <c r="A5" s="12" t="s">
        <v>8</v>
      </c>
      <c r="B5" s="12" t="s">
        <v>8</v>
      </c>
      <c r="C5" s="106" t="str">
        <f>++C2</f>
        <v>EBITDA Adjustment Detail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5.0999999999999996" customHeight="1" x14ac:dyDescent="0.4"/>
    <row r="7" spans="1:14" ht="15.4" x14ac:dyDescent="0.7">
      <c r="C7" s="14" t="s">
        <v>9</v>
      </c>
      <c r="H7" s="27" t="s">
        <v>92</v>
      </c>
      <c r="I7" s="26"/>
      <c r="J7" s="26"/>
      <c r="K7" s="26"/>
      <c r="L7" s="26"/>
      <c r="N7" s="28" t="s">
        <v>75</v>
      </c>
    </row>
    <row r="8" spans="1:14" ht="5.0999999999999996" customHeight="1" x14ac:dyDescent="0.4"/>
    <row r="9" spans="1:14" ht="15.4" x14ac:dyDescent="0.7">
      <c r="C9" s="14" t="str">
        <f>++"FYE "&amp;TEXT(LastFYE,"MMMM DD")&amp;"st"</f>
        <v>FYE December 31st</v>
      </c>
      <c r="H9" s="16" t="str">
        <f>++"FY'"&amp;RIGHT(YEAR(H$2),2)&amp;"A"</f>
        <v>FY'22A</v>
      </c>
      <c r="I9" s="16" t="str">
        <f t="shared" ref="I9:J9" si="1">++"FY'"&amp;RIGHT(YEAR(I$2),2)&amp;"A"</f>
        <v>FY'23A</v>
      </c>
      <c r="J9" s="16" t="str">
        <f t="shared" si="1"/>
        <v>FY'24A</v>
      </c>
      <c r="K9" s="16" t="str">
        <f>++"LTM "&amp;TEXT(K$2,"M/YY")&amp;"A"</f>
        <v>LTM 9/25A</v>
      </c>
      <c r="L9" s="38" t="str">
        <f>++"LTM "&amp;TEXT(L$2,"M/YY")&amp;IF(LTMDate&gt;LastActDate,"E","A")</f>
        <v>LTM 9/25A</v>
      </c>
      <c r="N9" s="16" t="str">
        <f>++L9</f>
        <v>LTM 9/25A</v>
      </c>
    </row>
    <row r="10" spans="1:14" ht="5.0999999999999996" customHeight="1" x14ac:dyDescent="0.4">
      <c r="L10" s="39"/>
    </row>
    <row r="11" spans="1:14" x14ac:dyDescent="0.4">
      <c r="A11" s="12" t="s">
        <v>8</v>
      </c>
      <c r="B11" s="12" t="s">
        <v>8</v>
      </c>
      <c r="C11" s="49" t="s">
        <v>111</v>
      </c>
      <c r="D11" s="31"/>
      <c r="E11" s="31"/>
      <c r="F11" s="31"/>
      <c r="G11" s="31"/>
      <c r="H11" s="103" cm="1">
        <f t="array" ref="H11">++INDEX(FinInputs!$G248:$AH248,0,MATCH(H$2,FinInputs!$G$3:$AH$3,0))</f>
        <v>0</v>
      </c>
      <c r="I11" s="103" cm="1">
        <f t="array" ref="I11">++INDEX(FinInputs!$G248:$AH248,0,MATCH(I$2,FinInputs!$G$3:$AH$3,0))</f>
        <v>0</v>
      </c>
      <c r="J11" s="103" cm="1">
        <f t="array" ref="J11">++INDEX(FinInputs!$G248:$AH248,0,MATCH(J$2,FinInputs!$G$3:$AH$3,0))</f>
        <v>0</v>
      </c>
      <c r="K11" s="103" cm="1">
        <f t="array" ref="K11">++INDEX(FinInputs!$G248:$AH248,0,MATCH(K$2,FinInputs!$G$3:$AH$3,0))</f>
        <v>0</v>
      </c>
      <c r="L11" s="104" cm="1">
        <f t="array" ref="L11">++INDEX(FinInputs!$G248:$AH248,0,MATCH(L$2,FinInputs!$G$3:$AH$3,0))</f>
        <v>0</v>
      </c>
      <c r="N11" s="51"/>
    </row>
    <row r="12" spans="1:14" x14ac:dyDescent="0.4">
      <c r="L12" s="39"/>
    </row>
    <row r="13" spans="1:14" x14ac:dyDescent="0.4">
      <c r="C13" s="60" t="s">
        <v>112</v>
      </c>
      <c r="L13" s="39"/>
    </row>
    <row r="14" spans="1:14" x14ac:dyDescent="0.4">
      <c r="C14" s="1" t="s">
        <v>113</v>
      </c>
      <c r="H14" s="54" cm="1">
        <f t="array" ref="H14">++INDEX(FinInputs!$G249:$AH249,0,MATCH(H$2,FinInputs!$G$3:$AH$3,0))</f>
        <v>0</v>
      </c>
      <c r="I14" s="54" cm="1">
        <f t="array" ref="I14">++INDEX(FinInputs!$G249:$AH249,0,MATCH(I$2,FinInputs!$G$3:$AH$3,0))</f>
        <v>0</v>
      </c>
      <c r="J14" s="54" cm="1">
        <f t="array" ref="J14">++INDEX(FinInputs!$G249:$AH249,0,MATCH(J$2,FinInputs!$G$3:$AH$3,0))</f>
        <v>0</v>
      </c>
      <c r="K14" s="54" cm="1">
        <f t="array" ref="K14">++INDEX(FinInputs!$G249:$AH249,0,MATCH(K$2,FinInputs!$G$3:$AH$3,0))</f>
        <v>0</v>
      </c>
      <c r="L14" s="55" cm="1">
        <f t="array" ref="L14">++INDEX(FinInputs!$G249:$AH249,0,MATCH(L$2,FinInputs!$G$3:$AH$3,0))</f>
        <v>0</v>
      </c>
      <c r="N14" s="5"/>
    </row>
    <row r="15" spans="1:14" x14ac:dyDescent="0.4">
      <c r="C15" s="1" t="s">
        <v>114</v>
      </c>
      <c r="H15" s="54" cm="1">
        <f t="array" ref="H15">++INDEX(FinInputs!$G250:$AH250,0,MATCH(H$2,FinInputs!$G$3:$AH$3,0))</f>
        <v>0</v>
      </c>
      <c r="I15" s="54" cm="1">
        <f t="array" ref="I15">++INDEX(FinInputs!$G250:$AH250,0,MATCH(I$2,FinInputs!$G$3:$AH$3,0))</f>
        <v>0</v>
      </c>
      <c r="J15" s="54" cm="1">
        <f t="array" ref="J15">++INDEX(FinInputs!$G250:$AH250,0,MATCH(J$2,FinInputs!$G$3:$AH$3,0))</f>
        <v>0</v>
      </c>
      <c r="K15" s="54" cm="1">
        <f t="array" ref="K15">++INDEX(FinInputs!$G250:$AH250,0,MATCH(K$2,FinInputs!$G$3:$AH$3,0))</f>
        <v>0</v>
      </c>
      <c r="L15" s="55" cm="1">
        <f t="array" ref="L15">++INDEX(FinInputs!$G250:$AH250,0,MATCH(L$2,FinInputs!$G$3:$AH$3,0))</f>
        <v>0</v>
      </c>
      <c r="N15" s="5"/>
    </row>
    <row r="16" spans="1:14" x14ac:dyDescent="0.4">
      <c r="C16" s="1" t="s">
        <v>115</v>
      </c>
      <c r="H16" s="54" cm="1">
        <f t="array" ref="H16">++INDEX(FinInputs!$G251:$AH251,0,MATCH(H$2,FinInputs!$G$3:$AH$3,0))</f>
        <v>0</v>
      </c>
      <c r="I16" s="54" cm="1">
        <f t="array" ref="I16">++INDEX(FinInputs!$G251:$AH251,0,MATCH(I$2,FinInputs!$G$3:$AH$3,0))</f>
        <v>0</v>
      </c>
      <c r="J16" s="54" cm="1">
        <f t="array" ref="J16">++INDEX(FinInputs!$G251:$AH251,0,MATCH(J$2,FinInputs!$G$3:$AH$3,0))</f>
        <v>0</v>
      </c>
      <c r="K16" s="54" cm="1">
        <f t="array" ref="K16">++INDEX(FinInputs!$G251:$AH251,0,MATCH(K$2,FinInputs!$G$3:$AH$3,0))</f>
        <v>0</v>
      </c>
      <c r="L16" s="55" cm="1">
        <f t="array" ref="L16">++INDEX(FinInputs!$G251:$AH251,0,MATCH(L$2,FinInputs!$G$3:$AH$3,0))</f>
        <v>0</v>
      </c>
      <c r="N16" s="5"/>
    </row>
    <row r="17" spans="2:14" x14ac:dyDescent="0.4">
      <c r="C17" s="1" t="s">
        <v>116</v>
      </c>
      <c r="H17" s="54" cm="1">
        <f t="array" ref="H17">++INDEX(FinInputs!$G252:$AH252,0,MATCH(H$2,FinInputs!$G$3:$AH$3,0))</f>
        <v>0</v>
      </c>
      <c r="I17" s="54" cm="1">
        <f t="array" ref="I17">++INDEX(FinInputs!$G252:$AH252,0,MATCH(I$2,FinInputs!$G$3:$AH$3,0))</f>
        <v>0</v>
      </c>
      <c r="J17" s="54" cm="1">
        <f t="array" ref="J17">++INDEX(FinInputs!$G252:$AH252,0,MATCH(J$2,FinInputs!$G$3:$AH$3,0))</f>
        <v>0</v>
      </c>
      <c r="K17" s="54" cm="1">
        <f t="array" ref="K17">++INDEX(FinInputs!$G252:$AH252,0,MATCH(K$2,FinInputs!$G$3:$AH$3,0))</f>
        <v>0</v>
      </c>
      <c r="L17" s="55" cm="1">
        <f t="array" ref="L17">++INDEX(FinInputs!$G252:$AH252,0,MATCH(L$2,FinInputs!$G$3:$AH$3,0))</f>
        <v>0</v>
      </c>
      <c r="N17" s="5"/>
    </row>
    <row r="18" spans="2:14" x14ac:dyDescent="0.4">
      <c r="B18" s="12" t="s">
        <v>8</v>
      </c>
      <c r="C18" s="203" t="str">
        <f>++FinInputs!C253</f>
        <v>EBITDA (Reported)</v>
      </c>
      <c r="D18" s="30"/>
      <c r="E18" s="30"/>
      <c r="F18" s="30"/>
      <c r="G18" s="30"/>
      <c r="H18" s="32">
        <f>++SUM(H11,H14:H17)</f>
        <v>0</v>
      </c>
      <c r="I18" s="32">
        <f t="shared" ref="I18:L18" si="2">++SUM(I11,I14:I17)</f>
        <v>0</v>
      </c>
      <c r="J18" s="32">
        <f t="shared" si="2"/>
        <v>0</v>
      </c>
      <c r="K18" s="32">
        <f t="shared" ref="K18" si="3">++SUM(K11,K14:K17)</f>
        <v>0</v>
      </c>
      <c r="L18" s="41">
        <f t="shared" si="2"/>
        <v>0</v>
      </c>
      <c r="N18" s="33">
        <f>++IFERROR(L18/L$48,0)</f>
        <v>0</v>
      </c>
    </row>
    <row r="19" spans="2:14" x14ac:dyDescent="0.4">
      <c r="L19" s="39"/>
    </row>
    <row r="20" spans="2:14" x14ac:dyDescent="0.4">
      <c r="C20" s="60" t="s">
        <v>117</v>
      </c>
      <c r="L20" s="39"/>
    </row>
    <row r="21" spans="2:14" x14ac:dyDescent="0.4">
      <c r="C21" s="46">
        <v>-1</v>
      </c>
      <c r="D21" s="202" t="str">
        <f>++RIGHT(FinInputs!C257,LEN(FinInputs!C257)-6)</f>
        <v>[Diligence Adjustment]</v>
      </c>
      <c r="H21" s="54" cm="1">
        <f t="array" ref="H21">++INDEX(FinInputs!$G257:$AH257,0,MATCH(H$2,FinInputs!$G$3:$AH$3,0))</f>
        <v>0</v>
      </c>
      <c r="I21" s="54" cm="1">
        <f t="array" ref="I21">++INDEX(FinInputs!$G257:$AH257,0,MATCH(I$2,FinInputs!$G$3:$AH$3,0))</f>
        <v>0</v>
      </c>
      <c r="J21" s="54" cm="1">
        <f t="array" ref="J21">++INDEX(FinInputs!$G257:$AH257,0,MATCH(J$2,FinInputs!$G$3:$AH$3,0))</f>
        <v>0</v>
      </c>
      <c r="K21" s="54" cm="1">
        <f t="array" ref="K21">++INDEX(FinInputs!$G257:$AH257,0,MATCH(K$2,FinInputs!$G$3:$AH$3,0))</f>
        <v>0</v>
      </c>
      <c r="L21" s="55" cm="1">
        <f t="array" ref="L21">++INDEX(FinInputs!$G257:$AH257,0,MATCH(L$2,FinInputs!$G$3:$AH$3,0))</f>
        <v>0</v>
      </c>
      <c r="N21" s="21">
        <f t="shared" ref="N21:N31" si="4">++IFERROR(L21/L$48,0)</f>
        <v>0</v>
      </c>
    </row>
    <row r="22" spans="2:14" x14ac:dyDescent="0.4">
      <c r="C22" s="46">
        <f>++C21-1</f>
        <v>-2</v>
      </c>
      <c r="D22" s="202" t="str">
        <f>++RIGHT(FinInputs!C258,LEN(FinInputs!C258)-6)</f>
        <v>[Diligence Adjustment]</v>
      </c>
      <c r="H22" s="54" cm="1">
        <f t="array" ref="H22">++INDEX(FinInputs!$G258:$AH258,0,MATCH(H$2,FinInputs!$G$3:$AH$3,0))</f>
        <v>0</v>
      </c>
      <c r="I22" s="54" cm="1">
        <f t="array" ref="I22">++INDEX(FinInputs!$G258:$AH258,0,MATCH(I$2,FinInputs!$G$3:$AH$3,0))</f>
        <v>0</v>
      </c>
      <c r="J22" s="54" cm="1">
        <f t="array" ref="J22">++INDEX(FinInputs!$G258:$AH258,0,MATCH(J$2,FinInputs!$G$3:$AH$3,0))</f>
        <v>0</v>
      </c>
      <c r="K22" s="54" cm="1">
        <f t="array" ref="K22">++INDEX(FinInputs!$G258:$AH258,0,MATCH(K$2,FinInputs!$G$3:$AH$3,0))</f>
        <v>0</v>
      </c>
      <c r="L22" s="55" cm="1">
        <f t="array" ref="L22">++INDEX(FinInputs!$G258:$AH258,0,MATCH(L$2,FinInputs!$G$3:$AH$3,0))</f>
        <v>0</v>
      </c>
      <c r="N22" s="21">
        <f t="shared" si="4"/>
        <v>0</v>
      </c>
    </row>
    <row r="23" spans="2:14" x14ac:dyDescent="0.4">
      <c r="C23" s="46">
        <f t="shared" ref="C23:C26" si="5">++C22-1</f>
        <v>-3</v>
      </c>
      <c r="D23" s="202" t="str">
        <f>++RIGHT(FinInputs!C259,LEN(FinInputs!C259)-6)</f>
        <v>[Diligence Adjustment]</v>
      </c>
      <c r="H23" s="54" cm="1">
        <f t="array" ref="H23">++INDEX(FinInputs!$G259:$AH259,0,MATCH(H$2,FinInputs!$G$3:$AH$3,0))</f>
        <v>0</v>
      </c>
      <c r="I23" s="54" cm="1">
        <f t="array" ref="I23">++INDEX(FinInputs!$G259:$AH259,0,MATCH(I$2,FinInputs!$G$3:$AH$3,0))</f>
        <v>0</v>
      </c>
      <c r="J23" s="54" cm="1">
        <f t="array" ref="J23">++INDEX(FinInputs!$G259:$AH259,0,MATCH(J$2,FinInputs!$G$3:$AH$3,0))</f>
        <v>0</v>
      </c>
      <c r="K23" s="54" cm="1">
        <f t="array" ref="K23">++INDEX(FinInputs!$G259:$AH259,0,MATCH(K$2,FinInputs!$G$3:$AH$3,0))</f>
        <v>0</v>
      </c>
      <c r="L23" s="55" cm="1">
        <f t="array" ref="L23">++INDEX(FinInputs!$G259:$AH259,0,MATCH(L$2,FinInputs!$G$3:$AH$3,0))</f>
        <v>0</v>
      </c>
      <c r="N23" s="21">
        <f t="shared" si="4"/>
        <v>0</v>
      </c>
    </row>
    <row r="24" spans="2:14" x14ac:dyDescent="0.4">
      <c r="C24" s="46">
        <f t="shared" si="5"/>
        <v>-4</v>
      </c>
      <c r="D24" s="202" t="str">
        <f>++RIGHT(FinInputs!C260,LEN(FinInputs!C260)-6)</f>
        <v>[Diligence Adjustment]</v>
      </c>
      <c r="H24" s="54" cm="1">
        <f t="array" ref="H24">++INDEX(FinInputs!$G260:$AH260,0,MATCH(H$2,FinInputs!$G$3:$AH$3,0))</f>
        <v>0</v>
      </c>
      <c r="I24" s="54" cm="1">
        <f t="array" ref="I24">++INDEX(FinInputs!$G260:$AH260,0,MATCH(I$2,FinInputs!$G$3:$AH$3,0))</f>
        <v>0</v>
      </c>
      <c r="J24" s="54" cm="1">
        <f t="array" ref="J24">++INDEX(FinInputs!$G260:$AH260,0,MATCH(J$2,FinInputs!$G$3:$AH$3,0))</f>
        <v>0</v>
      </c>
      <c r="K24" s="54" cm="1">
        <f t="array" ref="K24">++INDEX(FinInputs!$G260:$AH260,0,MATCH(K$2,FinInputs!$G$3:$AH$3,0))</f>
        <v>0</v>
      </c>
      <c r="L24" s="55" cm="1">
        <f t="array" ref="L24">++INDEX(FinInputs!$G260:$AH260,0,MATCH(L$2,FinInputs!$G$3:$AH$3,0))</f>
        <v>0</v>
      </c>
      <c r="N24" s="21">
        <f t="shared" si="4"/>
        <v>0</v>
      </c>
    </row>
    <row r="25" spans="2:14" x14ac:dyDescent="0.4">
      <c r="C25" s="46">
        <f t="shared" si="5"/>
        <v>-5</v>
      </c>
      <c r="D25" s="202" t="str">
        <f>++RIGHT(FinInputs!C261,LEN(FinInputs!C261)-6)</f>
        <v>[Diligence Adjustment]</v>
      </c>
      <c r="H25" s="54" cm="1">
        <f t="array" ref="H25">++INDEX(FinInputs!$G261:$AH261,0,MATCH(H$2,FinInputs!$G$3:$AH$3,0))</f>
        <v>0</v>
      </c>
      <c r="I25" s="54" cm="1">
        <f t="array" ref="I25">++INDEX(FinInputs!$G261:$AH261,0,MATCH(I$2,FinInputs!$G$3:$AH$3,0))</f>
        <v>0</v>
      </c>
      <c r="J25" s="54" cm="1">
        <f t="array" ref="J25">++INDEX(FinInputs!$G261:$AH261,0,MATCH(J$2,FinInputs!$G$3:$AH$3,0))</f>
        <v>0</v>
      </c>
      <c r="K25" s="54" cm="1">
        <f t="array" ref="K25">++INDEX(FinInputs!$G261:$AH261,0,MATCH(K$2,FinInputs!$G$3:$AH$3,0))</f>
        <v>0</v>
      </c>
      <c r="L25" s="55" cm="1">
        <f t="array" ref="L25">++INDEX(FinInputs!$G261:$AH261,0,MATCH(L$2,FinInputs!$G$3:$AH$3,0))</f>
        <v>0</v>
      </c>
      <c r="N25" s="21">
        <f t="shared" si="4"/>
        <v>0</v>
      </c>
    </row>
    <row r="26" spans="2:14" x14ac:dyDescent="0.4">
      <c r="C26" s="46">
        <f t="shared" si="5"/>
        <v>-6</v>
      </c>
      <c r="D26" s="202" t="str">
        <f>++RIGHT(FinInputs!C262,LEN(FinInputs!C262)-6)</f>
        <v>[Diligence Adjustment]</v>
      </c>
      <c r="H26" s="54" cm="1">
        <f t="array" ref="H26">++INDEX(FinInputs!$G262:$AH262,0,MATCH(H$2,FinInputs!$G$3:$AH$3,0))</f>
        <v>0</v>
      </c>
      <c r="I26" s="54" cm="1">
        <f t="array" ref="I26">++INDEX(FinInputs!$G262:$AH262,0,MATCH(I$2,FinInputs!$G$3:$AH$3,0))</f>
        <v>0</v>
      </c>
      <c r="J26" s="54" cm="1">
        <f t="array" ref="J26">++INDEX(FinInputs!$G262:$AH262,0,MATCH(J$2,FinInputs!$G$3:$AH$3,0))</f>
        <v>0</v>
      </c>
      <c r="K26" s="54" cm="1">
        <f t="array" ref="K26">++INDEX(FinInputs!$G262:$AH262,0,MATCH(K$2,FinInputs!$G$3:$AH$3,0))</f>
        <v>0</v>
      </c>
      <c r="L26" s="55" cm="1">
        <f t="array" ref="L26">++INDEX(FinInputs!$G262:$AH262,0,MATCH(L$2,FinInputs!$G$3:$AH$3,0))</f>
        <v>0</v>
      </c>
      <c r="N26" s="21">
        <f t="shared" si="4"/>
        <v>0</v>
      </c>
    </row>
    <row r="27" spans="2:14" x14ac:dyDescent="0.4">
      <c r="C27" s="46">
        <f t="shared" ref="C27:C30" si="6">++C26-1</f>
        <v>-7</v>
      </c>
      <c r="D27" s="202" t="str">
        <f>++RIGHT(FinInputs!C263,LEN(FinInputs!C263)-6)</f>
        <v>[Diligence Adjustment]</v>
      </c>
      <c r="H27" s="54" cm="1">
        <f t="array" ref="H27">++INDEX(FinInputs!$G263:$AH263,0,MATCH(H$2,FinInputs!$G$3:$AH$3,0))</f>
        <v>0</v>
      </c>
      <c r="I27" s="54" cm="1">
        <f t="array" ref="I27">++INDEX(FinInputs!$G263:$AH263,0,MATCH(I$2,FinInputs!$G$3:$AH$3,0))</f>
        <v>0</v>
      </c>
      <c r="J27" s="54" cm="1">
        <f t="array" ref="J27">++INDEX(FinInputs!$G263:$AH263,0,MATCH(J$2,FinInputs!$G$3:$AH$3,0))</f>
        <v>0</v>
      </c>
      <c r="K27" s="54" cm="1">
        <f t="array" ref="K27">++INDEX(FinInputs!$G263:$AH263,0,MATCH(K$2,FinInputs!$G$3:$AH$3,0))</f>
        <v>0</v>
      </c>
      <c r="L27" s="55" cm="1">
        <f t="array" ref="L27">++INDEX(FinInputs!$G263:$AH263,0,MATCH(L$2,FinInputs!$G$3:$AH$3,0))</f>
        <v>0</v>
      </c>
      <c r="N27" s="21">
        <f t="shared" si="4"/>
        <v>0</v>
      </c>
    </row>
    <row r="28" spans="2:14" x14ac:dyDescent="0.4">
      <c r="C28" s="46">
        <f t="shared" si="6"/>
        <v>-8</v>
      </c>
      <c r="D28" s="202" t="str">
        <f>++RIGHT(FinInputs!C264,LEN(FinInputs!C264)-6)</f>
        <v>[Diligence Adjustment]</v>
      </c>
      <c r="H28" s="54" cm="1">
        <f t="array" ref="H28">++INDEX(FinInputs!$G264:$AH264,0,MATCH(H$2,FinInputs!$G$3:$AH$3,0))</f>
        <v>0</v>
      </c>
      <c r="I28" s="54" cm="1">
        <f t="array" ref="I28">++INDEX(FinInputs!$G264:$AH264,0,MATCH(I$2,FinInputs!$G$3:$AH$3,0))</f>
        <v>0</v>
      </c>
      <c r="J28" s="54" cm="1">
        <f t="array" ref="J28">++INDEX(FinInputs!$G264:$AH264,0,MATCH(J$2,FinInputs!$G$3:$AH$3,0))</f>
        <v>0</v>
      </c>
      <c r="K28" s="54" cm="1">
        <f t="array" ref="K28">++INDEX(FinInputs!$G264:$AH264,0,MATCH(K$2,FinInputs!$G$3:$AH$3,0))</f>
        <v>0</v>
      </c>
      <c r="L28" s="55" cm="1">
        <f t="array" ref="L28">++INDEX(FinInputs!$G264:$AH264,0,MATCH(L$2,FinInputs!$G$3:$AH$3,0))</f>
        <v>0</v>
      </c>
      <c r="N28" s="21">
        <f t="shared" si="4"/>
        <v>0</v>
      </c>
    </row>
    <row r="29" spans="2:14" x14ac:dyDescent="0.4">
      <c r="C29" s="46">
        <f t="shared" si="6"/>
        <v>-9</v>
      </c>
      <c r="D29" s="202" t="str">
        <f>++RIGHT(FinInputs!C265,LEN(FinInputs!C265)-6)</f>
        <v>[Diligence Adjustment]</v>
      </c>
      <c r="H29" s="54" cm="1">
        <f t="array" ref="H29">++INDEX(FinInputs!$G265:$AH265,0,MATCH(H$2,FinInputs!$G$3:$AH$3,0))</f>
        <v>0</v>
      </c>
      <c r="I29" s="54" cm="1">
        <f t="array" ref="I29">++INDEX(FinInputs!$G265:$AH265,0,MATCH(I$2,FinInputs!$G$3:$AH$3,0))</f>
        <v>0</v>
      </c>
      <c r="J29" s="54" cm="1">
        <f t="array" ref="J29">++INDEX(FinInputs!$G265:$AH265,0,MATCH(J$2,FinInputs!$G$3:$AH$3,0))</f>
        <v>0</v>
      </c>
      <c r="K29" s="54" cm="1">
        <f t="array" ref="K29">++INDEX(FinInputs!$G265:$AH265,0,MATCH(K$2,FinInputs!$G$3:$AH$3,0))</f>
        <v>0</v>
      </c>
      <c r="L29" s="55" cm="1">
        <f t="array" ref="L29">++INDEX(FinInputs!$G265:$AH265,0,MATCH(L$2,FinInputs!$G$3:$AH$3,0))</f>
        <v>0</v>
      </c>
      <c r="N29" s="21">
        <f t="shared" si="4"/>
        <v>0</v>
      </c>
    </row>
    <row r="30" spans="2:14" x14ac:dyDescent="0.4">
      <c r="C30" s="46">
        <f t="shared" si="6"/>
        <v>-10</v>
      </c>
      <c r="D30" s="202" t="str">
        <f>++RIGHT(FinInputs!C266,LEN(FinInputs!C266)-6)</f>
        <v>[Diligence Adjustment]</v>
      </c>
      <c r="H30" s="54" cm="1">
        <f t="array" ref="H30">++INDEX(FinInputs!$G266:$AH266,0,MATCH(H$2,FinInputs!$G$3:$AH$3,0))</f>
        <v>0</v>
      </c>
      <c r="I30" s="54" cm="1">
        <f t="array" ref="I30">++INDEX(FinInputs!$G266:$AH266,0,MATCH(I$2,FinInputs!$G$3:$AH$3,0))</f>
        <v>0</v>
      </c>
      <c r="J30" s="54" cm="1">
        <f t="array" ref="J30">++INDEX(FinInputs!$G266:$AH266,0,MATCH(J$2,FinInputs!$G$3:$AH$3,0))</f>
        <v>0</v>
      </c>
      <c r="K30" s="54" cm="1">
        <f t="array" ref="K30">++INDEX(FinInputs!$G266:$AH266,0,MATCH(K$2,FinInputs!$G$3:$AH$3,0))</f>
        <v>0</v>
      </c>
      <c r="L30" s="55" cm="1">
        <f t="array" ref="L30">++INDEX(FinInputs!$G266:$AH266,0,MATCH(L$2,FinInputs!$G$3:$AH$3,0))</f>
        <v>0</v>
      </c>
      <c r="N30" s="21">
        <f t="shared" si="4"/>
        <v>0</v>
      </c>
    </row>
    <row r="31" spans="2:14" x14ac:dyDescent="0.4">
      <c r="C31" s="22" t="s">
        <v>118</v>
      </c>
      <c r="D31" s="2"/>
      <c r="E31" s="2"/>
      <c r="F31" s="2"/>
      <c r="G31" s="2"/>
      <c r="H31" s="18">
        <f>++SUM(H21:H30)</f>
        <v>0</v>
      </c>
      <c r="I31" s="18">
        <f t="shared" ref="I31:L31" si="7">++SUM(I21:I30)</f>
        <v>0</v>
      </c>
      <c r="J31" s="18">
        <f t="shared" si="7"/>
        <v>0</v>
      </c>
      <c r="K31" s="18">
        <f t="shared" ref="K31" si="8">++SUM(K21:K30)</f>
        <v>0</v>
      </c>
      <c r="L31" s="43">
        <f t="shared" si="7"/>
        <v>0</v>
      </c>
      <c r="N31" s="25">
        <f t="shared" si="4"/>
        <v>0</v>
      </c>
    </row>
    <row r="32" spans="2:14" x14ac:dyDescent="0.4">
      <c r="L32" s="39"/>
    </row>
    <row r="33" spans="1:14" x14ac:dyDescent="0.4">
      <c r="B33" s="12" t="s">
        <v>8</v>
      </c>
      <c r="C33" s="206" t="str">
        <f>++FinInputs!C267</f>
        <v>Adjusted EBITDA</v>
      </c>
      <c r="D33" s="31"/>
      <c r="E33" s="31"/>
      <c r="F33" s="31"/>
      <c r="G33" s="31"/>
      <c r="H33" s="50">
        <f>++SUM(H18,H31)</f>
        <v>0</v>
      </c>
      <c r="I33" s="50">
        <f t="shared" ref="I33:N33" si="9">++SUM(I18,I31)</f>
        <v>0</v>
      </c>
      <c r="J33" s="50">
        <f t="shared" si="9"/>
        <v>0</v>
      </c>
      <c r="K33" s="50">
        <f t="shared" ref="K33" si="10">++SUM(K18,K31)</f>
        <v>0</v>
      </c>
      <c r="L33" s="48">
        <f t="shared" si="9"/>
        <v>0</v>
      </c>
      <c r="N33" s="61">
        <f t="shared" si="9"/>
        <v>0</v>
      </c>
    </row>
    <row r="34" spans="1:14" x14ac:dyDescent="0.4">
      <c r="L34" s="39"/>
    </row>
    <row r="35" spans="1:14" x14ac:dyDescent="0.4">
      <c r="C35" s="60" t="s">
        <v>119</v>
      </c>
      <c r="L35" s="39"/>
    </row>
    <row r="36" spans="1:14" x14ac:dyDescent="0.4">
      <c r="C36" s="46">
        <f>++C30-1</f>
        <v>-11</v>
      </c>
      <c r="D36" s="202" t="str">
        <f>++RIGHT(FinInputs!C271,LEN(FinInputs!C271)-6)</f>
        <v>[Pro Forma Adjustment]</v>
      </c>
      <c r="H36" s="54" cm="1">
        <f t="array" ref="H36">++INDEX(FinInputs!$G271:$AH271,0,MATCH(H$2,FinInputs!$G$3:$AH$3,0))</f>
        <v>0</v>
      </c>
      <c r="I36" s="54" cm="1">
        <f t="array" ref="I36">++INDEX(FinInputs!$G271:$AH271,0,MATCH(I$2,FinInputs!$G$3:$AH$3,0))</f>
        <v>0</v>
      </c>
      <c r="J36" s="54" cm="1">
        <f t="array" ref="J36">++INDEX(FinInputs!$G271:$AH271,0,MATCH(J$2,FinInputs!$G$3:$AH$3,0))</f>
        <v>0</v>
      </c>
      <c r="K36" s="54" cm="1">
        <f t="array" ref="K36">++INDEX(FinInputs!$G271:$AH271,0,MATCH(K$2,FinInputs!$G$3:$AH$3,0))</f>
        <v>0</v>
      </c>
      <c r="L36" s="55" cm="1">
        <f t="array" ref="L36">++INDEX(FinInputs!$G271:$AH271,0,MATCH(L$2,FinInputs!$G$3:$AH$3,0))</f>
        <v>0</v>
      </c>
      <c r="N36" s="21">
        <f t="shared" ref="N36:N45" si="11">++IFERROR(L36/L$48,0)</f>
        <v>0</v>
      </c>
    </row>
    <row r="37" spans="1:14" x14ac:dyDescent="0.4">
      <c r="C37" s="46">
        <f t="shared" ref="C37:C45" si="12">++C36-1</f>
        <v>-12</v>
      </c>
      <c r="D37" s="202" t="str">
        <f>++RIGHT(FinInputs!C272,LEN(FinInputs!C272)-6)</f>
        <v>[Pro Forma Adjustment]</v>
      </c>
      <c r="H37" s="54" cm="1">
        <f t="array" ref="H37">++INDEX(FinInputs!$G272:$AH272,0,MATCH(H$2,FinInputs!$G$3:$AH$3,0))</f>
        <v>0</v>
      </c>
      <c r="I37" s="54" cm="1">
        <f t="array" ref="I37">++INDEX(FinInputs!$G272:$AH272,0,MATCH(I$2,FinInputs!$G$3:$AH$3,0))</f>
        <v>0</v>
      </c>
      <c r="J37" s="54" cm="1">
        <f t="array" ref="J37">++INDEX(FinInputs!$G272:$AH272,0,MATCH(J$2,FinInputs!$G$3:$AH$3,0))</f>
        <v>0</v>
      </c>
      <c r="K37" s="54" cm="1">
        <f t="array" ref="K37">++INDEX(FinInputs!$G272:$AH272,0,MATCH(K$2,FinInputs!$G$3:$AH$3,0))</f>
        <v>0</v>
      </c>
      <c r="L37" s="55" cm="1">
        <f t="array" ref="L37">++INDEX(FinInputs!$G272:$AH272,0,MATCH(L$2,FinInputs!$G$3:$AH$3,0))</f>
        <v>0</v>
      </c>
      <c r="N37" s="21">
        <f t="shared" si="11"/>
        <v>0</v>
      </c>
    </row>
    <row r="38" spans="1:14" x14ac:dyDescent="0.4">
      <c r="C38" s="46">
        <f t="shared" si="12"/>
        <v>-13</v>
      </c>
      <c r="D38" s="202" t="str">
        <f>++RIGHT(FinInputs!C273,LEN(FinInputs!C273)-6)</f>
        <v>[Pro Forma Adjustment]</v>
      </c>
      <c r="H38" s="54" cm="1">
        <f t="array" ref="H38">++INDEX(FinInputs!$G273:$AH273,0,MATCH(H$2,FinInputs!$G$3:$AH$3,0))</f>
        <v>0</v>
      </c>
      <c r="I38" s="54" cm="1">
        <f t="array" ref="I38">++INDEX(FinInputs!$G273:$AH273,0,MATCH(I$2,FinInputs!$G$3:$AH$3,0))</f>
        <v>0</v>
      </c>
      <c r="J38" s="54" cm="1">
        <f t="array" ref="J38">++INDEX(FinInputs!$G273:$AH273,0,MATCH(J$2,FinInputs!$G$3:$AH$3,0))</f>
        <v>0</v>
      </c>
      <c r="K38" s="54" cm="1">
        <f t="array" ref="K38">++INDEX(FinInputs!$G273:$AH273,0,MATCH(K$2,FinInputs!$G$3:$AH$3,0))</f>
        <v>0</v>
      </c>
      <c r="L38" s="55" cm="1">
        <f t="array" ref="L38">++INDEX(FinInputs!$G273:$AH273,0,MATCH(L$2,FinInputs!$G$3:$AH$3,0))</f>
        <v>0</v>
      </c>
      <c r="N38" s="21">
        <f t="shared" si="11"/>
        <v>0</v>
      </c>
    </row>
    <row r="39" spans="1:14" x14ac:dyDescent="0.4">
      <c r="C39" s="46">
        <f t="shared" si="12"/>
        <v>-14</v>
      </c>
      <c r="D39" s="202" t="str">
        <f>++RIGHT(FinInputs!C274,LEN(FinInputs!C274)-6)</f>
        <v>[Pro Forma Adjustment]</v>
      </c>
      <c r="H39" s="54" cm="1">
        <f t="array" ref="H39">++INDEX(FinInputs!$G274:$AH274,0,MATCH(H$2,FinInputs!$G$3:$AH$3,0))</f>
        <v>0</v>
      </c>
      <c r="I39" s="54" cm="1">
        <f t="array" ref="I39">++INDEX(FinInputs!$G274:$AH274,0,MATCH(I$2,FinInputs!$G$3:$AH$3,0))</f>
        <v>0</v>
      </c>
      <c r="J39" s="54" cm="1">
        <f t="array" ref="J39">++INDEX(FinInputs!$G274:$AH274,0,MATCH(J$2,FinInputs!$G$3:$AH$3,0))</f>
        <v>0</v>
      </c>
      <c r="K39" s="54" cm="1">
        <f t="array" ref="K39">++INDEX(FinInputs!$G274:$AH274,0,MATCH(K$2,FinInputs!$G$3:$AH$3,0))</f>
        <v>0</v>
      </c>
      <c r="L39" s="55" cm="1">
        <f t="array" ref="L39">++INDEX(FinInputs!$G274:$AH274,0,MATCH(L$2,FinInputs!$G$3:$AH$3,0))</f>
        <v>0</v>
      </c>
      <c r="N39" s="21">
        <f t="shared" si="11"/>
        <v>0</v>
      </c>
    </row>
    <row r="40" spans="1:14" x14ac:dyDescent="0.4">
      <c r="C40" s="46">
        <f t="shared" si="12"/>
        <v>-15</v>
      </c>
      <c r="D40" s="202" t="str">
        <f>++RIGHT(FinInputs!C275,LEN(FinInputs!C275)-6)</f>
        <v>[Pro Forma Adjustment]</v>
      </c>
      <c r="H40" s="54" cm="1">
        <f t="array" ref="H40">++INDEX(FinInputs!$G275:$AH275,0,MATCH(H$2,FinInputs!$G$3:$AH$3,0))</f>
        <v>0</v>
      </c>
      <c r="I40" s="54" cm="1">
        <f t="array" ref="I40">++INDEX(FinInputs!$G275:$AH275,0,MATCH(I$2,FinInputs!$G$3:$AH$3,0))</f>
        <v>0</v>
      </c>
      <c r="J40" s="54" cm="1">
        <f t="array" ref="J40">++INDEX(FinInputs!$G275:$AH275,0,MATCH(J$2,FinInputs!$G$3:$AH$3,0))</f>
        <v>0</v>
      </c>
      <c r="K40" s="54" cm="1">
        <f t="array" ref="K40">++INDEX(FinInputs!$G275:$AH275,0,MATCH(K$2,FinInputs!$G$3:$AH$3,0))</f>
        <v>0</v>
      </c>
      <c r="L40" s="55" cm="1">
        <f t="array" ref="L40">++INDEX(FinInputs!$G275:$AH275,0,MATCH(L$2,FinInputs!$G$3:$AH$3,0))</f>
        <v>0</v>
      </c>
      <c r="N40" s="21">
        <f t="shared" si="11"/>
        <v>0</v>
      </c>
    </row>
    <row r="41" spans="1:14" x14ac:dyDescent="0.4">
      <c r="C41" s="46">
        <f t="shared" si="12"/>
        <v>-16</v>
      </c>
      <c r="D41" s="202" t="str">
        <f>++RIGHT(FinInputs!C276,LEN(FinInputs!C276)-6)</f>
        <v>[Pro Forma Adjustment]</v>
      </c>
      <c r="H41" s="54" cm="1">
        <f t="array" ref="H41">++INDEX(FinInputs!$G276:$AH276,0,MATCH(H$2,FinInputs!$G$3:$AH$3,0))</f>
        <v>0</v>
      </c>
      <c r="I41" s="54" cm="1">
        <f t="array" ref="I41">++INDEX(FinInputs!$G276:$AH276,0,MATCH(I$2,FinInputs!$G$3:$AH$3,0))</f>
        <v>0</v>
      </c>
      <c r="J41" s="54" cm="1">
        <f t="array" ref="J41">++INDEX(FinInputs!$G276:$AH276,0,MATCH(J$2,FinInputs!$G$3:$AH$3,0))</f>
        <v>0</v>
      </c>
      <c r="K41" s="54" cm="1">
        <f t="array" ref="K41">++INDEX(FinInputs!$G276:$AH276,0,MATCH(K$2,FinInputs!$G$3:$AH$3,0))</f>
        <v>0</v>
      </c>
      <c r="L41" s="55" cm="1">
        <f t="array" ref="L41">++INDEX(FinInputs!$G276:$AH276,0,MATCH(L$2,FinInputs!$G$3:$AH$3,0))</f>
        <v>0</v>
      </c>
      <c r="N41" s="21">
        <f t="shared" si="11"/>
        <v>0</v>
      </c>
    </row>
    <row r="42" spans="1:14" x14ac:dyDescent="0.4">
      <c r="C42" s="46">
        <f t="shared" si="12"/>
        <v>-17</v>
      </c>
      <c r="D42" s="202" t="str">
        <f>++RIGHT(FinInputs!C277,LEN(FinInputs!C277)-6)</f>
        <v>[Pro Forma Adjustment]</v>
      </c>
      <c r="H42" s="54" cm="1">
        <f t="array" ref="H42">++INDEX(FinInputs!$G277:$AH277,0,MATCH(H$2,FinInputs!$G$3:$AH$3,0))</f>
        <v>0</v>
      </c>
      <c r="I42" s="54" cm="1">
        <f t="array" ref="I42">++INDEX(FinInputs!$G277:$AH277,0,MATCH(I$2,FinInputs!$G$3:$AH$3,0))</f>
        <v>0</v>
      </c>
      <c r="J42" s="54" cm="1">
        <f t="array" ref="J42">++INDEX(FinInputs!$G277:$AH277,0,MATCH(J$2,FinInputs!$G$3:$AH$3,0))</f>
        <v>0</v>
      </c>
      <c r="K42" s="54" cm="1">
        <f t="array" ref="K42">++INDEX(FinInputs!$G277:$AH277,0,MATCH(K$2,FinInputs!$G$3:$AH$3,0))</f>
        <v>0</v>
      </c>
      <c r="L42" s="55" cm="1">
        <f t="array" ref="L42">++INDEX(FinInputs!$G277:$AH277,0,MATCH(L$2,FinInputs!$G$3:$AH$3,0))</f>
        <v>0</v>
      </c>
      <c r="N42" s="21">
        <f t="shared" si="11"/>
        <v>0</v>
      </c>
    </row>
    <row r="43" spans="1:14" x14ac:dyDescent="0.4">
      <c r="C43" s="46">
        <f t="shared" si="12"/>
        <v>-18</v>
      </c>
      <c r="D43" s="202" t="str">
        <f>++RIGHT(FinInputs!C278,LEN(FinInputs!C278)-6)</f>
        <v>[Pro Forma Adjustment]</v>
      </c>
      <c r="H43" s="54" cm="1">
        <f t="array" ref="H43">++INDEX(FinInputs!$G278:$AH278,0,MATCH(H$2,FinInputs!$G$3:$AH$3,0))</f>
        <v>0</v>
      </c>
      <c r="I43" s="54" cm="1">
        <f t="array" ref="I43">++INDEX(FinInputs!$G278:$AH278,0,MATCH(I$2,FinInputs!$G$3:$AH$3,0))</f>
        <v>0</v>
      </c>
      <c r="J43" s="54" cm="1">
        <f t="array" ref="J43">++INDEX(FinInputs!$G278:$AH278,0,MATCH(J$2,FinInputs!$G$3:$AH$3,0))</f>
        <v>0</v>
      </c>
      <c r="K43" s="54" cm="1">
        <f t="array" ref="K43">++INDEX(FinInputs!$G278:$AH278,0,MATCH(K$2,FinInputs!$G$3:$AH$3,0))</f>
        <v>0</v>
      </c>
      <c r="L43" s="55" cm="1">
        <f t="array" ref="L43">++INDEX(FinInputs!$G278:$AH278,0,MATCH(L$2,FinInputs!$G$3:$AH$3,0))</f>
        <v>0</v>
      </c>
      <c r="N43" s="21">
        <f t="shared" si="11"/>
        <v>0</v>
      </c>
    </row>
    <row r="44" spans="1:14" x14ac:dyDescent="0.4">
      <c r="C44" s="46">
        <f t="shared" si="12"/>
        <v>-19</v>
      </c>
      <c r="D44" s="202" t="str">
        <f>++RIGHT(FinInputs!C279,LEN(FinInputs!C279)-6)</f>
        <v>[Pro Forma Adjustment]</v>
      </c>
      <c r="H44" s="54" cm="1">
        <f t="array" ref="H44">++INDEX(FinInputs!$G279:$AH279,0,MATCH(H$2,FinInputs!$G$3:$AH$3,0))</f>
        <v>0</v>
      </c>
      <c r="I44" s="54" cm="1">
        <f t="array" ref="I44">++INDEX(FinInputs!$G279:$AH279,0,MATCH(I$2,FinInputs!$G$3:$AH$3,0))</f>
        <v>0</v>
      </c>
      <c r="J44" s="54" cm="1">
        <f t="array" ref="J44">++INDEX(FinInputs!$G279:$AH279,0,MATCH(J$2,FinInputs!$G$3:$AH$3,0))</f>
        <v>0</v>
      </c>
      <c r="K44" s="54" cm="1">
        <f t="array" ref="K44">++INDEX(FinInputs!$G279:$AH279,0,MATCH(K$2,FinInputs!$G$3:$AH$3,0))</f>
        <v>0</v>
      </c>
      <c r="L44" s="55" cm="1">
        <f t="array" ref="L44">++INDEX(FinInputs!$G279:$AH279,0,MATCH(L$2,FinInputs!$G$3:$AH$3,0))</f>
        <v>0</v>
      </c>
      <c r="N44" s="21">
        <f t="shared" si="11"/>
        <v>0</v>
      </c>
    </row>
    <row r="45" spans="1:14" x14ac:dyDescent="0.4">
      <c r="C45" s="46">
        <f t="shared" si="12"/>
        <v>-20</v>
      </c>
      <c r="D45" s="202" t="str">
        <f>++RIGHT(FinInputs!C280,LEN(FinInputs!C280)-6)</f>
        <v>[Pro Forma Adjustment]</v>
      </c>
      <c r="H45" s="54" cm="1">
        <f t="array" ref="H45">++INDEX(FinInputs!$G280:$AH280,0,MATCH(H$2,FinInputs!$G$3:$AH$3,0))</f>
        <v>0</v>
      </c>
      <c r="I45" s="54" cm="1">
        <f t="array" ref="I45">++INDEX(FinInputs!$G280:$AH280,0,MATCH(I$2,FinInputs!$G$3:$AH$3,0))</f>
        <v>0</v>
      </c>
      <c r="J45" s="54" cm="1">
        <f t="array" ref="J45">++INDEX(FinInputs!$G280:$AH280,0,MATCH(J$2,FinInputs!$G$3:$AH$3,0))</f>
        <v>0</v>
      </c>
      <c r="K45" s="54" cm="1">
        <f t="array" ref="K45">++INDEX(FinInputs!$G280:$AH280,0,MATCH(K$2,FinInputs!$G$3:$AH$3,0))</f>
        <v>0</v>
      </c>
      <c r="L45" s="55" cm="1">
        <f t="array" ref="L45">++INDEX(FinInputs!$G280:$AH280,0,MATCH(L$2,FinInputs!$G$3:$AH$3,0))</f>
        <v>0</v>
      </c>
      <c r="N45" s="21">
        <f t="shared" si="11"/>
        <v>0</v>
      </c>
    </row>
    <row r="46" spans="1:14" x14ac:dyDescent="0.4">
      <c r="C46" s="22" t="s">
        <v>120</v>
      </c>
      <c r="D46" s="2"/>
      <c r="E46" s="2"/>
      <c r="F46" s="2"/>
      <c r="G46" s="2"/>
      <c r="H46" s="18">
        <f>++SUM(H36:H45)</f>
        <v>0</v>
      </c>
      <c r="I46" s="18">
        <f t="shared" ref="I46:L46" si="13">++SUM(I36:I45)</f>
        <v>0</v>
      </c>
      <c r="J46" s="18">
        <f t="shared" si="13"/>
        <v>0</v>
      </c>
      <c r="K46" s="18">
        <f t="shared" ref="K46" si="14">++SUM(K36:K45)</f>
        <v>0</v>
      </c>
      <c r="L46" s="43">
        <f t="shared" si="13"/>
        <v>0</v>
      </c>
      <c r="N46" s="25">
        <f>++SUM(N36:N45)</f>
        <v>0</v>
      </c>
    </row>
    <row r="47" spans="1:14" x14ac:dyDescent="0.4">
      <c r="L47" s="39"/>
    </row>
    <row r="48" spans="1:14" ht="13.5" thickBot="1" x14ac:dyDescent="0.45">
      <c r="A48" s="12" t="s">
        <v>8</v>
      </c>
      <c r="B48" s="12" t="s">
        <v>8</v>
      </c>
      <c r="C48" s="205" t="str">
        <f>++FinInputs!C281</f>
        <v>CA EBITDA</v>
      </c>
      <c r="D48" s="35"/>
      <c r="E48" s="35"/>
      <c r="F48" s="35"/>
      <c r="G48" s="35"/>
      <c r="H48" s="36">
        <f>++SUM(H33,H46)</f>
        <v>0</v>
      </c>
      <c r="I48" s="36">
        <f t="shared" ref="I48:N48" si="15">++SUM(I33,I46)</f>
        <v>0</v>
      </c>
      <c r="J48" s="36">
        <f t="shared" si="15"/>
        <v>0</v>
      </c>
      <c r="K48" s="36">
        <f t="shared" ref="K48" si="16">++SUM(K33,K46)</f>
        <v>0</v>
      </c>
      <c r="L48" s="44">
        <f t="shared" si="15"/>
        <v>0</v>
      </c>
      <c r="N48" s="37">
        <f t="shared" si="15"/>
        <v>0</v>
      </c>
    </row>
    <row r="49" spans="1:12" ht="5.0999999999999996" customHeight="1" thickTop="1" x14ac:dyDescent="0.4">
      <c r="L49" s="45"/>
    </row>
    <row r="52" spans="1:12" x14ac:dyDescent="0.4">
      <c r="A52" s="12" t="s">
        <v>8</v>
      </c>
      <c r="B52" s="12" t="s">
        <v>8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38DF-D6F7-43F9-821A-6ED4AA5C02EB}">
  <sheetPr codeName="Sheet7"/>
  <dimension ref="A1:V68"/>
  <sheetViews>
    <sheetView showGridLines="0" zoomScale="85" zoomScaleNormal="85" workbookViewId="0">
      <pane xSplit="6" ySplit="6" topLeftCell="G7" activePane="bottomRight" state="frozen"/>
      <selection pane="topRight" activeCell="H1" sqref="H1"/>
      <selection pane="bottomLeft" activeCell="A7" sqref="A7"/>
      <selection pane="bottomRight" activeCell="G7" sqref="G7"/>
    </sheetView>
  </sheetViews>
  <sheetFormatPr defaultRowHeight="13.15" outlineLevelCol="1" x14ac:dyDescent="0.4"/>
  <cols>
    <col min="1" max="2" width="2.7109375" style="1" customWidth="1"/>
    <col min="3" max="5" width="11.28515625" style="1" customWidth="1"/>
    <col min="6" max="6" width="2.7109375" style="1" customWidth="1"/>
    <col min="7" max="16" width="11.28515625" style="1" customWidth="1"/>
    <col min="17" max="18" width="9.140625" style="1"/>
    <col min="19" max="21" width="9.140625" style="1" hidden="1" customWidth="1" outlineLevel="1"/>
    <col min="22" max="22" width="9.140625" style="1" collapsed="1"/>
    <col min="23" max="16384" width="9.140625" style="1"/>
  </cols>
  <sheetData>
    <row r="1" spans="1:21" x14ac:dyDescent="0.4">
      <c r="C1" s="9" t="str">
        <f>++CoName</f>
        <v>[Company Name] ([Sponsor Name / Non-Sponsored])</v>
      </c>
      <c r="D1" s="3"/>
      <c r="E1" s="4"/>
      <c r="S1" s="90" t="s">
        <v>0</v>
      </c>
      <c r="T1" s="91"/>
      <c r="U1" s="92"/>
    </row>
    <row r="2" spans="1:21" x14ac:dyDescent="0.4">
      <c r="C2" s="10" t="s">
        <v>121</v>
      </c>
      <c r="D2" s="5"/>
      <c r="E2" s="6"/>
      <c r="G2" s="15">
        <f t="shared" ref="G2:N2" si="0">++EOMONTH(H2,-3)</f>
        <v>45107</v>
      </c>
      <c r="H2" s="15">
        <f t="shared" si="0"/>
        <v>45199</v>
      </c>
      <c r="I2" s="15">
        <f t="shared" si="0"/>
        <v>45291</v>
      </c>
      <c r="J2" s="15">
        <f t="shared" si="0"/>
        <v>45382</v>
      </c>
      <c r="K2" s="15">
        <f t="shared" si="0"/>
        <v>45473</v>
      </c>
      <c r="L2" s="15">
        <f t="shared" si="0"/>
        <v>45565</v>
      </c>
      <c r="M2" s="15">
        <f t="shared" si="0"/>
        <v>45657</v>
      </c>
      <c r="N2" s="15">
        <f t="shared" si="0"/>
        <v>45747</v>
      </c>
      <c r="O2" s="15">
        <f>++EOMONTH(P2,-3)</f>
        <v>45838</v>
      </c>
      <c r="P2" s="47">
        <f>++LastActDate</f>
        <v>45930</v>
      </c>
    </row>
    <row r="3" spans="1:21" x14ac:dyDescent="0.4">
      <c r="C3" s="11" t="str">
        <f ca="1">++TEXT(TODAY(),"MMMM D, YYYY")</f>
        <v>April 21, 2026</v>
      </c>
      <c r="D3" s="7"/>
      <c r="E3" s="8"/>
    </row>
    <row r="5" spans="1:21" x14ac:dyDescent="0.4">
      <c r="A5" s="12" t="s">
        <v>8</v>
      </c>
      <c r="B5" s="12" t="s">
        <v>8</v>
      </c>
      <c r="C5" s="106" t="str">
        <f>++C2</f>
        <v>Historical NWC Detail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21" ht="5.0999999999999996" customHeight="1" x14ac:dyDescent="0.4"/>
    <row r="7" spans="1:21" x14ac:dyDescent="0.4">
      <c r="A7" s="12" t="s">
        <v>8</v>
      </c>
      <c r="B7" s="12" t="s">
        <v>8</v>
      </c>
      <c r="C7" s="14" t="s">
        <v>122</v>
      </c>
    </row>
    <row r="23" spans="1:16" ht="15.4" x14ac:dyDescent="0.7">
      <c r="A23" s="12"/>
      <c r="B23" s="12" t="s">
        <v>8</v>
      </c>
      <c r="C23" s="14" t="s">
        <v>9</v>
      </c>
      <c r="G23" s="27" t="s">
        <v>123</v>
      </c>
      <c r="H23" s="26"/>
      <c r="I23" s="26"/>
      <c r="J23" s="26"/>
      <c r="K23" s="26"/>
      <c r="L23" s="26"/>
      <c r="M23" s="26"/>
      <c r="N23" s="26"/>
      <c r="O23" s="26"/>
      <c r="P23" s="26"/>
    </row>
    <row r="24" spans="1:16" ht="5.0999999999999996" customHeight="1" x14ac:dyDescent="0.4"/>
    <row r="25" spans="1:16" ht="15.4" x14ac:dyDescent="0.7">
      <c r="C25" s="14" t="str">
        <f>++"FYE "&amp;TEXT(LastFYE,"MMMM DD")&amp;"st"</f>
        <v>FYE December 31st</v>
      </c>
      <c r="G25" s="16" t="str">
        <f>++"Q"&amp;MONTH(G$2)/3&amp;"'"&amp;RIGHT(YEAR(G$2),2)&amp;"A"</f>
        <v>Q2'23A</v>
      </c>
      <c r="H25" s="16" t="str">
        <f t="shared" ref="H25:P25" si="1">++"Q"&amp;MONTH(H$2)/3&amp;"'"&amp;RIGHT(YEAR(H$2),2)&amp;"A"</f>
        <v>Q3'23A</v>
      </c>
      <c r="I25" s="16" t="str">
        <f t="shared" si="1"/>
        <v>Q4'23A</v>
      </c>
      <c r="J25" s="16" t="str">
        <f t="shared" si="1"/>
        <v>Q1'24A</v>
      </c>
      <c r="K25" s="16" t="str">
        <f t="shared" si="1"/>
        <v>Q2'24A</v>
      </c>
      <c r="L25" s="16" t="str">
        <f t="shared" si="1"/>
        <v>Q3'24A</v>
      </c>
      <c r="M25" s="16" t="str">
        <f t="shared" si="1"/>
        <v>Q4'24A</v>
      </c>
      <c r="N25" s="16" t="str">
        <f t="shared" si="1"/>
        <v>Q1'25A</v>
      </c>
      <c r="O25" s="16" t="str">
        <f t="shared" si="1"/>
        <v>Q2'25A</v>
      </c>
      <c r="P25" s="16" t="str">
        <f t="shared" si="1"/>
        <v>Q3'25A</v>
      </c>
    </row>
    <row r="26" spans="1:16" x14ac:dyDescent="0.4">
      <c r="C26" s="1" t="str">
        <f>++FinInputs!C306</f>
        <v>Accounts Receivable</v>
      </c>
      <c r="G26" s="52" cm="1">
        <f t="array" ref="G26">++INDEX(FinInputs!$G306:$AH306,0,MATCH(G$2,FinInputs!$G$3:$AH$3,0))</f>
        <v>0</v>
      </c>
      <c r="H26" s="52" cm="1">
        <f t="array" ref="H26">++INDEX(FinInputs!$G306:$AH306,0,MATCH(H$2,FinInputs!$G$3:$AH$3,0))</f>
        <v>0</v>
      </c>
      <c r="I26" s="52" cm="1">
        <f t="array" ref="I26">++INDEX(FinInputs!$G306:$AH306,0,MATCH(I$2,FinInputs!$G$3:$AH$3,0))</f>
        <v>0</v>
      </c>
      <c r="J26" s="52" cm="1">
        <f t="array" ref="J26">++INDEX(FinInputs!$G306:$AH306,0,MATCH(J$2,FinInputs!$G$3:$AH$3,0))</f>
        <v>0</v>
      </c>
      <c r="K26" s="52" cm="1">
        <f t="array" ref="K26">++INDEX(FinInputs!$G306:$AH306,0,MATCH(K$2,FinInputs!$G$3:$AH$3,0))</f>
        <v>0</v>
      </c>
      <c r="L26" s="52" cm="1">
        <f t="array" ref="L26">++INDEX(FinInputs!$G306:$AH306,0,MATCH(L$2,FinInputs!$G$3:$AH$3,0))</f>
        <v>0</v>
      </c>
      <c r="M26" s="52" cm="1">
        <f t="array" ref="M26">++INDEX(FinInputs!$G306:$AH306,0,MATCH(M$2,FinInputs!$G$3:$AH$3,0))</f>
        <v>0</v>
      </c>
      <c r="N26" s="52" cm="1">
        <f t="array" ref="N26">++INDEX(FinInputs!$G306:$AH306,0,MATCH(N$2,FinInputs!$G$3:$AH$3,0))</f>
        <v>0</v>
      </c>
      <c r="O26" s="52" cm="1">
        <f t="array" ref="O26">++INDEX(FinInputs!$G306:$AH306,0,MATCH(O$2,FinInputs!$G$3:$AH$3,0))</f>
        <v>0</v>
      </c>
      <c r="P26" s="52" cm="1">
        <f t="array" ref="P26">++INDEX(FinInputs!$G306:$AH306,0,MATCH(P$2,FinInputs!$G$3:$AH$3,0))</f>
        <v>0</v>
      </c>
    </row>
    <row r="27" spans="1:16" x14ac:dyDescent="0.4">
      <c r="C27" s="1" t="str">
        <f>++FinInputs!C307</f>
        <v>Costs in Excess of Billings ("CIE")</v>
      </c>
      <c r="G27" s="54" cm="1">
        <f t="array" ref="G27">++INDEX(FinInputs!$G307:$AH307,0,MATCH(G$2,FinInputs!$G$3:$AH$3,0))</f>
        <v>0</v>
      </c>
      <c r="H27" s="54" cm="1">
        <f t="array" ref="H27">++INDEX(FinInputs!$G307:$AH307,0,MATCH(H$2,FinInputs!$G$3:$AH$3,0))</f>
        <v>0</v>
      </c>
      <c r="I27" s="54" cm="1">
        <f t="array" ref="I27">++INDEX(FinInputs!$G307:$AH307,0,MATCH(I$2,FinInputs!$G$3:$AH$3,0))</f>
        <v>0</v>
      </c>
      <c r="J27" s="54" cm="1">
        <f t="array" ref="J27">++INDEX(FinInputs!$G307:$AH307,0,MATCH(J$2,FinInputs!$G$3:$AH$3,0))</f>
        <v>0</v>
      </c>
      <c r="K27" s="54" cm="1">
        <f t="array" ref="K27">++INDEX(FinInputs!$G307:$AH307,0,MATCH(K$2,FinInputs!$G$3:$AH$3,0))</f>
        <v>0</v>
      </c>
      <c r="L27" s="54" cm="1">
        <f t="array" ref="L27">++INDEX(FinInputs!$G307:$AH307,0,MATCH(L$2,FinInputs!$G$3:$AH$3,0))</f>
        <v>0</v>
      </c>
      <c r="M27" s="54" cm="1">
        <f t="array" ref="M27">++INDEX(FinInputs!$G307:$AH307,0,MATCH(M$2,FinInputs!$G$3:$AH$3,0))</f>
        <v>0</v>
      </c>
      <c r="N27" s="54" cm="1">
        <f t="array" ref="N27">++INDEX(FinInputs!$G307:$AH307,0,MATCH(N$2,FinInputs!$G$3:$AH$3,0))</f>
        <v>0</v>
      </c>
      <c r="O27" s="54" cm="1">
        <f t="array" ref="O27">++INDEX(FinInputs!$G307:$AH307,0,MATCH(O$2,FinInputs!$G$3:$AH$3,0))</f>
        <v>0</v>
      </c>
      <c r="P27" s="54" cm="1">
        <f t="array" ref="P27">++INDEX(FinInputs!$G307:$AH307,0,MATCH(P$2,FinInputs!$G$3:$AH$3,0))</f>
        <v>0</v>
      </c>
    </row>
    <row r="28" spans="1:16" x14ac:dyDescent="0.4">
      <c r="C28" s="1" t="str">
        <f>++FinInputs!C308</f>
        <v>Inventory</v>
      </c>
      <c r="G28" s="54" cm="1">
        <f t="array" ref="G28">++INDEX(FinInputs!$G308:$AH308,0,MATCH(G$2,FinInputs!$G$3:$AH$3,0))</f>
        <v>0</v>
      </c>
      <c r="H28" s="54" cm="1">
        <f t="array" ref="H28">++INDEX(FinInputs!$G308:$AH308,0,MATCH(H$2,FinInputs!$G$3:$AH$3,0))</f>
        <v>0</v>
      </c>
      <c r="I28" s="54" cm="1">
        <f t="array" ref="I28">++INDEX(FinInputs!$G308:$AH308,0,MATCH(I$2,FinInputs!$G$3:$AH$3,0))</f>
        <v>0</v>
      </c>
      <c r="J28" s="54" cm="1">
        <f t="array" ref="J28">++INDEX(FinInputs!$G308:$AH308,0,MATCH(J$2,FinInputs!$G$3:$AH$3,0))</f>
        <v>0</v>
      </c>
      <c r="K28" s="54" cm="1">
        <f t="array" ref="K28">++INDEX(FinInputs!$G308:$AH308,0,MATCH(K$2,FinInputs!$G$3:$AH$3,0))</f>
        <v>0</v>
      </c>
      <c r="L28" s="54" cm="1">
        <f t="array" ref="L28">++INDEX(FinInputs!$G308:$AH308,0,MATCH(L$2,FinInputs!$G$3:$AH$3,0))</f>
        <v>0</v>
      </c>
      <c r="M28" s="54" cm="1">
        <f t="array" ref="M28">++INDEX(FinInputs!$G308:$AH308,0,MATCH(M$2,FinInputs!$G$3:$AH$3,0))</f>
        <v>0</v>
      </c>
      <c r="N28" s="54" cm="1">
        <f t="array" ref="N28">++INDEX(FinInputs!$G308:$AH308,0,MATCH(N$2,FinInputs!$G$3:$AH$3,0))</f>
        <v>0</v>
      </c>
      <c r="O28" s="54" cm="1">
        <f t="array" ref="O28">++INDEX(FinInputs!$G308:$AH308,0,MATCH(O$2,FinInputs!$G$3:$AH$3,0))</f>
        <v>0</v>
      </c>
      <c r="P28" s="54" cm="1">
        <f t="array" ref="P28">++INDEX(FinInputs!$G308:$AH308,0,MATCH(P$2,FinInputs!$G$3:$AH$3,0))</f>
        <v>0</v>
      </c>
    </row>
    <row r="29" spans="1:16" x14ac:dyDescent="0.4">
      <c r="C29" s="1" t="str">
        <f>++FinInputs!C309</f>
        <v>Prepaid &amp; Other</v>
      </c>
      <c r="G29" s="54" cm="1">
        <f t="array" ref="G29">++INDEX(FinInputs!$G309:$AH309,0,MATCH(G$2,FinInputs!$G$3:$AH$3,0))</f>
        <v>0</v>
      </c>
      <c r="H29" s="54" cm="1">
        <f t="array" ref="H29">++INDEX(FinInputs!$G309:$AH309,0,MATCH(H$2,FinInputs!$G$3:$AH$3,0))</f>
        <v>0</v>
      </c>
      <c r="I29" s="54" cm="1">
        <f t="array" ref="I29">++INDEX(FinInputs!$G309:$AH309,0,MATCH(I$2,FinInputs!$G$3:$AH$3,0))</f>
        <v>0</v>
      </c>
      <c r="J29" s="54" cm="1">
        <f t="array" ref="J29">++INDEX(FinInputs!$G309:$AH309,0,MATCH(J$2,FinInputs!$G$3:$AH$3,0))</f>
        <v>0</v>
      </c>
      <c r="K29" s="54" cm="1">
        <f t="array" ref="K29">++INDEX(FinInputs!$G309:$AH309,0,MATCH(K$2,FinInputs!$G$3:$AH$3,0))</f>
        <v>0</v>
      </c>
      <c r="L29" s="54" cm="1">
        <f t="array" ref="L29">++INDEX(FinInputs!$G309:$AH309,0,MATCH(L$2,FinInputs!$G$3:$AH$3,0))</f>
        <v>0</v>
      </c>
      <c r="M29" s="54" cm="1">
        <f t="array" ref="M29">++INDEX(FinInputs!$G309:$AH309,0,MATCH(M$2,FinInputs!$G$3:$AH$3,0))</f>
        <v>0</v>
      </c>
      <c r="N29" s="54" cm="1">
        <f t="array" ref="N29">++INDEX(FinInputs!$G309:$AH309,0,MATCH(N$2,FinInputs!$G$3:$AH$3,0))</f>
        <v>0</v>
      </c>
      <c r="O29" s="54" cm="1">
        <f t="array" ref="O29">++INDEX(FinInputs!$G309:$AH309,0,MATCH(O$2,FinInputs!$G$3:$AH$3,0))</f>
        <v>0</v>
      </c>
      <c r="P29" s="54" cm="1">
        <f t="array" ref="P29">++INDEX(FinInputs!$G309:$AH309,0,MATCH(P$2,FinInputs!$G$3:$AH$3,0))</f>
        <v>0</v>
      </c>
    </row>
    <row r="30" spans="1:16" x14ac:dyDescent="0.4">
      <c r="C30" s="29" t="str">
        <f>++FinInputs!C310</f>
        <v>Current Assets</v>
      </c>
      <c r="D30" s="30"/>
      <c r="E30" s="30"/>
      <c r="F30" s="31"/>
      <c r="G30" s="32">
        <f>++SUM(G26:G29)</f>
        <v>0</v>
      </c>
      <c r="H30" s="32">
        <f t="shared" ref="H30:P30" si="2">++SUM(H26:H29)</f>
        <v>0</v>
      </c>
      <c r="I30" s="32">
        <f t="shared" si="2"/>
        <v>0</v>
      </c>
      <c r="J30" s="32">
        <f t="shared" si="2"/>
        <v>0</v>
      </c>
      <c r="K30" s="32">
        <f t="shared" si="2"/>
        <v>0</v>
      </c>
      <c r="L30" s="32">
        <f t="shared" si="2"/>
        <v>0</v>
      </c>
      <c r="M30" s="32">
        <f t="shared" si="2"/>
        <v>0</v>
      </c>
      <c r="N30" s="32">
        <f t="shared" si="2"/>
        <v>0</v>
      </c>
      <c r="O30" s="32">
        <f t="shared" si="2"/>
        <v>0</v>
      </c>
      <c r="P30" s="32">
        <f t="shared" si="2"/>
        <v>0</v>
      </c>
    </row>
    <row r="32" spans="1:16" x14ac:dyDescent="0.4">
      <c r="C32" s="1" t="str">
        <f>++FinInputs!C312</f>
        <v>Accounts Payable</v>
      </c>
      <c r="G32" s="54" cm="1">
        <f t="array" ref="G32">++INDEX(FinInputs!$G312:$AH312,0,MATCH(G$2,FinInputs!$G$3:$AH$3,0))</f>
        <v>0</v>
      </c>
      <c r="H32" s="54" cm="1">
        <f t="array" ref="H32">++INDEX(FinInputs!$G312:$AH312,0,MATCH(H$2,FinInputs!$G$3:$AH$3,0))</f>
        <v>0</v>
      </c>
      <c r="I32" s="54" cm="1">
        <f t="array" ref="I32">++INDEX(FinInputs!$G312:$AH312,0,MATCH(I$2,FinInputs!$G$3:$AH$3,0))</f>
        <v>0</v>
      </c>
      <c r="J32" s="54" cm="1">
        <f t="array" ref="J32">++INDEX(FinInputs!$G312:$AH312,0,MATCH(J$2,FinInputs!$G$3:$AH$3,0))</f>
        <v>0</v>
      </c>
      <c r="K32" s="54" cm="1">
        <f t="array" ref="K32">++INDEX(FinInputs!$G312:$AH312,0,MATCH(K$2,FinInputs!$G$3:$AH$3,0))</f>
        <v>0</v>
      </c>
      <c r="L32" s="54" cm="1">
        <f t="array" ref="L32">++INDEX(FinInputs!$G312:$AH312,0,MATCH(L$2,FinInputs!$G$3:$AH$3,0))</f>
        <v>0</v>
      </c>
      <c r="M32" s="54" cm="1">
        <f t="array" ref="M32">++INDEX(FinInputs!$G312:$AH312,0,MATCH(M$2,FinInputs!$G$3:$AH$3,0))</f>
        <v>0</v>
      </c>
      <c r="N32" s="54" cm="1">
        <f t="array" ref="N32">++INDEX(FinInputs!$G312:$AH312,0,MATCH(N$2,FinInputs!$G$3:$AH$3,0))</f>
        <v>0</v>
      </c>
      <c r="O32" s="54" cm="1">
        <f t="array" ref="O32">++INDEX(FinInputs!$G312:$AH312,0,MATCH(O$2,FinInputs!$G$3:$AH$3,0))</f>
        <v>0</v>
      </c>
      <c r="P32" s="54" cm="1">
        <f t="array" ref="P32">++INDEX(FinInputs!$G312:$AH312,0,MATCH(P$2,FinInputs!$G$3:$AH$3,0))</f>
        <v>0</v>
      </c>
    </row>
    <row r="33" spans="3:16" x14ac:dyDescent="0.4">
      <c r="C33" s="1" t="str">
        <f>++FinInputs!C313</f>
        <v>Billings in Excess of Costs ("BIE")</v>
      </c>
      <c r="G33" s="54" cm="1">
        <f t="array" ref="G33">++INDEX(FinInputs!$G313:$AH313,0,MATCH(G$2,FinInputs!$G$3:$AH$3,0))</f>
        <v>0</v>
      </c>
      <c r="H33" s="54" cm="1">
        <f t="array" ref="H33">++INDEX(FinInputs!$G313:$AH313,0,MATCH(H$2,FinInputs!$G$3:$AH$3,0))</f>
        <v>0</v>
      </c>
      <c r="I33" s="54" cm="1">
        <f t="array" ref="I33">++INDEX(FinInputs!$G313:$AH313,0,MATCH(I$2,FinInputs!$G$3:$AH$3,0))</f>
        <v>0</v>
      </c>
      <c r="J33" s="54" cm="1">
        <f t="array" ref="J33">++INDEX(FinInputs!$G313:$AH313,0,MATCH(J$2,FinInputs!$G$3:$AH$3,0))</f>
        <v>0</v>
      </c>
      <c r="K33" s="54" cm="1">
        <f t="array" ref="K33">++INDEX(FinInputs!$G313:$AH313,0,MATCH(K$2,FinInputs!$G$3:$AH$3,0))</f>
        <v>0</v>
      </c>
      <c r="L33" s="54" cm="1">
        <f t="array" ref="L33">++INDEX(FinInputs!$G313:$AH313,0,MATCH(L$2,FinInputs!$G$3:$AH$3,0))</f>
        <v>0</v>
      </c>
      <c r="M33" s="54" cm="1">
        <f t="array" ref="M33">++INDEX(FinInputs!$G313:$AH313,0,MATCH(M$2,FinInputs!$G$3:$AH$3,0))</f>
        <v>0</v>
      </c>
      <c r="N33" s="54" cm="1">
        <f t="array" ref="N33">++INDEX(FinInputs!$G313:$AH313,0,MATCH(N$2,FinInputs!$G$3:$AH$3,0))</f>
        <v>0</v>
      </c>
      <c r="O33" s="54" cm="1">
        <f t="array" ref="O33">++INDEX(FinInputs!$G313:$AH313,0,MATCH(O$2,FinInputs!$G$3:$AH$3,0))</f>
        <v>0</v>
      </c>
      <c r="P33" s="54" cm="1">
        <f t="array" ref="P33">++INDEX(FinInputs!$G313:$AH313,0,MATCH(P$2,FinInputs!$G$3:$AH$3,0))</f>
        <v>0</v>
      </c>
    </row>
    <row r="34" spans="3:16" x14ac:dyDescent="0.4">
      <c r="C34" s="1" t="str">
        <f>++FinInputs!C314</f>
        <v>Deferred Revenue</v>
      </c>
      <c r="G34" s="54" cm="1">
        <f t="array" ref="G34">++INDEX(FinInputs!$G314:$AH314,0,MATCH(G$2,FinInputs!$G$3:$AH$3,0))</f>
        <v>0</v>
      </c>
      <c r="H34" s="54" cm="1">
        <f t="array" ref="H34">++INDEX(FinInputs!$G314:$AH314,0,MATCH(H$2,FinInputs!$G$3:$AH$3,0))</f>
        <v>0</v>
      </c>
      <c r="I34" s="54" cm="1">
        <f t="array" ref="I34">++INDEX(FinInputs!$G314:$AH314,0,MATCH(I$2,FinInputs!$G$3:$AH$3,0))</f>
        <v>0</v>
      </c>
      <c r="J34" s="54" cm="1">
        <f t="array" ref="J34">++INDEX(FinInputs!$G314:$AH314,0,MATCH(J$2,FinInputs!$G$3:$AH$3,0))</f>
        <v>0</v>
      </c>
      <c r="K34" s="54" cm="1">
        <f t="array" ref="K34">++INDEX(FinInputs!$G314:$AH314,0,MATCH(K$2,FinInputs!$G$3:$AH$3,0))</f>
        <v>0</v>
      </c>
      <c r="L34" s="54" cm="1">
        <f t="array" ref="L34">++INDEX(FinInputs!$G314:$AH314,0,MATCH(L$2,FinInputs!$G$3:$AH$3,0))</f>
        <v>0</v>
      </c>
      <c r="M34" s="54" cm="1">
        <f t="array" ref="M34">++INDEX(FinInputs!$G314:$AH314,0,MATCH(M$2,FinInputs!$G$3:$AH$3,0))</f>
        <v>0</v>
      </c>
      <c r="N34" s="54" cm="1">
        <f t="array" ref="N34">++INDEX(FinInputs!$G314:$AH314,0,MATCH(N$2,FinInputs!$G$3:$AH$3,0))</f>
        <v>0</v>
      </c>
      <c r="O34" s="54" cm="1">
        <f t="array" ref="O34">++INDEX(FinInputs!$G314:$AH314,0,MATCH(O$2,FinInputs!$G$3:$AH$3,0))</f>
        <v>0</v>
      </c>
      <c r="P34" s="54" cm="1">
        <f t="array" ref="P34">++INDEX(FinInputs!$G314:$AH314,0,MATCH(P$2,FinInputs!$G$3:$AH$3,0))</f>
        <v>0</v>
      </c>
    </row>
    <row r="35" spans="3:16" x14ac:dyDescent="0.4">
      <c r="C35" s="1" t="str">
        <f>++FinInputs!C315</f>
        <v>Accrued &amp; Other</v>
      </c>
      <c r="G35" s="54" cm="1">
        <f t="array" ref="G35">++INDEX(FinInputs!$G315:$AH315,0,MATCH(G$2,FinInputs!$G$3:$AH$3,0))</f>
        <v>0</v>
      </c>
      <c r="H35" s="54" cm="1">
        <f t="array" ref="H35">++INDEX(FinInputs!$G315:$AH315,0,MATCH(H$2,FinInputs!$G$3:$AH$3,0))</f>
        <v>0</v>
      </c>
      <c r="I35" s="54" cm="1">
        <f t="array" ref="I35">++INDEX(FinInputs!$G315:$AH315,0,MATCH(I$2,FinInputs!$G$3:$AH$3,0))</f>
        <v>0</v>
      </c>
      <c r="J35" s="54" cm="1">
        <f t="array" ref="J35">++INDEX(FinInputs!$G315:$AH315,0,MATCH(J$2,FinInputs!$G$3:$AH$3,0))</f>
        <v>0</v>
      </c>
      <c r="K35" s="54" cm="1">
        <f t="array" ref="K35">++INDEX(FinInputs!$G315:$AH315,0,MATCH(K$2,FinInputs!$G$3:$AH$3,0))</f>
        <v>0</v>
      </c>
      <c r="L35" s="54" cm="1">
        <f t="array" ref="L35">++INDEX(FinInputs!$G315:$AH315,0,MATCH(L$2,FinInputs!$G$3:$AH$3,0))</f>
        <v>0</v>
      </c>
      <c r="M35" s="54" cm="1">
        <f t="array" ref="M35">++INDEX(FinInputs!$G315:$AH315,0,MATCH(M$2,FinInputs!$G$3:$AH$3,0))</f>
        <v>0</v>
      </c>
      <c r="N35" s="54" cm="1">
        <f t="array" ref="N35">++INDEX(FinInputs!$G315:$AH315,0,MATCH(N$2,FinInputs!$G$3:$AH$3,0))</f>
        <v>0</v>
      </c>
      <c r="O35" s="54" cm="1">
        <f t="array" ref="O35">++INDEX(FinInputs!$G315:$AH315,0,MATCH(O$2,FinInputs!$G$3:$AH$3,0))</f>
        <v>0</v>
      </c>
      <c r="P35" s="54" cm="1">
        <f t="array" ref="P35">++INDEX(FinInputs!$G315:$AH315,0,MATCH(P$2,FinInputs!$G$3:$AH$3,0))</f>
        <v>0</v>
      </c>
    </row>
    <row r="36" spans="3:16" x14ac:dyDescent="0.4">
      <c r="C36" s="29" t="str">
        <f>++FinInputs!C316</f>
        <v>Current Liabilities</v>
      </c>
      <c r="D36" s="30"/>
      <c r="E36" s="30"/>
      <c r="F36" s="31"/>
      <c r="G36" s="32">
        <f>++SUM(G32:G35)</f>
        <v>0</v>
      </c>
      <c r="H36" s="32">
        <f t="shared" ref="H36" si="3">++SUM(H32:H35)</f>
        <v>0</v>
      </c>
      <c r="I36" s="32">
        <f t="shared" ref="I36" si="4">++SUM(I32:I35)</f>
        <v>0</v>
      </c>
      <c r="J36" s="32">
        <f t="shared" ref="J36" si="5">++SUM(J32:J35)</f>
        <v>0</v>
      </c>
      <c r="K36" s="32">
        <f t="shared" ref="K36" si="6">++SUM(K32:K35)</f>
        <v>0</v>
      </c>
      <c r="L36" s="32">
        <f t="shared" ref="L36" si="7">++SUM(L32:L35)</f>
        <v>0</v>
      </c>
      <c r="M36" s="32">
        <f t="shared" ref="M36" si="8">++SUM(M32:M35)</f>
        <v>0</v>
      </c>
      <c r="N36" s="32">
        <f t="shared" ref="N36" si="9">++SUM(N32:N35)</f>
        <v>0</v>
      </c>
      <c r="O36" s="32">
        <f t="shared" ref="O36" si="10">++SUM(O32:O35)</f>
        <v>0</v>
      </c>
      <c r="P36" s="32">
        <f t="shared" ref="P36" si="11">++SUM(P32:P35)</f>
        <v>0</v>
      </c>
    </row>
    <row r="38" spans="3:16" ht="13.5" thickBot="1" x14ac:dyDescent="0.45">
      <c r="C38" s="34" t="str">
        <f>++FinInputs!C318</f>
        <v>NWC</v>
      </c>
      <c r="D38" s="35"/>
      <c r="E38" s="35"/>
      <c r="F38" s="31"/>
      <c r="G38" s="36">
        <f>++G30-G36</f>
        <v>0</v>
      </c>
      <c r="H38" s="36">
        <f t="shared" ref="H38:P38" si="12">++H30-H36</f>
        <v>0</v>
      </c>
      <c r="I38" s="36">
        <f t="shared" si="12"/>
        <v>0</v>
      </c>
      <c r="J38" s="36">
        <f t="shared" si="12"/>
        <v>0</v>
      </c>
      <c r="K38" s="36">
        <f t="shared" si="12"/>
        <v>0</v>
      </c>
      <c r="L38" s="36">
        <f t="shared" si="12"/>
        <v>0</v>
      </c>
      <c r="M38" s="36">
        <f t="shared" si="12"/>
        <v>0</v>
      </c>
      <c r="N38" s="36">
        <f t="shared" si="12"/>
        <v>0</v>
      </c>
      <c r="O38" s="36">
        <f t="shared" si="12"/>
        <v>0</v>
      </c>
      <c r="P38" s="36">
        <f t="shared" si="12"/>
        <v>0</v>
      </c>
    </row>
    <row r="39" spans="3:16" ht="13.5" thickTop="1" x14ac:dyDescent="0.4">
      <c r="C39" s="23" t="str">
        <f>++FinInputs!C319</f>
        <v>% revenue</v>
      </c>
      <c r="G39" s="66">
        <f>++IFERROR(G38/G$42,0)</f>
        <v>0</v>
      </c>
      <c r="H39" s="66">
        <f t="shared" ref="H39:P39" si="13">++IFERROR(H38/H$42,0)</f>
        <v>0</v>
      </c>
      <c r="I39" s="66">
        <f t="shared" si="13"/>
        <v>0</v>
      </c>
      <c r="J39" s="66">
        <f t="shared" si="13"/>
        <v>0</v>
      </c>
      <c r="K39" s="66">
        <f t="shared" si="13"/>
        <v>0</v>
      </c>
      <c r="L39" s="66">
        <f t="shared" si="13"/>
        <v>0</v>
      </c>
      <c r="M39" s="66">
        <f t="shared" si="13"/>
        <v>0</v>
      </c>
      <c r="N39" s="66">
        <f t="shared" si="13"/>
        <v>0</v>
      </c>
      <c r="O39" s="66">
        <f t="shared" si="13"/>
        <v>0</v>
      </c>
      <c r="P39" s="66">
        <f t="shared" si="13"/>
        <v>0</v>
      </c>
    </row>
    <row r="41" spans="3:16" x14ac:dyDescent="0.4">
      <c r="C41" s="60" t="s">
        <v>124</v>
      </c>
    </row>
    <row r="42" spans="3:16" x14ac:dyDescent="0.4">
      <c r="C42" s="69" t="str">
        <f>++FinInputs!C303</f>
        <v>TTM Revenue</v>
      </c>
      <c r="D42" s="3"/>
      <c r="E42" s="3"/>
      <c r="F42" s="3"/>
      <c r="G42" s="70" cm="1">
        <f t="array" ref="G42">++INDEX(FinInputs!$G303:$AH303,0,MATCH(G$2,FinInputs!$G$3:$AH$3,0))</f>
        <v>0</v>
      </c>
      <c r="H42" s="70" cm="1">
        <f t="array" ref="H42">++INDEX(FinInputs!$G303:$AH303,0,MATCH(H$2,FinInputs!$G$3:$AH$3,0))</f>
        <v>0</v>
      </c>
      <c r="I42" s="70" cm="1">
        <f t="array" ref="I42">++INDEX(FinInputs!$G303:$AH303,0,MATCH(I$2,FinInputs!$G$3:$AH$3,0))</f>
        <v>0</v>
      </c>
      <c r="J42" s="70" cm="1">
        <f t="array" ref="J42">++INDEX(FinInputs!$G303:$AH303,0,MATCH(J$2,FinInputs!$G$3:$AH$3,0))</f>
        <v>0</v>
      </c>
      <c r="K42" s="70" cm="1">
        <f t="array" ref="K42">++INDEX(FinInputs!$G303:$AH303,0,MATCH(K$2,FinInputs!$G$3:$AH$3,0))</f>
        <v>0</v>
      </c>
      <c r="L42" s="70" cm="1">
        <f t="array" ref="L42">++INDEX(FinInputs!$G303:$AH303,0,MATCH(L$2,FinInputs!$G$3:$AH$3,0))</f>
        <v>0</v>
      </c>
      <c r="M42" s="70" cm="1">
        <f t="array" ref="M42">++INDEX(FinInputs!$G303:$AH303,0,MATCH(M$2,FinInputs!$G$3:$AH$3,0))</f>
        <v>0</v>
      </c>
      <c r="N42" s="70" cm="1">
        <f t="array" ref="N42">++INDEX(FinInputs!$G303:$AH303,0,MATCH(N$2,FinInputs!$G$3:$AH$3,0))</f>
        <v>0</v>
      </c>
      <c r="O42" s="70" cm="1">
        <f t="array" ref="O42">++INDEX(FinInputs!$G303:$AH303,0,MATCH(O$2,FinInputs!$G$3:$AH$3,0))</f>
        <v>0</v>
      </c>
      <c r="P42" s="71" cm="1">
        <f t="array" ref="P42">++INDEX(FinInputs!$G303:$AH303,0,MATCH(P$2,FinInputs!$G$3:$AH$3,0))</f>
        <v>0</v>
      </c>
    </row>
    <row r="43" spans="3:16" x14ac:dyDescent="0.4">
      <c r="C43" s="72" t="str">
        <f>++FinInputs!C304</f>
        <v>TTM COGS</v>
      </c>
      <c r="D43" s="7"/>
      <c r="E43" s="7"/>
      <c r="F43" s="7"/>
      <c r="G43" s="73" cm="1">
        <f t="array" ref="G43">++INDEX(FinInputs!$G304:$AH304,0,MATCH(G$2,FinInputs!$G$3:$AH$3,0))</f>
        <v>0</v>
      </c>
      <c r="H43" s="73" cm="1">
        <f t="array" ref="H43">++INDEX(FinInputs!$G304:$AH304,0,MATCH(H$2,FinInputs!$G$3:$AH$3,0))</f>
        <v>0</v>
      </c>
      <c r="I43" s="73" cm="1">
        <f t="array" ref="I43">++INDEX(FinInputs!$G304:$AH304,0,MATCH(I$2,FinInputs!$G$3:$AH$3,0))</f>
        <v>0</v>
      </c>
      <c r="J43" s="73" cm="1">
        <f t="array" ref="J43">++INDEX(FinInputs!$G304:$AH304,0,MATCH(J$2,FinInputs!$G$3:$AH$3,0))</f>
        <v>0</v>
      </c>
      <c r="K43" s="73" cm="1">
        <f t="array" ref="K43">++INDEX(FinInputs!$G304:$AH304,0,MATCH(K$2,FinInputs!$G$3:$AH$3,0))</f>
        <v>0</v>
      </c>
      <c r="L43" s="73" cm="1">
        <f t="array" ref="L43">++INDEX(FinInputs!$G304:$AH304,0,MATCH(L$2,FinInputs!$G$3:$AH$3,0))</f>
        <v>0</v>
      </c>
      <c r="M43" s="73" cm="1">
        <f t="array" ref="M43">++INDEX(FinInputs!$G304:$AH304,0,MATCH(M$2,FinInputs!$G$3:$AH$3,0))</f>
        <v>0</v>
      </c>
      <c r="N43" s="73" cm="1">
        <f t="array" ref="N43">++INDEX(FinInputs!$G304:$AH304,0,MATCH(N$2,FinInputs!$G$3:$AH$3,0))</f>
        <v>0</v>
      </c>
      <c r="O43" s="73" cm="1">
        <f t="array" ref="O43">++INDEX(FinInputs!$G304:$AH304,0,MATCH(O$2,FinInputs!$G$3:$AH$3,0))</f>
        <v>0</v>
      </c>
      <c r="P43" s="74" cm="1">
        <f t="array" ref="P43">++INDEX(FinInputs!$G304:$AH304,0,MATCH(P$2,FinInputs!$G$3:$AH$3,0))</f>
        <v>0</v>
      </c>
    </row>
    <row r="45" spans="3:16" x14ac:dyDescent="0.4">
      <c r="C45" s="60" t="s">
        <v>125</v>
      </c>
    </row>
    <row r="46" spans="3:16" x14ac:dyDescent="0.4">
      <c r="C46" s="69" t="str">
        <f>++FinInputs!C301</f>
        <v>Days in Period</v>
      </c>
      <c r="D46" s="3"/>
      <c r="E46" s="3"/>
      <c r="F46" s="3"/>
      <c r="G46" s="75">
        <f>++G$2-EOMONTH(G$2,-12)</f>
        <v>365</v>
      </c>
      <c r="H46" s="75">
        <f t="shared" ref="H46:P46" si="14">++H$2-EOMONTH(H$2,-12)</f>
        <v>365</v>
      </c>
      <c r="I46" s="75">
        <f t="shared" si="14"/>
        <v>365</v>
      </c>
      <c r="J46" s="75">
        <f t="shared" si="14"/>
        <v>366</v>
      </c>
      <c r="K46" s="75">
        <f t="shared" si="14"/>
        <v>366</v>
      </c>
      <c r="L46" s="75">
        <f t="shared" si="14"/>
        <v>366</v>
      </c>
      <c r="M46" s="75">
        <f t="shared" si="14"/>
        <v>366</v>
      </c>
      <c r="N46" s="75">
        <f t="shared" si="14"/>
        <v>365</v>
      </c>
      <c r="O46" s="75">
        <f t="shared" si="14"/>
        <v>365</v>
      </c>
      <c r="P46" s="76">
        <f t="shared" si="14"/>
        <v>365</v>
      </c>
    </row>
    <row r="47" spans="3:16" ht="5.0999999999999996" customHeight="1" x14ac:dyDescent="0.4">
      <c r="C47" s="7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/>
    </row>
    <row r="48" spans="3:16" x14ac:dyDescent="0.4">
      <c r="C48" s="78" t="str">
        <f>++FinInputs!C321</f>
        <v>DSO</v>
      </c>
      <c r="D48" s="5"/>
      <c r="E48" s="5"/>
      <c r="F48" s="5"/>
      <c r="G48" s="93" cm="1">
        <f t="array" ref="G48">++IFERROR(SUM(G26:G27,-G33:G34)/G$42*G46,0)</f>
        <v>0</v>
      </c>
      <c r="H48" s="93" cm="1">
        <f t="array" ref="H48">++IFERROR(SUM(H26:H27,-H33:H34)/H$42*H46,0)</f>
        <v>0</v>
      </c>
      <c r="I48" s="93" cm="1">
        <f t="array" ref="I48">++IFERROR(SUM(I26:I27,-I33:I34)/I$42*I46,0)</f>
        <v>0</v>
      </c>
      <c r="J48" s="93" cm="1">
        <f t="array" ref="J48">++IFERROR(SUM(J26:J27,-J33:J34)/J$42*J46,0)</f>
        <v>0</v>
      </c>
      <c r="K48" s="93" cm="1">
        <f t="array" ref="K48">++IFERROR(SUM(K26:K27,-K33:K34)/K$42*K46,0)</f>
        <v>0</v>
      </c>
      <c r="L48" s="93" cm="1">
        <f t="array" ref="L48">++IFERROR(SUM(L26:L27,-L33:L34)/L$42*L46,0)</f>
        <v>0</v>
      </c>
      <c r="M48" s="93" cm="1">
        <f t="array" ref="M48">++IFERROR(SUM(M26:M27,-M33:M34)/M$42*M46,0)</f>
        <v>0</v>
      </c>
      <c r="N48" s="93" cm="1">
        <f t="array" ref="N48">++IFERROR(SUM(N26:N27,-N33:N34)/N$42*N46,0)</f>
        <v>0</v>
      </c>
      <c r="O48" s="93" cm="1">
        <f t="array" ref="O48">++IFERROR(SUM(O26:O27,-O33:O34)/O$42*O46,0)</f>
        <v>0</v>
      </c>
      <c r="P48" s="94" cm="1">
        <f t="array" ref="P48">++IFERROR(SUM(P26:P27,-P33:P34)/P$42*P46,0)</f>
        <v>0</v>
      </c>
    </row>
    <row r="49" spans="1:21" x14ac:dyDescent="0.4">
      <c r="C49" s="78" t="str">
        <f>++FinInputs!C322</f>
        <v>DIH</v>
      </c>
      <c r="D49" s="5"/>
      <c r="E49" s="5"/>
      <c r="F49" s="5"/>
      <c r="G49" s="93">
        <f>++IFERROR(G28/G$43*G$46,0)</f>
        <v>0</v>
      </c>
      <c r="H49" s="93">
        <f t="shared" ref="H49:P49" si="15">++IFERROR(H28/H$43*H$46,0)</f>
        <v>0</v>
      </c>
      <c r="I49" s="93">
        <f t="shared" si="15"/>
        <v>0</v>
      </c>
      <c r="J49" s="93">
        <f t="shared" si="15"/>
        <v>0</v>
      </c>
      <c r="K49" s="93">
        <f t="shared" si="15"/>
        <v>0</v>
      </c>
      <c r="L49" s="93">
        <f t="shared" si="15"/>
        <v>0</v>
      </c>
      <c r="M49" s="93">
        <f t="shared" si="15"/>
        <v>0</v>
      </c>
      <c r="N49" s="93">
        <f t="shared" si="15"/>
        <v>0</v>
      </c>
      <c r="O49" s="93">
        <f t="shared" si="15"/>
        <v>0</v>
      </c>
      <c r="P49" s="94">
        <f t="shared" si="15"/>
        <v>0</v>
      </c>
    </row>
    <row r="50" spans="1:21" x14ac:dyDescent="0.4">
      <c r="C50" s="78" t="str">
        <f>++FinInputs!C323</f>
        <v>DPO</v>
      </c>
      <c r="D50" s="5"/>
      <c r="E50" s="5"/>
      <c r="F50" s="5"/>
      <c r="G50" s="93">
        <f>++IFERROR(-G32/G$43*G$46,0)</f>
        <v>0</v>
      </c>
      <c r="H50" s="93">
        <f t="shared" ref="H50:P50" si="16">++IFERROR(-H32/H$43*H$46,0)</f>
        <v>0</v>
      </c>
      <c r="I50" s="93">
        <f t="shared" si="16"/>
        <v>0</v>
      </c>
      <c r="J50" s="93">
        <f t="shared" si="16"/>
        <v>0</v>
      </c>
      <c r="K50" s="93">
        <f t="shared" si="16"/>
        <v>0</v>
      </c>
      <c r="L50" s="93">
        <f t="shared" si="16"/>
        <v>0</v>
      </c>
      <c r="M50" s="93">
        <f t="shared" si="16"/>
        <v>0</v>
      </c>
      <c r="N50" s="93">
        <f t="shared" si="16"/>
        <v>0</v>
      </c>
      <c r="O50" s="93">
        <f t="shared" si="16"/>
        <v>0</v>
      </c>
      <c r="P50" s="94">
        <f t="shared" si="16"/>
        <v>0</v>
      </c>
    </row>
    <row r="51" spans="1:21" x14ac:dyDescent="0.4">
      <c r="C51" s="79" t="str">
        <f>++FinInputs!C324</f>
        <v>CCC</v>
      </c>
      <c r="D51" s="80"/>
      <c r="E51" s="80"/>
      <c r="F51" s="7"/>
      <c r="G51" s="95">
        <f>++SUM(G48:G50)</f>
        <v>0</v>
      </c>
      <c r="H51" s="95">
        <f t="shared" ref="H51:P51" si="17">++SUM(H48:H50)</f>
        <v>0</v>
      </c>
      <c r="I51" s="95">
        <f t="shared" si="17"/>
        <v>0</v>
      </c>
      <c r="J51" s="95">
        <f t="shared" si="17"/>
        <v>0</v>
      </c>
      <c r="K51" s="95">
        <f t="shared" si="17"/>
        <v>0</v>
      </c>
      <c r="L51" s="95">
        <f t="shared" si="17"/>
        <v>0</v>
      </c>
      <c r="M51" s="95">
        <f t="shared" si="17"/>
        <v>0</v>
      </c>
      <c r="N51" s="95">
        <f t="shared" si="17"/>
        <v>0</v>
      </c>
      <c r="O51" s="95">
        <f t="shared" si="17"/>
        <v>0</v>
      </c>
      <c r="P51" s="96">
        <f t="shared" si="17"/>
        <v>0</v>
      </c>
    </row>
    <row r="53" spans="1:21" x14ac:dyDescent="0.4">
      <c r="C53" s="9" t="s">
        <v>126</v>
      </c>
      <c r="D53" s="3"/>
      <c r="E53" s="3"/>
      <c r="F53" s="3"/>
      <c r="G53" s="81">
        <f>++MAX($G$38:$P$38)</f>
        <v>0</v>
      </c>
    </row>
    <row r="54" spans="1:21" x14ac:dyDescent="0.4">
      <c r="C54" s="10" t="s">
        <v>127</v>
      </c>
      <c r="D54" s="5"/>
      <c r="E54" s="5"/>
      <c r="F54" s="5"/>
      <c r="G54" s="82">
        <f>++MIN($G$38:$P$38)</f>
        <v>0</v>
      </c>
    </row>
    <row r="55" spans="1:21" x14ac:dyDescent="0.4">
      <c r="C55" s="83" t="s">
        <v>128</v>
      </c>
      <c r="D55" s="7"/>
      <c r="E55" s="7"/>
      <c r="F55" s="7"/>
      <c r="G55" s="84">
        <f>++G54-G53</f>
        <v>0</v>
      </c>
    </row>
    <row r="58" spans="1:21" ht="15.4" x14ac:dyDescent="0.7">
      <c r="A58" s="12" t="s">
        <v>8</v>
      </c>
      <c r="B58" s="12" t="s">
        <v>8</v>
      </c>
      <c r="S58" s="16" t="s">
        <v>129</v>
      </c>
      <c r="T58" s="16" t="s">
        <v>130</v>
      </c>
      <c r="U58" s="16" t="s">
        <v>131</v>
      </c>
    </row>
    <row r="59" spans="1:21" x14ac:dyDescent="0.4">
      <c r="S59" s="85" t="str" cm="1">
        <f t="array" ref="S59:S68">++TRANSPOSE(G25:P25)</f>
        <v>Q2'23A</v>
      </c>
      <c r="T59" s="86" cm="1">
        <f t="array" ref="T59:T68">++TRANSPOSE(G38:P38)/1000</f>
        <v>0</v>
      </c>
      <c r="U59" s="65" cm="1">
        <f t="array" ref="U59:U68">++TRANSPOSE($G$39:$P$39)</f>
        <v>0</v>
      </c>
    </row>
    <row r="60" spans="1:21" x14ac:dyDescent="0.4">
      <c r="S60" s="85" t="str">
        <v>Q3'23A</v>
      </c>
      <c r="T60" s="86">
        <v>0</v>
      </c>
      <c r="U60" s="65">
        <v>0</v>
      </c>
    </row>
    <row r="61" spans="1:21" x14ac:dyDescent="0.4">
      <c r="S61" s="85" t="str">
        <v>Q4'23A</v>
      </c>
      <c r="T61" s="86">
        <v>0</v>
      </c>
      <c r="U61" s="65">
        <v>0</v>
      </c>
    </row>
    <row r="62" spans="1:21" x14ac:dyDescent="0.4">
      <c r="S62" s="85" t="str">
        <v>Q1'24A</v>
      </c>
      <c r="T62" s="86">
        <v>0</v>
      </c>
      <c r="U62" s="65">
        <v>0</v>
      </c>
    </row>
    <row r="63" spans="1:21" x14ac:dyDescent="0.4">
      <c r="S63" s="85" t="str">
        <v>Q2'24A</v>
      </c>
      <c r="T63" s="86">
        <v>0</v>
      </c>
      <c r="U63" s="65">
        <v>0</v>
      </c>
    </row>
    <row r="64" spans="1:21" x14ac:dyDescent="0.4">
      <c r="S64" s="85" t="str">
        <v>Q3'24A</v>
      </c>
      <c r="T64" s="86">
        <v>0</v>
      </c>
      <c r="U64" s="65">
        <v>0</v>
      </c>
    </row>
    <row r="65" spans="19:21" x14ac:dyDescent="0.4">
      <c r="S65" s="85" t="str">
        <v>Q4'24A</v>
      </c>
      <c r="T65" s="86">
        <v>0</v>
      </c>
      <c r="U65" s="65">
        <v>0</v>
      </c>
    </row>
    <row r="66" spans="19:21" x14ac:dyDescent="0.4">
      <c r="S66" s="85" t="str">
        <v>Q1'25A</v>
      </c>
      <c r="T66" s="86">
        <v>0</v>
      </c>
      <c r="U66" s="65">
        <v>0</v>
      </c>
    </row>
    <row r="67" spans="19:21" x14ac:dyDescent="0.4">
      <c r="S67" s="85" t="str">
        <v>Q2'25A</v>
      </c>
      <c r="T67" s="86">
        <v>0</v>
      </c>
      <c r="U67" s="65">
        <v>0</v>
      </c>
    </row>
    <row r="68" spans="19:21" x14ac:dyDescent="0.4">
      <c r="S68" s="85" t="str">
        <v>Q3'25A</v>
      </c>
      <c r="T68" s="86">
        <v>0</v>
      </c>
      <c r="U68" s="65">
        <v>0</v>
      </c>
    </row>
  </sheetData>
  <pageMargins left="0.7" right="0.7" top="0.75" bottom="0.75" header="0.3" footer="0.3"/>
  <customProperties>
    <customPr name="OrphanNamesChecked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195F-01AB-4EDA-8BFA-46669C98E174}">
  <sheetPr codeName="Sheet8"/>
  <dimension ref="A1:Y89"/>
  <sheetViews>
    <sheetView showGridLines="0" zoomScale="85" zoomScaleNormal="85" workbookViewId="0">
      <pane xSplit="5" ySplit="6" topLeftCell="F7" activePane="bottomRight" state="frozen"/>
      <selection pane="topRight" activeCell="H1" sqref="H1"/>
      <selection pane="bottomLeft" activeCell="A7" sqref="A7"/>
      <selection pane="bottomRight" activeCell="AC26" sqref="AC26"/>
    </sheetView>
  </sheetViews>
  <sheetFormatPr defaultRowHeight="13.15" outlineLevelCol="1" x14ac:dyDescent="0.4"/>
  <cols>
    <col min="1" max="2" width="2.7109375" style="1" customWidth="1"/>
    <col min="3" max="17" width="10.28515625" style="1" customWidth="1"/>
    <col min="18" max="19" width="9.140625" style="1"/>
    <col min="20" max="24" width="9.140625" style="1" hidden="1" customWidth="1" outlineLevel="1"/>
    <col min="25" max="25" width="9.140625" style="1" collapsed="1"/>
    <col min="26" max="16384" width="9.140625" style="1"/>
  </cols>
  <sheetData>
    <row r="1" spans="1:24" x14ac:dyDescent="0.4">
      <c r="C1" s="9" t="str">
        <f>++CoName</f>
        <v>[Company Name] ([Sponsor Name / Non-Sponsored])</v>
      </c>
      <c r="D1" s="3"/>
      <c r="E1" s="4"/>
      <c r="T1" s="90" t="s">
        <v>0</v>
      </c>
      <c r="U1" s="91"/>
      <c r="V1" s="91"/>
      <c r="W1" s="91"/>
      <c r="X1" s="92"/>
    </row>
    <row r="2" spans="1:24" x14ac:dyDescent="0.4">
      <c r="C2" s="10" t="s">
        <v>132</v>
      </c>
      <c r="D2" s="5"/>
      <c r="E2" s="6"/>
      <c r="F2" s="15">
        <f t="shared" ref="F2:O2" si="0">++EOMONTH(G2,-3)</f>
        <v>44651</v>
      </c>
      <c r="G2" s="15">
        <f t="shared" si="0"/>
        <v>44742</v>
      </c>
      <c r="H2" s="15">
        <f t="shared" si="0"/>
        <v>44834</v>
      </c>
      <c r="I2" s="15">
        <f t="shared" si="0"/>
        <v>44926</v>
      </c>
      <c r="J2" s="15">
        <f t="shared" si="0"/>
        <v>45016</v>
      </c>
      <c r="K2" s="15">
        <f t="shared" si="0"/>
        <v>45107</v>
      </c>
      <c r="L2" s="15">
        <f t="shared" si="0"/>
        <v>45199</v>
      </c>
      <c r="M2" s="15">
        <f t="shared" si="0"/>
        <v>45291</v>
      </c>
      <c r="N2" s="15">
        <f t="shared" si="0"/>
        <v>45382</v>
      </c>
      <c r="O2" s="15">
        <f t="shared" si="0"/>
        <v>45473</v>
      </c>
      <c r="P2" s="15">
        <f>++EOMONTH(Q2,-3)</f>
        <v>45565</v>
      </c>
      <c r="Q2" s="47">
        <f>++LastFYE</f>
        <v>45657</v>
      </c>
    </row>
    <row r="3" spans="1:24" x14ac:dyDescent="0.4">
      <c r="C3" s="11" t="str">
        <f ca="1">++TEXT(TODAY(),"MMMM D, YYYY")</f>
        <v>April 21, 2026</v>
      </c>
      <c r="D3" s="7"/>
      <c r="E3" s="8"/>
    </row>
    <row r="5" spans="1:24" x14ac:dyDescent="0.4">
      <c r="A5" s="12" t="s">
        <v>8</v>
      </c>
      <c r="B5" s="12" t="s">
        <v>8</v>
      </c>
      <c r="C5" s="106" t="str">
        <f>++C2</f>
        <v>Historical Seasonality Detail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4" ht="5.0999999999999996" customHeight="1" x14ac:dyDescent="0.4"/>
    <row r="7" spans="1:24" ht="15.4" x14ac:dyDescent="0.7">
      <c r="A7" s="12" t="s">
        <v>8</v>
      </c>
      <c r="B7" s="12" t="s">
        <v>8</v>
      </c>
      <c r="C7" s="27" t="str">
        <f>++$T$60</f>
        <v>Revenue (% FY)</v>
      </c>
      <c r="D7" s="26"/>
      <c r="E7" s="26"/>
      <c r="F7" s="26"/>
      <c r="G7" s="26"/>
      <c r="H7" s="26"/>
      <c r="I7" s="26"/>
      <c r="K7" s="27" t="str">
        <f>++$T$68</f>
        <v>CA EBITDA (% FY)</v>
      </c>
      <c r="L7" s="26"/>
      <c r="M7" s="26"/>
      <c r="N7" s="26"/>
      <c r="O7" s="26"/>
      <c r="P7" s="26"/>
      <c r="Q7" s="26"/>
    </row>
    <row r="8" spans="1:24" ht="5.0999999999999996" customHeight="1" x14ac:dyDescent="0.4"/>
    <row r="24" spans="1:17" ht="15.4" x14ac:dyDescent="0.7">
      <c r="A24" s="12" t="s">
        <v>8</v>
      </c>
      <c r="B24" s="12" t="s">
        <v>8</v>
      </c>
      <c r="C24" s="27" t="str">
        <f>++$T$76</f>
        <v>Capital Expenditures (% FY)</v>
      </c>
      <c r="D24" s="26"/>
      <c r="E24" s="26"/>
      <c r="F24" s="26"/>
      <c r="G24" s="26"/>
      <c r="H24" s="26"/>
      <c r="I24" s="26"/>
      <c r="K24" s="27" t="str">
        <f>++$T$84</f>
        <v>FCF (% FY)</v>
      </c>
      <c r="L24" s="26"/>
      <c r="M24" s="26"/>
      <c r="N24" s="26"/>
      <c r="O24" s="26"/>
      <c r="P24" s="26"/>
      <c r="Q24" s="26"/>
    </row>
    <row r="25" spans="1:17" ht="5.0999999999999996" customHeight="1" x14ac:dyDescent="0.4"/>
    <row r="41" spans="1:17" ht="15.4" x14ac:dyDescent="0.7">
      <c r="A41" s="12"/>
      <c r="B41" s="12" t="s">
        <v>8</v>
      </c>
      <c r="C41" s="14" t="s">
        <v>9</v>
      </c>
      <c r="F41" s="27" t="s">
        <v>123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  <row r="42" spans="1:17" ht="5.0999999999999996" customHeight="1" x14ac:dyDescent="0.4"/>
    <row r="43" spans="1:17" ht="15.4" x14ac:dyDescent="0.7">
      <c r="C43" s="14" t="str">
        <f>++"FYE "&amp;TEXT(LastFYE,"MMMM DD")&amp;"st"</f>
        <v>FYE December 31st</v>
      </c>
      <c r="F43" s="16" t="str">
        <f>++"Q"&amp;MONTH(F$2)/3&amp;"'"&amp;RIGHT(YEAR(F$2),2)&amp;"A"</f>
        <v>Q1'22A</v>
      </c>
      <c r="G43" s="16" t="str">
        <f t="shared" ref="G43:Q43" si="1">++"Q"&amp;MONTH(G$2)/3&amp;"'"&amp;RIGHT(YEAR(G$2),2)&amp;"A"</f>
        <v>Q2'22A</v>
      </c>
      <c r="H43" s="16" t="str">
        <f t="shared" si="1"/>
        <v>Q3'22A</v>
      </c>
      <c r="I43" s="16" t="str">
        <f t="shared" si="1"/>
        <v>Q4'22A</v>
      </c>
      <c r="J43" s="16" t="str">
        <f t="shared" si="1"/>
        <v>Q1'23A</v>
      </c>
      <c r="K43" s="16" t="str">
        <f t="shared" si="1"/>
        <v>Q2'23A</v>
      </c>
      <c r="L43" s="16" t="str">
        <f t="shared" si="1"/>
        <v>Q3'23A</v>
      </c>
      <c r="M43" s="16" t="str">
        <f t="shared" si="1"/>
        <v>Q4'23A</v>
      </c>
      <c r="N43" s="16" t="str">
        <f t="shared" si="1"/>
        <v>Q1'24A</v>
      </c>
      <c r="O43" s="16" t="str">
        <f t="shared" si="1"/>
        <v>Q2'24A</v>
      </c>
      <c r="P43" s="16" t="str">
        <f t="shared" si="1"/>
        <v>Q3'24A</v>
      </c>
      <c r="Q43" s="16" t="str">
        <f t="shared" si="1"/>
        <v>Q4'24A</v>
      </c>
    </row>
    <row r="44" spans="1:17" x14ac:dyDescent="0.4">
      <c r="C44" s="62" t="s">
        <v>103</v>
      </c>
      <c r="F44" s="98" cm="1">
        <f t="array" ref="F44">++INDEX(FinInputs!$G16:$AH16,0,MATCH(F$2,FinInputs!$G$3:$AH$3,0))</f>
        <v>0</v>
      </c>
      <c r="G44" s="98" cm="1">
        <f t="array" ref="G44">++INDEX(FinInputs!$G16:$AH16,0,MATCH(G$2,FinInputs!$G$3:$AH$3,0))</f>
        <v>0</v>
      </c>
      <c r="H44" s="98" cm="1">
        <f t="array" ref="H44">++INDEX(FinInputs!$G16:$AH16,0,MATCH(H$2,FinInputs!$G$3:$AH$3,0))</f>
        <v>0</v>
      </c>
      <c r="I44" s="98" cm="1">
        <f t="array" ref="I44">++INDEX(FinInputs!$G16:$AH16,0,MATCH(I$2,FinInputs!$G$3:$AH$3,0))</f>
        <v>0</v>
      </c>
      <c r="J44" s="98" cm="1">
        <f t="array" ref="J44">++INDEX(FinInputs!$G16:$AH16,0,MATCH(J$2,FinInputs!$G$3:$AH$3,0))</f>
        <v>0</v>
      </c>
      <c r="K44" s="98" cm="1">
        <f t="array" ref="K44">++INDEX(FinInputs!$G16:$AH16,0,MATCH(K$2,FinInputs!$G$3:$AH$3,0))</f>
        <v>0</v>
      </c>
      <c r="L44" s="98" cm="1">
        <f t="array" ref="L44">++INDEX(FinInputs!$G16:$AH16,0,MATCH(L$2,FinInputs!$G$3:$AH$3,0))</f>
        <v>0</v>
      </c>
      <c r="M44" s="98" cm="1">
        <f t="array" ref="M44">++INDEX(FinInputs!$G16:$AH16,0,MATCH(M$2,FinInputs!$G$3:$AH$3,0))</f>
        <v>0</v>
      </c>
      <c r="N44" s="98" cm="1">
        <f t="array" ref="N44">++INDEX(FinInputs!$G16:$AH16,0,MATCH(N$2,FinInputs!$G$3:$AH$3,0))</f>
        <v>0</v>
      </c>
      <c r="O44" s="98" cm="1">
        <f t="array" ref="O44">++INDEX(FinInputs!$G16:$AH16,0,MATCH(O$2,FinInputs!$G$3:$AH$3,0))</f>
        <v>0</v>
      </c>
      <c r="P44" s="98" cm="1">
        <f t="array" ref="P44">++INDEX(FinInputs!$G16:$AH16,0,MATCH(P$2,FinInputs!$G$3:$AH$3,0))</f>
        <v>0</v>
      </c>
      <c r="Q44" s="98" cm="1">
        <f t="array" ref="Q44">++INDEX(FinInputs!$G16:$AH16,0,MATCH(Q$2,FinInputs!$G$3:$AH$3,0))</f>
        <v>0</v>
      </c>
    </row>
    <row r="45" spans="1:17" x14ac:dyDescent="0.4">
      <c r="C45" s="23" t="s">
        <v>104</v>
      </c>
      <c r="F45" s="97"/>
      <c r="G45" s="97"/>
      <c r="H45" s="97"/>
      <c r="I45" s="97"/>
      <c r="J45" s="66">
        <f>++IFERROR(J44/F44-1,0)</f>
        <v>0</v>
      </c>
      <c r="K45" s="66">
        <f t="shared" ref="K45:Q45" si="2">++IFERROR(K44/G44-1,0)</f>
        <v>0</v>
      </c>
      <c r="L45" s="66">
        <f t="shared" si="2"/>
        <v>0</v>
      </c>
      <c r="M45" s="66">
        <f t="shared" si="2"/>
        <v>0</v>
      </c>
      <c r="N45" s="66">
        <f t="shared" si="2"/>
        <v>0</v>
      </c>
      <c r="O45" s="66">
        <f t="shared" si="2"/>
        <v>0</v>
      </c>
      <c r="P45" s="66">
        <f t="shared" si="2"/>
        <v>0</v>
      </c>
      <c r="Q45" s="66">
        <f t="shared" si="2"/>
        <v>0</v>
      </c>
    </row>
    <row r="47" spans="1:17" x14ac:dyDescent="0.4">
      <c r="C47" s="62" t="s">
        <v>107</v>
      </c>
      <c r="F47" s="98" cm="1">
        <f t="array" ref="F47">++INDEX(FinInputs!$G87:$AH87,0,MATCH(F$2,FinInputs!$G$3:$AH$3,0))</f>
        <v>0</v>
      </c>
      <c r="G47" s="98" cm="1">
        <f t="array" ref="G47">++INDEX(FinInputs!$G87:$AH87,0,MATCH(G$2,FinInputs!$G$3:$AH$3,0))</f>
        <v>0</v>
      </c>
      <c r="H47" s="98" cm="1">
        <f t="array" ref="H47">++INDEX(FinInputs!$G87:$AH87,0,MATCH(H$2,FinInputs!$G$3:$AH$3,0))</f>
        <v>0</v>
      </c>
      <c r="I47" s="98" cm="1">
        <f t="array" ref="I47">++INDEX(FinInputs!$G87:$AH87,0,MATCH(I$2,FinInputs!$G$3:$AH$3,0))</f>
        <v>0</v>
      </c>
      <c r="J47" s="98" cm="1">
        <f t="array" ref="J47">++INDEX(FinInputs!$G87:$AH87,0,MATCH(J$2,FinInputs!$G$3:$AH$3,0))</f>
        <v>0</v>
      </c>
      <c r="K47" s="98" cm="1">
        <f t="array" ref="K47">++INDEX(FinInputs!$G87:$AH87,0,MATCH(K$2,FinInputs!$G$3:$AH$3,0))</f>
        <v>0</v>
      </c>
      <c r="L47" s="98" cm="1">
        <f t="array" ref="L47">++INDEX(FinInputs!$G87:$AH87,0,MATCH(L$2,FinInputs!$G$3:$AH$3,0))</f>
        <v>0</v>
      </c>
      <c r="M47" s="98" cm="1">
        <f t="array" ref="M47">++INDEX(FinInputs!$G87:$AH87,0,MATCH(M$2,FinInputs!$G$3:$AH$3,0))</f>
        <v>0</v>
      </c>
      <c r="N47" s="98" cm="1">
        <f t="array" ref="N47">++INDEX(FinInputs!$G87:$AH87,0,MATCH(N$2,FinInputs!$G$3:$AH$3,0))</f>
        <v>0</v>
      </c>
      <c r="O47" s="98" cm="1">
        <f t="array" ref="O47">++INDEX(FinInputs!$G87:$AH87,0,MATCH(O$2,FinInputs!$G$3:$AH$3,0))</f>
        <v>0</v>
      </c>
      <c r="P47" s="98" cm="1">
        <f t="array" ref="P47">++INDEX(FinInputs!$G87:$AH87,0,MATCH(P$2,FinInputs!$G$3:$AH$3,0))</f>
        <v>0</v>
      </c>
      <c r="Q47" s="98" cm="1">
        <f t="array" ref="Q47">++INDEX(FinInputs!$G87:$AH87,0,MATCH(Q$2,FinInputs!$G$3:$AH$3,0))</f>
        <v>0</v>
      </c>
    </row>
    <row r="48" spans="1:17" x14ac:dyDescent="0.4">
      <c r="C48" s="23" t="s">
        <v>106</v>
      </c>
      <c r="F48" s="66">
        <f>++IFERROR(F47/F$44,0)</f>
        <v>0</v>
      </c>
      <c r="G48" s="66">
        <f t="shared" ref="G48:Q48" si="3">++IFERROR(G47/G$44,0)</f>
        <v>0</v>
      </c>
      <c r="H48" s="66">
        <f t="shared" si="3"/>
        <v>0</v>
      </c>
      <c r="I48" s="66">
        <f t="shared" si="3"/>
        <v>0</v>
      </c>
      <c r="J48" s="66">
        <f t="shared" si="3"/>
        <v>0</v>
      </c>
      <c r="K48" s="66">
        <f t="shared" si="3"/>
        <v>0</v>
      </c>
      <c r="L48" s="66">
        <f t="shared" si="3"/>
        <v>0</v>
      </c>
      <c r="M48" s="66">
        <f t="shared" si="3"/>
        <v>0</v>
      </c>
      <c r="N48" s="66">
        <f t="shared" si="3"/>
        <v>0</v>
      </c>
      <c r="O48" s="66">
        <f t="shared" si="3"/>
        <v>0</v>
      </c>
      <c r="P48" s="66">
        <f t="shared" si="3"/>
        <v>0</v>
      </c>
      <c r="Q48" s="66">
        <f t="shared" si="3"/>
        <v>0</v>
      </c>
    </row>
    <row r="49" spans="1:24" x14ac:dyDescent="0.4">
      <c r="C49" s="23" t="s">
        <v>104</v>
      </c>
      <c r="F49" s="97"/>
      <c r="G49" s="97"/>
      <c r="H49" s="97"/>
      <c r="I49" s="97"/>
      <c r="J49" s="66">
        <f t="shared" ref="J49:Q49" si="4">++IFERROR(J47/F47-1,0)</f>
        <v>0</v>
      </c>
      <c r="K49" s="66">
        <f t="shared" si="4"/>
        <v>0</v>
      </c>
      <c r="L49" s="66">
        <f t="shared" si="4"/>
        <v>0</v>
      </c>
      <c r="M49" s="66">
        <f t="shared" si="4"/>
        <v>0</v>
      </c>
      <c r="N49" s="66">
        <f t="shared" si="4"/>
        <v>0</v>
      </c>
      <c r="O49" s="66">
        <f t="shared" si="4"/>
        <v>0</v>
      </c>
      <c r="P49" s="66">
        <f t="shared" si="4"/>
        <v>0</v>
      </c>
      <c r="Q49" s="66">
        <f t="shared" si="4"/>
        <v>0</v>
      </c>
    </row>
    <row r="51" spans="1:24" x14ac:dyDescent="0.4">
      <c r="C51" s="62" t="s">
        <v>133</v>
      </c>
      <c r="F51" s="98" cm="1">
        <f t="array" ref="F51">++INDEX(FinInputs!$G94:$AH94,0,MATCH(F$2,FinInputs!$G$3:$AH$3,0))</f>
        <v>0</v>
      </c>
      <c r="G51" s="98" cm="1">
        <f t="array" ref="G51">++INDEX(FinInputs!$G94:$AH94,0,MATCH(G$2,FinInputs!$G$3:$AH$3,0))</f>
        <v>0</v>
      </c>
      <c r="H51" s="98" cm="1">
        <f t="array" ref="H51">++INDEX(FinInputs!$G94:$AH94,0,MATCH(H$2,FinInputs!$G$3:$AH$3,0))</f>
        <v>0</v>
      </c>
      <c r="I51" s="98" cm="1">
        <f t="array" ref="I51">++INDEX(FinInputs!$G94:$AH94,0,MATCH(I$2,FinInputs!$G$3:$AH$3,0))</f>
        <v>0</v>
      </c>
      <c r="J51" s="98" cm="1">
        <f t="array" ref="J51">++INDEX(FinInputs!$G94:$AH94,0,MATCH(J$2,FinInputs!$G$3:$AH$3,0))</f>
        <v>0</v>
      </c>
      <c r="K51" s="98" cm="1">
        <f t="array" ref="K51">++INDEX(FinInputs!$G94:$AH94,0,MATCH(K$2,FinInputs!$G$3:$AH$3,0))</f>
        <v>0</v>
      </c>
      <c r="L51" s="98" cm="1">
        <f t="array" ref="L51">++INDEX(FinInputs!$G94:$AH94,0,MATCH(L$2,FinInputs!$G$3:$AH$3,0))</f>
        <v>0</v>
      </c>
      <c r="M51" s="98" cm="1">
        <f t="array" ref="M51">++INDEX(FinInputs!$G94:$AH94,0,MATCH(M$2,FinInputs!$G$3:$AH$3,0))</f>
        <v>0</v>
      </c>
      <c r="N51" s="98" cm="1">
        <f t="array" ref="N51">++INDEX(FinInputs!$G94:$AH94,0,MATCH(N$2,FinInputs!$G$3:$AH$3,0))</f>
        <v>0</v>
      </c>
      <c r="O51" s="98" cm="1">
        <f t="array" ref="O51">++INDEX(FinInputs!$G94:$AH94,0,MATCH(O$2,FinInputs!$G$3:$AH$3,0))</f>
        <v>0</v>
      </c>
      <c r="P51" s="98" cm="1">
        <f t="array" ref="P51">++INDEX(FinInputs!$G94:$AH94,0,MATCH(P$2,FinInputs!$G$3:$AH$3,0))</f>
        <v>0</v>
      </c>
      <c r="Q51" s="98" cm="1">
        <f t="array" ref="Q51">++INDEX(FinInputs!$G94:$AH94,0,MATCH(Q$2,FinInputs!$G$3:$AH$3,0))</f>
        <v>0</v>
      </c>
    </row>
    <row r="52" spans="1:24" x14ac:dyDescent="0.4">
      <c r="C52" s="23" t="s">
        <v>109</v>
      </c>
      <c r="F52" s="66">
        <f>++IFERROR(F51/F$44,0)</f>
        <v>0</v>
      </c>
      <c r="G52" s="66">
        <f t="shared" ref="G52" si="5">++IFERROR(G51/G$44,0)</f>
        <v>0</v>
      </c>
      <c r="H52" s="66">
        <f t="shared" ref="H52" si="6">++IFERROR(H51/H$44,0)</f>
        <v>0</v>
      </c>
      <c r="I52" s="66">
        <f t="shared" ref="I52" si="7">++IFERROR(I51/I$44,0)</f>
        <v>0</v>
      </c>
      <c r="J52" s="66">
        <f t="shared" ref="J52" si="8">++IFERROR(J51/J$44,0)</f>
        <v>0</v>
      </c>
      <c r="K52" s="66">
        <f t="shared" ref="K52" si="9">++IFERROR(K51/K$44,0)</f>
        <v>0</v>
      </c>
      <c r="L52" s="66">
        <f t="shared" ref="L52" si="10">++IFERROR(L51/L$44,0)</f>
        <v>0</v>
      </c>
      <c r="M52" s="66">
        <f t="shared" ref="M52" si="11">++IFERROR(M51/M$44,0)</f>
        <v>0</v>
      </c>
      <c r="N52" s="66">
        <f t="shared" ref="N52" si="12">++IFERROR(N51/N$44,0)</f>
        <v>0</v>
      </c>
      <c r="O52" s="66">
        <f t="shared" ref="O52" si="13">++IFERROR(O51/O$44,0)</f>
        <v>0</v>
      </c>
      <c r="P52" s="66">
        <f t="shared" ref="P52" si="14">++IFERROR(P51/P$44,0)</f>
        <v>0</v>
      </c>
      <c r="Q52" s="66">
        <f t="shared" ref="Q52" si="15">++IFERROR(Q51/Q$44,0)</f>
        <v>0</v>
      </c>
    </row>
    <row r="53" spans="1:24" x14ac:dyDescent="0.4">
      <c r="C53" s="23" t="s">
        <v>104</v>
      </c>
      <c r="F53" s="97"/>
      <c r="G53" s="97"/>
      <c r="H53" s="97"/>
      <c r="I53" s="97"/>
      <c r="J53" s="66">
        <f t="shared" ref="J53:Q53" si="16">++IFERROR(J51/F51-1,0)</f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 t="shared" si="16"/>
        <v>0</v>
      </c>
      <c r="O53" s="66">
        <f t="shared" si="16"/>
        <v>0</v>
      </c>
      <c r="P53" s="66">
        <f t="shared" si="16"/>
        <v>0</v>
      </c>
      <c r="Q53" s="66">
        <f t="shared" si="16"/>
        <v>0</v>
      </c>
    </row>
    <row r="55" spans="1:24" x14ac:dyDescent="0.4">
      <c r="C55" s="62" t="s">
        <v>134</v>
      </c>
      <c r="F55" s="98">
        <f>++F47-F51</f>
        <v>0</v>
      </c>
      <c r="G55" s="98">
        <f t="shared" ref="G55:Q55" si="17">++G47-G51</f>
        <v>0</v>
      </c>
      <c r="H55" s="98">
        <f t="shared" si="17"/>
        <v>0</v>
      </c>
      <c r="I55" s="98">
        <f t="shared" si="17"/>
        <v>0</v>
      </c>
      <c r="J55" s="98">
        <f t="shared" si="17"/>
        <v>0</v>
      </c>
      <c r="K55" s="98">
        <f t="shared" si="17"/>
        <v>0</v>
      </c>
      <c r="L55" s="98">
        <f t="shared" si="17"/>
        <v>0</v>
      </c>
      <c r="M55" s="98">
        <f t="shared" si="17"/>
        <v>0</v>
      </c>
      <c r="N55" s="98">
        <f t="shared" si="17"/>
        <v>0</v>
      </c>
      <c r="O55" s="98">
        <f t="shared" si="17"/>
        <v>0</v>
      </c>
      <c r="P55" s="98">
        <f t="shared" si="17"/>
        <v>0</v>
      </c>
      <c r="Q55" s="98">
        <f t="shared" si="17"/>
        <v>0</v>
      </c>
    </row>
    <row r="56" spans="1:24" x14ac:dyDescent="0.4">
      <c r="C56" s="23" t="s">
        <v>135</v>
      </c>
      <c r="F56" s="66">
        <f>++IFERROR(F55/F$47,0)</f>
        <v>0</v>
      </c>
      <c r="G56" s="66">
        <f t="shared" ref="G56:Q56" si="18">++IFERROR(G55/G$47,0)</f>
        <v>0</v>
      </c>
      <c r="H56" s="66">
        <f t="shared" si="18"/>
        <v>0</v>
      </c>
      <c r="I56" s="66">
        <f t="shared" si="18"/>
        <v>0</v>
      </c>
      <c r="J56" s="66">
        <f t="shared" si="18"/>
        <v>0</v>
      </c>
      <c r="K56" s="66">
        <f t="shared" si="18"/>
        <v>0</v>
      </c>
      <c r="L56" s="66">
        <f t="shared" si="18"/>
        <v>0</v>
      </c>
      <c r="M56" s="66">
        <f t="shared" si="18"/>
        <v>0</v>
      </c>
      <c r="N56" s="66">
        <f t="shared" si="18"/>
        <v>0</v>
      </c>
      <c r="O56" s="66">
        <f t="shared" si="18"/>
        <v>0</v>
      </c>
      <c r="P56" s="66">
        <f t="shared" si="18"/>
        <v>0</v>
      </c>
      <c r="Q56" s="66">
        <f t="shared" si="18"/>
        <v>0</v>
      </c>
    </row>
    <row r="57" spans="1:24" x14ac:dyDescent="0.4">
      <c r="C57" s="23" t="s">
        <v>104</v>
      </c>
      <c r="F57" s="97"/>
      <c r="G57" s="97"/>
      <c r="H57" s="97"/>
      <c r="I57" s="97"/>
      <c r="J57" s="66">
        <f t="shared" ref="J57:Q57" si="19">++IFERROR(J55/F55-1,0)</f>
        <v>0</v>
      </c>
      <c r="K57" s="66">
        <f t="shared" si="19"/>
        <v>0</v>
      </c>
      <c r="L57" s="66">
        <f t="shared" si="19"/>
        <v>0</v>
      </c>
      <c r="M57" s="66">
        <f t="shared" si="19"/>
        <v>0</v>
      </c>
      <c r="N57" s="66">
        <f t="shared" si="19"/>
        <v>0</v>
      </c>
      <c r="O57" s="66">
        <f t="shared" si="19"/>
        <v>0</v>
      </c>
      <c r="P57" s="66">
        <f t="shared" si="19"/>
        <v>0</v>
      </c>
      <c r="Q57" s="66">
        <f t="shared" si="19"/>
        <v>0</v>
      </c>
    </row>
    <row r="60" spans="1:24" x14ac:dyDescent="0.4">
      <c r="A60" s="12" t="s">
        <v>8</v>
      </c>
      <c r="B60" s="12" t="s">
        <v>8</v>
      </c>
      <c r="T60" s="99" t="s">
        <v>136</v>
      </c>
      <c r="U60" s="99"/>
      <c r="V60" s="99"/>
      <c r="W60" s="99"/>
      <c r="X60" s="99"/>
    </row>
    <row r="61" spans="1:24" x14ac:dyDescent="0.4">
      <c r="U61" s="100" t="str">
        <f>++"FY'"&amp;RIGHT(YEAR($F$2),2)&amp;"A"</f>
        <v>FY'22A</v>
      </c>
      <c r="V61" s="100" t="str">
        <f>++"FY'"&amp;RIGHT(YEAR(EOMONTH($F$2,12)),2)&amp;"A"</f>
        <v>FY'23A</v>
      </c>
      <c r="W61" s="100" t="str">
        <f>++"FY'"&amp;RIGHT(YEAR(EOMONTH($F$2,24)),2)&amp;"A"</f>
        <v>FY'24A</v>
      </c>
      <c r="X61" s="100" t="s">
        <v>137</v>
      </c>
    </row>
    <row r="62" spans="1:24" x14ac:dyDescent="0.4">
      <c r="T62" s="101" t="str" cm="1">
        <f t="array" ref="T62:T65">++TRANSPOSE(LEFT($F$43:$I$43,2))</f>
        <v>Q1</v>
      </c>
      <c r="U62" s="65" t="e" cm="1">
        <f t="array" ref="U62">++INDEX($F$44:$Q$44,0,MATCH(_xlfn.CONCAT(LEFT($T62,2),RIGHT(U$61,4)),$F$43:$Q$43,0))/SUMIFS($F$44:$Q$44,$F$43:$Q$43,"*"&amp;RIGHT(U$61,4))</f>
        <v>#DIV/0!</v>
      </c>
      <c r="V62" s="65" t="e" cm="1">
        <f t="array" ref="V62">++INDEX($F$44:$Q$44,0,MATCH(_xlfn.CONCAT(LEFT($T62,2),RIGHT(V$61,4)),$F$43:$Q$43,0))/SUMIFS($F$44:$Q$44,$F$43:$Q$43,"*"&amp;RIGHT(V$61,4))</f>
        <v>#DIV/0!</v>
      </c>
      <c r="W62" s="65" t="e" cm="1">
        <f t="array" ref="W62">++INDEX($F$44:$Q$44,0,MATCH(_xlfn.CONCAT(LEFT($T62,2),RIGHT(W$61,4)),$F$43:$Q$43,0))/SUMIFS($F$44:$Q$44,$F$43:$Q$43,"*"&amp;RIGHT(W$61,4))</f>
        <v>#DIV/0!</v>
      </c>
      <c r="X62" s="65">
        <f>++IFERROR(AVERAGE(U62:W62),0)</f>
        <v>0</v>
      </c>
    </row>
    <row r="63" spans="1:24" x14ac:dyDescent="0.4">
      <c r="T63" s="101" t="str">
        <v>Q2</v>
      </c>
      <c r="U63" s="65" t="e" cm="1">
        <f t="array" ref="U63">++INDEX($F$44:$Q$44,0,MATCH(_xlfn.CONCAT(LEFT($T63,2),RIGHT(U$61,4)),$F$43:$Q$43,0))/SUMIFS($F$44:$Q$44,$F$43:$Q$43,"*"&amp;RIGHT(U$61,4))</f>
        <v>#DIV/0!</v>
      </c>
      <c r="V63" s="65" t="e" cm="1">
        <f t="array" ref="V63">++INDEX($F$44:$Q$44,0,MATCH(_xlfn.CONCAT(LEFT($T63,2),RIGHT(V$61,4)),$F$43:$Q$43,0))/SUMIFS($F$44:$Q$44,$F$43:$Q$43,"*"&amp;RIGHT(V$61,4))</f>
        <v>#DIV/0!</v>
      </c>
      <c r="W63" s="65" t="e" cm="1">
        <f t="array" ref="W63">++INDEX($F$44:$Q$44,0,MATCH(_xlfn.CONCAT(LEFT($T63,2),RIGHT(W$61,4)),$F$43:$Q$43,0))/SUMIFS($F$44:$Q$44,$F$43:$Q$43,"*"&amp;RIGHT(W$61,4))</f>
        <v>#DIV/0!</v>
      </c>
      <c r="X63" s="65">
        <f t="shared" ref="X63:X65" si="20">++IFERROR(AVERAGE(U63:W63),0)</f>
        <v>0</v>
      </c>
    </row>
    <row r="64" spans="1:24" x14ac:dyDescent="0.4">
      <c r="T64" s="101" t="str">
        <v>Q3</v>
      </c>
      <c r="U64" s="65" t="e" cm="1">
        <f t="array" ref="U64">++INDEX($F$44:$Q$44,0,MATCH(_xlfn.CONCAT(LEFT($T64,2),RIGHT(U$61,4)),$F$43:$Q$43,0))/SUMIFS($F$44:$Q$44,$F$43:$Q$43,"*"&amp;RIGHT(U$61,4))</f>
        <v>#DIV/0!</v>
      </c>
      <c r="V64" s="65" t="e" cm="1">
        <f t="array" ref="V64">++INDEX($F$44:$Q$44,0,MATCH(_xlfn.CONCAT(LEFT($T64,2),RIGHT(V$61,4)),$F$43:$Q$43,0))/SUMIFS($F$44:$Q$44,$F$43:$Q$43,"*"&amp;RIGHT(V$61,4))</f>
        <v>#DIV/0!</v>
      </c>
      <c r="W64" s="65" t="e" cm="1">
        <f t="array" ref="W64">++INDEX($F$44:$Q$44,0,MATCH(_xlfn.CONCAT(LEFT($T64,2),RIGHT(W$61,4)),$F$43:$Q$43,0))/SUMIFS($F$44:$Q$44,$F$43:$Q$43,"*"&amp;RIGHT(W$61,4))</f>
        <v>#DIV/0!</v>
      </c>
      <c r="X64" s="65">
        <f t="shared" si="20"/>
        <v>0</v>
      </c>
    </row>
    <row r="65" spans="20:24" x14ac:dyDescent="0.4">
      <c r="T65" s="101" t="str">
        <v>Q4</v>
      </c>
      <c r="U65" s="65" t="e" cm="1">
        <f t="array" ref="U65">++INDEX($F$44:$Q$44,0,MATCH(_xlfn.CONCAT(LEFT($T65,2),RIGHT(U$61,4)),$F$43:$Q$43,0))/SUMIFS($F$44:$Q$44,$F$43:$Q$43,"*"&amp;RIGHT(U$61,4))</f>
        <v>#DIV/0!</v>
      </c>
      <c r="V65" s="65" t="e" cm="1">
        <f t="array" ref="V65">++INDEX($F$44:$Q$44,0,MATCH(_xlfn.CONCAT(LEFT($T65,2),RIGHT(V$61,4)),$F$43:$Q$43,0))/SUMIFS($F$44:$Q$44,$F$43:$Q$43,"*"&amp;RIGHT(V$61,4))</f>
        <v>#DIV/0!</v>
      </c>
      <c r="W65" s="65" t="e" cm="1">
        <f t="array" ref="W65">++INDEX($F$44:$Q$44,0,MATCH(_xlfn.CONCAT(LEFT($T65,2),RIGHT(W$61,4)),$F$43:$Q$43,0))/SUMIFS($F$44:$Q$44,$F$43:$Q$43,"*"&amp;RIGHT(W$61,4))</f>
        <v>#DIV/0!</v>
      </c>
      <c r="X65" s="65">
        <f t="shared" si="20"/>
        <v>0</v>
      </c>
    </row>
    <row r="68" spans="20:24" x14ac:dyDescent="0.4">
      <c r="T68" s="99" t="s">
        <v>138</v>
      </c>
      <c r="U68" s="99"/>
      <c r="V68" s="99"/>
      <c r="W68" s="99"/>
      <c r="X68" s="99"/>
    </row>
    <row r="69" spans="20:24" x14ac:dyDescent="0.4">
      <c r="U69" s="100" t="str">
        <f>++"FY'"&amp;RIGHT(YEAR($F$2),2)&amp;"A"</f>
        <v>FY'22A</v>
      </c>
      <c r="V69" s="100" t="str">
        <f>++"FY'"&amp;RIGHT(YEAR(EOMONTH($F$2,12)),2)&amp;"A"</f>
        <v>FY'23A</v>
      </c>
      <c r="W69" s="100" t="str">
        <f>++"FY'"&amp;RIGHT(YEAR(EOMONTH($F$2,24)),2)&amp;"A"</f>
        <v>FY'24A</v>
      </c>
      <c r="X69" s="100" t="s">
        <v>137</v>
      </c>
    </row>
    <row r="70" spans="20:24" x14ac:dyDescent="0.4">
      <c r="T70" s="101" t="str" cm="1">
        <f t="array" ref="T70:T73">++TRANSPOSE(LEFT($F$43:$I$43,2))</f>
        <v>Q1</v>
      </c>
      <c r="U70" s="65" t="e" cm="1">
        <f t="array" ref="U70">++INDEX($F$47:$Q$47,0,MATCH(_xlfn.CONCAT(LEFT($T70,2),RIGHT(U$69,4)),$F$43:$Q$43,0))/SUMIFS($F$47:$Q$47,$F$43:$Q$43,"*"&amp;RIGHT(U$69,4))</f>
        <v>#DIV/0!</v>
      </c>
      <c r="V70" s="65" t="e" cm="1">
        <f t="array" ref="V70">++INDEX($F$47:$Q$47,0,MATCH(_xlfn.CONCAT(LEFT($T70,2),RIGHT(V$69,4)),$F$43:$Q$43,0))/SUMIFS($F$47:$Q$47,$F$43:$Q$43,"*"&amp;RIGHT(V$69,4))</f>
        <v>#DIV/0!</v>
      </c>
      <c r="W70" s="65" t="e" cm="1">
        <f t="array" ref="W70">++INDEX($F$47:$Q$47,0,MATCH(_xlfn.CONCAT(LEFT($T70,2),RIGHT(W$69,4)),$F$43:$Q$43,0))/SUMIFS($F$47:$Q$47,$F$43:$Q$43,"*"&amp;RIGHT(W$69,4))</f>
        <v>#DIV/0!</v>
      </c>
      <c r="X70" s="65">
        <f>++IFERROR(AVERAGE(U70:W70),0)</f>
        <v>0</v>
      </c>
    </row>
    <row r="71" spans="20:24" x14ac:dyDescent="0.4">
      <c r="T71" s="101" t="str">
        <v>Q2</v>
      </c>
      <c r="U71" s="65" t="e" cm="1">
        <f t="array" ref="U71">++INDEX($F$47:$Q$47,0,MATCH(_xlfn.CONCAT(LEFT($T71,2),RIGHT(U$69,4)),$F$43:$Q$43,0))/SUMIFS($F$47:$Q$47,$F$43:$Q$43,"*"&amp;RIGHT(U$69,4))</f>
        <v>#DIV/0!</v>
      </c>
      <c r="V71" s="65" t="e" cm="1">
        <f t="array" ref="V71">++INDEX($F$47:$Q$47,0,MATCH(_xlfn.CONCAT(LEFT($T71,2),RIGHT(V$69,4)),$F$43:$Q$43,0))/SUMIFS($F$47:$Q$47,$F$43:$Q$43,"*"&amp;RIGHT(V$69,4))</f>
        <v>#DIV/0!</v>
      </c>
      <c r="W71" s="65" t="e" cm="1">
        <f t="array" ref="W71">++INDEX($F$47:$Q$47,0,MATCH(_xlfn.CONCAT(LEFT($T71,2),RIGHT(W$69,4)),$F$43:$Q$43,0))/SUMIFS($F$47:$Q$47,$F$43:$Q$43,"*"&amp;RIGHT(W$69,4))</f>
        <v>#DIV/0!</v>
      </c>
      <c r="X71" s="65">
        <f t="shared" ref="X71:X73" si="21">++IFERROR(AVERAGE(U71:W71),0)</f>
        <v>0</v>
      </c>
    </row>
    <row r="72" spans="20:24" x14ac:dyDescent="0.4">
      <c r="T72" s="101" t="str">
        <v>Q3</v>
      </c>
      <c r="U72" s="65" t="e" cm="1">
        <f t="array" ref="U72">++INDEX($F$47:$Q$47,0,MATCH(_xlfn.CONCAT(LEFT($T72,2),RIGHT(U$69,4)),$F$43:$Q$43,0))/SUMIFS($F$47:$Q$47,$F$43:$Q$43,"*"&amp;RIGHT(U$69,4))</f>
        <v>#DIV/0!</v>
      </c>
      <c r="V72" s="65" t="e" cm="1">
        <f t="array" ref="V72">++INDEX($F$47:$Q$47,0,MATCH(_xlfn.CONCAT(LEFT($T72,2),RIGHT(V$69,4)),$F$43:$Q$43,0))/SUMIFS($F$47:$Q$47,$F$43:$Q$43,"*"&amp;RIGHT(V$69,4))</f>
        <v>#DIV/0!</v>
      </c>
      <c r="W72" s="65" t="e" cm="1">
        <f t="array" ref="W72">++INDEX($F$47:$Q$47,0,MATCH(_xlfn.CONCAT(LEFT($T72,2),RIGHT(W$69,4)),$F$43:$Q$43,0))/SUMIFS($F$47:$Q$47,$F$43:$Q$43,"*"&amp;RIGHT(W$69,4))</f>
        <v>#DIV/0!</v>
      </c>
      <c r="X72" s="65">
        <f t="shared" si="21"/>
        <v>0</v>
      </c>
    </row>
    <row r="73" spans="20:24" x14ac:dyDescent="0.4">
      <c r="T73" s="101" t="str">
        <v>Q4</v>
      </c>
      <c r="U73" s="65" t="e" cm="1">
        <f t="array" ref="U73">++INDEX($F$47:$Q$47,0,MATCH(_xlfn.CONCAT(LEFT($T73,2),RIGHT(U$69,4)),$F$43:$Q$43,0))/SUMIFS($F$47:$Q$47,$F$43:$Q$43,"*"&amp;RIGHT(U$69,4))</f>
        <v>#DIV/0!</v>
      </c>
      <c r="V73" s="65" t="e" cm="1">
        <f t="array" ref="V73">++INDEX($F$47:$Q$47,0,MATCH(_xlfn.CONCAT(LEFT($T73,2),RIGHT(V$69,4)),$F$43:$Q$43,0))/SUMIFS($F$47:$Q$47,$F$43:$Q$43,"*"&amp;RIGHT(V$69,4))</f>
        <v>#DIV/0!</v>
      </c>
      <c r="W73" s="65" t="e" cm="1">
        <f t="array" ref="W73">++INDEX($F$47:$Q$47,0,MATCH(_xlfn.CONCAT(LEFT($T73,2),RIGHT(W$69,4)),$F$43:$Q$43,0))/SUMIFS($F$47:$Q$47,$F$43:$Q$43,"*"&amp;RIGHT(W$69,4))</f>
        <v>#DIV/0!</v>
      </c>
      <c r="X73" s="65">
        <f t="shared" si="21"/>
        <v>0</v>
      </c>
    </row>
    <row r="76" spans="20:24" x14ac:dyDescent="0.4">
      <c r="T76" s="99" t="s">
        <v>139</v>
      </c>
      <c r="U76" s="99"/>
      <c r="V76" s="99"/>
      <c r="W76" s="99"/>
      <c r="X76" s="99"/>
    </row>
    <row r="77" spans="20:24" x14ac:dyDescent="0.4">
      <c r="U77" s="100" t="str">
        <f>++"FY'"&amp;RIGHT(YEAR($F$2),2)&amp;"A"</f>
        <v>FY'22A</v>
      </c>
      <c r="V77" s="100" t="str">
        <f>++"FY'"&amp;RIGHT(YEAR(EOMONTH($F$2,12)),2)&amp;"A"</f>
        <v>FY'23A</v>
      </c>
      <c r="W77" s="100" t="str">
        <f>++"FY'"&amp;RIGHT(YEAR(EOMONTH($F$2,24)),2)&amp;"A"</f>
        <v>FY'24A</v>
      </c>
      <c r="X77" s="100" t="s">
        <v>137</v>
      </c>
    </row>
    <row r="78" spans="20:24" x14ac:dyDescent="0.4">
      <c r="T78" s="101" t="str" cm="1">
        <f t="array" ref="T78:T81">++TRANSPOSE(LEFT($F$43:$I$43,2))</f>
        <v>Q1</v>
      </c>
      <c r="U78" s="65" t="e" cm="1">
        <f t="array" ref="U78">++INDEX($F$51:$Q$51,0,MATCH(_xlfn.CONCAT(LEFT($T78,2),RIGHT(U$77,4)),$F$43:$Q$43,0))/SUMIFS($F$51:$Q$51,$F$43:$Q$43,"*"&amp;RIGHT(U$77,4))</f>
        <v>#DIV/0!</v>
      </c>
      <c r="V78" s="65" t="e" cm="1">
        <f t="array" ref="V78">++INDEX($F$51:$Q$51,0,MATCH(_xlfn.CONCAT(LEFT($T78,2),RIGHT(V$77,4)),$F$43:$Q$43,0))/SUMIFS($F$51:$Q$51,$F$43:$Q$43,"*"&amp;RIGHT(V$77,4))</f>
        <v>#DIV/0!</v>
      </c>
      <c r="W78" s="65" t="e" cm="1">
        <f t="array" ref="W78">++INDEX($F$51:$Q$51,0,MATCH(_xlfn.CONCAT(LEFT($T78,2),RIGHT(W$77,4)),$F$43:$Q$43,0))/SUMIFS($F$51:$Q$51,$F$43:$Q$43,"*"&amp;RIGHT(W$77,4))</f>
        <v>#DIV/0!</v>
      </c>
      <c r="X78" s="65">
        <f>++IFERROR(AVERAGE(U78:W78),0)</f>
        <v>0</v>
      </c>
    </row>
    <row r="79" spans="20:24" x14ac:dyDescent="0.4">
      <c r="T79" s="101" t="str">
        <v>Q2</v>
      </c>
      <c r="U79" s="65" t="e" cm="1">
        <f t="array" ref="U79">++INDEX($F$51:$Q$51,0,MATCH(_xlfn.CONCAT(LEFT($T79,2),RIGHT(U$77,4)),$F$43:$Q$43,0))/SUMIFS($F$51:$Q$51,$F$43:$Q$43,"*"&amp;RIGHT(U$77,4))</f>
        <v>#DIV/0!</v>
      </c>
      <c r="V79" s="65" t="e" cm="1">
        <f t="array" ref="V79">++INDEX($F$51:$Q$51,0,MATCH(_xlfn.CONCAT(LEFT($T79,2),RIGHT(V$77,4)),$F$43:$Q$43,0))/SUMIFS($F$51:$Q$51,$F$43:$Q$43,"*"&amp;RIGHT(V$77,4))</f>
        <v>#DIV/0!</v>
      </c>
      <c r="W79" s="65" t="e" cm="1">
        <f t="array" ref="W79">++INDEX($F$51:$Q$51,0,MATCH(_xlfn.CONCAT(LEFT($T79,2),RIGHT(W$77,4)),$F$43:$Q$43,0))/SUMIFS($F$51:$Q$51,$F$43:$Q$43,"*"&amp;RIGHT(W$77,4))</f>
        <v>#DIV/0!</v>
      </c>
      <c r="X79" s="65">
        <f t="shared" ref="X79:X81" si="22">++IFERROR(AVERAGE(U79:W79),0)</f>
        <v>0</v>
      </c>
    </row>
    <row r="80" spans="20:24" x14ac:dyDescent="0.4">
      <c r="T80" s="101" t="str">
        <v>Q3</v>
      </c>
      <c r="U80" s="65" t="e" cm="1">
        <f t="array" ref="U80">++INDEX($F$51:$Q$51,0,MATCH(_xlfn.CONCAT(LEFT($T80,2),RIGHT(U$77,4)),$F$43:$Q$43,0))/SUMIFS($F$51:$Q$51,$F$43:$Q$43,"*"&amp;RIGHT(U$77,4))</f>
        <v>#DIV/0!</v>
      </c>
      <c r="V80" s="65" t="e" cm="1">
        <f t="array" ref="V80">++INDEX($F$51:$Q$51,0,MATCH(_xlfn.CONCAT(LEFT($T80,2),RIGHT(V$77,4)),$F$43:$Q$43,0))/SUMIFS($F$51:$Q$51,$F$43:$Q$43,"*"&amp;RIGHT(V$77,4))</f>
        <v>#DIV/0!</v>
      </c>
      <c r="W80" s="65" t="e" cm="1">
        <f t="array" ref="W80">++INDEX($F$51:$Q$51,0,MATCH(_xlfn.CONCAT(LEFT($T80,2),RIGHT(W$77,4)),$F$43:$Q$43,0))/SUMIFS($F$51:$Q$51,$F$43:$Q$43,"*"&amp;RIGHT(W$77,4))</f>
        <v>#DIV/0!</v>
      </c>
      <c r="X80" s="65">
        <f t="shared" si="22"/>
        <v>0</v>
      </c>
    </row>
    <row r="81" spans="20:24" x14ac:dyDescent="0.4">
      <c r="T81" s="101" t="str">
        <v>Q4</v>
      </c>
      <c r="U81" s="65" t="e" cm="1">
        <f t="array" ref="U81">++INDEX($F$51:$Q$51,0,MATCH(_xlfn.CONCAT(LEFT($T81,2),RIGHT(U$77,4)),$F$43:$Q$43,0))/SUMIFS($F$51:$Q$51,$F$43:$Q$43,"*"&amp;RIGHT(U$77,4))</f>
        <v>#DIV/0!</v>
      </c>
      <c r="V81" s="65" t="e" cm="1">
        <f t="array" ref="V81">++INDEX($F$51:$Q$51,0,MATCH(_xlfn.CONCAT(LEFT($T81,2),RIGHT(V$77,4)),$F$43:$Q$43,0))/SUMIFS($F$51:$Q$51,$F$43:$Q$43,"*"&amp;RIGHT(V$77,4))</f>
        <v>#DIV/0!</v>
      </c>
      <c r="W81" s="65" t="e" cm="1">
        <f t="array" ref="W81">++INDEX($F$51:$Q$51,0,MATCH(_xlfn.CONCAT(LEFT($T81,2),RIGHT(W$77,4)),$F$43:$Q$43,0))/SUMIFS($F$51:$Q$51,$F$43:$Q$43,"*"&amp;RIGHT(W$77,4))</f>
        <v>#DIV/0!</v>
      </c>
      <c r="X81" s="65">
        <f t="shared" si="22"/>
        <v>0</v>
      </c>
    </row>
    <row r="84" spans="20:24" x14ac:dyDescent="0.4">
      <c r="T84" s="99" t="s">
        <v>140</v>
      </c>
      <c r="U84" s="99"/>
      <c r="V84" s="99"/>
      <c r="W84" s="99"/>
      <c r="X84" s="99"/>
    </row>
    <row r="85" spans="20:24" x14ac:dyDescent="0.4">
      <c r="U85" s="100" t="str">
        <f>++"FY'"&amp;RIGHT(YEAR($F$2),2)&amp;"A"</f>
        <v>FY'22A</v>
      </c>
      <c r="V85" s="100" t="str">
        <f>++"FY'"&amp;RIGHT(YEAR(EOMONTH($F$2,12)),2)&amp;"A"</f>
        <v>FY'23A</v>
      </c>
      <c r="W85" s="100" t="str">
        <f>++"FY'"&amp;RIGHT(YEAR(EOMONTH($F$2,24)),2)&amp;"A"</f>
        <v>FY'24A</v>
      </c>
      <c r="X85" s="100" t="s">
        <v>137</v>
      </c>
    </row>
    <row r="86" spans="20:24" x14ac:dyDescent="0.4">
      <c r="T86" s="101" t="str" cm="1">
        <f t="array" ref="T86:T89">++TRANSPOSE(LEFT($F$43:$I$43,2))</f>
        <v>Q1</v>
      </c>
      <c r="U86" s="65" t="e" cm="1">
        <f t="array" ref="U86">++INDEX($F$55:$Q$55,0,MATCH(_xlfn.CONCAT(LEFT($T86,2),RIGHT(U$85,4)),$F$43:$Q$43,0))/SUMIFS($F$55:$Q$55,$F$43:$Q$43,"*"&amp;RIGHT(U$85,4))</f>
        <v>#DIV/0!</v>
      </c>
      <c r="V86" s="65" t="e" cm="1">
        <f t="array" ref="V86">++INDEX($F$55:$Q$55,0,MATCH(_xlfn.CONCAT(LEFT($T86,2),RIGHT(V$85,4)),$F$43:$Q$43,0))/SUMIFS($F$55:$Q$55,$F$43:$Q$43,"*"&amp;RIGHT(V$85,4))</f>
        <v>#DIV/0!</v>
      </c>
      <c r="W86" s="65" t="e" cm="1">
        <f t="array" ref="W86">++INDEX($F$55:$Q$55,0,MATCH(_xlfn.CONCAT(LEFT($T86,2),RIGHT(W$85,4)),$F$43:$Q$43,0))/SUMIFS($F$55:$Q$55,$F$43:$Q$43,"*"&amp;RIGHT(W$85,4))</f>
        <v>#DIV/0!</v>
      </c>
      <c r="X86" s="65">
        <f>++IFERROR(AVERAGE(U86:W86),0)</f>
        <v>0</v>
      </c>
    </row>
    <row r="87" spans="20:24" x14ac:dyDescent="0.4">
      <c r="T87" s="101" t="str">
        <v>Q2</v>
      </c>
      <c r="U87" s="65" t="e" cm="1">
        <f t="array" ref="U87">++INDEX($F$55:$Q$55,0,MATCH(_xlfn.CONCAT(LEFT($T87,2),RIGHT(U$85,4)),$F$43:$Q$43,0))/SUMIFS($F$55:$Q$55,$F$43:$Q$43,"*"&amp;RIGHT(U$85,4))</f>
        <v>#DIV/0!</v>
      </c>
      <c r="V87" s="65" t="e" cm="1">
        <f t="array" ref="V87">++INDEX($F$55:$Q$55,0,MATCH(_xlfn.CONCAT(LEFT($T87,2),RIGHT(V$85,4)),$F$43:$Q$43,0))/SUMIFS($F$55:$Q$55,$F$43:$Q$43,"*"&amp;RIGHT(V$85,4))</f>
        <v>#DIV/0!</v>
      </c>
      <c r="W87" s="65" t="e" cm="1">
        <f t="array" ref="W87">++INDEX($F$55:$Q$55,0,MATCH(_xlfn.CONCAT(LEFT($T87,2),RIGHT(W$85,4)),$F$43:$Q$43,0))/SUMIFS($F$55:$Q$55,$F$43:$Q$43,"*"&amp;RIGHT(W$85,4))</f>
        <v>#DIV/0!</v>
      </c>
      <c r="X87" s="65">
        <f t="shared" ref="X87:X89" si="23">++IFERROR(AVERAGE(U87:W87),0)</f>
        <v>0</v>
      </c>
    </row>
    <row r="88" spans="20:24" x14ac:dyDescent="0.4">
      <c r="T88" s="101" t="str">
        <v>Q3</v>
      </c>
      <c r="U88" s="65" t="e" cm="1">
        <f t="array" ref="U88">++INDEX($F$55:$Q$55,0,MATCH(_xlfn.CONCAT(LEFT($T88,2),RIGHT(U$85,4)),$F$43:$Q$43,0))/SUMIFS($F$55:$Q$55,$F$43:$Q$43,"*"&amp;RIGHT(U$85,4))</f>
        <v>#DIV/0!</v>
      </c>
      <c r="V88" s="65" t="e" cm="1">
        <f t="array" ref="V88">++INDEX($F$55:$Q$55,0,MATCH(_xlfn.CONCAT(LEFT($T88,2),RIGHT(V$85,4)),$F$43:$Q$43,0))/SUMIFS($F$55:$Q$55,$F$43:$Q$43,"*"&amp;RIGHT(V$85,4))</f>
        <v>#DIV/0!</v>
      </c>
      <c r="W88" s="65" t="e" cm="1">
        <f t="array" ref="W88">++INDEX($F$55:$Q$55,0,MATCH(_xlfn.CONCAT(LEFT($T88,2),RIGHT(W$85,4)),$F$43:$Q$43,0))/SUMIFS($F$55:$Q$55,$F$43:$Q$43,"*"&amp;RIGHT(W$85,4))</f>
        <v>#DIV/0!</v>
      </c>
      <c r="X88" s="65">
        <f t="shared" si="23"/>
        <v>0</v>
      </c>
    </row>
    <row r="89" spans="20:24" x14ac:dyDescent="0.4">
      <c r="T89" s="101" t="str">
        <v>Q4</v>
      </c>
      <c r="U89" s="65" t="e" cm="1">
        <f t="array" ref="U89">++INDEX($F$55:$Q$55,0,MATCH(_xlfn.CONCAT(LEFT($T89,2),RIGHT(U$85,4)),$F$43:$Q$43,0))/SUMIFS($F$55:$Q$55,$F$43:$Q$43,"*"&amp;RIGHT(U$85,4))</f>
        <v>#DIV/0!</v>
      </c>
      <c r="V89" s="65" t="e" cm="1">
        <f t="array" ref="V89">++INDEX($F$55:$Q$55,0,MATCH(_xlfn.CONCAT(LEFT($T89,2),RIGHT(V$85,4)),$F$43:$Q$43,0))/SUMIFS($F$55:$Q$55,$F$43:$Q$43,"*"&amp;RIGHT(V$85,4))</f>
        <v>#DIV/0!</v>
      </c>
      <c r="W89" s="65" t="e" cm="1">
        <f t="array" ref="W89">++INDEX($F$55:$Q$55,0,MATCH(_xlfn.CONCAT(LEFT($T89,2),RIGHT(W$85,4)),$F$43:$Q$43,0))/SUMIFS($F$55:$Q$55,$F$43:$Q$43,"*"&amp;RIGHT(W$85,4))</f>
        <v>#DIV/0!</v>
      </c>
      <c r="X89" s="65">
        <f t="shared" si="23"/>
        <v>0</v>
      </c>
    </row>
  </sheetData>
  <pageMargins left="0.7" right="0.7" top="0.75" bottom="0.75" header="0.3" footer="0.3"/>
  <customProperties>
    <customPr name="OrphanNamesChecked" r:id="rId1"/>
  </customPropertie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44F0-4218-4BEB-A234-D8C7D2483176}">
  <sheetPr codeName="Sheet9"/>
  <dimension ref="A1:Z42"/>
  <sheetViews>
    <sheetView showGridLines="0" zoomScale="85" zoomScaleNormal="85" workbookViewId="0">
      <pane xSplit="6" ySplit="5" topLeftCell="G6" activePane="bottomRight" state="frozen"/>
      <selection pane="topRight" activeCell="H1" sqref="H1"/>
      <selection pane="bottomLeft" activeCell="A7" sqref="A7"/>
      <selection pane="bottomRight" activeCell="G6" sqref="G6"/>
    </sheetView>
  </sheetViews>
  <sheetFormatPr defaultRowHeight="13.15" outlineLevelCol="1" x14ac:dyDescent="0.4"/>
  <cols>
    <col min="1" max="2" width="2.7109375" style="1" customWidth="1"/>
    <col min="3" max="3" width="3.28515625" style="1" customWidth="1"/>
    <col min="4" max="12" width="9.7109375" style="1" customWidth="1"/>
    <col min="13" max="13" width="3.28515625" style="1" customWidth="1"/>
    <col min="14" max="21" width="9.7109375" style="1" customWidth="1"/>
    <col min="22" max="23" width="9.140625" style="1"/>
    <col min="24" max="26" width="10.7109375" style="1" customWidth="1" outlineLevel="1"/>
    <col min="27" max="16384" width="9.140625" style="1"/>
  </cols>
  <sheetData>
    <row r="1" spans="1:26" x14ac:dyDescent="0.4">
      <c r="C1" s="9" t="str">
        <f>++CoName</f>
        <v>[Company Name] ([Sponsor Name / Non-Sponsored])</v>
      </c>
      <c r="D1" s="3"/>
      <c r="E1" s="3"/>
      <c r="F1" s="4"/>
      <c r="X1" s="90" t="s">
        <v>0</v>
      </c>
      <c r="Y1" s="91"/>
      <c r="Z1" s="92"/>
    </row>
    <row r="2" spans="1:26" x14ac:dyDescent="0.4">
      <c r="C2" s="10" t="s">
        <v>141</v>
      </c>
      <c r="D2" s="5"/>
      <c r="E2" s="5"/>
      <c r="F2" s="6"/>
    </row>
    <row r="3" spans="1:26" x14ac:dyDescent="0.4">
      <c r="C3" s="11" t="str">
        <f ca="1">++TEXT(TODAY(),"MMMM D, YYYY")</f>
        <v>April 21, 2026</v>
      </c>
      <c r="D3" s="7"/>
      <c r="E3" s="7"/>
      <c r="F3" s="8"/>
    </row>
    <row r="5" spans="1:26" x14ac:dyDescent="0.4">
      <c r="A5" s="12" t="s">
        <v>8</v>
      </c>
      <c r="B5" s="12" t="s">
        <v>8</v>
      </c>
      <c r="C5" s="106" t="str">
        <f>++C2</f>
        <v>Distressed Sale Value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6" x14ac:dyDescent="0.4">
      <c r="C6" s="14" t="s">
        <v>9</v>
      </c>
    </row>
    <row r="7" spans="1:26" ht="5.0999999999999996" customHeight="1" x14ac:dyDescent="0.4"/>
    <row r="8" spans="1:26" x14ac:dyDescent="0.4">
      <c r="C8" s="124" t="str">
        <f>++"LTM "&amp;TEXT(LTMDate,"M/YY")&amp;IF(LTMDate&gt;LastActDate,"E","A")&amp;" CA EBITDA"</f>
        <v>LTM 9/25A CA EBITDA</v>
      </c>
      <c r="D8" s="31"/>
      <c r="E8" s="31"/>
      <c r="F8" s="31"/>
      <c r="G8" s="31"/>
      <c r="H8" s="123" cm="1">
        <f t="array" ref="H8">++INDEX(FinInputs!$G$281:$AH$281,0,MATCH(LTMDate,FinInputs!$G$3:$AH$3,0))</f>
        <v>0</v>
      </c>
    </row>
    <row r="10" spans="1:26" x14ac:dyDescent="0.4">
      <c r="J10" s="202" t="str">
        <f>++SUCAP!C10</f>
        <v>Priority Revolver ($0.0MM)</v>
      </c>
      <c r="O10" s="52">
        <f>++INDEX(SUCAP!$U$51:$U$71,MATCH(DSV!$J10,SUCAP!$S$51:$S$71,0))</f>
        <v>0</v>
      </c>
      <c r="Q10" s="1" t="str">
        <f>++J10&amp;" (Fully Drawn)"</f>
        <v>Priority Revolver ($0.0MM) (Fully Drawn)</v>
      </c>
      <c r="U10" s="52">
        <f>++INDEX(SUCAP!$T$51:$T$71,MATCH(DSV!$J10,SUCAP!$S$51:$S$71,0))</f>
        <v>0</v>
      </c>
    </row>
    <row r="11" spans="1:26" x14ac:dyDescent="0.4">
      <c r="C11" s="1" t="s">
        <v>142</v>
      </c>
      <c r="H11" s="17">
        <f>++Z40*$Z$38</f>
        <v>0</v>
      </c>
      <c r="J11" s="202" t="str">
        <f>++SUCAP!C11</f>
        <v>1L Term Loan B</v>
      </c>
      <c r="O11" s="54">
        <f>++INDEX(SUCAP!$U$51:$U$71,MATCH(DSV!$J11,SUCAP!$S$51:$S$71,0))</f>
        <v>0</v>
      </c>
      <c r="Q11" s="1" t="str">
        <f>++J11</f>
        <v>1L Term Loan B</v>
      </c>
      <c r="U11" s="54">
        <f>++INDEX(SUCAP!$T$51:$T$71,MATCH(DSV!$J11,SUCAP!$S$51:$S$71,0))</f>
        <v>0</v>
      </c>
    </row>
    <row r="12" spans="1:26" x14ac:dyDescent="0.4">
      <c r="C12" s="1" t="s">
        <v>143</v>
      </c>
      <c r="H12" s="17">
        <f t="shared" ref="H12:H13" si="0">++Z41*$Z$38</f>
        <v>0</v>
      </c>
      <c r="J12" s="202" t="str">
        <f>++SUCAP!C12</f>
        <v>1L DDTL ($0.0MM)</v>
      </c>
      <c r="O12" s="54">
        <f>++INDEX(SUCAP!$U$51:$U$71,MATCH(DSV!$J12,SUCAP!$S$51:$S$71,0))</f>
        <v>0</v>
      </c>
      <c r="Q12" s="1" t="str">
        <f>++J12</f>
        <v>1L DDTL ($0.0MM)</v>
      </c>
      <c r="U12" s="54">
        <f>++INDEX(SUCAP!$T$51:$T$71,MATCH(DSV!$J12,SUCAP!$S$51:$S$71,0))</f>
        <v>0</v>
      </c>
    </row>
    <row r="13" spans="1:26" x14ac:dyDescent="0.4">
      <c r="C13" s="1" t="s">
        <v>144</v>
      </c>
      <c r="H13" s="17">
        <f t="shared" si="0"/>
        <v>0</v>
      </c>
      <c r="J13" s="163" t="s">
        <v>145</v>
      </c>
      <c r="O13" s="68">
        <v>0</v>
      </c>
      <c r="Q13" s="1" t="str">
        <f t="shared" ref="Q13" si="1">++J13</f>
        <v>Capital Leases &amp; Other</v>
      </c>
      <c r="U13" s="17">
        <f t="shared" ref="U13" si="2">++O13</f>
        <v>0</v>
      </c>
    </row>
    <row r="14" spans="1:26" x14ac:dyDescent="0.4">
      <c r="C14" s="29" t="s">
        <v>146</v>
      </c>
      <c r="D14" s="30"/>
      <c r="E14" s="30"/>
      <c r="F14" s="30"/>
      <c r="G14" s="30"/>
      <c r="H14" s="32">
        <f>++SUM(H8,H11:H13)</f>
        <v>0</v>
      </c>
      <c r="J14" s="29" t="s">
        <v>147</v>
      </c>
      <c r="K14" s="30"/>
      <c r="L14" s="30"/>
      <c r="M14" s="30"/>
      <c r="N14" s="30"/>
      <c r="O14" s="32">
        <f>++SUM(O10:O13)</f>
        <v>0</v>
      </c>
      <c r="Q14" s="29" t="s">
        <v>148</v>
      </c>
      <c r="R14" s="30"/>
      <c r="S14" s="30"/>
      <c r="T14" s="30"/>
      <c r="U14" s="32">
        <f>++SUM(U10:U13)</f>
        <v>0</v>
      </c>
    </row>
    <row r="17" spans="1:26" ht="15.4" x14ac:dyDescent="0.7">
      <c r="B17" s="12" t="s">
        <v>8</v>
      </c>
      <c r="C17" s="27" t="str">
        <f>++"Overland Debt Coverage - "&amp;TEXT(O14/1000,"$#,##0.0")&amp;"MM Outstanding"</f>
        <v>Overland Debt Coverage - $0.0MM Outstanding</v>
      </c>
      <c r="D17" s="27"/>
      <c r="E17" s="27"/>
      <c r="F17" s="27"/>
      <c r="G17" s="27"/>
      <c r="H17" s="27"/>
      <c r="I17" s="27"/>
      <c r="J17" s="27"/>
      <c r="K17" s="27"/>
      <c r="M17" s="27" t="str">
        <f>++"Overland Debt Coverage - "&amp;TEXT($U$14/1000,"$#,##0.0")&amp;"MM Outstanding"</f>
        <v>Overland Debt Coverage - $0.0MM Outstanding</v>
      </c>
      <c r="N17" s="27"/>
      <c r="O17" s="27"/>
      <c r="P17" s="27"/>
      <c r="Q17" s="27"/>
      <c r="R17" s="27"/>
      <c r="S17" s="27"/>
      <c r="T17" s="27"/>
      <c r="U17" s="27"/>
    </row>
    <row r="18" spans="1:26" ht="5.0999999999999996" customHeight="1" x14ac:dyDescent="0.4"/>
    <row r="19" spans="1:26" ht="15.4" x14ac:dyDescent="0.7">
      <c r="E19" s="107" t="s">
        <v>149</v>
      </c>
      <c r="F19" s="108"/>
      <c r="G19" s="108"/>
      <c r="H19" s="108"/>
      <c r="I19" s="108"/>
      <c r="J19" s="108"/>
      <c r="K19" s="109"/>
      <c r="O19" s="107" t="s">
        <v>149</v>
      </c>
      <c r="P19" s="108"/>
      <c r="Q19" s="108"/>
      <c r="R19" s="108"/>
      <c r="S19" s="108"/>
      <c r="T19" s="108"/>
      <c r="U19" s="109"/>
    </row>
    <row r="20" spans="1:26" ht="5.0999999999999996" customHeight="1" x14ac:dyDescent="0.4"/>
    <row r="21" spans="1:26" x14ac:dyDescent="0.4">
      <c r="E21" s="63">
        <f>++$H14*(1+E22)</f>
        <v>0</v>
      </c>
      <c r="F21" s="63">
        <f t="shared" ref="F21:K21" si="3">++$H14*(1+F22)</f>
        <v>0</v>
      </c>
      <c r="G21" s="63">
        <f t="shared" si="3"/>
        <v>0</v>
      </c>
      <c r="H21" s="63">
        <f t="shared" si="3"/>
        <v>0</v>
      </c>
      <c r="I21" s="63">
        <f t="shared" si="3"/>
        <v>0</v>
      </c>
      <c r="J21" s="63">
        <f t="shared" si="3"/>
        <v>0</v>
      </c>
      <c r="K21" s="63">
        <f t="shared" si="3"/>
        <v>0</v>
      </c>
      <c r="O21" s="63">
        <f>++$H14*(1+O22)</f>
        <v>0</v>
      </c>
      <c r="P21" s="63">
        <f t="shared" ref="P21" si="4">++$H14*(1+P22)</f>
        <v>0</v>
      </c>
      <c r="Q21" s="63">
        <f t="shared" ref="Q21" si="5">++$H14*(1+Q22)</f>
        <v>0</v>
      </c>
      <c r="R21" s="63">
        <f t="shared" ref="R21" si="6">++$H14*(1+R22)</f>
        <v>0</v>
      </c>
      <c r="S21" s="63">
        <f t="shared" ref="S21" si="7">++$H14*(1+S22)</f>
        <v>0</v>
      </c>
      <c r="T21" s="63">
        <f t="shared" ref="T21" si="8">++$H14*(1+T22)</f>
        <v>0</v>
      </c>
      <c r="U21" s="63">
        <f t="shared" ref="U21" si="9">++$H14*(1+U22)</f>
        <v>0</v>
      </c>
    </row>
    <row r="22" spans="1:26" x14ac:dyDescent="0.4">
      <c r="D22" s="118">
        <f>++Y36</f>
        <v>0</v>
      </c>
      <c r="E22" s="110">
        <v>0</v>
      </c>
      <c r="F22" s="110">
        <f>++E22-0.075</f>
        <v>-7.4999999999999997E-2</v>
      </c>
      <c r="G22" s="110">
        <f t="shared" ref="G22:K22" si="10">++F22-0.075</f>
        <v>-0.15</v>
      </c>
      <c r="H22" s="110">
        <f t="shared" si="10"/>
        <v>-0.22499999999999998</v>
      </c>
      <c r="I22" s="110">
        <f t="shared" si="10"/>
        <v>-0.3</v>
      </c>
      <c r="J22" s="110">
        <f t="shared" si="10"/>
        <v>-0.375</v>
      </c>
      <c r="K22" s="110">
        <f t="shared" si="10"/>
        <v>-0.45</v>
      </c>
      <c r="N22" s="118">
        <f>++Z36</f>
        <v>0</v>
      </c>
      <c r="O22" s="110">
        <v>0</v>
      </c>
      <c r="P22" s="110">
        <f>++O22-0.075</f>
        <v>-7.4999999999999997E-2</v>
      </c>
      <c r="Q22" s="110">
        <f t="shared" ref="Q22:U22" si="11">++P22-0.075</f>
        <v>-0.15</v>
      </c>
      <c r="R22" s="110">
        <f t="shared" si="11"/>
        <v>-0.22499999999999998</v>
      </c>
      <c r="S22" s="110">
        <f t="shared" si="11"/>
        <v>-0.3</v>
      </c>
      <c r="T22" s="110">
        <f t="shared" si="11"/>
        <v>-0.375</v>
      </c>
      <c r="U22" s="110">
        <f t="shared" si="11"/>
        <v>-0.45</v>
      </c>
    </row>
    <row r="23" spans="1:26" ht="12.75" customHeight="1" x14ac:dyDescent="0.4">
      <c r="C23" s="261" t="s">
        <v>150</v>
      </c>
      <c r="D23" s="111">
        <v>10</v>
      </c>
      <c r="E23" s="119">
        <f t="dataTable" ref="E23:K29" dt2D="1" dtr="1" r1="Y33" r2="Y34"/>
        <v>0</v>
      </c>
      <c r="F23" s="119">
        <v>0</v>
      </c>
      <c r="G23" s="119">
        <v>0</v>
      </c>
      <c r="H23" s="119">
        <v>0</v>
      </c>
      <c r="I23" s="119">
        <v>0</v>
      </c>
      <c r="J23" s="119">
        <v>0</v>
      </c>
      <c r="K23" s="119">
        <v>0</v>
      </c>
      <c r="M23" s="261" t="s">
        <v>150</v>
      </c>
      <c r="N23" s="111">
        <v>10</v>
      </c>
      <c r="O23" s="119">
        <f t="dataTable" ref="O23:U29" dt2D="1" dtr="1" r1="Y33" r2="Y34"/>
        <v>0</v>
      </c>
      <c r="P23" s="119">
        <v>0</v>
      </c>
      <c r="Q23" s="119">
        <v>0</v>
      </c>
      <c r="R23" s="119">
        <v>0</v>
      </c>
      <c r="S23" s="119">
        <v>0</v>
      </c>
      <c r="T23" s="119">
        <v>0</v>
      </c>
      <c r="U23" s="119">
        <v>0</v>
      </c>
    </row>
    <row r="24" spans="1:26" x14ac:dyDescent="0.4">
      <c r="C24" s="262"/>
      <c r="D24" s="111">
        <f>++D23-1</f>
        <v>9</v>
      </c>
      <c r="E24" s="119">
        <v>0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M24" s="262"/>
      <c r="N24" s="111">
        <f>++N23-1</f>
        <v>9</v>
      </c>
      <c r="O24" s="119">
        <v>0</v>
      </c>
      <c r="P24" s="119">
        <v>0</v>
      </c>
      <c r="Q24" s="119">
        <v>0</v>
      </c>
      <c r="R24" s="119">
        <v>0</v>
      </c>
      <c r="S24" s="119">
        <v>0</v>
      </c>
      <c r="T24" s="119">
        <v>0</v>
      </c>
      <c r="U24" s="119">
        <v>0</v>
      </c>
    </row>
    <row r="25" spans="1:26" x14ac:dyDescent="0.4">
      <c r="C25" s="262"/>
      <c r="D25" s="111">
        <f t="shared" ref="D25:D29" si="12">++D24-1</f>
        <v>8</v>
      </c>
      <c r="E25" s="119">
        <v>0</v>
      </c>
      <c r="F25" s="119">
        <v>0</v>
      </c>
      <c r="G25" s="119">
        <v>0</v>
      </c>
      <c r="H25" s="119">
        <v>0</v>
      </c>
      <c r="I25" s="119">
        <v>0</v>
      </c>
      <c r="J25" s="119">
        <v>0</v>
      </c>
      <c r="K25" s="119">
        <v>0</v>
      </c>
      <c r="M25" s="262"/>
      <c r="N25" s="111">
        <f t="shared" ref="N25:N29" si="13">++N24-1</f>
        <v>8</v>
      </c>
      <c r="O25" s="119">
        <v>0</v>
      </c>
      <c r="P25" s="119">
        <v>0</v>
      </c>
      <c r="Q25" s="119">
        <v>0</v>
      </c>
      <c r="R25" s="119">
        <v>0</v>
      </c>
      <c r="S25" s="119">
        <v>0</v>
      </c>
      <c r="T25" s="119">
        <v>0</v>
      </c>
      <c r="U25" s="119">
        <v>0</v>
      </c>
    </row>
    <row r="26" spans="1:26" x14ac:dyDescent="0.4">
      <c r="C26" s="262"/>
      <c r="D26" s="111">
        <f t="shared" si="12"/>
        <v>7</v>
      </c>
      <c r="E26" s="120"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2">
        <v>0</v>
      </c>
      <c r="M26" s="262"/>
      <c r="N26" s="111">
        <f t="shared" si="13"/>
        <v>7</v>
      </c>
      <c r="O26" s="120">
        <v>0</v>
      </c>
      <c r="P26" s="121">
        <v>0</v>
      </c>
      <c r="Q26" s="121">
        <v>0</v>
      </c>
      <c r="R26" s="121">
        <v>0</v>
      </c>
      <c r="S26" s="121">
        <v>0</v>
      </c>
      <c r="T26" s="121">
        <v>0</v>
      </c>
      <c r="U26" s="122">
        <v>0</v>
      </c>
    </row>
    <row r="27" spans="1:26" x14ac:dyDescent="0.4">
      <c r="C27" s="262"/>
      <c r="D27" s="111">
        <f t="shared" si="12"/>
        <v>6</v>
      </c>
      <c r="E27" s="119">
        <v>0</v>
      </c>
      <c r="F27" s="119">
        <v>0</v>
      </c>
      <c r="G27" s="119">
        <v>0</v>
      </c>
      <c r="H27" s="119">
        <v>0</v>
      </c>
      <c r="I27" s="119">
        <v>0</v>
      </c>
      <c r="J27" s="119">
        <v>0</v>
      </c>
      <c r="K27" s="119">
        <v>0</v>
      </c>
      <c r="M27" s="262"/>
      <c r="N27" s="111">
        <f t="shared" si="13"/>
        <v>6</v>
      </c>
      <c r="O27" s="119">
        <v>0</v>
      </c>
      <c r="P27" s="119">
        <v>0</v>
      </c>
      <c r="Q27" s="119">
        <v>0</v>
      </c>
      <c r="R27" s="119">
        <v>0</v>
      </c>
      <c r="S27" s="119">
        <v>0</v>
      </c>
      <c r="T27" s="119">
        <v>0</v>
      </c>
      <c r="U27" s="119">
        <v>0</v>
      </c>
    </row>
    <row r="28" spans="1:26" x14ac:dyDescent="0.4">
      <c r="C28" s="262"/>
      <c r="D28" s="111">
        <f t="shared" si="12"/>
        <v>5</v>
      </c>
      <c r="E28" s="119">
        <v>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M28" s="262"/>
      <c r="N28" s="111">
        <f t="shared" si="13"/>
        <v>5</v>
      </c>
      <c r="O28" s="119">
        <v>0</v>
      </c>
      <c r="P28" s="119">
        <v>0</v>
      </c>
      <c r="Q28" s="119">
        <v>0</v>
      </c>
      <c r="R28" s="119">
        <v>0</v>
      </c>
      <c r="S28" s="119">
        <v>0</v>
      </c>
      <c r="T28" s="119">
        <v>0</v>
      </c>
      <c r="U28" s="119">
        <v>0</v>
      </c>
    </row>
    <row r="29" spans="1:26" x14ac:dyDescent="0.4">
      <c r="C29" s="263"/>
      <c r="D29" s="111">
        <f t="shared" si="12"/>
        <v>4</v>
      </c>
      <c r="E29" s="119">
        <v>0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M29" s="263"/>
      <c r="N29" s="111">
        <f t="shared" si="13"/>
        <v>4</v>
      </c>
      <c r="O29" s="119">
        <v>0</v>
      </c>
      <c r="P29" s="119">
        <v>0</v>
      </c>
      <c r="Q29" s="119">
        <v>0</v>
      </c>
      <c r="R29" s="119">
        <v>0</v>
      </c>
      <c r="S29" s="119">
        <v>0</v>
      </c>
      <c r="T29" s="119">
        <v>0</v>
      </c>
      <c r="U29" s="119">
        <v>0</v>
      </c>
    </row>
    <row r="32" spans="1:26" x14ac:dyDescent="0.4">
      <c r="A32" s="12" t="s">
        <v>8</v>
      </c>
      <c r="B32" s="12" t="s">
        <v>8</v>
      </c>
      <c r="X32" s="1" t="s">
        <v>151</v>
      </c>
      <c r="Y32" s="64">
        <f>++$H14</f>
        <v>0</v>
      </c>
      <c r="Z32" s="64">
        <f>++$H14</f>
        <v>0</v>
      </c>
    </row>
    <row r="33" spans="1:26" x14ac:dyDescent="0.4">
      <c r="X33" s="1" t="s">
        <v>152</v>
      </c>
      <c r="Y33" s="114">
        <v>-7.4999999999999997E-2</v>
      </c>
      <c r="Z33" s="65">
        <f>++Y33</f>
        <v>-7.4999999999999997E-2</v>
      </c>
    </row>
    <row r="34" spans="1:26" x14ac:dyDescent="0.4">
      <c r="X34" s="1" t="s">
        <v>153</v>
      </c>
      <c r="Y34" s="115">
        <v>9</v>
      </c>
      <c r="Z34" s="113">
        <f t="shared" ref="Z34" si="14">++Y34</f>
        <v>9</v>
      </c>
    </row>
    <row r="35" spans="1:26" x14ac:dyDescent="0.4">
      <c r="X35" s="1" t="s">
        <v>42</v>
      </c>
      <c r="Y35" s="64">
        <f>++Y32*(1+Y33)*Y34</f>
        <v>0</v>
      </c>
      <c r="Z35" s="64">
        <f t="shared" ref="Z35" si="15">++Z32*(1+Z33)*Z34</f>
        <v>0</v>
      </c>
    </row>
    <row r="36" spans="1:26" x14ac:dyDescent="0.4">
      <c r="X36" s="1" t="s">
        <v>154</v>
      </c>
      <c r="Y36" s="65">
        <f>++IFERROR(Y35/O14,0)</f>
        <v>0</v>
      </c>
      <c r="Z36" s="65">
        <f>++IFERROR(Z35/U14,0)</f>
        <v>0</v>
      </c>
    </row>
    <row r="38" spans="1:26" x14ac:dyDescent="0.4">
      <c r="X38" s="1" t="s">
        <v>155</v>
      </c>
      <c r="Z38" s="116">
        <v>0</v>
      </c>
    </row>
    <row r="40" spans="1:26" x14ac:dyDescent="0.4">
      <c r="X40" s="1" t="s">
        <v>156</v>
      </c>
      <c r="Z40" s="117">
        <v>0</v>
      </c>
    </row>
    <row r="41" spans="1:26" x14ac:dyDescent="0.4">
      <c r="X41" s="1" t="s">
        <v>157</v>
      </c>
      <c r="Z41" s="117">
        <v>0</v>
      </c>
    </row>
    <row r="42" spans="1:26" x14ac:dyDescent="0.4">
      <c r="A42" s="12" t="s">
        <v>8</v>
      </c>
      <c r="B42" s="12" t="s">
        <v>8</v>
      </c>
      <c r="X42" s="1" t="s">
        <v>158</v>
      </c>
      <c r="Z42" s="117">
        <v>0</v>
      </c>
    </row>
  </sheetData>
  <mergeCells count="2">
    <mergeCell ref="C23:C29"/>
    <mergeCell ref="M23:M29"/>
  </mergeCells>
  <conditionalFormatting sqref="E23:K29">
    <cfRule type="cellIs" dxfId="1" priority="2" operator="lessThan">
      <formula>1</formula>
    </cfRule>
  </conditionalFormatting>
  <conditionalFormatting sqref="O23:U29">
    <cfRule type="cellIs" dxfId="0" priority="1" operator="lessThan">
      <formula>1</formula>
    </cfRule>
  </conditionalFormatting>
  <pageMargins left="0.7" right="0.7" top="0.75" bottom="0.75" header="0.3" footer="0.3"/>
  <pageSetup orientation="landscape" verticalDpi="0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A9C3-B663-4346-8001-6D2E05F8A83B}">
  <sheetPr codeName="Sheet12"/>
  <dimension ref="A1:AH327"/>
  <sheetViews>
    <sheetView showGridLines="0" zoomScale="85" zoomScaleNormal="85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defaultRowHeight="13.15" x14ac:dyDescent="0.4"/>
  <cols>
    <col min="1" max="2" width="2.7109375" style="1" customWidth="1"/>
    <col min="3" max="5" width="10.7109375" style="1" customWidth="1"/>
    <col min="6" max="6" width="2.7109375" style="1" customWidth="1"/>
    <col min="7" max="30" width="10.7109375" style="1" customWidth="1"/>
    <col min="31" max="31" width="2.7109375" style="1" customWidth="1"/>
    <col min="32" max="34" width="10.7109375" style="1" customWidth="1"/>
    <col min="35" max="16384" width="9.140625" style="1"/>
  </cols>
  <sheetData>
    <row r="1" spans="1:34" ht="15.4" x14ac:dyDescent="0.7">
      <c r="C1" s="9" t="str">
        <f>++CoName</f>
        <v>[Company Name] ([Sponsor Name / Non-Sponsored])</v>
      </c>
      <c r="D1" s="3"/>
      <c r="E1" s="4"/>
      <c r="G1" s="175" t="str">
        <f>++"FY'"&amp;RIGHT(YEAR(J3),2)&amp;"A"</f>
        <v>FY'20A</v>
      </c>
      <c r="H1" s="27"/>
      <c r="I1" s="27"/>
      <c r="J1" s="166"/>
      <c r="K1" s="27" t="str">
        <f>++"FY'"&amp;RIGHT(YEAR(N3),2)&amp;"A"</f>
        <v>FY'21A</v>
      </c>
      <c r="L1" s="27"/>
      <c r="M1" s="27"/>
      <c r="N1" s="166"/>
      <c r="O1" s="27" t="str">
        <f>++"FY'"&amp;RIGHT(YEAR(R3),2)&amp;"A"</f>
        <v>FY'22A</v>
      </c>
      <c r="P1" s="27"/>
      <c r="Q1" s="27"/>
      <c r="R1" s="166"/>
      <c r="S1" s="27" t="str">
        <f>++"FY'"&amp;RIGHT(YEAR(V3),2)&amp;"A"</f>
        <v>FY'23A</v>
      </c>
      <c r="T1" s="27"/>
      <c r="U1" s="27"/>
      <c r="V1" s="166"/>
      <c r="W1" s="27" t="str">
        <f>++"FY'"&amp;RIGHT(YEAR(Z3),2)&amp;"A"</f>
        <v>FY'24A</v>
      </c>
      <c r="X1" s="27"/>
      <c r="Y1" s="27"/>
      <c r="Z1" s="166"/>
      <c r="AA1" s="27" t="str">
        <f>++"FY'"&amp;RIGHT(YEAR(AD3),2)&amp;"E"</f>
        <v>FY'25E</v>
      </c>
      <c r="AB1" s="27"/>
      <c r="AC1" s="27"/>
      <c r="AD1" s="176"/>
      <c r="AF1" s="214" t="s">
        <v>159</v>
      </c>
      <c r="AG1" s="259"/>
      <c r="AH1" s="260"/>
    </row>
    <row r="2" spans="1:34" x14ac:dyDescent="0.4">
      <c r="C2" s="10" t="s">
        <v>160</v>
      </c>
      <c r="D2" s="5"/>
      <c r="E2" s="6"/>
      <c r="G2" s="167" t="str">
        <f>++"Q1'"&amp;RIGHT(YEAR(J3),2)&amp;"A"</f>
        <v>Q1'20A</v>
      </c>
      <c r="H2" s="168" t="str">
        <f>++"Q2'"&amp;RIGHT(YEAR(J3),2)&amp;"A"</f>
        <v>Q2'20A</v>
      </c>
      <c r="I2" s="168" t="str">
        <f>++"Q3'"&amp;RIGHT(YEAR(J3),2)&amp;"A"</f>
        <v>Q3'20A</v>
      </c>
      <c r="J2" s="169" t="str">
        <f>++"Q4'"&amp;RIGHT(YEAR(J3),2)&amp;"A"</f>
        <v>Q4'20A</v>
      </c>
      <c r="K2" s="167" t="str">
        <f>++"Q1'"&amp;RIGHT(YEAR(N3),2)&amp;"A"</f>
        <v>Q1'21A</v>
      </c>
      <c r="L2" s="168" t="str">
        <f>++"Q2'"&amp;RIGHT(YEAR(N3),2)&amp;"A"</f>
        <v>Q2'21A</v>
      </c>
      <c r="M2" s="168" t="str">
        <f>++"Q3'"&amp;RIGHT(YEAR(N3),2)&amp;"A"</f>
        <v>Q3'21A</v>
      </c>
      <c r="N2" s="169" t="str">
        <f>++"Q4'"&amp;RIGHT(YEAR(N3),2)&amp;"A"</f>
        <v>Q4'21A</v>
      </c>
      <c r="O2" s="167" t="str">
        <f>++"Q1'"&amp;RIGHT(YEAR(R3),2)&amp;"A"</f>
        <v>Q1'22A</v>
      </c>
      <c r="P2" s="168" t="str">
        <f>++"Q2'"&amp;RIGHT(YEAR(R3),2)&amp;"A"</f>
        <v>Q2'22A</v>
      </c>
      <c r="Q2" s="168" t="str">
        <f>++"Q3'"&amp;RIGHT(YEAR(R3),2)&amp;"A"</f>
        <v>Q3'22A</v>
      </c>
      <c r="R2" s="169" t="str">
        <f>++"Q4'"&amp;RIGHT(YEAR(R3),2)&amp;"A"</f>
        <v>Q4'22A</v>
      </c>
      <c r="S2" s="167" t="str">
        <f>++"Q1'"&amp;RIGHT(YEAR(V3),2)&amp;"A"</f>
        <v>Q1'23A</v>
      </c>
      <c r="T2" s="168" t="str">
        <f>++"Q2'"&amp;RIGHT(YEAR(V3),2)&amp;"A"</f>
        <v>Q2'23A</v>
      </c>
      <c r="U2" s="168" t="str">
        <f>++"Q3'"&amp;RIGHT(YEAR(V3),2)&amp;"A"</f>
        <v>Q3'23A</v>
      </c>
      <c r="V2" s="169" t="str">
        <f>++"Q4'"&amp;RIGHT(YEAR(V3),2)&amp;"A"</f>
        <v>Q4'23A</v>
      </c>
      <c r="W2" s="167" t="str">
        <f t="shared" ref="W2" si="0">++"Q1'"&amp;RIGHT(YEAR(Z3),2)&amp;"A"</f>
        <v>Q1'24A</v>
      </c>
      <c r="X2" s="168" t="str">
        <f t="shared" ref="X2" si="1">++"Q2'"&amp;RIGHT(YEAR(Z3),2)&amp;"A"</f>
        <v>Q2'24A</v>
      </c>
      <c r="Y2" s="168" t="str">
        <f t="shared" ref="Y2" si="2">++"Q3'"&amp;RIGHT(YEAR(Z3),2)&amp;"A"</f>
        <v>Q3'24A</v>
      </c>
      <c r="Z2" s="169" t="str">
        <f t="shared" ref="Z2" si="3">++"Q4'"&amp;RIGHT(YEAR(Z3),2)&amp;"A"</f>
        <v>Q4'24A</v>
      </c>
      <c r="AA2" s="167" t="str">
        <f>++"Q1'"&amp;RIGHT(YEAR(AD3),2)&amp;IF(LastActDate&gt;=AA3,"A","E")</f>
        <v>Q1'25A</v>
      </c>
      <c r="AB2" s="168" t="str">
        <f>++"Q2'"&amp;RIGHT(YEAR(AD3),2)&amp;IF(LastActDate&gt;=AB3,"A","E")</f>
        <v>Q2'25A</v>
      </c>
      <c r="AC2" s="168" t="str">
        <f>++"Q3'"&amp;RIGHT(YEAR(AD3),2)&amp;IF(LastActDate&gt;=AC3,"A","E")</f>
        <v>Q3'25A</v>
      </c>
      <c r="AD2" s="169" t="str">
        <f>++"Q4'"&amp;RIGHT(YEAR(AD3),2)&amp;IF(LastActDate&gt;=AD3,"A","E")</f>
        <v>Q4'25E</v>
      </c>
      <c r="AF2" s="167" t="str">
        <f>++TEXT(AF3,"M/YY"&amp;"A")</f>
        <v>10/23A</v>
      </c>
      <c r="AG2" s="168" t="str">
        <f t="shared" ref="AG2:AH2" si="4">++TEXT(AG3,"M/YY"&amp;"A")</f>
        <v>10/24A</v>
      </c>
      <c r="AH2" s="169" t="str">
        <f t="shared" si="4"/>
        <v>10/25A</v>
      </c>
    </row>
    <row r="3" spans="1:34" x14ac:dyDescent="0.4">
      <c r="C3" s="11" t="str">
        <f ca="1">++TEXT(TODAY(),"MMMM D, YYYY")</f>
        <v>April 21, 2026</v>
      </c>
      <c r="D3" s="7"/>
      <c r="E3" s="8"/>
      <c r="G3" s="170">
        <f t="shared" ref="G3:X3" si="5">++EOMONTH(H3,-3)</f>
        <v>43921</v>
      </c>
      <c r="H3" s="171">
        <f t="shared" si="5"/>
        <v>44012</v>
      </c>
      <c r="I3" s="171">
        <f t="shared" si="5"/>
        <v>44104</v>
      </c>
      <c r="J3" s="172">
        <f t="shared" si="5"/>
        <v>44196</v>
      </c>
      <c r="K3" s="170">
        <f t="shared" si="5"/>
        <v>44286</v>
      </c>
      <c r="L3" s="171">
        <f t="shared" si="5"/>
        <v>44377</v>
      </c>
      <c r="M3" s="171">
        <f t="shared" si="5"/>
        <v>44469</v>
      </c>
      <c r="N3" s="172">
        <f t="shared" si="5"/>
        <v>44561</v>
      </c>
      <c r="O3" s="170">
        <f t="shared" si="5"/>
        <v>44651</v>
      </c>
      <c r="P3" s="171">
        <f t="shared" si="5"/>
        <v>44742</v>
      </c>
      <c r="Q3" s="171">
        <f t="shared" si="5"/>
        <v>44834</v>
      </c>
      <c r="R3" s="172">
        <f t="shared" si="5"/>
        <v>44926</v>
      </c>
      <c r="S3" s="170">
        <f t="shared" si="5"/>
        <v>45016</v>
      </c>
      <c r="T3" s="171">
        <f t="shared" si="5"/>
        <v>45107</v>
      </c>
      <c r="U3" s="171">
        <f t="shared" si="5"/>
        <v>45199</v>
      </c>
      <c r="V3" s="172">
        <f t="shared" si="5"/>
        <v>45291</v>
      </c>
      <c r="W3" s="170">
        <f t="shared" si="5"/>
        <v>45382</v>
      </c>
      <c r="X3" s="171">
        <f t="shared" si="5"/>
        <v>45473</v>
      </c>
      <c r="Y3" s="171">
        <f>++EOMONTH(Z3,-3)</f>
        <v>45565</v>
      </c>
      <c r="Z3" s="247">
        <f>++LastFYE</f>
        <v>45657</v>
      </c>
      <c r="AA3" s="170">
        <f t="shared" ref="AA3:AD3" si="6">++EOMONTH(Z3,3)</f>
        <v>45747</v>
      </c>
      <c r="AB3" s="171">
        <f t="shared" si="6"/>
        <v>45838</v>
      </c>
      <c r="AC3" s="171">
        <f t="shared" si="6"/>
        <v>45930</v>
      </c>
      <c r="AD3" s="172">
        <f t="shared" si="6"/>
        <v>46022</v>
      </c>
      <c r="AF3" s="170">
        <f t="shared" ref="AF3" si="7">++EOMONTH(AG3,-12)</f>
        <v>45230</v>
      </c>
      <c r="AG3" s="171">
        <f>++EOMONTH(AH3,-12)</f>
        <v>45596</v>
      </c>
      <c r="AH3" s="258">
        <v>45961</v>
      </c>
    </row>
    <row r="5" spans="1:34" x14ac:dyDescent="0.4">
      <c r="A5" s="12" t="s">
        <v>8</v>
      </c>
      <c r="B5" s="12" t="s">
        <v>8</v>
      </c>
      <c r="C5" s="194" t="str">
        <f>++C2</f>
        <v>Financial Inputs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4" x14ac:dyDescent="0.4">
      <c r="C6" s="195" t="s">
        <v>9</v>
      </c>
    </row>
    <row r="7" spans="1:34" ht="5.0999999999999996" customHeight="1" x14ac:dyDescent="0.4">
      <c r="C7" s="196"/>
    </row>
    <row r="8" spans="1:34" x14ac:dyDescent="0.4">
      <c r="A8" s="12" t="s">
        <v>8</v>
      </c>
      <c r="B8" s="12" t="s">
        <v>8</v>
      </c>
      <c r="C8" s="194" t="s">
        <v>161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5.0999999999999996" customHeight="1" x14ac:dyDescent="0.4">
      <c r="C9" s="196"/>
    </row>
    <row r="10" spans="1:34" x14ac:dyDescent="0.4">
      <c r="C10" s="197" t="s">
        <v>162</v>
      </c>
      <c r="G10" s="181">
        <v>0</v>
      </c>
      <c r="H10" s="181">
        <v>0</v>
      </c>
      <c r="I10" s="181">
        <v>0</v>
      </c>
      <c r="J10" s="181">
        <v>0</v>
      </c>
      <c r="K10" s="181">
        <v>0</v>
      </c>
      <c r="L10" s="181">
        <v>0</v>
      </c>
      <c r="M10" s="181">
        <v>0</v>
      </c>
      <c r="N10" s="181">
        <v>0</v>
      </c>
      <c r="O10" s="181">
        <v>0</v>
      </c>
      <c r="P10" s="181">
        <v>0</v>
      </c>
      <c r="Q10" s="181">
        <v>0</v>
      </c>
      <c r="R10" s="181">
        <v>0</v>
      </c>
      <c r="S10" s="181">
        <v>0</v>
      </c>
      <c r="T10" s="181">
        <v>0</v>
      </c>
      <c r="U10" s="181">
        <v>0</v>
      </c>
      <c r="V10" s="181">
        <v>0</v>
      </c>
      <c r="W10" s="181">
        <v>0</v>
      </c>
      <c r="X10" s="181">
        <v>0</v>
      </c>
      <c r="Y10" s="181">
        <v>0</v>
      </c>
      <c r="Z10" s="181">
        <v>0</v>
      </c>
      <c r="AA10" s="181">
        <v>0</v>
      </c>
      <c r="AB10" s="181">
        <v>0</v>
      </c>
      <c r="AC10" s="181">
        <v>0</v>
      </c>
      <c r="AD10" s="181">
        <v>0</v>
      </c>
      <c r="AF10" s="181">
        <v>0</v>
      </c>
      <c r="AG10" s="181">
        <v>0</v>
      </c>
      <c r="AH10" s="181">
        <v>0</v>
      </c>
    </row>
    <row r="11" spans="1:34" x14ac:dyDescent="0.4">
      <c r="C11" s="197" t="s">
        <v>162</v>
      </c>
      <c r="G11" s="182">
        <v>0</v>
      </c>
      <c r="H11" s="182">
        <v>0</v>
      </c>
      <c r="I11" s="182">
        <v>0</v>
      </c>
      <c r="J11" s="182">
        <v>0</v>
      </c>
      <c r="K11" s="182">
        <v>0</v>
      </c>
      <c r="L11" s="182">
        <v>0</v>
      </c>
      <c r="M11" s="182">
        <v>0</v>
      </c>
      <c r="N11" s="182">
        <v>0</v>
      </c>
      <c r="O11" s="182">
        <v>0</v>
      </c>
      <c r="P11" s="182">
        <v>0</v>
      </c>
      <c r="Q11" s="182">
        <v>0</v>
      </c>
      <c r="R11" s="182">
        <v>0</v>
      </c>
      <c r="S11" s="182">
        <v>0</v>
      </c>
      <c r="T11" s="182">
        <v>0</v>
      </c>
      <c r="U11" s="182">
        <v>0</v>
      </c>
      <c r="V11" s="182">
        <v>0</v>
      </c>
      <c r="W11" s="182">
        <v>0</v>
      </c>
      <c r="X11" s="182">
        <v>0</v>
      </c>
      <c r="Y11" s="182">
        <v>0</v>
      </c>
      <c r="Z11" s="182">
        <v>0</v>
      </c>
      <c r="AA11" s="182">
        <v>0</v>
      </c>
      <c r="AB11" s="182">
        <v>0</v>
      </c>
      <c r="AC11" s="182">
        <v>0</v>
      </c>
      <c r="AD11" s="182">
        <v>0</v>
      </c>
      <c r="AF11" s="182">
        <v>0</v>
      </c>
      <c r="AG11" s="182">
        <v>0</v>
      </c>
      <c r="AH11" s="182">
        <v>0</v>
      </c>
    </row>
    <row r="12" spans="1:34" x14ac:dyDescent="0.4">
      <c r="C12" s="197" t="s">
        <v>162</v>
      </c>
      <c r="G12" s="182">
        <v>0</v>
      </c>
      <c r="H12" s="182">
        <v>0</v>
      </c>
      <c r="I12" s="182">
        <v>0</v>
      </c>
      <c r="J12" s="182">
        <v>0</v>
      </c>
      <c r="K12" s="182">
        <v>0</v>
      </c>
      <c r="L12" s="182">
        <v>0</v>
      </c>
      <c r="M12" s="182">
        <v>0</v>
      </c>
      <c r="N12" s="182">
        <v>0</v>
      </c>
      <c r="O12" s="182">
        <v>0</v>
      </c>
      <c r="P12" s="182">
        <v>0</v>
      </c>
      <c r="Q12" s="182">
        <v>0</v>
      </c>
      <c r="R12" s="182">
        <v>0</v>
      </c>
      <c r="S12" s="182">
        <v>0</v>
      </c>
      <c r="T12" s="182">
        <v>0</v>
      </c>
      <c r="U12" s="182">
        <v>0</v>
      </c>
      <c r="V12" s="182">
        <v>0</v>
      </c>
      <c r="W12" s="182">
        <v>0</v>
      </c>
      <c r="X12" s="182">
        <v>0</v>
      </c>
      <c r="Y12" s="182">
        <v>0</v>
      </c>
      <c r="Z12" s="182">
        <v>0</v>
      </c>
      <c r="AA12" s="182">
        <v>0</v>
      </c>
      <c r="AB12" s="182">
        <v>0</v>
      </c>
      <c r="AC12" s="182">
        <v>0</v>
      </c>
      <c r="AD12" s="182">
        <v>0</v>
      </c>
      <c r="AF12" s="182">
        <v>0</v>
      </c>
      <c r="AG12" s="182">
        <v>0</v>
      </c>
      <c r="AH12" s="182">
        <v>0</v>
      </c>
    </row>
    <row r="13" spans="1:34" x14ac:dyDescent="0.4">
      <c r="C13" s="197" t="s">
        <v>162</v>
      </c>
      <c r="G13" s="182">
        <v>0</v>
      </c>
      <c r="H13" s="182">
        <v>0</v>
      </c>
      <c r="I13" s="182">
        <v>0</v>
      </c>
      <c r="J13" s="182">
        <v>0</v>
      </c>
      <c r="K13" s="182">
        <v>0</v>
      </c>
      <c r="L13" s="182">
        <v>0</v>
      </c>
      <c r="M13" s="182">
        <v>0</v>
      </c>
      <c r="N13" s="182">
        <v>0</v>
      </c>
      <c r="O13" s="182">
        <v>0</v>
      </c>
      <c r="P13" s="182">
        <v>0</v>
      </c>
      <c r="Q13" s="182">
        <v>0</v>
      </c>
      <c r="R13" s="182">
        <v>0</v>
      </c>
      <c r="S13" s="182">
        <v>0</v>
      </c>
      <c r="T13" s="182">
        <v>0</v>
      </c>
      <c r="U13" s="182">
        <v>0</v>
      </c>
      <c r="V13" s="182">
        <v>0</v>
      </c>
      <c r="W13" s="182">
        <v>0</v>
      </c>
      <c r="X13" s="182">
        <v>0</v>
      </c>
      <c r="Y13" s="182">
        <v>0</v>
      </c>
      <c r="Z13" s="182">
        <v>0</v>
      </c>
      <c r="AA13" s="182">
        <v>0</v>
      </c>
      <c r="AB13" s="182">
        <v>0</v>
      </c>
      <c r="AC13" s="182">
        <v>0</v>
      </c>
      <c r="AD13" s="182">
        <v>0</v>
      </c>
      <c r="AF13" s="182">
        <v>0</v>
      </c>
      <c r="AG13" s="182">
        <v>0</v>
      </c>
      <c r="AH13" s="182">
        <v>0</v>
      </c>
    </row>
    <row r="14" spans="1:34" x14ac:dyDescent="0.4">
      <c r="C14" s="197" t="s">
        <v>162</v>
      </c>
      <c r="G14" s="182">
        <v>0</v>
      </c>
      <c r="H14" s="182">
        <v>0</v>
      </c>
      <c r="I14" s="182">
        <v>0</v>
      </c>
      <c r="J14" s="182"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v>0</v>
      </c>
      <c r="P14" s="182">
        <v>0</v>
      </c>
      <c r="Q14" s="182">
        <v>0</v>
      </c>
      <c r="R14" s="182">
        <v>0</v>
      </c>
      <c r="S14" s="182">
        <v>0</v>
      </c>
      <c r="T14" s="182">
        <v>0</v>
      </c>
      <c r="U14" s="182">
        <v>0</v>
      </c>
      <c r="V14" s="182">
        <v>0</v>
      </c>
      <c r="W14" s="182">
        <v>0</v>
      </c>
      <c r="X14" s="182">
        <v>0</v>
      </c>
      <c r="Y14" s="182">
        <v>0</v>
      </c>
      <c r="Z14" s="182">
        <v>0</v>
      </c>
      <c r="AA14" s="182">
        <v>0</v>
      </c>
      <c r="AB14" s="182">
        <v>0</v>
      </c>
      <c r="AC14" s="182">
        <v>0</v>
      </c>
      <c r="AD14" s="182">
        <v>0</v>
      </c>
      <c r="AF14" s="182">
        <v>0</v>
      </c>
      <c r="AG14" s="182">
        <v>0</v>
      </c>
      <c r="AH14" s="182">
        <v>0</v>
      </c>
    </row>
    <row r="15" spans="1:34" x14ac:dyDescent="0.4">
      <c r="C15" s="196" t="s">
        <v>163</v>
      </c>
      <c r="G15" s="182">
        <v>0</v>
      </c>
      <c r="H15" s="182">
        <v>0</v>
      </c>
      <c r="I15" s="182">
        <v>0</v>
      </c>
      <c r="J15" s="182">
        <v>0</v>
      </c>
      <c r="K15" s="182">
        <v>0</v>
      </c>
      <c r="L15" s="182">
        <v>0</v>
      </c>
      <c r="M15" s="182">
        <v>0</v>
      </c>
      <c r="N15" s="182">
        <v>0</v>
      </c>
      <c r="O15" s="182">
        <v>0</v>
      </c>
      <c r="P15" s="182">
        <v>0</v>
      </c>
      <c r="Q15" s="182">
        <v>0</v>
      </c>
      <c r="R15" s="182">
        <v>0</v>
      </c>
      <c r="S15" s="182">
        <v>0</v>
      </c>
      <c r="T15" s="182">
        <v>0</v>
      </c>
      <c r="U15" s="182">
        <v>0</v>
      </c>
      <c r="V15" s="182">
        <v>0</v>
      </c>
      <c r="W15" s="182">
        <v>0</v>
      </c>
      <c r="X15" s="182">
        <v>0</v>
      </c>
      <c r="Y15" s="182">
        <v>0</v>
      </c>
      <c r="Z15" s="182">
        <v>0</v>
      </c>
      <c r="AA15" s="182">
        <v>0</v>
      </c>
      <c r="AB15" s="182">
        <v>0</v>
      </c>
      <c r="AC15" s="182">
        <v>0</v>
      </c>
      <c r="AD15" s="182">
        <v>0</v>
      </c>
      <c r="AF15" s="182">
        <v>0</v>
      </c>
      <c r="AG15" s="182">
        <v>0</v>
      </c>
      <c r="AH15" s="182">
        <v>0</v>
      </c>
    </row>
    <row r="16" spans="1:34" x14ac:dyDescent="0.4">
      <c r="C16" s="198" t="s">
        <v>103</v>
      </c>
      <c r="D16" s="2"/>
      <c r="E16" s="2"/>
      <c r="G16" s="18">
        <f>++SUM(G10:G15)</f>
        <v>0</v>
      </c>
      <c r="H16" s="18">
        <f t="shared" ref="H16" si="8">++SUM(H10:H15)</f>
        <v>0</v>
      </c>
      <c r="I16" s="18">
        <f t="shared" ref="I16" si="9">++SUM(I10:I15)</f>
        <v>0</v>
      </c>
      <c r="J16" s="18">
        <f t="shared" ref="J16:V16" si="10">++SUM(J10:J15)</f>
        <v>0</v>
      </c>
      <c r="K16" s="18">
        <f t="shared" si="10"/>
        <v>0</v>
      </c>
      <c r="L16" s="18">
        <f t="shared" si="10"/>
        <v>0</v>
      </c>
      <c r="M16" s="18">
        <f t="shared" si="10"/>
        <v>0</v>
      </c>
      <c r="N16" s="18">
        <f t="shared" si="10"/>
        <v>0</v>
      </c>
      <c r="O16" s="18">
        <f t="shared" si="10"/>
        <v>0</v>
      </c>
      <c r="P16" s="18">
        <f t="shared" si="10"/>
        <v>0</v>
      </c>
      <c r="Q16" s="18">
        <f t="shared" si="10"/>
        <v>0</v>
      </c>
      <c r="R16" s="18">
        <f t="shared" si="10"/>
        <v>0</v>
      </c>
      <c r="S16" s="18">
        <f t="shared" si="10"/>
        <v>0</v>
      </c>
      <c r="T16" s="18">
        <f t="shared" si="10"/>
        <v>0</v>
      </c>
      <c r="U16" s="18">
        <f t="shared" si="10"/>
        <v>0</v>
      </c>
      <c r="V16" s="18">
        <f t="shared" si="10"/>
        <v>0</v>
      </c>
      <c r="W16" s="18">
        <f t="shared" ref="W16" si="11">++SUM(W10:W15)</f>
        <v>0</v>
      </c>
      <c r="X16" s="18">
        <f t="shared" ref="X16" si="12">++SUM(X10:X15)</f>
        <v>0</v>
      </c>
      <c r="Y16" s="18">
        <f t="shared" ref="Y16" si="13">++SUM(Y10:Y15)</f>
        <v>0</v>
      </c>
      <c r="Z16" s="18">
        <f t="shared" ref="Z16" si="14">++SUM(Z10:Z15)</f>
        <v>0</v>
      </c>
      <c r="AA16" s="18">
        <f t="shared" ref="AA16" si="15">++SUM(AA10:AA15)</f>
        <v>0</v>
      </c>
      <c r="AB16" s="18">
        <f t="shared" ref="AB16" si="16">++SUM(AB10:AB15)</f>
        <v>0</v>
      </c>
      <c r="AC16" s="18">
        <f t="shared" ref="AC16" si="17">++SUM(AC10:AC15)</f>
        <v>0</v>
      </c>
      <c r="AD16" s="18">
        <f t="shared" ref="AD16:AF16" si="18">++SUM(AD10:AD15)</f>
        <v>0</v>
      </c>
      <c r="AF16" s="18">
        <f t="shared" si="18"/>
        <v>0</v>
      </c>
      <c r="AG16" s="18">
        <f t="shared" ref="AG16" si="19">++SUM(AG10:AG15)</f>
        <v>0</v>
      </c>
      <c r="AH16" s="18">
        <f t="shared" ref="AH16" si="20">++SUM(AH10:AH15)</f>
        <v>0</v>
      </c>
    </row>
    <row r="17" spans="3:34" x14ac:dyDescent="0.4">
      <c r="C17" s="199" t="s">
        <v>104</v>
      </c>
      <c r="G17" s="177" t="s">
        <v>52</v>
      </c>
      <c r="H17" s="177" t="s">
        <v>52</v>
      </c>
      <c r="I17" s="177" t="s">
        <v>52</v>
      </c>
      <c r="J17" s="177" t="s">
        <v>52</v>
      </c>
      <c r="K17" s="19">
        <f t="shared" ref="K17" si="21">++IFERROR(K16/G16-1,0)</f>
        <v>0</v>
      </c>
      <c r="L17" s="19">
        <f t="shared" ref="L17" si="22">++IFERROR(L16/H16-1,0)</f>
        <v>0</v>
      </c>
      <c r="M17" s="19">
        <f t="shared" ref="M17" si="23">++IFERROR(M16/I16-1,0)</f>
        <v>0</v>
      </c>
      <c r="N17" s="19">
        <f t="shared" ref="N17" si="24">++IFERROR(N16/J16-1,0)</f>
        <v>0</v>
      </c>
      <c r="O17" s="19">
        <f t="shared" ref="O17" si="25">++IFERROR(O16/K16-1,0)</f>
        <v>0</v>
      </c>
      <c r="P17" s="19">
        <f t="shared" ref="P17" si="26">++IFERROR(P16/L16-1,0)</f>
        <v>0</v>
      </c>
      <c r="Q17" s="19">
        <f t="shared" ref="Q17" si="27">++IFERROR(Q16/M16-1,0)</f>
        <v>0</v>
      </c>
      <c r="R17" s="19">
        <f t="shared" ref="R17" si="28">++IFERROR(R16/N16-1,0)</f>
        <v>0</v>
      </c>
      <c r="S17" s="19">
        <f t="shared" ref="S17" si="29">++IFERROR(S16/O16-1,0)</f>
        <v>0</v>
      </c>
      <c r="T17" s="19">
        <f t="shared" ref="T17" si="30">++IFERROR(T16/P16-1,0)</f>
        <v>0</v>
      </c>
      <c r="U17" s="19">
        <f t="shared" ref="U17" si="31">++IFERROR(U16/Q16-1,0)</f>
        <v>0</v>
      </c>
      <c r="V17" s="19">
        <f t="shared" ref="V17" si="32">++IFERROR(V16/R16-1,0)</f>
        <v>0</v>
      </c>
      <c r="W17" s="19">
        <f t="shared" ref="W17" si="33">++IFERROR(W16/S16-1,0)</f>
        <v>0</v>
      </c>
      <c r="X17" s="19">
        <f t="shared" ref="X17" si="34">++IFERROR(X16/T16-1,0)</f>
        <v>0</v>
      </c>
      <c r="Y17" s="19">
        <f t="shared" ref="Y17" si="35">++IFERROR(Y16/U16-1,0)</f>
        <v>0</v>
      </c>
      <c r="Z17" s="19">
        <f t="shared" ref="Z17" si="36">++IFERROR(Z16/V16-1,0)</f>
        <v>0</v>
      </c>
      <c r="AA17" s="19">
        <f t="shared" ref="AA17" si="37">++IFERROR(AA16/W16-1,0)</f>
        <v>0</v>
      </c>
      <c r="AB17" s="19">
        <f t="shared" ref="AB17" si="38">++IFERROR(AB16/X16-1,0)</f>
        <v>0</v>
      </c>
      <c r="AC17" s="19">
        <f t="shared" ref="AC17" si="39">++IFERROR(AC16/Y16-1,0)</f>
        <v>0</v>
      </c>
      <c r="AD17" s="19">
        <f t="shared" ref="AD17" si="40">++IFERROR(AD16/Z16-1,0)</f>
        <v>0</v>
      </c>
      <c r="AF17" s="177" t="s">
        <v>52</v>
      </c>
      <c r="AG17" s="19">
        <f>++IFERROR(AG16/AF16-1,0)</f>
        <v>0</v>
      </c>
      <c r="AH17" s="19">
        <f>++IFERROR(AH16/AG16-1,0)</f>
        <v>0</v>
      </c>
    </row>
    <row r="18" spans="3:34" x14ac:dyDescent="0.4">
      <c r="C18" s="196"/>
    </row>
    <row r="19" spans="3:34" x14ac:dyDescent="0.4">
      <c r="C19" s="197" t="s">
        <v>164</v>
      </c>
      <c r="G19" s="182">
        <v>0</v>
      </c>
      <c r="H19" s="182">
        <v>0</v>
      </c>
      <c r="I19" s="182">
        <v>0</v>
      </c>
      <c r="J19" s="182">
        <v>0</v>
      </c>
      <c r="K19" s="182">
        <v>0</v>
      </c>
      <c r="L19" s="182">
        <v>0</v>
      </c>
      <c r="M19" s="182">
        <v>0</v>
      </c>
      <c r="N19" s="182">
        <v>0</v>
      </c>
      <c r="O19" s="182">
        <v>0</v>
      </c>
      <c r="P19" s="182">
        <v>0</v>
      </c>
      <c r="Q19" s="182">
        <v>0</v>
      </c>
      <c r="R19" s="182">
        <v>0</v>
      </c>
      <c r="S19" s="182">
        <v>0</v>
      </c>
      <c r="T19" s="182">
        <v>0</v>
      </c>
      <c r="U19" s="182">
        <v>0</v>
      </c>
      <c r="V19" s="182">
        <v>0</v>
      </c>
      <c r="W19" s="182">
        <v>0</v>
      </c>
      <c r="X19" s="182">
        <v>0</v>
      </c>
      <c r="Y19" s="182">
        <v>0</v>
      </c>
      <c r="Z19" s="182">
        <v>0</v>
      </c>
      <c r="AA19" s="182">
        <v>0</v>
      </c>
      <c r="AB19" s="182">
        <v>0</v>
      </c>
      <c r="AC19" s="182">
        <v>0</v>
      </c>
      <c r="AD19" s="182">
        <v>0</v>
      </c>
      <c r="AF19" s="182">
        <v>0</v>
      </c>
      <c r="AG19" s="182">
        <v>0</v>
      </c>
      <c r="AH19" s="182">
        <v>0</v>
      </c>
    </row>
    <row r="20" spans="3:34" x14ac:dyDescent="0.4">
      <c r="C20" s="197" t="s">
        <v>164</v>
      </c>
      <c r="G20" s="182">
        <v>0</v>
      </c>
      <c r="H20" s="182">
        <v>0</v>
      </c>
      <c r="I20" s="182">
        <v>0</v>
      </c>
      <c r="J20" s="182">
        <v>0</v>
      </c>
      <c r="K20" s="182">
        <v>0</v>
      </c>
      <c r="L20" s="182">
        <v>0</v>
      </c>
      <c r="M20" s="182">
        <v>0</v>
      </c>
      <c r="N20" s="182">
        <v>0</v>
      </c>
      <c r="O20" s="182">
        <v>0</v>
      </c>
      <c r="P20" s="182">
        <v>0</v>
      </c>
      <c r="Q20" s="182">
        <v>0</v>
      </c>
      <c r="R20" s="182">
        <v>0</v>
      </c>
      <c r="S20" s="182">
        <v>0</v>
      </c>
      <c r="T20" s="182">
        <v>0</v>
      </c>
      <c r="U20" s="182">
        <v>0</v>
      </c>
      <c r="V20" s="182">
        <v>0</v>
      </c>
      <c r="W20" s="182">
        <v>0</v>
      </c>
      <c r="X20" s="182">
        <v>0</v>
      </c>
      <c r="Y20" s="182">
        <v>0</v>
      </c>
      <c r="Z20" s="182">
        <v>0</v>
      </c>
      <c r="AA20" s="182">
        <v>0</v>
      </c>
      <c r="AB20" s="182">
        <v>0</v>
      </c>
      <c r="AC20" s="182">
        <v>0</v>
      </c>
      <c r="AD20" s="182">
        <v>0</v>
      </c>
      <c r="AF20" s="182">
        <v>0</v>
      </c>
      <c r="AG20" s="182">
        <v>0</v>
      </c>
      <c r="AH20" s="182">
        <v>0</v>
      </c>
    </row>
    <row r="21" spans="3:34" x14ac:dyDescent="0.4">
      <c r="C21" s="197" t="s">
        <v>164</v>
      </c>
      <c r="G21" s="182">
        <v>0</v>
      </c>
      <c r="H21" s="182">
        <v>0</v>
      </c>
      <c r="I21" s="182">
        <v>0</v>
      </c>
      <c r="J21" s="182">
        <v>0</v>
      </c>
      <c r="K21" s="182">
        <v>0</v>
      </c>
      <c r="L21" s="182">
        <v>0</v>
      </c>
      <c r="M21" s="182">
        <v>0</v>
      </c>
      <c r="N21" s="182">
        <v>0</v>
      </c>
      <c r="O21" s="182">
        <v>0</v>
      </c>
      <c r="P21" s="182">
        <v>0</v>
      </c>
      <c r="Q21" s="182">
        <v>0</v>
      </c>
      <c r="R21" s="182">
        <v>0</v>
      </c>
      <c r="S21" s="182">
        <v>0</v>
      </c>
      <c r="T21" s="182">
        <v>0</v>
      </c>
      <c r="U21" s="182">
        <v>0</v>
      </c>
      <c r="V21" s="182">
        <v>0</v>
      </c>
      <c r="W21" s="182">
        <v>0</v>
      </c>
      <c r="X21" s="182">
        <v>0</v>
      </c>
      <c r="Y21" s="182">
        <v>0</v>
      </c>
      <c r="Z21" s="182">
        <v>0</v>
      </c>
      <c r="AA21" s="182">
        <v>0</v>
      </c>
      <c r="AB21" s="182">
        <v>0</v>
      </c>
      <c r="AC21" s="182">
        <v>0</v>
      </c>
      <c r="AD21" s="182">
        <v>0</v>
      </c>
      <c r="AF21" s="182">
        <v>0</v>
      </c>
      <c r="AG21" s="182">
        <v>0</v>
      </c>
      <c r="AH21" s="182">
        <v>0</v>
      </c>
    </row>
    <row r="22" spans="3:34" x14ac:dyDescent="0.4">
      <c r="C22" s="197" t="s">
        <v>164</v>
      </c>
      <c r="G22" s="182">
        <v>0</v>
      </c>
      <c r="H22" s="182">
        <v>0</v>
      </c>
      <c r="I22" s="182">
        <v>0</v>
      </c>
      <c r="J22" s="182">
        <v>0</v>
      </c>
      <c r="K22" s="182">
        <v>0</v>
      </c>
      <c r="L22" s="182">
        <v>0</v>
      </c>
      <c r="M22" s="182">
        <v>0</v>
      </c>
      <c r="N22" s="182">
        <v>0</v>
      </c>
      <c r="O22" s="182">
        <v>0</v>
      </c>
      <c r="P22" s="182">
        <v>0</v>
      </c>
      <c r="Q22" s="182">
        <v>0</v>
      </c>
      <c r="R22" s="182">
        <v>0</v>
      </c>
      <c r="S22" s="182">
        <v>0</v>
      </c>
      <c r="T22" s="182">
        <v>0</v>
      </c>
      <c r="U22" s="182">
        <v>0</v>
      </c>
      <c r="V22" s="182">
        <v>0</v>
      </c>
      <c r="W22" s="182">
        <v>0</v>
      </c>
      <c r="X22" s="182">
        <v>0</v>
      </c>
      <c r="Y22" s="182">
        <v>0</v>
      </c>
      <c r="Z22" s="182">
        <v>0</v>
      </c>
      <c r="AA22" s="182">
        <v>0</v>
      </c>
      <c r="AB22" s="182">
        <v>0</v>
      </c>
      <c r="AC22" s="182">
        <v>0</v>
      </c>
      <c r="AD22" s="182">
        <v>0</v>
      </c>
      <c r="AF22" s="182">
        <v>0</v>
      </c>
      <c r="AG22" s="182">
        <v>0</v>
      </c>
      <c r="AH22" s="182">
        <v>0</v>
      </c>
    </row>
    <row r="23" spans="3:34" x14ac:dyDescent="0.4">
      <c r="C23" s="197" t="s">
        <v>164</v>
      </c>
      <c r="G23" s="182">
        <v>0</v>
      </c>
      <c r="H23" s="182">
        <v>0</v>
      </c>
      <c r="I23" s="182">
        <v>0</v>
      </c>
      <c r="J23" s="182">
        <v>0</v>
      </c>
      <c r="K23" s="182">
        <v>0</v>
      </c>
      <c r="L23" s="182">
        <v>0</v>
      </c>
      <c r="M23" s="182">
        <v>0</v>
      </c>
      <c r="N23" s="182">
        <v>0</v>
      </c>
      <c r="O23" s="182">
        <v>0</v>
      </c>
      <c r="P23" s="182">
        <v>0</v>
      </c>
      <c r="Q23" s="182">
        <v>0</v>
      </c>
      <c r="R23" s="182">
        <v>0</v>
      </c>
      <c r="S23" s="182">
        <v>0</v>
      </c>
      <c r="T23" s="182">
        <v>0</v>
      </c>
      <c r="U23" s="182">
        <v>0</v>
      </c>
      <c r="V23" s="182">
        <v>0</v>
      </c>
      <c r="W23" s="182">
        <v>0</v>
      </c>
      <c r="X23" s="182">
        <v>0</v>
      </c>
      <c r="Y23" s="182">
        <v>0</v>
      </c>
      <c r="Z23" s="182">
        <v>0</v>
      </c>
      <c r="AA23" s="182">
        <v>0</v>
      </c>
      <c r="AB23" s="182">
        <v>0</v>
      </c>
      <c r="AC23" s="182">
        <v>0</v>
      </c>
      <c r="AD23" s="182">
        <v>0</v>
      </c>
      <c r="AF23" s="182">
        <v>0</v>
      </c>
      <c r="AG23" s="182">
        <v>0</v>
      </c>
      <c r="AH23" s="182">
        <v>0</v>
      </c>
    </row>
    <row r="24" spans="3:34" x14ac:dyDescent="0.4">
      <c r="C24" s="196" t="s">
        <v>165</v>
      </c>
      <c r="G24" s="182">
        <v>0</v>
      </c>
      <c r="H24" s="182">
        <v>0</v>
      </c>
      <c r="I24" s="182">
        <v>0</v>
      </c>
      <c r="J24" s="182">
        <v>0</v>
      </c>
      <c r="K24" s="182">
        <v>0</v>
      </c>
      <c r="L24" s="182">
        <v>0</v>
      </c>
      <c r="M24" s="182">
        <v>0</v>
      </c>
      <c r="N24" s="182">
        <v>0</v>
      </c>
      <c r="O24" s="182">
        <v>0</v>
      </c>
      <c r="P24" s="182">
        <v>0</v>
      </c>
      <c r="Q24" s="182">
        <v>0</v>
      </c>
      <c r="R24" s="182">
        <v>0</v>
      </c>
      <c r="S24" s="182">
        <v>0</v>
      </c>
      <c r="T24" s="182">
        <v>0</v>
      </c>
      <c r="U24" s="182">
        <v>0</v>
      </c>
      <c r="V24" s="182">
        <v>0</v>
      </c>
      <c r="W24" s="182">
        <v>0</v>
      </c>
      <c r="X24" s="182">
        <v>0</v>
      </c>
      <c r="Y24" s="182">
        <v>0</v>
      </c>
      <c r="Z24" s="182">
        <v>0</v>
      </c>
      <c r="AA24" s="182">
        <v>0</v>
      </c>
      <c r="AB24" s="182">
        <v>0</v>
      </c>
      <c r="AC24" s="182">
        <v>0</v>
      </c>
      <c r="AD24" s="182">
        <v>0</v>
      </c>
      <c r="AF24" s="182">
        <v>0</v>
      </c>
      <c r="AG24" s="182">
        <v>0</v>
      </c>
      <c r="AH24" s="182">
        <v>0</v>
      </c>
    </row>
    <row r="25" spans="3:34" x14ac:dyDescent="0.4">
      <c r="C25" s="198" t="s">
        <v>105</v>
      </c>
      <c r="D25" s="2"/>
      <c r="E25" s="2"/>
      <c r="G25" s="18">
        <f>++G16-SUM(G19:G24)</f>
        <v>0</v>
      </c>
      <c r="H25" s="18">
        <f t="shared" ref="H25" si="41">++H16-SUM(H19:H24)</f>
        <v>0</v>
      </c>
      <c r="I25" s="18">
        <f t="shared" ref="I25" si="42">++I16-SUM(I19:I24)</f>
        <v>0</v>
      </c>
      <c r="J25" s="18">
        <f t="shared" ref="J25:V25" si="43">++J16-SUM(J19:J24)</f>
        <v>0</v>
      </c>
      <c r="K25" s="18">
        <f t="shared" si="43"/>
        <v>0</v>
      </c>
      <c r="L25" s="18">
        <f t="shared" si="43"/>
        <v>0</v>
      </c>
      <c r="M25" s="18">
        <f t="shared" si="43"/>
        <v>0</v>
      </c>
      <c r="N25" s="18">
        <f t="shared" si="43"/>
        <v>0</v>
      </c>
      <c r="O25" s="18">
        <f t="shared" si="43"/>
        <v>0</v>
      </c>
      <c r="P25" s="18">
        <f t="shared" si="43"/>
        <v>0</v>
      </c>
      <c r="Q25" s="18">
        <f t="shared" si="43"/>
        <v>0</v>
      </c>
      <c r="R25" s="18">
        <f t="shared" si="43"/>
        <v>0</v>
      </c>
      <c r="S25" s="18">
        <f t="shared" si="43"/>
        <v>0</v>
      </c>
      <c r="T25" s="18">
        <f t="shared" si="43"/>
        <v>0</v>
      </c>
      <c r="U25" s="18">
        <f t="shared" si="43"/>
        <v>0</v>
      </c>
      <c r="V25" s="18">
        <f t="shared" si="43"/>
        <v>0</v>
      </c>
      <c r="W25" s="18">
        <f t="shared" ref="W25" si="44">++W16-SUM(W19:W24)</f>
        <v>0</v>
      </c>
      <c r="X25" s="18">
        <f t="shared" ref="X25" si="45">++X16-SUM(X19:X24)</f>
        <v>0</v>
      </c>
      <c r="Y25" s="18">
        <f t="shared" ref="Y25" si="46">++Y16-SUM(Y19:Y24)</f>
        <v>0</v>
      </c>
      <c r="Z25" s="18">
        <f t="shared" ref="Z25" si="47">++Z16-SUM(Z19:Z24)</f>
        <v>0</v>
      </c>
      <c r="AA25" s="18">
        <f t="shared" ref="AA25" si="48">++AA16-SUM(AA19:AA24)</f>
        <v>0</v>
      </c>
      <c r="AB25" s="18">
        <f t="shared" ref="AB25" si="49">++AB16-SUM(AB19:AB24)</f>
        <v>0</v>
      </c>
      <c r="AC25" s="18">
        <f t="shared" ref="AC25" si="50">++AC16-SUM(AC19:AC24)</f>
        <v>0</v>
      </c>
      <c r="AD25" s="18">
        <f t="shared" ref="AD25:AF25" si="51">++AD16-SUM(AD19:AD24)</f>
        <v>0</v>
      </c>
      <c r="AF25" s="18">
        <f t="shared" si="51"/>
        <v>0</v>
      </c>
      <c r="AG25" s="18">
        <f t="shared" ref="AG25" si="52">++AG16-SUM(AG19:AG24)</f>
        <v>0</v>
      </c>
      <c r="AH25" s="18">
        <f t="shared" ref="AH25" si="53">++AH16-SUM(AH19:AH24)</f>
        <v>0</v>
      </c>
    </row>
    <row r="26" spans="3:34" x14ac:dyDescent="0.4">
      <c r="C26" s="199" t="s">
        <v>106</v>
      </c>
      <c r="G26" s="19">
        <f t="shared" ref="G26:AH26" si="54">++IFERROR(G25/G16,0)</f>
        <v>0</v>
      </c>
      <c r="H26" s="19">
        <f t="shared" si="54"/>
        <v>0</v>
      </c>
      <c r="I26" s="19">
        <f t="shared" si="54"/>
        <v>0</v>
      </c>
      <c r="J26" s="19">
        <f t="shared" si="54"/>
        <v>0</v>
      </c>
      <c r="K26" s="19">
        <f t="shared" ref="K26:V26" si="55">++IFERROR(K25/K16,0)</f>
        <v>0</v>
      </c>
      <c r="L26" s="19">
        <f t="shared" si="55"/>
        <v>0</v>
      </c>
      <c r="M26" s="19">
        <f t="shared" si="55"/>
        <v>0</v>
      </c>
      <c r="N26" s="19">
        <f t="shared" si="55"/>
        <v>0</v>
      </c>
      <c r="O26" s="19">
        <f t="shared" si="55"/>
        <v>0</v>
      </c>
      <c r="P26" s="19">
        <f t="shared" si="55"/>
        <v>0</v>
      </c>
      <c r="Q26" s="19">
        <f t="shared" si="55"/>
        <v>0</v>
      </c>
      <c r="R26" s="19">
        <f t="shared" si="55"/>
        <v>0</v>
      </c>
      <c r="S26" s="19">
        <f t="shared" si="55"/>
        <v>0</v>
      </c>
      <c r="T26" s="19">
        <f t="shared" si="55"/>
        <v>0</v>
      </c>
      <c r="U26" s="19">
        <f t="shared" si="55"/>
        <v>0</v>
      </c>
      <c r="V26" s="19">
        <f t="shared" si="55"/>
        <v>0</v>
      </c>
      <c r="W26" s="19">
        <f t="shared" si="54"/>
        <v>0</v>
      </c>
      <c r="X26" s="19">
        <f t="shared" si="54"/>
        <v>0</v>
      </c>
      <c r="Y26" s="19">
        <f t="shared" si="54"/>
        <v>0</v>
      </c>
      <c r="Z26" s="19">
        <f t="shared" si="54"/>
        <v>0</v>
      </c>
      <c r="AA26" s="19">
        <f t="shared" si="54"/>
        <v>0</v>
      </c>
      <c r="AB26" s="19">
        <f t="shared" si="54"/>
        <v>0</v>
      </c>
      <c r="AC26" s="19">
        <f t="shared" si="54"/>
        <v>0</v>
      </c>
      <c r="AD26" s="19">
        <f t="shared" si="54"/>
        <v>0</v>
      </c>
      <c r="AF26" s="19">
        <f t="shared" ref="AF26" si="56">++IFERROR(AF25/AF16,0)</f>
        <v>0</v>
      </c>
      <c r="AG26" s="19">
        <f t="shared" si="54"/>
        <v>0</v>
      </c>
      <c r="AH26" s="19">
        <f t="shared" si="54"/>
        <v>0</v>
      </c>
    </row>
    <row r="27" spans="3:34" x14ac:dyDescent="0.4">
      <c r="C27" s="199" t="s">
        <v>104</v>
      </c>
      <c r="G27" s="177" t="s">
        <v>52</v>
      </c>
      <c r="H27" s="177" t="s">
        <v>52</v>
      </c>
      <c r="I27" s="177" t="s">
        <v>52</v>
      </c>
      <c r="J27" s="177" t="s">
        <v>52</v>
      </c>
      <c r="K27" s="19">
        <f t="shared" ref="K27" si="57">++IFERROR(K25/G25-1,0)</f>
        <v>0</v>
      </c>
      <c r="L27" s="19">
        <f t="shared" ref="L27" si="58">++IFERROR(L25/H25-1,0)</f>
        <v>0</v>
      </c>
      <c r="M27" s="19">
        <f t="shared" ref="M27" si="59">++IFERROR(M25/I25-1,0)</f>
        <v>0</v>
      </c>
      <c r="N27" s="19">
        <f t="shared" ref="N27" si="60">++IFERROR(N25/J25-1,0)</f>
        <v>0</v>
      </c>
      <c r="O27" s="19">
        <f t="shared" ref="O27" si="61">++IFERROR(O25/K25-1,0)</f>
        <v>0</v>
      </c>
      <c r="P27" s="19">
        <f t="shared" ref="P27" si="62">++IFERROR(P25/L25-1,0)</f>
        <v>0</v>
      </c>
      <c r="Q27" s="19">
        <f t="shared" ref="Q27" si="63">++IFERROR(Q25/M25-1,0)</f>
        <v>0</v>
      </c>
      <c r="R27" s="19">
        <f t="shared" ref="R27" si="64">++IFERROR(R25/N25-1,0)</f>
        <v>0</v>
      </c>
      <c r="S27" s="19">
        <f t="shared" ref="S27" si="65">++IFERROR(S25/O25-1,0)</f>
        <v>0</v>
      </c>
      <c r="T27" s="19">
        <f t="shared" ref="T27" si="66">++IFERROR(T25/P25-1,0)</f>
        <v>0</v>
      </c>
      <c r="U27" s="19">
        <f t="shared" ref="U27" si="67">++IFERROR(U25/Q25-1,0)</f>
        <v>0</v>
      </c>
      <c r="V27" s="19">
        <f t="shared" ref="V27" si="68">++IFERROR(V25/R25-1,0)</f>
        <v>0</v>
      </c>
      <c r="W27" s="19">
        <f t="shared" ref="W27:AD27" si="69">++IFERROR(W25/S25-1,0)</f>
        <v>0</v>
      </c>
      <c r="X27" s="19">
        <f t="shared" si="69"/>
        <v>0</v>
      </c>
      <c r="Y27" s="19">
        <f t="shared" si="69"/>
        <v>0</v>
      </c>
      <c r="Z27" s="19">
        <f t="shared" si="69"/>
        <v>0</v>
      </c>
      <c r="AA27" s="19">
        <f t="shared" si="69"/>
        <v>0</v>
      </c>
      <c r="AB27" s="19">
        <f t="shared" si="69"/>
        <v>0</v>
      </c>
      <c r="AC27" s="19">
        <f t="shared" si="69"/>
        <v>0</v>
      </c>
      <c r="AD27" s="19">
        <f t="shared" si="69"/>
        <v>0</v>
      </c>
      <c r="AF27" s="177" t="s">
        <v>52</v>
      </c>
      <c r="AG27" s="19">
        <f>++IFERROR(AG25/AF25-1,0)</f>
        <v>0</v>
      </c>
      <c r="AH27" s="19">
        <f>++IFERROR(AH25/AG25-1,0)</f>
        <v>0</v>
      </c>
    </row>
    <row r="28" spans="3:34" x14ac:dyDescent="0.4">
      <c r="C28" s="196"/>
    </row>
    <row r="29" spans="3:34" x14ac:dyDescent="0.4">
      <c r="C29" s="197" t="s">
        <v>166</v>
      </c>
      <c r="G29" s="182">
        <v>0</v>
      </c>
      <c r="H29" s="182">
        <v>0</v>
      </c>
      <c r="I29" s="182">
        <v>0</v>
      </c>
      <c r="J29" s="182">
        <v>0</v>
      </c>
      <c r="K29" s="182">
        <v>0</v>
      </c>
      <c r="L29" s="182">
        <v>0</v>
      </c>
      <c r="M29" s="182">
        <v>0</v>
      </c>
      <c r="N29" s="182">
        <v>0</v>
      </c>
      <c r="O29" s="182">
        <v>0</v>
      </c>
      <c r="P29" s="182">
        <v>0</v>
      </c>
      <c r="Q29" s="182">
        <v>0</v>
      </c>
      <c r="R29" s="182">
        <v>0</v>
      </c>
      <c r="S29" s="182">
        <v>0</v>
      </c>
      <c r="T29" s="182">
        <v>0</v>
      </c>
      <c r="U29" s="182">
        <v>0</v>
      </c>
      <c r="V29" s="182">
        <v>0</v>
      </c>
      <c r="W29" s="182">
        <v>0</v>
      </c>
      <c r="X29" s="182">
        <v>0</v>
      </c>
      <c r="Y29" s="182">
        <v>0</v>
      </c>
      <c r="Z29" s="182">
        <v>0</v>
      </c>
      <c r="AA29" s="182">
        <v>0</v>
      </c>
      <c r="AB29" s="182">
        <v>0</v>
      </c>
      <c r="AC29" s="182">
        <v>0</v>
      </c>
      <c r="AD29" s="182">
        <v>0</v>
      </c>
      <c r="AF29" s="182">
        <v>0</v>
      </c>
      <c r="AG29" s="182">
        <v>0</v>
      </c>
      <c r="AH29" s="182">
        <v>0</v>
      </c>
    </row>
    <row r="30" spans="3:34" x14ac:dyDescent="0.4">
      <c r="C30" s="197" t="s">
        <v>166</v>
      </c>
      <c r="G30" s="182">
        <v>0</v>
      </c>
      <c r="H30" s="182">
        <v>0</v>
      </c>
      <c r="I30" s="182">
        <v>0</v>
      </c>
      <c r="J30" s="182">
        <v>0</v>
      </c>
      <c r="K30" s="182">
        <v>0</v>
      </c>
      <c r="L30" s="182">
        <v>0</v>
      </c>
      <c r="M30" s="182">
        <v>0</v>
      </c>
      <c r="N30" s="182">
        <v>0</v>
      </c>
      <c r="O30" s="182">
        <v>0</v>
      </c>
      <c r="P30" s="182">
        <v>0</v>
      </c>
      <c r="Q30" s="182">
        <v>0</v>
      </c>
      <c r="R30" s="182">
        <v>0</v>
      </c>
      <c r="S30" s="182">
        <v>0</v>
      </c>
      <c r="T30" s="182">
        <v>0</v>
      </c>
      <c r="U30" s="182">
        <v>0</v>
      </c>
      <c r="V30" s="182">
        <v>0</v>
      </c>
      <c r="W30" s="182">
        <v>0</v>
      </c>
      <c r="X30" s="182">
        <v>0</v>
      </c>
      <c r="Y30" s="182">
        <v>0</v>
      </c>
      <c r="Z30" s="182">
        <v>0</v>
      </c>
      <c r="AA30" s="182">
        <v>0</v>
      </c>
      <c r="AB30" s="182">
        <v>0</v>
      </c>
      <c r="AC30" s="182">
        <v>0</v>
      </c>
      <c r="AD30" s="182">
        <v>0</v>
      </c>
      <c r="AF30" s="182">
        <v>0</v>
      </c>
      <c r="AG30" s="182">
        <v>0</v>
      </c>
      <c r="AH30" s="182">
        <v>0</v>
      </c>
    </row>
    <row r="31" spans="3:34" x14ac:dyDescent="0.4">
      <c r="C31" s="197" t="s">
        <v>166</v>
      </c>
      <c r="G31" s="182">
        <v>0</v>
      </c>
      <c r="H31" s="182">
        <v>0</v>
      </c>
      <c r="I31" s="182">
        <v>0</v>
      </c>
      <c r="J31" s="182">
        <v>0</v>
      </c>
      <c r="K31" s="182">
        <v>0</v>
      </c>
      <c r="L31" s="182">
        <v>0</v>
      </c>
      <c r="M31" s="182">
        <v>0</v>
      </c>
      <c r="N31" s="182">
        <v>0</v>
      </c>
      <c r="O31" s="182">
        <v>0</v>
      </c>
      <c r="P31" s="182">
        <v>0</v>
      </c>
      <c r="Q31" s="182">
        <v>0</v>
      </c>
      <c r="R31" s="182">
        <v>0</v>
      </c>
      <c r="S31" s="182">
        <v>0</v>
      </c>
      <c r="T31" s="182">
        <v>0</v>
      </c>
      <c r="U31" s="182">
        <v>0</v>
      </c>
      <c r="V31" s="182">
        <v>0</v>
      </c>
      <c r="W31" s="182">
        <v>0</v>
      </c>
      <c r="X31" s="182">
        <v>0</v>
      </c>
      <c r="Y31" s="182">
        <v>0</v>
      </c>
      <c r="Z31" s="182">
        <v>0</v>
      </c>
      <c r="AA31" s="182">
        <v>0</v>
      </c>
      <c r="AB31" s="182">
        <v>0</v>
      </c>
      <c r="AC31" s="182">
        <v>0</v>
      </c>
      <c r="AD31" s="182">
        <v>0</v>
      </c>
      <c r="AF31" s="182">
        <v>0</v>
      </c>
      <c r="AG31" s="182">
        <v>0</v>
      </c>
      <c r="AH31" s="182">
        <v>0</v>
      </c>
    </row>
    <row r="32" spans="3:34" x14ac:dyDescent="0.4">
      <c r="C32" s="197" t="s">
        <v>166</v>
      </c>
      <c r="G32" s="182">
        <v>0</v>
      </c>
      <c r="H32" s="182">
        <v>0</v>
      </c>
      <c r="I32" s="182">
        <v>0</v>
      </c>
      <c r="J32" s="182">
        <v>0</v>
      </c>
      <c r="K32" s="182">
        <v>0</v>
      </c>
      <c r="L32" s="182">
        <v>0</v>
      </c>
      <c r="M32" s="182">
        <v>0</v>
      </c>
      <c r="N32" s="182">
        <v>0</v>
      </c>
      <c r="O32" s="182">
        <v>0</v>
      </c>
      <c r="P32" s="182">
        <v>0</v>
      </c>
      <c r="Q32" s="182">
        <v>0</v>
      </c>
      <c r="R32" s="182">
        <v>0</v>
      </c>
      <c r="S32" s="182">
        <v>0</v>
      </c>
      <c r="T32" s="182">
        <v>0</v>
      </c>
      <c r="U32" s="182">
        <v>0</v>
      </c>
      <c r="V32" s="182">
        <v>0</v>
      </c>
      <c r="W32" s="182">
        <v>0</v>
      </c>
      <c r="X32" s="182">
        <v>0</v>
      </c>
      <c r="Y32" s="182">
        <v>0</v>
      </c>
      <c r="Z32" s="182">
        <v>0</v>
      </c>
      <c r="AA32" s="182">
        <v>0</v>
      </c>
      <c r="AB32" s="182">
        <v>0</v>
      </c>
      <c r="AC32" s="182">
        <v>0</v>
      </c>
      <c r="AD32" s="182">
        <v>0</v>
      </c>
      <c r="AF32" s="182">
        <v>0</v>
      </c>
      <c r="AG32" s="182">
        <v>0</v>
      </c>
      <c r="AH32" s="182">
        <v>0</v>
      </c>
    </row>
    <row r="33" spans="3:34" x14ac:dyDescent="0.4">
      <c r="C33" s="197" t="s">
        <v>166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>
        <v>0</v>
      </c>
      <c r="M33" s="182">
        <v>0</v>
      </c>
      <c r="N33" s="182">
        <v>0</v>
      </c>
      <c r="O33" s="182">
        <v>0</v>
      </c>
      <c r="P33" s="182">
        <v>0</v>
      </c>
      <c r="Q33" s="182">
        <v>0</v>
      </c>
      <c r="R33" s="182">
        <v>0</v>
      </c>
      <c r="S33" s="182">
        <v>0</v>
      </c>
      <c r="T33" s="182">
        <v>0</v>
      </c>
      <c r="U33" s="182">
        <v>0</v>
      </c>
      <c r="V33" s="182">
        <v>0</v>
      </c>
      <c r="W33" s="182">
        <v>0</v>
      </c>
      <c r="X33" s="182">
        <v>0</v>
      </c>
      <c r="Y33" s="182">
        <v>0</v>
      </c>
      <c r="Z33" s="182">
        <v>0</v>
      </c>
      <c r="AA33" s="182">
        <v>0</v>
      </c>
      <c r="AB33" s="182">
        <v>0</v>
      </c>
      <c r="AC33" s="182">
        <v>0</v>
      </c>
      <c r="AD33" s="182">
        <v>0</v>
      </c>
      <c r="AF33" s="182">
        <v>0</v>
      </c>
      <c r="AG33" s="182">
        <v>0</v>
      </c>
      <c r="AH33" s="182">
        <v>0</v>
      </c>
    </row>
    <row r="34" spans="3:34" x14ac:dyDescent="0.4">
      <c r="C34" s="196" t="s">
        <v>115</v>
      </c>
      <c r="G34" s="182">
        <v>0</v>
      </c>
      <c r="H34" s="182">
        <v>0</v>
      </c>
      <c r="I34" s="182">
        <v>0</v>
      </c>
      <c r="J34" s="182">
        <v>0</v>
      </c>
      <c r="K34" s="182">
        <v>0</v>
      </c>
      <c r="L34" s="182">
        <v>0</v>
      </c>
      <c r="M34" s="182">
        <v>0</v>
      </c>
      <c r="N34" s="182">
        <v>0</v>
      </c>
      <c r="O34" s="182">
        <v>0</v>
      </c>
      <c r="P34" s="182">
        <v>0</v>
      </c>
      <c r="Q34" s="182">
        <v>0</v>
      </c>
      <c r="R34" s="182">
        <v>0</v>
      </c>
      <c r="S34" s="182">
        <v>0</v>
      </c>
      <c r="T34" s="182">
        <v>0</v>
      </c>
      <c r="U34" s="182">
        <v>0</v>
      </c>
      <c r="V34" s="182">
        <v>0</v>
      </c>
      <c r="W34" s="182">
        <v>0</v>
      </c>
      <c r="X34" s="182">
        <v>0</v>
      </c>
      <c r="Y34" s="182">
        <v>0</v>
      </c>
      <c r="Z34" s="182">
        <v>0</v>
      </c>
      <c r="AA34" s="182">
        <v>0</v>
      </c>
      <c r="AB34" s="182">
        <v>0</v>
      </c>
      <c r="AC34" s="182">
        <v>0</v>
      </c>
      <c r="AD34" s="182">
        <v>0</v>
      </c>
      <c r="AF34" s="182">
        <v>0</v>
      </c>
      <c r="AG34" s="182">
        <v>0</v>
      </c>
      <c r="AH34" s="182">
        <v>0</v>
      </c>
    </row>
    <row r="35" spans="3:34" x14ac:dyDescent="0.4">
      <c r="C35" s="196" t="s">
        <v>116</v>
      </c>
      <c r="G35" s="182">
        <v>0</v>
      </c>
      <c r="H35" s="182">
        <v>0</v>
      </c>
      <c r="I35" s="182">
        <v>0</v>
      </c>
      <c r="J35" s="182">
        <v>0</v>
      </c>
      <c r="K35" s="182">
        <v>0</v>
      </c>
      <c r="L35" s="182">
        <v>0</v>
      </c>
      <c r="M35" s="182">
        <v>0</v>
      </c>
      <c r="N35" s="182">
        <v>0</v>
      </c>
      <c r="O35" s="182">
        <v>0</v>
      </c>
      <c r="P35" s="182">
        <v>0</v>
      </c>
      <c r="Q35" s="182">
        <v>0</v>
      </c>
      <c r="R35" s="182">
        <v>0</v>
      </c>
      <c r="S35" s="182">
        <v>0</v>
      </c>
      <c r="T35" s="182">
        <v>0</v>
      </c>
      <c r="U35" s="182">
        <v>0</v>
      </c>
      <c r="V35" s="182">
        <v>0</v>
      </c>
      <c r="W35" s="182">
        <v>0</v>
      </c>
      <c r="X35" s="182">
        <v>0</v>
      </c>
      <c r="Y35" s="182">
        <v>0</v>
      </c>
      <c r="Z35" s="182">
        <v>0</v>
      </c>
      <c r="AA35" s="182">
        <v>0</v>
      </c>
      <c r="AB35" s="182">
        <v>0</v>
      </c>
      <c r="AC35" s="182">
        <v>0</v>
      </c>
      <c r="AD35" s="182">
        <v>0</v>
      </c>
      <c r="AF35" s="182">
        <v>0</v>
      </c>
      <c r="AG35" s="182">
        <v>0</v>
      </c>
      <c r="AH35" s="182">
        <v>0</v>
      </c>
    </row>
    <row r="36" spans="3:34" x14ac:dyDescent="0.4">
      <c r="C36" s="196" t="s">
        <v>167</v>
      </c>
      <c r="G36" s="182">
        <v>0</v>
      </c>
      <c r="H36" s="182">
        <v>0</v>
      </c>
      <c r="I36" s="182">
        <v>0</v>
      </c>
      <c r="J36" s="182"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82">
        <v>0</v>
      </c>
      <c r="W36" s="182">
        <v>0</v>
      </c>
      <c r="X36" s="182">
        <v>0</v>
      </c>
      <c r="Y36" s="182">
        <v>0</v>
      </c>
      <c r="Z36" s="182">
        <v>0</v>
      </c>
      <c r="AA36" s="182">
        <v>0</v>
      </c>
      <c r="AB36" s="182">
        <v>0</v>
      </c>
      <c r="AC36" s="182">
        <v>0</v>
      </c>
      <c r="AD36" s="182">
        <v>0</v>
      </c>
      <c r="AF36" s="182">
        <v>0</v>
      </c>
      <c r="AG36" s="182">
        <v>0</v>
      </c>
      <c r="AH36" s="182">
        <v>0</v>
      </c>
    </row>
    <row r="37" spans="3:34" x14ac:dyDescent="0.4">
      <c r="C37" s="198" t="s">
        <v>168</v>
      </c>
      <c r="D37" s="2"/>
      <c r="E37" s="2"/>
      <c r="G37" s="18">
        <f>++G25-SUM(G29:G36)</f>
        <v>0</v>
      </c>
      <c r="H37" s="18">
        <f t="shared" ref="H37" si="70">++H25-SUM(H29:H36)</f>
        <v>0</v>
      </c>
      <c r="I37" s="18">
        <f t="shared" ref="I37" si="71">++I25-SUM(I29:I36)</f>
        <v>0</v>
      </c>
      <c r="J37" s="18">
        <f t="shared" ref="J37:V37" si="72">++J25-SUM(J29:J36)</f>
        <v>0</v>
      </c>
      <c r="K37" s="18">
        <f t="shared" si="72"/>
        <v>0</v>
      </c>
      <c r="L37" s="18">
        <f t="shared" si="72"/>
        <v>0</v>
      </c>
      <c r="M37" s="18">
        <f t="shared" si="72"/>
        <v>0</v>
      </c>
      <c r="N37" s="18">
        <f t="shared" si="72"/>
        <v>0</v>
      </c>
      <c r="O37" s="18">
        <f t="shared" si="72"/>
        <v>0</v>
      </c>
      <c r="P37" s="18">
        <f t="shared" si="72"/>
        <v>0</v>
      </c>
      <c r="Q37" s="18">
        <f t="shared" si="72"/>
        <v>0</v>
      </c>
      <c r="R37" s="18">
        <f t="shared" si="72"/>
        <v>0</v>
      </c>
      <c r="S37" s="18">
        <f t="shared" si="72"/>
        <v>0</v>
      </c>
      <c r="T37" s="18">
        <f t="shared" si="72"/>
        <v>0</v>
      </c>
      <c r="U37" s="18">
        <f t="shared" si="72"/>
        <v>0</v>
      </c>
      <c r="V37" s="18">
        <f t="shared" si="72"/>
        <v>0</v>
      </c>
      <c r="W37" s="18">
        <f t="shared" ref="W37" si="73">++W25-SUM(W29:W36)</f>
        <v>0</v>
      </c>
      <c r="X37" s="18">
        <f t="shared" ref="X37" si="74">++X25-SUM(X29:X36)</f>
        <v>0</v>
      </c>
      <c r="Y37" s="18">
        <f t="shared" ref="Y37" si="75">++Y25-SUM(Y29:Y36)</f>
        <v>0</v>
      </c>
      <c r="Z37" s="18">
        <f t="shared" ref="Z37" si="76">++Z25-SUM(Z29:Z36)</f>
        <v>0</v>
      </c>
      <c r="AA37" s="18">
        <f t="shared" ref="AA37" si="77">++AA25-SUM(AA29:AA36)</f>
        <v>0</v>
      </c>
      <c r="AB37" s="18">
        <f t="shared" ref="AB37" si="78">++AB25-SUM(AB29:AB36)</f>
        <v>0</v>
      </c>
      <c r="AC37" s="18">
        <f t="shared" ref="AC37" si="79">++AC25-SUM(AC29:AC36)</f>
        <v>0</v>
      </c>
      <c r="AD37" s="18">
        <f t="shared" ref="AD37:AF37" si="80">++AD25-SUM(AD29:AD36)</f>
        <v>0</v>
      </c>
      <c r="AF37" s="18">
        <f t="shared" si="80"/>
        <v>0</v>
      </c>
      <c r="AG37" s="18">
        <f t="shared" ref="AG37" si="81">++AG25-SUM(AG29:AG36)</f>
        <v>0</v>
      </c>
      <c r="AH37" s="18">
        <f t="shared" ref="AH37" si="82">++AH25-SUM(AH29:AH36)</f>
        <v>0</v>
      </c>
    </row>
    <row r="38" spans="3:34" x14ac:dyDescent="0.4">
      <c r="C38" s="199" t="s">
        <v>106</v>
      </c>
      <c r="G38" s="19">
        <f t="shared" ref="G38:AH38" si="83">++IFERROR(G37/G16,0)</f>
        <v>0</v>
      </c>
      <c r="H38" s="19">
        <f t="shared" si="83"/>
        <v>0</v>
      </c>
      <c r="I38" s="19">
        <f t="shared" si="83"/>
        <v>0</v>
      </c>
      <c r="J38" s="19">
        <f t="shared" si="83"/>
        <v>0</v>
      </c>
      <c r="K38" s="19">
        <f t="shared" ref="K38:V38" si="84">++IFERROR(K37/K16,0)</f>
        <v>0</v>
      </c>
      <c r="L38" s="19">
        <f t="shared" si="84"/>
        <v>0</v>
      </c>
      <c r="M38" s="19">
        <f t="shared" si="84"/>
        <v>0</v>
      </c>
      <c r="N38" s="19">
        <f t="shared" si="84"/>
        <v>0</v>
      </c>
      <c r="O38" s="19">
        <f t="shared" si="84"/>
        <v>0</v>
      </c>
      <c r="P38" s="19">
        <f t="shared" si="84"/>
        <v>0</v>
      </c>
      <c r="Q38" s="19">
        <f t="shared" si="84"/>
        <v>0</v>
      </c>
      <c r="R38" s="19">
        <f t="shared" si="84"/>
        <v>0</v>
      </c>
      <c r="S38" s="19">
        <f t="shared" si="84"/>
        <v>0</v>
      </c>
      <c r="T38" s="19">
        <f t="shared" si="84"/>
        <v>0</v>
      </c>
      <c r="U38" s="19">
        <f t="shared" si="84"/>
        <v>0</v>
      </c>
      <c r="V38" s="19">
        <f t="shared" si="84"/>
        <v>0</v>
      </c>
      <c r="W38" s="19">
        <f t="shared" si="83"/>
        <v>0</v>
      </c>
      <c r="X38" s="19">
        <f t="shared" si="83"/>
        <v>0</v>
      </c>
      <c r="Y38" s="19">
        <f t="shared" si="83"/>
        <v>0</v>
      </c>
      <c r="Z38" s="19">
        <f t="shared" si="83"/>
        <v>0</v>
      </c>
      <c r="AA38" s="19">
        <f t="shared" si="83"/>
        <v>0</v>
      </c>
      <c r="AB38" s="19">
        <f t="shared" si="83"/>
        <v>0</v>
      </c>
      <c r="AC38" s="19">
        <f t="shared" si="83"/>
        <v>0</v>
      </c>
      <c r="AD38" s="19">
        <f t="shared" si="83"/>
        <v>0</v>
      </c>
      <c r="AF38" s="19">
        <f t="shared" ref="AF38" si="85">++IFERROR(AF37/AF16,0)</f>
        <v>0</v>
      </c>
      <c r="AG38" s="19">
        <f t="shared" si="83"/>
        <v>0</v>
      </c>
      <c r="AH38" s="19">
        <f t="shared" si="83"/>
        <v>0</v>
      </c>
    </row>
    <row r="39" spans="3:34" x14ac:dyDescent="0.4">
      <c r="C39" s="199" t="s">
        <v>104</v>
      </c>
      <c r="G39" s="177" t="s">
        <v>52</v>
      </c>
      <c r="H39" s="177" t="s">
        <v>52</v>
      </c>
      <c r="I39" s="177" t="s">
        <v>52</v>
      </c>
      <c r="J39" s="177" t="s">
        <v>52</v>
      </c>
      <c r="K39" s="19">
        <f t="shared" ref="K39" si="86">++IFERROR(K37/G37-1,0)</f>
        <v>0</v>
      </c>
      <c r="L39" s="19">
        <f t="shared" ref="L39" si="87">++IFERROR(L37/H37-1,0)</f>
        <v>0</v>
      </c>
      <c r="M39" s="19">
        <f t="shared" ref="M39" si="88">++IFERROR(M37/I37-1,0)</f>
        <v>0</v>
      </c>
      <c r="N39" s="19">
        <f t="shared" ref="N39" si="89">++IFERROR(N37/J37-1,0)</f>
        <v>0</v>
      </c>
      <c r="O39" s="19">
        <f t="shared" ref="O39" si="90">++IFERROR(O37/K37-1,0)</f>
        <v>0</v>
      </c>
      <c r="P39" s="19">
        <f t="shared" ref="P39" si="91">++IFERROR(P37/L37-1,0)</f>
        <v>0</v>
      </c>
      <c r="Q39" s="19">
        <f t="shared" ref="Q39" si="92">++IFERROR(Q37/M37-1,0)</f>
        <v>0</v>
      </c>
      <c r="R39" s="19">
        <f t="shared" ref="R39" si="93">++IFERROR(R37/N37-1,0)</f>
        <v>0</v>
      </c>
      <c r="S39" s="19">
        <f t="shared" ref="S39" si="94">++IFERROR(S37/O37-1,0)</f>
        <v>0</v>
      </c>
      <c r="T39" s="19">
        <f t="shared" ref="T39" si="95">++IFERROR(T37/P37-1,0)</f>
        <v>0</v>
      </c>
      <c r="U39" s="19">
        <f t="shared" ref="U39" si="96">++IFERROR(U37/Q37-1,0)</f>
        <v>0</v>
      </c>
      <c r="V39" s="19">
        <f t="shared" ref="V39" si="97">++IFERROR(V37/R37-1,0)</f>
        <v>0</v>
      </c>
      <c r="W39" s="19">
        <f t="shared" ref="W39:AD39" si="98">++IFERROR(W37/S37-1,0)</f>
        <v>0</v>
      </c>
      <c r="X39" s="19">
        <f t="shared" si="98"/>
        <v>0</v>
      </c>
      <c r="Y39" s="19">
        <f t="shared" si="98"/>
        <v>0</v>
      </c>
      <c r="Z39" s="19">
        <f t="shared" si="98"/>
        <v>0</v>
      </c>
      <c r="AA39" s="19">
        <f t="shared" si="98"/>
        <v>0</v>
      </c>
      <c r="AB39" s="19">
        <f t="shared" si="98"/>
        <v>0</v>
      </c>
      <c r="AC39" s="19">
        <f t="shared" si="98"/>
        <v>0</v>
      </c>
      <c r="AD39" s="19">
        <f t="shared" si="98"/>
        <v>0</v>
      </c>
      <c r="AF39" s="177" t="s">
        <v>52</v>
      </c>
      <c r="AG39" s="19">
        <f>++IFERROR(AG37/AF37-1,0)</f>
        <v>0</v>
      </c>
      <c r="AH39" s="19">
        <f>++IFERROR(AH37/AG37-1,0)</f>
        <v>0</v>
      </c>
    </row>
    <row r="40" spans="3:34" x14ac:dyDescent="0.4">
      <c r="C40" s="196"/>
    </row>
    <row r="41" spans="3:34" x14ac:dyDescent="0.4">
      <c r="C41" s="196" t="s">
        <v>114</v>
      </c>
      <c r="G41" s="182">
        <v>0</v>
      </c>
      <c r="H41" s="182">
        <v>0</v>
      </c>
      <c r="I41" s="182"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82">
        <v>0</v>
      </c>
      <c r="W41" s="182">
        <v>0</v>
      </c>
      <c r="X41" s="182">
        <v>0</v>
      </c>
      <c r="Y41" s="182">
        <v>0</v>
      </c>
      <c r="Z41" s="182">
        <v>0</v>
      </c>
      <c r="AA41" s="182">
        <v>0</v>
      </c>
      <c r="AB41" s="182">
        <v>0</v>
      </c>
      <c r="AC41" s="182">
        <v>0</v>
      </c>
      <c r="AD41" s="182">
        <v>0</v>
      </c>
      <c r="AF41" s="182">
        <v>0</v>
      </c>
      <c r="AG41" s="182">
        <v>0</v>
      </c>
      <c r="AH41" s="182">
        <v>0</v>
      </c>
    </row>
    <row r="42" spans="3:34" x14ac:dyDescent="0.4">
      <c r="C42" s="196" t="s">
        <v>94</v>
      </c>
      <c r="G42" s="182">
        <v>0</v>
      </c>
      <c r="H42" s="182">
        <v>0</v>
      </c>
      <c r="I42" s="182"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82">
        <v>0</v>
      </c>
      <c r="W42" s="182">
        <v>0</v>
      </c>
      <c r="X42" s="182">
        <v>0</v>
      </c>
      <c r="Y42" s="182">
        <v>0</v>
      </c>
      <c r="Z42" s="182">
        <v>0</v>
      </c>
      <c r="AA42" s="182">
        <v>0</v>
      </c>
      <c r="AB42" s="182">
        <v>0</v>
      </c>
      <c r="AC42" s="182">
        <v>0</v>
      </c>
      <c r="AD42" s="182">
        <v>0</v>
      </c>
      <c r="AF42" s="182">
        <v>0</v>
      </c>
      <c r="AG42" s="182">
        <v>0</v>
      </c>
      <c r="AH42" s="182">
        <v>0</v>
      </c>
    </row>
    <row r="43" spans="3:34" x14ac:dyDescent="0.4">
      <c r="C43" s="198" t="s">
        <v>169</v>
      </c>
      <c r="D43" s="2"/>
      <c r="E43" s="2"/>
      <c r="G43" s="18">
        <f>++G37-SUM(G41:G42)</f>
        <v>0</v>
      </c>
      <c r="H43" s="18">
        <f t="shared" ref="H43" si="99">++H37-SUM(H41:H42)</f>
        <v>0</v>
      </c>
      <c r="I43" s="18">
        <f t="shared" ref="I43" si="100">++I37-SUM(I41:I42)</f>
        <v>0</v>
      </c>
      <c r="J43" s="18">
        <f t="shared" ref="J43:V43" si="101">++J37-SUM(J41:J42)</f>
        <v>0</v>
      </c>
      <c r="K43" s="18">
        <f t="shared" si="101"/>
        <v>0</v>
      </c>
      <c r="L43" s="18">
        <f t="shared" si="101"/>
        <v>0</v>
      </c>
      <c r="M43" s="18">
        <f t="shared" si="101"/>
        <v>0</v>
      </c>
      <c r="N43" s="18">
        <f t="shared" si="101"/>
        <v>0</v>
      </c>
      <c r="O43" s="18">
        <f t="shared" si="101"/>
        <v>0</v>
      </c>
      <c r="P43" s="18">
        <f t="shared" si="101"/>
        <v>0</v>
      </c>
      <c r="Q43" s="18">
        <f t="shared" si="101"/>
        <v>0</v>
      </c>
      <c r="R43" s="18">
        <f t="shared" si="101"/>
        <v>0</v>
      </c>
      <c r="S43" s="18">
        <f t="shared" si="101"/>
        <v>0</v>
      </c>
      <c r="T43" s="18">
        <f t="shared" si="101"/>
        <v>0</v>
      </c>
      <c r="U43" s="18">
        <f t="shared" si="101"/>
        <v>0</v>
      </c>
      <c r="V43" s="18">
        <f t="shared" si="101"/>
        <v>0</v>
      </c>
      <c r="W43" s="18">
        <f t="shared" ref="W43" si="102">++W37-SUM(W41:W42)</f>
        <v>0</v>
      </c>
      <c r="X43" s="18">
        <f t="shared" ref="X43" si="103">++X37-SUM(X41:X42)</f>
        <v>0</v>
      </c>
      <c r="Y43" s="18">
        <f t="shared" ref="Y43" si="104">++Y37-SUM(Y41:Y42)</f>
        <v>0</v>
      </c>
      <c r="Z43" s="18">
        <f t="shared" ref="Z43" si="105">++Z37-SUM(Z41:Z42)</f>
        <v>0</v>
      </c>
      <c r="AA43" s="18">
        <f t="shared" ref="AA43" si="106">++AA37-SUM(AA41:AA42)</f>
        <v>0</v>
      </c>
      <c r="AB43" s="18">
        <f t="shared" ref="AB43" si="107">++AB37-SUM(AB41:AB42)</f>
        <v>0</v>
      </c>
      <c r="AC43" s="18">
        <f t="shared" ref="AC43" si="108">++AC37-SUM(AC41:AC42)</f>
        <v>0</v>
      </c>
      <c r="AD43" s="18">
        <f t="shared" ref="AD43:AF43" si="109">++AD37-SUM(AD41:AD42)</f>
        <v>0</v>
      </c>
      <c r="AF43" s="18">
        <f t="shared" si="109"/>
        <v>0</v>
      </c>
      <c r="AG43" s="18">
        <f t="shared" ref="AG43" si="110">++AG37-SUM(AG41:AG42)</f>
        <v>0</v>
      </c>
      <c r="AH43" s="18">
        <f t="shared" ref="AH43" si="111">++AH37-SUM(AH41:AH42)</f>
        <v>0</v>
      </c>
    </row>
    <row r="44" spans="3:34" x14ac:dyDescent="0.4">
      <c r="C44" s="199" t="s">
        <v>106</v>
      </c>
      <c r="G44" s="19">
        <f t="shared" ref="G44:AH44" si="112">++IFERROR(G43/G16,0)</f>
        <v>0</v>
      </c>
      <c r="H44" s="19">
        <f t="shared" si="112"/>
        <v>0</v>
      </c>
      <c r="I44" s="19">
        <f t="shared" si="112"/>
        <v>0</v>
      </c>
      <c r="J44" s="19">
        <f t="shared" si="112"/>
        <v>0</v>
      </c>
      <c r="K44" s="19">
        <f t="shared" ref="K44:V44" si="113">++IFERROR(K43/K16,0)</f>
        <v>0</v>
      </c>
      <c r="L44" s="19">
        <f t="shared" si="113"/>
        <v>0</v>
      </c>
      <c r="M44" s="19">
        <f t="shared" si="113"/>
        <v>0</v>
      </c>
      <c r="N44" s="19">
        <f t="shared" si="113"/>
        <v>0</v>
      </c>
      <c r="O44" s="19">
        <f t="shared" si="113"/>
        <v>0</v>
      </c>
      <c r="P44" s="19">
        <f t="shared" si="113"/>
        <v>0</v>
      </c>
      <c r="Q44" s="19">
        <f t="shared" si="113"/>
        <v>0</v>
      </c>
      <c r="R44" s="19">
        <f t="shared" si="113"/>
        <v>0</v>
      </c>
      <c r="S44" s="19">
        <f t="shared" si="113"/>
        <v>0</v>
      </c>
      <c r="T44" s="19">
        <f t="shared" si="113"/>
        <v>0</v>
      </c>
      <c r="U44" s="19">
        <f t="shared" si="113"/>
        <v>0</v>
      </c>
      <c r="V44" s="19">
        <f t="shared" si="113"/>
        <v>0</v>
      </c>
      <c r="W44" s="19">
        <f t="shared" si="112"/>
        <v>0</v>
      </c>
      <c r="X44" s="19">
        <f t="shared" si="112"/>
        <v>0</v>
      </c>
      <c r="Y44" s="19">
        <f t="shared" si="112"/>
        <v>0</v>
      </c>
      <c r="Z44" s="19">
        <f t="shared" si="112"/>
        <v>0</v>
      </c>
      <c r="AA44" s="19">
        <f t="shared" si="112"/>
        <v>0</v>
      </c>
      <c r="AB44" s="19">
        <f t="shared" si="112"/>
        <v>0</v>
      </c>
      <c r="AC44" s="19">
        <f t="shared" si="112"/>
        <v>0</v>
      </c>
      <c r="AD44" s="19">
        <f t="shared" si="112"/>
        <v>0</v>
      </c>
      <c r="AF44" s="19">
        <f t="shared" ref="AF44" si="114">++IFERROR(AF43/AF16,0)</f>
        <v>0</v>
      </c>
      <c r="AG44" s="19">
        <f t="shared" si="112"/>
        <v>0</v>
      </c>
      <c r="AH44" s="19">
        <f t="shared" si="112"/>
        <v>0</v>
      </c>
    </row>
    <row r="45" spans="3:34" x14ac:dyDescent="0.4">
      <c r="C45" s="199" t="s">
        <v>104</v>
      </c>
      <c r="G45" s="177" t="s">
        <v>52</v>
      </c>
      <c r="H45" s="177" t="s">
        <v>52</v>
      </c>
      <c r="I45" s="177" t="s">
        <v>52</v>
      </c>
      <c r="J45" s="177" t="s">
        <v>52</v>
      </c>
      <c r="K45" s="19">
        <f t="shared" ref="K45" si="115">++IFERROR(K43/G43-1,0)</f>
        <v>0</v>
      </c>
      <c r="L45" s="19">
        <f t="shared" ref="L45" si="116">++IFERROR(L43/H43-1,0)</f>
        <v>0</v>
      </c>
      <c r="M45" s="19">
        <f t="shared" ref="M45" si="117">++IFERROR(M43/I43-1,0)</f>
        <v>0</v>
      </c>
      <c r="N45" s="19">
        <f t="shared" ref="N45" si="118">++IFERROR(N43/J43-1,0)</f>
        <v>0</v>
      </c>
      <c r="O45" s="19">
        <f t="shared" ref="O45" si="119">++IFERROR(O43/K43-1,0)</f>
        <v>0</v>
      </c>
      <c r="P45" s="19">
        <f t="shared" ref="P45" si="120">++IFERROR(P43/L43-1,0)</f>
        <v>0</v>
      </c>
      <c r="Q45" s="19">
        <f t="shared" ref="Q45" si="121">++IFERROR(Q43/M43-1,0)</f>
        <v>0</v>
      </c>
      <c r="R45" s="19">
        <f t="shared" ref="R45" si="122">++IFERROR(R43/N43-1,0)</f>
        <v>0</v>
      </c>
      <c r="S45" s="19">
        <f t="shared" ref="S45" si="123">++IFERROR(S43/O43-1,0)</f>
        <v>0</v>
      </c>
      <c r="T45" s="19">
        <f t="shared" ref="T45" si="124">++IFERROR(T43/P43-1,0)</f>
        <v>0</v>
      </c>
      <c r="U45" s="19">
        <f t="shared" ref="U45" si="125">++IFERROR(U43/Q43-1,0)</f>
        <v>0</v>
      </c>
      <c r="V45" s="19">
        <f t="shared" ref="V45" si="126">++IFERROR(V43/R43-1,0)</f>
        <v>0</v>
      </c>
      <c r="W45" s="19">
        <f t="shared" ref="W45:AD45" si="127">++IFERROR(W43/S43-1,0)</f>
        <v>0</v>
      </c>
      <c r="X45" s="19">
        <f t="shared" si="127"/>
        <v>0</v>
      </c>
      <c r="Y45" s="19">
        <f t="shared" si="127"/>
        <v>0</v>
      </c>
      <c r="Z45" s="19">
        <f t="shared" si="127"/>
        <v>0</v>
      </c>
      <c r="AA45" s="19">
        <f t="shared" si="127"/>
        <v>0</v>
      </c>
      <c r="AB45" s="19">
        <f t="shared" si="127"/>
        <v>0</v>
      </c>
      <c r="AC45" s="19">
        <f t="shared" si="127"/>
        <v>0</v>
      </c>
      <c r="AD45" s="19">
        <f t="shared" si="127"/>
        <v>0</v>
      </c>
      <c r="AF45" s="177" t="s">
        <v>52</v>
      </c>
      <c r="AG45" s="19">
        <f>++IFERROR(AG43/AF43-1,0)</f>
        <v>0</v>
      </c>
      <c r="AH45" s="19">
        <f>++IFERROR(AH43/AG43-1,0)</f>
        <v>0</v>
      </c>
    </row>
    <row r="46" spans="3:34" x14ac:dyDescent="0.4">
      <c r="C46" s="196"/>
    </row>
    <row r="47" spans="3:34" x14ac:dyDescent="0.4">
      <c r="C47" s="196" t="s">
        <v>113</v>
      </c>
      <c r="G47" s="182">
        <v>0</v>
      </c>
      <c r="H47" s="182">
        <v>0</v>
      </c>
      <c r="I47" s="182">
        <v>0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0</v>
      </c>
      <c r="V47" s="182">
        <v>0</v>
      </c>
      <c r="W47" s="182">
        <v>0</v>
      </c>
      <c r="X47" s="182">
        <v>0</v>
      </c>
      <c r="Y47" s="182">
        <v>0</v>
      </c>
      <c r="Z47" s="182">
        <v>0</v>
      </c>
      <c r="AA47" s="182">
        <v>0</v>
      </c>
      <c r="AB47" s="182">
        <v>0</v>
      </c>
      <c r="AC47" s="182">
        <v>0</v>
      </c>
      <c r="AD47" s="182">
        <v>0</v>
      </c>
      <c r="AF47" s="182">
        <v>0</v>
      </c>
      <c r="AG47" s="182">
        <v>0</v>
      </c>
      <c r="AH47" s="182">
        <v>0</v>
      </c>
    </row>
    <row r="48" spans="3:34" x14ac:dyDescent="0.4">
      <c r="C48" s="199" t="s">
        <v>170</v>
      </c>
      <c r="G48" s="19">
        <f>++IFERROR(G47/G43,0)</f>
        <v>0</v>
      </c>
      <c r="H48" s="19">
        <f t="shared" ref="H48" si="128">++IFERROR(H47/H43,0)</f>
        <v>0</v>
      </c>
      <c r="I48" s="19">
        <f t="shared" ref="I48" si="129">++IFERROR(I47/I43,0)</f>
        <v>0</v>
      </c>
      <c r="J48" s="19">
        <f t="shared" ref="J48:V48" si="130">++IFERROR(J47/J43,0)</f>
        <v>0</v>
      </c>
      <c r="K48" s="19">
        <f t="shared" si="130"/>
        <v>0</v>
      </c>
      <c r="L48" s="19">
        <f t="shared" si="130"/>
        <v>0</v>
      </c>
      <c r="M48" s="19">
        <f t="shared" si="130"/>
        <v>0</v>
      </c>
      <c r="N48" s="19">
        <f t="shared" si="130"/>
        <v>0</v>
      </c>
      <c r="O48" s="19">
        <f t="shared" si="130"/>
        <v>0</v>
      </c>
      <c r="P48" s="19">
        <f t="shared" si="130"/>
        <v>0</v>
      </c>
      <c r="Q48" s="19">
        <f t="shared" si="130"/>
        <v>0</v>
      </c>
      <c r="R48" s="19">
        <f t="shared" si="130"/>
        <v>0</v>
      </c>
      <c r="S48" s="19">
        <f t="shared" si="130"/>
        <v>0</v>
      </c>
      <c r="T48" s="19">
        <f t="shared" si="130"/>
        <v>0</v>
      </c>
      <c r="U48" s="19">
        <f t="shared" si="130"/>
        <v>0</v>
      </c>
      <c r="V48" s="19">
        <f t="shared" si="130"/>
        <v>0</v>
      </c>
      <c r="W48" s="19">
        <f t="shared" ref="W48" si="131">++IFERROR(W47/W43,0)</f>
        <v>0</v>
      </c>
      <c r="X48" s="19">
        <f t="shared" ref="X48" si="132">++IFERROR(X47/X43,0)</f>
        <v>0</v>
      </c>
      <c r="Y48" s="19">
        <f t="shared" ref="Y48" si="133">++IFERROR(Y47/Y43,0)</f>
        <v>0</v>
      </c>
      <c r="Z48" s="19">
        <f t="shared" ref="Z48" si="134">++IFERROR(Z47/Z43,0)</f>
        <v>0</v>
      </c>
      <c r="AA48" s="19">
        <f t="shared" ref="AA48" si="135">++IFERROR(AA47/AA43,0)</f>
        <v>0</v>
      </c>
      <c r="AB48" s="19">
        <f t="shared" ref="AB48" si="136">++IFERROR(AB47/AB43,0)</f>
        <v>0</v>
      </c>
      <c r="AC48" s="19">
        <f t="shared" ref="AC48" si="137">++IFERROR(AC47/AC43,0)</f>
        <v>0</v>
      </c>
      <c r="AD48" s="19">
        <f t="shared" ref="AD48:AF48" si="138">++IFERROR(AD47/AD43,0)</f>
        <v>0</v>
      </c>
      <c r="AF48" s="19">
        <f t="shared" si="138"/>
        <v>0</v>
      </c>
      <c r="AG48" s="19">
        <f t="shared" ref="AG48" si="139">++IFERROR(AG47/AG43,0)</f>
        <v>0</v>
      </c>
      <c r="AH48" s="19">
        <f t="shared" ref="AH48" si="140">++IFERROR(AH47/AH43,0)</f>
        <v>0</v>
      </c>
    </row>
    <row r="49" spans="3:34" x14ac:dyDescent="0.4">
      <c r="C49" s="196"/>
    </row>
    <row r="50" spans="3:34" ht="13.5" thickBot="1" x14ac:dyDescent="0.45">
      <c r="C50" s="200" t="s">
        <v>171</v>
      </c>
      <c r="D50" s="174"/>
      <c r="E50" s="174"/>
      <c r="G50" s="178">
        <f>++G43-G47</f>
        <v>0</v>
      </c>
      <c r="H50" s="178">
        <f t="shared" ref="H50:AH50" si="141">++H43-H47</f>
        <v>0</v>
      </c>
      <c r="I50" s="178">
        <f t="shared" si="141"/>
        <v>0</v>
      </c>
      <c r="J50" s="178">
        <f t="shared" si="141"/>
        <v>0</v>
      </c>
      <c r="K50" s="178">
        <f t="shared" ref="K50:V50" si="142">++K43-K47</f>
        <v>0</v>
      </c>
      <c r="L50" s="178">
        <f t="shared" si="142"/>
        <v>0</v>
      </c>
      <c r="M50" s="178">
        <f t="shared" si="142"/>
        <v>0</v>
      </c>
      <c r="N50" s="178">
        <f t="shared" si="142"/>
        <v>0</v>
      </c>
      <c r="O50" s="178">
        <f t="shared" si="142"/>
        <v>0</v>
      </c>
      <c r="P50" s="178">
        <f t="shared" si="142"/>
        <v>0</v>
      </c>
      <c r="Q50" s="178">
        <f t="shared" si="142"/>
        <v>0</v>
      </c>
      <c r="R50" s="178">
        <f t="shared" si="142"/>
        <v>0</v>
      </c>
      <c r="S50" s="178">
        <f t="shared" si="142"/>
        <v>0</v>
      </c>
      <c r="T50" s="178">
        <f t="shared" si="142"/>
        <v>0</v>
      </c>
      <c r="U50" s="178">
        <f t="shared" si="142"/>
        <v>0</v>
      </c>
      <c r="V50" s="178">
        <f t="shared" si="142"/>
        <v>0</v>
      </c>
      <c r="W50" s="178">
        <f t="shared" si="141"/>
        <v>0</v>
      </c>
      <c r="X50" s="178">
        <f t="shared" si="141"/>
        <v>0</v>
      </c>
      <c r="Y50" s="178">
        <f t="shared" si="141"/>
        <v>0</v>
      </c>
      <c r="Z50" s="178">
        <f t="shared" si="141"/>
        <v>0</v>
      </c>
      <c r="AA50" s="178">
        <f t="shared" si="141"/>
        <v>0</v>
      </c>
      <c r="AB50" s="178">
        <f t="shared" si="141"/>
        <v>0</v>
      </c>
      <c r="AC50" s="178">
        <f t="shared" si="141"/>
        <v>0</v>
      </c>
      <c r="AD50" s="178">
        <f t="shared" si="141"/>
        <v>0</v>
      </c>
      <c r="AF50" s="178">
        <f t="shared" ref="AF50" si="143">++AF43-AF47</f>
        <v>0</v>
      </c>
      <c r="AG50" s="178">
        <f t="shared" si="141"/>
        <v>0</v>
      </c>
      <c r="AH50" s="178">
        <f t="shared" si="141"/>
        <v>0</v>
      </c>
    </row>
    <row r="51" spans="3:34" ht="13.5" thickTop="1" x14ac:dyDescent="0.4">
      <c r="C51" s="199" t="s">
        <v>106</v>
      </c>
      <c r="G51" s="19">
        <f t="shared" ref="G51:AH51" si="144">++IFERROR(G50/G16,0)</f>
        <v>0</v>
      </c>
      <c r="H51" s="19">
        <f t="shared" si="144"/>
        <v>0</v>
      </c>
      <c r="I51" s="19">
        <f t="shared" si="144"/>
        <v>0</v>
      </c>
      <c r="J51" s="19">
        <f t="shared" si="144"/>
        <v>0</v>
      </c>
      <c r="K51" s="19">
        <f t="shared" ref="K51:V51" si="145">++IFERROR(K50/K16,0)</f>
        <v>0</v>
      </c>
      <c r="L51" s="19">
        <f t="shared" si="145"/>
        <v>0</v>
      </c>
      <c r="M51" s="19">
        <f t="shared" si="145"/>
        <v>0</v>
      </c>
      <c r="N51" s="19">
        <f t="shared" si="145"/>
        <v>0</v>
      </c>
      <c r="O51" s="19">
        <f t="shared" si="145"/>
        <v>0</v>
      </c>
      <c r="P51" s="19">
        <f t="shared" si="145"/>
        <v>0</v>
      </c>
      <c r="Q51" s="19">
        <f t="shared" si="145"/>
        <v>0</v>
      </c>
      <c r="R51" s="19">
        <f t="shared" si="145"/>
        <v>0</v>
      </c>
      <c r="S51" s="19">
        <f t="shared" si="145"/>
        <v>0</v>
      </c>
      <c r="T51" s="19">
        <f t="shared" si="145"/>
        <v>0</v>
      </c>
      <c r="U51" s="19">
        <f t="shared" si="145"/>
        <v>0</v>
      </c>
      <c r="V51" s="19">
        <f t="shared" si="145"/>
        <v>0</v>
      </c>
      <c r="W51" s="19">
        <f t="shared" si="144"/>
        <v>0</v>
      </c>
      <c r="X51" s="19">
        <f t="shared" si="144"/>
        <v>0</v>
      </c>
      <c r="Y51" s="19">
        <f t="shared" si="144"/>
        <v>0</v>
      </c>
      <c r="Z51" s="19">
        <f t="shared" si="144"/>
        <v>0</v>
      </c>
      <c r="AA51" s="19">
        <f t="shared" si="144"/>
        <v>0</v>
      </c>
      <c r="AB51" s="19">
        <f t="shared" si="144"/>
        <v>0</v>
      </c>
      <c r="AC51" s="19">
        <f t="shared" si="144"/>
        <v>0</v>
      </c>
      <c r="AD51" s="19">
        <f t="shared" si="144"/>
        <v>0</v>
      </c>
      <c r="AF51" s="19">
        <f t="shared" ref="AF51" si="146">++IFERROR(AF50/AF16,0)</f>
        <v>0</v>
      </c>
      <c r="AG51" s="19">
        <f t="shared" si="144"/>
        <v>0</v>
      </c>
      <c r="AH51" s="19">
        <f t="shared" si="144"/>
        <v>0</v>
      </c>
    </row>
    <row r="52" spans="3:34" x14ac:dyDescent="0.4">
      <c r="C52" s="199" t="s">
        <v>104</v>
      </c>
      <c r="G52" s="177" t="s">
        <v>52</v>
      </c>
      <c r="H52" s="177" t="s">
        <v>52</v>
      </c>
      <c r="I52" s="177" t="s">
        <v>52</v>
      </c>
      <c r="J52" s="177" t="s">
        <v>52</v>
      </c>
      <c r="K52" s="19">
        <f t="shared" ref="K52" si="147">++IFERROR(K50/G50-1,0)</f>
        <v>0</v>
      </c>
      <c r="L52" s="19">
        <f t="shared" ref="L52" si="148">++IFERROR(L50/H50-1,0)</f>
        <v>0</v>
      </c>
      <c r="M52" s="19">
        <f t="shared" ref="M52" si="149">++IFERROR(M50/I50-1,0)</f>
        <v>0</v>
      </c>
      <c r="N52" s="19">
        <f t="shared" ref="N52" si="150">++IFERROR(N50/J50-1,0)</f>
        <v>0</v>
      </c>
      <c r="O52" s="19">
        <f t="shared" ref="O52" si="151">++IFERROR(O50/K50-1,0)</f>
        <v>0</v>
      </c>
      <c r="P52" s="19">
        <f t="shared" ref="P52" si="152">++IFERROR(P50/L50-1,0)</f>
        <v>0</v>
      </c>
      <c r="Q52" s="19">
        <f t="shared" ref="Q52" si="153">++IFERROR(Q50/M50-1,0)</f>
        <v>0</v>
      </c>
      <c r="R52" s="19">
        <f t="shared" ref="R52" si="154">++IFERROR(R50/N50-1,0)</f>
        <v>0</v>
      </c>
      <c r="S52" s="19">
        <f t="shared" ref="S52" si="155">++IFERROR(S50/O50-1,0)</f>
        <v>0</v>
      </c>
      <c r="T52" s="19">
        <f t="shared" ref="T52" si="156">++IFERROR(T50/P50-1,0)</f>
        <v>0</v>
      </c>
      <c r="U52" s="19">
        <f t="shared" ref="U52" si="157">++IFERROR(U50/Q50-1,0)</f>
        <v>0</v>
      </c>
      <c r="V52" s="19">
        <f t="shared" ref="V52" si="158">++IFERROR(V50/R50-1,0)</f>
        <v>0</v>
      </c>
      <c r="W52" s="19">
        <f t="shared" ref="W52:AD52" si="159">++IFERROR(W50/S50-1,0)</f>
        <v>0</v>
      </c>
      <c r="X52" s="19">
        <f t="shared" si="159"/>
        <v>0</v>
      </c>
      <c r="Y52" s="19">
        <f t="shared" si="159"/>
        <v>0</v>
      </c>
      <c r="Z52" s="19">
        <f t="shared" si="159"/>
        <v>0</v>
      </c>
      <c r="AA52" s="19">
        <f t="shared" si="159"/>
        <v>0</v>
      </c>
      <c r="AB52" s="19">
        <f t="shared" si="159"/>
        <v>0</v>
      </c>
      <c r="AC52" s="19">
        <f t="shared" si="159"/>
        <v>0</v>
      </c>
      <c r="AD52" s="19">
        <f t="shared" si="159"/>
        <v>0</v>
      </c>
      <c r="AF52" s="177" t="s">
        <v>52</v>
      </c>
      <c r="AG52" s="19">
        <f>++IFERROR(AG50/AF50-1,0)</f>
        <v>0</v>
      </c>
      <c r="AH52" s="19">
        <f>++IFERROR(AH50/AG50-1,0)</f>
        <v>0</v>
      </c>
    </row>
    <row r="53" spans="3:34" x14ac:dyDescent="0.4">
      <c r="C53" s="196"/>
    </row>
    <row r="54" spans="3:34" x14ac:dyDescent="0.4">
      <c r="C54" s="196" t="s">
        <v>171</v>
      </c>
      <c r="G54" s="64">
        <f>++G50</f>
        <v>0</v>
      </c>
      <c r="H54" s="64">
        <f t="shared" ref="H54:AH54" si="160">++H50</f>
        <v>0</v>
      </c>
      <c r="I54" s="64">
        <f t="shared" si="160"/>
        <v>0</v>
      </c>
      <c r="J54" s="64">
        <f t="shared" si="160"/>
        <v>0</v>
      </c>
      <c r="K54" s="64">
        <f t="shared" ref="K54:V54" si="161">++K50</f>
        <v>0</v>
      </c>
      <c r="L54" s="64">
        <f t="shared" si="161"/>
        <v>0</v>
      </c>
      <c r="M54" s="64">
        <f t="shared" si="161"/>
        <v>0</v>
      </c>
      <c r="N54" s="64">
        <f t="shared" si="161"/>
        <v>0</v>
      </c>
      <c r="O54" s="64">
        <f t="shared" si="161"/>
        <v>0</v>
      </c>
      <c r="P54" s="64">
        <f t="shared" si="161"/>
        <v>0</v>
      </c>
      <c r="Q54" s="64">
        <f t="shared" si="161"/>
        <v>0</v>
      </c>
      <c r="R54" s="64">
        <f t="shared" si="161"/>
        <v>0</v>
      </c>
      <c r="S54" s="64">
        <f t="shared" si="161"/>
        <v>0</v>
      </c>
      <c r="T54" s="64">
        <f t="shared" si="161"/>
        <v>0</v>
      </c>
      <c r="U54" s="64">
        <f t="shared" si="161"/>
        <v>0</v>
      </c>
      <c r="V54" s="64">
        <f t="shared" si="161"/>
        <v>0</v>
      </c>
      <c r="W54" s="64">
        <f t="shared" si="160"/>
        <v>0</v>
      </c>
      <c r="X54" s="64">
        <f t="shared" si="160"/>
        <v>0</v>
      </c>
      <c r="Y54" s="64">
        <f t="shared" si="160"/>
        <v>0</v>
      </c>
      <c r="Z54" s="64">
        <f t="shared" si="160"/>
        <v>0</v>
      </c>
      <c r="AA54" s="64">
        <f t="shared" si="160"/>
        <v>0</v>
      </c>
      <c r="AB54" s="64">
        <f t="shared" si="160"/>
        <v>0</v>
      </c>
      <c r="AC54" s="64">
        <f t="shared" si="160"/>
        <v>0</v>
      </c>
      <c r="AD54" s="64">
        <f t="shared" si="160"/>
        <v>0</v>
      </c>
      <c r="AF54" s="64">
        <f t="shared" ref="AF54" si="162">++AF50</f>
        <v>0</v>
      </c>
      <c r="AG54" s="64">
        <f t="shared" si="160"/>
        <v>0</v>
      </c>
      <c r="AH54" s="64">
        <f t="shared" si="160"/>
        <v>0</v>
      </c>
    </row>
    <row r="55" spans="3:34" x14ac:dyDescent="0.4">
      <c r="C55" s="196" t="str">
        <f>++"( + ) "&amp;C47</f>
        <v>( + ) Income Tax Expense (Benefit)</v>
      </c>
      <c r="G55" s="179">
        <f>++G47</f>
        <v>0</v>
      </c>
      <c r="H55" s="179">
        <f t="shared" ref="H55:AH55" si="163">++H47</f>
        <v>0</v>
      </c>
      <c r="I55" s="179">
        <f t="shared" si="163"/>
        <v>0</v>
      </c>
      <c r="J55" s="179">
        <f t="shared" si="163"/>
        <v>0</v>
      </c>
      <c r="K55" s="179">
        <f t="shared" ref="K55:V55" si="164">++K47</f>
        <v>0</v>
      </c>
      <c r="L55" s="179">
        <f t="shared" si="164"/>
        <v>0</v>
      </c>
      <c r="M55" s="179">
        <f t="shared" si="164"/>
        <v>0</v>
      </c>
      <c r="N55" s="179">
        <f t="shared" si="164"/>
        <v>0</v>
      </c>
      <c r="O55" s="179">
        <f t="shared" si="164"/>
        <v>0</v>
      </c>
      <c r="P55" s="179">
        <f t="shared" si="164"/>
        <v>0</v>
      </c>
      <c r="Q55" s="179">
        <f t="shared" si="164"/>
        <v>0</v>
      </c>
      <c r="R55" s="179">
        <f t="shared" si="164"/>
        <v>0</v>
      </c>
      <c r="S55" s="179">
        <f t="shared" si="164"/>
        <v>0</v>
      </c>
      <c r="T55" s="179">
        <f t="shared" si="164"/>
        <v>0</v>
      </c>
      <c r="U55" s="179">
        <f t="shared" si="164"/>
        <v>0</v>
      </c>
      <c r="V55" s="179">
        <f t="shared" si="164"/>
        <v>0</v>
      </c>
      <c r="W55" s="179">
        <f t="shared" si="163"/>
        <v>0</v>
      </c>
      <c r="X55" s="179">
        <f t="shared" si="163"/>
        <v>0</v>
      </c>
      <c r="Y55" s="179">
        <f t="shared" si="163"/>
        <v>0</v>
      </c>
      <c r="Z55" s="179">
        <f t="shared" si="163"/>
        <v>0</v>
      </c>
      <c r="AA55" s="179">
        <f t="shared" si="163"/>
        <v>0</v>
      </c>
      <c r="AB55" s="179">
        <f t="shared" si="163"/>
        <v>0</v>
      </c>
      <c r="AC55" s="179">
        <f t="shared" si="163"/>
        <v>0</v>
      </c>
      <c r="AD55" s="179">
        <f t="shared" si="163"/>
        <v>0</v>
      </c>
      <c r="AF55" s="179">
        <f t="shared" ref="AF55" si="165">++AF47</f>
        <v>0</v>
      </c>
      <c r="AG55" s="179">
        <f t="shared" si="163"/>
        <v>0</v>
      </c>
      <c r="AH55" s="179">
        <f t="shared" si="163"/>
        <v>0</v>
      </c>
    </row>
    <row r="56" spans="3:34" x14ac:dyDescent="0.4">
      <c r="C56" s="196" t="str">
        <f>++"( + ) "&amp;C41</f>
        <v>( + ) Interest Expense (Income)</v>
      </c>
      <c r="G56" s="179">
        <f>++G41</f>
        <v>0</v>
      </c>
      <c r="H56" s="179">
        <f t="shared" ref="H56:AH56" si="166">++H41</f>
        <v>0</v>
      </c>
      <c r="I56" s="179">
        <f t="shared" si="166"/>
        <v>0</v>
      </c>
      <c r="J56" s="179">
        <f t="shared" si="166"/>
        <v>0</v>
      </c>
      <c r="K56" s="179">
        <f t="shared" ref="K56:V56" si="167">++K41</f>
        <v>0</v>
      </c>
      <c r="L56" s="179">
        <f t="shared" si="167"/>
        <v>0</v>
      </c>
      <c r="M56" s="179">
        <f t="shared" si="167"/>
        <v>0</v>
      </c>
      <c r="N56" s="179">
        <f t="shared" si="167"/>
        <v>0</v>
      </c>
      <c r="O56" s="179">
        <f t="shared" si="167"/>
        <v>0</v>
      </c>
      <c r="P56" s="179">
        <f t="shared" si="167"/>
        <v>0</v>
      </c>
      <c r="Q56" s="179">
        <f t="shared" si="167"/>
        <v>0</v>
      </c>
      <c r="R56" s="179">
        <f t="shared" si="167"/>
        <v>0</v>
      </c>
      <c r="S56" s="179">
        <f t="shared" si="167"/>
        <v>0</v>
      </c>
      <c r="T56" s="179">
        <f t="shared" si="167"/>
        <v>0</v>
      </c>
      <c r="U56" s="179">
        <f t="shared" si="167"/>
        <v>0</v>
      </c>
      <c r="V56" s="179">
        <f t="shared" si="167"/>
        <v>0</v>
      </c>
      <c r="W56" s="179">
        <f t="shared" si="166"/>
        <v>0</v>
      </c>
      <c r="X56" s="179">
        <f t="shared" si="166"/>
        <v>0</v>
      </c>
      <c r="Y56" s="179">
        <f t="shared" si="166"/>
        <v>0</v>
      </c>
      <c r="Z56" s="179">
        <f t="shared" si="166"/>
        <v>0</v>
      </c>
      <c r="AA56" s="179">
        <f t="shared" si="166"/>
        <v>0</v>
      </c>
      <c r="AB56" s="179">
        <f t="shared" si="166"/>
        <v>0</v>
      </c>
      <c r="AC56" s="179">
        <f t="shared" si="166"/>
        <v>0</v>
      </c>
      <c r="AD56" s="179">
        <f t="shared" si="166"/>
        <v>0</v>
      </c>
      <c r="AF56" s="179">
        <f t="shared" ref="AF56" si="168">++AF41</f>
        <v>0</v>
      </c>
      <c r="AG56" s="179">
        <f t="shared" si="166"/>
        <v>0</v>
      </c>
      <c r="AH56" s="179">
        <f t="shared" si="166"/>
        <v>0</v>
      </c>
    </row>
    <row r="57" spans="3:34" x14ac:dyDescent="0.4">
      <c r="C57" s="196" t="str">
        <f>++"( + ) "&amp;C34</f>
        <v>( + ) Depreciation</v>
      </c>
      <c r="G57" s="179">
        <f>++G34</f>
        <v>0</v>
      </c>
      <c r="H57" s="179">
        <f t="shared" ref="H57:AH57" si="169">++H34</f>
        <v>0</v>
      </c>
      <c r="I57" s="179">
        <f t="shared" si="169"/>
        <v>0</v>
      </c>
      <c r="J57" s="179">
        <f t="shared" si="169"/>
        <v>0</v>
      </c>
      <c r="K57" s="179">
        <f t="shared" ref="K57:V57" si="170">++K34</f>
        <v>0</v>
      </c>
      <c r="L57" s="179">
        <f t="shared" si="170"/>
        <v>0</v>
      </c>
      <c r="M57" s="179">
        <f t="shared" si="170"/>
        <v>0</v>
      </c>
      <c r="N57" s="179">
        <f t="shared" si="170"/>
        <v>0</v>
      </c>
      <c r="O57" s="179">
        <f t="shared" si="170"/>
        <v>0</v>
      </c>
      <c r="P57" s="179">
        <f t="shared" si="170"/>
        <v>0</v>
      </c>
      <c r="Q57" s="179">
        <f t="shared" si="170"/>
        <v>0</v>
      </c>
      <c r="R57" s="179">
        <f t="shared" si="170"/>
        <v>0</v>
      </c>
      <c r="S57" s="179">
        <f t="shared" si="170"/>
        <v>0</v>
      </c>
      <c r="T57" s="179">
        <f t="shared" si="170"/>
        <v>0</v>
      </c>
      <c r="U57" s="179">
        <f t="shared" si="170"/>
        <v>0</v>
      </c>
      <c r="V57" s="179">
        <f t="shared" si="170"/>
        <v>0</v>
      </c>
      <c r="W57" s="179">
        <f t="shared" si="169"/>
        <v>0</v>
      </c>
      <c r="X57" s="179">
        <f t="shared" si="169"/>
        <v>0</v>
      </c>
      <c r="Y57" s="179">
        <f t="shared" si="169"/>
        <v>0</v>
      </c>
      <c r="Z57" s="179">
        <f t="shared" si="169"/>
        <v>0</v>
      </c>
      <c r="AA57" s="179">
        <f t="shared" si="169"/>
        <v>0</v>
      </c>
      <c r="AB57" s="179">
        <f t="shared" si="169"/>
        <v>0</v>
      </c>
      <c r="AC57" s="179">
        <f t="shared" si="169"/>
        <v>0</v>
      </c>
      <c r="AD57" s="179">
        <f t="shared" si="169"/>
        <v>0</v>
      </c>
      <c r="AF57" s="179">
        <f t="shared" ref="AF57" si="171">++AF34</f>
        <v>0</v>
      </c>
      <c r="AG57" s="179">
        <f t="shared" si="169"/>
        <v>0</v>
      </c>
      <c r="AH57" s="179">
        <f t="shared" si="169"/>
        <v>0</v>
      </c>
    </row>
    <row r="58" spans="3:34" x14ac:dyDescent="0.4">
      <c r="C58" s="196" t="str">
        <f t="shared" ref="C58" si="172">++"( + ) "&amp;C35</f>
        <v>( + ) Amortization</v>
      </c>
      <c r="G58" s="179">
        <f t="shared" ref="G58:AH58" si="173">++G35</f>
        <v>0</v>
      </c>
      <c r="H58" s="179">
        <f t="shared" si="173"/>
        <v>0</v>
      </c>
      <c r="I58" s="179">
        <f t="shared" si="173"/>
        <v>0</v>
      </c>
      <c r="J58" s="179">
        <f t="shared" si="173"/>
        <v>0</v>
      </c>
      <c r="K58" s="179">
        <f t="shared" ref="K58:V58" si="174">++K35</f>
        <v>0</v>
      </c>
      <c r="L58" s="179">
        <f t="shared" si="174"/>
        <v>0</v>
      </c>
      <c r="M58" s="179">
        <f t="shared" si="174"/>
        <v>0</v>
      </c>
      <c r="N58" s="179">
        <f t="shared" si="174"/>
        <v>0</v>
      </c>
      <c r="O58" s="179">
        <f t="shared" si="174"/>
        <v>0</v>
      </c>
      <c r="P58" s="179">
        <f t="shared" si="174"/>
        <v>0</v>
      </c>
      <c r="Q58" s="179">
        <f t="shared" si="174"/>
        <v>0</v>
      </c>
      <c r="R58" s="179">
        <f t="shared" si="174"/>
        <v>0</v>
      </c>
      <c r="S58" s="179">
        <f t="shared" si="174"/>
        <v>0</v>
      </c>
      <c r="T58" s="179">
        <f t="shared" si="174"/>
        <v>0</v>
      </c>
      <c r="U58" s="179">
        <f t="shared" si="174"/>
        <v>0</v>
      </c>
      <c r="V58" s="179">
        <f t="shared" si="174"/>
        <v>0</v>
      </c>
      <c r="W58" s="179">
        <f t="shared" si="173"/>
        <v>0</v>
      </c>
      <c r="X58" s="179">
        <f t="shared" si="173"/>
        <v>0</v>
      </c>
      <c r="Y58" s="179">
        <f t="shared" si="173"/>
        <v>0</v>
      </c>
      <c r="Z58" s="179">
        <f t="shared" si="173"/>
        <v>0</v>
      </c>
      <c r="AA58" s="179">
        <f t="shared" si="173"/>
        <v>0</v>
      </c>
      <c r="AB58" s="179">
        <f t="shared" si="173"/>
        <v>0</v>
      </c>
      <c r="AC58" s="179">
        <f t="shared" si="173"/>
        <v>0</v>
      </c>
      <c r="AD58" s="179">
        <f t="shared" si="173"/>
        <v>0</v>
      </c>
      <c r="AF58" s="179">
        <f t="shared" ref="AF58" si="175">++AF35</f>
        <v>0</v>
      </c>
      <c r="AG58" s="179">
        <f t="shared" si="173"/>
        <v>0</v>
      </c>
      <c r="AH58" s="179">
        <f t="shared" si="173"/>
        <v>0</v>
      </c>
    </row>
    <row r="59" spans="3:34" x14ac:dyDescent="0.4">
      <c r="C59" s="198" t="s">
        <v>172</v>
      </c>
      <c r="D59" s="2"/>
      <c r="E59" s="2"/>
      <c r="G59" s="180">
        <f>++SUM(G54:G58)</f>
        <v>0</v>
      </c>
      <c r="H59" s="180">
        <f t="shared" ref="H59" si="176">++SUM(H54:H58)</f>
        <v>0</v>
      </c>
      <c r="I59" s="180">
        <f t="shared" ref="I59" si="177">++SUM(I54:I58)</f>
        <v>0</v>
      </c>
      <c r="J59" s="180">
        <f t="shared" ref="J59:V59" si="178">++SUM(J54:J58)</f>
        <v>0</v>
      </c>
      <c r="K59" s="180">
        <f t="shared" si="178"/>
        <v>0</v>
      </c>
      <c r="L59" s="180">
        <f t="shared" si="178"/>
        <v>0</v>
      </c>
      <c r="M59" s="180">
        <f t="shared" si="178"/>
        <v>0</v>
      </c>
      <c r="N59" s="180">
        <f t="shared" si="178"/>
        <v>0</v>
      </c>
      <c r="O59" s="180">
        <f t="shared" si="178"/>
        <v>0</v>
      </c>
      <c r="P59" s="180">
        <f t="shared" si="178"/>
        <v>0</v>
      </c>
      <c r="Q59" s="180">
        <f t="shared" si="178"/>
        <v>0</v>
      </c>
      <c r="R59" s="180">
        <f t="shared" si="178"/>
        <v>0</v>
      </c>
      <c r="S59" s="180">
        <f t="shared" si="178"/>
        <v>0</v>
      </c>
      <c r="T59" s="180">
        <f t="shared" si="178"/>
        <v>0</v>
      </c>
      <c r="U59" s="180">
        <f t="shared" si="178"/>
        <v>0</v>
      </c>
      <c r="V59" s="180">
        <f t="shared" si="178"/>
        <v>0</v>
      </c>
      <c r="W59" s="180">
        <f t="shared" ref="W59" si="179">++SUM(W54:W58)</f>
        <v>0</v>
      </c>
      <c r="X59" s="180">
        <f t="shared" ref="X59" si="180">++SUM(X54:X58)</f>
        <v>0</v>
      </c>
      <c r="Y59" s="180">
        <f t="shared" ref="Y59" si="181">++SUM(Y54:Y58)</f>
        <v>0</v>
      </c>
      <c r="Z59" s="180">
        <f t="shared" ref="Z59" si="182">++SUM(Z54:Z58)</f>
        <v>0</v>
      </c>
      <c r="AA59" s="180">
        <f t="shared" ref="AA59" si="183">++SUM(AA54:AA58)</f>
        <v>0</v>
      </c>
      <c r="AB59" s="180">
        <f t="shared" ref="AB59" si="184">++SUM(AB54:AB58)</f>
        <v>0</v>
      </c>
      <c r="AC59" s="180">
        <f t="shared" ref="AC59" si="185">++SUM(AC54:AC58)</f>
        <v>0</v>
      </c>
      <c r="AD59" s="180">
        <f t="shared" ref="AD59:AF59" si="186">++SUM(AD54:AD58)</f>
        <v>0</v>
      </c>
      <c r="AF59" s="180">
        <f t="shared" si="186"/>
        <v>0</v>
      </c>
      <c r="AG59" s="180">
        <f t="shared" ref="AG59" si="187">++SUM(AG54:AG58)</f>
        <v>0</v>
      </c>
      <c r="AH59" s="180">
        <f t="shared" ref="AH59" si="188">++SUM(AH54:AH58)</f>
        <v>0</v>
      </c>
    </row>
    <row r="60" spans="3:34" x14ac:dyDescent="0.4">
      <c r="C60" s="199" t="s">
        <v>106</v>
      </c>
      <c r="G60" s="19">
        <f t="shared" ref="G60:AH60" si="189">++IFERROR(G59/G16,0)</f>
        <v>0</v>
      </c>
      <c r="H60" s="19">
        <f t="shared" si="189"/>
        <v>0</v>
      </c>
      <c r="I60" s="19">
        <f t="shared" si="189"/>
        <v>0</v>
      </c>
      <c r="J60" s="19">
        <f t="shared" si="189"/>
        <v>0</v>
      </c>
      <c r="K60" s="19">
        <f t="shared" ref="K60:V60" si="190">++IFERROR(K59/K16,0)</f>
        <v>0</v>
      </c>
      <c r="L60" s="19">
        <f t="shared" si="190"/>
        <v>0</v>
      </c>
      <c r="M60" s="19">
        <f t="shared" si="190"/>
        <v>0</v>
      </c>
      <c r="N60" s="19">
        <f t="shared" si="190"/>
        <v>0</v>
      </c>
      <c r="O60" s="19">
        <f t="shared" si="190"/>
        <v>0</v>
      </c>
      <c r="P60" s="19">
        <f t="shared" si="190"/>
        <v>0</v>
      </c>
      <c r="Q60" s="19">
        <f t="shared" si="190"/>
        <v>0</v>
      </c>
      <c r="R60" s="19">
        <f t="shared" si="190"/>
        <v>0</v>
      </c>
      <c r="S60" s="19">
        <f t="shared" si="190"/>
        <v>0</v>
      </c>
      <c r="T60" s="19">
        <f t="shared" si="190"/>
        <v>0</v>
      </c>
      <c r="U60" s="19">
        <f t="shared" si="190"/>
        <v>0</v>
      </c>
      <c r="V60" s="19">
        <f t="shared" si="190"/>
        <v>0</v>
      </c>
      <c r="W60" s="19">
        <f t="shared" si="189"/>
        <v>0</v>
      </c>
      <c r="X60" s="19">
        <f t="shared" si="189"/>
        <v>0</v>
      </c>
      <c r="Y60" s="19">
        <f t="shared" si="189"/>
        <v>0</v>
      </c>
      <c r="Z60" s="19">
        <f t="shared" si="189"/>
        <v>0</v>
      </c>
      <c r="AA60" s="19">
        <f t="shared" si="189"/>
        <v>0</v>
      </c>
      <c r="AB60" s="19">
        <f t="shared" si="189"/>
        <v>0</v>
      </c>
      <c r="AC60" s="19">
        <f t="shared" si="189"/>
        <v>0</v>
      </c>
      <c r="AD60" s="19">
        <f t="shared" si="189"/>
        <v>0</v>
      </c>
      <c r="AF60" s="19">
        <f t="shared" ref="AF60" si="191">++IFERROR(AF59/AF16,0)</f>
        <v>0</v>
      </c>
      <c r="AG60" s="19">
        <f t="shared" si="189"/>
        <v>0</v>
      </c>
      <c r="AH60" s="19">
        <f t="shared" si="189"/>
        <v>0</v>
      </c>
    </row>
    <row r="61" spans="3:34" x14ac:dyDescent="0.4">
      <c r="C61" s="199" t="s">
        <v>104</v>
      </c>
      <c r="G61" s="177" t="s">
        <v>52</v>
      </c>
      <c r="H61" s="177" t="s">
        <v>52</v>
      </c>
      <c r="I61" s="177" t="s">
        <v>52</v>
      </c>
      <c r="J61" s="177" t="s">
        <v>52</v>
      </c>
      <c r="K61" s="19">
        <f t="shared" ref="K61" si="192">++IFERROR(K59/G59-1,0)</f>
        <v>0</v>
      </c>
      <c r="L61" s="19">
        <f t="shared" ref="L61" si="193">++IFERROR(L59/H59-1,0)</f>
        <v>0</v>
      </c>
      <c r="M61" s="19">
        <f t="shared" ref="M61" si="194">++IFERROR(M59/I59-1,0)</f>
        <v>0</v>
      </c>
      <c r="N61" s="19">
        <f t="shared" ref="N61" si="195">++IFERROR(N59/J59-1,0)</f>
        <v>0</v>
      </c>
      <c r="O61" s="19">
        <f t="shared" ref="O61" si="196">++IFERROR(O59/K59-1,0)</f>
        <v>0</v>
      </c>
      <c r="P61" s="19">
        <f t="shared" ref="P61" si="197">++IFERROR(P59/L59-1,0)</f>
        <v>0</v>
      </c>
      <c r="Q61" s="19">
        <f t="shared" ref="Q61" si="198">++IFERROR(Q59/M59-1,0)</f>
        <v>0</v>
      </c>
      <c r="R61" s="19">
        <f t="shared" ref="R61" si="199">++IFERROR(R59/N59-1,0)</f>
        <v>0</v>
      </c>
      <c r="S61" s="19">
        <f t="shared" ref="S61" si="200">++IFERROR(S59/O59-1,0)</f>
        <v>0</v>
      </c>
      <c r="T61" s="19">
        <f t="shared" ref="T61" si="201">++IFERROR(T59/P59-1,0)</f>
        <v>0</v>
      </c>
      <c r="U61" s="19">
        <f t="shared" ref="U61" si="202">++IFERROR(U59/Q59-1,0)</f>
        <v>0</v>
      </c>
      <c r="V61" s="19">
        <f t="shared" ref="V61" si="203">++IFERROR(V59/R59-1,0)</f>
        <v>0</v>
      </c>
      <c r="W61" s="19">
        <f t="shared" ref="W61:AD61" si="204">++IFERROR(W59/S59-1,0)</f>
        <v>0</v>
      </c>
      <c r="X61" s="19">
        <f t="shared" si="204"/>
        <v>0</v>
      </c>
      <c r="Y61" s="19">
        <f t="shared" si="204"/>
        <v>0</v>
      </c>
      <c r="Z61" s="19">
        <f t="shared" si="204"/>
        <v>0</v>
      </c>
      <c r="AA61" s="19">
        <f t="shared" si="204"/>
        <v>0</v>
      </c>
      <c r="AB61" s="19">
        <f t="shared" si="204"/>
        <v>0</v>
      </c>
      <c r="AC61" s="19">
        <f t="shared" si="204"/>
        <v>0</v>
      </c>
      <c r="AD61" s="19">
        <f t="shared" si="204"/>
        <v>0</v>
      </c>
      <c r="AF61" s="177" t="s">
        <v>52</v>
      </c>
      <c r="AG61" s="19">
        <f>++IFERROR(AG59/AF59-1,0)</f>
        <v>0</v>
      </c>
      <c r="AH61" s="19">
        <f>++IFERROR(AH59/AG59-1,0)</f>
        <v>0</v>
      </c>
    </row>
    <row r="62" spans="3:34" x14ac:dyDescent="0.4">
      <c r="C62" s="196"/>
    </row>
    <row r="63" spans="3:34" x14ac:dyDescent="0.4">
      <c r="C63" s="197" t="s">
        <v>173</v>
      </c>
      <c r="G63" s="182">
        <v>0</v>
      </c>
      <c r="H63" s="182">
        <v>0</v>
      </c>
      <c r="I63" s="182">
        <v>0</v>
      </c>
      <c r="J63" s="182">
        <v>0</v>
      </c>
      <c r="K63" s="182">
        <v>0</v>
      </c>
      <c r="L63" s="182">
        <v>0</v>
      </c>
      <c r="M63" s="182">
        <v>0</v>
      </c>
      <c r="N63" s="182">
        <v>0</v>
      </c>
      <c r="O63" s="182">
        <v>0</v>
      </c>
      <c r="P63" s="182">
        <v>0</v>
      </c>
      <c r="Q63" s="182">
        <v>0</v>
      </c>
      <c r="R63" s="182">
        <v>0</v>
      </c>
      <c r="S63" s="182">
        <v>0</v>
      </c>
      <c r="T63" s="182">
        <v>0</v>
      </c>
      <c r="U63" s="182">
        <v>0</v>
      </c>
      <c r="V63" s="182">
        <v>0</v>
      </c>
      <c r="W63" s="182">
        <v>0</v>
      </c>
      <c r="X63" s="182">
        <v>0</v>
      </c>
      <c r="Y63" s="182">
        <v>0</v>
      </c>
      <c r="Z63" s="182">
        <v>0</v>
      </c>
      <c r="AA63" s="182">
        <v>0</v>
      </c>
      <c r="AB63" s="182">
        <v>0</v>
      </c>
      <c r="AC63" s="182">
        <v>0</v>
      </c>
      <c r="AD63" s="182">
        <v>0</v>
      </c>
      <c r="AF63" s="182">
        <v>0</v>
      </c>
      <c r="AG63" s="182">
        <v>0</v>
      </c>
      <c r="AH63" s="182">
        <v>0</v>
      </c>
    </row>
    <row r="64" spans="3:34" x14ac:dyDescent="0.4">
      <c r="C64" s="197" t="s">
        <v>173</v>
      </c>
      <c r="G64" s="182">
        <v>0</v>
      </c>
      <c r="H64" s="182">
        <v>0</v>
      </c>
      <c r="I64" s="182">
        <v>0</v>
      </c>
      <c r="J64" s="182">
        <v>0</v>
      </c>
      <c r="K64" s="182">
        <v>0</v>
      </c>
      <c r="L64" s="182">
        <v>0</v>
      </c>
      <c r="M64" s="182">
        <v>0</v>
      </c>
      <c r="N64" s="182">
        <v>0</v>
      </c>
      <c r="O64" s="182">
        <v>0</v>
      </c>
      <c r="P64" s="182">
        <v>0</v>
      </c>
      <c r="Q64" s="182">
        <v>0</v>
      </c>
      <c r="R64" s="182">
        <v>0</v>
      </c>
      <c r="S64" s="182">
        <v>0</v>
      </c>
      <c r="T64" s="182">
        <v>0</v>
      </c>
      <c r="U64" s="182">
        <v>0</v>
      </c>
      <c r="V64" s="182">
        <v>0</v>
      </c>
      <c r="W64" s="182">
        <v>0</v>
      </c>
      <c r="X64" s="182">
        <v>0</v>
      </c>
      <c r="Y64" s="182">
        <v>0</v>
      </c>
      <c r="Z64" s="182">
        <v>0</v>
      </c>
      <c r="AA64" s="182">
        <v>0</v>
      </c>
      <c r="AB64" s="182">
        <v>0</v>
      </c>
      <c r="AC64" s="182">
        <v>0</v>
      </c>
      <c r="AD64" s="182">
        <v>0</v>
      </c>
      <c r="AF64" s="182">
        <v>0</v>
      </c>
      <c r="AG64" s="182">
        <v>0</v>
      </c>
      <c r="AH64" s="182">
        <v>0</v>
      </c>
    </row>
    <row r="65" spans="3:34" x14ac:dyDescent="0.4">
      <c r="C65" s="197" t="s">
        <v>173</v>
      </c>
      <c r="G65" s="182">
        <v>0</v>
      </c>
      <c r="H65" s="182">
        <v>0</v>
      </c>
      <c r="I65" s="182">
        <v>0</v>
      </c>
      <c r="J65" s="182">
        <v>0</v>
      </c>
      <c r="K65" s="182">
        <v>0</v>
      </c>
      <c r="L65" s="182">
        <v>0</v>
      </c>
      <c r="M65" s="182">
        <v>0</v>
      </c>
      <c r="N65" s="182">
        <v>0</v>
      </c>
      <c r="O65" s="182">
        <v>0</v>
      </c>
      <c r="P65" s="182">
        <v>0</v>
      </c>
      <c r="Q65" s="182">
        <v>0</v>
      </c>
      <c r="R65" s="182">
        <v>0</v>
      </c>
      <c r="S65" s="182">
        <v>0</v>
      </c>
      <c r="T65" s="182">
        <v>0</v>
      </c>
      <c r="U65" s="182">
        <v>0</v>
      </c>
      <c r="V65" s="182">
        <v>0</v>
      </c>
      <c r="W65" s="182">
        <v>0</v>
      </c>
      <c r="X65" s="182">
        <v>0</v>
      </c>
      <c r="Y65" s="182">
        <v>0</v>
      </c>
      <c r="Z65" s="182">
        <v>0</v>
      </c>
      <c r="AA65" s="182">
        <v>0</v>
      </c>
      <c r="AB65" s="182">
        <v>0</v>
      </c>
      <c r="AC65" s="182">
        <v>0</v>
      </c>
      <c r="AD65" s="182">
        <v>0</v>
      </c>
      <c r="AF65" s="182">
        <v>0</v>
      </c>
      <c r="AG65" s="182">
        <v>0</v>
      </c>
      <c r="AH65" s="182">
        <v>0</v>
      </c>
    </row>
    <row r="66" spans="3:34" x14ac:dyDescent="0.4">
      <c r="C66" s="197" t="s">
        <v>173</v>
      </c>
      <c r="G66" s="182">
        <v>0</v>
      </c>
      <c r="H66" s="182">
        <v>0</v>
      </c>
      <c r="I66" s="182">
        <v>0</v>
      </c>
      <c r="J66" s="182">
        <v>0</v>
      </c>
      <c r="K66" s="182">
        <v>0</v>
      </c>
      <c r="L66" s="182">
        <v>0</v>
      </c>
      <c r="M66" s="182">
        <v>0</v>
      </c>
      <c r="N66" s="182">
        <v>0</v>
      </c>
      <c r="O66" s="182">
        <v>0</v>
      </c>
      <c r="P66" s="182">
        <v>0</v>
      </c>
      <c r="Q66" s="182">
        <v>0</v>
      </c>
      <c r="R66" s="182">
        <v>0</v>
      </c>
      <c r="S66" s="182">
        <v>0</v>
      </c>
      <c r="T66" s="182">
        <v>0</v>
      </c>
      <c r="U66" s="182">
        <v>0</v>
      </c>
      <c r="V66" s="182">
        <v>0</v>
      </c>
      <c r="W66" s="182">
        <v>0</v>
      </c>
      <c r="X66" s="182">
        <v>0</v>
      </c>
      <c r="Y66" s="182">
        <v>0</v>
      </c>
      <c r="Z66" s="182">
        <v>0</v>
      </c>
      <c r="AA66" s="182">
        <v>0</v>
      </c>
      <c r="AB66" s="182">
        <v>0</v>
      </c>
      <c r="AC66" s="182">
        <v>0</v>
      </c>
      <c r="AD66" s="182">
        <v>0</v>
      </c>
      <c r="AF66" s="182">
        <v>0</v>
      </c>
      <c r="AG66" s="182">
        <v>0</v>
      </c>
      <c r="AH66" s="182">
        <v>0</v>
      </c>
    </row>
    <row r="67" spans="3:34" x14ac:dyDescent="0.4">
      <c r="C67" s="197" t="s">
        <v>173</v>
      </c>
      <c r="G67" s="182">
        <v>0</v>
      </c>
      <c r="H67" s="182">
        <v>0</v>
      </c>
      <c r="I67" s="182">
        <v>0</v>
      </c>
      <c r="J67" s="182">
        <v>0</v>
      </c>
      <c r="K67" s="182">
        <v>0</v>
      </c>
      <c r="L67" s="182">
        <v>0</v>
      </c>
      <c r="M67" s="182">
        <v>0</v>
      </c>
      <c r="N67" s="182">
        <v>0</v>
      </c>
      <c r="O67" s="182">
        <v>0</v>
      </c>
      <c r="P67" s="182">
        <v>0</v>
      </c>
      <c r="Q67" s="182">
        <v>0</v>
      </c>
      <c r="R67" s="182">
        <v>0</v>
      </c>
      <c r="S67" s="182">
        <v>0</v>
      </c>
      <c r="T67" s="182">
        <v>0</v>
      </c>
      <c r="U67" s="182">
        <v>0</v>
      </c>
      <c r="V67" s="182">
        <v>0</v>
      </c>
      <c r="W67" s="182">
        <v>0</v>
      </c>
      <c r="X67" s="182">
        <v>0</v>
      </c>
      <c r="Y67" s="182">
        <v>0</v>
      </c>
      <c r="Z67" s="182">
        <v>0</v>
      </c>
      <c r="AA67" s="182">
        <v>0</v>
      </c>
      <c r="AB67" s="182">
        <v>0</v>
      </c>
      <c r="AC67" s="182">
        <v>0</v>
      </c>
      <c r="AD67" s="182">
        <v>0</v>
      </c>
      <c r="AF67" s="182">
        <v>0</v>
      </c>
      <c r="AG67" s="182">
        <v>0</v>
      </c>
      <c r="AH67" s="182">
        <v>0</v>
      </c>
    </row>
    <row r="68" spans="3:34" x14ac:dyDescent="0.4">
      <c r="C68" s="197" t="s">
        <v>173</v>
      </c>
      <c r="G68" s="182">
        <v>0</v>
      </c>
      <c r="H68" s="182">
        <v>0</v>
      </c>
      <c r="I68" s="182">
        <v>0</v>
      </c>
      <c r="J68" s="182">
        <v>0</v>
      </c>
      <c r="K68" s="182">
        <v>0</v>
      </c>
      <c r="L68" s="182">
        <v>0</v>
      </c>
      <c r="M68" s="182">
        <v>0</v>
      </c>
      <c r="N68" s="182">
        <v>0</v>
      </c>
      <c r="O68" s="182">
        <v>0</v>
      </c>
      <c r="P68" s="182">
        <v>0</v>
      </c>
      <c r="Q68" s="182">
        <v>0</v>
      </c>
      <c r="R68" s="182">
        <v>0</v>
      </c>
      <c r="S68" s="182">
        <v>0</v>
      </c>
      <c r="T68" s="182">
        <v>0</v>
      </c>
      <c r="U68" s="182">
        <v>0</v>
      </c>
      <c r="V68" s="182">
        <v>0</v>
      </c>
      <c r="W68" s="182">
        <v>0</v>
      </c>
      <c r="X68" s="182">
        <v>0</v>
      </c>
      <c r="Y68" s="182">
        <v>0</v>
      </c>
      <c r="Z68" s="182">
        <v>0</v>
      </c>
      <c r="AA68" s="182">
        <v>0</v>
      </c>
      <c r="AB68" s="182">
        <v>0</v>
      </c>
      <c r="AC68" s="182">
        <v>0</v>
      </c>
      <c r="AD68" s="182">
        <v>0</v>
      </c>
      <c r="AF68" s="182">
        <v>0</v>
      </c>
      <c r="AG68" s="182">
        <v>0</v>
      </c>
      <c r="AH68" s="182">
        <v>0</v>
      </c>
    </row>
    <row r="69" spans="3:34" x14ac:dyDescent="0.4">
      <c r="C69" s="197" t="s">
        <v>173</v>
      </c>
      <c r="G69" s="182">
        <v>0</v>
      </c>
      <c r="H69" s="182">
        <v>0</v>
      </c>
      <c r="I69" s="182">
        <v>0</v>
      </c>
      <c r="J69" s="182">
        <v>0</v>
      </c>
      <c r="K69" s="182">
        <v>0</v>
      </c>
      <c r="L69" s="182">
        <v>0</v>
      </c>
      <c r="M69" s="182">
        <v>0</v>
      </c>
      <c r="N69" s="182">
        <v>0</v>
      </c>
      <c r="O69" s="182">
        <v>0</v>
      </c>
      <c r="P69" s="182">
        <v>0</v>
      </c>
      <c r="Q69" s="182">
        <v>0</v>
      </c>
      <c r="R69" s="182">
        <v>0</v>
      </c>
      <c r="S69" s="182">
        <v>0</v>
      </c>
      <c r="T69" s="182">
        <v>0</v>
      </c>
      <c r="U69" s="182">
        <v>0</v>
      </c>
      <c r="V69" s="182">
        <v>0</v>
      </c>
      <c r="W69" s="182">
        <v>0</v>
      </c>
      <c r="X69" s="182">
        <v>0</v>
      </c>
      <c r="Y69" s="182">
        <v>0</v>
      </c>
      <c r="Z69" s="182">
        <v>0</v>
      </c>
      <c r="AA69" s="182">
        <v>0</v>
      </c>
      <c r="AB69" s="182">
        <v>0</v>
      </c>
      <c r="AC69" s="182">
        <v>0</v>
      </c>
      <c r="AD69" s="182">
        <v>0</v>
      </c>
      <c r="AF69" s="182">
        <v>0</v>
      </c>
      <c r="AG69" s="182">
        <v>0</v>
      </c>
      <c r="AH69" s="182">
        <v>0</v>
      </c>
    </row>
    <row r="70" spans="3:34" x14ac:dyDescent="0.4">
      <c r="C70" s="197" t="s">
        <v>173</v>
      </c>
      <c r="G70" s="182">
        <v>0</v>
      </c>
      <c r="H70" s="182">
        <v>0</v>
      </c>
      <c r="I70" s="182">
        <v>0</v>
      </c>
      <c r="J70" s="182">
        <v>0</v>
      </c>
      <c r="K70" s="182">
        <v>0</v>
      </c>
      <c r="L70" s="182">
        <v>0</v>
      </c>
      <c r="M70" s="182">
        <v>0</v>
      </c>
      <c r="N70" s="182">
        <v>0</v>
      </c>
      <c r="O70" s="182">
        <v>0</v>
      </c>
      <c r="P70" s="182">
        <v>0</v>
      </c>
      <c r="Q70" s="182">
        <v>0</v>
      </c>
      <c r="R70" s="182">
        <v>0</v>
      </c>
      <c r="S70" s="182">
        <v>0</v>
      </c>
      <c r="T70" s="182">
        <v>0</v>
      </c>
      <c r="U70" s="182">
        <v>0</v>
      </c>
      <c r="V70" s="182">
        <v>0</v>
      </c>
      <c r="W70" s="182">
        <v>0</v>
      </c>
      <c r="X70" s="182">
        <v>0</v>
      </c>
      <c r="Y70" s="182">
        <v>0</v>
      </c>
      <c r="Z70" s="182">
        <v>0</v>
      </c>
      <c r="AA70" s="182">
        <v>0</v>
      </c>
      <c r="AB70" s="182">
        <v>0</v>
      </c>
      <c r="AC70" s="182">
        <v>0</v>
      </c>
      <c r="AD70" s="182">
        <v>0</v>
      </c>
      <c r="AF70" s="182">
        <v>0</v>
      </c>
      <c r="AG70" s="182">
        <v>0</v>
      </c>
      <c r="AH70" s="182">
        <v>0</v>
      </c>
    </row>
    <row r="71" spans="3:34" x14ac:dyDescent="0.4">
      <c r="C71" s="197" t="s">
        <v>173</v>
      </c>
      <c r="G71" s="182">
        <v>0</v>
      </c>
      <c r="H71" s="182">
        <v>0</v>
      </c>
      <c r="I71" s="182">
        <v>0</v>
      </c>
      <c r="J71" s="182">
        <v>0</v>
      </c>
      <c r="K71" s="182">
        <v>0</v>
      </c>
      <c r="L71" s="182">
        <v>0</v>
      </c>
      <c r="M71" s="182">
        <v>0</v>
      </c>
      <c r="N71" s="182">
        <v>0</v>
      </c>
      <c r="O71" s="182">
        <v>0</v>
      </c>
      <c r="P71" s="182">
        <v>0</v>
      </c>
      <c r="Q71" s="182">
        <v>0</v>
      </c>
      <c r="R71" s="182">
        <v>0</v>
      </c>
      <c r="S71" s="182">
        <v>0</v>
      </c>
      <c r="T71" s="182">
        <v>0</v>
      </c>
      <c r="U71" s="182">
        <v>0</v>
      </c>
      <c r="V71" s="182">
        <v>0</v>
      </c>
      <c r="W71" s="182">
        <v>0</v>
      </c>
      <c r="X71" s="182">
        <v>0</v>
      </c>
      <c r="Y71" s="182">
        <v>0</v>
      </c>
      <c r="Z71" s="182">
        <v>0</v>
      </c>
      <c r="AA71" s="182">
        <v>0</v>
      </c>
      <c r="AB71" s="182">
        <v>0</v>
      </c>
      <c r="AC71" s="182">
        <v>0</v>
      </c>
      <c r="AD71" s="182">
        <v>0</v>
      </c>
      <c r="AF71" s="182">
        <v>0</v>
      </c>
      <c r="AG71" s="182">
        <v>0</v>
      </c>
      <c r="AH71" s="182">
        <v>0</v>
      </c>
    </row>
    <row r="72" spans="3:34" x14ac:dyDescent="0.4">
      <c r="C72" s="197" t="s">
        <v>173</v>
      </c>
      <c r="G72" s="182">
        <v>0</v>
      </c>
      <c r="H72" s="182">
        <v>0</v>
      </c>
      <c r="I72" s="182">
        <v>0</v>
      </c>
      <c r="J72" s="182">
        <v>0</v>
      </c>
      <c r="K72" s="182">
        <v>0</v>
      </c>
      <c r="L72" s="182">
        <v>0</v>
      </c>
      <c r="M72" s="182">
        <v>0</v>
      </c>
      <c r="N72" s="182">
        <v>0</v>
      </c>
      <c r="O72" s="182">
        <v>0</v>
      </c>
      <c r="P72" s="182">
        <v>0</v>
      </c>
      <c r="Q72" s="182">
        <v>0</v>
      </c>
      <c r="R72" s="182">
        <v>0</v>
      </c>
      <c r="S72" s="182">
        <v>0</v>
      </c>
      <c r="T72" s="182">
        <v>0</v>
      </c>
      <c r="U72" s="182">
        <v>0</v>
      </c>
      <c r="V72" s="182">
        <v>0</v>
      </c>
      <c r="W72" s="182">
        <v>0</v>
      </c>
      <c r="X72" s="182">
        <v>0</v>
      </c>
      <c r="Y72" s="182">
        <v>0</v>
      </c>
      <c r="Z72" s="182">
        <v>0</v>
      </c>
      <c r="AA72" s="182">
        <v>0</v>
      </c>
      <c r="AB72" s="182">
        <v>0</v>
      </c>
      <c r="AC72" s="182">
        <v>0</v>
      </c>
      <c r="AD72" s="182">
        <v>0</v>
      </c>
      <c r="AF72" s="182">
        <v>0</v>
      </c>
      <c r="AG72" s="182">
        <v>0</v>
      </c>
      <c r="AH72" s="182">
        <v>0</v>
      </c>
    </row>
    <row r="73" spans="3:34" x14ac:dyDescent="0.4">
      <c r="C73" s="198" t="s">
        <v>174</v>
      </c>
      <c r="D73" s="2"/>
      <c r="E73" s="2"/>
      <c r="G73" s="18">
        <f>++SUM(G59,G63:G72)</f>
        <v>0</v>
      </c>
      <c r="H73" s="18">
        <f t="shared" ref="H73" si="205">++SUM(H59,H63:H72)</f>
        <v>0</v>
      </c>
      <c r="I73" s="18">
        <f t="shared" ref="I73" si="206">++SUM(I59,I63:I72)</f>
        <v>0</v>
      </c>
      <c r="J73" s="18">
        <f t="shared" ref="J73:V73" si="207">++SUM(J59,J63:J72)</f>
        <v>0</v>
      </c>
      <c r="K73" s="18">
        <f t="shared" si="207"/>
        <v>0</v>
      </c>
      <c r="L73" s="18">
        <f t="shared" si="207"/>
        <v>0</v>
      </c>
      <c r="M73" s="18">
        <f t="shared" si="207"/>
        <v>0</v>
      </c>
      <c r="N73" s="18">
        <f t="shared" si="207"/>
        <v>0</v>
      </c>
      <c r="O73" s="18">
        <f t="shared" si="207"/>
        <v>0</v>
      </c>
      <c r="P73" s="18">
        <f t="shared" si="207"/>
        <v>0</v>
      </c>
      <c r="Q73" s="18">
        <f t="shared" si="207"/>
        <v>0</v>
      </c>
      <c r="R73" s="18">
        <f t="shared" si="207"/>
        <v>0</v>
      </c>
      <c r="S73" s="18">
        <f t="shared" si="207"/>
        <v>0</v>
      </c>
      <c r="T73" s="18">
        <f t="shared" si="207"/>
        <v>0</v>
      </c>
      <c r="U73" s="18">
        <f t="shared" si="207"/>
        <v>0</v>
      </c>
      <c r="V73" s="18">
        <f t="shared" si="207"/>
        <v>0</v>
      </c>
      <c r="W73" s="18">
        <f t="shared" ref="W73" si="208">++SUM(W59,W63:W72)</f>
        <v>0</v>
      </c>
      <c r="X73" s="18">
        <f t="shared" ref="X73" si="209">++SUM(X59,X63:X72)</f>
        <v>0</v>
      </c>
      <c r="Y73" s="18">
        <f t="shared" ref="Y73" si="210">++SUM(Y59,Y63:Y72)</f>
        <v>0</v>
      </c>
      <c r="Z73" s="18">
        <f t="shared" ref="Z73" si="211">++SUM(Z59,Z63:Z72)</f>
        <v>0</v>
      </c>
      <c r="AA73" s="18">
        <f t="shared" ref="AA73" si="212">++SUM(AA59,AA63:AA72)</f>
        <v>0</v>
      </c>
      <c r="AB73" s="18">
        <f t="shared" ref="AB73" si="213">++SUM(AB59,AB63:AB72)</f>
        <v>0</v>
      </c>
      <c r="AC73" s="18">
        <f t="shared" ref="AC73" si="214">++SUM(AC59,AC63:AC72)</f>
        <v>0</v>
      </c>
      <c r="AD73" s="18">
        <f t="shared" ref="AD73:AF73" si="215">++SUM(AD59,AD63:AD72)</f>
        <v>0</v>
      </c>
      <c r="AF73" s="18">
        <f t="shared" si="215"/>
        <v>0</v>
      </c>
      <c r="AG73" s="18">
        <f t="shared" ref="AG73" si="216">++SUM(AG59,AG63:AG72)</f>
        <v>0</v>
      </c>
      <c r="AH73" s="18">
        <f t="shared" ref="AH73" si="217">++SUM(AH59,AH63:AH72)</f>
        <v>0</v>
      </c>
    </row>
    <row r="74" spans="3:34" x14ac:dyDescent="0.4">
      <c r="C74" s="199" t="s">
        <v>106</v>
      </c>
      <c r="G74" s="19">
        <f t="shared" ref="G74:AH74" si="218">++IFERROR(G73/G16,0)</f>
        <v>0</v>
      </c>
      <c r="H74" s="19">
        <f t="shared" si="218"/>
        <v>0</v>
      </c>
      <c r="I74" s="19">
        <f t="shared" si="218"/>
        <v>0</v>
      </c>
      <c r="J74" s="19">
        <f t="shared" si="218"/>
        <v>0</v>
      </c>
      <c r="K74" s="19">
        <f t="shared" ref="K74:V74" si="219">++IFERROR(K73/K16,0)</f>
        <v>0</v>
      </c>
      <c r="L74" s="19">
        <f t="shared" si="219"/>
        <v>0</v>
      </c>
      <c r="M74" s="19">
        <f t="shared" si="219"/>
        <v>0</v>
      </c>
      <c r="N74" s="19">
        <f t="shared" si="219"/>
        <v>0</v>
      </c>
      <c r="O74" s="19">
        <f t="shared" si="219"/>
        <v>0</v>
      </c>
      <c r="P74" s="19">
        <f t="shared" si="219"/>
        <v>0</v>
      </c>
      <c r="Q74" s="19">
        <f t="shared" si="219"/>
        <v>0</v>
      </c>
      <c r="R74" s="19">
        <f t="shared" si="219"/>
        <v>0</v>
      </c>
      <c r="S74" s="19">
        <f t="shared" si="219"/>
        <v>0</v>
      </c>
      <c r="T74" s="19">
        <f t="shared" si="219"/>
        <v>0</v>
      </c>
      <c r="U74" s="19">
        <f t="shared" si="219"/>
        <v>0</v>
      </c>
      <c r="V74" s="19">
        <f t="shared" si="219"/>
        <v>0</v>
      </c>
      <c r="W74" s="19">
        <f t="shared" si="218"/>
        <v>0</v>
      </c>
      <c r="X74" s="19">
        <f t="shared" si="218"/>
        <v>0</v>
      </c>
      <c r="Y74" s="19">
        <f t="shared" si="218"/>
        <v>0</v>
      </c>
      <c r="Z74" s="19">
        <f t="shared" si="218"/>
        <v>0</v>
      </c>
      <c r="AA74" s="19">
        <f t="shared" si="218"/>
        <v>0</v>
      </c>
      <c r="AB74" s="19">
        <f t="shared" si="218"/>
        <v>0</v>
      </c>
      <c r="AC74" s="19">
        <f t="shared" si="218"/>
        <v>0</v>
      </c>
      <c r="AD74" s="19">
        <f t="shared" si="218"/>
        <v>0</v>
      </c>
      <c r="AF74" s="19">
        <f t="shared" ref="AF74" si="220">++IFERROR(AF73/AF16,0)</f>
        <v>0</v>
      </c>
      <c r="AG74" s="19">
        <f t="shared" si="218"/>
        <v>0</v>
      </c>
      <c r="AH74" s="19">
        <f t="shared" si="218"/>
        <v>0</v>
      </c>
    </row>
    <row r="75" spans="3:34" x14ac:dyDescent="0.4">
      <c r="C75" s="199" t="s">
        <v>104</v>
      </c>
      <c r="G75" s="177" t="s">
        <v>52</v>
      </c>
      <c r="H75" s="177" t="s">
        <v>52</v>
      </c>
      <c r="I75" s="177" t="s">
        <v>52</v>
      </c>
      <c r="J75" s="177" t="s">
        <v>52</v>
      </c>
      <c r="K75" s="19">
        <f t="shared" ref="K75" si="221">++IFERROR(K73/G73-1,0)</f>
        <v>0</v>
      </c>
      <c r="L75" s="19">
        <f t="shared" ref="L75" si="222">++IFERROR(L73/H73-1,0)</f>
        <v>0</v>
      </c>
      <c r="M75" s="19">
        <f t="shared" ref="M75" si="223">++IFERROR(M73/I73-1,0)</f>
        <v>0</v>
      </c>
      <c r="N75" s="19">
        <f t="shared" ref="N75" si="224">++IFERROR(N73/J73-1,0)</f>
        <v>0</v>
      </c>
      <c r="O75" s="19">
        <f t="shared" ref="O75" si="225">++IFERROR(O73/K73-1,0)</f>
        <v>0</v>
      </c>
      <c r="P75" s="19">
        <f t="shared" ref="P75" si="226">++IFERROR(P73/L73-1,0)</f>
        <v>0</v>
      </c>
      <c r="Q75" s="19">
        <f t="shared" ref="Q75" si="227">++IFERROR(Q73/M73-1,0)</f>
        <v>0</v>
      </c>
      <c r="R75" s="19">
        <f t="shared" ref="R75" si="228">++IFERROR(R73/N73-1,0)</f>
        <v>0</v>
      </c>
      <c r="S75" s="19">
        <f t="shared" ref="S75" si="229">++IFERROR(S73/O73-1,0)</f>
        <v>0</v>
      </c>
      <c r="T75" s="19">
        <f t="shared" ref="T75" si="230">++IFERROR(T73/P73-1,0)</f>
        <v>0</v>
      </c>
      <c r="U75" s="19">
        <f t="shared" ref="U75" si="231">++IFERROR(U73/Q73-1,0)</f>
        <v>0</v>
      </c>
      <c r="V75" s="19">
        <f t="shared" ref="V75" si="232">++IFERROR(V73/R73-1,0)</f>
        <v>0</v>
      </c>
      <c r="W75" s="19">
        <f t="shared" ref="W75:AD75" si="233">++IFERROR(W73/S73-1,0)</f>
        <v>0</v>
      </c>
      <c r="X75" s="19">
        <f t="shared" si="233"/>
        <v>0</v>
      </c>
      <c r="Y75" s="19">
        <f t="shared" si="233"/>
        <v>0</v>
      </c>
      <c r="Z75" s="19">
        <f t="shared" si="233"/>
        <v>0</v>
      </c>
      <c r="AA75" s="19">
        <f t="shared" si="233"/>
        <v>0</v>
      </c>
      <c r="AB75" s="19">
        <f t="shared" si="233"/>
        <v>0</v>
      </c>
      <c r="AC75" s="19">
        <f t="shared" si="233"/>
        <v>0</v>
      </c>
      <c r="AD75" s="19">
        <f t="shared" si="233"/>
        <v>0</v>
      </c>
      <c r="AF75" s="177" t="s">
        <v>52</v>
      </c>
      <c r="AG75" s="19">
        <f>++IFERROR(AG73/AF73-1,0)</f>
        <v>0</v>
      </c>
      <c r="AH75" s="19">
        <f>++IFERROR(AH73/AG73-1,0)</f>
        <v>0</v>
      </c>
    </row>
    <row r="76" spans="3:34" x14ac:dyDescent="0.4">
      <c r="C76" s="196"/>
    </row>
    <row r="77" spans="3:34" x14ac:dyDescent="0.4">
      <c r="C77" s="197" t="s">
        <v>175</v>
      </c>
      <c r="G77" s="182">
        <v>0</v>
      </c>
      <c r="H77" s="182">
        <v>0</v>
      </c>
      <c r="I77" s="182">
        <v>0</v>
      </c>
      <c r="J77" s="182">
        <v>0</v>
      </c>
      <c r="K77" s="182">
        <v>0</v>
      </c>
      <c r="L77" s="182">
        <v>0</v>
      </c>
      <c r="M77" s="182">
        <v>0</v>
      </c>
      <c r="N77" s="182">
        <v>0</v>
      </c>
      <c r="O77" s="182">
        <v>0</v>
      </c>
      <c r="P77" s="182">
        <v>0</v>
      </c>
      <c r="Q77" s="182">
        <v>0</v>
      </c>
      <c r="R77" s="182">
        <v>0</v>
      </c>
      <c r="S77" s="182">
        <v>0</v>
      </c>
      <c r="T77" s="182">
        <v>0</v>
      </c>
      <c r="U77" s="182">
        <v>0</v>
      </c>
      <c r="V77" s="182">
        <v>0</v>
      </c>
      <c r="W77" s="182">
        <v>0</v>
      </c>
      <c r="X77" s="182">
        <v>0</v>
      </c>
      <c r="Y77" s="182">
        <v>0</v>
      </c>
      <c r="Z77" s="182">
        <v>0</v>
      </c>
      <c r="AA77" s="182">
        <v>0</v>
      </c>
      <c r="AB77" s="182">
        <v>0</v>
      </c>
      <c r="AC77" s="182">
        <v>0</v>
      </c>
      <c r="AD77" s="182">
        <v>0</v>
      </c>
      <c r="AF77" s="182">
        <v>0</v>
      </c>
      <c r="AG77" s="182">
        <v>0</v>
      </c>
      <c r="AH77" s="182">
        <v>0</v>
      </c>
    </row>
    <row r="78" spans="3:34" x14ac:dyDescent="0.4">
      <c r="C78" s="197" t="s">
        <v>175</v>
      </c>
      <c r="G78" s="182">
        <v>0</v>
      </c>
      <c r="H78" s="182">
        <v>0</v>
      </c>
      <c r="I78" s="182">
        <v>0</v>
      </c>
      <c r="J78" s="182">
        <v>0</v>
      </c>
      <c r="K78" s="182">
        <v>0</v>
      </c>
      <c r="L78" s="182">
        <v>0</v>
      </c>
      <c r="M78" s="182">
        <v>0</v>
      </c>
      <c r="N78" s="182">
        <v>0</v>
      </c>
      <c r="O78" s="182">
        <v>0</v>
      </c>
      <c r="P78" s="182">
        <v>0</v>
      </c>
      <c r="Q78" s="182">
        <v>0</v>
      </c>
      <c r="R78" s="182">
        <v>0</v>
      </c>
      <c r="S78" s="182">
        <v>0</v>
      </c>
      <c r="T78" s="182">
        <v>0</v>
      </c>
      <c r="U78" s="182">
        <v>0</v>
      </c>
      <c r="V78" s="182">
        <v>0</v>
      </c>
      <c r="W78" s="182">
        <v>0</v>
      </c>
      <c r="X78" s="182">
        <v>0</v>
      </c>
      <c r="Y78" s="182">
        <v>0</v>
      </c>
      <c r="Z78" s="182">
        <v>0</v>
      </c>
      <c r="AA78" s="182">
        <v>0</v>
      </c>
      <c r="AB78" s="182">
        <v>0</v>
      </c>
      <c r="AC78" s="182">
        <v>0</v>
      </c>
      <c r="AD78" s="182">
        <v>0</v>
      </c>
      <c r="AF78" s="182">
        <v>0</v>
      </c>
      <c r="AG78" s="182">
        <v>0</v>
      </c>
      <c r="AH78" s="182">
        <v>0</v>
      </c>
    </row>
    <row r="79" spans="3:34" x14ac:dyDescent="0.4">
      <c r="C79" s="197" t="s">
        <v>175</v>
      </c>
      <c r="G79" s="182">
        <v>0</v>
      </c>
      <c r="H79" s="182">
        <v>0</v>
      </c>
      <c r="I79" s="182">
        <v>0</v>
      </c>
      <c r="J79" s="182">
        <v>0</v>
      </c>
      <c r="K79" s="182">
        <v>0</v>
      </c>
      <c r="L79" s="182">
        <v>0</v>
      </c>
      <c r="M79" s="182">
        <v>0</v>
      </c>
      <c r="N79" s="182">
        <v>0</v>
      </c>
      <c r="O79" s="182">
        <v>0</v>
      </c>
      <c r="P79" s="182">
        <v>0</v>
      </c>
      <c r="Q79" s="182">
        <v>0</v>
      </c>
      <c r="R79" s="182">
        <v>0</v>
      </c>
      <c r="S79" s="182">
        <v>0</v>
      </c>
      <c r="T79" s="182">
        <v>0</v>
      </c>
      <c r="U79" s="182">
        <v>0</v>
      </c>
      <c r="V79" s="182">
        <v>0</v>
      </c>
      <c r="W79" s="182">
        <v>0</v>
      </c>
      <c r="X79" s="182">
        <v>0</v>
      </c>
      <c r="Y79" s="182">
        <v>0</v>
      </c>
      <c r="Z79" s="182">
        <v>0</v>
      </c>
      <c r="AA79" s="182">
        <v>0</v>
      </c>
      <c r="AB79" s="182">
        <v>0</v>
      </c>
      <c r="AC79" s="182">
        <v>0</v>
      </c>
      <c r="AD79" s="182">
        <v>0</v>
      </c>
      <c r="AF79" s="182">
        <v>0</v>
      </c>
      <c r="AG79" s="182">
        <v>0</v>
      </c>
      <c r="AH79" s="182">
        <v>0</v>
      </c>
    </row>
    <row r="80" spans="3:34" x14ac:dyDescent="0.4">
      <c r="C80" s="197" t="s">
        <v>175</v>
      </c>
      <c r="G80" s="182">
        <v>0</v>
      </c>
      <c r="H80" s="182">
        <v>0</v>
      </c>
      <c r="I80" s="182">
        <v>0</v>
      </c>
      <c r="J80" s="182">
        <v>0</v>
      </c>
      <c r="K80" s="182">
        <v>0</v>
      </c>
      <c r="L80" s="182">
        <v>0</v>
      </c>
      <c r="M80" s="182">
        <v>0</v>
      </c>
      <c r="N80" s="182">
        <v>0</v>
      </c>
      <c r="O80" s="182">
        <v>0</v>
      </c>
      <c r="P80" s="182">
        <v>0</v>
      </c>
      <c r="Q80" s="182">
        <v>0</v>
      </c>
      <c r="R80" s="182">
        <v>0</v>
      </c>
      <c r="S80" s="182">
        <v>0</v>
      </c>
      <c r="T80" s="182">
        <v>0</v>
      </c>
      <c r="U80" s="182">
        <v>0</v>
      </c>
      <c r="V80" s="182">
        <v>0</v>
      </c>
      <c r="W80" s="182">
        <v>0</v>
      </c>
      <c r="X80" s="182">
        <v>0</v>
      </c>
      <c r="Y80" s="182">
        <v>0</v>
      </c>
      <c r="Z80" s="182">
        <v>0</v>
      </c>
      <c r="AA80" s="182">
        <v>0</v>
      </c>
      <c r="AB80" s="182">
        <v>0</v>
      </c>
      <c r="AC80" s="182">
        <v>0</v>
      </c>
      <c r="AD80" s="182">
        <v>0</v>
      </c>
      <c r="AF80" s="182">
        <v>0</v>
      </c>
      <c r="AG80" s="182">
        <v>0</v>
      </c>
      <c r="AH80" s="182">
        <v>0</v>
      </c>
    </row>
    <row r="81" spans="3:34" x14ac:dyDescent="0.4">
      <c r="C81" s="197" t="s">
        <v>175</v>
      </c>
      <c r="G81" s="182">
        <v>0</v>
      </c>
      <c r="H81" s="182">
        <v>0</v>
      </c>
      <c r="I81" s="182">
        <v>0</v>
      </c>
      <c r="J81" s="182">
        <v>0</v>
      </c>
      <c r="K81" s="182">
        <v>0</v>
      </c>
      <c r="L81" s="182">
        <v>0</v>
      </c>
      <c r="M81" s="182">
        <v>0</v>
      </c>
      <c r="N81" s="182">
        <v>0</v>
      </c>
      <c r="O81" s="182">
        <v>0</v>
      </c>
      <c r="P81" s="182">
        <v>0</v>
      </c>
      <c r="Q81" s="182">
        <v>0</v>
      </c>
      <c r="R81" s="182">
        <v>0</v>
      </c>
      <c r="S81" s="182">
        <v>0</v>
      </c>
      <c r="T81" s="182">
        <v>0</v>
      </c>
      <c r="U81" s="182">
        <v>0</v>
      </c>
      <c r="V81" s="182">
        <v>0</v>
      </c>
      <c r="W81" s="182">
        <v>0</v>
      </c>
      <c r="X81" s="182">
        <v>0</v>
      </c>
      <c r="Y81" s="182">
        <v>0</v>
      </c>
      <c r="Z81" s="182">
        <v>0</v>
      </c>
      <c r="AA81" s="182">
        <v>0</v>
      </c>
      <c r="AB81" s="182">
        <v>0</v>
      </c>
      <c r="AC81" s="182">
        <v>0</v>
      </c>
      <c r="AD81" s="182">
        <v>0</v>
      </c>
      <c r="AF81" s="182">
        <v>0</v>
      </c>
      <c r="AG81" s="182">
        <v>0</v>
      </c>
      <c r="AH81" s="182">
        <v>0</v>
      </c>
    </row>
    <row r="82" spans="3:34" x14ac:dyDescent="0.4">
      <c r="C82" s="197" t="s">
        <v>175</v>
      </c>
      <c r="G82" s="182">
        <v>0</v>
      </c>
      <c r="H82" s="182">
        <v>0</v>
      </c>
      <c r="I82" s="182">
        <v>0</v>
      </c>
      <c r="J82" s="182">
        <v>0</v>
      </c>
      <c r="K82" s="182">
        <v>0</v>
      </c>
      <c r="L82" s="182">
        <v>0</v>
      </c>
      <c r="M82" s="182">
        <v>0</v>
      </c>
      <c r="N82" s="182">
        <v>0</v>
      </c>
      <c r="O82" s="182">
        <v>0</v>
      </c>
      <c r="P82" s="182">
        <v>0</v>
      </c>
      <c r="Q82" s="182">
        <v>0</v>
      </c>
      <c r="R82" s="182">
        <v>0</v>
      </c>
      <c r="S82" s="182">
        <v>0</v>
      </c>
      <c r="T82" s="182">
        <v>0</v>
      </c>
      <c r="U82" s="182">
        <v>0</v>
      </c>
      <c r="V82" s="182">
        <v>0</v>
      </c>
      <c r="W82" s="182">
        <v>0</v>
      </c>
      <c r="X82" s="182">
        <v>0</v>
      </c>
      <c r="Y82" s="182">
        <v>0</v>
      </c>
      <c r="Z82" s="182">
        <v>0</v>
      </c>
      <c r="AA82" s="182">
        <v>0</v>
      </c>
      <c r="AB82" s="182">
        <v>0</v>
      </c>
      <c r="AC82" s="182">
        <v>0</v>
      </c>
      <c r="AD82" s="182">
        <v>0</v>
      </c>
      <c r="AF82" s="182">
        <v>0</v>
      </c>
      <c r="AG82" s="182">
        <v>0</v>
      </c>
      <c r="AH82" s="182">
        <v>0</v>
      </c>
    </row>
    <row r="83" spans="3:34" x14ac:dyDescent="0.4">
      <c r="C83" s="197" t="s">
        <v>175</v>
      </c>
      <c r="G83" s="182">
        <v>0</v>
      </c>
      <c r="H83" s="182">
        <v>0</v>
      </c>
      <c r="I83" s="182">
        <v>0</v>
      </c>
      <c r="J83" s="182">
        <v>0</v>
      </c>
      <c r="K83" s="182">
        <v>0</v>
      </c>
      <c r="L83" s="182">
        <v>0</v>
      </c>
      <c r="M83" s="182">
        <v>0</v>
      </c>
      <c r="N83" s="182">
        <v>0</v>
      </c>
      <c r="O83" s="182">
        <v>0</v>
      </c>
      <c r="P83" s="182">
        <v>0</v>
      </c>
      <c r="Q83" s="182">
        <v>0</v>
      </c>
      <c r="R83" s="182">
        <v>0</v>
      </c>
      <c r="S83" s="182">
        <v>0</v>
      </c>
      <c r="T83" s="182">
        <v>0</v>
      </c>
      <c r="U83" s="182">
        <v>0</v>
      </c>
      <c r="V83" s="182">
        <v>0</v>
      </c>
      <c r="W83" s="182">
        <v>0</v>
      </c>
      <c r="X83" s="182">
        <v>0</v>
      </c>
      <c r="Y83" s="182">
        <v>0</v>
      </c>
      <c r="Z83" s="182">
        <v>0</v>
      </c>
      <c r="AA83" s="182">
        <v>0</v>
      </c>
      <c r="AB83" s="182">
        <v>0</v>
      </c>
      <c r="AC83" s="182">
        <v>0</v>
      </c>
      <c r="AD83" s="182">
        <v>0</v>
      </c>
      <c r="AF83" s="182">
        <v>0</v>
      </c>
      <c r="AG83" s="182">
        <v>0</v>
      </c>
      <c r="AH83" s="182">
        <v>0</v>
      </c>
    </row>
    <row r="84" spans="3:34" x14ac:dyDescent="0.4">
      <c r="C84" s="197" t="s">
        <v>175</v>
      </c>
      <c r="G84" s="182">
        <v>0</v>
      </c>
      <c r="H84" s="182">
        <v>0</v>
      </c>
      <c r="I84" s="182">
        <v>0</v>
      </c>
      <c r="J84" s="182">
        <v>0</v>
      </c>
      <c r="K84" s="182">
        <v>0</v>
      </c>
      <c r="L84" s="182">
        <v>0</v>
      </c>
      <c r="M84" s="182">
        <v>0</v>
      </c>
      <c r="N84" s="182">
        <v>0</v>
      </c>
      <c r="O84" s="182">
        <v>0</v>
      </c>
      <c r="P84" s="182">
        <v>0</v>
      </c>
      <c r="Q84" s="182">
        <v>0</v>
      </c>
      <c r="R84" s="182">
        <v>0</v>
      </c>
      <c r="S84" s="182">
        <v>0</v>
      </c>
      <c r="T84" s="182">
        <v>0</v>
      </c>
      <c r="U84" s="182">
        <v>0</v>
      </c>
      <c r="V84" s="182">
        <v>0</v>
      </c>
      <c r="W84" s="182">
        <v>0</v>
      </c>
      <c r="X84" s="182">
        <v>0</v>
      </c>
      <c r="Y84" s="182">
        <v>0</v>
      </c>
      <c r="Z84" s="182">
        <v>0</v>
      </c>
      <c r="AA84" s="182">
        <v>0</v>
      </c>
      <c r="AB84" s="182">
        <v>0</v>
      </c>
      <c r="AC84" s="182">
        <v>0</v>
      </c>
      <c r="AD84" s="182">
        <v>0</v>
      </c>
      <c r="AF84" s="182">
        <v>0</v>
      </c>
      <c r="AG84" s="182">
        <v>0</v>
      </c>
      <c r="AH84" s="182">
        <v>0</v>
      </c>
    </row>
    <row r="85" spans="3:34" x14ac:dyDescent="0.4">
      <c r="C85" s="197" t="s">
        <v>175</v>
      </c>
      <c r="G85" s="182">
        <v>0</v>
      </c>
      <c r="H85" s="182">
        <v>0</v>
      </c>
      <c r="I85" s="182">
        <v>0</v>
      </c>
      <c r="J85" s="182">
        <v>0</v>
      </c>
      <c r="K85" s="182">
        <v>0</v>
      </c>
      <c r="L85" s="182">
        <v>0</v>
      </c>
      <c r="M85" s="182">
        <v>0</v>
      </c>
      <c r="N85" s="182">
        <v>0</v>
      </c>
      <c r="O85" s="182">
        <v>0</v>
      </c>
      <c r="P85" s="182">
        <v>0</v>
      </c>
      <c r="Q85" s="182">
        <v>0</v>
      </c>
      <c r="R85" s="182">
        <v>0</v>
      </c>
      <c r="S85" s="182">
        <v>0</v>
      </c>
      <c r="T85" s="182">
        <v>0</v>
      </c>
      <c r="U85" s="182">
        <v>0</v>
      </c>
      <c r="V85" s="182">
        <v>0</v>
      </c>
      <c r="W85" s="182">
        <v>0</v>
      </c>
      <c r="X85" s="182">
        <v>0</v>
      </c>
      <c r="Y85" s="182">
        <v>0</v>
      </c>
      <c r="Z85" s="182">
        <v>0</v>
      </c>
      <c r="AA85" s="182">
        <v>0</v>
      </c>
      <c r="AB85" s="182">
        <v>0</v>
      </c>
      <c r="AC85" s="182">
        <v>0</v>
      </c>
      <c r="AD85" s="182">
        <v>0</v>
      </c>
      <c r="AF85" s="182">
        <v>0</v>
      </c>
      <c r="AG85" s="182">
        <v>0</v>
      </c>
      <c r="AH85" s="182">
        <v>0</v>
      </c>
    </row>
    <row r="86" spans="3:34" x14ac:dyDescent="0.4">
      <c r="C86" s="197" t="s">
        <v>175</v>
      </c>
      <c r="G86" s="182">
        <v>0</v>
      </c>
      <c r="H86" s="182">
        <v>0</v>
      </c>
      <c r="I86" s="182">
        <v>0</v>
      </c>
      <c r="J86" s="182">
        <v>0</v>
      </c>
      <c r="K86" s="182">
        <v>0</v>
      </c>
      <c r="L86" s="182">
        <v>0</v>
      </c>
      <c r="M86" s="182">
        <v>0</v>
      </c>
      <c r="N86" s="182">
        <v>0</v>
      </c>
      <c r="O86" s="182">
        <v>0</v>
      </c>
      <c r="P86" s="182">
        <v>0</v>
      </c>
      <c r="Q86" s="182">
        <v>0</v>
      </c>
      <c r="R86" s="182">
        <v>0</v>
      </c>
      <c r="S86" s="182">
        <v>0</v>
      </c>
      <c r="T86" s="182">
        <v>0</v>
      </c>
      <c r="U86" s="182">
        <v>0</v>
      </c>
      <c r="V86" s="182">
        <v>0</v>
      </c>
      <c r="W86" s="182">
        <v>0</v>
      </c>
      <c r="X86" s="182">
        <v>0</v>
      </c>
      <c r="Y86" s="182">
        <v>0</v>
      </c>
      <c r="Z86" s="182">
        <v>0</v>
      </c>
      <c r="AA86" s="182">
        <v>0</v>
      </c>
      <c r="AB86" s="182">
        <v>0</v>
      </c>
      <c r="AC86" s="182">
        <v>0</v>
      </c>
      <c r="AD86" s="182">
        <v>0</v>
      </c>
      <c r="AF86" s="182">
        <v>0</v>
      </c>
      <c r="AG86" s="182">
        <v>0</v>
      </c>
      <c r="AH86" s="182">
        <v>0</v>
      </c>
    </row>
    <row r="87" spans="3:34" ht="13.5" thickBot="1" x14ac:dyDescent="0.45">
      <c r="C87" s="200" t="s">
        <v>107</v>
      </c>
      <c r="D87" s="174"/>
      <c r="E87" s="174"/>
      <c r="G87" s="178">
        <f>++SUM(G73,G77:G86)</f>
        <v>0</v>
      </c>
      <c r="H87" s="178">
        <f t="shared" ref="H87" si="234">++SUM(H73,H77:H86)</f>
        <v>0</v>
      </c>
      <c r="I87" s="178">
        <f t="shared" ref="I87" si="235">++SUM(I73,I77:I86)</f>
        <v>0</v>
      </c>
      <c r="J87" s="178">
        <f t="shared" ref="J87:V87" si="236">++SUM(J73,J77:J86)</f>
        <v>0</v>
      </c>
      <c r="K87" s="178">
        <f t="shared" si="236"/>
        <v>0</v>
      </c>
      <c r="L87" s="178">
        <f t="shared" si="236"/>
        <v>0</v>
      </c>
      <c r="M87" s="178">
        <f t="shared" si="236"/>
        <v>0</v>
      </c>
      <c r="N87" s="178">
        <f t="shared" si="236"/>
        <v>0</v>
      </c>
      <c r="O87" s="178">
        <f t="shared" si="236"/>
        <v>0</v>
      </c>
      <c r="P87" s="178">
        <f t="shared" si="236"/>
        <v>0</v>
      </c>
      <c r="Q87" s="178">
        <f t="shared" si="236"/>
        <v>0</v>
      </c>
      <c r="R87" s="178">
        <f t="shared" si="236"/>
        <v>0</v>
      </c>
      <c r="S87" s="178">
        <f t="shared" si="236"/>
        <v>0</v>
      </c>
      <c r="T87" s="178">
        <f t="shared" si="236"/>
        <v>0</v>
      </c>
      <c r="U87" s="178">
        <f t="shared" si="236"/>
        <v>0</v>
      </c>
      <c r="V87" s="178">
        <f t="shared" si="236"/>
        <v>0</v>
      </c>
      <c r="W87" s="178">
        <f t="shared" ref="W87" si="237">++SUM(W73,W77:W86)</f>
        <v>0</v>
      </c>
      <c r="X87" s="178">
        <f t="shared" ref="X87" si="238">++SUM(X73,X77:X86)</f>
        <v>0</v>
      </c>
      <c r="Y87" s="178">
        <f t="shared" ref="Y87" si="239">++SUM(Y73,Y77:Y86)</f>
        <v>0</v>
      </c>
      <c r="Z87" s="178">
        <f t="shared" ref="Z87" si="240">++SUM(Z73,Z77:Z86)</f>
        <v>0</v>
      </c>
      <c r="AA87" s="178">
        <f t="shared" ref="AA87" si="241">++SUM(AA73,AA77:AA86)</f>
        <v>0</v>
      </c>
      <c r="AB87" s="178">
        <f t="shared" ref="AB87" si="242">++SUM(AB73,AB77:AB86)</f>
        <v>0</v>
      </c>
      <c r="AC87" s="178">
        <f t="shared" ref="AC87" si="243">++SUM(AC73,AC77:AC86)</f>
        <v>0</v>
      </c>
      <c r="AD87" s="178">
        <f t="shared" ref="AD87:AF87" si="244">++SUM(AD73,AD77:AD86)</f>
        <v>0</v>
      </c>
      <c r="AF87" s="178">
        <f t="shared" si="244"/>
        <v>0</v>
      </c>
      <c r="AG87" s="178">
        <f t="shared" ref="AG87" si="245">++SUM(AG73,AG77:AG86)</f>
        <v>0</v>
      </c>
      <c r="AH87" s="178">
        <f t="shared" ref="AH87" si="246">++SUM(AH73,AH77:AH86)</f>
        <v>0</v>
      </c>
    </row>
    <row r="88" spans="3:34" ht="13.5" thickTop="1" x14ac:dyDescent="0.4">
      <c r="C88" s="199" t="s">
        <v>106</v>
      </c>
      <c r="G88" s="19">
        <f t="shared" ref="G88:AH88" si="247">++IFERROR(G87/G16,0)</f>
        <v>0</v>
      </c>
      <c r="H88" s="19">
        <f t="shared" si="247"/>
        <v>0</v>
      </c>
      <c r="I88" s="19">
        <f t="shared" si="247"/>
        <v>0</v>
      </c>
      <c r="J88" s="19">
        <f t="shared" si="247"/>
        <v>0</v>
      </c>
      <c r="K88" s="19">
        <f t="shared" ref="K88:V88" si="248">++IFERROR(K87/K16,0)</f>
        <v>0</v>
      </c>
      <c r="L88" s="19">
        <f t="shared" si="248"/>
        <v>0</v>
      </c>
      <c r="M88" s="19">
        <f t="shared" si="248"/>
        <v>0</v>
      </c>
      <c r="N88" s="19">
        <f t="shared" si="248"/>
        <v>0</v>
      </c>
      <c r="O88" s="19">
        <f t="shared" si="248"/>
        <v>0</v>
      </c>
      <c r="P88" s="19">
        <f t="shared" si="248"/>
        <v>0</v>
      </c>
      <c r="Q88" s="19">
        <f t="shared" si="248"/>
        <v>0</v>
      </c>
      <c r="R88" s="19">
        <f t="shared" si="248"/>
        <v>0</v>
      </c>
      <c r="S88" s="19">
        <f t="shared" si="248"/>
        <v>0</v>
      </c>
      <c r="T88" s="19">
        <f t="shared" si="248"/>
        <v>0</v>
      </c>
      <c r="U88" s="19">
        <f t="shared" si="248"/>
        <v>0</v>
      </c>
      <c r="V88" s="19">
        <f t="shared" si="248"/>
        <v>0</v>
      </c>
      <c r="W88" s="19">
        <f t="shared" si="247"/>
        <v>0</v>
      </c>
      <c r="X88" s="19">
        <f t="shared" si="247"/>
        <v>0</v>
      </c>
      <c r="Y88" s="19">
        <f t="shared" si="247"/>
        <v>0</v>
      </c>
      <c r="Z88" s="19">
        <f t="shared" si="247"/>
        <v>0</v>
      </c>
      <c r="AA88" s="19">
        <f t="shared" si="247"/>
        <v>0</v>
      </c>
      <c r="AB88" s="19">
        <f t="shared" si="247"/>
        <v>0</v>
      </c>
      <c r="AC88" s="19">
        <f t="shared" si="247"/>
        <v>0</v>
      </c>
      <c r="AD88" s="19">
        <f t="shared" si="247"/>
        <v>0</v>
      </c>
      <c r="AF88" s="19">
        <f t="shared" ref="AF88" si="249">++IFERROR(AF87/AF16,0)</f>
        <v>0</v>
      </c>
      <c r="AG88" s="19">
        <f t="shared" si="247"/>
        <v>0</v>
      </c>
      <c r="AH88" s="19">
        <f t="shared" si="247"/>
        <v>0</v>
      </c>
    </row>
    <row r="89" spans="3:34" x14ac:dyDescent="0.4">
      <c r="C89" s="199" t="s">
        <v>104</v>
      </c>
      <c r="G89" s="177" t="s">
        <v>52</v>
      </c>
      <c r="H89" s="177" t="s">
        <v>52</v>
      </c>
      <c r="I89" s="177" t="s">
        <v>52</v>
      </c>
      <c r="J89" s="177" t="s">
        <v>52</v>
      </c>
      <c r="K89" s="19">
        <f t="shared" ref="K89" si="250">++IFERROR(K87/G87-1,0)</f>
        <v>0</v>
      </c>
      <c r="L89" s="19">
        <f t="shared" ref="L89" si="251">++IFERROR(L87/H87-1,0)</f>
        <v>0</v>
      </c>
      <c r="M89" s="19">
        <f t="shared" ref="M89" si="252">++IFERROR(M87/I87-1,0)</f>
        <v>0</v>
      </c>
      <c r="N89" s="19">
        <f t="shared" ref="N89" si="253">++IFERROR(N87/J87-1,0)</f>
        <v>0</v>
      </c>
      <c r="O89" s="19">
        <f t="shared" ref="O89" si="254">++IFERROR(O87/K87-1,0)</f>
        <v>0</v>
      </c>
      <c r="P89" s="19">
        <f t="shared" ref="P89" si="255">++IFERROR(P87/L87-1,0)</f>
        <v>0</v>
      </c>
      <c r="Q89" s="19">
        <f t="shared" ref="Q89" si="256">++IFERROR(Q87/M87-1,0)</f>
        <v>0</v>
      </c>
      <c r="R89" s="19">
        <f t="shared" ref="R89" si="257">++IFERROR(R87/N87-1,0)</f>
        <v>0</v>
      </c>
      <c r="S89" s="19">
        <f t="shared" ref="S89" si="258">++IFERROR(S87/O87-1,0)</f>
        <v>0</v>
      </c>
      <c r="T89" s="19">
        <f t="shared" ref="T89" si="259">++IFERROR(T87/P87-1,0)</f>
        <v>0</v>
      </c>
      <c r="U89" s="19">
        <f t="shared" ref="U89" si="260">++IFERROR(U87/Q87-1,0)</f>
        <v>0</v>
      </c>
      <c r="V89" s="19">
        <f t="shared" ref="V89" si="261">++IFERROR(V87/R87-1,0)</f>
        <v>0</v>
      </c>
      <c r="W89" s="19">
        <f t="shared" ref="W89:AD89" si="262">++IFERROR(W87/S87-1,0)</f>
        <v>0</v>
      </c>
      <c r="X89" s="19">
        <f t="shared" si="262"/>
        <v>0</v>
      </c>
      <c r="Y89" s="19">
        <f t="shared" si="262"/>
        <v>0</v>
      </c>
      <c r="Z89" s="19">
        <f t="shared" si="262"/>
        <v>0</v>
      </c>
      <c r="AA89" s="19">
        <f t="shared" si="262"/>
        <v>0</v>
      </c>
      <c r="AB89" s="19">
        <f t="shared" si="262"/>
        <v>0</v>
      </c>
      <c r="AC89" s="19">
        <f t="shared" si="262"/>
        <v>0</v>
      </c>
      <c r="AD89" s="19">
        <f t="shared" si="262"/>
        <v>0</v>
      </c>
      <c r="AF89" s="177" t="s">
        <v>52</v>
      </c>
      <c r="AG89" s="19">
        <f>++IFERROR(AG87/AF87-1,0)</f>
        <v>0</v>
      </c>
      <c r="AH89" s="19">
        <f>++IFERROR(AH87/AG87-1,0)</f>
        <v>0</v>
      </c>
    </row>
    <row r="90" spans="3:34" x14ac:dyDescent="0.4">
      <c r="C90" s="196"/>
    </row>
    <row r="91" spans="3:34" x14ac:dyDescent="0.4">
      <c r="C91" s="196" t="s">
        <v>176</v>
      </c>
      <c r="G91" s="182">
        <v>0</v>
      </c>
      <c r="H91" s="182">
        <v>0</v>
      </c>
      <c r="I91" s="182">
        <v>0</v>
      </c>
      <c r="J91" s="182">
        <v>0</v>
      </c>
      <c r="K91" s="182">
        <v>0</v>
      </c>
      <c r="L91" s="182">
        <v>0</v>
      </c>
      <c r="M91" s="182">
        <v>0</v>
      </c>
      <c r="N91" s="182">
        <v>0</v>
      </c>
      <c r="O91" s="182">
        <v>0</v>
      </c>
      <c r="P91" s="182">
        <v>0</v>
      </c>
      <c r="Q91" s="182">
        <v>0</v>
      </c>
      <c r="R91" s="182">
        <v>0</v>
      </c>
      <c r="S91" s="182">
        <v>0</v>
      </c>
      <c r="T91" s="182">
        <v>0</v>
      </c>
      <c r="U91" s="182">
        <v>0</v>
      </c>
      <c r="V91" s="182">
        <v>0</v>
      </c>
      <c r="W91" s="182">
        <v>0</v>
      </c>
      <c r="X91" s="182">
        <v>0</v>
      </c>
      <c r="Y91" s="182">
        <v>0</v>
      </c>
      <c r="Z91" s="182">
        <v>0</v>
      </c>
      <c r="AA91" s="182">
        <v>0</v>
      </c>
      <c r="AB91" s="182">
        <v>0</v>
      </c>
      <c r="AC91" s="182">
        <v>0</v>
      </c>
      <c r="AD91" s="182">
        <v>0</v>
      </c>
      <c r="AF91" s="182">
        <v>0</v>
      </c>
      <c r="AG91" s="182">
        <v>0</v>
      </c>
      <c r="AH91" s="182">
        <v>0</v>
      </c>
    </row>
    <row r="92" spans="3:34" x14ac:dyDescent="0.4">
      <c r="C92" s="196" t="s">
        <v>177</v>
      </c>
      <c r="G92" s="182">
        <v>0</v>
      </c>
      <c r="H92" s="182">
        <v>0</v>
      </c>
      <c r="I92" s="182">
        <v>0</v>
      </c>
      <c r="J92" s="182">
        <v>0</v>
      </c>
      <c r="K92" s="182">
        <v>0</v>
      </c>
      <c r="L92" s="182">
        <v>0</v>
      </c>
      <c r="M92" s="182">
        <v>0</v>
      </c>
      <c r="N92" s="182">
        <v>0</v>
      </c>
      <c r="O92" s="182">
        <v>0</v>
      </c>
      <c r="P92" s="182">
        <v>0</v>
      </c>
      <c r="Q92" s="182">
        <v>0</v>
      </c>
      <c r="R92" s="182">
        <v>0</v>
      </c>
      <c r="S92" s="182">
        <v>0</v>
      </c>
      <c r="T92" s="182">
        <v>0</v>
      </c>
      <c r="U92" s="182">
        <v>0</v>
      </c>
      <c r="V92" s="182">
        <v>0</v>
      </c>
      <c r="W92" s="182">
        <v>0</v>
      </c>
      <c r="X92" s="182">
        <v>0</v>
      </c>
      <c r="Y92" s="182">
        <v>0</v>
      </c>
      <c r="Z92" s="182">
        <v>0</v>
      </c>
      <c r="AA92" s="182">
        <v>0</v>
      </c>
      <c r="AB92" s="182">
        <v>0</v>
      </c>
      <c r="AC92" s="182">
        <v>0</v>
      </c>
      <c r="AD92" s="182">
        <v>0</v>
      </c>
      <c r="AF92" s="182">
        <v>0</v>
      </c>
      <c r="AG92" s="182">
        <v>0</v>
      </c>
      <c r="AH92" s="182">
        <v>0</v>
      </c>
    </row>
    <row r="93" spans="3:34" x14ac:dyDescent="0.4">
      <c r="C93" s="196" t="s">
        <v>178</v>
      </c>
      <c r="G93" s="182">
        <v>0</v>
      </c>
      <c r="H93" s="182">
        <v>0</v>
      </c>
      <c r="I93" s="182">
        <v>0</v>
      </c>
      <c r="J93" s="182">
        <v>0</v>
      </c>
      <c r="K93" s="182">
        <v>0</v>
      </c>
      <c r="L93" s="182">
        <v>0</v>
      </c>
      <c r="M93" s="182">
        <v>0</v>
      </c>
      <c r="N93" s="182">
        <v>0</v>
      </c>
      <c r="O93" s="182">
        <v>0</v>
      </c>
      <c r="P93" s="182">
        <v>0</v>
      </c>
      <c r="Q93" s="182">
        <v>0</v>
      </c>
      <c r="R93" s="182">
        <v>0</v>
      </c>
      <c r="S93" s="182">
        <v>0</v>
      </c>
      <c r="T93" s="182">
        <v>0</v>
      </c>
      <c r="U93" s="182">
        <v>0</v>
      </c>
      <c r="V93" s="182">
        <v>0</v>
      </c>
      <c r="W93" s="182">
        <v>0</v>
      </c>
      <c r="X93" s="182">
        <v>0</v>
      </c>
      <c r="Y93" s="182">
        <v>0</v>
      </c>
      <c r="Z93" s="182">
        <v>0</v>
      </c>
      <c r="AA93" s="182">
        <v>0</v>
      </c>
      <c r="AB93" s="182">
        <v>0</v>
      </c>
      <c r="AC93" s="182">
        <v>0</v>
      </c>
      <c r="AD93" s="182">
        <v>0</v>
      </c>
      <c r="AF93" s="182">
        <v>0</v>
      </c>
      <c r="AG93" s="182">
        <v>0</v>
      </c>
      <c r="AH93" s="182">
        <v>0</v>
      </c>
    </row>
    <row r="94" spans="3:34" x14ac:dyDescent="0.4">
      <c r="C94" s="198" t="s">
        <v>133</v>
      </c>
      <c r="D94" s="2"/>
      <c r="E94" s="2"/>
      <c r="G94" s="18">
        <f>++SUM(G91:G93)</f>
        <v>0</v>
      </c>
      <c r="H94" s="18">
        <f t="shared" ref="H94" si="263">++SUM(H91:H93)</f>
        <v>0</v>
      </c>
      <c r="I94" s="18">
        <f t="shared" ref="I94" si="264">++SUM(I91:I93)</f>
        <v>0</v>
      </c>
      <c r="J94" s="18">
        <f t="shared" ref="J94:V94" si="265">++SUM(J91:J93)</f>
        <v>0</v>
      </c>
      <c r="K94" s="18">
        <f t="shared" si="265"/>
        <v>0</v>
      </c>
      <c r="L94" s="18">
        <f t="shared" si="265"/>
        <v>0</v>
      </c>
      <c r="M94" s="18">
        <f t="shared" si="265"/>
        <v>0</v>
      </c>
      <c r="N94" s="18">
        <f t="shared" si="265"/>
        <v>0</v>
      </c>
      <c r="O94" s="18">
        <f t="shared" si="265"/>
        <v>0</v>
      </c>
      <c r="P94" s="18">
        <f t="shared" si="265"/>
        <v>0</v>
      </c>
      <c r="Q94" s="18">
        <f t="shared" si="265"/>
        <v>0</v>
      </c>
      <c r="R94" s="18">
        <f t="shared" si="265"/>
        <v>0</v>
      </c>
      <c r="S94" s="18">
        <f t="shared" si="265"/>
        <v>0</v>
      </c>
      <c r="T94" s="18">
        <f t="shared" si="265"/>
        <v>0</v>
      </c>
      <c r="U94" s="18">
        <f t="shared" si="265"/>
        <v>0</v>
      </c>
      <c r="V94" s="18">
        <f t="shared" si="265"/>
        <v>0</v>
      </c>
      <c r="W94" s="18">
        <f t="shared" ref="W94" si="266">++SUM(W91:W93)</f>
        <v>0</v>
      </c>
      <c r="X94" s="18">
        <f t="shared" ref="X94" si="267">++SUM(X91:X93)</f>
        <v>0</v>
      </c>
      <c r="Y94" s="18">
        <f t="shared" ref="Y94" si="268">++SUM(Y91:Y93)</f>
        <v>0</v>
      </c>
      <c r="Z94" s="18">
        <f t="shared" ref="Z94" si="269">++SUM(Z91:Z93)</f>
        <v>0</v>
      </c>
      <c r="AA94" s="18">
        <f t="shared" ref="AA94" si="270">++SUM(AA91:AA93)</f>
        <v>0</v>
      </c>
      <c r="AB94" s="18">
        <f t="shared" ref="AB94" si="271">++SUM(AB91:AB93)</f>
        <v>0</v>
      </c>
      <c r="AC94" s="18">
        <f t="shared" ref="AC94" si="272">++SUM(AC91:AC93)</f>
        <v>0</v>
      </c>
      <c r="AD94" s="18">
        <f t="shared" ref="AD94:AF94" si="273">++SUM(AD91:AD93)</f>
        <v>0</v>
      </c>
      <c r="AF94" s="18">
        <f t="shared" si="273"/>
        <v>0</v>
      </c>
      <c r="AG94" s="18">
        <f t="shared" ref="AG94" si="274">++SUM(AG91:AG93)</f>
        <v>0</v>
      </c>
      <c r="AH94" s="18">
        <f t="shared" ref="AH94" si="275">++SUM(AH91:AH93)</f>
        <v>0</v>
      </c>
    </row>
    <row r="95" spans="3:34" x14ac:dyDescent="0.4">
      <c r="C95" s="199" t="s">
        <v>109</v>
      </c>
      <c r="G95" s="19">
        <f t="shared" ref="G95:AH95" si="276">++IFERROR(G94/G16,0)</f>
        <v>0</v>
      </c>
      <c r="H95" s="19">
        <f t="shared" si="276"/>
        <v>0</v>
      </c>
      <c r="I95" s="19">
        <f t="shared" si="276"/>
        <v>0</v>
      </c>
      <c r="J95" s="19">
        <f t="shared" si="276"/>
        <v>0</v>
      </c>
      <c r="K95" s="19">
        <f t="shared" ref="K95:V95" si="277">++IFERROR(K94/K16,0)</f>
        <v>0</v>
      </c>
      <c r="L95" s="19">
        <f t="shared" si="277"/>
        <v>0</v>
      </c>
      <c r="M95" s="19">
        <f t="shared" si="277"/>
        <v>0</v>
      </c>
      <c r="N95" s="19">
        <f t="shared" si="277"/>
        <v>0</v>
      </c>
      <c r="O95" s="19">
        <f t="shared" si="277"/>
        <v>0</v>
      </c>
      <c r="P95" s="19">
        <f t="shared" si="277"/>
        <v>0</v>
      </c>
      <c r="Q95" s="19">
        <f t="shared" si="277"/>
        <v>0</v>
      </c>
      <c r="R95" s="19">
        <f t="shared" si="277"/>
        <v>0</v>
      </c>
      <c r="S95" s="19">
        <f t="shared" si="277"/>
        <v>0</v>
      </c>
      <c r="T95" s="19">
        <f t="shared" si="277"/>
        <v>0</v>
      </c>
      <c r="U95" s="19">
        <f t="shared" si="277"/>
        <v>0</v>
      </c>
      <c r="V95" s="19">
        <f t="shared" si="277"/>
        <v>0</v>
      </c>
      <c r="W95" s="19">
        <f t="shared" si="276"/>
        <v>0</v>
      </c>
      <c r="X95" s="19">
        <f t="shared" si="276"/>
        <v>0</v>
      </c>
      <c r="Y95" s="19">
        <f t="shared" si="276"/>
        <v>0</v>
      </c>
      <c r="Z95" s="19">
        <f t="shared" si="276"/>
        <v>0</v>
      </c>
      <c r="AA95" s="19">
        <f t="shared" si="276"/>
        <v>0</v>
      </c>
      <c r="AB95" s="19">
        <f t="shared" si="276"/>
        <v>0</v>
      </c>
      <c r="AC95" s="19">
        <f t="shared" si="276"/>
        <v>0</v>
      </c>
      <c r="AD95" s="19">
        <f t="shared" si="276"/>
        <v>0</v>
      </c>
      <c r="AF95" s="19">
        <f t="shared" ref="AF95" si="278">++IFERROR(AF94/AF16,0)</f>
        <v>0</v>
      </c>
      <c r="AG95" s="19">
        <f t="shared" si="276"/>
        <v>0</v>
      </c>
      <c r="AH95" s="19">
        <f t="shared" si="276"/>
        <v>0</v>
      </c>
    </row>
    <row r="96" spans="3:34" x14ac:dyDescent="0.4">
      <c r="C96" s="196"/>
    </row>
    <row r="97" spans="1:34" x14ac:dyDescent="0.4">
      <c r="C97" s="196" t="s">
        <v>179</v>
      </c>
      <c r="G97" s="182">
        <v>0</v>
      </c>
      <c r="H97" s="182">
        <v>0</v>
      </c>
      <c r="I97" s="182">
        <v>0</v>
      </c>
      <c r="J97" s="182">
        <v>0</v>
      </c>
      <c r="K97" s="182">
        <v>0</v>
      </c>
      <c r="L97" s="182">
        <v>0</v>
      </c>
      <c r="M97" s="182">
        <v>0</v>
      </c>
      <c r="N97" s="182">
        <v>0</v>
      </c>
      <c r="O97" s="182">
        <v>0</v>
      </c>
      <c r="P97" s="182">
        <v>0</v>
      </c>
      <c r="Q97" s="182">
        <v>0</v>
      </c>
      <c r="R97" s="182">
        <v>0</v>
      </c>
      <c r="S97" s="182">
        <v>0</v>
      </c>
      <c r="T97" s="182">
        <v>0</v>
      </c>
      <c r="U97" s="182">
        <v>0</v>
      </c>
      <c r="V97" s="182">
        <v>0</v>
      </c>
      <c r="W97" s="182">
        <v>0</v>
      </c>
      <c r="X97" s="182">
        <v>0</v>
      </c>
      <c r="Y97" s="182">
        <v>0</v>
      </c>
      <c r="Z97" s="182">
        <v>0</v>
      </c>
      <c r="AA97" s="182">
        <v>0</v>
      </c>
      <c r="AB97" s="182">
        <v>0</v>
      </c>
      <c r="AC97" s="182">
        <v>0</v>
      </c>
      <c r="AD97" s="182">
        <v>0</v>
      </c>
      <c r="AF97" s="182">
        <v>0</v>
      </c>
      <c r="AG97" s="182">
        <v>0</v>
      </c>
      <c r="AH97" s="182">
        <v>0</v>
      </c>
    </row>
    <row r="98" spans="1:34" x14ac:dyDescent="0.4">
      <c r="C98" s="196" t="s">
        <v>180</v>
      </c>
      <c r="G98" s="182">
        <v>0</v>
      </c>
      <c r="H98" s="182">
        <v>0</v>
      </c>
      <c r="I98" s="182">
        <v>0</v>
      </c>
      <c r="J98" s="182">
        <v>0</v>
      </c>
      <c r="K98" s="182">
        <v>0</v>
      </c>
      <c r="L98" s="182">
        <v>0</v>
      </c>
      <c r="M98" s="182">
        <v>0</v>
      </c>
      <c r="N98" s="182">
        <v>0</v>
      </c>
      <c r="O98" s="182">
        <v>0</v>
      </c>
      <c r="P98" s="182">
        <v>0</v>
      </c>
      <c r="Q98" s="182">
        <v>0</v>
      </c>
      <c r="R98" s="182">
        <v>0</v>
      </c>
      <c r="S98" s="182">
        <v>0</v>
      </c>
      <c r="T98" s="182">
        <v>0</v>
      </c>
      <c r="U98" s="182">
        <v>0</v>
      </c>
      <c r="V98" s="182">
        <v>0</v>
      </c>
      <c r="W98" s="182">
        <v>0</v>
      </c>
      <c r="X98" s="182">
        <v>0</v>
      </c>
      <c r="Y98" s="182">
        <v>0</v>
      </c>
      <c r="Z98" s="182">
        <v>0</v>
      </c>
      <c r="AA98" s="182">
        <v>0</v>
      </c>
      <c r="AB98" s="182">
        <v>0</v>
      </c>
      <c r="AC98" s="182">
        <v>0</v>
      </c>
      <c r="AD98" s="182">
        <v>0</v>
      </c>
      <c r="AF98" s="182">
        <v>0</v>
      </c>
      <c r="AG98" s="182">
        <v>0</v>
      </c>
      <c r="AH98" s="182">
        <v>0</v>
      </c>
    </row>
    <row r="99" spans="1:34" x14ac:dyDescent="0.4">
      <c r="C99" s="196" t="s">
        <v>181</v>
      </c>
      <c r="G99" s="182">
        <v>0</v>
      </c>
      <c r="H99" s="182">
        <v>0</v>
      </c>
      <c r="I99" s="182">
        <v>0</v>
      </c>
      <c r="J99" s="182">
        <v>0</v>
      </c>
      <c r="K99" s="182">
        <v>0</v>
      </c>
      <c r="L99" s="182">
        <v>0</v>
      </c>
      <c r="M99" s="182">
        <v>0</v>
      </c>
      <c r="N99" s="182">
        <v>0</v>
      </c>
      <c r="O99" s="182">
        <v>0</v>
      </c>
      <c r="P99" s="182">
        <v>0</v>
      </c>
      <c r="Q99" s="182">
        <v>0</v>
      </c>
      <c r="R99" s="182">
        <v>0</v>
      </c>
      <c r="S99" s="182">
        <v>0</v>
      </c>
      <c r="T99" s="182">
        <v>0</v>
      </c>
      <c r="U99" s="182">
        <v>0</v>
      </c>
      <c r="V99" s="182">
        <v>0</v>
      </c>
      <c r="W99" s="182">
        <v>0</v>
      </c>
      <c r="X99" s="182">
        <v>0</v>
      </c>
      <c r="Y99" s="182">
        <v>0</v>
      </c>
      <c r="Z99" s="182">
        <v>0</v>
      </c>
      <c r="AA99" s="182">
        <v>0</v>
      </c>
      <c r="AB99" s="182">
        <v>0</v>
      </c>
      <c r="AC99" s="182">
        <v>0</v>
      </c>
      <c r="AD99" s="182">
        <v>0</v>
      </c>
      <c r="AF99" s="182">
        <v>0</v>
      </c>
      <c r="AG99" s="182">
        <v>0</v>
      </c>
      <c r="AH99" s="182">
        <v>0</v>
      </c>
    </row>
    <row r="100" spans="1:34" x14ac:dyDescent="0.4">
      <c r="C100" s="196" t="s">
        <v>18</v>
      </c>
      <c r="G100" s="17">
        <f>++-G94</f>
        <v>0</v>
      </c>
      <c r="H100" s="17">
        <f t="shared" ref="H100:AH100" si="279">++-H94</f>
        <v>0</v>
      </c>
      <c r="I100" s="17">
        <f t="shared" si="279"/>
        <v>0</v>
      </c>
      <c r="J100" s="17">
        <f t="shared" si="279"/>
        <v>0</v>
      </c>
      <c r="K100" s="17">
        <f t="shared" ref="K100:V100" si="280">++-K94</f>
        <v>0</v>
      </c>
      <c r="L100" s="17">
        <f t="shared" si="280"/>
        <v>0</v>
      </c>
      <c r="M100" s="17">
        <f t="shared" si="280"/>
        <v>0</v>
      </c>
      <c r="N100" s="17">
        <f t="shared" si="280"/>
        <v>0</v>
      </c>
      <c r="O100" s="17">
        <f t="shared" si="280"/>
        <v>0</v>
      </c>
      <c r="P100" s="17">
        <f t="shared" si="280"/>
        <v>0</v>
      </c>
      <c r="Q100" s="17">
        <f t="shared" si="280"/>
        <v>0</v>
      </c>
      <c r="R100" s="17">
        <f t="shared" si="280"/>
        <v>0</v>
      </c>
      <c r="S100" s="17">
        <f t="shared" si="280"/>
        <v>0</v>
      </c>
      <c r="T100" s="17">
        <f t="shared" si="280"/>
        <v>0</v>
      </c>
      <c r="U100" s="17">
        <f t="shared" si="280"/>
        <v>0</v>
      </c>
      <c r="V100" s="17">
        <f t="shared" si="280"/>
        <v>0</v>
      </c>
      <c r="W100" s="17">
        <f t="shared" si="279"/>
        <v>0</v>
      </c>
      <c r="X100" s="17">
        <f t="shared" si="279"/>
        <v>0</v>
      </c>
      <c r="Y100" s="17">
        <f t="shared" si="279"/>
        <v>0</v>
      </c>
      <c r="Z100" s="17">
        <f t="shared" si="279"/>
        <v>0</v>
      </c>
      <c r="AA100" s="17">
        <f t="shared" si="279"/>
        <v>0</v>
      </c>
      <c r="AB100" s="17">
        <f t="shared" si="279"/>
        <v>0</v>
      </c>
      <c r="AC100" s="17">
        <f t="shared" si="279"/>
        <v>0</v>
      </c>
      <c r="AD100" s="17">
        <f t="shared" si="279"/>
        <v>0</v>
      </c>
      <c r="AF100" s="17">
        <f t="shared" ref="AF100" si="281">++-AF94</f>
        <v>0</v>
      </c>
      <c r="AG100" s="17">
        <f t="shared" si="279"/>
        <v>0</v>
      </c>
      <c r="AH100" s="17">
        <f t="shared" si="279"/>
        <v>0</v>
      </c>
    </row>
    <row r="101" spans="1:34" x14ac:dyDescent="0.4">
      <c r="C101" s="198" t="s">
        <v>182</v>
      </c>
      <c r="D101" s="2"/>
      <c r="E101" s="2"/>
      <c r="G101" s="18">
        <f>++SUM(G97:G100)</f>
        <v>0</v>
      </c>
      <c r="H101" s="18">
        <f t="shared" ref="H101" si="282">++SUM(H97:H100)</f>
        <v>0</v>
      </c>
      <c r="I101" s="18">
        <f t="shared" ref="I101" si="283">++SUM(I97:I100)</f>
        <v>0</v>
      </c>
      <c r="J101" s="18">
        <f t="shared" ref="J101:V101" si="284">++SUM(J97:J100)</f>
        <v>0</v>
      </c>
      <c r="K101" s="18">
        <f t="shared" si="284"/>
        <v>0</v>
      </c>
      <c r="L101" s="18">
        <f t="shared" si="284"/>
        <v>0</v>
      </c>
      <c r="M101" s="18">
        <f t="shared" si="284"/>
        <v>0</v>
      </c>
      <c r="N101" s="18">
        <f t="shared" si="284"/>
        <v>0</v>
      </c>
      <c r="O101" s="18">
        <f t="shared" si="284"/>
        <v>0</v>
      </c>
      <c r="P101" s="18">
        <f t="shared" si="284"/>
        <v>0</v>
      </c>
      <c r="Q101" s="18">
        <f t="shared" si="284"/>
        <v>0</v>
      </c>
      <c r="R101" s="18">
        <f t="shared" si="284"/>
        <v>0</v>
      </c>
      <c r="S101" s="18">
        <f t="shared" si="284"/>
        <v>0</v>
      </c>
      <c r="T101" s="18">
        <f t="shared" si="284"/>
        <v>0</v>
      </c>
      <c r="U101" s="18">
        <f t="shared" si="284"/>
        <v>0</v>
      </c>
      <c r="V101" s="18">
        <f t="shared" si="284"/>
        <v>0</v>
      </c>
      <c r="W101" s="18">
        <f t="shared" ref="W101" si="285">++SUM(W97:W100)</f>
        <v>0</v>
      </c>
      <c r="X101" s="18">
        <f t="shared" ref="X101" si="286">++SUM(X97:X100)</f>
        <v>0</v>
      </c>
      <c r="Y101" s="18">
        <f t="shared" ref="Y101" si="287">++SUM(Y97:Y100)</f>
        <v>0</v>
      </c>
      <c r="Z101" s="18">
        <f t="shared" ref="Z101" si="288">++SUM(Z97:Z100)</f>
        <v>0</v>
      </c>
      <c r="AA101" s="18">
        <f t="shared" ref="AA101" si="289">++SUM(AA97:AA100)</f>
        <v>0</v>
      </c>
      <c r="AB101" s="18">
        <f t="shared" ref="AB101" si="290">++SUM(AB97:AB100)</f>
        <v>0</v>
      </c>
      <c r="AC101" s="18">
        <f t="shared" ref="AC101" si="291">++SUM(AC97:AC100)</f>
        <v>0</v>
      </c>
      <c r="AD101" s="18">
        <f t="shared" ref="AD101:AF101" si="292">++SUM(AD97:AD100)</f>
        <v>0</v>
      </c>
      <c r="AF101" s="18">
        <f t="shared" si="292"/>
        <v>0</v>
      </c>
      <c r="AG101" s="18">
        <f t="shared" ref="AG101" si="293">++SUM(AG97:AG100)</f>
        <v>0</v>
      </c>
      <c r="AH101" s="18">
        <f t="shared" ref="AH101" si="294">++SUM(AH97:AH100)</f>
        <v>0</v>
      </c>
    </row>
    <row r="102" spans="1:34" x14ac:dyDescent="0.4">
      <c r="C102" s="199" t="s">
        <v>109</v>
      </c>
      <c r="G102" s="19">
        <f t="shared" ref="G102:AH102" si="295">++IFERROR(G101/G16,0)</f>
        <v>0</v>
      </c>
      <c r="H102" s="19">
        <f t="shared" si="295"/>
        <v>0</v>
      </c>
      <c r="I102" s="19">
        <f t="shared" si="295"/>
        <v>0</v>
      </c>
      <c r="J102" s="19">
        <f t="shared" si="295"/>
        <v>0</v>
      </c>
      <c r="K102" s="19">
        <f t="shared" ref="K102:V102" si="296">++IFERROR(K101/K16,0)</f>
        <v>0</v>
      </c>
      <c r="L102" s="19">
        <f t="shared" si="296"/>
        <v>0</v>
      </c>
      <c r="M102" s="19">
        <f t="shared" si="296"/>
        <v>0</v>
      </c>
      <c r="N102" s="19">
        <f t="shared" si="296"/>
        <v>0</v>
      </c>
      <c r="O102" s="19">
        <f t="shared" si="296"/>
        <v>0</v>
      </c>
      <c r="P102" s="19">
        <f t="shared" si="296"/>
        <v>0</v>
      </c>
      <c r="Q102" s="19">
        <f t="shared" si="296"/>
        <v>0</v>
      </c>
      <c r="R102" s="19">
        <f t="shared" si="296"/>
        <v>0</v>
      </c>
      <c r="S102" s="19">
        <f t="shared" si="296"/>
        <v>0</v>
      </c>
      <c r="T102" s="19">
        <f t="shared" si="296"/>
        <v>0</v>
      </c>
      <c r="U102" s="19">
        <f t="shared" si="296"/>
        <v>0</v>
      </c>
      <c r="V102" s="19">
        <f t="shared" si="296"/>
        <v>0</v>
      </c>
      <c r="W102" s="19">
        <f t="shared" si="295"/>
        <v>0</v>
      </c>
      <c r="X102" s="19">
        <f t="shared" si="295"/>
        <v>0</v>
      </c>
      <c r="Y102" s="19">
        <f t="shared" si="295"/>
        <v>0</v>
      </c>
      <c r="Z102" s="19">
        <f t="shared" si="295"/>
        <v>0</v>
      </c>
      <c r="AA102" s="19">
        <f t="shared" si="295"/>
        <v>0</v>
      </c>
      <c r="AB102" s="19">
        <f t="shared" si="295"/>
        <v>0</v>
      </c>
      <c r="AC102" s="19">
        <f t="shared" si="295"/>
        <v>0</v>
      </c>
      <c r="AD102" s="19">
        <f t="shared" si="295"/>
        <v>0</v>
      </c>
      <c r="AF102" s="19">
        <f t="shared" ref="AF102" si="297">++IFERROR(AF101/AF16,0)</f>
        <v>0</v>
      </c>
      <c r="AG102" s="19">
        <f t="shared" si="295"/>
        <v>0</v>
      </c>
      <c r="AH102" s="19">
        <f t="shared" si="295"/>
        <v>0</v>
      </c>
    </row>
    <row r="103" spans="1:34" x14ac:dyDescent="0.4">
      <c r="C103" s="196"/>
    </row>
    <row r="104" spans="1:34" x14ac:dyDescent="0.4">
      <c r="C104" s="196"/>
    </row>
    <row r="105" spans="1:34" x14ac:dyDescent="0.4">
      <c r="A105" s="12"/>
      <c r="B105" s="12" t="s">
        <v>8</v>
      </c>
      <c r="C105" s="194" t="s">
        <v>183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5.0999999999999996" customHeight="1" x14ac:dyDescent="0.4">
      <c r="C106" s="196"/>
    </row>
    <row r="107" spans="1:34" x14ac:dyDescent="0.4">
      <c r="C107" s="196" t="str">
        <f>++C$10</f>
        <v>[Segment]</v>
      </c>
      <c r="G107" s="52">
        <f t="shared" ref="G107:G112" si="298">++G10</f>
        <v>0</v>
      </c>
      <c r="H107" s="52">
        <f t="shared" ref="H107:J112" si="299">++H10+G107</f>
        <v>0</v>
      </c>
      <c r="I107" s="52">
        <f t="shared" si="299"/>
        <v>0</v>
      </c>
      <c r="J107" s="52">
        <f t="shared" si="299"/>
        <v>0</v>
      </c>
      <c r="K107" s="52">
        <f t="shared" ref="K107:S112" si="300">++K10</f>
        <v>0</v>
      </c>
      <c r="L107" s="52">
        <f t="shared" ref="L107:L112" si="301">++L10+K107</f>
        <v>0</v>
      </c>
      <c r="M107" s="52">
        <f t="shared" ref="M107:M112" si="302">++M10+L107</f>
        <v>0</v>
      </c>
      <c r="N107" s="52">
        <f t="shared" ref="N107:N112" si="303">++N10+M107</f>
        <v>0</v>
      </c>
      <c r="O107" s="52">
        <f t="shared" si="300"/>
        <v>0</v>
      </c>
      <c r="P107" s="52">
        <f t="shared" ref="P107:P112" si="304">++P10+O107</f>
        <v>0</v>
      </c>
      <c r="Q107" s="52">
        <f t="shared" ref="Q107:Q112" si="305">++Q10+P107</f>
        <v>0</v>
      </c>
      <c r="R107" s="52">
        <f t="shared" ref="R107:R112" si="306">++R10+Q107</f>
        <v>0</v>
      </c>
      <c r="S107" s="52">
        <f t="shared" si="300"/>
        <v>0</v>
      </c>
      <c r="T107" s="52">
        <f t="shared" ref="T107:T112" si="307">++T10+S107</f>
        <v>0</v>
      </c>
      <c r="U107" s="52">
        <f t="shared" ref="U107:U112" si="308">++U10+T107</f>
        <v>0</v>
      </c>
      <c r="V107" s="52">
        <f t="shared" ref="V107:V112" si="309">++V10+U107</f>
        <v>0</v>
      </c>
      <c r="W107" s="52">
        <f t="shared" ref="W107:W112" si="310">++W10</f>
        <v>0</v>
      </c>
      <c r="X107" s="52">
        <f t="shared" ref="X107:Z112" si="311">++X10+W107</f>
        <v>0</v>
      </c>
      <c r="Y107" s="52">
        <f t="shared" si="311"/>
        <v>0</v>
      </c>
      <c r="Z107" s="52">
        <f t="shared" si="311"/>
        <v>0</v>
      </c>
      <c r="AA107" s="52">
        <f t="shared" ref="AA107:AA112" si="312">++AA10</f>
        <v>0</v>
      </c>
      <c r="AB107" s="52">
        <f t="shared" ref="AB107:AD112" si="313">++AB10+AA107</f>
        <v>0</v>
      </c>
      <c r="AC107" s="52">
        <f t="shared" si="313"/>
        <v>0</v>
      </c>
      <c r="AD107" s="52">
        <f t="shared" si="313"/>
        <v>0</v>
      </c>
      <c r="AF107" s="181">
        <v>0</v>
      </c>
      <c r="AG107" s="181">
        <v>0</v>
      </c>
      <c r="AH107" s="181">
        <v>0</v>
      </c>
    </row>
    <row r="108" spans="1:34" x14ac:dyDescent="0.4">
      <c r="C108" s="196" t="str">
        <f>++C$11</f>
        <v>[Segment]</v>
      </c>
      <c r="G108" s="54">
        <f t="shared" si="298"/>
        <v>0</v>
      </c>
      <c r="H108" s="54">
        <f t="shared" si="299"/>
        <v>0</v>
      </c>
      <c r="I108" s="54">
        <f t="shared" si="299"/>
        <v>0</v>
      </c>
      <c r="J108" s="54">
        <f t="shared" si="299"/>
        <v>0</v>
      </c>
      <c r="K108" s="54">
        <f t="shared" si="300"/>
        <v>0</v>
      </c>
      <c r="L108" s="54">
        <f t="shared" si="301"/>
        <v>0</v>
      </c>
      <c r="M108" s="54">
        <f t="shared" si="302"/>
        <v>0</v>
      </c>
      <c r="N108" s="54">
        <f t="shared" si="303"/>
        <v>0</v>
      </c>
      <c r="O108" s="54">
        <f t="shared" si="300"/>
        <v>0</v>
      </c>
      <c r="P108" s="54">
        <f t="shared" si="304"/>
        <v>0</v>
      </c>
      <c r="Q108" s="54">
        <f t="shared" si="305"/>
        <v>0</v>
      </c>
      <c r="R108" s="54">
        <f t="shared" si="306"/>
        <v>0</v>
      </c>
      <c r="S108" s="54">
        <f t="shared" si="300"/>
        <v>0</v>
      </c>
      <c r="T108" s="54">
        <f t="shared" si="307"/>
        <v>0</v>
      </c>
      <c r="U108" s="54">
        <f t="shared" si="308"/>
        <v>0</v>
      </c>
      <c r="V108" s="54">
        <f t="shared" si="309"/>
        <v>0</v>
      </c>
      <c r="W108" s="54">
        <f t="shared" si="310"/>
        <v>0</v>
      </c>
      <c r="X108" s="54">
        <f t="shared" si="311"/>
        <v>0</v>
      </c>
      <c r="Y108" s="54">
        <f t="shared" si="311"/>
        <v>0</v>
      </c>
      <c r="Z108" s="54">
        <f t="shared" si="311"/>
        <v>0</v>
      </c>
      <c r="AA108" s="54">
        <f t="shared" si="312"/>
        <v>0</v>
      </c>
      <c r="AB108" s="54">
        <f t="shared" si="313"/>
        <v>0</v>
      </c>
      <c r="AC108" s="54">
        <f t="shared" si="313"/>
        <v>0</v>
      </c>
      <c r="AD108" s="54">
        <f t="shared" si="313"/>
        <v>0</v>
      </c>
      <c r="AF108" s="182">
        <v>0</v>
      </c>
      <c r="AG108" s="182">
        <v>0</v>
      </c>
      <c r="AH108" s="182">
        <v>0</v>
      </c>
    </row>
    <row r="109" spans="1:34" x14ac:dyDescent="0.4">
      <c r="C109" s="196" t="str">
        <f>++C$12</f>
        <v>[Segment]</v>
      </c>
      <c r="G109" s="54">
        <f t="shared" si="298"/>
        <v>0</v>
      </c>
      <c r="H109" s="54">
        <f t="shared" si="299"/>
        <v>0</v>
      </c>
      <c r="I109" s="54">
        <f t="shared" si="299"/>
        <v>0</v>
      </c>
      <c r="J109" s="54">
        <f t="shared" si="299"/>
        <v>0</v>
      </c>
      <c r="K109" s="54">
        <f t="shared" si="300"/>
        <v>0</v>
      </c>
      <c r="L109" s="54">
        <f t="shared" si="301"/>
        <v>0</v>
      </c>
      <c r="M109" s="54">
        <f t="shared" si="302"/>
        <v>0</v>
      </c>
      <c r="N109" s="54">
        <f t="shared" si="303"/>
        <v>0</v>
      </c>
      <c r="O109" s="54">
        <f t="shared" si="300"/>
        <v>0</v>
      </c>
      <c r="P109" s="54">
        <f t="shared" si="304"/>
        <v>0</v>
      </c>
      <c r="Q109" s="54">
        <f t="shared" si="305"/>
        <v>0</v>
      </c>
      <c r="R109" s="54">
        <f t="shared" si="306"/>
        <v>0</v>
      </c>
      <c r="S109" s="54">
        <f t="shared" si="300"/>
        <v>0</v>
      </c>
      <c r="T109" s="54">
        <f t="shared" si="307"/>
        <v>0</v>
      </c>
      <c r="U109" s="54">
        <f t="shared" si="308"/>
        <v>0</v>
      </c>
      <c r="V109" s="54">
        <f t="shared" si="309"/>
        <v>0</v>
      </c>
      <c r="W109" s="54">
        <f t="shared" si="310"/>
        <v>0</v>
      </c>
      <c r="X109" s="54">
        <f t="shared" si="311"/>
        <v>0</v>
      </c>
      <c r="Y109" s="54">
        <f t="shared" si="311"/>
        <v>0</v>
      </c>
      <c r="Z109" s="54">
        <f t="shared" si="311"/>
        <v>0</v>
      </c>
      <c r="AA109" s="54">
        <f t="shared" si="312"/>
        <v>0</v>
      </c>
      <c r="AB109" s="54">
        <f t="shared" si="313"/>
        <v>0</v>
      </c>
      <c r="AC109" s="54">
        <f t="shared" si="313"/>
        <v>0</v>
      </c>
      <c r="AD109" s="54">
        <f t="shared" si="313"/>
        <v>0</v>
      </c>
      <c r="AF109" s="182">
        <v>0</v>
      </c>
      <c r="AG109" s="182">
        <v>0</v>
      </c>
      <c r="AH109" s="182">
        <v>0</v>
      </c>
    </row>
    <row r="110" spans="1:34" x14ac:dyDescent="0.4">
      <c r="C110" s="196" t="str">
        <f>++C$13</f>
        <v>[Segment]</v>
      </c>
      <c r="G110" s="54">
        <f t="shared" si="298"/>
        <v>0</v>
      </c>
      <c r="H110" s="54">
        <f t="shared" si="299"/>
        <v>0</v>
      </c>
      <c r="I110" s="54">
        <f t="shared" si="299"/>
        <v>0</v>
      </c>
      <c r="J110" s="54">
        <f t="shared" si="299"/>
        <v>0</v>
      </c>
      <c r="K110" s="54">
        <f t="shared" si="300"/>
        <v>0</v>
      </c>
      <c r="L110" s="54">
        <f t="shared" si="301"/>
        <v>0</v>
      </c>
      <c r="M110" s="54">
        <f t="shared" si="302"/>
        <v>0</v>
      </c>
      <c r="N110" s="54">
        <f t="shared" si="303"/>
        <v>0</v>
      </c>
      <c r="O110" s="54">
        <f t="shared" si="300"/>
        <v>0</v>
      </c>
      <c r="P110" s="54">
        <f t="shared" si="304"/>
        <v>0</v>
      </c>
      <c r="Q110" s="54">
        <f t="shared" si="305"/>
        <v>0</v>
      </c>
      <c r="R110" s="54">
        <f t="shared" si="306"/>
        <v>0</v>
      </c>
      <c r="S110" s="54">
        <f t="shared" si="300"/>
        <v>0</v>
      </c>
      <c r="T110" s="54">
        <f t="shared" si="307"/>
        <v>0</v>
      </c>
      <c r="U110" s="54">
        <f t="shared" si="308"/>
        <v>0</v>
      </c>
      <c r="V110" s="54">
        <f t="shared" si="309"/>
        <v>0</v>
      </c>
      <c r="W110" s="54">
        <f t="shared" si="310"/>
        <v>0</v>
      </c>
      <c r="X110" s="54">
        <f t="shared" si="311"/>
        <v>0</v>
      </c>
      <c r="Y110" s="54">
        <f t="shared" si="311"/>
        <v>0</v>
      </c>
      <c r="Z110" s="54">
        <f t="shared" si="311"/>
        <v>0</v>
      </c>
      <c r="AA110" s="54">
        <f t="shared" si="312"/>
        <v>0</v>
      </c>
      <c r="AB110" s="54">
        <f t="shared" si="313"/>
        <v>0</v>
      </c>
      <c r="AC110" s="54">
        <f t="shared" si="313"/>
        <v>0</v>
      </c>
      <c r="AD110" s="54">
        <f t="shared" si="313"/>
        <v>0</v>
      </c>
      <c r="AF110" s="182">
        <v>0</v>
      </c>
      <c r="AG110" s="182">
        <v>0</v>
      </c>
      <c r="AH110" s="182">
        <v>0</v>
      </c>
    </row>
    <row r="111" spans="1:34" x14ac:dyDescent="0.4">
      <c r="C111" s="196" t="str">
        <f>++C$14</f>
        <v>[Segment]</v>
      </c>
      <c r="G111" s="54">
        <f t="shared" si="298"/>
        <v>0</v>
      </c>
      <c r="H111" s="54">
        <f t="shared" si="299"/>
        <v>0</v>
      </c>
      <c r="I111" s="54">
        <f t="shared" si="299"/>
        <v>0</v>
      </c>
      <c r="J111" s="54">
        <f t="shared" si="299"/>
        <v>0</v>
      </c>
      <c r="K111" s="54">
        <f t="shared" si="300"/>
        <v>0</v>
      </c>
      <c r="L111" s="54">
        <f t="shared" si="301"/>
        <v>0</v>
      </c>
      <c r="M111" s="54">
        <f t="shared" si="302"/>
        <v>0</v>
      </c>
      <c r="N111" s="54">
        <f t="shared" si="303"/>
        <v>0</v>
      </c>
      <c r="O111" s="54">
        <f t="shared" si="300"/>
        <v>0</v>
      </c>
      <c r="P111" s="54">
        <f t="shared" si="304"/>
        <v>0</v>
      </c>
      <c r="Q111" s="54">
        <f t="shared" si="305"/>
        <v>0</v>
      </c>
      <c r="R111" s="54">
        <f t="shared" si="306"/>
        <v>0</v>
      </c>
      <c r="S111" s="54">
        <f t="shared" si="300"/>
        <v>0</v>
      </c>
      <c r="T111" s="54">
        <f t="shared" si="307"/>
        <v>0</v>
      </c>
      <c r="U111" s="54">
        <f t="shared" si="308"/>
        <v>0</v>
      </c>
      <c r="V111" s="54">
        <f t="shared" si="309"/>
        <v>0</v>
      </c>
      <c r="W111" s="54">
        <f t="shared" si="310"/>
        <v>0</v>
      </c>
      <c r="X111" s="54">
        <f t="shared" si="311"/>
        <v>0</v>
      </c>
      <c r="Y111" s="54">
        <f t="shared" si="311"/>
        <v>0</v>
      </c>
      <c r="Z111" s="54">
        <f t="shared" si="311"/>
        <v>0</v>
      </c>
      <c r="AA111" s="54">
        <f t="shared" si="312"/>
        <v>0</v>
      </c>
      <c r="AB111" s="54">
        <f t="shared" si="313"/>
        <v>0</v>
      </c>
      <c r="AC111" s="54">
        <f t="shared" si="313"/>
        <v>0</v>
      </c>
      <c r="AD111" s="54">
        <f t="shared" si="313"/>
        <v>0</v>
      </c>
      <c r="AF111" s="182">
        <v>0</v>
      </c>
      <c r="AG111" s="182">
        <v>0</v>
      </c>
      <c r="AH111" s="182">
        <v>0</v>
      </c>
    </row>
    <row r="112" spans="1:34" x14ac:dyDescent="0.4">
      <c r="C112" s="196" t="str">
        <f>++C$15</f>
        <v>Other</v>
      </c>
      <c r="G112" s="54">
        <f t="shared" si="298"/>
        <v>0</v>
      </c>
      <c r="H112" s="54">
        <f t="shared" si="299"/>
        <v>0</v>
      </c>
      <c r="I112" s="54">
        <f t="shared" si="299"/>
        <v>0</v>
      </c>
      <c r="J112" s="54">
        <f t="shared" si="299"/>
        <v>0</v>
      </c>
      <c r="K112" s="54">
        <f t="shared" si="300"/>
        <v>0</v>
      </c>
      <c r="L112" s="54">
        <f t="shared" si="301"/>
        <v>0</v>
      </c>
      <c r="M112" s="54">
        <f t="shared" si="302"/>
        <v>0</v>
      </c>
      <c r="N112" s="54">
        <f t="shared" si="303"/>
        <v>0</v>
      </c>
      <c r="O112" s="54">
        <f t="shared" si="300"/>
        <v>0</v>
      </c>
      <c r="P112" s="54">
        <f t="shared" si="304"/>
        <v>0</v>
      </c>
      <c r="Q112" s="54">
        <f t="shared" si="305"/>
        <v>0</v>
      </c>
      <c r="R112" s="54">
        <f t="shared" si="306"/>
        <v>0</v>
      </c>
      <c r="S112" s="54">
        <f t="shared" si="300"/>
        <v>0</v>
      </c>
      <c r="T112" s="54">
        <f t="shared" si="307"/>
        <v>0</v>
      </c>
      <c r="U112" s="54">
        <f t="shared" si="308"/>
        <v>0</v>
      </c>
      <c r="V112" s="54">
        <f t="shared" si="309"/>
        <v>0</v>
      </c>
      <c r="W112" s="54">
        <f t="shared" si="310"/>
        <v>0</v>
      </c>
      <c r="X112" s="54">
        <f t="shared" si="311"/>
        <v>0</v>
      </c>
      <c r="Y112" s="54">
        <f t="shared" si="311"/>
        <v>0</v>
      </c>
      <c r="Z112" s="54">
        <f t="shared" si="311"/>
        <v>0</v>
      </c>
      <c r="AA112" s="54">
        <f t="shared" si="312"/>
        <v>0</v>
      </c>
      <c r="AB112" s="54">
        <f t="shared" si="313"/>
        <v>0</v>
      </c>
      <c r="AC112" s="54">
        <f t="shared" si="313"/>
        <v>0</v>
      </c>
      <c r="AD112" s="54">
        <f t="shared" si="313"/>
        <v>0</v>
      </c>
      <c r="AF112" s="182">
        <v>0</v>
      </c>
      <c r="AG112" s="182">
        <v>0</v>
      </c>
      <c r="AH112" s="182">
        <v>0</v>
      </c>
    </row>
    <row r="113" spans="3:34" x14ac:dyDescent="0.4">
      <c r="C113" s="198" t="str">
        <f>++C$16</f>
        <v>Revenue</v>
      </c>
      <c r="D113" s="2"/>
      <c r="E113" s="2"/>
      <c r="G113" s="18">
        <f>++SUM(G107:G112)</f>
        <v>0</v>
      </c>
      <c r="H113" s="18">
        <f t="shared" ref="H113" si="314">++SUM(H107:H112)</f>
        <v>0</v>
      </c>
      <c r="I113" s="18">
        <f t="shared" ref="I113" si="315">++SUM(I107:I112)</f>
        <v>0</v>
      </c>
      <c r="J113" s="18">
        <f t="shared" ref="J113:V113" si="316">++SUM(J107:J112)</f>
        <v>0</v>
      </c>
      <c r="K113" s="18">
        <f t="shared" si="316"/>
        <v>0</v>
      </c>
      <c r="L113" s="18">
        <f t="shared" si="316"/>
        <v>0</v>
      </c>
      <c r="M113" s="18">
        <f t="shared" si="316"/>
        <v>0</v>
      </c>
      <c r="N113" s="18">
        <f t="shared" si="316"/>
        <v>0</v>
      </c>
      <c r="O113" s="18">
        <f t="shared" si="316"/>
        <v>0</v>
      </c>
      <c r="P113" s="18">
        <f t="shared" si="316"/>
        <v>0</v>
      </c>
      <c r="Q113" s="18">
        <f t="shared" si="316"/>
        <v>0</v>
      </c>
      <c r="R113" s="18">
        <f t="shared" si="316"/>
        <v>0</v>
      </c>
      <c r="S113" s="18">
        <f t="shared" si="316"/>
        <v>0</v>
      </c>
      <c r="T113" s="18">
        <f t="shared" si="316"/>
        <v>0</v>
      </c>
      <c r="U113" s="18">
        <f t="shared" si="316"/>
        <v>0</v>
      </c>
      <c r="V113" s="18">
        <f t="shared" si="316"/>
        <v>0</v>
      </c>
      <c r="W113" s="18">
        <f t="shared" ref="W113" si="317">++SUM(W107:W112)</f>
        <v>0</v>
      </c>
      <c r="X113" s="18">
        <f t="shared" ref="X113" si="318">++SUM(X107:X112)</f>
        <v>0</v>
      </c>
      <c r="Y113" s="18">
        <f t="shared" ref="Y113" si="319">++SUM(Y107:Y112)</f>
        <v>0</v>
      </c>
      <c r="Z113" s="18">
        <f t="shared" ref="Z113" si="320">++SUM(Z107:Z112)</f>
        <v>0</v>
      </c>
      <c r="AA113" s="18">
        <f t="shared" ref="AA113" si="321">++SUM(AA107:AA112)</f>
        <v>0</v>
      </c>
      <c r="AB113" s="18">
        <f t="shared" ref="AB113" si="322">++SUM(AB107:AB112)</f>
        <v>0</v>
      </c>
      <c r="AC113" s="18">
        <f t="shared" ref="AC113" si="323">++SUM(AC107:AC112)</f>
        <v>0</v>
      </c>
      <c r="AD113" s="18">
        <f t="shared" ref="AD113" si="324">++SUM(AD107:AD112)</f>
        <v>0</v>
      </c>
      <c r="AF113" s="18">
        <f t="shared" ref="AF113:AH113" si="325">++SUM(AF107:AF112)</f>
        <v>0</v>
      </c>
      <c r="AG113" s="18">
        <f t="shared" si="325"/>
        <v>0</v>
      </c>
      <c r="AH113" s="18">
        <f t="shared" si="325"/>
        <v>0</v>
      </c>
    </row>
    <row r="114" spans="3:34" x14ac:dyDescent="0.4">
      <c r="C114" s="199" t="str">
        <f>++C$17</f>
        <v>% y/y</v>
      </c>
      <c r="G114" s="177" t="s">
        <v>52</v>
      </c>
      <c r="H114" s="177" t="s">
        <v>52</v>
      </c>
      <c r="I114" s="177" t="s">
        <v>52</v>
      </c>
      <c r="J114" s="177" t="s">
        <v>52</v>
      </c>
      <c r="K114" s="19">
        <f t="shared" ref="K114" si="326">++IFERROR(K113/G113-1,0)</f>
        <v>0</v>
      </c>
      <c r="L114" s="19">
        <f t="shared" ref="L114" si="327">++IFERROR(L113/H113-1,0)</f>
        <v>0</v>
      </c>
      <c r="M114" s="19">
        <f t="shared" ref="M114" si="328">++IFERROR(M113/I113-1,0)</f>
        <v>0</v>
      </c>
      <c r="N114" s="19">
        <f t="shared" ref="N114" si="329">++IFERROR(N113/J113-1,0)</f>
        <v>0</v>
      </c>
      <c r="O114" s="19">
        <f t="shared" ref="O114" si="330">++IFERROR(O113/K113-1,0)</f>
        <v>0</v>
      </c>
      <c r="P114" s="19">
        <f t="shared" ref="P114" si="331">++IFERROR(P113/L113-1,0)</f>
        <v>0</v>
      </c>
      <c r="Q114" s="19">
        <f t="shared" ref="Q114" si="332">++IFERROR(Q113/M113-1,0)</f>
        <v>0</v>
      </c>
      <c r="R114" s="19">
        <f t="shared" ref="R114" si="333">++IFERROR(R113/N113-1,0)</f>
        <v>0</v>
      </c>
      <c r="S114" s="19">
        <f t="shared" ref="S114" si="334">++IFERROR(S113/O113-1,0)</f>
        <v>0</v>
      </c>
      <c r="T114" s="19">
        <f t="shared" ref="T114" si="335">++IFERROR(T113/P113-1,0)</f>
        <v>0</v>
      </c>
      <c r="U114" s="19">
        <f t="shared" ref="U114" si="336">++IFERROR(U113/Q113-1,0)</f>
        <v>0</v>
      </c>
      <c r="V114" s="19">
        <f t="shared" ref="V114" si="337">++IFERROR(V113/R113-1,0)</f>
        <v>0</v>
      </c>
      <c r="W114" s="19">
        <f t="shared" ref="W114" si="338">++IFERROR(W113/S113-1,0)</f>
        <v>0</v>
      </c>
      <c r="X114" s="19">
        <f t="shared" ref="X114" si="339">++IFERROR(X113/T113-1,0)</f>
        <v>0</v>
      </c>
      <c r="Y114" s="19">
        <f t="shared" ref="Y114" si="340">++IFERROR(Y113/U113-1,0)</f>
        <v>0</v>
      </c>
      <c r="Z114" s="19">
        <f t="shared" ref="Z114" si="341">++IFERROR(Z113/V113-1,0)</f>
        <v>0</v>
      </c>
      <c r="AA114" s="19">
        <f t="shared" ref="AA114" si="342">++IFERROR(AA113/W113-1,0)</f>
        <v>0</v>
      </c>
      <c r="AB114" s="19">
        <f t="shared" ref="AB114" si="343">++IFERROR(AB113/X113-1,0)</f>
        <v>0</v>
      </c>
      <c r="AC114" s="19">
        <f t="shared" ref="AC114" si="344">++IFERROR(AC113/Y113-1,0)</f>
        <v>0</v>
      </c>
      <c r="AD114" s="19">
        <f t="shared" ref="AD114" si="345">++IFERROR(AD113/Z113-1,0)</f>
        <v>0</v>
      </c>
      <c r="AF114" s="177" t="s">
        <v>52</v>
      </c>
      <c r="AG114" s="19">
        <f>++IFERROR(AG113/AF113-1,0)</f>
        <v>0</v>
      </c>
      <c r="AH114" s="19">
        <f>++IFERROR(AH113/AG113-1,0)</f>
        <v>0</v>
      </c>
    </row>
    <row r="115" spans="3:34" x14ac:dyDescent="0.4">
      <c r="C115" s="196"/>
    </row>
    <row r="116" spans="3:34" x14ac:dyDescent="0.4">
      <c r="C116" s="196" t="str">
        <f>++C$19</f>
        <v>[COGS]</v>
      </c>
      <c r="G116" s="54">
        <f t="shared" ref="G116:G121" si="346">++G19</f>
        <v>0</v>
      </c>
      <c r="H116" s="54">
        <f t="shared" ref="H116:J121" si="347">++H19+G116</f>
        <v>0</v>
      </c>
      <c r="I116" s="54">
        <f t="shared" si="347"/>
        <v>0</v>
      </c>
      <c r="J116" s="54">
        <f t="shared" si="347"/>
        <v>0</v>
      </c>
      <c r="K116" s="54">
        <f t="shared" ref="K116:S121" si="348">++K19</f>
        <v>0</v>
      </c>
      <c r="L116" s="54">
        <f t="shared" ref="L116:L121" si="349">++L19+K116</f>
        <v>0</v>
      </c>
      <c r="M116" s="54">
        <f t="shared" ref="M116:M121" si="350">++M19+L116</f>
        <v>0</v>
      </c>
      <c r="N116" s="54">
        <f t="shared" ref="N116:N121" si="351">++N19+M116</f>
        <v>0</v>
      </c>
      <c r="O116" s="54">
        <f t="shared" si="348"/>
        <v>0</v>
      </c>
      <c r="P116" s="54">
        <f t="shared" ref="P116:P121" si="352">++P19+O116</f>
        <v>0</v>
      </c>
      <c r="Q116" s="54">
        <f t="shared" ref="Q116:Q121" si="353">++Q19+P116</f>
        <v>0</v>
      </c>
      <c r="R116" s="54">
        <f t="shared" ref="R116:R121" si="354">++R19+Q116</f>
        <v>0</v>
      </c>
      <c r="S116" s="54">
        <f t="shared" si="348"/>
        <v>0</v>
      </c>
      <c r="T116" s="54">
        <f t="shared" ref="T116:T121" si="355">++T19+S116</f>
        <v>0</v>
      </c>
      <c r="U116" s="54">
        <f t="shared" ref="U116:U121" si="356">++U19+T116</f>
        <v>0</v>
      </c>
      <c r="V116" s="54">
        <f t="shared" ref="V116:V121" si="357">++V19+U116</f>
        <v>0</v>
      </c>
      <c r="W116" s="54">
        <f t="shared" ref="W116:W121" si="358">++W19</f>
        <v>0</v>
      </c>
      <c r="X116" s="54">
        <f t="shared" ref="X116:Z121" si="359">++X19+W116</f>
        <v>0</v>
      </c>
      <c r="Y116" s="54">
        <f t="shared" si="359"/>
        <v>0</v>
      </c>
      <c r="Z116" s="54">
        <f t="shared" si="359"/>
        <v>0</v>
      </c>
      <c r="AA116" s="54">
        <f t="shared" ref="AA116:AA121" si="360">++AA19</f>
        <v>0</v>
      </c>
      <c r="AB116" s="54">
        <f t="shared" ref="AB116:AD121" si="361">++AB19+AA116</f>
        <v>0</v>
      </c>
      <c r="AC116" s="54">
        <f t="shared" si="361"/>
        <v>0</v>
      </c>
      <c r="AD116" s="54">
        <f t="shared" si="361"/>
        <v>0</v>
      </c>
      <c r="AF116" s="182">
        <v>0</v>
      </c>
      <c r="AG116" s="182">
        <v>0</v>
      </c>
      <c r="AH116" s="182">
        <v>0</v>
      </c>
    </row>
    <row r="117" spans="3:34" x14ac:dyDescent="0.4">
      <c r="C117" s="196" t="str">
        <f>++C$20</f>
        <v>[COGS]</v>
      </c>
      <c r="G117" s="54">
        <f t="shared" si="346"/>
        <v>0</v>
      </c>
      <c r="H117" s="54">
        <f t="shared" si="347"/>
        <v>0</v>
      </c>
      <c r="I117" s="54">
        <f t="shared" si="347"/>
        <v>0</v>
      </c>
      <c r="J117" s="54">
        <f t="shared" si="347"/>
        <v>0</v>
      </c>
      <c r="K117" s="54">
        <f t="shared" si="348"/>
        <v>0</v>
      </c>
      <c r="L117" s="54">
        <f t="shared" si="349"/>
        <v>0</v>
      </c>
      <c r="M117" s="54">
        <f t="shared" si="350"/>
        <v>0</v>
      </c>
      <c r="N117" s="54">
        <f t="shared" si="351"/>
        <v>0</v>
      </c>
      <c r="O117" s="54">
        <f t="shared" si="348"/>
        <v>0</v>
      </c>
      <c r="P117" s="54">
        <f t="shared" si="352"/>
        <v>0</v>
      </c>
      <c r="Q117" s="54">
        <f t="shared" si="353"/>
        <v>0</v>
      </c>
      <c r="R117" s="54">
        <f t="shared" si="354"/>
        <v>0</v>
      </c>
      <c r="S117" s="54">
        <f t="shared" si="348"/>
        <v>0</v>
      </c>
      <c r="T117" s="54">
        <f t="shared" si="355"/>
        <v>0</v>
      </c>
      <c r="U117" s="54">
        <f t="shared" si="356"/>
        <v>0</v>
      </c>
      <c r="V117" s="54">
        <f t="shared" si="357"/>
        <v>0</v>
      </c>
      <c r="W117" s="54">
        <f t="shared" si="358"/>
        <v>0</v>
      </c>
      <c r="X117" s="54">
        <f t="shared" si="359"/>
        <v>0</v>
      </c>
      <c r="Y117" s="54">
        <f t="shared" si="359"/>
        <v>0</v>
      </c>
      <c r="Z117" s="54">
        <f t="shared" si="359"/>
        <v>0</v>
      </c>
      <c r="AA117" s="54">
        <f t="shared" si="360"/>
        <v>0</v>
      </c>
      <c r="AB117" s="54">
        <f t="shared" si="361"/>
        <v>0</v>
      </c>
      <c r="AC117" s="54">
        <f t="shared" si="361"/>
        <v>0</v>
      </c>
      <c r="AD117" s="54">
        <f t="shared" si="361"/>
        <v>0</v>
      </c>
      <c r="AF117" s="182">
        <v>0</v>
      </c>
      <c r="AG117" s="182">
        <v>0</v>
      </c>
      <c r="AH117" s="182">
        <v>0</v>
      </c>
    </row>
    <row r="118" spans="3:34" x14ac:dyDescent="0.4">
      <c r="C118" s="196" t="str">
        <f>++C$21</f>
        <v>[COGS]</v>
      </c>
      <c r="G118" s="54">
        <f t="shared" si="346"/>
        <v>0</v>
      </c>
      <c r="H118" s="54">
        <f t="shared" si="347"/>
        <v>0</v>
      </c>
      <c r="I118" s="54">
        <f t="shared" si="347"/>
        <v>0</v>
      </c>
      <c r="J118" s="54">
        <f t="shared" si="347"/>
        <v>0</v>
      </c>
      <c r="K118" s="54">
        <f t="shared" si="348"/>
        <v>0</v>
      </c>
      <c r="L118" s="54">
        <f t="shared" si="349"/>
        <v>0</v>
      </c>
      <c r="M118" s="54">
        <f t="shared" si="350"/>
        <v>0</v>
      </c>
      <c r="N118" s="54">
        <f t="shared" si="351"/>
        <v>0</v>
      </c>
      <c r="O118" s="54">
        <f t="shared" si="348"/>
        <v>0</v>
      </c>
      <c r="P118" s="54">
        <f t="shared" si="352"/>
        <v>0</v>
      </c>
      <c r="Q118" s="54">
        <f t="shared" si="353"/>
        <v>0</v>
      </c>
      <c r="R118" s="54">
        <f t="shared" si="354"/>
        <v>0</v>
      </c>
      <c r="S118" s="54">
        <f t="shared" si="348"/>
        <v>0</v>
      </c>
      <c r="T118" s="54">
        <f t="shared" si="355"/>
        <v>0</v>
      </c>
      <c r="U118" s="54">
        <f t="shared" si="356"/>
        <v>0</v>
      </c>
      <c r="V118" s="54">
        <f t="shared" si="357"/>
        <v>0</v>
      </c>
      <c r="W118" s="54">
        <f t="shared" si="358"/>
        <v>0</v>
      </c>
      <c r="X118" s="54">
        <f t="shared" si="359"/>
        <v>0</v>
      </c>
      <c r="Y118" s="54">
        <f t="shared" si="359"/>
        <v>0</v>
      </c>
      <c r="Z118" s="54">
        <f t="shared" si="359"/>
        <v>0</v>
      </c>
      <c r="AA118" s="54">
        <f t="shared" si="360"/>
        <v>0</v>
      </c>
      <c r="AB118" s="54">
        <f t="shared" si="361"/>
        <v>0</v>
      </c>
      <c r="AC118" s="54">
        <f t="shared" si="361"/>
        <v>0</v>
      </c>
      <c r="AD118" s="54">
        <f t="shared" si="361"/>
        <v>0</v>
      </c>
      <c r="AF118" s="182">
        <v>0</v>
      </c>
      <c r="AG118" s="182">
        <v>0</v>
      </c>
      <c r="AH118" s="182">
        <v>0</v>
      </c>
    </row>
    <row r="119" spans="3:34" x14ac:dyDescent="0.4">
      <c r="C119" s="196" t="str">
        <f>++C$22</f>
        <v>[COGS]</v>
      </c>
      <c r="G119" s="54">
        <f t="shared" si="346"/>
        <v>0</v>
      </c>
      <c r="H119" s="54">
        <f t="shared" si="347"/>
        <v>0</v>
      </c>
      <c r="I119" s="54">
        <f t="shared" si="347"/>
        <v>0</v>
      </c>
      <c r="J119" s="54">
        <f t="shared" si="347"/>
        <v>0</v>
      </c>
      <c r="K119" s="54">
        <f t="shared" si="348"/>
        <v>0</v>
      </c>
      <c r="L119" s="54">
        <f t="shared" si="349"/>
        <v>0</v>
      </c>
      <c r="M119" s="54">
        <f t="shared" si="350"/>
        <v>0</v>
      </c>
      <c r="N119" s="54">
        <f t="shared" si="351"/>
        <v>0</v>
      </c>
      <c r="O119" s="54">
        <f t="shared" si="348"/>
        <v>0</v>
      </c>
      <c r="P119" s="54">
        <f t="shared" si="352"/>
        <v>0</v>
      </c>
      <c r="Q119" s="54">
        <f t="shared" si="353"/>
        <v>0</v>
      </c>
      <c r="R119" s="54">
        <f t="shared" si="354"/>
        <v>0</v>
      </c>
      <c r="S119" s="54">
        <f t="shared" si="348"/>
        <v>0</v>
      </c>
      <c r="T119" s="54">
        <f t="shared" si="355"/>
        <v>0</v>
      </c>
      <c r="U119" s="54">
        <f t="shared" si="356"/>
        <v>0</v>
      </c>
      <c r="V119" s="54">
        <f t="shared" si="357"/>
        <v>0</v>
      </c>
      <c r="W119" s="54">
        <f t="shared" si="358"/>
        <v>0</v>
      </c>
      <c r="X119" s="54">
        <f t="shared" si="359"/>
        <v>0</v>
      </c>
      <c r="Y119" s="54">
        <f t="shared" si="359"/>
        <v>0</v>
      </c>
      <c r="Z119" s="54">
        <f t="shared" si="359"/>
        <v>0</v>
      </c>
      <c r="AA119" s="54">
        <f t="shared" si="360"/>
        <v>0</v>
      </c>
      <c r="AB119" s="54">
        <f t="shared" si="361"/>
        <v>0</v>
      </c>
      <c r="AC119" s="54">
        <f t="shared" si="361"/>
        <v>0</v>
      </c>
      <c r="AD119" s="54">
        <f t="shared" si="361"/>
        <v>0</v>
      </c>
      <c r="AF119" s="182">
        <v>0</v>
      </c>
      <c r="AG119" s="182">
        <v>0</v>
      </c>
      <c r="AH119" s="182">
        <v>0</v>
      </c>
    </row>
    <row r="120" spans="3:34" x14ac:dyDescent="0.4">
      <c r="C120" s="196" t="str">
        <f>++C$23</f>
        <v>[COGS]</v>
      </c>
      <c r="G120" s="54">
        <f t="shared" si="346"/>
        <v>0</v>
      </c>
      <c r="H120" s="54">
        <f t="shared" si="347"/>
        <v>0</v>
      </c>
      <c r="I120" s="54">
        <f t="shared" si="347"/>
        <v>0</v>
      </c>
      <c r="J120" s="54">
        <f t="shared" si="347"/>
        <v>0</v>
      </c>
      <c r="K120" s="54">
        <f t="shared" si="348"/>
        <v>0</v>
      </c>
      <c r="L120" s="54">
        <f t="shared" si="349"/>
        <v>0</v>
      </c>
      <c r="M120" s="54">
        <f t="shared" si="350"/>
        <v>0</v>
      </c>
      <c r="N120" s="54">
        <f t="shared" si="351"/>
        <v>0</v>
      </c>
      <c r="O120" s="54">
        <f t="shared" si="348"/>
        <v>0</v>
      </c>
      <c r="P120" s="54">
        <f t="shared" si="352"/>
        <v>0</v>
      </c>
      <c r="Q120" s="54">
        <f t="shared" si="353"/>
        <v>0</v>
      </c>
      <c r="R120" s="54">
        <f t="shared" si="354"/>
        <v>0</v>
      </c>
      <c r="S120" s="54">
        <f t="shared" si="348"/>
        <v>0</v>
      </c>
      <c r="T120" s="54">
        <f t="shared" si="355"/>
        <v>0</v>
      </c>
      <c r="U120" s="54">
        <f t="shared" si="356"/>
        <v>0</v>
      </c>
      <c r="V120" s="54">
        <f t="shared" si="357"/>
        <v>0</v>
      </c>
      <c r="W120" s="54">
        <f t="shared" si="358"/>
        <v>0</v>
      </c>
      <c r="X120" s="54">
        <f t="shared" si="359"/>
        <v>0</v>
      </c>
      <c r="Y120" s="54">
        <f t="shared" si="359"/>
        <v>0</v>
      </c>
      <c r="Z120" s="54">
        <f t="shared" si="359"/>
        <v>0</v>
      </c>
      <c r="AA120" s="54">
        <f t="shared" si="360"/>
        <v>0</v>
      </c>
      <c r="AB120" s="54">
        <f t="shared" si="361"/>
        <v>0</v>
      </c>
      <c r="AC120" s="54">
        <f t="shared" si="361"/>
        <v>0</v>
      </c>
      <c r="AD120" s="54">
        <f t="shared" si="361"/>
        <v>0</v>
      </c>
      <c r="AF120" s="182">
        <v>0</v>
      </c>
      <c r="AG120" s="182">
        <v>0</v>
      </c>
      <c r="AH120" s="182">
        <v>0</v>
      </c>
    </row>
    <row r="121" spans="3:34" x14ac:dyDescent="0.4">
      <c r="C121" s="196" t="str">
        <f>++C$24</f>
        <v>Other COGS</v>
      </c>
      <c r="G121" s="54">
        <f t="shared" si="346"/>
        <v>0</v>
      </c>
      <c r="H121" s="54">
        <f t="shared" si="347"/>
        <v>0</v>
      </c>
      <c r="I121" s="54">
        <f t="shared" si="347"/>
        <v>0</v>
      </c>
      <c r="J121" s="54">
        <f t="shared" si="347"/>
        <v>0</v>
      </c>
      <c r="K121" s="54">
        <f t="shared" si="348"/>
        <v>0</v>
      </c>
      <c r="L121" s="54">
        <f t="shared" si="349"/>
        <v>0</v>
      </c>
      <c r="M121" s="54">
        <f t="shared" si="350"/>
        <v>0</v>
      </c>
      <c r="N121" s="54">
        <f t="shared" si="351"/>
        <v>0</v>
      </c>
      <c r="O121" s="54">
        <f t="shared" si="348"/>
        <v>0</v>
      </c>
      <c r="P121" s="54">
        <f t="shared" si="352"/>
        <v>0</v>
      </c>
      <c r="Q121" s="54">
        <f t="shared" si="353"/>
        <v>0</v>
      </c>
      <c r="R121" s="54">
        <f t="shared" si="354"/>
        <v>0</v>
      </c>
      <c r="S121" s="54">
        <f t="shared" si="348"/>
        <v>0</v>
      </c>
      <c r="T121" s="54">
        <f t="shared" si="355"/>
        <v>0</v>
      </c>
      <c r="U121" s="54">
        <f t="shared" si="356"/>
        <v>0</v>
      </c>
      <c r="V121" s="54">
        <f t="shared" si="357"/>
        <v>0</v>
      </c>
      <c r="W121" s="54">
        <f t="shared" si="358"/>
        <v>0</v>
      </c>
      <c r="X121" s="54">
        <f t="shared" si="359"/>
        <v>0</v>
      </c>
      <c r="Y121" s="54">
        <f t="shared" si="359"/>
        <v>0</v>
      </c>
      <c r="Z121" s="54">
        <f t="shared" si="359"/>
        <v>0</v>
      </c>
      <c r="AA121" s="54">
        <f t="shared" si="360"/>
        <v>0</v>
      </c>
      <c r="AB121" s="54">
        <f t="shared" si="361"/>
        <v>0</v>
      </c>
      <c r="AC121" s="54">
        <f t="shared" si="361"/>
        <v>0</v>
      </c>
      <c r="AD121" s="54">
        <f t="shared" si="361"/>
        <v>0</v>
      </c>
      <c r="AF121" s="182">
        <v>0</v>
      </c>
      <c r="AG121" s="182">
        <v>0</v>
      </c>
      <c r="AH121" s="182">
        <v>0</v>
      </c>
    </row>
    <row r="122" spans="3:34" x14ac:dyDescent="0.4">
      <c r="C122" s="198" t="str">
        <f>++C$25</f>
        <v>Gross Profit</v>
      </c>
      <c r="D122" s="2"/>
      <c r="E122" s="2"/>
      <c r="G122" s="18">
        <f>++G113-SUM(G116:G121)</f>
        <v>0</v>
      </c>
      <c r="H122" s="18">
        <f t="shared" ref="H122" si="362">++H113-SUM(H116:H121)</f>
        <v>0</v>
      </c>
      <c r="I122" s="18">
        <f t="shared" ref="I122" si="363">++I113-SUM(I116:I121)</f>
        <v>0</v>
      </c>
      <c r="J122" s="18">
        <f t="shared" ref="J122:V122" si="364">++J113-SUM(J116:J121)</f>
        <v>0</v>
      </c>
      <c r="K122" s="18">
        <f t="shared" si="364"/>
        <v>0</v>
      </c>
      <c r="L122" s="18">
        <f t="shared" si="364"/>
        <v>0</v>
      </c>
      <c r="M122" s="18">
        <f t="shared" si="364"/>
        <v>0</v>
      </c>
      <c r="N122" s="18">
        <f t="shared" si="364"/>
        <v>0</v>
      </c>
      <c r="O122" s="18">
        <f t="shared" si="364"/>
        <v>0</v>
      </c>
      <c r="P122" s="18">
        <f t="shared" si="364"/>
        <v>0</v>
      </c>
      <c r="Q122" s="18">
        <f t="shared" si="364"/>
        <v>0</v>
      </c>
      <c r="R122" s="18">
        <f t="shared" si="364"/>
        <v>0</v>
      </c>
      <c r="S122" s="18">
        <f t="shared" si="364"/>
        <v>0</v>
      </c>
      <c r="T122" s="18">
        <f t="shared" si="364"/>
        <v>0</v>
      </c>
      <c r="U122" s="18">
        <f t="shared" si="364"/>
        <v>0</v>
      </c>
      <c r="V122" s="18">
        <f t="shared" si="364"/>
        <v>0</v>
      </c>
      <c r="W122" s="18">
        <f t="shared" ref="W122" si="365">++W113-SUM(W116:W121)</f>
        <v>0</v>
      </c>
      <c r="X122" s="18">
        <f t="shared" ref="X122" si="366">++X113-SUM(X116:X121)</f>
        <v>0</v>
      </c>
      <c r="Y122" s="18">
        <f t="shared" ref="Y122" si="367">++Y113-SUM(Y116:Y121)</f>
        <v>0</v>
      </c>
      <c r="Z122" s="18">
        <f t="shared" ref="Z122" si="368">++Z113-SUM(Z116:Z121)</f>
        <v>0</v>
      </c>
      <c r="AA122" s="18">
        <f t="shared" ref="AA122" si="369">++AA113-SUM(AA116:AA121)</f>
        <v>0</v>
      </c>
      <c r="AB122" s="18">
        <f t="shared" ref="AB122" si="370">++AB113-SUM(AB116:AB121)</f>
        <v>0</v>
      </c>
      <c r="AC122" s="18">
        <f t="shared" ref="AC122" si="371">++AC113-SUM(AC116:AC121)</f>
        <v>0</v>
      </c>
      <c r="AD122" s="18">
        <f t="shared" ref="AD122" si="372">++AD113-SUM(AD116:AD121)</f>
        <v>0</v>
      </c>
      <c r="AF122" s="18">
        <f t="shared" ref="AF122:AH122" si="373">++AF113-SUM(AF116:AF121)</f>
        <v>0</v>
      </c>
      <c r="AG122" s="18">
        <f t="shared" si="373"/>
        <v>0</v>
      </c>
      <c r="AH122" s="18">
        <f t="shared" si="373"/>
        <v>0</v>
      </c>
    </row>
    <row r="123" spans="3:34" x14ac:dyDescent="0.4">
      <c r="C123" s="199" t="str">
        <f>++C$26</f>
        <v>% margin</v>
      </c>
      <c r="G123" s="19">
        <f t="shared" ref="G123:AD123" si="374">++IFERROR(G122/G113,0)</f>
        <v>0</v>
      </c>
      <c r="H123" s="19">
        <f t="shared" si="374"/>
        <v>0</v>
      </c>
      <c r="I123" s="19">
        <f t="shared" si="374"/>
        <v>0</v>
      </c>
      <c r="J123" s="19">
        <f t="shared" si="374"/>
        <v>0</v>
      </c>
      <c r="K123" s="19">
        <f t="shared" ref="K123:V123" si="375">++IFERROR(K122/K113,0)</f>
        <v>0</v>
      </c>
      <c r="L123" s="19">
        <f t="shared" si="375"/>
        <v>0</v>
      </c>
      <c r="M123" s="19">
        <f t="shared" si="375"/>
        <v>0</v>
      </c>
      <c r="N123" s="19">
        <f t="shared" si="375"/>
        <v>0</v>
      </c>
      <c r="O123" s="19">
        <f t="shared" si="375"/>
        <v>0</v>
      </c>
      <c r="P123" s="19">
        <f t="shared" si="375"/>
        <v>0</v>
      </c>
      <c r="Q123" s="19">
        <f t="shared" si="375"/>
        <v>0</v>
      </c>
      <c r="R123" s="19">
        <f t="shared" si="375"/>
        <v>0</v>
      </c>
      <c r="S123" s="19">
        <f t="shared" si="375"/>
        <v>0</v>
      </c>
      <c r="T123" s="19">
        <f t="shared" si="375"/>
        <v>0</v>
      </c>
      <c r="U123" s="19">
        <f t="shared" si="375"/>
        <v>0</v>
      </c>
      <c r="V123" s="19">
        <f t="shared" si="375"/>
        <v>0</v>
      </c>
      <c r="W123" s="19">
        <f t="shared" si="374"/>
        <v>0</v>
      </c>
      <c r="X123" s="19">
        <f t="shared" si="374"/>
        <v>0</v>
      </c>
      <c r="Y123" s="19">
        <f t="shared" si="374"/>
        <v>0</v>
      </c>
      <c r="Z123" s="19">
        <f t="shared" si="374"/>
        <v>0</v>
      </c>
      <c r="AA123" s="19">
        <f t="shared" si="374"/>
        <v>0</v>
      </c>
      <c r="AB123" s="19">
        <f t="shared" si="374"/>
        <v>0</v>
      </c>
      <c r="AC123" s="19">
        <f t="shared" si="374"/>
        <v>0</v>
      </c>
      <c r="AD123" s="19">
        <f t="shared" si="374"/>
        <v>0</v>
      </c>
      <c r="AF123" s="19">
        <f t="shared" ref="AF123:AH123" si="376">++IFERROR(AF122/AF113,0)</f>
        <v>0</v>
      </c>
      <c r="AG123" s="19">
        <f t="shared" si="376"/>
        <v>0</v>
      </c>
      <c r="AH123" s="19">
        <f t="shared" si="376"/>
        <v>0</v>
      </c>
    </row>
    <row r="124" spans="3:34" x14ac:dyDescent="0.4">
      <c r="C124" s="199" t="str">
        <f>++C$27</f>
        <v>% y/y</v>
      </c>
      <c r="G124" s="177" t="s">
        <v>52</v>
      </c>
      <c r="H124" s="177" t="s">
        <v>52</v>
      </c>
      <c r="I124" s="177" t="s">
        <v>52</v>
      </c>
      <c r="J124" s="177" t="s">
        <v>52</v>
      </c>
      <c r="K124" s="19">
        <f t="shared" ref="K124" si="377">++IFERROR(K122/G122-1,0)</f>
        <v>0</v>
      </c>
      <c r="L124" s="19">
        <f t="shared" ref="L124" si="378">++IFERROR(L122/H122-1,0)</f>
        <v>0</v>
      </c>
      <c r="M124" s="19">
        <f t="shared" ref="M124" si="379">++IFERROR(M122/I122-1,0)</f>
        <v>0</v>
      </c>
      <c r="N124" s="19">
        <f t="shared" ref="N124" si="380">++IFERROR(N122/J122-1,0)</f>
        <v>0</v>
      </c>
      <c r="O124" s="19">
        <f t="shared" ref="O124" si="381">++IFERROR(O122/K122-1,0)</f>
        <v>0</v>
      </c>
      <c r="P124" s="19">
        <f t="shared" ref="P124" si="382">++IFERROR(P122/L122-1,0)</f>
        <v>0</v>
      </c>
      <c r="Q124" s="19">
        <f t="shared" ref="Q124" si="383">++IFERROR(Q122/M122-1,0)</f>
        <v>0</v>
      </c>
      <c r="R124" s="19">
        <f t="shared" ref="R124" si="384">++IFERROR(R122/N122-1,0)</f>
        <v>0</v>
      </c>
      <c r="S124" s="19">
        <f t="shared" ref="S124" si="385">++IFERROR(S122/O122-1,0)</f>
        <v>0</v>
      </c>
      <c r="T124" s="19">
        <f t="shared" ref="T124" si="386">++IFERROR(T122/P122-1,0)</f>
        <v>0</v>
      </c>
      <c r="U124" s="19">
        <f t="shared" ref="U124" si="387">++IFERROR(U122/Q122-1,0)</f>
        <v>0</v>
      </c>
      <c r="V124" s="19">
        <f t="shared" ref="V124" si="388">++IFERROR(V122/R122-1,0)</f>
        <v>0</v>
      </c>
      <c r="W124" s="19">
        <f t="shared" ref="W124:AD124" si="389">++IFERROR(W122/S122-1,0)</f>
        <v>0</v>
      </c>
      <c r="X124" s="19">
        <f t="shared" si="389"/>
        <v>0</v>
      </c>
      <c r="Y124" s="19">
        <f t="shared" si="389"/>
        <v>0</v>
      </c>
      <c r="Z124" s="19">
        <f t="shared" si="389"/>
        <v>0</v>
      </c>
      <c r="AA124" s="19">
        <f t="shared" si="389"/>
        <v>0</v>
      </c>
      <c r="AB124" s="19">
        <f t="shared" si="389"/>
        <v>0</v>
      </c>
      <c r="AC124" s="19">
        <f t="shared" si="389"/>
        <v>0</v>
      </c>
      <c r="AD124" s="19">
        <f t="shared" si="389"/>
        <v>0</v>
      </c>
      <c r="AF124" s="177" t="s">
        <v>52</v>
      </c>
      <c r="AG124" s="19">
        <f>++IFERROR(AG122/AF122-1,0)</f>
        <v>0</v>
      </c>
      <c r="AH124" s="19">
        <f>++IFERROR(AH122/AG122-1,0)</f>
        <v>0</v>
      </c>
    </row>
    <row r="125" spans="3:34" x14ac:dyDescent="0.4">
      <c r="C125" s="196"/>
    </row>
    <row r="126" spans="3:34" x14ac:dyDescent="0.4">
      <c r="C126" s="196" t="str">
        <f>++C$29</f>
        <v>[Operating Exepnse]</v>
      </c>
      <c r="G126" s="54">
        <f t="shared" ref="G126:G133" si="390">++G29</f>
        <v>0</v>
      </c>
      <c r="H126" s="54">
        <f t="shared" ref="H126:J133" si="391">++H29+G126</f>
        <v>0</v>
      </c>
      <c r="I126" s="54">
        <f t="shared" si="391"/>
        <v>0</v>
      </c>
      <c r="J126" s="54">
        <f t="shared" si="391"/>
        <v>0</v>
      </c>
      <c r="K126" s="54">
        <f t="shared" ref="K126:S133" si="392">++K29</f>
        <v>0</v>
      </c>
      <c r="L126" s="54">
        <f t="shared" ref="L126:L133" si="393">++L29+K126</f>
        <v>0</v>
      </c>
      <c r="M126" s="54">
        <f t="shared" ref="M126:M133" si="394">++M29+L126</f>
        <v>0</v>
      </c>
      <c r="N126" s="54">
        <f t="shared" ref="N126:N133" si="395">++N29+M126</f>
        <v>0</v>
      </c>
      <c r="O126" s="54">
        <f t="shared" si="392"/>
        <v>0</v>
      </c>
      <c r="P126" s="54">
        <f t="shared" ref="P126:P133" si="396">++P29+O126</f>
        <v>0</v>
      </c>
      <c r="Q126" s="54">
        <f t="shared" ref="Q126:Q133" si="397">++Q29+P126</f>
        <v>0</v>
      </c>
      <c r="R126" s="54">
        <f t="shared" ref="R126:R133" si="398">++R29+Q126</f>
        <v>0</v>
      </c>
      <c r="S126" s="54">
        <f t="shared" si="392"/>
        <v>0</v>
      </c>
      <c r="T126" s="54">
        <f t="shared" ref="T126:T133" si="399">++T29+S126</f>
        <v>0</v>
      </c>
      <c r="U126" s="54">
        <f t="shared" ref="U126:U133" si="400">++U29+T126</f>
        <v>0</v>
      </c>
      <c r="V126" s="54">
        <f t="shared" ref="V126:V133" si="401">++V29+U126</f>
        <v>0</v>
      </c>
      <c r="W126" s="54">
        <f t="shared" ref="W126:W133" si="402">++W29</f>
        <v>0</v>
      </c>
      <c r="X126" s="54">
        <f t="shared" ref="X126:Z133" si="403">++X29+W126</f>
        <v>0</v>
      </c>
      <c r="Y126" s="54">
        <f t="shared" si="403"/>
        <v>0</v>
      </c>
      <c r="Z126" s="54">
        <f t="shared" si="403"/>
        <v>0</v>
      </c>
      <c r="AA126" s="54">
        <f t="shared" ref="AA126:AA133" si="404">++AA29</f>
        <v>0</v>
      </c>
      <c r="AB126" s="54">
        <f t="shared" ref="AB126:AD133" si="405">++AB29+AA126</f>
        <v>0</v>
      </c>
      <c r="AC126" s="54">
        <f t="shared" si="405"/>
        <v>0</v>
      </c>
      <c r="AD126" s="54">
        <f t="shared" si="405"/>
        <v>0</v>
      </c>
      <c r="AF126" s="182">
        <v>0</v>
      </c>
      <c r="AG126" s="182">
        <v>0</v>
      </c>
      <c r="AH126" s="182">
        <v>0</v>
      </c>
    </row>
    <row r="127" spans="3:34" x14ac:dyDescent="0.4">
      <c r="C127" s="196" t="str">
        <f>++C$30</f>
        <v>[Operating Exepnse]</v>
      </c>
      <c r="G127" s="54">
        <f t="shared" si="390"/>
        <v>0</v>
      </c>
      <c r="H127" s="54">
        <f t="shared" si="391"/>
        <v>0</v>
      </c>
      <c r="I127" s="54">
        <f t="shared" si="391"/>
        <v>0</v>
      </c>
      <c r="J127" s="54">
        <f t="shared" si="391"/>
        <v>0</v>
      </c>
      <c r="K127" s="54">
        <f t="shared" si="392"/>
        <v>0</v>
      </c>
      <c r="L127" s="54">
        <f t="shared" si="393"/>
        <v>0</v>
      </c>
      <c r="M127" s="54">
        <f t="shared" si="394"/>
        <v>0</v>
      </c>
      <c r="N127" s="54">
        <f t="shared" si="395"/>
        <v>0</v>
      </c>
      <c r="O127" s="54">
        <f t="shared" si="392"/>
        <v>0</v>
      </c>
      <c r="P127" s="54">
        <f t="shared" si="396"/>
        <v>0</v>
      </c>
      <c r="Q127" s="54">
        <f t="shared" si="397"/>
        <v>0</v>
      </c>
      <c r="R127" s="54">
        <f t="shared" si="398"/>
        <v>0</v>
      </c>
      <c r="S127" s="54">
        <f t="shared" si="392"/>
        <v>0</v>
      </c>
      <c r="T127" s="54">
        <f t="shared" si="399"/>
        <v>0</v>
      </c>
      <c r="U127" s="54">
        <f t="shared" si="400"/>
        <v>0</v>
      </c>
      <c r="V127" s="54">
        <f t="shared" si="401"/>
        <v>0</v>
      </c>
      <c r="W127" s="54">
        <f t="shared" si="402"/>
        <v>0</v>
      </c>
      <c r="X127" s="54">
        <f t="shared" si="403"/>
        <v>0</v>
      </c>
      <c r="Y127" s="54">
        <f t="shared" si="403"/>
        <v>0</v>
      </c>
      <c r="Z127" s="54">
        <f t="shared" si="403"/>
        <v>0</v>
      </c>
      <c r="AA127" s="54">
        <f t="shared" si="404"/>
        <v>0</v>
      </c>
      <c r="AB127" s="54">
        <f t="shared" si="405"/>
        <v>0</v>
      </c>
      <c r="AC127" s="54">
        <f t="shared" si="405"/>
        <v>0</v>
      </c>
      <c r="AD127" s="54">
        <f t="shared" si="405"/>
        <v>0</v>
      </c>
      <c r="AF127" s="182">
        <v>0</v>
      </c>
      <c r="AG127" s="182">
        <v>0</v>
      </c>
      <c r="AH127" s="182">
        <v>0</v>
      </c>
    </row>
    <row r="128" spans="3:34" x14ac:dyDescent="0.4">
      <c r="C128" s="196" t="str">
        <f>++C$31</f>
        <v>[Operating Exepnse]</v>
      </c>
      <c r="G128" s="54">
        <f t="shared" si="390"/>
        <v>0</v>
      </c>
      <c r="H128" s="54">
        <f t="shared" si="391"/>
        <v>0</v>
      </c>
      <c r="I128" s="54">
        <f t="shared" si="391"/>
        <v>0</v>
      </c>
      <c r="J128" s="54">
        <f t="shared" si="391"/>
        <v>0</v>
      </c>
      <c r="K128" s="54">
        <f t="shared" si="392"/>
        <v>0</v>
      </c>
      <c r="L128" s="54">
        <f t="shared" si="393"/>
        <v>0</v>
      </c>
      <c r="M128" s="54">
        <f t="shared" si="394"/>
        <v>0</v>
      </c>
      <c r="N128" s="54">
        <f t="shared" si="395"/>
        <v>0</v>
      </c>
      <c r="O128" s="54">
        <f t="shared" si="392"/>
        <v>0</v>
      </c>
      <c r="P128" s="54">
        <f t="shared" si="396"/>
        <v>0</v>
      </c>
      <c r="Q128" s="54">
        <f t="shared" si="397"/>
        <v>0</v>
      </c>
      <c r="R128" s="54">
        <f t="shared" si="398"/>
        <v>0</v>
      </c>
      <c r="S128" s="54">
        <f t="shared" si="392"/>
        <v>0</v>
      </c>
      <c r="T128" s="54">
        <f t="shared" si="399"/>
        <v>0</v>
      </c>
      <c r="U128" s="54">
        <f t="shared" si="400"/>
        <v>0</v>
      </c>
      <c r="V128" s="54">
        <f t="shared" si="401"/>
        <v>0</v>
      </c>
      <c r="W128" s="54">
        <f t="shared" si="402"/>
        <v>0</v>
      </c>
      <c r="X128" s="54">
        <f t="shared" si="403"/>
        <v>0</v>
      </c>
      <c r="Y128" s="54">
        <f t="shared" si="403"/>
        <v>0</v>
      </c>
      <c r="Z128" s="54">
        <f t="shared" si="403"/>
        <v>0</v>
      </c>
      <c r="AA128" s="54">
        <f t="shared" si="404"/>
        <v>0</v>
      </c>
      <c r="AB128" s="54">
        <f t="shared" si="405"/>
        <v>0</v>
      </c>
      <c r="AC128" s="54">
        <f t="shared" si="405"/>
        <v>0</v>
      </c>
      <c r="AD128" s="54">
        <f t="shared" si="405"/>
        <v>0</v>
      </c>
      <c r="AF128" s="182">
        <v>0</v>
      </c>
      <c r="AG128" s="182">
        <v>0</v>
      </c>
      <c r="AH128" s="182">
        <v>0</v>
      </c>
    </row>
    <row r="129" spans="3:34" x14ac:dyDescent="0.4">
      <c r="C129" s="196" t="str">
        <f>++C$32</f>
        <v>[Operating Exepnse]</v>
      </c>
      <c r="G129" s="54">
        <f t="shared" si="390"/>
        <v>0</v>
      </c>
      <c r="H129" s="54">
        <f t="shared" si="391"/>
        <v>0</v>
      </c>
      <c r="I129" s="54">
        <f t="shared" si="391"/>
        <v>0</v>
      </c>
      <c r="J129" s="54">
        <f t="shared" si="391"/>
        <v>0</v>
      </c>
      <c r="K129" s="54">
        <f t="shared" si="392"/>
        <v>0</v>
      </c>
      <c r="L129" s="54">
        <f t="shared" si="393"/>
        <v>0</v>
      </c>
      <c r="M129" s="54">
        <f t="shared" si="394"/>
        <v>0</v>
      </c>
      <c r="N129" s="54">
        <f t="shared" si="395"/>
        <v>0</v>
      </c>
      <c r="O129" s="54">
        <f t="shared" si="392"/>
        <v>0</v>
      </c>
      <c r="P129" s="54">
        <f t="shared" si="396"/>
        <v>0</v>
      </c>
      <c r="Q129" s="54">
        <f t="shared" si="397"/>
        <v>0</v>
      </c>
      <c r="R129" s="54">
        <f t="shared" si="398"/>
        <v>0</v>
      </c>
      <c r="S129" s="54">
        <f t="shared" si="392"/>
        <v>0</v>
      </c>
      <c r="T129" s="54">
        <f t="shared" si="399"/>
        <v>0</v>
      </c>
      <c r="U129" s="54">
        <f t="shared" si="400"/>
        <v>0</v>
      </c>
      <c r="V129" s="54">
        <f t="shared" si="401"/>
        <v>0</v>
      </c>
      <c r="W129" s="54">
        <f t="shared" si="402"/>
        <v>0</v>
      </c>
      <c r="X129" s="54">
        <f t="shared" si="403"/>
        <v>0</v>
      </c>
      <c r="Y129" s="54">
        <f t="shared" si="403"/>
        <v>0</v>
      </c>
      <c r="Z129" s="54">
        <f t="shared" si="403"/>
        <v>0</v>
      </c>
      <c r="AA129" s="54">
        <f t="shared" si="404"/>
        <v>0</v>
      </c>
      <c r="AB129" s="54">
        <f t="shared" si="405"/>
        <v>0</v>
      </c>
      <c r="AC129" s="54">
        <f t="shared" si="405"/>
        <v>0</v>
      </c>
      <c r="AD129" s="54">
        <f t="shared" si="405"/>
        <v>0</v>
      </c>
      <c r="AF129" s="182">
        <v>0</v>
      </c>
      <c r="AG129" s="182">
        <v>0</v>
      </c>
      <c r="AH129" s="182">
        <v>0</v>
      </c>
    </row>
    <row r="130" spans="3:34" x14ac:dyDescent="0.4">
      <c r="C130" s="196" t="str">
        <f>++C$33</f>
        <v>[Operating Exepnse]</v>
      </c>
      <c r="G130" s="54">
        <f t="shared" si="390"/>
        <v>0</v>
      </c>
      <c r="H130" s="54">
        <f t="shared" si="391"/>
        <v>0</v>
      </c>
      <c r="I130" s="54">
        <f t="shared" si="391"/>
        <v>0</v>
      </c>
      <c r="J130" s="54">
        <f t="shared" si="391"/>
        <v>0</v>
      </c>
      <c r="K130" s="54">
        <f t="shared" si="392"/>
        <v>0</v>
      </c>
      <c r="L130" s="54">
        <f t="shared" si="393"/>
        <v>0</v>
      </c>
      <c r="M130" s="54">
        <f t="shared" si="394"/>
        <v>0</v>
      </c>
      <c r="N130" s="54">
        <f t="shared" si="395"/>
        <v>0</v>
      </c>
      <c r="O130" s="54">
        <f t="shared" si="392"/>
        <v>0</v>
      </c>
      <c r="P130" s="54">
        <f t="shared" si="396"/>
        <v>0</v>
      </c>
      <c r="Q130" s="54">
        <f t="shared" si="397"/>
        <v>0</v>
      </c>
      <c r="R130" s="54">
        <f t="shared" si="398"/>
        <v>0</v>
      </c>
      <c r="S130" s="54">
        <f t="shared" si="392"/>
        <v>0</v>
      </c>
      <c r="T130" s="54">
        <f t="shared" si="399"/>
        <v>0</v>
      </c>
      <c r="U130" s="54">
        <f t="shared" si="400"/>
        <v>0</v>
      </c>
      <c r="V130" s="54">
        <f t="shared" si="401"/>
        <v>0</v>
      </c>
      <c r="W130" s="54">
        <f t="shared" si="402"/>
        <v>0</v>
      </c>
      <c r="X130" s="54">
        <f t="shared" si="403"/>
        <v>0</v>
      </c>
      <c r="Y130" s="54">
        <f t="shared" si="403"/>
        <v>0</v>
      </c>
      <c r="Z130" s="54">
        <f t="shared" si="403"/>
        <v>0</v>
      </c>
      <c r="AA130" s="54">
        <f t="shared" si="404"/>
        <v>0</v>
      </c>
      <c r="AB130" s="54">
        <f t="shared" si="405"/>
        <v>0</v>
      </c>
      <c r="AC130" s="54">
        <f t="shared" si="405"/>
        <v>0</v>
      </c>
      <c r="AD130" s="54">
        <f t="shared" si="405"/>
        <v>0</v>
      </c>
      <c r="AF130" s="182">
        <v>0</v>
      </c>
      <c r="AG130" s="182">
        <v>0</v>
      </c>
      <c r="AH130" s="182">
        <v>0</v>
      </c>
    </row>
    <row r="131" spans="3:34" x14ac:dyDescent="0.4">
      <c r="C131" s="196" t="str">
        <f>++C$34</f>
        <v>Depreciation</v>
      </c>
      <c r="G131" s="54">
        <f t="shared" si="390"/>
        <v>0</v>
      </c>
      <c r="H131" s="54">
        <f t="shared" si="391"/>
        <v>0</v>
      </c>
      <c r="I131" s="54">
        <f t="shared" si="391"/>
        <v>0</v>
      </c>
      <c r="J131" s="54">
        <f t="shared" si="391"/>
        <v>0</v>
      </c>
      <c r="K131" s="54">
        <f t="shared" si="392"/>
        <v>0</v>
      </c>
      <c r="L131" s="54">
        <f t="shared" si="393"/>
        <v>0</v>
      </c>
      <c r="M131" s="54">
        <f t="shared" si="394"/>
        <v>0</v>
      </c>
      <c r="N131" s="54">
        <f t="shared" si="395"/>
        <v>0</v>
      </c>
      <c r="O131" s="54">
        <f t="shared" si="392"/>
        <v>0</v>
      </c>
      <c r="P131" s="54">
        <f t="shared" si="396"/>
        <v>0</v>
      </c>
      <c r="Q131" s="54">
        <f t="shared" si="397"/>
        <v>0</v>
      </c>
      <c r="R131" s="54">
        <f t="shared" si="398"/>
        <v>0</v>
      </c>
      <c r="S131" s="54">
        <f t="shared" si="392"/>
        <v>0</v>
      </c>
      <c r="T131" s="54">
        <f t="shared" si="399"/>
        <v>0</v>
      </c>
      <c r="U131" s="54">
        <f t="shared" si="400"/>
        <v>0</v>
      </c>
      <c r="V131" s="54">
        <f t="shared" si="401"/>
        <v>0</v>
      </c>
      <c r="W131" s="54">
        <f t="shared" si="402"/>
        <v>0</v>
      </c>
      <c r="X131" s="54">
        <f t="shared" si="403"/>
        <v>0</v>
      </c>
      <c r="Y131" s="54">
        <f t="shared" si="403"/>
        <v>0</v>
      </c>
      <c r="Z131" s="54">
        <f t="shared" si="403"/>
        <v>0</v>
      </c>
      <c r="AA131" s="54">
        <f t="shared" si="404"/>
        <v>0</v>
      </c>
      <c r="AB131" s="54">
        <f t="shared" si="405"/>
        <v>0</v>
      </c>
      <c r="AC131" s="54">
        <f t="shared" si="405"/>
        <v>0</v>
      </c>
      <c r="AD131" s="54">
        <f t="shared" si="405"/>
        <v>0</v>
      </c>
      <c r="AF131" s="182">
        <v>0</v>
      </c>
      <c r="AG131" s="182">
        <v>0</v>
      </c>
      <c r="AH131" s="182">
        <v>0</v>
      </c>
    </row>
    <row r="132" spans="3:34" x14ac:dyDescent="0.4">
      <c r="C132" s="196" t="str">
        <f>++C$35</f>
        <v>Amortization</v>
      </c>
      <c r="G132" s="54">
        <f t="shared" si="390"/>
        <v>0</v>
      </c>
      <c r="H132" s="54">
        <f t="shared" si="391"/>
        <v>0</v>
      </c>
      <c r="I132" s="54">
        <f t="shared" si="391"/>
        <v>0</v>
      </c>
      <c r="J132" s="54">
        <f t="shared" si="391"/>
        <v>0</v>
      </c>
      <c r="K132" s="54">
        <f t="shared" si="392"/>
        <v>0</v>
      </c>
      <c r="L132" s="54">
        <f t="shared" si="393"/>
        <v>0</v>
      </c>
      <c r="M132" s="54">
        <f t="shared" si="394"/>
        <v>0</v>
      </c>
      <c r="N132" s="54">
        <f t="shared" si="395"/>
        <v>0</v>
      </c>
      <c r="O132" s="54">
        <f t="shared" si="392"/>
        <v>0</v>
      </c>
      <c r="P132" s="54">
        <f t="shared" si="396"/>
        <v>0</v>
      </c>
      <c r="Q132" s="54">
        <f t="shared" si="397"/>
        <v>0</v>
      </c>
      <c r="R132" s="54">
        <f t="shared" si="398"/>
        <v>0</v>
      </c>
      <c r="S132" s="54">
        <f t="shared" si="392"/>
        <v>0</v>
      </c>
      <c r="T132" s="54">
        <f t="shared" si="399"/>
        <v>0</v>
      </c>
      <c r="U132" s="54">
        <f t="shared" si="400"/>
        <v>0</v>
      </c>
      <c r="V132" s="54">
        <f t="shared" si="401"/>
        <v>0</v>
      </c>
      <c r="W132" s="54">
        <f t="shared" si="402"/>
        <v>0</v>
      </c>
      <c r="X132" s="54">
        <f t="shared" si="403"/>
        <v>0</v>
      </c>
      <c r="Y132" s="54">
        <f t="shared" si="403"/>
        <v>0</v>
      </c>
      <c r="Z132" s="54">
        <f t="shared" si="403"/>
        <v>0</v>
      </c>
      <c r="AA132" s="54">
        <f t="shared" si="404"/>
        <v>0</v>
      </c>
      <c r="AB132" s="54">
        <f t="shared" si="405"/>
        <v>0</v>
      </c>
      <c r="AC132" s="54">
        <f t="shared" si="405"/>
        <v>0</v>
      </c>
      <c r="AD132" s="54">
        <f t="shared" si="405"/>
        <v>0</v>
      </c>
      <c r="AF132" s="182">
        <v>0</v>
      </c>
      <c r="AG132" s="182">
        <v>0</v>
      </c>
      <c r="AH132" s="182">
        <v>0</v>
      </c>
    </row>
    <row r="133" spans="3:34" x14ac:dyDescent="0.4">
      <c r="C133" s="196" t="str">
        <f>++C$36</f>
        <v>Other Operating Expense (Income)</v>
      </c>
      <c r="G133" s="54">
        <f t="shared" si="390"/>
        <v>0</v>
      </c>
      <c r="H133" s="54">
        <f t="shared" si="391"/>
        <v>0</v>
      </c>
      <c r="I133" s="54">
        <f t="shared" si="391"/>
        <v>0</v>
      </c>
      <c r="J133" s="54">
        <f t="shared" si="391"/>
        <v>0</v>
      </c>
      <c r="K133" s="54">
        <f t="shared" si="392"/>
        <v>0</v>
      </c>
      <c r="L133" s="54">
        <f t="shared" si="393"/>
        <v>0</v>
      </c>
      <c r="M133" s="54">
        <f t="shared" si="394"/>
        <v>0</v>
      </c>
      <c r="N133" s="54">
        <f t="shared" si="395"/>
        <v>0</v>
      </c>
      <c r="O133" s="54">
        <f t="shared" si="392"/>
        <v>0</v>
      </c>
      <c r="P133" s="54">
        <f t="shared" si="396"/>
        <v>0</v>
      </c>
      <c r="Q133" s="54">
        <f t="shared" si="397"/>
        <v>0</v>
      </c>
      <c r="R133" s="54">
        <f t="shared" si="398"/>
        <v>0</v>
      </c>
      <c r="S133" s="54">
        <f t="shared" si="392"/>
        <v>0</v>
      </c>
      <c r="T133" s="54">
        <f t="shared" si="399"/>
        <v>0</v>
      </c>
      <c r="U133" s="54">
        <f t="shared" si="400"/>
        <v>0</v>
      </c>
      <c r="V133" s="54">
        <f t="shared" si="401"/>
        <v>0</v>
      </c>
      <c r="W133" s="54">
        <f t="shared" si="402"/>
        <v>0</v>
      </c>
      <c r="X133" s="54">
        <f t="shared" si="403"/>
        <v>0</v>
      </c>
      <c r="Y133" s="54">
        <f t="shared" si="403"/>
        <v>0</v>
      </c>
      <c r="Z133" s="54">
        <f t="shared" si="403"/>
        <v>0</v>
      </c>
      <c r="AA133" s="54">
        <f t="shared" si="404"/>
        <v>0</v>
      </c>
      <c r="AB133" s="54">
        <f t="shared" si="405"/>
        <v>0</v>
      </c>
      <c r="AC133" s="54">
        <f t="shared" si="405"/>
        <v>0</v>
      </c>
      <c r="AD133" s="54">
        <f t="shared" si="405"/>
        <v>0</v>
      </c>
      <c r="AF133" s="182">
        <v>0</v>
      </c>
      <c r="AG133" s="182">
        <v>0</v>
      </c>
      <c r="AH133" s="182">
        <v>0</v>
      </c>
    </row>
    <row r="134" spans="3:34" x14ac:dyDescent="0.4">
      <c r="C134" s="198" t="str">
        <f>++C$37</f>
        <v>Operating Income (Loss)</v>
      </c>
      <c r="D134" s="2"/>
      <c r="E134" s="2"/>
      <c r="G134" s="18">
        <f>++G122-SUM(G126:G133)</f>
        <v>0</v>
      </c>
      <c r="H134" s="18">
        <f t="shared" ref="H134" si="406">++H122-SUM(H126:H133)</f>
        <v>0</v>
      </c>
      <c r="I134" s="18">
        <f t="shared" ref="I134" si="407">++I122-SUM(I126:I133)</f>
        <v>0</v>
      </c>
      <c r="J134" s="18">
        <f t="shared" ref="J134:V134" si="408">++J122-SUM(J126:J133)</f>
        <v>0</v>
      </c>
      <c r="K134" s="18">
        <f t="shared" si="408"/>
        <v>0</v>
      </c>
      <c r="L134" s="18">
        <f t="shared" si="408"/>
        <v>0</v>
      </c>
      <c r="M134" s="18">
        <f t="shared" si="408"/>
        <v>0</v>
      </c>
      <c r="N134" s="18">
        <f t="shared" si="408"/>
        <v>0</v>
      </c>
      <c r="O134" s="18">
        <f t="shared" si="408"/>
        <v>0</v>
      </c>
      <c r="P134" s="18">
        <f t="shared" si="408"/>
        <v>0</v>
      </c>
      <c r="Q134" s="18">
        <f t="shared" si="408"/>
        <v>0</v>
      </c>
      <c r="R134" s="18">
        <f t="shared" si="408"/>
        <v>0</v>
      </c>
      <c r="S134" s="18">
        <f t="shared" si="408"/>
        <v>0</v>
      </c>
      <c r="T134" s="18">
        <f t="shared" si="408"/>
        <v>0</v>
      </c>
      <c r="U134" s="18">
        <f t="shared" si="408"/>
        <v>0</v>
      </c>
      <c r="V134" s="18">
        <f t="shared" si="408"/>
        <v>0</v>
      </c>
      <c r="W134" s="18">
        <f t="shared" ref="W134" si="409">++W122-SUM(W126:W133)</f>
        <v>0</v>
      </c>
      <c r="X134" s="18">
        <f t="shared" ref="X134" si="410">++X122-SUM(X126:X133)</f>
        <v>0</v>
      </c>
      <c r="Y134" s="18">
        <f t="shared" ref="Y134" si="411">++Y122-SUM(Y126:Y133)</f>
        <v>0</v>
      </c>
      <c r="Z134" s="18">
        <f t="shared" ref="Z134" si="412">++Z122-SUM(Z126:Z133)</f>
        <v>0</v>
      </c>
      <c r="AA134" s="18">
        <f t="shared" ref="AA134" si="413">++AA122-SUM(AA126:AA133)</f>
        <v>0</v>
      </c>
      <c r="AB134" s="18">
        <f t="shared" ref="AB134" si="414">++AB122-SUM(AB126:AB133)</f>
        <v>0</v>
      </c>
      <c r="AC134" s="18">
        <f t="shared" ref="AC134" si="415">++AC122-SUM(AC126:AC133)</f>
        <v>0</v>
      </c>
      <c r="AD134" s="18">
        <f t="shared" ref="AD134" si="416">++AD122-SUM(AD126:AD133)</f>
        <v>0</v>
      </c>
      <c r="AF134" s="18">
        <f t="shared" ref="AF134:AH134" si="417">++AF122-SUM(AF126:AF133)</f>
        <v>0</v>
      </c>
      <c r="AG134" s="18">
        <f t="shared" si="417"/>
        <v>0</v>
      </c>
      <c r="AH134" s="18">
        <f t="shared" si="417"/>
        <v>0</v>
      </c>
    </row>
    <row r="135" spans="3:34" x14ac:dyDescent="0.4">
      <c r="C135" s="199" t="str">
        <f>++C$38</f>
        <v>% margin</v>
      </c>
      <c r="G135" s="19">
        <f t="shared" ref="G135:AD135" si="418">++IFERROR(G134/G113,0)</f>
        <v>0</v>
      </c>
      <c r="H135" s="19">
        <f t="shared" si="418"/>
        <v>0</v>
      </c>
      <c r="I135" s="19">
        <f t="shared" si="418"/>
        <v>0</v>
      </c>
      <c r="J135" s="19">
        <f t="shared" si="418"/>
        <v>0</v>
      </c>
      <c r="K135" s="19">
        <f t="shared" ref="K135:V135" si="419">++IFERROR(K134/K113,0)</f>
        <v>0</v>
      </c>
      <c r="L135" s="19">
        <f t="shared" si="419"/>
        <v>0</v>
      </c>
      <c r="M135" s="19">
        <f t="shared" si="419"/>
        <v>0</v>
      </c>
      <c r="N135" s="19">
        <f t="shared" si="419"/>
        <v>0</v>
      </c>
      <c r="O135" s="19">
        <f t="shared" si="419"/>
        <v>0</v>
      </c>
      <c r="P135" s="19">
        <f t="shared" si="419"/>
        <v>0</v>
      </c>
      <c r="Q135" s="19">
        <f t="shared" si="419"/>
        <v>0</v>
      </c>
      <c r="R135" s="19">
        <f t="shared" si="419"/>
        <v>0</v>
      </c>
      <c r="S135" s="19">
        <f t="shared" si="419"/>
        <v>0</v>
      </c>
      <c r="T135" s="19">
        <f t="shared" si="419"/>
        <v>0</v>
      </c>
      <c r="U135" s="19">
        <f t="shared" si="419"/>
        <v>0</v>
      </c>
      <c r="V135" s="19">
        <f t="shared" si="419"/>
        <v>0</v>
      </c>
      <c r="W135" s="19">
        <f t="shared" si="418"/>
        <v>0</v>
      </c>
      <c r="X135" s="19">
        <f t="shared" si="418"/>
        <v>0</v>
      </c>
      <c r="Y135" s="19">
        <f t="shared" si="418"/>
        <v>0</v>
      </c>
      <c r="Z135" s="19">
        <f t="shared" si="418"/>
        <v>0</v>
      </c>
      <c r="AA135" s="19">
        <f t="shared" si="418"/>
        <v>0</v>
      </c>
      <c r="AB135" s="19">
        <f t="shared" si="418"/>
        <v>0</v>
      </c>
      <c r="AC135" s="19">
        <f t="shared" si="418"/>
        <v>0</v>
      </c>
      <c r="AD135" s="19">
        <f t="shared" si="418"/>
        <v>0</v>
      </c>
      <c r="AF135" s="19">
        <f t="shared" ref="AF135:AH135" si="420">++IFERROR(AF134/AF113,0)</f>
        <v>0</v>
      </c>
      <c r="AG135" s="19">
        <f t="shared" si="420"/>
        <v>0</v>
      </c>
      <c r="AH135" s="19">
        <f t="shared" si="420"/>
        <v>0</v>
      </c>
    </row>
    <row r="136" spans="3:34" x14ac:dyDescent="0.4">
      <c r="C136" s="199" t="str">
        <f>++C$39</f>
        <v>% y/y</v>
      </c>
      <c r="G136" s="177" t="s">
        <v>52</v>
      </c>
      <c r="H136" s="177" t="s">
        <v>52</v>
      </c>
      <c r="I136" s="177" t="s">
        <v>52</v>
      </c>
      <c r="J136" s="177" t="s">
        <v>52</v>
      </c>
      <c r="K136" s="19">
        <f t="shared" ref="K136" si="421">++IFERROR(K134/G134-1,0)</f>
        <v>0</v>
      </c>
      <c r="L136" s="19">
        <f t="shared" ref="L136" si="422">++IFERROR(L134/H134-1,0)</f>
        <v>0</v>
      </c>
      <c r="M136" s="19">
        <f t="shared" ref="M136" si="423">++IFERROR(M134/I134-1,0)</f>
        <v>0</v>
      </c>
      <c r="N136" s="19">
        <f t="shared" ref="N136" si="424">++IFERROR(N134/J134-1,0)</f>
        <v>0</v>
      </c>
      <c r="O136" s="19">
        <f t="shared" ref="O136" si="425">++IFERROR(O134/K134-1,0)</f>
        <v>0</v>
      </c>
      <c r="P136" s="19">
        <f t="shared" ref="P136" si="426">++IFERROR(P134/L134-1,0)</f>
        <v>0</v>
      </c>
      <c r="Q136" s="19">
        <f t="shared" ref="Q136" si="427">++IFERROR(Q134/M134-1,0)</f>
        <v>0</v>
      </c>
      <c r="R136" s="19">
        <f t="shared" ref="R136" si="428">++IFERROR(R134/N134-1,0)</f>
        <v>0</v>
      </c>
      <c r="S136" s="19">
        <f t="shared" ref="S136" si="429">++IFERROR(S134/O134-1,0)</f>
        <v>0</v>
      </c>
      <c r="T136" s="19">
        <f t="shared" ref="T136" si="430">++IFERROR(T134/P134-1,0)</f>
        <v>0</v>
      </c>
      <c r="U136" s="19">
        <f t="shared" ref="U136" si="431">++IFERROR(U134/Q134-1,0)</f>
        <v>0</v>
      </c>
      <c r="V136" s="19">
        <f t="shared" ref="V136" si="432">++IFERROR(V134/R134-1,0)</f>
        <v>0</v>
      </c>
      <c r="W136" s="19">
        <f t="shared" ref="W136:AD136" si="433">++IFERROR(W134/S134-1,0)</f>
        <v>0</v>
      </c>
      <c r="X136" s="19">
        <f t="shared" si="433"/>
        <v>0</v>
      </c>
      <c r="Y136" s="19">
        <f t="shared" si="433"/>
        <v>0</v>
      </c>
      <c r="Z136" s="19">
        <f t="shared" si="433"/>
        <v>0</v>
      </c>
      <c r="AA136" s="19">
        <f t="shared" si="433"/>
        <v>0</v>
      </c>
      <c r="AB136" s="19">
        <f t="shared" si="433"/>
        <v>0</v>
      </c>
      <c r="AC136" s="19">
        <f t="shared" si="433"/>
        <v>0</v>
      </c>
      <c r="AD136" s="19">
        <f t="shared" si="433"/>
        <v>0</v>
      </c>
      <c r="AF136" s="177" t="s">
        <v>52</v>
      </c>
      <c r="AG136" s="19">
        <f>++IFERROR(AG134/AF134-1,0)</f>
        <v>0</v>
      </c>
      <c r="AH136" s="19">
        <f>++IFERROR(AH134/AG134-1,0)</f>
        <v>0</v>
      </c>
    </row>
    <row r="137" spans="3:34" x14ac:dyDescent="0.4">
      <c r="C137" s="196"/>
    </row>
    <row r="138" spans="3:34" x14ac:dyDescent="0.4">
      <c r="C138" s="196" t="str">
        <f>++C$41</f>
        <v>Interest Expense (Income)</v>
      </c>
      <c r="G138" s="54">
        <f>++G41</f>
        <v>0</v>
      </c>
      <c r="H138" s="54">
        <f t="shared" ref="H138:J139" si="434">++H41+G138</f>
        <v>0</v>
      </c>
      <c r="I138" s="54">
        <f t="shared" si="434"/>
        <v>0</v>
      </c>
      <c r="J138" s="54">
        <f t="shared" si="434"/>
        <v>0</v>
      </c>
      <c r="K138" s="54">
        <f t="shared" ref="K138" si="435">++K41</f>
        <v>0</v>
      </c>
      <c r="L138" s="54">
        <f t="shared" ref="L138:L139" si="436">++L41+K138</f>
        <v>0</v>
      </c>
      <c r="M138" s="54">
        <f t="shared" ref="M138:M139" si="437">++M41+L138</f>
        <v>0</v>
      </c>
      <c r="N138" s="54">
        <f t="shared" ref="N138:N139" si="438">++N41+M138</f>
        <v>0</v>
      </c>
      <c r="O138" s="54">
        <f t="shared" ref="O138" si="439">++O41</f>
        <v>0</v>
      </c>
      <c r="P138" s="54">
        <f t="shared" ref="P138:P139" si="440">++P41+O138</f>
        <v>0</v>
      </c>
      <c r="Q138" s="54">
        <f t="shared" ref="Q138:Q139" si="441">++Q41+P138</f>
        <v>0</v>
      </c>
      <c r="R138" s="54">
        <f t="shared" ref="R138:R139" si="442">++R41+Q138</f>
        <v>0</v>
      </c>
      <c r="S138" s="54">
        <f t="shared" ref="S138" si="443">++S41</f>
        <v>0</v>
      </c>
      <c r="T138" s="54">
        <f t="shared" ref="T138:T139" si="444">++T41+S138</f>
        <v>0</v>
      </c>
      <c r="U138" s="54">
        <f t="shared" ref="U138:U139" si="445">++U41+T138</f>
        <v>0</v>
      </c>
      <c r="V138" s="54">
        <f t="shared" ref="V138:V139" si="446">++V41+U138</f>
        <v>0</v>
      </c>
      <c r="W138" s="54">
        <f>++W41</f>
        <v>0</v>
      </c>
      <c r="X138" s="54">
        <f t="shared" ref="X138:Z139" si="447">++X41+W138</f>
        <v>0</v>
      </c>
      <c r="Y138" s="54">
        <f t="shared" si="447"/>
        <v>0</v>
      </c>
      <c r="Z138" s="54">
        <f t="shared" si="447"/>
        <v>0</v>
      </c>
      <c r="AA138" s="54">
        <f>++AA41</f>
        <v>0</v>
      </c>
      <c r="AB138" s="54">
        <f t="shared" ref="AB138:AD139" si="448">++AB41+AA138</f>
        <v>0</v>
      </c>
      <c r="AC138" s="54">
        <f t="shared" si="448"/>
        <v>0</v>
      </c>
      <c r="AD138" s="54">
        <f t="shared" si="448"/>
        <v>0</v>
      </c>
      <c r="AF138" s="182">
        <v>0</v>
      </c>
      <c r="AG138" s="182">
        <v>0</v>
      </c>
      <c r="AH138" s="182">
        <v>0</v>
      </c>
    </row>
    <row r="139" spans="3:34" x14ac:dyDescent="0.4">
      <c r="C139" s="196" t="str">
        <f>++C$42</f>
        <v>Other Expense (Income)</v>
      </c>
      <c r="G139" s="54">
        <f>++G42</f>
        <v>0</v>
      </c>
      <c r="H139" s="54">
        <f t="shared" si="434"/>
        <v>0</v>
      </c>
      <c r="I139" s="54">
        <f t="shared" si="434"/>
        <v>0</v>
      </c>
      <c r="J139" s="54">
        <f t="shared" si="434"/>
        <v>0</v>
      </c>
      <c r="K139" s="54">
        <f t="shared" ref="K139" si="449">++K42</f>
        <v>0</v>
      </c>
      <c r="L139" s="54">
        <f t="shared" si="436"/>
        <v>0</v>
      </c>
      <c r="M139" s="54">
        <f t="shared" si="437"/>
        <v>0</v>
      </c>
      <c r="N139" s="54">
        <f t="shared" si="438"/>
        <v>0</v>
      </c>
      <c r="O139" s="54">
        <f t="shared" ref="O139" si="450">++O42</f>
        <v>0</v>
      </c>
      <c r="P139" s="54">
        <f t="shared" si="440"/>
        <v>0</v>
      </c>
      <c r="Q139" s="54">
        <f t="shared" si="441"/>
        <v>0</v>
      </c>
      <c r="R139" s="54">
        <f t="shared" si="442"/>
        <v>0</v>
      </c>
      <c r="S139" s="54">
        <f t="shared" ref="S139" si="451">++S42</f>
        <v>0</v>
      </c>
      <c r="T139" s="54">
        <f t="shared" si="444"/>
        <v>0</v>
      </c>
      <c r="U139" s="54">
        <f t="shared" si="445"/>
        <v>0</v>
      </c>
      <c r="V139" s="54">
        <f t="shared" si="446"/>
        <v>0</v>
      </c>
      <c r="W139" s="54">
        <f>++W42</f>
        <v>0</v>
      </c>
      <c r="X139" s="54">
        <f t="shared" si="447"/>
        <v>0</v>
      </c>
      <c r="Y139" s="54">
        <f t="shared" si="447"/>
        <v>0</v>
      </c>
      <c r="Z139" s="54">
        <f t="shared" si="447"/>
        <v>0</v>
      </c>
      <c r="AA139" s="54">
        <f>++AA42</f>
        <v>0</v>
      </c>
      <c r="AB139" s="54">
        <f t="shared" si="448"/>
        <v>0</v>
      </c>
      <c r="AC139" s="54">
        <f t="shared" si="448"/>
        <v>0</v>
      </c>
      <c r="AD139" s="54">
        <f t="shared" si="448"/>
        <v>0</v>
      </c>
      <c r="AF139" s="182">
        <v>0</v>
      </c>
      <c r="AG139" s="182">
        <v>0</v>
      </c>
      <c r="AH139" s="182">
        <v>0</v>
      </c>
    </row>
    <row r="140" spans="3:34" x14ac:dyDescent="0.4">
      <c r="C140" s="198" t="str">
        <f>++C$43</f>
        <v>Pre-Tax Income (Loss)</v>
      </c>
      <c r="D140" s="2"/>
      <c r="E140" s="2"/>
      <c r="G140" s="18">
        <f>++G134-SUM(G138:G139)</f>
        <v>0</v>
      </c>
      <c r="H140" s="18">
        <f t="shared" ref="H140" si="452">++H134-SUM(H138:H139)</f>
        <v>0</v>
      </c>
      <c r="I140" s="18">
        <f t="shared" ref="I140" si="453">++I134-SUM(I138:I139)</f>
        <v>0</v>
      </c>
      <c r="J140" s="18">
        <f t="shared" ref="J140:V140" si="454">++J134-SUM(J138:J139)</f>
        <v>0</v>
      </c>
      <c r="K140" s="18">
        <f t="shared" si="454"/>
        <v>0</v>
      </c>
      <c r="L140" s="18">
        <f t="shared" si="454"/>
        <v>0</v>
      </c>
      <c r="M140" s="18">
        <f t="shared" si="454"/>
        <v>0</v>
      </c>
      <c r="N140" s="18">
        <f t="shared" si="454"/>
        <v>0</v>
      </c>
      <c r="O140" s="18">
        <f t="shared" si="454"/>
        <v>0</v>
      </c>
      <c r="P140" s="18">
        <f t="shared" si="454"/>
        <v>0</v>
      </c>
      <c r="Q140" s="18">
        <f t="shared" si="454"/>
        <v>0</v>
      </c>
      <c r="R140" s="18">
        <f t="shared" si="454"/>
        <v>0</v>
      </c>
      <c r="S140" s="18">
        <f t="shared" si="454"/>
        <v>0</v>
      </c>
      <c r="T140" s="18">
        <f t="shared" si="454"/>
        <v>0</v>
      </c>
      <c r="U140" s="18">
        <f t="shared" si="454"/>
        <v>0</v>
      </c>
      <c r="V140" s="18">
        <f t="shared" si="454"/>
        <v>0</v>
      </c>
      <c r="W140" s="18">
        <f t="shared" ref="W140" si="455">++W134-SUM(W138:W139)</f>
        <v>0</v>
      </c>
      <c r="X140" s="18">
        <f t="shared" ref="X140" si="456">++X134-SUM(X138:X139)</f>
        <v>0</v>
      </c>
      <c r="Y140" s="18">
        <f t="shared" ref="Y140" si="457">++Y134-SUM(Y138:Y139)</f>
        <v>0</v>
      </c>
      <c r="Z140" s="18">
        <f t="shared" ref="Z140" si="458">++Z134-SUM(Z138:Z139)</f>
        <v>0</v>
      </c>
      <c r="AA140" s="18">
        <f t="shared" ref="AA140" si="459">++AA134-SUM(AA138:AA139)</f>
        <v>0</v>
      </c>
      <c r="AB140" s="18">
        <f t="shared" ref="AB140" si="460">++AB134-SUM(AB138:AB139)</f>
        <v>0</v>
      </c>
      <c r="AC140" s="18">
        <f t="shared" ref="AC140" si="461">++AC134-SUM(AC138:AC139)</f>
        <v>0</v>
      </c>
      <c r="AD140" s="18">
        <f t="shared" ref="AD140" si="462">++AD134-SUM(AD138:AD139)</f>
        <v>0</v>
      </c>
      <c r="AF140" s="18">
        <f t="shared" ref="AF140:AH140" si="463">++AF134-SUM(AF138:AF139)</f>
        <v>0</v>
      </c>
      <c r="AG140" s="18">
        <f t="shared" si="463"/>
        <v>0</v>
      </c>
      <c r="AH140" s="18">
        <f t="shared" si="463"/>
        <v>0</v>
      </c>
    </row>
    <row r="141" spans="3:34" x14ac:dyDescent="0.4">
      <c r="C141" s="199" t="str">
        <f>++C$44</f>
        <v>% margin</v>
      </c>
      <c r="G141" s="19">
        <f t="shared" ref="G141:AD141" si="464">++IFERROR(G140/G113,0)</f>
        <v>0</v>
      </c>
      <c r="H141" s="19">
        <f t="shared" si="464"/>
        <v>0</v>
      </c>
      <c r="I141" s="19">
        <f t="shared" si="464"/>
        <v>0</v>
      </c>
      <c r="J141" s="19">
        <f t="shared" si="464"/>
        <v>0</v>
      </c>
      <c r="K141" s="19">
        <f t="shared" ref="K141:V141" si="465">++IFERROR(K140/K113,0)</f>
        <v>0</v>
      </c>
      <c r="L141" s="19">
        <f t="shared" si="465"/>
        <v>0</v>
      </c>
      <c r="M141" s="19">
        <f t="shared" si="465"/>
        <v>0</v>
      </c>
      <c r="N141" s="19">
        <f t="shared" si="465"/>
        <v>0</v>
      </c>
      <c r="O141" s="19">
        <f t="shared" si="465"/>
        <v>0</v>
      </c>
      <c r="P141" s="19">
        <f t="shared" si="465"/>
        <v>0</v>
      </c>
      <c r="Q141" s="19">
        <f t="shared" si="465"/>
        <v>0</v>
      </c>
      <c r="R141" s="19">
        <f t="shared" si="465"/>
        <v>0</v>
      </c>
      <c r="S141" s="19">
        <f t="shared" si="465"/>
        <v>0</v>
      </c>
      <c r="T141" s="19">
        <f t="shared" si="465"/>
        <v>0</v>
      </c>
      <c r="U141" s="19">
        <f t="shared" si="465"/>
        <v>0</v>
      </c>
      <c r="V141" s="19">
        <f t="shared" si="465"/>
        <v>0</v>
      </c>
      <c r="W141" s="19">
        <f t="shared" si="464"/>
        <v>0</v>
      </c>
      <c r="X141" s="19">
        <f t="shared" si="464"/>
        <v>0</v>
      </c>
      <c r="Y141" s="19">
        <f t="shared" si="464"/>
        <v>0</v>
      </c>
      <c r="Z141" s="19">
        <f t="shared" si="464"/>
        <v>0</v>
      </c>
      <c r="AA141" s="19">
        <f t="shared" si="464"/>
        <v>0</v>
      </c>
      <c r="AB141" s="19">
        <f t="shared" si="464"/>
        <v>0</v>
      </c>
      <c r="AC141" s="19">
        <f t="shared" si="464"/>
        <v>0</v>
      </c>
      <c r="AD141" s="19">
        <f t="shared" si="464"/>
        <v>0</v>
      </c>
      <c r="AF141" s="19">
        <f t="shared" ref="AF141:AH141" si="466">++IFERROR(AF140/AF113,0)</f>
        <v>0</v>
      </c>
      <c r="AG141" s="19">
        <f t="shared" si="466"/>
        <v>0</v>
      </c>
      <c r="AH141" s="19">
        <f t="shared" si="466"/>
        <v>0</v>
      </c>
    </row>
    <row r="142" spans="3:34" x14ac:dyDescent="0.4">
      <c r="C142" s="199" t="str">
        <f>++C$45</f>
        <v>% y/y</v>
      </c>
      <c r="G142" s="177" t="s">
        <v>52</v>
      </c>
      <c r="H142" s="177" t="s">
        <v>52</v>
      </c>
      <c r="I142" s="177" t="s">
        <v>52</v>
      </c>
      <c r="J142" s="177" t="s">
        <v>52</v>
      </c>
      <c r="K142" s="19">
        <f t="shared" ref="K142" si="467">++IFERROR(K140/G140-1,0)</f>
        <v>0</v>
      </c>
      <c r="L142" s="19">
        <f t="shared" ref="L142" si="468">++IFERROR(L140/H140-1,0)</f>
        <v>0</v>
      </c>
      <c r="M142" s="19">
        <f t="shared" ref="M142" si="469">++IFERROR(M140/I140-1,0)</f>
        <v>0</v>
      </c>
      <c r="N142" s="19">
        <f t="shared" ref="N142" si="470">++IFERROR(N140/J140-1,0)</f>
        <v>0</v>
      </c>
      <c r="O142" s="19">
        <f t="shared" ref="O142" si="471">++IFERROR(O140/K140-1,0)</f>
        <v>0</v>
      </c>
      <c r="P142" s="19">
        <f t="shared" ref="P142" si="472">++IFERROR(P140/L140-1,0)</f>
        <v>0</v>
      </c>
      <c r="Q142" s="19">
        <f t="shared" ref="Q142" si="473">++IFERROR(Q140/M140-1,0)</f>
        <v>0</v>
      </c>
      <c r="R142" s="19">
        <f t="shared" ref="R142" si="474">++IFERROR(R140/N140-1,0)</f>
        <v>0</v>
      </c>
      <c r="S142" s="19">
        <f t="shared" ref="S142" si="475">++IFERROR(S140/O140-1,0)</f>
        <v>0</v>
      </c>
      <c r="T142" s="19">
        <f t="shared" ref="T142" si="476">++IFERROR(T140/P140-1,0)</f>
        <v>0</v>
      </c>
      <c r="U142" s="19">
        <f t="shared" ref="U142" si="477">++IFERROR(U140/Q140-1,0)</f>
        <v>0</v>
      </c>
      <c r="V142" s="19">
        <f t="shared" ref="V142" si="478">++IFERROR(V140/R140-1,0)</f>
        <v>0</v>
      </c>
      <c r="W142" s="19">
        <f t="shared" ref="W142:AD142" si="479">++IFERROR(W140/S140-1,0)</f>
        <v>0</v>
      </c>
      <c r="X142" s="19">
        <f t="shared" si="479"/>
        <v>0</v>
      </c>
      <c r="Y142" s="19">
        <f t="shared" si="479"/>
        <v>0</v>
      </c>
      <c r="Z142" s="19">
        <f t="shared" si="479"/>
        <v>0</v>
      </c>
      <c r="AA142" s="19">
        <f t="shared" si="479"/>
        <v>0</v>
      </c>
      <c r="AB142" s="19">
        <f t="shared" si="479"/>
        <v>0</v>
      </c>
      <c r="AC142" s="19">
        <f t="shared" si="479"/>
        <v>0</v>
      </c>
      <c r="AD142" s="19">
        <f t="shared" si="479"/>
        <v>0</v>
      </c>
      <c r="AF142" s="177" t="s">
        <v>52</v>
      </c>
      <c r="AG142" s="19">
        <f>++IFERROR(AG140/AF140-1,0)</f>
        <v>0</v>
      </c>
      <c r="AH142" s="19">
        <f>++IFERROR(AH140/AG140-1,0)</f>
        <v>0</v>
      </c>
    </row>
    <row r="143" spans="3:34" x14ac:dyDescent="0.4">
      <c r="C143" s="196"/>
    </row>
    <row r="144" spans="3:34" x14ac:dyDescent="0.4">
      <c r="C144" s="196" t="str">
        <f>++C$47</f>
        <v>Income Tax Expense (Benefit)</v>
      </c>
      <c r="G144" s="54">
        <f>++G47</f>
        <v>0</v>
      </c>
      <c r="H144" s="54">
        <f>++H47+G144</f>
        <v>0</v>
      </c>
      <c r="I144" s="54">
        <f>++I47+H144</f>
        <v>0</v>
      </c>
      <c r="J144" s="54">
        <f>++J47+I144</f>
        <v>0</v>
      </c>
      <c r="K144" s="54">
        <f t="shared" ref="K144" si="480">++K47</f>
        <v>0</v>
      </c>
      <c r="L144" s="54">
        <f t="shared" ref="L144:N144" si="481">++L47+K144</f>
        <v>0</v>
      </c>
      <c r="M144" s="54">
        <f t="shared" si="481"/>
        <v>0</v>
      </c>
      <c r="N144" s="54">
        <f t="shared" si="481"/>
        <v>0</v>
      </c>
      <c r="O144" s="54">
        <f t="shared" ref="O144" si="482">++O47</f>
        <v>0</v>
      </c>
      <c r="P144" s="54">
        <f t="shared" ref="P144:R144" si="483">++P47+O144</f>
        <v>0</v>
      </c>
      <c r="Q144" s="54">
        <f t="shared" si="483"/>
        <v>0</v>
      </c>
      <c r="R144" s="54">
        <f t="shared" si="483"/>
        <v>0</v>
      </c>
      <c r="S144" s="54">
        <f t="shared" ref="S144" si="484">++S47</f>
        <v>0</v>
      </c>
      <c r="T144" s="54">
        <f t="shared" ref="T144:V144" si="485">++T47+S144</f>
        <v>0</v>
      </c>
      <c r="U144" s="54">
        <f t="shared" si="485"/>
        <v>0</v>
      </c>
      <c r="V144" s="54">
        <f t="shared" si="485"/>
        <v>0</v>
      </c>
      <c r="W144" s="54">
        <f>++W47</f>
        <v>0</v>
      </c>
      <c r="X144" s="54">
        <f>++X47+W144</f>
        <v>0</v>
      </c>
      <c r="Y144" s="54">
        <f>++Y47+X144</f>
        <v>0</v>
      </c>
      <c r="Z144" s="54">
        <f>++Z47+Y144</f>
        <v>0</v>
      </c>
      <c r="AA144" s="54">
        <f>++AA47</f>
        <v>0</v>
      </c>
      <c r="AB144" s="54">
        <f>++AB47+AA144</f>
        <v>0</v>
      </c>
      <c r="AC144" s="54">
        <f>++AC47+AB144</f>
        <v>0</v>
      </c>
      <c r="AD144" s="54">
        <f>++AD47+AC144</f>
        <v>0</v>
      </c>
      <c r="AF144" s="182">
        <v>0</v>
      </c>
      <c r="AG144" s="182">
        <v>0</v>
      </c>
      <c r="AH144" s="182">
        <v>0</v>
      </c>
    </row>
    <row r="145" spans="3:34" x14ac:dyDescent="0.4">
      <c r="C145" s="199" t="str">
        <f>++C$48</f>
        <v>% effective rate</v>
      </c>
      <c r="G145" s="19">
        <f>++IFERROR(G144/G140,0)</f>
        <v>0</v>
      </c>
      <c r="H145" s="19">
        <f t="shared" ref="H145" si="486">++IFERROR(H144/H140,0)</f>
        <v>0</v>
      </c>
      <c r="I145" s="19">
        <f t="shared" ref="I145" si="487">++IFERROR(I144/I140,0)</f>
        <v>0</v>
      </c>
      <c r="J145" s="19">
        <f t="shared" ref="J145:V145" si="488">++IFERROR(J144/J140,0)</f>
        <v>0</v>
      </c>
      <c r="K145" s="19">
        <f t="shared" si="488"/>
        <v>0</v>
      </c>
      <c r="L145" s="19">
        <f t="shared" si="488"/>
        <v>0</v>
      </c>
      <c r="M145" s="19">
        <f t="shared" si="488"/>
        <v>0</v>
      </c>
      <c r="N145" s="19">
        <f t="shared" si="488"/>
        <v>0</v>
      </c>
      <c r="O145" s="19">
        <f t="shared" si="488"/>
        <v>0</v>
      </c>
      <c r="P145" s="19">
        <f t="shared" si="488"/>
        <v>0</v>
      </c>
      <c r="Q145" s="19">
        <f t="shared" si="488"/>
        <v>0</v>
      </c>
      <c r="R145" s="19">
        <f t="shared" si="488"/>
        <v>0</v>
      </c>
      <c r="S145" s="19">
        <f t="shared" si="488"/>
        <v>0</v>
      </c>
      <c r="T145" s="19">
        <f t="shared" si="488"/>
        <v>0</v>
      </c>
      <c r="U145" s="19">
        <f t="shared" si="488"/>
        <v>0</v>
      </c>
      <c r="V145" s="19">
        <f t="shared" si="488"/>
        <v>0</v>
      </c>
      <c r="W145" s="19">
        <f t="shared" ref="W145" si="489">++IFERROR(W144/W140,0)</f>
        <v>0</v>
      </c>
      <c r="X145" s="19">
        <f t="shared" ref="X145" si="490">++IFERROR(X144/X140,0)</f>
        <v>0</v>
      </c>
      <c r="Y145" s="19">
        <f t="shared" ref="Y145" si="491">++IFERROR(Y144/Y140,0)</f>
        <v>0</v>
      </c>
      <c r="Z145" s="19">
        <f t="shared" ref="Z145" si="492">++IFERROR(Z144/Z140,0)</f>
        <v>0</v>
      </c>
      <c r="AA145" s="19">
        <f t="shared" ref="AA145" si="493">++IFERROR(AA144/AA140,0)</f>
        <v>0</v>
      </c>
      <c r="AB145" s="19">
        <f t="shared" ref="AB145" si="494">++IFERROR(AB144/AB140,0)</f>
        <v>0</v>
      </c>
      <c r="AC145" s="19">
        <f t="shared" ref="AC145" si="495">++IFERROR(AC144/AC140,0)</f>
        <v>0</v>
      </c>
      <c r="AD145" s="19">
        <f t="shared" ref="AD145" si="496">++IFERROR(AD144/AD140,0)</f>
        <v>0</v>
      </c>
      <c r="AF145" s="19">
        <f t="shared" ref="AF145:AH145" si="497">++IFERROR(AF144/AF140,0)</f>
        <v>0</v>
      </c>
      <c r="AG145" s="19">
        <f t="shared" si="497"/>
        <v>0</v>
      </c>
      <c r="AH145" s="19">
        <f t="shared" si="497"/>
        <v>0</v>
      </c>
    </row>
    <row r="146" spans="3:34" x14ac:dyDescent="0.4">
      <c r="C146" s="196"/>
    </row>
    <row r="147" spans="3:34" ht="13.5" thickBot="1" x14ac:dyDescent="0.45">
      <c r="C147" s="200" t="str">
        <f>++C$50</f>
        <v>Net Income</v>
      </c>
      <c r="D147" s="174"/>
      <c r="E147" s="174"/>
      <c r="G147" s="178">
        <f>++G140-G144</f>
        <v>0</v>
      </c>
      <c r="H147" s="178">
        <f t="shared" ref="H147:AD147" si="498">++H140-H144</f>
        <v>0</v>
      </c>
      <c r="I147" s="178">
        <f t="shared" si="498"/>
        <v>0</v>
      </c>
      <c r="J147" s="178">
        <f t="shared" si="498"/>
        <v>0</v>
      </c>
      <c r="K147" s="178">
        <f t="shared" ref="K147:V147" si="499">++K140-K144</f>
        <v>0</v>
      </c>
      <c r="L147" s="178">
        <f t="shared" si="499"/>
        <v>0</v>
      </c>
      <c r="M147" s="178">
        <f t="shared" si="499"/>
        <v>0</v>
      </c>
      <c r="N147" s="178">
        <f t="shared" si="499"/>
        <v>0</v>
      </c>
      <c r="O147" s="178">
        <f t="shared" si="499"/>
        <v>0</v>
      </c>
      <c r="P147" s="178">
        <f t="shared" si="499"/>
        <v>0</v>
      </c>
      <c r="Q147" s="178">
        <f t="shared" si="499"/>
        <v>0</v>
      </c>
      <c r="R147" s="178">
        <f t="shared" si="499"/>
        <v>0</v>
      </c>
      <c r="S147" s="178">
        <f t="shared" si="499"/>
        <v>0</v>
      </c>
      <c r="T147" s="178">
        <f t="shared" si="499"/>
        <v>0</v>
      </c>
      <c r="U147" s="178">
        <f t="shared" si="499"/>
        <v>0</v>
      </c>
      <c r="V147" s="178">
        <f t="shared" si="499"/>
        <v>0</v>
      </c>
      <c r="W147" s="178">
        <f t="shared" si="498"/>
        <v>0</v>
      </c>
      <c r="X147" s="178">
        <f t="shared" si="498"/>
        <v>0</v>
      </c>
      <c r="Y147" s="178">
        <f t="shared" si="498"/>
        <v>0</v>
      </c>
      <c r="Z147" s="178">
        <f t="shared" si="498"/>
        <v>0</v>
      </c>
      <c r="AA147" s="178">
        <f t="shared" si="498"/>
        <v>0</v>
      </c>
      <c r="AB147" s="178">
        <f t="shared" si="498"/>
        <v>0</v>
      </c>
      <c r="AC147" s="178">
        <f t="shared" si="498"/>
        <v>0</v>
      </c>
      <c r="AD147" s="178">
        <f t="shared" si="498"/>
        <v>0</v>
      </c>
      <c r="AF147" s="178">
        <f t="shared" ref="AF147:AH147" si="500">++AF140-AF144</f>
        <v>0</v>
      </c>
      <c r="AG147" s="178">
        <f t="shared" si="500"/>
        <v>0</v>
      </c>
      <c r="AH147" s="178">
        <f t="shared" si="500"/>
        <v>0</v>
      </c>
    </row>
    <row r="148" spans="3:34" ht="13.5" thickTop="1" x14ac:dyDescent="0.4">
      <c r="C148" s="199" t="str">
        <f>++C$51</f>
        <v>% margin</v>
      </c>
      <c r="G148" s="19">
        <f t="shared" ref="G148:AD148" si="501">++IFERROR(G147/G113,0)</f>
        <v>0</v>
      </c>
      <c r="H148" s="19">
        <f t="shared" si="501"/>
        <v>0</v>
      </c>
      <c r="I148" s="19">
        <f t="shared" si="501"/>
        <v>0</v>
      </c>
      <c r="J148" s="19">
        <f t="shared" si="501"/>
        <v>0</v>
      </c>
      <c r="K148" s="19">
        <f t="shared" ref="K148:V148" si="502">++IFERROR(K147/K113,0)</f>
        <v>0</v>
      </c>
      <c r="L148" s="19">
        <f t="shared" si="502"/>
        <v>0</v>
      </c>
      <c r="M148" s="19">
        <f t="shared" si="502"/>
        <v>0</v>
      </c>
      <c r="N148" s="19">
        <f t="shared" si="502"/>
        <v>0</v>
      </c>
      <c r="O148" s="19">
        <f t="shared" si="502"/>
        <v>0</v>
      </c>
      <c r="P148" s="19">
        <f t="shared" si="502"/>
        <v>0</v>
      </c>
      <c r="Q148" s="19">
        <f t="shared" si="502"/>
        <v>0</v>
      </c>
      <c r="R148" s="19">
        <f t="shared" si="502"/>
        <v>0</v>
      </c>
      <c r="S148" s="19">
        <f t="shared" si="502"/>
        <v>0</v>
      </c>
      <c r="T148" s="19">
        <f t="shared" si="502"/>
        <v>0</v>
      </c>
      <c r="U148" s="19">
        <f t="shared" si="502"/>
        <v>0</v>
      </c>
      <c r="V148" s="19">
        <f t="shared" si="502"/>
        <v>0</v>
      </c>
      <c r="W148" s="19">
        <f t="shared" si="501"/>
        <v>0</v>
      </c>
      <c r="X148" s="19">
        <f t="shared" si="501"/>
        <v>0</v>
      </c>
      <c r="Y148" s="19">
        <f t="shared" si="501"/>
        <v>0</v>
      </c>
      <c r="Z148" s="19">
        <f t="shared" si="501"/>
        <v>0</v>
      </c>
      <c r="AA148" s="19">
        <f t="shared" si="501"/>
        <v>0</v>
      </c>
      <c r="AB148" s="19">
        <f t="shared" si="501"/>
        <v>0</v>
      </c>
      <c r="AC148" s="19">
        <f t="shared" si="501"/>
        <v>0</v>
      </c>
      <c r="AD148" s="19">
        <f t="shared" si="501"/>
        <v>0</v>
      </c>
      <c r="AF148" s="19">
        <f t="shared" ref="AF148:AH148" si="503">++IFERROR(AF147/AF113,0)</f>
        <v>0</v>
      </c>
      <c r="AG148" s="19">
        <f t="shared" si="503"/>
        <v>0</v>
      </c>
      <c r="AH148" s="19">
        <f t="shared" si="503"/>
        <v>0</v>
      </c>
    </row>
    <row r="149" spans="3:34" x14ac:dyDescent="0.4">
      <c r="C149" s="199" t="str">
        <f>++C$52</f>
        <v>% y/y</v>
      </c>
      <c r="G149" s="177" t="s">
        <v>52</v>
      </c>
      <c r="H149" s="177" t="s">
        <v>52</v>
      </c>
      <c r="I149" s="177" t="s">
        <v>52</v>
      </c>
      <c r="J149" s="177" t="s">
        <v>52</v>
      </c>
      <c r="K149" s="19">
        <f t="shared" ref="K149" si="504">++IFERROR(K147/G147-1,0)</f>
        <v>0</v>
      </c>
      <c r="L149" s="19">
        <f t="shared" ref="L149" si="505">++IFERROR(L147/H147-1,0)</f>
        <v>0</v>
      </c>
      <c r="M149" s="19">
        <f t="shared" ref="M149" si="506">++IFERROR(M147/I147-1,0)</f>
        <v>0</v>
      </c>
      <c r="N149" s="19">
        <f t="shared" ref="N149" si="507">++IFERROR(N147/J147-1,0)</f>
        <v>0</v>
      </c>
      <c r="O149" s="19">
        <f t="shared" ref="O149" si="508">++IFERROR(O147/K147-1,0)</f>
        <v>0</v>
      </c>
      <c r="P149" s="19">
        <f t="shared" ref="P149" si="509">++IFERROR(P147/L147-1,0)</f>
        <v>0</v>
      </c>
      <c r="Q149" s="19">
        <f t="shared" ref="Q149" si="510">++IFERROR(Q147/M147-1,0)</f>
        <v>0</v>
      </c>
      <c r="R149" s="19">
        <f t="shared" ref="R149" si="511">++IFERROR(R147/N147-1,0)</f>
        <v>0</v>
      </c>
      <c r="S149" s="19">
        <f t="shared" ref="S149" si="512">++IFERROR(S147/O147-1,0)</f>
        <v>0</v>
      </c>
      <c r="T149" s="19">
        <f t="shared" ref="T149" si="513">++IFERROR(T147/P147-1,0)</f>
        <v>0</v>
      </c>
      <c r="U149" s="19">
        <f t="shared" ref="U149" si="514">++IFERROR(U147/Q147-1,0)</f>
        <v>0</v>
      </c>
      <c r="V149" s="19">
        <f t="shared" ref="V149" si="515">++IFERROR(V147/R147-1,0)</f>
        <v>0</v>
      </c>
      <c r="W149" s="19">
        <f t="shared" ref="W149:AD149" si="516">++IFERROR(W147/S147-1,0)</f>
        <v>0</v>
      </c>
      <c r="X149" s="19">
        <f t="shared" si="516"/>
        <v>0</v>
      </c>
      <c r="Y149" s="19">
        <f t="shared" si="516"/>
        <v>0</v>
      </c>
      <c r="Z149" s="19">
        <f t="shared" si="516"/>
        <v>0</v>
      </c>
      <c r="AA149" s="19">
        <f t="shared" si="516"/>
        <v>0</v>
      </c>
      <c r="AB149" s="19">
        <f t="shared" si="516"/>
        <v>0</v>
      </c>
      <c r="AC149" s="19">
        <f t="shared" si="516"/>
        <v>0</v>
      </c>
      <c r="AD149" s="19">
        <f t="shared" si="516"/>
        <v>0</v>
      </c>
      <c r="AF149" s="177" t="s">
        <v>52</v>
      </c>
      <c r="AG149" s="19">
        <f>++IFERROR(AG147/AF147-1,0)</f>
        <v>0</v>
      </c>
      <c r="AH149" s="19">
        <f>++IFERROR(AH147/AG147-1,0)</f>
        <v>0</v>
      </c>
    </row>
    <row r="150" spans="3:34" x14ac:dyDescent="0.4">
      <c r="C150" s="196"/>
    </row>
    <row r="151" spans="3:34" x14ac:dyDescent="0.4">
      <c r="C151" s="196" t="str">
        <f>++C$54</f>
        <v>Net Income</v>
      </c>
      <c r="G151" s="64">
        <f>++G147</f>
        <v>0</v>
      </c>
      <c r="H151" s="64">
        <f t="shared" ref="H151:AD151" si="517">++H147</f>
        <v>0</v>
      </c>
      <c r="I151" s="64">
        <f t="shared" si="517"/>
        <v>0</v>
      </c>
      <c r="J151" s="64">
        <f t="shared" si="517"/>
        <v>0</v>
      </c>
      <c r="K151" s="64">
        <f t="shared" ref="K151:V151" si="518">++K147</f>
        <v>0</v>
      </c>
      <c r="L151" s="64">
        <f t="shared" si="518"/>
        <v>0</v>
      </c>
      <c r="M151" s="64">
        <f t="shared" si="518"/>
        <v>0</v>
      </c>
      <c r="N151" s="64">
        <f t="shared" si="518"/>
        <v>0</v>
      </c>
      <c r="O151" s="64">
        <f t="shared" si="518"/>
        <v>0</v>
      </c>
      <c r="P151" s="64">
        <f t="shared" si="518"/>
        <v>0</v>
      </c>
      <c r="Q151" s="64">
        <f t="shared" si="518"/>
        <v>0</v>
      </c>
      <c r="R151" s="64">
        <f t="shared" si="518"/>
        <v>0</v>
      </c>
      <c r="S151" s="64">
        <f t="shared" si="518"/>
        <v>0</v>
      </c>
      <c r="T151" s="64">
        <f t="shared" si="518"/>
        <v>0</v>
      </c>
      <c r="U151" s="64">
        <f t="shared" si="518"/>
        <v>0</v>
      </c>
      <c r="V151" s="64">
        <f t="shared" si="518"/>
        <v>0</v>
      </c>
      <c r="W151" s="64">
        <f t="shared" si="517"/>
        <v>0</v>
      </c>
      <c r="X151" s="64">
        <f t="shared" si="517"/>
        <v>0</v>
      </c>
      <c r="Y151" s="64">
        <f t="shared" si="517"/>
        <v>0</v>
      </c>
      <c r="Z151" s="64">
        <f t="shared" si="517"/>
        <v>0</v>
      </c>
      <c r="AA151" s="64">
        <f t="shared" si="517"/>
        <v>0</v>
      </c>
      <c r="AB151" s="64">
        <f t="shared" si="517"/>
        <v>0</v>
      </c>
      <c r="AC151" s="64">
        <f t="shared" si="517"/>
        <v>0</v>
      </c>
      <c r="AD151" s="64">
        <f t="shared" si="517"/>
        <v>0</v>
      </c>
      <c r="AF151" s="64">
        <f t="shared" ref="AF151:AH151" si="519">++AF147</f>
        <v>0</v>
      </c>
      <c r="AG151" s="64">
        <f t="shared" si="519"/>
        <v>0</v>
      </c>
      <c r="AH151" s="64">
        <f t="shared" si="519"/>
        <v>0</v>
      </c>
    </row>
    <row r="152" spans="3:34" x14ac:dyDescent="0.4">
      <c r="C152" s="196" t="str">
        <f>++C$55</f>
        <v>( + ) Income Tax Expense (Benefit)</v>
      </c>
      <c r="G152" s="179">
        <f>++G144</f>
        <v>0</v>
      </c>
      <c r="H152" s="179">
        <f t="shared" ref="H152:AD152" si="520">++H144</f>
        <v>0</v>
      </c>
      <c r="I152" s="179">
        <f t="shared" si="520"/>
        <v>0</v>
      </c>
      <c r="J152" s="179">
        <f t="shared" si="520"/>
        <v>0</v>
      </c>
      <c r="K152" s="179">
        <f t="shared" ref="K152:V152" si="521">++K144</f>
        <v>0</v>
      </c>
      <c r="L152" s="179">
        <f t="shared" si="521"/>
        <v>0</v>
      </c>
      <c r="M152" s="179">
        <f t="shared" si="521"/>
        <v>0</v>
      </c>
      <c r="N152" s="179">
        <f t="shared" si="521"/>
        <v>0</v>
      </c>
      <c r="O152" s="179">
        <f t="shared" si="521"/>
        <v>0</v>
      </c>
      <c r="P152" s="179">
        <f t="shared" si="521"/>
        <v>0</v>
      </c>
      <c r="Q152" s="179">
        <f t="shared" si="521"/>
        <v>0</v>
      </c>
      <c r="R152" s="179">
        <f t="shared" si="521"/>
        <v>0</v>
      </c>
      <c r="S152" s="179">
        <f t="shared" si="521"/>
        <v>0</v>
      </c>
      <c r="T152" s="179">
        <f t="shared" si="521"/>
        <v>0</v>
      </c>
      <c r="U152" s="179">
        <f t="shared" si="521"/>
        <v>0</v>
      </c>
      <c r="V152" s="179">
        <f t="shared" si="521"/>
        <v>0</v>
      </c>
      <c r="W152" s="179">
        <f t="shared" si="520"/>
        <v>0</v>
      </c>
      <c r="X152" s="179">
        <f t="shared" si="520"/>
        <v>0</v>
      </c>
      <c r="Y152" s="179">
        <f t="shared" si="520"/>
        <v>0</v>
      </c>
      <c r="Z152" s="179">
        <f t="shared" si="520"/>
        <v>0</v>
      </c>
      <c r="AA152" s="179">
        <f t="shared" si="520"/>
        <v>0</v>
      </c>
      <c r="AB152" s="179">
        <f t="shared" si="520"/>
        <v>0</v>
      </c>
      <c r="AC152" s="179">
        <f t="shared" si="520"/>
        <v>0</v>
      </c>
      <c r="AD152" s="179">
        <f t="shared" si="520"/>
        <v>0</v>
      </c>
      <c r="AF152" s="179">
        <f t="shared" ref="AF152:AH152" si="522">++AF144</f>
        <v>0</v>
      </c>
      <c r="AG152" s="179">
        <f t="shared" si="522"/>
        <v>0</v>
      </c>
      <c r="AH152" s="179">
        <f t="shared" si="522"/>
        <v>0</v>
      </c>
    </row>
    <row r="153" spans="3:34" x14ac:dyDescent="0.4">
      <c r="C153" s="196" t="str">
        <f>++C$56</f>
        <v>( + ) Interest Expense (Income)</v>
      </c>
      <c r="G153" s="179">
        <f>++G138</f>
        <v>0</v>
      </c>
      <c r="H153" s="179">
        <f t="shared" ref="H153:AD153" si="523">++H138</f>
        <v>0</v>
      </c>
      <c r="I153" s="179">
        <f t="shared" si="523"/>
        <v>0</v>
      </c>
      <c r="J153" s="179">
        <f t="shared" si="523"/>
        <v>0</v>
      </c>
      <c r="K153" s="179">
        <f t="shared" ref="K153:V153" si="524">++K138</f>
        <v>0</v>
      </c>
      <c r="L153" s="179">
        <f t="shared" si="524"/>
        <v>0</v>
      </c>
      <c r="M153" s="179">
        <f t="shared" si="524"/>
        <v>0</v>
      </c>
      <c r="N153" s="179">
        <f t="shared" si="524"/>
        <v>0</v>
      </c>
      <c r="O153" s="179">
        <f t="shared" si="524"/>
        <v>0</v>
      </c>
      <c r="P153" s="179">
        <f t="shared" si="524"/>
        <v>0</v>
      </c>
      <c r="Q153" s="179">
        <f t="shared" si="524"/>
        <v>0</v>
      </c>
      <c r="R153" s="179">
        <f t="shared" si="524"/>
        <v>0</v>
      </c>
      <c r="S153" s="179">
        <f t="shared" si="524"/>
        <v>0</v>
      </c>
      <c r="T153" s="179">
        <f t="shared" si="524"/>
        <v>0</v>
      </c>
      <c r="U153" s="179">
        <f t="shared" si="524"/>
        <v>0</v>
      </c>
      <c r="V153" s="179">
        <f t="shared" si="524"/>
        <v>0</v>
      </c>
      <c r="W153" s="179">
        <f t="shared" si="523"/>
        <v>0</v>
      </c>
      <c r="X153" s="179">
        <f t="shared" si="523"/>
        <v>0</v>
      </c>
      <c r="Y153" s="179">
        <f t="shared" si="523"/>
        <v>0</v>
      </c>
      <c r="Z153" s="179">
        <f t="shared" si="523"/>
        <v>0</v>
      </c>
      <c r="AA153" s="179">
        <f t="shared" si="523"/>
        <v>0</v>
      </c>
      <c r="AB153" s="179">
        <f t="shared" si="523"/>
        <v>0</v>
      </c>
      <c r="AC153" s="179">
        <f t="shared" si="523"/>
        <v>0</v>
      </c>
      <c r="AD153" s="179">
        <f t="shared" si="523"/>
        <v>0</v>
      </c>
      <c r="AF153" s="179">
        <f t="shared" ref="AF153:AH153" si="525">++AF138</f>
        <v>0</v>
      </c>
      <c r="AG153" s="179">
        <f t="shared" si="525"/>
        <v>0</v>
      </c>
      <c r="AH153" s="179">
        <f t="shared" si="525"/>
        <v>0</v>
      </c>
    </row>
    <row r="154" spans="3:34" x14ac:dyDescent="0.4">
      <c r="C154" s="196" t="str">
        <f>++C$57</f>
        <v>( + ) Depreciation</v>
      </c>
      <c r="G154" s="179">
        <f>++G131</f>
        <v>0</v>
      </c>
      <c r="H154" s="179">
        <f t="shared" ref="H154:AD154" si="526">++H131</f>
        <v>0</v>
      </c>
      <c r="I154" s="179">
        <f t="shared" si="526"/>
        <v>0</v>
      </c>
      <c r="J154" s="179">
        <f t="shared" si="526"/>
        <v>0</v>
      </c>
      <c r="K154" s="179">
        <f t="shared" ref="K154:V154" si="527">++K131</f>
        <v>0</v>
      </c>
      <c r="L154" s="179">
        <f t="shared" si="527"/>
        <v>0</v>
      </c>
      <c r="M154" s="179">
        <f t="shared" si="527"/>
        <v>0</v>
      </c>
      <c r="N154" s="179">
        <f t="shared" si="527"/>
        <v>0</v>
      </c>
      <c r="O154" s="179">
        <f t="shared" si="527"/>
        <v>0</v>
      </c>
      <c r="P154" s="179">
        <f t="shared" si="527"/>
        <v>0</v>
      </c>
      <c r="Q154" s="179">
        <f t="shared" si="527"/>
        <v>0</v>
      </c>
      <c r="R154" s="179">
        <f t="shared" si="527"/>
        <v>0</v>
      </c>
      <c r="S154" s="179">
        <f t="shared" si="527"/>
        <v>0</v>
      </c>
      <c r="T154" s="179">
        <f t="shared" si="527"/>
        <v>0</v>
      </c>
      <c r="U154" s="179">
        <f t="shared" si="527"/>
        <v>0</v>
      </c>
      <c r="V154" s="179">
        <f t="shared" si="527"/>
        <v>0</v>
      </c>
      <c r="W154" s="179">
        <f t="shared" si="526"/>
        <v>0</v>
      </c>
      <c r="X154" s="179">
        <f t="shared" si="526"/>
        <v>0</v>
      </c>
      <c r="Y154" s="179">
        <f t="shared" si="526"/>
        <v>0</v>
      </c>
      <c r="Z154" s="179">
        <f t="shared" si="526"/>
        <v>0</v>
      </c>
      <c r="AA154" s="179">
        <f t="shared" si="526"/>
        <v>0</v>
      </c>
      <c r="AB154" s="179">
        <f t="shared" si="526"/>
        <v>0</v>
      </c>
      <c r="AC154" s="179">
        <f t="shared" si="526"/>
        <v>0</v>
      </c>
      <c r="AD154" s="179">
        <f t="shared" si="526"/>
        <v>0</v>
      </c>
      <c r="AF154" s="179">
        <f t="shared" ref="AF154:AH155" si="528">++AF131</f>
        <v>0</v>
      </c>
      <c r="AG154" s="179">
        <f t="shared" si="528"/>
        <v>0</v>
      </c>
      <c r="AH154" s="179">
        <f t="shared" si="528"/>
        <v>0</v>
      </c>
    </row>
    <row r="155" spans="3:34" x14ac:dyDescent="0.4">
      <c r="C155" s="196" t="str">
        <f>++C$58</f>
        <v>( + ) Amortization</v>
      </c>
      <c r="G155" s="179">
        <f t="shared" ref="G155:AD155" si="529">++G132</f>
        <v>0</v>
      </c>
      <c r="H155" s="179">
        <f t="shared" si="529"/>
        <v>0</v>
      </c>
      <c r="I155" s="179">
        <f t="shared" si="529"/>
        <v>0</v>
      </c>
      <c r="J155" s="179">
        <f t="shared" si="529"/>
        <v>0</v>
      </c>
      <c r="K155" s="179">
        <f t="shared" ref="K155:V155" si="530">++K132</f>
        <v>0</v>
      </c>
      <c r="L155" s="179">
        <f t="shared" si="530"/>
        <v>0</v>
      </c>
      <c r="M155" s="179">
        <f t="shared" si="530"/>
        <v>0</v>
      </c>
      <c r="N155" s="179">
        <f t="shared" si="530"/>
        <v>0</v>
      </c>
      <c r="O155" s="179">
        <f t="shared" si="530"/>
        <v>0</v>
      </c>
      <c r="P155" s="179">
        <f t="shared" si="530"/>
        <v>0</v>
      </c>
      <c r="Q155" s="179">
        <f t="shared" si="530"/>
        <v>0</v>
      </c>
      <c r="R155" s="179">
        <f t="shared" si="530"/>
        <v>0</v>
      </c>
      <c r="S155" s="179">
        <f t="shared" si="530"/>
        <v>0</v>
      </c>
      <c r="T155" s="179">
        <f t="shared" si="530"/>
        <v>0</v>
      </c>
      <c r="U155" s="179">
        <f t="shared" si="530"/>
        <v>0</v>
      </c>
      <c r="V155" s="179">
        <f t="shared" si="530"/>
        <v>0</v>
      </c>
      <c r="W155" s="179">
        <f t="shared" si="529"/>
        <v>0</v>
      </c>
      <c r="X155" s="179">
        <f t="shared" si="529"/>
        <v>0</v>
      </c>
      <c r="Y155" s="179">
        <f t="shared" si="529"/>
        <v>0</v>
      </c>
      <c r="Z155" s="179">
        <f t="shared" si="529"/>
        <v>0</v>
      </c>
      <c r="AA155" s="179">
        <f t="shared" si="529"/>
        <v>0</v>
      </c>
      <c r="AB155" s="179">
        <f t="shared" si="529"/>
        <v>0</v>
      </c>
      <c r="AC155" s="179">
        <f t="shared" si="529"/>
        <v>0</v>
      </c>
      <c r="AD155" s="179">
        <f t="shared" si="529"/>
        <v>0</v>
      </c>
      <c r="AF155" s="179">
        <f t="shared" si="528"/>
        <v>0</v>
      </c>
      <c r="AG155" s="179">
        <f t="shared" si="528"/>
        <v>0</v>
      </c>
      <c r="AH155" s="179">
        <f t="shared" si="528"/>
        <v>0</v>
      </c>
    </row>
    <row r="156" spans="3:34" x14ac:dyDescent="0.4">
      <c r="C156" s="198" t="str">
        <f>++C$59</f>
        <v>EBITDA (Reported)</v>
      </c>
      <c r="D156" s="2"/>
      <c r="E156" s="2"/>
      <c r="G156" s="180">
        <f>++SUM(G151:G155)</f>
        <v>0</v>
      </c>
      <c r="H156" s="180">
        <f t="shared" ref="H156" si="531">++SUM(H151:H155)</f>
        <v>0</v>
      </c>
      <c r="I156" s="180">
        <f t="shared" ref="I156" si="532">++SUM(I151:I155)</f>
        <v>0</v>
      </c>
      <c r="J156" s="180">
        <f t="shared" ref="J156:V156" si="533">++SUM(J151:J155)</f>
        <v>0</v>
      </c>
      <c r="K156" s="180">
        <f t="shared" si="533"/>
        <v>0</v>
      </c>
      <c r="L156" s="180">
        <f t="shared" si="533"/>
        <v>0</v>
      </c>
      <c r="M156" s="180">
        <f t="shared" si="533"/>
        <v>0</v>
      </c>
      <c r="N156" s="180">
        <f t="shared" si="533"/>
        <v>0</v>
      </c>
      <c r="O156" s="180">
        <f t="shared" si="533"/>
        <v>0</v>
      </c>
      <c r="P156" s="180">
        <f t="shared" si="533"/>
        <v>0</v>
      </c>
      <c r="Q156" s="180">
        <f t="shared" si="533"/>
        <v>0</v>
      </c>
      <c r="R156" s="180">
        <f t="shared" si="533"/>
        <v>0</v>
      </c>
      <c r="S156" s="180">
        <f t="shared" si="533"/>
        <v>0</v>
      </c>
      <c r="T156" s="180">
        <f t="shared" si="533"/>
        <v>0</v>
      </c>
      <c r="U156" s="180">
        <f t="shared" si="533"/>
        <v>0</v>
      </c>
      <c r="V156" s="180">
        <f t="shared" si="533"/>
        <v>0</v>
      </c>
      <c r="W156" s="180">
        <f t="shared" ref="W156" si="534">++SUM(W151:W155)</f>
        <v>0</v>
      </c>
      <c r="X156" s="180">
        <f t="shared" ref="X156" si="535">++SUM(X151:X155)</f>
        <v>0</v>
      </c>
      <c r="Y156" s="180">
        <f t="shared" ref="Y156" si="536">++SUM(Y151:Y155)</f>
        <v>0</v>
      </c>
      <c r="Z156" s="180">
        <f t="shared" ref="Z156" si="537">++SUM(Z151:Z155)</f>
        <v>0</v>
      </c>
      <c r="AA156" s="180">
        <f t="shared" ref="AA156" si="538">++SUM(AA151:AA155)</f>
        <v>0</v>
      </c>
      <c r="AB156" s="180">
        <f t="shared" ref="AB156" si="539">++SUM(AB151:AB155)</f>
        <v>0</v>
      </c>
      <c r="AC156" s="180">
        <f t="shared" ref="AC156" si="540">++SUM(AC151:AC155)</f>
        <v>0</v>
      </c>
      <c r="AD156" s="180">
        <f t="shared" ref="AD156" si="541">++SUM(AD151:AD155)</f>
        <v>0</v>
      </c>
      <c r="AF156" s="180">
        <f t="shared" ref="AF156:AH156" si="542">++SUM(AF151:AF155)</f>
        <v>0</v>
      </c>
      <c r="AG156" s="180">
        <f t="shared" si="542"/>
        <v>0</v>
      </c>
      <c r="AH156" s="180">
        <f t="shared" si="542"/>
        <v>0</v>
      </c>
    </row>
    <row r="157" spans="3:34" x14ac:dyDescent="0.4">
      <c r="C157" s="199" t="str">
        <f>++C$60</f>
        <v>% margin</v>
      </c>
      <c r="G157" s="19">
        <f t="shared" ref="G157:AD157" si="543">++IFERROR(G156/G113,0)</f>
        <v>0</v>
      </c>
      <c r="H157" s="19">
        <f t="shared" si="543"/>
        <v>0</v>
      </c>
      <c r="I157" s="19">
        <f t="shared" si="543"/>
        <v>0</v>
      </c>
      <c r="J157" s="19">
        <f t="shared" si="543"/>
        <v>0</v>
      </c>
      <c r="K157" s="19">
        <f t="shared" ref="K157:V157" si="544">++IFERROR(K156/K113,0)</f>
        <v>0</v>
      </c>
      <c r="L157" s="19">
        <f t="shared" si="544"/>
        <v>0</v>
      </c>
      <c r="M157" s="19">
        <f t="shared" si="544"/>
        <v>0</v>
      </c>
      <c r="N157" s="19">
        <f t="shared" si="544"/>
        <v>0</v>
      </c>
      <c r="O157" s="19">
        <f t="shared" si="544"/>
        <v>0</v>
      </c>
      <c r="P157" s="19">
        <f t="shared" si="544"/>
        <v>0</v>
      </c>
      <c r="Q157" s="19">
        <f t="shared" si="544"/>
        <v>0</v>
      </c>
      <c r="R157" s="19">
        <f t="shared" si="544"/>
        <v>0</v>
      </c>
      <c r="S157" s="19">
        <f t="shared" si="544"/>
        <v>0</v>
      </c>
      <c r="T157" s="19">
        <f t="shared" si="544"/>
        <v>0</v>
      </c>
      <c r="U157" s="19">
        <f t="shared" si="544"/>
        <v>0</v>
      </c>
      <c r="V157" s="19">
        <f t="shared" si="544"/>
        <v>0</v>
      </c>
      <c r="W157" s="19">
        <f t="shared" si="543"/>
        <v>0</v>
      </c>
      <c r="X157" s="19">
        <f t="shared" si="543"/>
        <v>0</v>
      </c>
      <c r="Y157" s="19">
        <f t="shared" si="543"/>
        <v>0</v>
      </c>
      <c r="Z157" s="19">
        <f t="shared" si="543"/>
        <v>0</v>
      </c>
      <c r="AA157" s="19">
        <f t="shared" si="543"/>
        <v>0</v>
      </c>
      <c r="AB157" s="19">
        <f t="shared" si="543"/>
        <v>0</v>
      </c>
      <c r="AC157" s="19">
        <f t="shared" si="543"/>
        <v>0</v>
      </c>
      <c r="AD157" s="19">
        <f t="shared" si="543"/>
        <v>0</v>
      </c>
      <c r="AF157" s="19">
        <f t="shared" ref="AF157:AH157" si="545">++IFERROR(AF156/AF113,0)</f>
        <v>0</v>
      </c>
      <c r="AG157" s="19">
        <f t="shared" si="545"/>
        <v>0</v>
      </c>
      <c r="AH157" s="19">
        <f t="shared" si="545"/>
        <v>0</v>
      </c>
    </row>
    <row r="158" spans="3:34" x14ac:dyDescent="0.4">
      <c r="C158" s="199" t="str">
        <f>++C$61</f>
        <v>% y/y</v>
      </c>
      <c r="G158" s="177" t="s">
        <v>52</v>
      </c>
      <c r="H158" s="177" t="s">
        <v>52</v>
      </c>
      <c r="I158" s="177" t="s">
        <v>52</v>
      </c>
      <c r="J158" s="177" t="s">
        <v>52</v>
      </c>
      <c r="K158" s="19">
        <f t="shared" ref="K158" si="546">++IFERROR(K156/G156-1,0)</f>
        <v>0</v>
      </c>
      <c r="L158" s="19">
        <f t="shared" ref="L158" si="547">++IFERROR(L156/H156-1,0)</f>
        <v>0</v>
      </c>
      <c r="M158" s="19">
        <f t="shared" ref="M158" si="548">++IFERROR(M156/I156-1,0)</f>
        <v>0</v>
      </c>
      <c r="N158" s="19">
        <f t="shared" ref="N158" si="549">++IFERROR(N156/J156-1,0)</f>
        <v>0</v>
      </c>
      <c r="O158" s="19">
        <f t="shared" ref="O158" si="550">++IFERROR(O156/K156-1,0)</f>
        <v>0</v>
      </c>
      <c r="P158" s="19">
        <f t="shared" ref="P158" si="551">++IFERROR(P156/L156-1,0)</f>
        <v>0</v>
      </c>
      <c r="Q158" s="19">
        <f t="shared" ref="Q158" si="552">++IFERROR(Q156/M156-1,0)</f>
        <v>0</v>
      </c>
      <c r="R158" s="19">
        <f t="shared" ref="R158" si="553">++IFERROR(R156/N156-1,0)</f>
        <v>0</v>
      </c>
      <c r="S158" s="19">
        <f t="shared" ref="S158" si="554">++IFERROR(S156/O156-1,0)</f>
        <v>0</v>
      </c>
      <c r="T158" s="19">
        <f t="shared" ref="T158" si="555">++IFERROR(T156/P156-1,0)</f>
        <v>0</v>
      </c>
      <c r="U158" s="19">
        <f t="shared" ref="U158" si="556">++IFERROR(U156/Q156-1,0)</f>
        <v>0</v>
      </c>
      <c r="V158" s="19">
        <f t="shared" ref="V158" si="557">++IFERROR(V156/R156-1,0)</f>
        <v>0</v>
      </c>
      <c r="W158" s="19">
        <f t="shared" ref="W158:AD158" si="558">++IFERROR(W156/S156-1,0)</f>
        <v>0</v>
      </c>
      <c r="X158" s="19">
        <f t="shared" si="558"/>
        <v>0</v>
      </c>
      <c r="Y158" s="19">
        <f t="shared" si="558"/>
        <v>0</v>
      </c>
      <c r="Z158" s="19">
        <f t="shared" si="558"/>
        <v>0</v>
      </c>
      <c r="AA158" s="19">
        <f t="shared" si="558"/>
        <v>0</v>
      </c>
      <c r="AB158" s="19">
        <f t="shared" si="558"/>
        <v>0</v>
      </c>
      <c r="AC158" s="19">
        <f t="shared" si="558"/>
        <v>0</v>
      </c>
      <c r="AD158" s="19">
        <f t="shared" si="558"/>
        <v>0</v>
      </c>
      <c r="AF158" s="177" t="s">
        <v>52</v>
      </c>
      <c r="AG158" s="19">
        <f>++IFERROR(AG156/AF156-1,0)</f>
        <v>0</v>
      </c>
      <c r="AH158" s="19">
        <f>++IFERROR(AH156/AG156-1,0)</f>
        <v>0</v>
      </c>
    </row>
    <row r="159" spans="3:34" x14ac:dyDescent="0.4">
      <c r="C159" s="196"/>
    </row>
    <row r="160" spans="3:34" x14ac:dyDescent="0.4">
      <c r="C160" s="196" t="str">
        <f>++C$63</f>
        <v>( + ) [Diligence Adjustment]</v>
      </c>
      <c r="G160" s="54">
        <f t="shared" ref="G160:G169" si="559">++G63</f>
        <v>0</v>
      </c>
      <c r="H160" s="54">
        <f t="shared" ref="H160:J169" si="560">++H63+G160</f>
        <v>0</v>
      </c>
      <c r="I160" s="54">
        <f t="shared" si="560"/>
        <v>0</v>
      </c>
      <c r="J160" s="54">
        <f t="shared" si="560"/>
        <v>0</v>
      </c>
      <c r="K160" s="54">
        <f t="shared" ref="K160:S169" si="561">++K63</f>
        <v>0</v>
      </c>
      <c r="L160" s="54">
        <f t="shared" ref="L160:L169" si="562">++L63+K160</f>
        <v>0</v>
      </c>
      <c r="M160" s="54">
        <f t="shared" ref="M160:M169" si="563">++M63+L160</f>
        <v>0</v>
      </c>
      <c r="N160" s="54">
        <f t="shared" ref="N160:N169" si="564">++N63+M160</f>
        <v>0</v>
      </c>
      <c r="O160" s="54">
        <f t="shared" si="561"/>
        <v>0</v>
      </c>
      <c r="P160" s="54">
        <f t="shared" ref="P160:P169" si="565">++P63+O160</f>
        <v>0</v>
      </c>
      <c r="Q160" s="54">
        <f t="shared" ref="Q160:Q169" si="566">++Q63+P160</f>
        <v>0</v>
      </c>
      <c r="R160" s="54">
        <f t="shared" ref="R160:R169" si="567">++R63+Q160</f>
        <v>0</v>
      </c>
      <c r="S160" s="54">
        <f t="shared" si="561"/>
        <v>0</v>
      </c>
      <c r="T160" s="54">
        <f t="shared" ref="T160:T169" si="568">++T63+S160</f>
        <v>0</v>
      </c>
      <c r="U160" s="54">
        <f t="shared" ref="U160:U169" si="569">++U63+T160</f>
        <v>0</v>
      </c>
      <c r="V160" s="54">
        <f t="shared" ref="V160:V169" si="570">++V63+U160</f>
        <v>0</v>
      </c>
      <c r="W160" s="54">
        <f t="shared" ref="W160:W169" si="571">++W63</f>
        <v>0</v>
      </c>
      <c r="X160" s="54">
        <f t="shared" ref="X160:Z169" si="572">++X63+W160</f>
        <v>0</v>
      </c>
      <c r="Y160" s="54">
        <f t="shared" si="572"/>
        <v>0</v>
      </c>
      <c r="Z160" s="54">
        <f t="shared" si="572"/>
        <v>0</v>
      </c>
      <c r="AA160" s="54">
        <f t="shared" ref="AA160:AA169" si="573">++AA63</f>
        <v>0</v>
      </c>
      <c r="AB160" s="54">
        <f t="shared" ref="AB160:AD169" si="574">++AB63+AA160</f>
        <v>0</v>
      </c>
      <c r="AC160" s="54">
        <f t="shared" si="574"/>
        <v>0</v>
      </c>
      <c r="AD160" s="54">
        <f t="shared" si="574"/>
        <v>0</v>
      </c>
      <c r="AF160" s="182">
        <v>0</v>
      </c>
      <c r="AG160" s="182">
        <v>0</v>
      </c>
      <c r="AH160" s="182">
        <v>0</v>
      </c>
    </row>
    <row r="161" spans="3:34" x14ac:dyDescent="0.4">
      <c r="C161" s="196" t="str">
        <f>++C$64</f>
        <v>( + ) [Diligence Adjustment]</v>
      </c>
      <c r="G161" s="54">
        <f t="shared" si="559"/>
        <v>0</v>
      </c>
      <c r="H161" s="54">
        <f t="shared" si="560"/>
        <v>0</v>
      </c>
      <c r="I161" s="54">
        <f t="shared" si="560"/>
        <v>0</v>
      </c>
      <c r="J161" s="54">
        <f t="shared" si="560"/>
        <v>0</v>
      </c>
      <c r="K161" s="54">
        <f t="shared" si="561"/>
        <v>0</v>
      </c>
      <c r="L161" s="54">
        <f t="shared" si="562"/>
        <v>0</v>
      </c>
      <c r="M161" s="54">
        <f t="shared" si="563"/>
        <v>0</v>
      </c>
      <c r="N161" s="54">
        <f t="shared" si="564"/>
        <v>0</v>
      </c>
      <c r="O161" s="54">
        <f t="shared" si="561"/>
        <v>0</v>
      </c>
      <c r="P161" s="54">
        <f t="shared" si="565"/>
        <v>0</v>
      </c>
      <c r="Q161" s="54">
        <f t="shared" si="566"/>
        <v>0</v>
      </c>
      <c r="R161" s="54">
        <f t="shared" si="567"/>
        <v>0</v>
      </c>
      <c r="S161" s="54">
        <f t="shared" si="561"/>
        <v>0</v>
      </c>
      <c r="T161" s="54">
        <f t="shared" si="568"/>
        <v>0</v>
      </c>
      <c r="U161" s="54">
        <f t="shared" si="569"/>
        <v>0</v>
      </c>
      <c r="V161" s="54">
        <f t="shared" si="570"/>
        <v>0</v>
      </c>
      <c r="W161" s="54">
        <f t="shared" si="571"/>
        <v>0</v>
      </c>
      <c r="X161" s="54">
        <f t="shared" si="572"/>
        <v>0</v>
      </c>
      <c r="Y161" s="54">
        <f t="shared" si="572"/>
        <v>0</v>
      </c>
      <c r="Z161" s="54">
        <f t="shared" si="572"/>
        <v>0</v>
      </c>
      <c r="AA161" s="54">
        <f t="shared" si="573"/>
        <v>0</v>
      </c>
      <c r="AB161" s="54">
        <f t="shared" si="574"/>
        <v>0</v>
      </c>
      <c r="AC161" s="54">
        <f t="shared" si="574"/>
        <v>0</v>
      </c>
      <c r="AD161" s="54">
        <f t="shared" si="574"/>
        <v>0</v>
      </c>
      <c r="AF161" s="182">
        <v>0</v>
      </c>
      <c r="AG161" s="182">
        <v>0</v>
      </c>
      <c r="AH161" s="182">
        <v>0</v>
      </c>
    </row>
    <row r="162" spans="3:34" x14ac:dyDescent="0.4">
      <c r="C162" s="196" t="str">
        <f>++C$65</f>
        <v>( + ) [Diligence Adjustment]</v>
      </c>
      <c r="G162" s="54">
        <f t="shared" si="559"/>
        <v>0</v>
      </c>
      <c r="H162" s="54">
        <f t="shared" si="560"/>
        <v>0</v>
      </c>
      <c r="I162" s="54">
        <f t="shared" si="560"/>
        <v>0</v>
      </c>
      <c r="J162" s="54">
        <f t="shared" si="560"/>
        <v>0</v>
      </c>
      <c r="K162" s="54">
        <f t="shared" si="561"/>
        <v>0</v>
      </c>
      <c r="L162" s="54">
        <f t="shared" si="562"/>
        <v>0</v>
      </c>
      <c r="M162" s="54">
        <f t="shared" si="563"/>
        <v>0</v>
      </c>
      <c r="N162" s="54">
        <f t="shared" si="564"/>
        <v>0</v>
      </c>
      <c r="O162" s="54">
        <f t="shared" si="561"/>
        <v>0</v>
      </c>
      <c r="P162" s="54">
        <f t="shared" si="565"/>
        <v>0</v>
      </c>
      <c r="Q162" s="54">
        <f t="shared" si="566"/>
        <v>0</v>
      </c>
      <c r="R162" s="54">
        <f t="shared" si="567"/>
        <v>0</v>
      </c>
      <c r="S162" s="54">
        <f t="shared" si="561"/>
        <v>0</v>
      </c>
      <c r="T162" s="54">
        <f t="shared" si="568"/>
        <v>0</v>
      </c>
      <c r="U162" s="54">
        <f t="shared" si="569"/>
        <v>0</v>
      </c>
      <c r="V162" s="54">
        <f t="shared" si="570"/>
        <v>0</v>
      </c>
      <c r="W162" s="54">
        <f t="shared" si="571"/>
        <v>0</v>
      </c>
      <c r="X162" s="54">
        <f t="shared" si="572"/>
        <v>0</v>
      </c>
      <c r="Y162" s="54">
        <f t="shared" si="572"/>
        <v>0</v>
      </c>
      <c r="Z162" s="54">
        <f t="shared" si="572"/>
        <v>0</v>
      </c>
      <c r="AA162" s="54">
        <f t="shared" si="573"/>
        <v>0</v>
      </c>
      <c r="AB162" s="54">
        <f t="shared" si="574"/>
        <v>0</v>
      </c>
      <c r="AC162" s="54">
        <f t="shared" si="574"/>
        <v>0</v>
      </c>
      <c r="AD162" s="54">
        <f t="shared" si="574"/>
        <v>0</v>
      </c>
      <c r="AF162" s="182">
        <v>0</v>
      </c>
      <c r="AG162" s="182">
        <v>0</v>
      </c>
      <c r="AH162" s="182">
        <v>0</v>
      </c>
    </row>
    <row r="163" spans="3:34" x14ac:dyDescent="0.4">
      <c r="C163" s="196" t="str">
        <f>++C$66</f>
        <v>( + ) [Diligence Adjustment]</v>
      </c>
      <c r="G163" s="54">
        <f t="shared" si="559"/>
        <v>0</v>
      </c>
      <c r="H163" s="54">
        <f t="shared" si="560"/>
        <v>0</v>
      </c>
      <c r="I163" s="54">
        <f t="shared" si="560"/>
        <v>0</v>
      </c>
      <c r="J163" s="54">
        <f t="shared" si="560"/>
        <v>0</v>
      </c>
      <c r="K163" s="54">
        <f t="shared" si="561"/>
        <v>0</v>
      </c>
      <c r="L163" s="54">
        <f t="shared" si="562"/>
        <v>0</v>
      </c>
      <c r="M163" s="54">
        <f t="shared" si="563"/>
        <v>0</v>
      </c>
      <c r="N163" s="54">
        <f t="shared" si="564"/>
        <v>0</v>
      </c>
      <c r="O163" s="54">
        <f t="shared" si="561"/>
        <v>0</v>
      </c>
      <c r="P163" s="54">
        <f t="shared" si="565"/>
        <v>0</v>
      </c>
      <c r="Q163" s="54">
        <f t="shared" si="566"/>
        <v>0</v>
      </c>
      <c r="R163" s="54">
        <f t="shared" si="567"/>
        <v>0</v>
      </c>
      <c r="S163" s="54">
        <f t="shared" si="561"/>
        <v>0</v>
      </c>
      <c r="T163" s="54">
        <f t="shared" si="568"/>
        <v>0</v>
      </c>
      <c r="U163" s="54">
        <f t="shared" si="569"/>
        <v>0</v>
      </c>
      <c r="V163" s="54">
        <f t="shared" si="570"/>
        <v>0</v>
      </c>
      <c r="W163" s="54">
        <f t="shared" si="571"/>
        <v>0</v>
      </c>
      <c r="X163" s="54">
        <f t="shared" si="572"/>
        <v>0</v>
      </c>
      <c r="Y163" s="54">
        <f t="shared" si="572"/>
        <v>0</v>
      </c>
      <c r="Z163" s="54">
        <f t="shared" si="572"/>
        <v>0</v>
      </c>
      <c r="AA163" s="54">
        <f t="shared" si="573"/>
        <v>0</v>
      </c>
      <c r="AB163" s="54">
        <f t="shared" si="574"/>
        <v>0</v>
      </c>
      <c r="AC163" s="54">
        <f t="shared" si="574"/>
        <v>0</v>
      </c>
      <c r="AD163" s="54">
        <f t="shared" si="574"/>
        <v>0</v>
      </c>
      <c r="AF163" s="182">
        <v>0</v>
      </c>
      <c r="AG163" s="182">
        <v>0</v>
      </c>
      <c r="AH163" s="182">
        <v>0</v>
      </c>
    </row>
    <row r="164" spans="3:34" x14ac:dyDescent="0.4">
      <c r="C164" s="196" t="str">
        <f>++C$67</f>
        <v>( + ) [Diligence Adjustment]</v>
      </c>
      <c r="G164" s="54">
        <f t="shared" si="559"/>
        <v>0</v>
      </c>
      <c r="H164" s="54">
        <f t="shared" si="560"/>
        <v>0</v>
      </c>
      <c r="I164" s="54">
        <f t="shared" si="560"/>
        <v>0</v>
      </c>
      <c r="J164" s="54">
        <f t="shared" si="560"/>
        <v>0</v>
      </c>
      <c r="K164" s="54">
        <f t="shared" si="561"/>
        <v>0</v>
      </c>
      <c r="L164" s="54">
        <f t="shared" si="562"/>
        <v>0</v>
      </c>
      <c r="M164" s="54">
        <f t="shared" si="563"/>
        <v>0</v>
      </c>
      <c r="N164" s="54">
        <f t="shared" si="564"/>
        <v>0</v>
      </c>
      <c r="O164" s="54">
        <f t="shared" si="561"/>
        <v>0</v>
      </c>
      <c r="P164" s="54">
        <f t="shared" si="565"/>
        <v>0</v>
      </c>
      <c r="Q164" s="54">
        <f t="shared" si="566"/>
        <v>0</v>
      </c>
      <c r="R164" s="54">
        <f t="shared" si="567"/>
        <v>0</v>
      </c>
      <c r="S164" s="54">
        <f t="shared" si="561"/>
        <v>0</v>
      </c>
      <c r="T164" s="54">
        <f t="shared" si="568"/>
        <v>0</v>
      </c>
      <c r="U164" s="54">
        <f t="shared" si="569"/>
        <v>0</v>
      </c>
      <c r="V164" s="54">
        <f t="shared" si="570"/>
        <v>0</v>
      </c>
      <c r="W164" s="54">
        <f t="shared" si="571"/>
        <v>0</v>
      </c>
      <c r="X164" s="54">
        <f t="shared" si="572"/>
        <v>0</v>
      </c>
      <c r="Y164" s="54">
        <f t="shared" si="572"/>
        <v>0</v>
      </c>
      <c r="Z164" s="54">
        <f t="shared" si="572"/>
        <v>0</v>
      </c>
      <c r="AA164" s="54">
        <f t="shared" si="573"/>
        <v>0</v>
      </c>
      <c r="AB164" s="54">
        <f t="shared" si="574"/>
        <v>0</v>
      </c>
      <c r="AC164" s="54">
        <f t="shared" si="574"/>
        <v>0</v>
      </c>
      <c r="AD164" s="54">
        <f t="shared" si="574"/>
        <v>0</v>
      </c>
      <c r="AF164" s="182">
        <v>0</v>
      </c>
      <c r="AG164" s="182">
        <v>0</v>
      </c>
      <c r="AH164" s="182">
        <v>0</v>
      </c>
    </row>
    <row r="165" spans="3:34" x14ac:dyDescent="0.4">
      <c r="C165" s="196" t="str">
        <f>++C$68</f>
        <v>( + ) [Diligence Adjustment]</v>
      </c>
      <c r="G165" s="54">
        <f t="shared" si="559"/>
        <v>0</v>
      </c>
      <c r="H165" s="54">
        <f t="shared" si="560"/>
        <v>0</v>
      </c>
      <c r="I165" s="54">
        <f t="shared" si="560"/>
        <v>0</v>
      </c>
      <c r="J165" s="54">
        <f t="shared" si="560"/>
        <v>0</v>
      </c>
      <c r="K165" s="54">
        <f t="shared" si="561"/>
        <v>0</v>
      </c>
      <c r="L165" s="54">
        <f t="shared" si="562"/>
        <v>0</v>
      </c>
      <c r="M165" s="54">
        <f t="shared" si="563"/>
        <v>0</v>
      </c>
      <c r="N165" s="54">
        <f t="shared" si="564"/>
        <v>0</v>
      </c>
      <c r="O165" s="54">
        <f t="shared" si="561"/>
        <v>0</v>
      </c>
      <c r="P165" s="54">
        <f t="shared" si="565"/>
        <v>0</v>
      </c>
      <c r="Q165" s="54">
        <f t="shared" si="566"/>
        <v>0</v>
      </c>
      <c r="R165" s="54">
        <f t="shared" si="567"/>
        <v>0</v>
      </c>
      <c r="S165" s="54">
        <f t="shared" si="561"/>
        <v>0</v>
      </c>
      <c r="T165" s="54">
        <f t="shared" si="568"/>
        <v>0</v>
      </c>
      <c r="U165" s="54">
        <f t="shared" si="569"/>
        <v>0</v>
      </c>
      <c r="V165" s="54">
        <f t="shared" si="570"/>
        <v>0</v>
      </c>
      <c r="W165" s="54">
        <f t="shared" si="571"/>
        <v>0</v>
      </c>
      <c r="X165" s="54">
        <f t="shared" si="572"/>
        <v>0</v>
      </c>
      <c r="Y165" s="54">
        <f t="shared" si="572"/>
        <v>0</v>
      </c>
      <c r="Z165" s="54">
        <f t="shared" si="572"/>
        <v>0</v>
      </c>
      <c r="AA165" s="54">
        <f t="shared" si="573"/>
        <v>0</v>
      </c>
      <c r="AB165" s="54">
        <f t="shared" si="574"/>
        <v>0</v>
      </c>
      <c r="AC165" s="54">
        <f t="shared" si="574"/>
        <v>0</v>
      </c>
      <c r="AD165" s="54">
        <f t="shared" si="574"/>
        <v>0</v>
      </c>
      <c r="AF165" s="182">
        <v>0</v>
      </c>
      <c r="AG165" s="182">
        <v>0</v>
      </c>
      <c r="AH165" s="182">
        <v>0</v>
      </c>
    </row>
    <row r="166" spans="3:34" x14ac:dyDescent="0.4">
      <c r="C166" s="196" t="str">
        <f>++C$69</f>
        <v>( + ) [Diligence Adjustment]</v>
      </c>
      <c r="G166" s="54">
        <f t="shared" si="559"/>
        <v>0</v>
      </c>
      <c r="H166" s="54">
        <f t="shared" si="560"/>
        <v>0</v>
      </c>
      <c r="I166" s="54">
        <f t="shared" si="560"/>
        <v>0</v>
      </c>
      <c r="J166" s="54">
        <f t="shared" si="560"/>
        <v>0</v>
      </c>
      <c r="K166" s="54">
        <f t="shared" si="561"/>
        <v>0</v>
      </c>
      <c r="L166" s="54">
        <f t="shared" si="562"/>
        <v>0</v>
      </c>
      <c r="M166" s="54">
        <f t="shared" si="563"/>
        <v>0</v>
      </c>
      <c r="N166" s="54">
        <f t="shared" si="564"/>
        <v>0</v>
      </c>
      <c r="O166" s="54">
        <f t="shared" si="561"/>
        <v>0</v>
      </c>
      <c r="P166" s="54">
        <f t="shared" si="565"/>
        <v>0</v>
      </c>
      <c r="Q166" s="54">
        <f t="shared" si="566"/>
        <v>0</v>
      </c>
      <c r="R166" s="54">
        <f t="shared" si="567"/>
        <v>0</v>
      </c>
      <c r="S166" s="54">
        <f t="shared" si="561"/>
        <v>0</v>
      </c>
      <c r="T166" s="54">
        <f t="shared" si="568"/>
        <v>0</v>
      </c>
      <c r="U166" s="54">
        <f t="shared" si="569"/>
        <v>0</v>
      </c>
      <c r="V166" s="54">
        <f t="shared" si="570"/>
        <v>0</v>
      </c>
      <c r="W166" s="54">
        <f t="shared" si="571"/>
        <v>0</v>
      </c>
      <c r="X166" s="54">
        <f t="shared" si="572"/>
        <v>0</v>
      </c>
      <c r="Y166" s="54">
        <f t="shared" si="572"/>
        <v>0</v>
      </c>
      <c r="Z166" s="54">
        <f t="shared" si="572"/>
        <v>0</v>
      </c>
      <c r="AA166" s="54">
        <f t="shared" si="573"/>
        <v>0</v>
      </c>
      <c r="AB166" s="54">
        <f t="shared" si="574"/>
        <v>0</v>
      </c>
      <c r="AC166" s="54">
        <f t="shared" si="574"/>
        <v>0</v>
      </c>
      <c r="AD166" s="54">
        <f t="shared" si="574"/>
        <v>0</v>
      </c>
      <c r="AF166" s="182">
        <v>0</v>
      </c>
      <c r="AG166" s="182">
        <v>0</v>
      </c>
      <c r="AH166" s="182">
        <v>0</v>
      </c>
    </row>
    <row r="167" spans="3:34" x14ac:dyDescent="0.4">
      <c r="C167" s="196" t="str">
        <f>++C$70</f>
        <v>( + ) [Diligence Adjustment]</v>
      </c>
      <c r="G167" s="54">
        <f t="shared" si="559"/>
        <v>0</v>
      </c>
      <c r="H167" s="54">
        <f t="shared" si="560"/>
        <v>0</v>
      </c>
      <c r="I167" s="54">
        <f t="shared" si="560"/>
        <v>0</v>
      </c>
      <c r="J167" s="54">
        <f t="shared" si="560"/>
        <v>0</v>
      </c>
      <c r="K167" s="54">
        <f t="shared" si="561"/>
        <v>0</v>
      </c>
      <c r="L167" s="54">
        <f t="shared" si="562"/>
        <v>0</v>
      </c>
      <c r="M167" s="54">
        <f t="shared" si="563"/>
        <v>0</v>
      </c>
      <c r="N167" s="54">
        <f t="shared" si="564"/>
        <v>0</v>
      </c>
      <c r="O167" s="54">
        <f t="shared" si="561"/>
        <v>0</v>
      </c>
      <c r="P167" s="54">
        <f t="shared" si="565"/>
        <v>0</v>
      </c>
      <c r="Q167" s="54">
        <f t="shared" si="566"/>
        <v>0</v>
      </c>
      <c r="R167" s="54">
        <f t="shared" si="567"/>
        <v>0</v>
      </c>
      <c r="S167" s="54">
        <f t="shared" si="561"/>
        <v>0</v>
      </c>
      <c r="T167" s="54">
        <f t="shared" si="568"/>
        <v>0</v>
      </c>
      <c r="U167" s="54">
        <f t="shared" si="569"/>
        <v>0</v>
      </c>
      <c r="V167" s="54">
        <f t="shared" si="570"/>
        <v>0</v>
      </c>
      <c r="W167" s="54">
        <f t="shared" si="571"/>
        <v>0</v>
      </c>
      <c r="X167" s="54">
        <f t="shared" si="572"/>
        <v>0</v>
      </c>
      <c r="Y167" s="54">
        <f t="shared" si="572"/>
        <v>0</v>
      </c>
      <c r="Z167" s="54">
        <f t="shared" si="572"/>
        <v>0</v>
      </c>
      <c r="AA167" s="54">
        <f t="shared" si="573"/>
        <v>0</v>
      </c>
      <c r="AB167" s="54">
        <f t="shared" si="574"/>
        <v>0</v>
      </c>
      <c r="AC167" s="54">
        <f t="shared" si="574"/>
        <v>0</v>
      </c>
      <c r="AD167" s="54">
        <f t="shared" si="574"/>
        <v>0</v>
      </c>
      <c r="AF167" s="182">
        <v>0</v>
      </c>
      <c r="AG167" s="182">
        <v>0</v>
      </c>
      <c r="AH167" s="182">
        <v>0</v>
      </c>
    </row>
    <row r="168" spans="3:34" x14ac:dyDescent="0.4">
      <c r="C168" s="196" t="str">
        <f>++C$71</f>
        <v>( + ) [Diligence Adjustment]</v>
      </c>
      <c r="G168" s="54">
        <f t="shared" si="559"/>
        <v>0</v>
      </c>
      <c r="H168" s="54">
        <f t="shared" si="560"/>
        <v>0</v>
      </c>
      <c r="I168" s="54">
        <f t="shared" si="560"/>
        <v>0</v>
      </c>
      <c r="J168" s="54">
        <f t="shared" si="560"/>
        <v>0</v>
      </c>
      <c r="K168" s="54">
        <f t="shared" si="561"/>
        <v>0</v>
      </c>
      <c r="L168" s="54">
        <f t="shared" si="562"/>
        <v>0</v>
      </c>
      <c r="M168" s="54">
        <f t="shared" si="563"/>
        <v>0</v>
      </c>
      <c r="N168" s="54">
        <f t="shared" si="564"/>
        <v>0</v>
      </c>
      <c r="O168" s="54">
        <f t="shared" si="561"/>
        <v>0</v>
      </c>
      <c r="P168" s="54">
        <f t="shared" si="565"/>
        <v>0</v>
      </c>
      <c r="Q168" s="54">
        <f t="shared" si="566"/>
        <v>0</v>
      </c>
      <c r="R168" s="54">
        <f t="shared" si="567"/>
        <v>0</v>
      </c>
      <c r="S168" s="54">
        <f t="shared" si="561"/>
        <v>0</v>
      </c>
      <c r="T168" s="54">
        <f t="shared" si="568"/>
        <v>0</v>
      </c>
      <c r="U168" s="54">
        <f t="shared" si="569"/>
        <v>0</v>
      </c>
      <c r="V168" s="54">
        <f t="shared" si="570"/>
        <v>0</v>
      </c>
      <c r="W168" s="54">
        <f t="shared" si="571"/>
        <v>0</v>
      </c>
      <c r="X168" s="54">
        <f t="shared" si="572"/>
        <v>0</v>
      </c>
      <c r="Y168" s="54">
        <f t="shared" si="572"/>
        <v>0</v>
      </c>
      <c r="Z168" s="54">
        <f t="shared" si="572"/>
        <v>0</v>
      </c>
      <c r="AA168" s="54">
        <f t="shared" si="573"/>
        <v>0</v>
      </c>
      <c r="AB168" s="54">
        <f t="shared" si="574"/>
        <v>0</v>
      </c>
      <c r="AC168" s="54">
        <f t="shared" si="574"/>
        <v>0</v>
      </c>
      <c r="AD168" s="54">
        <f t="shared" si="574"/>
        <v>0</v>
      </c>
      <c r="AF168" s="182">
        <v>0</v>
      </c>
      <c r="AG168" s="182">
        <v>0</v>
      </c>
      <c r="AH168" s="182">
        <v>0</v>
      </c>
    </row>
    <row r="169" spans="3:34" x14ac:dyDescent="0.4">
      <c r="C169" s="196" t="str">
        <f>++C$72</f>
        <v>( + ) [Diligence Adjustment]</v>
      </c>
      <c r="G169" s="54">
        <f t="shared" si="559"/>
        <v>0</v>
      </c>
      <c r="H169" s="54">
        <f t="shared" si="560"/>
        <v>0</v>
      </c>
      <c r="I169" s="54">
        <f t="shared" si="560"/>
        <v>0</v>
      </c>
      <c r="J169" s="54">
        <f t="shared" si="560"/>
        <v>0</v>
      </c>
      <c r="K169" s="54">
        <f t="shared" si="561"/>
        <v>0</v>
      </c>
      <c r="L169" s="54">
        <f t="shared" si="562"/>
        <v>0</v>
      </c>
      <c r="M169" s="54">
        <f t="shared" si="563"/>
        <v>0</v>
      </c>
      <c r="N169" s="54">
        <f t="shared" si="564"/>
        <v>0</v>
      </c>
      <c r="O169" s="54">
        <f t="shared" si="561"/>
        <v>0</v>
      </c>
      <c r="P169" s="54">
        <f t="shared" si="565"/>
        <v>0</v>
      </c>
      <c r="Q169" s="54">
        <f t="shared" si="566"/>
        <v>0</v>
      </c>
      <c r="R169" s="54">
        <f t="shared" si="567"/>
        <v>0</v>
      </c>
      <c r="S169" s="54">
        <f t="shared" si="561"/>
        <v>0</v>
      </c>
      <c r="T169" s="54">
        <f t="shared" si="568"/>
        <v>0</v>
      </c>
      <c r="U169" s="54">
        <f t="shared" si="569"/>
        <v>0</v>
      </c>
      <c r="V169" s="54">
        <f t="shared" si="570"/>
        <v>0</v>
      </c>
      <c r="W169" s="54">
        <f t="shared" si="571"/>
        <v>0</v>
      </c>
      <c r="X169" s="54">
        <f t="shared" si="572"/>
        <v>0</v>
      </c>
      <c r="Y169" s="54">
        <f t="shared" si="572"/>
        <v>0</v>
      </c>
      <c r="Z169" s="54">
        <f t="shared" si="572"/>
        <v>0</v>
      </c>
      <c r="AA169" s="54">
        <f t="shared" si="573"/>
        <v>0</v>
      </c>
      <c r="AB169" s="54">
        <f t="shared" si="574"/>
        <v>0</v>
      </c>
      <c r="AC169" s="54">
        <f t="shared" si="574"/>
        <v>0</v>
      </c>
      <c r="AD169" s="54">
        <f t="shared" si="574"/>
        <v>0</v>
      </c>
      <c r="AF169" s="182">
        <v>0</v>
      </c>
      <c r="AG169" s="182">
        <v>0</v>
      </c>
      <c r="AH169" s="182">
        <v>0</v>
      </c>
    </row>
    <row r="170" spans="3:34" x14ac:dyDescent="0.4">
      <c r="C170" s="198" t="str">
        <f>++C$73</f>
        <v>Adjusted EBITDA</v>
      </c>
      <c r="D170" s="2"/>
      <c r="E170" s="2"/>
      <c r="G170" s="18">
        <f>++SUM(G156,G160:G169)</f>
        <v>0</v>
      </c>
      <c r="H170" s="18">
        <f t="shared" ref="H170" si="575">++SUM(H156,H160:H169)</f>
        <v>0</v>
      </c>
      <c r="I170" s="18">
        <f t="shared" ref="I170" si="576">++SUM(I156,I160:I169)</f>
        <v>0</v>
      </c>
      <c r="J170" s="18">
        <f t="shared" ref="J170:V170" si="577">++SUM(J156,J160:J169)</f>
        <v>0</v>
      </c>
      <c r="K170" s="18">
        <f t="shared" si="577"/>
        <v>0</v>
      </c>
      <c r="L170" s="18">
        <f t="shared" si="577"/>
        <v>0</v>
      </c>
      <c r="M170" s="18">
        <f t="shared" si="577"/>
        <v>0</v>
      </c>
      <c r="N170" s="18">
        <f t="shared" si="577"/>
        <v>0</v>
      </c>
      <c r="O170" s="18">
        <f t="shared" si="577"/>
        <v>0</v>
      </c>
      <c r="P170" s="18">
        <f t="shared" si="577"/>
        <v>0</v>
      </c>
      <c r="Q170" s="18">
        <f t="shared" si="577"/>
        <v>0</v>
      </c>
      <c r="R170" s="18">
        <f t="shared" si="577"/>
        <v>0</v>
      </c>
      <c r="S170" s="18">
        <f t="shared" si="577"/>
        <v>0</v>
      </c>
      <c r="T170" s="18">
        <f t="shared" si="577"/>
        <v>0</v>
      </c>
      <c r="U170" s="18">
        <f t="shared" si="577"/>
        <v>0</v>
      </c>
      <c r="V170" s="18">
        <f t="shared" si="577"/>
        <v>0</v>
      </c>
      <c r="W170" s="18">
        <f t="shared" ref="W170" si="578">++SUM(W156,W160:W169)</f>
        <v>0</v>
      </c>
      <c r="X170" s="18">
        <f t="shared" ref="X170" si="579">++SUM(X156,X160:X169)</f>
        <v>0</v>
      </c>
      <c r="Y170" s="18">
        <f t="shared" ref="Y170" si="580">++SUM(Y156,Y160:Y169)</f>
        <v>0</v>
      </c>
      <c r="Z170" s="18">
        <f t="shared" ref="Z170" si="581">++SUM(Z156,Z160:Z169)</f>
        <v>0</v>
      </c>
      <c r="AA170" s="18">
        <f t="shared" ref="AA170" si="582">++SUM(AA156,AA160:AA169)</f>
        <v>0</v>
      </c>
      <c r="AB170" s="18">
        <f t="shared" ref="AB170" si="583">++SUM(AB156,AB160:AB169)</f>
        <v>0</v>
      </c>
      <c r="AC170" s="18">
        <f t="shared" ref="AC170" si="584">++SUM(AC156,AC160:AC169)</f>
        <v>0</v>
      </c>
      <c r="AD170" s="18">
        <f t="shared" ref="AD170" si="585">++SUM(AD156,AD160:AD169)</f>
        <v>0</v>
      </c>
      <c r="AF170" s="18">
        <f t="shared" ref="AF170:AH170" si="586">++SUM(AF156,AF160:AF169)</f>
        <v>0</v>
      </c>
      <c r="AG170" s="18">
        <f t="shared" si="586"/>
        <v>0</v>
      </c>
      <c r="AH170" s="18">
        <f t="shared" si="586"/>
        <v>0</v>
      </c>
    </row>
    <row r="171" spans="3:34" x14ac:dyDescent="0.4">
      <c r="C171" s="199" t="str">
        <f>++C$74</f>
        <v>% margin</v>
      </c>
      <c r="G171" s="19">
        <f t="shared" ref="G171:AD171" si="587">++IFERROR(G170/G113,0)</f>
        <v>0</v>
      </c>
      <c r="H171" s="19">
        <f t="shared" si="587"/>
        <v>0</v>
      </c>
      <c r="I171" s="19">
        <f t="shared" si="587"/>
        <v>0</v>
      </c>
      <c r="J171" s="19">
        <f t="shared" si="587"/>
        <v>0</v>
      </c>
      <c r="K171" s="19">
        <f t="shared" ref="K171:V171" si="588">++IFERROR(K170/K113,0)</f>
        <v>0</v>
      </c>
      <c r="L171" s="19">
        <f t="shared" si="588"/>
        <v>0</v>
      </c>
      <c r="M171" s="19">
        <f t="shared" si="588"/>
        <v>0</v>
      </c>
      <c r="N171" s="19">
        <f t="shared" si="588"/>
        <v>0</v>
      </c>
      <c r="O171" s="19">
        <f t="shared" si="588"/>
        <v>0</v>
      </c>
      <c r="P171" s="19">
        <f t="shared" si="588"/>
        <v>0</v>
      </c>
      <c r="Q171" s="19">
        <f t="shared" si="588"/>
        <v>0</v>
      </c>
      <c r="R171" s="19">
        <f t="shared" si="588"/>
        <v>0</v>
      </c>
      <c r="S171" s="19">
        <f t="shared" si="588"/>
        <v>0</v>
      </c>
      <c r="T171" s="19">
        <f t="shared" si="588"/>
        <v>0</v>
      </c>
      <c r="U171" s="19">
        <f t="shared" si="588"/>
        <v>0</v>
      </c>
      <c r="V171" s="19">
        <f t="shared" si="588"/>
        <v>0</v>
      </c>
      <c r="W171" s="19">
        <f t="shared" si="587"/>
        <v>0</v>
      </c>
      <c r="X171" s="19">
        <f t="shared" si="587"/>
        <v>0</v>
      </c>
      <c r="Y171" s="19">
        <f t="shared" si="587"/>
        <v>0</v>
      </c>
      <c r="Z171" s="19">
        <f t="shared" si="587"/>
        <v>0</v>
      </c>
      <c r="AA171" s="19">
        <f t="shared" si="587"/>
        <v>0</v>
      </c>
      <c r="AB171" s="19">
        <f t="shared" si="587"/>
        <v>0</v>
      </c>
      <c r="AC171" s="19">
        <f t="shared" si="587"/>
        <v>0</v>
      </c>
      <c r="AD171" s="19">
        <f t="shared" si="587"/>
        <v>0</v>
      </c>
      <c r="AF171" s="19">
        <f t="shared" ref="AF171:AH171" si="589">++IFERROR(AF170/AF113,0)</f>
        <v>0</v>
      </c>
      <c r="AG171" s="19">
        <f t="shared" si="589"/>
        <v>0</v>
      </c>
      <c r="AH171" s="19">
        <f t="shared" si="589"/>
        <v>0</v>
      </c>
    </row>
    <row r="172" spans="3:34" x14ac:dyDescent="0.4">
      <c r="C172" s="199" t="str">
        <f>++C$75</f>
        <v>% y/y</v>
      </c>
      <c r="G172" s="177" t="s">
        <v>52</v>
      </c>
      <c r="H172" s="177" t="s">
        <v>52</v>
      </c>
      <c r="I172" s="177" t="s">
        <v>52</v>
      </c>
      <c r="J172" s="177" t="s">
        <v>52</v>
      </c>
      <c r="K172" s="19">
        <f t="shared" ref="K172" si="590">++IFERROR(K170/G170-1,0)</f>
        <v>0</v>
      </c>
      <c r="L172" s="19">
        <f t="shared" ref="L172" si="591">++IFERROR(L170/H170-1,0)</f>
        <v>0</v>
      </c>
      <c r="M172" s="19">
        <f t="shared" ref="M172" si="592">++IFERROR(M170/I170-1,0)</f>
        <v>0</v>
      </c>
      <c r="N172" s="19">
        <f t="shared" ref="N172" si="593">++IFERROR(N170/J170-1,0)</f>
        <v>0</v>
      </c>
      <c r="O172" s="19">
        <f t="shared" ref="O172" si="594">++IFERROR(O170/K170-1,0)</f>
        <v>0</v>
      </c>
      <c r="P172" s="19">
        <f t="shared" ref="P172" si="595">++IFERROR(P170/L170-1,0)</f>
        <v>0</v>
      </c>
      <c r="Q172" s="19">
        <f t="shared" ref="Q172" si="596">++IFERROR(Q170/M170-1,0)</f>
        <v>0</v>
      </c>
      <c r="R172" s="19">
        <f t="shared" ref="R172" si="597">++IFERROR(R170/N170-1,0)</f>
        <v>0</v>
      </c>
      <c r="S172" s="19">
        <f t="shared" ref="S172" si="598">++IFERROR(S170/O170-1,0)</f>
        <v>0</v>
      </c>
      <c r="T172" s="19">
        <f t="shared" ref="T172" si="599">++IFERROR(T170/P170-1,0)</f>
        <v>0</v>
      </c>
      <c r="U172" s="19">
        <f t="shared" ref="U172" si="600">++IFERROR(U170/Q170-1,0)</f>
        <v>0</v>
      </c>
      <c r="V172" s="19">
        <f t="shared" ref="V172" si="601">++IFERROR(V170/R170-1,0)</f>
        <v>0</v>
      </c>
      <c r="W172" s="19">
        <f t="shared" ref="W172:AD172" si="602">++IFERROR(W170/S170-1,0)</f>
        <v>0</v>
      </c>
      <c r="X172" s="19">
        <f t="shared" si="602"/>
        <v>0</v>
      </c>
      <c r="Y172" s="19">
        <f t="shared" si="602"/>
        <v>0</v>
      </c>
      <c r="Z172" s="19">
        <f t="shared" si="602"/>
        <v>0</v>
      </c>
      <c r="AA172" s="19">
        <f t="shared" si="602"/>
        <v>0</v>
      </c>
      <c r="AB172" s="19">
        <f t="shared" si="602"/>
        <v>0</v>
      </c>
      <c r="AC172" s="19">
        <f t="shared" si="602"/>
        <v>0</v>
      </c>
      <c r="AD172" s="19">
        <f t="shared" si="602"/>
        <v>0</v>
      </c>
      <c r="AF172" s="177" t="s">
        <v>52</v>
      </c>
      <c r="AG172" s="19">
        <f>++IFERROR(AG170/AF170-1,0)</f>
        <v>0</v>
      </c>
      <c r="AH172" s="19">
        <f>++IFERROR(AH170/AG170-1,0)</f>
        <v>0</v>
      </c>
    </row>
    <row r="173" spans="3:34" x14ac:dyDescent="0.4">
      <c r="C173" s="196"/>
    </row>
    <row r="174" spans="3:34" x14ac:dyDescent="0.4">
      <c r="C174" s="196" t="str">
        <f>++C$77</f>
        <v>( + ) [Pro Forma Adjustment]</v>
      </c>
      <c r="G174" s="54">
        <f t="shared" ref="G174:G183" si="603">++G77</f>
        <v>0</v>
      </c>
      <c r="H174" s="54">
        <f t="shared" ref="H174:J183" si="604">++H77+G174</f>
        <v>0</v>
      </c>
      <c r="I174" s="54">
        <f t="shared" si="604"/>
        <v>0</v>
      </c>
      <c r="J174" s="54">
        <f t="shared" si="604"/>
        <v>0</v>
      </c>
      <c r="K174" s="54">
        <f t="shared" ref="K174:S183" si="605">++K77</f>
        <v>0</v>
      </c>
      <c r="L174" s="54">
        <f t="shared" ref="L174:L183" si="606">++L77+K174</f>
        <v>0</v>
      </c>
      <c r="M174" s="54">
        <f t="shared" ref="M174:M183" si="607">++M77+L174</f>
        <v>0</v>
      </c>
      <c r="N174" s="54">
        <f t="shared" ref="N174:N183" si="608">++N77+M174</f>
        <v>0</v>
      </c>
      <c r="O174" s="54">
        <f t="shared" si="605"/>
        <v>0</v>
      </c>
      <c r="P174" s="54">
        <f t="shared" ref="P174:P183" si="609">++P77+O174</f>
        <v>0</v>
      </c>
      <c r="Q174" s="54">
        <f t="shared" ref="Q174:Q183" si="610">++Q77+P174</f>
        <v>0</v>
      </c>
      <c r="R174" s="54">
        <f t="shared" ref="R174:R183" si="611">++R77+Q174</f>
        <v>0</v>
      </c>
      <c r="S174" s="54">
        <f t="shared" si="605"/>
        <v>0</v>
      </c>
      <c r="T174" s="54">
        <f t="shared" ref="T174:T183" si="612">++T77+S174</f>
        <v>0</v>
      </c>
      <c r="U174" s="54">
        <f t="shared" ref="U174:U183" si="613">++U77+T174</f>
        <v>0</v>
      </c>
      <c r="V174" s="54">
        <f t="shared" ref="V174:V183" si="614">++V77+U174</f>
        <v>0</v>
      </c>
      <c r="W174" s="54">
        <f t="shared" ref="W174:W183" si="615">++W77</f>
        <v>0</v>
      </c>
      <c r="X174" s="54">
        <f t="shared" ref="X174:Z183" si="616">++X77+W174</f>
        <v>0</v>
      </c>
      <c r="Y174" s="54">
        <f t="shared" si="616"/>
        <v>0</v>
      </c>
      <c r="Z174" s="54">
        <f t="shared" si="616"/>
        <v>0</v>
      </c>
      <c r="AA174" s="54">
        <f t="shared" ref="AA174:AA183" si="617">++AA77</f>
        <v>0</v>
      </c>
      <c r="AB174" s="54">
        <f t="shared" ref="AB174:AD183" si="618">++AB77+AA174</f>
        <v>0</v>
      </c>
      <c r="AC174" s="54">
        <f t="shared" si="618"/>
        <v>0</v>
      </c>
      <c r="AD174" s="54">
        <f t="shared" si="618"/>
        <v>0</v>
      </c>
      <c r="AF174" s="182">
        <v>0</v>
      </c>
      <c r="AG174" s="182">
        <v>0</v>
      </c>
      <c r="AH174" s="182">
        <v>0</v>
      </c>
    </row>
    <row r="175" spans="3:34" x14ac:dyDescent="0.4">
      <c r="C175" s="196" t="str">
        <f>++C$78</f>
        <v>( + ) [Pro Forma Adjustment]</v>
      </c>
      <c r="G175" s="54">
        <f t="shared" si="603"/>
        <v>0</v>
      </c>
      <c r="H175" s="54">
        <f t="shared" si="604"/>
        <v>0</v>
      </c>
      <c r="I175" s="54">
        <f t="shared" si="604"/>
        <v>0</v>
      </c>
      <c r="J175" s="54">
        <f t="shared" si="604"/>
        <v>0</v>
      </c>
      <c r="K175" s="54">
        <f t="shared" si="605"/>
        <v>0</v>
      </c>
      <c r="L175" s="54">
        <f t="shared" si="606"/>
        <v>0</v>
      </c>
      <c r="M175" s="54">
        <f t="shared" si="607"/>
        <v>0</v>
      </c>
      <c r="N175" s="54">
        <f t="shared" si="608"/>
        <v>0</v>
      </c>
      <c r="O175" s="54">
        <f t="shared" si="605"/>
        <v>0</v>
      </c>
      <c r="P175" s="54">
        <f t="shared" si="609"/>
        <v>0</v>
      </c>
      <c r="Q175" s="54">
        <f t="shared" si="610"/>
        <v>0</v>
      </c>
      <c r="R175" s="54">
        <f t="shared" si="611"/>
        <v>0</v>
      </c>
      <c r="S175" s="54">
        <f t="shared" si="605"/>
        <v>0</v>
      </c>
      <c r="T175" s="54">
        <f t="shared" si="612"/>
        <v>0</v>
      </c>
      <c r="U175" s="54">
        <f t="shared" si="613"/>
        <v>0</v>
      </c>
      <c r="V175" s="54">
        <f t="shared" si="614"/>
        <v>0</v>
      </c>
      <c r="W175" s="54">
        <f t="shared" si="615"/>
        <v>0</v>
      </c>
      <c r="X175" s="54">
        <f t="shared" si="616"/>
        <v>0</v>
      </c>
      <c r="Y175" s="54">
        <f t="shared" si="616"/>
        <v>0</v>
      </c>
      <c r="Z175" s="54">
        <f t="shared" si="616"/>
        <v>0</v>
      </c>
      <c r="AA175" s="54">
        <f t="shared" si="617"/>
        <v>0</v>
      </c>
      <c r="AB175" s="54">
        <f t="shared" si="618"/>
        <v>0</v>
      </c>
      <c r="AC175" s="54">
        <f t="shared" si="618"/>
        <v>0</v>
      </c>
      <c r="AD175" s="54">
        <f t="shared" si="618"/>
        <v>0</v>
      </c>
      <c r="AF175" s="182">
        <v>0</v>
      </c>
      <c r="AG175" s="182">
        <v>0</v>
      </c>
      <c r="AH175" s="182">
        <v>0</v>
      </c>
    </row>
    <row r="176" spans="3:34" x14ac:dyDescent="0.4">
      <c r="C176" s="196" t="str">
        <f>++C$79</f>
        <v>( + ) [Pro Forma Adjustment]</v>
      </c>
      <c r="G176" s="54">
        <f t="shared" si="603"/>
        <v>0</v>
      </c>
      <c r="H176" s="54">
        <f t="shared" si="604"/>
        <v>0</v>
      </c>
      <c r="I176" s="54">
        <f t="shared" si="604"/>
        <v>0</v>
      </c>
      <c r="J176" s="54">
        <f t="shared" si="604"/>
        <v>0</v>
      </c>
      <c r="K176" s="54">
        <f t="shared" si="605"/>
        <v>0</v>
      </c>
      <c r="L176" s="54">
        <f t="shared" si="606"/>
        <v>0</v>
      </c>
      <c r="M176" s="54">
        <f t="shared" si="607"/>
        <v>0</v>
      </c>
      <c r="N176" s="54">
        <f t="shared" si="608"/>
        <v>0</v>
      </c>
      <c r="O176" s="54">
        <f t="shared" si="605"/>
        <v>0</v>
      </c>
      <c r="P176" s="54">
        <f t="shared" si="609"/>
        <v>0</v>
      </c>
      <c r="Q176" s="54">
        <f t="shared" si="610"/>
        <v>0</v>
      </c>
      <c r="R176" s="54">
        <f t="shared" si="611"/>
        <v>0</v>
      </c>
      <c r="S176" s="54">
        <f t="shared" si="605"/>
        <v>0</v>
      </c>
      <c r="T176" s="54">
        <f t="shared" si="612"/>
        <v>0</v>
      </c>
      <c r="U176" s="54">
        <f t="shared" si="613"/>
        <v>0</v>
      </c>
      <c r="V176" s="54">
        <f t="shared" si="614"/>
        <v>0</v>
      </c>
      <c r="W176" s="54">
        <f t="shared" si="615"/>
        <v>0</v>
      </c>
      <c r="X176" s="54">
        <f t="shared" si="616"/>
        <v>0</v>
      </c>
      <c r="Y176" s="54">
        <f t="shared" si="616"/>
        <v>0</v>
      </c>
      <c r="Z176" s="54">
        <f t="shared" si="616"/>
        <v>0</v>
      </c>
      <c r="AA176" s="54">
        <f t="shared" si="617"/>
        <v>0</v>
      </c>
      <c r="AB176" s="54">
        <f t="shared" si="618"/>
        <v>0</v>
      </c>
      <c r="AC176" s="54">
        <f t="shared" si="618"/>
        <v>0</v>
      </c>
      <c r="AD176" s="54">
        <f t="shared" si="618"/>
        <v>0</v>
      </c>
      <c r="AF176" s="182">
        <v>0</v>
      </c>
      <c r="AG176" s="182">
        <v>0</v>
      </c>
      <c r="AH176" s="182">
        <v>0</v>
      </c>
    </row>
    <row r="177" spans="3:34" x14ac:dyDescent="0.4">
      <c r="C177" s="196" t="str">
        <f>++C$80</f>
        <v>( + ) [Pro Forma Adjustment]</v>
      </c>
      <c r="G177" s="54">
        <f t="shared" si="603"/>
        <v>0</v>
      </c>
      <c r="H177" s="54">
        <f t="shared" si="604"/>
        <v>0</v>
      </c>
      <c r="I177" s="54">
        <f t="shared" si="604"/>
        <v>0</v>
      </c>
      <c r="J177" s="54">
        <f t="shared" si="604"/>
        <v>0</v>
      </c>
      <c r="K177" s="54">
        <f t="shared" si="605"/>
        <v>0</v>
      </c>
      <c r="L177" s="54">
        <f t="shared" si="606"/>
        <v>0</v>
      </c>
      <c r="M177" s="54">
        <f t="shared" si="607"/>
        <v>0</v>
      </c>
      <c r="N177" s="54">
        <f t="shared" si="608"/>
        <v>0</v>
      </c>
      <c r="O177" s="54">
        <f t="shared" si="605"/>
        <v>0</v>
      </c>
      <c r="P177" s="54">
        <f t="shared" si="609"/>
        <v>0</v>
      </c>
      <c r="Q177" s="54">
        <f t="shared" si="610"/>
        <v>0</v>
      </c>
      <c r="R177" s="54">
        <f t="shared" si="611"/>
        <v>0</v>
      </c>
      <c r="S177" s="54">
        <f t="shared" si="605"/>
        <v>0</v>
      </c>
      <c r="T177" s="54">
        <f t="shared" si="612"/>
        <v>0</v>
      </c>
      <c r="U177" s="54">
        <f t="shared" si="613"/>
        <v>0</v>
      </c>
      <c r="V177" s="54">
        <f t="shared" si="614"/>
        <v>0</v>
      </c>
      <c r="W177" s="54">
        <f t="shared" si="615"/>
        <v>0</v>
      </c>
      <c r="X177" s="54">
        <f t="shared" si="616"/>
        <v>0</v>
      </c>
      <c r="Y177" s="54">
        <f t="shared" si="616"/>
        <v>0</v>
      </c>
      <c r="Z177" s="54">
        <f t="shared" si="616"/>
        <v>0</v>
      </c>
      <c r="AA177" s="54">
        <f t="shared" si="617"/>
        <v>0</v>
      </c>
      <c r="AB177" s="54">
        <f t="shared" si="618"/>
        <v>0</v>
      </c>
      <c r="AC177" s="54">
        <f t="shared" si="618"/>
        <v>0</v>
      </c>
      <c r="AD177" s="54">
        <f t="shared" si="618"/>
        <v>0</v>
      </c>
      <c r="AF177" s="182">
        <v>0</v>
      </c>
      <c r="AG177" s="182">
        <v>0</v>
      </c>
      <c r="AH177" s="182">
        <v>0</v>
      </c>
    </row>
    <row r="178" spans="3:34" x14ac:dyDescent="0.4">
      <c r="C178" s="196" t="str">
        <f>++C$81</f>
        <v>( + ) [Pro Forma Adjustment]</v>
      </c>
      <c r="G178" s="54">
        <f t="shared" si="603"/>
        <v>0</v>
      </c>
      <c r="H178" s="54">
        <f t="shared" si="604"/>
        <v>0</v>
      </c>
      <c r="I178" s="54">
        <f t="shared" si="604"/>
        <v>0</v>
      </c>
      <c r="J178" s="54">
        <f t="shared" si="604"/>
        <v>0</v>
      </c>
      <c r="K178" s="54">
        <f t="shared" si="605"/>
        <v>0</v>
      </c>
      <c r="L178" s="54">
        <f t="shared" si="606"/>
        <v>0</v>
      </c>
      <c r="M178" s="54">
        <f t="shared" si="607"/>
        <v>0</v>
      </c>
      <c r="N178" s="54">
        <f t="shared" si="608"/>
        <v>0</v>
      </c>
      <c r="O178" s="54">
        <f t="shared" si="605"/>
        <v>0</v>
      </c>
      <c r="P178" s="54">
        <f t="shared" si="609"/>
        <v>0</v>
      </c>
      <c r="Q178" s="54">
        <f t="shared" si="610"/>
        <v>0</v>
      </c>
      <c r="R178" s="54">
        <f t="shared" si="611"/>
        <v>0</v>
      </c>
      <c r="S178" s="54">
        <f t="shared" si="605"/>
        <v>0</v>
      </c>
      <c r="T178" s="54">
        <f t="shared" si="612"/>
        <v>0</v>
      </c>
      <c r="U178" s="54">
        <f t="shared" si="613"/>
        <v>0</v>
      </c>
      <c r="V178" s="54">
        <f t="shared" si="614"/>
        <v>0</v>
      </c>
      <c r="W178" s="54">
        <f t="shared" si="615"/>
        <v>0</v>
      </c>
      <c r="X178" s="54">
        <f t="shared" si="616"/>
        <v>0</v>
      </c>
      <c r="Y178" s="54">
        <f t="shared" si="616"/>
        <v>0</v>
      </c>
      <c r="Z178" s="54">
        <f t="shared" si="616"/>
        <v>0</v>
      </c>
      <c r="AA178" s="54">
        <f t="shared" si="617"/>
        <v>0</v>
      </c>
      <c r="AB178" s="54">
        <f t="shared" si="618"/>
        <v>0</v>
      </c>
      <c r="AC178" s="54">
        <f t="shared" si="618"/>
        <v>0</v>
      </c>
      <c r="AD178" s="54">
        <f t="shared" si="618"/>
        <v>0</v>
      </c>
      <c r="AF178" s="182">
        <v>0</v>
      </c>
      <c r="AG178" s="182">
        <v>0</v>
      </c>
      <c r="AH178" s="182">
        <v>0</v>
      </c>
    </row>
    <row r="179" spans="3:34" x14ac:dyDescent="0.4">
      <c r="C179" s="196" t="str">
        <f>++C$82</f>
        <v>( + ) [Pro Forma Adjustment]</v>
      </c>
      <c r="G179" s="54">
        <f t="shared" si="603"/>
        <v>0</v>
      </c>
      <c r="H179" s="54">
        <f t="shared" si="604"/>
        <v>0</v>
      </c>
      <c r="I179" s="54">
        <f t="shared" si="604"/>
        <v>0</v>
      </c>
      <c r="J179" s="54">
        <f t="shared" si="604"/>
        <v>0</v>
      </c>
      <c r="K179" s="54">
        <f t="shared" si="605"/>
        <v>0</v>
      </c>
      <c r="L179" s="54">
        <f t="shared" si="606"/>
        <v>0</v>
      </c>
      <c r="M179" s="54">
        <f t="shared" si="607"/>
        <v>0</v>
      </c>
      <c r="N179" s="54">
        <f t="shared" si="608"/>
        <v>0</v>
      </c>
      <c r="O179" s="54">
        <f t="shared" si="605"/>
        <v>0</v>
      </c>
      <c r="P179" s="54">
        <f t="shared" si="609"/>
        <v>0</v>
      </c>
      <c r="Q179" s="54">
        <f t="shared" si="610"/>
        <v>0</v>
      </c>
      <c r="R179" s="54">
        <f t="shared" si="611"/>
        <v>0</v>
      </c>
      <c r="S179" s="54">
        <f t="shared" si="605"/>
        <v>0</v>
      </c>
      <c r="T179" s="54">
        <f t="shared" si="612"/>
        <v>0</v>
      </c>
      <c r="U179" s="54">
        <f t="shared" si="613"/>
        <v>0</v>
      </c>
      <c r="V179" s="54">
        <f t="shared" si="614"/>
        <v>0</v>
      </c>
      <c r="W179" s="54">
        <f t="shared" si="615"/>
        <v>0</v>
      </c>
      <c r="X179" s="54">
        <f t="shared" si="616"/>
        <v>0</v>
      </c>
      <c r="Y179" s="54">
        <f t="shared" si="616"/>
        <v>0</v>
      </c>
      <c r="Z179" s="54">
        <f t="shared" si="616"/>
        <v>0</v>
      </c>
      <c r="AA179" s="54">
        <f t="shared" si="617"/>
        <v>0</v>
      </c>
      <c r="AB179" s="54">
        <f t="shared" si="618"/>
        <v>0</v>
      </c>
      <c r="AC179" s="54">
        <f t="shared" si="618"/>
        <v>0</v>
      </c>
      <c r="AD179" s="54">
        <f t="shared" si="618"/>
        <v>0</v>
      </c>
      <c r="AF179" s="182">
        <v>0</v>
      </c>
      <c r="AG179" s="182">
        <v>0</v>
      </c>
      <c r="AH179" s="182">
        <v>0</v>
      </c>
    </row>
    <row r="180" spans="3:34" x14ac:dyDescent="0.4">
      <c r="C180" s="196" t="str">
        <f>++C$83</f>
        <v>( + ) [Pro Forma Adjustment]</v>
      </c>
      <c r="G180" s="54">
        <f t="shared" si="603"/>
        <v>0</v>
      </c>
      <c r="H180" s="54">
        <f t="shared" si="604"/>
        <v>0</v>
      </c>
      <c r="I180" s="54">
        <f t="shared" si="604"/>
        <v>0</v>
      </c>
      <c r="J180" s="54">
        <f t="shared" si="604"/>
        <v>0</v>
      </c>
      <c r="K180" s="54">
        <f t="shared" si="605"/>
        <v>0</v>
      </c>
      <c r="L180" s="54">
        <f t="shared" si="606"/>
        <v>0</v>
      </c>
      <c r="M180" s="54">
        <f t="shared" si="607"/>
        <v>0</v>
      </c>
      <c r="N180" s="54">
        <f t="shared" si="608"/>
        <v>0</v>
      </c>
      <c r="O180" s="54">
        <f t="shared" si="605"/>
        <v>0</v>
      </c>
      <c r="P180" s="54">
        <f t="shared" si="609"/>
        <v>0</v>
      </c>
      <c r="Q180" s="54">
        <f t="shared" si="610"/>
        <v>0</v>
      </c>
      <c r="R180" s="54">
        <f t="shared" si="611"/>
        <v>0</v>
      </c>
      <c r="S180" s="54">
        <f t="shared" si="605"/>
        <v>0</v>
      </c>
      <c r="T180" s="54">
        <f t="shared" si="612"/>
        <v>0</v>
      </c>
      <c r="U180" s="54">
        <f t="shared" si="613"/>
        <v>0</v>
      </c>
      <c r="V180" s="54">
        <f t="shared" si="614"/>
        <v>0</v>
      </c>
      <c r="W180" s="54">
        <f t="shared" si="615"/>
        <v>0</v>
      </c>
      <c r="X180" s="54">
        <f t="shared" si="616"/>
        <v>0</v>
      </c>
      <c r="Y180" s="54">
        <f t="shared" si="616"/>
        <v>0</v>
      </c>
      <c r="Z180" s="54">
        <f t="shared" si="616"/>
        <v>0</v>
      </c>
      <c r="AA180" s="54">
        <f t="shared" si="617"/>
        <v>0</v>
      </c>
      <c r="AB180" s="54">
        <f t="shared" si="618"/>
        <v>0</v>
      </c>
      <c r="AC180" s="54">
        <f t="shared" si="618"/>
        <v>0</v>
      </c>
      <c r="AD180" s="54">
        <f t="shared" si="618"/>
        <v>0</v>
      </c>
      <c r="AF180" s="182">
        <v>0</v>
      </c>
      <c r="AG180" s="182">
        <v>0</v>
      </c>
      <c r="AH180" s="182">
        <v>0</v>
      </c>
    </row>
    <row r="181" spans="3:34" x14ac:dyDescent="0.4">
      <c r="C181" s="196" t="str">
        <f>++C$84</f>
        <v>( + ) [Pro Forma Adjustment]</v>
      </c>
      <c r="G181" s="54">
        <f t="shared" si="603"/>
        <v>0</v>
      </c>
      <c r="H181" s="54">
        <f t="shared" si="604"/>
        <v>0</v>
      </c>
      <c r="I181" s="54">
        <f t="shared" si="604"/>
        <v>0</v>
      </c>
      <c r="J181" s="54">
        <f t="shared" si="604"/>
        <v>0</v>
      </c>
      <c r="K181" s="54">
        <f t="shared" si="605"/>
        <v>0</v>
      </c>
      <c r="L181" s="54">
        <f t="shared" si="606"/>
        <v>0</v>
      </c>
      <c r="M181" s="54">
        <f t="shared" si="607"/>
        <v>0</v>
      </c>
      <c r="N181" s="54">
        <f t="shared" si="608"/>
        <v>0</v>
      </c>
      <c r="O181" s="54">
        <f t="shared" si="605"/>
        <v>0</v>
      </c>
      <c r="P181" s="54">
        <f t="shared" si="609"/>
        <v>0</v>
      </c>
      <c r="Q181" s="54">
        <f t="shared" si="610"/>
        <v>0</v>
      </c>
      <c r="R181" s="54">
        <f t="shared" si="611"/>
        <v>0</v>
      </c>
      <c r="S181" s="54">
        <f t="shared" si="605"/>
        <v>0</v>
      </c>
      <c r="T181" s="54">
        <f t="shared" si="612"/>
        <v>0</v>
      </c>
      <c r="U181" s="54">
        <f t="shared" si="613"/>
        <v>0</v>
      </c>
      <c r="V181" s="54">
        <f t="shared" si="614"/>
        <v>0</v>
      </c>
      <c r="W181" s="54">
        <f t="shared" si="615"/>
        <v>0</v>
      </c>
      <c r="X181" s="54">
        <f t="shared" si="616"/>
        <v>0</v>
      </c>
      <c r="Y181" s="54">
        <f t="shared" si="616"/>
        <v>0</v>
      </c>
      <c r="Z181" s="54">
        <f t="shared" si="616"/>
        <v>0</v>
      </c>
      <c r="AA181" s="54">
        <f t="shared" si="617"/>
        <v>0</v>
      </c>
      <c r="AB181" s="54">
        <f t="shared" si="618"/>
        <v>0</v>
      </c>
      <c r="AC181" s="54">
        <f t="shared" si="618"/>
        <v>0</v>
      </c>
      <c r="AD181" s="54">
        <f t="shared" si="618"/>
        <v>0</v>
      </c>
      <c r="AF181" s="182">
        <v>0</v>
      </c>
      <c r="AG181" s="182">
        <v>0</v>
      </c>
      <c r="AH181" s="182">
        <v>0</v>
      </c>
    </row>
    <row r="182" spans="3:34" x14ac:dyDescent="0.4">
      <c r="C182" s="196" t="str">
        <f>++C$85</f>
        <v>( + ) [Pro Forma Adjustment]</v>
      </c>
      <c r="G182" s="54">
        <f t="shared" si="603"/>
        <v>0</v>
      </c>
      <c r="H182" s="54">
        <f t="shared" si="604"/>
        <v>0</v>
      </c>
      <c r="I182" s="54">
        <f t="shared" si="604"/>
        <v>0</v>
      </c>
      <c r="J182" s="54">
        <f t="shared" si="604"/>
        <v>0</v>
      </c>
      <c r="K182" s="54">
        <f t="shared" si="605"/>
        <v>0</v>
      </c>
      <c r="L182" s="54">
        <f t="shared" si="606"/>
        <v>0</v>
      </c>
      <c r="M182" s="54">
        <f t="shared" si="607"/>
        <v>0</v>
      </c>
      <c r="N182" s="54">
        <f t="shared" si="608"/>
        <v>0</v>
      </c>
      <c r="O182" s="54">
        <f t="shared" si="605"/>
        <v>0</v>
      </c>
      <c r="P182" s="54">
        <f t="shared" si="609"/>
        <v>0</v>
      </c>
      <c r="Q182" s="54">
        <f t="shared" si="610"/>
        <v>0</v>
      </c>
      <c r="R182" s="54">
        <f t="shared" si="611"/>
        <v>0</v>
      </c>
      <c r="S182" s="54">
        <f t="shared" si="605"/>
        <v>0</v>
      </c>
      <c r="T182" s="54">
        <f t="shared" si="612"/>
        <v>0</v>
      </c>
      <c r="U182" s="54">
        <f t="shared" si="613"/>
        <v>0</v>
      </c>
      <c r="V182" s="54">
        <f t="shared" si="614"/>
        <v>0</v>
      </c>
      <c r="W182" s="54">
        <f t="shared" si="615"/>
        <v>0</v>
      </c>
      <c r="X182" s="54">
        <f t="shared" si="616"/>
        <v>0</v>
      </c>
      <c r="Y182" s="54">
        <f t="shared" si="616"/>
        <v>0</v>
      </c>
      <c r="Z182" s="54">
        <f t="shared" si="616"/>
        <v>0</v>
      </c>
      <c r="AA182" s="54">
        <f t="shared" si="617"/>
        <v>0</v>
      </c>
      <c r="AB182" s="54">
        <f t="shared" si="618"/>
        <v>0</v>
      </c>
      <c r="AC182" s="54">
        <f t="shared" si="618"/>
        <v>0</v>
      </c>
      <c r="AD182" s="54">
        <f t="shared" si="618"/>
        <v>0</v>
      </c>
      <c r="AF182" s="182">
        <v>0</v>
      </c>
      <c r="AG182" s="182">
        <v>0</v>
      </c>
      <c r="AH182" s="182">
        <v>0</v>
      </c>
    </row>
    <row r="183" spans="3:34" x14ac:dyDescent="0.4">
      <c r="C183" s="196" t="str">
        <f>++C$86</f>
        <v>( + ) [Pro Forma Adjustment]</v>
      </c>
      <c r="G183" s="54">
        <f t="shared" si="603"/>
        <v>0</v>
      </c>
      <c r="H183" s="54">
        <f t="shared" si="604"/>
        <v>0</v>
      </c>
      <c r="I183" s="54">
        <f t="shared" si="604"/>
        <v>0</v>
      </c>
      <c r="J183" s="54">
        <f t="shared" si="604"/>
        <v>0</v>
      </c>
      <c r="K183" s="54">
        <f t="shared" si="605"/>
        <v>0</v>
      </c>
      <c r="L183" s="54">
        <f t="shared" si="606"/>
        <v>0</v>
      </c>
      <c r="M183" s="54">
        <f t="shared" si="607"/>
        <v>0</v>
      </c>
      <c r="N183" s="54">
        <f t="shared" si="608"/>
        <v>0</v>
      </c>
      <c r="O183" s="54">
        <f t="shared" si="605"/>
        <v>0</v>
      </c>
      <c r="P183" s="54">
        <f t="shared" si="609"/>
        <v>0</v>
      </c>
      <c r="Q183" s="54">
        <f t="shared" si="610"/>
        <v>0</v>
      </c>
      <c r="R183" s="54">
        <f t="shared" si="611"/>
        <v>0</v>
      </c>
      <c r="S183" s="54">
        <f t="shared" si="605"/>
        <v>0</v>
      </c>
      <c r="T183" s="54">
        <f t="shared" si="612"/>
        <v>0</v>
      </c>
      <c r="U183" s="54">
        <f t="shared" si="613"/>
        <v>0</v>
      </c>
      <c r="V183" s="54">
        <f t="shared" si="614"/>
        <v>0</v>
      </c>
      <c r="W183" s="54">
        <f t="shared" si="615"/>
        <v>0</v>
      </c>
      <c r="X183" s="54">
        <f t="shared" si="616"/>
        <v>0</v>
      </c>
      <c r="Y183" s="54">
        <f t="shared" si="616"/>
        <v>0</v>
      </c>
      <c r="Z183" s="54">
        <f t="shared" si="616"/>
        <v>0</v>
      </c>
      <c r="AA183" s="54">
        <f t="shared" si="617"/>
        <v>0</v>
      </c>
      <c r="AB183" s="54">
        <f t="shared" si="618"/>
        <v>0</v>
      </c>
      <c r="AC183" s="54">
        <f t="shared" si="618"/>
        <v>0</v>
      </c>
      <c r="AD183" s="54">
        <f t="shared" si="618"/>
        <v>0</v>
      </c>
      <c r="AF183" s="182">
        <v>0</v>
      </c>
      <c r="AG183" s="182">
        <v>0</v>
      </c>
      <c r="AH183" s="182">
        <v>0</v>
      </c>
    </row>
    <row r="184" spans="3:34" ht="13.5" thickBot="1" x14ac:dyDescent="0.45">
      <c r="C184" s="200" t="str">
        <f>++C$87</f>
        <v>CA EBITDA</v>
      </c>
      <c r="D184" s="174"/>
      <c r="E184" s="174"/>
      <c r="G184" s="178">
        <f>++SUM(G170,G174:G183)</f>
        <v>0</v>
      </c>
      <c r="H184" s="178">
        <f t="shared" ref="H184" si="619">++SUM(H170,H174:H183)</f>
        <v>0</v>
      </c>
      <c r="I184" s="178">
        <f t="shared" ref="I184" si="620">++SUM(I170,I174:I183)</f>
        <v>0</v>
      </c>
      <c r="J184" s="178">
        <f t="shared" ref="J184:V184" si="621">++SUM(J170,J174:J183)</f>
        <v>0</v>
      </c>
      <c r="K184" s="178">
        <f t="shared" si="621"/>
        <v>0</v>
      </c>
      <c r="L184" s="178">
        <f t="shared" si="621"/>
        <v>0</v>
      </c>
      <c r="M184" s="178">
        <f t="shared" si="621"/>
        <v>0</v>
      </c>
      <c r="N184" s="178">
        <f t="shared" si="621"/>
        <v>0</v>
      </c>
      <c r="O184" s="178">
        <f t="shared" si="621"/>
        <v>0</v>
      </c>
      <c r="P184" s="178">
        <f t="shared" si="621"/>
        <v>0</v>
      </c>
      <c r="Q184" s="178">
        <f t="shared" si="621"/>
        <v>0</v>
      </c>
      <c r="R184" s="178">
        <f t="shared" si="621"/>
        <v>0</v>
      </c>
      <c r="S184" s="178">
        <f t="shared" si="621"/>
        <v>0</v>
      </c>
      <c r="T184" s="178">
        <f t="shared" si="621"/>
        <v>0</v>
      </c>
      <c r="U184" s="178">
        <f t="shared" si="621"/>
        <v>0</v>
      </c>
      <c r="V184" s="178">
        <f t="shared" si="621"/>
        <v>0</v>
      </c>
      <c r="W184" s="178">
        <f t="shared" ref="W184" si="622">++SUM(W170,W174:W183)</f>
        <v>0</v>
      </c>
      <c r="X184" s="178">
        <f t="shared" ref="X184" si="623">++SUM(X170,X174:X183)</f>
        <v>0</v>
      </c>
      <c r="Y184" s="178">
        <f t="shared" ref="Y184" si="624">++SUM(Y170,Y174:Y183)</f>
        <v>0</v>
      </c>
      <c r="Z184" s="178">
        <f t="shared" ref="Z184" si="625">++SUM(Z170,Z174:Z183)</f>
        <v>0</v>
      </c>
      <c r="AA184" s="178">
        <f t="shared" ref="AA184" si="626">++SUM(AA170,AA174:AA183)</f>
        <v>0</v>
      </c>
      <c r="AB184" s="178">
        <f t="shared" ref="AB184" si="627">++SUM(AB170,AB174:AB183)</f>
        <v>0</v>
      </c>
      <c r="AC184" s="178">
        <f t="shared" ref="AC184" si="628">++SUM(AC170,AC174:AC183)</f>
        <v>0</v>
      </c>
      <c r="AD184" s="178">
        <f t="shared" ref="AD184" si="629">++SUM(AD170,AD174:AD183)</f>
        <v>0</v>
      </c>
      <c r="AF184" s="178">
        <f t="shared" ref="AF184:AH184" si="630">++SUM(AF170,AF174:AF183)</f>
        <v>0</v>
      </c>
      <c r="AG184" s="178">
        <f t="shared" si="630"/>
        <v>0</v>
      </c>
      <c r="AH184" s="178">
        <f t="shared" si="630"/>
        <v>0</v>
      </c>
    </row>
    <row r="185" spans="3:34" ht="13.5" thickTop="1" x14ac:dyDescent="0.4">
      <c r="C185" s="199" t="str">
        <f>++C$88</f>
        <v>% margin</v>
      </c>
      <c r="G185" s="19">
        <f t="shared" ref="G185:AD185" si="631">++IFERROR(G184/G113,0)</f>
        <v>0</v>
      </c>
      <c r="H185" s="19">
        <f t="shared" si="631"/>
        <v>0</v>
      </c>
      <c r="I185" s="19">
        <f t="shared" si="631"/>
        <v>0</v>
      </c>
      <c r="J185" s="19">
        <f t="shared" si="631"/>
        <v>0</v>
      </c>
      <c r="K185" s="19">
        <f t="shared" ref="K185:V185" si="632">++IFERROR(K184/K113,0)</f>
        <v>0</v>
      </c>
      <c r="L185" s="19">
        <f t="shared" si="632"/>
        <v>0</v>
      </c>
      <c r="M185" s="19">
        <f t="shared" si="632"/>
        <v>0</v>
      </c>
      <c r="N185" s="19">
        <f t="shared" si="632"/>
        <v>0</v>
      </c>
      <c r="O185" s="19">
        <f t="shared" si="632"/>
        <v>0</v>
      </c>
      <c r="P185" s="19">
        <f t="shared" si="632"/>
        <v>0</v>
      </c>
      <c r="Q185" s="19">
        <f t="shared" si="632"/>
        <v>0</v>
      </c>
      <c r="R185" s="19">
        <f t="shared" si="632"/>
        <v>0</v>
      </c>
      <c r="S185" s="19">
        <f t="shared" si="632"/>
        <v>0</v>
      </c>
      <c r="T185" s="19">
        <f t="shared" si="632"/>
        <v>0</v>
      </c>
      <c r="U185" s="19">
        <f t="shared" si="632"/>
        <v>0</v>
      </c>
      <c r="V185" s="19">
        <f t="shared" si="632"/>
        <v>0</v>
      </c>
      <c r="W185" s="19">
        <f t="shared" si="631"/>
        <v>0</v>
      </c>
      <c r="X185" s="19">
        <f t="shared" si="631"/>
        <v>0</v>
      </c>
      <c r="Y185" s="19">
        <f t="shared" si="631"/>
        <v>0</v>
      </c>
      <c r="Z185" s="19">
        <f t="shared" si="631"/>
        <v>0</v>
      </c>
      <c r="AA185" s="19">
        <f t="shared" si="631"/>
        <v>0</v>
      </c>
      <c r="AB185" s="19">
        <f t="shared" si="631"/>
        <v>0</v>
      </c>
      <c r="AC185" s="19">
        <f t="shared" si="631"/>
        <v>0</v>
      </c>
      <c r="AD185" s="19">
        <f t="shared" si="631"/>
        <v>0</v>
      </c>
      <c r="AF185" s="19">
        <f t="shared" ref="AF185:AH185" si="633">++IFERROR(AF184/AF113,0)</f>
        <v>0</v>
      </c>
      <c r="AG185" s="19">
        <f t="shared" si="633"/>
        <v>0</v>
      </c>
      <c r="AH185" s="19">
        <f t="shared" si="633"/>
        <v>0</v>
      </c>
    </row>
    <row r="186" spans="3:34" x14ac:dyDescent="0.4">
      <c r="C186" s="199" t="str">
        <f>++C$89</f>
        <v>% y/y</v>
      </c>
      <c r="G186" s="177" t="s">
        <v>52</v>
      </c>
      <c r="H186" s="177" t="s">
        <v>52</v>
      </c>
      <c r="I186" s="177" t="s">
        <v>52</v>
      </c>
      <c r="J186" s="177" t="s">
        <v>52</v>
      </c>
      <c r="K186" s="19">
        <f t="shared" ref="K186" si="634">++IFERROR(K184/G184-1,0)</f>
        <v>0</v>
      </c>
      <c r="L186" s="19">
        <f t="shared" ref="L186" si="635">++IFERROR(L184/H184-1,0)</f>
        <v>0</v>
      </c>
      <c r="M186" s="19">
        <f t="shared" ref="M186" si="636">++IFERROR(M184/I184-1,0)</f>
        <v>0</v>
      </c>
      <c r="N186" s="19">
        <f t="shared" ref="N186" si="637">++IFERROR(N184/J184-1,0)</f>
        <v>0</v>
      </c>
      <c r="O186" s="19">
        <f t="shared" ref="O186" si="638">++IFERROR(O184/K184-1,0)</f>
        <v>0</v>
      </c>
      <c r="P186" s="19">
        <f t="shared" ref="P186" si="639">++IFERROR(P184/L184-1,0)</f>
        <v>0</v>
      </c>
      <c r="Q186" s="19">
        <f t="shared" ref="Q186" si="640">++IFERROR(Q184/M184-1,0)</f>
        <v>0</v>
      </c>
      <c r="R186" s="19">
        <f t="shared" ref="R186" si="641">++IFERROR(R184/N184-1,0)</f>
        <v>0</v>
      </c>
      <c r="S186" s="19">
        <f t="shared" ref="S186" si="642">++IFERROR(S184/O184-1,0)</f>
        <v>0</v>
      </c>
      <c r="T186" s="19">
        <f t="shared" ref="T186" si="643">++IFERROR(T184/P184-1,0)</f>
        <v>0</v>
      </c>
      <c r="U186" s="19">
        <f t="shared" ref="U186" si="644">++IFERROR(U184/Q184-1,0)</f>
        <v>0</v>
      </c>
      <c r="V186" s="19">
        <f t="shared" ref="V186" si="645">++IFERROR(V184/R184-1,0)</f>
        <v>0</v>
      </c>
      <c r="W186" s="19">
        <f t="shared" ref="W186:AD186" si="646">++IFERROR(W184/S184-1,0)</f>
        <v>0</v>
      </c>
      <c r="X186" s="19">
        <f t="shared" si="646"/>
        <v>0</v>
      </c>
      <c r="Y186" s="19">
        <f t="shared" si="646"/>
        <v>0</v>
      </c>
      <c r="Z186" s="19">
        <f t="shared" si="646"/>
        <v>0</v>
      </c>
      <c r="AA186" s="19">
        <f t="shared" si="646"/>
        <v>0</v>
      </c>
      <c r="AB186" s="19">
        <f t="shared" si="646"/>
        <v>0</v>
      </c>
      <c r="AC186" s="19">
        <f t="shared" si="646"/>
        <v>0</v>
      </c>
      <c r="AD186" s="19">
        <f t="shared" si="646"/>
        <v>0</v>
      </c>
      <c r="AF186" s="177" t="s">
        <v>52</v>
      </c>
      <c r="AG186" s="19">
        <f>++IFERROR(AG184/AF184-1,0)</f>
        <v>0</v>
      </c>
      <c r="AH186" s="19">
        <f>++IFERROR(AH184/AG184-1,0)</f>
        <v>0</v>
      </c>
    </row>
    <row r="187" spans="3:34" x14ac:dyDescent="0.4">
      <c r="C187" s="196"/>
    </row>
    <row r="188" spans="3:34" x14ac:dyDescent="0.4">
      <c r="C188" s="196" t="str">
        <f>++C$91</f>
        <v>Maintenance Capex</v>
      </c>
      <c r="G188" s="54">
        <f>++G91</f>
        <v>0</v>
      </c>
      <c r="H188" s="54">
        <f t="shared" ref="H188:J190" si="647">++H91+G188</f>
        <v>0</v>
      </c>
      <c r="I188" s="54">
        <f t="shared" si="647"/>
        <v>0</v>
      </c>
      <c r="J188" s="54">
        <f t="shared" si="647"/>
        <v>0</v>
      </c>
      <c r="K188" s="54">
        <f t="shared" ref="K188" si="648">++K91</f>
        <v>0</v>
      </c>
      <c r="L188" s="54">
        <f t="shared" ref="L188:L190" si="649">++L91+K188</f>
        <v>0</v>
      </c>
      <c r="M188" s="54">
        <f t="shared" ref="M188:M190" si="650">++M91+L188</f>
        <v>0</v>
      </c>
      <c r="N188" s="54">
        <f t="shared" ref="N188:N190" si="651">++N91+M188</f>
        <v>0</v>
      </c>
      <c r="O188" s="54">
        <f t="shared" ref="O188" si="652">++O91</f>
        <v>0</v>
      </c>
      <c r="P188" s="54">
        <f t="shared" ref="P188:P190" si="653">++P91+O188</f>
        <v>0</v>
      </c>
      <c r="Q188" s="54">
        <f t="shared" ref="Q188:Q190" si="654">++Q91+P188</f>
        <v>0</v>
      </c>
      <c r="R188" s="54">
        <f t="shared" ref="R188:R190" si="655">++R91+Q188</f>
        <v>0</v>
      </c>
      <c r="S188" s="54">
        <f t="shared" ref="S188" si="656">++S91</f>
        <v>0</v>
      </c>
      <c r="T188" s="54">
        <f t="shared" ref="T188:T190" si="657">++T91+S188</f>
        <v>0</v>
      </c>
      <c r="U188" s="54">
        <f t="shared" ref="U188:U190" si="658">++U91+T188</f>
        <v>0</v>
      </c>
      <c r="V188" s="54">
        <f t="shared" ref="V188:V190" si="659">++V91+U188</f>
        <v>0</v>
      </c>
      <c r="W188" s="54">
        <f>++W91</f>
        <v>0</v>
      </c>
      <c r="X188" s="54">
        <f t="shared" ref="X188:Z190" si="660">++X91+W188</f>
        <v>0</v>
      </c>
      <c r="Y188" s="54">
        <f t="shared" si="660"/>
        <v>0</v>
      </c>
      <c r="Z188" s="54">
        <f t="shared" si="660"/>
        <v>0</v>
      </c>
      <c r="AA188" s="54">
        <f>++AA91</f>
        <v>0</v>
      </c>
      <c r="AB188" s="54">
        <f t="shared" ref="AB188:AD190" si="661">++AB91+AA188</f>
        <v>0</v>
      </c>
      <c r="AC188" s="54">
        <f t="shared" si="661"/>
        <v>0</v>
      </c>
      <c r="AD188" s="54">
        <f t="shared" si="661"/>
        <v>0</v>
      </c>
      <c r="AF188" s="182">
        <v>0</v>
      </c>
      <c r="AG188" s="182">
        <v>0</v>
      </c>
      <c r="AH188" s="182">
        <v>0</v>
      </c>
    </row>
    <row r="189" spans="3:34" x14ac:dyDescent="0.4">
      <c r="C189" s="196" t="str">
        <f>++C$92</f>
        <v>Growth Capex</v>
      </c>
      <c r="G189" s="54">
        <f>++G92</f>
        <v>0</v>
      </c>
      <c r="H189" s="54">
        <f t="shared" si="647"/>
        <v>0</v>
      </c>
      <c r="I189" s="54">
        <f t="shared" si="647"/>
        <v>0</v>
      </c>
      <c r="J189" s="54">
        <f t="shared" si="647"/>
        <v>0</v>
      </c>
      <c r="K189" s="54">
        <f t="shared" ref="K189" si="662">++K92</f>
        <v>0</v>
      </c>
      <c r="L189" s="54">
        <f t="shared" si="649"/>
        <v>0</v>
      </c>
      <c r="M189" s="54">
        <f t="shared" si="650"/>
        <v>0</v>
      </c>
      <c r="N189" s="54">
        <f t="shared" si="651"/>
        <v>0</v>
      </c>
      <c r="O189" s="54">
        <f t="shared" ref="O189" si="663">++O92</f>
        <v>0</v>
      </c>
      <c r="P189" s="54">
        <f t="shared" si="653"/>
        <v>0</v>
      </c>
      <c r="Q189" s="54">
        <f t="shared" si="654"/>
        <v>0</v>
      </c>
      <c r="R189" s="54">
        <f t="shared" si="655"/>
        <v>0</v>
      </c>
      <c r="S189" s="54">
        <f t="shared" ref="S189" si="664">++S92</f>
        <v>0</v>
      </c>
      <c r="T189" s="54">
        <f t="shared" si="657"/>
        <v>0</v>
      </c>
      <c r="U189" s="54">
        <f t="shared" si="658"/>
        <v>0</v>
      </c>
      <c r="V189" s="54">
        <f t="shared" si="659"/>
        <v>0</v>
      </c>
      <c r="W189" s="54">
        <f>++W92</f>
        <v>0</v>
      </c>
      <c r="X189" s="54">
        <f t="shared" si="660"/>
        <v>0</v>
      </c>
      <c r="Y189" s="54">
        <f t="shared" si="660"/>
        <v>0</v>
      </c>
      <c r="Z189" s="54">
        <f t="shared" si="660"/>
        <v>0</v>
      </c>
      <c r="AA189" s="54">
        <f>++AA92</f>
        <v>0</v>
      </c>
      <c r="AB189" s="54">
        <f t="shared" si="661"/>
        <v>0</v>
      </c>
      <c r="AC189" s="54">
        <f t="shared" si="661"/>
        <v>0</v>
      </c>
      <c r="AD189" s="54">
        <f t="shared" si="661"/>
        <v>0</v>
      </c>
      <c r="AF189" s="182">
        <v>0</v>
      </c>
      <c r="AG189" s="182">
        <v>0</v>
      </c>
      <c r="AH189" s="182">
        <v>0</v>
      </c>
    </row>
    <row r="190" spans="3:34" x14ac:dyDescent="0.4">
      <c r="C190" s="196" t="str">
        <f>++C$93</f>
        <v>Other Capex</v>
      </c>
      <c r="G190" s="54">
        <f>++G93</f>
        <v>0</v>
      </c>
      <c r="H190" s="54">
        <f t="shared" si="647"/>
        <v>0</v>
      </c>
      <c r="I190" s="54">
        <f t="shared" si="647"/>
        <v>0</v>
      </c>
      <c r="J190" s="54">
        <f t="shared" si="647"/>
        <v>0</v>
      </c>
      <c r="K190" s="54">
        <f t="shared" ref="K190" si="665">++K93</f>
        <v>0</v>
      </c>
      <c r="L190" s="54">
        <f t="shared" si="649"/>
        <v>0</v>
      </c>
      <c r="M190" s="54">
        <f t="shared" si="650"/>
        <v>0</v>
      </c>
      <c r="N190" s="54">
        <f t="shared" si="651"/>
        <v>0</v>
      </c>
      <c r="O190" s="54">
        <f t="shared" ref="O190" si="666">++O93</f>
        <v>0</v>
      </c>
      <c r="P190" s="54">
        <f t="shared" si="653"/>
        <v>0</v>
      </c>
      <c r="Q190" s="54">
        <f t="shared" si="654"/>
        <v>0</v>
      </c>
      <c r="R190" s="54">
        <f t="shared" si="655"/>
        <v>0</v>
      </c>
      <c r="S190" s="54">
        <f t="shared" ref="S190" si="667">++S93</f>
        <v>0</v>
      </c>
      <c r="T190" s="54">
        <f t="shared" si="657"/>
        <v>0</v>
      </c>
      <c r="U190" s="54">
        <f t="shared" si="658"/>
        <v>0</v>
      </c>
      <c r="V190" s="54">
        <f t="shared" si="659"/>
        <v>0</v>
      </c>
      <c r="W190" s="54">
        <f>++W93</f>
        <v>0</v>
      </c>
      <c r="X190" s="54">
        <f t="shared" si="660"/>
        <v>0</v>
      </c>
      <c r="Y190" s="54">
        <f t="shared" si="660"/>
        <v>0</v>
      </c>
      <c r="Z190" s="54">
        <f t="shared" si="660"/>
        <v>0</v>
      </c>
      <c r="AA190" s="54">
        <f>++AA93</f>
        <v>0</v>
      </c>
      <c r="AB190" s="54">
        <f t="shared" si="661"/>
        <v>0</v>
      </c>
      <c r="AC190" s="54">
        <f t="shared" si="661"/>
        <v>0</v>
      </c>
      <c r="AD190" s="54">
        <f t="shared" si="661"/>
        <v>0</v>
      </c>
      <c r="AF190" s="182">
        <v>0</v>
      </c>
      <c r="AG190" s="182">
        <v>0</v>
      </c>
      <c r="AH190" s="182">
        <v>0</v>
      </c>
    </row>
    <row r="191" spans="3:34" x14ac:dyDescent="0.4">
      <c r="C191" s="198" t="str">
        <f>++C$94</f>
        <v>Capital Expenditures</v>
      </c>
      <c r="D191" s="2"/>
      <c r="E191" s="2"/>
      <c r="G191" s="18">
        <f>++SUM(G188:G190)</f>
        <v>0</v>
      </c>
      <c r="H191" s="18">
        <f t="shared" ref="H191" si="668">++SUM(H188:H190)</f>
        <v>0</v>
      </c>
      <c r="I191" s="18">
        <f t="shared" ref="I191" si="669">++SUM(I188:I190)</f>
        <v>0</v>
      </c>
      <c r="J191" s="18">
        <f t="shared" ref="J191:V191" si="670">++SUM(J188:J190)</f>
        <v>0</v>
      </c>
      <c r="K191" s="18">
        <f t="shared" si="670"/>
        <v>0</v>
      </c>
      <c r="L191" s="18">
        <f t="shared" si="670"/>
        <v>0</v>
      </c>
      <c r="M191" s="18">
        <f t="shared" si="670"/>
        <v>0</v>
      </c>
      <c r="N191" s="18">
        <f t="shared" si="670"/>
        <v>0</v>
      </c>
      <c r="O191" s="18">
        <f t="shared" si="670"/>
        <v>0</v>
      </c>
      <c r="P191" s="18">
        <f t="shared" si="670"/>
        <v>0</v>
      </c>
      <c r="Q191" s="18">
        <f t="shared" si="670"/>
        <v>0</v>
      </c>
      <c r="R191" s="18">
        <f t="shared" si="670"/>
        <v>0</v>
      </c>
      <c r="S191" s="18">
        <f t="shared" si="670"/>
        <v>0</v>
      </c>
      <c r="T191" s="18">
        <f t="shared" si="670"/>
        <v>0</v>
      </c>
      <c r="U191" s="18">
        <f t="shared" si="670"/>
        <v>0</v>
      </c>
      <c r="V191" s="18">
        <f t="shared" si="670"/>
        <v>0</v>
      </c>
      <c r="W191" s="18">
        <f t="shared" ref="W191" si="671">++SUM(W188:W190)</f>
        <v>0</v>
      </c>
      <c r="X191" s="18">
        <f t="shared" ref="X191" si="672">++SUM(X188:X190)</f>
        <v>0</v>
      </c>
      <c r="Y191" s="18">
        <f t="shared" ref="Y191" si="673">++SUM(Y188:Y190)</f>
        <v>0</v>
      </c>
      <c r="Z191" s="18">
        <f t="shared" ref="Z191" si="674">++SUM(Z188:Z190)</f>
        <v>0</v>
      </c>
      <c r="AA191" s="18">
        <f t="shared" ref="AA191" si="675">++SUM(AA188:AA190)</f>
        <v>0</v>
      </c>
      <c r="AB191" s="18">
        <f t="shared" ref="AB191" si="676">++SUM(AB188:AB190)</f>
        <v>0</v>
      </c>
      <c r="AC191" s="18">
        <f t="shared" ref="AC191" si="677">++SUM(AC188:AC190)</f>
        <v>0</v>
      </c>
      <c r="AD191" s="18">
        <f t="shared" ref="AD191" si="678">++SUM(AD188:AD190)</f>
        <v>0</v>
      </c>
      <c r="AF191" s="18">
        <f t="shared" ref="AF191:AH191" si="679">++SUM(AF188:AF190)</f>
        <v>0</v>
      </c>
      <c r="AG191" s="18">
        <f t="shared" si="679"/>
        <v>0</v>
      </c>
      <c r="AH191" s="18">
        <f t="shared" si="679"/>
        <v>0</v>
      </c>
    </row>
    <row r="192" spans="3:34" x14ac:dyDescent="0.4">
      <c r="C192" s="199" t="str">
        <f>++C$95</f>
        <v>% revenue</v>
      </c>
      <c r="G192" s="19">
        <f t="shared" ref="G192:AD192" si="680">++IFERROR(G191/G113,0)</f>
        <v>0</v>
      </c>
      <c r="H192" s="19">
        <f t="shared" si="680"/>
        <v>0</v>
      </c>
      <c r="I192" s="19">
        <f t="shared" si="680"/>
        <v>0</v>
      </c>
      <c r="J192" s="19">
        <f t="shared" si="680"/>
        <v>0</v>
      </c>
      <c r="K192" s="19">
        <f t="shared" ref="K192:V192" si="681">++IFERROR(K191/K113,0)</f>
        <v>0</v>
      </c>
      <c r="L192" s="19">
        <f t="shared" si="681"/>
        <v>0</v>
      </c>
      <c r="M192" s="19">
        <f t="shared" si="681"/>
        <v>0</v>
      </c>
      <c r="N192" s="19">
        <f t="shared" si="681"/>
        <v>0</v>
      </c>
      <c r="O192" s="19">
        <f t="shared" si="681"/>
        <v>0</v>
      </c>
      <c r="P192" s="19">
        <f t="shared" si="681"/>
        <v>0</v>
      </c>
      <c r="Q192" s="19">
        <f t="shared" si="681"/>
        <v>0</v>
      </c>
      <c r="R192" s="19">
        <f t="shared" si="681"/>
        <v>0</v>
      </c>
      <c r="S192" s="19">
        <f t="shared" si="681"/>
        <v>0</v>
      </c>
      <c r="T192" s="19">
        <f t="shared" si="681"/>
        <v>0</v>
      </c>
      <c r="U192" s="19">
        <f t="shared" si="681"/>
        <v>0</v>
      </c>
      <c r="V192" s="19">
        <f t="shared" si="681"/>
        <v>0</v>
      </c>
      <c r="W192" s="19">
        <f t="shared" si="680"/>
        <v>0</v>
      </c>
      <c r="X192" s="19">
        <f t="shared" si="680"/>
        <v>0</v>
      </c>
      <c r="Y192" s="19">
        <f t="shared" si="680"/>
        <v>0</v>
      </c>
      <c r="Z192" s="19">
        <f t="shared" si="680"/>
        <v>0</v>
      </c>
      <c r="AA192" s="19">
        <f t="shared" si="680"/>
        <v>0</v>
      </c>
      <c r="AB192" s="19">
        <f t="shared" si="680"/>
        <v>0</v>
      </c>
      <c r="AC192" s="19">
        <f t="shared" si="680"/>
        <v>0</v>
      </c>
      <c r="AD192" s="19">
        <f t="shared" si="680"/>
        <v>0</v>
      </c>
      <c r="AF192" s="19">
        <f t="shared" ref="AF192:AH192" si="682">++IFERROR(AF191/AF113,0)</f>
        <v>0</v>
      </c>
      <c r="AG192" s="19">
        <f t="shared" si="682"/>
        <v>0</v>
      </c>
      <c r="AH192" s="19">
        <f t="shared" si="682"/>
        <v>0</v>
      </c>
    </row>
    <row r="193" spans="1:34" x14ac:dyDescent="0.4">
      <c r="C193" s="196"/>
    </row>
    <row r="194" spans="1:34" x14ac:dyDescent="0.4">
      <c r="C194" s="196" t="str">
        <f>++C$97</f>
        <v>Cash Flow from Operations</v>
      </c>
      <c r="G194" s="54">
        <f>++G97</f>
        <v>0</v>
      </c>
      <c r="H194" s="54">
        <f t="shared" ref="H194:J196" si="683">++H97+G194</f>
        <v>0</v>
      </c>
      <c r="I194" s="54">
        <f t="shared" si="683"/>
        <v>0</v>
      </c>
      <c r="J194" s="54">
        <f t="shared" si="683"/>
        <v>0</v>
      </c>
      <c r="K194" s="54">
        <f t="shared" ref="K194" si="684">++K97</f>
        <v>0</v>
      </c>
      <c r="L194" s="54">
        <f t="shared" ref="L194:L196" si="685">++L97+K194</f>
        <v>0</v>
      </c>
      <c r="M194" s="54">
        <f t="shared" ref="M194:M196" si="686">++M97+L194</f>
        <v>0</v>
      </c>
      <c r="N194" s="54">
        <f t="shared" ref="N194:N196" si="687">++N97+M194</f>
        <v>0</v>
      </c>
      <c r="O194" s="54">
        <f t="shared" ref="O194" si="688">++O97</f>
        <v>0</v>
      </c>
      <c r="P194" s="54">
        <f t="shared" ref="P194:P196" si="689">++P97+O194</f>
        <v>0</v>
      </c>
      <c r="Q194" s="54">
        <f t="shared" ref="Q194:Q196" si="690">++Q97+P194</f>
        <v>0</v>
      </c>
      <c r="R194" s="54">
        <f t="shared" ref="R194:R196" si="691">++R97+Q194</f>
        <v>0</v>
      </c>
      <c r="S194" s="54">
        <f t="shared" ref="S194" si="692">++S97</f>
        <v>0</v>
      </c>
      <c r="T194" s="54">
        <f t="shared" ref="T194:T196" si="693">++T97+S194</f>
        <v>0</v>
      </c>
      <c r="U194" s="54">
        <f t="shared" ref="U194:U196" si="694">++U97+T194</f>
        <v>0</v>
      </c>
      <c r="V194" s="54">
        <f t="shared" ref="V194:V196" si="695">++V97+U194</f>
        <v>0</v>
      </c>
      <c r="W194" s="54">
        <f>++W97</f>
        <v>0</v>
      </c>
      <c r="X194" s="54">
        <f t="shared" ref="X194:Z196" si="696">++X97+W194</f>
        <v>0</v>
      </c>
      <c r="Y194" s="54">
        <f t="shared" si="696"/>
        <v>0</v>
      </c>
      <c r="Z194" s="54">
        <f t="shared" si="696"/>
        <v>0</v>
      </c>
      <c r="AA194" s="54">
        <f>++AA97</f>
        <v>0</v>
      </c>
      <c r="AB194" s="54">
        <f t="shared" ref="AB194:AD196" si="697">++AB97+AA194</f>
        <v>0</v>
      </c>
      <c r="AC194" s="54">
        <f t="shared" si="697"/>
        <v>0</v>
      </c>
      <c r="AD194" s="54">
        <f t="shared" si="697"/>
        <v>0</v>
      </c>
      <c r="AF194" s="182">
        <v>0</v>
      </c>
      <c r="AG194" s="182">
        <v>0</v>
      </c>
      <c r="AH194" s="182">
        <v>0</v>
      </c>
    </row>
    <row r="195" spans="1:34" x14ac:dyDescent="0.4">
      <c r="C195" s="196" t="str">
        <f>++C$98</f>
        <v>( + ) Cash Tax Expense (Benefit)</v>
      </c>
      <c r="G195" s="54">
        <f>++G98</f>
        <v>0</v>
      </c>
      <c r="H195" s="54">
        <f t="shared" si="683"/>
        <v>0</v>
      </c>
      <c r="I195" s="54">
        <f t="shared" si="683"/>
        <v>0</v>
      </c>
      <c r="J195" s="54">
        <f t="shared" si="683"/>
        <v>0</v>
      </c>
      <c r="K195" s="54">
        <f t="shared" ref="K195" si="698">++K98</f>
        <v>0</v>
      </c>
      <c r="L195" s="54">
        <f t="shared" si="685"/>
        <v>0</v>
      </c>
      <c r="M195" s="54">
        <f t="shared" si="686"/>
        <v>0</v>
      </c>
      <c r="N195" s="54">
        <f t="shared" si="687"/>
        <v>0</v>
      </c>
      <c r="O195" s="54">
        <f t="shared" ref="O195" si="699">++O98</f>
        <v>0</v>
      </c>
      <c r="P195" s="54">
        <f t="shared" si="689"/>
        <v>0</v>
      </c>
      <c r="Q195" s="54">
        <f t="shared" si="690"/>
        <v>0</v>
      </c>
      <c r="R195" s="54">
        <f t="shared" si="691"/>
        <v>0</v>
      </c>
      <c r="S195" s="54">
        <f t="shared" ref="S195" si="700">++S98</f>
        <v>0</v>
      </c>
      <c r="T195" s="54">
        <f t="shared" si="693"/>
        <v>0</v>
      </c>
      <c r="U195" s="54">
        <f t="shared" si="694"/>
        <v>0</v>
      </c>
      <c r="V195" s="54">
        <f t="shared" si="695"/>
        <v>0</v>
      </c>
      <c r="W195" s="54">
        <f>++W98</f>
        <v>0</v>
      </c>
      <c r="X195" s="54">
        <f t="shared" si="696"/>
        <v>0</v>
      </c>
      <c r="Y195" s="54">
        <f t="shared" si="696"/>
        <v>0</v>
      </c>
      <c r="Z195" s="54">
        <f t="shared" si="696"/>
        <v>0</v>
      </c>
      <c r="AA195" s="54">
        <f>++AA98</f>
        <v>0</v>
      </c>
      <c r="AB195" s="54">
        <f t="shared" si="697"/>
        <v>0</v>
      </c>
      <c r="AC195" s="54">
        <f t="shared" si="697"/>
        <v>0</v>
      </c>
      <c r="AD195" s="54">
        <f t="shared" si="697"/>
        <v>0</v>
      </c>
      <c r="AF195" s="182">
        <v>0</v>
      </c>
      <c r="AG195" s="182">
        <v>0</v>
      </c>
      <c r="AH195" s="182">
        <v>0</v>
      </c>
    </row>
    <row r="196" spans="1:34" x14ac:dyDescent="0.4">
      <c r="C196" s="196" t="str">
        <f>++C$99</f>
        <v>( + ) Cash Interest Expense (Income)</v>
      </c>
      <c r="G196" s="54">
        <f>++G99</f>
        <v>0</v>
      </c>
      <c r="H196" s="54">
        <f t="shared" si="683"/>
        <v>0</v>
      </c>
      <c r="I196" s="54">
        <f t="shared" si="683"/>
        <v>0</v>
      </c>
      <c r="J196" s="54">
        <f t="shared" si="683"/>
        <v>0</v>
      </c>
      <c r="K196" s="54">
        <f t="shared" ref="K196" si="701">++K99</f>
        <v>0</v>
      </c>
      <c r="L196" s="54">
        <f t="shared" si="685"/>
        <v>0</v>
      </c>
      <c r="M196" s="54">
        <f t="shared" si="686"/>
        <v>0</v>
      </c>
      <c r="N196" s="54">
        <f t="shared" si="687"/>
        <v>0</v>
      </c>
      <c r="O196" s="54">
        <f t="shared" ref="O196" si="702">++O99</f>
        <v>0</v>
      </c>
      <c r="P196" s="54">
        <f t="shared" si="689"/>
        <v>0</v>
      </c>
      <c r="Q196" s="54">
        <f t="shared" si="690"/>
        <v>0</v>
      </c>
      <c r="R196" s="54">
        <f t="shared" si="691"/>
        <v>0</v>
      </c>
      <c r="S196" s="54">
        <f t="shared" ref="S196" si="703">++S99</f>
        <v>0</v>
      </c>
      <c r="T196" s="54">
        <f t="shared" si="693"/>
        <v>0</v>
      </c>
      <c r="U196" s="54">
        <f t="shared" si="694"/>
        <v>0</v>
      </c>
      <c r="V196" s="54">
        <f t="shared" si="695"/>
        <v>0</v>
      </c>
      <c r="W196" s="54">
        <f>++W99</f>
        <v>0</v>
      </c>
      <c r="X196" s="54">
        <f t="shared" si="696"/>
        <v>0</v>
      </c>
      <c r="Y196" s="54">
        <f t="shared" si="696"/>
        <v>0</v>
      </c>
      <c r="Z196" s="54">
        <f t="shared" si="696"/>
        <v>0</v>
      </c>
      <c r="AA196" s="54">
        <f>++AA99</f>
        <v>0</v>
      </c>
      <c r="AB196" s="54">
        <f t="shared" si="697"/>
        <v>0</v>
      </c>
      <c r="AC196" s="54">
        <f t="shared" si="697"/>
        <v>0</v>
      </c>
      <c r="AD196" s="54">
        <f t="shared" si="697"/>
        <v>0</v>
      </c>
      <c r="AF196" s="182">
        <v>0</v>
      </c>
      <c r="AG196" s="182">
        <v>0</v>
      </c>
      <c r="AH196" s="182">
        <v>0</v>
      </c>
    </row>
    <row r="197" spans="1:34" x14ac:dyDescent="0.4">
      <c r="C197" s="196" t="str">
        <f>++C$100</f>
        <v>( – ) Capital Expenditures</v>
      </c>
      <c r="G197" s="17">
        <f>++-G191</f>
        <v>0</v>
      </c>
      <c r="H197" s="17">
        <f t="shared" ref="H197:AD197" si="704">++-H191</f>
        <v>0</v>
      </c>
      <c r="I197" s="17">
        <f t="shared" si="704"/>
        <v>0</v>
      </c>
      <c r="J197" s="17">
        <f t="shared" si="704"/>
        <v>0</v>
      </c>
      <c r="K197" s="17">
        <f t="shared" ref="K197:V197" si="705">++-K191</f>
        <v>0</v>
      </c>
      <c r="L197" s="17">
        <f t="shared" si="705"/>
        <v>0</v>
      </c>
      <c r="M197" s="17">
        <f t="shared" si="705"/>
        <v>0</v>
      </c>
      <c r="N197" s="17">
        <f t="shared" si="705"/>
        <v>0</v>
      </c>
      <c r="O197" s="17">
        <f t="shared" si="705"/>
        <v>0</v>
      </c>
      <c r="P197" s="17">
        <f t="shared" si="705"/>
        <v>0</v>
      </c>
      <c r="Q197" s="17">
        <f t="shared" si="705"/>
        <v>0</v>
      </c>
      <c r="R197" s="17">
        <f t="shared" si="705"/>
        <v>0</v>
      </c>
      <c r="S197" s="17">
        <f t="shared" si="705"/>
        <v>0</v>
      </c>
      <c r="T197" s="17">
        <f t="shared" si="705"/>
        <v>0</v>
      </c>
      <c r="U197" s="17">
        <f t="shared" si="705"/>
        <v>0</v>
      </c>
      <c r="V197" s="17">
        <f t="shared" si="705"/>
        <v>0</v>
      </c>
      <c r="W197" s="17">
        <f t="shared" si="704"/>
        <v>0</v>
      </c>
      <c r="X197" s="17">
        <f t="shared" si="704"/>
        <v>0</v>
      </c>
      <c r="Y197" s="17">
        <f t="shared" si="704"/>
        <v>0</v>
      </c>
      <c r="Z197" s="17">
        <f t="shared" si="704"/>
        <v>0</v>
      </c>
      <c r="AA197" s="17">
        <f t="shared" si="704"/>
        <v>0</v>
      </c>
      <c r="AB197" s="17">
        <f t="shared" si="704"/>
        <v>0</v>
      </c>
      <c r="AC197" s="17">
        <f t="shared" si="704"/>
        <v>0</v>
      </c>
      <c r="AD197" s="17">
        <f t="shared" si="704"/>
        <v>0</v>
      </c>
      <c r="AF197" s="17">
        <f t="shared" ref="AF197:AH197" si="706">++-AF191</f>
        <v>0</v>
      </c>
      <c r="AG197" s="17">
        <f t="shared" si="706"/>
        <v>0</v>
      </c>
      <c r="AH197" s="17">
        <f t="shared" si="706"/>
        <v>0</v>
      </c>
    </row>
    <row r="198" spans="1:34" x14ac:dyDescent="0.4">
      <c r="C198" s="198" t="str">
        <f>++C$101</f>
        <v>Unlevered FCF</v>
      </c>
      <c r="D198" s="2"/>
      <c r="E198" s="2"/>
      <c r="G198" s="18">
        <f>++SUM(G194:G197)</f>
        <v>0</v>
      </c>
      <c r="H198" s="18">
        <f t="shared" ref="H198" si="707">++SUM(H194:H197)</f>
        <v>0</v>
      </c>
      <c r="I198" s="18">
        <f t="shared" ref="I198" si="708">++SUM(I194:I197)</f>
        <v>0</v>
      </c>
      <c r="J198" s="18">
        <f t="shared" ref="J198:V198" si="709">++SUM(J194:J197)</f>
        <v>0</v>
      </c>
      <c r="K198" s="18">
        <f t="shared" si="709"/>
        <v>0</v>
      </c>
      <c r="L198" s="18">
        <f t="shared" si="709"/>
        <v>0</v>
      </c>
      <c r="M198" s="18">
        <f t="shared" si="709"/>
        <v>0</v>
      </c>
      <c r="N198" s="18">
        <f t="shared" si="709"/>
        <v>0</v>
      </c>
      <c r="O198" s="18">
        <f t="shared" si="709"/>
        <v>0</v>
      </c>
      <c r="P198" s="18">
        <f t="shared" si="709"/>
        <v>0</v>
      </c>
      <c r="Q198" s="18">
        <f t="shared" si="709"/>
        <v>0</v>
      </c>
      <c r="R198" s="18">
        <f t="shared" si="709"/>
        <v>0</v>
      </c>
      <c r="S198" s="18">
        <f t="shared" si="709"/>
        <v>0</v>
      </c>
      <c r="T198" s="18">
        <f t="shared" si="709"/>
        <v>0</v>
      </c>
      <c r="U198" s="18">
        <f t="shared" si="709"/>
        <v>0</v>
      </c>
      <c r="V198" s="18">
        <f t="shared" si="709"/>
        <v>0</v>
      </c>
      <c r="W198" s="18">
        <f t="shared" ref="W198" si="710">++SUM(W194:W197)</f>
        <v>0</v>
      </c>
      <c r="X198" s="18">
        <f t="shared" ref="X198" si="711">++SUM(X194:X197)</f>
        <v>0</v>
      </c>
      <c r="Y198" s="18">
        <f t="shared" ref="Y198" si="712">++SUM(Y194:Y197)</f>
        <v>0</v>
      </c>
      <c r="Z198" s="18">
        <f t="shared" ref="Z198" si="713">++SUM(Z194:Z197)</f>
        <v>0</v>
      </c>
      <c r="AA198" s="18">
        <f t="shared" ref="AA198" si="714">++SUM(AA194:AA197)</f>
        <v>0</v>
      </c>
      <c r="AB198" s="18">
        <f t="shared" ref="AB198" si="715">++SUM(AB194:AB197)</f>
        <v>0</v>
      </c>
      <c r="AC198" s="18">
        <f t="shared" ref="AC198" si="716">++SUM(AC194:AC197)</f>
        <v>0</v>
      </c>
      <c r="AD198" s="18">
        <f t="shared" ref="AD198" si="717">++SUM(AD194:AD197)</f>
        <v>0</v>
      </c>
      <c r="AF198" s="18">
        <f t="shared" ref="AF198:AH198" si="718">++SUM(AF194:AF197)</f>
        <v>0</v>
      </c>
      <c r="AG198" s="18">
        <f t="shared" si="718"/>
        <v>0</v>
      </c>
      <c r="AH198" s="18">
        <f t="shared" si="718"/>
        <v>0</v>
      </c>
    </row>
    <row r="199" spans="1:34" x14ac:dyDescent="0.4">
      <c r="C199" s="199" t="str">
        <f>++C$102</f>
        <v>% revenue</v>
      </c>
      <c r="G199" s="19">
        <f t="shared" ref="G199:AD199" si="719">++IFERROR(G198/G113,0)</f>
        <v>0</v>
      </c>
      <c r="H199" s="19">
        <f t="shared" si="719"/>
        <v>0</v>
      </c>
      <c r="I199" s="19">
        <f t="shared" si="719"/>
        <v>0</v>
      </c>
      <c r="J199" s="19">
        <f t="shared" si="719"/>
        <v>0</v>
      </c>
      <c r="K199" s="19">
        <f t="shared" ref="K199:V199" si="720">++IFERROR(K198/K113,0)</f>
        <v>0</v>
      </c>
      <c r="L199" s="19">
        <f t="shared" si="720"/>
        <v>0</v>
      </c>
      <c r="M199" s="19">
        <f t="shared" si="720"/>
        <v>0</v>
      </c>
      <c r="N199" s="19">
        <f t="shared" si="720"/>
        <v>0</v>
      </c>
      <c r="O199" s="19">
        <f t="shared" si="720"/>
        <v>0</v>
      </c>
      <c r="P199" s="19">
        <f t="shared" si="720"/>
        <v>0</v>
      </c>
      <c r="Q199" s="19">
        <f t="shared" si="720"/>
        <v>0</v>
      </c>
      <c r="R199" s="19">
        <f t="shared" si="720"/>
        <v>0</v>
      </c>
      <c r="S199" s="19">
        <f t="shared" si="720"/>
        <v>0</v>
      </c>
      <c r="T199" s="19">
        <f t="shared" si="720"/>
        <v>0</v>
      </c>
      <c r="U199" s="19">
        <f t="shared" si="720"/>
        <v>0</v>
      </c>
      <c r="V199" s="19">
        <f t="shared" si="720"/>
        <v>0</v>
      </c>
      <c r="W199" s="19">
        <f t="shared" si="719"/>
        <v>0</v>
      </c>
      <c r="X199" s="19">
        <f t="shared" si="719"/>
        <v>0</v>
      </c>
      <c r="Y199" s="19">
        <f t="shared" si="719"/>
        <v>0</v>
      </c>
      <c r="Z199" s="19">
        <f t="shared" si="719"/>
        <v>0</v>
      </c>
      <c r="AA199" s="19">
        <f t="shared" si="719"/>
        <v>0</v>
      </c>
      <c r="AB199" s="19">
        <f t="shared" si="719"/>
        <v>0</v>
      </c>
      <c r="AC199" s="19">
        <f t="shared" si="719"/>
        <v>0</v>
      </c>
      <c r="AD199" s="19">
        <f t="shared" si="719"/>
        <v>0</v>
      </c>
      <c r="AF199" s="19">
        <f t="shared" ref="AF199:AH199" si="721">++IFERROR(AF198/AF113,0)</f>
        <v>0</v>
      </c>
      <c r="AG199" s="19">
        <f t="shared" si="721"/>
        <v>0</v>
      </c>
      <c r="AH199" s="19">
        <f t="shared" si="721"/>
        <v>0</v>
      </c>
    </row>
    <row r="200" spans="1:34" x14ac:dyDescent="0.4">
      <c r="C200" s="196"/>
    </row>
    <row r="201" spans="1:34" x14ac:dyDescent="0.4">
      <c r="C201" s="196"/>
    </row>
    <row r="202" spans="1:34" x14ac:dyDescent="0.4">
      <c r="A202" s="12"/>
      <c r="B202" s="12" t="s">
        <v>8</v>
      </c>
      <c r="C202" s="194" t="s">
        <v>184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5.0999999999999996" customHeight="1" x14ac:dyDescent="0.4">
      <c r="C203" s="196"/>
    </row>
    <row r="204" spans="1:34" x14ac:dyDescent="0.4">
      <c r="C204" s="196" t="str">
        <f>++C$10</f>
        <v>[Segment]</v>
      </c>
      <c r="G204" s="183"/>
      <c r="H204" s="183"/>
      <c r="I204" s="183"/>
      <c r="J204" s="52">
        <f t="shared" ref="J204:AA209" si="722">++SUM(G10:J10)</f>
        <v>0</v>
      </c>
      <c r="K204" s="52">
        <f t="shared" ref="K204:K209" si="723">++SUM(H10:K10)</f>
        <v>0</v>
      </c>
      <c r="L204" s="52">
        <f t="shared" ref="L204:L209" si="724">++SUM(I10:L10)</f>
        <v>0</v>
      </c>
      <c r="M204" s="52">
        <f t="shared" ref="M204:M209" si="725">++SUM(J10:M10)</f>
        <v>0</v>
      </c>
      <c r="N204" s="52">
        <f t="shared" ref="N204:N209" si="726">++SUM(K10:N10)</f>
        <v>0</v>
      </c>
      <c r="O204" s="52">
        <f t="shared" ref="O204:O209" si="727">++SUM(L10:O10)</f>
        <v>0</v>
      </c>
      <c r="P204" s="52">
        <f t="shared" ref="P204:P209" si="728">++SUM(M10:P10)</f>
        <v>0</v>
      </c>
      <c r="Q204" s="52">
        <f t="shared" ref="Q204:Q209" si="729">++SUM(N10:Q10)</f>
        <v>0</v>
      </c>
      <c r="R204" s="52">
        <f t="shared" ref="R204:R209" si="730">++SUM(O10:R10)</f>
        <v>0</v>
      </c>
      <c r="S204" s="52">
        <f t="shared" ref="S204:S209" si="731">++SUM(P10:S10)</f>
        <v>0</v>
      </c>
      <c r="T204" s="52">
        <f t="shared" ref="T204:T209" si="732">++SUM(Q10:T10)</f>
        <v>0</v>
      </c>
      <c r="U204" s="52">
        <f t="shared" ref="U204:U209" si="733">++SUM(R10:U10)</f>
        <v>0</v>
      </c>
      <c r="V204" s="52">
        <f t="shared" ref="V204:V209" si="734">++SUM(S10:V10)</f>
        <v>0</v>
      </c>
      <c r="W204" s="52">
        <f t="shared" si="722"/>
        <v>0</v>
      </c>
      <c r="X204" s="52">
        <f t="shared" si="722"/>
        <v>0</v>
      </c>
      <c r="Y204" s="52">
        <f t="shared" si="722"/>
        <v>0</v>
      </c>
      <c r="Z204" s="52">
        <f t="shared" si="722"/>
        <v>0</v>
      </c>
      <c r="AA204" s="52">
        <f t="shared" si="722"/>
        <v>0</v>
      </c>
      <c r="AB204" s="52">
        <f t="shared" ref="AB204:AD209" si="735">++SUM(Y10:AB10)</f>
        <v>0</v>
      </c>
      <c r="AC204" s="52">
        <f t="shared" si="735"/>
        <v>0</v>
      </c>
      <c r="AD204" s="52">
        <f t="shared" si="735"/>
        <v>0</v>
      </c>
      <c r="AF204" s="183"/>
      <c r="AG204" s="52">
        <f>++AG107+V204-AF107</f>
        <v>0</v>
      </c>
      <c r="AH204" s="52">
        <f>++AH107+Z204-AG107</f>
        <v>0</v>
      </c>
    </row>
    <row r="205" spans="1:34" x14ac:dyDescent="0.4">
      <c r="C205" s="196" t="str">
        <f>++C$11</f>
        <v>[Segment]</v>
      </c>
      <c r="G205" s="184"/>
      <c r="H205" s="184"/>
      <c r="I205" s="184"/>
      <c r="J205" s="54">
        <f t="shared" si="722"/>
        <v>0</v>
      </c>
      <c r="K205" s="54">
        <f t="shared" si="723"/>
        <v>0</v>
      </c>
      <c r="L205" s="54">
        <f t="shared" si="724"/>
        <v>0</v>
      </c>
      <c r="M205" s="54">
        <f t="shared" si="725"/>
        <v>0</v>
      </c>
      <c r="N205" s="54">
        <f t="shared" si="726"/>
        <v>0</v>
      </c>
      <c r="O205" s="54">
        <f t="shared" si="727"/>
        <v>0</v>
      </c>
      <c r="P205" s="54">
        <f t="shared" si="728"/>
        <v>0</v>
      </c>
      <c r="Q205" s="54">
        <f t="shared" si="729"/>
        <v>0</v>
      </c>
      <c r="R205" s="54">
        <f t="shared" si="730"/>
        <v>0</v>
      </c>
      <c r="S205" s="54">
        <f t="shared" si="731"/>
        <v>0</v>
      </c>
      <c r="T205" s="54">
        <f t="shared" si="732"/>
        <v>0</v>
      </c>
      <c r="U205" s="54">
        <f t="shared" si="733"/>
        <v>0</v>
      </c>
      <c r="V205" s="54">
        <f t="shared" si="734"/>
        <v>0</v>
      </c>
      <c r="W205" s="54">
        <f t="shared" si="722"/>
        <v>0</v>
      </c>
      <c r="X205" s="54">
        <f t="shared" si="722"/>
        <v>0</v>
      </c>
      <c r="Y205" s="54">
        <f t="shared" si="722"/>
        <v>0</v>
      </c>
      <c r="Z205" s="54">
        <f t="shared" si="722"/>
        <v>0</v>
      </c>
      <c r="AA205" s="54">
        <f t="shared" si="722"/>
        <v>0</v>
      </c>
      <c r="AB205" s="54">
        <f t="shared" si="735"/>
        <v>0</v>
      </c>
      <c r="AC205" s="54">
        <f t="shared" si="735"/>
        <v>0</v>
      </c>
      <c r="AD205" s="54">
        <f t="shared" si="735"/>
        <v>0</v>
      </c>
      <c r="AF205" s="184"/>
      <c r="AG205" s="54">
        <f t="shared" ref="AG205:AG209" si="736">++AG108+V205-AF108</f>
        <v>0</v>
      </c>
      <c r="AH205" s="54">
        <f t="shared" ref="AH205:AH209" si="737">++AH108+Z205-AG108</f>
        <v>0</v>
      </c>
    </row>
    <row r="206" spans="1:34" x14ac:dyDescent="0.4">
      <c r="C206" s="196" t="str">
        <f>++C$12</f>
        <v>[Segment]</v>
      </c>
      <c r="G206" s="184"/>
      <c r="H206" s="184"/>
      <c r="I206" s="184"/>
      <c r="J206" s="54">
        <f t="shared" si="722"/>
        <v>0</v>
      </c>
      <c r="K206" s="54">
        <f t="shared" si="723"/>
        <v>0</v>
      </c>
      <c r="L206" s="54">
        <f t="shared" si="724"/>
        <v>0</v>
      </c>
      <c r="M206" s="54">
        <f t="shared" si="725"/>
        <v>0</v>
      </c>
      <c r="N206" s="54">
        <f t="shared" si="726"/>
        <v>0</v>
      </c>
      <c r="O206" s="54">
        <f t="shared" si="727"/>
        <v>0</v>
      </c>
      <c r="P206" s="54">
        <f t="shared" si="728"/>
        <v>0</v>
      </c>
      <c r="Q206" s="54">
        <f t="shared" si="729"/>
        <v>0</v>
      </c>
      <c r="R206" s="54">
        <f t="shared" si="730"/>
        <v>0</v>
      </c>
      <c r="S206" s="54">
        <f t="shared" si="731"/>
        <v>0</v>
      </c>
      <c r="T206" s="54">
        <f t="shared" si="732"/>
        <v>0</v>
      </c>
      <c r="U206" s="54">
        <f t="shared" si="733"/>
        <v>0</v>
      </c>
      <c r="V206" s="54">
        <f t="shared" si="734"/>
        <v>0</v>
      </c>
      <c r="W206" s="54">
        <f t="shared" si="722"/>
        <v>0</v>
      </c>
      <c r="X206" s="54">
        <f t="shared" si="722"/>
        <v>0</v>
      </c>
      <c r="Y206" s="54">
        <f t="shared" si="722"/>
        <v>0</v>
      </c>
      <c r="Z206" s="54">
        <f t="shared" si="722"/>
        <v>0</v>
      </c>
      <c r="AA206" s="54">
        <f t="shared" si="722"/>
        <v>0</v>
      </c>
      <c r="AB206" s="54">
        <f t="shared" si="735"/>
        <v>0</v>
      </c>
      <c r="AC206" s="54">
        <f t="shared" si="735"/>
        <v>0</v>
      </c>
      <c r="AD206" s="54">
        <f t="shared" si="735"/>
        <v>0</v>
      </c>
      <c r="AF206" s="184"/>
      <c r="AG206" s="54">
        <f t="shared" si="736"/>
        <v>0</v>
      </c>
      <c r="AH206" s="54">
        <f t="shared" si="737"/>
        <v>0</v>
      </c>
    </row>
    <row r="207" spans="1:34" x14ac:dyDescent="0.4">
      <c r="C207" s="196" t="str">
        <f>++C$13</f>
        <v>[Segment]</v>
      </c>
      <c r="G207" s="184"/>
      <c r="H207" s="184"/>
      <c r="I207" s="184"/>
      <c r="J207" s="54">
        <f t="shared" si="722"/>
        <v>0</v>
      </c>
      <c r="K207" s="54">
        <f t="shared" si="723"/>
        <v>0</v>
      </c>
      <c r="L207" s="54">
        <f t="shared" si="724"/>
        <v>0</v>
      </c>
      <c r="M207" s="54">
        <f t="shared" si="725"/>
        <v>0</v>
      </c>
      <c r="N207" s="54">
        <f t="shared" si="726"/>
        <v>0</v>
      </c>
      <c r="O207" s="54">
        <f t="shared" si="727"/>
        <v>0</v>
      </c>
      <c r="P207" s="54">
        <f t="shared" si="728"/>
        <v>0</v>
      </c>
      <c r="Q207" s="54">
        <f t="shared" si="729"/>
        <v>0</v>
      </c>
      <c r="R207" s="54">
        <f t="shared" si="730"/>
        <v>0</v>
      </c>
      <c r="S207" s="54">
        <f t="shared" si="731"/>
        <v>0</v>
      </c>
      <c r="T207" s="54">
        <f t="shared" si="732"/>
        <v>0</v>
      </c>
      <c r="U207" s="54">
        <f t="shared" si="733"/>
        <v>0</v>
      </c>
      <c r="V207" s="54">
        <f t="shared" si="734"/>
        <v>0</v>
      </c>
      <c r="W207" s="54">
        <f t="shared" si="722"/>
        <v>0</v>
      </c>
      <c r="X207" s="54">
        <f t="shared" si="722"/>
        <v>0</v>
      </c>
      <c r="Y207" s="54">
        <f t="shared" si="722"/>
        <v>0</v>
      </c>
      <c r="Z207" s="54">
        <f t="shared" si="722"/>
        <v>0</v>
      </c>
      <c r="AA207" s="54">
        <f t="shared" si="722"/>
        <v>0</v>
      </c>
      <c r="AB207" s="54">
        <f t="shared" si="735"/>
        <v>0</v>
      </c>
      <c r="AC207" s="54">
        <f t="shared" si="735"/>
        <v>0</v>
      </c>
      <c r="AD207" s="54">
        <f t="shared" si="735"/>
        <v>0</v>
      </c>
      <c r="AF207" s="184"/>
      <c r="AG207" s="54">
        <f t="shared" si="736"/>
        <v>0</v>
      </c>
      <c r="AH207" s="54">
        <f t="shared" si="737"/>
        <v>0</v>
      </c>
    </row>
    <row r="208" spans="1:34" x14ac:dyDescent="0.4">
      <c r="C208" s="196" t="str">
        <f>++C$14</f>
        <v>[Segment]</v>
      </c>
      <c r="G208" s="184"/>
      <c r="H208" s="184"/>
      <c r="I208" s="184"/>
      <c r="J208" s="54">
        <f t="shared" si="722"/>
        <v>0</v>
      </c>
      <c r="K208" s="54">
        <f t="shared" si="723"/>
        <v>0</v>
      </c>
      <c r="L208" s="54">
        <f t="shared" si="724"/>
        <v>0</v>
      </c>
      <c r="M208" s="54">
        <f t="shared" si="725"/>
        <v>0</v>
      </c>
      <c r="N208" s="54">
        <f t="shared" si="726"/>
        <v>0</v>
      </c>
      <c r="O208" s="54">
        <f t="shared" si="727"/>
        <v>0</v>
      </c>
      <c r="P208" s="54">
        <f t="shared" si="728"/>
        <v>0</v>
      </c>
      <c r="Q208" s="54">
        <f t="shared" si="729"/>
        <v>0</v>
      </c>
      <c r="R208" s="54">
        <f t="shared" si="730"/>
        <v>0</v>
      </c>
      <c r="S208" s="54">
        <f t="shared" si="731"/>
        <v>0</v>
      </c>
      <c r="T208" s="54">
        <f t="shared" si="732"/>
        <v>0</v>
      </c>
      <c r="U208" s="54">
        <f t="shared" si="733"/>
        <v>0</v>
      </c>
      <c r="V208" s="54">
        <f t="shared" si="734"/>
        <v>0</v>
      </c>
      <c r="W208" s="54">
        <f t="shared" si="722"/>
        <v>0</v>
      </c>
      <c r="X208" s="54">
        <f t="shared" si="722"/>
        <v>0</v>
      </c>
      <c r="Y208" s="54">
        <f t="shared" si="722"/>
        <v>0</v>
      </c>
      <c r="Z208" s="54">
        <f t="shared" si="722"/>
        <v>0</v>
      </c>
      <c r="AA208" s="54">
        <f t="shared" si="722"/>
        <v>0</v>
      </c>
      <c r="AB208" s="54">
        <f t="shared" si="735"/>
        <v>0</v>
      </c>
      <c r="AC208" s="54">
        <f t="shared" si="735"/>
        <v>0</v>
      </c>
      <c r="AD208" s="54">
        <f t="shared" si="735"/>
        <v>0</v>
      </c>
      <c r="AF208" s="184"/>
      <c r="AG208" s="54">
        <f t="shared" si="736"/>
        <v>0</v>
      </c>
      <c r="AH208" s="54">
        <f t="shared" si="737"/>
        <v>0</v>
      </c>
    </row>
    <row r="209" spans="3:34" x14ac:dyDescent="0.4">
      <c r="C209" s="196" t="str">
        <f>++C$15</f>
        <v>Other</v>
      </c>
      <c r="G209" s="184"/>
      <c r="H209" s="184"/>
      <c r="I209" s="184"/>
      <c r="J209" s="54">
        <f t="shared" si="722"/>
        <v>0</v>
      </c>
      <c r="K209" s="54">
        <f t="shared" si="723"/>
        <v>0</v>
      </c>
      <c r="L209" s="54">
        <f t="shared" si="724"/>
        <v>0</v>
      </c>
      <c r="M209" s="54">
        <f t="shared" si="725"/>
        <v>0</v>
      </c>
      <c r="N209" s="54">
        <f t="shared" si="726"/>
        <v>0</v>
      </c>
      <c r="O209" s="54">
        <f t="shared" si="727"/>
        <v>0</v>
      </c>
      <c r="P209" s="54">
        <f t="shared" si="728"/>
        <v>0</v>
      </c>
      <c r="Q209" s="54">
        <f t="shared" si="729"/>
        <v>0</v>
      </c>
      <c r="R209" s="54">
        <f t="shared" si="730"/>
        <v>0</v>
      </c>
      <c r="S209" s="54">
        <f t="shared" si="731"/>
        <v>0</v>
      </c>
      <c r="T209" s="54">
        <f t="shared" si="732"/>
        <v>0</v>
      </c>
      <c r="U209" s="54">
        <f t="shared" si="733"/>
        <v>0</v>
      </c>
      <c r="V209" s="54">
        <f t="shared" si="734"/>
        <v>0</v>
      </c>
      <c r="W209" s="54">
        <f t="shared" si="722"/>
        <v>0</v>
      </c>
      <c r="X209" s="54">
        <f t="shared" si="722"/>
        <v>0</v>
      </c>
      <c r="Y209" s="54">
        <f t="shared" si="722"/>
        <v>0</v>
      </c>
      <c r="Z209" s="54">
        <f t="shared" si="722"/>
        <v>0</v>
      </c>
      <c r="AA209" s="54">
        <f t="shared" si="722"/>
        <v>0</v>
      </c>
      <c r="AB209" s="54">
        <f t="shared" si="735"/>
        <v>0</v>
      </c>
      <c r="AC209" s="54">
        <f t="shared" si="735"/>
        <v>0</v>
      </c>
      <c r="AD209" s="54">
        <f t="shared" si="735"/>
        <v>0</v>
      </c>
      <c r="AF209" s="184"/>
      <c r="AG209" s="54">
        <f t="shared" si="736"/>
        <v>0</v>
      </c>
      <c r="AH209" s="54">
        <f t="shared" si="737"/>
        <v>0</v>
      </c>
    </row>
    <row r="210" spans="3:34" x14ac:dyDescent="0.4">
      <c r="C210" s="198" t="str">
        <f>++C$16</f>
        <v>Revenue</v>
      </c>
      <c r="D210" s="2"/>
      <c r="E210" s="2"/>
      <c r="G210" s="185"/>
      <c r="H210" s="185"/>
      <c r="I210" s="185"/>
      <c r="J210" s="18">
        <f t="shared" ref="J210:V210" si="738">++SUM(J204:J209)</f>
        <v>0</v>
      </c>
      <c r="K210" s="18">
        <f t="shared" si="738"/>
        <v>0</v>
      </c>
      <c r="L210" s="18">
        <f t="shared" si="738"/>
        <v>0</v>
      </c>
      <c r="M210" s="18">
        <f t="shared" si="738"/>
        <v>0</v>
      </c>
      <c r="N210" s="18">
        <f t="shared" si="738"/>
        <v>0</v>
      </c>
      <c r="O210" s="18">
        <f t="shared" si="738"/>
        <v>0</v>
      </c>
      <c r="P210" s="18">
        <f t="shared" si="738"/>
        <v>0</v>
      </c>
      <c r="Q210" s="18">
        <f t="shared" si="738"/>
        <v>0</v>
      </c>
      <c r="R210" s="18">
        <f t="shared" si="738"/>
        <v>0</v>
      </c>
      <c r="S210" s="18">
        <f t="shared" si="738"/>
        <v>0</v>
      </c>
      <c r="T210" s="18">
        <f t="shared" si="738"/>
        <v>0</v>
      </c>
      <c r="U210" s="18">
        <f t="shared" si="738"/>
        <v>0</v>
      </c>
      <c r="V210" s="18">
        <f t="shared" si="738"/>
        <v>0</v>
      </c>
      <c r="W210" s="18">
        <f t="shared" ref="W210" si="739">++SUM(W204:W209)</f>
        <v>0</v>
      </c>
      <c r="X210" s="18">
        <f t="shared" ref="X210" si="740">++SUM(X204:X209)</f>
        <v>0</v>
      </c>
      <c r="Y210" s="18">
        <f t="shared" ref="Y210" si="741">++SUM(Y204:Y209)</f>
        <v>0</v>
      </c>
      <c r="Z210" s="18">
        <f t="shared" ref="Z210" si="742">++SUM(Z204:Z209)</f>
        <v>0</v>
      </c>
      <c r="AA210" s="18">
        <f t="shared" ref="AA210" si="743">++SUM(AA204:AA209)</f>
        <v>0</v>
      </c>
      <c r="AB210" s="18">
        <f t="shared" ref="AB210" si="744">++SUM(AB204:AB209)</f>
        <v>0</v>
      </c>
      <c r="AC210" s="18">
        <f t="shared" ref="AC210" si="745">++SUM(AC204:AC209)</f>
        <v>0</v>
      </c>
      <c r="AD210" s="18">
        <f t="shared" ref="AD210" si="746">++SUM(AD204:AD209)</f>
        <v>0</v>
      </c>
      <c r="AF210" s="185"/>
      <c r="AG210" s="18">
        <f t="shared" ref="AG210" si="747">++SUM(AG204:AG209)</f>
        <v>0</v>
      </c>
      <c r="AH210" s="18">
        <f t="shared" ref="AH210" si="748">++SUM(AH204:AH209)</f>
        <v>0</v>
      </c>
    </row>
    <row r="211" spans="3:34" x14ac:dyDescent="0.4">
      <c r="C211" s="199" t="str">
        <f>++C$17</f>
        <v>% y/y</v>
      </c>
      <c r="G211" s="177" t="s">
        <v>52</v>
      </c>
      <c r="H211" s="177" t="s">
        <v>52</v>
      </c>
      <c r="I211" s="177" t="s">
        <v>52</v>
      </c>
      <c r="J211" s="177" t="s">
        <v>52</v>
      </c>
      <c r="K211" s="177" t="s">
        <v>52</v>
      </c>
      <c r="L211" s="177" t="s">
        <v>52</v>
      </c>
      <c r="M211" s="177" t="s">
        <v>52</v>
      </c>
      <c r="N211" s="19">
        <f t="shared" ref="N211" si="749">++IFERROR(N210/J210-1,0)</f>
        <v>0</v>
      </c>
      <c r="O211" s="19">
        <f t="shared" ref="O211" si="750">++IFERROR(O210/K210-1,0)</f>
        <v>0</v>
      </c>
      <c r="P211" s="19">
        <f t="shared" ref="P211" si="751">++IFERROR(P210/L210-1,0)</f>
        <v>0</v>
      </c>
      <c r="Q211" s="19">
        <f t="shared" ref="Q211" si="752">++IFERROR(Q210/M210-1,0)</f>
        <v>0</v>
      </c>
      <c r="R211" s="19">
        <f t="shared" ref="R211" si="753">++IFERROR(R210/N210-1,0)</f>
        <v>0</v>
      </c>
      <c r="S211" s="19">
        <f t="shared" ref="S211" si="754">++IFERROR(S210/O210-1,0)</f>
        <v>0</v>
      </c>
      <c r="T211" s="19">
        <f t="shared" ref="T211" si="755">++IFERROR(T210/P210-1,0)</f>
        <v>0</v>
      </c>
      <c r="U211" s="19">
        <f t="shared" ref="U211" si="756">++IFERROR(U210/Q210-1,0)</f>
        <v>0</v>
      </c>
      <c r="V211" s="19">
        <f t="shared" ref="V211" si="757">++IFERROR(V210/R210-1,0)</f>
        <v>0</v>
      </c>
      <c r="W211" s="19">
        <f t="shared" ref="W211" si="758">++IFERROR(W210/S210-1,0)</f>
        <v>0</v>
      </c>
      <c r="X211" s="19">
        <f t="shared" ref="X211" si="759">++IFERROR(X210/T210-1,0)</f>
        <v>0</v>
      </c>
      <c r="Y211" s="19">
        <f t="shared" ref="Y211" si="760">++IFERROR(Y210/U210-1,0)</f>
        <v>0</v>
      </c>
      <c r="Z211" s="19">
        <f t="shared" ref="Z211" si="761">++IFERROR(Z210/V210-1,0)</f>
        <v>0</v>
      </c>
      <c r="AA211" s="19">
        <f t="shared" ref="AA211" si="762">++IFERROR(AA210/W210-1,0)</f>
        <v>0</v>
      </c>
      <c r="AB211" s="19">
        <f t="shared" ref="AB211" si="763">++IFERROR(AB210/X210-1,0)</f>
        <v>0</v>
      </c>
      <c r="AC211" s="19">
        <f t="shared" ref="AC211" si="764">++IFERROR(AC210/Y210-1,0)</f>
        <v>0</v>
      </c>
      <c r="AD211" s="19">
        <f t="shared" ref="AD211" si="765">++IFERROR(AD210/Z210-1,0)</f>
        <v>0</v>
      </c>
      <c r="AF211" s="177" t="s">
        <v>52</v>
      </c>
      <c r="AG211" s="19">
        <f>++IFERROR(AG210/AF210-1,0)</f>
        <v>0</v>
      </c>
      <c r="AH211" s="19">
        <f>++IFERROR(AH210/AG210-1,0)</f>
        <v>0</v>
      </c>
    </row>
    <row r="212" spans="3:34" x14ac:dyDescent="0.4">
      <c r="C212" s="196"/>
    </row>
    <row r="213" spans="3:34" x14ac:dyDescent="0.4">
      <c r="C213" s="196" t="str">
        <f>++C$19</f>
        <v>[COGS]</v>
      </c>
      <c r="G213" s="184"/>
      <c r="H213" s="184"/>
      <c r="I213" s="184"/>
      <c r="J213" s="54">
        <f t="shared" ref="J213:AA218" si="766">++SUM(G19:J19)</f>
        <v>0</v>
      </c>
      <c r="K213" s="54">
        <f t="shared" ref="K213:K218" si="767">++SUM(H19:K19)</f>
        <v>0</v>
      </c>
      <c r="L213" s="54">
        <f t="shared" ref="L213:L218" si="768">++SUM(I19:L19)</f>
        <v>0</v>
      </c>
      <c r="M213" s="54">
        <f t="shared" ref="M213:M218" si="769">++SUM(J19:M19)</f>
        <v>0</v>
      </c>
      <c r="N213" s="54">
        <f t="shared" ref="N213:N218" si="770">++SUM(K19:N19)</f>
        <v>0</v>
      </c>
      <c r="O213" s="54">
        <f t="shared" ref="O213:O218" si="771">++SUM(L19:O19)</f>
        <v>0</v>
      </c>
      <c r="P213" s="54">
        <f t="shared" ref="P213:P218" si="772">++SUM(M19:P19)</f>
        <v>0</v>
      </c>
      <c r="Q213" s="54">
        <f t="shared" ref="Q213:Q218" si="773">++SUM(N19:Q19)</f>
        <v>0</v>
      </c>
      <c r="R213" s="54">
        <f t="shared" ref="R213:R218" si="774">++SUM(O19:R19)</f>
        <v>0</v>
      </c>
      <c r="S213" s="54">
        <f t="shared" ref="S213:S218" si="775">++SUM(P19:S19)</f>
        <v>0</v>
      </c>
      <c r="T213" s="54">
        <f t="shared" ref="T213:T218" si="776">++SUM(Q19:T19)</f>
        <v>0</v>
      </c>
      <c r="U213" s="54">
        <f t="shared" ref="U213:U218" si="777">++SUM(R19:U19)</f>
        <v>0</v>
      </c>
      <c r="V213" s="54">
        <f t="shared" ref="V213:V218" si="778">++SUM(S19:V19)</f>
        <v>0</v>
      </c>
      <c r="W213" s="54">
        <f t="shared" si="766"/>
        <v>0</v>
      </c>
      <c r="X213" s="54">
        <f t="shared" si="766"/>
        <v>0</v>
      </c>
      <c r="Y213" s="54">
        <f t="shared" si="766"/>
        <v>0</v>
      </c>
      <c r="Z213" s="54">
        <f t="shared" si="766"/>
        <v>0</v>
      </c>
      <c r="AA213" s="54">
        <f t="shared" si="766"/>
        <v>0</v>
      </c>
      <c r="AB213" s="54">
        <f t="shared" ref="AB213:AD218" si="779">++SUM(Y19:AB19)</f>
        <v>0</v>
      </c>
      <c r="AC213" s="54">
        <f t="shared" si="779"/>
        <v>0</v>
      </c>
      <c r="AD213" s="54">
        <f t="shared" si="779"/>
        <v>0</v>
      </c>
      <c r="AF213" s="184"/>
      <c r="AG213" s="54">
        <f t="shared" ref="AG213:AG218" si="780">++AG116+V213-AF116</f>
        <v>0</v>
      </c>
      <c r="AH213" s="54">
        <f t="shared" ref="AH213:AH218" si="781">++AH116+Z213-AG116</f>
        <v>0</v>
      </c>
    </row>
    <row r="214" spans="3:34" x14ac:dyDescent="0.4">
      <c r="C214" s="196" t="str">
        <f>++C$20</f>
        <v>[COGS]</v>
      </c>
      <c r="G214" s="184"/>
      <c r="H214" s="184"/>
      <c r="I214" s="184"/>
      <c r="J214" s="54">
        <f t="shared" si="766"/>
        <v>0</v>
      </c>
      <c r="K214" s="54">
        <f t="shared" si="767"/>
        <v>0</v>
      </c>
      <c r="L214" s="54">
        <f t="shared" si="768"/>
        <v>0</v>
      </c>
      <c r="M214" s="54">
        <f t="shared" si="769"/>
        <v>0</v>
      </c>
      <c r="N214" s="54">
        <f t="shared" si="770"/>
        <v>0</v>
      </c>
      <c r="O214" s="54">
        <f t="shared" si="771"/>
        <v>0</v>
      </c>
      <c r="P214" s="54">
        <f t="shared" si="772"/>
        <v>0</v>
      </c>
      <c r="Q214" s="54">
        <f t="shared" si="773"/>
        <v>0</v>
      </c>
      <c r="R214" s="54">
        <f t="shared" si="774"/>
        <v>0</v>
      </c>
      <c r="S214" s="54">
        <f t="shared" si="775"/>
        <v>0</v>
      </c>
      <c r="T214" s="54">
        <f t="shared" si="776"/>
        <v>0</v>
      </c>
      <c r="U214" s="54">
        <f t="shared" si="777"/>
        <v>0</v>
      </c>
      <c r="V214" s="54">
        <f t="shared" si="778"/>
        <v>0</v>
      </c>
      <c r="W214" s="54">
        <f t="shared" si="766"/>
        <v>0</v>
      </c>
      <c r="X214" s="54">
        <f t="shared" si="766"/>
        <v>0</v>
      </c>
      <c r="Y214" s="54">
        <f t="shared" si="766"/>
        <v>0</v>
      </c>
      <c r="Z214" s="54">
        <f t="shared" si="766"/>
        <v>0</v>
      </c>
      <c r="AA214" s="54">
        <f t="shared" si="766"/>
        <v>0</v>
      </c>
      <c r="AB214" s="54">
        <f t="shared" si="779"/>
        <v>0</v>
      </c>
      <c r="AC214" s="54">
        <f t="shared" si="779"/>
        <v>0</v>
      </c>
      <c r="AD214" s="54">
        <f t="shared" si="779"/>
        <v>0</v>
      </c>
      <c r="AF214" s="184"/>
      <c r="AG214" s="54">
        <f t="shared" si="780"/>
        <v>0</v>
      </c>
      <c r="AH214" s="54">
        <f t="shared" si="781"/>
        <v>0</v>
      </c>
    </row>
    <row r="215" spans="3:34" x14ac:dyDescent="0.4">
      <c r="C215" s="196" t="str">
        <f>++C$21</f>
        <v>[COGS]</v>
      </c>
      <c r="G215" s="184"/>
      <c r="H215" s="184"/>
      <c r="I215" s="184"/>
      <c r="J215" s="54">
        <f t="shared" si="766"/>
        <v>0</v>
      </c>
      <c r="K215" s="54">
        <f t="shared" si="767"/>
        <v>0</v>
      </c>
      <c r="L215" s="54">
        <f t="shared" si="768"/>
        <v>0</v>
      </c>
      <c r="M215" s="54">
        <f t="shared" si="769"/>
        <v>0</v>
      </c>
      <c r="N215" s="54">
        <f t="shared" si="770"/>
        <v>0</v>
      </c>
      <c r="O215" s="54">
        <f t="shared" si="771"/>
        <v>0</v>
      </c>
      <c r="P215" s="54">
        <f t="shared" si="772"/>
        <v>0</v>
      </c>
      <c r="Q215" s="54">
        <f t="shared" si="773"/>
        <v>0</v>
      </c>
      <c r="R215" s="54">
        <f t="shared" si="774"/>
        <v>0</v>
      </c>
      <c r="S215" s="54">
        <f t="shared" si="775"/>
        <v>0</v>
      </c>
      <c r="T215" s="54">
        <f t="shared" si="776"/>
        <v>0</v>
      </c>
      <c r="U215" s="54">
        <f t="shared" si="777"/>
        <v>0</v>
      </c>
      <c r="V215" s="54">
        <f t="shared" si="778"/>
        <v>0</v>
      </c>
      <c r="W215" s="54">
        <f t="shared" si="766"/>
        <v>0</v>
      </c>
      <c r="X215" s="54">
        <f t="shared" si="766"/>
        <v>0</v>
      </c>
      <c r="Y215" s="54">
        <f t="shared" si="766"/>
        <v>0</v>
      </c>
      <c r="Z215" s="54">
        <f t="shared" si="766"/>
        <v>0</v>
      </c>
      <c r="AA215" s="54">
        <f t="shared" si="766"/>
        <v>0</v>
      </c>
      <c r="AB215" s="54">
        <f t="shared" si="779"/>
        <v>0</v>
      </c>
      <c r="AC215" s="54">
        <f t="shared" si="779"/>
        <v>0</v>
      </c>
      <c r="AD215" s="54">
        <f t="shared" si="779"/>
        <v>0</v>
      </c>
      <c r="AF215" s="184"/>
      <c r="AG215" s="54">
        <f t="shared" si="780"/>
        <v>0</v>
      </c>
      <c r="AH215" s="54">
        <f t="shared" si="781"/>
        <v>0</v>
      </c>
    </row>
    <row r="216" spans="3:34" x14ac:dyDescent="0.4">
      <c r="C216" s="196" t="str">
        <f>++C$22</f>
        <v>[COGS]</v>
      </c>
      <c r="G216" s="184"/>
      <c r="H216" s="184"/>
      <c r="I216" s="184"/>
      <c r="J216" s="54">
        <f t="shared" si="766"/>
        <v>0</v>
      </c>
      <c r="K216" s="54">
        <f t="shared" si="767"/>
        <v>0</v>
      </c>
      <c r="L216" s="54">
        <f t="shared" si="768"/>
        <v>0</v>
      </c>
      <c r="M216" s="54">
        <f t="shared" si="769"/>
        <v>0</v>
      </c>
      <c r="N216" s="54">
        <f t="shared" si="770"/>
        <v>0</v>
      </c>
      <c r="O216" s="54">
        <f t="shared" si="771"/>
        <v>0</v>
      </c>
      <c r="P216" s="54">
        <f t="shared" si="772"/>
        <v>0</v>
      </c>
      <c r="Q216" s="54">
        <f t="shared" si="773"/>
        <v>0</v>
      </c>
      <c r="R216" s="54">
        <f t="shared" si="774"/>
        <v>0</v>
      </c>
      <c r="S216" s="54">
        <f t="shared" si="775"/>
        <v>0</v>
      </c>
      <c r="T216" s="54">
        <f t="shared" si="776"/>
        <v>0</v>
      </c>
      <c r="U216" s="54">
        <f t="shared" si="777"/>
        <v>0</v>
      </c>
      <c r="V216" s="54">
        <f t="shared" si="778"/>
        <v>0</v>
      </c>
      <c r="W216" s="54">
        <f t="shared" si="766"/>
        <v>0</v>
      </c>
      <c r="X216" s="54">
        <f t="shared" si="766"/>
        <v>0</v>
      </c>
      <c r="Y216" s="54">
        <f t="shared" si="766"/>
        <v>0</v>
      </c>
      <c r="Z216" s="54">
        <f t="shared" si="766"/>
        <v>0</v>
      </c>
      <c r="AA216" s="54">
        <f t="shared" si="766"/>
        <v>0</v>
      </c>
      <c r="AB216" s="54">
        <f t="shared" si="779"/>
        <v>0</v>
      </c>
      <c r="AC216" s="54">
        <f t="shared" si="779"/>
        <v>0</v>
      </c>
      <c r="AD216" s="54">
        <f t="shared" si="779"/>
        <v>0</v>
      </c>
      <c r="AF216" s="184"/>
      <c r="AG216" s="54">
        <f t="shared" si="780"/>
        <v>0</v>
      </c>
      <c r="AH216" s="54">
        <f t="shared" si="781"/>
        <v>0</v>
      </c>
    </row>
    <row r="217" spans="3:34" x14ac:dyDescent="0.4">
      <c r="C217" s="196" t="str">
        <f>++C$23</f>
        <v>[COGS]</v>
      </c>
      <c r="G217" s="184"/>
      <c r="H217" s="184"/>
      <c r="I217" s="184"/>
      <c r="J217" s="54">
        <f t="shared" si="766"/>
        <v>0</v>
      </c>
      <c r="K217" s="54">
        <f t="shared" si="767"/>
        <v>0</v>
      </c>
      <c r="L217" s="54">
        <f t="shared" si="768"/>
        <v>0</v>
      </c>
      <c r="M217" s="54">
        <f t="shared" si="769"/>
        <v>0</v>
      </c>
      <c r="N217" s="54">
        <f t="shared" si="770"/>
        <v>0</v>
      </c>
      <c r="O217" s="54">
        <f t="shared" si="771"/>
        <v>0</v>
      </c>
      <c r="P217" s="54">
        <f t="shared" si="772"/>
        <v>0</v>
      </c>
      <c r="Q217" s="54">
        <f t="shared" si="773"/>
        <v>0</v>
      </c>
      <c r="R217" s="54">
        <f t="shared" si="774"/>
        <v>0</v>
      </c>
      <c r="S217" s="54">
        <f t="shared" si="775"/>
        <v>0</v>
      </c>
      <c r="T217" s="54">
        <f t="shared" si="776"/>
        <v>0</v>
      </c>
      <c r="U217" s="54">
        <f t="shared" si="777"/>
        <v>0</v>
      </c>
      <c r="V217" s="54">
        <f t="shared" si="778"/>
        <v>0</v>
      </c>
      <c r="W217" s="54">
        <f t="shared" si="766"/>
        <v>0</v>
      </c>
      <c r="X217" s="54">
        <f t="shared" si="766"/>
        <v>0</v>
      </c>
      <c r="Y217" s="54">
        <f t="shared" si="766"/>
        <v>0</v>
      </c>
      <c r="Z217" s="54">
        <f t="shared" si="766"/>
        <v>0</v>
      </c>
      <c r="AA217" s="54">
        <f t="shared" si="766"/>
        <v>0</v>
      </c>
      <c r="AB217" s="54">
        <f t="shared" si="779"/>
        <v>0</v>
      </c>
      <c r="AC217" s="54">
        <f t="shared" si="779"/>
        <v>0</v>
      </c>
      <c r="AD217" s="54">
        <f t="shared" si="779"/>
        <v>0</v>
      </c>
      <c r="AF217" s="184"/>
      <c r="AG217" s="54">
        <f t="shared" si="780"/>
        <v>0</v>
      </c>
      <c r="AH217" s="54">
        <f t="shared" si="781"/>
        <v>0</v>
      </c>
    </row>
    <row r="218" spans="3:34" x14ac:dyDescent="0.4">
      <c r="C218" s="196" t="str">
        <f>++C$24</f>
        <v>Other COGS</v>
      </c>
      <c r="G218" s="184"/>
      <c r="H218" s="184"/>
      <c r="I218" s="184"/>
      <c r="J218" s="54">
        <f t="shared" si="766"/>
        <v>0</v>
      </c>
      <c r="K218" s="54">
        <f t="shared" si="767"/>
        <v>0</v>
      </c>
      <c r="L218" s="54">
        <f t="shared" si="768"/>
        <v>0</v>
      </c>
      <c r="M218" s="54">
        <f t="shared" si="769"/>
        <v>0</v>
      </c>
      <c r="N218" s="54">
        <f t="shared" si="770"/>
        <v>0</v>
      </c>
      <c r="O218" s="54">
        <f t="shared" si="771"/>
        <v>0</v>
      </c>
      <c r="P218" s="54">
        <f t="shared" si="772"/>
        <v>0</v>
      </c>
      <c r="Q218" s="54">
        <f t="shared" si="773"/>
        <v>0</v>
      </c>
      <c r="R218" s="54">
        <f t="shared" si="774"/>
        <v>0</v>
      </c>
      <c r="S218" s="54">
        <f t="shared" si="775"/>
        <v>0</v>
      </c>
      <c r="T218" s="54">
        <f t="shared" si="776"/>
        <v>0</v>
      </c>
      <c r="U218" s="54">
        <f t="shared" si="777"/>
        <v>0</v>
      </c>
      <c r="V218" s="54">
        <f t="shared" si="778"/>
        <v>0</v>
      </c>
      <c r="W218" s="54">
        <f t="shared" si="766"/>
        <v>0</v>
      </c>
      <c r="X218" s="54">
        <f t="shared" si="766"/>
        <v>0</v>
      </c>
      <c r="Y218" s="54">
        <f t="shared" si="766"/>
        <v>0</v>
      </c>
      <c r="Z218" s="54">
        <f t="shared" si="766"/>
        <v>0</v>
      </c>
      <c r="AA218" s="54">
        <f t="shared" si="766"/>
        <v>0</v>
      </c>
      <c r="AB218" s="54">
        <f t="shared" si="779"/>
        <v>0</v>
      </c>
      <c r="AC218" s="54">
        <f t="shared" si="779"/>
        <v>0</v>
      </c>
      <c r="AD218" s="54">
        <f t="shared" si="779"/>
        <v>0</v>
      </c>
      <c r="AF218" s="184"/>
      <c r="AG218" s="54">
        <f t="shared" si="780"/>
        <v>0</v>
      </c>
      <c r="AH218" s="54">
        <f t="shared" si="781"/>
        <v>0</v>
      </c>
    </row>
    <row r="219" spans="3:34" x14ac:dyDescent="0.4">
      <c r="C219" s="198" t="str">
        <f>++C$25</f>
        <v>Gross Profit</v>
      </c>
      <c r="D219" s="2"/>
      <c r="E219" s="2"/>
      <c r="G219" s="185"/>
      <c r="H219" s="185"/>
      <c r="I219" s="185"/>
      <c r="J219" s="18">
        <f t="shared" ref="J219" si="782">++J210-SUM(J213:J218)</f>
        <v>0</v>
      </c>
      <c r="K219" s="18">
        <f t="shared" ref="K219:V219" si="783">++K210-SUM(K213:K218)</f>
        <v>0</v>
      </c>
      <c r="L219" s="18">
        <f t="shared" si="783"/>
        <v>0</v>
      </c>
      <c r="M219" s="18">
        <f t="shared" si="783"/>
        <v>0</v>
      </c>
      <c r="N219" s="18">
        <f t="shared" si="783"/>
        <v>0</v>
      </c>
      <c r="O219" s="18">
        <f t="shared" si="783"/>
        <v>0</v>
      </c>
      <c r="P219" s="18">
        <f t="shared" si="783"/>
        <v>0</v>
      </c>
      <c r="Q219" s="18">
        <f t="shared" si="783"/>
        <v>0</v>
      </c>
      <c r="R219" s="18">
        <f t="shared" si="783"/>
        <v>0</v>
      </c>
      <c r="S219" s="18">
        <f t="shared" si="783"/>
        <v>0</v>
      </c>
      <c r="T219" s="18">
        <f t="shared" si="783"/>
        <v>0</v>
      </c>
      <c r="U219" s="18">
        <f t="shared" si="783"/>
        <v>0</v>
      </c>
      <c r="V219" s="18">
        <f t="shared" si="783"/>
        <v>0</v>
      </c>
      <c r="W219" s="18">
        <f t="shared" ref="W219" si="784">++W210-SUM(W213:W218)</f>
        <v>0</v>
      </c>
      <c r="X219" s="18">
        <f t="shared" ref="X219" si="785">++X210-SUM(X213:X218)</f>
        <v>0</v>
      </c>
      <c r="Y219" s="18">
        <f t="shared" ref="Y219" si="786">++Y210-SUM(Y213:Y218)</f>
        <v>0</v>
      </c>
      <c r="Z219" s="18">
        <f t="shared" ref="Z219" si="787">++Z210-SUM(Z213:Z218)</f>
        <v>0</v>
      </c>
      <c r="AA219" s="18">
        <f t="shared" ref="AA219" si="788">++AA210-SUM(AA213:AA218)</f>
        <v>0</v>
      </c>
      <c r="AB219" s="18">
        <f t="shared" ref="AB219" si="789">++AB210-SUM(AB213:AB218)</f>
        <v>0</v>
      </c>
      <c r="AC219" s="18">
        <f t="shared" ref="AC219" si="790">++AC210-SUM(AC213:AC218)</f>
        <v>0</v>
      </c>
      <c r="AD219" s="18">
        <f t="shared" ref="AD219" si="791">++AD210-SUM(AD213:AD218)</f>
        <v>0</v>
      </c>
      <c r="AF219" s="185"/>
      <c r="AG219" s="18">
        <f t="shared" ref="AG219" si="792">++AG210-SUM(AG213:AG218)</f>
        <v>0</v>
      </c>
      <c r="AH219" s="18">
        <f t="shared" ref="AH219" si="793">++AH210-SUM(AH213:AH218)</f>
        <v>0</v>
      </c>
    </row>
    <row r="220" spans="3:34" x14ac:dyDescent="0.4">
      <c r="C220" s="199" t="str">
        <f>++C$26</f>
        <v>% margin</v>
      </c>
      <c r="G220" s="20"/>
      <c r="H220" s="20"/>
      <c r="I220" s="20"/>
      <c r="J220" s="19">
        <f t="shared" ref="J220:AH220" si="794">++IFERROR(J219/J210,0)</f>
        <v>0</v>
      </c>
      <c r="K220" s="19">
        <f t="shared" ref="K220:V220" si="795">++IFERROR(K219/K210,0)</f>
        <v>0</v>
      </c>
      <c r="L220" s="19">
        <f t="shared" si="795"/>
        <v>0</v>
      </c>
      <c r="M220" s="19">
        <f t="shared" si="795"/>
        <v>0</v>
      </c>
      <c r="N220" s="19">
        <f t="shared" si="795"/>
        <v>0</v>
      </c>
      <c r="O220" s="19">
        <f t="shared" si="795"/>
        <v>0</v>
      </c>
      <c r="P220" s="19">
        <f t="shared" si="795"/>
        <v>0</v>
      </c>
      <c r="Q220" s="19">
        <f t="shared" si="795"/>
        <v>0</v>
      </c>
      <c r="R220" s="19">
        <f t="shared" si="795"/>
        <v>0</v>
      </c>
      <c r="S220" s="19">
        <f t="shared" si="795"/>
        <v>0</v>
      </c>
      <c r="T220" s="19">
        <f t="shared" si="795"/>
        <v>0</v>
      </c>
      <c r="U220" s="19">
        <f t="shared" si="795"/>
        <v>0</v>
      </c>
      <c r="V220" s="19">
        <f t="shared" si="795"/>
        <v>0</v>
      </c>
      <c r="W220" s="19">
        <f t="shared" si="794"/>
        <v>0</v>
      </c>
      <c r="X220" s="19">
        <f t="shared" si="794"/>
        <v>0</v>
      </c>
      <c r="Y220" s="19">
        <f t="shared" si="794"/>
        <v>0</v>
      </c>
      <c r="Z220" s="19">
        <f t="shared" si="794"/>
        <v>0</v>
      </c>
      <c r="AA220" s="19">
        <f t="shared" si="794"/>
        <v>0</v>
      </c>
      <c r="AB220" s="19">
        <f t="shared" si="794"/>
        <v>0</v>
      </c>
      <c r="AC220" s="19">
        <f t="shared" si="794"/>
        <v>0</v>
      </c>
      <c r="AD220" s="19">
        <f t="shared" si="794"/>
        <v>0</v>
      </c>
      <c r="AF220" s="20"/>
      <c r="AG220" s="19">
        <f t="shared" si="794"/>
        <v>0</v>
      </c>
      <c r="AH220" s="19">
        <f t="shared" si="794"/>
        <v>0</v>
      </c>
    </row>
    <row r="221" spans="3:34" x14ac:dyDescent="0.4">
      <c r="C221" s="199" t="str">
        <f>++C$27</f>
        <v>% y/y</v>
      </c>
      <c r="G221" s="177" t="s">
        <v>52</v>
      </c>
      <c r="H221" s="177" t="s">
        <v>52</v>
      </c>
      <c r="I221" s="177" t="s">
        <v>52</v>
      </c>
      <c r="J221" s="177" t="s">
        <v>52</v>
      </c>
      <c r="K221" s="177" t="s">
        <v>52</v>
      </c>
      <c r="L221" s="177" t="s">
        <v>52</v>
      </c>
      <c r="M221" s="177" t="s">
        <v>52</v>
      </c>
      <c r="N221" s="19">
        <f t="shared" ref="N221" si="796">++IFERROR(N219/J219-1,0)</f>
        <v>0</v>
      </c>
      <c r="O221" s="19">
        <f t="shared" ref="O221" si="797">++IFERROR(O219/K219-1,0)</f>
        <v>0</v>
      </c>
      <c r="P221" s="19">
        <f t="shared" ref="P221" si="798">++IFERROR(P219/L219-1,0)</f>
        <v>0</v>
      </c>
      <c r="Q221" s="19">
        <f t="shared" ref="Q221" si="799">++IFERROR(Q219/M219-1,0)</f>
        <v>0</v>
      </c>
      <c r="R221" s="19">
        <f t="shared" ref="R221" si="800">++IFERROR(R219/N219-1,0)</f>
        <v>0</v>
      </c>
      <c r="S221" s="19">
        <f t="shared" ref="S221" si="801">++IFERROR(S219/O219-1,0)</f>
        <v>0</v>
      </c>
      <c r="T221" s="19">
        <f t="shared" ref="T221" si="802">++IFERROR(T219/P219-1,0)</f>
        <v>0</v>
      </c>
      <c r="U221" s="19">
        <f t="shared" ref="U221" si="803">++IFERROR(U219/Q219-1,0)</f>
        <v>0</v>
      </c>
      <c r="V221" s="19">
        <f t="shared" ref="V221" si="804">++IFERROR(V219/R219-1,0)</f>
        <v>0</v>
      </c>
      <c r="W221" s="19">
        <f t="shared" ref="W221:AD221" si="805">++IFERROR(W219/S219-1,0)</f>
        <v>0</v>
      </c>
      <c r="X221" s="19">
        <f t="shared" si="805"/>
        <v>0</v>
      </c>
      <c r="Y221" s="19">
        <f t="shared" si="805"/>
        <v>0</v>
      </c>
      <c r="Z221" s="19">
        <f t="shared" si="805"/>
        <v>0</v>
      </c>
      <c r="AA221" s="19">
        <f t="shared" si="805"/>
        <v>0</v>
      </c>
      <c r="AB221" s="19">
        <f t="shared" si="805"/>
        <v>0</v>
      </c>
      <c r="AC221" s="19">
        <f t="shared" si="805"/>
        <v>0</v>
      </c>
      <c r="AD221" s="19">
        <f t="shared" si="805"/>
        <v>0</v>
      </c>
      <c r="AF221" s="177" t="s">
        <v>52</v>
      </c>
      <c r="AG221" s="19">
        <f>++IFERROR(AG219/AF219-1,0)</f>
        <v>0</v>
      </c>
      <c r="AH221" s="19">
        <f>++IFERROR(AH219/AG219-1,0)</f>
        <v>0</v>
      </c>
    </row>
    <row r="222" spans="3:34" x14ac:dyDescent="0.4">
      <c r="C222" s="196"/>
    </row>
    <row r="223" spans="3:34" x14ac:dyDescent="0.4">
      <c r="C223" s="196" t="str">
        <f>++C$29</f>
        <v>[Operating Exepnse]</v>
      </c>
      <c r="G223" s="184"/>
      <c r="H223" s="184"/>
      <c r="I223" s="184"/>
      <c r="J223" s="54">
        <f t="shared" ref="J223:AA230" si="806">++SUM(G29:J29)</f>
        <v>0</v>
      </c>
      <c r="K223" s="54">
        <f t="shared" ref="K223:K230" si="807">++SUM(H29:K29)</f>
        <v>0</v>
      </c>
      <c r="L223" s="54">
        <f t="shared" ref="L223:L230" si="808">++SUM(I29:L29)</f>
        <v>0</v>
      </c>
      <c r="M223" s="54">
        <f t="shared" ref="M223:M230" si="809">++SUM(J29:M29)</f>
        <v>0</v>
      </c>
      <c r="N223" s="54">
        <f t="shared" ref="N223:N230" si="810">++SUM(K29:N29)</f>
        <v>0</v>
      </c>
      <c r="O223" s="54">
        <f t="shared" ref="O223:O230" si="811">++SUM(L29:O29)</f>
        <v>0</v>
      </c>
      <c r="P223" s="54">
        <f t="shared" ref="P223:P230" si="812">++SUM(M29:P29)</f>
        <v>0</v>
      </c>
      <c r="Q223" s="54">
        <f t="shared" ref="Q223:Q230" si="813">++SUM(N29:Q29)</f>
        <v>0</v>
      </c>
      <c r="R223" s="54">
        <f t="shared" ref="R223:R230" si="814">++SUM(O29:R29)</f>
        <v>0</v>
      </c>
      <c r="S223" s="54">
        <f t="shared" ref="S223:S230" si="815">++SUM(P29:S29)</f>
        <v>0</v>
      </c>
      <c r="T223" s="54">
        <f t="shared" ref="T223:T230" si="816">++SUM(Q29:T29)</f>
        <v>0</v>
      </c>
      <c r="U223" s="54">
        <f t="shared" ref="U223:U230" si="817">++SUM(R29:U29)</f>
        <v>0</v>
      </c>
      <c r="V223" s="54">
        <f t="shared" ref="V223:V230" si="818">++SUM(S29:V29)</f>
        <v>0</v>
      </c>
      <c r="W223" s="54">
        <f t="shared" si="806"/>
        <v>0</v>
      </c>
      <c r="X223" s="54">
        <f t="shared" si="806"/>
        <v>0</v>
      </c>
      <c r="Y223" s="54">
        <f t="shared" si="806"/>
        <v>0</v>
      </c>
      <c r="Z223" s="54">
        <f t="shared" si="806"/>
        <v>0</v>
      </c>
      <c r="AA223" s="54">
        <f t="shared" si="806"/>
        <v>0</v>
      </c>
      <c r="AB223" s="54">
        <f t="shared" ref="AB223:AD230" si="819">++SUM(Y29:AB29)</f>
        <v>0</v>
      </c>
      <c r="AC223" s="54">
        <f t="shared" si="819"/>
        <v>0</v>
      </c>
      <c r="AD223" s="54">
        <f t="shared" si="819"/>
        <v>0</v>
      </c>
      <c r="AF223" s="184"/>
      <c r="AG223" s="54">
        <f t="shared" ref="AG223:AG230" si="820">++AG126+V223-AF126</f>
        <v>0</v>
      </c>
      <c r="AH223" s="54">
        <f t="shared" ref="AH223:AH230" si="821">++AH126+Z223-AG126</f>
        <v>0</v>
      </c>
    </row>
    <row r="224" spans="3:34" x14ac:dyDescent="0.4">
      <c r="C224" s="196" t="str">
        <f>++C$30</f>
        <v>[Operating Exepnse]</v>
      </c>
      <c r="G224" s="184"/>
      <c r="H224" s="184"/>
      <c r="I224" s="184"/>
      <c r="J224" s="54">
        <f t="shared" si="806"/>
        <v>0</v>
      </c>
      <c r="K224" s="54">
        <f t="shared" si="807"/>
        <v>0</v>
      </c>
      <c r="L224" s="54">
        <f t="shared" si="808"/>
        <v>0</v>
      </c>
      <c r="M224" s="54">
        <f t="shared" si="809"/>
        <v>0</v>
      </c>
      <c r="N224" s="54">
        <f t="shared" si="810"/>
        <v>0</v>
      </c>
      <c r="O224" s="54">
        <f t="shared" si="811"/>
        <v>0</v>
      </c>
      <c r="P224" s="54">
        <f t="shared" si="812"/>
        <v>0</v>
      </c>
      <c r="Q224" s="54">
        <f t="shared" si="813"/>
        <v>0</v>
      </c>
      <c r="R224" s="54">
        <f t="shared" si="814"/>
        <v>0</v>
      </c>
      <c r="S224" s="54">
        <f t="shared" si="815"/>
        <v>0</v>
      </c>
      <c r="T224" s="54">
        <f t="shared" si="816"/>
        <v>0</v>
      </c>
      <c r="U224" s="54">
        <f t="shared" si="817"/>
        <v>0</v>
      </c>
      <c r="V224" s="54">
        <f t="shared" si="818"/>
        <v>0</v>
      </c>
      <c r="W224" s="54">
        <f t="shared" si="806"/>
        <v>0</v>
      </c>
      <c r="X224" s="54">
        <f t="shared" si="806"/>
        <v>0</v>
      </c>
      <c r="Y224" s="54">
        <f t="shared" si="806"/>
        <v>0</v>
      </c>
      <c r="Z224" s="54">
        <f t="shared" si="806"/>
        <v>0</v>
      </c>
      <c r="AA224" s="54">
        <f t="shared" si="806"/>
        <v>0</v>
      </c>
      <c r="AB224" s="54">
        <f t="shared" si="819"/>
        <v>0</v>
      </c>
      <c r="AC224" s="54">
        <f t="shared" si="819"/>
        <v>0</v>
      </c>
      <c r="AD224" s="54">
        <f t="shared" si="819"/>
        <v>0</v>
      </c>
      <c r="AF224" s="184"/>
      <c r="AG224" s="54">
        <f t="shared" si="820"/>
        <v>0</v>
      </c>
      <c r="AH224" s="54">
        <f t="shared" si="821"/>
        <v>0</v>
      </c>
    </row>
    <row r="225" spans="3:34" x14ac:dyDescent="0.4">
      <c r="C225" s="196" t="str">
        <f>++C$31</f>
        <v>[Operating Exepnse]</v>
      </c>
      <c r="G225" s="184"/>
      <c r="H225" s="184"/>
      <c r="I225" s="184"/>
      <c r="J225" s="54">
        <f t="shared" si="806"/>
        <v>0</v>
      </c>
      <c r="K225" s="54">
        <f t="shared" si="807"/>
        <v>0</v>
      </c>
      <c r="L225" s="54">
        <f t="shared" si="808"/>
        <v>0</v>
      </c>
      <c r="M225" s="54">
        <f t="shared" si="809"/>
        <v>0</v>
      </c>
      <c r="N225" s="54">
        <f t="shared" si="810"/>
        <v>0</v>
      </c>
      <c r="O225" s="54">
        <f t="shared" si="811"/>
        <v>0</v>
      </c>
      <c r="P225" s="54">
        <f t="shared" si="812"/>
        <v>0</v>
      </c>
      <c r="Q225" s="54">
        <f t="shared" si="813"/>
        <v>0</v>
      </c>
      <c r="R225" s="54">
        <f t="shared" si="814"/>
        <v>0</v>
      </c>
      <c r="S225" s="54">
        <f t="shared" si="815"/>
        <v>0</v>
      </c>
      <c r="T225" s="54">
        <f t="shared" si="816"/>
        <v>0</v>
      </c>
      <c r="U225" s="54">
        <f t="shared" si="817"/>
        <v>0</v>
      </c>
      <c r="V225" s="54">
        <f t="shared" si="818"/>
        <v>0</v>
      </c>
      <c r="W225" s="54">
        <f t="shared" si="806"/>
        <v>0</v>
      </c>
      <c r="X225" s="54">
        <f t="shared" si="806"/>
        <v>0</v>
      </c>
      <c r="Y225" s="54">
        <f t="shared" si="806"/>
        <v>0</v>
      </c>
      <c r="Z225" s="54">
        <f t="shared" si="806"/>
        <v>0</v>
      </c>
      <c r="AA225" s="54">
        <f t="shared" si="806"/>
        <v>0</v>
      </c>
      <c r="AB225" s="54">
        <f t="shared" si="819"/>
        <v>0</v>
      </c>
      <c r="AC225" s="54">
        <f t="shared" si="819"/>
        <v>0</v>
      </c>
      <c r="AD225" s="54">
        <f t="shared" si="819"/>
        <v>0</v>
      </c>
      <c r="AF225" s="184"/>
      <c r="AG225" s="54">
        <f t="shared" si="820"/>
        <v>0</v>
      </c>
      <c r="AH225" s="54">
        <f t="shared" si="821"/>
        <v>0</v>
      </c>
    </row>
    <row r="226" spans="3:34" x14ac:dyDescent="0.4">
      <c r="C226" s="196" t="str">
        <f>++C$32</f>
        <v>[Operating Exepnse]</v>
      </c>
      <c r="G226" s="184"/>
      <c r="H226" s="184"/>
      <c r="I226" s="184"/>
      <c r="J226" s="54">
        <f t="shared" si="806"/>
        <v>0</v>
      </c>
      <c r="K226" s="54">
        <f t="shared" si="807"/>
        <v>0</v>
      </c>
      <c r="L226" s="54">
        <f t="shared" si="808"/>
        <v>0</v>
      </c>
      <c r="M226" s="54">
        <f t="shared" si="809"/>
        <v>0</v>
      </c>
      <c r="N226" s="54">
        <f t="shared" si="810"/>
        <v>0</v>
      </c>
      <c r="O226" s="54">
        <f t="shared" si="811"/>
        <v>0</v>
      </c>
      <c r="P226" s="54">
        <f t="shared" si="812"/>
        <v>0</v>
      </c>
      <c r="Q226" s="54">
        <f t="shared" si="813"/>
        <v>0</v>
      </c>
      <c r="R226" s="54">
        <f t="shared" si="814"/>
        <v>0</v>
      </c>
      <c r="S226" s="54">
        <f t="shared" si="815"/>
        <v>0</v>
      </c>
      <c r="T226" s="54">
        <f t="shared" si="816"/>
        <v>0</v>
      </c>
      <c r="U226" s="54">
        <f t="shared" si="817"/>
        <v>0</v>
      </c>
      <c r="V226" s="54">
        <f t="shared" si="818"/>
        <v>0</v>
      </c>
      <c r="W226" s="54">
        <f t="shared" si="806"/>
        <v>0</v>
      </c>
      <c r="X226" s="54">
        <f t="shared" si="806"/>
        <v>0</v>
      </c>
      <c r="Y226" s="54">
        <f t="shared" si="806"/>
        <v>0</v>
      </c>
      <c r="Z226" s="54">
        <f t="shared" si="806"/>
        <v>0</v>
      </c>
      <c r="AA226" s="54">
        <f t="shared" si="806"/>
        <v>0</v>
      </c>
      <c r="AB226" s="54">
        <f t="shared" si="819"/>
        <v>0</v>
      </c>
      <c r="AC226" s="54">
        <f t="shared" si="819"/>
        <v>0</v>
      </c>
      <c r="AD226" s="54">
        <f t="shared" si="819"/>
        <v>0</v>
      </c>
      <c r="AF226" s="184"/>
      <c r="AG226" s="54">
        <f t="shared" si="820"/>
        <v>0</v>
      </c>
      <c r="AH226" s="54">
        <f t="shared" si="821"/>
        <v>0</v>
      </c>
    </row>
    <row r="227" spans="3:34" x14ac:dyDescent="0.4">
      <c r="C227" s="196" t="str">
        <f>++C$33</f>
        <v>[Operating Exepnse]</v>
      </c>
      <c r="G227" s="184"/>
      <c r="H227" s="184"/>
      <c r="I227" s="184"/>
      <c r="J227" s="54">
        <f t="shared" si="806"/>
        <v>0</v>
      </c>
      <c r="K227" s="54">
        <f t="shared" si="807"/>
        <v>0</v>
      </c>
      <c r="L227" s="54">
        <f t="shared" si="808"/>
        <v>0</v>
      </c>
      <c r="M227" s="54">
        <f t="shared" si="809"/>
        <v>0</v>
      </c>
      <c r="N227" s="54">
        <f t="shared" si="810"/>
        <v>0</v>
      </c>
      <c r="O227" s="54">
        <f t="shared" si="811"/>
        <v>0</v>
      </c>
      <c r="P227" s="54">
        <f t="shared" si="812"/>
        <v>0</v>
      </c>
      <c r="Q227" s="54">
        <f t="shared" si="813"/>
        <v>0</v>
      </c>
      <c r="R227" s="54">
        <f t="shared" si="814"/>
        <v>0</v>
      </c>
      <c r="S227" s="54">
        <f t="shared" si="815"/>
        <v>0</v>
      </c>
      <c r="T227" s="54">
        <f t="shared" si="816"/>
        <v>0</v>
      </c>
      <c r="U227" s="54">
        <f t="shared" si="817"/>
        <v>0</v>
      </c>
      <c r="V227" s="54">
        <f t="shared" si="818"/>
        <v>0</v>
      </c>
      <c r="W227" s="54">
        <f t="shared" si="806"/>
        <v>0</v>
      </c>
      <c r="X227" s="54">
        <f t="shared" si="806"/>
        <v>0</v>
      </c>
      <c r="Y227" s="54">
        <f t="shared" si="806"/>
        <v>0</v>
      </c>
      <c r="Z227" s="54">
        <f t="shared" si="806"/>
        <v>0</v>
      </c>
      <c r="AA227" s="54">
        <f t="shared" si="806"/>
        <v>0</v>
      </c>
      <c r="AB227" s="54">
        <f t="shared" si="819"/>
        <v>0</v>
      </c>
      <c r="AC227" s="54">
        <f t="shared" si="819"/>
        <v>0</v>
      </c>
      <c r="AD227" s="54">
        <f t="shared" si="819"/>
        <v>0</v>
      </c>
      <c r="AF227" s="184"/>
      <c r="AG227" s="54">
        <f t="shared" si="820"/>
        <v>0</v>
      </c>
      <c r="AH227" s="54">
        <f t="shared" si="821"/>
        <v>0</v>
      </c>
    </row>
    <row r="228" spans="3:34" x14ac:dyDescent="0.4">
      <c r="C228" s="196" t="str">
        <f>++C$34</f>
        <v>Depreciation</v>
      </c>
      <c r="G228" s="184"/>
      <c r="H228" s="184"/>
      <c r="I228" s="184"/>
      <c r="J228" s="54">
        <f t="shared" si="806"/>
        <v>0</v>
      </c>
      <c r="K228" s="54">
        <f t="shared" si="807"/>
        <v>0</v>
      </c>
      <c r="L228" s="54">
        <f t="shared" si="808"/>
        <v>0</v>
      </c>
      <c r="M228" s="54">
        <f t="shared" si="809"/>
        <v>0</v>
      </c>
      <c r="N228" s="54">
        <f t="shared" si="810"/>
        <v>0</v>
      </c>
      <c r="O228" s="54">
        <f t="shared" si="811"/>
        <v>0</v>
      </c>
      <c r="P228" s="54">
        <f t="shared" si="812"/>
        <v>0</v>
      </c>
      <c r="Q228" s="54">
        <f t="shared" si="813"/>
        <v>0</v>
      </c>
      <c r="R228" s="54">
        <f t="shared" si="814"/>
        <v>0</v>
      </c>
      <c r="S228" s="54">
        <f t="shared" si="815"/>
        <v>0</v>
      </c>
      <c r="T228" s="54">
        <f t="shared" si="816"/>
        <v>0</v>
      </c>
      <c r="U228" s="54">
        <f t="shared" si="817"/>
        <v>0</v>
      </c>
      <c r="V228" s="54">
        <f t="shared" si="818"/>
        <v>0</v>
      </c>
      <c r="W228" s="54">
        <f t="shared" si="806"/>
        <v>0</v>
      </c>
      <c r="X228" s="54">
        <f t="shared" si="806"/>
        <v>0</v>
      </c>
      <c r="Y228" s="54">
        <f t="shared" si="806"/>
        <v>0</v>
      </c>
      <c r="Z228" s="54">
        <f t="shared" si="806"/>
        <v>0</v>
      </c>
      <c r="AA228" s="54">
        <f t="shared" si="806"/>
        <v>0</v>
      </c>
      <c r="AB228" s="54">
        <f t="shared" si="819"/>
        <v>0</v>
      </c>
      <c r="AC228" s="54">
        <f t="shared" si="819"/>
        <v>0</v>
      </c>
      <c r="AD228" s="54">
        <f t="shared" si="819"/>
        <v>0</v>
      </c>
      <c r="AF228" s="184"/>
      <c r="AG228" s="54">
        <f t="shared" si="820"/>
        <v>0</v>
      </c>
      <c r="AH228" s="54">
        <f t="shared" si="821"/>
        <v>0</v>
      </c>
    </row>
    <row r="229" spans="3:34" x14ac:dyDescent="0.4">
      <c r="C229" s="196" t="str">
        <f>++C$35</f>
        <v>Amortization</v>
      </c>
      <c r="G229" s="184"/>
      <c r="H229" s="184"/>
      <c r="I229" s="184"/>
      <c r="J229" s="54">
        <f t="shared" si="806"/>
        <v>0</v>
      </c>
      <c r="K229" s="54">
        <f t="shared" si="807"/>
        <v>0</v>
      </c>
      <c r="L229" s="54">
        <f t="shared" si="808"/>
        <v>0</v>
      </c>
      <c r="M229" s="54">
        <f t="shared" si="809"/>
        <v>0</v>
      </c>
      <c r="N229" s="54">
        <f t="shared" si="810"/>
        <v>0</v>
      </c>
      <c r="O229" s="54">
        <f t="shared" si="811"/>
        <v>0</v>
      </c>
      <c r="P229" s="54">
        <f t="shared" si="812"/>
        <v>0</v>
      </c>
      <c r="Q229" s="54">
        <f t="shared" si="813"/>
        <v>0</v>
      </c>
      <c r="R229" s="54">
        <f t="shared" si="814"/>
        <v>0</v>
      </c>
      <c r="S229" s="54">
        <f t="shared" si="815"/>
        <v>0</v>
      </c>
      <c r="T229" s="54">
        <f t="shared" si="816"/>
        <v>0</v>
      </c>
      <c r="U229" s="54">
        <f t="shared" si="817"/>
        <v>0</v>
      </c>
      <c r="V229" s="54">
        <f t="shared" si="818"/>
        <v>0</v>
      </c>
      <c r="W229" s="54">
        <f t="shared" si="806"/>
        <v>0</v>
      </c>
      <c r="X229" s="54">
        <f t="shared" si="806"/>
        <v>0</v>
      </c>
      <c r="Y229" s="54">
        <f t="shared" si="806"/>
        <v>0</v>
      </c>
      <c r="Z229" s="54">
        <f t="shared" si="806"/>
        <v>0</v>
      </c>
      <c r="AA229" s="54">
        <f t="shared" si="806"/>
        <v>0</v>
      </c>
      <c r="AB229" s="54">
        <f t="shared" si="819"/>
        <v>0</v>
      </c>
      <c r="AC229" s="54">
        <f t="shared" si="819"/>
        <v>0</v>
      </c>
      <c r="AD229" s="54">
        <f t="shared" si="819"/>
        <v>0</v>
      </c>
      <c r="AF229" s="184"/>
      <c r="AG229" s="54">
        <f t="shared" si="820"/>
        <v>0</v>
      </c>
      <c r="AH229" s="54">
        <f t="shared" si="821"/>
        <v>0</v>
      </c>
    </row>
    <row r="230" spans="3:34" x14ac:dyDescent="0.4">
      <c r="C230" s="196" t="str">
        <f>++C$36</f>
        <v>Other Operating Expense (Income)</v>
      </c>
      <c r="G230" s="184"/>
      <c r="H230" s="184"/>
      <c r="I230" s="184"/>
      <c r="J230" s="54">
        <f t="shared" si="806"/>
        <v>0</v>
      </c>
      <c r="K230" s="54">
        <f t="shared" si="807"/>
        <v>0</v>
      </c>
      <c r="L230" s="54">
        <f t="shared" si="808"/>
        <v>0</v>
      </c>
      <c r="M230" s="54">
        <f t="shared" si="809"/>
        <v>0</v>
      </c>
      <c r="N230" s="54">
        <f t="shared" si="810"/>
        <v>0</v>
      </c>
      <c r="O230" s="54">
        <f t="shared" si="811"/>
        <v>0</v>
      </c>
      <c r="P230" s="54">
        <f t="shared" si="812"/>
        <v>0</v>
      </c>
      <c r="Q230" s="54">
        <f t="shared" si="813"/>
        <v>0</v>
      </c>
      <c r="R230" s="54">
        <f t="shared" si="814"/>
        <v>0</v>
      </c>
      <c r="S230" s="54">
        <f t="shared" si="815"/>
        <v>0</v>
      </c>
      <c r="T230" s="54">
        <f t="shared" si="816"/>
        <v>0</v>
      </c>
      <c r="U230" s="54">
        <f t="shared" si="817"/>
        <v>0</v>
      </c>
      <c r="V230" s="54">
        <f t="shared" si="818"/>
        <v>0</v>
      </c>
      <c r="W230" s="54">
        <f t="shared" si="806"/>
        <v>0</v>
      </c>
      <c r="X230" s="54">
        <f t="shared" si="806"/>
        <v>0</v>
      </c>
      <c r="Y230" s="54">
        <f t="shared" si="806"/>
        <v>0</v>
      </c>
      <c r="Z230" s="54">
        <f t="shared" si="806"/>
        <v>0</v>
      </c>
      <c r="AA230" s="54">
        <f t="shared" si="806"/>
        <v>0</v>
      </c>
      <c r="AB230" s="54">
        <f t="shared" si="819"/>
        <v>0</v>
      </c>
      <c r="AC230" s="54">
        <f t="shared" si="819"/>
        <v>0</v>
      </c>
      <c r="AD230" s="54">
        <f t="shared" si="819"/>
        <v>0</v>
      </c>
      <c r="AF230" s="184"/>
      <c r="AG230" s="54">
        <f t="shared" si="820"/>
        <v>0</v>
      </c>
      <c r="AH230" s="54">
        <f t="shared" si="821"/>
        <v>0</v>
      </c>
    </row>
    <row r="231" spans="3:34" x14ac:dyDescent="0.4">
      <c r="C231" s="198" t="str">
        <f>++C$37</f>
        <v>Operating Income (Loss)</v>
      </c>
      <c r="D231" s="2"/>
      <c r="E231" s="2"/>
      <c r="G231" s="185"/>
      <c r="H231" s="185"/>
      <c r="I231" s="185"/>
      <c r="J231" s="18">
        <f t="shared" ref="J231" si="822">++J219-SUM(J223:J230)</f>
        <v>0</v>
      </c>
      <c r="K231" s="18">
        <f t="shared" ref="K231:V231" si="823">++K219-SUM(K223:K230)</f>
        <v>0</v>
      </c>
      <c r="L231" s="18">
        <f t="shared" si="823"/>
        <v>0</v>
      </c>
      <c r="M231" s="18">
        <f t="shared" si="823"/>
        <v>0</v>
      </c>
      <c r="N231" s="18">
        <f t="shared" si="823"/>
        <v>0</v>
      </c>
      <c r="O231" s="18">
        <f t="shared" si="823"/>
        <v>0</v>
      </c>
      <c r="P231" s="18">
        <f t="shared" si="823"/>
        <v>0</v>
      </c>
      <c r="Q231" s="18">
        <f t="shared" si="823"/>
        <v>0</v>
      </c>
      <c r="R231" s="18">
        <f t="shared" si="823"/>
        <v>0</v>
      </c>
      <c r="S231" s="18">
        <f t="shared" si="823"/>
        <v>0</v>
      </c>
      <c r="T231" s="18">
        <f t="shared" si="823"/>
        <v>0</v>
      </c>
      <c r="U231" s="18">
        <f t="shared" si="823"/>
        <v>0</v>
      </c>
      <c r="V231" s="18">
        <f t="shared" si="823"/>
        <v>0</v>
      </c>
      <c r="W231" s="18">
        <f t="shared" ref="W231" si="824">++W219-SUM(W223:W230)</f>
        <v>0</v>
      </c>
      <c r="X231" s="18">
        <f t="shared" ref="X231" si="825">++X219-SUM(X223:X230)</f>
        <v>0</v>
      </c>
      <c r="Y231" s="18">
        <f t="shared" ref="Y231" si="826">++Y219-SUM(Y223:Y230)</f>
        <v>0</v>
      </c>
      <c r="Z231" s="18">
        <f t="shared" ref="Z231" si="827">++Z219-SUM(Z223:Z230)</f>
        <v>0</v>
      </c>
      <c r="AA231" s="18">
        <f t="shared" ref="AA231" si="828">++AA219-SUM(AA223:AA230)</f>
        <v>0</v>
      </c>
      <c r="AB231" s="18">
        <f t="shared" ref="AB231" si="829">++AB219-SUM(AB223:AB230)</f>
        <v>0</v>
      </c>
      <c r="AC231" s="18">
        <f t="shared" ref="AC231" si="830">++AC219-SUM(AC223:AC230)</f>
        <v>0</v>
      </c>
      <c r="AD231" s="18">
        <f t="shared" ref="AD231" si="831">++AD219-SUM(AD223:AD230)</f>
        <v>0</v>
      </c>
      <c r="AF231" s="185"/>
      <c r="AG231" s="18">
        <f t="shared" ref="AG231" si="832">++AG219-SUM(AG223:AG230)</f>
        <v>0</v>
      </c>
      <c r="AH231" s="18">
        <f t="shared" ref="AH231" si="833">++AH219-SUM(AH223:AH230)</f>
        <v>0</v>
      </c>
    </row>
    <row r="232" spans="3:34" x14ac:dyDescent="0.4">
      <c r="C232" s="199" t="str">
        <f>++C$38</f>
        <v>% margin</v>
      </c>
      <c r="G232" s="20"/>
      <c r="H232" s="20"/>
      <c r="I232" s="20"/>
      <c r="J232" s="19">
        <f t="shared" ref="J232:AH232" si="834">++IFERROR(J231/J210,0)</f>
        <v>0</v>
      </c>
      <c r="K232" s="19">
        <f t="shared" ref="K232:V232" si="835">++IFERROR(K231/K210,0)</f>
        <v>0</v>
      </c>
      <c r="L232" s="19">
        <f t="shared" si="835"/>
        <v>0</v>
      </c>
      <c r="M232" s="19">
        <f t="shared" si="835"/>
        <v>0</v>
      </c>
      <c r="N232" s="19">
        <f t="shared" si="835"/>
        <v>0</v>
      </c>
      <c r="O232" s="19">
        <f t="shared" si="835"/>
        <v>0</v>
      </c>
      <c r="P232" s="19">
        <f t="shared" si="835"/>
        <v>0</v>
      </c>
      <c r="Q232" s="19">
        <f t="shared" si="835"/>
        <v>0</v>
      </c>
      <c r="R232" s="19">
        <f t="shared" si="835"/>
        <v>0</v>
      </c>
      <c r="S232" s="19">
        <f t="shared" si="835"/>
        <v>0</v>
      </c>
      <c r="T232" s="19">
        <f t="shared" si="835"/>
        <v>0</v>
      </c>
      <c r="U232" s="19">
        <f t="shared" si="835"/>
        <v>0</v>
      </c>
      <c r="V232" s="19">
        <f t="shared" si="835"/>
        <v>0</v>
      </c>
      <c r="W232" s="19">
        <f t="shared" si="834"/>
        <v>0</v>
      </c>
      <c r="X232" s="19">
        <f t="shared" si="834"/>
        <v>0</v>
      </c>
      <c r="Y232" s="19">
        <f t="shared" si="834"/>
        <v>0</v>
      </c>
      <c r="Z232" s="19">
        <f t="shared" si="834"/>
        <v>0</v>
      </c>
      <c r="AA232" s="19">
        <f t="shared" si="834"/>
        <v>0</v>
      </c>
      <c r="AB232" s="19">
        <f t="shared" si="834"/>
        <v>0</v>
      </c>
      <c r="AC232" s="19">
        <f t="shared" si="834"/>
        <v>0</v>
      </c>
      <c r="AD232" s="19">
        <f t="shared" si="834"/>
        <v>0</v>
      </c>
      <c r="AF232" s="20"/>
      <c r="AG232" s="19">
        <f t="shared" si="834"/>
        <v>0</v>
      </c>
      <c r="AH232" s="19">
        <f t="shared" si="834"/>
        <v>0</v>
      </c>
    </row>
    <row r="233" spans="3:34" x14ac:dyDescent="0.4">
      <c r="C233" s="199" t="str">
        <f>++C$39</f>
        <v>% y/y</v>
      </c>
      <c r="G233" s="177" t="s">
        <v>52</v>
      </c>
      <c r="H233" s="177" t="s">
        <v>52</v>
      </c>
      <c r="I233" s="177" t="s">
        <v>52</v>
      </c>
      <c r="J233" s="177" t="s">
        <v>52</v>
      </c>
      <c r="K233" s="177" t="s">
        <v>52</v>
      </c>
      <c r="L233" s="177" t="s">
        <v>52</v>
      </c>
      <c r="M233" s="177" t="s">
        <v>52</v>
      </c>
      <c r="N233" s="19">
        <f t="shared" ref="N233" si="836">++IFERROR(N231/J231-1,0)</f>
        <v>0</v>
      </c>
      <c r="O233" s="19">
        <f t="shared" ref="O233" si="837">++IFERROR(O231/K231-1,0)</f>
        <v>0</v>
      </c>
      <c r="P233" s="19">
        <f t="shared" ref="P233" si="838">++IFERROR(P231/L231-1,0)</f>
        <v>0</v>
      </c>
      <c r="Q233" s="19">
        <f t="shared" ref="Q233" si="839">++IFERROR(Q231/M231-1,0)</f>
        <v>0</v>
      </c>
      <c r="R233" s="19">
        <f t="shared" ref="R233" si="840">++IFERROR(R231/N231-1,0)</f>
        <v>0</v>
      </c>
      <c r="S233" s="19">
        <f t="shared" ref="S233" si="841">++IFERROR(S231/O231-1,0)</f>
        <v>0</v>
      </c>
      <c r="T233" s="19">
        <f t="shared" ref="T233" si="842">++IFERROR(T231/P231-1,0)</f>
        <v>0</v>
      </c>
      <c r="U233" s="19">
        <f t="shared" ref="U233" si="843">++IFERROR(U231/Q231-1,0)</f>
        <v>0</v>
      </c>
      <c r="V233" s="19">
        <f t="shared" ref="V233" si="844">++IFERROR(V231/R231-1,0)</f>
        <v>0</v>
      </c>
      <c r="W233" s="19">
        <f t="shared" ref="W233:AD233" si="845">++IFERROR(W231/S231-1,0)</f>
        <v>0</v>
      </c>
      <c r="X233" s="19">
        <f t="shared" si="845"/>
        <v>0</v>
      </c>
      <c r="Y233" s="19">
        <f t="shared" si="845"/>
        <v>0</v>
      </c>
      <c r="Z233" s="19">
        <f t="shared" si="845"/>
        <v>0</v>
      </c>
      <c r="AA233" s="19">
        <f t="shared" si="845"/>
        <v>0</v>
      </c>
      <c r="AB233" s="19">
        <f t="shared" si="845"/>
        <v>0</v>
      </c>
      <c r="AC233" s="19">
        <f t="shared" si="845"/>
        <v>0</v>
      </c>
      <c r="AD233" s="19">
        <f t="shared" si="845"/>
        <v>0</v>
      </c>
      <c r="AF233" s="177" t="s">
        <v>52</v>
      </c>
      <c r="AG233" s="19">
        <f>++IFERROR(AG231/AF231-1,0)</f>
        <v>0</v>
      </c>
      <c r="AH233" s="19">
        <f>++IFERROR(AH231/AG231-1,0)</f>
        <v>0</v>
      </c>
    </row>
    <row r="234" spans="3:34" x14ac:dyDescent="0.4">
      <c r="C234" s="196"/>
    </row>
    <row r="235" spans="3:34" x14ac:dyDescent="0.4">
      <c r="C235" s="196" t="str">
        <f>++C$41</f>
        <v>Interest Expense (Income)</v>
      </c>
      <c r="G235" s="184"/>
      <c r="H235" s="184"/>
      <c r="I235" s="184"/>
      <c r="J235" s="54">
        <f t="shared" ref="J235:AA236" si="846">++SUM(G41:J41)</f>
        <v>0</v>
      </c>
      <c r="K235" s="54">
        <f t="shared" ref="K235:K236" si="847">++SUM(H41:K41)</f>
        <v>0</v>
      </c>
      <c r="L235" s="54">
        <f t="shared" ref="L235:L236" si="848">++SUM(I41:L41)</f>
        <v>0</v>
      </c>
      <c r="M235" s="54">
        <f t="shared" ref="M235:M236" si="849">++SUM(J41:M41)</f>
        <v>0</v>
      </c>
      <c r="N235" s="54">
        <f t="shared" ref="N235:N236" si="850">++SUM(K41:N41)</f>
        <v>0</v>
      </c>
      <c r="O235" s="54">
        <f t="shared" ref="O235:O236" si="851">++SUM(L41:O41)</f>
        <v>0</v>
      </c>
      <c r="P235" s="54">
        <f t="shared" ref="P235:P236" si="852">++SUM(M41:P41)</f>
        <v>0</v>
      </c>
      <c r="Q235" s="54">
        <f t="shared" ref="Q235:Q236" si="853">++SUM(N41:Q41)</f>
        <v>0</v>
      </c>
      <c r="R235" s="54">
        <f t="shared" ref="R235:R236" si="854">++SUM(O41:R41)</f>
        <v>0</v>
      </c>
      <c r="S235" s="54">
        <f t="shared" ref="S235:S236" si="855">++SUM(P41:S41)</f>
        <v>0</v>
      </c>
      <c r="T235" s="54">
        <f t="shared" ref="T235:T236" si="856">++SUM(Q41:T41)</f>
        <v>0</v>
      </c>
      <c r="U235" s="54">
        <f t="shared" ref="U235:U236" si="857">++SUM(R41:U41)</f>
        <v>0</v>
      </c>
      <c r="V235" s="54">
        <f t="shared" ref="V235:V236" si="858">++SUM(S41:V41)</f>
        <v>0</v>
      </c>
      <c r="W235" s="54">
        <f t="shared" si="846"/>
        <v>0</v>
      </c>
      <c r="X235" s="54">
        <f t="shared" si="846"/>
        <v>0</v>
      </c>
      <c r="Y235" s="54">
        <f t="shared" si="846"/>
        <v>0</v>
      </c>
      <c r="Z235" s="54">
        <f t="shared" si="846"/>
        <v>0</v>
      </c>
      <c r="AA235" s="54">
        <f t="shared" si="846"/>
        <v>0</v>
      </c>
      <c r="AB235" s="54">
        <f t="shared" ref="AB235:AD236" si="859">++SUM(Y41:AB41)</f>
        <v>0</v>
      </c>
      <c r="AC235" s="54">
        <f t="shared" si="859"/>
        <v>0</v>
      </c>
      <c r="AD235" s="54">
        <f t="shared" si="859"/>
        <v>0</v>
      </c>
      <c r="AF235" s="184"/>
      <c r="AG235" s="54">
        <f t="shared" ref="AG235:AG236" si="860">++AG138+V235-AF138</f>
        <v>0</v>
      </c>
      <c r="AH235" s="54">
        <f t="shared" ref="AH235:AH236" si="861">++AH138+Z235-AG138</f>
        <v>0</v>
      </c>
    </row>
    <row r="236" spans="3:34" x14ac:dyDescent="0.4">
      <c r="C236" s="196" t="str">
        <f>++C$42</f>
        <v>Other Expense (Income)</v>
      </c>
      <c r="G236" s="184"/>
      <c r="H236" s="184"/>
      <c r="I236" s="184"/>
      <c r="J236" s="54">
        <f t="shared" si="846"/>
        <v>0</v>
      </c>
      <c r="K236" s="54">
        <f t="shared" si="847"/>
        <v>0</v>
      </c>
      <c r="L236" s="54">
        <f t="shared" si="848"/>
        <v>0</v>
      </c>
      <c r="M236" s="54">
        <f t="shared" si="849"/>
        <v>0</v>
      </c>
      <c r="N236" s="54">
        <f t="shared" si="850"/>
        <v>0</v>
      </c>
      <c r="O236" s="54">
        <f t="shared" si="851"/>
        <v>0</v>
      </c>
      <c r="P236" s="54">
        <f t="shared" si="852"/>
        <v>0</v>
      </c>
      <c r="Q236" s="54">
        <f t="shared" si="853"/>
        <v>0</v>
      </c>
      <c r="R236" s="54">
        <f t="shared" si="854"/>
        <v>0</v>
      </c>
      <c r="S236" s="54">
        <f t="shared" si="855"/>
        <v>0</v>
      </c>
      <c r="T236" s="54">
        <f t="shared" si="856"/>
        <v>0</v>
      </c>
      <c r="U236" s="54">
        <f t="shared" si="857"/>
        <v>0</v>
      </c>
      <c r="V236" s="54">
        <f t="shared" si="858"/>
        <v>0</v>
      </c>
      <c r="W236" s="54">
        <f t="shared" si="846"/>
        <v>0</v>
      </c>
      <c r="X236" s="54">
        <f t="shared" si="846"/>
        <v>0</v>
      </c>
      <c r="Y236" s="54">
        <f t="shared" si="846"/>
        <v>0</v>
      </c>
      <c r="Z236" s="54">
        <f t="shared" si="846"/>
        <v>0</v>
      </c>
      <c r="AA236" s="54">
        <f t="shared" si="846"/>
        <v>0</v>
      </c>
      <c r="AB236" s="54">
        <f t="shared" si="859"/>
        <v>0</v>
      </c>
      <c r="AC236" s="54">
        <f t="shared" si="859"/>
        <v>0</v>
      </c>
      <c r="AD236" s="54">
        <f t="shared" si="859"/>
        <v>0</v>
      </c>
      <c r="AF236" s="184"/>
      <c r="AG236" s="54">
        <f t="shared" si="860"/>
        <v>0</v>
      </c>
      <c r="AH236" s="54">
        <f t="shared" si="861"/>
        <v>0</v>
      </c>
    </row>
    <row r="237" spans="3:34" x14ac:dyDescent="0.4">
      <c r="C237" s="198" t="str">
        <f>++C$43</f>
        <v>Pre-Tax Income (Loss)</v>
      </c>
      <c r="D237" s="2"/>
      <c r="E237" s="2"/>
      <c r="G237" s="185"/>
      <c r="H237" s="185"/>
      <c r="I237" s="185"/>
      <c r="J237" s="18">
        <f t="shared" ref="J237" si="862">++J231-SUM(J235:J236)</f>
        <v>0</v>
      </c>
      <c r="K237" s="18">
        <f t="shared" ref="K237:V237" si="863">++K231-SUM(K235:K236)</f>
        <v>0</v>
      </c>
      <c r="L237" s="18">
        <f t="shared" si="863"/>
        <v>0</v>
      </c>
      <c r="M237" s="18">
        <f t="shared" si="863"/>
        <v>0</v>
      </c>
      <c r="N237" s="18">
        <f t="shared" si="863"/>
        <v>0</v>
      </c>
      <c r="O237" s="18">
        <f t="shared" si="863"/>
        <v>0</v>
      </c>
      <c r="P237" s="18">
        <f t="shared" si="863"/>
        <v>0</v>
      </c>
      <c r="Q237" s="18">
        <f t="shared" si="863"/>
        <v>0</v>
      </c>
      <c r="R237" s="18">
        <f t="shared" si="863"/>
        <v>0</v>
      </c>
      <c r="S237" s="18">
        <f t="shared" si="863"/>
        <v>0</v>
      </c>
      <c r="T237" s="18">
        <f t="shared" si="863"/>
        <v>0</v>
      </c>
      <c r="U237" s="18">
        <f t="shared" si="863"/>
        <v>0</v>
      </c>
      <c r="V237" s="18">
        <f t="shared" si="863"/>
        <v>0</v>
      </c>
      <c r="W237" s="18">
        <f t="shared" ref="W237" si="864">++W231-SUM(W235:W236)</f>
        <v>0</v>
      </c>
      <c r="X237" s="18">
        <f t="shared" ref="X237" si="865">++X231-SUM(X235:X236)</f>
        <v>0</v>
      </c>
      <c r="Y237" s="18">
        <f t="shared" ref="Y237" si="866">++Y231-SUM(Y235:Y236)</f>
        <v>0</v>
      </c>
      <c r="Z237" s="18">
        <f t="shared" ref="Z237" si="867">++Z231-SUM(Z235:Z236)</f>
        <v>0</v>
      </c>
      <c r="AA237" s="18">
        <f t="shared" ref="AA237" si="868">++AA231-SUM(AA235:AA236)</f>
        <v>0</v>
      </c>
      <c r="AB237" s="18">
        <f t="shared" ref="AB237" si="869">++AB231-SUM(AB235:AB236)</f>
        <v>0</v>
      </c>
      <c r="AC237" s="18">
        <f t="shared" ref="AC237" si="870">++AC231-SUM(AC235:AC236)</f>
        <v>0</v>
      </c>
      <c r="AD237" s="18">
        <f t="shared" ref="AD237" si="871">++AD231-SUM(AD235:AD236)</f>
        <v>0</v>
      </c>
      <c r="AF237" s="185"/>
      <c r="AG237" s="18">
        <f t="shared" ref="AG237" si="872">++AG231-SUM(AG235:AG236)</f>
        <v>0</v>
      </c>
      <c r="AH237" s="18">
        <f t="shared" ref="AH237" si="873">++AH231-SUM(AH235:AH236)</f>
        <v>0</v>
      </c>
    </row>
    <row r="238" spans="3:34" x14ac:dyDescent="0.4">
      <c r="C238" s="199" t="str">
        <f>++C$44</f>
        <v>% margin</v>
      </c>
      <c r="G238" s="20"/>
      <c r="H238" s="20"/>
      <c r="I238" s="20"/>
      <c r="J238" s="19">
        <f t="shared" ref="J238:AH238" si="874">++IFERROR(J237/J210,0)</f>
        <v>0</v>
      </c>
      <c r="K238" s="19">
        <f t="shared" ref="K238:V238" si="875">++IFERROR(K237/K210,0)</f>
        <v>0</v>
      </c>
      <c r="L238" s="19">
        <f t="shared" si="875"/>
        <v>0</v>
      </c>
      <c r="M238" s="19">
        <f t="shared" si="875"/>
        <v>0</v>
      </c>
      <c r="N238" s="19">
        <f t="shared" si="875"/>
        <v>0</v>
      </c>
      <c r="O238" s="19">
        <f t="shared" si="875"/>
        <v>0</v>
      </c>
      <c r="P238" s="19">
        <f t="shared" si="875"/>
        <v>0</v>
      </c>
      <c r="Q238" s="19">
        <f t="shared" si="875"/>
        <v>0</v>
      </c>
      <c r="R238" s="19">
        <f t="shared" si="875"/>
        <v>0</v>
      </c>
      <c r="S238" s="19">
        <f t="shared" si="875"/>
        <v>0</v>
      </c>
      <c r="T238" s="19">
        <f t="shared" si="875"/>
        <v>0</v>
      </c>
      <c r="U238" s="19">
        <f t="shared" si="875"/>
        <v>0</v>
      </c>
      <c r="V238" s="19">
        <f t="shared" si="875"/>
        <v>0</v>
      </c>
      <c r="W238" s="19">
        <f t="shared" si="874"/>
        <v>0</v>
      </c>
      <c r="X238" s="19">
        <f t="shared" si="874"/>
        <v>0</v>
      </c>
      <c r="Y238" s="19">
        <f t="shared" si="874"/>
        <v>0</v>
      </c>
      <c r="Z238" s="19">
        <f t="shared" si="874"/>
        <v>0</v>
      </c>
      <c r="AA238" s="19">
        <f t="shared" si="874"/>
        <v>0</v>
      </c>
      <c r="AB238" s="19">
        <f t="shared" si="874"/>
        <v>0</v>
      </c>
      <c r="AC238" s="19">
        <f t="shared" si="874"/>
        <v>0</v>
      </c>
      <c r="AD238" s="19">
        <f t="shared" si="874"/>
        <v>0</v>
      </c>
      <c r="AF238" s="20"/>
      <c r="AG238" s="19">
        <f t="shared" si="874"/>
        <v>0</v>
      </c>
      <c r="AH238" s="19">
        <f t="shared" si="874"/>
        <v>0</v>
      </c>
    </row>
    <row r="239" spans="3:34" x14ac:dyDescent="0.4">
      <c r="C239" s="199" t="str">
        <f>++C$45</f>
        <v>% y/y</v>
      </c>
      <c r="G239" s="177" t="s">
        <v>52</v>
      </c>
      <c r="H239" s="177" t="s">
        <v>52</v>
      </c>
      <c r="I239" s="177" t="s">
        <v>52</v>
      </c>
      <c r="J239" s="177" t="s">
        <v>52</v>
      </c>
      <c r="K239" s="177" t="s">
        <v>52</v>
      </c>
      <c r="L239" s="177" t="s">
        <v>52</v>
      </c>
      <c r="M239" s="177" t="s">
        <v>52</v>
      </c>
      <c r="N239" s="19">
        <f t="shared" ref="N239" si="876">++IFERROR(N237/J237-1,0)</f>
        <v>0</v>
      </c>
      <c r="O239" s="19">
        <f t="shared" ref="O239" si="877">++IFERROR(O237/K237-1,0)</f>
        <v>0</v>
      </c>
      <c r="P239" s="19">
        <f t="shared" ref="P239" si="878">++IFERROR(P237/L237-1,0)</f>
        <v>0</v>
      </c>
      <c r="Q239" s="19">
        <f t="shared" ref="Q239" si="879">++IFERROR(Q237/M237-1,0)</f>
        <v>0</v>
      </c>
      <c r="R239" s="19">
        <f t="shared" ref="R239" si="880">++IFERROR(R237/N237-1,0)</f>
        <v>0</v>
      </c>
      <c r="S239" s="19">
        <f t="shared" ref="S239" si="881">++IFERROR(S237/O237-1,0)</f>
        <v>0</v>
      </c>
      <c r="T239" s="19">
        <f t="shared" ref="T239" si="882">++IFERROR(T237/P237-1,0)</f>
        <v>0</v>
      </c>
      <c r="U239" s="19">
        <f t="shared" ref="U239" si="883">++IFERROR(U237/Q237-1,0)</f>
        <v>0</v>
      </c>
      <c r="V239" s="19">
        <f t="shared" ref="V239" si="884">++IFERROR(V237/R237-1,0)</f>
        <v>0</v>
      </c>
      <c r="W239" s="19">
        <f t="shared" ref="W239:AD239" si="885">++IFERROR(W237/S237-1,0)</f>
        <v>0</v>
      </c>
      <c r="X239" s="19">
        <f t="shared" si="885"/>
        <v>0</v>
      </c>
      <c r="Y239" s="19">
        <f t="shared" si="885"/>
        <v>0</v>
      </c>
      <c r="Z239" s="19">
        <f t="shared" si="885"/>
        <v>0</v>
      </c>
      <c r="AA239" s="19">
        <f t="shared" si="885"/>
        <v>0</v>
      </c>
      <c r="AB239" s="19">
        <f t="shared" si="885"/>
        <v>0</v>
      </c>
      <c r="AC239" s="19">
        <f t="shared" si="885"/>
        <v>0</v>
      </c>
      <c r="AD239" s="19">
        <f t="shared" si="885"/>
        <v>0</v>
      </c>
      <c r="AF239" s="177" t="s">
        <v>52</v>
      </c>
      <c r="AG239" s="19">
        <f>++IFERROR(AG237/AF237-1,0)</f>
        <v>0</v>
      </c>
      <c r="AH239" s="19">
        <f>++IFERROR(AH237/AG237-1,0)</f>
        <v>0</v>
      </c>
    </row>
    <row r="240" spans="3:34" x14ac:dyDescent="0.4">
      <c r="C240" s="196"/>
    </row>
    <row r="241" spans="3:34" x14ac:dyDescent="0.4">
      <c r="C241" s="196" t="str">
        <f>++C$47</f>
        <v>Income Tax Expense (Benefit)</v>
      </c>
      <c r="G241" s="184"/>
      <c r="H241" s="184"/>
      <c r="I241" s="184"/>
      <c r="J241" s="54">
        <f t="shared" ref="J241:AD241" si="886">++SUM(G47:J47)</f>
        <v>0</v>
      </c>
      <c r="K241" s="54">
        <f t="shared" ref="K241" si="887">++SUM(H47:K47)</f>
        <v>0</v>
      </c>
      <c r="L241" s="54">
        <f t="shared" ref="L241" si="888">++SUM(I47:L47)</f>
        <v>0</v>
      </c>
      <c r="M241" s="54">
        <f t="shared" ref="M241" si="889">++SUM(J47:M47)</f>
        <v>0</v>
      </c>
      <c r="N241" s="54">
        <f t="shared" ref="N241" si="890">++SUM(K47:N47)</f>
        <v>0</v>
      </c>
      <c r="O241" s="54">
        <f t="shared" ref="O241" si="891">++SUM(L47:O47)</f>
        <v>0</v>
      </c>
      <c r="P241" s="54">
        <f t="shared" ref="P241" si="892">++SUM(M47:P47)</f>
        <v>0</v>
      </c>
      <c r="Q241" s="54">
        <f t="shared" ref="Q241" si="893">++SUM(N47:Q47)</f>
        <v>0</v>
      </c>
      <c r="R241" s="54">
        <f t="shared" ref="R241" si="894">++SUM(O47:R47)</f>
        <v>0</v>
      </c>
      <c r="S241" s="54">
        <f t="shared" ref="S241" si="895">++SUM(P47:S47)</f>
        <v>0</v>
      </c>
      <c r="T241" s="54">
        <f t="shared" ref="T241" si="896">++SUM(Q47:T47)</f>
        <v>0</v>
      </c>
      <c r="U241" s="54">
        <f t="shared" ref="U241" si="897">++SUM(R47:U47)</f>
        <v>0</v>
      </c>
      <c r="V241" s="54">
        <f t="shared" ref="V241" si="898">++SUM(S47:V47)</f>
        <v>0</v>
      </c>
      <c r="W241" s="54">
        <f t="shared" si="886"/>
        <v>0</v>
      </c>
      <c r="X241" s="54">
        <f t="shared" si="886"/>
        <v>0</v>
      </c>
      <c r="Y241" s="54">
        <f t="shared" si="886"/>
        <v>0</v>
      </c>
      <c r="Z241" s="54">
        <f t="shared" si="886"/>
        <v>0</v>
      </c>
      <c r="AA241" s="54">
        <f t="shared" si="886"/>
        <v>0</v>
      </c>
      <c r="AB241" s="54">
        <f t="shared" si="886"/>
        <v>0</v>
      </c>
      <c r="AC241" s="54">
        <f t="shared" si="886"/>
        <v>0</v>
      </c>
      <c r="AD241" s="54">
        <f t="shared" si="886"/>
        <v>0</v>
      </c>
      <c r="AF241" s="184"/>
      <c r="AG241" s="54">
        <f>++AG144+V241-AF144</f>
        <v>0</v>
      </c>
      <c r="AH241" s="54">
        <f>++AH144+Z241-AG144</f>
        <v>0</v>
      </c>
    </row>
    <row r="242" spans="3:34" x14ac:dyDescent="0.4">
      <c r="C242" s="199" t="str">
        <f>++C$48</f>
        <v>% effective rate</v>
      </c>
      <c r="G242" s="20"/>
      <c r="H242" s="20"/>
      <c r="I242" s="20"/>
      <c r="J242" s="19">
        <f t="shared" ref="J242:V242" si="899">++IFERROR(J241/J237,0)</f>
        <v>0</v>
      </c>
      <c r="K242" s="19">
        <f t="shared" si="899"/>
        <v>0</v>
      </c>
      <c r="L242" s="19">
        <f t="shared" si="899"/>
        <v>0</v>
      </c>
      <c r="M242" s="19">
        <f t="shared" si="899"/>
        <v>0</v>
      </c>
      <c r="N242" s="19">
        <f t="shared" si="899"/>
        <v>0</v>
      </c>
      <c r="O242" s="19">
        <f t="shared" si="899"/>
        <v>0</v>
      </c>
      <c r="P242" s="19">
        <f t="shared" si="899"/>
        <v>0</v>
      </c>
      <c r="Q242" s="19">
        <f t="shared" si="899"/>
        <v>0</v>
      </c>
      <c r="R242" s="19">
        <f t="shared" si="899"/>
        <v>0</v>
      </c>
      <c r="S242" s="19">
        <f t="shared" si="899"/>
        <v>0</v>
      </c>
      <c r="T242" s="19">
        <f t="shared" si="899"/>
        <v>0</v>
      </c>
      <c r="U242" s="19">
        <f t="shared" si="899"/>
        <v>0</v>
      </c>
      <c r="V242" s="19">
        <f t="shared" si="899"/>
        <v>0</v>
      </c>
      <c r="W242" s="19">
        <f t="shared" ref="W242" si="900">++IFERROR(W241/W237,0)</f>
        <v>0</v>
      </c>
      <c r="X242" s="19">
        <f t="shared" ref="X242" si="901">++IFERROR(X241/X237,0)</f>
        <v>0</v>
      </c>
      <c r="Y242" s="19">
        <f t="shared" ref="Y242" si="902">++IFERROR(Y241/Y237,0)</f>
        <v>0</v>
      </c>
      <c r="Z242" s="19">
        <f t="shared" ref="Z242" si="903">++IFERROR(Z241/Z237,0)</f>
        <v>0</v>
      </c>
      <c r="AA242" s="19">
        <f t="shared" ref="AA242" si="904">++IFERROR(AA241/AA237,0)</f>
        <v>0</v>
      </c>
      <c r="AB242" s="19">
        <f t="shared" ref="AB242" si="905">++IFERROR(AB241/AB237,0)</f>
        <v>0</v>
      </c>
      <c r="AC242" s="19">
        <f t="shared" ref="AC242" si="906">++IFERROR(AC241/AC237,0)</f>
        <v>0</v>
      </c>
      <c r="AD242" s="19">
        <f t="shared" ref="AD242" si="907">++IFERROR(AD241/AD237,0)</f>
        <v>0</v>
      </c>
      <c r="AF242" s="20"/>
      <c r="AG242" s="19">
        <f t="shared" ref="AG242" si="908">++IFERROR(AG241/AG237,0)</f>
        <v>0</v>
      </c>
      <c r="AH242" s="19">
        <f t="shared" ref="AH242" si="909">++IFERROR(AH241/AH237,0)</f>
        <v>0</v>
      </c>
    </row>
    <row r="243" spans="3:34" x14ac:dyDescent="0.4">
      <c r="C243" s="196"/>
    </row>
    <row r="244" spans="3:34" ht="13.5" thickBot="1" x14ac:dyDescent="0.45">
      <c r="C244" s="200" t="str">
        <f>++C$50</f>
        <v>Net Income</v>
      </c>
      <c r="D244" s="174"/>
      <c r="E244" s="174"/>
      <c r="G244" s="186"/>
      <c r="H244" s="186"/>
      <c r="I244" s="186"/>
      <c r="J244" s="178">
        <f t="shared" ref="J244:AH244" si="910">++J237-J241</f>
        <v>0</v>
      </c>
      <c r="K244" s="178">
        <f t="shared" ref="K244:V244" si="911">++K237-K241</f>
        <v>0</v>
      </c>
      <c r="L244" s="178">
        <f t="shared" si="911"/>
        <v>0</v>
      </c>
      <c r="M244" s="178">
        <f t="shared" si="911"/>
        <v>0</v>
      </c>
      <c r="N244" s="178">
        <f t="shared" si="911"/>
        <v>0</v>
      </c>
      <c r="O244" s="178">
        <f t="shared" si="911"/>
        <v>0</v>
      </c>
      <c r="P244" s="178">
        <f t="shared" si="911"/>
        <v>0</v>
      </c>
      <c r="Q244" s="178">
        <f t="shared" si="911"/>
        <v>0</v>
      </c>
      <c r="R244" s="178">
        <f t="shared" si="911"/>
        <v>0</v>
      </c>
      <c r="S244" s="178">
        <f t="shared" si="911"/>
        <v>0</v>
      </c>
      <c r="T244" s="178">
        <f t="shared" si="911"/>
        <v>0</v>
      </c>
      <c r="U244" s="178">
        <f t="shared" si="911"/>
        <v>0</v>
      </c>
      <c r="V244" s="178">
        <f t="shared" si="911"/>
        <v>0</v>
      </c>
      <c r="W244" s="178">
        <f t="shared" si="910"/>
        <v>0</v>
      </c>
      <c r="X244" s="178">
        <f t="shared" si="910"/>
        <v>0</v>
      </c>
      <c r="Y244" s="178">
        <f t="shared" si="910"/>
        <v>0</v>
      </c>
      <c r="Z244" s="178">
        <f t="shared" si="910"/>
        <v>0</v>
      </c>
      <c r="AA244" s="178">
        <f t="shared" si="910"/>
        <v>0</v>
      </c>
      <c r="AB244" s="178">
        <f t="shared" si="910"/>
        <v>0</v>
      </c>
      <c r="AC244" s="178">
        <f t="shared" si="910"/>
        <v>0</v>
      </c>
      <c r="AD244" s="178">
        <f t="shared" si="910"/>
        <v>0</v>
      </c>
      <c r="AF244" s="186"/>
      <c r="AG244" s="178">
        <f t="shared" si="910"/>
        <v>0</v>
      </c>
      <c r="AH244" s="178">
        <f t="shared" si="910"/>
        <v>0</v>
      </c>
    </row>
    <row r="245" spans="3:34" ht="13.5" thickTop="1" x14ac:dyDescent="0.4">
      <c r="C245" s="199" t="str">
        <f>++C$51</f>
        <v>% margin</v>
      </c>
      <c r="G245" s="20"/>
      <c r="H245" s="20"/>
      <c r="I245" s="20"/>
      <c r="J245" s="19">
        <f t="shared" ref="J245:AH245" si="912">++IFERROR(J244/J210,0)</f>
        <v>0</v>
      </c>
      <c r="K245" s="19">
        <f t="shared" ref="K245:V245" si="913">++IFERROR(K244/K210,0)</f>
        <v>0</v>
      </c>
      <c r="L245" s="19">
        <f t="shared" si="913"/>
        <v>0</v>
      </c>
      <c r="M245" s="19">
        <f t="shared" si="913"/>
        <v>0</v>
      </c>
      <c r="N245" s="19">
        <f t="shared" si="913"/>
        <v>0</v>
      </c>
      <c r="O245" s="19">
        <f t="shared" si="913"/>
        <v>0</v>
      </c>
      <c r="P245" s="19">
        <f t="shared" si="913"/>
        <v>0</v>
      </c>
      <c r="Q245" s="19">
        <f t="shared" si="913"/>
        <v>0</v>
      </c>
      <c r="R245" s="19">
        <f t="shared" si="913"/>
        <v>0</v>
      </c>
      <c r="S245" s="19">
        <f t="shared" si="913"/>
        <v>0</v>
      </c>
      <c r="T245" s="19">
        <f t="shared" si="913"/>
        <v>0</v>
      </c>
      <c r="U245" s="19">
        <f t="shared" si="913"/>
        <v>0</v>
      </c>
      <c r="V245" s="19">
        <f t="shared" si="913"/>
        <v>0</v>
      </c>
      <c r="W245" s="19">
        <f t="shared" si="912"/>
        <v>0</v>
      </c>
      <c r="X245" s="19">
        <f t="shared" si="912"/>
        <v>0</v>
      </c>
      <c r="Y245" s="19">
        <f t="shared" si="912"/>
        <v>0</v>
      </c>
      <c r="Z245" s="19">
        <f t="shared" si="912"/>
        <v>0</v>
      </c>
      <c r="AA245" s="19">
        <f t="shared" si="912"/>
        <v>0</v>
      </c>
      <c r="AB245" s="19">
        <f t="shared" si="912"/>
        <v>0</v>
      </c>
      <c r="AC245" s="19">
        <f t="shared" si="912"/>
        <v>0</v>
      </c>
      <c r="AD245" s="19">
        <f t="shared" si="912"/>
        <v>0</v>
      </c>
      <c r="AF245" s="20"/>
      <c r="AG245" s="19">
        <f t="shared" si="912"/>
        <v>0</v>
      </c>
      <c r="AH245" s="19">
        <f t="shared" si="912"/>
        <v>0</v>
      </c>
    </row>
    <row r="246" spans="3:34" x14ac:dyDescent="0.4">
      <c r="C246" s="199" t="str">
        <f>++C$52</f>
        <v>% y/y</v>
      </c>
      <c r="G246" s="177" t="s">
        <v>52</v>
      </c>
      <c r="H246" s="177" t="s">
        <v>52</v>
      </c>
      <c r="I246" s="177" t="s">
        <v>52</v>
      </c>
      <c r="J246" s="177" t="s">
        <v>52</v>
      </c>
      <c r="K246" s="177" t="s">
        <v>52</v>
      </c>
      <c r="L246" s="177" t="s">
        <v>52</v>
      </c>
      <c r="M246" s="177" t="s">
        <v>52</v>
      </c>
      <c r="N246" s="19">
        <f t="shared" ref="N246" si="914">++IFERROR(N244/J244-1,0)</f>
        <v>0</v>
      </c>
      <c r="O246" s="19">
        <f t="shared" ref="O246" si="915">++IFERROR(O244/K244-1,0)</f>
        <v>0</v>
      </c>
      <c r="P246" s="19">
        <f t="shared" ref="P246" si="916">++IFERROR(P244/L244-1,0)</f>
        <v>0</v>
      </c>
      <c r="Q246" s="19">
        <f t="shared" ref="Q246" si="917">++IFERROR(Q244/M244-1,0)</f>
        <v>0</v>
      </c>
      <c r="R246" s="19">
        <f t="shared" ref="R246" si="918">++IFERROR(R244/N244-1,0)</f>
        <v>0</v>
      </c>
      <c r="S246" s="19">
        <f t="shared" ref="S246" si="919">++IFERROR(S244/O244-1,0)</f>
        <v>0</v>
      </c>
      <c r="T246" s="19">
        <f t="shared" ref="T246" si="920">++IFERROR(T244/P244-1,0)</f>
        <v>0</v>
      </c>
      <c r="U246" s="19">
        <f t="shared" ref="U246" si="921">++IFERROR(U244/Q244-1,0)</f>
        <v>0</v>
      </c>
      <c r="V246" s="19">
        <f t="shared" ref="V246" si="922">++IFERROR(V244/R244-1,0)</f>
        <v>0</v>
      </c>
      <c r="W246" s="19">
        <f t="shared" ref="W246:AD246" si="923">++IFERROR(W244/S244-1,0)</f>
        <v>0</v>
      </c>
      <c r="X246" s="19">
        <f t="shared" si="923"/>
        <v>0</v>
      </c>
      <c r="Y246" s="19">
        <f t="shared" si="923"/>
        <v>0</v>
      </c>
      <c r="Z246" s="19">
        <f t="shared" si="923"/>
        <v>0</v>
      </c>
      <c r="AA246" s="19">
        <f t="shared" si="923"/>
        <v>0</v>
      </c>
      <c r="AB246" s="19">
        <f t="shared" si="923"/>
        <v>0</v>
      </c>
      <c r="AC246" s="19">
        <f t="shared" si="923"/>
        <v>0</v>
      </c>
      <c r="AD246" s="19">
        <f t="shared" si="923"/>
        <v>0</v>
      </c>
      <c r="AF246" s="177" t="s">
        <v>52</v>
      </c>
      <c r="AG246" s="19">
        <f>++IFERROR(AG244/AF244-1,0)</f>
        <v>0</v>
      </c>
      <c r="AH246" s="19">
        <f>++IFERROR(AH244/AG244-1,0)</f>
        <v>0</v>
      </c>
    </row>
    <row r="247" spans="3:34" x14ac:dyDescent="0.4">
      <c r="C247" s="196"/>
    </row>
    <row r="248" spans="3:34" x14ac:dyDescent="0.4">
      <c r="C248" s="196" t="str">
        <f>++C$54</f>
        <v>Net Income</v>
      </c>
      <c r="G248" s="187"/>
      <c r="H248" s="187"/>
      <c r="I248" s="187"/>
      <c r="J248" s="64">
        <f t="shared" ref="J248:AH248" si="924">++J244</f>
        <v>0</v>
      </c>
      <c r="K248" s="64">
        <f t="shared" ref="K248:V248" si="925">++K244</f>
        <v>0</v>
      </c>
      <c r="L248" s="64">
        <f t="shared" si="925"/>
        <v>0</v>
      </c>
      <c r="M248" s="64">
        <f t="shared" si="925"/>
        <v>0</v>
      </c>
      <c r="N248" s="64">
        <f t="shared" si="925"/>
        <v>0</v>
      </c>
      <c r="O248" s="64">
        <f t="shared" si="925"/>
        <v>0</v>
      </c>
      <c r="P248" s="64">
        <f t="shared" si="925"/>
        <v>0</v>
      </c>
      <c r="Q248" s="64">
        <f t="shared" si="925"/>
        <v>0</v>
      </c>
      <c r="R248" s="64">
        <f t="shared" si="925"/>
        <v>0</v>
      </c>
      <c r="S248" s="64">
        <f t="shared" si="925"/>
        <v>0</v>
      </c>
      <c r="T248" s="64">
        <f t="shared" si="925"/>
        <v>0</v>
      </c>
      <c r="U248" s="64">
        <f t="shared" si="925"/>
        <v>0</v>
      </c>
      <c r="V248" s="64">
        <f t="shared" si="925"/>
        <v>0</v>
      </c>
      <c r="W248" s="64">
        <f t="shared" si="924"/>
        <v>0</v>
      </c>
      <c r="X248" s="64">
        <f t="shared" si="924"/>
        <v>0</v>
      </c>
      <c r="Y248" s="64">
        <f t="shared" si="924"/>
        <v>0</v>
      </c>
      <c r="Z248" s="64">
        <f t="shared" si="924"/>
        <v>0</v>
      </c>
      <c r="AA248" s="64">
        <f t="shared" si="924"/>
        <v>0</v>
      </c>
      <c r="AB248" s="64">
        <f t="shared" si="924"/>
        <v>0</v>
      </c>
      <c r="AC248" s="64">
        <f t="shared" si="924"/>
        <v>0</v>
      </c>
      <c r="AD248" s="64">
        <f t="shared" si="924"/>
        <v>0</v>
      </c>
      <c r="AF248" s="187"/>
      <c r="AG248" s="64">
        <f t="shared" si="924"/>
        <v>0</v>
      </c>
      <c r="AH248" s="64">
        <f t="shared" si="924"/>
        <v>0</v>
      </c>
    </row>
    <row r="249" spans="3:34" x14ac:dyDescent="0.4">
      <c r="C249" s="196" t="str">
        <f>++C$55</f>
        <v>( + ) Income Tax Expense (Benefit)</v>
      </c>
      <c r="G249" s="188"/>
      <c r="H249" s="188"/>
      <c r="I249" s="188"/>
      <c r="J249" s="179">
        <f t="shared" ref="J249:AH249" si="926">++J241</f>
        <v>0</v>
      </c>
      <c r="K249" s="179">
        <f t="shared" ref="K249:V249" si="927">++K241</f>
        <v>0</v>
      </c>
      <c r="L249" s="179">
        <f t="shared" si="927"/>
        <v>0</v>
      </c>
      <c r="M249" s="179">
        <f t="shared" si="927"/>
        <v>0</v>
      </c>
      <c r="N249" s="179">
        <f t="shared" si="927"/>
        <v>0</v>
      </c>
      <c r="O249" s="179">
        <f t="shared" si="927"/>
        <v>0</v>
      </c>
      <c r="P249" s="179">
        <f t="shared" si="927"/>
        <v>0</v>
      </c>
      <c r="Q249" s="179">
        <f t="shared" si="927"/>
        <v>0</v>
      </c>
      <c r="R249" s="179">
        <f t="shared" si="927"/>
        <v>0</v>
      </c>
      <c r="S249" s="179">
        <f t="shared" si="927"/>
        <v>0</v>
      </c>
      <c r="T249" s="179">
        <f t="shared" si="927"/>
        <v>0</v>
      </c>
      <c r="U249" s="179">
        <f t="shared" si="927"/>
        <v>0</v>
      </c>
      <c r="V249" s="179">
        <f t="shared" si="927"/>
        <v>0</v>
      </c>
      <c r="W249" s="179">
        <f t="shared" si="926"/>
        <v>0</v>
      </c>
      <c r="X249" s="179">
        <f t="shared" si="926"/>
        <v>0</v>
      </c>
      <c r="Y249" s="179">
        <f t="shared" si="926"/>
        <v>0</v>
      </c>
      <c r="Z249" s="179">
        <f t="shared" si="926"/>
        <v>0</v>
      </c>
      <c r="AA249" s="179">
        <f t="shared" si="926"/>
        <v>0</v>
      </c>
      <c r="AB249" s="179">
        <f t="shared" si="926"/>
        <v>0</v>
      </c>
      <c r="AC249" s="179">
        <f t="shared" si="926"/>
        <v>0</v>
      </c>
      <c r="AD249" s="179">
        <f t="shared" si="926"/>
        <v>0</v>
      </c>
      <c r="AF249" s="188"/>
      <c r="AG249" s="179">
        <f t="shared" si="926"/>
        <v>0</v>
      </c>
      <c r="AH249" s="179">
        <f t="shared" si="926"/>
        <v>0</v>
      </c>
    </row>
    <row r="250" spans="3:34" x14ac:dyDescent="0.4">
      <c r="C250" s="196" t="str">
        <f>++C$56</f>
        <v>( + ) Interest Expense (Income)</v>
      </c>
      <c r="G250" s="188"/>
      <c r="H250" s="188"/>
      <c r="I250" s="188"/>
      <c r="J250" s="179">
        <f t="shared" ref="J250:AH250" si="928">++J235</f>
        <v>0</v>
      </c>
      <c r="K250" s="179">
        <f t="shared" ref="K250:V250" si="929">++K235</f>
        <v>0</v>
      </c>
      <c r="L250" s="179">
        <f t="shared" si="929"/>
        <v>0</v>
      </c>
      <c r="M250" s="179">
        <f t="shared" si="929"/>
        <v>0</v>
      </c>
      <c r="N250" s="179">
        <f t="shared" si="929"/>
        <v>0</v>
      </c>
      <c r="O250" s="179">
        <f t="shared" si="929"/>
        <v>0</v>
      </c>
      <c r="P250" s="179">
        <f t="shared" si="929"/>
        <v>0</v>
      </c>
      <c r="Q250" s="179">
        <f t="shared" si="929"/>
        <v>0</v>
      </c>
      <c r="R250" s="179">
        <f t="shared" si="929"/>
        <v>0</v>
      </c>
      <c r="S250" s="179">
        <f t="shared" si="929"/>
        <v>0</v>
      </c>
      <c r="T250" s="179">
        <f t="shared" si="929"/>
        <v>0</v>
      </c>
      <c r="U250" s="179">
        <f t="shared" si="929"/>
        <v>0</v>
      </c>
      <c r="V250" s="179">
        <f t="shared" si="929"/>
        <v>0</v>
      </c>
      <c r="W250" s="179">
        <f t="shared" si="928"/>
        <v>0</v>
      </c>
      <c r="X250" s="179">
        <f t="shared" si="928"/>
        <v>0</v>
      </c>
      <c r="Y250" s="179">
        <f t="shared" si="928"/>
        <v>0</v>
      </c>
      <c r="Z250" s="179">
        <f t="shared" si="928"/>
        <v>0</v>
      </c>
      <c r="AA250" s="179">
        <f t="shared" si="928"/>
        <v>0</v>
      </c>
      <c r="AB250" s="179">
        <f t="shared" si="928"/>
        <v>0</v>
      </c>
      <c r="AC250" s="179">
        <f t="shared" si="928"/>
        <v>0</v>
      </c>
      <c r="AD250" s="179">
        <f t="shared" si="928"/>
        <v>0</v>
      </c>
      <c r="AF250" s="188"/>
      <c r="AG250" s="179">
        <f t="shared" si="928"/>
        <v>0</v>
      </c>
      <c r="AH250" s="179">
        <f t="shared" si="928"/>
        <v>0</v>
      </c>
    </row>
    <row r="251" spans="3:34" x14ac:dyDescent="0.4">
      <c r="C251" s="196" t="str">
        <f>++C$57</f>
        <v>( + ) Depreciation</v>
      </c>
      <c r="G251" s="188"/>
      <c r="H251" s="188"/>
      <c r="I251" s="188"/>
      <c r="J251" s="179">
        <f t="shared" ref="J251:AH251" si="930">++J228</f>
        <v>0</v>
      </c>
      <c r="K251" s="179">
        <f t="shared" ref="K251:V251" si="931">++K228</f>
        <v>0</v>
      </c>
      <c r="L251" s="179">
        <f t="shared" si="931"/>
        <v>0</v>
      </c>
      <c r="M251" s="179">
        <f t="shared" si="931"/>
        <v>0</v>
      </c>
      <c r="N251" s="179">
        <f t="shared" si="931"/>
        <v>0</v>
      </c>
      <c r="O251" s="179">
        <f t="shared" si="931"/>
        <v>0</v>
      </c>
      <c r="P251" s="179">
        <f t="shared" si="931"/>
        <v>0</v>
      </c>
      <c r="Q251" s="179">
        <f t="shared" si="931"/>
        <v>0</v>
      </c>
      <c r="R251" s="179">
        <f t="shared" si="931"/>
        <v>0</v>
      </c>
      <c r="S251" s="179">
        <f t="shared" si="931"/>
        <v>0</v>
      </c>
      <c r="T251" s="179">
        <f t="shared" si="931"/>
        <v>0</v>
      </c>
      <c r="U251" s="179">
        <f t="shared" si="931"/>
        <v>0</v>
      </c>
      <c r="V251" s="179">
        <f t="shared" si="931"/>
        <v>0</v>
      </c>
      <c r="W251" s="179">
        <f t="shared" si="930"/>
        <v>0</v>
      </c>
      <c r="X251" s="179">
        <f t="shared" si="930"/>
        <v>0</v>
      </c>
      <c r="Y251" s="179">
        <f t="shared" si="930"/>
        <v>0</v>
      </c>
      <c r="Z251" s="179">
        <f t="shared" si="930"/>
        <v>0</v>
      </c>
      <c r="AA251" s="179">
        <f t="shared" si="930"/>
        <v>0</v>
      </c>
      <c r="AB251" s="179">
        <f t="shared" si="930"/>
        <v>0</v>
      </c>
      <c r="AC251" s="179">
        <f t="shared" si="930"/>
        <v>0</v>
      </c>
      <c r="AD251" s="179">
        <f t="shared" si="930"/>
        <v>0</v>
      </c>
      <c r="AF251" s="188"/>
      <c r="AG251" s="179">
        <f t="shared" si="930"/>
        <v>0</v>
      </c>
      <c r="AH251" s="179">
        <f t="shared" si="930"/>
        <v>0</v>
      </c>
    </row>
    <row r="252" spans="3:34" x14ac:dyDescent="0.4">
      <c r="C252" s="196" t="str">
        <f>++C$58</f>
        <v>( + ) Amortization</v>
      </c>
      <c r="G252" s="188"/>
      <c r="H252" s="188"/>
      <c r="I252" s="188"/>
      <c r="J252" s="179">
        <f t="shared" ref="J252:AH252" si="932">++J229</f>
        <v>0</v>
      </c>
      <c r="K252" s="179">
        <f t="shared" ref="K252:V252" si="933">++K229</f>
        <v>0</v>
      </c>
      <c r="L252" s="179">
        <f t="shared" si="933"/>
        <v>0</v>
      </c>
      <c r="M252" s="179">
        <f t="shared" si="933"/>
        <v>0</v>
      </c>
      <c r="N252" s="179">
        <f t="shared" si="933"/>
        <v>0</v>
      </c>
      <c r="O252" s="179">
        <f t="shared" si="933"/>
        <v>0</v>
      </c>
      <c r="P252" s="179">
        <f t="shared" si="933"/>
        <v>0</v>
      </c>
      <c r="Q252" s="179">
        <f t="shared" si="933"/>
        <v>0</v>
      </c>
      <c r="R252" s="179">
        <f t="shared" si="933"/>
        <v>0</v>
      </c>
      <c r="S252" s="179">
        <f t="shared" si="933"/>
        <v>0</v>
      </c>
      <c r="T252" s="179">
        <f t="shared" si="933"/>
        <v>0</v>
      </c>
      <c r="U252" s="179">
        <f t="shared" si="933"/>
        <v>0</v>
      </c>
      <c r="V252" s="179">
        <f t="shared" si="933"/>
        <v>0</v>
      </c>
      <c r="W252" s="179">
        <f t="shared" si="932"/>
        <v>0</v>
      </c>
      <c r="X252" s="179">
        <f t="shared" si="932"/>
        <v>0</v>
      </c>
      <c r="Y252" s="179">
        <f t="shared" si="932"/>
        <v>0</v>
      </c>
      <c r="Z252" s="179">
        <f t="shared" si="932"/>
        <v>0</v>
      </c>
      <c r="AA252" s="179">
        <f t="shared" si="932"/>
        <v>0</v>
      </c>
      <c r="AB252" s="179">
        <f t="shared" si="932"/>
        <v>0</v>
      </c>
      <c r="AC252" s="179">
        <f t="shared" si="932"/>
        <v>0</v>
      </c>
      <c r="AD252" s="179">
        <f t="shared" si="932"/>
        <v>0</v>
      </c>
      <c r="AF252" s="188"/>
      <c r="AG252" s="179">
        <f t="shared" si="932"/>
        <v>0</v>
      </c>
      <c r="AH252" s="179">
        <f t="shared" si="932"/>
        <v>0</v>
      </c>
    </row>
    <row r="253" spans="3:34" x14ac:dyDescent="0.4">
      <c r="C253" s="198" t="str">
        <f>++C$59</f>
        <v>EBITDA (Reported)</v>
      </c>
      <c r="D253" s="2"/>
      <c r="E253" s="2"/>
      <c r="G253" s="189"/>
      <c r="H253" s="189"/>
      <c r="I253" s="189"/>
      <c r="J253" s="180">
        <f t="shared" ref="J253" si="934">++SUM(J248:J252)</f>
        <v>0</v>
      </c>
      <c r="K253" s="180">
        <f t="shared" ref="K253:V253" si="935">++SUM(K248:K252)</f>
        <v>0</v>
      </c>
      <c r="L253" s="180">
        <f t="shared" si="935"/>
        <v>0</v>
      </c>
      <c r="M253" s="180">
        <f t="shared" si="935"/>
        <v>0</v>
      </c>
      <c r="N253" s="180">
        <f t="shared" si="935"/>
        <v>0</v>
      </c>
      <c r="O253" s="180">
        <f t="shared" si="935"/>
        <v>0</v>
      </c>
      <c r="P253" s="180">
        <f t="shared" si="935"/>
        <v>0</v>
      </c>
      <c r="Q253" s="180">
        <f t="shared" si="935"/>
        <v>0</v>
      </c>
      <c r="R253" s="180">
        <f t="shared" si="935"/>
        <v>0</v>
      </c>
      <c r="S253" s="180">
        <f t="shared" si="935"/>
        <v>0</v>
      </c>
      <c r="T253" s="180">
        <f t="shared" si="935"/>
        <v>0</v>
      </c>
      <c r="U253" s="180">
        <f t="shared" si="935"/>
        <v>0</v>
      </c>
      <c r="V253" s="180">
        <f t="shared" si="935"/>
        <v>0</v>
      </c>
      <c r="W253" s="180">
        <f t="shared" ref="W253" si="936">++SUM(W248:W252)</f>
        <v>0</v>
      </c>
      <c r="X253" s="180">
        <f t="shared" ref="X253" si="937">++SUM(X248:X252)</f>
        <v>0</v>
      </c>
      <c r="Y253" s="180">
        <f t="shared" ref="Y253" si="938">++SUM(Y248:Y252)</f>
        <v>0</v>
      </c>
      <c r="Z253" s="180">
        <f t="shared" ref="Z253" si="939">++SUM(Z248:Z252)</f>
        <v>0</v>
      </c>
      <c r="AA253" s="180">
        <f t="shared" ref="AA253" si="940">++SUM(AA248:AA252)</f>
        <v>0</v>
      </c>
      <c r="AB253" s="180">
        <f t="shared" ref="AB253" si="941">++SUM(AB248:AB252)</f>
        <v>0</v>
      </c>
      <c r="AC253" s="180">
        <f t="shared" ref="AC253" si="942">++SUM(AC248:AC252)</f>
        <v>0</v>
      </c>
      <c r="AD253" s="180">
        <f t="shared" ref="AD253" si="943">++SUM(AD248:AD252)</f>
        <v>0</v>
      </c>
      <c r="AF253" s="189"/>
      <c r="AG253" s="180">
        <f t="shared" ref="AG253" si="944">++SUM(AG248:AG252)</f>
        <v>0</v>
      </c>
      <c r="AH253" s="180">
        <f t="shared" ref="AH253" si="945">++SUM(AH248:AH252)</f>
        <v>0</v>
      </c>
    </row>
    <row r="254" spans="3:34" x14ac:dyDescent="0.4">
      <c r="C254" s="199" t="str">
        <f>++C$60</f>
        <v>% margin</v>
      </c>
      <c r="G254" s="20"/>
      <c r="H254" s="20"/>
      <c r="I254" s="20"/>
      <c r="J254" s="19">
        <f t="shared" ref="J254:AH254" si="946">++IFERROR(J253/J210,0)</f>
        <v>0</v>
      </c>
      <c r="K254" s="19">
        <f t="shared" ref="K254:V254" si="947">++IFERROR(K253/K210,0)</f>
        <v>0</v>
      </c>
      <c r="L254" s="19">
        <f t="shared" si="947"/>
        <v>0</v>
      </c>
      <c r="M254" s="19">
        <f t="shared" si="947"/>
        <v>0</v>
      </c>
      <c r="N254" s="19">
        <f t="shared" si="947"/>
        <v>0</v>
      </c>
      <c r="O254" s="19">
        <f t="shared" si="947"/>
        <v>0</v>
      </c>
      <c r="P254" s="19">
        <f t="shared" si="947"/>
        <v>0</v>
      </c>
      <c r="Q254" s="19">
        <f t="shared" si="947"/>
        <v>0</v>
      </c>
      <c r="R254" s="19">
        <f t="shared" si="947"/>
        <v>0</v>
      </c>
      <c r="S254" s="19">
        <f t="shared" si="947"/>
        <v>0</v>
      </c>
      <c r="T254" s="19">
        <f t="shared" si="947"/>
        <v>0</v>
      </c>
      <c r="U254" s="19">
        <f t="shared" si="947"/>
        <v>0</v>
      </c>
      <c r="V254" s="19">
        <f t="shared" si="947"/>
        <v>0</v>
      </c>
      <c r="W254" s="19">
        <f t="shared" si="946"/>
        <v>0</v>
      </c>
      <c r="X254" s="19">
        <f t="shared" si="946"/>
        <v>0</v>
      </c>
      <c r="Y254" s="19">
        <f t="shared" si="946"/>
        <v>0</v>
      </c>
      <c r="Z254" s="19">
        <f t="shared" si="946"/>
        <v>0</v>
      </c>
      <c r="AA254" s="19">
        <f t="shared" si="946"/>
        <v>0</v>
      </c>
      <c r="AB254" s="19">
        <f t="shared" si="946"/>
        <v>0</v>
      </c>
      <c r="AC254" s="19">
        <f t="shared" si="946"/>
        <v>0</v>
      </c>
      <c r="AD254" s="19">
        <f t="shared" si="946"/>
        <v>0</v>
      </c>
      <c r="AF254" s="20"/>
      <c r="AG254" s="19">
        <f t="shared" si="946"/>
        <v>0</v>
      </c>
      <c r="AH254" s="19">
        <f t="shared" si="946"/>
        <v>0</v>
      </c>
    </row>
    <row r="255" spans="3:34" x14ac:dyDescent="0.4">
      <c r="C255" s="199" t="str">
        <f>++C$61</f>
        <v>% y/y</v>
      </c>
      <c r="G255" s="177" t="s">
        <v>52</v>
      </c>
      <c r="H255" s="177" t="s">
        <v>52</v>
      </c>
      <c r="I255" s="177" t="s">
        <v>52</v>
      </c>
      <c r="J255" s="177" t="s">
        <v>52</v>
      </c>
      <c r="K255" s="177" t="s">
        <v>52</v>
      </c>
      <c r="L255" s="177" t="s">
        <v>52</v>
      </c>
      <c r="M255" s="177" t="s">
        <v>52</v>
      </c>
      <c r="N255" s="19">
        <f t="shared" ref="N255" si="948">++IFERROR(N253/J253-1,0)</f>
        <v>0</v>
      </c>
      <c r="O255" s="19">
        <f t="shared" ref="O255" si="949">++IFERROR(O253/K253-1,0)</f>
        <v>0</v>
      </c>
      <c r="P255" s="19">
        <f t="shared" ref="P255" si="950">++IFERROR(P253/L253-1,0)</f>
        <v>0</v>
      </c>
      <c r="Q255" s="19">
        <f t="shared" ref="Q255" si="951">++IFERROR(Q253/M253-1,0)</f>
        <v>0</v>
      </c>
      <c r="R255" s="19">
        <f t="shared" ref="R255" si="952">++IFERROR(R253/N253-1,0)</f>
        <v>0</v>
      </c>
      <c r="S255" s="19">
        <f t="shared" ref="S255" si="953">++IFERROR(S253/O253-1,0)</f>
        <v>0</v>
      </c>
      <c r="T255" s="19">
        <f t="shared" ref="T255" si="954">++IFERROR(T253/P253-1,0)</f>
        <v>0</v>
      </c>
      <c r="U255" s="19">
        <f t="shared" ref="U255" si="955">++IFERROR(U253/Q253-1,0)</f>
        <v>0</v>
      </c>
      <c r="V255" s="19">
        <f t="shared" ref="V255" si="956">++IFERROR(V253/R253-1,0)</f>
        <v>0</v>
      </c>
      <c r="W255" s="19">
        <f t="shared" ref="W255:AD255" si="957">++IFERROR(W253/S253-1,0)</f>
        <v>0</v>
      </c>
      <c r="X255" s="19">
        <f t="shared" si="957"/>
        <v>0</v>
      </c>
      <c r="Y255" s="19">
        <f t="shared" si="957"/>
        <v>0</v>
      </c>
      <c r="Z255" s="19">
        <f t="shared" si="957"/>
        <v>0</v>
      </c>
      <c r="AA255" s="19">
        <f t="shared" si="957"/>
        <v>0</v>
      </c>
      <c r="AB255" s="19">
        <f t="shared" si="957"/>
        <v>0</v>
      </c>
      <c r="AC255" s="19">
        <f t="shared" si="957"/>
        <v>0</v>
      </c>
      <c r="AD255" s="19">
        <f t="shared" si="957"/>
        <v>0</v>
      </c>
      <c r="AF255" s="177" t="s">
        <v>52</v>
      </c>
      <c r="AG255" s="19">
        <f>++IFERROR(AG253/AF253-1,0)</f>
        <v>0</v>
      </c>
      <c r="AH255" s="19">
        <f>++IFERROR(AH253/AG253-1,0)</f>
        <v>0</v>
      </c>
    </row>
    <row r="256" spans="3:34" x14ac:dyDescent="0.4">
      <c r="C256" s="196"/>
    </row>
    <row r="257" spans="3:34" x14ac:dyDescent="0.4">
      <c r="C257" s="196" t="str">
        <f>++C$63</f>
        <v>( + ) [Diligence Adjustment]</v>
      </c>
      <c r="G257" s="184"/>
      <c r="H257" s="184"/>
      <c r="I257" s="184"/>
      <c r="J257" s="54">
        <f t="shared" ref="J257:J266" si="958">++SUM(G63:J63)</f>
        <v>0</v>
      </c>
      <c r="K257" s="54">
        <f t="shared" ref="K257:K266" si="959">++SUM(H63:K63)</f>
        <v>0</v>
      </c>
      <c r="L257" s="54">
        <f t="shared" ref="L257:L266" si="960">++SUM(I63:L63)</f>
        <v>0</v>
      </c>
      <c r="M257" s="54">
        <f t="shared" ref="M257:M266" si="961">++SUM(J63:M63)</f>
        <v>0</v>
      </c>
      <c r="N257" s="54">
        <f t="shared" ref="N257:N266" si="962">++SUM(K63:N63)</f>
        <v>0</v>
      </c>
      <c r="O257" s="54">
        <f t="shared" ref="O257:O266" si="963">++SUM(L63:O63)</f>
        <v>0</v>
      </c>
      <c r="P257" s="54">
        <f t="shared" ref="P257:P266" si="964">++SUM(M63:P63)</f>
        <v>0</v>
      </c>
      <c r="Q257" s="54">
        <f t="shared" ref="Q257:Q266" si="965">++SUM(N63:Q63)</f>
        <v>0</v>
      </c>
      <c r="R257" s="54">
        <f t="shared" ref="R257:R266" si="966">++SUM(O63:R63)</f>
        <v>0</v>
      </c>
      <c r="S257" s="54">
        <f t="shared" ref="S257:S266" si="967">++SUM(P63:S63)</f>
        <v>0</v>
      </c>
      <c r="T257" s="54">
        <f t="shared" ref="T257:T266" si="968">++SUM(Q63:T63)</f>
        <v>0</v>
      </c>
      <c r="U257" s="54">
        <f t="shared" ref="U257:U266" si="969">++SUM(R63:U63)</f>
        <v>0</v>
      </c>
      <c r="V257" s="54">
        <f t="shared" ref="V257:V266" si="970">++SUM(S63:V63)</f>
        <v>0</v>
      </c>
      <c r="W257" s="54">
        <f t="shared" ref="W257:W266" si="971">++SUM(T63:W63)</f>
        <v>0</v>
      </c>
      <c r="X257" s="54">
        <f t="shared" ref="X257:X266" si="972">++SUM(U63:X63)</f>
        <v>0</v>
      </c>
      <c r="Y257" s="54">
        <f t="shared" ref="Y257:Y266" si="973">++SUM(V63:Y63)</f>
        <v>0</v>
      </c>
      <c r="Z257" s="54">
        <f t="shared" ref="Z257:Z266" si="974">++SUM(W63:Z63)</f>
        <v>0</v>
      </c>
      <c r="AA257" s="54">
        <f t="shared" ref="AA257:AA266" si="975">++SUM(X63:AA63)</f>
        <v>0</v>
      </c>
      <c r="AB257" s="54">
        <f t="shared" ref="AB257:AB266" si="976">++SUM(Y63:AB63)</f>
        <v>0</v>
      </c>
      <c r="AC257" s="54">
        <f t="shared" ref="AC257:AC266" si="977">++SUM(Z63:AC63)</f>
        <v>0</v>
      </c>
      <c r="AD257" s="54">
        <f t="shared" ref="AD257:AD266" si="978">++SUM(AA63:AD63)</f>
        <v>0</v>
      </c>
      <c r="AF257" s="184"/>
      <c r="AG257" s="54">
        <f t="shared" ref="AG257:AG266" si="979">++AG160+V257-AF160</f>
        <v>0</v>
      </c>
      <c r="AH257" s="54">
        <f t="shared" ref="AH257:AH266" si="980">++AH160+Z257-AG160</f>
        <v>0</v>
      </c>
    </row>
    <row r="258" spans="3:34" x14ac:dyDescent="0.4">
      <c r="C258" s="196" t="str">
        <f>++C$64</f>
        <v>( + ) [Diligence Adjustment]</v>
      </c>
      <c r="G258" s="184"/>
      <c r="H258" s="184"/>
      <c r="I258" s="184"/>
      <c r="J258" s="54">
        <f t="shared" si="958"/>
        <v>0</v>
      </c>
      <c r="K258" s="54">
        <f t="shared" si="959"/>
        <v>0</v>
      </c>
      <c r="L258" s="54">
        <f t="shared" si="960"/>
        <v>0</v>
      </c>
      <c r="M258" s="54">
        <f t="shared" si="961"/>
        <v>0</v>
      </c>
      <c r="N258" s="54">
        <f t="shared" si="962"/>
        <v>0</v>
      </c>
      <c r="O258" s="54">
        <f t="shared" si="963"/>
        <v>0</v>
      </c>
      <c r="P258" s="54">
        <f t="shared" si="964"/>
        <v>0</v>
      </c>
      <c r="Q258" s="54">
        <f t="shared" si="965"/>
        <v>0</v>
      </c>
      <c r="R258" s="54">
        <f t="shared" si="966"/>
        <v>0</v>
      </c>
      <c r="S258" s="54">
        <f t="shared" si="967"/>
        <v>0</v>
      </c>
      <c r="T258" s="54">
        <f t="shared" si="968"/>
        <v>0</v>
      </c>
      <c r="U258" s="54">
        <f t="shared" si="969"/>
        <v>0</v>
      </c>
      <c r="V258" s="54">
        <f t="shared" si="970"/>
        <v>0</v>
      </c>
      <c r="W258" s="54">
        <f t="shared" si="971"/>
        <v>0</v>
      </c>
      <c r="X258" s="54">
        <f t="shared" si="972"/>
        <v>0</v>
      </c>
      <c r="Y258" s="54">
        <f t="shared" si="973"/>
        <v>0</v>
      </c>
      <c r="Z258" s="54">
        <f t="shared" si="974"/>
        <v>0</v>
      </c>
      <c r="AA258" s="54">
        <f t="shared" si="975"/>
        <v>0</v>
      </c>
      <c r="AB258" s="54">
        <f t="shared" si="976"/>
        <v>0</v>
      </c>
      <c r="AC258" s="54">
        <f t="shared" si="977"/>
        <v>0</v>
      </c>
      <c r="AD258" s="54">
        <f t="shared" si="978"/>
        <v>0</v>
      </c>
      <c r="AF258" s="184"/>
      <c r="AG258" s="54">
        <f t="shared" si="979"/>
        <v>0</v>
      </c>
      <c r="AH258" s="54">
        <f t="shared" si="980"/>
        <v>0</v>
      </c>
    </row>
    <row r="259" spans="3:34" x14ac:dyDescent="0.4">
      <c r="C259" s="196" t="str">
        <f>++C$65</f>
        <v>( + ) [Diligence Adjustment]</v>
      </c>
      <c r="G259" s="184"/>
      <c r="H259" s="184"/>
      <c r="I259" s="184"/>
      <c r="J259" s="54">
        <f t="shared" si="958"/>
        <v>0</v>
      </c>
      <c r="K259" s="54">
        <f t="shared" si="959"/>
        <v>0</v>
      </c>
      <c r="L259" s="54">
        <f t="shared" si="960"/>
        <v>0</v>
      </c>
      <c r="M259" s="54">
        <f t="shared" si="961"/>
        <v>0</v>
      </c>
      <c r="N259" s="54">
        <f t="shared" si="962"/>
        <v>0</v>
      </c>
      <c r="O259" s="54">
        <f t="shared" si="963"/>
        <v>0</v>
      </c>
      <c r="P259" s="54">
        <f t="shared" si="964"/>
        <v>0</v>
      </c>
      <c r="Q259" s="54">
        <f t="shared" si="965"/>
        <v>0</v>
      </c>
      <c r="R259" s="54">
        <f t="shared" si="966"/>
        <v>0</v>
      </c>
      <c r="S259" s="54">
        <f t="shared" si="967"/>
        <v>0</v>
      </c>
      <c r="T259" s="54">
        <f t="shared" si="968"/>
        <v>0</v>
      </c>
      <c r="U259" s="54">
        <f t="shared" si="969"/>
        <v>0</v>
      </c>
      <c r="V259" s="54">
        <f t="shared" si="970"/>
        <v>0</v>
      </c>
      <c r="W259" s="54">
        <f t="shared" si="971"/>
        <v>0</v>
      </c>
      <c r="X259" s="54">
        <f t="shared" si="972"/>
        <v>0</v>
      </c>
      <c r="Y259" s="54">
        <f t="shared" si="973"/>
        <v>0</v>
      </c>
      <c r="Z259" s="54">
        <f t="shared" si="974"/>
        <v>0</v>
      </c>
      <c r="AA259" s="54">
        <f t="shared" si="975"/>
        <v>0</v>
      </c>
      <c r="AB259" s="54">
        <f t="shared" si="976"/>
        <v>0</v>
      </c>
      <c r="AC259" s="54">
        <f t="shared" si="977"/>
        <v>0</v>
      </c>
      <c r="AD259" s="54">
        <f t="shared" si="978"/>
        <v>0</v>
      </c>
      <c r="AF259" s="184"/>
      <c r="AG259" s="54">
        <f t="shared" si="979"/>
        <v>0</v>
      </c>
      <c r="AH259" s="54">
        <f t="shared" si="980"/>
        <v>0</v>
      </c>
    </row>
    <row r="260" spans="3:34" x14ac:dyDescent="0.4">
      <c r="C260" s="196" t="str">
        <f>++C$66</f>
        <v>( + ) [Diligence Adjustment]</v>
      </c>
      <c r="G260" s="184"/>
      <c r="H260" s="184"/>
      <c r="I260" s="184"/>
      <c r="J260" s="54">
        <f t="shared" si="958"/>
        <v>0</v>
      </c>
      <c r="K260" s="54">
        <f t="shared" si="959"/>
        <v>0</v>
      </c>
      <c r="L260" s="54">
        <f t="shared" si="960"/>
        <v>0</v>
      </c>
      <c r="M260" s="54">
        <f t="shared" si="961"/>
        <v>0</v>
      </c>
      <c r="N260" s="54">
        <f t="shared" si="962"/>
        <v>0</v>
      </c>
      <c r="O260" s="54">
        <f t="shared" si="963"/>
        <v>0</v>
      </c>
      <c r="P260" s="54">
        <f t="shared" si="964"/>
        <v>0</v>
      </c>
      <c r="Q260" s="54">
        <f t="shared" si="965"/>
        <v>0</v>
      </c>
      <c r="R260" s="54">
        <f t="shared" si="966"/>
        <v>0</v>
      </c>
      <c r="S260" s="54">
        <f t="shared" si="967"/>
        <v>0</v>
      </c>
      <c r="T260" s="54">
        <f t="shared" si="968"/>
        <v>0</v>
      </c>
      <c r="U260" s="54">
        <f t="shared" si="969"/>
        <v>0</v>
      </c>
      <c r="V260" s="54">
        <f t="shared" si="970"/>
        <v>0</v>
      </c>
      <c r="W260" s="54">
        <f t="shared" si="971"/>
        <v>0</v>
      </c>
      <c r="X260" s="54">
        <f t="shared" si="972"/>
        <v>0</v>
      </c>
      <c r="Y260" s="54">
        <f t="shared" si="973"/>
        <v>0</v>
      </c>
      <c r="Z260" s="54">
        <f t="shared" si="974"/>
        <v>0</v>
      </c>
      <c r="AA260" s="54">
        <f t="shared" si="975"/>
        <v>0</v>
      </c>
      <c r="AB260" s="54">
        <f t="shared" si="976"/>
        <v>0</v>
      </c>
      <c r="AC260" s="54">
        <f t="shared" si="977"/>
        <v>0</v>
      </c>
      <c r="AD260" s="54">
        <f t="shared" si="978"/>
        <v>0</v>
      </c>
      <c r="AF260" s="184"/>
      <c r="AG260" s="54">
        <f t="shared" si="979"/>
        <v>0</v>
      </c>
      <c r="AH260" s="54">
        <f t="shared" si="980"/>
        <v>0</v>
      </c>
    </row>
    <row r="261" spans="3:34" x14ac:dyDescent="0.4">
      <c r="C261" s="196" t="str">
        <f>++C$67</f>
        <v>( + ) [Diligence Adjustment]</v>
      </c>
      <c r="G261" s="184"/>
      <c r="H261" s="184"/>
      <c r="I261" s="184"/>
      <c r="J261" s="54">
        <f t="shared" si="958"/>
        <v>0</v>
      </c>
      <c r="K261" s="54">
        <f t="shared" si="959"/>
        <v>0</v>
      </c>
      <c r="L261" s="54">
        <f t="shared" si="960"/>
        <v>0</v>
      </c>
      <c r="M261" s="54">
        <f t="shared" si="961"/>
        <v>0</v>
      </c>
      <c r="N261" s="54">
        <f t="shared" si="962"/>
        <v>0</v>
      </c>
      <c r="O261" s="54">
        <f t="shared" si="963"/>
        <v>0</v>
      </c>
      <c r="P261" s="54">
        <f t="shared" si="964"/>
        <v>0</v>
      </c>
      <c r="Q261" s="54">
        <f t="shared" si="965"/>
        <v>0</v>
      </c>
      <c r="R261" s="54">
        <f t="shared" si="966"/>
        <v>0</v>
      </c>
      <c r="S261" s="54">
        <f t="shared" si="967"/>
        <v>0</v>
      </c>
      <c r="T261" s="54">
        <f t="shared" si="968"/>
        <v>0</v>
      </c>
      <c r="U261" s="54">
        <f t="shared" si="969"/>
        <v>0</v>
      </c>
      <c r="V261" s="54">
        <f t="shared" si="970"/>
        <v>0</v>
      </c>
      <c r="W261" s="54">
        <f t="shared" si="971"/>
        <v>0</v>
      </c>
      <c r="X261" s="54">
        <f t="shared" si="972"/>
        <v>0</v>
      </c>
      <c r="Y261" s="54">
        <f t="shared" si="973"/>
        <v>0</v>
      </c>
      <c r="Z261" s="54">
        <f t="shared" si="974"/>
        <v>0</v>
      </c>
      <c r="AA261" s="54">
        <f t="shared" si="975"/>
        <v>0</v>
      </c>
      <c r="AB261" s="54">
        <f t="shared" si="976"/>
        <v>0</v>
      </c>
      <c r="AC261" s="54">
        <f t="shared" si="977"/>
        <v>0</v>
      </c>
      <c r="AD261" s="54">
        <f t="shared" si="978"/>
        <v>0</v>
      </c>
      <c r="AF261" s="184"/>
      <c r="AG261" s="54">
        <f t="shared" si="979"/>
        <v>0</v>
      </c>
      <c r="AH261" s="54">
        <f t="shared" si="980"/>
        <v>0</v>
      </c>
    </row>
    <row r="262" spans="3:34" x14ac:dyDescent="0.4">
      <c r="C262" s="196" t="str">
        <f>++C$68</f>
        <v>( + ) [Diligence Adjustment]</v>
      </c>
      <c r="G262" s="184"/>
      <c r="H262" s="184"/>
      <c r="I262" s="184"/>
      <c r="J262" s="54">
        <f t="shared" si="958"/>
        <v>0</v>
      </c>
      <c r="K262" s="54">
        <f t="shared" si="959"/>
        <v>0</v>
      </c>
      <c r="L262" s="54">
        <f t="shared" si="960"/>
        <v>0</v>
      </c>
      <c r="M262" s="54">
        <f t="shared" si="961"/>
        <v>0</v>
      </c>
      <c r="N262" s="54">
        <f t="shared" si="962"/>
        <v>0</v>
      </c>
      <c r="O262" s="54">
        <f t="shared" si="963"/>
        <v>0</v>
      </c>
      <c r="P262" s="54">
        <f t="shared" si="964"/>
        <v>0</v>
      </c>
      <c r="Q262" s="54">
        <f t="shared" si="965"/>
        <v>0</v>
      </c>
      <c r="R262" s="54">
        <f t="shared" si="966"/>
        <v>0</v>
      </c>
      <c r="S262" s="54">
        <f t="shared" si="967"/>
        <v>0</v>
      </c>
      <c r="T262" s="54">
        <f t="shared" si="968"/>
        <v>0</v>
      </c>
      <c r="U262" s="54">
        <f t="shared" si="969"/>
        <v>0</v>
      </c>
      <c r="V262" s="54">
        <f t="shared" si="970"/>
        <v>0</v>
      </c>
      <c r="W262" s="54">
        <f t="shared" si="971"/>
        <v>0</v>
      </c>
      <c r="X262" s="54">
        <f t="shared" si="972"/>
        <v>0</v>
      </c>
      <c r="Y262" s="54">
        <f t="shared" si="973"/>
        <v>0</v>
      </c>
      <c r="Z262" s="54">
        <f t="shared" si="974"/>
        <v>0</v>
      </c>
      <c r="AA262" s="54">
        <f t="shared" si="975"/>
        <v>0</v>
      </c>
      <c r="AB262" s="54">
        <f t="shared" si="976"/>
        <v>0</v>
      </c>
      <c r="AC262" s="54">
        <f t="shared" si="977"/>
        <v>0</v>
      </c>
      <c r="AD262" s="54">
        <f t="shared" si="978"/>
        <v>0</v>
      </c>
      <c r="AF262" s="184"/>
      <c r="AG262" s="54">
        <f t="shared" si="979"/>
        <v>0</v>
      </c>
      <c r="AH262" s="54">
        <f t="shared" si="980"/>
        <v>0</v>
      </c>
    </row>
    <row r="263" spans="3:34" x14ac:dyDescent="0.4">
      <c r="C263" s="196" t="str">
        <f>++C$69</f>
        <v>( + ) [Diligence Adjustment]</v>
      </c>
      <c r="G263" s="184"/>
      <c r="H263" s="184"/>
      <c r="I263" s="184"/>
      <c r="J263" s="54">
        <f t="shared" si="958"/>
        <v>0</v>
      </c>
      <c r="K263" s="54">
        <f t="shared" si="959"/>
        <v>0</v>
      </c>
      <c r="L263" s="54">
        <f t="shared" si="960"/>
        <v>0</v>
      </c>
      <c r="M263" s="54">
        <f t="shared" si="961"/>
        <v>0</v>
      </c>
      <c r="N263" s="54">
        <f t="shared" si="962"/>
        <v>0</v>
      </c>
      <c r="O263" s="54">
        <f t="shared" si="963"/>
        <v>0</v>
      </c>
      <c r="P263" s="54">
        <f t="shared" si="964"/>
        <v>0</v>
      </c>
      <c r="Q263" s="54">
        <f t="shared" si="965"/>
        <v>0</v>
      </c>
      <c r="R263" s="54">
        <f t="shared" si="966"/>
        <v>0</v>
      </c>
      <c r="S263" s="54">
        <f t="shared" si="967"/>
        <v>0</v>
      </c>
      <c r="T263" s="54">
        <f t="shared" si="968"/>
        <v>0</v>
      </c>
      <c r="U263" s="54">
        <f t="shared" si="969"/>
        <v>0</v>
      </c>
      <c r="V263" s="54">
        <f t="shared" si="970"/>
        <v>0</v>
      </c>
      <c r="W263" s="54">
        <f t="shared" si="971"/>
        <v>0</v>
      </c>
      <c r="X263" s="54">
        <f t="shared" si="972"/>
        <v>0</v>
      </c>
      <c r="Y263" s="54">
        <f t="shared" si="973"/>
        <v>0</v>
      </c>
      <c r="Z263" s="54">
        <f t="shared" si="974"/>
        <v>0</v>
      </c>
      <c r="AA263" s="54">
        <f t="shared" si="975"/>
        <v>0</v>
      </c>
      <c r="AB263" s="54">
        <f t="shared" si="976"/>
        <v>0</v>
      </c>
      <c r="AC263" s="54">
        <f t="shared" si="977"/>
        <v>0</v>
      </c>
      <c r="AD263" s="54">
        <f t="shared" si="978"/>
        <v>0</v>
      </c>
      <c r="AF263" s="184"/>
      <c r="AG263" s="54">
        <f t="shared" si="979"/>
        <v>0</v>
      </c>
      <c r="AH263" s="54">
        <f t="shared" si="980"/>
        <v>0</v>
      </c>
    </row>
    <row r="264" spans="3:34" x14ac:dyDescent="0.4">
      <c r="C264" s="196" t="str">
        <f>++C$70</f>
        <v>( + ) [Diligence Adjustment]</v>
      </c>
      <c r="G264" s="184"/>
      <c r="H264" s="184"/>
      <c r="I264" s="184"/>
      <c r="J264" s="54">
        <f t="shared" si="958"/>
        <v>0</v>
      </c>
      <c r="K264" s="54">
        <f t="shared" si="959"/>
        <v>0</v>
      </c>
      <c r="L264" s="54">
        <f t="shared" si="960"/>
        <v>0</v>
      </c>
      <c r="M264" s="54">
        <f t="shared" si="961"/>
        <v>0</v>
      </c>
      <c r="N264" s="54">
        <f t="shared" si="962"/>
        <v>0</v>
      </c>
      <c r="O264" s="54">
        <f t="shared" si="963"/>
        <v>0</v>
      </c>
      <c r="P264" s="54">
        <f t="shared" si="964"/>
        <v>0</v>
      </c>
      <c r="Q264" s="54">
        <f t="shared" si="965"/>
        <v>0</v>
      </c>
      <c r="R264" s="54">
        <f t="shared" si="966"/>
        <v>0</v>
      </c>
      <c r="S264" s="54">
        <f t="shared" si="967"/>
        <v>0</v>
      </c>
      <c r="T264" s="54">
        <f t="shared" si="968"/>
        <v>0</v>
      </c>
      <c r="U264" s="54">
        <f t="shared" si="969"/>
        <v>0</v>
      </c>
      <c r="V264" s="54">
        <f t="shared" si="970"/>
        <v>0</v>
      </c>
      <c r="W264" s="54">
        <f t="shared" si="971"/>
        <v>0</v>
      </c>
      <c r="X264" s="54">
        <f t="shared" si="972"/>
        <v>0</v>
      </c>
      <c r="Y264" s="54">
        <f t="shared" si="973"/>
        <v>0</v>
      </c>
      <c r="Z264" s="54">
        <f t="shared" si="974"/>
        <v>0</v>
      </c>
      <c r="AA264" s="54">
        <f t="shared" si="975"/>
        <v>0</v>
      </c>
      <c r="AB264" s="54">
        <f t="shared" si="976"/>
        <v>0</v>
      </c>
      <c r="AC264" s="54">
        <f t="shared" si="977"/>
        <v>0</v>
      </c>
      <c r="AD264" s="54">
        <f t="shared" si="978"/>
        <v>0</v>
      </c>
      <c r="AF264" s="184"/>
      <c r="AG264" s="54">
        <f t="shared" si="979"/>
        <v>0</v>
      </c>
      <c r="AH264" s="54">
        <f t="shared" si="980"/>
        <v>0</v>
      </c>
    </row>
    <row r="265" spans="3:34" x14ac:dyDescent="0.4">
      <c r="C265" s="196" t="str">
        <f>++C$71</f>
        <v>( + ) [Diligence Adjustment]</v>
      </c>
      <c r="G265" s="184"/>
      <c r="H265" s="184"/>
      <c r="I265" s="184"/>
      <c r="J265" s="54">
        <f t="shared" si="958"/>
        <v>0</v>
      </c>
      <c r="K265" s="54">
        <f t="shared" si="959"/>
        <v>0</v>
      </c>
      <c r="L265" s="54">
        <f t="shared" si="960"/>
        <v>0</v>
      </c>
      <c r="M265" s="54">
        <f t="shared" si="961"/>
        <v>0</v>
      </c>
      <c r="N265" s="54">
        <f t="shared" si="962"/>
        <v>0</v>
      </c>
      <c r="O265" s="54">
        <f t="shared" si="963"/>
        <v>0</v>
      </c>
      <c r="P265" s="54">
        <f t="shared" si="964"/>
        <v>0</v>
      </c>
      <c r="Q265" s="54">
        <f t="shared" si="965"/>
        <v>0</v>
      </c>
      <c r="R265" s="54">
        <f t="shared" si="966"/>
        <v>0</v>
      </c>
      <c r="S265" s="54">
        <f t="shared" si="967"/>
        <v>0</v>
      </c>
      <c r="T265" s="54">
        <f t="shared" si="968"/>
        <v>0</v>
      </c>
      <c r="U265" s="54">
        <f t="shared" si="969"/>
        <v>0</v>
      </c>
      <c r="V265" s="54">
        <f t="shared" si="970"/>
        <v>0</v>
      </c>
      <c r="W265" s="54">
        <f t="shared" si="971"/>
        <v>0</v>
      </c>
      <c r="X265" s="54">
        <f t="shared" si="972"/>
        <v>0</v>
      </c>
      <c r="Y265" s="54">
        <f t="shared" si="973"/>
        <v>0</v>
      </c>
      <c r="Z265" s="54">
        <f t="shared" si="974"/>
        <v>0</v>
      </c>
      <c r="AA265" s="54">
        <f t="shared" si="975"/>
        <v>0</v>
      </c>
      <c r="AB265" s="54">
        <f t="shared" si="976"/>
        <v>0</v>
      </c>
      <c r="AC265" s="54">
        <f t="shared" si="977"/>
        <v>0</v>
      </c>
      <c r="AD265" s="54">
        <f t="shared" si="978"/>
        <v>0</v>
      </c>
      <c r="AF265" s="184"/>
      <c r="AG265" s="54">
        <f t="shared" si="979"/>
        <v>0</v>
      </c>
      <c r="AH265" s="54">
        <f t="shared" si="980"/>
        <v>0</v>
      </c>
    </row>
    <row r="266" spans="3:34" x14ac:dyDescent="0.4">
      <c r="C266" s="196" t="str">
        <f>++C$72</f>
        <v>( + ) [Diligence Adjustment]</v>
      </c>
      <c r="G266" s="184"/>
      <c r="H266" s="184"/>
      <c r="I266" s="184"/>
      <c r="J266" s="54">
        <f t="shared" si="958"/>
        <v>0</v>
      </c>
      <c r="K266" s="54">
        <f t="shared" si="959"/>
        <v>0</v>
      </c>
      <c r="L266" s="54">
        <f t="shared" si="960"/>
        <v>0</v>
      </c>
      <c r="M266" s="54">
        <f t="shared" si="961"/>
        <v>0</v>
      </c>
      <c r="N266" s="54">
        <f t="shared" si="962"/>
        <v>0</v>
      </c>
      <c r="O266" s="54">
        <f t="shared" si="963"/>
        <v>0</v>
      </c>
      <c r="P266" s="54">
        <f t="shared" si="964"/>
        <v>0</v>
      </c>
      <c r="Q266" s="54">
        <f t="shared" si="965"/>
        <v>0</v>
      </c>
      <c r="R266" s="54">
        <f t="shared" si="966"/>
        <v>0</v>
      </c>
      <c r="S266" s="54">
        <f t="shared" si="967"/>
        <v>0</v>
      </c>
      <c r="T266" s="54">
        <f t="shared" si="968"/>
        <v>0</v>
      </c>
      <c r="U266" s="54">
        <f t="shared" si="969"/>
        <v>0</v>
      </c>
      <c r="V266" s="54">
        <f t="shared" si="970"/>
        <v>0</v>
      </c>
      <c r="W266" s="54">
        <f t="shared" si="971"/>
        <v>0</v>
      </c>
      <c r="X266" s="54">
        <f t="shared" si="972"/>
        <v>0</v>
      </c>
      <c r="Y266" s="54">
        <f t="shared" si="973"/>
        <v>0</v>
      </c>
      <c r="Z266" s="54">
        <f t="shared" si="974"/>
        <v>0</v>
      </c>
      <c r="AA266" s="54">
        <f t="shared" si="975"/>
        <v>0</v>
      </c>
      <c r="AB266" s="54">
        <f t="shared" si="976"/>
        <v>0</v>
      </c>
      <c r="AC266" s="54">
        <f t="shared" si="977"/>
        <v>0</v>
      </c>
      <c r="AD266" s="54">
        <f t="shared" si="978"/>
        <v>0</v>
      </c>
      <c r="AF266" s="184"/>
      <c r="AG266" s="54">
        <f t="shared" si="979"/>
        <v>0</v>
      </c>
      <c r="AH266" s="54">
        <f t="shared" si="980"/>
        <v>0</v>
      </c>
    </row>
    <row r="267" spans="3:34" x14ac:dyDescent="0.4">
      <c r="C267" s="198" t="str">
        <f>++C$73</f>
        <v>Adjusted EBITDA</v>
      </c>
      <c r="D267" s="2"/>
      <c r="E267" s="2"/>
      <c r="G267" s="185"/>
      <c r="H267" s="185"/>
      <c r="I267" s="185"/>
      <c r="J267" s="18">
        <f t="shared" ref="J267:V267" si="981">++SUM(J253,J257:J266)</f>
        <v>0</v>
      </c>
      <c r="K267" s="18">
        <f t="shared" si="981"/>
        <v>0</v>
      </c>
      <c r="L267" s="18">
        <f t="shared" si="981"/>
        <v>0</v>
      </c>
      <c r="M267" s="18">
        <f t="shared" si="981"/>
        <v>0</v>
      </c>
      <c r="N267" s="18">
        <f t="shared" si="981"/>
        <v>0</v>
      </c>
      <c r="O267" s="18">
        <f t="shared" si="981"/>
        <v>0</v>
      </c>
      <c r="P267" s="18">
        <f t="shared" si="981"/>
        <v>0</v>
      </c>
      <c r="Q267" s="18">
        <f t="shared" si="981"/>
        <v>0</v>
      </c>
      <c r="R267" s="18">
        <f t="shared" si="981"/>
        <v>0</v>
      </c>
      <c r="S267" s="18">
        <f t="shared" si="981"/>
        <v>0</v>
      </c>
      <c r="T267" s="18">
        <f t="shared" si="981"/>
        <v>0</v>
      </c>
      <c r="U267" s="18">
        <f t="shared" si="981"/>
        <v>0</v>
      </c>
      <c r="V267" s="18">
        <f t="shared" si="981"/>
        <v>0</v>
      </c>
      <c r="W267" s="18">
        <f t="shared" ref="W267" si="982">++SUM(W253,W257:W266)</f>
        <v>0</v>
      </c>
      <c r="X267" s="18">
        <f t="shared" ref="X267" si="983">++SUM(X253,X257:X266)</f>
        <v>0</v>
      </c>
      <c r="Y267" s="18">
        <f t="shared" ref="Y267" si="984">++SUM(Y253,Y257:Y266)</f>
        <v>0</v>
      </c>
      <c r="Z267" s="18">
        <f t="shared" ref="Z267" si="985">++SUM(Z253,Z257:Z266)</f>
        <v>0</v>
      </c>
      <c r="AA267" s="18">
        <f t="shared" ref="AA267" si="986">++SUM(AA253,AA257:AA266)</f>
        <v>0</v>
      </c>
      <c r="AB267" s="18">
        <f t="shared" ref="AB267" si="987">++SUM(AB253,AB257:AB266)</f>
        <v>0</v>
      </c>
      <c r="AC267" s="18">
        <f t="shared" ref="AC267" si="988">++SUM(AC253,AC257:AC266)</f>
        <v>0</v>
      </c>
      <c r="AD267" s="18">
        <f t="shared" ref="AD267" si="989">++SUM(AD253,AD257:AD266)</f>
        <v>0</v>
      </c>
      <c r="AF267" s="185"/>
      <c r="AG267" s="18">
        <f t="shared" ref="AG267" si="990">++SUM(AG253,AG257:AG266)</f>
        <v>0</v>
      </c>
      <c r="AH267" s="18">
        <f t="shared" ref="AH267" si="991">++SUM(AH253,AH257:AH266)</f>
        <v>0</v>
      </c>
    </row>
    <row r="268" spans="3:34" x14ac:dyDescent="0.4">
      <c r="C268" s="199" t="str">
        <f>++C$74</f>
        <v>% margin</v>
      </c>
      <c r="G268" s="20"/>
      <c r="H268" s="20"/>
      <c r="I268" s="20"/>
      <c r="J268" s="19">
        <f t="shared" ref="J268:AH268" si="992">++IFERROR(J267/J210,0)</f>
        <v>0</v>
      </c>
      <c r="K268" s="19">
        <f t="shared" ref="K268:V268" si="993">++IFERROR(K267/K210,0)</f>
        <v>0</v>
      </c>
      <c r="L268" s="19">
        <f t="shared" si="993"/>
        <v>0</v>
      </c>
      <c r="M268" s="19">
        <f t="shared" si="993"/>
        <v>0</v>
      </c>
      <c r="N268" s="19">
        <f t="shared" si="993"/>
        <v>0</v>
      </c>
      <c r="O268" s="19">
        <f t="shared" si="993"/>
        <v>0</v>
      </c>
      <c r="P268" s="19">
        <f t="shared" si="993"/>
        <v>0</v>
      </c>
      <c r="Q268" s="19">
        <f t="shared" si="993"/>
        <v>0</v>
      </c>
      <c r="R268" s="19">
        <f t="shared" si="993"/>
        <v>0</v>
      </c>
      <c r="S268" s="19">
        <f t="shared" si="993"/>
        <v>0</v>
      </c>
      <c r="T268" s="19">
        <f t="shared" si="993"/>
        <v>0</v>
      </c>
      <c r="U268" s="19">
        <f t="shared" si="993"/>
        <v>0</v>
      </c>
      <c r="V268" s="19">
        <f t="shared" si="993"/>
        <v>0</v>
      </c>
      <c r="W268" s="19">
        <f t="shared" si="992"/>
        <v>0</v>
      </c>
      <c r="X268" s="19">
        <f t="shared" si="992"/>
        <v>0</v>
      </c>
      <c r="Y268" s="19">
        <f t="shared" si="992"/>
        <v>0</v>
      </c>
      <c r="Z268" s="19">
        <f t="shared" si="992"/>
        <v>0</v>
      </c>
      <c r="AA268" s="19">
        <f t="shared" si="992"/>
        <v>0</v>
      </c>
      <c r="AB268" s="19">
        <f t="shared" si="992"/>
        <v>0</v>
      </c>
      <c r="AC268" s="19">
        <f t="shared" si="992"/>
        <v>0</v>
      </c>
      <c r="AD268" s="19">
        <f t="shared" si="992"/>
        <v>0</v>
      </c>
      <c r="AF268" s="20"/>
      <c r="AG268" s="19">
        <f t="shared" si="992"/>
        <v>0</v>
      </c>
      <c r="AH268" s="19">
        <f t="shared" si="992"/>
        <v>0</v>
      </c>
    </row>
    <row r="269" spans="3:34" x14ac:dyDescent="0.4">
      <c r="C269" s="199" t="str">
        <f>++C$75</f>
        <v>% y/y</v>
      </c>
      <c r="G269" s="177" t="s">
        <v>52</v>
      </c>
      <c r="H269" s="177" t="s">
        <v>52</v>
      </c>
      <c r="I269" s="177" t="s">
        <v>52</v>
      </c>
      <c r="J269" s="177" t="s">
        <v>52</v>
      </c>
      <c r="K269" s="177" t="s">
        <v>52</v>
      </c>
      <c r="L269" s="177" t="s">
        <v>52</v>
      </c>
      <c r="M269" s="177" t="s">
        <v>52</v>
      </c>
      <c r="N269" s="19">
        <f t="shared" ref="N269" si="994">++IFERROR(N267/J267-1,0)</f>
        <v>0</v>
      </c>
      <c r="O269" s="19">
        <f t="shared" ref="O269" si="995">++IFERROR(O267/K267-1,0)</f>
        <v>0</v>
      </c>
      <c r="P269" s="19">
        <f t="shared" ref="P269" si="996">++IFERROR(P267/L267-1,0)</f>
        <v>0</v>
      </c>
      <c r="Q269" s="19">
        <f t="shared" ref="Q269" si="997">++IFERROR(Q267/M267-1,0)</f>
        <v>0</v>
      </c>
      <c r="R269" s="19">
        <f t="shared" ref="R269" si="998">++IFERROR(R267/N267-1,0)</f>
        <v>0</v>
      </c>
      <c r="S269" s="19">
        <f t="shared" ref="S269" si="999">++IFERROR(S267/O267-1,0)</f>
        <v>0</v>
      </c>
      <c r="T269" s="19">
        <f t="shared" ref="T269" si="1000">++IFERROR(T267/P267-1,0)</f>
        <v>0</v>
      </c>
      <c r="U269" s="19">
        <f t="shared" ref="U269" si="1001">++IFERROR(U267/Q267-1,0)</f>
        <v>0</v>
      </c>
      <c r="V269" s="19">
        <f t="shared" ref="V269" si="1002">++IFERROR(V267/R267-1,0)</f>
        <v>0</v>
      </c>
      <c r="W269" s="19">
        <f t="shared" ref="W269:AD269" si="1003">++IFERROR(W267/S267-1,0)</f>
        <v>0</v>
      </c>
      <c r="X269" s="19">
        <f t="shared" si="1003"/>
        <v>0</v>
      </c>
      <c r="Y269" s="19">
        <f t="shared" si="1003"/>
        <v>0</v>
      </c>
      <c r="Z269" s="19">
        <f t="shared" si="1003"/>
        <v>0</v>
      </c>
      <c r="AA269" s="19">
        <f t="shared" si="1003"/>
        <v>0</v>
      </c>
      <c r="AB269" s="19">
        <f t="shared" si="1003"/>
        <v>0</v>
      </c>
      <c r="AC269" s="19">
        <f t="shared" si="1003"/>
        <v>0</v>
      </c>
      <c r="AD269" s="19">
        <f t="shared" si="1003"/>
        <v>0</v>
      </c>
      <c r="AF269" s="177" t="s">
        <v>52</v>
      </c>
      <c r="AG269" s="19">
        <f>++IFERROR(AG267/AF267-1,0)</f>
        <v>0</v>
      </c>
      <c r="AH269" s="19">
        <f>++IFERROR(AH267/AG267-1,0)</f>
        <v>0</v>
      </c>
    </row>
    <row r="270" spans="3:34" x14ac:dyDescent="0.4">
      <c r="C270" s="196"/>
    </row>
    <row r="271" spans="3:34" x14ac:dyDescent="0.4">
      <c r="C271" s="196" t="str">
        <f>++C$77</f>
        <v>( + ) [Pro Forma Adjustment]</v>
      </c>
      <c r="G271" s="184"/>
      <c r="H271" s="184"/>
      <c r="I271" s="184"/>
      <c r="J271" s="54">
        <f t="shared" ref="J271:J280" si="1004">++SUM(G77:J77)</f>
        <v>0</v>
      </c>
      <c r="K271" s="54">
        <f t="shared" ref="K271:K280" si="1005">++SUM(H77:K77)</f>
        <v>0</v>
      </c>
      <c r="L271" s="54">
        <f t="shared" ref="L271:L280" si="1006">++SUM(I77:L77)</f>
        <v>0</v>
      </c>
      <c r="M271" s="54">
        <f t="shared" ref="M271:M280" si="1007">++SUM(J77:M77)</f>
        <v>0</v>
      </c>
      <c r="N271" s="54">
        <f t="shared" ref="N271:N280" si="1008">++SUM(K77:N77)</f>
        <v>0</v>
      </c>
      <c r="O271" s="54">
        <f t="shared" ref="O271:O280" si="1009">++SUM(L77:O77)</f>
        <v>0</v>
      </c>
      <c r="P271" s="54">
        <f t="shared" ref="P271:P280" si="1010">++SUM(M77:P77)</f>
        <v>0</v>
      </c>
      <c r="Q271" s="54">
        <f t="shared" ref="Q271:Q280" si="1011">++SUM(N77:Q77)</f>
        <v>0</v>
      </c>
      <c r="R271" s="54">
        <f t="shared" ref="R271:R280" si="1012">++SUM(O77:R77)</f>
        <v>0</v>
      </c>
      <c r="S271" s="54">
        <f t="shared" ref="S271:S280" si="1013">++SUM(P77:S77)</f>
        <v>0</v>
      </c>
      <c r="T271" s="54">
        <f t="shared" ref="T271:T280" si="1014">++SUM(Q77:T77)</f>
        <v>0</v>
      </c>
      <c r="U271" s="54">
        <f t="shared" ref="U271:U280" si="1015">++SUM(R77:U77)</f>
        <v>0</v>
      </c>
      <c r="V271" s="54">
        <f t="shared" ref="V271:V280" si="1016">++SUM(S77:V77)</f>
        <v>0</v>
      </c>
      <c r="W271" s="54">
        <f t="shared" ref="W271:W280" si="1017">++SUM(T77:W77)</f>
        <v>0</v>
      </c>
      <c r="X271" s="54">
        <f t="shared" ref="X271:X280" si="1018">++SUM(U77:X77)</f>
        <v>0</v>
      </c>
      <c r="Y271" s="54">
        <f t="shared" ref="Y271:Y280" si="1019">++SUM(V77:Y77)</f>
        <v>0</v>
      </c>
      <c r="Z271" s="54">
        <f t="shared" ref="Z271:Z280" si="1020">++SUM(W77:Z77)</f>
        <v>0</v>
      </c>
      <c r="AA271" s="54">
        <f t="shared" ref="AA271:AA280" si="1021">++SUM(X77:AA77)</f>
        <v>0</v>
      </c>
      <c r="AB271" s="54">
        <f t="shared" ref="AB271:AB280" si="1022">++SUM(Y77:AB77)</f>
        <v>0</v>
      </c>
      <c r="AC271" s="54">
        <f t="shared" ref="AC271:AC280" si="1023">++SUM(Z77:AC77)</f>
        <v>0</v>
      </c>
      <c r="AD271" s="54">
        <f t="shared" ref="AD271:AD280" si="1024">++SUM(AA77:AD77)</f>
        <v>0</v>
      </c>
      <c r="AF271" s="184"/>
      <c r="AG271" s="54">
        <f t="shared" ref="AG271:AG280" si="1025">++AG174+V271-AF174</f>
        <v>0</v>
      </c>
      <c r="AH271" s="54">
        <f t="shared" ref="AH271:AH280" si="1026">++AH174+Z271-AG174</f>
        <v>0</v>
      </c>
    </row>
    <row r="272" spans="3:34" x14ac:dyDescent="0.4">
      <c r="C272" s="196" t="str">
        <f>++C$78</f>
        <v>( + ) [Pro Forma Adjustment]</v>
      </c>
      <c r="G272" s="184"/>
      <c r="H272" s="184"/>
      <c r="I272" s="184"/>
      <c r="J272" s="54">
        <f t="shared" si="1004"/>
        <v>0</v>
      </c>
      <c r="K272" s="54">
        <f t="shared" si="1005"/>
        <v>0</v>
      </c>
      <c r="L272" s="54">
        <f t="shared" si="1006"/>
        <v>0</v>
      </c>
      <c r="M272" s="54">
        <f t="shared" si="1007"/>
        <v>0</v>
      </c>
      <c r="N272" s="54">
        <f t="shared" si="1008"/>
        <v>0</v>
      </c>
      <c r="O272" s="54">
        <f t="shared" si="1009"/>
        <v>0</v>
      </c>
      <c r="P272" s="54">
        <f t="shared" si="1010"/>
        <v>0</v>
      </c>
      <c r="Q272" s="54">
        <f t="shared" si="1011"/>
        <v>0</v>
      </c>
      <c r="R272" s="54">
        <f t="shared" si="1012"/>
        <v>0</v>
      </c>
      <c r="S272" s="54">
        <f t="shared" si="1013"/>
        <v>0</v>
      </c>
      <c r="T272" s="54">
        <f t="shared" si="1014"/>
        <v>0</v>
      </c>
      <c r="U272" s="54">
        <f t="shared" si="1015"/>
        <v>0</v>
      </c>
      <c r="V272" s="54">
        <f t="shared" si="1016"/>
        <v>0</v>
      </c>
      <c r="W272" s="54">
        <f t="shared" si="1017"/>
        <v>0</v>
      </c>
      <c r="X272" s="54">
        <f t="shared" si="1018"/>
        <v>0</v>
      </c>
      <c r="Y272" s="54">
        <f t="shared" si="1019"/>
        <v>0</v>
      </c>
      <c r="Z272" s="54">
        <f t="shared" si="1020"/>
        <v>0</v>
      </c>
      <c r="AA272" s="54">
        <f t="shared" si="1021"/>
        <v>0</v>
      </c>
      <c r="AB272" s="54">
        <f t="shared" si="1022"/>
        <v>0</v>
      </c>
      <c r="AC272" s="54">
        <f t="shared" si="1023"/>
        <v>0</v>
      </c>
      <c r="AD272" s="54">
        <f t="shared" si="1024"/>
        <v>0</v>
      </c>
      <c r="AF272" s="184"/>
      <c r="AG272" s="54">
        <f t="shared" si="1025"/>
        <v>0</v>
      </c>
      <c r="AH272" s="54">
        <f t="shared" si="1026"/>
        <v>0</v>
      </c>
    </row>
    <row r="273" spans="3:34" x14ac:dyDescent="0.4">
      <c r="C273" s="196" t="str">
        <f>++C$79</f>
        <v>( + ) [Pro Forma Adjustment]</v>
      </c>
      <c r="G273" s="184"/>
      <c r="H273" s="184"/>
      <c r="I273" s="184"/>
      <c r="J273" s="54">
        <f t="shared" si="1004"/>
        <v>0</v>
      </c>
      <c r="K273" s="54">
        <f t="shared" si="1005"/>
        <v>0</v>
      </c>
      <c r="L273" s="54">
        <f t="shared" si="1006"/>
        <v>0</v>
      </c>
      <c r="M273" s="54">
        <f t="shared" si="1007"/>
        <v>0</v>
      </c>
      <c r="N273" s="54">
        <f t="shared" si="1008"/>
        <v>0</v>
      </c>
      <c r="O273" s="54">
        <f t="shared" si="1009"/>
        <v>0</v>
      </c>
      <c r="P273" s="54">
        <f t="shared" si="1010"/>
        <v>0</v>
      </c>
      <c r="Q273" s="54">
        <f t="shared" si="1011"/>
        <v>0</v>
      </c>
      <c r="R273" s="54">
        <f t="shared" si="1012"/>
        <v>0</v>
      </c>
      <c r="S273" s="54">
        <f t="shared" si="1013"/>
        <v>0</v>
      </c>
      <c r="T273" s="54">
        <f t="shared" si="1014"/>
        <v>0</v>
      </c>
      <c r="U273" s="54">
        <f t="shared" si="1015"/>
        <v>0</v>
      </c>
      <c r="V273" s="54">
        <f t="shared" si="1016"/>
        <v>0</v>
      </c>
      <c r="W273" s="54">
        <f t="shared" si="1017"/>
        <v>0</v>
      </c>
      <c r="X273" s="54">
        <f t="shared" si="1018"/>
        <v>0</v>
      </c>
      <c r="Y273" s="54">
        <f t="shared" si="1019"/>
        <v>0</v>
      </c>
      <c r="Z273" s="54">
        <f t="shared" si="1020"/>
        <v>0</v>
      </c>
      <c r="AA273" s="54">
        <f t="shared" si="1021"/>
        <v>0</v>
      </c>
      <c r="AB273" s="54">
        <f t="shared" si="1022"/>
        <v>0</v>
      </c>
      <c r="AC273" s="54">
        <f t="shared" si="1023"/>
        <v>0</v>
      </c>
      <c r="AD273" s="54">
        <f t="shared" si="1024"/>
        <v>0</v>
      </c>
      <c r="AF273" s="184"/>
      <c r="AG273" s="54">
        <f t="shared" si="1025"/>
        <v>0</v>
      </c>
      <c r="AH273" s="54">
        <f t="shared" si="1026"/>
        <v>0</v>
      </c>
    </row>
    <row r="274" spans="3:34" x14ac:dyDescent="0.4">
      <c r="C274" s="196" t="str">
        <f>++C$80</f>
        <v>( + ) [Pro Forma Adjustment]</v>
      </c>
      <c r="G274" s="184"/>
      <c r="H274" s="184"/>
      <c r="I274" s="184"/>
      <c r="J274" s="54">
        <f t="shared" si="1004"/>
        <v>0</v>
      </c>
      <c r="K274" s="54">
        <f t="shared" si="1005"/>
        <v>0</v>
      </c>
      <c r="L274" s="54">
        <f t="shared" si="1006"/>
        <v>0</v>
      </c>
      <c r="M274" s="54">
        <f t="shared" si="1007"/>
        <v>0</v>
      </c>
      <c r="N274" s="54">
        <f t="shared" si="1008"/>
        <v>0</v>
      </c>
      <c r="O274" s="54">
        <f t="shared" si="1009"/>
        <v>0</v>
      </c>
      <c r="P274" s="54">
        <f t="shared" si="1010"/>
        <v>0</v>
      </c>
      <c r="Q274" s="54">
        <f t="shared" si="1011"/>
        <v>0</v>
      </c>
      <c r="R274" s="54">
        <f t="shared" si="1012"/>
        <v>0</v>
      </c>
      <c r="S274" s="54">
        <f t="shared" si="1013"/>
        <v>0</v>
      </c>
      <c r="T274" s="54">
        <f t="shared" si="1014"/>
        <v>0</v>
      </c>
      <c r="U274" s="54">
        <f t="shared" si="1015"/>
        <v>0</v>
      </c>
      <c r="V274" s="54">
        <f t="shared" si="1016"/>
        <v>0</v>
      </c>
      <c r="W274" s="54">
        <f t="shared" si="1017"/>
        <v>0</v>
      </c>
      <c r="X274" s="54">
        <f t="shared" si="1018"/>
        <v>0</v>
      </c>
      <c r="Y274" s="54">
        <f t="shared" si="1019"/>
        <v>0</v>
      </c>
      <c r="Z274" s="54">
        <f t="shared" si="1020"/>
        <v>0</v>
      </c>
      <c r="AA274" s="54">
        <f t="shared" si="1021"/>
        <v>0</v>
      </c>
      <c r="AB274" s="54">
        <f t="shared" si="1022"/>
        <v>0</v>
      </c>
      <c r="AC274" s="54">
        <f t="shared" si="1023"/>
        <v>0</v>
      </c>
      <c r="AD274" s="54">
        <f t="shared" si="1024"/>
        <v>0</v>
      </c>
      <c r="AF274" s="184"/>
      <c r="AG274" s="54">
        <f t="shared" si="1025"/>
        <v>0</v>
      </c>
      <c r="AH274" s="54">
        <f t="shared" si="1026"/>
        <v>0</v>
      </c>
    </row>
    <row r="275" spans="3:34" x14ac:dyDescent="0.4">
      <c r="C275" s="196" t="str">
        <f>++C$81</f>
        <v>( + ) [Pro Forma Adjustment]</v>
      </c>
      <c r="G275" s="184"/>
      <c r="H275" s="184"/>
      <c r="I275" s="184"/>
      <c r="J275" s="54">
        <f t="shared" si="1004"/>
        <v>0</v>
      </c>
      <c r="K275" s="54">
        <f t="shared" si="1005"/>
        <v>0</v>
      </c>
      <c r="L275" s="54">
        <f t="shared" si="1006"/>
        <v>0</v>
      </c>
      <c r="M275" s="54">
        <f t="shared" si="1007"/>
        <v>0</v>
      </c>
      <c r="N275" s="54">
        <f t="shared" si="1008"/>
        <v>0</v>
      </c>
      <c r="O275" s="54">
        <f t="shared" si="1009"/>
        <v>0</v>
      </c>
      <c r="P275" s="54">
        <f t="shared" si="1010"/>
        <v>0</v>
      </c>
      <c r="Q275" s="54">
        <f t="shared" si="1011"/>
        <v>0</v>
      </c>
      <c r="R275" s="54">
        <f t="shared" si="1012"/>
        <v>0</v>
      </c>
      <c r="S275" s="54">
        <f t="shared" si="1013"/>
        <v>0</v>
      </c>
      <c r="T275" s="54">
        <f t="shared" si="1014"/>
        <v>0</v>
      </c>
      <c r="U275" s="54">
        <f t="shared" si="1015"/>
        <v>0</v>
      </c>
      <c r="V275" s="54">
        <f t="shared" si="1016"/>
        <v>0</v>
      </c>
      <c r="W275" s="54">
        <f t="shared" si="1017"/>
        <v>0</v>
      </c>
      <c r="X275" s="54">
        <f t="shared" si="1018"/>
        <v>0</v>
      </c>
      <c r="Y275" s="54">
        <f t="shared" si="1019"/>
        <v>0</v>
      </c>
      <c r="Z275" s="54">
        <f t="shared" si="1020"/>
        <v>0</v>
      </c>
      <c r="AA275" s="54">
        <f t="shared" si="1021"/>
        <v>0</v>
      </c>
      <c r="AB275" s="54">
        <f t="shared" si="1022"/>
        <v>0</v>
      </c>
      <c r="AC275" s="54">
        <f t="shared" si="1023"/>
        <v>0</v>
      </c>
      <c r="AD275" s="54">
        <f t="shared" si="1024"/>
        <v>0</v>
      </c>
      <c r="AF275" s="184"/>
      <c r="AG275" s="54">
        <f t="shared" si="1025"/>
        <v>0</v>
      </c>
      <c r="AH275" s="54">
        <f t="shared" si="1026"/>
        <v>0</v>
      </c>
    </row>
    <row r="276" spans="3:34" x14ac:dyDescent="0.4">
      <c r="C276" s="196" t="str">
        <f>++C$82</f>
        <v>( + ) [Pro Forma Adjustment]</v>
      </c>
      <c r="G276" s="184"/>
      <c r="H276" s="184"/>
      <c r="I276" s="184"/>
      <c r="J276" s="54">
        <f t="shared" si="1004"/>
        <v>0</v>
      </c>
      <c r="K276" s="54">
        <f t="shared" si="1005"/>
        <v>0</v>
      </c>
      <c r="L276" s="54">
        <f t="shared" si="1006"/>
        <v>0</v>
      </c>
      <c r="M276" s="54">
        <f t="shared" si="1007"/>
        <v>0</v>
      </c>
      <c r="N276" s="54">
        <f t="shared" si="1008"/>
        <v>0</v>
      </c>
      <c r="O276" s="54">
        <f t="shared" si="1009"/>
        <v>0</v>
      </c>
      <c r="P276" s="54">
        <f t="shared" si="1010"/>
        <v>0</v>
      </c>
      <c r="Q276" s="54">
        <f t="shared" si="1011"/>
        <v>0</v>
      </c>
      <c r="R276" s="54">
        <f t="shared" si="1012"/>
        <v>0</v>
      </c>
      <c r="S276" s="54">
        <f t="shared" si="1013"/>
        <v>0</v>
      </c>
      <c r="T276" s="54">
        <f t="shared" si="1014"/>
        <v>0</v>
      </c>
      <c r="U276" s="54">
        <f t="shared" si="1015"/>
        <v>0</v>
      </c>
      <c r="V276" s="54">
        <f t="shared" si="1016"/>
        <v>0</v>
      </c>
      <c r="W276" s="54">
        <f t="shared" si="1017"/>
        <v>0</v>
      </c>
      <c r="X276" s="54">
        <f t="shared" si="1018"/>
        <v>0</v>
      </c>
      <c r="Y276" s="54">
        <f t="shared" si="1019"/>
        <v>0</v>
      </c>
      <c r="Z276" s="54">
        <f t="shared" si="1020"/>
        <v>0</v>
      </c>
      <c r="AA276" s="54">
        <f t="shared" si="1021"/>
        <v>0</v>
      </c>
      <c r="AB276" s="54">
        <f t="shared" si="1022"/>
        <v>0</v>
      </c>
      <c r="AC276" s="54">
        <f t="shared" si="1023"/>
        <v>0</v>
      </c>
      <c r="AD276" s="54">
        <f t="shared" si="1024"/>
        <v>0</v>
      </c>
      <c r="AF276" s="184"/>
      <c r="AG276" s="54">
        <f t="shared" si="1025"/>
        <v>0</v>
      </c>
      <c r="AH276" s="54">
        <f t="shared" si="1026"/>
        <v>0</v>
      </c>
    </row>
    <row r="277" spans="3:34" x14ac:dyDescent="0.4">
      <c r="C277" s="196" t="str">
        <f>++C$83</f>
        <v>( + ) [Pro Forma Adjustment]</v>
      </c>
      <c r="G277" s="184"/>
      <c r="H277" s="184"/>
      <c r="I277" s="184"/>
      <c r="J277" s="54">
        <f t="shared" si="1004"/>
        <v>0</v>
      </c>
      <c r="K277" s="54">
        <f t="shared" si="1005"/>
        <v>0</v>
      </c>
      <c r="L277" s="54">
        <f t="shared" si="1006"/>
        <v>0</v>
      </c>
      <c r="M277" s="54">
        <f t="shared" si="1007"/>
        <v>0</v>
      </c>
      <c r="N277" s="54">
        <f t="shared" si="1008"/>
        <v>0</v>
      </c>
      <c r="O277" s="54">
        <f t="shared" si="1009"/>
        <v>0</v>
      </c>
      <c r="P277" s="54">
        <f t="shared" si="1010"/>
        <v>0</v>
      </c>
      <c r="Q277" s="54">
        <f t="shared" si="1011"/>
        <v>0</v>
      </c>
      <c r="R277" s="54">
        <f t="shared" si="1012"/>
        <v>0</v>
      </c>
      <c r="S277" s="54">
        <f t="shared" si="1013"/>
        <v>0</v>
      </c>
      <c r="T277" s="54">
        <f t="shared" si="1014"/>
        <v>0</v>
      </c>
      <c r="U277" s="54">
        <f t="shared" si="1015"/>
        <v>0</v>
      </c>
      <c r="V277" s="54">
        <f t="shared" si="1016"/>
        <v>0</v>
      </c>
      <c r="W277" s="54">
        <f t="shared" si="1017"/>
        <v>0</v>
      </c>
      <c r="X277" s="54">
        <f t="shared" si="1018"/>
        <v>0</v>
      </c>
      <c r="Y277" s="54">
        <f t="shared" si="1019"/>
        <v>0</v>
      </c>
      <c r="Z277" s="54">
        <f t="shared" si="1020"/>
        <v>0</v>
      </c>
      <c r="AA277" s="54">
        <f t="shared" si="1021"/>
        <v>0</v>
      </c>
      <c r="AB277" s="54">
        <f t="shared" si="1022"/>
        <v>0</v>
      </c>
      <c r="AC277" s="54">
        <f t="shared" si="1023"/>
        <v>0</v>
      </c>
      <c r="AD277" s="54">
        <f t="shared" si="1024"/>
        <v>0</v>
      </c>
      <c r="AF277" s="184"/>
      <c r="AG277" s="54">
        <f t="shared" si="1025"/>
        <v>0</v>
      </c>
      <c r="AH277" s="54">
        <f t="shared" si="1026"/>
        <v>0</v>
      </c>
    </row>
    <row r="278" spans="3:34" x14ac:dyDescent="0.4">
      <c r="C278" s="196" t="str">
        <f>++C$84</f>
        <v>( + ) [Pro Forma Adjustment]</v>
      </c>
      <c r="G278" s="184"/>
      <c r="H278" s="184"/>
      <c r="I278" s="184"/>
      <c r="J278" s="54">
        <f t="shared" si="1004"/>
        <v>0</v>
      </c>
      <c r="K278" s="54">
        <f t="shared" si="1005"/>
        <v>0</v>
      </c>
      <c r="L278" s="54">
        <f t="shared" si="1006"/>
        <v>0</v>
      </c>
      <c r="M278" s="54">
        <f t="shared" si="1007"/>
        <v>0</v>
      </c>
      <c r="N278" s="54">
        <f t="shared" si="1008"/>
        <v>0</v>
      </c>
      <c r="O278" s="54">
        <f t="shared" si="1009"/>
        <v>0</v>
      </c>
      <c r="P278" s="54">
        <f t="shared" si="1010"/>
        <v>0</v>
      </c>
      <c r="Q278" s="54">
        <f t="shared" si="1011"/>
        <v>0</v>
      </c>
      <c r="R278" s="54">
        <f t="shared" si="1012"/>
        <v>0</v>
      </c>
      <c r="S278" s="54">
        <f t="shared" si="1013"/>
        <v>0</v>
      </c>
      <c r="T278" s="54">
        <f t="shared" si="1014"/>
        <v>0</v>
      </c>
      <c r="U278" s="54">
        <f t="shared" si="1015"/>
        <v>0</v>
      </c>
      <c r="V278" s="54">
        <f t="shared" si="1016"/>
        <v>0</v>
      </c>
      <c r="W278" s="54">
        <f t="shared" si="1017"/>
        <v>0</v>
      </c>
      <c r="X278" s="54">
        <f t="shared" si="1018"/>
        <v>0</v>
      </c>
      <c r="Y278" s="54">
        <f t="shared" si="1019"/>
        <v>0</v>
      </c>
      <c r="Z278" s="54">
        <f t="shared" si="1020"/>
        <v>0</v>
      </c>
      <c r="AA278" s="54">
        <f t="shared" si="1021"/>
        <v>0</v>
      </c>
      <c r="AB278" s="54">
        <f t="shared" si="1022"/>
        <v>0</v>
      </c>
      <c r="AC278" s="54">
        <f t="shared" si="1023"/>
        <v>0</v>
      </c>
      <c r="AD278" s="54">
        <f t="shared" si="1024"/>
        <v>0</v>
      </c>
      <c r="AF278" s="184"/>
      <c r="AG278" s="54">
        <f t="shared" si="1025"/>
        <v>0</v>
      </c>
      <c r="AH278" s="54">
        <f t="shared" si="1026"/>
        <v>0</v>
      </c>
    </row>
    <row r="279" spans="3:34" x14ac:dyDescent="0.4">
      <c r="C279" s="196" t="str">
        <f>++C$85</f>
        <v>( + ) [Pro Forma Adjustment]</v>
      </c>
      <c r="G279" s="184"/>
      <c r="H279" s="184"/>
      <c r="I279" s="184"/>
      <c r="J279" s="54">
        <f t="shared" si="1004"/>
        <v>0</v>
      </c>
      <c r="K279" s="54">
        <f t="shared" si="1005"/>
        <v>0</v>
      </c>
      <c r="L279" s="54">
        <f t="shared" si="1006"/>
        <v>0</v>
      </c>
      <c r="M279" s="54">
        <f t="shared" si="1007"/>
        <v>0</v>
      </c>
      <c r="N279" s="54">
        <f t="shared" si="1008"/>
        <v>0</v>
      </c>
      <c r="O279" s="54">
        <f t="shared" si="1009"/>
        <v>0</v>
      </c>
      <c r="P279" s="54">
        <f t="shared" si="1010"/>
        <v>0</v>
      </c>
      <c r="Q279" s="54">
        <f t="shared" si="1011"/>
        <v>0</v>
      </c>
      <c r="R279" s="54">
        <f t="shared" si="1012"/>
        <v>0</v>
      </c>
      <c r="S279" s="54">
        <f t="shared" si="1013"/>
        <v>0</v>
      </c>
      <c r="T279" s="54">
        <f t="shared" si="1014"/>
        <v>0</v>
      </c>
      <c r="U279" s="54">
        <f t="shared" si="1015"/>
        <v>0</v>
      </c>
      <c r="V279" s="54">
        <f t="shared" si="1016"/>
        <v>0</v>
      </c>
      <c r="W279" s="54">
        <f t="shared" si="1017"/>
        <v>0</v>
      </c>
      <c r="X279" s="54">
        <f t="shared" si="1018"/>
        <v>0</v>
      </c>
      <c r="Y279" s="54">
        <f t="shared" si="1019"/>
        <v>0</v>
      </c>
      <c r="Z279" s="54">
        <f t="shared" si="1020"/>
        <v>0</v>
      </c>
      <c r="AA279" s="54">
        <f t="shared" si="1021"/>
        <v>0</v>
      </c>
      <c r="AB279" s="54">
        <f t="shared" si="1022"/>
        <v>0</v>
      </c>
      <c r="AC279" s="54">
        <f t="shared" si="1023"/>
        <v>0</v>
      </c>
      <c r="AD279" s="54">
        <f t="shared" si="1024"/>
        <v>0</v>
      </c>
      <c r="AF279" s="184"/>
      <c r="AG279" s="54">
        <f t="shared" si="1025"/>
        <v>0</v>
      </c>
      <c r="AH279" s="54">
        <f t="shared" si="1026"/>
        <v>0</v>
      </c>
    </row>
    <row r="280" spans="3:34" x14ac:dyDescent="0.4">
      <c r="C280" s="196" t="str">
        <f>++C$86</f>
        <v>( + ) [Pro Forma Adjustment]</v>
      </c>
      <c r="G280" s="184"/>
      <c r="H280" s="184"/>
      <c r="I280" s="184"/>
      <c r="J280" s="54">
        <f t="shared" si="1004"/>
        <v>0</v>
      </c>
      <c r="K280" s="54">
        <f t="shared" si="1005"/>
        <v>0</v>
      </c>
      <c r="L280" s="54">
        <f t="shared" si="1006"/>
        <v>0</v>
      </c>
      <c r="M280" s="54">
        <f t="shared" si="1007"/>
        <v>0</v>
      </c>
      <c r="N280" s="54">
        <f t="shared" si="1008"/>
        <v>0</v>
      </c>
      <c r="O280" s="54">
        <f t="shared" si="1009"/>
        <v>0</v>
      </c>
      <c r="P280" s="54">
        <f t="shared" si="1010"/>
        <v>0</v>
      </c>
      <c r="Q280" s="54">
        <f t="shared" si="1011"/>
        <v>0</v>
      </c>
      <c r="R280" s="54">
        <f t="shared" si="1012"/>
        <v>0</v>
      </c>
      <c r="S280" s="54">
        <f t="shared" si="1013"/>
        <v>0</v>
      </c>
      <c r="T280" s="54">
        <f t="shared" si="1014"/>
        <v>0</v>
      </c>
      <c r="U280" s="54">
        <f t="shared" si="1015"/>
        <v>0</v>
      </c>
      <c r="V280" s="54">
        <f t="shared" si="1016"/>
        <v>0</v>
      </c>
      <c r="W280" s="54">
        <f t="shared" si="1017"/>
        <v>0</v>
      </c>
      <c r="X280" s="54">
        <f t="shared" si="1018"/>
        <v>0</v>
      </c>
      <c r="Y280" s="54">
        <f t="shared" si="1019"/>
        <v>0</v>
      </c>
      <c r="Z280" s="54">
        <f t="shared" si="1020"/>
        <v>0</v>
      </c>
      <c r="AA280" s="54">
        <f t="shared" si="1021"/>
        <v>0</v>
      </c>
      <c r="AB280" s="54">
        <f t="shared" si="1022"/>
        <v>0</v>
      </c>
      <c r="AC280" s="54">
        <f t="shared" si="1023"/>
        <v>0</v>
      </c>
      <c r="AD280" s="54">
        <f t="shared" si="1024"/>
        <v>0</v>
      </c>
      <c r="AF280" s="184"/>
      <c r="AG280" s="54">
        <f t="shared" si="1025"/>
        <v>0</v>
      </c>
      <c r="AH280" s="54">
        <f t="shared" si="1026"/>
        <v>0</v>
      </c>
    </row>
    <row r="281" spans="3:34" ht="13.5" thickBot="1" x14ac:dyDescent="0.45">
      <c r="C281" s="200" t="str">
        <f>++C$87</f>
        <v>CA EBITDA</v>
      </c>
      <c r="D281" s="174"/>
      <c r="E281" s="174"/>
      <c r="G281" s="186"/>
      <c r="H281" s="186"/>
      <c r="I281" s="186"/>
      <c r="J281" s="178">
        <f t="shared" ref="J281:V281" si="1027">++SUM(J267,J271:J280)</f>
        <v>0</v>
      </c>
      <c r="K281" s="178">
        <f t="shared" si="1027"/>
        <v>0</v>
      </c>
      <c r="L281" s="178">
        <f t="shared" si="1027"/>
        <v>0</v>
      </c>
      <c r="M281" s="178">
        <f t="shared" si="1027"/>
        <v>0</v>
      </c>
      <c r="N281" s="178">
        <f t="shared" si="1027"/>
        <v>0</v>
      </c>
      <c r="O281" s="178">
        <f t="shared" si="1027"/>
        <v>0</v>
      </c>
      <c r="P281" s="178">
        <f t="shared" si="1027"/>
        <v>0</v>
      </c>
      <c r="Q281" s="178">
        <f t="shared" si="1027"/>
        <v>0</v>
      </c>
      <c r="R281" s="178">
        <f t="shared" si="1027"/>
        <v>0</v>
      </c>
      <c r="S281" s="178">
        <f t="shared" si="1027"/>
        <v>0</v>
      </c>
      <c r="T281" s="178">
        <f t="shared" si="1027"/>
        <v>0</v>
      </c>
      <c r="U281" s="178">
        <f t="shared" si="1027"/>
        <v>0</v>
      </c>
      <c r="V281" s="178">
        <f t="shared" si="1027"/>
        <v>0</v>
      </c>
      <c r="W281" s="178">
        <f t="shared" ref="W281" si="1028">++SUM(W267,W271:W280)</f>
        <v>0</v>
      </c>
      <c r="X281" s="178">
        <f t="shared" ref="X281" si="1029">++SUM(X267,X271:X280)</f>
        <v>0</v>
      </c>
      <c r="Y281" s="178">
        <f t="shared" ref="Y281" si="1030">++SUM(Y267,Y271:Y280)</f>
        <v>0</v>
      </c>
      <c r="Z281" s="178">
        <f t="shared" ref="Z281" si="1031">++SUM(Z267,Z271:Z280)</f>
        <v>0</v>
      </c>
      <c r="AA281" s="178">
        <f t="shared" ref="AA281" si="1032">++SUM(AA267,AA271:AA280)</f>
        <v>0</v>
      </c>
      <c r="AB281" s="178">
        <f t="shared" ref="AB281" si="1033">++SUM(AB267,AB271:AB280)</f>
        <v>0</v>
      </c>
      <c r="AC281" s="178">
        <f t="shared" ref="AC281" si="1034">++SUM(AC267,AC271:AC280)</f>
        <v>0</v>
      </c>
      <c r="AD281" s="178">
        <f t="shared" ref="AD281" si="1035">++SUM(AD267,AD271:AD280)</f>
        <v>0</v>
      </c>
      <c r="AF281" s="186"/>
      <c r="AG281" s="178">
        <f t="shared" ref="AG281" si="1036">++SUM(AG267,AG271:AG280)</f>
        <v>0</v>
      </c>
      <c r="AH281" s="178">
        <f t="shared" ref="AH281" si="1037">++SUM(AH267,AH271:AH280)</f>
        <v>0</v>
      </c>
    </row>
    <row r="282" spans="3:34" ht="13.5" thickTop="1" x14ac:dyDescent="0.4">
      <c r="C282" s="199" t="str">
        <f>++C$88</f>
        <v>% margin</v>
      </c>
      <c r="G282" s="20"/>
      <c r="H282" s="20"/>
      <c r="I282" s="20"/>
      <c r="J282" s="19">
        <f t="shared" ref="J282:AH282" si="1038">++IFERROR(J281/J210,0)</f>
        <v>0</v>
      </c>
      <c r="K282" s="19">
        <f t="shared" ref="K282:V282" si="1039">++IFERROR(K281/K210,0)</f>
        <v>0</v>
      </c>
      <c r="L282" s="19">
        <f t="shared" si="1039"/>
        <v>0</v>
      </c>
      <c r="M282" s="19">
        <f t="shared" si="1039"/>
        <v>0</v>
      </c>
      <c r="N282" s="19">
        <f t="shared" si="1039"/>
        <v>0</v>
      </c>
      <c r="O282" s="19">
        <f t="shared" si="1039"/>
        <v>0</v>
      </c>
      <c r="P282" s="19">
        <f t="shared" si="1039"/>
        <v>0</v>
      </c>
      <c r="Q282" s="19">
        <f t="shared" si="1039"/>
        <v>0</v>
      </c>
      <c r="R282" s="19">
        <f t="shared" si="1039"/>
        <v>0</v>
      </c>
      <c r="S282" s="19">
        <f t="shared" si="1039"/>
        <v>0</v>
      </c>
      <c r="T282" s="19">
        <f t="shared" si="1039"/>
        <v>0</v>
      </c>
      <c r="U282" s="19">
        <f t="shared" si="1039"/>
        <v>0</v>
      </c>
      <c r="V282" s="19">
        <f t="shared" si="1039"/>
        <v>0</v>
      </c>
      <c r="W282" s="19">
        <f t="shared" si="1038"/>
        <v>0</v>
      </c>
      <c r="X282" s="19">
        <f t="shared" si="1038"/>
        <v>0</v>
      </c>
      <c r="Y282" s="19">
        <f t="shared" si="1038"/>
        <v>0</v>
      </c>
      <c r="Z282" s="19">
        <f t="shared" si="1038"/>
        <v>0</v>
      </c>
      <c r="AA282" s="19">
        <f t="shared" si="1038"/>
        <v>0</v>
      </c>
      <c r="AB282" s="19">
        <f t="shared" si="1038"/>
        <v>0</v>
      </c>
      <c r="AC282" s="19">
        <f t="shared" si="1038"/>
        <v>0</v>
      </c>
      <c r="AD282" s="19">
        <f t="shared" si="1038"/>
        <v>0</v>
      </c>
      <c r="AF282" s="20"/>
      <c r="AG282" s="19">
        <f t="shared" si="1038"/>
        <v>0</v>
      </c>
      <c r="AH282" s="19">
        <f t="shared" si="1038"/>
        <v>0</v>
      </c>
    </row>
    <row r="283" spans="3:34" x14ac:dyDescent="0.4">
      <c r="C283" s="199" t="str">
        <f>++C$89</f>
        <v>% y/y</v>
      </c>
      <c r="G283" s="177" t="s">
        <v>52</v>
      </c>
      <c r="H283" s="177" t="s">
        <v>52</v>
      </c>
      <c r="I283" s="177" t="s">
        <v>52</v>
      </c>
      <c r="J283" s="177" t="s">
        <v>52</v>
      </c>
      <c r="K283" s="177" t="s">
        <v>52</v>
      </c>
      <c r="L283" s="177" t="s">
        <v>52</v>
      </c>
      <c r="M283" s="177" t="s">
        <v>52</v>
      </c>
      <c r="N283" s="19">
        <f t="shared" ref="N283" si="1040">++IFERROR(N281/J281-1,0)</f>
        <v>0</v>
      </c>
      <c r="O283" s="19">
        <f t="shared" ref="O283" si="1041">++IFERROR(O281/K281-1,0)</f>
        <v>0</v>
      </c>
      <c r="P283" s="19">
        <f t="shared" ref="P283" si="1042">++IFERROR(P281/L281-1,0)</f>
        <v>0</v>
      </c>
      <c r="Q283" s="19">
        <f t="shared" ref="Q283" si="1043">++IFERROR(Q281/M281-1,0)</f>
        <v>0</v>
      </c>
      <c r="R283" s="19">
        <f t="shared" ref="R283" si="1044">++IFERROR(R281/N281-1,0)</f>
        <v>0</v>
      </c>
      <c r="S283" s="19">
        <f t="shared" ref="S283" si="1045">++IFERROR(S281/O281-1,0)</f>
        <v>0</v>
      </c>
      <c r="T283" s="19">
        <f t="shared" ref="T283" si="1046">++IFERROR(T281/P281-1,0)</f>
        <v>0</v>
      </c>
      <c r="U283" s="19">
        <f t="shared" ref="U283" si="1047">++IFERROR(U281/Q281-1,0)</f>
        <v>0</v>
      </c>
      <c r="V283" s="19">
        <f t="shared" ref="V283" si="1048">++IFERROR(V281/R281-1,0)</f>
        <v>0</v>
      </c>
      <c r="W283" s="19">
        <f t="shared" ref="W283:AD283" si="1049">++IFERROR(W281/S281-1,0)</f>
        <v>0</v>
      </c>
      <c r="X283" s="19">
        <f t="shared" si="1049"/>
        <v>0</v>
      </c>
      <c r="Y283" s="19">
        <f t="shared" si="1049"/>
        <v>0</v>
      </c>
      <c r="Z283" s="19">
        <f t="shared" si="1049"/>
        <v>0</v>
      </c>
      <c r="AA283" s="19">
        <f t="shared" si="1049"/>
        <v>0</v>
      </c>
      <c r="AB283" s="19">
        <f t="shared" si="1049"/>
        <v>0</v>
      </c>
      <c r="AC283" s="19">
        <f t="shared" si="1049"/>
        <v>0</v>
      </c>
      <c r="AD283" s="19">
        <f t="shared" si="1049"/>
        <v>0</v>
      </c>
      <c r="AF283" s="177" t="s">
        <v>52</v>
      </c>
      <c r="AG283" s="19">
        <f>++IFERROR(AG281/AF281-1,0)</f>
        <v>0</v>
      </c>
      <c r="AH283" s="19">
        <f>++IFERROR(AH281/AG281-1,0)</f>
        <v>0</v>
      </c>
    </row>
    <row r="284" spans="3:34" x14ac:dyDescent="0.4">
      <c r="C284" s="196"/>
    </row>
    <row r="285" spans="3:34" x14ac:dyDescent="0.4">
      <c r="C285" s="196" t="str">
        <f>++C$91</f>
        <v>Maintenance Capex</v>
      </c>
      <c r="G285" s="184"/>
      <c r="H285" s="184"/>
      <c r="I285" s="184"/>
      <c r="J285" s="54">
        <f t="shared" ref="J285:AA287" si="1050">++SUM(G91:J91)</f>
        <v>0</v>
      </c>
      <c r="K285" s="54">
        <f t="shared" ref="K285:K287" si="1051">++SUM(H91:K91)</f>
        <v>0</v>
      </c>
      <c r="L285" s="54">
        <f t="shared" ref="L285:L287" si="1052">++SUM(I91:L91)</f>
        <v>0</v>
      </c>
      <c r="M285" s="54">
        <f t="shared" ref="M285:M287" si="1053">++SUM(J91:M91)</f>
        <v>0</v>
      </c>
      <c r="N285" s="54">
        <f t="shared" ref="N285:N287" si="1054">++SUM(K91:N91)</f>
        <v>0</v>
      </c>
      <c r="O285" s="54">
        <f t="shared" ref="O285:O287" si="1055">++SUM(L91:O91)</f>
        <v>0</v>
      </c>
      <c r="P285" s="54">
        <f t="shared" ref="P285:P287" si="1056">++SUM(M91:P91)</f>
        <v>0</v>
      </c>
      <c r="Q285" s="54">
        <f t="shared" ref="Q285:Q287" si="1057">++SUM(N91:Q91)</f>
        <v>0</v>
      </c>
      <c r="R285" s="54">
        <f t="shared" ref="R285:R287" si="1058">++SUM(O91:R91)</f>
        <v>0</v>
      </c>
      <c r="S285" s="54">
        <f t="shared" ref="S285:S287" si="1059">++SUM(P91:S91)</f>
        <v>0</v>
      </c>
      <c r="T285" s="54">
        <f t="shared" ref="T285:T287" si="1060">++SUM(Q91:T91)</f>
        <v>0</v>
      </c>
      <c r="U285" s="54">
        <f t="shared" ref="U285:U287" si="1061">++SUM(R91:U91)</f>
        <v>0</v>
      </c>
      <c r="V285" s="54">
        <f t="shared" ref="V285:V287" si="1062">++SUM(S91:V91)</f>
        <v>0</v>
      </c>
      <c r="W285" s="54">
        <f t="shared" si="1050"/>
        <v>0</v>
      </c>
      <c r="X285" s="54">
        <f t="shared" si="1050"/>
        <v>0</v>
      </c>
      <c r="Y285" s="54">
        <f t="shared" si="1050"/>
        <v>0</v>
      </c>
      <c r="Z285" s="54">
        <f t="shared" si="1050"/>
        <v>0</v>
      </c>
      <c r="AA285" s="54">
        <f t="shared" si="1050"/>
        <v>0</v>
      </c>
      <c r="AB285" s="54">
        <f t="shared" ref="AB285:AD287" si="1063">++SUM(Y91:AB91)</f>
        <v>0</v>
      </c>
      <c r="AC285" s="54">
        <f t="shared" si="1063"/>
        <v>0</v>
      </c>
      <c r="AD285" s="54">
        <f t="shared" si="1063"/>
        <v>0</v>
      </c>
      <c r="AF285" s="184"/>
      <c r="AG285" s="54">
        <f t="shared" ref="AG285:AG287" si="1064">++AG188+V285-AF188</f>
        <v>0</v>
      </c>
      <c r="AH285" s="54">
        <f t="shared" ref="AH285:AH287" si="1065">++AH188+Z285-AG188</f>
        <v>0</v>
      </c>
    </row>
    <row r="286" spans="3:34" x14ac:dyDescent="0.4">
      <c r="C286" s="196" t="str">
        <f>++C$92</f>
        <v>Growth Capex</v>
      </c>
      <c r="G286" s="184"/>
      <c r="H286" s="184"/>
      <c r="I286" s="184"/>
      <c r="J286" s="54">
        <f t="shared" si="1050"/>
        <v>0</v>
      </c>
      <c r="K286" s="54">
        <f t="shared" si="1051"/>
        <v>0</v>
      </c>
      <c r="L286" s="54">
        <f t="shared" si="1052"/>
        <v>0</v>
      </c>
      <c r="M286" s="54">
        <f t="shared" si="1053"/>
        <v>0</v>
      </c>
      <c r="N286" s="54">
        <f t="shared" si="1054"/>
        <v>0</v>
      </c>
      <c r="O286" s="54">
        <f t="shared" si="1055"/>
        <v>0</v>
      </c>
      <c r="P286" s="54">
        <f t="shared" si="1056"/>
        <v>0</v>
      </c>
      <c r="Q286" s="54">
        <f t="shared" si="1057"/>
        <v>0</v>
      </c>
      <c r="R286" s="54">
        <f t="shared" si="1058"/>
        <v>0</v>
      </c>
      <c r="S286" s="54">
        <f t="shared" si="1059"/>
        <v>0</v>
      </c>
      <c r="T286" s="54">
        <f t="shared" si="1060"/>
        <v>0</v>
      </c>
      <c r="U286" s="54">
        <f t="shared" si="1061"/>
        <v>0</v>
      </c>
      <c r="V286" s="54">
        <f t="shared" si="1062"/>
        <v>0</v>
      </c>
      <c r="W286" s="54">
        <f t="shared" si="1050"/>
        <v>0</v>
      </c>
      <c r="X286" s="54">
        <f t="shared" si="1050"/>
        <v>0</v>
      </c>
      <c r="Y286" s="54">
        <f t="shared" si="1050"/>
        <v>0</v>
      </c>
      <c r="Z286" s="54">
        <f t="shared" si="1050"/>
        <v>0</v>
      </c>
      <c r="AA286" s="54">
        <f t="shared" si="1050"/>
        <v>0</v>
      </c>
      <c r="AB286" s="54">
        <f t="shared" si="1063"/>
        <v>0</v>
      </c>
      <c r="AC286" s="54">
        <f t="shared" si="1063"/>
        <v>0</v>
      </c>
      <c r="AD286" s="54">
        <f t="shared" si="1063"/>
        <v>0</v>
      </c>
      <c r="AF286" s="184"/>
      <c r="AG286" s="54">
        <f t="shared" si="1064"/>
        <v>0</v>
      </c>
      <c r="AH286" s="54">
        <f t="shared" si="1065"/>
        <v>0</v>
      </c>
    </row>
    <row r="287" spans="3:34" x14ac:dyDescent="0.4">
      <c r="C287" s="196" t="str">
        <f>++C$93</f>
        <v>Other Capex</v>
      </c>
      <c r="G287" s="184"/>
      <c r="H287" s="184"/>
      <c r="I287" s="184"/>
      <c r="J287" s="54">
        <f t="shared" si="1050"/>
        <v>0</v>
      </c>
      <c r="K287" s="54">
        <f t="shared" si="1051"/>
        <v>0</v>
      </c>
      <c r="L287" s="54">
        <f t="shared" si="1052"/>
        <v>0</v>
      </c>
      <c r="M287" s="54">
        <f t="shared" si="1053"/>
        <v>0</v>
      </c>
      <c r="N287" s="54">
        <f t="shared" si="1054"/>
        <v>0</v>
      </c>
      <c r="O287" s="54">
        <f t="shared" si="1055"/>
        <v>0</v>
      </c>
      <c r="P287" s="54">
        <f t="shared" si="1056"/>
        <v>0</v>
      </c>
      <c r="Q287" s="54">
        <f t="shared" si="1057"/>
        <v>0</v>
      </c>
      <c r="R287" s="54">
        <f t="shared" si="1058"/>
        <v>0</v>
      </c>
      <c r="S287" s="54">
        <f t="shared" si="1059"/>
        <v>0</v>
      </c>
      <c r="T287" s="54">
        <f t="shared" si="1060"/>
        <v>0</v>
      </c>
      <c r="U287" s="54">
        <f t="shared" si="1061"/>
        <v>0</v>
      </c>
      <c r="V287" s="54">
        <f t="shared" si="1062"/>
        <v>0</v>
      </c>
      <c r="W287" s="54">
        <f t="shared" si="1050"/>
        <v>0</v>
      </c>
      <c r="X287" s="54">
        <f t="shared" si="1050"/>
        <v>0</v>
      </c>
      <c r="Y287" s="54">
        <f t="shared" si="1050"/>
        <v>0</v>
      </c>
      <c r="Z287" s="54">
        <f t="shared" si="1050"/>
        <v>0</v>
      </c>
      <c r="AA287" s="54">
        <f t="shared" si="1050"/>
        <v>0</v>
      </c>
      <c r="AB287" s="54">
        <f t="shared" si="1063"/>
        <v>0</v>
      </c>
      <c r="AC287" s="54">
        <f t="shared" si="1063"/>
        <v>0</v>
      </c>
      <c r="AD287" s="54">
        <f t="shared" si="1063"/>
        <v>0</v>
      </c>
      <c r="AF287" s="184"/>
      <c r="AG287" s="54">
        <f t="shared" si="1064"/>
        <v>0</v>
      </c>
      <c r="AH287" s="54">
        <f t="shared" si="1065"/>
        <v>0</v>
      </c>
    </row>
    <row r="288" spans="3:34" x14ac:dyDescent="0.4">
      <c r="C288" s="198" t="str">
        <f>++C$94</f>
        <v>Capital Expenditures</v>
      </c>
      <c r="D288" s="2"/>
      <c r="E288" s="2"/>
      <c r="G288" s="185"/>
      <c r="H288" s="185"/>
      <c r="I288" s="185"/>
      <c r="J288" s="18">
        <f t="shared" ref="J288:V288" si="1066">++SUM(J285:J287)</f>
        <v>0</v>
      </c>
      <c r="K288" s="18">
        <f t="shared" si="1066"/>
        <v>0</v>
      </c>
      <c r="L288" s="18">
        <f t="shared" si="1066"/>
        <v>0</v>
      </c>
      <c r="M288" s="18">
        <f t="shared" si="1066"/>
        <v>0</v>
      </c>
      <c r="N288" s="18">
        <f t="shared" si="1066"/>
        <v>0</v>
      </c>
      <c r="O288" s="18">
        <f t="shared" si="1066"/>
        <v>0</v>
      </c>
      <c r="P288" s="18">
        <f t="shared" si="1066"/>
        <v>0</v>
      </c>
      <c r="Q288" s="18">
        <f t="shared" si="1066"/>
        <v>0</v>
      </c>
      <c r="R288" s="18">
        <f t="shared" si="1066"/>
        <v>0</v>
      </c>
      <c r="S288" s="18">
        <f t="shared" si="1066"/>
        <v>0</v>
      </c>
      <c r="T288" s="18">
        <f t="shared" si="1066"/>
        <v>0</v>
      </c>
      <c r="U288" s="18">
        <f t="shared" si="1066"/>
        <v>0</v>
      </c>
      <c r="V288" s="18">
        <f t="shared" si="1066"/>
        <v>0</v>
      </c>
      <c r="W288" s="18">
        <f t="shared" ref="W288" si="1067">++SUM(W285:W287)</f>
        <v>0</v>
      </c>
      <c r="X288" s="18">
        <f t="shared" ref="X288" si="1068">++SUM(X285:X287)</f>
        <v>0</v>
      </c>
      <c r="Y288" s="18">
        <f t="shared" ref="Y288" si="1069">++SUM(Y285:Y287)</f>
        <v>0</v>
      </c>
      <c r="Z288" s="18">
        <f t="shared" ref="Z288" si="1070">++SUM(Z285:Z287)</f>
        <v>0</v>
      </c>
      <c r="AA288" s="18">
        <f t="shared" ref="AA288" si="1071">++SUM(AA285:AA287)</f>
        <v>0</v>
      </c>
      <c r="AB288" s="18">
        <f t="shared" ref="AB288" si="1072">++SUM(AB285:AB287)</f>
        <v>0</v>
      </c>
      <c r="AC288" s="18">
        <f t="shared" ref="AC288" si="1073">++SUM(AC285:AC287)</f>
        <v>0</v>
      </c>
      <c r="AD288" s="18">
        <f t="shared" ref="AD288" si="1074">++SUM(AD285:AD287)</f>
        <v>0</v>
      </c>
      <c r="AF288" s="185"/>
      <c r="AG288" s="18">
        <f t="shared" ref="AG288" si="1075">++SUM(AG285:AG287)</f>
        <v>0</v>
      </c>
      <c r="AH288" s="18">
        <f t="shared" ref="AH288" si="1076">++SUM(AH285:AH287)</f>
        <v>0</v>
      </c>
    </row>
    <row r="289" spans="1:34" x14ac:dyDescent="0.4">
      <c r="C289" s="199" t="str">
        <f>++C$95</f>
        <v>% revenue</v>
      </c>
      <c r="G289" s="20"/>
      <c r="H289" s="20"/>
      <c r="I289" s="20"/>
      <c r="J289" s="19">
        <f t="shared" ref="J289:AH289" si="1077">++IFERROR(J288/J210,0)</f>
        <v>0</v>
      </c>
      <c r="K289" s="19">
        <f t="shared" ref="K289:V289" si="1078">++IFERROR(K288/K210,0)</f>
        <v>0</v>
      </c>
      <c r="L289" s="19">
        <f t="shared" si="1078"/>
        <v>0</v>
      </c>
      <c r="M289" s="19">
        <f t="shared" si="1078"/>
        <v>0</v>
      </c>
      <c r="N289" s="19">
        <f t="shared" si="1078"/>
        <v>0</v>
      </c>
      <c r="O289" s="19">
        <f t="shared" si="1078"/>
        <v>0</v>
      </c>
      <c r="P289" s="19">
        <f t="shared" si="1078"/>
        <v>0</v>
      </c>
      <c r="Q289" s="19">
        <f t="shared" si="1078"/>
        <v>0</v>
      </c>
      <c r="R289" s="19">
        <f t="shared" si="1078"/>
        <v>0</v>
      </c>
      <c r="S289" s="19">
        <f t="shared" si="1078"/>
        <v>0</v>
      </c>
      <c r="T289" s="19">
        <f t="shared" si="1078"/>
        <v>0</v>
      </c>
      <c r="U289" s="19">
        <f t="shared" si="1078"/>
        <v>0</v>
      </c>
      <c r="V289" s="19">
        <f t="shared" si="1078"/>
        <v>0</v>
      </c>
      <c r="W289" s="19">
        <f t="shared" si="1077"/>
        <v>0</v>
      </c>
      <c r="X289" s="19">
        <f t="shared" si="1077"/>
        <v>0</v>
      </c>
      <c r="Y289" s="19">
        <f t="shared" si="1077"/>
        <v>0</v>
      </c>
      <c r="Z289" s="19">
        <f t="shared" si="1077"/>
        <v>0</v>
      </c>
      <c r="AA289" s="19">
        <f t="shared" si="1077"/>
        <v>0</v>
      </c>
      <c r="AB289" s="19">
        <f t="shared" si="1077"/>
        <v>0</v>
      </c>
      <c r="AC289" s="19">
        <f t="shared" si="1077"/>
        <v>0</v>
      </c>
      <c r="AD289" s="19">
        <f t="shared" si="1077"/>
        <v>0</v>
      </c>
      <c r="AF289" s="20"/>
      <c r="AG289" s="19">
        <f t="shared" si="1077"/>
        <v>0</v>
      </c>
      <c r="AH289" s="19">
        <f t="shared" si="1077"/>
        <v>0</v>
      </c>
    </row>
    <row r="290" spans="1:34" x14ac:dyDescent="0.4">
      <c r="C290" s="196"/>
    </row>
    <row r="291" spans="1:34" x14ac:dyDescent="0.4">
      <c r="C291" s="196" t="str">
        <f>++C$97</f>
        <v>Cash Flow from Operations</v>
      </c>
      <c r="G291" s="184"/>
      <c r="H291" s="184"/>
      <c r="I291" s="184"/>
      <c r="J291" s="54">
        <f t="shared" ref="J291:AA293" si="1079">++SUM(G97:J97)</f>
        <v>0</v>
      </c>
      <c r="K291" s="54">
        <f t="shared" ref="K291:K293" si="1080">++SUM(H97:K97)</f>
        <v>0</v>
      </c>
      <c r="L291" s="54">
        <f t="shared" ref="L291:L293" si="1081">++SUM(I97:L97)</f>
        <v>0</v>
      </c>
      <c r="M291" s="54">
        <f t="shared" ref="M291:M293" si="1082">++SUM(J97:M97)</f>
        <v>0</v>
      </c>
      <c r="N291" s="54">
        <f t="shared" ref="N291:N293" si="1083">++SUM(K97:N97)</f>
        <v>0</v>
      </c>
      <c r="O291" s="54">
        <f t="shared" ref="O291:O293" si="1084">++SUM(L97:O97)</f>
        <v>0</v>
      </c>
      <c r="P291" s="54">
        <f t="shared" ref="P291:P293" si="1085">++SUM(M97:P97)</f>
        <v>0</v>
      </c>
      <c r="Q291" s="54">
        <f t="shared" ref="Q291:Q293" si="1086">++SUM(N97:Q97)</f>
        <v>0</v>
      </c>
      <c r="R291" s="54">
        <f t="shared" ref="R291:R293" si="1087">++SUM(O97:R97)</f>
        <v>0</v>
      </c>
      <c r="S291" s="54">
        <f t="shared" ref="S291:S293" si="1088">++SUM(P97:S97)</f>
        <v>0</v>
      </c>
      <c r="T291" s="54">
        <f t="shared" ref="T291:T293" si="1089">++SUM(Q97:T97)</f>
        <v>0</v>
      </c>
      <c r="U291" s="54">
        <f t="shared" ref="U291:U293" si="1090">++SUM(R97:U97)</f>
        <v>0</v>
      </c>
      <c r="V291" s="54">
        <f t="shared" ref="V291:V293" si="1091">++SUM(S97:V97)</f>
        <v>0</v>
      </c>
      <c r="W291" s="54">
        <f t="shared" si="1079"/>
        <v>0</v>
      </c>
      <c r="X291" s="54">
        <f t="shared" si="1079"/>
        <v>0</v>
      </c>
      <c r="Y291" s="54">
        <f t="shared" si="1079"/>
        <v>0</v>
      </c>
      <c r="Z291" s="54">
        <f t="shared" si="1079"/>
        <v>0</v>
      </c>
      <c r="AA291" s="54">
        <f t="shared" si="1079"/>
        <v>0</v>
      </c>
      <c r="AB291" s="54">
        <f t="shared" ref="AB291:AD293" si="1092">++SUM(Y97:AB97)</f>
        <v>0</v>
      </c>
      <c r="AC291" s="54">
        <f t="shared" si="1092"/>
        <v>0</v>
      </c>
      <c r="AD291" s="54">
        <f t="shared" si="1092"/>
        <v>0</v>
      </c>
      <c r="AF291" s="184"/>
      <c r="AG291" s="54">
        <f t="shared" ref="AG291:AG293" si="1093">++AG194+V291-AF194</f>
        <v>0</v>
      </c>
      <c r="AH291" s="54">
        <f t="shared" ref="AH291:AH293" si="1094">++AH194+Z291-AG194</f>
        <v>0</v>
      </c>
    </row>
    <row r="292" spans="1:34" x14ac:dyDescent="0.4">
      <c r="C292" s="196" t="str">
        <f>++C$98</f>
        <v>( + ) Cash Tax Expense (Benefit)</v>
      </c>
      <c r="G292" s="184"/>
      <c r="H292" s="184"/>
      <c r="I292" s="184"/>
      <c r="J292" s="54">
        <f t="shared" si="1079"/>
        <v>0</v>
      </c>
      <c r="K292" s="54">
        <f t="shared" si="1080"/>
        <v>0</v>
      </c>
      <c r="L292" s="54">
        <f t="shared" si="1081"/>
        <v>0</v>
      </c>
      <c r="M292" s="54">
        <f t="shared" si="1082"/>
        <v>0</v>
      </c>
      <c r="N292" s="54">
        <f t="shared" si="1083"/>
        <v>0</v>
      </c>
      <c r="O292" s="54">
        <f t="shared" si="1084"/>
        <v>0</v>
      </c>
      <c r="P292" s="54">
        <f t="shared" si="1085"/>
        <v>0</v>
      </c>
      <c r="Q292" s="54">
        <f t="shared" si="1086"/>
        <v>0</v>
      </c>
      <c r="R292" s="54">
        <f t="shared" si="1087"/>
        <v>0</v>
      </c>
      <c r="S292" s="54">
        <f t="shared" si="1088"/>
        <v>0</v>
      </c>
      <c r="T292" s="54">
        <f t="shared" si="1089"/>
        <v>0</v>
      </c>
      <c r="U292" s="54">
        <f t="shared" si="1090"/>
        <v>0</v>
      </c>
      <c r="V292" s="54">
        <f t="shared" si="1091"/>
        <v>0</v>
      </c>
      <c r="W292" s="54">
        <f t="shared" si="1079"/>
        <v>0</v>
      </c>
      <c r="X292" s="54">
        <f t="shared" si="1079"/>
        <v>0</v>
      </c>
      <c r="Y292" s="54">
        <f t="shared" si="1079"/>
        <v>0</v>
      </c>
      <c r="Z292" s="54">
        <f t="shared" si="1079"/>
        <v>0</v>
      </c>
      <c r="AA292" s="54">
        <f t="shared" si="1079"/>
        <v>0</v>
      </c>
      <c r="AB292" s="54">
        <f t="shared" si="1092"/>
        <v>0</v>
      </c>
      <c r="AC292" s="54">
        <f t="shared" si="1092"/>
        <v>0</v>
      </c>
      <c r="AD292" s="54">
        <f t="shared" si="1092"/>
        <v>0</v>
      </c>
      <c r="AF292" s="184"/>
      <c r="AG292" s="54">
        <f t="shared" si="1093"/>
        <v>0</v>
      </c>
      <c r="AH292" s="54">
        <f t="shared" si="1094"/>
        <v>0</v>
      </c>
    </row>
    <row r="293" spans="1:34" x14ac:dyDescent="0.4">
      <c r="C293" s="196" t="str">
        <f>++C$99</f>
        <v>( + ) Cash Interest Expense (Income)</v>
      </c>
      <c r="G293" s="184"/>
      <c r="H293" s="184"/>
      <c r="I293" s="184"/>
      <c r="J293" s="54">
        <f t="shared" si="1079"/>
        <v>0</v>
      </c>
      <c r="K293" s="54">
        <f t="shared" si="1080"/>
        <v>0</v>
      </c>
      <c r="L293" s="54">
        <f t="shared" si="1081"/>
        <v>0</v>
      </c>
      <c r="M293" s="54">
        <f t="shared" si="1082"/>
        <v>0</v>
      </c>
      <c r="N293" s="54">
        <f t="shared" si="1083"/>
        <v>0</v>
      </c>
      <c r="O293" s="54">
        <f t="shared" si="1084"/>
        <v>0</v>
      </c>
      <c r="P293" s="54">
        <f t="shared" si="1085"/>
        <v>0</v>
      </c>
      <c r="Q293" s="54">
        <f t="shared" si="1086"/>
        <v>0</v>
      </c>
      <c r="R293" s="54">
        <f t="shared" si="1087"/>
        <v>0</v>
      </c>
      <c r="S293" s="54">
        <f t="shared" si="1088"/>
        <v>0</v>
      </c>
      <c r="T293" s="54">
        <f t="shared" si="1089"/>
        <v>0</v>
      </c>
      <c r="U293" s="54">
        <f t="shared" si="1090"/>
        <v>0</v>
      </c>
      <c r="V293" s="54">
        <f t="shared" si="1091"/>
        <v>0</v>
      </c>
      <c r="W293" s="54">
        <f t="shared" si="1079"/>
        <v>0</v>
      </c>
      <c r="X293" s="54">
        <f t="shared" si="1079"/>
        <v>0</v>
      </c>
      <c r="Y293" s="54">
        <f t="shared" si="1079"/>
        <v>0</v>
      </c>
      <c r="Z293" s="54">
        <f t="shared" si="1079"/>
        <v>0</v>
      </c>
      <c r="AA293" s="54">
        <f t="shared" si="1079"/>
        <v>0</v>
      </c>
      <c r="AB293" s="54">
        <f t="shared" si="1092"/>
        <v>0</v>
      </c>
      <c r="AC293" s="54">
        <f t="shared" si="1092"/>
        <v>0</v>
      </c>
      <c r="AD293" s="54">
        <f t="shared" si="1092"/>
        <v>0</v>
      </c>
      <c r="AF293" s="184"/>
      <c r="AG293" s="54">
        <f t="shared" si="1093"/>
        <v>0</v>
      </c>
      <c r="AH293" s="54">
        <f t="shared" si="1094"/>
        <v>0</v>
      </c>
    </row>
    <row r="294" spans="1:34" x14ac:dyDescent="0.4">
      <c r="C294" s="196" t="str">
        <f>++C$100</f>
        <v>( – ) Capital Expenditures</v>
      </c>
      <c r="G294" s="190"/>
      <c r="H294" s="190"/>
      <c r="I294" s="190"/>
      <c r="J294" s="17">
        <f t="shared" ref="J294:AH294" si="1095">++-J288</f>
        <v>0</v>
      </c>
      <c r="K294" s="17">
        <f t="shared" ref="K294:V294" si="1096">++-K288</f>
        <v>0</v>
      </c>
      <c r="L294" s="17">
        <f t="shared" si="1096"/>
        <v>0</v>
      </c>
      <c r="M294" s="17">
        <f t="shared" si="1096"/>
        <v>0</v>
      </c>
      <c r="N294" s="17">
        <f t="shared" si="1096"/>
        <v>0</v>
      </c>
      <c r="O294" s="17">
        <f t="shared" si="1096"/>
        <v>0</v>
      </c>
      <c r="P294" s="17">
        <f t="shared" si="1096"/>
        <v>0</v>
      </c>
      <c r="Q294" s="17">
        <f t="shared" si="1096"/>
        <v>0</v>
      </c>
      <c r="R294" s="17">
        <f t="shared" si="1096"/>
        <v>0</v>
      </c>
      <c r="S294" s="17">
        <f t="shared" si="1096"/>
        <v>0</v>
      </c>
      <c r="T294" s="17">
        <f t="shared" si="1096"/>
        <v>0</v>
      </c>
      <c r="U294" s="17">
        <f t="shared" si="1096"/>
        <v>0</v>
      </c>
      <c r="V294" s="17">
        <f t="shared" si="1096"/>
        <v>0</v>
      </c>
      <c r="W294" s="17">
        <f t="shared" si="1095"/>
        <v>0</v>
      </c>
      <c r="X294" s="17">
        <f t="shared" si="1095"/>
        <v>0</v>
      </c>
      <c r="Y294" s="17">
        <f t="shared" si="1095"/>
        <v>0</v>
      </c>
      <c r="Z294" s="17">
        <f t="shared" si="1095"/>
        <v>0</v>
      </c>
      <c r="AA294" s="17">
        <f t="shared" si="1095"/>
        <v>0</v>
      </c>
      <c r="AB294" s="17">
        <f t="shared" si="1095"/>
        <v>0</v>
      </c>
      <c r="AC294" s="17">
        <f t="shared" si="1095"/>
        <v>0</v>
      </c>
      <c r="AD294" s="17">
        <f t="shared" si="1095"/>
        <v>0</v>
      </c>
      <c r="AF294" s="190"/>
      <c r="AG294" s="17">
        <f t="shared" si="1095"/>
        <v>0</v>
      </c>
      <c r="AH294" s="17">
        <f t="shared" si="1095"/>
        <v>0</v>
      </c>
    </row>
    <row r="295" spans="1:34" x14ac:dyDescent="0.4">
      <c r="C295" s="198" t="str">
        <f>++C$101</f>
        <v>Unlevered FCF</v>
      </c>
      <c r="D295" s="2"/>
      <c r="E295" s="2"/>
      <c r="G295" s="185"/>
      <c r="H295" s="185"/>
      <c r="I295" s="185"/>
      <c r="J295" s="18">
        <f t="shared" ref="J295:V295" si="1097">++SUM(J291:J294)</f>
        <v>0</v>
      </c>
      <c r="K295" s="18">
        <f t="shared" si="1097"/>
        <v>0</v>
      </c>
      <c r="L295" s="18">
        <f t="shared" si="1097"/>
        <v>0</v>
      </c>
      <c r="M295" s="18">
        <f t="shared" si="1097"/>
        <v>0</v>
      </c>
      <c r="N295" s="18">
        <f t="shared" si="1097"/>
        <v>0</v>
      </c>
      <c r="O295" s="18">
        <f t="shared" si="1097"/>
        <v>0</v>
      </c>
      <c r="P295" s="18">
        <f t="shared" si="1097"/>
        <v>0</v>
      </c>
      <c r="Q295" s="18">
        <f t="shared" si="1097"/>
        <v>0</v>
      </c>
      <c r="R295" s="18">
        <f t="shared" si="1097"/>
        <v>0</v>
      </c>
      <c r="S295" s="18">
        <f t="shared" si="1097"/>
        <v>0</v>
      </c>
      <c r="T295" s="18">
        <f t="shared" si="1097"/>
        <v>0</v>
      </c>
      <c r="U295" s="18">
        <f t="shared" si="1097"/>
        <v>0</v>
      </c>
      <c r="V295" s="18">
        <f t="shared" si="1097"/>
        <v>0</v>
      </c>
      <c r="W295" s="18">
        <f t="shared" ref="W295" si="1098">++SUM(W291:W294)</f>
        <v>0</v>
      </c>
      <c r="X295" s="18">
        <f t="shared" ref="X295" si="1099">++SUM(X291:X294)</f>
        <v>0</v>
      </c>
      <c r="Y295" s="18">
        <f t="shared" ref="Y295" si="1100">++SUM(Y291:Y294)</f>
        <v>0</v>
      </c>
      <c r="Z295" s="18">
        <f t="shared" ref="Z295" si="1101">++SUM(Z291:Z294)</f>
        <v>0</v>
      </c>
      <c r="AA295" s="18">
        <f t="shared" ref="AA295" si="1102">++SUM(AA291:AA294)</f>
        <v>0</v>
      </c>
      <c r="AB295" s="18">
        <f t="shared" ref="AB295" si="1103">++SUM(AB291:AB294)</f>
        <v>0</v>
      </c>
      <c r="AC295" s="18">
        <f t="shared" ref="AC295" si="1104">++SUM(AC291:AC294)</f>
        <v>0</v>
      </c>
      <c r="AD295" s="18">
        <f t="shared" ref="AD295" si="1105">++SUM(AD291:AD294)</f>
        <v>0</v>
      </c>
      <c r="AF295" s="185"/>
      <c r="AG295" s="18">
        <f t="shared" ref="AG295" si="1106">++SUM(AG291:AG294)</f>
        <v>0</v>
      </c>
      <c r="AH295" s="18">
        <f t="shared" ref="AH295" si="1107">++SUM(AH291:AH294)</f>
        <v>0</v>
      </c>
    </row>
    <row r="296" spans="1:34" x14ac:dyDescent="0.4">
      <c r="C296" s="199" t="str">
        <f>++C$102</f>
        <v>% revenue</v>
      </c>
      <c r="G296" s="20"/>
      <c r="H296" s="20"/>
      <c r="I296" s="20"/>
      <c r="J296" s="19">
        <f t="shared" ref="J296:AH296" si="1108">++IFERROR(J295/J210,0)</f>
        <v>0</v>
      </c>
      <c r="K296" s="19">
        <f t="shared" ref="K296:V296" si="1109">++IFERROR(K295/K210,0)</f>
        <v>0</v>
      </c>
      <c r="L296" s="19">
        <f t="shared" si="1109"/>
        <v>0</v>
      </c>
      <c r="M296" s="19">
        <f t="shared" si="1109"/>
        <v>0</v>
      </c>
      <c r="N296" s="19">
        <f t="shared" si="1109"/>
        <v>0</v>
      </c>
      <c r="O296" s="19">
        <f t="shared" si="1109"/>
        <v>0</v>
      </c>
      <c r="P296" s="19">
        <f t="shared" si="1109"/>
        <v>0</v>
      </c>
      <c r="Q296" s="19">
        <f t="shared" si="1109"/>
        <v>0</v>
      </c>
      <c r="R296" s="19">
        <f t="shared" si="1109"/>
        <v>0</v>
      </c>
      <c r="S296" s="19">
        <f t="shared" si="1109"/>
        <v>0</v>
      </c>
      <c r="T296" s="19">
        <f t="shared" si="1109"/>
        <v>0</v>
      </c>
      <c r="U296" s="19">
        <f t="shared" si="1109"/>
        <v>0</v>
      </c>
      <c r="V296" s="19">
        <f t="shared" si="1109"/>
        <v>0</v>
      </c>
      <c r="W296" s="19">
        <f t="shared" si="1108"/>
        <v>0</v>
      </c>
      <c r="X296" s="19">
        <f t="shared" si="1108"/>
        <v>0</v>
      </c>
      <c r="Y296" s="19">
        <f t="shared" si="1108"/>
        <v>0</v>
      </c>
      <c r="Z296" s="19">
        <f t="shared" si="1108"/>
        <v>0</v>
      </c>
      <c r="AA296" s="19">
        <f t="shared" si="1108"/>
        <v>0</v>
      </c>
      <c r="AB296" s="19">
        <f t="shared" si="1108"/>
        <v>0</v>
      </c>
      <c r="AC296" s="19">
        <f t="shared" si="1108"/>
        <v>0</v>
      </c>
      <c r="AD296" s="19">
        <f t="shared" si="1108"/>
        <v>0</v>
      </c>
      <c r="AF296" s="20"/>
      <c r="AG296" s="19">
        <f t="shared" si="1108"/>
        <v>0</v>
      </c>
      <c r="AH296" s="19">
        <f t="shared" si="1108"/>
        <v>0</v>
      </c>
    </row>
    <row r="297" spans="1:34" x14ac:dyDescent="0.4">
      <c r="C297" s="196"/>
    </row>
    <row r="298" spans="1:34" x14ac:dyDescent="0.4">
      <c r="C298" s="196"/>
    </row>
    <row r="299" spans="1:34" x14ac:dyDescent="0.4">
      <c r="A299" s="12" t="s">
        <v>8</v>
      </c>
      <c r="B299" s="12" t="s">
        <v>8</v>
      </c>
      <c r="C299" s="194" t="s">
        <v>185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5.0999999999999996" customHeight="1" x14ac:dyDescent="0.4">
      <c r="C300" s="196"/>
    </row>
    <row r="301" spans="1:34" x14ac:dyDescent="0.4">
      <c r="C301" s="196" t="s">
        <v>186</v>
      </c>
      <c r="G301" s="17">
        <f>++G$3-EOMONTH(G$3,-12)</f>
        <v>366</v>
      </c>
      <c r="H301" s="17">
        <f t="shared" ref="H301:AH301" si="1110">++H$3-EOMONTH(H$3,-12)</f>
        <v>366</v>
      </c>
      <c r="I301" s="17">
        <f t="shared" si="1110"/>
        <v>366</v>
      </c>
      <c r="J301" s="17">
        <f t="shared" si="1110"/>
        <v>366</v>
      </c>
      <c r="K301" s="17">
        <f t="shared" si="1110"/>
        <v>365</v>
      </c>
      <c r="L301" s="17">
        <f t="shared" si="1110"/>
        <v>365</v>
      </c>
      <c r="M301" s="17">
        <f t="shared" si="1110"/>
        <v>365</v>
      </c>
      <c r="N301" s="17">
        <f t="shared" si="1110"/>
        <v>365</v>
      </c>
      <c r="O301" s="17">
        <f t="shared" si="1110"/>
        <v>365</v>
      </c>
      <c r="P301" s="17">
        <f t="shared" si="1110"/>
        <v>365</v>
      </c>
      <c r="Q301" s="17">
        <f t="shared" si="1110"/>
        <v>365</v>
      </c>
      <c r="R301" s="17">
        <f t="shared" si="1110"/>
        <v>365</v>
      </c>
      <c r="S301" s="17">
        <f t="shared" si="1110"/>
        <v>365</v>
      </c>
      <c r="T301" s="17">
        <f t="shared" si="1110"/>
        <v>365</v>
      </c>
      <c r="U301" s="17">
        <f t="shared" si="1110"/>
        <v>365</v>
      </c>
      <c r="V301" s="17">
        <f t="shared" si="1110"/>
        <v>365</v>
      </c>
      <c r="W301" s="17">
        <f t="shared" si="1110"/>
        <v>366</v>
      </c>
      <c r="X301" s="17">
        <f t="shared" si="1110"/>
        <v>366</v>
      </c>
      <c r="Y301" s="17">
        <f t="shared" si="1110"/>
        <v>366</v>
      </c>
      <c r="Z301" s="17">
        <f t="shared" si="1110"/>
        <v>366</v>
      </c>
      <c r="AA301" s="17">
        <f t="shared" si="1110"/>
        <v>365</v>
      </c>
      <c r="AB301" s="17">
        <f t="shared" si="1110"/>
        <v>365</v>
      </c>
      <c r="AC301" s="17">
        <f t="shared" si="1110"/>
        <v>365</v>
      </c>
      <c r="AD301" s="17">
        <f t="shared" si="1110"/>
        <v>365</v>
      </c>
      <c r="AF301" s="17">
        <f t="shared" si="1110"/>
        <v>365</v>
      </c>
      <c r="AG301" s="17">
        <f t="shared" si="1110"/>
        <v>366</v>
      </c>
      <c r="AH301" s="17">
        <f t="shared" si="1110"/>
        <v>365</v>
      </c>
    </row>
    <row r="302" spans="1:34" x14ac:dyDescent="0.4">
      <c r="C302" s="196"/>
    </row>
    <row r="303" spans="1:34" x14ac:dyDescent="0.4">
      <c r="C303" s="196" t="s">
        <v>72</v>
      </c>
      <c r="G303" s="5"/>
      <c r="H303" s="5"/>
      <c r="I303" s="5"/>
      <c r="J303" s="63">
        <f t="shared" ref="J303:AH303" si="1111">++J210</f>
        <v>0</v>
      </c>
      <c r="K303" s="63">
        <f t="shared" ref="K303:V303" si="1112">++K210</f>
        <v>0</v>
      </c>
      <c r="L303" s="63">
        <f t="shared" si="1112"/>
        <v>0</v>
      </c>
      <c r="M303" s="63">
        <f t="shared" si="1112"/>
        <v>0</v>
      </c>
      <c r="N303" s="63">
        <f t="shared" si="1112"/>
        <v>0</v>
      </c>
      <c r="O303" s="63">
        <f t="shared" si="1112"/>
        <v>0</v>
      </c>
      <c r="P303" s="63">
        <f t="shared" si="1112"/>
        <v>0</v>
      </c>
      <c r="Q303" s="63">
        <f t="shared" si="1112"/>
        <v>0</v>
      </c>
      <c r="R303" s="63">
        <f t="shared" si="1112"/>
        <v>0</v>
      </c>
      <c r="S303" s="63">
        <f t="shared" si="1112"/>
        <v>0</v>
      </c>
      <c r="T303" s="63">
        <f t="shared" si="1112"/>
        <v>0</v>
      </c>
      <c r="U303" s="63">
        <f t="shared" si="1112"/>
        <v>0</v>
      </c>
      <c r="V303" s="63">
        <f t="shared" si="1112"/>
        <v>0</v>
      </c>
      <c r="W303" s="63">
        <f t="shared" si="1111"/>
        <v>0</v>
      </c>
      <c r="X303" s="63">
        <f t="shared" si="1111"/>
        <v>0</v>
      </c>
      <c r="Y303" s="63">
        <f t="shared" si="1111"/>
        <v>0</v>
      </c>
      <c r="Z303" s="63">
        <f t="shared" si="1111"/>
        <v>0</v>
      </c>
      <c r="AA303" s="63">
        <f t="shared" si="1111"/>
        <v>0</v>
      </c>
      <c r="AB303" s="63">
        <f t="shared" si="1111"/>
        <v>0</v>
      </c>
      <c r="AC303" s="63">
        <f t="shared" si="1111"/>
        <v>0</v>
      </c>
      <c r="AD303" s="63">
        <f t="shared" si="1111"/>
        <v>0</v>
      </c>
      <c r="AF303" s="63">
        <f t="shared" ref="AF303" si="1113">++AF210</f>
        <v>0</v>
      </c>
      <c r="AG303" s="63">
        <f t="shared" si="1111"/>
        <v>0</v>
      </c>
      <c r="AH303" s="63">
        <f t="shared" si="1111"/>
        <v>0</v>
      </c>
    </row>
    <row r="304" spans="1:34" x14ac:dyDescent="0.4">
      <c r="C304" s="196" t="s">
        <v>187</v>
      </c>
      <c r="G304" s="5"/>
      <c r="H304" s="5"/>
      <c r="I304" s="5"/>
      <c r="J304" s="63">
        <f t="shared" ref="J304:AH304" si="1114">++J210-J219</f>
        <v>0</v>
      </c>
      <c r="K304" s="63">
        <f t="shared" ref="K304:V304" si="1115">++K210-K219</f>
        <v>0</v>
      </c>
      <c r="L304" s="63">
        <f t="shared" si="1115"/>
        <v>0</v>
      </c>
      <c r="M304" s="63">
        <f t="shared" si="1115"/>
        <v>0</v>
      </c>
      <c r="N304" s="63">
        <f t="shared" si="1115"/>
        <v>0</v>
      </c>
      <c r="O304" s="63">
        <f t="shared" si="1115"/>
        <v>0</v>
      </c>
      <c r="P304" s="63">
        <f t="shared" si="1115"/>
        <v>0</v>
      </c>
      <c r="Q304" s="63">
        <f t="shared" si="1115"/>
        <v>0</v>
      </c>
      <c r="R304" s="63">
        <f t="shared" si="1115"/>
        <v>0</v>
      </c>
      <c r="S304" s="63">
        <f t="shared" si="1115"/>
        <v>0</v>
      </c>
      <c r="T304" s="63">
        <f t="shared" si="1115"/>
        <v>0</v>
      </c>
      <c r="U304" s="63">
        <f t="shared" si="1115"/>
        <v>0</v>
      </c>
      <c r="V304" s="63">
        <f t="shared" si="1115"/>
        <v>0</v>
      </c>
      <c r="W304" s="63">
        <f t="shared" si="1114"/>
        <v>0</v>
      </c>
      <c r="X304" s="63">
        <f t="shared" si="1114"/>
        <v>0</v>
      </c>
      <c r="Y304" s="63">
        <f t="shared" si="1114"/>
        <v>0</v>
      </c>
      <c r="Z304" s="63">
        <f t="shared" si="1114"/>
        <v>0</v>
      </c>
      <c r="AA304" s="63">
        <f t="shared" si="1114"/>
        <v>0</v>
      </c>
      <c r="AB304" s="63">
        <f t="shared" si="1114"/>
        <v>0</v>
      </c>
      <c r="AC304" s="63">
        <f t="shared" si="1114"/>
        <v>0</v>
      </c>
      <c r="AD304" s="63">
        <f t="shared" si="1114"/>
        <v>0</v>
      </c>
      <c r="AF304" s="63">
        <f t="shared" ref="AF304" si="1116">++AF210-AF219</f>
        <v>0</v>
      </c>
      <c r="AG304" s="63">
        <f t="shared" si="1114"/>
        <v>0</v>
      </c>
      <c r="AH304" s="63">
        <f t="shared" si="1114"/>
        <v>0</v>
      </c>
    </row>
    <row r="305" spans="3:34" x14ac:dyDescent="0.4">
      <c r="C305" s="196"/>
    </row>
    <row r="306" spans="3:34" x14ac:dyDescent="0.4">
      <c r="C306" s="196" t="s">
        <v>188</v>
      </c>
      <c r="G306" s="182">
        <v>0</v>
      </c>
      <c r="H306" s="182">
        <v>0</v>
      </c>
      <c r="I306" s="182">
        <v>0</v>
      </c>
      <c r="J306" s="182">
        <v>0</v>
      </c>
      <c r="K306" s="182">
        <v>0</v>
      </c>
      <c r="L306" s="182">
        <v>0</v>
      </c>
      <c r="M306" s="182">
        <v>0</v>
      </c>
      <c r="N306" s="182">
        <v>0</v>
      </c>
      <c r="O306" s="182">
        <v>0</v>
      </c>
      <c r="P306" s="182">
        <v>0</v>
      </c>
      <c r="Q306" s="182">
        <v>0</v>
      </c>
      <c r="R306" s="182">
        <v>0</v>
      </c>
      <c r="S306" s="182">
        <v>0</v>
      </c>
      <c r="T306" s="182">
        <v>0</v>
      </c>
      <c r="U306" s="182">
        <v>0</v>
      </c>
      <c r="V306" s="182">
        <v>0</v>
      </c>
      <c r="W306" s="182">
        <v>0</v>
      </c>
      <c r="X306" s="182">
        <v>0</v>
      </c>
      <c r="Y306" s="182">
        <v>0</v>
      </c>
      <c r="Z306" s="182">
        <v>0</v>
      </c>
      <c r="AA306" s="182">
        <v>0</v>
      </c>
      <c r="AB306" s="182">
        <v>0</v>
      </c>
      <c r="AC306" s="182">
        <v>0</v>
      </c>
      <c r="AD306" s="182">
        <v>0</v>
      </c>
      <c r="AF306" s="182">
        <v>0</v>
      </c>
      <c r="AG306" s="182">
        <v>0</v>
      </c>
      <c r="AH306" s="182">
        <v>0</v>
      </c>
    </row>
    <row r="307" spans="3:34" x14ac:dyDescent="0.4">
      <c r="C307" s="196" t="s">
        <v>189</v>
      </c>
      <c r="G307" s="182">
        <v>0</v>
      </c>
      <c r="H307" s="182">
        <v>0</v>
      </c>
      <c r="I307" s="182">
        <v>0</v>
      </c>
      <c r="J307" s="182">
        <v>0</v>
      </c>
      <c r="K307" s="182">
        <v>0</v>
      </c>
      <c r="L307" s="182">
        <v>0</v>
      </c>
      <c r="M307" s="182">
        <v>0</v>
      </c>
      <c r="N307" s="182">
        <v>0</v>
      </c>
      <c r="O307" s="182">
        <v>0</v>
      </c>
      <c r="P307" s="182">
        <v>0</v>
      </c>
      <c r="Q307" s="182">
        <v>0</v>
      </c>
      <c r="R307" s="182">
        <v>0</v>
      </c>
      <c r="S307" s="182">
        <v>0</v>
      </c>
      <c r="T307" s="182">
        <v>0</v>
      </c>
      <c r="U307" s="182">
        <v>0</v>
      </c>
      <c r="V307" s="182">
        <v>0</v>
      </c>
      <c r="W307" s="182">
        <v>0</v>
      </c>
      <c r="X307" s="182">
        <v>0</v>
      </c>
      <c r="Y307" s="182">
        <v>0</v>
      </c>
      <c r="Z307" s="182">
        <v>0</v>
      </c>
      <c r="AA307" s="182">
        <v>0</v>
      </c>
      <c r="AB307" s="182">
        <v>0</v>
      </c>
      <c r="AC307" s="182">
        <v>0</v>
      </c>
      <c r="AD307" s="182">
        <v>0</v>
      </c>
      <c r="AF307" s="182">
        <v>0</v>
      </c>
      <c r="AG307" s="182">
        <v>0</v>
      </c>
      <c r="AH307" s="182">
        <v>0</v>
      </c>
    </row>
    <row r="308" spans="3:34" x14ac:dyDescent="0.4">
      <c r="C308" s="196" t="s">
        <v>190</v>
      </c>
      <c r="G308" s="182">
        <v>0</v>
      </c>
      <c r="H308" s="182">
        <v>0</v>
      </c>
      <c r="I308" s="182">
        <v>0</v>
      </c>
      <c r="J308" s="182">
        <v>0</v>
      </c>
      <c r="K308" s="182">
        <v>0</v>
      </c>
      <c r="L308" s="182">
        <v>0</v>
      </c>
      <c r="M308" s="182">
        <v>0</v>
      </c>
      <c r="N308" s="182">
        <v>0</v>
      </c>
      <c r="O308" s="182">
        <v>0</v>
      </c>
      <c r="P308" s="182">
        <v>0</v>
      </c>
      <c r="Q308" s="182">
        <v>0</v>
      </c>
      <c r="R308" s="182">
        <v>0</v>
      </c>
      <c r="S308" s="182">
        <v>0</v>
      </c>
      <c r="T308" s="182">
        <v>0</v>
      </c>
      <c r="U308" s="182">
        <v>0</v>
      </c>
      <c r="V308" s="182">
        <v>0</v>
      </c>
      <c r="W308" s="182">
        <v>0</v>
      </c>
      <c r="X308" s="182">
        <v>0</v>
      </c>
      <c r="Y308" s="182">
        <v>0</v>
      </c>
      <c r="Z308" s="182">
        <v>0</v>
      </c>
      <c r="AA308" s="182">
        <v>0</v>
      </c>
      <c r="AB308" s="182">
        <v>0</v>
      </c>
      <c r="AC308" s="182">
        <v>0</v>
      </c>
      <c r="AD308" s="182">
        <v>0</v>
      </c>
      <c r="AF308" s="182">
        <v>0</v>
      </c>
      <c r="AG308" s="182">
        <v>0</v>
      </c>
      <c r="AH308" s="182">
        <v>0</v>
      </c>
    </row>
    <row r="309" spans="3:34" x14ac:dyDescent="0.4">
      <c r="C309" s="196" t="s">
        <v>191</v>
      </c>
      <c r="G309" s="182">
        <v>0</v>
      </c>
      <c r="H309" s="182">
        <v>0</v>
      </c>
      <c r="I309" s="182">
        <v>0</v>
      </c>
      <c r="J309" s="182">
        <v>0</v>
      </c>
      <c r="K309" s="182">
        <v>0</v>
      </c>
      <c r="L309" s="182">
        <v>0</v>
      </c>
      <c r="M309" s="182">
        <v>0</v>
      </c>
      <c r="N309" s="182">
        <v>0</v>
      </c>
      <c r="O309" s="182">
        <v>0</v>
      </c>
      <c r="P309" s="182">
        <v>0</v>
      </c>
      <c r="Q309" s="182">
        <v>0</v>
      </c>
      <c r="R309" s="182">
        <v>0</v>
      </c>
      <c r="S309" s="182">
        <v>0</v>
      </c>
      <c r="T309" s="182">
        <v>0</v>
      </c>
      <c r="U309" s="182">
        <v>0</v>
      </c>
      <c r="V309" s="182">
        <v>0</v>
      </c>
      <c r="W309" s="182">
        <v>0</v>
      </c>
      <c r="X309" s="182">
        <v>0</v>
      </c>
      <c r="Y309" s="182">
        <v>0</v>
      </c>
      <c r="Z309" s="182">
        <v>0</v>
      </c>
      <c r="AA309" s="182">
        <v>0</v>
      </c>
      <c r="AB309" s="182">
        <v>0</v>
      </c>
      <c r="AC309" s="182">
        <v>0</v>
      </c>
      <c r="AD309" s="182">
        <v>0</v>
      </c>
      <c r="AF309" s="182">
        <v>0</v>
      </c>
      <c r="AG309" s="182">
        <v>0</v>
      </c>
      <c r="AH309" s="182">
        <v>0</v>
      </c>
    </row>
    <row r="310" spans="3:34" x14ac:dyDescent="0.4">
      <c r="C310" s="198" t="s">
        <v>192</v>
      </c>
      <c r="D310" s="2"/>
      <c r="E310" s="2"/>
      <c r="G310" s="18">
        <f>++SUM(G306:G309)</f>
        <v>0</v>
      </c>
      <c r="H310" s="18">
        <f t="shared" ref="H310:AH310" si="1117">++SUM(H306:H309)</f>
        <v>0</v>
      </c>
      <c r="I310" s="18">
        <f t="shared" si="1117"/>
        <v>0</v>
      </c>
      <c r="J310" s="18">
        <f t="shared" si="1117"/>
        <v>0</v>
      </c>
      <c r="K310" s="18">
        <f t="shared" ref="K310:V310" si="1118">++SUM(K306:K309)</f>
        <v>0</v>
      </c>
      <c r="L310" s="18">
        <f t="shared" si="1118"/>
        <v>0</v>
      </c>
      <c r="M310" s="18">
        <f t="shared" si="1118"/>
        <v>0</v>
      </c>
      <c r="N310" s="18">
        <f t="shared" si="1118"/>
        <v>0</v>
      </c>
      <c r="O310" s="18">
        <f t="shared" si="1118"/>
        <v>0</v>
      </c>
      <c r="P310" s="18">
        <f t="shared" si="1118"/>
        <v>0</v>
      </c>
      <c r="Q310" s="18">
        <f t="shared" si="1118"/>
        <v>0</v>
      </c>
      <c r="R310" s="18">
        <f t="shared" si="1118"/>
        <v>0</v>
      </c>
      <c r="S310" s="18">
        <f t="shared" si="1118"/>
        <v>0</v>
      </c>
      <c r="T310" s="18">
        <f t="shared" si="1118"/>
        <v>0</v>
      </c>
      <c r="U310" s="18">
        <f t="shared" si="1118"/>
        <v>0</v>
      </c>
      <c r="V310" s="18">
        <f t="shared" si="1118"/>
        <v>0</v>
      </c>
      <c r="W310" s="18">
        <f t="shared" si="1117"/>
        <v>0</v>
      </c>
      <c r="X310" s="18">
        <f t="shared" si="1117"/>
        <v>0</v>
      </c>
      <c r="Y310" s="18">
        <f t="shared" si="1117"/>
        <v>0</v>
      </c>
      <c r="Z310" s="18">
        <f t="shared" si="1117"/>
        <v>0</v>
      </c>
      <c r="AA310" s="18">
        <f t="shared" si="1117"/>
        <v>0</v>
      </c>
      <c r="AB310" s="18">
        <f t="shared" si="1117"/>
        <v>0</v>
      </c>
      <c r="AC310" s="18">
        <f t="shared" si="1117"/>
        <v>0</v>
      </c>
      <c r="AD310" s="18">
        <f t="shared" si="1117"/>
        <v>0</v>
      </c>
      <c r="AF310" s="18">
        <f t="shared" ref="AF310" si="1119">++SUM(AF306:AF309)</f>
        <v>0</v>
      </c>
      <c r="AG310" s="18">
        <f t="shared" si="1117"/>
        <v>0</v>
      </c>
      <c r="AH310" s="18">
        <f t="shared" si="1117"/>
        <v>0</v>
      </c>
    </row>
    <row r="311" spans="3:34" x14ac:dyDescent="0.4">
      <c r="C311" s="196"/>
    </row>
    <row r="312" spans="3:34" x14ac:dyDescent="0.4">
      <c r="C312" s="196" t="s">
        <v>193</v>
      </c>
      <c r="G312" s="182">
        <v>0</v>
      </c>
      <c r="H312" s="182">
        <v>0</v>
      </c>
      <c r="I312" s="182">
        <v>0</v>
      </c>
      <c r="J312" s="182">
        <v>0</v>
      </c>
      <c r="K312" s="182">
        <v>0</v>
      </c>
      <c r="L312" s="182">
        <v>0</v>
      </c>
      <c r="M312" s="182">
        <v>0</v>
      </c>
      <c r="N312" s="182">
        <v>0</v>
      </c>
      <c r="O312" s="182">
        <v>0</v>
      </c>
      <c r="P312" s="182">
        <v>0</v>
      </c>
      <c r="Q312" s="182">
        <v>0</v>
      </c>
      <c r="R312" s="182">
        <v>0</v>
      </c>
      <c r="S312" s="182">
        <v>0</v>
      </c>
      <c r="T312" s="182">
        <v>0</v>
      </c>
      <c r="U312" s="182">
        <v>0</v>
      </c>
      <c r="V312" s="182">
        <v>0</v>
      </c>
      <c r="W312" s="182">
        <v>0</v>
      </c>
      <c r="X312" s="182">
        <v>0</v>
      </c>
      <c r="Y312" s="182">
        <v>0</v>
      </c>
      <c r="Z312" s="182">
        <v>0</v>
      </c>
      <c r="AA312" s="182">
        <v>0</v>
      </c>
      <c r="AB312" s="182">
        <v>0</v>
      </c>
      <c r="AC312" s="182">
        <v>0</v>
      </c>
      <c r="AD312" s="182">
        <v>0</v>
      </c>
      <c r="AF312" s="182">
        <v>0</v>
      </c>
      <c r="AG312" s="182">
        <v>0</v>
      </c>
      <c r="AH312" s="182">
        <v>0</v>
      </c>
    </row>
    <row r="313" spans="3:34" x14ac:dyDescent="0.4">
      <c r="C313" s="196" t="s">
        <v>194</v>
      </c>
      <c r="G313" s="182">
        <v>0</v>
      </c>
      <c r="H313" s="182">
        <v>0</v>
      </c>
      <c r="I313" s="182">
        <v>0</v>
      </c>
      <c r="J313" s="182">
        <v>0</v>
      </c>
      <c r="K313" s="182">
        <v>0</v>
      </c>
      <c r="L313" s="182">
        <v>0</v>
      </c>
      <c r="M313" s="182">
        <v>0</v>
      </c>
      <c r="N313" s="182">
        <v>0</v>
      </c>
      <c r="O313" s="182">
        <v>0</v>
      </c>
      <c r="P313" s="182">
        <v>0</v>
      </c>
      <c r="Q313" s="182">
        <v>0</v>
      </c>
      <c r="R313" s="182">
        <v>0</v>
      </c>
      <c r="S313" s="182">
        <v>0</v>
      </c>
      <c r="T313" s="182">
        <v>0</v>
      </c>
      <c r="U313" s="182">
        <v>0</v>
      </c>
      <c r="V313" s="182">
        <v>0</v>
      </c>
      <c r="W313" s="182">
        <v>0</v>
      </c>
      <c r="X313" s="182">
        <v>0</v>
      </c>
      <c r="Y313" s="182">
        <v>0</v>
      </c>
      <c r="Z313" s="182">
        <v>0</v>
      </c>
      <c r="AA313" s="182">
        <v>0</v>
      </c>
      <c r="AB313" s="182">
        <v>0</v>
      </c>
      <c r="AC313" s="182">
        <v>0</v>
      </c>
      <c r="AD313" s="182">
        <v>0</v>
      </c>
      <c r="AF313" s="182">
        <v>0</v>
      </c>
      <c r="AG313" s="182">
        <v>0</v>
      </c>
      <c r="AH313" s="182">
        <v>0</v>
      </c>
    </row>
    <row r="314" spans="3:34" x14ac:dyDescent="0.4">
      <c r="C314" s="196" t="s">
        <v>195</v>
      </c>
      <c r="G314" s="182">
        <v>0</v>
      </c>
      <c r="H314" s="182">
        <v>0</v>
      </c>
      <c r="I314" s="182">
        <v>0</v>
      </c>
      <c r="J314" s="182">
        <v>0</v>
      </c>
      <c r="K314" s="182">
        <v>0</v>
      </c>
      <c r="L314" s="182">
        <v>0</v>
      </c>
      <c r="M314" s="182">
        <v>0</v>
      </c>
      <c r="N314" s="182">
        <v>0</v>
      </c>
      <c r="O314" s="182">
        <v>0</v>
      </c>
      <c r="P314" s="182">
        <v>0</v>
      </c>
      <c r="Q314" s="182">
        <v>0</v>
      </c>
      <c r="R314" s="182">
        <v>0</v>
      </c>
      <c r="S314" s="182">
        <v>0</v>
      </c>
      <c r="T314" s="182">
        <v>0</v>
      </c>
      <c r="U314" s="182">
        <v>0</v>
      </c>
      <c r="V314" s="182">
        <v>0</v>
      </c>
      <c r="W314" s="182">
        <v>0</v>
      </c>
      <c r="X314" s="182">
        <v>0</v>
      </c>
      <c r="Y314" s="182">
        <v>0</v>
      </c>
      <c r="Z314" s="182">
        <v>0</v>
      </c>
      <c r="AA314" s="182">
        <v>0</v>
      </c>
      <c r="AB314" s="182">
        <v>0</v>
      </c>
      <c r="AC314" s="182">
        <v>0</v>
      </c>
      <c r="AD314" s="182">
        <v>0</v>
      </c>
      <c r="AF314" s="182">
        <v>0</v>
      </c>
      <c r="AG314" s="182">
        <v>0</v>
      </c>
      <c r="AH314" s="182">
        <v>0</v>
      </c>
    </row>
    <row r="315" spans="3:34" x14ac:dyDescent="0.4">
      <c r="C315" s="196" t="s">
        <v>196</v>
      </c>
      <c r="G315" s="182">
        <v>0</v>
      </c>
      <c r="H315" s="182">
        <v>0</v>
      </c>
      <c r="I315" s="182">
        <v>0</v>
      </c>
      <c r="J315" s="182">
        <v>0</v>
      </c>
      <c r="K315" s="182">
        <v>0</v>
      </c>
      <c r="L315" s="182">
        <v>0</v>
      </c>
      <c r="M315" s="182">
        <v>0</v>
      </c>
      <c r="N315" s="182">
        <v>0</v>
      </c>
      <c r="O315" s="182">
        <v>0</v>
      </c>
      <c r="P315" s="182">
        <v>0</v>
      </c>
      <c r="Q315" s="182">
        <v>0</v>
      </c>
      <c r="R315" s="182">
        <v>0</v>
      </c>
      <c r="S315" s="182">
        <v>0</v>
      </c>
      <c r="T315" s="182">
        <v>0</v>
      </c>
      <c r="U315" s="182">
        <v>0</v>
      </c>
      <c r="V315" s="182">
        <v>0</v>
      </c>
      <c r="W315" s="182">
        <v>0</v>
      </c>
      <c r="X315" s="182">
        <v>0</v>
      </c>
      <c r="Y315" s="182">
        <v>0</v>
      </c>
      <c r="Z315" s="182">
        <v>0</v>
      </c>
      <c r="AA315" s="182">
        <v>0</v>
      </c>
      <c r="AB315" s="182">
        <v>0</v>
      </c>
      <c r="AC315" s="182">
        <v>0</v>
      </c>
      <c r="AD315" s="182">
        <v>0</v>
      </c>
      <c r="AF315" s="182">
        <v>0</v>
      </c>
      <c r="AG315" s="182">
        <v>0</v>
      </c>
      <c r="AH315" s="182">
        <v>0</v>
      </c>
    </row>
    <row r="316" spans="3:34" x14ac:dyDescent="0.4">
      <c r="C316" s="198" t="s">
        <v>197</v>
      </c>
      <c r="D316" s="2"/>
      <c r="E316" s="2"/>
      <c r="G316" s="18">
        <f>++SUM(G312:G315)</f>
        <v>0</v>
      </c>
      <c r="H316" s="18">
        <f t="shared" ref="H316" si="1120">++SUM(H312:H315)</f>
        <v>0</v>
      </c>
      <c r="I316" s="18">
        <f t="shared" ref="I316" si="1121">++SUM(I312:I315)</f>
        <v>0</v>
      </c>
      <c r="J316" s="18">
        <f t="shared" ref="J316:V316" si="1122">++SUM(J312:J315)</f>
        <v>0</v>
      </c>
      <c r="K316" s="18">
        <f t="shared" si="1122"/>
        <v>0</v>
      </c>
      <c r="L316" s="18">
        <f t="shared" si="1122"/>
        <v>0</v>
      </c>
      <c r="M316" s="18">
        <f t="shared" si="1122"/>
        <v>0</v>
      </c>
      <c r="N316" s="18">
        <f t="shared" si="1122"/>
        <v>0</v>
      </c>
      <c r="O316" s="18">
        <f t="shared" si="1122"/>
        <v>0</v>
      </c>
      <c r="P316" s="18">
        <f t="shared" si="1122"/>
        <v>0</v>
      </c>
      <c r="Q316" s="18">
        <f t="shared" si="1122"/>
        <v>0</v>
      </c>
      <c r="R316" s="18">
        <f t="shared" si="1122"/>
        <v>0</v>
      </c>
      <c r="S316" s="18">
        <f t="shared" si="1122"/>
        <v>0</v>
      </c>
      <c r="T316" s="18">
        <f t="shared" si="1122"/>
        <v>0</v>
      </c>
      <c r="U316" s="18">
        <f t="shared" si="1122"/>
        <v>0</v>
      </c>
      <c r="V316" s="18">
        <f t="shared" si="1122"/>
        <v>0</v>
      </c>
      <c r="W316" s="18">
        <f t="shared" ref="W316" si="1123">++SUM(W312:W315)</f>
        <v>0</v>
      </c>
      <c r="X316" s="18">
        <f t="shared" ref="X316" si="1124">++SUM(X312:X315)</f>
        <v>0</v>
      </c>
      <c r="Y316" s="18">
        <f t="shared" ref="Y316" si="1125">++SUM(Y312:Y315)</f>
        <v>0</v>
      </c>
      <c r="Z316" s="18">
        <f t="shared" ref="Z316" si="1126">++SUM(Z312:Z315)</f>
        <v>0</v>
      </c>
      <c r="AA316" s="18">
        <f t="shared" ref="AA316" si="1127">++SUM(AA312:AA315)</f>
        <v>0</v>
      </c>
      <c r="AB316" s="18">
        <f t="shared" ref="AB316" si="1128">++SUM(AB312:AB315)</f>
        <v>0</v>
      </c>
      <c r="AC316" s="18">
        <f t="shared" ref="AC316" si="1129">++SUM(AC312:AC315)</f>
        <v>0</v>
      </c>
      <c r="AD316" s="18">
        <f t="shared" ref="AD316:AF316" si="1130">++SUM(AD312:AD315)</f>
        <v>0</v>
      </c>
      <c r="AF316" s="18">
        <f t="shared" si="1130"/>
        <v>0</v>
      </c>
      <c r="AG316" s="18">
        <f t="shared" ref="AG316" si="1131">++SUM(AG312:AG315)</f>
        <v>0</v>
      </c>
      <c r="AH316" s="18">
        <f t="shared" ref="AH316" si="1132">++SUM(AH312:AH315)</f>
        <v>0</v>
      </c>
    </row>
    <row r="317" spans="3:34" x14ac:dyDescent="0.4">
      <c r="C317" s="196"/>
    </row>
    <row r="318" spans="3:34" ht="13.5" thickBot="1" x14ac:dyDescent="0.45">
      <c r="C318" s="200" t="s">
        <v>130</v>
      </c>
      <c r="D318" s="174"/>
      <c r="E318" s="174"/>
      <c r="G318" s="178">
        <f>++G310-G316</f>
        <v>0</v>
      </c>
      <c r="H318" s="178">
        <f t="shared" ref="H318:AH318" si="1133">++H310-H316</f>
        <v>0</v>
      </c>
      <c r="I318" s="178">
        <f t="shared" si="1133"/>
        <v>0</v>
      </c>
      <c r="J318" s="178">
        <f t="shared" si="1133"/>
        <v>0</v>
      </c>
      <c r="K318" s="178">
        <f t="shared" ref="K318:V318" si="1134">++K310-K316</f>
        <v>0</v>
      </c>
      <c r="L318" s="178">
        <f t="shared" si="1134"/>
        <v>0</v>
      </c>
      <c r="M318" s="178">
        <f t="shared" si="1134"/>
        <v>0</v>
      </c>
      <c r="N318" s="178">
        <f t="shared" si="1134"/>
        <v>0</v>
      </c>
      <c r="O318" s="178">
        <f t="shared" si="1134"/>
        <v>0</v>
      </c>
      <c r="P318" s="178">
        <f t="shared" si="1134"/>
        <v>0</v>
      </c>
      <c r="Q318" s="178">
        <f t="shared" si="1134"/>
        <v>0</v>
      </c>
      <c r="R318" s="178">
        <f t="shared" si="1134"/>
        <v>0</v>
      </c>
      <c r="S318" s="178">
        <f t="shared" si="1134"/>
        <v>0</v>
      </c>
      <c r="T318" s="178">
        <f t="shared" si="1134"/>
        <v>0</v>
      </c>
      <c r="U318" s="178">
        <f t="shared" si="1134"/>
        <v>0</v>
      </c>
      <c r="V318" s="178">
        <f t="shared" si="1134"/>
        <v>0</v>
      </c>
      <c r="W318" s="178">
        <f t="shared" si="1133"/>
        <v>0</v>
      </c>
      <c r="X318" s="178">
        <f t="shared" si="1133"/>
        <v>0</v>
      </c>
      <c r="Y318" s="178">
        <f t="shared" si="1133"/>
        <v>0</v>
      </c>
      <c r="Z318" s="178">
        <f t="shared" si="1133"/>
        <v>0</v>
      </c>
      <c r="AA318" s="178">
        <f t="shared" si="1133"/>
        <v>0</v>
      </c>
      <c r="AB318" s="178">
        <f t="shared" si="1133"/>
        <v>0</v>
      </c>
      <c r="AC318" s="178">
        <f t="shared" si="1133"/>
        <v>0</v>
      </c>
      <c r="AD318" s="178">
        <f t="shared" si="1133"/>
        <v>0</v>
      </c>
      <c r="AF318" s="178">
        <f t="shared" ref="AF318" si="1135">++AF310-AF316</f>
        <v>0</v>
      </c>
      <c r="AG318" s="178">
        <f t="shared" si="1133"/>
        <v>0</v>
      </c>
      <c r="AH318" s="178">
        <f t="shared" si="1133"/>
        <v>0</v>
      </c>
    </row>
    <row r="319" spans="3:34" ht="13.5" thickTop="1" x14ac:dyDescent="0.4">
      <c r="C319" s="199" t="s">
        <v>109</v>
      </c>
      <c r="G319" s="20"/>
      <c r="H319" s="20"/>
      <c r="I319" s="20"/>
      <c r="J319" s="19">
        <f>++IFERROR(J318/J303,0)</f>
        <v>0</v>
      </c>
      <c r="K319" s="19">
        <f t="shared" ref="K319:V319" si="1136">++IFERROR(K318/K303,0)</f>
        <v>0</v>
      </c>
      <c r="L319" s="19">
        <f t="shared" si="1136"/>
        <v>0</v>
      </c>
      <c r="M319" s="19">
        <f t="shared" si="1136"/>
        <v>0</v>
      </c>
      <c r="N319" s="19">
        <f t="shared" si="1136"/>
        <v>0</v>
      </c>
      <c r="O319" s="19">
        <f t="shared" si="1136"/>
        <v>0</v>
      </c>
      <c r="P319" s="19">
        <f t="shared" si="1136"/>
        <v>0</v>
      </c>
      <c r="Q319" s="19">
        <f t="shared" si="1136"/>
        <v>0</v>
      </c>
      <c r="R319" s="19">
        <f t="shared" si="1136"/>
        <v>0</v>
      </c>
      <c r="S319" s="19">
        <f t="shared" si="1136"/>
        <v>0</v>
      </c>
      <c r="T319" s="19">
        <f t="shared" si="1136"/>
        <v>0</v>
      </c>
      <c r="U319" s="19">
        <f t="shared" si="1136"/>
        <v>0</v>
      </c>
      <c r="V319" s="19">
        <f t="shared" si="1136"/>
        <v>0</v>
      </c>
      <c r="W319" s="19">
        <f t="shared" ref="W319:AH319" si="1137">++IFERROR(W318/W303,0)</f>
        <v>0</v>
      </c>
      <c r="X319" s="19">
        <f t="shared" si="1137"/>
        <v>0</v>
      </c>
      <c r="Y319" s="19">
        <f t="shared" si="1137"/>
        <v>0</v>
      </c>
      <c r="Z319" s="19">
        <f t="shared" si="1137"/>
        <v>0</v>
      </c>
      <c r="AA319" s="19">
        <f t="shared" si="1137"/>
        <v>0</v>
      </c>
      <c r="AB319" s="19">
        <f t="shared" si="1137"/>
        <v>0</v>
      </c>
      <c r="AC319" s="19">
        <f t="shared" si="1137"/>
        <v>0</v>
      </c>
      <c r="AD319" s="19">
        <f t="shared" si="1137"/>
        <v>0</v>
      </c>
      <c r="AF319" s="19">
        <f>++IFERROR(AF318/AF303,0)</f>
        <v>0</v>
      </c>
      <c r="AG319" s="19">
        <f t="shared" si="1137"/>
        <v>0</v>
      </c>
      <c r="AH319" s="19">
        <f t="shared" si="1137"/>
        <v>0</v>
      </c>
    </row>
    <row r="320" spans="3:34" x14ac:dyDescent="0.4">
      <c r="C320" s="196"/>
    </row>
    <row r="321" spans="1:34" x14ac:dyDescent="0.4">
      <c r="C321" s="196" t="s">
        <v>198</v>
      </c>
      <c r="G321" s="93"/>
      <c r="H321" s="93"/>
      <c r="I321" s="93"/>
      <c r="J321" s="191" cm="1">
        <f t="array" ref="J321">++IFERROR(SUM(J306:J307,-J313:J314)/J303*J301,0)</f>
        <v>0</v>
      </c>
      <c r="K321" s="191" cm="1">
        <f t="array" ref="K321">++IFERROR(SUM(K306:K307,-K313:K314)/K303*K301,0)</f>
        <v>0</v>
      </c>
      <c r="L321" s="191" cm="1">
        <f t="array" ref="L321">++IFERROR(SUM(L306:L307,-L313:L314)/L303*L301,0)</f>
        <v>0</v>
      </c>
      <c r="M321" s="191" cm="1">
        <f t="array" ref="M321">++IFERROR(SUM(M306:M307,-M313:M314)/M303*M301,0)</f>
        <v>0</v>
      </c>
      <c r="N321" s="191" cm="1">
        <f t="array" ref="N321">++IFERROR(SUM(N306:N307,-N313:N314)/N303*N301,0)</f>
        <v>0</v>
      </c>
      <c r="O321" s="191" cm="1">
        <f t="array" ref="O321">++IFERROR(SUM(O306:O307,-O313:O314)/O303*O301,0)</f>
        <v>0</v>
      </c>
      <c r="P321" s="191" cm="1">
        <f t="array" ref="P321">++IFERROR(SUM(P306:P307,-P313:P314)/P303*P301,0)</f>
        <v>0</v>
      </c>
      <c r="Q321" s="191" cm="1">
        <f t="array" ref="Q321">++IFERROR(SUM(Q306:Q307,-Q313:Q314)/Q303*Q301,0)</f>
        <v>0</v>
      </c>
      <c r="R321" s="191" cm="1">
        <f t="array" ref="R321">++IFERROR(SUM(R306:R307,-R313:R314)/R303*R301,0)</f>
        <v>0</v>
      </c>
      <c r="S321" s="191" cm="1">
        <f t="array" ref="S321">++IFERROR(SUM(S306:S307,-S313:S314)/S303*S301,0)</f>
        <v>0</v>
      </c>
      <c r="T321" s="191" cm="1">
        <f t="array" ref="T321">++IFERROR(SUM(T306:T307,-T313:T314)/T303*T301,0)</f>
        <v>0</v>
      </c>
      <c r="U321" s="191" cm="1">
        <f t="array" ref="U321">++IFERROR(SUM(U306:U307,-U313:U314)/U303*U301,0)</f>
        <v>0</v>
      </c>
      <c r="V321" s="191" cm="1">
        <f t="array" ref="V321">++IFERROR(SUM(V306:V307,-V313:V314)/V303*V301,0)</f>
        <v>0</v>
      </c>
      <c r="W321" s="191" cm="1">
        <f t="array" ref="W321">++IFERROR(SUM(W306:W307,-W313:W314)/W303*W301,0)</f>
        <v>0</v>
      </c>
      <c r="X321" s="191" cm="1">
        <f t="array" ref="X321">++IFERROR(SUM(X306:X307,-X313:X314)/X303*X301,0)</f>
        <v>0</v>
      </c>
      <c r="Y321" s="191" cm="1">
        <f t="array" ref="Y321">++IFERROR(SUM(Y306:Y307,-Y313:Y314)/Y303*Y301,0)</f>
        <v>0</v>
      </c>
      <c r="Z321" s="191" cm="1">
        <f t="array" ref="Z321">++IFERROR(SUM(Z306:Z307,-Z313:Z314)/Z303*Z301,0)</f>
        <v>0</v>
      </c>
      <c r="AA321" s="191" cm="1">
        <f t="array" ref="AA321">++IFERROR(SUM(AA306:AA307,-AA313:AA314)/AA303*AA301,0)</f>
        <v>0</v>
      </c>
      <c r="AB321" s="191" cm="1">
        <f t="array" ref="AB321">++IFERROR(SUM(AB306:AB307,-AB313:AB314)/AB303*AB301,0)</f>
        <v>0</v>
      </c>
      <c r="AC321" s="191" cm="1">
        <f t="array" ref="AC321">++IFERROR(SUM(AC306:AC307,-AC313:AC314)/AC303*AC301,0)</f>
        <v>0</v>
      </c>
      <c r="AD321" s="191" cm="1">
        <f t="array" ref="AD321">++IFERROR(SUM(AD306:AD307,-AD313:AD314)/AD303*AD301,0)</f>
        <v>0</v>
      </c>
      <c r="AF321" s="191" cm="1">
        <f t="array" ref="AF321">++IFERROR(SUM(AF306:AF307,-AF313:AF314)/AF303*AF301,0)</f>
        <v>0</v>
      </c>
      <c r="AG321" s="191" cm="1">
        <f t="array" ref="AG321">++IFERROR(SUM(AG306:AG307,-AG313:AG314)/AG303*AG301,0)</f>
        <v>0</v>
      </c>
      <c r="AH321" s="191" cm="1">
        <f t="array" ref="AH321">++IFERROR(SUM(AH306:AH307,-AH313:AH314)/AH303*AH301,0)</f>
        <v>0</v>
      </c>
    </row>
    <row r="322" spans="1:34" x14ac:dyDescent="0.4">
      <c r="C322" s="196" t="s">
        <v>199</v>
      </c>
      <c r="G322" s="93"/>
      <c r="H322" s="93"/>
      <c r="I322" s="93"/>
      <c r="J322" s="191">
        <f>++IFERROR(J308/J304*J301,0)</f>
        <v>0</v>
      </c>
      <c r="K322" s="191">
        <f t="shared" ref="K322:V322" si="1138">++IFERROR(K308/K304*K301,0)</f>
        <v>0</v>
      </c>
      <c r="L322" s="191">
        <f t="shared" si="1138"/>
        <v>0</v>
      </c>
      <c r="M322" s="191">
        <f t="shared" si="1138"/>
        <v>0</v>
      </c>
      <c r="N322" s="191">
        <f t="shared" si="1138"/>
        <v>0</v>
      </c>
      <c r="O322" s="191">
        <f t="shared" si="1138"/>
        <v>0</v>
      </c>
      <c r="P322" s="191">
        <f t="shared" si="1138"/>
        <v>0</v>
      </c>
      <c r="Q322" s="191">
        <f t="shared" si="1138"/>
        <v>0</v>
      </c>
      <c r="R322" s="191">
        <f t="shared" si="1138"/>
        <v>0</v>
      </c>
      <c r="S322" s="191">
        <f t="shared" si="1138"/>
        <v>0</v>
      </c>
      <c r="T322" s="191">
        <f t="shared" si="1138"/>
        <v>0</v>
      </c>
      <c r="U322" s="191">
        <f t="shared" si="1138"/>
        <v>0</v>
      </c>
      <c r="V322" s="191">
        <f t="shared" si="1138"/>
        <v>0</v>
      </c>
      <c r="W322" s="191">
        <f t="shared" ref="W322:AH322" si="1139">++IFERROR(W308/W304*W301,0)</f>
        <v>0</v>
      </c>
      <c r="X322" s="191">
        <f t="shared" si="1139"/>
        <v>0</v>
      </c>
      <c r="Y322" s="191">
        <f t="shared" si="1139"/>
        <v>0</v>
      </c>
      <c r="Z322" s="191">
        <f t="shared" si="1139"/>
        <v>0</v>
      </c>
      <c r="AA322" s="191">
        <f t="shared" si="1139"/>
        <v>0</v>
      </c>
      <c r="AB322" s="191">
        <f t="shared" si="1139"/>
        <v>0</v>
      </c>
      <c r="AC322" s="191">
        <f t="shared" si="1139"/>
        <v>0</v>
      </c>
      <c r="AD322" s="191">
        <f t="shared" si="1139"/>
        <v>0</v>
      </c>
      <c r="AF322" s="191">
        <f>++IFERROR(AF308/AF304*AF301,0)</f>
        <v>0</v>
      </c>
      <c r="AG322" s="191">
        <f t="shared" si="1139"/>
        <v>0</v>
      </c>
      <c r="AH322" s="191">
        <f t="shared" si="1139"/>
        <v>0</v>
      </c>
    </row>
    <row r="323" spans="1:34" x14ac:dyDescent="0.4">
      <c r="C323" s="196" t="s">
        <v>200</v>
      </c>
      <c r="G323" s="93"/>
      <c r="H323" s="93"/>
      <c r="I323" s="93"/>
      <c r="J323" s="191">
        <f>++IFERROR(-J312/J304*J301,0)</f>
        <v>0</v>
      </c>
      <c r="K323" s="191">
        <f t="shared" ref="K323:V323" si="1140">++IFERROR(-K312/K304*K301,0)</f>
        <v>0</v>
      </c>
      <c r="L323" s="191">
        <f t="shared" si="1140"/>
        <v>0</v>
      </c>
      <c r="M323" s="191">
        <f t="shared" si="1140"/>
        <v>0</v>
      </c>
      <c r="N323" s="191">
        <f t="shared" si="1140"/>
        <v>0</v>
      </c>
      <c r="O323" s="191">
        <f t="shared" si="1140"/>
        <v>0</v>
      </c>
      <c r="P323" s="191">
        <f t="shared" si="1140"/>
        <v>0</v>
      </c>
      <c r="Q323" s="191">
        <f t="shared" si="1140"/>
        <v>0</v>
      </c>
      <c r="R323" s="191">
        <f t="shared" si="1140"/>
        <v>0</v>
      </c>
      <c r="S323" s="191">
        <f t="shared" si="1140"/>
        <v>0</v>
      </c>
      <c r="T323" s="191">
        <f t="shared" si="1140"/>
        <v>0</v>
      </c>
      <c r="U323" s="191">
        <f t="shared" si="1140"/>
        <v>0</v>
      </c>
      <c r="V323" s="191">
        <f t="shared" si="1140"/>
        <v>0</v>
      </c>
      <c r="W323" s="191">
        <f t="shared" ref="W323:AH323" si="1141">++IFERROR(-W312/W304*W301,0)</f>
        <v>0</v>
      </c>
      <c r="X323" s="191">
        <f t="shared" si="1141"/>
        <v>0</v>
      </c>
      <c r="Y323" s="191">
        <f t="shared" si="1141"/>
        <v>0</v>
      </c>
      <c r="Z323" s="191">
        <f t="shared" si="1141"/>
        <v>0</v>
      </c>
      <c r="AA323" s="191">
        <f t="shared" si="1141"/>
        <v>0</v>
      </c>
      <c r="AB323" s="191">
        <f t="shared" si="1141"/>
        <v>0</v>
      </c>
      <c r="AC323" s="191">
        <f t="shared" si="1141"/>
        <v>0</v>
      </c>
      <c r="AD323" s="191">
        <f t="shared" si="1141"/>
        <v>0</v>
      </c>
      <c r="AF323" s="191">
        <f>++IFERROR(-AF312/AF304*AF301,0)</f>
        <v>0</v>
      </c>
      <c r="AG323" s="191">
        <f t="shared" si="1141"/>
        <v>0</v>
      </c>
      <c r="AH323" s="191">
        <f t="shared" si="1141"/>
        <v>0</v>
      </c>
    </row>
    <row r="324" spans="1:34" x14ac:dyDescent="0.4">
      <c r="C324" s="198" t="s">
        <v>201</v>
      </c>
      <c r="D324" s="2"/>
      <c r="E324" s="2"/>
      <c r="G324" s="192"/>
      <c r="H324" s="192"/>
      <c r="I324" s="192"/>
      <c r="J324" s="193">
        <f>++SUM(J321:J323)</f>
        <v>0</v>
      </c>
      <c r="K324" s="193">
        <f t="shared" ref="K324:V324" si="1142">++SUM(K321:K323)</f>
        <v>0</v>
      </c>
      <c r="L324" s="193">
        <f t="shared" si="1142"/>
        <v>0</v>
      </c>
      <c r="M324" s="193">
        <f t="shared" si="1142"/>
        <v>0</v>
      </c>
      <c r="N324" s="193">
        <f t="shared" si="1142"/>
        <v>0</v>
      </c>
      <c r="O324" s="193">
        <f t="shared" si="1142"/>
        <v>0</v>
      </c>
      <c r="P324" s="193">
        <f t="shared" si="1142"/>
        <v>0</v>
      </c>
      <c r="Q324" s="193">
        <f t="shared" si="1142"/>
        <v>0</v>
      </c>
      <c r="R324" s="193">
        <f t="shared" si="1142"/>
        <v>0</v>
      </c>
      <c r="S324" s="193">
        <f t="shared" si="1142"/>
        <v>0</v>
      </c>
      <c r="T324" s="193">
        <f t="shared" si="1142"/>
        <v>0</v>
      </c>
      <c r="U324" s="193">
        <f t="shared" si="1142"/>
        <v>0</v>
      </c>
      <c r="V324" s="193">
        <f t="shared" si="1142"/>
        <v>0</v>
      </c>
      <c r="W324" s="193">
        <f t="shared" ref="W324:AH324" si="1143">++SUM(W321:W323)</f>
        <v>0</v>
      </c>
      <c r="X324" s="193">
        <f t="shared" si="1143"/>
        <v>0</v>
      </c>
      <c r="Y324" s="193">
        <f t="shared" si="1143"/>
        <v>0</v>
      </c>
      <c r="Z324" s="193">
        <f t="shared" si="1143"/>
        <v>0</v>
      </c>
      <c r="AA324" s="193">
        <f t="shared" si="1143"/>
        <v>0</v>
      </c>
      <c r="AB324" s="193">
        <f t="shared" si="1143"/>
        <v>0</v>
      </c>
      <c r="AC324" s="193">
        <f t="shared" si="1143"/>
        <v>0</v>
      </c>
      <c r="AD324" s="193">
        <f t="shared" si="1143"/>
        <v>0</v>
      </c>
      <c r="AF324" s="193">
        <f>++SUM(AF321:AF323)</f>
        <v>0</v>
      </c>
      <c r="AG324" s="193">
        <f t="shared" si="1143"/>
        <v>0</v>
      </c>
      <c r="AH324" s="193">
        <f t="shared" si="1143"/>
        <v>0</v>
      </c>
    </row>
    <row r="327" spans="1:34" x14ac:dyDescent="0.4">
      <c r="A327" s="12" t="s">
        <v>8</v>
      </c>
      <c r="B327" s="12" t="s">
        <v>8</v>
      </c>
    </row>
  </sheetData>
  <pageMargins left="0.7" right="0.7" top="0.75" bottom="0.75" header="0.3" footer="0.3"/>
  <customProperties>
    <customPr name="OrphanNamesChecke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  <LoanXID xmlns="dc6d7f3b-2388-4907-95e9-67fe670791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20" ma:contentTypeDescription="Create a new document." ma:contentTypeScope="" ma:versionID="c2fbab9bba8e931dae7869dce07a7632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7f9b71cf218f09fb69a31198b8827546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B0CF4-9509-4420-BAEF-54BD21B97E71}">
  <ds:schemaRefs>
    <ds:schemaRef ds:uri="http://schemas.microsoft.com/office/2006/metadata/properties"/>
    <ds:schemaRef ds:uri="http://schemas.microsoft.com/office/infopath/2007/PartnerControls"/>
    <ds:schemaRef ds:uri="dc6d7f3b-2388-4907-95e9-67fe6707918b"/>
    <ds:schemaRef ds:uri="5adca3f6-50e5-45d3-816d-7d8e2e1aafa3"/>
  </ds:schemaRefs>
</ds:datastoreItem>
</file>

<file path=customXml/itemProps2.xml><?xml version="1.0" encoding="utf-8"?>
<ds:datastoreItem xmlns:ds="http://schemas.openxmlformats.org/officeDocument/2006/customXml" ds:itemID="{58905E6A-0DE5-4687-8158-276BB6501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d7f3b-2388-4907-95e9-67fe6707918b"/>
    <ds:schemaRef ds:uri="5adca3f6-50e5-45d3-816d-7d8e2e1aa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15AFBE-DC55-40CF-8C19-50E6061E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SUCAP</vt:lpstr>
      <vt:lpstr>Top Customer</vt:lpstr>
      <vt:lpstr>Top Supplier</vt:lpstr>
      <vt:lpstr>HistFin</vt:lpstr>
      <vt:lpstr>HistFin Charts</vt:lpstr>
      <vt:lpstr>EBITDA</vt:lpstr>
      <vt:lpstr>NWC</vt:lpstr>
      <vt:lpstr>Seasonality</vt:lpstr>
      <vt:lpstr>DSV</vt:lpstr>
      <vt:lpstr>FinInputs</vt:lpstr>
      <vt:lpstr>CoName</vt:lpstr>
      <vt:lpstr>ImpEQT</vt:lpstr>
      <vt:lpstr>LastActDate</vt:lpstr>
      <vt:lpstr>LastFYE</vt:lpstr>
      <vt:lpstr>LTMDate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Anderson</dc:creator>
  <cp:keywords/>
  <dc:description/>
  <cp:lastModifiedBy>Yang, Caleb</cp:lastModifiedBy>
  <cp:revision/>
  <dcterms:created xsi:type="dcterms:W3CDTF">2024-07-16T12:19:12Z</dcterms:created>
  <dcterms:modified xsi:type="dcterms:W3CDTF">2026-04-21T22:34:29Z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{89FAAEFB-128C-409B-8170-5B568CD55C52}</vt:lpwstr>
  </property>
  <property fmtid="{D5CDD505-2E9C-101B-9397-08002B2CF9AE}" pid="3" name="ContentTypeId">
    <vt:lpwstr>0x0101000CD5D7B6EDD6B944996098F92CD81FE4</vt:lpwstr>
  </property>
  <property fmtid="{D5CDD505-2E9C-101B-9397-08002B2CF9AE}" pid="4" name="MediaServiceImageTags">
    <vt:lpwstr/>
  </property>
</Properties>
</file>