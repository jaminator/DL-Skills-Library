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comments1.xml" ContentType="application/vnd.openxmlformats-officedocument.spreadsheetml.comments+xml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nterbridge-my.sharepoint.com/personal/janderson_centerbridge_com/Documents/My Documents/"/>
    </mc:Choice>
  </mc:AlternateContent>
  <xr:revisionPtr revIDLastSave="2" documentId="8_{97CDE772-D95C-444B-936D-DC0C74C7EE25}" xr6:coauthVersionLast="47" xr6:coauthVersionMax="47" xr10:uidLastSave="{4C8DD0FD-338F-400A-89A9-986C019EDF54}"/>
  <bookViews>
    <workbookView xWindow="-110" yWindow="-110" windowWidth="38620" windowHeight="21100" firstSheet="1" activeTab="1" xr2:uid="{C2022C91-0818-4BE9-99C9-BA1648AA8533}"/>
  </bookViews>
  <sheets>
    <sheet name="_CIQHiddenCacheSheet" sheetId="81" state="veryHidden" r:id="rId1"/>
    <sheet name="Dashboard" sheetId="1" r:id="rId2"/>
    <sheet name="Charts" sheetId="83" r:id="rId3"/>
    <sheet name="Inputs --&gt;" sheetId="27" r:id="rId4"/>
    <sheet name="Financials Input" sheetId="16" r:id="rId5"/>
    <sheet name="Covenant Input" sheetId="10" r:id="rId6"/>
    <sheet name="Trade Ticket Input" sheetId="17" r:id="rId7"/>
    <sheet name="Add-On Input" sheetId="14" r:id="rId8"/>
    <sheet name="Public Comps Input" sheetId="12" r:id="rId9"/>
    <sheet name="Tnx Comps Input" sheetId="13" r:id="rId10"/>
    <sheet name="Misc --&gt;" sheetId="82" r:id="rId11"/>
    <sheet name="Data Validation" sheetId="18" r:id="rId12"/>
  </sheets>
  <definedNames>
    <definedName name="CIQWBGuid" localSheetId="3" hidden="1">"6251bfe1-1de7-4f49-a77b-5c09adf0568e"</definedName>
    <definedName name="CIQWBGuid" localSheetId="10" hidden="1">"6251bfe1-1de7-4f49-a77b-5c09adf0568e"</definedName>
    <definedName name="CIQWBGuid" hidden="1">"1a516b51-1418-4c25-a74c-0e7cff5114d7"</definedName>
    <definedName name="CIQWBInfo" hidden="1">"{ ""CIQVersion"":""9.45.614.5792"" }"</definedName>
    <definedName name="FinChartType">Dashboard!$AC$2</definedName>
    <definedName name="FYEDate">Dashboard!$E$11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45153.8702777778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TMDate">Dashboard!$AC$1</definedName>
    <definedName name="_xlnm.Print_Area" localSheetId="7">'Add-On Input'!$C$5:$N$28</definedName>
    <definedName name="_xlnm.Print_Area" localSheetId="2">Charts!$C$5:$M$49,Charts!$C$52:$M$93</definedName>
    <definedName name="_xlnm.Print_Area" localSheetId="1">Dashboard!$C$5:$Y$90,Dashboard!$C$93:$Y$176</definedName>
    <definedName name="_xlnm.Print_Area" localSheetId="8">'Public Comps Input'!$C$5:$M$31</definedName>
    <definedName name="_xlnm.Print_Area" localSheetId="9">'Tnx Comps Input'!$C$5:$M$32</definedName>
    <definedName name="_xlnm.Print_Area" localSheetId="6">'Trade Ticket Input'!$C$5:$M$383</definedName>
    <definedName name="_xlnm.Print_Titles" localSheetId="2">Charts!$5:$7</definedName>
    <definedName name="_xlnm.Print_Titles" localSheetId="4">'Financials Input'!$C:$F,'Financials Input'!$1:$4</definedName>
    <definedName name="_xlnm.Print_Titles" localSheetId="6">'Trade Ticket Input'!$5:$7</definedName>
  </definedNames>
  <calcPr calcId="191029" calcMode="autoNoTable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446" i="16" l="1"/>
  <c r="CR446" i="16"/>
  <c r="CQ446" i="16"/>
  <c r="CL446" i="16"/>
  <c r="CG446" i="16"/>
  <c r="CF446" i="16"/>
  <c r="BX446" i="16"/>
  <c r="BW446" i="16"/>
  <c r="BT446" i="16"/>
  <c r="BQ446" i="16"/>
  <c r="BP446" i="16"/>
  <c r="BI446" i="16"/>
  <c r="BB446" i="16"/>
  <c r="BA446" i="16"/>
  <c r="AZ446" i="16"/>
  <c r="AX446" i="16"/>
  <c r="AV446" i="16"/>
  <c r="AU446" i="16"/>
  <c r="AP446" i="16"/>
  <c r="AN446" i="16"/>
  <c r="AL446" i="16"/>
  <c r="AE446" i="16"/>
  <c r="AC446" i="16"/>
  <c r="T446" i="16"/>
  <c r="S446" i="16"/>
  <c r="Q446" i="16"/>
  <c r="L446" i="16"/>
  <c r="K446" i="16"/>
  <c r="J446" i="16"/>
  <c r="CY445" i="16"/>
  <c r="CX445" i="16"/>
  <c r="CW445" i="16"/>
  <c r="CS445" i="16"/>
  <c r="CE445" i="16"/>
  <c r="CA445" i="16"/>
  <c r="BW445" i="16"/>
  <c r="BM445" i="16"/>
  <c r="BL445" i="16"/>
  <c r="BJ445" i="16"/>
  <c r="BI445" i="16"/>
  <c r="BC445" i="16"/>
  <c r="BA445" i="16"/>
  <c r="AO445" i="16"/>
  <c r="AM445" i="16"/>
  <c r="AK445" i="16"/>
  <c r="AG445" i="16"/>
  <c r="AD445" i="16"/>
  <c r="AC445" i="16"/>
  <c r="DC444" i="16"/>
  <c r="DB444" i="16"/>
  <c r="DA444" i="16"/>
  <c r="CZ444" i="16"/>
  <c r="CY444" i="16"/>
  <c r="CX444" i="16"/>
  <c r="CW444" i="16"/>
  <c r="CV444" i="16"/>
  <c r="CV445" i="16" s="1"/>
  <c r="CU444" i="16"/>
  <c r="CT444" i="16"/>
  <c r="CS444" i="16"/>
  <c r="CR444" i="16"/>
  <c r="CQ444" i="16"/>
  <c r="CP444" i="16"/>
  <c r="CO444" i="16"/>
  <c r="CN444" i="16"/>
  <c r="CM444" i="16"/>
  <c r="CL444" i="16"/>
  <c r="CK444" i="16"/>
  <c r="CJ444" i="16"/>
  <c r="CJ445" i="16" s="1"/>
  <c r="CI444" i="16"/>
  <c r="CI445" i="16" s="1"/>
  <c r="CH444" i="16"/>
  <c r="CG444" i="16"/>
  <c r="CF444" i="16"/>
  <c r="CE444" i="16"/>
  <c r="CD444" i="16"/>
  <c r="CC444" i="16"/>
  <c r="CB444" i="16"/>
  <c r="CA444" i="16"/>
  <c r="BZ444" i="16"/>
  <c r="BY444" i="16"/>
  <c r="BX444" i="16"/>
  <c r="BW444" i="16"/>
  <c r="BV444" i="16"/>
  <c r="BV445" i="16" s="1"/>
  <c r="BU444" i="16"/>
  <c r="BU445" i="16" s="1"/>
  <c r="BT444" i="16"/>
  <c r="BT445" i="16" s="1"/>
  <c r="BS444" i="16"/>
  <c r="BR444" i="16"/>
  <c r="BQ444" i="16"/>
  <c r="BP444" i="16"/>
  <c r="BO444" i="16"/>
  <c r="BN444" i="16"/>
  <c r="BM444" i="16"/>
  <c r="BL444" i="16"/>
  <c r="BL446" i="16" s="1"/>
  <c r="BK444" i="16"/>
  <c r="BJ444" i="16"/>
  <c r="BI444" i="16"/>
  <c r="BH444" i="16"/>
  <c r="BH445" i="16" s="1"/>
  <c r="BG444" i="16"/>
  <c r="BF444" i="16"/>
  <c r="BE444" i="16"/>
  <c r="BD444" i="16"/>
  <c r="BC444" i="16"/>
  <c r="BB444" i="16"/>
  <c r="BA444" i="16"/>
  <c r="AZ444" i="16"/>
  <c r="AY444" i="16"/>
  <c r="AX444" i="16"/>
  <c r="AW444" i="16"/>
  <c r="AV444" i="16"/>
  <c r="AU444" i="16"/>
  <c r="AT444" i="16"/>
  <c r="AT445" i="16" s="1"/>
  <c r="AS444" i="16"/>
  <c r="AS445" i="16" s="1"/>
  <c r="AR444" i="16"/>
  <c r="AR445" i="16" s="1"/>
  <c r="AQ444" i="16"/>
  <c r="AP444" i="16"/>
  <c r="AO444" i="16"/>
  <c r="AN444" i="16"/>
  <c r="AM444" i="16"/>
  <c r="AL444" i="16"/>
  <c r="AK444" i="16"/>
  <c r="AJ444" i="16"/>
  <c r="AJ446" i="16" s="1"/>
  <c r="AI444" i="16"/>
  <c r="AH444" i="16"/>
  <c r="AG444" i="16"/>
  <c r="AF444" i="16"/>
  <c r="AF445" i="16" s="1"/>
  <c r="AE444" i="16"/>
  <c r="AE445" i="16" s="1"/>
  <c r="AD444" i="16"/>
  <c r="AD446" i="16" s="1"/>
  <c r="AC444" i="16"/>
  <c r="AB444" i="16"/>
  <c r="AA444" i="16"/>
  <c r="Z444" i="16"/>
  <c r="Y444" i="16"/>
  <c r="X444" i="16"/>
  <c r="W444" i="16"/>
  <c r="V444" i="16"/>
  <c r="U444" i="16"/>
  <c r="T444" i="16"/>
  <c r="S444" i="16"/>
  <c r="R444" i="16"/>
  <c r="R445" i="16" s="1"/>
  <c r="Q444" i="16"/>
  <c r="Q445" i="16" s="1"/>
  <c r="P444" i="16"/>
  <c r="P445" i="16" s="1"/>
  <c r="O444" i="16"/>
  <c r="N444" i="16"/>
  <c r="M444" i="16"/>
  <c r="L444" i="16"/>
  <c r="K444" i="16"/>
  <c r="J444" i="16"/>
  <c r="I444" i="16"/>
  <c r="H444" i="16"/>
  <c r="G444" i="16"/>
  <c r="DB442" i="16"/>
  <c r="CZ442" i="16"/>
  <c r="CY442" i="16"/>
  <c r="CW442" i="16"/>
  <c r="CU442" i="16"/>
  <c r="CP442" i="16"/>
  <c r="CN442" i="16"/>
  <c r="CL442" i="16"/>
  <c r="CK442" i="16"/>
  <c r="CE442" i="16"/>
  <c r="CC442" i="16"/>
  <c r="CB442" i="16"/>
  <c r="BZ442" i="16"/>
  <c r="BX442" i="16"/>
  <c r="BW442" i="16"/>
  <c r="BU442" i="16"/>
  <c r="BR442" i="16"/>
  <c r="BN442" i="16"/>
  <c r="BG442" i="16"/>
  <c r="BD442" i="16"/>
  <c r="BC442" i="16"/>
  <c r="BB442" i="16"/>
  <c r="AZ442" i="16"/>
  <c r="AS442" i="16"/>
  <c r="AN442" i="16"/>
  <c r="AL442" i="16"/>
  <c r="AK442" i="16"/>
  <c r="AJ442" i="16"/>
  <c r="AG442" i="16"/>
  <c r="AB442" i="16"/>
  <c r="AA442" i="16"/>
  <c r="Z442" i="16"/>
  <c r="X442" i="16"/>
  <c r="N442" i="16"/>
  <c r="K442" i="16"/>
  <c r="CW441" i="16"/>
  <c r="CV441" i="16"/>
  <c r="CS441" i="16"/>
  <c r="CH441" i="16"/>
  <c r="CE441" i="16"/>
  <c r="CC441" i="16"/>
  <c r="BT441" i="16"/>
  <c r="BN441" i="16"/>
  <c r="BL441" i="16"/>
  <c r="BF441" i="16"/>
  <c r="AR441" i="16"/>
  <c r="AQ441" i="16"/>
  <c r="AN441" i="16"/>
  <c r="AG441" i="16"/>
  <c r="AF441" i="16"/>
  <c r="AD441" i="16"/>
  <c r="AC441" i="16"/>
  <c r="S441" i="16"/>
  <c r="O441" i="16"/>
  <c r="M441" i="16"/>
  <c r="DC440" i="16"/>
  <c r="DB440" i="16"/>
  <c r="DB446" i="16" s="1"/>
  <c r="DA440" i="16"/>
  <c r="CZ440" i="16"/>
  <c r="CZ446" i="16" s="1"/>
  <c r="CY440" i="16"/>
  <c r="CX440" i="16"/>
  <c r="CW440" i="16"/>
  <c r="CW446" i="16" s="1"/>
  <c r="CV440" i="16"/>
  <c r="CU440" i="16"/>
  <c r="CT440" i="16"/>
  <c r="CS440" i="16"/>
  <c r="CR440" i="16"/>
  <c r="CQ440" i="16"/>
  <c r="CP440" i="16"/>
  <c r="CO440" i="16"/>
  <c r="CN440" i="16"/>
  <c r="CM440" i="16"/>
  <c r="CL440" i="16"/>
  <c r="CK440" i="16"/>
  <c r="CJ440" i="16"/>
  <c r="CI440" i="16"/>
  <c r="CH440" i="16"/>
  <c r="CG440" i="16"/>
  <c r="CG442" i="16" s="1"/>
  <c r="CF440" i="16"/>
  <c r="CE440" i="16"/>
  <c r="CE446" i="16" s="1"/>
  <c r="CD440" i="16"/>
  <c r="CC440" i="16"/>
  <c r="CC446" i="16" s="1"/>
  <c r="CB440" i="16"/>
  <c r="CA440" i="16"/>
  <c r="BZ440" i="16"/>
  <c r="BY440" i="16"/>
  <c r="BX440" i="16"/>
  <c r="BW440" i="16"/>
  <c r="BV440" i="16"/>
  <c r="BU440" i="16"/>
  <c r="BT440" i="16"/>
  <c r="BS440" i="16"/>
  <c r="BR440" i="16"/>
  <c r="BQ440" i="16"/>
  <c r="BP440" i="16"/>
  <c r="BO440" i="16"/>
  <c r="BN440" i="16"/>
  <c r="BM440" i="16"/>
  <c r="BL440" i="16"/>
  <c r="BL442" i="16" s="1"/>
  <c r="BK440" i="16"/>
  <c r="BJ440" i="16"/>
  <c r="BI440" i="16"/>
  <c r="BH440" i="16"/>
  <c r="BG440" i="16"/>
  <c r="BF440" i="16"/>
  <c r="BE440" i="16"/>
  <c r="BD440" i="16"/>
  <c r="BC440" i="16"/>
  <c r="BB440" i="16"/>
  <c r="BA440" i="16"/>
  <c r="AZ440" i="16"/>
  <c r="AY440" i="16"/>
  <c r="AX440" i="16"/>
  <c r="AX442" i="16" s="1"/>
  <c r="AW440" i="16"/>
  <c r="AV440" i="16"/>
  <c r="AV442" i="16" s="1"/>
  <c r="AU440" i="16"/>
  <c r="AU442" i="16" s="1"/>
  <c r="AT440" i="16"/>
  <c r="AS440" i="16"/>
  <c r="AS446" i="16" s="1"/>
  <c r="AR440" i="16"/>
  <c r="AQ440" i="16"/>
  <c r="AP440" i="16"/>
  <c r="AO440" i="16"/>
  <c r="AN440" i="16"/>
  <c r="AM440" i="16"/>
  <c r="AL440" i="16"/>
  <c r="AK440" i="16"/>
  <c r="AJ440" i="16"/>
  <c r="AI440" i="16"/>
  <c r="AH440" i="16"/>
  <c r="AG440" i="16"/>
  <c r="AG446" i="16" s="1"/>
  <c r="AF440" i="16"/>
  <c r="AE440" i="16"/>
  <c r="AD440" i="16"/>
  <c r="AC440" i="16"/>
  <c r="AC442" i="16" s="1"/>
  <c r="AB440" i="16"/>
  <c r="AB446" i="16" s="1"/>
  <c r="AA440" i="16"/>
  <c r="AM442" i="16" s="1"/>
  <c r="Z440" i="16"/>
  <c r="Y440" i="16"/>
  <c r="X440" i="16"/>
  <c r="W440" i="16"/>
  <c r="V440" i="16"/>
  <c r="V446" i="16" s="1"/>
  <c r="U440" i="16"/>
  <c r="T440" i="16"/>
  <c r="T442" i="16" s="1"/>
  <c r="S440" i="16"/>
  <c r="R440" i="16"/>
  <c r="Q440" i="16"/>
  <c r="Q441" i="16" s="1"/>
  <c r="P440" i="16"/>
  <c r="P441" i="16" s="1"/>
  <c r="O440" i="16"/>
  <c r="O446" i="16" s="1"/>
  <c r="N440" i="16"/>
  <c r="M440" i="16"/>
  <c r="M446" i="16" s="1"/>
  <c r="L440" i="16"/>
  <c r="K440" i="16"/>
  <c r="J440" i="16"/>
  <c r="I440" i="16"/>
  <c r="H440" i="16"/>
  <c r="H446" i="16" s="1"/>
  <c r="G440" i="16"/>
  <c r="AD438" i="16"/>
  <c r="AD437" i="16"/>
  <c r="L437" i="16"/>
  <c r="CJ436" i="16"/>
  <c r="CB436" i="16"/>
  <c r="BI436" i="16"/>
  <c r="BD436" i="16"/>
  <c r="BB436" i="16"/>
  <c r="AV436" i="16"/>
  <c r="AD436" i="16"/>
  <c r="T436" i="16"/>
  <c r="CX435" i="16"/>
  <c r="CS435" i="16"/>
  <c r="CR435" i="16"/>
  <c r="CO435" i="16"/>
  <c r="CM435" i="16"/>
  <c r="CH435" i="16"/>
  <c r="CG435" i="16"/>
  <c r="CF435" i="16"/>
  <c r="CD435" i="16"/>
  <c r="BT435" i="16"/>
  <c r="BS435" i="16"/>
  <c r="BR435" i="16"/>
  <c r="BQ435" i="16"/>
  <c r="BP435" i="16"/>
  <c r="BM435" i="16"/>
  <c r="BG435" i="16"/>
  <c r="BF435" i="16"/>
  <c r="BE435" i="16"/>
  <c r="BC435" i="16"/>
  <c r="BA435" i="16"/>
  <c r="AY435" i="16"/>
  <c r="AS435" i="16"/>
  <c r="AQ435" i="16"/>
  <c r="AO435" i="16"/>
  <c r="AN435" i="16"/>
  <c r="AI435" i="16"/>
  <c r="AG435" i="16"/>
  <c r="AE435" i="16"/>
  <c r="AC435" i="16"/>
  <c r="AB435" i="16"/>
  <c r="AA435" i="16"/>
  <c r="R435" i="16"/>
  <c r="O435" i="16"/>
  <c r="M435" i="16"/>
  <c r="K435" i="16"/>
  <c r="I435" i="16"/>
  <c r="CX434" i="16"/>
  <c r="CW434" i="16"/>
  <c r="CV434" i="16"/>
  <c r="CU434" i="16"/>
  <c r="CT434" i="16"/>
  <c r="CR434" i="16"/>
  <c r="CI434" i="16"/>
  <c r="CD434" i="16"/>
  <c r="CB434" i="16"/>
  <c r="BY434" i="16"/>
  <c r="BV434" i="16"/>
  <c r="BT434" i="16"/>
  <c r="BL434" i="16"/>
  <c r="BI434" i="16"/>
  <c r="BB434" i="16"/>
  <c r="AZ434" i="16"/>
  <c r="AW434" i="16"/>
  <c r="AU434" i="16"/>
  <c r="AT434" i="16"/>
  <c r="AR434" i="16"/>
  <c r="AN434" i="16"/>
  <c r="AL434" i="16"/>
  <c r="AG434" i="16"/>
  <c r="Z434" i="16"/>
  <c r="X434" i="16"/>
  <c r="U434" i="16"/>
  <c r="R434" i="16"/>
  <c r="P434" i="16"/>
  <c r="N434" i="16"/>
  <c r="J434" i="16"/>
  <c r="G434" i="16"/>
  <c r="DC433" i="16"/>
  <c r="DB433" i="16"/>
  <c r="DA433" i="16"/>
  <c r="CZ433" i="16"/>
  <c r="CY433" i="16"/>
  <c r="CX433" i="16"/>
  <c r="CW433" i="16"/>
  <c r="CV433" i="16"/>
  <c r="CU433" i="16"/>
  <c r="CT433" i="16"/>
  <c r="CS433" i="16"/>
  <c r="CS436" i="16" s="1"/>
  <c r="CR433" i="16"/>
  <c r="CQ433" i="16"/>
  <c r="CP433" i="16"/>
  <c r="CO433" i="16"/>
  <c r="CN433" i="16"/>
  <c r="CM433" i="16"/>
  <c r="CL433" i="16"/>
  <c r="CK433" i="16"/>
  <c r="CJ433" i="16"/>
  <c r="CI433" i="16"/>
  <c r="CH433" i="16"/>
  <c r="CG433" i="16"/>
  <c r="CF433" i="16"/>
  <c r="CE433" i="16"/>
  <c r="CD433" i="16"/>
  <c r="CC433" i="16"/>
  <c r="CB433" i="16"/>
  <c r="CA433" i="16"/>
  <c r="BZ433" i="16"/>
  <c r="BY433" i="16"/>
  <c r="BX433" i="16"/>
  <c r="BW433" i="16"/>
  <c r="BV433" i="16"/>
  <c r="BU433" i="16"/>
  <c r="BT433" i="16"/>
  <c r="BS433" i="16"/>
  <c r="BR433" i="16"/>
  <c r="BQ433" i="16"/>
  <c r="BP433" i="16"/>
  <c r="BO433" i="16"/>
  <c r="BN433" i="16"/>
  <c r="BN436" i="16" s="1"/>
  <c r="BM433" i="16"/>
  <c r="BL433" i="16"/>
  <c r="BK433" i="16"/>
  <c r="BJ433" i="16"/>
  <c r="BI433" i="16"/>
  <c r="BH433" i="16"/>
  <c r="BG433" i="16"/>
  <c r="BF433" i="16"/>
  <c r="BE433" i="16"/>
  <c r="BD433" i="16"/>
  <c r="BC433" i="16"/>
  <c r="BB433" i="16"/>
  <c r="BA433" i="16"/>
  <c r="AZ433" i="16"/>
  <c r="AY433" i="16"/>
  <c r="AX433" i="16"/>
  <c r="AW433" i="16"/>
  <c r="AV433" i="16"/>
  <c r="AU433" i="16"/>
  <c r="AT433" i="16"/>
  <c r="AS433" i="16"/>
  <c r="AR433" i="16"/>
  <c r="AQ433" i="16"/>
  <c r="AP433" i="16"/>
  <c r="AO433" i="16"/>
  <c r="AN433" i="16"/>
  <c r="AM433" i="16"/>
  <c r="AL433" i="16"/>
  <c r="AK433" i="16"/>
  <c r="AJ433" i="16"/>
  <c r="AI433" i="16"/>
  <c r="AH433" i="16"/>
  <c r="AG433" i="16"/>
  <c r="AF433" i="16"/>
  <c r="AE433" i="16"/>
  <c r="AD433" i="16"/>
  <c r="AC433" i="16"/>
  <c r="AB433" i="16"/>
  <c r="AA433" i="16"/>
  <c r="Z433" i="16"/>
  <c r="Y433" i="16"/>
  <c r="X433" i="16"/>
  <c r="W433" i="16"/>
  <c r="V433" i="16"/>
  <c r="U433" i="16"/>
  <c r="T433" i="16"/>
  <c r="S433" i="16"/>
  <c r="R433" i="16"/>
  <c r="Q433" i="16"/>
  <c r="P433" i="16"/>
  <c r="O433" i="16"/>
  <c r="N433" i="16"/>
  <c r="M433" i="16"/>
  <c r="M436" i="16" s="1"/>
  <c r="M437" i="16" s="1"/>
  <c r="L433" i="16"/>
  <c r="K433" i="16"/>
  <c r="J433" i="16"/>
  <c r="I433" i="16"/>
  <c r="H433" i="16"/>
  <c r="G433" i="16"/>
  <c r="CV432" i="16"/>
  <c r="CR432" i="16"/>
  <c r="CR436" i="16" s="1"/>
  <c r="CP432" i="16"/>
  <c r="CP436" i="16" s="1"/>
  <c r="CL432" i="16"/>
  <c r="CL436" i="16" s="1"/>
  <c r="CI432" i="16"/>
  <c r="CI436" i="16" s="1"/>
  <c r="CD432" i="16"/>
  <c r="CD436" i="16" s="1"/>
  <c r="CC432" i="16"/>
  <c r="CB432" i="16"/>
  <c r="BX432" i="16"/>
  <c r="BT432" i="16"/>
  <c r="BQ432" i="16"/>
  <c r="BP432" i="16"/>
  <c r="BN432" i="16"/>
  <c r="BJ432" i="16"/>
  <c r="BG432" i="16"/>
  <c r="BG436" i="16" s="1"/>
  <c r="BC432" i="16"/>
  <c r="BB432" i="16"/>
  <c r="BA432" i="16"/>
  <c r="AZ432" i="16"/>
  <c r="AV432" i="16"/>
  <c r="AR432" i="16"/>
  <c r="AR436" i="16" s="1"/>
  <c r="AM432" i="16"/>
  <c r="AH432" i="16"/>
  <c r="AH436" i="16" s="1"/>
  <c r="AE432" i="16"/>
  <c r="AD432" i="16"/>
  <c r="X432" i="16"/>
  <c r="R432" i="16"/>
  <c r="R436" i="16" s="1"/>
  <c r="R437" i="16" s="1"/>
  <c r="P432" i="16"/>
  <c r="N432" i="16"/>
  <c r="L432" i="16"/>
  <c r="L436" i="16" s="1"/>
  <c r="J432" i="16"/>
  <c r="DA430" i="16"/>
  <c r="CY430" i="16"/>
  <c r="CW430" i="16"/>
  <c r="CV430" i="16"/>
  <c r="CQ430" i="16"/>
  <c r="CM430" i="16"/>
  <c r="CK430" i="16"/>
  <c r="CJ430" i="16"/>
  <c r="CI430" i="16"/>
  <c r="CG430" i="16"/>
  <c r="CC430" i="16"/>
  <c r="CA430" i="16"/>
  <c r="BX430" i="16"/>
  <c r="BW430" i="16"/>
  <c r="BU430" i="16"/>
  <c r="BI430" i="16"/>
  <c r="BG430" i="16"/>
  <c r="BE430" i="16"/>
  <c r="BC430" i="16"/>
  <c r="AY430" i="16"/>
  <c r="AW430" i="16"/>
  <c r="AV430" i="16"/>
  <c r="AQ430" i="16"/>
  <c r="AP430" i="16"/>
  <c r="AO430" i="16"/>
  <c r="AH430" i="16"/>
  <c r="AG430" i="16"/>
  <c r="AE430" i="16"/>
  <c r="AA430" i="16"/>
  <c r="Y430" i="16"/>
  <c r="N430" i="16"/>
  <c r="K430" i="16"/>
  <c r="DC429" i="16"/>
  <c r="DB429" i="16"/>
  <c r="DA429" i="16"/>
  <c r="CJ429" i="16"/>
  <c r="CI429" i="16"/>
  <c r="CA429" i="16"/>
  <c r="BT429" i="16"/>
  <c r="BI429" i="16"/>
  <c r="BG429" i="16"/>
  <c r="BE429" i="16"/>
  <c r="AY429" i="16"/>
  <c r="AS429" i="16"/>
  <c r="AR429" i="16"/>
  <c r="AQ429" i="16"/>
  <c r="AG429" i="16"/>
  <c r="AE429" i="16"/>
  <c r="R429" i="16"/>
  <c r="Q429" i="16"/>
  <c r="O429" i="16"/>
  <c r="DC428" i="16"/>
  <c r="DC430" i="16" s="1"/>
  <c r="DB428" i="16"/>
  <c r="DA428" i="16"/>
  <c r="CZ428" i="16"/>
  <c r="CY428" i="16"/>
  <c r="CX428" i="16"/>
  <c r="CW428" i="16"/>
  <c r="CW421" i="16" s="1"/>
  <c r="CW426" i="16" s="1"/>
  <c r="CV428" i="16"/>
  <c r="CU428" i="16"/>
  <c r="CT428" i="16"/>
  <c r="CS428" i="16"/>
  <c r="CR428" i="16"/>
  <c r="CQ428" i="16"/>
  <c r="CP428" i="16"/>
  <c r="CO428" i="16"/>
  <c r="CO430" i="16" s="1"/>
  <c r="CN428" i="16"/>
  <c r="CM428" i="16"/>
  <c r="CL428" i="16"/>
  <c r="CK428" i="16"/>
  <c r="CJ428" i="16"/>
  <c r="CJ421" i="16" s="1"/>
  <c r="CJ426" i="16" s="1"/>
  <c r="CI428" i="16"/>
  <c r="CI421" i="16" s="1"/>
  <c r="CI422" i="16" s="1"/>
  <c r="CH428" i="16"/>
  <c r="CG428" i="16"/>
  <c r="CG421" i="16" s="1"/>
  <c r="CF428" i="16"/>
  <c r="CF429" i="16" s="1"/>
  <c r="CE428" i="16"/>
  <c r="CD428" i="16"/>
  <c r="CC428" i="16"/>
  <c r="CB428" i="16"/>
  <c r="CA428" i="16"/>
  <c r="BZ428" i="16"/>
  <c r="BY428" i="16"/>
  <c r="BX428" i="16"/>
  <c r="BW428" i="16"/>
  <c r="BV428" i="16"/>
  <c r="BV421" i="16" s="1"/>
  <c r="BU428" i="16"/>
  <c r="BU429" i="16" s="1"/>
  <c r="BT428" i="16"/>
  <c r="BS428" i="16"/>
  <c r="CE430" i="16" s="1"/>
  <c r="BR428" i="16"/>
  <c r="BQ428" i="16"/>
  <c r="BP428" i="16"/>
  <c r="BO428" i="16"/>
  <c r="BN428" i="16"/>
  <c r="BM428" i="16"/>
  <c r="BL428" i="16"/>
  <c r="BK428" i="16"/>
  <c r="BK430" i="16" s="1"/>
  <c r="BJ428" i="16"/>
  <c r="BI428" i="16"/>
  <c r="BH428" i="16"/>
  <c r="BG428" i="16"/>
  <c r="BF428" i="16"/>
  <c r="BE428" i="16"/>
  <c r="BD428" i="16"/>
  <c r="BD430" i="16" s="1"/>
  <c r="BC428" i="16"/>
  <c r="BB428" i="16"/>
  <c r="BA428" i="16"/>
  <c r="BA430" i="16" s="1"/>
  <c r="AZ428" i="16"/>
  <c r="AY428" i="16"/>
  <c r="AX428" i="16"/>
  <c r="AW428" i="16"/>
  <c r="AV428" i="16"/>
  <c r="AV421" i="16" s="1"/>
  <c r="AU428" i="16"/>
  <c r="AT428" i="16"/>
  <c r="AS428" i="16"/>
  <c r="AS430" i="16" s="1"/>
  <c r="AR428" i="16"/>
  <c r="AQ428" i="16"/>
  <c r="AP428" i="16"/>
  <c r="AO428" i="16"/>
  <c r="AN428" i="16"/>
  <c r="AN421" i="16" s="1"/>
  <c r="AM428" i="16"/>
  <c r="AM430" i="16" s="1"/>
  <c r="AL428" i="16"/>
  <c r="AK428" i="16"/>
  <c r="AJ428" i="16"/>
  <c r="AI428" i="16"/>
  <c r="AH428" i="16"/>
  <c r="AH421" i="16" s="1"/>
  <c r="AG428" i="16"/>
  <c r="AF428" i="16"/>
  <c r="AE428" i="16"/>
  <c r="AE421" i="16" s="1"/>
  <c r="AD428" i="16"/>
  <c r="AC428" i="16"/>
  <c r="AB428" i="16"/>
  <c r="AA428" i="16"/>
  <c r="Z428" i="16"/>
  <c r="Y428" i="16"/>
  <c r="X428" i="16"/>
  <c r="W428" i="16"/>
  <c r="V428" i="16"/>
  <c r="U428" i="16"/>
  <c r="T428" i="16"/>
  <c r="S428" i="16"/>
  <c r="S429" i="16" s="1"/>
  <c r="R428" i="16"/>
  <c r="R421" i="16" s="1"/>
  <c r="Q428" i="16"/>
  <c r="Q430" i="16" s="1"/>
  <c r="P428" i="16"/>
  <c r="P429" i="16" s="1"/>
  <c r="O428" i="16"/>
  <c r="N428" i="16"/>
  <c r="N421" i="16" s="1"/>
  <c r="M428" i="16"/>
  <c r="L428" i="16"/>
  <c r="L421" i="16" s="1"/>
  <c r="L422" i="16" s="1"/>
  <c r="K428" i="16"/>
  <c r="J428" i="16"/>
  <c r="I428" i="16"/>
  <c r="H428" i="16"/>
  <c r="G428" i="16"/>
  <c r="DA426" i="16"/>
  <c r="CY426" i="16"/>
  <c r="CP426" i="16"/>
  <c r="CN426" i="16"/>
  <c r="CB426" i="16"/>
  <c r="BN426" i="16"/>
  <c r="BM426" i="16"/>
  <c r="AZ426" i="16"/>
  <c r="AY426" i="16"/>
  <c r="AX426" i="16"/>
  <c r="AV426" i="16"/>
  <c r="AS426" i="16"/>
  <c r="AQ426" i="16"/>
  <c r="AH426" i="16"/>
  <c r="AC426" i="16"/>
  <c r="S426" i="16"/>
  <c r="R426" i="16"/>
  <c r="O426" i="16"/>
  <c r="J426" i="16"/>
  <c r="G426" i="16"/>
  <c r="DB423" i="16"/>
  <c r="CW423" i="16"/>
  <c r="CN423" i="16"/>
  <c r="CK423" i="16"/>
  <c r="BO423" i="16"/>
  <c r="BK423" i="16"/>
  <c r="AY423" i="16"/>
  <c r="AU423" i="16"/>
  <c r="AQ423" i="16"/>
  <c r="AM423" i="16"/>
  <c r="K423" i="16"/>
  <c r="DC422" i="16"/>
  <c r="CW422" i="16"/>
  <c r="CQ422" i="16"/>
  <c r="CM422" i="16"/>
  <c r="CJ422" i="16"/>
  <c r="CE422" i="16"/>
  <c r="CC422" i="16"/>
  <c r="CB422" i="16"/>
  <c r="BZ422" i="16"/>
  <c r="BQ422" i="16"/>
  <c r="BN422" i="16"/>
  <c r="BM422" i="16"/>
  <c r="BK422" i="16"/>
  <c r="BC422" i="16"/>
  <c r="BA422" i="16"/>
  <c r="AZ422" i="16"/>
  <c r="AH422" i="16"/>
  <c r="AG422" i="16"/>
  <c r="R422" i="16"/>
  <c r="P422" i="16"/>
  <c r="M422" i="16"/>
  <c r="K422" i="16"/>
  <c r="J422" i="16"/>
  <c r="DC421" i="16"/>
  <c r="DB421" i="16"/>
  <c r="DA421" i="16"/>
  <c r="CY421" i="16"/>
  <c r="CU421" i="16"/>
  <c r="CU422" i="16" s="1"/>
  <c r="CT421" i="16"/>
  <c r="CS421" i="16"/>
  <c r="CQ421" i="16"/>
  <c r="CP421" i="16"/>
  <c r="CP422" i="16" s="1"/>
  <c r="CO421" i="16"/>
  <c r="CN421" i="16"/>
  <c r="CM421" i="16"/>
  <c r="CK421" i="16"/>
  <c r="CE421" i="16"/>
  <c r="CE426" i="16" s="1"/>
  <c r="CC421" i="16"/>
  <c r="CB421" i="16"/>
  <c r="CA421" i="16"/>
  <c r="CA426" i="16" s="1"/>
  <c r="BZ421" i="16"/>
  <c r="BY421" i="16"/>
  <c r="BW421" i="16"/>
  <c r="BU421" i="16"/>
  <c r="BT421" i="16"/>
  <c r="BR421" i="16"/>
  <c r="BQ421" i="16"/>
  <c r="BQ426" i="16" s="1"/>
  <c r="BO421" i="16"/>
  <c r="BN421" i="16"/>
  <c r="BM421" i="16"/>
  <c r="BM423" i="16" s="1"/>
  <c r="BL421" i="16"/>
  <c r="BK421" i="16"/>
  <c r="BK426" i="16" s="1"/>
  <c r="BI421" i="16"/>
  <c r="BG421" i="16"/>
  <c r="BE421" i="16"/>
  <c r="BD421" i="16"/>
  <c r="BC421" i="16"/>
  <c r="BC426" i="16" s="1"/>
  <c r="BB421" i="16"/>
  <c r="BA421" i="16"/>
  <c r="BA426" i="16" s="1"/>
  <c r="AZ421" i="16"/>
  <c r="AY421" i="16"/>
  <c r="AY422" i="16" s="1"/>
  <c r="AX421" i="16"/>
  <c r="AX423" i="16" s="1"/>
  <c r="AW421" i="16"/>
  <c r="AW426" i="16" s="1"/>
  <c r="AU421" i="16"/>
  <c r="AU426" i="16" s="1"/>
  <c r="AS421" i="16"/>
  <c r="AR421" i="16"/>
  <c r="AQ421" i="16"/>
  <c r="AO421" i="16"/>
  <c r="AO422" i="16" s="1"/>
  <c r="AM421" i="16"/>
  <c r="AM426" i="16" s="1"/>
  <c r="AL421" i="16"/>
  <c r="AL426" i="16" s="1"/>
  <c r="AJ421" i="16"/>
  <c r="AV423" i="16" s="1"/>
  <c r="AI421" i="16"/>
  <c r="AG421" i="16"/>
  <c r="AG423" i="16" s="1"/>
  <c r="AC421" i="16"/>
  <c r="AA421" i="16"/>
  <c r="Y421" i="16"/>
  <c r="X421" i="16"/>
  <c r="X426" i="16" s="1"/>
  <c r="V421" i="16"/>
  <c r="U421" i="16"/>
  <c r="S421" i="16"/>
  <c r="S422" i="16" s="1"/>
  <c r="Q421" i="16"/>
  <c r="P421" i="16"/>
  <c r="O421" i="16"/>
  <c r="M421" i="16"/>
  <c r="M426" i="16" s="1"/>
  <c r="K421" i="16"/>
  <c r="K426" i="16" s="1"/>
  <c r="J421" i="16"/>
  <c r="I421" i="16"/>
  <c r="H421" i="16"/>
  <c r="H426" i="16" s="1"/>
  <c r="G421" i="16"/>
  <c r="DC420" i="16"/>
  <c r="DB420" i="16"/>
  <c r="DA420" i="16"/>
  <c r="CZ420" i="16"/>
  <c r="CY420" i="16"/>
  <c r="CY415" i="16" s="1"/>
  <c r="CX420" i="16"/>
  <c r="CW420" i="16"/>
  <c r="CV420" i="16"/>
  <c r="CU420" i="16"/>
  <c r="CT420" i="16"/>
  <c r="CS420" i="16"/>
  <c r="CR420" i="16"/>
  <c r="CQ420" i="16"/>
  <c r="CP420" i="16"/>
  <c r="CO420" i="16"/>
  <c r="CN420" i="16"/>
  <c r="CM420" i="16"/>
  <c r="CL420" i="16"/>
  <c r="CK420" i="16"/>
  <c r="CJ420" i="16"/>
  <c r="CJ415" i="16" s="1"/>
  <c r="CJ416" i="16" s="1"/>
  <c r="CI420" i="16"/>
  <c r="CH420" i="16"/>
  <c r="CG420" i="16"/>
  <c r="CF420" i="16"/>
  <c r="CE420" i="16"/>
  <c r="CD420" i="16"/>
  <c r="CC420" i="16"/>
  <c r="CC415" i="16" s="1"/>
  <c r="CB420" i="16"/>
  <c r="CA420" i="16"/>
  <c r="BZ420" i="16"/>
  <c r="BY420" i="16"/>
  <c r="BX420" i="16"/>
  <c r="BW420" i="16"/>
  <c r="BW415" i="16" s="1"/>
  <c r="BW416" i="16" s="1"/>
  <c r="BV420" i="16"/>
  <c r="BU420" i="16"/>
  <c r="BT420" i="16"/>
  <c r="BS420" i="16"/>
  <c r="BR420" i="16"/>
  <c r="BQ420" i="16"/>
  <c r="BP420" i="16"/>
  <c r="BO420" i="16"/>
  <c r="BO415" i="16" s="1"/>
  <c r="BN420" i="16"/>
  <c r="BM420" i="16"/>
  <c r="BL420" i="16"/>
  <c r="BK420" i="16"/>
  <c r="BJ420" i="16"/>
  <c r="BI420" i="16"/>
  <c r="BI415" i="16" s="1"/>
  <c r="BH420" i="16"/>
  <c r="BG420" i="16"/>
  <c r="BF420" i="16"/>
  <c r="BE420" i="16"/>
  <c r="BD420" i="16"/>
  <c r="BC420" i="16"/>
  <c r="BB420" i="16"/>
  <c r="BB415" i="16" s="1"/>
  <c r="BA420" i="16"/>
  <c r="BA415" i="16" s="1"/>
  <c r="AZ420" i="16"/>
  <c r="AY420" i="16"/>
  <c r="AX420" i="16"/>
  <c r="AW420" i="16"/>
  <c r="AV420" i="16"/>
  <c r="AV415" i="16" s="1"/>
  <c r="AU420" i="16"/>
  <c r="AU415" i="16" s="1"/>
  <c r="AT420" i="16"/>
  <c r="AS420" i="16"/>
  <c r="AR420" i="16"/>
  <c r="AQ420" i="16"/>
  <c r="AP420" i="16"/>
  <c r="AO420" i="16"/>
  <c r="AN420" i="16"/>
  <c r="AN415" i="16" s="1"/>
  <c r="AM420" i="16"/>
  <c r="AM415" i="16" s="1"/>
  <c r="AM416" i="16" s="1"/>
  <c r="AL420" i="16"/>
  <c r="AK420" i="16"/>
  <c r="AJ420" i="16"/>
  <c r="AI420" i="16"/>
  <c r="AH420" i="16"/>
  <c r="AH415" i="16" s="1"/>
  <c r="AG420" i="16"/>
  <c r="AF420" i="16"/>
  <c r="AE420" i="16"/>
  <c r="AD420" i="16"/>
  <c r="AC420" i="16"/>
  <c r="AB420" i="16"/>
  <c r="AA420" i="16"/>
  <c r="Z420" i="16"/>
  <c r="Y420" i="16"/>
  <c r="X420" i="16"/>
  <c r="W420" i="16"/>
  <c r="V420" i="16"/>
  <c r="U420" i="16"/>
  <c r="T420" i="16"/>
  <c r="S420" i="16"/>
  <c r="R420" i="16"/>
  <c r="R415" i="16" s="1"/>
  <c r="R416" i="16" s="1"/>
  <c r="Q420" i="16"/>
  <c r="P420" i="16"/>
  <c r="O420" i="16"/>
  <c r="N420" i="16"/>
  <c r="M420" i="16"/>
  <c r="L420" i="16"/>
  <c r="L415" i="16" s="1"/>
  <c r="L416" i="16" s="1"/>
  <c r="K420" i="16"/>
  <c r="J420" i="16"/>
  <c r="I420" i="16"/>
  <c r="H420" i="16"/>
  <c r="G420" i="16"/>
  <c r="DC419" i="16"/>
  <c r="DB419" i="16"/>
  <c r="DB432" i="16" s="1"/>
  <c r="DA419" i="16"/>
  <c r="CZ419" i="16"/>
  <c r="CZ432" i="16" s="1"/>
  <c r="CY419" i="16"/>
  <c r="CY432" i="16" s="1"/>
  <c r="CX419" i="16"/>
  <c r="CX432" i="16" s="1"/>
  <c r="CW419" i="16"/>
  <c r="CV419" i="16"/>
  <c r="CU419" i="16"/>
  <c r="CT419" i="16"/>
  <c r="CS419" i="16"/>
  <c r="CS432" i="16" s="1"/>
  <c r="CR419" i="16"/>
  <c r="CQ419" i="16"/>
  <c r="CQ432" i="16" s="1"/>
  <c r="CP419" i="16"/>
  <c r="CO419" i="16"/>
  <c r="CN419" i="16"/>
  <c r="CN432" i="16" s="1"/>
  <c r="CN436" i="16" s="1"/>
  <c r="CN438" i="16" s="1"/>
  <c r="CM419" i="16"/>
  <c r="CL419" i="16"/>
  <c r="CK419" i="16"/>
  <c r="CK432" i="16" s="1"/>
  <c r="CJ419" i="16"/>
  <c r="CJ432" i="16" s="1"/>
  <c r="CI419" i="16"/>
  <c r="CH419" i="16"/>
  <c r="CH432" i="16" s="1"/>
  <c r="CG419" i="16"/>
  <c r="CG415" i="16" s="1"/>
  <c r="CF419" i="16"/>
  <c r="CF432" i="16" s="1"/>
  <c r="CE419" i="16"/>
  <c r="CE432" i="16" s="1"/>
  <c r="CD419" i="16"/>
  <c r="CC419" i="16"/>
  <c r="CB419" i="16"/>
  <c r="CA419" i="16"/>
  <c r="BZ419" i="16"/>
  <c r="BY419" i="16"/>
  <c r="BX419" i="16"/>
  <c r="BW419" i="16"/>
  <c r="BW432" i="16" s="1"/>
  <c r="BV419" i="16"/>
  <c r="BV432" i="16" s="1"/>
  <c r="BU419" i="16"/>
  <c r="BU432" i="16" s="1"/>
  <c r="BU436" i="16" s="1"/>
  <c r="BU437" i="16" s="1"/>
  <c r="BT419" i="16"/>
  <c r="BS419" i="16"/>
  <c r="BR419" i="16"/>
  <c r="BR432" i="16" s="1"/>
  <c r="BQ419" i="16"/>
  <c r="BP419" i="16"/>
  <c r="BO419" i="16"/>
  <c r="BO432" i="16" s="1"/>
  <c r="BN419" i="16"/>
  <c r="BM419" i="16"/>
  <c r="BL419" i="16"/>
  <c r="BL432" i="16" s="1"/>
  <c r="BK419" i="16"/>
  <c r="BK415" i="16" s="1"/>
  <c r="BJ419" i="16"/>
  <c r="BI419" i="16"/>
  <c r="BI432" i="16" s="1"/>
  <c r="BH419" i="16"/>
  <c r="BG419" i="16"/>
  <c r="BF419" i="16"/>
  <c r="BF432" i="16" s="1"/>
  <c r="BE419" i="16"/>
  <c r="BD419" i="16"/>
  <c r="BD432" i="16" s="1"/>
  <c r="BC419" i="16"/>
  <c r="BB419" i="16"/>
  <c r="BA419" i="16"/>
  <c r="AZ419" i="16"/>
  <c r="AY419" i="16"/>
  <c r="AX419" i="16"/>
  <c r="AW419" i="16"/>
  <c r="AV419" i="16"/>
  <c r="AU419" i="16"/>
  <c r="AU432" i="16" s="1"/>
  <c r="AT419" i="16"/>
  <c r="AT432" i="16" s="1"/>
  <c r="AS419" i="16"/>
  <c r="AS432" i="16" s="1"/>
  <c r="AS436" i="16" s="1"/>
  <c r="AR419" i="16"/>
  <c r="AQ419" i="16"/>
  <c r="AP419" i="16"/>
  <c r="AO419" i="16"/>
  <c r="AO432" i="16" s="1"/>
  <c r="AN419" i="16"/>
  <c r="AN432" i="16" s="1"/>
  <c r="AM419" i="16"/>
  <c r="AL419" i="16"/>
  <c r="AL432" i="16" s="1"/>
  <c r="AK419" i="16"/>
  <c r="AK432" i="16" s="1"/>
  <c r="AK436" i="16" s="1"/>
  <c r="AJ419" i="16"/>
  <c r="AI419" i="16"/>
  <c r="AI415" i="16" s="1"/>
  <c r="AI416" i="16" s="1"/>
  <c r="AH419" i="16"/>
  <c r="AG419" i="16"/>
  <c r="AF419" i="16"/>
  <c r="AF432" i="16" s="1"/>
  <c r="AE419" i="16"/>
  <c r="AD419" i="16"/>
  <c r="AC419" i="16"/>
  <c r="AC432" i="16" s="1"/>
  <c r="AC436" i="16" s="1"/>
  <c r="AB419" i="16"/>
  <c r="AA419" i="16"/>
  <c r="AA432" i="16" s="1"/>
  <c r="Z419" i="16"/>
  <c r="Z432" i="16" s="1"/>
  <c r="Y419" i="16"/>
  <c r="Y432" i="16" s="1"/>
  <c r="X419" i="16"/>
  <c r="W419" i="16"/>
  <c r="V419" i="16"/>
  <c r="U419" i="16"/>
  <c r="T419" i="16"/>
  <c r="T432" i="16" s="1"/>
  <c r="S419" i="16"/>
  <c r="R419" i="16"/>
  <c r="Q419" i="16"/>
  <c r="P419" i="16"/>
  <c r="O419" i="16"/>
  <c r="N419" i="16"/>
  <c r="N415" i="16" s="1"/>
  <c r="M419" i="16"/>
  <c r="M432" i="16" s="1"/>
  <c r="L419" i="16"/>
  <c r="K419" i="16"/>
  <c r="K432" i="16" s="1"/>
  <c r="J419" i="16"/>
  <c r="I419" i="16"/>
  <c r="H419" i="16"/>
  <c r="H432" i="16" s="1"/>
  <c r="G419" i="16"/>
  <c r="G415" i="16" s="1"/>
  <c r="BO417" i="16"/>
  <c r="CP416" i="16"/>
  <c r="BQ416" i="16"/>
  <c r="BO416" i="16"/>
  <c r="AE416" i="16"/>
  <c r="AA416" i="16"/>
  <c r="X416" i="16"/>
  <c r="G416" i="16"/>
  <c r="CQ415" i="16"/>
  <c r="CP415" i="16"/>
  <c r="CN415" i="16"/>
  <c r="CN414" i="16" s="1"/>
  <c r="CK415" i="16"/>
  <c r="CI415" i="16"/>
  <c r="CI414" i="16" s="1"/>
  <c r="CB415" i="16"/>
  <c r="BV415" i="16"/>
  <c r="BV416" i="16" s="1"/>
  <c r="BQ415" i="16"/>
  <c r="BN415" i="16"/>
  <c r="BN416" i="16" s="1"/>
  <c r="BL415" i="16"/>
  <c r="BD415" i="16"/>
  <c r="BC415" i="16"/>
  <c r="AZ415" i="16"/>
  <c r="AS415" i="16"/>
  <c r="AS414" i="16" s="1"/>
  <c r="AL415" i="16"/>
  <c r="AE415" i="16"/>
  <c r="AA415" i="16"/>
  <c r="Y415" i="16"/>
  <c r="X415" i="16"/>
  <c r="M415" i="16"/>
  <c r="M416" i="16" s="1"/>
  <c r="K415" i="16"/>
  <c r="K417" i="16" s="1"/>
  <c r="J415" i="16"/>
  <c r="J416" i="16" s="1"/>
  <c r="BV414" i="16"/>
  <c r="BI414" i="16"/>
  <c r="DC413" i="16"/>
  <c r="DC435" i="16" s="1"/>
  <c r="DB413" i="16"/>
  <c r="DB435" i="16" s="1"/>
  <c r="DA413" i="16"/>
  <c r="DA435" i="16" s="1"/>
  <c r="CZ413" i="16"/>
  <c r="CZ435" i="16" s="1"/>
  <c r="CY413" i="16"/>
  <c r="CY435" i="16" s="1"/>
  <c r="CX413" i="16"/>
  <c r="CW413" i="16"/>
  <c r="CW435" i="16" s="1"/>
  <c r="CV413" i="16"/>
  <c r="CV435" i="16" s="1"/>
  <c r="CU413" i="16"/>
  <c r="CU435" i="16" s="1"/>
  <c r="CT413" i="16"/>
  <c r="CT435" i="16" s="1"/>
  <c r="CS413" i="16"/>
  <c r="CR413" i="16"/>
  <c r="CQ413" i="16"/>
  <c r="CQ435" i="16" s="1"/>
  <c r="CP413" i="16"/>
  <c r="CP435" i="16" s="1"/>
  <c r="CO413" i="16"/>
  <c r="CN413" i="16"/>
  <c r="CN435" i="16" s="1"/>
  <c r="CM413" i="16"/>
  <c r="CL413" i="16"/>
  <c r="CL435" i="16" s="1"/>
  <c r="CK413" i="16"/>
  <c r="CK435" i="16" s="1"/>
  <c r="CJ413" i="16"/>
  <c r="CJ435" i="16" s="1"/>
  <c r="CI413" i="16"/>
  <c r="CI435" i="16" s="1"/>
  <c r="CH413" i="16"/>
  <c r="CG413" i="16"/>
  <c r="CF413" i="16"/>
  <c r="CE413" i="16"/>
  <c r="CE435" i="16" s="1"/>
  <c r="CD413" i="16"/>
  <c r="CC413" i="16"/>
  <c r="CC435" i="16" s="1"/>
  <c r="CB413" i="16"/>
  <c r="CB435" i="16" s="1"/>
  <c r="CA413" i="16"/>
  <c r="CA435" i="16" s="1"/>
  <c r="BZ413" i="16"/>
  <c r="BZ435" i="16" s="1"/>
  <c r="BY413" i="16"/>
  <c r="BY435" i="16" s="1"/>
  <c r="BX413" i="16"/>
  <c r="BX435" i="16" s="1"/>
  <c r="BX436" i="16" s="1"/>
  <c r="BX437" i="16" s="1"/>
  <c r="BW413" i="16"/>
  <c r="BW435" i="16" s="1"/>
  <c r="BV413" i="16"/>
  <c r="BV435" i="16" s="1"/>
  <c r="BU413" i="16"/>
  <c r="BU435" i="16" s="1"/>
  <c r="BT413" i="16"/>
  <c r="BS413" i="16"/>
  <c r="BR413" i="16"/>
  <c r="BQ413" i="16"/>
  <c r="BP413" i="16"/>
  <c r="BO413" i="16"/>
  <c r="BO435" i="16" s="1"/>
  <c r="BN413" i="16"/>
  <c r="BN435" i="16" s="1"/>
  <c r="BM413" i="16"/>
  <c r="BL413" i="16"/>
  <c r="BL435" i="16" s="1"/>
  <c r="BK413" i="16"/>
  <c r="BK435" i="16" s="1"/>
  <c r="BJ413" i="16"/>
  <c r="BJ435" i="16" s="1"/>
  <c r="BI413" i="16"/>
  <c r="BI435" i="16" s="1"/>
  <c r="BH413" i="16"/>
  <c r="BH435" i="16" s="1"/>
  <c r="BG413" i="16"/>
  <c r="BF413" i="16"/>
  <c r="BE413" i="16"/>
  <c r="BD413" i="16"/>
  <c r="BD435" i="16" s="1"/>
  <c r="BC413" i="16"/>
  <c r="BB413" i="16"/>
  <c r="BB435" i="16" s="1"/>
  <c r="BA413" i="16"/>
  <c r="AZ413" i="16"/>
  <c r="AZ435" i="16" s="1"/>
  <c r="AY413" i="16"/>
  <c r="AX413" i="16"/>
  <c r="AX435" i="16" s="1"/>
  <c r="AW413" i="16"/>
  <c r="AW435" i="16" s="1"/>
  <c r="AV413" i="16"/>
  <c r="AV435" i="16" s="1"/>
  <c r="AU413" i="16"/>
  <c r="AU435" i="16" s="1"/>
  <c r="AU436" i="16" s="1"/>
  <c r="AT413" i="16"/>
  <c r="AT435" i="16" s="1"/>
  <c r="AS413" i="16"/>
  <c r="AR413" i="16"/>
  <c r="AR435" i="16" s="1"/>
  <c r="AQ413" i="16"/>
  <c r="AP413" i="16"/>
  <c r="AP435" i="16" s="1"/>
  <c r="AO413" i="16"/>
  <c r="AN413" i="16"/>
  <c r="AM413" i="16"/>
  <c r="AM435" i="16" s="1"/>
  <c r="AL413" i="16"/>
  <c r="AL435" i="16" s="1"/>
  <c r="AK413" i="16"/>
  <c r="AK435" i="16" s="1"/>
  <c r="AJ413" i="16"/>
  <c r="AJ435" i="16" s="1"/>
  <c r="AI413" i="16"/>
  <c r="AH413" i="16"/>
  <c r="AH435" i="16" s="1"/>
  <c r="AG413" i="16"/>
  <c r="AF413" i="16"/>
  <c r="AF435" i="16" s="1"/>
  <c r="AE413" i="16"/>
  <c r="AD413" i="16"/>
  <c r="AD435" i="16" s="1"/>
  <c r="AC413" i="16"/>
  <c r="AB413" i="16"/>
  <c r="AA413" i="16"/>
  <c r="Z413" i="16"/>
  <c r="Z435" i="16" s="1"/>
  <c r="Y413" i="16"/>
  <c r="Y435" i="16" s="1"/>
  <c r="X413" i="16"/>
  <c r="X435" i="16" s="1"/>
  <c r="W413" i="16"/>
  <c r="W435" i="16" s="1"/>
  <c r="V413" i="16"/>
  <c r="V435" i="16" s="1"/>
  <c r="U413" i="16"/>
  <c r="U435" i="16" s="1"/>
  <c r="T413" i="16"/>
  <c r="T435" i="16" s="1"/>
  <c r="S413" i="16"/>
  <c r="S435" i="16" s="1"/>
  <c r="R413" i="16"/>
  <c r="Q413" i="16"/>
  <c r="Q435" i="16" s="1"/>
  <c r="P413" i="16"/>
  <c r="P435" i="16" s="1"/>
  <c r="O413" i="16"/>
  <c r="N413" i="16"/>
  <c r="N435" i="16" s="1"/>
  <c r="M413" i="16"/>
  <c r="L413" i="16"/>
  <c r="L435" i="16" s="1"/>
  <c r="K413" i="16"/>
  <c r="J413" i="16"/>
  <c r="J435" i="16" s="1"/>
  <c r="I413" i="16"/>
  <c r="H413" i="16"/>
  <c r="H435" i="16" s="1"/>
  <c r="G413" i="16"/>
  <c r="G435" i="16" s="1"/>
  <c r="DC412" i="16"/>
  <c r="DC434" i="16" s="1"/>
  <c r="DB412" i="16"/>
  <c r="DB434" i="16" s="1"/>
  <c r="DA412" i="16"/>
  <c r="DA434" i="16" s="1"/>
  <c r="CZ412" i="16"/>
  <c r="CZ434" i="16" s="1"/>
  <c r="CZ436" i="16" s="1"/>
  <c r="CY412" i="16"/>
  <c r="CY434" i="16" s="1"/>
  <c r="CX412" i="16"/>
  <c r="CW412" i="16"/>
  <c r="CV412" i="16"/>
  <c r="CU412" i="16"/>
  <c r="CT412" i="16"/>
  <c r="CS412" i="16"/>
  <c r="CS434" i="16" s="1"/>
  <c r="CR412" i="16"/>
  <c r="CQ412" i="16"/>
  <c r="CQ434" i="16" s="1"/>
  <c r="CQ436" i="16" s="1"/>
  <c r="CP412" i="16"/>
  <c r="CP434" i="16" s="1"/>
  <c r="CO412" i="16"/>
  <c r="CO434" i="16" s="1"/>
  <c r="CN412" i="16"/>
  <c r="CN434" i="16" s="1"/>
  <c r="CM412" i="16"/>
  <c r="CM434" i="16" s="1"/>
  <c r="CL412" i="16"/>
  <c r="CL434" i="16" s="1"/>
  <c r="CK412" i="16"/>
  <c r="CK434" i="16" s="1"/>
  <c r="CJ412" i="16"/>
  <c r="CJ434" i="16" s="1"/>
  <c r="CI412" i="16"/>
  <c r="CH412" i="16"/>
  <c r="CH434" i="16" s="1"/>
  <c r="CG412" i="16"/>
  <c r="CG434" i="16" s="1"/>
  <c r="CF412" i="16"/>
  <c r="CF434" i="16" s="1"/>
  <c r="CE412" i="16"/>
  <c r="CE434" i="16" s="1"/>
  <c r="CD412" i="16"/>
  <c r="CC412" i="16"/>
  <c r="CC434" i="16" s="1"/>
  <c r="CB412" i="16"/>
  <c r="CA412" i="16"/>
  <c r="CA434" i="16" s="1"/>
  <c r="BZ412" i="16"/>
  <c r="BZ434" i="16" s="1"/>
  <c r="BY412" i="16"/>
  <c r="BX412" i="16"/>
  <c r="BX434" i="16" s="1"/>
  <c r="BW412" i="16"/>
  <c r="BW434" i="16" s="1"/>
  <c r="BV412" i="16"/>
  <c r="BU412" i="16"/>
  <c r="BU434" i="16" s="1"/>
  <c r="BT412" i="16"/>
  <c r="BS412" i="16"/>
  <c r="BS434" i="16" s="1"/>
  <c r="BR412" i="16"/>
  <c r="BR434" i="16" s="1"/>
  <c r="BQ412" i="16"/>
  <c r="BQ434" i="16" s="1"/>
  <c r="BP412" i="16"/>
  <c r="BP434" i="16" s="1"/>
  <c r="BO412" i="16"/>
  <c r="BO434" i="16" s="1"/>
  <c r="BN412" i="16"/>
  <c r="BN434" i="16" s="1"/>
  <c r="BM412" i="16"/>
  <c r="BM434" i="16" s="1"/>
  <c r="BL412" i="16"/>
  <c r="BK412" i="16"/>
  <c r="BK434" i="16" s="1"/>
  <c r="BJ412" i="16"/>
  <c r="BJ434" i="16" s="1"/>
  <c r="BI412" i="16"/>
  <c r="BH412" i="16"/>
  <c r="BH434" i="16" s="1"/>
  <c r="BG412" i="16"/>
  <c r="BG434" i="16" s="1"/>
  <c r="BF412" i="16"/>
  <c r="BF434" i="16" s="1"/>
  <c r="BE412" i="16"/>
  <c r="BE434" i="16" s="1"/>
  <c r="BD412" i="16"/>
  <c r="BD434" i="16" s="1"/>
  <c r="BC412" i="16"/>
  <c r="BC434" i="16" s="1"/>
  <c r="BB412" i="16"/>
  <c r="BA412" i="16"/>
  <c r="BA434" i="16" s="1"/>
  <c r="BA436" i="16" s="1"/>
  <c r="AZ412" i="16"/>
  <c r="AY412" i="16"/>
  <c r="AY434" i="16" s="1"/>
  <c r="AX412" i="16"/>
  <c r="AX434" i="16" s="1"/>
  <c r="AW412" i="16"/>
  <c r="AV412" i="16"/>
  <c r="AV434" i="16" s="1"/>
  <c r="AU412" i="16"/>
  <c r="AT412" i="16"/>
  <c r="AS412" i="16"/>
  <c r="AS434" i="16" s="1"/>
  <c r="AR412" i="16"/>
  <c r="AQ412" i="16"/>
  <c r="AQ434" i="16" s="1"/>
  <c r="AP412" i="16"/>
  <c r="AP434" i="16" s="1"/>
  <c r="AO412" i="16"/>
  <c r="AO434" i="16" s="1"/>
  <c r="AN412" i="16"/>
  <c r="AM412" i="16"/>
  <c r="AM434" i="16" s="1"/>
  <c r="AL412" i="16"/>
  <c r="AK412" i="16"/>
  <c r="AK434" i="16" s="1"/>
  <c r="AJ412" i="16"/>
  <c r="AJ434" i="16" s="1"/>
  <c r="AI412" i="16"/>
  <c r="AI434" i="16" s="1"/>
  <c r="AH412" i="16"/>
  <c r="AH434" i="16" s="1"/>
  <c r="AG412" i="16"/>
  <c r="AF412" i="16"/>
  <c r="AF434" i="16" s="1"/>
  <c r="AE412" i="16"/>
  <c r="AE434" i="16" s="1"/>
  <c r="AD412" i="16"/>
  <c r="AD434" i="16" s="1"/>
  <c r="AC412" i="16"/>
  <c r="AC434" i="16" s="1"/>
  <c r="AB412" i="16"/>
  <c r="AB434" i="16" s="1"/>
  <c r="AA412" i="16"/>
  <c r="AA434" i="16" s="1"/>
  <c r="Z412" i="16"/>
  <c r="Y412" i="16"/>
  <c r="Y434" i="16" s="1"/>
  <c r="X412" i="16"/>
  <c r="W412" i="16"/>
  <c r="W434" i="16" s="1"/>
  <c r="V412" i="16"/>
  <c r="V434" i="16" s="1"/>
  <c r="U412" i="16"/>
  <c r="T412" i="16"/>
  <c r="T434" i="16" s="1"/>
  <c r="S412" i="16"/>
  <c r="S434" i="16" s="1"/>
  <c r="R412" i="16"/>
  <c r="Q412" i="16"/>
  <c r="Q434" i="16" s="1"/>
  <c r="P412" i="16"/>
  <c r="O412" i="16"/>
  <c r="O434" i="16" s="1"/>
  <c r="N412" i="16"/>
  <c r="M412" i="16"/>
  <c r="M434" i="16" s="1"/>
  <c r="L412" i="16"/>
  <c r="L434" i="16" s="1"/>
  <c r="K412" i="16"/>
  <c r="K434" i="16" s="1"/>
  <c r="K436" i="16" s="1"/>
  <c r="J412" i="16"/>
  <c r="I412" i="16"/>
  <c r="I434" i="16" s="1"/>
  <c r="H412" i="16"/>
  <c r="H434" i="16" s="1"/>
  <c r="G412" i="16"/>
  <c r="DC411" i="16"/>
  <c r="DB411" i="16"/>
  <c r="DA411" i="16"/>
  <c r="CZ411" i="16"/>
  <c r="CY411" i="16"/>
  <c r="CX411" i="16"/>
  <c r="CW411" i="16"/>
  <c r="CV411" i="16"/>
  <c r="CU411" i="16"/>
  <c r="CT411" i="16"/>
  <c r="CS411" i="16"/>
  <c r="CR411" i="16"/>
  <c r="CQ411" i="16"/>
  <c r="CP411" i="16"/>
  <c r="CO411" i="16"/>
  <c r="CN411" i="16"/>
  <c r="CM411" i="16"/>
  <c r="CL411" i="16"/>
  <c r="CK411" i="16"/>
  <c r="CJ411" i="16"/>
  <c r="CI411" i="16"/>
  <c r="CH411" i="16"/>
  <c r="CG411" i="16"/>
  <c r="CF411" i="16"/>
  <c r="CE411" i="16"/>
  <c r="CD411" i="16"/>
  <c r="CC411" i="16"/>
  <c r="CB411" i="16"/>
  <c r="CA411" i="16"/>
  <c r="BZ411" i="16"/>
  <c r="BY411" i="16"/>
  <c r="BX411" i="16"/>
  <c r="BW411" i="16"/>
  <c r="BV411" i="16"/>
  <c r="BU411" i="16"/>
  <c r="BT411" i="16"/>
  <c r="BS411" i="16"/>
  <c r="BR411" i="16"/>
  <c r="BQ411" i="16"/>
  <c r="BP411" i="16"/>
  <c r="BO411" i="16"/>
  <c r="BN411" i="16"/>
  <c r="BM411" i="16"/>
  <c r="BL411" i="16"/>
  <c r="BK411" i="16"/>
  <c r="BJ411" i="16"/>
  <c r="BI411" i="16"/>
  <c r="BH411" i="16"/>
  <c r="BG411" i="16"/>
  <c r="BF411" i="16"/>
  <c r="BE411" i="16"/>
  <c r="BD411" i="16"/>
  <c r="BC411" i="16"/>
  <c r="BB411" i="16"/>
  <c r="BA411" i="16"/>
  <c r="AZ411" i="16"/>
  <c r="AY411" i="16"/>
  <c r="AX411" i="16"/>
  <c r="AW411" i="16"/>
  <c r="AV411" i="16"/>
  <c r="AU411" i="16"/>
  <c r="AT411" i="16"/>
  <c r="AS411" i="16"/>
  <c r="AR411" i="16"/>
  <c r="AQ411" i="16"/>
  <c r="AP411" i="16"/>
  <c r="AO411" i="16"/>
  <c r="AN411" i="16"/>
  <c r="AM411" i="16"/>
  <c r="AL411" i="16"/>
  <c r="AK411" i="16"/>
  <c r="AJ411" i="16"/>
  <c r="AI411" i="16"/>
  <c r="AH411" i="16"/>
  <c r="AG411" i="16"/>
  <c r="AF411" i="16"/>
  <c r="AE411" i="16"/>
  <c r="AD411" i="16"/>
  <c r="AC411" i="16"/>
  <c r="AB411" i="16"/>
  <c r="AA411" i="16"/>
  <c r="Z411" i="16"/>
  <c r="Y411" i="16"/>
  <c r="X411" i="16"/>
  <c r="W411" i="16"/>
  <c r="V411" i="16"/>
  <c r="U411" i="16"/>
  <c r="T411" i="16"/>
  <c r="S411" i="16"/>
  <c r="R411" i="16"/>
  <c r="Q411" i="16"/>
  <c r="P411" i="16"/>
  <c r="O411" i="16"/>
  <c r="N411" i="16"/>
  <c r="M411" i="16"/>
  <c r="L411" i="16"/>
  <c r="K411" i="16"/>
  <c r="J411" i="16"/>
  <c r="I411" i="16"/>
  <c r="H411" i="16"/>
  <c r="G411" i="16"/>
  <c r="DC410" i="16"/>
  <c r="DB410" i="16"/>
  <c r="DA410" i="16"/>
  <c r="CZ410" i="16"/>
  <c r="CY410" i="16"/>
  <c r="CX410" i="16"/>
  <c r="CW410" i="16"/>
  <c r="CV410" i="16"/>
  <c r="CU410" i="16"/>
  <c r="CT410" i="16"/>
  <c r="CS410" i="16"/>
  <c r="CR410" i="16"/>
  <c r="CQ410" i="16"/>
  <c r="CP410" i="16"/>
  <c r="CO410" i="16"/>
  <c r="CN410" i="16"/>
  <c r="CM410" i="16"/>
  <c r="CL410" i="16"/>
  <c r="CK410" i="16"/>
  <c r="CJ410" i="16"/>
  <c r="CI410" i="16"/>
  <c r="CH410" i="16"/>
  <c r="CG410" i="16"/>
  <c r="CF410" i="16"/>
  <c r="CE410" i="16"/>
  <c r="CD410" i="16"/>
  <c r="CC410" i="16"/>
  <c r="CB410" i="16"/>
  <c r="CA410" i="16"/>
  <c r="BZ410" i="16"/>
  <c r="BY410" i="16"/>
  <c r="BX410" i="16"/>
  <c r="BW410" i="16"/>
  <c r="BV410" i="16"/>
  <c r="BU410" i="16"/>
  <c r="BT410" i="16"/>
  <c r="BS410" i="16"/>
  <c r="BR410" i="16"/>
  <c r="BQ410" i="16"/>
  <c r="BP410" i="16"/>
  <c r="BO410" i="16"/>
  <c r="BN410" i="16"/>
  <c r="BM410" i="16"/>
  <c r="BL410" i="16"/>
  <c r="BK410" i="16"/>
  <c r="BJ410" i="16"/>
  <c r="BI410" i="16"/>
  <c r="BH410" i="16"/>
  <c r="BG410" i="16"/>
  <c r="BF410" i="16"/>
  <c r="BE410" i="16"/>
  <c r="BD410" i="16"/>
  <c r="BC410" i="16"/>
  <c r="BB410" i="16"/>
  <c r="BA410" i="16"/>
  <c r="AZ410" i="16"/>
  <c r="AY410" i="16"/>
  <c r="AX410" i="16"/>
  <c r="AW410" i="16"/>
  <c r="AV410" i="16"/>
  <c r="AU410" i="16"/>
  <c r="AT410" i="16"/>
  <c r="AS410" i="16"/>
  <c r="AR410" i="16"/>
  <c r="AQ410" i="16"/>
  <c r="AP410" i="16"/>
  <c r="AO410" i="16"/>
  <c r="AN410" i="16"/>
  <c r="AM410" i="16"/>
  <c r="AL410" i="16"/>
  <c r="AK410" i="16"/>
  <c r="AJ410" i="16"/>
  <c r="AI410" i="16"/>
  <c r="AH410" i="16"/>
  <c r="AG410" i="16"/>
  <c r="AF410" i="16"/>
  <c r="AE410" i="16"/>
  <c r="AD410" i="16"/>
  <c r="AC410" i="16"/>
  <c r="AB410" i="16"/>
  <c r="AA410" i="16"/>
  <c r="Z410" i="16"/>
  <c r="Y410" i="16"/>
  <c r="X410" i="16"/>
  <c r="W410" i="16"/>
  <c r="V410" i="16"/>
  <c r="U410" i="16"/>
  <c r="T410" i="16"/>
  <c r="S410" i="16"/>
  <c r="R410" i="16"/>
  <c r="Q410" i="16"/>
  <c r="P410" i="16"/>
  <c r="O410" i="16"/>
  <c r="N410" i="16"/>
  <c r="M410" i="16"/>
  <c r="L410" i="16"/>
  <c r="K410" i="16"/>
  <c r="J410" i="16"/>
  <c r="I410" i="16"/>
  <c r="H410" i="16"/>
  <c r="G410" i="16"/>
  <c r="DC409" i="16"/>
  <c r="DB409" i="16"/>
  <c r="DA409" i="16"/>
  <c r="CZ409" i="16"/>
  <c r="CY409" i="16"/>
  <c r="CX409" i="16"/>
  <c r="CW409" i="16"/>
  <c r="CV409" i="16"/>
  <c r="CU409" i="16"/>
  <c r="CT409" i="16"/>
  <c r="CS409" i="16"/>
  <c r="CR409" i="16"/>
  <c r="CQ409" i="16"/>
  <c r="CP409" i="16"/>
  <c r="CO409" i="16"/>
  <c r="CN409" i="16"/>
  <c r="CM409" i="16"/>
  <c r="CL409" i="16"/>
  <c r="CK409" i="16"/>
  <c r="CJ409" i="16"/>
  <c r="CI409" i="16"/>
  <c r="CH409" i="16"/>
  <c r="CG409" i="16"/>
  <c r="CF409" i="16"/>
  <c r="CE409" i="16"/>
  <c r="CD409" i="16"/>
  <c r="CC409" i="16"/>
  <c r="CB409" i="16"/>
  <c r="CA409" i="16"/>
  <c r="BZ409" i="16"/>
  <c r="BY409" i="16"/>
  <c r="BX409" i="16"/>
  <c r="BW409" i="16"/>
  <c r="BV409" i="16"/>
  <c r="BU409" i="16"/>
  <c r="BT409" i="16"/>
  <c r="BS409" i="16"/>
  <c r="BR409" i="16"/>
  <c r="BQ409" i="16"/>
  <c r="BP409" i="16"/>
  <c r="BO409" i="16"/>
  <c r="BN409" i="16"/>
  <c r="BM409" i="16"/>
  <c r="BL409" i="16"/>
  <c r="BK409" i="16"/>
  <c r="BJ409" i="16"/>
  <c r="BI409" i="16"/>
  <c r="BH409" i="16"/>
  <c r="BG409" i="16"/>
  <c r="BF409" i="16"/>
  <c r="BE409" i="16"/>
  <c r="BD409" i="16"/>
  <c r="BC409" i="16"/>
  <c r="BB409" i="16"/>
  <c r="BA409" i="16"/>
  <c r="AZ409" i="16"/>
  <c r="AY409" i="16"/>
  <c r="AX409" i="16"/>
  <c r="AW409" i="16"/>
  <c r="AV409" i="16"/>
  <c r="AU409" i="16"/>
  <c r="AT409" i="16"/>
  <c r="AS409" i="16"/>
  <c r="AR409" i="16"/>
  <c r="AQ409" i="16"/>
  <c r="AP409" i="16"/>
  <c r="AO409" i="16"/>
  <c r="AN409" i="16"/>
  <c r="AM409" i="16"/>
  <c r="AL409" i="16"/>
  <c r="AK409" i="16"/>
  <c r="AJ409" i="16"/>
  <c r="AI409" i="16"/>
  <c r="AH409" i="16"/>
  <c r="AG409" i="16"/>
  <c r="AF409" i="16"/>
  <c r="AE409" i="16"/>
  <c r="AD409" i="16"/>
  <c r="AC409" i="16"/>
  <c r="AB409" i="16"/>
  <c r="AA409" i="16"/>
  <c r="Z409" i="16"/>
  <c r="Y409" i="16"/>
  <c r="X409" i="16"/>
  <c r="W409" i="16"/>
  <c r="V409" i="16"/>
  <c r="U409" i="16"/>
  <c r="T409" i="16"/>
  <c r="S409" i="16"/>
  <c r="R409" i="16"/>
  <c r="Q409" i="16"/>
  <c r="P409" i="16"/>
  <c r="O409" i="16"/>
  <c r="N409" i="16"/>
  <c r="M409" i="16"/>
  <c r="L409" i="16"/>
  <c r="K409" i="16"/>
  <c r="J409" i="16"/>
  <c r="I409" i="16"/>
  <c r="H409" i="16"/>
  <c r="G409" i="16"/>
  <c r="DB407" i="16"/>
  <c r="DA407" i="16"/>
  <c r="CZ407" i="16"/>
  <c r="CW407" i="16"/>
  <c r="CQ407" i="16"/>
  <c r="CP407" i="16"/>
  <c r="CN407" i="16"/>
  <c r="CM407" i="16"/>
  <c r="CI407" i="16"/>
  <c r="BZ407" i="16"/>
  <c r="BY407" i="16"/>
  <c r="BW407" i="16"/>
  <c r="BU407" i="16"/>
  <c r="BS407" i="16"/>
  <c r="BQ407" i="16"/>
  <c r="BN407" i="16"/>
  <c r="BM407" i="16"/>
  <c r="BL407" i="16"/>
  <c r="BG407" i="16"/>
  <c r="AX407" i="16"/>
  <c r="AW407" i="16"/>
  <c r="AV407" i="16"/>
  <c r="AU407" i="16"/>
  <c r="AT407" i="16"/>
  <c r="AS407" i="16"/>
  <c r="AJ407" i="16"/>
  <c r="AI407" i="16"/>
  <c r="AH407" i="16"/>
  <c r="AF407" i="16"/>
  <c r="AE407" i="16"/>
  <c r="AC407" i="16"/>
  <c r="N407" i="16"/>
  <c r="DC406" i="16"/>
  <c r="DB406" i="16"/>
  <c r="CX406" i="16"/>
  <c r="CW406" i="16"/>
  <c r="CV406" i="16"/>
  <c r="CR406" i="16"/>
  <c r="CJ406" i="16"/>
  <c r="CI406" i="16"/>
  <c r="CH406" i="16"/>
  <c r="CG406" i="16"/>
  <c r="CB406" i="16"/>
  <c r="CA406" i="16"/>
  <c r="BZ406" i="16"/>
  <c r="BU406" i="16"/>
  <c r="BP406" i="16"/>
  <c r="BN406" i="16"/>
  <c r="BH406" i="16"/>
  <c r="BG406" i="16"/>
  <c r="BF406" i="16"/>
  <c r="BE406" i="16"/>
  <c r="AX406" i="16"/>
  <c r="AT406" i="16"/>
  <c r="AS406" i="16"/>
  <c r="AR406" i="16"/>
  <c r="AQ406" i="16"/>
  <c r="AP406" i="16"/>
  <c r="AN406" i="16"/>
  <c r="AM406" i="16"/>
  <c r="AF406" i="16"/>
  <c r="AD406" i="16"/>
  <c r="AC406" i="16"/>
  <c r="X406" i="16"/>
  <c r="W406" i="16"/>
  <c r="V406" i="16"/>
  <c r="P406" i="16"/>
  <c r="J406" i="16"/>
  <c r="I406" i="16"/>
  <c r="DC405" i="16"/>
  <c r="DB405" i="16"/>
  <c r="DA405" i="16"/>
  <c r="CZ405" i="16"/>
  <c r="CY405" i="16"/>
  <c r="CX405" i="16"/>
  <c r="CW405" i="16"/>
  <c r="CV405" i="16"/>
  <c r="CU405" i="16"/>
  <c r="CU406" i="16" s="1"/>
  <c r="CT405" i="16"/>
  <c r="CT407" i="16" s="1"/>
  <c r="CS405" i="16"/>
  <c r="CR405" i="16"/>
  <c r="CQ405" i="16"/>
  <c r="CP405" i="16"/>
  <c r="CO405" i="16"/>
  <c r="CN405" i="16"/>
  <c r="CM405" i="16"/>
  <c r="CL405" i="16"/>
  <c r="CK405" i="16"/>
  <c r="CJ405" i="16"/>
  <c r="CI405" i="16"/>
  <c r="CH405" i="16"/>
  <c r="CG405" i="16"/>
  <c r="CG407" i="16" s="1"/>
  <c r="CF405" i="16"/>
  <c r="CF407" i="16" s="1"/>
  <c r="CE405" i="16"/>
  <c r="CD405" i="16"/>
  <c r="CC405" i="16"/>
  <c r="CB405" i="16"/>
  <c r="CA405" i="16"/>
  <c r="BZ405" i="16"/>
  <c r="BY405" i="16"/>
  <c r="BX405" i="16"/>
  <c r="BW405" i="16"/>
  <c r="BV405" i="16"/>
  <c r="BU405" i="16"/>
  <c r="BT405" i="16"/>
  <c r="BS405" i="16"/>
  <c r="BS406" i="16" s="1"/>
  <c r="BR405" i="16"/>
  <c r="BQ405" i="16"/>
  <c r="BP405" i="16"/>
  <c r="BO405" i="16"/>
  <c r="BN405" i="16"/>
  <c r="BM405" i="16"/>
  <c r="BM406" i="16" s="1"/>
  <c r="BL405" i="16"/>
  <c r="BK405" i="16"/>
  <c r="BJ405" i="16"/>
  <c r="BJ407" i="16" s="1"/>
  <c r="BI405" i="16"/>
  <c r="BH405" i="16"/>
  <c r="BG405" i="16"/>
  <c r="BF405" i="16"/>
  <c r="BE405" i="16"/>
  <c r="BE407" i="16" s="1"/>
  <c r="BD405" i="16"/>
  <c r="BC405" i="16"/>
  <c r="BB405" i="16"/>
  <c r="BA405" i="16"/>
  <c r="AZ405" i="16"/>
  <c r="AY405" i="16"/>
  <c r="AX405" i="16"/>
  <c r="AW405" i="16"/>
  <c r="AV405" i="16"/>
  <c r="AU405" i="16"/>
  <c r="AT405" i="16"/>
  <c r="AS405" i="16"/>
  <c r="AR405" i="16"/>
  <c r="AQ405" i="16"/>
  <c r="AQ407" i="16" s="1"/>
  <c r="AP405" i="16"/>
  <c r="AP407" i="16" s="1"/>
  <c r="AO405" i="16"/>
  <c r="AN405" i="16"/>
  <c r="AM405" i="16"/>
  <c r="AL405" i="16"/>
  <c r="AK405" i="16"/>
  <c r="AJ405" i="16"/>
  <c r="AI405" i="16"/>
  <c r="AH405" i="16"/>
  <c r="AG405" i="16"/>
  <c r="AF405" i="16"/>
  <c r="AE405" i="16"/>
  <c r="AE406" i="16" s="1"/>
  <c r="AD405" i="16"/>
  <c r="AC405" i="16"/>
  <c r="AB405" i="16"/>
  <c r="AB407" i="16" s="1"/>
  <c r="AA405" i="16"/>
  <c r="Z405" i="16"/>
  <c r="Y405" i="16"/>
  <c r="Y414" i="16" s="1"/>
  <c r="X405" i="16"/>
  <c r="W405" i="16"/>
  <c r="V405" i="16"/>
  <c r="U405" i="16"/>
  <c r="T405" i="16"/>
  <c r="S405" i="16"/>
  <c r="R405" i="16"/>
  <c r="R414" i="16" s="1"/>
  <c r="Q405" i="16"/>
  <c r="P405" i="16"/>
  <c r="O405" i="16"/>
  <c r="N405" i="16"/>
  <c r="M405" i="16"/>
  <c r="L405" i="16"/>
  <c r="K405" i="16"/>
  <c r="J405" i="16"/>
  <c r="I405" i="16"/>
  <c r="Q407" i="16" s="1"/>
  <c r="H405" i="16"/>
  <c r="G405" i="16"/>
  <c r="CV403" i="16"/>
  <c r="CT403" i="16"/>
  <c r="CP403" i="16"/>
  <c r="CN403" i="16"/>
  <c r="CM403" i="16"/>
  <c r="CI403" i="16"/>
  <c r="CH403" i="16"/>
  <c r="BU403" i="16"/>
  <c r="BT403" i="16"/>
  <c r="BS403" i="16"/>
  <c r="BR403" i="16"/>
  <c r="BG403" i="16"/>
  <c r="BF403" i="16"/>
  <c r="BE403" i="16"/>
  <c r="BB403" i="16"/>
  <c r="AY403" i="16"/>
  <c r="AS403" i="16"/>
  <c r="AR403" i="16"/>
  <c r="AQ403" i="16"/>
  <c r="AN403" i="16"/>
  <c r="AJ403" i="16"/>
  <c r="AG403" i="16"/>
  <c r="AD403" i="16"/>
  <c r="X403" i="16"/>
  <c r="W403" i="16"/>
  <c r="Q403" i="16"/>
  <c r="DC402" i="16"/>
  <c r="DC403" i="16" s="1"/>
  <c r="DB402" i="16"/>
  <c r="DB403" i="16" s="1"/>
  <c r="DA402" i="16"/>
  <c r="DA403" i="16" s="1"/>
  <c r="CZ402" i="16"/>
  <c r="CY402" i="16"/>
  <c r="CY429" i="16" s="1"/>
  <c r="CX402" i="16"/>
  <c r="CW402" i="16"/>
  <c r="CW403" i="16" s="1"/>
  <c r="CV402" i="16"/>
  <c r="CU402" i="16"/>
  <c r="CU445" i="16" s="1"/>
  <c r="CT402" i="16"/>
  <c r="CS402" i="16"/>
  <c r="CR402" i="16"/>
  <c r="CR441" i="16" s="1"/>
  <c r="CQ402" i="16"/>
  <c r="CP402" i="16"/>
  <c r="CO402" i="16"/>
  <c r="CO403" i="16" s="1"/>
  <c r="CN402" i="16"/>
  <c r="CM402" i="16"/>
  <c r="CL402" i="16"/>
  <c r="CK402" i="16"/>
  <c r="CK429" i="16" s="1"/>
  <c r="CJ402" i="16"/>
  <c r="CI402" i="16"/>
  <c r="CH402" i="16"/>
  <c r="CG402" i="16"/>
  <c r="CG403" i="16" s="1"/>
  <c r="CF402" i="16"/>
  <c r="CE402" i="16"/>
  <c r="CD402" i="16"/>
  <c r="CC402" i="16"/>
  <c r="CB402" i="16"/>
  <c r="CA402" i="16"/>
  <c r="CA403" i="16" s="1"/>
  <c r="BZ402" i="16"/>
  <c r="BZ403" i="16" s="1"/>
  <c r="BY402" i="16"/>
  <c r="BY445" i="16" s="1"/>
  <c r="BX402" i="16"/>
  <c r="BW402" i="16"/>
  <c r="BW429" i="16" s="1"/>
  <c r="BV402" i="16"/>
  <c r="BU402" i="16"/>
  <c r="BT402" i="16"/>
  <c r="BS402" i="16"/>
  <c r="BS445" i="16" s="1"/>
  <c r="BR402" i="16"/>
  <c r="BR441" i="16" s="1"/>
  <c r="BQ402" i="16"/>
  <c r="BP402" i="16"/>
  <c r="BP441" i="16" s="1"/>
  <c r="BO402" i="16"/>
  <c r="BN402" i="16"/>
  <c r="BM402" i="16"/>
  <c r="BM403" i="16" s="1"/>
  <c r="BL402" i="16"/>
  <c r="BK402" i="16"/>
  <c r="BJ402" i="16"/>
  <c r="BI402" i="16"/>
  <c r="BI441" i="16" s="1"/>
  <c r="BH402" i="16"/>
  <c r="BG402" i="16"/>
  <c r="BG441" i="16" s="1"/>
  <c r="BF402" i="16"/>
  <c r="BE402" i="16"/>
  <c r="BE445" i="16" s="1"/>
  <c r="BD402" i="16"/>
  <c r="BC402" i="16"/>
  <c r="BB402" i="16"/>
  <c r="BB441" i="16" s="1"/>
  <c r="BA402" i="16"/>
  <c r="AZ402" i="16"/>
  <c r="AY402" i="16"/>
  <c r="AX402" i="16"/>
  <c r="AW402" i="16"/>
  <c r="BI403" i="16" s="1"/>
  <c r="AV402" i="16"/>
  <c r="AU402" i="16"/>
  <c r="AU422" i="16" s="1"/>
  <c r="AT402" i="16"/>
  <c r="AS402" i="16"/>
  <c r="AS441" i="16" s="1"/>
  <c r="AR402" i="16"/>
  <c r="AQ402" i="16"/>
  <c r="AQ445" i="16" s="1"/>
  <c r="AP402" i="16"/>
  <c r="AP403" i="16" s="1"/>
  <c r="AO402" i="16"/>
  <c r="AN402" i="16"/>
  <c r="AZ403" i="16" s="1"/>
  <c r="AM402" i="16"/>
  <c r="AM403" i="16" s="1"/>
  <c r="AL402" i="16"/>
  <c r="AK402" i="16"/>
  <c r="AK403" i="16" s="1"/>
  <c r="AJ402" i="16"/>
  <c r="AI402" i="16"/>
  <c r="AI445" i="16" s="1"/>
  <c r="AH402" i="16"/>
  <c r="AG402" i="16"/>
  <c r="AF402" i="16"/>
  <c r="AE402" i="16"/>
  <c r="AE441" i="16" s="1"/>
  <c r="AD402" i="16"/>
  <c r="AC402" i="16"/>
  <c r="AC403" i="16" s="1"/>
  <c r="AB402" i="16"/>
  <c r="AA402" i="16"/>
  <c r="Z402" i="16"/>
  <c r="Y402" i="16"/>
  <c r="X402" i="16"/>
  <c r="X429" i="16" s="1"/>
  <c r="W402" i="16"/>
  <c r="V402" i="16"/>
  <c r="V429" i="16" s="1"/>
  <c r="U402" i="16"/>
  <c r="U429" i="16" s="1"/>
  <c r="T402" i="16"/>
  <c r="S402" i="16"/>
  <c r="S445" i="16" s="1"/>
  <c r="R402" i="16"/>
  <c r="Q402" i="16"/>
  <c r="Q406" i="16" s="1"/>
  <c r="P402" i="16"/>
  <c r="O402" i="16"/>
  <c r="O445" i="16" s="1"/>
  <c r="N402" i="16"/>
  <c r="M402" i="16"/>
  <c r="M445" i="16" s="1"/>
  <c r="L402" i="16"/>
  <c r="L441" i="16" s="1"/>
  <c r="K402" i="16"/>
  <c r="J402" i="16"/>
  <c r="I402" i="16"/>
  <c r="H402" i="16"/>
  <c r="G402" i="16"/>
  <c r="G445" i="16" s="1"/>
  <c r="CS397" i="16"/>
  <c r="CQ397" i="16"/>
  <c r="BQ397" i="16"/>
  <c r="BE397" i="16"/>
  <c r="BC397" i="16"/>
  <c r="BA397" i="16"/>
  <c r="AZ397" i="16"/>
  <c r="AM397" i="16"/>
  <c r="AF397" i="16"/>
  <c r="AC397" i="16"/>
  <c r="Y397" i="16"/>
  <c r="O397" i="16"/>
  <c r="M397" i="16"/>
  <c r="K397" i="16"/>
  <c r="J397" i="16"/>
  <c r="CE396" i="16"/>
  <c r="BW396" i="16"/>
  <c r="BV396" i="16"/>
  <c r="BE396" i="16"/>
  <c r="AQ396" i="16"/>
  <c r="DC395" i="16"/>
  <c r="DB395" i="16"/>
  <c r="DA395" i="16"/>
  <c r="DA396" i="16" s="1"/>
  <c r="CZ395" i="16"/>
  <c r="CY395" i="16"/>
  <c r="CX395" i="16"/>
  <c r="CW395" i="16"/>
  <c r="CV395" i="16"/>
  <c r="CV396" i="16" s="1"/>
  <c r="CU395" i="16"/>
  <c r="CT395" i="16"/>
  <c r="CS395" i="16"/>
  <c r="CR395" i="16"/>
  <c r="CQ395" i="16"/>
  <c r="CP395" i="16"/>
  <c r="CO395" i="16"/>
  <c r="CN395" i="16"/>
  <c r="CM395" i="16"/>
  <c r="CM396" i="16" s="1"/>
  <c r="CL395" i="16"/>
  <c r="CK395" i="16"/>
  <c r="CJ395" i="16"/>
  <c r="CI395" i="16"/>
  <c r="CH395" i="16"/>
  <c r="CH396" i="16" s="1"/>
  <c r="CG395" i="16"/>
  <c r="CF395" i="16"/>
  <c r="CE395" i="16"/>
  <c r="CD395" i="16"/>
  <c r="CC395" i="16"/>
  <c r="CB395" i="16"/>
  <c r="CA395" i="16"/>
  <c r="BZ395" i="16"/>
  <c r="BY395" i="16"/>
  <c r="BY396" i="16" s="1"/>
  <c r="BX395" i="16"/>
  <c r="BW395" i="16"/>
  <c r="BW397" i="16" s="1"/>
  <c r="BV395" i="16"/>
  <c r="BV397" i="16" s="1"/>
  <c r="BU395" i="16"/>
  <c r="BT395" i="16"/>
  <c r="BT396" i="16" s="1"/>
  <c r="BS395" i="16"/>
  <c r="BR395" i="16"/>
  <c r="BQ395" i="16"/>
  <c r="BP395" i="16"/>
  <c r="BO395" i="16"/>
  <c r="BN395" i="16"/>
  <c r="BM395" i="16"/>
  <c r="BL395" i="16"/>
  <c r="BK395" i="16"/>
  <c r="BK396" i="16" s="1"/>
  <c r="BJ395" i="16"/>
  <c r="BI395" i="16"/>
  <c r="BI396" i="16" s="1"/>
  <c r="BH395" i="16"/>
  <c r="BG395" i="16"/>
  <c r="BF395" i="16"/>
  <c r="BF396" i="16" s="1"/>
  <c r="BE395" i="16"/>
  <c r="BD395" i="16"/>
  <c r="BC395" i="16"/>
  <c r="BB395" i="16"/>
  <c r="BA395" i="16"/>
  <c r="AZ395" i="16"/>
  <c r="AY395" i="16"/>
  <c r="AX395" i="16"/>
  <c r="AW395" i="16"/>
  <c r="AW396" i="16" s="1"/>
  <c r="AV395" i="16"/>
  <c r="AU395" i="16"/>
  <c r="AT395" i="16"/>
  <c r="AT397" i="16" s="1"/>
  <c r="AS395" i="16"/>
  <c r="AR395" i="16"/>
  <c r="AR396" i="16" s="1"/>
  <c r="AQ395" i="16"/>
  <c r="AP395" i="16"/>
  <c r="AO395" i="16"/>
  <c r="AN395" i="16"/>
  <c r="AM395" i="16"/>
  <c r="AL395" i="16"/>
  <c r="AK395" i="16"/>
  <c r="AJ395" i="16"/>
  <c r="AI395" i="16"/>
  <c r="AI396" i="16" s="1"/>
  <c r="AH395" i="16"/>
  <c r="AG395" i="16"/>
  <c r="AF395" i="16"/>
  <c r="AE395" i="16"/>
  <c r="AD395" i="16"/>
  <c r="AD396" i="16" s="1"/>
  <c r="AC395" i="16"/>
  <c r="AB395" i="16"/>
  <c r="AB396" i="16" s="1"/>
  <c r="AA395" i="16"/>
  <c r="Z395" i="16"/>
  <c r="Y395" i="16"/>
  <c r="X395" i="16"/>
  <c r="W395" i="16"/>
  <c r="V395" i="16"/>
  <c r="U395" i="16"/>
  <c r="U396" i="16" s="1"/>
  <c r="T395" i="16"/>
  <c r="S395" i="16"/>
  <c r="R395" i="16"/>
  <c r="R397" i="16" s="1"/>
  <c r="Q395" i="16"/>
  <c r="P395" i="16"/>
  <c r="O395" i="16"/>
  <c r="N395" i="16"/>
  <c r="M395" i="16"/>
  <c r="L395" i="16"/>
  <c r="K395" i="16"/>
  <c r="J395" i="16"/>
  <c r="I395" i="16"/>
  <c r="H395" i="16"/>
  <c r="G395" i="16"/>
  <c r="G396" i="16" s="1"/>
  <c r="DA393" i="16"/>
  <c r="CY393" i="16"/>
  <c r="CX393" i="16"/>
  <c r="CW393" i="16"/>
  <c r="CN393" i="16"/>
  <c r="CM393" i="16"/>
  <c r="CJ393" i="16"/>
  <c r="CA393" i="16"/>
  <c r="BW393" i="16"/>
  <c r="BV393" i="16"/>
  <c r="BR393" i="16"/>
  <c r="BQ393" i="16"/>
  <c r="BO393" i="16"/>
  <c r="BN393" i="16"/>
  <c r="BK393" i="16"/>
  <c r="BH393" i="16"/>
  <c r="BG393" i="16"/>
  <c r="BD393" i="16"/>
  <c r="BA393" i="16"/>
  <c r="AO393" i="16"/>
  <c r="AM393" i="16"/>
  <c r="AK393" i="16"/>
  <c r="AI393" i="16"/>
  <c r="AH393" i="16"/>
  <c r="T393" i="16"/>
  <c r="K393" i="16"/>
  <c r="CU392" i="16"/>
  <c r="CT392" i="16"/>
  <c r="CC392" i="16"/>
  <c r="BW392" i="16"/>
  <c r="BO392" i="16"/>
  <c r="BL392" i="16"/>
  <c r="BE392" i="16"/>
  <c r="AB392" i="16"/>
  <c r="AA392" i="16"/>
  <c r="Y392" i="16"/>
  <c r="K392" i="16"/>
  <c r="DC391" i="16"/>
  <c r="DB391" i="16"/>
  <c r="DA391" i="16"/>
  <c r="CZ391" i="16"/>
  <c r="CY391" i="16"/>
  <c r="CX391" i="16"/>
  <c r="CW391" i="16"/>
  <c r="CV391" i="16"/>
  <c r="CU391" i="16"/>
  <c r="CT391" i="16"/>
  <c r="CT397" i="16" s="1"/>
  <c r="CS391" i="16"/>
  <c r="CR391" i="16"/>
  <c r="CQ391" i="16"/>
  <c r="CP391" i="16"/>
  <c r="CO391" i="16"/>
  <c r="CN391" i="16"/>
  <c r="CM391" i="16"/>
  <c r="CL391" i="16"/>
  <c r="CK391" i="16"/>
  <c r="CJ391" i="16"/>
  <c r="CI391" i="16"/>
  <c r="CH391" i="16"/>
  <c r="CG391" i="16"/>
  <c r="CF391" i="16"/>
  <c r="CE391" i="16"/>
  <c r="CD391" i="16"/>
  <c r="CC391" i="16"/>
  <c r="CB391" i="16"/>
  <c r="CA391" i="16"/>
  <c r="BZ391" i="16"/>
  <c r="BY391" i="16"/>
  <c r="BY393" i="16" s="1"/>
  <c r="BX391" i="16"/>
  <c r="BW391" i="16"/>
  <c r="BV391" i="16"/>
  <c r="BU391" i="16"/>
  <c r="BT391" i="16"/>
  <c r="CF393" i="16" s="1"/>
  <c r="BS391" i="16"/>
  <c r="BR391" i="16"/>
  <c r="BQ391" i="16"/>
  <c r="BP391" i="16"/>
  <c r="BO391" i="16"/>
  <c r="BO397" i="16" s="1"/>
  <c r="BN391" i="16"/>
  <c r="BM391" i="16"/>
  <c r="BL391" i="16"/>
  <c r="BK391" i="16"/>
  <c r="BJ391" i="16"/>
  <c r="BI391" i="16"/>
  <c r="BH391" i="16"/>
  <c r="BG391" i="16"/>
  <c r="BF391" i="16"/>
  <c r="BF393" i="16" s="1"/>
  <c r="BE391" i="16"/>
  <c r="BD391" i="16"/>
  <c r="BC391" i="16"/>
  <c r="BB391" i="16"/>
  <c r="BA391" i="16"/>
  <c r="AZ391" i="16"/>
  <c r="AY391" i="16"/>
  <c r="AX391" i="16"/>
  <c r="AW391" i="16"/>
  <c r="AV391" i="16"/>
  <c r="AU391" i="16"/>
  <c r="AT391" i="16"/>
  <c r="AT393" i="16" s="1"/>
  <c r="AS391" i="16"/>
  <c r="AR391" i="16"/>
  <c r="AQ391" i="16"/>
  <c r="AQ397" i="16" s="1"/>
  <c r="AP391" i="16"/>
  <c r="AO391" i="16"/>
  <c r="AN391" i="16"/>
  <c r="AM391" i="16"/>
  <c r="AL391" i="16"/>
  <c r="AK391" i="16"/>
  <c r="AJ391" i="16"/>
  <c r="AI391" i="16"/>
  <c r="AH391" i="16"/>
  <c r="AG391" i="16"/>
  <c r="AG392" i="16" s="1"/>
  <c r="AF391" i="16"/>
  <c r="AF393" i="16" s="1"/>
  <c r="AE391" i="16"/>
  <c r="AD391" i="16"/>
  <c r="AC391" i="16"/>
  <c r="AB391" i="16"/>
  <c r="AA391" i="16"/>
  <c r="Z391" i="16"/>
  <c r="Y391" i="16"/>
  <c r="X391" i="16"/>
  <c r="W391" i="16"/>
  <c r="V391" i="16"/>
  <c r="U391" i="16"/>
  <c r="T391" i="16"/>
  <c r="S391" i="16"/>
  <c r="R391" i="16"/>
  <c r="Q391" i="16"/>
  <c r="P391" i="16"/>
  <c r="O391" i="16"/>
  <c r="N391" i="16"/>
  <c r="M391" i="16"/>
  <c r="L391" i="16"/>
  <c r="L397" i="16" s="1"/>
  <c r="K391" i="16"/>
  <c r="W393" i="16" s="1"/>
  <c r="J391" i="16"/>
  <c r="I391" i="16"/>
  <c r="H391" i="16"/>
  <c r="G391" i="16"/>
  <c r="CQ387" i="16"/>
  <c r="BM387" i="16"/>
  <c r="N387" i="16"/>
  <c r="DB386" i="16"/>
  <c r="CQ386" i="16"/>
  <c r="CI386" i="16"/>
  <c r="CC386" i="16"/>
  <c r="BZ386" i="16"/>
  <c r="BL386" i="16"/>
  <c r="BA386" i="16"/>
  <c r="AX386" i="16"/>
  <c r="AW386" i="16"/>
  <c r="AV386" i="16"/>
  <c r="AT386" i="16"/>
  <c r="AG386" i="16"/>
  <c r="Y386" i="16"/>
  <c r="T386" i="16"/>
  <c r="DB385" i="16"/>
  <c r="CX385" i="16"/>
  <c r="CW385" i="16"/>
  <c r="CI385" i="16"/>
  <c r="CC385" i="16"/>
  <c r="BT385" i="16"/>
  <c r="BO385" i="16"/>
  <c r="AP385" i="16"/>
  <c r="AL385" i="16"/>
  <c r="AK385" i="16"/>
  <c r="AI385" i="16"/>
  <c r="W385" i="16"/>
  <c r="G385" i="16"/>
  <c r="DC384" i="16"/>
  <c r="DB384" i="16"/>
  <c r="DA384" i="16"/>
  <c r="CZ384" i="16"/>
  <c r="CY384" i="16"/>
  <c r="CX384" i="16"/>
  <c r="CW384" i="16"/>
  <c r="CV384" i="16"/>
  <c r="CU384" i="16"/>
  <c r="CT384" i="16"/>
  <c r="CS384" i="16"/>
  <c r="CR384" i="16"/>
  <c r="CQ384" i="16"/>
  <c r="CP384" i="16"/>
  <c r="CO384" i="16"/>
  <c r="CN384" i="16"/>
  <c r="CM384" i="16"/>
  <c r="CL384" i="16"/>
  <c r="CK384" i="16"/>
  <c r="CJ384" i="16"/>
  <c r="CI384" i="16"/>
  <c r="CH384" i="16"/>
  <c r="CG384" i="16"/>
  <c r="CF384" i="16"/>
  <c r="CE384" i="16"/>
  <c r="CD384" i="16"/>
  <c r="CC384" i="16"/>
  <c r="CB384" i="16"/>
  <c r="CA384" i="16"/>
  <c r="BZ384" i="16"/>
  <c r="BY384" i="16"/>
  <c r="BX384" i="16"/>
  <c r="BW384" i="16"/>
  <c r="BV384" i="16"/>
  <c r="BU384" i="16"/>
  <c r="BT384" i="16"/>
  <c r="BS384" i="16"/>
  <c r="BR384" i="16"/>
  <c r="BQ384" i="16"/>
  <c r="BP384" i="16"/>
  <c r="BO384" i="16"/>
  <c r="BN384" i="16"/>
  <c r="BM384" i="16"/>
  <c r="BL384" i="16"/>
  <c r="BK384" i="16"/>
  <c r="BJ384" i="16"/>
  <c r="BI384" i="16"/>
  <c r="BH384" i="16"/>
  <c r="BG384" i="16"/>
  <c r="BF384" i="16"/>
  <c r="BE384" i="16"/>
  <c r="BD384" i="16"/>
  <c r="BC384" i="16"/>
  <c r="BB384" i="16"/>
  <c r="BA384" i="16"/>
  <c r="AZ384" i="16"/>
  <c r="AY384" i="16"/>
  <c r="AX384" i="16"/>
  <c r="AW384" i="16"/>
  <c r="AV384" i="16"/>
  <c r="AU384" i="16"/>
  <c r="AT384" i="16"/>
  <c r="AS384" i="16"/>
  <c r="AR384" i="16"/>
  <c r="AQ384" i="16"/>
  <c r="AP384" i="16"/>
  <c r="AO384" i="16"/>
  <c r="AN384" i="16"/>
  <c r="AM384" i="16"/>
  <c r="AL384" i="16"/>
  <c r="AK384" i="16"/>
  <c r="AJ384" i="16"/>
  <c r="AI384" i="16"/>
  <c r="AH384" i="16"/>
  <c r="AG384" i="16"/>
  <c r="AF384" i="16"/>
  <c r="AE384" i="16"/>
  <c r="AD384" i="16"/>
  <c r="AC384" i="16"/>
  <c r="AB384" i="16"/>
  <c r="AA384" i="16"/>
  <c r="Z384" i="16"/>
  <c r="Y384" i="16"/>
  <c r="X384" i="16"/>
  <c r="W384" i="16"/>
  <c r="V384" i="16"/>
  <c r="U384" i="16"/>
  <c r="T384" i="16"/>
  <c r="S384" i="16"/>
  <c r="R384" i="16"/>
  <c r="Q384" i="16"/>
  <c r="P384" i="16"/>
  <c r="O384" i="16"/>
  <c r="N384" i="16"/>
  <c r="M384" i="16"/>
  <c r="L384" i="16"/>
  <c r="K384" i="16"/>
  <c r="J384" i="16"/>
  <c r="I384" i="16"/>
  <c r="H384" i="16"/>
  <c r="G384" i="16"/>
  <c r="CZ383" i="16"/>
  <c r="CZ387" i="16" s="1"/>
  <c r="CU383" i="16"/>
  <c r="CQ383" i="16"/>
  <c r="CP383" i="16"/>
  <c r="CP387" i="16" s="1"/>
  <c r="CO383" i="16"/>
  <c r="CO387" i="16" s="1"/>
  <c r="CN383" i="16"/>
  <c r="CN387" i="16" s="1"/>
  <c r="CM383" i="16"/>
  <c r="CG383" i="16"/>
  <c r="BS383" i="16"/>
  <c r="BQ383" i="16"/>
  <c r="BO383" i="16"/>
  <c r="BO387" i="16" s="1"/>
  <c r="BN383" i="16"/>
  <c r="BN387" i="16" s="1"/>
  <c r="BL383" i="16"/>
  <c r="BJ383" i="16"/>
  <c r="BG383" i="16"/>
  <c r="BG387" i="16" s="1"/>
  <c r="AP383" i="16"/>
  <c r="AP387" i="16" s="1"/>
  <c r="AP388" i="16" s="1"/>
  <c r="AM383" i="16"/>
  <c r="AM387" i="16" s="1"/>
  <c r="AL383" i="16"/>
  <c r="AJ383" i="16"/>
  <c r="AJ387" i="16" s="1"/>
  <c r="AI383" i="16"/>
  <c r="AC383" i="16"/>
  <c r="Y383" i="16"/>
  <c r="Y387" i="16" s="1"/>
  <c r="X383" i="16"/>
  <c r="V383" i="16"/>
  <c r="U383" i="16"/>
  <c r="N383" i="16"/>
  <c r="K383" i="16"/>
  <c r="K387" i="16" s="1"/>
  <c r="J383" i="16"/>
  <c r="H383" i="16"/>
  <c r="H387" i="16" s="1"/>
  <c r="H388" i="16" s="1"/>
  <c r="CX381" i="16"/>
  <c r="CW381" i="16"/>
  <c r="CU381" i="16"/>
  <c r="CT381" i="16"/>
  <c r="CR381" i="16"/>
  <c r="CK381" i="16"/>
  <c r="CI381" i="16"/>
  <c r="CG381" i="16"/>
  <c r="CB381" i="16"/>
  <c r="BW381" i="16"/>
  <c r="BU381" i="16"/>
  <c r="BR381" i="16"/>
  <c r="BN381" i="16"/>
  <c r="BI381" i="16"/>
  <c r="BG381" i="16"/>
  <c r="AV381" i="16"/>
  <c r="AU381" i="16"/>
  <c r="AS381" i="16"/>
  <c r="AR381" i="16"/>
  <c r="AQ381" i="16"/>
  <c r="AP381" i="16"/>
  <c r="AE381" i="16"/>
  <c r="AC381" i="16"/>
  <c r="X381" i="16"/>
  <c r="N381" i="16"/>
  <c r="CZ380" i="16"/>
  <c r="CJ380" i="16"/>
  <c r="CB380" i="16"/>
  <c r="BS380" i="16"/>
  <c r="BN380" i="16"/>
  <c r="BI380" i="16"/>
  <c r="BE380" i="16"/>
  <c r="AP380" i="16"/>
  <c r="AL380" i="16"/>
  <c r="AH380" i="16"/>
  <c r="AG380" i="16"/>
  <c r="X380" i="16"/>
  <c r="T380" i="16"/>
  <c r="H380" i="16"/>
  <c r="DC379" i="16"/>
  <c r="DB379" i="16"/>
  <c r="DA379" i="16"/>
  <c r="CZ379" i="16"/>
  <c r="CZ381" i="16" s="1"/>
  <c r="CY379" i="16"/>
  <c r="CX379" i="16"/>
  <c r="CX372" i="16" s="1"/>
  <c r="CX377" i="16" s="1"/>
  <c r="CW379" i="16"/>
  <c r="CV379" i="16"/>
  <c r="CU379" i="16"/>
  <c r="CT379" i="16"/>
  <c r="CS379" i="16"/>
  <c r="CR379" i="16"/>
  <c r="CQ379" i="16"/>
  <c r="CP379" i="16"/>
  <c r="CO379" i="16"/>
  <c r="CN379" i="16"/>
  <c r="CM379" i="16"/>
  <c r="CL379" i="16"/>
  <c r="CL381" i="16" s="1"/>
  <c r="CK379" i="16"/>
  <c r="CJ379" i="16"/>
  <c r="CI379" i="16"/>
  <c r="CH379" i="16"/>
  <c r="CH372" i="16" s="1"/>
  <c r="CH377" i="16" s="1"/>
  <c r="CG379" i="16"/>
  <c r="CF379" i="16"/>
  <c r="CE379" i="16"/>
  <c r="CD379" i="16"/>
  <c r="CC379" i="16"/>
  <c r="CB379" i="16"/>
  <c r="CB372" i="16" s="1"/>
  <c r="CA379" i="16"/>
  <c r="BZ379" i="16"/>
  <c r="BY379" i="16"/>
  <c r="BX379" i="16"/>
  <c r="BW379" i="16"/>
  <c r="BV379" i="16"/>
  <c r="BU379" i="16"/>
  <c r="BT379" i="16"/>
  <c r="BS379" i="16"/>
  <c r="BS381" i="16" s="1"/>
  <c r="BR379" i="16"/>
  <c r="BQ379" i="16"/>
  <c r="BQ380" i="16" s="1"/>
  <c r="BP379" i="16"/>
  <c r="BO379" i="16"/>
  <c r="BN379" i="16"/>
  <c r="BN372" i="16" s="1"/>
  <c r="BN373" i="16" s="1"/>
  <c r="BM379" i="16"/>
  <c r="BM372" i="16" s="1"/>
  <c r="BL379" i="16"/>
  <c r="BK379" i="16"/>
  <c r="BJ379" i="16"/>
  <c r="BJ372" i="16" s="1"/>
  <c r="BJ374" i="16" s="1"/>
  <c r="BI379" i="16"/>
  <c r="BH379" i="16"/>
  <c r="BG379" i="16"/>
  <c r="BF379" i="16"/>
  <c r="BE379" i="16"/>
  <c r="BE381" i="16" s="1"/>
  <c r="BD379" i="16"/>
  <c r="BD381" i="16" s="1"/>
  <c r="BC379" i="16"/>
  <c r="BC380" i="16" s="1"/>
  <c r="BB379" i="16"/>
  <c r="BA379" i="16"/>
  <c r="BM381" i="16" s="1"/>
  <c r="AZ379" i="16"/>
  <c r="AZ381" i="16" s="1"/>
  <c r="AY379" i="16"/>
  <c r="AX379" i="16"/>
  <c r="AW379" i="16"/>
  <c r="AV379" i="16"/>
  <c r="AV372" i="16" s="1"/>
  <c r="AU379" i="16"/>
  <c r="AT379" i="16"/>
  <c r="AS379" i="16"/>
  <c r="AR379" i="16"/>
  <c r="AQ379" i="16"/>
  <c r="AP379" i="16"/>
  <c r="BB381" i="16" s="1"/>
  <c r="AO379" i="16"/>
  <c r="AO380" i="16" s="1"/>
  <c r="AN379" i="16"/>
  <c r="AM379" i="16"/>
  <c r="AL379" i="16"/>
  <c r="AL381" i="16" s="1"/>
  <c r="AK379" i="16"/>
  <c r="AJ379" i="16"/>
  <c r="AI379" i="16"/>
  <c r="AH379" i="16"/>
  <c r="AG379" i="16"/>
  <c r="AF379" i="16"/>
  <c r="AE379" i="16"/>
  <c r="AD379" i="16"/>
  <c r="AC379" i="16"/>
  <c r="AB379" i="16"/>
  <c r="AA379" i="16"/>
  <c r="AA380" i="16" s="1"/>
  <c r="Z379" i="16"/>
  <c r="Y379" i="16"/>
  <c r="X379" i="16"/>
  <c r="W379" i="16"/>
  <c r="V379" i="16"/>
  <c r="U379" i="16"/>
  <c r="T379" i="16"/>
  <c r="S379" i="16"/>
  <c r="R379" i="16"/>
  <c r="Q379" i="16"/>
  <c r="P379" i="16"/>
  <c r="P372" i="16" s="1"/>
  <c r="P377" i="16" s="1"/>
  <c r="O379" i="16"/>
  <c r="O380" i="16" s="1"/>
  <c r="N379" i="16"/>
  <c r="Z381" i="16" s="1"/>
  <c r="M379" i="16"/>
  <c r="M380" i="16" s="1"/>
  <c r="L379" i="16"/>
  <c r="K379" i="16"/>
  <c r="J379" i="16"/>
  <c r="J380" i="16" s="1"/>
  <c r="I379" i="16"/>
  <c r="H379" i="16"/>
  <c r="G379" i="16"/>
  <c r="CR377" i="16"/>
  <c r="CO377" i="16"/>
  <c r="CF377" i="16"/>
  <c r="CD377" i="16"/>
  <c r="CB377" i="16"/>
  <c r="BZ377" i="16"/>
  <c r="BN377" i="16"/>
  <c r="BK377" i="16"/>
  <c r="BJ377" i="16"/>
  <c r="AX377" i="16"/>
  <c r="AD377" i="16"/>
  <c r="J377" i="16"/>
  <c r="H377" i="16"/>
  <c r="G377" i="16"/>
  <c r="CG374" i="16"/>
  <c r="BN374" i="16"/>
  <c r="BB374" i="16"/>
  <c r="AE374" i="16"/>
  <c r="Z374" i="16"/>
  <c r="DB373" i="16"/>
  <c r="CZ373" i="16"/>
  <c r="CR373" i="16"/>
  <c r="CN373" i="16"/>
  <c r="BS373" i="16"/>
  <c r="BE373" i="16"/>
  <c r="BB373" i="16"/>
  <c r="AP373" i="16"/>
  <c r="AG373" i="16"/>
  <c r="S373" i="16"/>
  <c r="DC372" i="16"/>
  <c r="DB372" i="16"/>
  <c r="DA372" i="16"/>
  <c r="CZ372" i="16"/>
  <c r="CY372" i="16"/>
  <c r="CW372" i="16"/>
  <c r="CU372" i="16"/>
  <c r="CU366" i="16" s="1"/>
  <c r="CR372" i="16"/>
  <c r="CO372" i="16"/>
  <c r="CN372" i="16"/>
  <c r="CM372" i="16"/>
  <c r="CK372" i="16"/>
  <c r="CI372" i="16"/>
  <c r="CG372" i="16"/>
  <c r="CF372" i="16"/>
  <c r="CD372" i="16"/>
  <c r="CD373" i="16" s="1"/>
  <c r="CA372" i="16"/>
  <c r="CA377" i="16" s="1"/>
  <c r="BZ372" i="16"/>
  <c r="BY372" i="16"/>
  <c r="BW372" i="16"/>
  <c r="BU372" i="16"/>
  <c r="BU377" i="16" s="1"/>
  <c r="BS372" i="16"/>
  <c r="BS377" i="16" s="1"/>
  <c r="BR372" i="16"/>
  <c r="BP372" i="16"/>
  <c r="BL372" i="16"/>
  <c r="BK372" i="16"/>
  <c r="BI372" i="16"/>
  <c r="BG372" i="16"/>
  <c r="BE372" i="16"/>
  <c r="BE377" i="16" s="1"/>
  <c r="BB372" i="16"/>
  <c r="BB377" i="16" s="1"/>
  <c r="AX372" i="16"/>
  <c r="AU372" i="16"/>
  <c r="AS372" i="16"/>
  <c r="BE374" i="16" s="1"/>
  <c r="AR372" i="16"/>
  <c r="AQ372" i="16"/>
  <c r="AP372" i="16"/>
  <c r="AP374" i="16" s="1"/>
  <c r="AO372" i="16"/>
  <c r="AN372" i="16"/>
  <c r="AJ372" i="16"/>
  <c r="AI372" i="16"/>
  <c r="AI377" i="16" s="1"/>
  <c r="AG372" i="16"/>
  <c r="AE372" i="16"/>
  <c r="AE377" i="16" s="1"/>
  <c r="AD372" i="16"/>
  <c r="AC372" i="16"/>
  <c r="AB372" i="16"/>
  <c r="Z372" i="16"/>
  <c r="Z373" i="16" s="1"/>
  <c r="Y372" i="16"/>
  <c r="X372" i="16"/>
  <c r="X366" i="16" s="1"/>
  <c r="V372" i="16"/>
  <c r="V377" i="16" s="1"/>
  <c r="U372" i="16"/>
  <c r="U377" i="16" s="1"/>
  <c r="S372" i="16"/>
  <c r="S377" i="16" s="1"/>
  <c r="Q372" i="16"/>
  <c r="Q377" i="16" s="1"/>
  <c r="O372" i="16"/>
  <c r="O377" i="16" s="1"/>
  <c r="N372" i="16"/>
  <c r="M372" i="16"/>
  <c r="L372" i="16"/>
  <c r="L373" i="16" s="1"/>
  <c r="J372" i="16"/>
  <c r="J373" i="16" s="1"/>
  <c r="H372" i="16"/>
  <c r="G372" i="16"/>
  <c r="DC371" i="16"/>
  <c r="DC366" i="16" s="1"/>
  <c r="DB371" i="16"/>
  <c r="DA371" i="16"/>
  <c r="CZ371" i="16"/>
  <c r="CY371" i="16"/>
  <c r="CX371" i="16"/>
  <c r="CW371" i="16"/>
  <c r="CV371" i="16"/>
  <c r="CU371" i="16"/>
  <c r="CT371" i="16"/>
  <c r="CS371" i="16"/>
  <c r="CR371" i="16"/>
  <c r="CQ371" i="16"/>
  <c r="CP371" i="16"/>
  <c r="CO371" i="16"/>
  <c r="CO366" i="16" s="1"/>
  <c r="CN371" i="16"/>
  <c r="CM371" i="16"/>
  <c r="CL371" i="16"/>
  <c r="CK371" i="16"/>
  <c r="CJ371" i="16"/>
  <c r="CI371" i="16"/>
  <c r="CH371" i="16"/>
  <c r="CG371" i="16"/>
  <c r="CG366" i="16" s="1"/>
  <c r="CG367" i="16" s="1"/>
  <c r="CF371" i="16"/>
  <c r="CE371" i="16"/>
  <c r="CD371" i="16"/>
  <c r="CC371" i="16"/>
  <c r="CB371" i="16"/>
  <c r="CA371" i="16"/>
  <c r="CA366" i="16" s="1"/>
  <c r="CA367" i="16" s="1"/>
  <c r="BZ371" i="16"/>
  <c r="BY371" i="16"/>
  <c r="BX371" i="16"/>
  <c r="BW371" i="16"/>
  <c r="BV371" i="16"/>
  <c r="BU371" i="16"/>
  <c r="BT371" i="16"/>
  <c r="BS371" i="16"/>
  <c r="BS366" i="16" s="1"/>
  <c r="BR371" i="16"/>
  <c r="BQ371" i="16"/>
  <c r="BP371" i="16"/>
  <c r="BO371" i="16"/>
  <c r="BN371" i="16"/>
  <c r="BM371" i="16"/>
  <c r="BM366" i="16" s="1"/>
  <c r="BL371" i="16"/>
  <c r="BK371" i="16"/>
  <c r="BJ371" i="16"/>
  <c r="BI371" i="16"/>
  <c r="BH371" i="16"/>
  <c r="BG371" i="16"/>
  <c r="BF371" i="16"/>
  <c r="BE371" i="16"/>
  <c r="BE366" i="16" s="1"/>
  <c r="BD371" i="16"/>
  <c r="BC371" i="16"/>
  <c r="BB371" i="16"/>
  <c r="BA371" i="16"/>
  <c r="AZ371" i="16"/>
  <c r="AY371" i="16"/>
  <c r="AX371" i="16"/>
  <c r="AW371" i="16"/>
  <c r="AV371" i="16"/>
  <c r="AU371" i="16"/>
  <c r="AT371" i="16"/>
  <c r="AS371" i="16"/>
  <c r="AR371" i="16"/>
  <c r="AQ371" i="16"/>
  <c r="AQ366" i="16" s="1"/>
  <c r="AQ367" i="16" s="1"/>
  <c r="AP371" i="16"/>
  <c r="AO371" i="16"/>
  <c r="AN371" i="16"/>
  <c r="AM371" i="16"/>
  <c r="AL371" i="16"/>
  <c r="AK371" i="16"/>
  <c r="AJ371" i="16"/>
  <c r="AI371" i="16"/>
  <c r="AH371" i="16"/>
  <c r="AG371" i="16"/>
  <c r="AF371" i="16"/>
  <c r="AE371" i="16"/>
  <c r="AD371" i="16"/>
  <c r="AC371" i="16"/>
  <c r="AC366" i="16" s="1"/>
  <c r="AB371" i="16"/>
  <c r="AA371" i="16"/>
  <c r="Z371" i="16"/>
  <c r="Y371" i="16"/>
  <c r="X371" i="16"/>
  <c r="W371" i="16"/>
  <c r="V371" i="16"/>
  <c r="U371" i="16"/>
  <c r="T371" i="16"/>
  <c r="S371" i="16"/>
  <c r="R371" i="16"/>
  <c r="Q371" i="16"/>
  <c r="P371" i="16"/>
  <c r="O371" i="16"/>
  <c r="O366" i="16" s="1"/>
  <c r="O367" i="16" s="1"/>
  <c r="N371" i="16"/>
  <c r="M371" i="16"/>
  <c r="M366" i="16" s="1"/>
  <c r="M367" i="16" s="1"/>
  <c r="L371" i="16"/>
  <c r="K371" i="16"/>
  <c r="J371" i="16"/>
  <c r="I371" i="16"/>
  <c r="H371" i="16"/>
  <c r="G371" i="16"/>
  <c r="DC370" i="16"/>
  <c r="DC383" i="16" s="1"/>
  <c r="DB370" i="16"/>
  <c r="DB383" i="16" s="1"/>
  <c r="DA370" i="16"/>
  <c r="DA383" i="16" s="1"/>
  <c r="CZ370" i="16"/>
  <c r="CY370" i="16"/>
  <c r="CY383" i="16" s="1"/>
  <c r="CX370" i="16"/>
  <c r="CW370" i="16"/>
  <c r="CV370" i="16"/>
  <c r="CU370" i="16"/>
  <c r="CT370" i="16"/>
  <c r="CT383" i="16" s="1"/>
  <c r="CS370" i="16"/>
  <c r="CS383" i="16" s="1"/>
  <c r="CR370" i="16"/>
  <c r="CQ370" i="16"/>
  <c r="CP370" i="16"/>
  <c r="CO370" i="16"/>
  <c r="CN370" i="16"/>
  <c r="CM370" i="16"/>
  <c r="CL370" i="16"/>
  <c r="CL383" i="16" s="1"/>
  <c r="CK370" i="16"/>
  <c r="CK383" i="16" s="1"/>
  <c r="CJ370" i="16"/>
  <c r="CI370" i="16"/>
  <c r="CH370" i="16"/>
  <c r="CG370" i="16"/>
  <c r="CF370" i="16"/>
  <c r="CF383" i="16" s="1"/>
  <c r="CE370" i="16"/>
  <c r="CE383" i="16" s="1"/>
  <c r="CD370" i="16"/>
  <c r="CD383" i="16" s="1"/>
  <c r="CC370" i="16"/>
  <c r="CC383" i="16" s="1"/>
  <c r="CB370" i="16"/>
  <c r="CB383" i="16" s="1"/>
  <c r="CA370" i="16"/>
  <c r="CA383" i="16" s="1"/>
  <c r="BZ370" i="16"/>
  <c r="BZ383" i="16" s="1"/>
  <c r="BY370" i="16"/>
  <c r="BY383" i="16" s="1"/>
  <c r="BX370" i="16"/>
  <c r="BX383" i="16" s="1"/>
  <c r="BW370" i="16"/>
  <c r="BW383" i="16" s="1"/>
  <c r="BV370" i="16"/>
  <c r="BU370" i="16"/>
  <c r="BT370" i="16"/>
  <c r="BS370" i="16"/>
  <c r="BR370" i="16"/>
  <c r="BQ370" i="16"/>
  <c r="BP370" i="16"/>
  <c r="BO370" i="16"/>
  <c r="BN370" i="16"/>
  <c r="BM370" i="16"/>
  <c r="BM383" i="16" s="1"/>
  <c r="BL370" i="16"/>
  <c r="BK370" i="16"/>
  <c r="BK383" i="16" s="1"/>
  <c r="BJ370" i="16"/>
  <c r="BJ366" i="16" s="1"/>
  <c r="BI370" i="16"/>
  <c r="BI383" i="16" s="1"/>
  <c r="BH370" i="16"/>
  <c r="BG370" i="16"/>
  <c r="BF370" i="16"/>
  <c r="BE370" i="16"/>
  <c r="BE383" i="16" s="1"/>
  <c r="BD370" i="16"/>
  <c r="BD383" i="16" s="1"/>
  <c r="BD387" i="16" s="1"/>
  <c r="BC370" i="16"/>
  <c r="BC383" i="16" s="1"/>
  <c r="BB370" i="16"/>
  <c r="BA370" i="16"/>
  <c r="BA383" i="16" s="1"/>
  <c r="BA387" i="16" s="1"/>
  <c r="AZ370" i="16"/>
  <c r="AZ383" i="16" s="1"/>
  <c r="AY370" i="16"/>
  <c r="AY383" i="16" s="1"/>
  <c r="AX370" i="16"/>
  <c r="AX383" i="16" s="1"/>
  <c r="AX387" i="16" s="1"/>
  <c r="AW370" i="16"/>
  <c r="AW383" i="16" s="1"/>
  <c r="AV370" i="16"/>
  <c r="AV383" i="16" s="1"/>
  <c r="AU370" i="16"/>
  <c r="AU383" i="16" s="1"/>
  <c r="AT370" i="16"/>
  <c r="AS370" i="16"/>
  <c r="AR370" i="16"/>
  <c r="AQ370" i="16"/>
  <c r="AQ383" i="16" s="1"/>
  <c r="AP370" i="16"/>
  <c r="AO370" i="16"/>
  <c r="AO383" i="16" s="1"/>
  <c r="AN370" i="16"/>
  <c r="AN383" i="16" s="1"/>
  <c r="AM370" i="16"/>
  <c r="AL370" i="16"/>
  <c r="AK370" i="16"/>
  <c r="AK383" i="16" s="1"/>
  <c r="AJ370" i="16"/>
  <c r="AI370" i="16"/>
  <c r="AH370" i="16"/>
  <c r="AH383" i="16" s="1"/>
  <c r="AG370" i="16"/>
  <c r="AG383" i="16" s="1"/>
  <c r="AF370" i="16"/>
  <c r="AE370" i="16"/>
  <c r="AD370" i="16"/>
  <c r="AC370" i="16"/>
  <c r="AB370" i="16"/>
  <c r="AB383" i="16" s="1"/>
  <c r="AB387" i="16" s="1"/>
  <c r="AA370" i="16"/>
  <c r="AA383" i="16" s="1"/>
  <c r="Z370" i="16"/>
  <c r="Y370" i="16"/>
  <c r="X370" i="16"/>
  <c r="W370" i="16"/>
  <c r="W383" i="16" s="1"/>
  <c r="V370" i="16"/>
  <c r="U370" i="16"/>
  <c r="T370" i="16"/>
  <c r="T383" i="16" s="1"/>
  <c r="S370" i="16"/>
  <c r="S383" i="16" s="1"/>
  <c r="R370" i="16"/>
  <c r="Q370" i="16"/>
  <c r="P370" i="16"/>
  <c r="O370" i="16"/>
  <c r="O383" i="16" s="1"/>
  <c r="N370" i="16"/>
  <c r="N366" i="16" s="1"/>
  <c r="M370" i="16"/>
  <c r="M383" i="16" s="1"/>
  <c r="L370" i="16"/>
  <c r="K370" i="16"/>
  <c r="J370" i="16"/>
  <c r="I370" i="16"/>
  <c r="I383" i="16" s="1"/>
  <c r="H370" i="16"/>
  <c r="G370" i="16"/>
  <c r="G383" i="16" s="1"/>
  <c r="AG368" i="16"/>
  <c r="DC367" i="16"/>
  <c r="CZ367" i="16"/>
  <c r="CY367" i="16"/>
  <c r="BN367" i="16"/>
  <c r="BL367" i="16"/>
  <c r="AV367" i="16"/>
  <c r="V367" i="16"/>
  <c r="J367" i="16"/>
  <c r="DB366" i="16"/>
  <c r="CZ366" i="16"/>
  <c r="CY366" i="16"/>
  <c r="CF366" i="16"/>
  <c r="CB366" i="16"/>
  <c r="BZ366" i="16"/>
  <c r="BY366" i="16"/>
  <c r="BN366" i="16"/>
  <c r="BL366" i="16"/>
  <c r="BK366" i="16"/>
  <c r="BI366" i="16"/>
  <c r="AX366" i="16"/>
  <c r="BJ368" i="16" s="1"/>
  <c r="AV366" i="16"/>
  <c r="AV368" i="16" s="1"/>
  <c r="AU366" i="16"/>
  <c r="AU368" i="16" s="1"/>
  <c r="AP366" i="16"/>
  <c r="AP367" i="16" s="1"/>
  <c r="AO366" i="16"/>
  <c r="AO367" i="16" s="1"/>
  <c r="AJ366" i="16"/>
  <c r="AI366" i="16"/>
  <c r="AI365" i="16" s="1"/>
  <c r="AG366" i="16"/>
  <c r="AG367" i="16" s="1"/>
  <c r="AB366" i="16"/>
  <c r="V366" i="16"/>
  <c r="U366" i="16"/>
  <c r="J366" i="16"/>
  <c r="H366" i="16"/>
  <c r="H367" i="16" s="1"/>
  <c r="G366" i="16"/>
  <c r="DC365" i="16"/>
  <c r="AP365" i="16"/>
  <c r="N365" i="16"/>
  <c r="J365" i="16"/>
  <c r="DC364" i="16"/>
  <c r="DC386" i="16" s="1"/>
  <c r="DB364" i="16"/>
  <c r="DA364" i="16"/>
  <c r="DA386" i="16" s="1"/>
  <c r="CZ364" i="16"/>
  <c r="CZ386" i="16" s="1"/>
  <c r="CY364" i="16"/>
  <c r="CY386" i="16" s="1"/>
  <c r="CX364" i="16"/>
  <c r="CX386" i="16" s="1"/>
  <c r="CW364" i="16"/>
  <c r="CW386" i="16" s="1"/>
  <c r="CV364" i="16"/>
  <c r="CV386" i="16" s="1"/>
  <c r="CU364" i="16"/>
  <c r="CU386" i="16" s="1"/>
  <c r="CT364" i="16"/>
  <c r="CT386" i="16" s="1"/>
  <c r="CS364" i="16"/>
  <c r="CS386" i="16" s="1"/>
  <c r="CR364" i="16"/>
  <c r="CR386" i="16" s="1"/>
  <c r="CQ364" i="16"/>
  <c r="CP364" i="16"/>
  <c r="CP386" i="16" s="1"/>
  <c r="CO364" i="16"/>
  <c r="CO386" i="16" s="1"/>
  <c r="CN364" i="16"/>
  <c r="CN386" i="16" s="1"/>
  <c r="CM364" i="16"/>
  <c r="CM386" i="16" s="1"/>
  <c r="CL364" i="16"/>
  <c r="CL386" i="16" s="1"/>
  <c r="CK364" i="16"/>
  <c r="CK386" i="16" s="1"/>
  <c r="CJ364" i="16"/>
  <c r="CJ386" i="16" s="1"/>
  <c r="CI364" i="16"/>
  <c r="CH364" i="16"/>
  <c r="CH386" i="16" s="1"/>
  <c r="CG364" i="16"/>
  <c r="CG386" i="16" s="1"/>
  <c r="CF364" i="16"/>
  <c r="CF386" i="16" s="1"/>
  <c r="CF387" i="16" s="1"/>
  <c r="CE364" i="16"/>
  <c r="CE386" i="16" s="1"/>
  <c r="CD364" i="16"/>
  <c r="CD386" i="16" s="1"/>
  <c r="CC364" i="16"/>
  <c r="CB364" i="16"/>
  <c r="CB386" i="16" s="1"/>
  <c r="CA364" i="16"/>
  <c r="CA386" i="16" s="1"/>
  <c r="BZ364" i="16"/>
  <c r="BY364" i="16"/>
  <c r="BY386" i="16" s="1"/>
  <c r="BX364" i="16"/>
  <c r="BX386" i="16" s="1"/>
  <c r="BW364" i="16"/>
  <c r="BW386" i="16" s="1"/>
  <c r="BV364" i="16"/>
  <c r="BV386" i="16" s="1"/>
  <c r="BU364" i="16"/>
  <c r="BU386" i="16" s="1"/>
  <c r="BT364" i="16"/>
  <c r="BT386" i="16" s="1"/>
  <c r="BS364" i="16"/>
  <c r="BS386" i="16" s="1"/>
  <c r="BR364" i="16"/>
  <c r="BR386" i="16" s="1"/>
  <c r="BQ364" i="16"/>
  <c r="BQ386" i="16" s="1"/>
  <c r="BP364" i="16"/>
  <c r="BP386" i="16" s="1"/>
  <c r="BO364" i="16"/>
  <c r="BO386" i="16" s="1"/>
  <c r="BN364" i="16"/>
  <c r="BN386" i="16" s="1"/>
  <c r="BM364" i="16"/>
  <c r="BM386" i="16" s="1"/>
  <c r="BL364" i="16"/>
  <c r="BK364" i="16"/>
  <c r="BK386" i="16" s="1"/>
  <c r="BJ364" i="16"/>
  <c r="BJ386" i="16" s="1"/>
  <c r="BI364" i="16"/>
  <c r="BI386" i="16" s="1"/>
  <c r="BH364" i="16"/>
  <c r="BH386" i="16" s="1"/>
  <c r="BG364" i="16"/>
  <c r="BG386" i="16" s="1"/>
  <c r="BF364" i="16"/>
  <c r="BF386" i="16" s="1"/>
  <c r="BE364" i="16"/>
  <c r="BE386" i="16" s="1"/>
  <c r="BD364" i="16"/>
  <c r="BD386" i="16" s="1"/>
  <c r="BC364" i="16"/>
  <c r="BC386" i="16" s="1"/>
  <c r="BB364" i="16"/>
  <c r="BB386" i="16" s="1"/>
  <c r="BA364" i="16"/>
  <c r="AZ364" i="16"/>
  <c r="AZ386" i="16" s="1"/>
  <c r="AY364" i="16"/>
  <c r="AY386" i="16" s="1"/>
  <c r="AX364" i="16"/>
  <c r="AW364" i="16"/>
  <c r="AV364" i="16"/>
  <c r="AU364" i="16"/>
  <c r="AU386" i="16" s="1"/>
  <c r="AT364" i="16"/>
  <c r="AS364" i="16"/>
  <c r="AS386" i="16" s="1"/>
  <c r="AR364" i="16"/>
  <c r="AR386" i="16" s="1"/>
  <c r="AQ364" i="16"/>
  <c r="AQ386" i="16" s="1"/>
  <c r="AP364" i="16"/>
  <c r="AP386" i="16" s="1"/>
  <c r="AO364" i="16"/>
  <c r="AO386" i="16" s="1"/>
  <c r="AN364" i="16"/>
  <c r="AN386" i="16" s="1"/>
  <c r="AM364" i="16"/>
  <c r="AM386" i="16" s="1"/>
  <c r="AL364" i="16"/>
  <c r="AL386" i="16" s="1"/>
  <c r="AK364" i="16"/>
  <c r="AK386" i="16" s="1"/>
  <c r="AJ364" i="16"/>
  <c r="AJ386" i="16" s="1"/>
  <c r="AI364" i="16"/>
  <c r="AI386" i="16" s="1"/>
  <c r="AH364" i="16"/>
  <c r="AH386" i="16" s="1"/>
  <c r="AG364" i="16"/>
  <c r="AF364" i="16"/>
  <c r="AF386" i="16" s="1"/>
  <c r="AE364" i="16"/>
  <c r="AE386" i="16" s="1"/>
  <c r="AD364" i="16"/>
  <c r="AD386" i="16" s="1"/>
  <c r="AC364" i="16"/>
  <c r="AC386" i="16" s="1"/>
  <c r="AB364" i="16"/>
  <c r="AB386" i="16" s="1"/>
  <c r="AA364" i="16"/>
  <c r="AA386" i="16" s="1"/>
  <c r="Z364" i="16"/>
  <c r="Z386" i="16" s="1"/>
  <c r="Y364" i="16"/>
  <c r="X364" i="16"/>
  <c r="X386" i="16" s="1"/>
  <c r="W364" i="16"/>
  <c r="W386" i="16" s="1"/>
  <c r="V364" i="16"/>
  <c r="V386" i="16" s="1"/>
  <c r="U364" i="16"/>
  <c r="U386" i="16" s="1"/>
  <c r="T364" i="16"/>
  <c r="S364" i="16"/>
  <c r="S386" i="16" s="1"/>
  <c r="R364" i="16"/>
  <c r="R386" i="16" s="1"/>
  <c r="Q364" i="16"/>
  <c r="Q386" i="16" s="1"/>
  <c r="P364" i="16"/>
  <c r="P386" i="16" s="1"/>
  <c r="O364" i="16"/>
  <c r="O386" i="16" s="1"/>
  <c r="N364" i="16"/>
  <c r="N386" i="16" s="1"/>
  <c r="M364" i="16"/>
  <c r="M386" i="16" s="1"/>
  <c r="L364" i="16"/>
  <c r="L386" i="16" s="1"/>
  <c r="K364" i="16"/>
  <c r="K386" i="16" s="1"/>
  <c r="J364" i="16"/>
  <c r="J386" i="16" s="1"/>
  <c r="I364" i="16"/>
  <c r="I386" i="16" s="1"/>
  <c r="H364" i="16"/>
  <c r="H386" i="16" s="1"/>
  <c r="G364" i="16"/>
  <c r="G386" i="16" s="1"/>
  <c r="DC363" i="16"/>
  <c r="DC385" i="16" s="1"/>
  <c r="DB363" i="16"/>
  <c r="DA363" i="16"/>
  <c r="DA385" i="16" s="1"/>
  <c r="CZ363" i="16"/>
  <c r="CZ385" i="16" s="1"/>
  <c r="CY363" i="16"/>
  <c r="CY385" i="16" s="1"/>
  <c r="CX363" i="16"/>
  <c r="CW363" i="16"/>
  <c r="CV363" i="16"/>
  <c r="CV385" i="16" s="1"/>
  <c r="CU363" i="16"/>
  <c r="CU385" i="16" s="1"/>
  <c r="CT363" i="16"/>
  <c r="CT385" i="16" s="1"/>
  <c r="CS363" i="16"/>
  <c r="CS385" i="16" s="1"/>
  <c r="CR363" i="16"/>
  <c r="CR385" i="16" s="1"/>
  <c r="CQ363" i="16"/>
  <c r="CQ385" i="16" s="1"/>
  <c r="CP363" i="16"/>
  <c r="CP385" i="16" s="1"/>
  <c r="CO363" i="16"/>
  <c r="CO385" i="16" s="1"/>
  <c r="CN363" i="16"/>
  <c r="CN385" i="16" s="1"/>
  <c r="CM363" i="16"/>
  <c r="CM385" i="16" s="1"/>
  <c r="CL363" i="16"/>
  <c r="CL385" i="16" s="1"/>
  <c r="CK363" i="16"/>
  <c r="CK385" i="16" s="1"/>
  <c r="CJ363" i="16"/>
  <c r="CJ385" i="16" s="1"/>
  <c r="CI363" i="16"/>
  <c r="CH363" i="16"/>
  <c r="CH385" i="16" s="1"/>
  <c r="CG363" i="16"/>
  <c r="CG385" i="16" s="1"/>
  <c r="CF363" i="16"/>
  <c r="CF385" i="16" s="1"/>
  <c r="CE363" i="16"/>
  <c r="CE385" i="16" s="1"/>
  <c r="CD363" i="16"/>
  <c r="CD385" i="16" s="1"/>
  <c r="CC363" i="16"/>
  <c r="CB363" i="16"/>
  <c r="CB385" i="16" s="1"/>
  <c r="CA363" i="16"/>
  <c r="CA385" i="16" s="1"/>
  <c r="BZ363" i="16"/>
  <c r="BZ385" i="16" s="1"/>
  <c r="BY363" i="16"/>
  <c r="BY385" i="16" s="1"/>
  <c r="BX363" i="16"/>
  <c r="BX385" i="16" s="1"/>
  <c r="BW363" i="16"/>
  <c r="BW385" i="16" s="1"/>
  <c r="BV363" i="16"/>
  <c r="BV385" i="16" s="1"/>
  <c r="BU363" i="16"/>
  <c r="BU385" i="16" s="1"/>
  <c r="BT363" i="16"/>
  <c r="BS363" i="16"/>
  <c r="BS385" i="16" s="1"/>
  <c r="BR363" i="16"/>
  <c r="BR385" i="16" s="1"/>
  <c r="BQ363" i="16"/>
  <c r="BQ385" i="16" s="1"/>
  <c r="BP363" i="16"/>
  <c r="BP385" i="16" s="1"/>
  <c r="BO363" i="16"/>
  <c r="BN363" i="16"/>
  <c r="BN385" i="16" s="1"/>
  <c r="BM363" i="16"/>
  <c r="BM385" i="16" s="1"/>
  <c r="BL363" i="16"/>
  <c r="BL385" i="16" s="1"/>
  <c r="BK363" i="16"/>
  <c r="BK385" i="16" s="1"/>
  <c r="BJ363" i="16"/>
  <c r="BJ385" i="16" s="1"/>
  <c r="BI363" i="16"/>
  <c r="BI385" i="16" s="1"/>
  <c r="BH363" i="16"/>
  <c r="BH385" i="16" s="1"/>
  <c r="BG363" i="16"/>
  <c r="BG385" i="16" s="1"/>
  <c r="BF363" i="16"/>
  <c r="BF385" i="16" s="1"/>
  <c r="BE363" i="16"/>
  <c r="BE385" i="16" s="1"/>
  <c r="BD363" i="16"/>
  <c r="BD385" i="16" s="1"/>
  <c r="BC363" i="16"/>
  <c r="BC385" i="16" s="1"/>
  <c r="BB363" i="16"/>
  <c r="BB385" i="16" s="1"/>
  <c r="BA363" i="16"/>
  <c r="BA385" i="16" s="1"/>
  <c r="AZ363" i="16"/>
  <c r="AZ385" i="16" s="1"/>
  <c r="AY363" i="16"/>
  <c r="AY385" i="16" s="1"/>
  <c r="AX363" i="16"/>
  <c r="AX385" i="16" s="1"/>
  <c r="AW363" i="16"/>
  <c r="AW385" i="16" s="1"/>
  <c r="AV363" i="16"/>
  <c r="AV385" i="16" s="1"/>
  <c r="AU363" i="16"/>
  <c r="AU385" i="16" s="1"/>
  <c r="AT363" i="16"/>
  <c r="AT385" i="16" s="1"/>
  <c r="AS363" i="16"/>
  <c r="AS385" i="16" s="1"/>
  <c r="AR363" i="16"/>
  <c r="AR385" i="16" s="1"/>
  <c r="AQ363" i="16"/>
  <c r="AQ385" i="16" s="1"/>
  <c r="AP363" i="16"/>
  <c r="AO363" i="16"/>
  <c r="AO385" i="16" s="1"/>
  <c r="AN363" i="16"/>
  <c r="AN385" i="16" s="1"/>
  <c r="AM363" i="16"/>
  <c r="AM385" i="16" s="1"/>
  <c r="AL363" i="16"/>
  <c r="AK363" i="16"/>
  <c r="AJ363" i="16"/>
  <c r="AJ385" i="16" s="1"/>
  <c r="AI363" i="16"/>
  <c r="AH363" i="16"/>
  <c r="AH385" i="16" s="1"/>
  <c r="AG363" i="16"/>
  <c r="AG385" i="16" s="1"/>
  <c r="AG387" i="16" s="1"/>
  <c r="AF363" i="16"/>
  <c r="AF385" i="16" s="1"/>
  <c r="AE363" i="16"/>
  <c r="AE385" i="16" s="1"/>
  <c r="AD363" i="16"/>
  <c r="AD385" i="16" s="1"/>
  <c r="AC363" i="16"/>
  <c r="AC385" i="16" s="1"/>
  <c r="AC387" i="16" s="1"/>
  <c r="AB363" i="16"/>
  <c r="AB385" i="16" s="1"/>
  <c r="AA363" i="16"/>
  <c r="AA385" i="16" s="1"/>
  <c r="Z363" i="16"/>
  <c r="Z385" i="16" s="1"/>
  <c r="Y363" i="16"/>
  <c r="Y385" i="16" s="1"/>
  <c r="X363" i="16"/>
  <c r="X385" i="16" s="1"/>
  <c r="W363" i="16"/>
  <c r="V363" i="16"/>
  <c r="V385" i="16" s="1"/>
  <c r="U363" i="16"/>
  <c r="U385" i="16" s="1"/>
  <c r="T363" i="16"/>
  <c r="T385" i="16" s="1"/>
  <c r="S363" i="16"/>
  <c r="S385" i="16" s="1"/>
  <c r="R363" i="16"/>
  <c r="R385" i="16" s="1"/>
  <c r="Q363" i="16"/>
  <c r="Q385" i="16" s="1"/>
  <c r="P363" i="16"/>
  <c r="P385" i="16" s="1"/>
  <c r="O363" i="16"/>
  <c r="O385" i="16" s="1"/>
  <c r="O387" i="16" s="1"/>
  <c r="O388" i="16" s="1"/>
  <c r="N363" i="16"/>
  <c r="N385" i="16" s="1"/>
  <c r="M363" i="16"/>
  <c r="M385" i="16" s="1"/>
  <c r="L363" i="16"/>
  <c r="L385" i="16" s="1"/>
  <c r="K363" i="16"/>
  <c r="K385" i="16" s="1"/>
  <c r="J363" i="16"/>
  <c r="J385" i="16" s="1"/>
  <c r="I363" i="16"/>
  <c r="I385" i="16" s="1"/>
  <c r="H363" i="16"/>
  <c r="H385" i="16" s="1"/>
  <c r="G363" i="16"/>
  <c r="DC362" i="16"/>
  <c r="DB362" i="16"/>
  <c r="DA362" i="16"/>
  <c r="CZ362" i="16"/>
  <c r="CY362" i="16"/>
  <c r="CX362" i="16"/>
  <c r="CW362" i="16"/>
  <c r="CV362" i="16"/>
  <c r="CU362" i="16"/>
  <c r="CT362" i="16"/>
  <c r="CS362" i="16"/>
  <c r="CR362" i="16"/>
  <c r="CQ362" i="16"/>
  <c r="CP362" i="16"/>
  <c r="CO362" i="16"/>
  <c r="CN362" i="16"/>
  <c r="CM362" i="16"/>
  <c r="CL362" i="16"/>
  <c r="CK362" i="16"/>
  <c r="CJ362" i="16"/>
  <c r="CI362" i="16"/>
  <c r="CH362" i="16"/>
  <c r="CG362" i="16"/>
  <c r="CF362" i="16"/>
  <c r="CE362" i="16"/>
  <c r="CD362" i="16"/>
  <c r="CC362" i="16"/>
  <c r="CB362" i="16"/>
  <c r="CA362" i="16"/>
  <c r="BZ362" i="16"/>
  <c r="BY362" i="16"/>
  <c r="BX362" i="16"/>
  <c r="BW362" i="16"/>
  <c r="BV362" i="16"/>
  <c r="BU362" i="16"/>
  <c r="BT362" i="16"/>
  <c r="BS362" i="16"/>
  <c r="BR362" i="16"/>
  <c r="BQ362" i="16"/>
  <c r="BP362" i="16"/>
  <c r="BO362" i="16"/>
  <c r="BN362" i="16"/>
  <c r="BM362" i="16"/>
  <c r="BL362" i="16"/>
  <c r="BK362" i="16"/>
  <c r="BJ362" i="16"/>
  <c r="BI362" i="16"/>
  <c r="BH362" i="16"/>
  <c r="BG362" i="16"/>
  <c r="BF362" i="16"/>
  <c r="BE362" i="16"/>
  <c r="BD362" i="16"/>
  <c r="BC362" i="16"/>
  <c r="BB362" i="16"/>
  <c r="BA362" i="16"/>
  <c r="AZ362" i="16"/>
  <c r="AY362" i="16"/>
  <c r="AX362" i="16"/>
  <c r="AW362" i="16"/>
  <c r="AV362" i="16"/>
  <c r="AU362" i="16"/>
  <c r="AT362" i="16"/>
  <c r="AS362" i="16"/>
  <c r="AR362" i="16"/>
  <c r="AQ362" i="16"/>
  <c r="AP362" i="16"/>
  <c r="AO362" i="16"/>
  <c r="AN362" i="16"/>
  <c r="AM362" i="16"/>
  <c r="AL362" i="16"/>
  <c r="AK362" i="16"/>
  <c r="AJ362" i="16"/>
  <c r="AI362" i="16"/>
  <c r="AH362" i="16"/>
  <c r="AG362" i="16"/>
  <c r="AF362" i="16"/>
  <c r="AE362" i="16"/>
  <c r="AD362" i="16"/>
  <c r="AC362" i="16"/>
  <c r="AB362" i="16"/>
  <c r="AA362" i="16"/>
  <c r="Z362" i="16"/>
  <c r="Y362" i="16"/>
  <c r="X362" i="16"/>
  <c r="W362" i="16"/>
  <c r="V362" i="16"/>
  <c r="U362" i="16"/>
  <c r="T362" i="16"/>
  <c r="S362" i="16"/>
  <c r="R362" i="16"/>
  <c r="Q362" i="16"/>
  <c r="P362" i="16"/>
  <c r="O362" i="16"/>
  <c r="N362" i="16"/>
  <c r="M362" i="16"/>
  <c r="L362" i="16"/>
  <c r="K362" i="16"/>
  <c r="J362" i="16"/>
  <c r="I362" i="16"/>
  <c r="H362" i="16"/>
  <c r="G362" i="16"/>
  <c r="DC361" i="16"/>
  <c r="DB361" i="16"/>
  <c r="DA361" i="16"/>
  <c r="CZ361" i="16"/>
  <c r="CY361" i="16"/>
  <c r="CX361" i="16"/>
  <c r="CW361" i="16"/>
  <c r="CV361" i="16"/>
  <c r="CU361" i="16"/>
  <c r="CT361" i="16"/>
  <c r="CS361" i="16"/>
  <c r="CR361" i="16"/>
  <c r="CQ361" i="16"/>
  <c r="CP361" i="16"/>
  <c r="CO361" i="16"/>
  <c r="CN361" i="16"/>
  <c r="CM361" i="16"/>
  <c r="CL361" i="16"/>
  <c r="CK361" i="16"/>
  <c r="CJ361" i="16"/>
  <c r="CI361" i="16"/>
  <c r="CH361" i="16"/>
  <c r="CG361" i="16"/>
  <c r="CF361" i="16"/>
  <c r="CE361" i="16"/>
  <c r="CD361" i="16"/>
  <c r="CC361" i="16"/>
  <c r="CB361" i="16"/>
  <c r="CA361" i="16"/>
  <c r="BZ361" i="16"/>
  <c r="BY361" i="16"/>
  <c r="BX361" i="16"/>
  <c r="BW361" i="16"/>
  <c r="BV361" i="16"/>
  <c r="BU361" i="16"/>
  <c r="BT361" i="16"/>
  <c r="BS361" i="16"/>
  <c r="BR361" i="16"/>
  <c r="BQ361" i="16"/>
  <c r="BP361" i="16"/>
  <c r="BO361" i="16"/>
  <c r="BN361" i="16"/>
  <c r="BM361" i="16"/>
  <c r="BL361" i="16"/>
  <c r="BL365" i="16" s="1"/>
  <c r="BK361" i="16"/>
  <c r="BK365" i="16" s="1"/>
  <c r="BJ361" i="16"/>
  <c r="BI361" i="16"/>
  <c r="BH361" i="16"/>
  <c r="BG361" i="16"/>
  <c r="BF361" i="16"/>
  <c r="BE361" i="16"/>
  <c r="BD361" i="16"/>
  <c r="BC361" i="16"/>
  <c r="BB361" i="16"/>
  <c r="BA361" i="16"/>
  <c r="AZ361" i="16"/>
  <c r="AY361" i="16"/>
  <c r="AX361" i="16"/>
  <c r="AW361" i="16"/>
  <c r="AV361" i="16"/>
  <c r="AU361" i="16"/>
  <c r="AT361" i="16"/>
  <c r="AS361" i="16"/>
  <c r="AR361" i="16"/>
  <c r="AQ361" i="16"/>
  <c r="AP361" i="16"/>
  <c r="AO361" i="16"/>
  <c r="AN361" i="16"/>
  <c r="AM361" i="16"/>
  <c r="AL361" i="16"/>
  <c r="AK361" i="16"/>
  <c r="AJ361" i="16"/>
  <c r="AI361" i="16"/>
  <c r="AH361" i="16"/>
  <c r="AG361" i="16"/>
  <c r="AF361" i="16"/>
  <c r="AE361" i="16"/>
  <c r="AD361" i="16"/>
  <c r="AC361" i="16"/>
  <c r="AB361" i="16"/>
  <c r="AA361" i="16"/>
  <c r="Z361" i="16"/>
  <c r="Y361" i="16"/>
  <c r="X361" i="16"/>
  <c r="W361" i="16"/>
  <c r="V361" i="16"/>
  <c r="U361" i="16"/>
  <c r="T361" i="16"/>
  <c r="S361" i="16"/>
  <c r="R361" i="16"/>
  <c r="Q361" i="16"/>
  <c r="P361" i="16"/>
  <c r="O361" i="16"/>
  <c r="N361" i="16"/>
  <c r="M361" i="16"/>
  <c r="L361" i="16"/>
  <c r="K361" i="16"/>
  <c r="J361" i="16"/>
  <c r="I361" i="16"/>
  <c r="H361" i="16"/>
  <c r="G361" i="16"/>
  <c r="DC360" i="16"/>
  <c r="DB360" i="16"/>
  <c r="DA360" i="16"/>
  <c r="CZ360" i="16"/>
  <c r="CY360" i="16"/>
  <c r="CX360" i="16"/>
  <c r="CW360" i="16"/>
  <c r="CV360" i="16"/>
  <c r="CU360" i="16"/>
  <c r="CT360" i="16"/>
  <c r="CS360" i="16"/>
  <c r="CR360" i="16"/>
  <c r="CQ360" i="16"/>
  <c r="CP360" i="16"/>
  <c r="CO360" i="16"/>
  <c r="CN360" i="16"/>
  <c r="CM360" i="16"/>
  <c r="CL360" i="16"/>
  <c r="CK360" i="16"/>
  <c r="CJ360" i="16"/>
  <c r="CI360" i="16"/>
  <c r="CH360" i="16"/>
  <c r="CG360" i="16"/>
  <c r="CF360" i="16"/>
  <c r="CE360" i="16"/>
  <c r="CD360" i="16"/>
  <c r="CC360" i="16"/>
  <c r="CB360" i="16"/>
  <c r="CB365" i="16" s="1"/>
  <c r="CA360" i="16"/>
  <c r="BZ360" i="16"/>
  <c r="BY360" i="16"/>
  <c r="BX360" i="16"/>
  <c r="BW360" i="16"/>
  <c r="BV360" i="16"/>
  <c r="BU360" i="16"/>
  <c r="BT360" i="16"/>
  <c r="BS360" i="16"/>
  <c r="BR360" i="16"/>
  <c r="BQ360" i="16"/>
  <c r="BP360" i="16"/>
  <c r="BO360" i="16"/>
  <c r="BN360" i="16"/>
  <c r="BN365" i="16" s="1"/>
  <c r="BM360" i="16"/>
  <c r="BL360" i="16"/>
  <c r="BK360" i="16"/>
  <c r="BJ360" i="16"/>
  <c r="BI360" i="16"/>
  <c r="BH360" i="16"/>
  <c r="BG360" i="16"/>
  <c r="BF360" i="16"/>
  <c r="BE360" i="16"/>
  <c r="BD360" i="16"/>
  <c r="BC360" i="16"/>
  <c r="BB360" i="16"/>
  <c r="BA360" i="16"/>
  <c r="AZ360" i="16"/>
  <c r="AY360" i="16"/>
  <c r="AX360" i="16"/>
  <c r="AW360" i="16"/>
  <c r="AV360" i="16"/>
  <c r="AU360" i="16"/>
  <c r="AT360" i="16"/>
  <c r="AS360" i="16"/>
  <c r="AR360" i="16"/>
  <c r="AQ360" i="16"/>
  <c r="AP360" i="16"/>
  <c r="AO360" i="16"/>
  <c r="AN360" i="16"/>
  <c r="AM360" i="16"/>
  <c r="AL360" i="16"/>
  <c r="AK360" i="16"/>
  <c r="AJ360" i="16"/>
  <c r="AI360" i="16"/>
  <c r="AH360" i="16"/>
  <c r="AG360" i="16"/>
  <c r="AF360" i="16"/>
  <c r="AE360" i="16"/>
  <c r="AD360" i="16"/>
  <c r="AC360" i="16"/>
  <c r="AB360" i="16"/>
  <c r="AA360" i="16"/>
  <c r="Z360" i="16"/>
  <c r="Y360" i="16"/>
  <c r="X360" i="16"/>
  <c r="W360" i="16"/>
  <c r="V360" i="16"/>
  <c r="U360" i="16"/>
  <c r="T360" i="16"/>
  <c r="S360" i="16"/>
  <c r="R360" i="16"/>
  <c r="Q360" i="16"/>
  <c r="P360" i="16"/>
  <c r="O360" i="16"/>
  <c r="N360" i="16"/>
  <c r="M360" i="16"/>
  <c r="L360" i="16"/>
  <c r="K360" i="16"/>
  <c r="J360" i="16"/>
  <c r="I360" i="16"/>
  <c r="H360" i="16"/>
  <c r="G360" i="16"/>
  <c r="CY358" i="16"/>
  <c r="CX358" i="16"/>
  <c r="CW358" i="16"/>
  <c r="CV358" i="16"/>
  <c r="CR358" i="16"/>
  <c r="CK358" i="16"/>
  <c r="CJ358" i="16"/>
  <c r="CI358" i="16"/>
  <c r="CH358" i="16"/>
  <c r="CG358" i="16"/>
  <c r="CF358" i="16"/>
  <c r="BZ358" i="16"/>
  <c r="BU358" i="16"/>
  <c r="BS358" i="16"/>
  <c r="BJ358" i="16"/>
  <c r="AX358" i="16"/>
  <c r="AU358" i="16"/>
  <c r="AT358" i="16"/>
  <c r="AS358" i="16"/>
  <c r="AH358" i="16"/>
  <c r="AG358" i="16"/>
  <c r="AF358" i="16"/>
  <c r="AE358" i="16"/>
  <c r="AD358" i="16"/>
  <c r="K358" i="16"/>
  <c r="CZ357" i="16"/>
  <c r="CY357" i="16"/>
  <c r="CP357" i="16"/>
  <c r="CN357" i="16"/>
  <c r="CK357" i="16"/>
  <c r="CJ357" i="16"/>
  <c r="CI357" i="16"/>
  <c r="CB357" i="16"/>
  <c r="BZ357" i="16"/>
  <c r="BX357" i="16"/>
  <c r="BW357" i="16"/>
  <c r="BJ357" i="16"/>
  <c r="BH357" i="16"/>
  <c r="BG357" i="16"/>
  <c r="BB357" i="16"/>
  <c r="BA357" i="16"/>
  <c r="AT357" i="16"/>
  <c r="AM357" i="16"/>
  <c r="AL357" i="16"/>
  <c r="AF357" i="16"/>
  <c r="Z357" i="16"/>
  <c r="Y357" i="16"/>
  <c r="V357" i="16"/>
  <c r="U357" i="16"/>
  <c r="L357" i="16"/>
  <c r="K357" i="16"/>
  <c r="J357" i="16"/>
  <c r="DC356" i="16"/>
  <c r="DC358" i="16" s="1"/>
  <c r="DB356" i="16"/>
  <c r="DA356" i="16"/>
  <c r="CZ356" i="16"/>
  <c r="CY356" i="16"/>
  <c r="CX356" i="16"/>
  <c r="CW356" i="16"/>
  <c r="CV356" i="16"/>
  <c r="CU356" i="16"/>
  <c r="CT356" i="16"/>
  <c r="CT357" i="16" s="1"/>
  <c r="CS356" i="16"/>
  <c r="CR356" i="16"/>
  <c r="CR357" i="16" s="1"/>
  <c r="CQ356" i="16"/>
  <c r="CP356" i="16"/>
  <c r="CO356" i="16"/>
  <c r="CN356" i="16"/>
  <c r="CM356" i="16"/>
  <c r="CL356" i="16"/>
  <c r="CL358" i="16" s="1"/>
  <c r="CK356" i="16"/>
  <c r="CJ356" i="16"/>
  <c r="CI356" i="16"/>
  <c r="CH356" i="16"/>
  <c r="CG356" i="16"/>
  <c r="CF356" i="16"/>
  <c r="CF357" i="16" s="1"/>
  <c r="CE356" i="16"/>
  <c r="CD356" i="16"/>
  <c r="CC356" i="16"/>
  <c r="CC357" i="16" s="1"/>
  <c r="CB356" i="16"/>
  <c r="CA356" i="16"/>
  <c r="BZ356" i="16"/>
  <c r="BY356" i="16"/>
  <c r="BX356" i="16"/>
  <c r="BW356" i="16"/>
  <c r="BV356" i="16"/>
  <c r="BU356" i="16"/>
  <c r="BT356" i="16"/>
  <c r="BS356" i="16"/>
  <c r="BR356" i="16"/>
  <c r="BR357" i="16" s="1"/>
  <c r="BQ356" i="16"/>
  <c r="BQ357" i="16" s="1"/>
  <c r="BP356" i="16"/>
  <c r="BO356" i="16"/>
  <c r="BO357" i="16" s="1"/>
  <c r="BN356" i="16"/>
  <c r="BM356" i="16"/>
  <c r="BL356" i="16"/>
  <c r="BK356" i="16"/>
  <c r="BJ356" i="16"/>
  <c r="BV358" i="16" s="1"/>
  <c r="BI356" i="16"/>
  <c r="BH356" i="16"/>
  <c r="BG356" i="16"/>
  <c r="BF356" i="16"/>
  <c r="BF358" i="16" s="1"/>
  <c r="BE356" i="16"/>
  <c r="BD356" i="16"/>
  <c r="BD357" i="16" s="1"/>
  <c r="BC356" i="16"/>
  <c r="BB356" i="16"/>
  <c r="BA356" i="16"/>
  <c r="AZ356" i="16"/>
  <c r="AY356" i="16"/>
  <c r="AX356" i="16"/>
  <c r="AX357" i="16" s="1"/>
  <c r="AW356" i="16"/>
  <c r="BI358" i="16" s="1"/>
  <c r="AV356" i="16"/>
  <c r="AU356" i="16"/>
  <c r="AT356" i="16"/>
  <c r="AS356" i="16"/>
  <c r="AR356" i="16"/>
  <c r="AR358" i="16" s="1"/>
  <c r="AQ356" i="16"/>
  <c r="AP356" i="16"/>
  <c r="AP357" i="16" s="1"/>
  <c r="AO356" i="16"/>
  <c r="AO358" i="16" s="1"/>
  <c r="AN356" i="16"/>
  <c r="AM356" i="16"/>
  <c r="AL356" i="16"/>
  <c r="AK356" i="16"/>
  <c r="AJ356" i="16"/>
  <c r="AI356" i="16"/>
  <c r="AH356" i="16"/>
  <c r="AH357" i="16" s="1"/>
  <c r="AG356" i="16"/>
  <c r="AF356" i="16"/>
  <c r="AE356" i="16"/>
  <c r="AD356" i="16"/>
  <c r="AC356" i="16"/>
  <c r="AB356" i="16"/>
  <c r="AB357" i="16" s="1"/>
  <c r="AA356" i="16"/>
  <c r="AM358" i="16" s="1"/>
  <c r="Z356" i="16"/>
  <c r="Z358" i="16" s="1"/>
  <c r="Y356" i="16"/>
  <c r="X356" i="16"/>
  <c r="W356" i="16"/>
  <c r="V356" i="16"/>
  <c r="U356" i="16"/>
  <c r="T356" i="16"/>
  <c r="S356" i="16"/>
  <c r="R356" i="16"/>
  <c r="Q356" i="16"/>
  <c r="P356" i="16"/>
  <c r="O356" i="16"/>
  <c r="N356" i="16"/>
  <c r="N357" i="16" s="1"/>
  <c r="M356" i="16"/>
  <c r="L356" i="16"/>
  <c r="K356" i="16"/>
  <c r="J356" i="16"/>
  <c r="T358" i="16" s="1"/>
  <c r="I356" i="16"/>
  <c r="Q358" i="16" s="1"/>
  <c r="H356" i="16"/>
  <c r="G356" i="16"/>
  <c r="CS354" i="16"/>
  <c r="CR354" i="16"/>
  <c r="CQ354" i="16"/>
  <c r="CP354" i="16"/>
  <c r="CO354" i="16"/>
  <c r="CF354" i="16"/>
  <c r="CE354" i="16"/>
  <c r="CD354" i="16"/>
  <c r="CC354" i="16"/>
  <c r="CB354" i="16"/>
  <c r="BZ354" i="16"/>
  <c r="BQ354" i="16"/>
  <c r="BP354" i="16"/>
  <c r="BO354" i="16"/>
  <c r="BN354" i="16"/>
  <c r="BH354" i="16"/>
  <c r="BG354" i="16"/>
  <c r="BB354" i="16"/>
  <c r="BA354" i="16"/>
  <c r="AZ354" i="16"/>
  <c r="AX354" i="16"/>
  <c r="AM354" i="16"/>
  <c r="AL354" i="16"/>
  <c r="AJ354" i="16"/>
  <c r="AF354" i="16"/>
  <c r="AE354" i="16"/>
  <c r="AB354" i="16"/>
  <c r="AA354" i="16"/>
  <c r="Z354" i="16"/>
  <c r="Y354" i="16"/>
  <c r="DC353" i="16"/>
  <c r="DB353" i="16"/>
  <c r="DB380" i="16" s="1"/>
  <c r="DA353" i="16"/>
  <c r="CZ353" i="16"/>
  <c r="CY353" i="16"/>
  <c r="CY380" i="16" s="1"/>
  <c r="CX353" i="16"/>
  <c r="CX392" i="16" s="1"/>
  <c r="CW353" i="16"/>
  <c r="CV353" i="16"/>
  <c r="CV354" i="16" s="1"/>
  <c r="CU353" i="16"/>
  <c r="CU380" i="16" s="1"/>
  <c r="CT353" i="16"/>
  <c r="CT396" i="16" s="1"/>
  <c r="CS353" i="16"/>
  <c r="CS396" i="16" s="1"/>
  <c r="CR353" i="16"/>
  <c r="CR396" i="16" s="1"/>
  <c r="CQ353" i="16"/>
  <c r="CP353" i="16"/>
  <c r="CP392" i="16" s="1"/>
  <c r="CO353" i="16"/>
  <c r="CN353" i="16"/>
  <c r="CN396" i="16" s="1"/>
  <c r="CM353" i="16"/>
  <c r="CM354" i="16" s="1"/>
  <c r="CL353" i="16"/>
  <c r="CK353" i="16"/>
  <c r="CJ353" i="16"/>
  <c r="CJ354" i="16" s="1"/>
  <c r="CI353" i="16"/>
  <c r="CH353" i="16"/>
  <c r="CT354" i="16" s="1"/>
  <c r="CG353" i="16"/>
  <c r="CG380" i="16" s="1"/>
  <c r="CF353" i="16"/>
  <c r="CE353" i="16"/>
  <c r="CE392" i="16" s="1"/>
  <c r="CD353" i="16"/>
  <c r="CD396" i="16" s="1"/>
  <c r="CC353" i="16"/>
  <c r="CB353" i="16"/>
  <c r="CB392" i="16" s="1"/>
  <c r="CA353" i="16"/>
  <c r="BZ353" i="16"/>
  <c r="BZ396" i="16" s="1"/>
  <c r="BY353" i="16"/>
  <c r="BX353" i="16"/>
  <c r="BW353" i="16"/>
  <c r="BV353" i="16"/>
  <c r="BV392" i="16" s="1"/>
  <c r="BU353" i="16"/>
  <c r="BT353" i="16"/>
  <c r="BT354" i="16" s="1"/>
  <c r="BS353" i="16"/>
  <c r="BS354" i="16" s="1"/>
  <c r="BR353" i="16"/>
  <c r="BQ353" i="16"/>
  <c r="BQ396" i="16" s="1"/>
  <c r="BP353" i="16"/>
  <c r="BP396" i="16" s="1"/>
  <c r="BO353" i="16"/>
  <c r="BN353" i="16"/>
  <c r="BN392" i="16" s="1"/>
  <c r="BM353" i="16"/>
  <c r="BM392" i="16" s="1"/>
  <c r="BL353" i="16"/>
  <c r="BL396" i="16" s="1"/>
  <c r="BK353" i="16"/>
  <c r="BJ353" i="16"/>
  <c r="BJ354" i="16" s="1"/>
  <c r="BI353" i="16"/>
  <c r="BI357" i="16" s="1"/>
  <c r="BH353" i="16"/>
  <c r="BH392" i="16" s="1"/>
  <c r="BG353" i="16"/>
  <c r="BF353" i="16"/>
  <c r="BE353" i="16"/>
  <c r="BE354" i="16" s="1"/>
  <c r="BD353" i="16"/>
  <c r="BD380" i="16" s="1"/>
  <c r="BC353" i="16"/>
  <c r="BC396" i="16" s="1"/>
  <c r="BB353" i="16"/>
  <c r="BB396" i="16" s="1"/>
  <c r="BA353" i="16"/>
  <c r="AZ353" i="16"/>
  <c r="AZ392" i="16" s="1"/>
  <c r="AY353" i="16"/>
  <c r="AX353" i="16"/>
  <c r="AX373" i="16" s="1"/>
  <c r="AW353" i="16"/>
  <c r="AV353" i="16"/>
  <c r="AU353" i="16"/>
  <c r="AU380" i="16" s="1"/>
  <c r="AT353" i="16"/>
  <c r="AT354" i="16" s="1"/>
  <c r="AS353" i="16"/>
  <c r="AR353" i="16"/>
  <c r="AR392" i="16" s="1"/>
  <c r="AQ353" i="16"/>
  <c r="BC354" i="16" s="1"/>
  <c r="AP353" i="16"/>
  <c r="AP392" i="16" s="1"/>
  <c r="AO353" i="16"/>
  <c r="AO396" i="16" s="1"/>
  <c r="AN353" i="16"/>
  <c r="AN396" i="16" s="1"/>
  <c r="AM353" i="16"/>
  <c r="AL353" i="16"/>
  <c r="AL392" i="16" s="1"/>
  <c r="AK353" i="16"/>
  <c r="AJ353" i="16"/>
  <c r="AI353" i="16"/>
  <c r="AH353" i="16"/>
  <c r="AG353" i="16"/>
  <c r="AG357" i="16" s="1"/>
  <c r="AF353" i="16"/>
  <c r="AF392" i="16" s="1"/>
  <c r="AE353" i="16"/>
  <c r="AD353" i="16"/>
  <c r="AC353" i="16"/>
  <c r="AC392" i="16" s="1"/>
  <c r="AB353" i="16"/>
  <c r="AN354" i="16" s="1"/>
  <c r="AA353" i="16"/>
  <c r="AA396" i="16" s="1"/>
  <c r="Z353" i="16"/>
  <c r="Z396" i="16" s="1"/>
  <c r="Y353" i="16"/>
  <c r="X353" i="16"/>
  <c r="X392" i="16" s="1"/>
  <c r="W353" i="16"/>
  <c r="V353" i="16"/>
  <c r="V373" i="16" s="1"/>
  <c r="U353" i="16"/>
  <c r="T353" i="16"/>
  <c r="S353" i="16"/>
  <c r="S357" i="16" s="1"/>
  <c r="R353" i="16"/>
  <c r="R357" i="16" s="1"/>
  <c r="Q353" i="16"/>
  <c r="P353" i="16"/>
  <c r="O353" i="16"/>
  <c r="N353" i="16"/>
  <c r="M353" i="16"/>
  <c r="M396" i="16" s="1"/>
  <c r="L353" i="16"/>
  <c r="L396" i="16" s="1"/>
  <c r="K353" i="16"/>
  <c r="J353" i="16"/>
  <c r="J392" i="16" s="1"/>
  <c r="I353" i="16"/>
  <c r="I392" i="16" s="1"/>
  <c r="H353" i="16"/>
  <c r="H396" i="16" s="1"/>
  <c r="G353" i="16"/>
  <c r="DC346" i="16"/>
  <c r="DB346" i="16"/>
  <c r="DA346" i="16"/>
  <c r="CZ346" i="16"/>
  <c r="CY346" i="16"/>
  <c r="CX346" i="16"/>
  <c r="CW346" i="16"/>
  <c r="CW347" i="16" s="1"/>
  <c r="CV346" i="16"/>
  <c r="CV348" i="16" s="1"/>
  <c r="CU346" i="16"/>
  <c r="CU348" i="16" s="1"/>
  <c r="CT346" i="16"/>
  <c r="CT347" i="16" s="1"/>
  <c r="CS346" i="16"/>
  <c r="CR346" i="16"/>
  <c r="CR348" i="16" s="1"/>
  <c r="CQ346" i="16"/>
  <c r="CP346" i="16"/>
  <c r="CO346" i="16"/>
  <c r="CN346" i="16"/>
  <c r="CM346" i="16"/>
  <c r="CL346" i="16"/>
  <c r="CK346" i="16"/>
  <c r="CK347" i="16" s="1"/>
  <c r="CJ346" i="16"/>
  <c r="CJ347" i="16" s="1"/>
  <c r="CI346" i="16"/>
  <c r="CI347" i="16" s="1"/>
  <c r="CH346" i="16"/>
  <c r="CG346" i="16"/>
  <c r="CG347" i="16" s="1"/>
  <c r="CF346" i="16"/>
  <c r="CF347" i="16" s="1"/>
  <c r="CE346" i="16"/>
  <c r="CD346" i="16"/>
  <c r="CC346" i="16"/>
  <c r="CB346" i="16"/>
  <c r="CA346" i="16"/>
  <c r="BZ346" i="16"/>
  <c r="BY346" i="16"/>
  <c r="BX346" i="16"/>
  <c r="BW346" i="16"/>
  <c r="BV346" i="16"/>
  <c r="BU346" i="16"/>
  <c r="BT346" i="16"/>
  <c r="BT348" i="16" s="1"/>
  <c r="BS346" i="16"/>
  <c r="BS348" i="16" s="1"/>
  <c r="BR346" i="16"/>
  <c r="BR348" i="16" s="1"/>
  <c r="BQ346" i="16"/>
  <c r="BP346" i="16"/>
  <c r="BP348" i="16" s="1"/>
  <c r="BO346" i="16"/>
  <c r="BN346" i="16"/>
  <c r="BM346" i="16"/>
  <c r="BL346" i="16"/>
  <c r="BK346" i="16"/>
  <c r="BJ346" i="16"/>
  <c r="BI346" i="16"/>
  <c r="BH346" i="16"/>
  <c r="BG346" i="16"/>
  <c r="BG348" i="16" s="1"/>
  <c r="BF346" i="16"/>
  <c r="BF347" i="16" s="1"/>
  <c r="BE346" i="16"/>
  <c r="BE348" i="16" s="1"/>
  <c r="BD346" i="16"/>
  <c r="BD348" i="16" s="1"/>
  <c r="BC346" i="16"/>
  <c r="BB346" i="16"/>
  <c r="BA346" i="16"/>
  <c r="AZ346" i="16"/>
  <c r="AY346" i="16"/>
  <c r="AX346" i="16"/>
  <c r="AW346" i="16"/>
  <c r="AV346" i="16"/>
  <c r="AU346" i="16"/>
  <c r="AU347" i="16" s="1"/>
  <c r="AT346" i="16"/>
  <c r="AT347" i="16" s="1"/>
  <c r="AS346" i="16"/>
  <c r="AS348" i="16" s="1"/>
  <c r="AR346" i="16"/>
  <c r="AQ346" i="16"/>
  <c r="AQ348" i="16" s="1"/>
  <c r="AP346" i="16"/>
  <c r="AP348" i="16" s="1"/>
  <c r="AO346" i="16"/>
  <c r="AN346" i="16"/>
  <c r="AM346" i="16"/>
  <c r="AL346" i="16"/>
  <c r="AK346" i="16"/>
  <c r="AJ346" i="16"/>
  <c r="AI346" i="16"/>
  <c r="AH346" i="16"/>
  <c r="AG346" i="16"/>
  <c r="AF346" i="16"/>
  <c r="AF347" i="16" s="1"/>
  <c r="AE346" i="16"/>
  <c r="AE347" i="16" s="1"/>
  <c r="AD346" i="16"/>
  <c r="AD347" i="16" s="1"/>
  <c r="AC346" i="16"/>
  <c r="AC348" i="16" s="1"/>
  <c r="AB346" i="16"/>
  <c r="AB348" i="16" s="1"/>
  <c r="AA346" i="16"/>
  <c r="Z346" i="16"/>
  <c r="Z348" i="16" s="1"/>
  <c r="Y346" i="16"/>
  <c r="X346" i="16"/>
  <c r="W346" i="16"/>
  <c r="V346" i="16"/>
  <c r="U346" i="16"/>
  <c r="T346" i="16"/>
  <c r="S346" i="16"/>
  <c r="R346" i="16"/>
  <c r="Q346" i="16"/>
  <c r="Q348" i="16" s="1"/>
  <c r="P346" i="16"/>
  <c r="O346" i="16"/>
  <c r="N346" i="16"/>
  <c r="N348" i="16" s="1"/>
  <c r="M346" i="16"/>
  <c r="L346" i="16"/>
  <c r="K346" i="16"/>
  <c r="J346" i="16"/>
  <c r="I346" i="16"/>
  <c r="H346" i="16"/>
  <c r="G346" i="16"/>
  <c r="DC342" i="16"/>
  <c r="DC348" i="16" s="1"/>
  <c r="DB342" i="16"/>
  <c r="DA342" i="16"/>
  <c r="CZ342" i="16"/>
  <c r="CY342" i="16"/>
  <c r="CY343" i="16" s="1"/>
  <c r="CX342" i="16"/>
  <c r="CX348" i="16" s="1"/>
  <c r="CW342" i="16"/>
  <c r="CV342" i="16"/>
  <c r="CU342" i="16"/>
  <c r="CU344" i="16" s="1"/>
  <c r="CT342" i="16"/>
  <c r="CT344" i="16" s="1"/>
  <c r="CS342" i="16"/>
  <c r="CS344" i="16" s="1"/>
  <c r="CR342" i="16"/>
  <c r="CR344" i="16" s="1"/>
  <c r="CQ342" i="16"/>
  <c r="CP342" i="16"/>
  <c r="CO342" i="16"/>
  <c r="CO343" i="16" s="1"/>
  <c r="CN342" i="16"/>
  <c r="CM342" i="16"/>
  <c r="CL342" i="16"/>
  <c r="CK342" i="16"/>
  <c r="CJ342" i="16"/>
  <c r="CV344" i="16" s="1"/>
  <c r="CI342" i="16"/>
  <c r="CH342" i="16"/>
  <c r="CG342" i="16"/>
  <c r="CG344" i="16" s="1"/>
  <c r="CF342" i="16"/>
  <c r="CF344" i="16" s="1"/>
  <c r="CE342" i="16"/>
  <c r="CE344" i="16" s="1"/>
  <c r="CD342" i="16"/>
  <c r="CD344" i="16" s="1"/>
  <c r="CC342" i="16"/>
  <c r="CB342" i="16"/>
  <c r="CA342" i="16"/>
  <c r="CM344" i="16" s="1"/>
  <c r="BZ342" i="16"/>
  <c r="BY342" i="16"/>
  <c r="BX342" i="16"/>
  <c r="BW342" i="16"/>
  <c r="BV342" i="16"/>
  <c r="CH344" i="16" s="1"/>
  <c r="BU342" i="16"/>
  <c r="BT342" i="16"/>
  <c r="BS342" i="16"/>
  <c r="BS344" i="16" s="1"/>
  <c r="BR342" i="16"/>
  <c r="BR344" i="16" s="1"/>
  <c r="BQ342" i="16"/>
  <c r="BQ343" i="16" s="1"/>
  <c r="BP342" i="16"/>
  <c r="BP343" i="16" s="1"/>
  <c r="BO342" i="16"/>
  <c r="BN342" i="16"/>
  <c r="BM342" i="16"/>
  <c r="BM348" i="16" s="1"/>
  <c r="BL342" i="16"/>
  <c r="BK342" i="16"/>
  <c r="BJ342" i="16"/>
  <c r="BI342" i="16"/>
  <c r="BH342" i="16"/>
  <c r="BT344" i="16" s="1"/>
  <c r="BG342" i="16"/>
  <c r="BF342" i="16"/>
  <c r="BE342" i="16"/>
  <c r="BE344" i="16" s="1"/>
  <c r="BD342" i="16"/>
  <c r="BD344" i="16" s="1"/>
  <c r="BC342" i="16"/>
  <c r="BC344" i="16" s="1"/>
  <c r="BB342" i="16"/>
  <c r="BB344" i="16" s="1"/>
  <c r="BA342" i="16"/>
  <c r="AZ342" i="16"/>
  <c r="AY342" i="16"/>
  <c r="BK344" i="16" s="1"/>
  <c r="AX342" i="16"/>
  <c r="AW342" i="16"/>
  <c r="AV342" i="16"/>
  <c r="AU342" i="16"/>
  <c r="AT342" i="16"/>
  <c r="BF344" i="16" s="1"/>
  <c r="AS342" i="16"/>
  <c r="AR342" i="16"/>
  <c r="AQ342" i="16"/>
  <c r="AQ344" i="16" s="1"/>
  <c r="AP342" i="16"/>
  <c r="AP344" i="16" s="1"/>
  <c r="AO342" i="16"/>
  <c r="AO344" i="16" s="1"/>
  <c r="AN342" i="16"/>
  <c r="AN344" i="16" s="1"/>
  <c r="AM342" i="16"/>
  <c r="AL342" i="16"/>
  <c r="AK342" i="16"/>
  <c r="AK343" i="16" s="1"/>
  <c r="AJ342" i="16"/>
  <c r="AI342" i="16"/>
  <c r="AH342" i="16"/>
  <c r="AG342" i="16"/>
  <c r="AF342" i="16"/>
  <c r="AR344" i="16" s="1"/>
  <c r="AE342" i="16"/>
  <c r="AD342" i="16"/>
  <c r="AC342" i="16"/>
  <c r="AC344" i="16" s="1"/>
  <c r="AB342" i="16"/>
  <c r="AB344" i="16" s="1"/>
  <c r="AA342" i="16"/>
  <c r="AA343" i="16" s="1"/>
  <c r="Z342" i="16"/>
  <c r="Z344" i="16" s="1"/>
  <c r="Y342" i="16"/>
  <c r="X342" i="16"/>
  <c r="W342" i="16"/>
  <c r="W348" i="16" s="1"/>
  <c r="V342" i="16"/>
  <c r="U342" i="16"/>
  <c r="T342" i="16"/>
  <c r="S342" i="16"/>
  <c r="R342" i="16"/>
  <c r="AD344" i="16" s="1"/>
  <c r="Q342" i="16"/>
  <c r="P342" i="16"/>
  <c r="O342" i="16"/>
  <c r="N342" i="16"/>
  <c r="M342" i="16"/>
  <c r="L342" i="16"/>
  <c r="K342" i="16"/>
  <c r="J342" i="16"/>
  <c r="I342" i="16"/>
  <c r="Q344" i="16" s="1"/>
  <c r="H342" i="16"/>
  <c r="G342" i="16"/>
  <c r="DC330" i="16"/>
  <c r="DB330" i="16"/>
  <c r="DA330" i="16"/>
  <c r="CZ330" i="16"/>
  <c r="CY330" i="16"/>
  <c r="CY323" i="16" s="1"/>
  <c r="CX330" i="16"/>
  <c r="CW330" i="16"/>
  <c r="CW331" i="16" s="1"/>
  <c r="CV330" i="16"/>
  <c r="CV332" i="16" s="1"/>
  <c r="CU330" i="16"/>
  <c r="CU331" i="16" s="1"/>
  <c r="CT330" i="16"/>
  <c r="CT331" i="16" s="1"/>
  <c r="CS330" i="16"/>
  <c r="CS332" i="16" s="1"/>
  <c r="CR330" i="16"/>
  <c r="CQ330" i="16"/>
  <c r="CQ323" i="16" s="1"/>
  <c r="CP330" i="16"/>
  <c r="CP323" i="16" s="1"/>
  <c r="CO330" i="16"/>
  <c r="CN330" i="16"/>
  <c r="CM330" i="16"/>
  <c r="CL330" i="16"/>
  <c r="CK330" i="16"/>
  <c r="CK323" i="16" s="1"/>
  <c r="CK325" i="16" s="1"/>
  <c r="CJ330" i="16"/>
  <c r="CI330" i="16"/>
  <c r="CI332" i="16" s="1"/>
  <c r="CH330" i="16"/>
  <c r="CH332" i="16" s="1"/>
  <c r="CG330" i="16"/>
  <c r="CG323" i="16" s="1"/>
  <c r="CG328" i="16" s="1"/>
  <c r="CF330" i="16"/>
  <c r="CF331" i="16" s="1"/>
  <c r="CE330" i="16"/>
  <c r="CE332" i="16" s="1"/>
  <c r="CD330" i="16"/>
  <c r="CC330" i="16"/>
  <c r="CC323" i="16" s="1"/>
  <c r="CO325" i="16" s="1"/>
  <c r="CB330" i="16"/>
  <c r="CB323" i="16" s="1"/>
  <c r="CA330" i="16"/>
  <c r="BZ330" i="16"/>
  <c r="BY330" i="16"/>
  <c r="BX330" i="16"/>
  <c r="BW330" i="16"/>
  <c r="BW323" i="16" s="1"/>
  <c r="BV330" i="16"/>
  <c r="BU330" i="16"/>
  <c r="BU331" i="16" s="1"/>
  <c r="BT330" i="16"/>
  <c r="BT332" i="16" s="1"/>
  <c r="BS330" i="16"/>
  <c r="BS323" i="16" s="1"/>
  <c r="BS328" i="16" s="1"/>
  <c r="BR330" i="16"/>
  <c r="CD332" i="16" s="1"/>
  <c r="BQ330" i="16"/>
  <c r="BQ332" i="16" s="1"/>
  <c r="BP330" i="16"/>
  <c r="BO330" i="16"/>
  <c r="BO323" i="16" s="1"/>
  <c r="BN330" i="16"/>
  <c r="BN323" i="16" s="1"/>
  <c r="BM330" i="16"/>
  <c r="BL330" i="16"/>
  <c r="BK330" i="16"/>
  <c r="BJ330" i="16"/>
  <c r="BI330" i="16"/>
  <c r="BI331" i="16" s="1"/>
  <c r="BH330" i="16"/>
  <c r="BG330" i="16"/>
  <c r="BG331" i="16" s="1"/>
  <c r="BF330" i="16"/>
  <c r="BF332" i="16" s="1"/>
  <c r="BE330" i="16"/>
  <c r="BE323" i="16" s="1"/>
  <c r="BD330" i="16"/>
  <c r="BP332" i="16" s="1"/>
  <c r="BC330" i="16"/>
  <c r="BC332" i="16" s="1"/>
  <c r="BB330" i="16"/>
  <c r="BA330" i="16"/>
  <c r="BA323" i="16" s="1"/>
  <c r="AZ330" i="16"/>
  <c r="AZ323" i="16" s="1"/>
  <c r="AZ325" i="16" s="1"/>
  <c r="AY330" i="16"/>
  <c r="AX330" i="16"/>
  <c r="AW330" i="16"/>
  <c r="AV330" i="16"/>
  <c r="AU330" i="16"/>
  <c r="AU323" i="16" s="1"/>
  <c r="AU328" i="16" s="1"/>
  <c r="AT330" i="16"/>
  <c r="AS330" i="16"/>
  <c r="AS323" i="16" s="1"/>
  <c r="AR330" i="16"/>
  <c r="AR332" i="16" s="1"/>
  <c r="AQ330" i="16"/>
  <c r="AQ331" i="16" s="1"/>
  <c r="AP330" i="16"/>
  <c r="BB332" i="16" s="1"/>
  <c r="AO330" i="16"/>
  <c r="AO332" i="16" s="1"/>
  <c r="AN330" i="16"/>
  <c r="AM330" i="16"/>
  <c r="AM323" i="16" s="1"/>
  <c r="AL330" i="16"/>
  <c r="AL323" i="16" s="1"/>
  <c r="AK330" i="16"/>
  <c r="AJ330" i="16"/>
  <c r="AI330" i="16"/>
  <c r="AH330" i="16"/>
  <c r="AG330" i="16"/>
  <c r="AG331" i="16" s="1"/>
  <c r="AF330" i="16"/>
  <c r="AE330" i="16"/>
  <c r="AE332" i="16" s="1"/>
  <c r="AD330" i="16"/>
  <c r="AC330" i="16"/>
  <c r="AC331" i="16" s="1"/>
  <c r="AB330" i="16"/>
  <c r="AN332" i="16" s="1"/>
  <c r="AA330" i="16"/>
  <c r="AA332" i="16" s="1"/>
  <c r="Z330" i="16"/>
  <c r="Y330" i="16"/>
  <c r="Y323" i="16" s="1"/>
  <c r="X330" i="16"/>
  <c r="X323" i="16" s="1"/>
  <c r="W330" i="16"/>
  <c r="V330" i="16"/>
  <c r="U330" i="16"/>
  <c r="T330" i="16"/>
  <c r="S330" i="16"/>
  <c r="S331" i="16" s="1"/>
  <c r="R330" i="16"/>
  <c r="Q330" i="16"/>
  <c r="Q331" i="16" s="1"/>
  <c r="P330" i="16"/>
  <c r="O330" i="16"/>
  <c r="O323" i="16" s="1"/>
  <c r="N330" i="16"/>
  <c r="Z332" i="16" s="1"/>
  <c r="M330" i="16"/>
  <c r="L330" i="16"/>
  <c r="K330" i="16"/>
  <c r="K323" i="16" s="1"/>
  <c r="J330" i="16"/>
  <c r="J323" i="16" s="1"/>
  <c r="J328" i="16" s="1"/>
  <c r="I330" i="16"/>
  <c r="H330" i="16"/>
  <c r="G330" i="16"/>
  <c r="DC322" i="16"/>
  <c r="DB322" i="16"/>
  <c r="DA322" i="16"/>
  <c r="CZ322" i="16"/>
  <c r="CY322" i="16"/>
  <c r="CX322" i="16"/>
  <c r="CW322" i="16"/>
  <c r="CV322" i="16"/>
  <c r="CU322" i="16"/>
  <c r="CT322" i="16"/>
  <c r="CS322" i="16"/>
  <c r="CR322" i="16"/>
  <c r="CQ322" i="16"/>
  <c r="CP322" i="16"/>
  <c r="CO322" i="16"/>
  <c r="CN322" i="16"/>
  <c r="CM322" i="16"/>
  <c r="CL322" i="16"/>
  <c r="CK322" i="16"/>
  <c r="CJ322" i="16"/>
  <c r="CI322" i="16"/>
  <c r="CH322" i="16"/>
  <c r="CG322" i="16"/>
  <c r="CF322" i="16"/>
  <c r="CE322" i="16"/>
  <c r="CD322" i="16"/>
  <c r="CC322" i="16"/>
  <c r="CB322" i="16"/>
  <c r="CA322" i="16"/>
  <c r="BZ322" i="16"/>
  <c r="BY322" i="16"/>
  <c r="BX322" i="16"/>
  <c r="BW322" i="16"/>
  <c r="BV322" i="16"/>
  <c r="BU322" i="16"/>
  <c r="BT322" i="16"/>
  <c r="BS322" i="16"/>
  <c r="BR322" i="16"/>
  <c r="BQ322" i="16"/>
  <c r="BP322" i="16"/>
  <c r="BO322" i="16"/>
  <c r="BN322" i="16"/>
  <c r="BM322" i="16"/>
  <c r="BL322" i="16"/>
  <c r="BK322" i="16"/>
  <c r="BJ322" i="16"/>
  <c r="BI322" i="16"/>
  <c r="BH322" i="16"/>
  <c r="BG322" i="16"/>
  <c r="BF322" i="16"/>
  <c r="BE322" i="16"/>
  <c r="BD322" i="16"/>
  <c r="BC322" i="16"/>
  <c r="BB322" i="16"/>
  <c r="BA322" i="16"/>
  <c r="AZ322" i="16"/>
  <c r="AY322" i="16"/>
  <c r="AX322" i="16"/>
  <c r="AW322" i="16"/>
  <c r="AV322" i="16"/>
  <c r="AU322" i="16"/>
  <c r="AT322" i="16"/>
  <c r="AS322" i="16"/>
  <c r="AR322" i="16"/>
  <c r="AQ322" i="16"/>
  <c r="AP322" i="16"/>
  <c r="AO322" i="16"/>
  <c r="AN322" i="16"/>
  <c r="AM322" i="16"/>
  <c r="AL322" i="16"/>
  <c r="AK322" i="16"/>
  <c r="AJ322" i="16"/>
  <c r="AI322" i="16"/>
  <c r="AH322" i="16"/>
  <c r="AG322" i="16"/>
  <c r="AF322" i="16"/>
  <c r="AE322" i="16"/>
  <c r="AD322" i="16"/>
  <c r="AC322" i="16"/>
  <c r="AB322" i="16"/>
  <c r="AA322" i="16"/>
  <c r="Z322" i="16"/>
  <c r="Y322" i="16"/>
  <c r="X322" i="16"/>
  <c r="W322" i="16"/>
  <c r="V322" i="16"/>
  <c r="U322" i="16"/>
  <c r="T322" i="16"/>
  <c r="S322" i="16"/>
  <c r="R322" i="16"/>
  <c r="Q322" i="16"/>
  <c r="P322" i="16"/>
  <c r="O322" i="16"/>
  <c r="N322" i="16"/>
  <c r="M322" i="16"/>
  <c r="L322" i="16"/>
  <c r="K322" i="16"/>
  <c r="J322" i="16"/>
  <c r="I322" i="16"/>
  <c r="H322" i="16"/>
  <c r="G322" i="16"/>
  <c r="DC321" i="16"/>
  <c r="DB321" i="16"/>
  <c r="DA321" i="16"/>
  <c r="CZ321" i="16"/>
  <c r="CY321" i="16"/>
  <c r="CX321" i="16"/>
  <c r="CX334" i="16" s="1"/>
  <c r="CW321" i="16"/>
  <c r="CW334" i="16" s="1"/>
  <c r="CV321" i="16"/>
  <c r="CU321" i="16"/>
  <c r="CT321" i="16"/>
  <c r="CT334" i="16" s="1"/>
  <c r="CS321" i="16"/>
  <c r="CS334" i="16" s="1"/>
  <c r="CR321" i="16"/>
  <c r="CR334" i="16" s="1"/>
  <c r="CQ321" i="16"/>
  <c r="CQ334" i="16" s="1"/>
  <c r="CP321" i="16"/>
  <c r="CP334" i="16" s="1"/>
  <c r="CO321" i="16"/>
  <c r="CO317" i="16" s="1"/>
  <c r="CN321" i="16"/>
  <c r="CM321" i="16"/>
  <c r="CL321" i="16"/>
  <c r="CK321" i="16"/>
  <c r="CJ321" i="16"/>
  <c r="CJ334" i="16" s="1"/>
  <c r="CI321" i="16"/>
  <c r="CI334" i="16" s="1"/>
  <c r="CH321" i="16"/>
  <c r="CG321" i="16"/>
  <c r="CG334" i="16" s="1"/>
  <c r="CF321" i="16"/>
  <c r="CF334" i="16" s="1"/>
  <c r="CE321" i="16"/>
  <c r="CE334" i="16" s="1"/>
  <c r="CD321" i="16"/>
  <c r="CC321" i="16"/>
  <c r="CC334" i="16" s="1"/>
  <c r="CB321" i="16"/>
  <c r="CA321" i="16"/>
  <c r="BZ321" i="16"/>
  <c r="BY321" i="16"/>
  <c r="BX321" i="16"/>
  <c r="BW321" i="16"/>
  <c r="BV321" i="16"/>
  <c r="BV334" i="16" s="1"/>
  <c r="BU321" i="16"/>
  <c r="BT321" i="16"/>
  <c r="BS321" i="16"/>
  <c r="BR321" i="16"/>
  <c r="BR334" i="16" s="1"/>
  <c r="BQ321" i="16"/>
  <c r="BQ334" i="16" s="1"/>
  <c r="BP321" i="16"/>
  <c r="BO321" i="16"/>
  <c r="BO334" i="16" s="1"/>
  <c r="BN321" i="16"/>
  <c r="BN334" i="16" s="1"/>
  <c r="BM321" i="16"/>
  <c r="BL321" i="16"/>
  <c r="BK321" i="16"/>
  <c r="BJ321" i="16"/>
  <c r="BI321" i="16"/>
  <c r="BH321" i="16"/>
  <c r="BH334" i="16" s="1"/>
  <c r="BG321" i="16"/>
  <c r="BG334" i="16" s="1"/>
  <c r="BF321" i="16"/>
  <c r="BE321" i="16"/>
  <c r="BE334" i="16" s="1"/>
  <c r="BD321" i="16"/>
  <c r="BD334" i="16" s="1"/>
  <c r="BC321" i="16"/>
  <c r="BC334" i="16" s="1"/>
  <c r="BB321" i="16"/>
  <c r="BA321" i="16"/>
  <c r="BA334" i="16" s="1"/>
  <c r="AZ321" i="16"/>
  <c r="AZ334" i="16" s="1"/>
  <c r="AY321" i="16"/>
  <c r="AX321" i="16"/>
  <c r="AW321" i="16"/>
  <c r="AV321" i="16"/>
  <c r="AU321" i="16"/>
  <c r="AT321" i="16"/>
  <c r="AT334" i="16" s="1"/>
  <c r="AS321" i="16"/>
  <c r="AS334" i="16" s="1"/>
  <c r="AR321" i="16"/>
  <c r="AQ321" i="16"/>
  <c r="AQ334" i="16" s="1"/>
  <c r="AP321" i="16"/>
  <c r="AO321" i="16"/>
  <c r="AO334" i="16" s="1"/>
  <c r="AN321" i="16"/>
  <c r="AM321" i="16"/>
  <c r="AM334" i="16" s="1"/>
  <c r="AL321" i="16"/>
  <c r="AL334" i="16" s="1"/>
  <c r="AK321" i="16"/>
  <c r="AJ321" i="16"/>
  <c r="AI321" i="16"/>
  <c r="AH321" i="16"/>
  <c r="AG321" i="16"/>
  <c r="AF321" i="16"/>
  <c r="AF334" i="16" s="1"/>
  <c r="AE321" i="16"/>
  <c r="AE334" i="16" s="1"/>
  <c r="AD321" i="16"/>
  <c r="AC321" i="16"/>
  <c r="AC334" i="16" s="1"/>
  <c r="AB321" i="16"/>
  <c r="AB334" i="16" s="1"/>
  <c r="AA321" i="16"/>
  <c r="AA334" i="16" s="1"/>
  <c r="Z321" i="16"/>
  <c r="Z334" i="16" s="1"/>
  <c r="Y321" i="16"/>
  <c r="Y334" i="16" s="1"/>
  <c r="X321" i="16"/>
  <c r="X334" i="16" s="1"/>
  <c r="W321" i="16"/>
  <c r="V321" i="16"/>
  <c r="U321" i="16"/>
  <c r="T321" i="16"/>
  <c r="S321" i="16"/>
  <c r="R321" i="16"/>
  <c r="R334" i="16" s="1"/>
  <c r="Q321" i="16"/>
  <c r="Q334" i="16" s="1"/>
  <c r="P321" i="16"/>
  <c r="O321" i="16"/>
  <c r="O334" i="16" s="1"/>
  <c r="N321" i="16"/>
  <c r="N334" i="16" s="1"/>
  <c r="M321" i="16"/>
  <c r="M334" i="16" s="1"/>
  <c r="L321" i="16"/>
  <c r="K321" i="16"/>
  <c r="K334" i="16" s="1"/>
  <c r="J321" i="16"/>
  <c r="I321" i="16"/>
  <c r="I317" i="16" s="1"/>
  <c r="H321" i="16"/>
  <c r="G321" i="16"/>
  <c r="DC315" i="16"/>
  <c r="DB315" i="16"/>
  <c r="DA315" i="16"/>
  <c r="CZ315" i="16"/>
  <c r="CY315" i="16"/>
  <c r="CX315" i="16"/>
  <c r="CW315" i="16"/>
  <c r="CW337" i="16" s="1"/>
  <c r="CV315" i="16"/>
  <c r="CU315" i="16"/>
  <c r="CT315" i="16"/>
  <c r="CS315" i="16"/>
  <c r="CS337" i="16" s="1"/>
  <c r="CR315" i="16"/>
  <c r="CQ315" i="16"/>
  <c r="CQ337" i="16" s="1"/>
  <c r="CP315" i="16"/>
  <c r="CP337" i="16" s="1"/>
  <c r="CO315" i="16"/>
  <c r="CN315" i="16"/>
  <c r="CM315" i="16"/>
  <c r="CL315" i="16"/>
  <c r="CK315" i="16"/>
  <c r="CJ315" i="16"/>
  <c r="CI315" i="16"/>
  <c r="CI337" i="16" s="1"/>
  <c r="CH315" i="16"/>
  <c r="CG315" i="16"/>
  <c r="CF315" i="16"/>
  <c r="CE315" i="16"/>
  <c r="CE337" i="16" s="1"/>
  <c r="CD315" i="16"/>
  <c r="CC315" i="16"/>
  <c r="CC337" i="16" s="1"/>
  <c r="CB315" i="16"/>
  <c r="CB337" i="16" s="1"/>
  <c r="CA315" i="16"/>
  <c r="BZ315" i="16"/>
  <c r="BY315" i="16"/>
  <c r="BX315" i="16"/>
  <c r="BW315" i="16"/>
  <c r="BV315" i="16"/>
  <c r="BU315" i="16"/>
  <c r="BU337" i="16" s="1"/>
  <c r="BT315" i="16"/>
  <c r="BS315" i="16"/>
  <c r="BR315" i="16"/>
  <c r="BQ315" i="16"/>
  <c r="BQ337" i="16" s="1"/>
  <c r="BP315" i="16"/>
  <c r="BO315" i="16"/>
  <c r="BO337" i="16" s="1"/>
  <c r="BN315" i="16"/>
  <c r="BN337" i="16" s="1"/>
  <c r="BM315" i="16"/>
  <c r="BL315" i="16"/>
  <c r="BK315" i="16"/>
  <c r="BJ315" i="16"/>
  <c r="BI315" i="16"/>
  <c r="BH315" i="16"/>
  <c r="BG315" i="16"/>
  <c r="BG337" i="16" s="1"/>
  <c r="BF315" i="16"/>
  <c r="BE315" i="16"/>
  <c r="BD315" i="16"/>
  <c r="BC315" i="16"/>
  <c r="BC337" i="16" s="1"/>
  <c r="BB315" i="16"/>
  <c r="BA315" i="16"/>
  <c r="BA337" i="16" s="1"/>
  <c r="AZ315" i="16"/>
  <c r="AZ337" i="16" s="1"/>
  <c r="AY315" i="16"/>
  <c r="AX315" i="16"/>
  <c r="AW315" i="16"/>
  <c r="AV315" i="16"/>
  <c r="AU315" i="16"/>
  <c r="AT315" i="16"/>
  <c r="AS315" i="16"/>
  <c r="AS337" i="16" s="1"/>
  <c r="AR315" i="16"/>
  <c r="AQ315" i="16"/>
  <c r="AP315" i="16"/>
  <c r="AO315" i="16"/>
  <c r="AO337" i="16" s="1"/>
  <c r="AN315" i="16"/>
  <c r="AM315" i="16"/>
  <c r="AM337" i="16" s="1"/>
  <c r="AL315" i="16"/>
  <c r="AL337" i="16" s="1"/>
  <c r="AK315" i="16"/>
  <c r="AJ315" i="16"/>
  <c r="AI315" i="16"/>
  <c r="AH315" i="16"/>
  <c r="AG315" i="16"/>
  <c r="AF315" i="16"/>
  <c r="AE315" i="16"/>
  <c r="AE337" i="16" s="1"/>
  <c r="AD315" i="16"/>
  <c r="AC315" i="16"/>
  <c r="AB315" i="16"/>
  <c r="AA315" i="16"/>
  <c r="AA337" i="16" s="1"/>
  <c r="Z315" i="16"/>
  <c r="Y315" i="16"/>
  <c r="Y337" i="16" s="1"/>
  <c r="X315" i="16"/>
  <c r="X337" i="16" s="1"/>
  <c r="W315" i="16"/>
  <c r="V315" i="16"/>
  <c r="U315" i="16"/>
  <c r="T315" i="16"/>
  <c r="S315" i="16"/>
  <c r="R315" i="16"/>
  <c r="Q315" i="16"/>
  <c r="Q337" i="16" s="1"/>
  <c r="P315" i="16"/>
  <c r="O315" i="16"/>
  <c r="N315" i="16"/>
  <c r="M315" i="16"/>
  <c r="M337" i="16" s="1"/>
  <c r="L315" i="16"/>
  <c r="K315" i="16"/>
  <c r="K337" i="16" s="1"/>
  <c r="J315" i="16"/>
  <c r="J337" i="16" s="1"/>
  <c r="I315" i="16"/>
  <c r="H315" i="16"/>
  <c r="G315" i="16"/>
  <c r="DC314" i="16"/>
  <c r="DB314" i="16"/>
  <c r="DA314" i="16"/>
  <c r="CZ314" i="16"/>
  <c r="CY314" i="16"/>
  <c r="CX314" i="16"/>
  <c r="CW314" i="16"/>
  <c r="CV314" i="16"/>
  <c r="CU314" i="16"/>
  <c r="CT314" i="16"/>
  <c r="CT336" i="16" s="1"/>
  <c r="CS314" i="16"/>
  <c r="CS336" i="16" s="1"/>
  <c r="CR314" i="16"/>
  <c r="CR336" i="16" s="1"/>
  <c r="CQ314" i="16"/>
  <c r="CQ336" i="16" s="1"/>
  <c r="CP314" i="16"/>
  <c r="CP336" i="16" s="1"/>
  <c r="CO314" i="16"/>
  <c r="CN314" i="16"/>
  <c r="CM314" i="16"/>
  <c r="CL314" i="16"/>
  <c r="CK314" i="16"/>
  <c r="CJ314" i="16"/>
  <c r="CI314" i="16"/>
  <c r="CH314" i="16"/>
  <c r="CG314" i="16"/>
  <c r="CF314" i="16"/>
  <c r="CF336" i="16" s="1"/>
  <c r="CE314" i="16"/>
  <c r="CE336" i="16" s="1"/>
  <c r="CD314" i="16"/>
  <c r="CD336" i="16" s="1"/>
  <c r="CC314" i="16"/>
  <c r="CC336" i="16" s="1"/>
  <c r="CB314" i="16"/>
  <c r="CB336" i="16" s="1"/>
  <c r="CA314" i="16"/>
  <c r="BZ314" i="16"/>
  <c r="BY314" i="16"/>
  <c r="BX314" i="16"/>
  <c r="BW314" i="16"/>
  <c r="BV314" i="16"/>
  <c r="BU314" i="16"/>
  <c r="BT314" i="16"/>
  <c r="BS314" i="16"/>
  <c r="BR314" i="16"/>
  <c r="BR336" i="16" s="1"/>
  <c r="BQ314" i="16"/>
  <c r="BQ336" i="16" s="1"/>
  <c r="BP314" i="16"/>
  <c r="BP336" i="16" s="1"/>
  <c r="BO314" i="16"/>
  <c r="BO336" i="16" s="1"/>
  <c r="BN314" i="16"/>
  <c r="BN336" i="16" s="1"/>
  <c r="BM314" i="16"/>
  <c r="BL314" i="16"/>
  <c r="BK314" i="16"/>
  <c r="BJ314" i="16"/>
  <c r="BI314" i="16"/>
  <c r="BH314" i="16"/>
  <c r="BG314" i="16"/>
  <c r="BF314" i="16"/>
  <c r="BE314" i="16"/>
  <c r="BD314" i="16"/>
  <c r="BD336" i="16" s="1"/>
  <c r="BC314" i="16"/>
  <c r="BC336" i="16" s="1"/>
  <c r="BB314" i="16"/>
  <c r="BB336" i="16" s="1"/>
  <c r="BA314" i="16"/>
  <c r="BA336" i="16" s="1"/>
  <c r="AZ314" i="16"/>
  <c r="AZ336" i="16" s="1"/>
  <c r="AY314" i="16"/>
  <c r="AX314" i="16"/>
  <c r="AW314" i="16"/>
  <c r="AV314" i="16"/>
  <c r="AU314" i="16"/>
  <c r="AT314" i="16"/>
  <c r="AS314" i="16"/>
  <c r="AR314" i="16"/>
  <c r="AQ314" i="16"/>
  <c r="AP314" i="16"/>
  <c r="AP336" i="16" s="1"/>
  <c r="AO314" i="16"/>
  <c r="AO336" i="16" s="1"/>
  <c r="AN314" i="16"/>
  <c r="AN336" i="16" s="1"/>
  <c r="AM314" i="16"/>
  <c r="AM336" i="16" s="1"/>
  <c r="AL314" i="16"/>
  <c r="AL336" i="16" s="1"/>
  <c r="AK314" i="16"/>
  <c r="AJ314" i="16"/>
  <c r="AI314" i="16"/>
  <c r="AH314" i="16"/>
  <c r="AG314" i="16"/>
  <c r="AF314" i="16"/>
  <c r="AE314" i="16"/>
  <c r="AD314" i="16"/>
  <c r="AC314" i="16"/>
  <c r="AB314" i="16"/>
  <c r="AB336" i="16" s="1"/>
  <c r="AA314" i="16"/>
  <c r="AA336" i="16" s="1"/>
  <c r="Z314" i="16"/>
  <c r="Z336" i="16" s="1"/>
  <c r="Y314" i="16"/>
  <c r="Y336" i="16" s="1"/>
  <c r="X314" i="16"/>
  <c r="X336" i="16" s="1"/>
  <c r="W314" i="16"/>
  <c r="V314" i="16"/>
  <c r="U314" i="16"/>
  <c r="T314" i="16"/>
  <c r="S314" i="16"/>
  <c r="R314" i="16"/>
  <c r="Q314" i="16"/>
  <c r="P314" i="16"/>
  <c r="O314" i="16"/>
  <c r="N314" i="16"/>
  <c r="N336" i="16" s="1"/>
  <c r="M314" i="16"/>
  <c r="M336" i="16" s="1"/>
  <c r="L314" i="16"/>
  <c r="L336" i="16" s="1"/>
  <c r="K314" i="16"/>
  <c r="K336" i="16" s="1"/>
  <c r="J314" i="16"/>
  <c r="J336" i="16" s="1"/>
  <c r="I314" i="16"/>
  <c r="H314" i="16"/>
  <c r="G314" i="16"/>
  <c r="DC313" i="16"/>
  <c r="DB313" i="16"/>
  <c r="DA313" i="16"/>
  <c r="CZ313" i="16"/>
  <c r="CY313" i="16"/>
  <c r="CX313" i="16"/>
  <c r="CW313" i="16"/>
  <c r="CV313" i="16"/>
  <c r="CU313" i="16"/>
  <c r="CT313" i="16"/>
  <c r="CS313" i="16"/>
  <c r="CR313" i="16"/>
  <c r="CQ313" i="16"/>
  <c r="CP313" i="16"/>
  <c r="CO313" i="16"/>
  <c r="CN313" i="16"/>
  <c r="CM313" i="16"/>
  <c r="CL313" i="16"/>
  <c r="CK313" i="16"/>
  <c r="CJ313" i="16"/>
  <c r="CI313" i="16"/>
  <c r="CH313" i="16"/>
  <c r="CG313" i="16"/>
  <c r="CF313" i="16"/>
  <c r="CE313" i="16"/>
  <c r="CD313" i="16"/>
  <c r="CC313" i="16"/>
  <c r="CB313" i="16"/>
  <c r="CA313" i="16"/>
  <c r="BZ313" i="16"/>
  <c r="BY313" i="16"/>
  <c r="BX313" i="16"/>
  <c r="BW313" i="16"/>
  <c r="BV313" i="16"/>
  <c r="BU313" i="16"/>
  <c r="BT313" i="16"/>
  <c r="BS313" i="16"/>
  <c r="BR313" i="16"/>
  <c r="BQ313" i="16"/>
  <c r="BP313" i="16"/>
  <c r="BO313" i="16"/>
  <c r="BN313" i="16"/>
  <c r="BM313" i="16"/>
  <c r="BL313" i="16"/>
  <c r="BK313" i="16"/>
  <c r="BJ313" i="16"/>
  <c r="BI313" i="16"/>
  <c r="BH313" i="16"/>
  <c r="BG313" i="16"/>
  <c r="BF313" i="16"/>
  <c r="BE313" i="16"/>
  <c r="BD313" i="16"/>
  <c r="BC313" i="16"/>
  <c r="BB313" i="16"/>
  <c r="BA313" i="16"/>
  <c r="AZ313" i="16"/>
  <c r="AY313" i="16"/>
  <c r="AX313" i="16"/>
  <c r="AW313" i="16"/>
  <c r="AV313" i="16"/>
  <c r="AU313" i="16"/>
  <c r="AT313" i="16"/>
  <c r="AS313" i="16"/>
  <c r="AR313" i="16"/>
  <c r="AQ313" i="16"/>
  <c r="AP313" i="16"/>
  <c r="AO313" i="16"/>
  <c r="AN313" i="16"/>
  <c r="AM313" i="16"/>
  <c r="AL313" i="16"/>
  <c r="AK313" i="16"/>
  <c r="AJ313" i="16"/>
  <c r="AI313" i="16"/>
  <c r="AH313" i="16"/>
  <c r="AG313" i="16"/>
  <c r="AF313" i="16"/>
  <c r="AE313" i="16"/>
  <c r="AD313" i="16"/>
  <c r="AC313" i="16"/>
  <c r="AB313" i="16"/>
  <c r="AA313" i="16"/>
  <c r="Z313" i="16"/>
  <c r="Y313" i="16"/>
  <c r="X313" i="16"/>
  <c r="W313" i="16"/>
  <c r="V313" i="16"/>
  <c r="U313" i="16"/>
  <c r="T313" i="16"/>
  <c r="S313" i="16"/>
  <c r="R313" i="16"/>
  <c r="Q313" i="16"/>
  <c r="P313" i="16"/>
  <c r="O313" i="16"/>
  <c r="N313" i="16"/>
  <c r="M313" i="16"/>
  <c r="L313" i="16"/>
  <c r="K313" i="16"/>
  <c r="J313" i="16"/>
  <c r="I313" i="16"/>
  <c r="H313" i="16"/>
  <c r="G313" i="16"/>
  <c r="DC312" i="16"/>
  <c r="DB312" i="16"/>
  <c r="DA312" i="16"/>
  <c r="CZ312" i="16"/>
  <c r="CY312" i="16"/>
  <c r="CX312" i="16"/>
  <c r="CW312" i="16"/>
  <c r="CV312" i="16"/>
  <c r="CU312" i="16"/>
  <c r="CT312" i="16"/>
  <c r="CS312" i="16"/>
  <c r="CR312" i="16"/>
  <c r="CQ312" i="16"/>
  <c r="CP312" i="16"/>
  <c r="CO312" i="16"/>
  <c r="CN312" i="16"/>
  <c r="CM312" i="16"/>
  <c r="CL312" i="16"/>
  <c r="CK312" i="16"/>
  <c r="CJ312" i="16"/>
  <c r="CI312" i="16"/>
  <c r="CH312" i="16"/>
  <c r="CG312" i="16"/>
  <c r="CF312" i="16"/>
  <c r="CE312" i="16"/>
  <c r="CD312" i="16"/>
  <c r="CC312" i="16"/>
  <c r="CB312" i="16"/>
  <c r="CA312" i="16"/>
  <c r="BZ312" i="16"/>
  <c r="BY312" i="16"/>
  <c r="BX312" i="16"/>
  <c r="BW312" i="16"/>
  <c r="BV312" i="16"/>
  <c r="BU312" i="16"/>
  <c r="BT312" i="16"/>
  <c r="BS312" i="16"/>
  <c r="BR312" i="16"/>
  <c r="BQ312" i="16"/>
  <c r="BP312" i="16"/>
  <c r="BO312" i="16"/>
  <c r="BN312" i="16"/>
  <c r="BM312" i="16"/>
  <c r="BL312" i="16"/>
  <c r="BK312" i="16"/>
  <c r="BJ312" i="16"/>
  <c r="BI312" i="16"/>
  <c r="BH312" i="16"/>
  <c r="BG312" i="16"/>
  <c r="BF312" i="16"/>
  <c r="BE312" i="16"/>
  <c r="BD312" i="16"/>
  <c r="BC312" i="16"/>
  <c r="BB312" i="16"/>
  <c r="BA312" i="16"/>
  <c r="AZ312" i="16"/>
  <c r="AY312" i="16"/>
  <c r="AX312" i="16"/>
  <c r="AW312" i="16"/>
  <c r="AV312" i="16"/>
  <c r="AU312" i="16"/>
  <c r="AT312" i="16"/>
  <c r="AS312" i="16"/>
  <c r="AR312" i="16"/>
  <c r="AQ312" i="16"/>
  <c r="AP312" i="16"/>
  <c r="AO312" i="16"/>
  <c r="AN312" i="16"/>
  <c r="AM312" i="16"/>
  <c r="AL312" i="16"/>
  <c r="AK312" i="16"/>
  <c r="AJ312" i="16"/>
  <c r="AI312" i="16"/>
  <c r="AH312" i="16"/>
  <c r="AG312" i="16"/>
  <c r="AF312" i="16"/>
  <c r="AE312" i="16"/>
  <c r="AD312" i="16"/>
  <c r="AC312" i="16"/>
  <c r="AB312" i="16"/>
  <c r="AA312" i="16"/>
  <c r="Z312" i="16"/>
  <c r="Y312" i="16"/>
  <c r="X312" i="16"/>
  <c r="W312" i="16"/>
  <c r="V312" i="16"/>
  <c r="U312" i="16"/>
  <c r="T312" i="16"/>
  <c r="S312" i="16"/>
  <c r="R312" i="16"/>
  <c r="Q312" i="16"/>
  <c r="P312" i="16"/>
  <c r="O312" i="16"/>
  <c r="N312" i="16"/>
  <c r="M312" i="16"/>
  <c r="L312" i="16"/>
  <c r="K312" i="16"/>
  <c r="J312" i="16"/>
  <c r="I312" i="16"/>
  <c r="H312" i="16"/>
  <c r="G312" i="16"/>
  <c r="DC311" i="16"/>
  <c r="DB311" i="16"/>
  <c r="DA311" i="16"/>
  <c r="CZ311" i="16"/>
  <c r="CY311" i="16"/>
  <c r="CX311" i="16"/>
  <c r="CW311" i="16"/>
  <c r="CV311" i="16"/>
  <c r="CU311" i="16"/>
  <c r="CT311" i="16"/>
  <c r="CS311" i="16"/>
  <c r="CR311" i="16"/>
  <c r="CQ311" i="16"/>
  <c r="CP311" i="16"/>
  <c r="CO311" i="16"/>
  <c r="CN311" i="16"/>
  <c r="CM311" i="16"/>
  <c r="CL311" i="16"/>
  <c r="CK311" i="16"/>
  <c r="CJ311" i="16"/>
  <c r="CI311" i="16"/>
  <c r="CH311" i="16"/>
  <c r="CG311" i="16"/>
  <c r="CF311" i="16"/>
  <c r="CE311" i="16"/>
  <c r="CD311" i="16"/>
  <c r="CC311" i="16"/>
  <c r="CB311" i="16"/>
  <c r="CA311" i="16"/>
  <c r="BZ311" i="16"/>
  <c r="BY311" i="16"/>
  <c r="BX311" i="16"/>
  <c r="BW311" i="16"/>
  <c r="BV311" i="16"/>
  <c r="BU311" i="16"/>
  <c r="BT311" i="16"/>
  <c r="BS311" i="16"/>
  <c r="BR311" i="16"/>
  <c r="BQ311" i="16"/>
  <c r="BP311" i="16"/>
  <c r="BO311" i="16"/>
  <c r="BN311" i="16"/>
  <c r="BM311" i="16"/>
  <c r="BL311" i="16"/>
  <c r="BK311" i="16"/>
  <c r="BJ311" i="16"/>
  <c r="BI311" i="16"/>
  <c r="BH311" i="16"/>
  <c r="BG311" i="16"/>
  <c r="BF311" i="16"/>
  <c r="BE311" i="16"/>
  <c r="BD311" i="16"/>
  <c r="BC311" i="16"/>
  <c r="BB311" i="16"/>
  <c r="BA311" i="16"/>
  <c r="AZ311" i="16"/>
  <c r="AY311" i="16"/>
  <c r="AX311" i="16"/>
  <c r="AW311" i="16"/>
  <c r="AV311" i="16"/>
  <c r="AU311" i="16"/>
  <c r="AT311" i="16"/>
  <c r="AS311" i="16"/>
  <c r="AR311" i="16"/>
  <c r="AQ311" i="16"/>
  <c r="AP311" i="16"/>
  <c r="AO311" i="16"/>
  <c r="AN311" i="16"/>
  <c r="AM311" i="16"/>
  <c r="AL311" i="16"/>
  <c r="AK311" i="16"/>
  <c r="AJ311" i="16"/>
  <c r="AI311" i="16"/>
  <c r="AH311" i="16"/>
  <c r="AG311" i="16"/>
  <c r="AF311" i="16"/>
  <c r="AE311" i="16"/>
  <c r="AD311" i="16"/>
  <c r="AC311" i="16"/>
  <c r="AB311" i="16"/>
  <c r="AA311" i="16"/>
  <c r="Z311" i="16"/>
  <c r="Y311" i="16"/>
  <c r="X311" i="16"/>
  <c r="W311" i="16"/>
  <c r="V311" i="16"/>
  <c r="U311" i="16"/>
  <c r="T311" i="16"/>
  <c r="S311" i="16"/>
  <c r="R311" i="16"/>
  <c r="Q311" i="16"/>
  <c r="P311" i="16"/>
  <c r="O311" i="16"/>
  <c r="N311" i="16"/>
  <c r="M311" i="16"/>
  <c r="L311" i="16"/>
  <c r="K311" i="16"/>
  <c r="J311" i="16"/>
  <c r="I311" i="16"/>
  <c r="H311" i="16"/>
  <c r="G311" i="16"/>
  <c r="DC307" i="16"/>
  <c r="DB307" i="16"/>
  <c r="DA307" i="16"/>
  <c r="DA309" i="16" s="1"/>
  <c r="CZ307" i="16"/>
  <c r="CY307" i="16"/>
  <c r="CY309" i="16" s="1"/>
  <c r="CX307" i="16"/>
  <c r="CX309" i="16" s="1"/>
  <c r="CW307" i="16"/>
  <c r="CW309" i="16" s="1"/>
  <c r="CV307" i="16"/>
  <c r="CU307" i="16"/>
  <c r="CU309" i="16" s="1"/>
  <c r="CT307" i="16"/>
  <c r="CT309" i="16" s="1"/>
  <c r="CS307" i="16"/>
  <c r="CR307" i="16"/>
  <c r="CQ307" i="16"/>
  <c r="CQ309" i="16" s="1"/>
  <c r="CP307" i="16"/>
  <c r="CO307" i="16"/>
  <c r="CN307" i="16"/>
  <c r="CM307" i="16"/>
  <c r="CM309" i="16" s="1"/>
  <c r="CL307" i="16"/>
  <c r="CK307" i="16"/>
  <c r="CK308" i="16" s="1"/>
  <c r="CJ307" i="16"/>
  <c r="CJ309" i="16" s="1"/>
  <c r="CI307" i="16"/>
  <c r="CI309" i="16" s="1"/>
  <c r="CH307" i="16"/>
  <c r="CG307" i="16"/>
  <c r="CG309" i="16" s="1"/>
  <c r="CF307" i="16"/>
  <c r="CF309" i="16" s="1"/>
  <c r="CE307" i="16"/>
  <c r="CD307" i="16"/>
  <c r="CC307" i="16"/>
  <c r="CC309" i="16" s="1"/>
  <c r="CB307" i="16"/>
  <c r="CA307" i="16"/>
  <c r="BZ307" i="16"/>
  <c r="BY307" i="16"/>
  <c r="BY309" i="16" s="1"/>
  <c r="BX307" i="16"/>
  <c r="BW307" i="16"/>
  <c r="BW309" i="16" s="1"/>
  <c r="BV307" i="16"/>
  <c r="BV309" i="16" s="1"/>
  <c r="BU307" i="16"/>
  <c r="BU309" i="16" s="1"/>
  <c r="BT307" i="16"/>
  <c r="BS307" i="16"/>
  <c r="BS309" i="16" s="1"/>
  <c r="BR307" i="16"/>
  <c r="BR309" i="16" s="1"/>
  <c r="BQ307" i="16"/>
  <c r="BP307" i="16"/>
  <c r="BO307" i="16"/>
  <c r="BO309" i="16" s="1"/>
  <c r="BN307" i="16"/>
  <c r="BM307" i="16"/>
  <c r="BL307" i="16"/>
  <c r="BK307" i="16"/>
  <c r="BK309" i="16" s="1"/>
  <c r="BJ307" i="16"/>
  <c r="BI307" i="16"/>
  <c r="BI308" i="16" s="1"/>
  <c r="BH307" i="16"/>
  <c r="BH309" i="16" s="1"/>
  <c r="BG307" i="16"/>
  <c r="BG309" i="16" s="1"/>
  <c r="BF307" i="16"/>
  <c r="BE307" i="16"/>
  <c r="BE309" i="16" s="1"/>
  <c r="BD307" i="16"/>
  <c r="BD309" i="16" s="1"/>
  <c r="BC307" i="16"/>
  <c r="BB307" i="16"/>
  <c r="BA307" i="16"/>
  <c r="BA309" i="16" s="1"/>
  <c r="AZ307" i="16"/>
  <c r="AY307" i="16"/>
  <c r="AX307" i="16"/>
  <c r="AW307" i="16"/>
  <c r="AW309" i="16" s="1"/>
  <c r="AV307" i="16"/>
  <c r="AU307" i="16"/>
  <c r="AU309" i="16" s="1"/>
  <c r="AT307" i="16"/>
  <c r="AT309" i="16" s="1"/>
  <c r="AS307" i="16"/>
  <c r="AS309" i="16" s="1"/>
  <c r="AR307" i="16"/>
  <c r="AQ307" i="16"/>
  <c r="AQ309" i="16" s="1"/>
  <c r="AP307" i="16"/>
  <c r="AP309" i="16" s="1"/>
  <c r="AO307" i="16"/>
  <c r="AN307" i="16"/>
  <c r="AM307" i="16"/>
  <c r="AM309" i="16" s="1"/>
  <c r="AL307" i="16"/>
  <c r="AK307" i="16"/>
  <c r="AJ307" i="16"/>
  <c r="AI307" i="16"/>
  <c r="AI309" i="16" s="1"/>
  <c r="AH307" i="16"/>
  <c r="AG307" i="16"/>
  <c r="AG308" i="16" s="1"/>
  <c r="AF307" i="16"/>
  <c r="AF309" i="16" s="1"/>
  <c r="AE307" i="16"/>
  <c r="AE309" i="16" s="1"/>
  <c r="AD307" i="16"/>
  <c r="AC307" i="16"/>
  <c r="AC309" i="16" s="1"/>
  <c r="AB307" i="16"/>
  <c r="AB309" i="16" s="1"/>
  <c r="AA307" i="16"/>
  <c r="Z307" i="16"/>
  <c r="Y307" i="16"/>
  <c r="Y309" i="16" s="1"/>
  <c r="X307" i="16"/>
  <c r="W307" i="16"/>
  <c r="V307" i="16"/>
  <c r="U307" i="16"/>
  <c r="T307" i="16"/>
  <c r="S307" i="16"/>
  <c r="R307" i="16"/>
  <c r="AD309" i="16" s="1"/>
  <c r="Q307" i="16"/>
  <c r="Q308" i="16" s="1"/>
  <c r="P307" i="16"/>
  <c r="O307" i="16"/>
  <c r="N307" i="16"/>
  <c r="N309" i="16" s="1"/>
  <c r="M307" i="16"/>
  <c r="L307" i="16"/>
  <c r="K307" i="16"/>
  <c r="K309" i="16" s="1"/>
  <c r="J307" i="16"/>
  <c r="I307" i="16"/>
  <c r="H307" i="16"/>
  <c r="G307" i="16"/>
  <c r="DC304" i="16"/>
  <c r="DB304" i="16"/>
  <c r="DA304" i="16"/>
  <c r="DA343" i="16" s="1"/>
  <c r="CZ304" i="16"/>
  <c r="CY304" i="16"/>
  <c r="CX304" i="16"/>
  <c r="CX305" i="16" s="1"/>
  <c r="CW304" i="16"/>
  <c r="CV304" i="16"/>
  <c r="CV308" i="16" s="1"/>
  <c r="CU304" i="16"/>
  <c r="CT304" i="16"/>
  <c r="CS304" i="16"/>
  <c r="CS347" i="16" s="1"/>
  <c r="CR304" i="16"/>
  <c r="CQ304" i="16"/>
  <c r="CP304" i="16"/>
  <c r="CO304" i="16"/>
  <c r="CN304" i="16"/>
  <c r="CM304" i="16"/>
  <c r="CM343" i="16" s="1"/>
  <c r="CL304" i="16"/>
  <c r="CK304" i="16"/>
  <c r="CJ304" i="16"/>
  <c r="CJ305" i="16" s="1"/>
  <c r="CI304" i="16"/>
  <c r="CH304" i="16"/>
  <c r="CH308" i="16" s="1"/>
  <c r="CG304" i="16"/>
  <c r="CF304" i="16"/>
  <c r="CE304" i="16"/>
  <c r="CE347" i="16" s="1"/>
  <c r="CD304" i="16"/>
  <c r="CC304" i="16"/>
  <c r="CB304" i="16"/>
  <c r="CA304" i="16"/>
  <c r="BZ304" i="16"/>
  <c r="BY304" i="16"/>
  <c r="BY343" i="16" s="1"/>
  <c r="BX304" i="16"/>
  <c r="BW304" i="16"/>
  <c r="BV304" i="16"/>
  <c r="BV305" i="16" s="1"/>
  <c r="BU304" i="16"/>
  <c r="BT304" i="16"/>
  <c r="BT308" i="16" s="1"/>
  <c r="BS304" i="16"/>
  <c r="BR304" i="16"/>
  <c r="BQ304" i="16"/>
  <c r="BQ347" i="16" s="1"/>
  <c r="BP304" i="16"/>
  <c r="BO304" i="16"/>
  <c r="BN304" i="16"/>
  <c r="BM304" i="16"/>
  <c r="BL304" i="16"/>
  <c r="BK304" i="16"/>
  <c r="BK343" i="16" s="1"/>
  <c r="BJ304" i="16"/>
  <c r="BI304" i="16"/>
  <c r="BH304" i="16"/>
  <c r="BH305" i="16" s="1"/>
  <c r="BG304" i="16"/>
  <c r="BF304" i="16"/>
  <c r="BF308" i="16" s="1"/>
  <c r="BE304" i="16"/>
  <c r="BD304" i="16"/>
  <c r="BC304" i="16"/>
  <c r="BC347" i="16" s="1"/>
  <c r="BB304" i="16"/>
  <c r="BA304" i="16"/>
  <c r="AZ304" i="16"/>
  <c r="AY304" i="16"/>
  <c r="AX304" i="16"/>
  <c r="AW304" i="16"/>
  <c r="AW343" i="16" s="1"/>
  <c r="AV304" i="16"/>
  <c r="AU304" i="16"/>
  <c r="AT304" i="16"/>
  <c r="AT305" i="16" s="1"/>
  <c r="AS304" i="16"/>
  <c r="AR304" i="16"/>
  <c r="AR308" i="16" s="1"/>
  <c r="AQ304" i="16"/>
  <c r="AP304" i="16"/>
  <c r="AO304" i="16"/>
  <c r="AO347" i="16" s="1"/>
  <c r="AN304" i="16"/>
  <c r="AM304" i="16"/>
  <c r="AL304" i="16"/>
  <c r="AK304" i="16"/>
  <c r="AJ304" i="16"/>
  <c r="AI304" i="16"/>
  <c r="AI343" i="16" s="1"/>
  <c r="AH304" i="16"/>
  <c r="AG304" i="16"/>
  <c r="AF304" i="16"/>
  <c r="AF305" i="16" s="1"/>
  <c r="AE304" i="16"/>
  <c r="AD304" i="16"/>
  <c r="AD308" i="16" s="1"/>
  <c r="AC304" i="16"/>
  <c r="AB304" i="16"/>
  <c r="AA304" i="16"/>
  <c r="AA347" i="16" s="1"/>
  <c r="Z304" i="16"/>
  <c r="Y304" i="16"/>
  <c r="X304" i="16"/>
  <c r="W304" i="16"/>
  <c r="V304" i="16"/>
  <c r="U304" i="16"/>
  <c r="U343" i="16" s="1"/>
  <c r="T304" i="16"/>
  <c r="S304" i="16"/>
  <c r="R304" i="16"/>
  <c r="Q304" i="16"/>
  <c r="P304" i="16"/>
  <c r="P308" i="16" s="1"/>
  <c r="O304" i="16"/>
  <c r="N304" i="16"/>
  <c r="M304" i="16"/>
  <c r="M347" i="16" s="1"/>
  <c r="L304" i="16"/>
  <c r="K304" i="16"/>
  <c r="K305" i="16" s="1"/>
  <c r="J304" i="16"/>
  <c r="I304" i="16"/>
  <c r="H304" i="16"/>
  <c r="G304" i="16"/>
  <c r="CU299" i="16"/>
  <c r="CR299" i="16"/>
  <c r="CQ299" i="16"/>
  <c r="CL299" i="16"/>
  <c r="CK299" i="16"/>
  <c r="CG299" i="16"/>
  <c r="CD299" i="16"/>
  <c r="BU299" i="16"/>
  <c r="BS299" i="16"/>
  <c r="BP299" i="16"/>
  <c r="BE299" i="16"/>
  <c r="BC299" i="16"/>
  <c r="BB299" i="16"/>
  <c r="AV299" i="16"/>
  <c r="AU299" i="16"/>
  <c r="AQ299" i="16"/>
  <c r="AP299" i="16"/>
  <c r="AN299" i="16"/>
  <c r="AE299" i="16"/>
  <c r="AC299" i="16"/>
  <c r="AA299" i="16"/>
  <c r="Z299" i="16"/>
  <c r="L299" i="16"/>
  <c r="DB298" i="16"/>
  <c r="CT298" i="16"/>
  <c r="CL298" i="16"/>
  <c r="CI298" i="16"/>
  <c r="CA298" i="16"/>
  <c r="BZ298" i="16"/>
  <c r="BY298" i="16"/>
  <c r="BX298" i="16"/>
  <c r="BJ298" i="16"/>
  <c r="BE298" i="16"/>
  <c r="AR298" i="16"/>
  <c r="AP298" i="16"/>
  <c r="AJ298" i="16"/>
  <c r="AI298" i="16"/>
  <c r="AH298" i="16"/>
  <c r="AD298" i="16"/>
  <c r="V298" i="16"/>
  <c r="U298" i="16"/>
  <c r="P298" i="16"/>
  <c r="H298" i="16"/>
  <c r="G298" i="16"/>
  <c r="DC297" i="16"/>
  <c r="DB297" i="16"/>
  <c r="DA297" i="16"/>
  <c r="CZ297" i="16"/>
  <c r="CY297" i="16"/>
  <c r="CX297" i="16"/>
  <c r="CW297" i="16"/>
  <c r="CV297" i="16"/>
  <c r="CU297" i="16"/>
  <c r="CT297" i="16"/>
  <c r="CS297" i="16"/>
  <c r="CR297" i="16"/>
  <c r="CQ297" i="16"/>
  <c r="CP297" i="16"/>
  <c r="CP298" i="16" s="1"/>
  <c r="CO297" i="16"/>
  <c r="CN297" i="16"/>
  <c r="CM297" i="16"/>
  <c r="CL297" i="16"/>
  <c r="CK297" i="16"/>
  <c r="CJ297" i="16"/>
  <c r="CI297" i="16"/>
  <c r="CH297" i="16"/>
  <c r="CG297" i="16"/>
  <c r="CF297" i="16"/>
  <c r="CE297" i="16"/>
  <c r="CD297" i="16"/>
  <c r="CC297" i="16"/>
  <c r="CB297" i="16"/>
  <c r="CB298" i="16" s="1"/>
  <c r="CA297" i="16"/>
  <c r="BZ297" i="16"/>
  <c r="BY297" i="16"/>
  <c r="BX297" i="16"/>
  <c r="BW297" i="16"/>
  <c r="BV297" i="16"/>
  <c r="BU297" i="16"/>
  <c r="BT297" i="16"/>
  <c r="BS297" i="16"/>
  <c r="BR297" i="16"/>
  <c r="BQ297" i="16"/>
  <c r="BP297" i="16"/>
  <c r="BO297" i="16"/>
  <c r="BN297" i="16"/>
  <c r="BM297" i="16"/>
  <c r="BL297" i="16"/>
  <c r="BK297" i="16"/>
  <c r="BJ297" i="16"/>
  <c r="BI297" i="16"/>
  <c r="BH297" i="16"/>
  <c r="BG297" i="16"/>
  <c r="BF297" i="16"/>
  <c r="BE297" i="16"/>
  <c r="BD297" i="16"/>
  <c r="BC297" i="16"/>
  <c r="BB297" i="16"/>
  <c r="BA297" i="16"/>
  <c r="AZ297" i="16"/>
  <c r="AZ298" i="16" s="1"/>
  <c r="AY297" i="16"/>
  <c r="AX297" i="16"/>
  <c r="AW297" i="16"/>
  <c r="AV297" i="16"/>
  <c r="AU297" i="16"/>
  <c r="AT297" i="16"/>
  <c r="AS297" i="16"/>
  <c r="AR297" i="16"/>
  <c r="AQ297" i="16"/>
  <c r="AP297" i="16"/>
  <c r="AO297" i="16"/>
  <c r="AN297" i="16"/>
  <c r="AM297" i="16"/>
  <c r="AL297" i="16"/>
  <c r="AL298" i="16" s="1"/>
  <c r="AK297" i="16"/>
  <c r="AJ297" i="16"/>
  <c r="AI297" i="16"/>
  <c r="AH297" i="16"/>
  <c r="AG297" i="16"/>
  <c r="AF297" i="16"/>
  <c r="AE297" i="16"/>
  <c r="AD297" i="16"/>
  <c r="AC297" i="16"/>
  <c r="AB297" i="16"/>
  <c r="AA297" i="16"/>
  <c r="Z297" i="16"/>
  <c r="Y297" i="16"/>
  <c r="X297" i="16"/>
  <c r="W297" i="16"/>
  <c r="V297" i="16"/>
  <c r="U297" i="16"/>
  <c r="T297" i="16"/>
  <c r="S297" i="16"/>
  <c r="S299" i="16" s="1"/>
  <c r="R297" i="16"/>
  <c r="R298" i="16" s="1"/>
  <c r="Q297" i="16"/>
  <c r="P297" i="16"/>
  <c r="O297" i="16"/>
  <c r="N297" i="16"/>
  <c r="M297" i="16"/>
  <c r="L297" i="16"/>
  <c r="K297" i="16"/>
  <c r="J297" i="16"/>
  <c r="J298" i="16" s="1"/>
  <c r="I297" i="16"/>
  <c r="H297" i="16"/>
  <c r="G297" i="16"/>
  <c r="DA295" i="16"/>
  <c r="CV295" i="16"/>
  <c r="CU295" i="16"/>
  <c r="CP295" i="16"/>
  <c r="CO295" i="16"/>
  <c r="BZ295" i="16"/>
  <c r="BS295" i="16"/>
  <c r="BQ295" i="16"/>
  <c r="BP295" i="16"/>
  <c r="BE295" i="16"/>
  <c r="BC295" i="16"/>
  <c r="AZ295" i="16"/>
  <c r="AY295" i="16"/>
  <c r="AK295" i="16"/>
  <c r="AH295" i="16"/>
  <c r="AC295" i="16"/>
  <c r="X295" i="16"/>
  <c r="W295" i="16"/>
  <c r="T295" i="16"/>
  <c r="Q295" i="16"/>
  <c r="CZ294" i="16"/>
  <c r="CW294" i="16"/>
  <c r="CU294" i="16"/>
  <c r="CL294" i="16"/>
  <c r="CD294" i="16"/>
  <c r="BU294" i="16"/>
  <c r="BP294" i="16"/>
  <c r="BC294" i="16"/>
  <c r="AH294" i="16"/>
  <c r="T294" i="16"/>
  <c r="S294" i="16"/>
  <c r="L294" i="16"/>
  <c r="DC293" i="16"/>
  <c r="DB293" i="16"/>
  <c r="DA293" i="16"/>
  <c r="CZ293" i="16"/>
  <c r="CZ299" i="16" s="1"/>
  <c r="CY293" i="16"/>
  <c r="CX293" i="16"/>
  <c r="CW293" i="16"/>
  <c r="CW295" i="16" s="1"/>
  <c r="CV293" i="16"/>
  <c r="CU293" i="16"/>
  <c r="CT293" i="16"/>
  <c r="CS293" i="16"/>
  <c r="CR293" i="16"/>
  <c r="CQ293" i="16"/>
  <c r="CP293" i="16"/>
  <c r="CO293" i="16"/>
  <c r="CN293" i="16"/>
  <c r="CZ295" i="16" s="1"/>
  <c r="CM293" i="16"/>
  <c r="CL293" i="16"/>
  <c r="CK293" i="16"/>
  <c r="CJ293" i="16"/>
  <c r="CI293" i="16"/>
  <c r="CH293" i="16"/>
  <c r="CG293" i="16"/>
  <c r="CG295" i="16" s="1"/>
  <c r="CF293" i="16"/>
  <c r="CE293" i="16"/>
  <c r="CD293" i="16"/>
  <c r="CC293" i="16"/>
  <c r="CB293" i="16"/>
  <c r="CA293" i="16"/>
  <c r="BZ293" i="16"/>
  <c r="BY293" i="16"/>
  <c r="BX293" i="16"/>
  <c r="BW293" i="16"/>
  <c r="BV293" i="16"/>
  <c r="BU293" i="16"/>
  <c r="BU295" i="16" s="1"/>
  <c r="BT293" i="16"/>
  <c r="BS293" i="16"/>
  <c r="BR293" i="16"/>
  <c r="BQ293" i="16"/>
  <c r="BQ299" i="16" s="1"/>
  <c r="BP293" i="16"/>
  <c r="BO293" i="16"/>
  <c r="BN293" i="16"/>
  <c r="BN295" i="16" s="1"/>
  <c r="BM293" i="16"/>
  <c r="BL293" i="16"/>
  <c r="BK293" i="16"/>
  <c r="BJ293" i="16"/>
  <c r="BI293" i="16"/>
  <c r="BH293" i="16"/>
  <c r="BT295" i="16" s="1"/>
  <c r="BG293" i="16"/>
  <c r="BG295" i="16" s="1"/>
  <c r="BF293" i="16"/>
  <c r="BE293" i="16"/>
  <c r="BD293" i="16"/>
  <c r="BD299" i="16" s="1"/>
  <c r="BC293" i="16"/>
  <c r="BB293" i="16"/>
  <c r="BA293" i="16"/>
  <c r="AZ293" i="16"/>
  <c r="AY293" i="16"/>
  <c r="AX293" i="16"/>
  <c r="AW293" i="16"/>
  <c r="AV293" i="16"/>
  <c r="AU293" i="16"/>
  <c r="AT293" i="16"/>
  <c r="AT295" i="16" s="1"/>
  <c r="AS293" i="16"/>
  <c r="AR293" i="16"/>
  <c r="AQ293" i="16"/>
  <c r="AP293" i="16"/>
  <c r="BB295" i="16" s="1"/>
  <c r="AO293" i="16"/>
  <c r="AN293" i="16"/>
  <c r="AM293" i="16"/>
  <c r="AL293" i="16"/>
  <c r="AK293" i="16"/>
  <c r="AJ293" i="16"/>
  <c r="AI293" i="16"/>
  <c r="AH293" i="16"/>
  <c r="AH299" i="16" s="1"/>
  <c r="AG293" i="16"/>
  <c r="AF293" i="16"/>
  <c r="AE293" i="16"/>
  <c r="AD293" i="16"/>
  <c r="AC293" i="16"/>
  <c r="AB293" i="16"/>
  <c r="AA293" i="16"/>
  <c r="Z293" i="16"/>
  <c r="Y293" i="16"/>
  <c r="X293" i="16"/>
  <c r="W293" i="16"/>
  <c r="V293" i="16"/>
  <c r="U293" i="16"/>
  <c r="T293" i="16"/>
  <c r="T299" i="16" s="1"/>
  <c r="S293" i="16"/>
  <c r="R293" i="16"/>
  <c r="Q293" i="16"/>
  <c r="P293" i="16"/>
  <c r="O293" i="16"/>
  <c r="O299" i="16" s="1"/>
  <c r="N293" i="16"/>
  <c r="M293" i="16"/>
  <c r="M299" i="16" s="1"/>
  <c r="L293" i="16"/>
  <c r="K293" i="16"/>
  <c r="J293" i="16"/>
  <c r="I293" i="16"/>
  <c r="H293" i="16"/>
  <c r="G293" i="16"/>
  <c r="CN290" i="16"/>
  <c r="BE290" i="16"/>
  <c r="AP290" i="16"/>
  <c r="CX289" i="16"/>
  <c r="BB289" i="16"/>
  <c r="AI289" i="16"/>
  <c r="V289" i="16"/>
  <c r="V290" i="16" s="1"/>
  <c r="DC288" i="16"/>
  <c r="DB288" i="16"/>
  <c r="CT288" i="16"/>
  <c r="CS288" i="16"/>
  <c r="CB288" i="16"/>
  <c r="BR288" i="16"/>
  <c r="BN288" i="16"/>
  <c r="BM288" i="16"/>
  <c r="BK288" i="16"/>
  <c r="BD288" i="16"/>
  <c r="AV288" i="16"/>
  <c r="AT288" i="16"/>
  <c r="AK288" i="16"/>
  <c r="AJ288" i="16"/>
  <c r="Y288" i="16"/>
  <c r="R288" i="16"/>
  <c r="Q288" i="16"/>
  <c r="N288" i="16"/>
  <c r="M288" i="16"/>
  <c r="I288" i="16"/>
  <c r="H288" i="16"/>
  <c r="CZ287" i="16"/>
  <c r="CZ289" i="16" s="1"/>
  <c r="CS287" i="16"/>
  <c r="CQ287" i="16"/>
  <c r="CI287" i="16"/>
  <c r="CE287" i="16"/>
  <c r="CC287" i="16"/>
  <c r="BY287" i="16"/>
  <c r="BV287" i="16"/>
  <c r="BP287" i="16"/>
  <c r="BG287" i="16"/>
  <c r="AS287" i="16"/>
  <c r="AO287" i="16"/>
  <c r="AN287" i="16"/>
  <c r="AF287" i="16"/>
  <c r="AF289" i="16" s="1"/>
  <c r="Z287" i="16"/>
  <c r="Y287" i="16"/>
  <c r="M287" i="16"/>
  <c r="L287" i="16"/>
  <c r="G287" i="16"/>
  <c r="DC286" i="16"/>
  <c r="DB286" i="16"/>
  <c r="DA286" i="16"/>
  <c r="CZ286" i="16"/>
  <c r="CY286" i="16"/>
  <c r="CX286" i="16"/>
  <c r="CW286" i="16"/>
  <c r="CV286" i="16"/>
  <c r="CU286" i="16"/>
  <c r="CT286" i="16"/>
  <c r="CS286" i="16"/>
  <c r="CR286" i="16"/>
  <c r="CR289" i="16" s="1"/>
  <c r="CQ286" i="16"/>
  <c r="CP286" i="16"/>
  <c r="CO286" i="16"/>
  <c r="CN286" i="16"/>
  <c r="CN289" i="16" s="1"/>
  <c r="CM286" i="16"/>
  <c r="CL286" i="16"/>
  <c r="CK286" i="16"/>
  <c r="CJ286" i="16"/>
  <c r="CI286" i="16"/>
  <c r="CH286" i="16"/>
  <c r="CG286" i="16"/>
  <c r="CF286" i="16"/>
  <c r="CE286" i="16"/>
  <c r="CD286" i="16"/>
  <c r="CC286" i="16"/>
  <c r="CB286" i="16"/>
  <c r="CA286" i="16"/>
  <c r="BZ286" i="16"/>
  <c r="BY286" i="16"/>
  <c r="BX286" i="16"/>
  <c r="BW286" i="16"/>
  <c r="BV286" i="16"/>
  <c r="BU286" i="16"/>
  <c r="BT286" i="16"/>
  <c r="BS286" i="16"/>
  <c r="BR286" i="16"/>
  <c r="BQ286" i="16"/>
  <c r="BP286" i="16"/>
  <c r="BP289" i="16" s="1"/>
  <c r="BO286" i="16"/>
  <c r="BN286" i="16"/>
  <c r="BM286" i="16"/>
  <c r="BL286" i="16"/>
  <c r="BK286" i="16"/>
  <c r="BJ286" i="16"/>
  <c r="BI286" i="16"/>
  <c r="BH286" i="16"/>
  <c r="BG286" i="16"/>
  <c r="BG289" i="16" s="1"/>
  <c r="BF286" i="16"/>
  <c r="BE286" i="16"/>
  <c r="BD286" i="16"/>
  <c r="BC286" i="16"/>
  <c r="BB286" i="16"/>
  <c r="BA286" i="16"/>
  <c r="AZ286" i="16"/>
  <c r="AY286" i="16"/>
  <c r="AX286" i="16"/>
  <c r="AW286" i="16"/>
  <c r="AV286" i="16"/>
  <c r="AU286" i="16"/>
  <c r="AT286" i="16"/>
  <c r="AS286" i="16"/>
  <c r="AR286" i="16"/>
  <c r="AQ286" i="16"/>
  <c r="AP286" i="16"/>
  <c r="AO286" i="16"/>
  <c r="AN286" i="16"/>
  <c r="AM286" i="16"/>
  <c r="AL286" i="16"/>
  <c r="AK286" i="16"/>
  <c r="AJ286" i="16"/>
  <c r="AI286" i="16"/>
  <c r="AH286" i="16"/>
  <c r="AG286" i="16"/>
  <c r="AF286" i="16"/>
  <c r="AE286" i="16"/>
  <c r="AE289" i="16" s="1"/>
  <c r="AD286" i="16"/>
  <c r="AC286" i="16"/>
  <c r="AB286" i="16"/>
  <c r="AA286" i="16"/>
  <c r="Z286" i="16"/>
  <c r="Z289" i="16" s="1"/>
  <c r="Y286" i="16"/>
  <c r="X286" i="16"/>
  <c r="W286" i="16"/>
  <c r="V286" i="16"/>
  <c r="U286" i="16"/>
  <c r="T286" i="16"/>
  <c r="S286" i="16"/>
  <c r="R286" i="16"/>
  <c r="Q286" i="16"/>
  <c r="P286" i="16"/>
  <c r="O286" i="16"/>
  <c r="N286" i="16"/>
  <c r="M286" i="16"/>
  <c r="L286" i="16"/>
  <c r="K286" i="16"/>
  <c r="J286" i="16"/>
  <c r="I286" i="16"/>
  <c r="H286" i="16"/>
  <c r="G286" i="16"/>
  <c r="CW285" i="16"/>
  <c r="CV285" i="16"/>
  <c r="CP285" i="16"/>
  <c r="CP289" i="16" s="1"/>
  <c r="CN285" i="16"/>
  <c r="CL285" i="16"/>
  <c r="CG285" i="16"/>
  <c r="CG289" i="16" s="1"/>
  <c r="BZ285" i="16"/>
  <c r="BZ289" i="16" s="1"/>
  <c r="BX285" i="16"/>
  <c r="BV285" i="16"/>
  <c r="BT285" i="16"/>
  <c r="BN285" i="16"/>
  <c r="BJ285" i="16"/>
  <c r="BI285" i="16"/>
  <c r="BF285" i="16"/>
  <c r="AZ285" i="16"/>
  <c r="AX285" i="16"/>
  <c r="AX289" i="16" s="1"/>
  <c r="AS285" i="16"/>
  <c r="AR285" i="16"/>
  <c r="AJ285" i="16"/>
  <c r="AJ289" i="16" s="1"/>
  <c r="AI285" i="16"/>
  <c r="AH285" i="16"/>
  <c r="AG285" i="16"/>
  <c r="AD285" i="16"/>
  <c r="X285" i="16"/>
  <c r="T285" i="16"/>
  <c r="Q285" i="16"/>
  <c r="Q289" i="16" s="1"/>
  <c r="P285" i="16"/>
  <c r="O285" i="16"/>
  <c r="O289" i="16" s="1"/>
  <c r="O290" i="16" s="1"/>
  <c r="M285" i="16"/>
  <c r="L285" i="16"/>
  <c r="H285" i="16"/>
  <c r="DA283" i="16"/>
  <c r="CY283" i="16"/>
  <c r="CX283" i="16"/>
  <c r="CQ283" i="16"/>
  <c r="CO283" i="16"/>
  <c r="CK283" i="16"/>
  <c r="CJ283" i="16"/>
  <c r="CD283" i="16"/>
  <c r="CA283" i="16"/>
  <c r="BM283" i="16"/>
  <c r="BI283" i="16"/>
  <c r="BA283" i="16"/>
  <c r="AZ283" i="16"/>
  <c r="AW283" i="16"/>
  <c r="AV283" i="16"/>
  <c r="AU283" i="16"/>
  <c r="AT283" i="16"/>
  <c r="AM283" i="16"/>
  <c r="AK283" i="16"/>
  <c r="AG283" i="16"/>
  <c r="AF283" i="16"/>
  <c r="W283" i="16"/>
  <c r="T283" i="16"/>
  <c r="K283" i="16"/>
  <c r="DA282" i="16"/>
  <c r="CM282" i="16"/>
  <c r="CL282" i="16"/>
  <c r="CI282" i="16"/>
  <c r="BY282" i="16"/>
  <c r="BX282" i="16"/>
  <c r="BW282" i="16"/>
  <c r="BV282" i="16"/>
  <c r="BT282" i="16"/>
  <c r="BK282" i="16"/>
  <c r="BJ282" i="16"/>
  <c r="AS282" i="16"/>
  <c r="AN282" i="16"/>
  <c r="AK282" i="16"/>
  <c r="AE282" i="16"/>
  <c r="U282" i="16"/>
  <c r="T282" i="16"/>
  <c r="DC281" i="16"/>
  <c r="DB281" i="16"/>
  <c r="DA281" i="16"/>
  <c r="CZ281" i="16"/>
  <c r="CY281" i="16"/>
  <c r="CX281" i="16"/>
  <c r="CW281" i="16"/>
  <c r="CV281" i="16"/>
  <c r="CV274" i="16" s="1"/>
  <c r="CU281" i="16"/>
  <c r="CT281" i="16"/>
  <c r="CS281" i="16"/>
  <c r="CR281" i="16"/>
  <c r="CR283" i="16" s="1"/>
  <c r="CQ281" i="16"/>
  <c r="CP281" i="16"/>
  <c r="CP274" i="16" s="1"/>
  <c r="CO281" i="16"/>
  <c r="CN281" i="16"/>
  <c r="CM281" i="16"/>
  <c r="CL281" i="16"/>
  <c r="CK281" i="16"/>
  <c r="CJ281" i="16"/>
  <c r="CI281" i="16"/>
  <c r="CH281" i="16"/>
  <c r="CG281" i="16"/>
  <c r="CF281" i="16"/>
  <c r="CE281" i="16"/>
  <c r="CD281" i="16"/>
  <c r="CC281" i="16"/>
  <c r="CB281" i="16"/>
  <c r="CA281" i="16"/>
  <c r="BZ281" i="16"/>
  <c r="BY281" i="16"/>
  <c r="BX281" i="16"/>
  <c r="BW281" i="16"/>
  <c r="BW283" i="16" s="1"/>
  <c r="BV281" i="16"/>
  <c r="BV283" i="16" s="1"/>
  <c r="BU281" i="16"/>
  <c r="BT281" i="16"/>
  <c r="BT274" i="16" s="1"/>
  <c r="BS281" i="16"/>
  <c r="BR281" i="16"/>
  <c r="BR283" i="16" s="1"/>
  <c r="BQ281" i="16"/>
  <c r="CC283" i="16" s="1"/>
  <c r="BP281" i="16"/>
  <c r="BO281" i="16"/>
  <c r="BN281" i="16"/>
  <c r="BM281" i="16"/>
  <c r="BL281" i="16"/>
  <c r="BK281" i="16"/>
  <c r="BJ281" i="16"/>
  <c r="BI281" i="16"/>
  <c r="BH281" i="16"/>
  <c r="BG281" i="16"/>
  <c r="BF281" i="16"/>
  <c r="BF283" i="16" s="1"/>
  <c r="BE281" i="16"/>
  <c r="BD281" i="16"/>
  <c r="BC281" i="16"/>
  <c r="BB281" i="16"/>
  <c r="BB274" i="16" s="1"/>
  <c r="BA281" i="16"/>
  <c r="AZ281" i="16"/>
  <c r="AY281" i="16"/>
  <c r="AX281" i="16"/>
  <c r="AW281" i="16"/>
  <c r="AV281" i="16"/>
  <c r="AU281" i="16"/>
  <c r="AT281" i="16"/>
  <c r="AS281" i="16"/>
  <c r="AR281" i="16"/>
  <c r="AR283" i="16" s="1"/>
  <c r="AQ281" i="16"/>
  <c r="AP281" i="16"/>
  <c r="AO281" i="16"/>
  <c r="AN281" i="16"/>
  <c r="AN283" i="16" s="1"/>
  <c r="AM281" i="16"/>
  <c r="AL281" i="16"/>
  <c r="AL274" i="16" s="1"/>
  <c r="AK281" i="16"/>
  <c r="AK274" i="16" s="1"/>
  <c r="AJ281" i="16"/>
  <c r="AI281" i="16"/>
  <c r="AH281" i="16"/>
  <c r="AG281" i="16"/>
  <c r="AF281" i="16"/>
  <c r="AE281" i="16"/>
  <c r="AD281" i="16"/>
  <c r="AC281" i="16"/>
  <c r="AB281" i="16"/>
  <c r="AA281" i="16"/>
  <c r="Z281" i="16"/>
  <c r="Y281" i="16"/>
  <c r="X281" i="16"/>
  <c r="X274" i="16" s="1"/>
  <c r="W281" i="16"/>
  <c r="V281" i="16"/>
  <c r="U281" i="16"/>
  <c r="T281" i="16"/>
  <c r="S281" i="16"/>
  <c r="R281" i="16"/>
  <c r="Q281" i="16"/>
  <c r="P281" i="16"/>
  <c r="P282" i="16" s="1"/>
  <c r="O281" i="16"/>
  <c r="N281" i="16"/>
  <c r="M281" i="16"/>
  <c r="Y283" i="16" s="1"/>
  <c r="L281" i="16"/>
  <c r="X283" i="16" s="1"/>
  <c r="K281" i="16"/>
  <c r="J281" i="16"/>
  <c r="J274" i="16" s="1"/>
  <c r="I281" i="16"/>
  <c r="H281" i="16"/>
  <c r="H282" i="16" s="1"/>
  <c r="G281" i="16"/>
  <c r="CX279" i="16"/>
  <c r="CS279" i="16"/>
  <c r="CQ279" i="16"/>
  <c r="CP279" i="16"/>
  <c r="CJ279" i="16"/>
  <c r="CE279" i="16"/>
  <c r="BQ279" i="16"/>
  <c r="BJ279" i="16"/>
  <c r="AW279" i="16"/>
  <c r="AO279" i="16"/>
  <c r="AL279" i="16"/>
  <c r="AJ279" i="16"/>
  <c r="AF279" i="16"/>
  <c r="Y279" i="16"/>
  <c r="X279" i="16"/>
  <c r="U279" i="16"/>
  <c r="S279" i="16"/>
  <c r="R279" i="16"/>
  <c r="J279" i="16"/>
  <c r="G279" i="16"/>
  <c r="CZ276" i="16"/>
  <c r="CY276" i="16"/>
  <c r="CQ276" i="16"/>
  <c r="CC276" i="16"/>
  <c r="BA276" i="16"/>
  <c r="AW276" i="16"/>
  <c r="AJ276" i="16"/>
  <c r="K276" i="16"/>
  <c r="CZ275" i="16"/>
  <c r="CC275" i="16"/>
  <c r="BX275" i="16"/>
  <c r="BT275" i="16"/>
  <c r="BA275" i="16"/>
  <c r="AU275" i="16"/>
  <c r="AR275" i="16"/>
  <c r="AH275" i="16"/>
  <c r="AE275" i="16"/>
  <c r="K275" i="16"/>
  <c r="J275" i="16"/>
  <c r="DA274" i="16"/>
  <c r="CZ274" i="16"/>
  <c r="CZ279" i="16" s="1"/>
  <c r="CY274" i="16"/>
  <c r="CY279" i="16" s="1"/>
  <c r="CX274" i="16"/>
  <c r="CX276" i="16" s="1"/>
  <c r="CS274" i="16"/>
  <c r="CQ274" i="16"/>
  <c r="CN274" i="16"/>
  <c r="CM274" i="16"/>
  <c r="CL274" i="16"/>
  <c r="CL279" i="16" s="1"/>
  <c r="CK274" i="16"/>
  <c r="CJ274" i="16"/>
  <c r="CJ276" i="16" s="1"/>
  <c r="CI274" i="16"/>
  <c r="CE274" i="16"/>
  <c r="CD274" i="16"/>
  <c r="CC274" i="16"/>
  <c r="CC279" i="16" s="1"/>
  <c r="BZ274" i="16"/>
  <c r="BY274" i="16"/>
  <c r="BX274" i="16"/>
  <c r="BX279" i="16" s="1"/>
  <c r="BW274" i="16"/>
  <c r="BW279" i="16" s="1"/>
  <c r="BV274" i="16"/>
  <c r="BU274" i="16"/>
  <c r="BQ274" i="16"/>
  <c r="BO274" i="16"/>
  <c r="BM274" i="16"/>
  <c r="BK274" i="16"/>
  <c r="BJ274" i="16"/>
  <c r="BI274" i="16"/>
  <c r="BH274" i="16"/>
  <c r="BG274" i="16"/>
  <c r="BC274" i="16"/>
  <c r="BA274" i="16"/>
  <c r="BA279" i="16" s="1"/>
  <c r="AW274" i="16"/>
  <c r="AV274" i="16"/>
  <c r="BH521" i="16" s="1"/>
  <c r="AU274" i="16"/>
  <c r="AU279" i="16" s="1"/>
  <c r="AT274" i="16"/>
  <c r="AT268" i="16" s="1"/>
  <c r="AR274" i="16"/>
  <c r="AR268" i="16" s="1"/>
  <c r="AO274" i="16"/>
  <c r="AN274" i="16"/>
  <c r="AM274" i="16"/>
  <c r="AJ274" i="16"/>
  <c r="AI274" i="16"/>
  <c r="AH274" i="16"/>
  <c r="AH279" i="16" s="1"/>
  <c r="AG274" i="16"/>
  <c r="AG279" i="16" s="1"/>
  <c r="AF274" i="16"/>
  <c r="AE274" i="16"/>
  <c r="AB274" i="16"/>
  <c r="AB279" i="16" s="1"/>
  <c r="AA274" i="16"/>
  <c r="Z274" i="16"/>
  <c r="Z279" i="16" s="1"/>
  <c r="Y274" i="16"/>
  <c r="Y276" i="16" s="1"/>
  <c r="U274" i="16"/>
  <c r="U275" i="16" s="1"/>
  <c r="T274" i="16"/>
  <c r="S274" i="16"/>
  <c r="R274" i="16"/>
  <c r="M274" i="16"/>
  <c r="M279" i="16" s="1"/>
  <c r="K274" i="16"/>
  <c r="K279" i="16" s="1"/>
  <c r="I274" i="16"/>
  <c r="Q521" i="16" s="1"/>
  <c r="H274" i="16"/>
  <c r="G274" i="16"/>
  <c r="DC273" i="16"/>
  <c r="DB273" i="16"/>
  <c r="DA273" i="16"/>
  <c r="CZ273" i="16"/>
  <c r="CZ268" i="16" s="1"/>
  <c r="CY273" i="16"/>
  <c r="CX273" i="16"/>
  <c r="CW273" i="16"/>
  <c r="CV273" i="16"/>
  <c r="CU273" i="16"/>
  <c r="CT273" i="16"/>
  <c r="CS273" i="16"/>
  <c r="CR273" i="16"/>
  <c r="CQ273" i="16"/>
  <c r="CP273" i="16"/>
  <c r="CO273" i="16"/>
  <c r="CN273" i="16"/>
  <c r="CN268" i="16" s="1"/>
  <c r="CM273" i="16"/>
  <c r="CL273" i="16"/>
  <c r="CL268" i="16" s="1"/>
  <c r="CK273" i="16"/>
  <c r="CJ273" i="16"/>
  <c r="CI273" i="16"/>
  <c r="CH273" i="16"/>
  <c r="CG273" i="16"/>
  <c r="CF273" i="16"/>
  <c r="CE273" i="16"/>
  <c r="CD273" i="16"/>
  <c r="CC273" i="16"/>
  <c r="CB273" i="16"/>
  <c r="CA273" i="16"/>
  <c r="BZ273" i="16"/>
  <c r="BZ268" i="16" s="1"/>
  <c r="BY273" i="16"/>
  <c r="BX273" i="16"/>
  <c r="BX268" i="16" s="1"/>
  <c r="BX269" i="16" s="1"/>
  <c r="BW273" i="16"/>
  <c r="BV273" i="16"/>
  <c r="BU273" i="16"/>
  <c r="BT273" i="16"/>
  <c r="BS273" i="16"/>
  <c r="BR273" i="16"/>
  <c r="BQ273" i="16"/>
  <c r="BP273" i="16"/>
  <c r="BO273" i="16"/>
  <c r="BN273" i="16"/>
  <c r="BM273" i="16"/>
  <c r="BL273" i="16"/>
  <c r="BK273" i="16"/>
  <c r="BJ273" i="16"/>
  <c r="BJ268" i="16" s="1"/>
  <c r="BI273" i="16"/>
  <c r="BH273" i="16"/>
  <c r="BG273" i="16"/>
  <c r="BF273" i="16"/>
  <c r="BE273" i="16"/>
  <c r="BD273" i="16"/>
  <c r="BC273" i="16"/>
  <c r="BB273" i="16"/>
  <c r="BA273" i="16"/>
  <c r="AZ273" i="16"/>
  <c r="AY273" i="16"/>
  <c r="AX273" i="16"/>
  <c r="AW273" i="16"/>
  <c r="AV273" i="16"/>
  <c r="AV268" i="16" s="1"/>
  <c r="AV269" i="16" s="1"/>
  <c r="AU273" i="16"/>
  <c r="AT273" i="16"/>
  <c r="AS273" i="16"/>
  <c r="AR273" i="16"/>
  <c r="AQ273" i="16"/>
  <c r="AP273" i="16"/>
  <c r="AO273" i="16"/>
  <c r="AN273" i="16"/>
  <c r="AM273" i="16"/>
  <c r="AL273" i="16"/>
  <c r="AL268" i="16" s="1"/>
  <c r="AK273" i="16"/>
  <c r="AJ273" i="16"/>
  <c r="AJ268" i="16" s="1"/>
  <c r="AI273" i="16"/>
  <c r="AH273" i="16"/>
  <c r="AH268" i="16" s="1"/>
  <c r="AH269" i="16" s="1"/>
  <c r="AG273" i="16"/>
  <c r="AF273" i="16"/>
  <c r="AE273" i="16"/>
  <c r="AD273" i="16"/>
  <c r="AC273" i="16"/>
  <c r="AB273" i="16"/>
  <c r="AA273" i="16"/>
  <c r="Z273" i="16"/>
  <c r="Y273" i="16"/>
  <c r="X273" i="16"/>
  <c r="X268" i="16" s="1"/>
  <c r="W273" i="16"/>
  <c r="V273" i="16"/>
  <c r="U273" i="16"/>
  <c r="T273" i="16"/>
  <c r="S273" i="16"/>
  <c r="R273" i="16"/>
  <c r="Q273" i="16"/>
  <c r="P273" i="16"/>
  <c r="O273" i="16"/>
  <c r="N273" i="16"/>
  <c r="M273" i="16"/>
  <c r="L273" i="16"/>
  <c r="K273" i="16"/>
  <c r="J273" i="16"/>
  <c r="I273" i="16"/>
  <c r="H273" i="16"/>
  <c r="H268" i="16" s="1"/>
  <c r="H269" i="16" s="1"/>
  <c r="G273" i="16"/>
  <c r="DC272" i="16"/>
  <c r="DC285" i="16" s="1"/>
  <c r="DB272" i="16"/>
  <c r="DB285" i="16" s="1"/>
  <c r="DA272" i="16"/>
  <c r="CZ272" i="16"/>
  <c r="CZ285" i="16" s="1"/>
  <c r="CY272" i="16"/>
  <c r="CY285" i="16" s="1"/>
  <c r="CX272" i="16"/>
  <c r="CX285" i="16" s="1"/>
  <c r="CW272" i="16"/>
  <c r="CV272" i="16"/>
  <c r="CU272" i="16"/>
  <c r="CT272" i="16"/>
  <c r="CT285" i="16" s="1"/>
  <c r="CS272" i="16"/>
  <c r="CR272" i="16"/>
  <c r="CR285" i="16" s="1"/>
  <c r="CQ272" i="16"/>
  <c r="CP272" i="16"/>
  <c r="CO272" i="16"/>
  <c r="CN272" i="16"/>
  <c r="CM272" i="16"/>
  <c r="CM285" i="16" s="1"/>
  <c r="CL272" i="16"/>
  <c r="CK272" i="16"/>
  <c r="CK285" i="16" s="1"/>
  <c r="CJ272" i="16"/>
  <c r="CI272" i="16"/>
  <c r="CH272" i="16"/>
  <c r="CH285" i="16" s="1"/>
  <c r="CG272" i="16"/>
  <c r="CF272" i="16"/>
  <c r="CF285" i="16" s="1"/>
  <c r="CF289" i="16" s="1"/>
  <c r="CE272" i="16"/>
  <c r="CD272" i="16"/>
  <c r="CD285" i="16" s="1"/>
  <c r="CD289" i="16" s="1"/>
  <c r="CD290" i="16" s="1"/>
  <c r="CC272" i="16"/>
  <c r="CC285" i="16" s="1"/>
  <c r="CC289" i="16" s="1"/>
  <c r="CB272" i="16"/>
  <c r="CB285" i="16" s="1"/>
  <c r="CA272" i="16"/>
  <c r="CA285" i="16" s="1"/>
  <c r="BZ272" i="16"/>
  <c r="BY272" i="16"/>
  <c r="BY285" i="16" s="1"/>
  <c r="BY289" i="16" s="1"/>
  <c r="BX272" i="16"/>
  <c r="BW272" i="16"/>
  <c r="BV272" i="16"/>
  <c r="BU272" i="16"/>
  <c r="BT272" i="16"/>
  <c r="BS272" i="16"/>
  <c r="BR272" i="16"/>
  <c r="BQ272" i="16"/>
  <c r="BP272" i="16"/>
  <c r="BP285" i="16" s="1"/>
  <c r="BO272" i="16"/>
  <c r="BN272" i="16"/>
  <c r="BM272" i="16"/>
  <c r="BM285" i="16" s="1"/>
  <c r="BL272" i="16"/>
  <c r="BL285" i="16" s="1"/>
  <c r="BK272" i="16"/>
  <c r="BK285" i="16" s="1"/>
  <c r="BJ272" i="16"/>
  <c r="BI272" i="16"/>
  <c r="BH272" i="16"/>
  <c r="BH268" i="16" s="1"/>
  <c r="BG272" i="16"/>
  <c r="BG285" i="16" s="1"/>
  <c r="BF272" i="16"/>
  <c r="BE272" i="16"/>
  <c r="BE285" i="16" s="1"/>
  <c r="BE289" i="16" s="1"/>
  <c r="BD272" i="16"/>
  <c r="BC272" i="16"/>
  <c r="BB272" i="16"/>
  <c r="BB285" i="16" s="1"/>
  <c r="BA272" i="16"/>
  <c r="BA285" i="16" s="1"/>
  <c r="BA289" i="16" s="1"/>
  <c r="AZ272" i="16"/>
  <c r="AY272" i="16"/>
  <c r="AX272" i="16"/>
  <c r="AW272" i="16"/>
  <c r="AW285" i="16" s="1"/>
  <c r="AV272" i="16"/>
  <c r="AV285" i="16" s="1"/>
  <c r="AU272" i="16"/>
  <c r="AU285" i="16" s="1"/>
  <c r="AT272" i="16"/>
  <c r="AT285" i="16" s="1"/>
  <c r="AS272" i="16"/>
  <c r="AR272" i="16"/>
  <c r="AQ272" i="16"/>
  <c r="AQ285" i="16" s="1"/>
  <c r="AP272" i="16"/>
  <c r="AP285" i="16" s="1"/>
  <c r="AP289" i="16" s="1"/>
  <c r="AO272" i="16"/>
  <c r="AO268" i="16" s="1"/>
  <c r="AN272" i="16"/>
  <c r="AM272" i="16"/>
  <c r="AL272" i="16"/>
  <c r="AL285" i="16" s="1"/>
  <c r="AK272" i="16"/>
  <c r="AK285" i="16" s="1"/>
  <c r="AJ272" i="16"/>
  <c r="AI272" i="16"/>
  <c r="AI268" i="16" s="1"/>
  <c r="AH272" i="16"/>
  <c r="AG272" i="16"/>
  <c r="AF272" i="16"/>
  <c r="AF285" i="16" s="1"/>
  <c r="AE272" i="16"/>
  <c r="AE285" i="16" s="1"/>
  <c r="AD272" i="16"/>
  <c r="AC272" i="16"/>
  <c r="AC285" i="16" s="1"/>
  <c r="AC289" i="16" s="1"/>
  <c r="AB272" i="16"/>
  <c r="AA272" i="16"/>
  <c r="Z272" i="16"/>
  <c r="Z285" i="16" s="1"/>
  <c r="Y272" i="16"/>
  <c r="X272" i="16"/>
  <c r="W272" i="16"/>
  <c r="V272" i="16"/>
  <c r="V285" i="16" s="1"/>
  <c r="U272" i="16"/>
  <c r="U285" i="16" s="1"/>
  <c r="T272" i="16"/>
  <c r="S272" i="16"/>
  <c r="R272" i="16"/>
  <c r="Q272" i="16"/>
  <c r="P272" i="16"/>
  <c r="O272" i="16"/>
  <c r="N272" i="16"/>
  <c r="N285" i="16" s="1"/>
  <c r="M272" i="16"/>
  <c r="M268" i="16" s="1"/>
  <c r="L272" i="16"/>
  <c r="K272" i="16"/>
  <c r="J272" i="16"/>
  <c r="J285" i="16" s="1"/>
  <c r="I272" i="16"/>
  <c r="I285" i="16" s="1"/>
  <c r="H272" i="16"/>
  <c r="G272" i="16"/>
  <c r="G285" i="16" s="1"/>
  <c r="BA270" i="16"/>
  <c r="AI269" i="16"/>
  <c r="AG269" i="16"/>
  <c r="CY268" i="16"/>
  <c r="CX268" i="16"/>
  <c r="CX267" i="16" s="1"/>
  <c r="CP268" i="16"/>
  <c r="CK268" i="16"/>
  <c r="CK269" i="16" s="1"/>
  <c r="CC268" i="16"/>
  <c r="BY268" i="16"/>
  <c r="BV268" i="16"/>
  <c r="BV270" i="16" s="1"/>
  <c r="BG268" i="16"/>
  <c r="BA268" i="16"/>
  <c r="AW268" i="16"/>
  <c r="AW269" i="16" s="1"/>
  <c r="AU268" i="16"/>
  <c r="AG268" i="16"/>
  <c r="AE268" i="16"/>
  <c r="AE269" i="16" s="1"/>
  <c r="Z268" i="16"/>
  <c r="U268" i="16"/>
  <c r="U269" i="16" s="1"/>
  <c r="I268" i="16"/>
  <c r="BZ267" i="16"/>
  <c r="BY267" i="16"/>
  <c r="AW267" i="16"/>
  <c r="DC266" i="16"/>
  <c r="DB266" i="16"/>
  <c r="DA266" i="16"/>
  <c r="DA288" i="16" s="1"/>
  <c r="CZ266" i="16"/>
  <c r="CZ288" i="16" s="1"/>
  <c r="CY266" i="16"/>
  <c r="CY288" i="16" s="1"/>
  <c r="CX266" i="16"/>
  <c r="CX288" i="16" s="1"/>
  <c r="CW266" i="16"/>
  <c r="CW288" i="16" s="1"/>
  <c r="CV266" i="16"/>
  <c r="CV288" i="16" s="1"/>
  <c r="CU266" i="16"/>
  <c r="CU288" i="16" s="1"/>
  <c r="CT266" i="16"/>
  <c r="CS266" i="16"/>
  <c r="CR266" i="16"/>
  <c r="CR288" i="16" s="1"/>
  <c r="CQ266" i="16"/>
  <c r="CQ288" i="16" s="1"/>
  <c r="CP266" i="16"/>
  <c r="CP288" i="16" s="1"/>
  <c r="CO266" i="16"/>
  <c r="CO288" i="16" s="1"/>
  <c r="CN266" i="16"/>
  <c r="CN288" i="16" s="1"/>
  <c r="CM266" i="16"/>
  <c r="CM288" i="16" s="1"/>
  <c r="CL266" i="16"/>
  <c r="CL288" i="16" s="1"/>
  <c r="CK266" i="16"/>
  <c r="CK288" i="16" s="1"/>
  <c r="CJ266" i="16"/>
  <c r="CJ288" i="16" s="1"/>
  <c r="CI266" i="16"/>
  <c r="CI288" i="16" s="1"/>
  <c r="CH266" i="16"/>
  <c r="CH288" i="16" s="1"/>
  <c r="CG266" i="16"/>
  <c r="CG288" i="16" s="1"/>
  <c r="CF266" i="16"/>
  <c r="CF288" i="16" s="1"/>
  <c r="CE266" i="16"/>
  <c r="CE288" i="16" s="1"/>
  <c r="CD266" i="16"/>
  <c r="CD288" i="16" s="1"/>
  <c r="CC266" i="16"/>
  <c r="CC288" i="16" s="1"/>
  <c r="CB266" i="16"/>
  <c r="CA266" i="16"/>
  <c r="CA288" i="16" s="1"/>
  <c r="BZ266" i="16"/>
  <c r="BZ288" i="16" s="1"/>
  <c r="BY266" i="16"/>
  <c r="BY288" i="16" s="1"/>
  <c r="BX266" i="16"/>
  <c r="BX288" i="16" s="1"/>
  <c r="BW266" i="16"/>
  <c r="BW288" i="16" s="1"/>
  <c r="BV266" i="16"/>
  <c r="BV288" i="16" s="1"/>
  <c r="BU266" i="16"/>
  <c r="BU288" i="16" s="1"/>
  <c r="BT266" i="16"/>
  <c r="BT288" i="16" s="1"/>
  <c r="BS266" i="16"/>
  <c r="BS288" i="16" s="1"/>
  <c r="BR266" i="16"/>
  <c r="BQ266" i="16"/>
  <c r="BQ288" i="16" s="1"/>
  <c r="BP266" i="16"/>
  <c r="BP288" i="16" s="1"/>
  <c r="BO266" i="16"/>
  <c r="BO288" i="16" s="1"/>
  <c r="BN266" i="16"/>
  <c r="BM266" i="16"/>
  <c r="BL266" i="16"/>
  <c r="BL288" i="16" s="1"/>
  <c r="BK266" i="16"/>
  <c r="BJ266" i="16"/>
  <c r="BJ288" i="16" s="1"/>
  <c r="BI266" i="16"/>
  <c r="BI288" i="16" s="1"/>
  <c r="BH266" i="16"/>
  <c r="BH288" i="16" s="1"/>
  <c r="BG266" i="16"/>
  <c r="BG288" i="16" s="1"/>
  <c r="BF266" i="16"/>
  <c r="BF288" i="16" s="1"/>
  <c r="BE266" i="16"/>
  <c r="BE288" i="16" s="1"/>
  <c r="BD266" i="16"/>
  <c r="BC266" i="16"/>
  <c r="BC288" i="16" s="1"/>
  <c r="BB266" i="16"/>
  <c r="BB288" i="16" s="1"/>
  <c r="BA266" i="16"/>
  <c r="BA288" i="16" s="1"/>
  <c r="AZ266" i="16"/>
  <c r="AZ288" i="16" s="1"/>
  <c r="AY266" i="16"/>
  <c r="AY288" i="16" s="1"/>
  <c r="AX266" i="16"/>
  <c r="AX288" i="16" s="1"/>
  <c r="AW266" i="16"/>
  <c r="AW288" i="16" s="1"/>
  <c r="AV266" i="16"/>
  <c r="AU266" i="16"/>
  <c r="AU288" i="16" s="1"/>
  <c r="AT266" i="16"/>
  <c r="AS266" i="16"/>
  <c r="AS288" i="16" s="1"/>
  <c r="AR266" i="16"/>
  <c r="AR288" i="16" s="1"/>
  <c r="AQ266" i="16"/>
  <c r="AQ288" i="16" s="1"/>
  <c r="AP266" i="16"/>
  <c r="AP288" i="16" s="1"/>
  <c r="AO266" i="16"/>
  <c r="AO288" i="16" s="1"/>
  <c r="AN266" i="16"/>
  <c r="AN288" i="16" s="1"/>
  <c r="AM266" i="16"/>
  <c r="AM288" i="16" s="1"/>
  <c r="AL266" i="16"/>
  <c r="AL288" i="16" s="1"/>
  <c r="AK266" i="16"/>
  <c r="AJ266" i="16"/>
  <c r="AI266" i="16"/>
  <c r="AI288" i="16" s="1"/>
  <c r="AH266" i="16"/>
  <c r="AH288" i="16" s="1"/>
  <c r="AG266" i="16"/>
  <c r="AG288" i="16" s="1"/>
  <c r="AF266" i="16"/>
  <c r="AF288" i="16" s="1"/>
  <c r="AE266" i="16"/>
  <c r="AE288" i="16" s="1"/>
  <c r="AD266" i="16"/>
  <c r="AD288" i="16" s="1"/>
  <c r="AC266" i="16"/>
  <c r="AC288" i="16" s="1"/>
  <c r="AB266" i="16"/>
  <c r="AB288" i="16" s="1"/>
  <c r="AA266" i="16"/>
  <c r="AA288" i="16" s="1"/>
  <c r="Z266" i="16"/>
  <c r="Z288" i="16" s="1"/>
  <c r="Y266" i="16"/>
  <c r="X266" i="16"/>
  <c r="X288" i="16" s="1"/>
  <c r="W266" i="16"/>
  <c r="W288" i="16" s="1"/>
  <c r="V266" i="16"/>
  <c r="V288" i="16" s="1"/>
  <c r="U266" i="16"/>
  <c r="U288" i="16" s="1"/>
  <c r="T266" i="16"/>
  <c r="T288" i="16" s="1"/>
  <c r="S266" i="16"/>
  <c r="S288" i="16" s="1"/>
  <c r="R266" i="16"/>
  <c r="Q266" i="16"/>
  <c r="P266" i="16"/>
  <c r="P288" i="16" s="1"/>
  <c r="O266" i="16"/>
  <c r="O288" i="16" s="1"/>
  <c r="N266" i="16"/>
  <c r="M266" i="16"/>
  <c r="L266" i="16"/>
  <c r="L288" i="16" s="1"/>
  <c r="K266" i="16"/>
  <c r="K288" i="16" s="1"/>
  <c r="J266" i="16"/>
  <c r="J288" i="16" s="1"/>
  <c r="I266" i="16"/>
  <c r="H266" i="16"/>
  <c r="G266" i="16"/>
  <c r="G288" i="16" s="1"/>
  <c r="DC265" i="16"/>
  <c r="DC287" i="16" s="1"/>
  <c r="DB265" i="16"/>
  <c r="DB287" i="16" s="1"/>
  <c r="DA265" i="16"/>
  <c r="DA287" i="16" s="1"/>
  <c r="CZ265" i="16"/>
  <c r="CY265" i="16"/>
  <c r="CY287" i="16" s="1"/>
  <c r="CX265" i="16"/>
  <c r="CX287" i="16" s="1"/>
  <c r="CW265" i="16"/>
  <c r="CW287" i="16" s="1"/>
  <c r="CV265" i="16"/>
  <c r="CV287" i="16" s="1"/>
  <c r="CU265" i="16"/>
  <c r="CU287" i="16" s="1"/>
  <c r="CT265" i="16"/>
  <c r="CT287" i="16" s="1"/>
  <c r="CS265" i="16"/>
  <c r="CR265" i="16"/>
  <c r="CR287" i="16" s="1"/>
  <c r="CQ265" i="16"/>
  <c r="CP265" i="16"/>
  <c r="CP287" i="16" s="1"/>
  <c r="CO265" i="16"/>
  <c r="CO287" i="16" s="1"/>
  <c r="CN265" i="16"/>
  <c r="CN287" i="16" s="1"/>
  <c r="CM265" i="16"/>
  <c r="CM287" i="16" s="1"/>
  <c r="CL265" i="16"/>
  <c r="CL287" i="16" s="1"/>
  <c r="CK265" i="16"/>
  <c r="CK287" i="16" s="1"/>
  <c r="CK289" i="16" s="1"/>
  <c r="CJ265" i="16"/>
  <c r="CJ287" i="16" s="1"/>
  <c r="CI265" i="16"/>
  <c r="CH265" i="16"/>
  <c r="CH287" i="16" s="1"/>
  <c r="CG265" i="16"/>
  <c r="CG287" i="16" s="1"/>
  <c r="CF265" i="16"/>
  <c r="CF287" i="16" s="1"/>
  <c r="CE265" i="16"/>
  <c r="CD265" i="16"/>
  <c r="CD287" i="16" s="1"/>
  <c r="CC265" i="16"/>
  <c r="CB265" i="16"/>
  <c r="CB287" i="16" s="1"/>
  <c r="CA265" i="16"/>
  <c r="CA287" i="16" s="1"/>
  <c r="BZ265" i="16"/>
  <c r="BZ287" i="16" s="1"/>
  <c r="BY265" i="16"/>
  <c r="BX265" i="16"/>
  <c r="BX287" i="16" s="1"/>
  <c r="BX289" i="16" s="1"/>
  <c r="BW265" i="16"/>
  <c r="BW287" i="16" s="1"/>
  <c r="BV265" i="16"/>
  <c r="BU265" i="16"/>
  <c r="BU287" i="16" s="1"/>
  <c r="BT265" i="16"/>
  <c r="BT287" i="16" s="1"/>
  <c r="BS265" i="16"/>
  <c r="BS287" i="16" s="1"/>
  <c r="BR265" i="16"/>
  <c r="BR287" i="16" s="1"/>
  <c r="BQ265" i="16"/>
  <c r="BQ287" i="16" s="1"/>
  <c r="BP265" i="16"/>
  <c r="BO265" i="16"/>
  <c r="BO287" i="16" s="1"/>
  <c r="BN265" i="16"/>
  <c r="BN287" i="16" s="1"/>
  <c r="BM265" i="16"/>
  <c r="BM287" i="16" s="1"/>
  <c r="BL265" i="16"/>
  <c r="BL287" i="16" s="1"/>
  <c r="BK265" i="16"/>
  <c r="BK287" i="16" s="1"/>
  <c r="BJ265" i="16"/>
  <c r="BJ287" i="16" s="1"/>
  <c r="BI265" i="16"/>
  <c r="BI287" i="16" s="1"/>
  <c r="BH265" i="16"/>
  <c r="BH287" i="16" s="1"/>
  <c r="BG265" i="16"/>
  <c r="BF265" i="16"/>
  <c r="BF287" i="16" s="1"/>
  <c r="BE265" i="16"/>
  <c r="BE287" i="16" s="1"/>
  <c r="BD265" i="16"/>
  <c r="BD287" i="16" s="1"/>
  <c r="BC265" i="16"/>
  <c r="BC287" i="16" s="1"/>
  <c r="BB265" i="16"/>
  <c r="BB287" i="16" s="1"/>
  <c r="BA265" i="16"/>
  <c r="BA287" i="16" s="1"/>
  <c r="AZ265" i="16"/>
  <c r="AZ287" i="16" s="1"/>
  <c r="AY265" i="16"/>
  <c r="AY287" i="16" s="1"/>
  <c r="AX265" i="16"/>
  <c r="AX287" i="16" s="1"/>
  <c r="AW265" i="16"/>
  <c r="AW287" i="16" s="1"/>
  <c r="AV265" i="16"/>
  <c r="AV287" i="16" s="1"/>
  <c r="AV289" i="16" s="1"/>
  <c r="AU265" i="16"/>
  <c r="AU287" i="16" s="1"/>
  <c r="AT265" i="16"/>
  <c r="AT287" i="16" s="1"/>
  <c r="AS265" i="16"/>
  <c r="AR265" i="16"/>
  <c r="AR287" i="16" s="1"/>
  <c r="AQ265" i="16"/>
  <c r="AQ287" i="16" s="1"/>
  <c r="AP265" i="16"/>
  <c r="AP287" i="16" s="1"/>
  <c r="AO265" i="16"/>
  <c r="AN265" i="16"/>
  <c r="AM265" i="16"/>
  <c r="AM287" i="16" s="1"/>
  <c r="AL265" i="16"/>
  <c r="AL287" i="16" s="1"/>
  <c r="AK265" i="16"/>
  <c r="AK287" i="16" s="1"/>
  <c r="AJ265" i="16"/>
  <c r="AJ287" i="16" s="1"/>
  <c r="AI265" i="16"/>
  <c r="AI287" i="16" s="1"/>
  <c r="AH265" i="16"/>
  <c r="AH287" i="16" s="1"/>
  <c r="AH289" i="16" s="1"/>
  <c r="AG265" i="16"/>
  <c r="AG287" i="16" s="1"/>
  <c r="AF265" i="16"/>
  <c r="AE265" i="16"/>
  <c r="AE287" i="16" s="1"/>
  <c r="AD265" i="16"/>
  <c r="AD287" i="16" s="1"/>
  <c r="AC265" i="16"/>
  <c r="AC287" i="16" s="1"/>
  <c r="AB265" i="16"/>
  <c r="AB287" i="16" s="1"/>
  <c r="AA265" i="16"/>
  <c r="AA287" i="16" s="1"/>
  <c r="Z265" i="16"/>
  <c r="Y265" i="16"/>
  <c r="X265" i="16"/>
  <c r="X287" i="16" s="1"/>
  <c r="W265" i="16"/>
  <c r="W287" i="16" s="1"/>
  <c r="V265" i="16"/>
  <c r="V287" i="16" s="1"/>
  <c r="U265" i="16"/>
  <c r="U287" i="16" s="1"/>
  <c r="U289" i="16" s="1"/>
  <c r="U290" i="16" s="1"/>
  <c r="T265" i="16"/>
  <c r="T287" i="16" s="1"/>
  <c r="S265" i="16"/>
  <c r="S287" i="16" s="1"/>
  <c r="R265" i="16"/>
  <c r="R287" i="16" s="1"/>
  <c r="Q265" i="16"/>
  <c r="Q287" i="16" s="1"/>
  <c r="P265" i="16"/>
  <c r="P287" i="16" s="1"/>
  <c r="O265" i="16"/>
  <c r="O287" i="16" s="1"/>
  <c r="N265" i="16"/>
  <c r="N287" i="16" s="1"/>
  <c r="M265" i="16"/>
  <c r="L265" i="16"/>
  <c r="K265" i="16"/>
  <c r="K287" i="16" s="1"/>
  <c r="J265" i="16"/>
  <c r="J287" i="16" s="1"/>
  <c r="I265" i="16"/>
  <c r="I287" i="16" s="1"/>
  <c r="H265" i="16"/>
  <c r="H287" i="16" s="1"/>
  <c r="G265" i="16"/>
  <c r="DC264" i="16"/>
  <c r="DB264" i="16"/>
  <c r="DA264" i="16"/>
  <c r="CZ264" i="16"/>
  <c r="CY264" i="16"/>
  <c r="CX264" i="16"/>
  <c r="CW264" i="16"/>
  <c r="CV264" i="16"/>
  <c r="CU264" i="16"/>
  <c r="CT264" i="16"/>
  <c r="CS264" i="16"/>
  <c r="CR264" i="16"/>
  <c r="CQ264" i="16"/>
  <c r="CP264" i="16"/>
  <c r="CO264" i="16"/>
  <c r="CN264" i="16"/>
  <c r="CM264" i="16"/>
  <c r="CL264" i="16"/>
  <c r="CK264" i="16"/>
  <c r="CJ264" i="16"/>
  <c r="CI264" i="16"/>
  <c r="CH264" i="16"/>
  <c r="CG264" i="16"/>
  <c r="CF264" i="16"/>
  <c r="CE264" i="16"/>
  <c r="CD264" i="16"/>
  <c r="CC264" i="16"/>
  <c r="CB264" i="16"/>
  <c r="CA264" i="16"/>
  <c r="BZ264" i="16"/>
  <c r="BY264" i="16"/>
  <c r="BX264" i="16"/>
  <c r="BW264" i="16"/>
  <c r="BV264" i="16"/>
  <c r="BU264" i="16"/>
  <c r="BT264" i="16"/>
  <c r="BS264" i="16"/>
  <c r="BR264" i="16"/>
  <c r="BQ264" i="16"/>
  <c r="BP264" i="16"/>
  <c r="BO264" i="16"/>
  <c r="BN264" i="16"/>
  <c r="BM264" i="16"/>
  <c r="BL264" i="16"/>
  <c r="BK264" i="16"/>
  <c r="BJ264" i="16"/>
  <c r="BI264" i="16"/>
  <c r="BH264" i="16"/>
  <c r="BG264" i="16"/>
  <c r="BF264" i="16"/>
  <c r="BE264" i="16"/>
  <c r="BD264" i="16"/>
  <c r="BC264" i="16"/>
  <c r="BB264" i="16"/>
  <c r="BA264" i="16"/>
  <c r="AZ264" i="16"/>
  <c r="AY264" i="16"/>
  <c r="AX264" i="16"/>
  <c r="AW264" i="16"/>
  <c r="AV264" i="16"/>
  <c r="AU264" i="16"/>
  <c r="AT264" i="16"/>
  <c r="AS264" i="16"/>
  <c r="AR264" i="16"/>
  <c r="AQ264" i="16"/>
  <c r="AP264" i="16"/>
  <c r="AO264" i="16"/>
  <c r="AN264" i="16"/>
  <c r="AM264" i="16"/>
  <c r="AL264" i="16"/>
  <c r="AK264" i="16"/>
  <c r="AJ264" i="16"/>
  <c r="AI264" i="16"/>
  <c r="AI267" i="16" s="1"/>
  <c r="AH264" i="16"/>
  <c r="AG264" i="16"/>
  <c r="AF264" i="16"/>
  <c r="AE264" i="16"/>
  <c r="AD264" i="16"/>
  <c r="AC264" i="16"/>
  <c r="AB264" i="16"/>
  <c r="AA264" i="16"/>
  <c r="Z264" i="16"/>
  <c r="Y264" i="16"/>
  <c r="X264" i="16"/>
  <c r="W264" i="16"/>
  <c r="V264" i="16"/>
  <c r="U264" i="16"/>
  <c r="T264" i="16"/>
  <c r="S264" i="16"/>
  <c r="R264" i="16"/>
  <c r="Q264" i="16"/>
  <c r="P264" i="16"/>
  <c r="O264" i="16"/>
  <c r="N264" i="16"/>
  <c r="M264" i="16"/>
  <c r="L264" i="16"/>
  <c r="K264" i="16"/>
  <c r="J264" i="16"/>
  <c r="I264" i="16"/>
  <c r="H264" i="16"/>
  <c r="G264" i="16"/>
  <c r="DC263" i="16"/>
  <c r="DB263" i="16"/>
  <c r="DA263" i="16"/>
  <c r="CZ263" i="16"/>
  <c r="CY263" i="16"/>
  <c r="CX263" i="16"/>
  <c r="CW263" i="16"/>
  <c r="CV263" i="16"/>
  <c r="CU263" i="16"/>
  <c r="CT263" i="16"/>
  <c r="CS263" i="16"/>
  <c r="CR263" i="16"/>
  <c r="CQ263" i="16"/>
  <c r="CP263" i="16"/>
  <c r="CO263" i="16"/>
  <c r="CN263" i="16"/>
  <c r="CM263" i="16"/>
  <c r="CL263" i="16"/>
  <c r="CK263" i="16"/>
  <c r="CJ263" i="16"/>
  <c r="CI263" i="16"/>
  <c r="CH263" i="16"/>
  <c r="CG263" i="16"/>
  <c r="CF263" i="16"/>
  <c r="CE263" i="16"/>
  <c r="CD263" i="16"/>
  <c r="CC263" i="16"/>
  <c r="CB263" i="16"/>
  <c r="CA263" i="16"/>
  <c r="BZ263" i="16"/>
  <c r="BY263" i="16"/>
  <c r="BX263" i="16"/>
  <c r="BW263" i="16"/>
  <c r="BV263" i="16"/>
  <c r="BU263" i="16"/>
  <c r="BT263" i="16"/>
  <c r="BS263" i="16"/>
  <c r="BR263" i="16"/>
  <c r="BQ263" i="16"/>
  <c r="BP263" i="16"/>
  <c r="BO263" i="16"/>
  <c r="BN263" i="16"/>
  <c r="BM263" i="16"/>
  <c r="BL263" i="16"/>
  <c r="BK263" i="16"/>
  <c r="BJ263" i="16"/>
  <c r="BI263" i="16"/>
  <c r="BH263" i="16"/>
  <c r="BG263" i="16"/>
  <c r="BF263" i="16"/>
  <c r="BE263" i="16"/>
  <c r="BD263" i="16"/>
  <c r="BC263" i="16"/>
  <c r="BB263" i="16"/>
  <c r="BA263" i="16"/>
  <c r="AZ263" i="16"/>
  <c r="AY263" i="16"/>
  <c r="AX263" i="16"/>
  <c r="AW263" i="16"/>
  <c r="AV263" i="16"/>
  <c r="AU263" i="16"/>
  <c r="AT263" i="16"/>
  <c r="AS263" i="16"/>
  <c r="AR263" i="16"/>
  <c r="AQ263" i="16"/>
  <c r="AP263" i="16"/>
  <c r="AO263" i="16"/>
  <c r="AN263" i="16"/>
  <c r="AM263" i="16"/>
  <c r="AL263" i="16"/>
  <c r="AK263" i="16"/>
  <c r="AJ263" i="16"/>
  <c r="AI263" i="16"/>
  <c r="AH263" i="16"/>
  <c r="AG263" i="16"/>
  <c r="AF263" i="16"/>
  <c r="AE263" i="16"/>
  <c r="AD263" i="16"/>
  <c r="AC263" i="16"/>
  <c r="AB263" i="16"/>
  <c r="AA263" i="16"/>
  <c r="Z263" i="16"/>
  <c r="Y263" i="16"/>
  <c r="X263" i="16"/>
  <c r="W263" i="16"/>
  <c r="V263" i="16"/>
  <c r="U263" i="16"/>
  <c r="T263" i="16"/>
  <c r="S263" i="16"/>
  <c r="R263" i="16"/>
  <c r="Q263" i="16"/>
  <c r="P263" i="16"/>
  <c r="O263" i="16"/>
  <c r="N263" i="16"/>
  <c r="M263" i="16"/>
  <c r="L263" i="16"/>
  <c r="K263" i="16"/>
  <c r="J263" i="16"/>
  <c r="I263" i="16"/>
  <c r="H263" i="16"/>
  <c r="G263" i="16"/>
  <c r="DC262" i="16"/>
  <c r="DB262" i="16"/>
  <c r="DA262" i="16"/>
  <c r="CZ262" i="16"/>
  <c r="CY262" i="16"/>
  <c r="CX262" i="16"/>
  <c r="CW262" i="16"/>
  <c r="CV262" i="16"/>
  <c r="CU262" i="16"/>
  <c r="CT262" i="16"/>
  <c r="CS262" i="16"/>
  <c r="CR262" i="16"/>
  <c r="CQ262" i="16"/>
  <c r="CP262" i="16"/>
  <c r="CO262" i="16"/>
  <c r="CN262" i="16"/>
  <c r="CM262" i="16"/>
  <c r="CL262" i="16"/>
  <c r="CK262" i="16"/>
  <c r="CJ262" i="16"/>
  <c r="CI262" i="16"/>
  <c r="CH262" i="16"/>
  <c r="CG262" i="16"/>
  <c r="CF262" i="16"/>
  <c r="CE262" i="16"/>
  <c r="CD262" i="16"/>
  <c r="CC262" i="16"/>
  <c r="CB262" i="16"/>
  <c r="CA262" i="16"/>
  <c r="BZ262" i="16"/>
  <c r="BY262" i="16"/>
  <c r="BX262" i="16"/>
  <c r="BW262" i="16"/>
  <c r="BV262" i="16"/>
  <c r="BV267" i="16" s="1"/>
  <c r="BU262" i="16"/>
  <c r="BT262" i="16"/>
  <c r="BS262" i="16"/>
  <c r="BR262" i="16"/>
  <c r="BQ262" i="16"/>
  <c r="BP262" i="16"/>
  <c r="BO262" i="16"/>
  <c r="BN262" i="16"/>
  <c r="BM262" i="16"/>
  <c r="BL262" i="16"/>
  <c r="BK262" i="16"/>
  <c r="BJ262" i="16"/>
  <c r="BI262" i="16"/>
  <c r="BH262" i="16"/>
  <c r="BG262" i="16"/>
  <c r="BF262" i="16"/>
  <c r="BE262" i="16"/>
  <c r="BD262" i="16"/>
  <c r="BC262" i="16"/>
  <c r="BB262" i="16"/>
  <c r="BA262" i="16"/>
  <c r="AZ262" i="16"/>
  <c r="AY262" i="16"/>
  <c r="AX262" i="16"/>
  <c r="AW262" i="16"/>
  <c r="AV262" i="16"/>
  <c r="AU262" i="16"/>
  <c r="AT262" i="16"/>
  <c r="AS262" i="16"/>
  <c r="AR262" i="16"/>
  <c r="AQ262" i="16"/>
  <c r="AP262" i="16"/>
  <c r="AO262" i="16"/>
  <c r="AN262" i="16"/>
  <c r="AM262" i="16"/>
  <c r="AL262" i="16"/>
  <c r="AK262" i="16"/>
  <c r="AJ262" i="16"/>
  <c r="AI262" i="16"/>
  <c r="AH262" i="16"/>
  <c r="AG262" i="16"/>
  <c r="AF262" i="16"/>
  <c r="AE262" i="16"/>
  <c r="AD262" i="16"/>
  <c r="AC262" i="16"/>
  <c r="AB262" i="16"/>
  <c r="AA262" i="16"/>
  <c r="Z262" i="16"/>
  <c r="Y262" i="16"/>
  <c r="X262" i="16"/>
  <c r="W262" i="16"/>
  <c r="V262" i="16"/>
  <c r="U262" i="16"/>
  <c r="T262" i="16"/>
  <c r="S262" i="16"/>
  <c r="R262" i="16"/>
  <c r="Q262" i="16"/>
  <c r="P262" i="16"/>
  <c r="O262" i="16"/>
  <c r="N262" i="16"/>
  <c r="M262" i="16"/>
  <c r="L262" i="16"/>
  <c r="K262" i="16"/>
  <c r="J262" i="16"/>
  <c r="I262" i="16"/>
  <c r="H262" i="16"/>
  <c r="G262" i="16"/>
  <c r="DA260" i="16"/>
  <c r="CY260" i="16"/>
  <c r="CX260" i="16"/>
  <c r="CU260" i="16"/>
  <c r="CS260" i="16"/>
  <c r="CM260" i="16"/>
  <c r="CK260" i="16"/>
  <c r="CJ260" i="16"/>
  <c r="CG260" i="16"/>
  <c r="CE260" i="16"/>
  <c r="CC260" i="16"/>
  <c r="CB260" i="16"/>
  <c r="BV260" i="16"/>
  <c r="BU260" i="16"/>
  <c r="BO260" i="16"/>
  <c r="BC260" i="16"/>
  <c r="BB260" i="16"/>
  <c r="AY260" i="16"/>
  <c r="AT260" i="16"/>
  <c r="AO260" i="16"/>
  <c r="AM260" i="16"/>
  <c r="AK260" i="16"/>
  <c r="AI260" i="16"/>
  <c r="AD260" i="16"/>
  <c r="AC260" i="16"/>
  <c r="W260" i="16"/>
  <c r="T260" i="16"/>
  <c r="K260" i="16"/>
  <c r="DC259" i="16"/>
  <c r="CZ259" i="16"/>
  <c r="CO259" i="16"/>
  <c r="CN259" i="16"/>
  <c r="CL259" i="16"/>
  <c r="CI259" i="16"/>
  <c r="CH259" i="16"/>
  <c r="BY259" i="16"/>
  <c r="BS259" i="16"/>
  <c r="BN259" i="16"/>
  <c r="BM259" i="16"/>
  <c r="BL259" i="16"/>
  <c r="BK259" i="16"/>
  <c r="BJ259" i="16"/>
  <c r="BH259" i="16"/>
  <c r="AW259" i="16"/>
  <c r="AV259" i="16"/>
  <c r="AS259" i="16"/>
  <c r="AQ259" i="16"/>
  <c r="AP259" i="16"/>
  <c r="AN259" i="16"/>
  <c r="AI259" i="16"/>
  <c r="AH259" i="16"/>
  <c r="AC259" i="16"/>
  <c r="W259" i="16"/>
  <c r="U259" i="16"/>
  <c r="Q259" i="16"/>
  <c r="O259" i="16"/>
  <c r="J259" i="16"/>
  <c r="I259" i="16"/>
  <c r="G259" i="16"/>
  <c r="DC258" i="16"/>
  <c r="DB258" i="16"/>
  <c r="DB259" i="16" s="1"/>
  <c r="DA258" i="16"/>
  <c r="DA259" i="16" s="1"/>
  <c r="CZ258" i="16"/>
  <c r="CY258" i="16"/>
  <c r="CX258" i="16"/>
  <c r="CW258" i="16"/>
  <c r="CW259" i="16" s="1"/>
  <c r="CV258" i="16"/>
  <c r="CV260" i="16" s="1"/>
  <c r="CU258" i="16"/>
  <c r="CT258" i="16"/>
  <c r="CS258" i="16"/>
  <c r="CR258" i="16"/>
  <c r="CR260" i="16" s="1"/>
  <c r="CQ258" i="16"/>
  <c r="CP258" i="16"/>
  <c r="CP267" i="16" s="1"/>
  <c r="CO258" i="16"/>
  <c r="CN258" i="16"/>
  <c r="CM258" i="16"/>
  <c r="CM259" i="16" s="1"/>
  <c r="CL258" i="16"/>
  <c r="CK258" i="16"/>
  <c r="CJ258" i="16"/>
  <c r="CI258" i="16"/>
  <c r="CH258" i="16"/>
  <c r="CG258" i="16"/>
  <c r="CF258" i="16"/>
  <c r="CE258" i="16"/>
  <c r="CQ260" i="16" s="1"/>
  <c r="CD258" i="16"/>
  <c r="CD260" i="16" s="1"/>
  <c r="CC258" i="16"/>
  <c r="CB258" i="16"/>
  <c r="CN505" i="16" s="1"/>
  <c r="CA258" i="16"/>
  <c r="CA259" i="16" s="1"/>
  <c r="BZ258" i="16"/>
  <c r="BZ260" i="16" s="1"/>
  <c r="BY258" i="16"/>
  <c r="BX258" i="16"/>
  <c r="BW258" i="16"/>
  <c r="BV258" i="16"/>
  <c r="BU258" i="16"/>
  <c r="BT258" i="16"/>
  <c r="CF505" i="16" s="1"/>
  <c r="BS258" i="16"/>
  <c r="BR258" i="16"/>
  <c r="BQ258" i="16"/>
  <c r="BP258" i="16"/>
  <c r="BO258" i="16"/>
  <c r="BN258" i="16"/>
  <c r="BM258" i="16"/>
  <c r="BM260" i="16" s="1"/>
  <c r="BL258" i="16"/>
  <c r="BL260" i="16" s="1"/>
  <c r="BK258" i="16"/>
  <c r="BJ258" i="16"/>
  <c r="BI258" i="16"/>
  <c r="BH258" i="16"/>
  <c r="BG258" i="16"/>
  <c r="BS260" i="16" s="1"/>
  <c r="BF258" i="16"/>
  <c r="BR505" i="16" s="1"/>
  <c r="BE258" i="16"/>
  <c r="BD258" i="16"/>
  <c r="BC258" i="16"/>
  <c r="BB258" i="16"/>
  <c r="BN505" i="16" s="1"/>
  <c r="BA258" i="16"/>
  <c r="AZ258" i="16"/>
  <c r="AY258" i="16"/>
  <c r="AX258" i="16"/>
  <c r="AW258" i="16"/>
  <c r="AV258" i="16"/>
  <c r="AU258" i="16"/>
  <c r="AT258" i="16"/>
  <c r="AS258" i="16"/>
  <c r="BE505" i="16" s="1"/>
  <c r="AR258" i="16"/>
  <c r="AQ258" i="16"/>
  <c r="AP258" i="16"/>
  <c r="AO258" i="16"/>
  <c r="AN258" i="16"/>
  <c r="AZ505" i="16" s="1"/>
  <c r="AM258" i="16"/>
  <c r="AL258" i="16"/>
  <c r="AK258" i="16"/>
  <c r="AW260" i="16" s="1"/>
  <c r="AJ258" i="16"/>
  <c r="AI258" i="16"/>
  <c r="AH258" i="16"/>
  <c r="AG258" i="16"/>
  <c r="AF258" i="16"/>
  <c r="AE258" i="16"/>
  <c r="AD258" i="16"/>
  <c r="AP260" i="16" s="1"/>
  <c r="AC258" i="16"/>
  <c r="AB258" i="16"/>
  <c r="AA258" i="16"/>
  <c r="Z258" i="16"/>
  <c r="Y258" i="16"/>
  <c r="X258" i="16"/>
  <c r="W258" i="16"/>
  <c r="V258" i="16"/>
  <c r="U258" i="16"/>
  <c r="T258" i="16"/>
  <c r="T259" i="16" s="1"/>
  <c r="S258" i="16"/>
  <c r="R258" i="16"/>
  <c r="Q258" i="16"/>
  <c r="AC505" i="16" s="1"/>
  <c r="P258" i="16"/>
  <c r="O258" i="16"/>
  <c r="N258" i="16"/>
  <c r="M258" i="16"/>
  <c r="L258" i="16"/>
  <c r="L259" i="16" s="1"/>
  <c r="K258" i="16"/>
  <c r="J258" i="16"/>
  <c r="I258" i="16"/>
  <c r="I267" i="16" s="1"/>
  <c r="H258" i="16"/>
  <c r="H259" i="16" s="1"/>
  <c r="G258" i="16"/>
  <c r="CZ256" i="16"/>
  <c r="CT256" i="16"/>
  <c r="CP256" i="16"/>
  <c r="CO256" i="16"/>
  <c r="CM256" i="16"/>
  <c r="CA256" i="16"/>
  <c r="BY256" i="16"/>
  <c r="BX256" i="16"/>
  <c r="BV256" i="16"/>
  <c r="BS256" i="16"/>
  <c r="BR256" i="16"/>
  <c r="BJ256" i="16"/>
  <c r="BB256" i="16"/>
  <c r="AZ256" i="16"/>
  <c r="AW256" i="16"/>
  <c r="AV256" i="16"/>
  <c r="AQ256" i="16"/>
  <c r="AJ256" i="16"/>
  <c r="AI256" i="16"/>
  <c r="AH256" i="16"/>
  <c r="AD256" i="16"/>
  <c r="AB256" i="16"/>
  <c r="W256" i="16"/>
  <c r="T256" i="16"/>
  <c r="Q256" i="16"/>
  <c r="K256" i="16"/>
  <c r="DC255" i="16"/>
  <c r="DC256" i="16" s="1"/>
  <c r="DB255" i="16"/>
  <c r="DA255" i="16"/>
  <c r="CZ255" i="16"/>
  <c r="CZ282" i="16" s="1"/>
  <c r="CY255" i="16"/>
  <c r="CY294" i="16" s="1"/>
  <c r="CX255" i="16"/>
  <c r="CX259" i="16" s="1"/>
  <c r="CW255" i="16"/>
  <c r="CV255" i="16"/>
  <c r="CV256" i="16" s="1"/>
  <c r="CU255" i="16"/>
  <c r="CT255" i="16"/>
  <c r="CT259" i="16" s="1"/>
  <c r="CS255" i="16"/>
  <c r="CR255" i="16"/>
  <c r="CQ255" i="16"/>
  <c r="CQ294" i="16" s="1"/>
  <c r="CP255" i="16"/>
  <c r="CO255" i="16"/>
  <c r="CN255" i="16"/>
  <c r="CN298" i="16" s="1"/>
  <c r="CM255" i="16"/>
  <c r="CM298" i="16" s="1"/>
  <c r="CL255" i="16"/>
  <c r="CL256" i="16" s="1"/>
  <c r="CK255" i="16"/>
  <c r="CK256" i="16" s="1"/>
  <c r="CJ255" i="16"/>
  <c r="CJ259" i="16" s="1"/>
  <c r="CI255" i="16"/>
  <c r="CH255" i="16"/>
  <c r="CG255" i="16"/>
  <c r="CF255" i="16"/>
  <c r="CR501" i="16" s="1"/>
  <c r="CE255" i="16"/>
  <c r="CD255" i="16"/>
  <c r="CC255" i="16"/>
  <c r="CB255" i="16"/>
  <c r="CA255" i="16"/>
  <c r="CM501" i="16" s="1"/>
  <c r="BZ255" i="16"/>
  <c r="BY255" i="16"/>
  <c r="BX255" i="16"/>
  <c r="BX294" i="16" s="1"/>
  <c r="BW255" i="16"/>
  <c r="BW275" i="16" s="1"/>
  <c r="BV255" i="16"/>
  <c r="BV259" i="16" s="1"/>
  <c r="BU255" i="16"/>
  <c r="BT255" i="16"/>
  <c r="BT298" i="16" s="1"/>
  <c r="BS255" i="16"/>
  <c r="BR255" i="16"/>
  <c r="BR259" i="16" s="1"/>
  <c r="BQ255" i="16"/>
  <c r="BP255" i="16"/>
  <c r="BO255" i="16"/>
  <c r="BN255" i="16"/>
  <c r="BN294" i="16" s="1"/>
  <c r="BM255" i="16"/>
  <c r="BL255" i="16"/>
  <c r="BL298" i="16" s="1"/>
  <c r="BK255" i="16"/>
  <c r="BJ255" i="16"/>
  <c r="BI255" i="16"/>
  <c r="BH255" i="16"/>
  <c r="BT256" i="16" s="1"/>
  <c r="BG255" i="16"/>
  <c r="BF255" i="16"/>
  <c r="BE255" i="16"/>
  <c r="BE256" i="16" s="1"/>
  <c r="BD255" i="16"/>
  <c r="BD256" i="16" s="1"/>
  <c r="BC255" i="16"/>
  <c r="BB255" i="16"/>
  <c r="BN501" i="16" s="1"/>
  <c r="BA255" i="16"/>
  <c r="BA282" i="16" s="1"/>
  <c r="AZ255" i="16"/>
  <c r="BL256" i="16" s="1"/>
  <c r="AY255" i="16"/>
  <c r="BK256" i="16" s="1"/>
  <c r="AX255" i="16"/>
  <c r="AX298" i="16" s="1"/>
  <c r="AW255" i="16"/>
  <c r="AV255" i="16"/>
  <c r="AU255" i="16"/>
  <c r="AU282" i="16" s="1"/>
  <c r="AT255" i="16"/>
  <c r="AT294" i="16" s="1"/>
  <c r="AS255" i="16"/>
  <c r="AR255" i="16"/>
  <c r="AQ255" i="16"/>
  <c r="AQ298" i="16" s="1"/>
  <c r="AP255" i="16"/>
  <c r="AP256" i="16" s="1"/>
  <c r="AO255" i="16"/>
  <c r="AN255" i="16"/>
  <c r="AN294" i="16" s="1"/>
  <c r="AM255" i="16"/>
  <c r="AM256" i="16" s="1"/>
  <c r="AL255" i="16"/>
  <c r="AK255" i="16"/>
  <c r="AK298" i="16" s="1"/>
  <c r="AJ255" i="16"/>
  <c r="AI255" i="16"/>
  <c r="AI282" i="16" s="1"/>
  <c r="AH255" i="16"/>
  <c r="AG255" i="16"/>
  <c r="AF255" i="16"/>
  <c r="AF256" i="16" s="1"/>
  <c r="AE255" i="16"/>
  <c r="AD255" i="16"/>
  <c r="AC255" i="16"/>
  <c r="AB255" i="16"/>
  <c r="AB298" i="16" s="1"/>
  <c r="AA255" i="16"/>
  <c r="Z255" i="16"/>
  <c r="Y255" i="16"/>
  <c r="Y275" i="16" s="1"/>
  <c r="X255" i="16"/>
  <c r="X294" i="16" s="1"/>
  <c r="W255" i="16"/>
  <c r="V255" i="16"/>
  <c r="U255" i="16"/>
  <c r="T255" i="16"/>
  <c r="T298" i="16" s="1"/>
  <c r="S255" i="16"/>
  <c r="R255" i="16"/>
  <c r="Q255" i="16"/>
  <c r="Q294" i="16" s="1"/>
  <c r="P255" i="16"/>
  <c r="O255" i="16"/>
  <c r="O298" i="16" s="1"/>
  <c r="N255" i="16"/>
  <c r="N259" i="16" s="1"/>
  <c r="M255" i="16"/>
  <c r="L255" i="16"/>
  <c r="K255" i="16"/>
  <c r="J255" i="16"/>
  <c r="J282" i="16" s="1"/>
  <c r="I255" i="16"/>
  <c r="I282" i="16" s="1"/>
  <c r="H255" i="16"/>
  <c r="G255" i="16"/>
  <c r="G282" i="16" s="1"/>
  <c r="CV250" i="16"/>
  <c r="CT250" i="16"/>
  <c r="CS250" i="16"/>
  <c r="CM250" i="16"/>
  <c r="CI250" i="16"/>
  <c r="CH250" i="16"/>
  <c r="CG250" i="16"/>
  <c r="CF250" i="16"/>
  <c r="CE250" i="16"/>
  <c r="BV250" i="16"/>
  <c r="BR250" i="16"/>
  <c r="BQ250" i="16"/>
  <c r="BP250" i="16"/>
  <c r="BI250" i="16"/>
  <c r="BH250" i="16"/>
  <c r="BF250" i="16"/>
  <c r="BE250" i="16"/>
  <c r="BD250" i="16"/>
  <c r="AW250" i="16"/>
  <c r="AT250" i="16"/>
  <c r="AR250" i="16"/>
  <c r="AQ250" i="16"/>
  <c r="AP250" i="16"/>
  <c r="AO250" i="16"/>
  <c r="AN250" i="16"/>
  <c r="AF250" i="16"/>
  <c r="AD250" i="16"/>
  <c r="AC250" i="16"/>
  <c r="AB250" i="16"/>
  <c r="AA250" i="16"/>
  <c r="Z250" i="16"/>
  <c r="U250" i="16"/>
  <c r="P250" i="16"/>
  <c r="N250" i="16"/>
  <c r="M250" i="16"/>
  <c r="L250" i="16"/>
  <c r="CY249" i="16"/>
  <c r="CI249" i="16"/>
  <c r="BZ249" i="16"/>
  <c r="BK249" i="16"/>
  <c r="BH249" i="16"/>
  <c r="AZ249" i="16"/>
  <c r="AX249" i="16"/>
  <c r="AG249" i="16"/>
  <c r="R249" i="16"/>
  <c r="O249" i="16"/>
  <c r="G249" i="16"/>
  <c r="DC248" i="16"/>
  <c r="DC249" i="16" s="1"/>
  <c r="DB248" i="16"/>
  <c r="DB249" i="16" s="1"/>
  <c r="DA248" i="16"/>
  <c r="CZ248" i="16"/>
  <c r="CY248" i="16"/>
  <c r="CX248" i="16"/>
  <c r="CW248" i="16"/>
  <c r="CV248" i="16"/>
  <c r="CU248" i="16"/>
  <c r="CT248" i="16"/>
  <c r="CS248" i="16"/>
  <c r="CR248" i="16"/>
  <c r="CQ248" i="16"/>
  <c r="CP248" i="16"/>
  <c r="CP249" i="16" s="1"/>
  <c r="CO248" i="16"/>
  <c r="CN248" i="16"/>
  <c r="CN249" i="16" s="1"/>
  <c r="CM248" i="16"/>
  <c r="CL248" i="16"/>
  <c r="CK248" i="16"/>
  <c r="CK249" i="16" s="1"/>
  <c r="CJ248" i="16"/>
  <c r="CJ250" i="16" s="1"/>
  <c r="CI248" i="16"/>
  <c r="CH248" i="16"/>
  <c r="CG248" i="16"/>
  <c r="CF248" i="16"/>
  <c r="CE248" i="16"/>
  <c r="CD248" i="16"/>
  <c r="CC248" i="16"/>
  <c r="CB248" i="16"/>
  <c r="CB249" i="16" s="1"/>
  <c r="CA248" i="16"/>
  <c r="BZ248" i="16"/>
  <c r="BY248" i="16"/>
  <c r="BX248" i="16"/>
  <c r="BW248" i="16"/>
  <c r="BW249" i="16" s="1"/>
  <c r="BV248" i="16"/>
  <c r="BU248" i="16"/>
  <c r="BT248" i="16"/>
  <c r="BS248" i="16"/>
  <c r="BR248" i="16"/>
  <c r="BQ248" i="16"/>
  <c r="BP248" i="16"/>
  <c r="BO248" i="16"/>
  <c r="BN248" i="16"/>
  <c r="BN249" i="16" s="1"/>
  <c r="BM248" i="16"/>
  <c r="BL248" i="16"/>
  <c r="BL249" i="16" s="1"/>
  <c r="BK248" i="16"/>
  <c r="BJ248" i="16"/>
  <c r="BI248" i="16"/>
  <c r="BI249" i="16" s="1"/>
  <c r="BH248" i="16"/>
  <c r="BG248" i="16"/>
  <c r="BF248" i="16"/>
  <c r="BE248" i="16"/>
  <c r="BD248" i="16"/>
  <c r="BC248" i="16"/>
  <c r="BB248" i="16"/>
  <c r="BA248" i="16"/>
  <c r="AZ248" i="16"/>
  <c r="AY248" i="16"/>
  <c r="AX248" i="16"/>
  <c r="AW248" i="16"/>
  <c r="AV248" i="16"/>
  <c r="AU248" i="16"/>
  <c r="AU249" i="16" s="1"/>
  <c r="AT248" i="16"/>
  <c r="AS248" i="16"/>
  <c r="AR248" i="16"/>
  <c r="AQ248" i="16"/>
  <c r="AP248" i="16"/>
  <c r="AO248" i="16"/>
  <c r="AN248" i="16"/>
  <c r="AM248" i="16"/>
  <c r="AL248" i="16"/>
  <c r="AL249" i="16" s="1"/>
  <c r="AK248" i="16"/>
  <c r="AJ248" i="16"/>
  <c r="AJ249" i="16" s="1"/>
  <c r="AI248" i="16"/>
  <c r="AH248" i="16"/>
  <c r="AG248" i="16"/>
  <c r="AF248" i="16"/>
  <c r="AE248" i="16"/>
  <c r="AD248" i="16"/>
  <c r="AC248" i="16"/>
  <c r="AB248" i="16"/>
  <c r="AA248" i="16"/>
  <c r="Z248" i="16"/>
  <c r="Y248" i="16"/>
  <c r="X248" i="16"/>
  <c r="X249" i="16" s="1"/>
  <c r="W248" i="16"/>
  <c r="V248" i="16"/>
  <c r="V249" i="16" s="1"/>
  <c r="U248" i="16"/>
  <c r="T248" i="16"/>
  <c r="S248" i="16"/>
  <c r="S249" i="16" s="1"/>
  <c r="R248" i="16"/>
  <c r="Q248" i="16"/>
  <c r="P248" i="16"/>
  <c r="O248" i="16"/>
  <c r="N248" i="16"/>
  <c r="M248" i="16"/>
  <c r="L248" i="16"/>
  <c r="K248" i="16"/>
  <c r="J248" i="16"/>
  <c r="J249" i="16" s="1"/>
  <c r="I248" i="16"/>
  <c r="H248" i="16"/>
  <c r="H249" i="16" s="1"/>
  <c r="G248" i="16"/>
  <c r="CV246" i="16"/>
  <c r="CR246" i="16"/>
  <c r="CQ246" i="16"/>
  <c r="CP246" i="16"/>
  <c r="CO246" i="16"/>
  <c r="CI246" i="16"/>
  <c r="CH246" i="16"/>
  <c r="CF246" i="16"/>
  <c r="CE246" i="16"/>
  <c r="CD246" i="16"/>
  <c r="CA246" i="16"/>
  <c r="BU246" i="16"/>
  <c r="BT246" i="16"/>
  <c r="BR246" i="16"/>
  <c r="BQ246" i="16"/>
  <c r="BP246" i="16"/>
  <c r="BO246" i="16"/>
  <c r="BN246" i="16"/>
  <c r="BF246" i="16"/>
  <c r="BE246" i="16"/>
  <c r="BD246" i="16"/>
  <c r="BC246" i="16"/>
  <c r="BB246" i="16"/>
  <c r="BA246" i="16"/>
  <c r="AZ246" i="16"/>
  <c r="AY246" i="16"/>
  <c r="AS246" i="16"/>
  <c r="AP246" i="16"/>
  <c r="AN246" i="16"/>
  <c r="AM246" i="16"/>
  <c r="AL246" i="16"/>
  <c r="AI246" i="16"/>
  <c r="AD246" i="16"/>
  <c r="AC246" i="16"/>
  <c r="AB246" i="16"/>
  <c r="Z246" i="16"/>
  <c r="Y246" i="16"/>
  <c r="X246" i="16"/>
  <c r="CY245" i="16"/>
  <c r="CJ245" i="16"/>
  <c r="CF245" i="16"/>
  <c r="BW245" i="16"/>
  <c r="BH245" i="16"/>
  <c r="AU245" i="16"/>
  <c r="AJ245" i="16"/>
  <c r="AG245" i="16"/>
  <c r="U245" i="16"/>
  <c r="DC244" i="16"/>
  <c r="DB244" i="16"/>
  <c r="DB246" i="16" s="1"/>
  <c r="DA244" i="16"/>
  <c r="DA250" i="16" s="1"/>
  <c r="CZ244" i="16"/>
  <c r="CY244" i="16"/>
  <c r="CX244" i="16"/>
  <c r="CW244" i="16"/>
  <c r="CV244" i="16"/>
  <c r="CU244" i="16"/>
  <c r="CU246" i="16" s="1"/>
  <c r="CT244" i="16"/>
  <c r="CS244" i="16"/>
  <c r="CR244" i="16"/>
  <c r="CQ244" i="16"/>
  <c r="CP244" i="16"/>
  <c r="CO244" i="16"/>
  <c r="CN244" i="16"/>
  <c r="CM244" i="16"/>
  <c r="CL244" i="16"/>
  <c r="CK244" i="16"/>
  <c r="CJ244" i="16"/>
  <c r="CI244" i="16"/>
  <c r="CH244" i="16"/>
  <c r="CT246" i="16" s="1"/>
  <c r="CG244" i="16"/>
  <c r="CS246" i="16" s="1"/>
  <c r="CF244" i="16"/>
  <c r="CE244" i="16"/>
  <c r="CD244" i="16"/>
  <c r="CC244" i="16"/>
  <c r="CB244" i="16"/>
  <c r="CA244" i="16"/>
  <c r="BZ244" i="16"/>
  <c r="BY244" i="16"/>
  <c r="BX244" i="16"/>
  <c r="BW244" i="16"/>
  <c r="BV244" i="16"/>
  <c r="BU244" i="16"/>
  <c r="BT244" i="16"/>
  <c r="BS244" i="16"/>
  <c r="BR244" i="16"/>
  <c r="BQ244" i="16"/>
  <c r="BP244" i="16"/>
  <c r="BO244" i="16"/>
  <c r="BN244" i="16"/>
  <c r="BM244" i="16"/>
  <c r="BL244" i="16"/>
  <c r="BX491" i="16" s="1"/>
  <c r="BK244" i="16"/>
  <c r="BJ244" i="16"/>
  <c r="BI244" i="16"/>
  <c r="BH244" i="16"/>
  <c r="BG244" i="16"/>
  <c r="BF244" i="16"/>
  <c r="BE244" i="16"/>
  <c r="BD244" i="16"/>
  <c r="BC244" i="16"/>
  <c r="BB244" i="16"/>
  <c r="BA244" i="16"/>
  <c r="AZ244" i="16"/>
  <c r="AY244" i="16"/>
  <c r="AX244" i="16"/>
  <c r="AW244" i="16"/>
  <c r="AV244" i="16"/>
  <c r="AU244" i="16"/>
  <c r="AT244" i="16"/>
  <c r="AS244" i="16"/>
  <c r="AR244" i="16"/>
  <c r="AQ244" i="16"/>
  <c r="AP244" i="16"/>
  <c r="AO244" i="16"/>
  <c r="AN244" i="16"/>
  <c r="AM244" i="16"/>
  <c r="AL244" i="16"/>
  <c r="AK244" i="16"/>
  <c r="AJ244" i="16"/>
  <c r="AI244" i="16"/>
  <c r="AH244" i="16"/>
  <c r="AG244" i="16"/>
  <c r="AF244" i="16"/>
  <c r="AE244" i="16"/>
  <c r="AE246" i="16" s="1"/>
  <c r="AD244" i="16"/>
  <c r="AC244" i="16"/>
  <c r="AO246" i="16" s="1"/>
  <c r="AB244" i="16"/>
  <c r="AA244" i="16"/>
  <c r="Z244" i="16"/>
  <c r="Y244" i="16"/>
  <c r="X244" i="16"/>
  <c r="W244" i="16"/>
  <c r="V244" i="16"/>
  <c r="U244" i="16"/>
  <c r="T244" i="16"/>
  <c r="S244" i="16"/>
  <c r="R244" i="16"/>
  <c r="R250" i="16" s="1"/>
  <c r="Q244" i="16"/>
  <c r="P244" i="16"/>
  <c r="O244" i="16"/>
  <c r="AA246" i="16" s="1"/>
  <c r="N244" i="16"/>
  <c r="M244" i="16"/>
  <c r="L244" i="16"/>
  <c r="K244" i="16"/>
  <c r="J244" i="16"/>
  <c r="I244" i="16"/>
  <c r="H244" i="16"/>
  <c r="G244" i="16"/>
  <c r="BW241" i="16"/>
  <c r="CR240" i="16"/>
  <c r="CY239" i="16"/>
  <c r="CV239" i="16"/>
  <c r="CO239" i="16"/>
  <c r="CN239" i="16"/>
  <c r="CM239" i="16"/>
  <c r="CL239" i="16"/>
  <c r="CH239" i="16"/>
  <c r="BT239" i="16"/>
  <c r="BM239" i="16"/>
  <c r="BK239" i="16"/>
  <c r="AY239" i="16"/>
  <c r="AR239" i="16"/>
  <c r="AQ239" i="16"/>
  <c r="AQ240" i="16" s="1"/>
  <c r="AJ239" i="16"/>
  <c r="AD239" i="16"/>
  <c r="V239" i="16"/>
  <c r="DB238" i="16"/>
  <c r="CZ238" i="16"/>
  <c r="CR238" i="16"/>
  <c r="CQ238" i="16"/>
  <c r="CO238" i="16"/>
  <c r="CK238" i="16"/>
  <c r="CB238" i="16"/>
  <c r="CA238" i="16"/>
  <c r="BP238" i="16"/>
  <c r="BM238" i="16"/>
  <c r="BI238" i="16"/>
  <c r="BA238" i="16"/>
  <c r="AX238" i="16"/>
  <c r="AU238" i="16"/>
  <c r="AO238" i="16"/>
  <c r="AN238" i="16"/>
  <c r="AM238" i="16"/>
  <c r="AJ238" i="16"/>
  <c r="AG238" i="16"/>
  <c r="L238" i="16"/>
  <c r="K238" i="16"/>
  <c r="I238" i="16"/>
  <c r="DC237" i="16"/>
  <c r="DB237" i="16"/>
  <c r="DA237" i="16"/>
  <c r="CZ237" i="16"/>
  <c r="CY237" i="16"/>
  <c r="CX237" i="16"/>
  <c r="CW237" i="16"/>
  <c r="CV237" i="16"/>
  <c r="CU237" i="16"/>
  <c r="CT237" i="16"/>
  <c r="CS237" i="16"/>
  <c r="CR237" i="16"/>
  <c r="CQ237" i="16"/>
  <c r="CP237" i="16"/>
  <c r="CO237" i="16"/>
  <c r="CN237" i="16"/>
  <c r="CM237" i="16"/>
  <c r="CL237" i="16"/>
  <c r="CK237" i="16"/>
  <c r="CJ237" i="16"/>
  <c r="CI237" i="16"/>
  <c r="CH237" i="16"/>
  <c r="CG237" i="16"/>
  <c r="CF237" i="16"/>
  <c r="CE237" i="16"/>
  <c r="CD237" i="16"/>
  <c r="CD240" i="16" s="1"/>
  <c r="CC237" i="16"/>
  <c r="CB237" i="16"/>
  <c r="CA237" i="16"/>
  <c r="BZ237" i="16"/>
  <c r="BY237" i="16"/>
  <c r="BX237" i="16"/>
  <c r="BW237" i="16"/>
  <c r="BV237" i="16"/>
  <c r="BU237" i="16"/>
  <c r="BT237" i="16"/>
  <c r="BS237" i="16"/>
  <c r="BR237" i="16"/>
  <c r="BQ237" i="16"/>
  <c r="BP237" i="16"/>
  <c r="BO237" i="16"/>
  <c r="BN237" i="16"/>
  <c r="BM237" i="16"/>
  <c r="BL237" i="16"/>
  <c r="BK237" i="16"/>
  <c r="BJ237" i="16"/>
  <c r="BI237" i="16"/>
  <c r="BH237" i="16"/>
  <c r="BG237" i="16"/>
  <c r="BF237" i="16"/>
  <c r="BE237" i="16"/>
  <c r="BD237" i="16"/>
  <c r="BC237" i="16"/>
  <c r="BB237" i="16"/>
  <c r="BA237" i="16"/>
  <c r="AZ237" i="16"/>
  <c r="AY237" i="16"/>
  <c r="AX237" i="16"/>
  <c r="AW237" i="16"/>
  <c r="AV237" i="16"/>
  <c r="AU237" i="16"/>
  <c r="AT237" i="16"/>
  <c r="AS237" i="16"/>
  <c r="AR237" i="16"/>
  <c r="AQ237" i="16"/>
  <c r="AP237" i="16"/>
  <c r="AO237" i="16"/>
  <c r="AN237" i="16"/>
  <c r="AM237" i="16"/>
  <c r="AL237" i="16"/>
  <c r="AK237" i="16"/>
  <c r="AJ237" i="16"/>
  <c r="AI237" i="16"/>
  <c r="AH237" i="16"/>
  <c r="AG237" i="16"/>
  <c r="AF237" i="16"/>
  <c r="AE237" i="16"/>
  <c r="AD237" i="16"/>
  <c r="AC237" i="16"/>
  <c r="AB237" i="16"/>
  <c r="AA237" i="16"/>
  <c r="Z237" i="16"/>
  <c r="Y237" i="16"/>
  <c r="Y240" i="16" s="1"/>
  <c r="X237" i="16"/>
  <c r="W237" i="16"/>
  <c r="V237" i="16"/>
  <c r="V240" i="16" s="1"/>
  <c r="AH487" i="16" s="1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CY236" i="16"/>
  <c r="CV236" i="16"/>
  <c r="CU236" i="16"/>
  <c r="CS236" i="16"/>
  <c r="CQ236" i="16"/>
  <c r="CP236" i="16"/>
  <c r="CJ236" i="16"/>
  <c r="CH236" i="16"/>
  <c r="CE236" i="16"/>
  <c r="CC236" i="16"/>
  <c r="CA236" i="16"/>
  <c r="BW236" i="16"/>
  <c r="BV236" i="16"/>
  <c r="BQ236" i="16"/>
  <c r="BP236" i="16"/>
  <c r="BO236" i="16"/>
  <c r="BO240" i="16" s="1"/>
  <c r="BI236" i="16"/>
  <c r="BH236" i="16"/>
  <c r="BF236" i="16"/>
  <c r="BF240" i="16" s="1"/>
  <c r="AZ236" i="16"/>
  <c r="AY236" i="16"/>
  <c r="AU236" i="16"/>
  <c r="AU240" i="16" s="1"/>
  <c r="AN236" i="16"/>
  <c r="AM236" i="16"/>
  <c r="AL236" i="16"/>
  <c r="AK236" i="16"/>
  <c r="AG236" i="16"/>
  <c r="AE236" i="16"/>
  <c r="AD236" i="16"/>
  <c r="Z236" i="16"/>
  <c r="Z240" i="16" s="1"/>
  <c r="W236" i="16"/>
  <c r="S236" i="16"/>
  <c r="R236" i="16"/>
  <c r="M236" i="16"/>
  <c r="L236" i="16"/>
  <c r="K236" i="16"/>
  <c r="DA234" i="16"/>
  <c r="CY234" i="16"/>
  <c r="CV234" i="16"/>
  <c r="CU234" i="16"/>
  <c r="CR234" i="16"/>
  <c r="CI234" i="16"/>
  <c r="CH234" i="16"/>
  <c r="CE234" i="16"/>
  <c r="BV234" i="16"/>
  <c r="BU234" i="16"/>
  <c r="BT234" i="16"/>
  <c r="BR234" i="16"/>
  <c r="BM234" i="16"/>
  <c r="BK234" i="16"/>
  <c r="BE234" i="16"/>
  <c r="BD234" i="16"/>
  <c r="BC234" i="16"/>
  <c r="AV234" i="16"/>
  <c r="AT234" i="16"/>
  <c r="AS234" i="16"/>
  <c r="AQ234" i="16"/>
  <c r="AP234" i="16"/>
  <c r="AK234" i="16"/>
  <c r="AA234" i="16"/>
  <c r="W234" i="16"/>
  <c r="T234" i="16"/>
  <c r="DA233" i="16"/>
  <c r="CS233" i="16"/>
  <c r="CB233" i="16"/>
  <c r="BW233" i="16"/>
  <c r="BV233" i="16"/>
  <c r="BM233" i="16"/>
  <c r="BI233" i="16"/>
  <c r="AU233" i="16"/>
  <c r="AL233" i="16"/>
  <c r="T233" i="16"/>
  <c r="K233" i="16"/>
  <c r="H233" i="16"/>
  <c r="DC232" i="16"/>
  <c r="DB232" i="16"/>
  <c r="DA232" i="16"/>
  <c r="DA225" i="16" s="1"/>
  <c r="DA227" i="16" s="1"/>
  <c r="CZ232" i="16"/>
  <c r="CY232" i="16"/>
  <c r="CX232" i="16"/>
  <c r="CW232" i="16"/>
  <c r="CV232" i="16"/>
  <c r="CU232" i="16"/>
  <c r="CT232" i="16"/>
  <c r="CT234" i="16" s="1"/>
  <c r="CS232" i="16"/>
  <c r="CR232" i="16"/>
  <c r="CQ232" i="16"/>
  <c r="CQ234" i="16" s="1"/>
  <c r="CP232" i="16"/>
  <c r="CO232" i="16"/>
  <c r="CO234" i="16" s="1"/>
  <c r="CN232" i="16"/>
  <c r="CM232" i="16"/>
  <c r="CL232" i="16"/>
  <c r="CK232" i="16"/>
  <c r="CJ232" i="16"/>
  <c r="CI232" i="16"/>
  <c r="CH232" i="16"/>
  <c r="CG232" i="16"/>
  <c r="CF232" i="16"/>
  <c r="CF234" i="16" s="1"/>
  <c r="CE232" i="16"/>
  <c r="CD232" i="16"/>
  <c r="CC232" i="16"/>
  <c r="CC234" i="16" s="1"/>
  <c r="CB232" i="16"/>
  <c r="CA232" i="16"/>
  <c r="CA234" i="16" s="1"/>
  <c r="BZ232" i="16"/>
  <c r="BY232" i="16"/>
  <c r="BX232" i="16"/>
  <c r="BW232" i="16"/>
  <c r="BV232" i="16"/>
  <c r="BV225" i="16" s="1"/>
  <c r="BU232" i="16"/>
  <c r="BT232" i="16"/>
  <c r="BS232" i="16"/>
  <c r="BS234" i="16" s="1"/>
  <c r="BR232" i="16"/>
  <c r="BQ232" i="16"/>
  <c r="BQ234" i="16" s="1"/>
  <c r="BP232" i="16"/>
  <c r="BP234" i="16" s="1"/>
  <c r="BO232" i="16"/>
  <c r="BN232" i="16"/>
  <c r="BM232" i="16"/>
  <c r="BM225" i="16" s="1"/>
  <c r="BL232" i="16"/>
  <c r="BK232" i="16"/>
  <c r="BK233" i="16" s="1"/>
  <c r="BJ232" i="16"/>
  <c r="BI232" i="16"/>
  <c r="BI225" i="16" s="1"/>
  <c r="BH232" i="16"/>
  <c r="BG232" i="16"/>
  <c r="BF232" i="16"/>
  <c r="BE232" i="16"/>
  <c r="BD232" i="16"/>
  <c r="BC232" i="16"/>
  <c r="BB232" i="16"/>
  <c r="BA232" i="16"/>
  <c r="AZ232" i="16"/>
  <c r="AY232" i="16"/>
  <c r="AX232" i="16"/>
  <c r="AW232" i="16"/>
  <c r="AV232" i="16"/>
  <c r="AU232" i="16"/>
  <c r="AU225" i="16" s="1"/>
  <c r="AT232" i="16"/>
  <c r="AS232" i="16"/>
  <c r="AR232" i="16"/>
  <c r="AQ232" i="16"/>
  <c r="AP232" i="16"/>
  <c r="AO232" i="16"/>
  <c r="AN232" i="16"/>
  <c r="AM232" i="16"/>
  <c r="AM234" i="16" s="1"/>
  <c r="AL232" i="16"/>
  <c r="AK232" i="16"/>
  <c r="AJ232" i="16"/>
  <c r="AI232" i="16"/>
  <c r="AH232" i="16"/>
  <c r="AG232" i="16"/>
  <c r="AF232" i="16"/>
  <c r="AF234" i="16" s="1"/>
  <c r="AE232" i="16"/>
  <c r="AD232" i="16"/>
  <c r="AC232" i="16"/>
  <c r="AB232" i="16"/>
  <c r="AA232" i="16"/>
  <c r="Z232" i="16"/>
  <c r="Y232" i="16"/>
  <c r="X232" i="16"/>
  <c r="W232" i="16"/>
  <c r="W225" i="16" s="1"/>
  <c r="V232" i="16"/>
  <c r="U232" i="16"/>
  <c r="T232" i="16"/>
  <c r="S232" i="16"/>
  <c r="R232" i="16"/>
  <c r="R225" i="16" s="1"/>
  <c r="Q232" i="16"/>
  <c r="P232" i="16"/>
  <c r="O232" i="16"/>
  <c r="N232" i="16"/>
  <c r="M232" i="16"/>
  <c r="L232" i="16"/>
  <c r="L225" i="16" s="1"/>
  <c r="K232" i="16"/>
  <c r="J232" i="16"/>
  <c r="I232" i="16"/>
  <c r="H232" i="16"/>
  <c r="N479" i="16" s="1"/>
  <c r="G232" i="16"/>
  <c r="CY230" i="16"/>
  <c r="CU230" i="16"/>
  <c r="CS230" i="16"/>
  <c r="CP230" i="16"/>
  <c r="CM230" i="16"/>
  <c r="CL230" i="16"/>
  <c r="CJ230" i="16"/>
  <c r="CI230" i="16"/>
  <c r="CE230" i="16"/>
  <c r="CB230" i="16"/>
  <c r="BY230" i="16"/>
  <c r="BU230" i="16"/>
  <c r="BR230" i="16"/>
  <c r="BQ230" i="16"/>
  <c r="BO230" i="16"/>
  <c r="BN230" i="16"/>
  <c r="BI230" i="16"/>
  <c r="BE230" i="16"/>
  <c r="BD230" i="16"/>
  <c r="BC230" i="16"/>
  <c r="AV230" i="16"/>
  <c r="AU230" i="16"/>
  <c r="AO230" i="16"/>
  <c r="AF230" i="16"/>
  <c r="AA230" i="16"/>
  <c r="Y230" i="16"/>
  <c r="X230" i="16"/>
  <c r="T230" i="16"/>
  <c r="M230" i="16"/>
  <c r="L230" i="16"/>
  <c r="K230" i="16"/>
  <c r="CH227" i="16"/>
  <c r="BY227" i="16"/>
  <c r="BU227" i="16"/>
  <c r="BQ227" i="16"/>
  <c r="BE227" i="16"/>
  <c r="AF227" i="16"/>
  <c r="AD227" i="16"/>
  <c r="AC227" i="16"/>
  <c r="AA227" i="16"/>
  <c r="CY226" i="16"/>
  <c r="CS226" i="16"/>
  <c r="CI226" i="16"/>
  <c r="CF226" i="16"/>
  <c r="BX226" i="16"/>
  <c r="BI226" i="16"/>
  <c r="BE226" i="16"/>
  <c r="BD226" i="16"/>
  <c r="AO226" i="16"/>
  <c r="AA226" i="16"/>
  <c r="T226" i="16"/>
  <c r="O226" i="16"/>
  <c r="CZ225" i="16"/>
  <c r="CY225" i="16"/>
  <c r="CW225" i="16"/>
  <c r="CW230" i="16" s="1"/>
  <c r="CV225" i="16"/>
  <c r="CU225" i="16"/>
  <c r="CT225" i="16"/>
  <c r="CS225" i="16"/>
  <c r="CR225" i="16"/>
  <c r="CQ225" i="16"/>
  <c r="CQ230" i="16" s="1"/>
  <c r="CP225" i="16"/>
  <c r="CO225" i="16"/>
  <c r="CM225" i="16"/>
  <c r="CL225" i="16"/>
  <c r="CJ225" i="16"/>
  <c r="CI225" i="16"/>
  <c r="CH225" i="16"/>
  <c r="CG225" i="16"/>
  <c r="CF225" i="16"/>
  <c r="CF230" i="16" s="1"/>
  <c r="CE225" i="16"/>
  <c r="CD225" i="16"/>
  <c r="CC225" i="16"/>
  <c r="CC230" i="16" s="1"/>
  <c r="CB225" i="16"/>
  <c r="CA225" i="16"/>
  <c r="BZ225" i="16"/>
  <c r="BY225" i="16"/>
  <c r="BX225" i="16"/>
  <c r="BU225" i="16"/>
  <c r="BT225" i="16"/>
  <c r="BT230" i="16" s="1"/>
  <c r="BS225" i="16"/>
  <c r="BS230" i="16" s="1"/>
  <c r="BR225" i="16"/>
  <c r="BQ225" i="16"/>
  <c r="BO225" i="16"/>
  <c r="BN225" i="16"/>
  <c r="BK225" i="16"/>
  <c r="BK226" i="16" s="1"/>
  <c r="BJ225" i="16"/>
  <c r="BH225" i="16"/>
  <c r="BH227" i="16" s="1"/>
  <c r="BG225" i="16"/>
  <c r="BF225" i="16"/>
  <c r="BF230" i="16" s="1"/>
  <c r="BE225" i="16"/>
  <c r="BD225" i="16"/>
  <c r="BC225" i="16"/>
  <c r="AZ225" i="16"/>
  <c r="AY225" i="16"/>
  <c r="AV225" i="16"/>
  <c r="AT225" i="16"/>
  <c r="AS225" i="16"/>
  <c r="AR225" i="16"/>
  <c r="AQ225" i="16"/>
  <c r="AQ219" i="16" s="1"/>
  <c r="AO225" i="16"/>
  <c r="AN225" i="16"/>
  <c r="AN219" i="16" s="1"/>
  <c r="AM225" i="16"/>
  <c r="AL225" i="16"/>
  <c r="AL230" i="16" s="1"/>
  <c r="AI225" i="16"/>
  <c r="AH225" i="16"/>
  <c r="AF225" i="16"/>
  <c r="AE225" i="16"/>
  <c r="AE230" i="16" s="1"/>
  <c r="AD225" i="16"/>
  <c r="AC225" i="16"/>
  <c r="AB225" i="16"/>
  <c r="AA225" i="16"/>
  <c r="Z225" i="16"/>
  <c r="Y225" i="16"/>
  <c r="Y227" i="16" s="1"/>
  <c r="X225" i="16"/>
  <c r="T225" i="16"/>
  <c r="Q225" i="16"/>
  <c r="P225" i="16"/>
  <c r="O225" i="16"/>
  <c r="O230" i="16" s="1"/>
  <c r="N225" i="16"/>
  <c r="M225" i="16"/>
  <c r="K225" i="16"/>
  <c r="J225" i="16"/>
  <c r="I225" i="16"/>
  <c r="I230" i="16" s="1"/>
  <c r="H225" i="16"/>
  <c r="H230" i="16" s="1"/>
  <c r="G225" i="16"/>
  <c r="DC224" i="16"/>
  <c r="DB224" i="16"/>
  <c r="DA224" i="16"/>
  <c r="CZ224" i="16"/>
  <c r="CY224" i="16"/>
  <c r="CX224" i="16"/>
  <c r="CW224" i="16"/>
  <c r="CV224" i="16"/>
  <c r="CU224" i="16"/>
  <c r="CT224" i="16"/>
  <c r="CS224" i="16"/>
  <c r="CR224" i="16"/>
  <c r="CQ224" i="16"/>
  <c r="CQ219" i="16" s="1"/>
  <c r="CQ218" i="16" s="1"/>
  <c r="CP224" i="16"/>
  <c r="CO224" i="16"/>
  <c r="CN224" i="16"/>
  <c r="CM224" i="16"/>
  <c r="CL224" i="16"/>
  <c r="CK224" i="16"/>
  <c r="CJ224" i="16"/>
  <c r="CI224" i="16"/>
  <c r="CH224" i="16"/>
  <c r="CG224" i="16"/>
  <c r="CF224" i="16"/>
  <c r="CE224" i="16"/>
  <c r="CD224" i="16"/>
  <c r="CC224" i="16"/>
  <c r="CB224" i="16"/>
  <c r="CA224" i="16"/>
  <c r="BZ224" i="16"/>
  <c r="BY224" i="16"/>
  <c r="BX224" i="16"/>
  <c r="BW224" i="16"/>
  <c r="BV224" i="16"/>
  <c r="BU224" i="16"/>
  <c r="BT224" i="16"/>
  <c r="BS224" i="16"/>
  <c r="BR224" i="16"/>
  <c r="BQ224" i="16"/>
  <c r="BP224" i="16"/>
  <c r="BO224" i="16"/>
  <c r="BO219" i="16" s="1"/>
  <c r="BN224" i="16"/>
  <c r="BM224" i="16"/>
  <c r="BL224" i="16"/>
  <c r="BK224" i="16"/>
  <c r="BJ224" i="16"/>
  <c r="BI224" i="16"/>
  <c r="BI219" i="16" s="1"/>
  <c r="BH224" i="16"/>
  <c r="BG224" i="16"/>
  <c r="BF224" i="16"/>
  <c r="BE224" i="16"/>
  <c r="BD224" i="16"/>
  <c r="BC224" i="16"/>
  <c r="BC219" i="16" s="1"/>
  <c r="BB224" i="16"/>
  <c r="BA224" i="16"/>
  <c r="AZ224" i="16"/>
  <c r="AY224" i="16"/>
  <c r="AX224" i="16"/>
  <c r="AW224" i="16"/>
  <c r="AV224" i="16"/>
  <c r="AU224" i="16"/>
  <c r="AU219" i="16" s="1"/>
  <c r="AT224" i="16"/>
  <c r="AS224" i="16"/>
  <c r="AR224" i="16"/>
  <c r="AQ224" i="16"/>
  <c r="AP224" i="16"/>
  <c r="AO224" i="16"/>
  <c r="AN224" i="16"/>
  <c r="AM224" i="16"/>
  <c r="AM219" i="16" s="1"/>
  <c r="AL224" i="16"/>
  <c r="AK224" i="16"/>
  <c r="AJ224" i="16"/>
  <c r="AI224" i="16"/>
  <c r="AH224" i="16"/>
  <c r="AG224" i="16"/>
  <c r="AF224" i="16"/>
  <c r="AF219" i="16" s="1"/>
  <c r="AE224" i="16"/>
  <c r="AD224" i="16"/>
  <c r="AC224" i="16"/>
  <c r="AB224" i="16"/>
  <c r="AA224" i="16"/>
  <c r="Z224" i="16"/>
  <c r="Y224" i="16"/>
  <c r="Y219" i="16" s="1"/>
  <c r="AK466" i="16" s="1"/>
  <c r="X224" i="16"/>
  <c r="W224" i="16"/>
  <c r="V224" i="16"/>
  <c r="U224" i="16"/>
  <c r="T224" i="16"/>
  <c r="S224" i="16"/>
  <c r="R224" i="16"/>
  <c r="Q224" i="16"/>
  <c r="P224" i="16"/>
  <c r="O224" i="16"/>
  <c r="N224" i="16"/>
  <c r="M224" i="16"/>
  <c r="L224" i="16"/>
  <c r="K224" i="16"/>
  <c r="K219" i="16" s="1"/>
  <c r="J224" i="16"/>
  <c r="I224" i="16"/>
  <c r="H224" i="16"/>
  <c r="G224" i="16"/>
  <c r="DC223" i="16"/>
  <c r="DC236" i="16" s="1"/>
  <c r="DB223" i="16"/>
  <c r="DA223" i="16"/>
  <c r="CZ223" i="16"/>
  <c r="CZ236" i="16" s="1"/>
  <c r="CY223" i="16"/>
  <c r="CX223" i="16"/>
  <c r="CX236" i="16" s="1"/>
  <c r="CW223" i="16"/>
  <c r="CV223" i="16"/>
  <c r="CV219" i="16" s="1"/>
  <c r="CV220" i="16" s="1"/>
  <c r="CU223" i="16"/>
  <c r="CT223" i="16"/>
  <c r="CT236" i="16" s="1"/>
  <c r="CT240" i="16" s="1"/>
  <c r="CS223" i="16"/>
  <c r="CS219" i="16" s="1"/>
  <c r="CR223" i="16"/>
  <c r="CR236" i="16" s="1"/>
  <c r="CQ223" i="16"/>
  <c r="CP223" i="16"/>
  <c r="CO223" i="16"/>
  <c r="CO236" i="16" s="1"/>
  <c r="CN223" i="16"/>
  <c r="CN236" i="16" s="1"/>
  <c r="CN240" i="16" s="1"/>
  <c r="CM223" i="16"/>
  <c r="CL223" i="16"/>
  <c r="CL236" i="16" s="1"/>
  <c r="CK223" i="16"/>
  <c r="CK236" i="16" s="1"/>
  <c r="CJ223" i="16"/>
  <c r="CI223" i="16"/>
  <c r="CI236" i="16" s="1"/>
  <c r="CH223" i="16"/>
  <c r="CG223" i="16"/>
  <c r="CG236" i="16" s="1"/>
  <c r="CF223" i="16"/>
  <c r="CE223" i="16"/>
  <c r="CD223" i="16"/>
  <c r="CD236" i="16" s="1"/>
  <c r="CC223" i="16"/>
  <c r="CB223" i="16"/>
  <c r="CA223" i="16"/>
  <c r="BZ223" i="16"/>
  <c r="BY223" i="16"/>
  <c r="BX223" i="16"/>
  <c r="BW223" i="16"/>
  <c r="BV223" i="16"/>
  <c r="BU223" i="16"/>
  <c r="BT223" i="16"/>
  <c r="BT236" i="16" s="1"/>
  <c r="BS223" i="16"/>
  <c r="BS236" i="16" s="1"/>
  <c r="BR223" i="16"/>
  <c r="BR236" i="16" s="1"/>
  <c r="BR240" i="16" s="1"/>
  <c r="CD487" i="16" s="1"/>
  <c r="BQ223" i="16"/>
  <c r="BP223" i="16"/>
  <c r="BO223" i="16"/>
  <c r="BN223" i="16"/>
  <c r="BM223" i="16"/>
  <c r="BM236" i="16" s="1"/>
  <c r="BL223" i="16"/>
  <c r="BK223" i="16"/>
  <c r="BJ223" i="16"/>
  <c r="BI223" i="16"/>
  <c r="BH223" i="16"/>
  <c r="BG223" i="16"/>
  <c r="BF223" i="16"/>
  <c r="BE223" i="16"/>
  <c r="BD223" i="16"/>
  <c r="BD236" i="16" s="1"/>
  <c r="BC223" i="16"/>
  <c r="BC236" i="16" s="1"/>
  <c r="BB223" i="16"/>
  <c r="BB236" i="16" s="1"/>
  <c r="BA223" i="16"/>
  <c r="BA236" i="16" s="1"/>
  <c r="AZ223" i="16"/>
  <c r="AY223" i="16"/>
  <c r="AX223" i="16"/>
  <c r="AX236" i="16" s="1"/>
  <c r="AW223" i="16"/>
  <c r="AV223" i="16"/>
  <c r="AV236" i="16" s="1"/>
  <c r="AU223" i="16"/>
  <c r="AT223" i="16"/>
  <c r="AT236" i="16" s="1"/>
  <c r="AS223" i="16"/>
  <c r="AR223" i="16"/>
  <c r="AR236" i="16" s="1"/>
  <c r="AQ223" i="16"/>
  <c r="AQ236" i="16" s="1"/>
  <c r="AP223" i="16"/>
  <c r="AP236" i="16" s="1"/>
  <c r="AP240" i="16" s="1"/>
  <c r="AO223" i="16"/>
  <c r="AO236" i="16" s="1"/>
  <c r="AN223" i="16"/>
  <c r="AM223" i="16"/>
  <c r="AL223" i="16"/>
  <c r="AK223" i="16"/>
  <c r="AJ223" i="16"/>
  <c r="AJ236" i="16" s="1"/>
  <c r="AI223" i="16"/>
  <c r="AH223" i="16"/>
  <c r="AH236" i="16" s="1"/>
  <c r="AG223" i="16"/>
  <c r="AF223" i="16"/>
  <c r="AF236" i="16" s="1"/>
  <c r="AE223" i="16"/>
  <c r="AD223" i="16"/>
  <c r="AD219" i="16" s="1"/>
  <c r="AC223" i="16"/>
  <c r="AB223" i="16"/>
  <c r="AB236" i="16" s="1"/>
  <c r="AB240" i="16" s="1"/>
  <c r="AA223" i="16"/>
  <c r="AA236" i="16" s="1"/>
  <c r="Z223" i="16"/>
  <c r="Y223" i="16"/>
  <c r="Y236" i="16" s="1"/>
  <c r="X223" i="16"/>
  <c r="W223" i="16"/>
  <c r="V223" i="16"/>
  <c r="V236" i="16" s="1"/>
  <c r="U223" i="16"/>
  <c r="T223" i="16"/>
  <c r="T236" i="16" s="1"/>
  <c r="S223" i="16"/>
  <c r="R223" i="16"/>
  <c r="Q223" i="16"/>
  <c r="Q236" i="16" s="1"/>
  <c r="P223" i="16"/>
  <c r="O223" i="16"/>
  <c r="N223" i="16"/>
  <c r="M223" i="16"/>
  <c r="M219" i="16" s="1"/>
  <c r="L223" i="16"/>
  <c r="K223" i="16"/>
  <c r="J223" i="16"/>
  <c r="I223" i="16"/>
  <c r="I236" i="16" s="1"/>
  <c r="H223" i="16"/>
  <c r="G223" i="16"/>
  <c r="BS220" i="16"/>
  <c r="BM220" i="16"/>
  <c r="BI220" i="16"/>
  <c r="AU220" i="16"/>
  <c r="CZ219" i="16"/>
  <c r="CY219" i="16"/>
  <c r="CU219" i="16"/>
  <c r="CO219" i="16"/>
  <c r="CL219" i="16"/>
  <c r="CJ219" i="16"/>
  <c r="CV221" i="16" s="1"/>
  <c r="CI219" i="16"/>
  <c r="CH219" i="16"/>
  <c r="CG219" i="16"/>
  <c r="CE219" i="16"/>
  <c r="CD219" i="16"/>
  <c r="BV219" i="16"/>
  <c r="BV218" i="16" s="1"/>
  <c r="BT219" i="16"/>
  <c r="BS219" i="16"/>
  <c r="BQ219" i="16"/>
  <c r="BM219" i="16"/>
  <c r="BH219" i="16"/>
  <c r="BH220" i="16" s="1"/>
  <c r="BF219" i="16"/>
  <c r="AY219" i="16"/>
  <c r="AV219" i="16"/>
  <c r="AR219" i="16"/>
  <c r="AA219" i="16"/>
  <c r="W219" i="16"/>
  <c r="T219" i="16"/>
  <c r="R219" i="16"/>
  <c r="R220" i="16" s="1"/>
  <c r="Q219" i="16"/>
  <c r="Q218" i="16" s="1"/>
  <c r="L219" i="16"/>
  <c r="CG218" i="16"/>
  <c r="W218" i="16"/>
  <c r="DC217" i="16"/>
  <c r="DC239" i="16" s="1"/>
  <c r="DB217" i="16"/>
  <c r="DB239" i="16" s="1"/>
  <c r="DA217" i="16"/>
  <c r="DA239" i="16" s="1"/>
  <c r="CZ217" i="16"/>
  <c r="CZ239" i="16" s="1"/>
  <c r="CY217" i="16"/>
  <c r="CX217" i="16"/>
  <c r="CX239" i="16" s="1"/>
  <c r="CW217" i="16"/>
  <c r="CW239" i="16" s="1"/>
  <c r="CV217" i="16"/>
  <c r="CU217" i="16"/>
  <c r="CU239" i="16" s="1"/>
  <c r="CT217" i="16"/>
  <c r="CT239" i="16" s="1"/>
  <c r="CS217" i="16"/>
  <c r="CS239" i="16" s="1"/>
  <c r="CR217" i="16"/>
  <c r="CR239" i="16" s="1"/>
  <c r="CQ217" i="16"/>
  <c r="CQ239" i="16" s="1"/>
  <c r="CP217" i="16"/>
  <c r="CP239" i="16" s="1"/>
  <c r="CO217" i="16"/>
  <c r="CN217" i="16"/>
  <c r="CM217" i="16"/>
  <c r="CL217" i="16"/>
  <c r="CK217" i="16"/>
  <c r="CK239" i="16" s="1"/>
  <c r="CJ217" i="16"/>
  <c r="CJ239" i="16" s="1"/>
  <c r="CI217" i="16"/>
  <c r="CI239" i="16" s="1"/>
  <c r="CH217" i="16"/>
  <c r="CG217" i="16"/>
  <c r="CG239" i="16" s="1"/>
  <c r="CF217" i="16"/>
  <c r="CF239" i="16" s="1"/>
  <c r="CE217" i="16"/>
  <c r="CE239" i="16" s="1"/>
  <c r="CD217" i="16"/>
  <c r="CD239" i="16" s="1"/>
  <c r="CC217" i="16"/>
  <c r="CC239" i="16" s="1"/>
  <c r="CB217" i="16"/>
  <c r="CB239" i="16" s="1"/>
  <c r="CA217" i="16"/>
  <c r="CA239" i="16" s="1"/>
  <c r="BZ217" i="16"/>
  <c r="BZ239" i="16" s="1"/>
  <c r="BY217" i="16"/>
  <c r="BY239" i="16" s="1"/>
  <c r="BX217" i="16"/>
  <c r="BX239" i="16" s="1"/>
  <c r="BW217" i="16"/>
  <c r="BW239" i="16" s="1"/>
  <c r="BW240" i="16" s="1"/>
  <c r="BV217" i="16"/>
  <c r="BV239" i="16" s="1"/>
  <c r="BU217" i="16"/>
  <c r="BU239" i="16" s="1"/>
  <c r="BT217" i="16"/>
  <c r="BS217" i="16"/>
  <c r="BS239" i="16" s="1"/>
  <c r="BR217" i="16"/>
  <c r="BR239" i="16" s="1"/>
  <c r="BQ217" i="16"/>
  <c r="BQ239" i="16" s="1"/>
  <c r="BP217" i="16"/>
  <c r="BP239" i="16" s="1"/>
  <c r="BO217" i="16"/>
  <c r="BO239" i="16" s="1"/>
  <c r="BN217" i="16"/>
  <c r="BN239" i="16" s="1"/>
  <c r="BM217" i="16"/>
  <c r="BL217" i="16"/>
  <c r="BL239" i="16" s="1"/>
  <c r="BK217" i="16"/>
  <c r="BJ217" i="16"/>
  <c r="BJ239" i="16" s="1"/>
  <c r="BI217" i="16"/>
  <c r="BI239" i="16" s="1"/>
  <c r="BH217" i="16"/>
  <c r="BH239" i="16" s="1"/>
  <c r="BH240" i="16" s="1"/>
  <c r="BG217" i="16"/>
  <c r="BG239" i="16" s="1"/>
  <c r="BF217" i="16"/>
  <c r="BF239" i="16" s="1"/>
  <c r="BE217" i="16"/>
  <c r="BE239" i="16" s="1"/>
  <c r="BD217" i="16"/>
  <c r="BD239" i="16" s="1"/>
  <c r="BC217" i="16"/>
  <c r="BC239" i="16" s="1"/>
  <c r="BB217" i="16"/>
  <c r="BB239" i="16" s="1"/>
  <c r="BA217" i="16"/>
  <c r="BA239" i="16" s="1"/>
  <c r="AZ217" i="16"/>
  <c r="AZ239" i="16" s="1"/>
  <c r="AY217" i="16"/>
  <c r="AX217" i="16"/>
  <c r="AX239" i="16" s="1"/>
  <c r="AW217" i="16"/>
  <c r="AW239" i="16" s="1"/>
  <c r="AV217" i="16"/>
  <c r="AV239" i="16" s="1"/>
  <c r="AU217" i="16"/>
  <c r="AU239" i="16" s="1"/>
  <c r="AT217" i="16"/>
  <c r="AT239" i="16" s="1"/>
  <c r="AS217" i="16"/>
  <c r="AS239" i="16" s="1"/>
  <c r="AR217" i="16"/>
  <c r="AQ217" i="16"/>
  <c r="AP217" i="16"/>
  <c r="AP239" i="16" s="1"/>
  <c r="AO217" i="16"/>
  <c r="AO239" i="16" s="1"/>
  <c r="AN217" i="16"/>
  <c r="AN239" i="16" s="1"/>
  <c r="AM217" i="16"/>
  <c r="AM239" i="16" s="1"/>
  <c r="AL217" i="16"/>
  <c r="AL239" i="16" s="1"/>
  <c r="AK217" i="16"/>
  <c r="AK239" i="16" s="1"/>
  <c r="AJ217" i="16"/>
  <c r="AI217" i="16"/>
  <c r="AI239" i="16" s="1"/>
  <c r="AH217" i="16"/>
  <c r="AH239" i="16" s="1"/>
  <c r="AG217" i="16"/>
  <c r="AG239" i="16" s="1"/>
  <c r="AF217" i="16"/>
  <c r="AF239" i="16" s="1"/>
  <c r="AE217" i="16"/>
  <c r="AE239" i="16" s="1"/>
  <c r="AD217" i="16"/>
  <c r="AC217" i="16"/>
  <c r="AC239" i="16" s="1"/>
  <c r="AB217" i="16"/>
  <c r="AB239" i="16" s="1"/>
  <c r="AA217" i="16"/>
  <c r="AA239" i="16" s="1"/>
  <c r="Z217" i="16"/>
  <c r="Z239" i="16" s="1"/>
  <c r="Y217" i="16"/>
  <c r="Y239" i="16" s="1"/>
  <c r="X217" i="16"/>
  <c r="X239" i="16" s="1"/>
  <c r="W217" i="16"/>
  <c r="W239" i="16" s="1"/>
  <c r="V217" i="16"/>
  <c r="U217" i="16"/>
  <c r="U239" i="16" s="1"/>
  <c r="T217" i="16"/>
  <c r="T239" i="16" s="1"/>
  <c r="S217" i="16"/>
  <c r="S239" i="16" s="1"/>
  <c r="S240" i="16" s="1"/>
  <c r="S241" i="16" s="1"/>
  <c r="R217" i="16"/>
  <c r="R239" i="16" s="1"/>
  <c r="R240" i="16" s="1"/>
  <c r="Q217" i="16"/>
  <c r="Q239" i="16" s="1"/>
  <c r="P217" i="16"/>
  <c r="P239" i="16" s="1"/>
  <c r="O217" i="16"/>
  <c r="O239" i="16" s="1"/>
  <c r="N217" i="16"/>
  <c r="N239" i="16" s="1"/>
  <c r="M217" i="16"/>
  <c r="M239" i="16" s="1"/>
  <c r="L217" i="16"/>
  <c r="L239" i="16" s="1"/>
  <c r="K217" i="16"/>
  <c r="K239" i="16" s="1"/>
  <c r="J217" i="16"/>
  <c r="J239" i="16" s="1"/>
  <c r="I217" i="16"/>
  <c r="I239" i="16" s="1"/>
  <c r="H217" i="16"/>
  <c r="H239" i="16" s="1"/>
  <c r="G217" i="16"/>
  <c r="G239" i="16" s="1"/>
  <c r="DC216" i="16"/>
  <c r="DC238" i="16" s="1"/>
  <c r="DB216" i="16"/>
  <c r="DA216" i="16"/>
  <c r="DA238" i="16" s="1"/>
  <c r="CZ216" i="16"/>
  <c r="CY216" i="16"/>
  <c r="CY238" i="16" s="1"/>
  <c r="CX216" i="16"/>
  <c r="CX238" i="16" s="1"/>
  <c r="CW216" i="16"/>
  <c r="CW238" i="16" s="1"/>
  <c r="CV216" i="16"/>
  <c r="CV238" i="16" s="1"/>
  <c r="CU216" i="16"/>
  <c r="CU238" i="16" s="1"/>
  <c r="CT216" i="16"/>
  <c r="CT238" i="16" s="1"/>
  <c r="CS216" i="16"/>
  <c r="CS238" i="16" s="1"/>
  <c r="CS240" i="16" s="1"/>
  <c r="CR216" i="16"/>
  <c r="CQ216" i="16"/>
  <c r="CP216" i="16"/>
  <c r="CP238" i="16" s="1"/>
  <c r="CO216" i="16"/>
  <c r="CN216" i="16"/>
  <c r="CN238" i="16" s="1"/>
  <c r="CM216" i="16"/>
  <c r="CM238" i="16" s="1"/>
  <c r="CL216" i="16"/>
  <c r="CL238" i="16" s="1"/>
  <c r="CK216" i="16"/>
  <c r="CJ216" i="16"/>
  <c r="CJ238" i="16" s="1"/>
  <c r="CI216" i="16"/>
  <c r="CI238" i="16" s="1"/>
  <c r="CH216" i="16"/>
  <c r="CH238" i="16" s="1"/>
  <c r="CG216" i="16"/>
  <c r="CG238" i="16" s="1"/>
  <c r="CF216" i="16"/>
  <c r="CF238" i="16" s="1"/>
  <c r="CE216" i="16"/>
  <c r="CE238" i="16" s="1"/>
  <c r="CD216" i="16"/>
  <c r="CD238" i="16" s="1"/>
  <c r="CC216" i="16"/>
  <c r="CC238" i="16" s="1"/>
  <c r="CB216" i="16"/>
  <c r="CA216" i="16"/>
  <c r="BZ216" i="16"/>
  <c r="BZ238" i="16" s="1"/>
  <c r="BY216" i="16"/>
  <c r="BY238" i="16" s="1"/>
  <c r="BX216" i="16"/>
  <c r="BX238" i="16" s="1"/>
  <c r="BW216" i="16"/>
  <c r="BW238" i="16" s="1"/>
  <c r="BV216" i="16"/>
  <c r="BV238" i="16" s="1"/>
  <c r="BU216" i="16"/>
  <c r="BU238" i="16" s="1"/>
  <c r="BT216" i="16"/>
  <c r="BT238" i="16" s="1"/>
  <c r="BS216" i="16"/>
  <c r="BS238" i="16" s="1"/>
  <c r="BR216" i="16"/>
  <c r="BR238" i="16" s="1"/>
  <c r="BQ216" i="16"/>
  <c r="BQ238" i="16" s="1"/>
  <c r="BP216" i="16"/>
  <c r="BO216" i="16"/>
  <c r="BO238" i="16" s="1"/>
  <c r="BN216" i="16"/>
  <c r="BN238" i="16" s="1"/>
  <c r="BM216" i="16"/>
  <c r="BL216" i="16"/>
  <c r="BL238" i="16" s="1"/>
  <c r="BK216" i="16"/>
  <c r="BK238" i="16" s="1"/>
  <c r="BJ216" i="16"/>
  <c r="BJ238" i="16" s="1"/>
  <c r="BI216" i="16"/>
  <c r="BH216" i="16"/>
  <c r="BH238" i="16" s="1"/>
  <c r="BG216" i="16"/>
  <c r="BG238" i="16" s="1"/>
  <c r="BF216" i="16"/>
  <c r="BF238" i="16" s="1"/>
  <c r="BE216" i="16"/>
  <c r="BE238" i="16" s="1"/>
  <c r="BD216" i="16"/>
  <c r="BD238" i="16" s="1"/>
  <c r="BC216" i="16"/>
  <c r="BC238" i="16" s="1"/>
  <c r="BC240" i="16" s="1"/>
  <c r="BC241" i="16" s="1"/>
  <c r="BB216" i="16"/>
  <c r="BB238" i="16" s="1"/>
  <c r="BA216" i="16"/>
  <c r="AZ216" i="16"/>
  <c r="AZ238" i="16" s="1"/>
  <c r="AY216" i="16"/>
  <c r="AY238" i="16" s="1"/>
  <c r="AX216" i="16"/>
  <c r="AW216" i="16"/>
  <c r="AW238" i="16" s="1"/>
  <c r="AV216" i="16"/>
  <c r="AV238" i="16" s="1"/>
  <c r="AU216" i="16"/>
  <c r="AT216" i="16"/>
  <c r="AT238" i="16" s="1"/>
  <c r="AS216" i="16"/>
  <c r="AS238" i="16" s="1"/>
  <c r="AR216" i="16"/>
  <c r="AR238" i="16" s="1"/>
  <c r="AQ216" i="16"/>
  <c r="AQ238" i="16" s="1"/>
  <c r="AP216" i="16"/>
  <c r="AP238" i="16" s="1"/>
  <c r="AO216" i="16"/>
  <c r="AN216" i="16"/>
  <c r="AM216" i="16"/>
  <c r="AL216" i="16"/>
  <c r="AL238" i="16" s="1"/>
  <c r="AK216" i="16"/>
  <c r="AK238" i="16" s="1"/>
  <c r="AJ216" i="16"/>
  <c r="AI216" i="16"/>
  <c r="AI238" i="16" s="1"/>
  <c r="AH216" i="16"/>
  <c r="AH238" i="16" s="1"/>
  <c r="AG216" i="16"/>
  <c r="AF216" i="16"/>
  <c r="AF238" i="16" s="1"/>
  <c r="AE216" i="16"/>
  <c r="AE238" i="16" s="1"/>
  <c r="AD216" i="16"/>
  <c r="AD238" i="16" s="1"/>
  <c r="AC216" i="16"/>
  <c r="AC238" i="16" s="1"/>
  <c r="AB216" i="16"/>
  <c r="AB238" i="16" s="1"/>
  <c r="AA216" i="16"/>
  <c r="AA238" i="16" s="1"/>
  <c r="Z216" i="16"/>
  <c r="Z238" i="16" s="1"/>
  <c r="Y216" i="16"/>
  <c r="Y238" i="16" s="1"/>
  <c r="X216" i="16"/>
  <c r="X238" i="16" s="1"/>
  <c r="W216" i="16"/>
  <c r="W238" i="16" s="1"/>
  <c r="V216" i="16"/>
  <c r="V238" i="16" s="1"/>
  <c r="U216" i="16"/>
  <c r="U238" i="16" s="1"/>
  <c r="T216" i="16"/>
  <c r="T238" i="16" s="1"/>
  <c r="S216" i="16"/>
  <c r="S238" i="16" s="1"/>
  <c r="R216" i="16"/>
  <c r="R238" i="16" s="1"/>
  <c r="Q216" i="16"/>
  <c r="Q238" i="16" s="1"/>
  <c r="P216" i="16"/>
  <c r="P238" i="16" s="1"/>
  <c r="O216" i="16"/>
  <c r="O238" i="16" s="1"/>
  <c r="N216" i="16"/>
  <c r="N238" i="16" s="1"/>
  <c r="M216" i="16"/>
  <c r="M238" i="16" s="1"/>
  <c r="L216" i="16"/>
  <c r="K216" i="16"/>
  <c r="J216" i="16"/>
  <c r="J238" i="16" s="1"/>
  <c r="I216" i="16"/>
  <c r="H216" i="16"/>
  <c r="H238" i="16" s="1"/>
  <c r="G216" i="16"/>
  <c r="G238" i="16" s="1"/>
  <c r="DC215" i="16"/>
  <c r="DB215" i="16"/>
  <c r="DA215" i="16"/>
  <c r="CZ215" i="16"/>
  <c r="CY215" i="16"/>
  <c r="CX215" i="16"/>
  <c r="CW215" i="16"/>
  <c r="CV215" i="16"/>
  <c r="CU215" i="16"/>
  <c r="CT215" i="16"/>
  <c r="CS215" i="16"/>
  <c r="CR215" i="16"/>
  <c r="CQ215" i="16"/>
  <c r="CP215" i="16"/>
  <c r="CO215" i="16"/>
  <c r="CN215" i="16"/>
  <c r="CM215" i="16"/>
  <c r="CL215" i="16"/>
  <c r="CK215" i="16"/>
  <c r="CJ215" i="16"/>
  <c r="CI215" i="16"/>
  <c r="CH215" i="16"/>
  <c r="CG215" i="16"/>
  <c r="CF215" i="16"/>
  <c r="CE215" i="16"/>
  <c r="CD215" i="16"/>
  <c r="CC215" i="16"/>
  <c r="CB215" i="16"/>
  <c r="CA215" i="16"/>
  <c r="BZ215" i="16"/>
  <c r="BY215" i="16"/>
  <c r="BX215" i="16"/>
  <c r="BW215" i="16"/>
  <c r="BV215" i="16"/>
  <c r="BU215" i="16"/>
  <c r="BT215" i="16"/>
  <c r="BS215" i="16"/>
  <c r="BR215" i="16"/>
  <c r="BQ215" i="16"/>
  <c r="BP215" i="16"/>
  <c r="BO215" i="16"/>
  <c r="BN215" i="16"/>
  <c r="BM215" i="16"/>
  <c r="BL215" i="16"/>
  <c r="BK215" i="16"/>
  <c r="BJ215" i="16"/>
  <c r="BI215" i="16"/>
  <c r="BH215" i="16"/>
  <c r="BG215" i="16"/>
  <c r="BF215" i="16"/>
  <c r="BE215" i="16"/>
  <c r="BD215" i="16"/>
  <c r="BC215" i="16"/>
  <c r="BB215" i="16"/>
  <c r="BA215" i="16"/>
  <c r="AZ215" i="16"/>
  <c r="AY215" i="16"/>
  <c r="AX215" i="16"/>
  <c r="AW215" i="16"/>
  <c r="AV215" i="16"/>
  <c r="AU215" i="16"/>
  <c r="AT215" i="16"/>
  <c r="AS215" i="16"/>
  <c r="AR215" i="16"/>
  <c r="AQ215" i="16"/>
  <c r="AP215" i="16"/>
  <c r="AO215" i="16"/>
  <c r="AN215" i="16"/>
  <c r="AM215" i="16"/>
  <c r="AL215" i="16"/>
  <c r="AK215" i="16"/>
  <c r="AJ215" i="16"/>
  <c r="AI215" i="16"/>
  <c r="AH215" i="16"/>
  <c r="AG215" i="16"/>
  <c r="AF215" i="16"/>
  <c r="AE215" i="16"/>
  <c r="AD215" i="16"/>
  <c r="AC215" i="16"/>
  <c r="AB215" i="16"/>
  <c r="AA215" i="16"/>
  <c r="Z215" i="16"/>
  <c r="Y215" i="16"/>
  <c r="X215" i="16"/>
  <c r="W215" i="16"/>
  <c r="V215" i="16"/>
  <c r="U215" i="16"/>
  <c r="T215" i="16"/>
  <c r="S215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DC214" i="16"/>
  <c r="DB214" i="16"/>
  <c r="DA214" i="16"/>
  <c r="CZ214" i="16"/>
  <c r="CY214" i="16"/>
  <c r="CX214" i="16"/>
  <c r="CW214" i="16"/>
  <c r="CV214" i="16"/>
  <c r="CU214" i="16"/>
  <c r="CT214" i="16"/>
  <c r="CS214" i="16"/>
  <c r="CR214" i="16"/>
  <c r="CQ214" i="16"/>
  <c r="CP214" i="16"/>
  <c r="CO214" i="16"/>
  <c r="CN214" i="16"/>
  <c r="CM214" i="16"/>
  <c r="CL214" i="16"/>
  <c r="CK214" i="16"/>
  <c r="CJ214" i="16"/>
  <c r="CI214" i="16"/>
  <c r="CH214" i="16"/>
  <c r="CG214" i="16"/>
  <c r="CF214" i="16"/>
  <c r="CE214" i="16"/>
  <c r="CD214" i="16"/>
  <c r="CC214" i="16"/>
  <c r="CB214" i="16"/>
  <c r="CA214" i="16"/>
  <c r="BZ214" i="16"/>
  <c r="BY214" i="16"/>
  <c r="BX214" i="16"/>
  <c r="BW214" i="16"/>
  <c r="BV214" i="16"/>
  <c r="BU214" i="16"/>
  <c r="BT214" i="16"/>
  <c r="BS214" i="16"/>
  <c r="BR214" i="16"/>
  <c r="BQ214" i="16"/>
  <c r="BP214" i="16"/>
  <c r="BO214" i="16"/>
  <c r="BN214" i="16"/>
  <c r="BM214" i="16"/>
  <c r="BL214" i="16"/>
  <c r="BK214" i="16"/>
  <c r="BJ214" i="16"/>
  <c r="BI214" i="16"/>
  <c r="BH214" i="16"/>
  <c r="BG214" i="16"/>
  <c r="BF214" i="16"/>
  <c r="BE214" i="16"/>
  <c r="BD214" i="16"/>
  <c r="BC214" i="16"/>
  <c r="BB214" i="16"/>
  <c r="BA214" i="16"/>
  <c r="AZ214" i="16"/>
  <c r="AY214" i="16"/>
  <c r="AX214" i="16"/>
  <c r="AW214" i="16"/>
  <c r="AV214" i="16"/>
  <c r="AU214" i="16"/>
  <c r="AT214" i="16"/>
  <c r="AS214" i="16"/>
  <c r="AR214" i="16"/>
  <c r="AQ214" i="16"/>
  <c r="AP214" i="16"/>
  <c r="AO214" i="16"/>
  <c r="AN214" i="16"/>
  <c r="AM214" i="16"/>
  <c r="AL214" i="16"/>
  <c r="AK214" i="16"/>
  <c r="AJ214" i="16"/>
  <c r="AI214" i="16"/>
  <c r="AH214" i="16"/>
  <c r="AG214" i="16"/>
  <c r="AF214" i="16"/>
  <c r="AE214" i="16"/>
  <c r="AD214" i="16"/>
  <c r="AC214" i="16"/>
  <c r="AB214" i="16"/>
  <c r="AA214" i="16"/>
  <c r="Z214" i="16"/>
  <c r="Y214" i="16"/>
  <c r="X214" i="16"/>
  <c r="W214" i="16"/>
  <c r="V214" i="16"/>
  <c r="U214" i="16"/>
  <c r="T214" i="16"/>
  <c r="S214" i="16"/>
  <c r="R214" i="16"/>
  <c r="Q214" i="16"/>
  <c r="P214" i="16"/>
  <c r="O214" i="16"/>
  <c r="N214" i="16"/>
  <c r="M214" i="16"/>
  <c r="L214" i="16"/>
  <c r="K214" i="16"/>
  <c r="J214" i="16"/>
  <c r="I214" i="16"/>
  <c r="H214" i="16"/>
  <c r="G214" i="16"/>
  <c r="DC213" i="16"/>
  <c r="DB213" i="16"/>
  <c r="DA213" i="16"/>
  <c r="CZ213" i="16"/>
  <c r="CY213" i="16"/>
  <c r="CX213" i="16"/>
  <c r="CW213" i="16"/>
  <c r="CV213" i="16"/>
  <c r="CU213" i="16"/>
  <c r="CT213" i="16"/>
  <c r="CS213" i="16"/>
  <c r="CR213" i="16"/>
  <c r="CQ213" i="16"/>
  <c r="CP213" i="16"/>
  <c r="CO213" i="16"/>
  <c r="CN213" i="16"/>
  <c r="CM213" i="16"/>
  <c r="CL213" i="16"/>
  <c r="CK213" i="16"/>
  <c r="CJ213" i="16"/>
  <c r="CI213" i="16"/>
  <c r="CH213" i="16"/>
  <c r="CG213" i="16"/>
  <c r="CF213" i="16"/>
  <c r="CE213" i="16"/>
  <c r="CD213" i="16"/>
  <c r="CC213" i="16"/>
  <c r="CB213" i="16"/>
  <c r="CA213" i="16"/>
  <c r="BZ213" i="16"/>
  <c r="BY213" i="16"/>
  <c r="BX213" i="16"/>
  <c r="BW213" i="16"/>
  <c r="BV213" i="16"/>
  <c r="BU213" i="16"/>
  <c r="BT213" i="16"/>
  <c r="BS213" i="16"/>
  <c r="BR213" i="16"/>
  <c r="BQ213" i="16"/>
  <c r="BP213" i="16"/>
  <c r="BO213" i="16"/>
  <c r="BN213" i="16"/>
  <c r="BM213" i="16"/>
  <c r="BL213" i="16"/>
  <c r="BK213" i="16"/>
  <c r="BJ213" i="16"/>
  <c r="BI213" i="16"/>
  <c r="BH213" i="16"/>
  <c r="BG213" i="16"/>
  <c r="BF213" i="16"/>
  <c r="BE213" i="16"/>
  <c r="BD213" i="16"/>
  <c r="BC213" i="16"/>
  <c r="BB213" i="16"/>
  <c r="BA213" i="16"/>
  <c r="AZ213" i="16"/>
  <c r="AY213" i="16"/>
  <c r="AX213" i="16"/>
  <c r="AW213" i="16"/>
  <c r="AV213" i="16"/>
  <c r="AU213" i="16"/>
  <c r="AT213" i="16"/>
  <c r="AS213" i="16"/>
  <c r="AR213" i="16"/>
  <c r="AQ213" i="16"/>
  <c r="AP213" i="16"/>
  <c r="AO213" i="16"/>
  <c r="AN213" i="16"/>
  <c r="AM213" i="16"/>
  <c r="AL213" i="16"/>
  <c r="AK213" i="16"/>
  <c r="AJ213" i="16"/>
  <c r="AI213" i="16"/>
  <c r="AH213" i="16"/>
  <c r="AG213" i="16"/>
  <c r="AF213" i="16"/>
  <c r="AE213" i="16"/>
  <c r="AD213" i="16"/>
  <c r="AC213" i="16"/>
  <c r="AB213" i="16"/>
  <c r="AA213" i="16"/>
  <c r="Z213" i="16"/>
  <c r="Y213" i="16"/>
  <c r="X213" i="16"/>
  <c r="W213" i="16"/>
  <c r="V213" i="16"/>
  <c r="U213" i="16"/>
  <c r="T213" i="16"/>
  <c r="S213" i="16"/>
  <c r="R213" i="16"/>
  <c r="Q213" i="16"/>
  <c r="P213" i="16"/>
  <c r="O213" i="16"/>
  <c r="N213" i="16"/>
  <c r="M213" i="16"/>
  <c r="L213" i="16"/>
  <c r="K213" i="16"/>
  <c r="J213" i="16"/>
  <c r="I213" i="16"/>
  <c r="H213" i="16"/>
  <c r="G213" i="16"/>
  <c r="CU211" i="16"/>
  <c r="CT211" i="16"/>
  <c r="CR211" i="16"/>
  <c r="CC211" i="16"/>
  <c r="BT211" i="16"/>
  <c r="BS211" i="16"/>
  <c r="BE211" i="16"/>
  <c r="AQ211" i="16"/>
  <c r="AG211" i="16"/>
  <c r="AA211" i="16"/>
  <c r="N211" i="16"/>
  <c r="K211" i="16"/>
  <c r="CX210" i="16"/>
  <c r="CW210" i="16"/>
  <c r="CI210" i="16"/>
  <c r="CG210" i="16"/>
  <c r="CE210" i="16"/>
  <c r="CD210" i="16"/>
  <c r="BV210" i="16"/>
  <c r="BO210" i="16"/>
  <c r="BN210" i="16"/>
  <c r="BK210" i="16"/>
  <c r="BI210" i="16"/>
  <c r="BC210" i="16"/>
  <c r="BA210" i="16"/>
  <c r="AU210" i="16"/>
  <c r="AT210" i="16"/>
  <c r="AO210" i="16"/>
  <c r="AF210" i="16"/>
  <c r="AC210" i="16"/>
  <c r="AA210" i="16"/>
  <c r="Y210" i="16"/>
  <c r="U210" i="16"/>
  <c r="K210" i="16"/>
  <c r="G210" i="16"/>
  <c r="DC209" i="16"/>
  <c r="DC210" i="16" s="1"/>
  <c r="DB209" i="16"/>
  <c r="DB210" i="16" s="1"/>
  <c r="DA209" i="16"/>
  <c r="CZ209" i="16"/>
  <c r="CZ218" i="16" s="1"/>
  <c r="CY209" i="16"/>
  <c r="CX209" i="16"/>
  <c r="CW209" i="16"/>
  <c r="CV209" i="16"/>
  <c r="CU209" i="16"/>
  <c r="CT209" i="16"/>
  <c r="CS209" i="16"/>
  <c r="CS210" i="16" s="1"/>
  <c r="CR209" i="16"/>
  <c r="CR210" i="16" s="1"/>
  <c r="CQ209" i="16"/>
  <c r="CP209" i="16"/>
  <c r="CP211" i="16" s="1"/>
  <c r="CO209" i="16"/>
  <c r="CO210" i="16" s="1"/>
  <c r="CN209" i="16"/>
  <c r="CM209" i="16"/>
  <c r="CY456" i="16" s="1"/>
  <c r="CL209" i="16"/>
  <c r="CK209" i="16"/>
  <c r="CW456" i="16" s="1"/>
  <c r="CJ209" i="16"/>
  <c r="CI209" i="16"/>
  <c r="CH209" i="16"/>
  <c r="CT456" i="16" s="1"/>
  <c r="CG209" i="16"/>
  <c r="CG211" i="16" s="1"/>
  <c r="CF209" i="16"/>
  <c r="CE209" i="16"/>
  <c r="CQ211" i="16" s="1"/>
  <c r="CD209" i="16"/>
  <c r="CC209" i="16"/>
  <c r="CB209" i="16"/>
  <c r="CB210" i="16" s="1"/>
  <c r="CA209" i="16"/>
  <c r="CA210" i="16" s="1"/>
  <c r="BZ209" i="16"/>
  <c r="BZ210" i="16" s="1"/>
  <c r="BY209" i="16"/>
  <c r="BX209" i="16"/>
  <c r="BW209" i="16"/>
  <c r="BV209" i="16"/>
  <c r="BU209" i="16"/>
  <c r="BT209" i="16"/>
  <c r="CF211" i="16" s="1"/>
  <c r="BS209" i="16"/>
  <c r="BR209" i="16"/>
  <c r="BQ209" i="16"/>
  <c r="BQ211" i="16" s="1"/>
  <c r="BP209" i="16"/>
  <c r="BP211" i="16" s="1"/>
  <c r="BO209" i="16"/>
  <c r="BN209" i="16"/>
  <c r="BN211" i="16" s="1"/>
  <c r="BM209" i="16"/>
  <c r="BL209" i="16"/>
  <c r="BK209" i="16"/>
  <c r="BW456" i="16" s="1"/>
  <c r="BJ209" i="16"/>
  <c r="BI209" i="16"/>
  <c r="BI211" i="16" s="1"/>
  <c r="BH209" i="16"/>
  <c r="BG209" i="16"/>
  <c r="BF209" i="16"/>
  <c r="BE209" i="16"/>
  <c r="BD209" i="16"/>
  <c r="BC209" i="16"/>
  <c r="BO211" i="16" s="1"/>
  <c r="BB209" i="16"/>
  <c r="BB210" i="16" s="1"/>
  <c r="BA209" i="16"/>
  <c r="AZ209" i="16"/>
  <c r="AY209" i="16"/>
  <c r="AY211" i="16" s="1"/>
  <c r="AX209" i="16"/>
  <c r="AW209" i="16"/>
  <c r="AV209" i="16"/>
  <c r="AV218" i="16" s="1"/>
  <c r="AU209" i="16"/>
  <c r="AU211" i="16" s="1"/>
  <c r="AT209" i="16"/>
  <c r="AS209" i="16"/>
  <c r="AR209" i="16"/>
  <c r="AQ209" i="16"/>
  <c r="AQ210" i="16" s="1"/>
  <c r="AP209" i="16"/>
  <c r="AO209" i="16"/>
  <c r="BA211" i="16" s="1"/>
  <c r="AN209" i="16"/>
  <c r="AM209" i="16"/>
  <c r="AL209" i="16"/>
  <c r="AL210" i="16" s="1"/>
  <c r="AK209" i="16"/>
  <c r="AW211" i="16" s="1"/>
  <c r="AJ209" i="16"/>
  <c r="AJ210" i="16" s="1"/>
  <c r="AI209" i="16"/>
  <c r="AH209" i="16"/>
  <c r="AT456" i="16" s="1"/>
  <c r="AG209" i="16"/>
  <c r="AS456" i="16" s="1"/>
  <c r="AF209" i="16"/>
  <c r="AE209" i="16"/>
  <c r="AD209" i="16"/>
  <c r="AC209" i="16"/>
  <c r="AC211" i="16" s="1"/>
  <c r="AB209" i="16"/>
  <c r="AA209" i="16"/>
  <c r="Z209" i="16"/>
  <c r="Y209" i="16"/>
  <c r="X209" i="16"/>
  <c r="W209" i="16"/>
  <c r="W210" i="16" s="1"/>
  <c r="V209" i="16"/>
  <c r="U209" i="16"/>
  <c r="AG456" i="16" s="1"/>
  <c r="T209" i="16"/>
  <c r="T210" i="16" s="1"/>
  <c r="S209" i="16"/>
  <c r="R209" i="16"/>
  <c r="Q209" i="16"/>
  <c r="P209" i="16"/>
  <c r="P210" i="16" s="1"/>
  <c r="O209" i="16"/>
  <c r="O210" i="16" s="1"/>
  <c r="N209" i="16"/>
  <c r="M209" i="16"/>
  <c r="L209" i="16"/>
  <c r="L210" i="16" s="1"/>
  <c r="K209" i="16"/>
  <c r="J209" i="16"/>
  <c r="T456" i="16" s="1"/>
  <c r="I209" i="16"/>
  <c r="H209" i="16"/>
  <c r="H210" i="16" s="1"/>
  <c r="G209" i="16"/>
  <c r="K456" i="16" s="1"/>
  <c r="DC207" i="16"/>
  <c r="DB207" i="16"/>
  <c r="CW207" i="16"/>
  <c r="CN207" i="16"/>
  <c r="CB207" i="16"/>
  <c r="BZ207" i="16"/>
  <c r="BW207" i="16"/>
  <c r="BK207" i="16"/>
  <c r="BB207" i="16"/>
  <c r="BA207" i="16"/>
  <c r="AX207" i="16"/>
  <c r="AT207" i="16"/>
  <c r="AM207" i="16"/>
  <c r="AL207" i="16"/>
  <c r="AJ207" i="16"/>
  <c r="AI207" i="16"/>
  <c r="AG207" i="16"/>
  <c r="AF207" i="16"/>
  <c r="AA207" i="16"/>
  <c r="Y207" i="16"/>
  <c r="DC206" i="16"/>
  <c r="DC233" i="16" s="1"/>
  <c r="DB206" i="16"/>
  <c r="DA206" i="16"/>
  <c r="CZ206" i="16"/>
  <c r="CY206" i="16"/>
  <c r="CY233" i="16" s="1"/>
  <c r="CX206" i="16"/>
  <c r="CX233" i="16" s="1"/>
  <c r="CW206" i="16"/>
  <c r="CW249" i="16" s="1"/>
  <c r="CV206" i="16"/>
  <c r="CV245" i="16" s="1"/>
  <c r="CU206" i="16"/>
  <c r="CT206" i="16"/>
  <c r="CS206" i="16"/>
  <c r="CS207" i="16" s="1"/>
  <c r="CR206" i="16"/>
  <c r="CR245" i="16" s="1"/>
  <c r="CQ206" i="16"/>
  <c r="CQ210" i="16" s="1"/>
  <c r="CP206" i="16"/>
  <c r="CP233" i="16" s="1"/>
  <c r="CO206" i="16"/>
  <c r="CO207" i="16" s="1"/>
  <c r="CN206" i="16"/>
  <c r="CM206" i="16"/>
  <c r="CL206" i="16"/>
  <c r="CX452" i="16" s="1"/>
  <c r="CK206" i="16"/>
  <c r="CJ206" i="16"/>
  <c r="CI206" i="16"/>
  <c r="CI233" i="16" s="1"/>
  <c r="CH206" i="16"/>
  <c r="CG206" i="16"/>
  <c r="CF206" i="16"/>
  <c r="CE206" i="16"/>
  <c r="CD206" i="16"/>
  <c r="CC206" i="16"/>
  <c r="CB206" i="16"/>
  <c r="CA206" i="16"/>
  <c r="CA207" i="16" s="1"/>
  <c r="BZ206" i="16"/>
  <c r="BY206" i="16"/>
  <c r="BX206" i="16"/>
  <c r="BX207" i="16" s="1"/>
  <c r="BW206" i="16"/>
  <c r="BV206" i="16"/>
  <c r="BU206" i="16"/>
  <c r="BU207" i="16" s="1"/>
  <c r="BT206" i="16"/>
  <c r="BS206" i="16"/>
  <c r="BR206" i="16"/>
  <c r="BQ206" i="16"/>
  <c r="BP206" i="16"/>
  <c r="BO206" i="16"/>
  <c r="BN206" i="16"/>
  <c r="BN233" i="16" s="1"/>
  <c r="BM206" i="16"/>
  <c r="BM207" i="16" s="1"/>
  <c r="BL206" i="16"/>
  <c r="BK206" i="16"/>
  <c r="BJ206" i="16"/>
  <c r="BJ233" i="16" s="1"/>
  <c r="BI206" i="16"/>
  <c r="BH206" i="16"/>
  <c r="BG206" i="16"/>
  <c r="BG226" i="16" s="1"/>
  <c r="BF206" i="16"/>
  <c r="BF226" i="16" s="1"/>
  <c r="BE206" i="16"/>
  <c r="BD206" i="16"/>
  <c r="BC206" i="16"/>
  <c r="BB206" i="16"/>
  <c r="BN207" i="16" s="1"/>
  <c r="BA206" i="16"/>
  <c r="BM452" i="16" s="1"/>
  <c r="AZ206" i="16"/>
  <c r="AY206" i="16"/>
  <c r="AY207" i="16" s="1"/>
  <c r="AX206" i="16"/>
  <c r="AW206" i="16"/>
  <c r="AW233" i="16" s="1"/>
  <c r="AV206" i="16"/>
  <c r="AU206" i="16"/>
  <c r="AT206" i="16"/>
  <c r="AT245" i="16" s="1"/>
  <c r="AS206" i="16"/>
  <c r="AS249" i="16" s="1"/>
  <c r="AR206" i="16"/>
  <c r="AQ206" i="16"/>
  <c r="AQ249" i="16" s="1"/>
  <c r="AP206" i="16"/>
  <c r="AO206" i="16"/>
  <c r="AN206" i="16"/>
  <c r="AN245" i="16" s="1"/>
  <c r="AM206" i="16"/>
  <c r="AL206" i="16"/>
  <c r="AX452" i="16" s="1"/>
  <c r="AK206" i="16"/>
  <c r="AK207" i="16" s="1"/>
  <c r="AJ206" i="16"/>
  <c r="AI206" i="16"/>
  <c r="AH206" i="16"/>
  <c r="AT452" i="16" s="1"/>
  <c r="AG206" i="16"/>
  <c r="AF206" i="16"/>
  <c r="AE206" i="16"/>
  <c r="AD206" i="16"/>
  <c r="AC206" i="16"/>
  <c r="AC245" i="16" s="1"/>
  <c r="AB206" i="16"/>
  <c r="AA206" i="16"/>
  <c r="Z206" i="16"/>
  <c r="Y206" i="16"/>
  <c r="X206" i="16"/>
  <c r="W206" i="16"/>
  <c r="AI452" i="16" s="1"/>
  <c r="V206" i="16"/>
  <c r="U206" i="16"/>
  <c r="T206" i="16"/>
  <c r="T249" i="16" s="1"/>
  <c r="S206" i="16"/>
  <c r="R206" i="16"/>
  <c r="R233" i="16" s="1"/>
  <c r="Q206" i="16"/>
  <c r="Q207" i="16" s="1"/>
  <c r="P206" i="16"/>
  <c r="AB452" i="16" s="1"/>
  <c r="O206" i="16"/>
  <c r="N206" i="16"/>
  <c r="N245" i="16" s="1"/>
  <c r="M206" i="16"/>
  <c r="L206" i="16"/>
  <c r="K206" i="16"/>
  <c r="W452" i="16" s="1"/>
  <c r="J206" i="16"/>
  <c r="I206" i="16"/>
  <c r="Q452" i="16" s="1"/>
  <c r="H206" i="16"/>
  <c r="G206" i="16"/>
  <c r="K207" i="16" s="1"/>
  <c r="DC199" i="16"/>
  <c r="DB199" i="16"/>
  <c r="DA199" i="16"/>
  <c r="DA201" i="16" s="1"/>
  <c r="CZ199" i="16"/>
  <c r="CZ201" i="16" s="1"/>
  <c r="CY199" i="16"/>
  <c r="CX199" i="16"/>
  <c r="CW199" i="16"/>
  <c r="CV199" i="16"/>
  <c r="CU199" i="16"/>
  <c r="CT199" i="16"/>
  <c r="CT200" i="16" s="1"/>
  <c r="CS199" i="16"/>
  <c r="CR199" i="16"/>
  <c r="CR201" i="16" s="1"/>
  <c r="CQ199" i="16"/>
  <c r="CQ201" i="16" s="1"/>
  <c r="CP199" i="16"/>
  <c r="CP200" i="16" s="1"/>
  <c r="CO199" i="16"/>
  <c r="CN199" i="16"/>
  <c r="CM199" i="16"/>
  <c r="CM201" i="16" s="1"/>
  <c r="CL199" i="16"/>
  <c r="CL201" i="16" s="1"/>
  <c r="CK199" i="16"/>
  <c r="CJ199" i="16"/>
  <c r="CI199" i="16"/>
  <c r="CH199" i="16"/>
  <c r="CG199" i="16"/>
  <c r="CF199" i="16"/>
  <c r="CE199" i="16"/>
  <c r="CD199" i="16"/>
  <c r="CC199" i="16"/>
  <c r="CB199" i="16"/>
  <c r="CB200" i="16" s="1"/>
  <c r="CA199" i="16"/>
  <c r="BZ199" i="16"/>
  <c r="BY199" i="16"/>
  <c r="BX199" i="16"/>
  <c r="BW199" i="16"/>
  <c r="BW200" i="16" s="1"/>
  <c r="BV199" i="16"/>
  <c r="BU199" i="16"/>
  <c r="BT199" i="16"/>
  <c r="BS199" i="16"/>
  <c r="BR199" i="16"/>
  <c r="BR200" i="16" s="1"/>
  <c r="BQ199" i="16"/>
  <c r="BP199" i="16"/>
  <c r="BO199" i="16"/>
  <c r="BN199" i="16"/>
  <c r="BM199" i="16"/>
  <c r="BL199" i="16"/>
  <c r="BK199" i="16"/>
  <c r="BK200" i="16" s="1"/>
  <c r="BJ199" i="16"/>
  <c r="BI199" i="16"/>
  <c r="BI200" i="16" s="1"/>
  <c r="BH199" i="16"/>
  <c r="BG199" i="16"/>
  <c r="BF199" i="16"/>
  <c r="BE199" i="16"/>
  <c r="BD199" i="16"/>
  <c r="BD200" i="16" s="1"/>
  <c r="BC199" i="16"/>
  <c r="BB199" i="16"/>
  <c r="BA199" i="16"/>
  <c r="AZ199" i="16"/>
  <c r="AY199" i="16"/>
  <c r="AX199" i="16"/>
  <c r="AW199" i="16"/>
  <c r="AW200" i="16" s="1"/>
  <c r="AV199" i="16"/>
  <c r="AU199" i="16"/>
  <c r="AU200" i="16" s="1"/>
  <c r="AT199" i="16"/>
  <c r="AS199" i="16"/>
  <c r="AR199" i="16"/>
  <c r="AQ199" i="16"/>
  <c r="AP199" i="16"/>
  <c r="AO199" i="16"/>
  <c r="AN199" i="16"/>
  <c r="AM199" i="16"/>
  <c r="AM201" i="16" s="1"/>
  <c r="AL199" i="16"/>
  <c r="AL201" i="16" s="1"/>
  <c r="AK199" i="16"/>
  <c r="AJ199" i="16"/>
  <c r="AI199" i="16"/>
  <c r="AH199" i="16"/>
  <c r="AG199" i="16"/>
  <c r="AG200" i="16" s="1"/>
  <c r="AF199" i="16"/>
  <c r="AE199" i="16"/>
  <c r="AD199" i="16"/>
  <c r="AC199" i="16"/>
  <c r="AB199" i="16"/>
  <c r="AA199" i="16"/>
  <c r="Z199" i="16"/>
  <c r="Y199" i="16"/>
  <c r="Y201" i="16" s="1"/>
  <c r="X199" i="16"/>
  <c r="X200" i="16" s="1"/>
  <c r="W199" i="16"/>
  <c r="V199" i="16"/>
  <c r="U199" i="16"/>
  <c r="U201" i="16" s="1"/>
  <c r="T199" i="16"/>
  <c r="T201" i="16" s="1"/>
  <c r="S199" i="16"/>
  <c r="R199" i="16"/>
  <c r="Q199" i="16"/>
  <c r="P199" i="16"/>
  <c r="O199" i="16"/>
  <c r="N199" i="16"/>
  <c r="M199" i="16"/>
  <c r="L199" i="16"/>
  <c r="K199" i="16"/>
  <c r="K201" i="16" s="1"/>
  <c r="J199" i="16"/>
  <c r="J201" i="16" s="1"/>
  <c r="I199" i="16"/>
  <c r="H199" i="16"/>
  <c r="G199" i="16"/>
  <c r="G201" i="16" s="1"/>
  <c r="DC195" i="16"/>
  <c r="DB195" i="16"/>
  <c r="DB196" i="16" s="1"/>
  <c r="DA195" i="16"/>
  <c r="CZ195" i="16"/>
  <c r="CY195" i="16"/>
  <c r="CY196" i="16" s="1"/>
  <c r="CX195" i="16"/>
  <c r="CX196" i="16" s="1"/>
  <c r="CW195" i="16"/>
  <c r="CV195" i="16"/>
  <c r="CV197" i="16" s="1"/>
  <c r="CU195" i="16"/>
  <c r="CT195" i="16"/>
  <c r="CS195" i="16"/>
  <c r="CR195" i="16"/>
  <c r="CQ195" i="16"/>
  <c r="CQ197" i="16" s="1"/>
  <c r="CP195" i="16"/>
  <c r="CP197" i="16" s="1"/>
  <c r="CO195" i="16"/>
  <c r="CN195" i="16"/>
  <c r="CM195" i="16"/>
  <c r="CL195" i="16"/>
  <c r="CL197" i="16" s="1"/>
  <c r="CK195" i="16"/>
  <c r="CW197" i="16" s="1"/>
  <c r="CJ195" i="16"/>
  <c r="CJ196" i="16" s="1"/>
  <c r="CI195" i="16"/>
  <c r="CH195" i="16"/>
  <c r="CH197" i="16" s="1"/>
  <c r="CG195" i="16"/>
  <c r="CF195" i="16"/>
  <c r="CE195" i="16"/>
  <c r="CD195" i="16"/>
  <c r="CC195" i="16"/>
  <c r="CC197" i="16" s="1"/>
  <c r="CB195" i="16"/>
  <c r="CB197" i="16" s="1"/>
  <c r="CA195" i="16"/>
  <c r="BZ195" i="16"/>
  <c r="BZ196" i="16" s="1"/>
  <c r="BY195" i="16"/>
  <c r="BX195" i="16"/>
  <c r="BW195" i="16"/>
  <c r="CI197" i="16" s="1"/>
  <c r="BV195" i="16"/>
  <c r="BV196" i="16" s="1"/>
  <c r="BU195" i="16"/>
  <c r="BT195" i="16"/>
  <c r="BT197" i="16" s="1"/>
  <c r="BS195" i="16"/>
  <c r="BR195" i="16"/>
  <c r="BQ195" i="16"/>
  <c r="BP195" i="16"/>
  <c r="BO195" i="16"/>
  <c r="BO197" i="16" s="1"/>
  <c r="BN195" i="16"/>
  <c r="BN197" i="16" s="1"/>
  <c r="BM195" i="16"/>
  <c r="BL195" i="16"/>
  <c r="BK195" i="16"/>
  <c r="BJ195" i="16"/>
  <c r="BI195" i="16"/>
  <c r="BU197" i="16" s="1"/>
  <c r="BH195" i="16"/>
  <c r="BH196" i="16" s="1"/>
  <c r="BG195" i="16"/>
  <c r="BF195" i="16"/>
  <c r="BF197" i="16" s="1"/>
  <c r="BE195" i="16"/>
  <c r="BD195" i="16"/>
  <c r="BC195" i="16"/>
  <c r="BB195" i="16"/>
  <c r="BA195" i="16"/>
  <c r="BA197" i="16" s="1"/>
  <c r="AZ195" i="16"/>
  <c r="AZ197" i="16" s="1"/>
  <c r="AY195" i="16"/>
  <c r="AX195" i="16"/>
  <c r="AX196" i="16" s="1"/>
  <c r="AW195" i="16"/>
  <c r="AV195" i="16"/>
  <c r="AU195" i="16"/>
  <c r="BG197" i="16" s="1"/>
  <c r="AT195" i="16"/>
  <c r="AT196" i="16" s="1"/>
  <c r="AS195" i="16"/>
  <c r="AR195" i="16"/>
  <c r="AR197" i="16" s="1"/>
  <c r="AQ195" i="16"/>
  <c r="AP195" i="16"/>
  <c r="AO195" i="16"/>
  <c r="AN195" i="16"/>
  <c r="AM195" i="16"/>
  <c r="AM197" i="16" s="1"/>
  <c r="AL195" i="16"/>
  <c r="AL197" i="16" s="1"/>
  <c r="AK195" i="16"/>
  <c r="AJ195" i="16"/>
  <c r="AI195" i="16"/>
  <c r="AH195" i="16"/>
  <c r="AG195" i="16"/>
  <c r="AS197" i="16" s="1"/>
  <c r="AF195" i="16"/>
  <c r="AF196" i="16" s="1"/>
  <c r="AE195" i="16"/>
  <c r="AD195" i="16"/>
  <c r="AD197" i="16" s="1"/>
  <c r="AC195" i="16"/>
  <c r="AB195" i="16"/>
  <c r="AA195" i="16"/>
  <c r="Z195" i="16"/>
  <c r="Y195" i="16"/>
  <c r="Y197" i="16" s="1"/>
  <c r="X195" i="16"/>
  <c r="X197" i="16" s="1"/>
  <c r="W195" i="16"/>
  <c r="V195" i="16"/>
  <c r="V196" i="16" s="1"/>
  <c r="U195" i="16"/>
  <c r="T195" i="16"/>
  <c r="S195" i="16"/>
  <c r="AE197" i="16" s="1"/>
  <c r="R195" i="16"/>
  <c r="R196" i="16" s="1"/>
  <c r="Q195" i="16"/>
  <c r="P195" i="16"/>
  <c r="O195" i="16"/>
  <c r="N195" i="16"/>
  <c r="M195" i="16"/>
  <c r="L195" i="16"/>
  <c r="K195" i="16"/>
  <c r="J195" i="16"/>
  <c r="I195" i="16"/>
  <c r="H195" i="16"/>
  <c r="G195" i="16"/>
  <c r="DC183" i="16"/>
  <c r="DB183" i="16"/>
  <c r="DA183" i="16"/>
  <c r="CZ183" i="16"/>
  <c r="CY183" i="16"/>
  <c r="CY176" i="16" s="1"/>
  <c r="CX183" i="16"/>
  <c r="CX184" i="16" s="1"/>
  <c r="CW183" i="16"/>
  <c r="CW176" i="16" s="1"/>
  <c r="CW177" i="16" s="1"/>
  <c r="CV183" i="16"/>
  <c r="CU183" i="16"/>
  <c r="CT183" i="16"/>
  <c r="CS183" i="16"/>
  <c r="CS185" i="16" s="1"/>
  <c r="CR183" i="16"/>
  <c r="CQ183" i="16"/>
  <c r="CP183" i="16"/>
  <c r="CO183" i="16"/>
  <c r="CN183" i="16"/>
  <c r="CM183" i="16"/>
  <c r="CL183" i="16"/>
  <c r="CK183" i="16"/>
  <c r="CK176" i="16" s="1"/>
  <c r="CK181" i="16" s="1"/>
  <c r="CJ183" i="16"/>
  <c r="CJ176" i="16" s="1"/>
  <c r="CJ181" i="16" s="1"/>
  <c r="CI183" i="16"/>
  <c r="CI176" i="16" s="1"/>
  <c r="CH183" i="16"/>
  <c r="CH185" i="16" s="1"/>
  <c r="CG183" i="16"/>
  <c r="CF183" i="16"/>
  <c r="CE183" i="16"/>
  <c r="CE185" i="16" s="1"/>
  <c r="CD183" i="16"/>
  <c r="CC183" i="16"/>
  <c r="CB183" i="16"/>
  <c r="CA183" i="16"/>
  <c r="BZ183" i="16"/>
  <c r="BY183" i="16"/>
  <c r="BX183" i="16"/>
  <c r="BW183" i="16"/>
  <c r="BW176" i="16" s="1"/>
  <c r="BV183" i="16"/>
  <c r="BV176" i="16" s="1"/>
  <c r="BU183" i="16"/>
  <c r="BU176" i="16" s="1"/>
  <c r="BT183" i="16"/>
  <c r="BT176" i="16" s="1"/>
  <c r="BS183" i="16"/>
  <c r="BR183" i="16"/>
  <c r="BQ183" i="16"/>
  <c r="BQ185" i="16" s="1"/>
  <c r="BP183" i="16"/>
  <c r="BP185" i="16" s="1"/>
  <c r="BO183" i="16"/>
  <c r="BN183" i="16"/>
  <c r="BM183" i="16"/>
  <c r="BL183" i="16"/>
  <c r="BK183" i="16"/>
  <c r="BJ183" i="16"/>
  <c r="BI183" i="16"/>
  <c r="BI176" i="16" s="1"/>
  <c r="BH183" i="16"/>
  <c r="BH176" i="16" s="1"/>
  <c r="BH181" i="16" s="1"/>
  <c r="BG183" i="16"/>
  <c r="BG176" i="16" s="1"/>
  <c r="BF183" i="16"/>
  <c r="BE183" i="16"/>
  <c r="BD183" i="16"/>
  <c r="BC183" i="16"/>
  <c r="BC185" i="16" s="1"/>
  <c r="BB183" i="16"/>
  <c r="BB185" i="16" s="1"/>
  <c r="BA183" i="16"/>
  <c r="AZ183" i="16"/>
  <c r="AY183" i="16"/>
  <c r="AX183" i="16"/>
  <c r="AW183" i="16"/>
  <c r="AV183" i="16"/>
  <c r="AU183" i="16"/>
  <c r="AU176" i="16" s="1"/>
  <c r="AU181" i="16" s="1"/>
  <c r="AT183" i="16"/>
  <c r="AT176" i="16" s="1"/>
  <c r="AT181" i="16" s="1"/>
  <c r="AS183" i="16"/>
  <c r="AS176" i="16" s="1"/>
  <c r="AR183" i="16"/>
  <c r="AR176" i="16" s="1"/>
  <c r="AQ183" i="16"/>
  <c r="AP183" i="16"/>
  <c r="AO183" i="16"/>
  <c r="AO185" i="16" s="1"/>
  <c r="AN183" i="16"/>
  <c r="AM183" i="16"/>
  <c r="AL183" i="16"/>
  <c r="AK183" i="16"/>
  <c r="AJ183" i="16"/>
  <c r="AI183" i="16"/>
  <c r="AH183" i="16"/>
  <c r="AG183" i="16"/>
  <c r="AG176" i="16" s="1"/>
  <c r="AF183" i="16"/>
  <c r="AF184" i="16" s="1"/>
  <c r="AE183" i="16"/>
  <c r="AE176" i="16" s="1"/>
  <c r="AE181" i="16" s="1"/>
  <c r="AD183" i="16"/>
  <c r="AD176" i="16" s="1"/>
  <c r="AC183" i="16"/>
  <c r="AB183" i="16"/>
  <c r="AA183" i="16"/>
  <c r="AA185" i="16" s="1"/>
  <c r="Z183" i="16"/>
  <c r="Y183" i="16"/>
  <c r="X183" i="16"/>
  <c r="W183" i="16"/>
  <c r="V183" i="16"/>
  <c r="U183" i="16"/>
  <c r="T183" i="16"/>
  <c r="S183" i="16"/>
  <c r="S176" i="16" s="1"/>
  <c r="S181" i="16" s="1"/>
  <c r="R183" i="16"/>
  <c r="R184" i="16" s="1"/>
  <c r="Q183" i="16"/>
  <c r="Q176" i="16" s="1"/>
  <c r="Q178" i="16" s="1"/>
  <c r="P183" i="16"/>
  <c r="P176" i="16" s="1"/>
  <c r="P181" i="16" s="1"/>
  <c r="O183" i="16"/>
  <c r="N183" i="16"/>
  <c r="N184" i="16" s="1"/>
  <c r="M183" i="16"/>
  <c r="M184" i="16" s="1"/>
  <c r="L183" i="16"/>
  <c r="L184" i="16" s="1"/>
  <c r="K183" i="16"/>
  <c r="J183" i="16"/>
  <c r="I183" i="16"/>
  <c r="H183" i="16"/>
  <c r="G183" i="16"/>
  <c r="DC175" i="16"/>
  <c r="DB175" i="16"/>
  <c r="DA175" i="16"/>
  <c r="CZ175" i="16"/>
  <c r="CY175" i="16"/>
  <c r="CX175" i="16"/>
  <c r="CW175" i="16"/>
  <c r="CV175" i="16"/>
  <c r="CU175" i="16"/>
  <c r="CT175" i="16"/>
  <c r="CS175" i="16"/>
  <c r="CR175" i="16"/>
  <c r="CQ175" i="16"/>
  <c r="CP175" i="16"/>
  <c r="CO175" i="16"/>
  <c r="CN175" i="16"/>
  <c r="CM175" i="16"/>
  <c r="CL175" i="16"/>
  <c r="CK175" i="16"/>
  <c r="CJ175" i="16"/>
  <c r="CI175" i="16"/>
  <c r="CH175" i="16"/>
  <c r="CG175" i="16"/>
  <c r="CF175" i="16"/>
  <c r="CE175" i="16"/>
  <c r="CD175" i="16"/>
  <c r="CC175" i="16"/>
  <c r="CB175" i="16"/>
  <c r="CA175" i="16"/>
  <c r="BZ175" i="16"/>
  <c r="BY175" i="16"/>
  <c r="BX175" i="16"/>
  <c r="BW175" i="16"/>
  <c r="BV175" i="16"/>
  <c r="BU175" i="16"/>
  <c r="BT175" i="16"/>
  <c r="BS175" i="16"/>
  <c r="BR175" i="16"/>
  <c r="BQ175" i="16"/>
  <c r="BP175" i="16"/>
  <c r="BO175" i="16"/>
  <c r="BN175" i="16"/>
  <c r="BM175" i="16"/>
  <c r="BL175" i="16"/>
  <c r="BK175" i="16"/>
  <c r="BJ175" i="16"/>
  <c r="BI175" i="16"/>
  <c r="BH175" i="16"/>
  <c r="BG175" i="16"/>
  <c r="BF175" i="16"/>
  <c r="BE175" i="16"/>
  <c r="BD175" i="16"/>
  <c r="BC175" i="16"/>
  <c r="BB175" i="16"/>
  <c r="BA175" i="16"/>
  <c r="AZ175" i="16"/>
  <c r="AY175" i="16"/>
  <c r="AX175" i="16"/>
  <c r="AW175" i="16"/>
  <c r="AV175" i="16"/>
  <c r="AU175" i="16"/>
  <c r="AT175" i="16"/>
  <c r="AS175" i="16"/>
  <c r="AR175" i="16"/>
  <c r="AQ175" i="16"/>
  <c r="AQ170" i="16" s="1"/>
  <c r="AP175" i="16"/>
  <c r="AO175" i="16"/>
  <c r="AN175" i="16"/>
  <c r="AM175" i="16"/>
  <c r="AL175" i="16"/>
  <c r="AK175" i="16"/>
  <c r="AJ175" i="16"/>
  <c r="AI175" i="16"/>
  <c r="AH175" i="16"/>
  <c r="AG175" i="16"/>
  <c r="AF175" i="16"/>
  <c r="AE175" i="16"/>
  <c r="AD175" i="16"/>
  <c r="AC175" i="16"/>
  <c r="AB175" i="16"/>
  <c r="AA175" i="16"/>
  <c r="Z175" i="16"/>
  <c r="Y175" i="16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DC174" i="16"/>
  <c r="DB174" i="16"/>
  <c r="DA174" i="16"/>
  <c r="CZ174" i="16"/>
  <c r="CY174" i="16"/>
  <c r="CX174" i="16"/>
  <c r="CX187" i="16" s="1"/>
  <c r="CW174" i="16"/>
  <c r="CW187" i="16" s="1"/>
  <c r="CV174" i="16"/>
  <c r="CU174" i="16"/>
  <c r="CT174" i="16"/>
  <c r="CS174" i="16"/>
  <c r="CR174" i="16"/>
  <c r="CQ174" i="16"/>
  <c r="CQ187" i="16" s="1"/>
  <c r="CP174" i="16"/>
  <c r="CP187" i="16" s="1"/>
  <c r="CO174" i="16"/>
  <c r="CN174" i="16"/>
  <c r="CM174" i="16"/>
  <c r="CL174" i="16"/>
  <c r="CK174" i="16"/>
  <c r="CJ174" i="16"/>
  <c r="CJ187" i="16" s="1"/>
  <c r="CI174" i="16"/>
  <c r="CI187" i="16" s="1"/>
  <c r="CH174" i="16"/>
  <c r="CG174" i="16"/>
  <c r="CF174" i="16"/>
  <c r="CE174" i="16"/>
  <c r="CD174" i="16"/>
  <c r="CC174" i="16"/>
  <c r="CC187" i="16" s="1"/>
  <c r="CB174" i="16"/>
  <c r="CB187" i="16" s="1"/>
  <c r="CA174" i="16"/>
  <c r="BZ174" i="16"/>
  <c r="BY174" i="16"/>
  <c r="BX174" i="16"/>
  <c r="BW174" i="16"/>
  <c r="BV174" i="16"/>
  <c r="BV187" i="16" s="1"/>
  <c r="BU174" i="16"/>
  <c r="BU187" i="16" s="1"/>
  <c r="BT174" i="16"/>
  <c r="BS174" i="16"/>
  <c r="BR174" i="16"/>
  <c r="BQ174" i="16"/>
  <c r="BP174" i="16"/>
  <c r="BO174" i="16"/>
  <c r="BO187" i="16" s="1"/>
  <c r="BN174" i="16"/>
  <c r="BN187" i="16" s="1"/>
  <c r="BM174" i="16"/>
  <c r="BL174" i="16"/>
  <c r="BK174" i="16"/>
  <c r="BJ174" i="16"/>
  <c r="BI174" i="16"/>
  <c r="BH174" i="16"/>
  <c r="BH187" i="16" s="1"/>
  <c r="BG174" i="16"/>
  <c r="BG187" i="16" s="1"/>
  <c r="BF174" i="16"/>
  <c r="BE174" i="16"/>
  <c r="BD174" i="16"/>
  <c r="BC174" i="16"/>
  <c r="BB174" i="16"/>
  <c r="BB187" i="16" s="1"/>
  <c r="BA174" i="16"/>
  <c r="BA187" i="16" s="1"/>
  <c r="AZ174" i="16"/>
  <c r="AZ187" i="16" s="1"/>
  <c r="AY174" i="16"/>
  <c r="AX174" i="16"/>
  <c r="AW174" i="16"/>
  <c r="AV174" i="16"/>
  <c r="AU174" i="16"/>
  <c r="AT174" i="16"/>
  <c r="AT187" i="16" s="1"/>
  <c r="AS174" i="16"/>
  <c r="AS187" i="16" s="1"/>
  <c r="AR174" i="16"/>
  <c r="AQ174" i="16"/>
  <c r="AP174" i="16"/>
  <c r="AO174" i="16"/>
  <c r="AN174" i="16"/>
  <c r="AM174" i="16"/>
  <c r="AM187" i="16" s="1"/>
  <c r="AL174" i="16"/>
  <c r="AL187" i="16" s="1"/>
  <c r="AK174" i="16"/>
  <c r="AJ174" i="16"/>
  <c r="AI174" i="16"/>
  <c r="AH174" i="16"/>
  <c r="AG174" i="16"/>
  <c r="AF174" i="16"/>
  <c r="AF187" i="16" s="1"/>
  <c r="AE174" i="16"/>
  <c r="AE187" i="16" s="1"/>
  <c r="AD174" i="16"/>
  <c r="AC174" i="16"/>
  <c r="AB174" i="16"/>
  <c r="AA174" i="16"/>
  <c r="Z174" i="16"/>
  <c r="Y174" i="16"/>
  <c r="Y187" i="16" s="1"/>
  <c r="X174" i="16"/>
  <c r="X187" i="16" s="1"/>
  <c r="W174" i="16"/>
  <c r="V174" i="16"/>
  <c r="U174" i="16"/>
  <c r="T174" i="16"/>
  <c r="S174" i="16"/>
  <c r="R174" i="16"/>
  <c r="R187" i="16" s="1"/>
  <c r="Q174" i="16"/>
  <c r="Q170" i="16" s="1"/>
  <c r="P174" i="16"/>
  <c r="O174" i="16"/>
  <c r="N174" i="16"/>
  <c r="M174" i="16"/>
  <c r="L174" i="16"/>
  <c r="K174" i="16"/>
  <c r="K187" i="16" s="1"/>
  <c r="J174" i="16"/>
  <c r="J187" i="16" s="1"/>
  <c r="I174" i="16"/>
  <c r="H174" i="16"/>
  <c r="G174" i="16"/>
  <c r="DC168" i="16"/>
  <c r="DB168" i="16"/>
  <c r="DA168" i="16"/>
  <c r="CZ168" i="16"/>
  <c r="CZ190" i="16" s="1"/>
  <c r="CY168" i="16"/>
  <c r="CY190" i="16" s="1"/>
  <c r="CX168" i="16"/>
  <c r="CX190" i="16" s="1"/>
  <c r="CW168" i="16"/>
  <c r="CW190" i="16" s="1"/>
  <c r="CV168" i="16"/>
  <c r="CV190" i="16" s="1"/>
  <c r="CU168" i="16"/>
  <c r="CU190" i="16" s="1"/>
  <c r="CT168" i="16"/>
  <c r="CT190" i="16" s="1"/>
  <c r="CS168" i="16"/>
  <c r="CR168" i="16"/>
  <c r="CQ168" i="16"/>
  <c r="CQ190" i="16" s="1"/>
  <c r="CP168" i="16"/>
  <c r="CP190" i="16" s="1"/>
  <c r="CO168" i="16"/>
  <c r="CN168" i="16"/>
  <c r="CM168" i="16"/>
  <c r="CL168" i="16"/>
  <c r="CL190" i="16" s="1"/>
  <c r="CK168" i="16"/>
  <c r="CK190" i="16" s="1"/>
  <c r="CJ168" i="16"/>
  <c r="CJ190" i="16" s="1"/>
  <c r="CI168" i="16"/>
  <c r="CI190" i="16" s="1"/>
  <c r="CH168" i="16"/>
  <c r="CH190" i="16" s="1"/>
  <c r="CG168" i="16"/>
  <c r="CG190" i="16" s="1"/>
  <c r="CF168" i="16"/>
  <c r="CF190" i="16" s="1"/>
  <c r="CE168" i="16"/>
  <c r="CD168" i="16"/>
  <c r="CC168" i="16"/>
  <c r="CC190" i="16" s="1"/>
  <c r="CB168" i="16"/>
  <c r="CB190" i="16" s="1"/>
  <c r="CA168" i="16"/>
  <c r="BZ168" i="16"/>
  <c r="BY168" i="16"/>
  <c r="BX168" i="16"/>
  <c r="BX190" i="16" s="1"/>
  <c r="BX191" i="16" s="1"/>
  <c r="BW168" i="16"/>
  <c r="BW190" i="16" s="1"/>
  <c r="BV168" i="16"/>
  <c r="BV190" i="16" s="1"/>
  <c r="BU168" i="16"/>
  <c r="BU190" i="16" s="1"/>
  <c r="BT168" i="16"/>
  <c r="BT190" i="16" s="1"/>
  <c r="BS168" i="16"/>
  <c r="BS190" i="16" s="1"/>
  <c r="BR168" i="16"/>
  <c r="BR190" i="16" s="1"/>
  <c r="BQ168" i="16"/>
  <c r="BP168" i="16"/>
  <c r="BO168" i="16"/>
  <c r="BO190" i="16" s="1"/>
  <c r="BN168" i="16"/>
  <c r="BN190" i="16" s="1"/>
  <c r="BM168" i="16"/>
  <c r="BL168" i="16"/>
  <c r="BK168" i="16"/>
  <c r="BJ168" i="16"/>
  <c r="BJ190" i="16" s="1"/>
  <c r="BI168" i="16"/>
  <c r="BI190" i="16" s="1"/>
  <c r="BH168" i="16"/>
  <c r="BH190" i="16" s="1"/>
  <c r="BG168" i="16"/>
  <c r="BG190" i="16" s="1"/>
  <c r="BF168" i="16"/>
  <c r="BF190" i="16" s="1"/>
  <c r="BE168" i="16"/>
  <c r="BE190" i="16" s="1"/>
  <c r="BD168" i="16"/>
  <c r="BD190" i="16" s="1"/>
  <c r="BC168" i="16"/>
  <c r="BB168" i="16"/>
  <c r="BA168" i="16"/>
  <c r="BA190" i="16" s="1"/>
  <c r="AZ168" i="16"/>
  <c r="AZ190" i="16" s="1"/>
  <c r="AY168" i="16"/>
  <c r="AX168" i="16"/>
  <c r="AW168" i="16"/>
  <c r="AV168" i="16"/>
  <c r="AV190" i="16" s="1"/>
  <c r="AV191" i="16" s="1"/>
  <c r="AU168" i="16"/>
  <c r="AU190" i="16" s="1"/>
  <c r="AT168" i="16"/>
  <c r="AT190" i="16" s="1"/>
  <c r="AS168" i="16"/>
  <c r="AS190" i="16" s="1"/>
  <c r="AR168" i="16"/>
  <c r="AR190" i="16" s="1"/>
  <c r="AQ168" i="16"/>
  <c r="AQ190" i="16" s="1"/>
  <c r="AP168" i="16"/>
  <c r="AP190" i="16" s="1"/>
  <c r="AO168" i="16"/>
  <c r="AN168" i="16"/>
  <c r="AM168" i="16"/>
  <c r="AM190" i="16" s="1"/>
  <c r="AL168" i="16"/>
  <c r="AL190" i="16" s="1"/>
  <c r="AK168" i="16"/>
  <c r="AJ168" i="16"/>
  <c r="AI168" i="16"/>
  <c r="AH168" i="16"/>
  <c r="AH190" i="16" s="1"/>
  <c r="AG168" i="16"/>
  <c r="AG190" i="16" s="1"/>
  <c r="AF168" i="16"/>
  <c r="AF190" i="16" s="1"/>
  <c r="AE168" i="16"/>
  <c r="AE190" i="16" s="1"/>
  <c r="AD168" i="16"/>
  <c r="AD190" i="16" s="1"/>
  <c r="AC168" i="16"/>
  <c r="AC190" i="16" s="1"/>
  <c r="AB168" i="16"/>
  <c r="AB190" i="16" s="1"/>
  <c r="AA168" i="16"/>
  <c r="Z168" i="16"/>
  <c r="Y168" i="16"/>
  <c r="Y190" i="16" s="1"/>
  <c r="X168" i="16"/>
  <c r="X190" i="16" s="1"/>
  <c r="W168" i="16"/>
  <c r="V168" i="16"/>
  <c r="U168" i="16"/>
  <c r="T168" i="16"/>
  <c r="T190" i="16" s="1"/>
  <c r="S168" i="16"/>
  <c r="S190" i="16" s="1"/>
  <c r="R168" i="16"/>
  <c r="R190" i="16" s="1"/>
  <c r="Q168" i="16"/>
  <c r="Q190" i="16" s="1"/>
  <c r="P168" i="16"/>
  <c r="P190" i="16" s="1"/>
  <c r="O168" i="16"/>
  <c r="O190" i="16" s="1"/>
  <c r="N168" i="16"/>
  <c r="N190" i="16" s="1"/>
  <c r="M168" i="16"/>
  <c r="L168" i="16"/>
  <c r="K168" i="16"/>
  <c r="K190" i="16" s="1"/>
  <c r="J168" i="16"/>
  <c r="J190" i="16" s="1"/>
  <c r="I168" i="16"/>
  <c r="H168" i="16"/>
  <c r="G168" i="16"/>
  <c r="DC167" i="16"/>
  <c r="DB167" i="16"/>
  <c r="DA167" i="16"/>
  <c r="CZ167" i="16"/>
  <c r="CY167" i="16"/>
  <c r="CY189" i="16" s="1"/>
  <c r="CX167" i="16"/>
  <c r="CX189" i="16" s="1"/>
  <c r="CW167" i="16"/>
  <c r="CV167" i="16"/>
  <c r="CV189" i="16" s="1"/>
  <c r="CU167" i="16"/>
  <c r="CU189" i="16" s="1"/>
  <c r="CT167" i="16"/>
  <c r="CT189" i="16" s="1"/>
  <c r="CS167" i="16"/>
  <c r="CS189" i="16" s="1"/>
  <c r="CR167" i="16"/>
  <c r="CR189" i="16" s="1"/>
  <c r="CQ167" i="16"/>
  <c r="CQ189" i="16" s="1"/>
  <c r="CP167" i="16"/>
  <c r="CO167" i="16"/>
  <c r="CN167" i="16"/>
  <c r="CM167" i="16"/>
  <c r="CL167" i="16"/>
  <c r="CK167" i="16"/>
  <c r="CK189" i="16" s="1"/>
  <c r="CJ167" i="16"/>
  <c r="CJ189" i="16" s="1"/>
  <c r="CI167" i="16"/>
  <c r="CH167" i="16"/>
  <c r="CH189" i="16" s="1"/>
  <c r="CG167" i="16"/>
  <c r="CG189" i="16" s="1"/>
  <c r="CF167" i="16"/>
  <c r="CF189" i="16" s="1"/>
  <c r="CE167" i="16"/>
  <c r="CE189" i="16" s="1"/>
  <c r="CD167" i="16"/>
  <c r="CD189" i="16" s="1"/>
  <c r="CC167" i="16"/>
  <c r="CC189" i="16" s="1"/>
  <c r="CB167" i="16"/>
  <c r="CA167" i="16"/>
  <c r="BZ167" i="16"/>
  <c r="BY167" i="16"/>
  <c r="BX167" i="16"/>
  <c r="BW167" i="16"/>
  <c r="BW189" i="16" s="1"/>
  <c r="BV167" i="16"/>
  <c r="BV189" i="16" s="1"/>
  <c r="BU167" i="16"/>
  <c r="BT167" i="16"/>
  <c r="BT189" i="16" s="1"/>
  <c r="BS167" i="16"/>
  <c r="BS189" i="16" s="1"/>
  <c r="BR167" i="16"/>
  <c r="BR189" i="16" s="1"/>
  <c r="BQ167" i="16"/>
  <c r="BQ189" i="16" s="1"/>
  <c r="BP167" i="16"/>
  <c r="BP189" i="16" s="1"/>
  <c r="BO167" i="16"/>
  <c r="BO189" i="16" s="1"/>
  <c r="BN167" i="16"/>
  <c r="BM167" i="16"/>
  <c r="BL167" i="16"/>
  <c r="BK167" i="16"/>
  <c r="BJ167" i="16"/>
  <c r="BI167" i="16"/>
  <c r="BI189" i="16" s="1"/>
  <c r="BH167" i="16"/>
  <c r="BH189" i="16" s="1"/>
  <c r="BG167" i="16"/>
  <c r="BF167" i="16"/>
  <c r="BF189" i="16" s="1"/>
  <c r="BE167" i="16"/>
  <c r="BE189" i="16" s="1"/>
  <c r="BD167" i="16"/>
  <c r="BD189" i="16" s="1"/>
  <c r="BC167" i="16"/>
  <c r="BC189" i="16" s="1"/>
  <c r="BB167" i="16"/>
  <c r="BB189" i="16" s="1"/>
  <c r="BA167" i="16"/>
  <c r="BA189" i="16" s="1"/>
  <c r="AZ167" i="16"/>
  <c r="AY167" i="16"/>
  <c r="AX167" i="16"/>
  <c r="AW167" i="16"/>
  <c r="AV167" i="16"/>
  <c r="AU167" i="16"/>
  <c r="AU189" i="16" s="1"/>
  <c r="AT167" i="16"/>
  <c r="AT189" i="16" s="1"/>
  <c r="AS167" i="16"/>
  <c r="AR167" i="16"/>
  <c r="AR189" i="16" s="1"/>
  <c r="AQ167" i="16"/>
  <c r="AQ189" i="16" s="1"/>
  <c r="AP167" i="16"/>
  <c r="AP189" i="16" s="1"/>
  <c r="AO167" i="16"/>
  <c r="AO189" i="16" s="1"/>
  <c r="AN167" i="16"/>
  <c r="AN189" i="16" s="1"/>
  <c r="AM167" i="16"/>
  <c r="AM189" i="16" s="1"/>
  <c r="AL167" i="16"/>
  <c r="AK167" i="16"/>
  <c r="AJ167" i="16"/>
  <c r="AI167" i="16"/>
  <c r="AH167" i="16"/>
  <c r="AG167" i="16"/>
  <c r="AG189" i="16" s="1"/>
  <c r="AF167" i="16"/>
  <c r="AF189" i="16" s="1"/>
  <c r="AE167" i="16"/>
  <c r="AD167" i="16"/>
  <c r="AD189" i="16" s="1"/>
  <c r="AC167" i="16"/>
  <c r="AC189" i="16" s="1"/>
  <c r="AB167" i="16"/>
  <c r="AB189" i="16" s="1"/>
  <c r="AA167" i="16"/>
  <c r="AA189" i="16" s="1"/>
  <c r="Z167" i="16"/>
  <c r="Y167" i="16"/>
  <c r="Y189" i="16" s="1"/>
  <c r="X167" i="16"/>
  <c r="W167" i="16"/>
  <c r="V167" i="16"/>
  <c r="U167" i="16"/>
  <c r="T167" i="16"/>
  <c r="S167" i="16"/>
  <c r="S189" i="16" s="1"/>
  <c r="R167" i="16"/>
  <c r="R189" i="16" s="1"/>
  <c r="Q167" i="16"/>
  <c r="P167" i="16"/>
  <c r="P189" i="16" s="1"/>
  <c r="O167" i="16"/>
  <c r="O189" i="16" s="1"/>
  <c r="N167" i="16"/>
  <c r="N189" i="16" s="1"/>
  <c r="M167" i="16"/>
  <c r="M189" i="16" s="1"/>
  <c r="L167" i="16"/>
  <c r="L189" i="16" s="1"/>
  <c r="K167" i="16"/>
  <c r="K189" i="16" s="1"/>
  <c r="J167" i="16"/>
  <c r="I167" i="16"/>
  <c r="H167" i="16"/>
  <c r="G167" i="16"/>
  <c r="DC166" i="16"/>
  <c r="DB166" i="16"/>
  <c r="DA166" i="16"/>
  <c r="CZ166" i="16"/>
  <c r="CY166" i="16"/>
  <c r="CX166" i="16"/>
  <c r="CW166" i="16"/>
  <c r="CV166" i="16"/>
  <c r="CU166" i="16"/>
  <c r="CT166" i="16"/>
  <c r="CS166" i="16"/>
  <c r="CR166" i="16"/>
  <c r="CQ166" i="16"/>
  <c r="CP166" i="16"/>
  <c r="CO166" i="16"/>
  <c r="CN166" i="16"/>
  <c r="CM166" i="16"/>
  <c r="CL166" i="16"/>
  <c r="CK166" i="16"/>
  <c r="CJ166" i="16"/>
  <c r="CI166" i="16"/>
  <c r="CH166" i="16"/>
  <c r="CG166" i="16"/>
  <c r="CF166" i="16"/>
  <c r="CE166" i="16"/>
  <c r="CD166" i="16"/>
  <c r="CC166" i="16"/>
  <c r="CB166" i="16"/>
  <c r="CA166" i="16"/>
  <c r="BZ166" i="16"/>
  <c r="BY166" i="16"/>
  <c r="BX166" i="16"/>
  <c r="BW166" i="16"/>
  <c r="BV166" i="16"/>
  <c r="BU166" i="16"/>
  <c r="BT166" i="16"/>
  <c r="BS166" i="16"/>
  <c r="BR166" i="16"/>
  <c r="BQ166" i="16"/>
  <c r="BP166" i="16"/>
  <c r="BO166" i="16"/>
  <c r="BN166" i="16"/>
  <c r="BM166" i="16"/>
  <c r="BL166" i="16"/>
  <c r="BK166" i="16"/>
  <c r="BJ166" i="16"/>
  <c r="BI166" i="16"/>
  <c r="BH166" i="16"/>
  <c r="BG166" i="16"/>
  <c r="BF166" i="16"/>
  <c r="BE166" i="16"/>
  <c r="BD166" i="16"/>
  <c r="BC166" i="16"/>
  <c r="BB166" i="16"/>
  <c r="BA166" i="16"/>
  <c r="AZ166" i="16"/>
  <c r="AY166" i="16"/>
  <c r="AX166" i="16"/>
  <c r="AW166" i="16"/>
  <c r="AV166" i="16"/>
  <c r="AU166" i="16"/>
  <c r="AT166" i="16"/>
  <c r="AS166" i="16"/>
  <c r="AR166" i="16"/>
  <c r="AQ166" i="16"/>
  <c r="AP166" i="16"/>
  <c r="AO166" i="16"/>
  <c r="AN166" i="16"/>
  <c r="AM166" i="16"/>
  <c r="AL166" i="16"/>
  <c r="AK166" i="16"/>
  <c r="AJ166" i="16"/>
  <c r="AI166" i="16"/>
  <c r="AH166" i="16"/>
  <c r="AG166" i="16"/>
  <c r="AF166" i="16"/>
  <c r="AE166" i="16"/>
  <c r="AD166" i="16"/>
  <c r="AC166" i="16"/>
  <c r="AB166" i="16"/>
  <c r="AA166" i="16"/>
  <c r="Z166" i="16"/>
  <c r="Y166" i="16"/>
  <c r="X166" i="16"/>
  <c r="W166" i="16"/>
  <c r="V166" i="16"/>
  <c r="U166" i="16"/>
  <c r="T166" i="16"/>
  <c r="S166" i="16"/>
  <c r="R166" i="16"/>
  <c r="Q166" i="16"/>
  <c r="P166" i="16"/>
  <c r="O166" i="16"/>
  <c r="N166" i="16"/>
  <c r="M166" i="16"/>
  <c r="L166" i="16"/>
  <c r="K166" i="16"/>
  <c r="J166" i="16"/>
  <c r="I166" i="16"/>
  <c r="H166" i="16"/>
  <c r="G166" i="16"/>
  <c r="DC165" i="16"/>
  <c r="DB165" i="16"/>
  <c r="DA165" i="16"/>
  <c r="CZ165" i="16"/>
  <c r="CY165" i="16"/>
  <c r="CX165" i="16"/>
  <c r="CW165" i="16"/>
  <c r="CV165" i="16"/>
  <c r="CU165" i="16"/>
  <c r="CT165" i="16"/>
  <c r="CS165" i="16"/>
  <c r="CR165" i="16"/>
  <c r="CQ165" i="16"/>
  <c r="CP165" i="16"/>
  <c r="CO165" i="16"/>
  <c r="CN165" i="16"/>
  <c r="CM165" i="16"/>
  <c r="CL165" i="16"/>
  <c r="CK165" i="16"/>
  <c r="CJ165" i="16"/>
  <c r="CI165" i="16"/>
  <c r="CH165" i="16"/>
  <c r="CG165" i="16"/>
  <c r="CF165" i="16"/>
  <c r="CE165" i="16"/>
  <c r="CD165" i="16"/>
  <c r="CC165" i="16"/>
  <c r="CB165" i="16"/>
  <c r="CA165" i="16"/>
  <c r="BZ165" i="16"/>
  <c r="BY165" i="16"/>
  <c r="BX165" i="16"/>
  <c r="BW165" i="16"/>
  <c r="BV165" i="16"/>
  <c r="BU165" i="16"/>
  <c r="BT165" i="16"/>
  <c r="BS165" i="16"/>
  <c r="BR165" i="16"/>
  <c r="BQ165" i="16"/>
  <c r="BP165" i="16"/>
  <c r="BO165" i="16"/>
  <c r="BN165" i="16"/>
  <c r="BM165" i="16"/>
  <c r="BL165" i="16"/>
  <c r="BK165" i="16"/>
  <c r="BJ165" i="16"/>
  <c r="BI165" i="16"/>
  <c r="BH165" i="16"/>
  <c r="BG165" i="16"/>
  <c r="BF165" i="16"/>
  <c r="BE165" i="16"/>
  <c r="BD165" i="16"/>
  <c r="BC165" i="16"/>
  <c r="BB165" i="16"/>
  <c r="BA165" i="16"/>
  <c r="AZ165" i="16"/>
  <c r="AY165" i="16"/>
  <c r="AX165" i="16"/>
  <c r="AW165" i="16"/>
  <c r="AV165" i="16"/>
  <c r="AU165" i="16"/>
  <c r="AT165" i="16"/>
  <c r="AS165" i="16"/>
  <c r="AR165" i="16"/>
  <c r="AQ165" i="16"/>
  <c r="AP165" i="16"/>
  <c r="AO165" i="16"/>
  <c r="AN165" i="16"/>
  <c r="AM165" i="16"/>
  <c r="AL165" i="16"/>
  <c r="AK165" i="16"/>
  <c r="AJ165" i="16"/>
  <c r="AI165" i="16"/>
  <c r="AH165" i="16"/>
  <c r="AG165" i="16"/>
  <c r="AF165" i="16"/>
  <c r="AE165" i="16"/>
  <c r="AD165" i="16"/>
  <c r="AC165" i="16"/>
  <c r="AB165" i="16"/>
  <c r="AA165" i="16"/>
  <c r="Z165" i="16"/>
  <c r="Y165" i="16"/>
  <c r="X165" i="16"/>
  <c r="W165" i="16"/>
  <c r="V165" i="16"/>
  <c r="U165" i="16"/>
  <c r="T165" i="16"/>
  <c r="S165" i="16"/>
  <c r="R165" i="16"/>
  <c r="Q165" i="16"/>
  <c r="P165" i="16"/>
  <c r="O165" i="16"/>
  <c r="N165" i="16"/>
  <c r="M165" i="16"/>
  <c r="L165" i="16"/>
  <c r="K165" i="16"/>
  <c r="J165" i="16"/>
  <c r="I165" i="16"/>
  <c r="H165" i="16"/>
  <c r="G165" i="16"/>
  <c r="DC164" i="16"/>
  <c r="DB164" i="16"/>
  <c r="DA164" i="16"/>
  <c r="CZ164" i="16"/>
  <c r="CY164" i="16"/>
  <c r="CX164" i="16"/>
  <c r="CW164" i="16"/>
  <c r="CV164" i="16"/>
  <c r="CU164" i="16"/>
  <c r="CT164" i="16"/>
  <c r="CS164" i="16"/>
  <c r="CR164" i="16"/>
  <c r="CQ164" i="16"/>
  <c r="CP164" i="16"/>
  <c r="CO164" i="16"/>
  <c r="CN164" i="16"/>
  <c r="CM164" i="16"/>
  <c r="CL164" i="16"/>
  <c r="CK164" i="16"/>
  <c r="CJ164" i="16"/>
  <c r="CI164" i="16"/>
  <c r="CH164" i="16"/>
  <c r="CG164" i="16"/>
  <c r="CF164" i="16"/>
  <c r="CE164" i="16"/>
  <c r="CD164" i="16"/>
  <c r="CC164" i="16"/>
  <c r="CB164" i="16"/>
  <c r="CA164" i="16"/>
  <c r="BZ164" i="16"/>
  <c r="BY164" i="16"/>
  <c r="BX164" i="16"/>
  <c r="BW164" i="16"/>
  <c r="BV164" i="16"/>
  <c r="BU164" i="16"/>
  <c r="BT164" i="16"/>
  <c r="BS164" i="16"/>
  <c r="BR164" i="16"/>
  <c r="BQ164" i="16"/>
  <c r="BP164" i="16"/>
  <c r="BO164" i="16"/>
  <c r="BN164" i="16"/>
  <c r="BM164" i="16"/>
  <c r="BL164" i="16"/>
  <c r="BK164" i="16"/>
  <c r="BJ164" i="16"/>
  <c r="BI164" i="16"/>
  <c r="BH164" i="16"/>
  <c r="BG164" i="16"/>
  <c r="BF164" i="16"/>
  <c r="BE164" i="16"/>
  <c r="BD164" i="16"/>
  <c r="BC164" i="16"/>
  <c r="BB164" i="16"/>
  <c r="BA164" i="16"/>
  <c r="AZ164" i="16"/>
  <c r="AY164" i="16"/>
  <c r="AX164" i="16"/>
  <c r="AW164" i="16"/>
  <c r="AV164" i="16"/>
  <c r="AU164" i="16"/>
  <c r="AT164" i="16"/>
  <c r="AS164" i="16"/>
  <c r="AR164" i="16"/>
  <c r="AQ164" i="16"/>
  <c r="AP164" i="16"/>
  <c r="AO164" i="16"/>
  <c r="AN164" i="16"/>
  <c r="AM164" i="16"/>
  <c r="AL164" i="16"/>
  <c r="AK164" i="16"/>
  <c r="AJ164" i="16"/>
  <c r="AI164" i="16"/>
  <c r="AH164" i="16"/>
  <c r="AG164" i="16"/>
  <c r="AF164" i="16"/>
  <c r="AE164" i="16"/>
  <c r="AD164" i="16"/>
  <c r="AC164" i="16"/>
  <c r="AB164" i="16"/>
  <c r="AA164" i="16"/>
  <c r="Z164" i="16"/>
  <c r="Y164" i="16"/>
  <c r="X164" i="16"/>
  <c r="W164" i="16"/>
  <c r="V164" i="16"/>
  <c r="U164" i="16"/>
  <c r="T164" i="16"/>
  <c r="S164" i="16"/>
  <c r="R164" i="16"/>
  <c r="Q164" i="16"/>
  <c r="P164" i="16"/>
  <c r="O164" i="16"/>
  <c r="N164" i="16"/>
  <c r="M164" i="16"/>
  <c r="L164" i="16"/>
  <c r="K164" i="16"/>
  <c r="J164" i="16"/>
  <c r="I164" i="16"/>
  <c r="H164" i="16"/>
  <c r="G164" i="16"/>
  <c r="DC160" i="16"/>
  <c r="DB160" i="16"/>
  <c r="DA160" i="16"/>
  <c r="CZ160" i="16"/>
  <c r="CY160" i="16"/>
  <c r="CX160" i="16"/>
  <c r="CW160" i="16"/>
  <c r="CV160" i="16"/>
  <c r="CU160" i="16"/>
  <c r="CT160" i="16"/>
  <c r="CS160" i="16"/>
  <c r="CR160" i="16"/>
  <c r="CQ160" i="16"/>
  <c r="DC162" i="16" s="1"/>
  <c r="CP160" i="16"/>
  <c r="DB162" i="16" s="1"/>
  <c r="CO160" i="16"/>
  <c r="CN160" i="16"/>
  <c r="CM160" i="16"/>
  <c r="CL160" i="16"/>
  <c r="CK160" i="16"/>
  <c r="CK161" i="16" s="1"/>
  <c r="CJ160" i="16"/>
  <c r="CJ161" i="16" s="1"/>
  <c r="CI160" i="16"/>
  <c r="CH160" i="16"/>
  <c r="CG160" i="16"/>
  <c r="CS162" i="16" s="1"/>
  <c r="CF160" i="16"/>
  <c r="CR162" i="16" s="1"/>
  <c r="CE160" i="16"/>
  <c r="CD160" i="16"/>
  <c r="CC160" i="16"/>
  <c r="CO162" i="16" s="1"/>
  <c r="CB160" i="16"/>
  <c r="CN162" i="16" s="1"/>
  <c r="CA160" i="16"/>
  <c r="BZ160" i="16"/>
  <c r="BY160" i="16"/>
  <c r="BX160" i="16"/>
  <c r="BW160" i="16"/>
  <c r="BW161" i="16" s="1"/>
  <c r="BV160" i="16"/>
  <c r="BU160" i="16"/>
  <c r="BU162" i="16" s="1"/>
  <c r="BT160" i="16"/>
  <c r="BT162" i="16" s="1"/>
  <c r="BS160" i="16"/>
  <c r="BR160" i="16"/>
  <c r="CD162" i="16" s="1"/>
  <c r="BQ160" i="16"/>
  <c r="BP160" i="16"/>
  <c r="BO160" i="16"/>
  <c r="CA162" i="16" s="1"/>
  <c r="BN160" i="16"/>
  <c r="BN161" i="16" s="1"/>
  <c r="BM160" i="16"/>
  <c r="BL160" i="16"/>
  <c r="BK160" i="16"/>
  <c r="BJ160" i="16"/>
  <c r="BI160" i="16"/>
  <c r="BI162" i="16" s="1"/>
  <c r="BH160" i="16"/>
  <c r="BG160" i="16"/>
  <c r="BG162" i="16" s="1"/>
  <c r="BF160" i="16"/>
  <c r="BE160" i="16"/>
  <c r="BQ162" i="16" s="1"/>
  <c r="BD160" i="16"/>
  <c r="BP162" i="16" s="1"/>
  <c r="BC160" i="16"/>
  <c r="BB160" i="16"/>
  <c r="BA160" i="16"/>
  <c r="BM162" i="16" s="1"/>
  <c r="AZ160" i="16"/>
  <c r="BL162" i="16" s="1"/>
  <c r="AY160" i="16"/>
  <c r="AX160" i="16"/>
  <c r="AW160" i="16"/>
  <c r="AV160" i="16"/>
  <c r="AU160" i="16"/>
  <c r="AT160" i="16"/>
  <c r="AS160" i="16"/>
  <c r="AR160" i="16"/>
  <c r="AQ160" i="16"/>
  <c r="BC162" i="16" s="1"/>
  <c r="AP160" i="16"/>
  <c r="BB162" i="16" s="1"/>
  <c r="AO160" i="16"/>
  <c r="AN160" i="16"/>
  <c r="AN161" i="16" s="1"/>
  <c r="AM160" i="16"/>
  <c r="AY162" i="16" s="1"/>
  <c r="AL160" i="16"/>
  <c r="AX162" i="16" s="1"/>
  <c r="AK160" i="16"/>
  <c r="AJ160" i="16"/>
  <c r="AI160" i="16"/>
  <c r="AH160" i="16"/>
  <c r="AG160" i="16"/>
  <c r="AF160" i="16"/>
  <c r="AE160" i="16"/>
  <c r="AD160" i="16"/>
  <c r="AC160" i="16"/>
  <c r="AO162" i="16" s="1"/>
  <c r="AB160" i="16"/>
  <c r="AN162" i="16" s="1"/>
  <c r="AA160" i="16"/>
  <c r="Z160" i="16"/>
  <c r="Y160" i="16"/>
  <c r="AK162" i="16" s="1"/>
  <c r="X160" i="16"/>
  <c r="AJ162" i="16" s="1"/>
  <c r="W160" i="16"/>
  <c r="V160" i="16"/>
  <c r="U160" i="16"/>
  <c r="T160" i="16"/>
  <c r="S160" i="16"/>
  <c r="S161" i="16" s="1"/>
  <c r="R160" i="16"/>
  <c r="R161" i="16" s="1"/>
  <c r="Q160" i="16"/>
  <c r="Q162" i="16" s="1"/>
  <c r="P160" i="16"/>
  <c r="O160" i="16"/>
  <c r="AA162" i="16" s="1"/>
  <c r="N160" i="16"/>
  <c r="N162" i="16" s="1"/>
  <c r="M160" i="16"/>
  <c r="L160" i="16"/>
  <c r="L161" i="16" s="1"/>
  <c r="K160" i="16"/>
  <c r="W162" i="16" s="1"/>
  <c r="J160" i="16"/>
  <c r="T162" i="16" s="1"/>
  <c r="I160" i="16"/>
  <c r="H160" i="16"/>
  <c r="G160" i="16"/>
  <c r="DC157" i="16"/>
  <c r="DB157" i="16"/>
  <c r="DA157" i="16"/>
  <c r="CZ157" i="16"/>
  <c r="CZ161" i="16" s="1"/>
  <c r="CY157" i="16"/>
  <c r="CX157" i="16"/>
  <c r="CW157" i="16"/>
  <c r="CW161" i="16" s="1"/>
  <c r="CV157" i="16"/>
  <c r="CV196" i="16" s="1"/>
  <c r="CU157" i="16"/>
  <c r="CT157" i="16"/>
  <c r="CS157" i="16"/>
  <c r="CR157" i="16"/>
  <c r="CR196" i="16" s="1"/>
  <c r="CQ157" i="16"/>
  <c r="CP157" i="16"/>
  <c r="CO157" i="16"/>
  <c r="CN157" i="16"/>
  <c r="CM157" i="16"/>
  <c r="CL157" i="16"/>
  <c r="CL161" i="16" s="1"/>
  <c r="CK157" i="16"/>
  <c r="CJ157" i="16"/>
  <c r="CI157" i="16"/>
  <c r="CI161" i="16" s="1"/>
  <c r="CH157" i="16"/>
  <c r="CH196" i="16" s="1"/>
  <c r="CG157" i="16"/>
  <c r="CF157" i="16"/>
  <c r="CE157" i="16"/>
  <c r="CD157" i="16"/>
  <c r="CP158" i="16" s="1"/>
  <c r="CC157" i="16"/>
  <c r="CO158" i="16" s="1"/>
  <c r="CB157" i="16"/>
  <c r="CA157" i="16"/>
  <c r="BZ157" i="16"/>
  <c r="BY157" i="16"/>
  <c r="BX157" i="16"/>
  <c r="BX161" i="16" s="1"/>
  <c r="BW157" i="16"/>
  <c r="BV157" i="16"/>
  <c r="BU157" i="16"/>
  <c r="BU161" i="16" s="1"/>
  <c r="BT157" i="16"/>
  <c r="BT196" i="16" s="1"/>
  <c r="BS157" i="16"/>
  <c r="BR157" i="16"/>
  <c r="BQ157" i="16"/>
  <c r="BP157" i="16"/>
  <c r="CB158" i="16" s="1"/>
  <c r="BO157" i="16"/>
  <c r="CA158" i="16" s="1"/>
  <c r="BN157" i="16"/>
  <c r="BM157" i="16"/>
  <c r="BL157" i="16"/>
  <c r="BK157" i="16"/>
  <c r="BJ157" i="16"/>
  <c r="BJ161" i="16" s="1"/>
  <c r="BI157" i="16"/>
  <c r="BH157" i="16"/>
  <c r="BG157" i="16"/>
  <c r="BG161" i="16" s="1"/>
  <c r="BF157" i="16"/>
  <c r="BF196" i="16" s="1"/>
  <c r="BE157" i="16"/>
  <c r="BD157" i="16"/>
  <c r="BC157" i="16"/>
  <c r="BB157" i="16"/>
  <c r="BN158" i="16" s="1"/>
  <c r="BA157" i="16"/>
  <c r="BM158" i="16" s="1"/>
  <c r="AZ157" i="16"/>
  <c r="AY157" i="16"/>
  <c r="AX157" i="16"/>
  <c r="AW157" i="16"/>
  <c r="AV157" i="16"/>
  <c r="AV161" i="16" s="1"/>
  <c r="AU157" i="16"/>
  <c r="AT157" i="16"/>
  <c r="AS157" i="16"/>
  <c r="AS161" i="16" s="1"/>
  <c r="AR157" i="16"/>
  <c r="AR196" i="16" s="1"/>
  <c r="AQ157" i="16"/>
  <c r="AP157" i="16"/>
  <c r="AO157" i="16"/>
  <c r="AN157" i="16"/>
  <c r="AZ158" i="16" s="1"/>
  <c r="AM157" i="16"/>
  <c r="AL157" i="16"/>
  <c r="AK157" i="16"/>
  <c r="AJ157" i="16"/>
  <c r="AI157" i="16"/>
  <c r="AH157" i="16"/>
  <c r="AG157" i="16"/>
  <c r="AF157" i="16"/>
  <c r="AE157" i="16"/>
  <c r="AE161" i="16" s="1"/>
  <c r="AD157" i="16"/>
  <c r="AD196" i="16" s="1"/>
  <c r="AC157" i="16"/>
  <c r="AB157" i="16"/>
  <c r="AA157" i="16"/>
  <c r="Z157" i="16"/>
  <c r="AL158" i="16" s="1"/>
  <c r="Y157" i="16"/>
  <c r="AK158" i="16" s="1"/>
  <c r="X157" i="16"/>
  <c r="W157" i="16"/>
  <c r="V157" i="16"/>
  <c r="U157" i="16"/>
  <c r="T157" i="16"/>
  <c r="T161" i="16" s="1"/>
  <c r="S157" i="16"/>
  <c r="R157" i="16"/>
  <c r="Q157" i="16"/>
  <c r="Q158" i="16" s="1"/>
  <c r="P157" i="16"/>
  <c r="P196" i="16" s="1"/>
  <c r="O157" i="16"/>
  <c r="N157" i="16"/>
  <c r="M157" i="16"/>
  <c r="L157" i="16"/>
  <c r="X158" i="16" s="1"/>
  <c r="K157" i="16"/>
  <c r="J157" i="16"/>
  <c r="I157" i="16"/>
  <c r="H157" i="16"/>
  <c r="G157" i="16"/>
  <c r="F25" i="17"/>
  <c r="F26" i="17" s="1"/>
  <c r="H24" i="17"/>
  <c r="H25" i="17" s="1"/>
  <c r="H26" i="17" s="1"/>
  <c r="H27" i="17" s="1"/>
  <c r="F24" i="17"/>
  <c r="F23" i="17" s="1"/>
  <c r="G23" i="17" s="1"/>
  <c r="H54" i="17"/>
  <c r="H55" i="17" s="1"/>
  <c r="H56" i="17" s="1"/>
  <c r="H57" i="17" s="1"/>
  <c r="F54" i="17"/>
  <c r="F53" i="17" s="1"/>
  <c r="G53" i="17" s="1"/>
  <c r="H84" i="17"/>
  <c r="H85" i="17" s="1"/>
  <c r="H86" i="17" s="1"/>
  <c r="H87" i="17" s="1"/>
  <c r="F84" i="17"/>
  <c r="F83" i="17" s="1"/>
  <c r="G83" i="17" s="1"/>
  <c r="F115" i="17"/>
  <c r="G115" i="17" s="1"/>
  <c r="H114" i="17"/>
  <c r="H113" i="17" s="1"/>
  <c r="F114" i="17"/>
  <c r="F113" i="17" s="1"/>
  <c r="G113" i="17" s="1"/>
  <c r="H144" i="17"/>
  <c r="H145" i="17" s="1"/>
  <c r="H146" i="17" s="1"/>
  <c r="H147" i="17" s="1"/>
  <c r="F144" i="17"/>
  <c r="F143" i="17" s="1"/>
  <c r="G143" i="17" s="1"/>
  <c r="H143" i="17"/>
  <c r="H174" i="17"/>
  <c r="H175" i="17" s="1"/>
  <c r="H176" i="17" s="1"/>
  <c r="H177" i="17" s="1"/>
  <c r="F174" i="17"/>
  <c r="F173" i="17" s="1"/>
  <c r="G173" i="17" s="1"/>
  <c r="H204" i="17"/>
  <c r="H205" i="17" s="1"/>
  <c r="H206" i="17" s="1"/>
  <c r="H207" i="17" s="1"/>
  <c r="F204" i="17"/>
  <c r="F203" i="17" s="1"/>
  <c r="G203" i="17" s="1"/>
  <c r="H354" i="17"/>
  <c r="H355" i="17" s="1"/>
  <c r="H356" i="17" s="1"/>
  <c r="H357" i="17" s="1"/>
  <c r="F354" i="17"/>
  <c r="F353" i="17" s="1"/>
  <c r="G353" i="17" s="1"/>
  <c r="H324" i="17"/>
  <c r="H325" i="17" s="1"/>
  <c r="H326" i="17" s="1"/>
  <c r="H327" i="17" s="1"/>
  <c r="F324" i="17"/>
  <c r="F323" i="17" s="1"/>
  <c r="G323" i="17" s="1"/>
  <c r="H294" i="17"/>
  <c r="H295" i="17" s="1"/>
  <c r="H296" i="17" s="1"/>
  <c r="H297" i="17" s="1"/>
  <c r="F294" i="17"/>
  <c r="F293" i="17" s="1"/>
  <c r="G293" i="17" s="1"/>
  <c r="F265" i="17"/>
  <c r="G265" i="17" s="1"/>
  <c r="H264" i="17"/>
  <c r="H263" i="17" s="1"/>
  <c r="F264" i="17"/>
  <c r="F263" i="17" s="1"/>
  <c r="G263" i="17" s="1"/>
  <c r="H235" i="17"/>
  <c r="H236" i="17" s="1"/>
  <c r="H237" i="17" s="1"/>
  <c r="H234" i="17"/>
  <c r="H233" i="17" s="1"/>
  <c r="R69" i="1"/>
  <c r="X69" i="1"/>
  <c r="R54" i="1"/>
  <c r="X50" i="1"/>
  <c r="DC544" i="16"/>
  <c r="DB544" i="16"/>
  <c r="DA544" i="16"/>
  <c r="CZ544" i="16"/>
  <c r="CY544" i="16"/>
  <c r="CX544" i="16"/>
  <c r="CW544" i="16"/>
  <c r="CV544" i="16"/>
  <c r="CU544" i="16"/>
  <c r="CT544" i="16"/>
  <c r="CS544" i="16"/>
  <c r="CR544" i="16"/>
  <c r="CQ544" i="16"/>
  <c r="CP544" i="16"/>
  <c r="CO544" i="16"/>
  <c r="CN544" i="16"/>
  <c r="CM544" i="16"/>
  <c r="CL544" i="16"/>
  <c r="CK544" i="16"/>
  <c r="CJ544" i="16"/>
  <c r="CI544" i="16"/>
  <c r="CH544" i="16"/>
  <c r="CG544" i="16"/>
  <c r="CF544" i="16"/>
  <c r="CE544" i="16"/>
  <c r="CD544" i="16"/>
  <c r="CC544" i="16"/>
  <c r="CB544" i="16"/>
  <c r="CA544" i="16"/>
  <c r="BZ544" i="16"/>
  <c r="BY544" i="16"/>
  <c r="BX544" i="16"/>
  <c r="BW544" i="16"/>
  <c r="BV544" i="16"/>
  <c r="BU544" i="16"/>
  <c r="BT544" i="16"/>
  <c r="BS544" i="16"/>
  <c r="BR544" i="16"/>
  <c r="BQ544" i="16"/>
  <c r="BP544" i="16"/>
  <c r="BO544" i="16"/>
  <c r="BN544" i="16"/>
  <c r="BM544" i="16"/>
  <c r="BL544" i="16"/>
  <c r="BK544" i="16"/>
  <c r="BJ544" i="16"/>
  <c r="BI544" i="16"/>
  <c r="BH544" i="16"/>
  <c r="BG544" i="16"/>
  <c r="BF544" i="16"/>
  <c r="BE544" i="16"/>
  <c r="BD544" i="16"/>
  <c r="BC544" i="16"/>
  <c r="BB544" i="16"/>
  <c r="BA544" i="16"/>
  <c r="AZ544" i="16"/>
  <c r="AY544" i="16"/>
  <c r="AX544" i="16"/>
  <c r="AW544" i="16"/>
  <c r="AV544" i="16"/>
  <c r="AU544" i="16"/>
  <c r="AT544" i="16"/>
  <c r="AS544" i="16"/>
  <c r="AR544" i="16"/>
  <c r="AQ544" i="16"/>
  <c r="AP544" i="16"/>
  <c r="AO544" i="16"/>
  <c r="AN544" i="16"/>
  <c r="AM544" i="16"/>
  <c r="AL544" i="16"/>
  <c r="AK544" i="16"/>
  <c r="AJ544" i="16"/>
  <c r="AI544" i="16"/>
  <c r="AH544" i="16"/>
  <c r="AG544" i="16"/>
  <c r="AF544" i="16"/>
  <c r="AE544" i="16"/>
  <c r="AD544" i="16"/>
  <c r="AC544" i="16"/>
  <c r="AB544" i="16"/>
  <c r="AA544" i="16"/>
  <c r="Z544" i="16"/>
  <c r="Y544" i="16"/>
  <c r="X544" i="16"/>
  <c r="W544" i="16"/>
  <c r="V544" i="16"/>
  <c r="U544" i="16"/>
  <c r="T544" i="16"/>
  <c r="S544" i="16"/>
  <c r="R544" i="16"/>
  <c r="Q544" i="16"/>
  <c r="P544" i="16"/>
  <c r="O544" i="16"/>
  <c r="N544" i="16"/>
  <c r="M544" i="16"/>
  <c r="L544" i="16"/>
  <c r="K544" i="16"/>
  <c r="J544" i="16"/>
  <c r="I544" i="16"/>
  <c r="H544" i="16"/>
  <c r="G544" i="16"/>
  <c r="DC543" i="16"/>
  <c r="DB543" i="16"/>
  <c r="DA543" i="16"/>
  <c r="CZ543" i="16"/>
  <c r="CY543" i="16"/>
  <c r="CX543" i="16"/>
  <c r="CW543" i="16"/>
  <c r="CV543" i="16"/>
  <c r="CU543" i="16"/>
  <c r="CT543" i="16"/>
  <c r="CS543" i="16"/>
  <c r="CR543" i="16"/>
  <c r="CQ543" i="16"/>
  <c r="CP543" i="16"/>
  <c r="CO543" i="16"/>
  <c r="CN543" i="16"/>
  <c r="CM543" i="16"/>
  <c r="CL543" i="16"/>
  <c r="CK543" i="16"/>
  <c r="CJ543" i="16"/>
  <c r="CI543" i="16"/>
  <c r="CH543" i="16"/>
  <c r="CG543" i="16"/>
  <c r="CF543" i="16"/>
  <c r="CE543" i="16"/>
  <c r="CD543" i="16"/>
  <c r="CC543" i="16"/>
  <c r="CB543" i="16"/>
  <c r="CA543" i="16"/>
  <c r="BZ543" i="16"/>
  <c r="BY543" i="16"/>
  <c r="BX543" i="16"/>
  <c r="BW543" i="16"/>
  <c r="BV543" i="16"/>
  <c r="BU543" i="16"/>
  <c r="BT543" i="16"/>
  <c r="BS543" i="16"/>
  <c r="BR543" i="16"/>
  <c r="BQ543" i="16"/>
  <c r="BP543" i="16"/>
  <c r="BO543" i="16"/>
  <c r="BN543" i="16"/>
  <c r="BM543" i="16"/>
  <c r="BL543" i="16"/>
  <c r="BK543" i="16"/>
  <c r="BJ543" i="16"/>
  <c r="BI543" i="16"/>
  <c r="BH543" i="16"/>
  <c r="BG543" i="16"/>
  <c r="BF543" i="16"/>
  <c r="BE543" i="16"/>
  <c r="BD543" i="16"/>
  <c r="BC543" i="16"/>
  <c r="BB543" i="16"/>
  <c r="BA543" i="16"/>
  <c r="AZ543" i="16"/>
  <c r="AY543" i="16"/>
  <c r="AX543" i="16"/>
  <c r="AW543" i="16"/>
  <c r="AV543" i="16"/>
  <c r="AU543" i="16"/>
  <c r="AT543" i="16"/>
  <c r="AS543" i="16"/>
  <c r="AR543" i="16"/>
  <c r="AQ543" i="16"/>
  <c r="AP543" i="16"/>
  <c r="AO543" i="16"/>
  <c r="AN543" i="16"/>
  <c r="AM543" i="16"/>
  <c r="AL543" i="16"/>
  <c r="AK543" i="16"/>
  <c r="AJ543" i="16"/>
  <c r="AI543" i="16"/>
  <c r="AH543" i="16"/>
  <c r="AG543" i="16"/>
  <c r="AF543" i="16"/>
  <c r="AE543" i="16"/>
  <c r="AD543" i="16"/>
  <c r="AC543" i="16"/>
  <c r="AB543" i="16"/>
  <c r="AA543" i="16"/>
  <c r="Z543" i="16"/>
  <c r="Y543" i="16"/>
  <c r="X543" i="16"/>
  <c r="W543" i="16"/>
  <c r="V543" i="16"/>
  <c r="U543" i="16"/>
  <c r="T543" i="16"/>
  <c r="S543" i="16"/>
  <c r="R543" i="16"/>
  <c r="Q543" i="16"/>
  <c r="P543" i="16"/>
  <c r="O543" i="16"/>
  <c r="N543" i="16"/>
  <c r="M543" i="16"/>
  <c r="L543" i="16"/>
  <c r="K543" i="16"/>
  <c r="J543" i="16"/>
  <c r="I543" i="16"/>
  <c r="H543" i="16"/>
  <c r="G543" i="16"/>
  <c r="DC540" i="16"/>
  <c r="DB540" i="16"/>
  <c r="DA540" i="16"/>
  <c r="CX540" i="16"/>
  <c r="CW540" i="16"/>
  <c r="CV540" i="16"/>
  <c r="CU540" i="16"/>
  <c r="CT540" i="16"/>
  <c r="CS540" i="16"/>
  <c r="CR540" i="16"/>
  <c r="CQ540" i="16"/>
  <c r="CP540" i="16"/>
  <c r="CO540" i="16"/>
  <c r="CN540" i="16"/>
  <c r="CM540" i="16"/>
  <c r="CJ540" i="16"/>
  <c r="CI540" i="16"/>
  <c r="CH540" i="16"/>
  <c r="CG540" i="16"/>
  <c r="CF540" i="16"/>
  <c r="CE540" i="16"/>
  <c r="CD540" i="16"/>
  <c r="CC540" i="16"/>
  <c r="CB540" i="16"/>
  <c r="CA540" i="16"/>
  <c r="BZ540" i="16"/>
  <c r="BY540" i="16"/>
  <c r="BV540" i="16"/>
  <c r="BU540" i="16"/>
  <c r="BT540" i="16"/>
  <c r="BS540" i="16"/>
  <c r="BR540" i="16"/>
  <c r="BQ540" i="16"/>
  <c r="BP540" i="16"/>
  <c r="BO540" i="16"/>
  <c r="BN540" i="16"/>
  <c r="BM540" i="16"/>
  <c r="BL540" i="16"/>
  <c r="BK540" i="16"/>
  <c r="BH540" i="16"/>
  <c r="BG540" i="16"/>
  <c r="BF540" i="16"/>
  <c r="BE540" i="16"/>
  <c r="BD540" i="16"/>
  <c r="BC540" i="16"/>
  <c r="BB540" i="16"/>
  <c r="BA540" i="16"/>
  <c r="AZ540" i="16"/>
  <c r="AY540" i="16"/>
  <c r="AX540" i="16"/>
  <c r="AW540" i="16"/>
  <c r="AT540" i="16"/>
  <c r="AS540" i="16"/>
  <c r="AR540" i="16"/>
  <c r="AQ540" i="16"/>
  <c r="AP540" i="16"/>
  <c r="AO540" i="16"/>
  <c r="AN540" i="16"/>
  <c r="AM540" i="16"/>
  <c r="AL540" i="16"/>
  <c r="AK540" i="16"/>
  <c r="AJ540" i="16"/>
  <c r="AI540" i="16"/>
  <c r="AF540" i="16"/>
  <c r="AE540" i="16"/>
  <c r="AD540" i="16"/>
  <c r="AC540" i="16"/>
  <c r="AB540" i="16"/>
  <c r="AA540" i="16"/>
  <c r="Z540" i="16"/>
  <c r="Y540" i="16"/>
  <c r="X540" i="16"/>
  <c r="W540" i="16"/>
  <c r="T540" i="16"/>
  <c r="Q540" i="16"/>
  <c r="DC539" i="16"/>
  <c r="DB539" i="16"/>
  <c r="DA539" i="16"/>
  <c r="CZ539" i="16"/>
  <c r="CY539" i="16"/>
  <c r="CX539" i="16"/>
  <c r="CW539" i="16"/>
  <c r="CV539" i="16"/>
  <c r="CU539" i="16"/>
  <c r="CT539" i="16"/>
  <c r="CS539" i="16"/>
  <c r="CR539" i="16"/>
  <c r="CQ539" i="16"/>
  <c r="CP539" i="16"/>
  <c r="CO539" i="16"/>
  <c r="CN539" i="16"/>
  <c r="CM539" i="16"/>
  <c r="CL539" i="16"/>
  <c r="CK539" i="16"/>
  <c r="CJ539" i="16"/>
  <c r="CI539" i="16"/>
  <c r="CH539" i="16"/>
  <c r="CG539" i="16"/>
  <c r="CF539" i="16"/>
  <c r="CE539" i="16"/>
  <c r="CD539" i="16"/>
  <c r="CC539" i="16"/>
  <c r="CB539" i="16"/>
  <c r="CA539" i="16"/>
  <c r="BZ539" i="16"/>
  <c r="BY539" i="16"/>
  <c r="BX539" i="16"/>
  <c r="BW539" i="16"/>
  <c r="BV539" i="16"/>
  <c r="BU539" i="16"/>
  <c r="BT539" i="16"/>
  <c r="BS539" i="16"/>
  <c r="BR539" i="16"/>
  <c r="BQ539" i="16"/>
  <c r="BP539" i="16"/>
  <c r="BO539" i="16"/>
  <c r="BN539" i="16"/>
  <c r="BM539" i="16"/>
  <c r="BL539" i="16"/>
  <c r="BK539" i="16"/>
  <c r="BJ539" i="16"/>
  <c r="BI539" i="16"/>
  <c r="BH539" i="16"/>
  <c r="BG539" i="16"/>
  <c r="BF539" i="16"/>
  <c r="BE539" i="16"/>
  <c r="BD539" i="16"/>
  <c r="BC539" i="16"/>
  <c r="BB539" i="16"/>
  <c r="BA539" i="16"/>
  <c r="AZ539" i="16"/>
  <c r="AY539" i="16"/>
  <c r="AX539" i="16"/>
  <c r="AW539" i="16"/>
  <c r="AV539" i="16"/>
  <c r="AU539" i="16"/>
  <c r="AT539" i="16"/>
  <c r="AS539" i="16"/>
  <c r="AR539" i="16"/>
  <c r="AQ539" i="16"/>
  <c r="AP539" i="16"/>
  <c r="AO539" i="16"/>
  <c r="AN539" i="16"/>
  <c r="AM539" i="16"/>
  <c r="AL539" i="16"/>
  <c r="AK539" i="16"/>
  <c r="AJ539" i="16"/>
  <c r="AI539" i="16"/>
  <c r="AH539" i="16"/>
  <c r="AG539" i="16"/>
  <c r="AF539" i="16"/>
  <c r="AE539" i="16"/>
  <c r="AD539" i="16"/>
  <c r="AC539" i="16"/>
  <c r="AB539" i="16"/>
  <c r="AA539" i="16"/>
  <c r="Z539" i="16"/>
  <c r="Y539" i="16"/>
  <c r="X539" i="16"/>
  <c r="W539" i="16"/>
  <c r="V539" i="16"/>
  <c r="U539" i="16"/>
  <c r="T539" i="16"/>
  <c r="S539" i="16"/>
  <c r="R539" i="16"/>
  <c r="Q539" i="16"/>
  <c r="P539" i="16"/>
  <c r="O539" i="16"/>
  <c r="N539" i="16"/>
  <c r="M539" i="16"/>
  <c r="L539" i="16"/>
  <c r="K539" i="16"/>
  <c r="J539" i="16"/>
  <c r="I539" i="16"/>
  <c r="H539" i="16"/>
  <c r="G539" i="16"/>
  <c r="BW535" i="16"/>
  <c r="BT535" i="16"/>
  <c r="AR535" i="16"/>
  <c r="AD535" i="16"/>
  <c r="AC535" i="16"/>
  <c r="CX534" i="16"/>
  <c r="CN534" i="16"/>
  <c r="CK534" i="16"/>
  <c r="CJ534" i="16"/>
  <c r="AU534" i="16"/>
  <c r="AN534" i="16"/>
  <c r="T534" i="16"/>
  <c r="I534" i="16"/>
  <c r="I535" i="16" s="1"/>
  <c r="H534" i="16"/>
  <c r="H535" i="16" s="1"/>
  <c r="DC533" i="16"/>
  <c r="DC534" i="16" s="1"/>
  <c r="DB533" i="16"/>
  <c r="DA533" i="16"/>
  <c r="CZ533" i="16"/>
  <c r="CY533" i="16"/>
  <c r="CX533" i="16"/>
  <c r="CW533" i="16"/>
  <c r="CV533" i="16"/>
  <c r="CU533" i="16"/>
  <c r="CT533" i="16"/>
  <c r="CS533" i="16"/>
  <c r="CR533" i="16"/>
  <c r="CQ533" i="16"/>
  <c r="CP533" i="16"/>
  <c r="CO533" i="16"/>
  <c r="CO534" i="16" s="1"/>
  <c r="CN533" i="16"/>
  <c r="CM533" i="16"/>
  <c r="CL533" i="16"/>
  <c r="CK533" i="16"/>
  <c r="CJ533" i="16"/>
  <c r="CI533" i="16"/>
  <c r="CH533" i="16"/>
  <c r="CG533" i="16"/>
  <c r="CF533" i="16"/>
  <c r="CE533" i="16"/>
  <c r="CD533" i="16"/>
  <c r="CC533" i="16"/>
  <c r="CB533" i="16"/>
  <c r="CA533" i="16"/>
  <c r="CA534" i="16" s="1"/>
  <c r="BZ533" i="16"/>
  <c r="BY533" i="16"/>
  <c r="BX533" i="16"/>
  <c r="BW533" i="16"/>
  <c r="BV533" i="16"/>
  <c r="BU533" i="16"/>
  <c r="BT533" i="16"/>
  <c r="BS533" i="16"/>
  <c r="BR533" i="16"/>
  <c r="BQ533" i="16"/>
  <c r="BP533" i="16"/>
  <c r="BO533" i="16"/>
  <c r="BN533" i="16"/>
  <c r="BM533" i="16"/>
  <c r="BM534" i="16" s="1"/>
  <c r="BL533" i="16"/>
  <c r="BK533" i="16"/>
  <c r="BJ533" i="16"/>
  <c r="BI533" i="16"/>
  <c r="BH533" i="16"/>
  <c r="BG533" i="16"/>
  <c r="BF533" i="16"/>
  <c r="BE533" i="16"/>
  <c r="BD533" i="16"/>
  <c r="BC533" i="16"/>
  <c r="BB533" i="16"/>
  <c r="BA533" i="16"/>
  <c r="AZ533" i="16"/>
  <c r="AY533" i="16"/>
  <c r="AY534" i="16" s="1"/>
  <c r="AX533" i="16"/>
  <c r="AW533" i="16"/>
  <c r="AV533" i="16"/>
  <c r="AU533" i="16"/>
  <c r="AT533" i="16"/>
  <c r="AS533" i="16"/>
  <c r="AR533" i="16"/>
  <c r="AQ533" i="16"/>
  <c r="AP533" i="16"/>
  <c r="AO533" i="16"/>
  <c r="AN533" i="16"/>
  <c r="AM533" i="16"/>
  <c r="AL533" i="16"/>
  <c r="AK533" i="16"/>
  <c r="AJ533" i="16"/>
  <c r="AI533" i="16"/>
  <c r="AH533" i="16"/>
  <c r="AG533" i="16"/>
  <c r="AF533" i="16"/>
  <c r="AE533" i="16"/>
  <c r="AD533" i="16"/>
  <c r="AC533" i="16"/>
  <c r="AB533" i="16"/>
  <c r="AA533" i="16"/>
  <c r="Z533" i="16"/>
  <c r="Y533" i="16"/>
  <c r="X533" i="16"/>
  <c r="W533" i="16"/>
  <c r="W534" i="16" s="1"/>
  <c r="V533" i="16"/>
  <c r="U533" i="16"/>
  <c r="T533" i="16"/>
  <c r="S533" i="16"/>
  <c r="R533" i="16"/>
  <c r="Q533" i="16"/>
  <c r="P533" i="16"/>
  <c r="O533" i="16"/>
  <c r="N533" i="16"/>
  <c r="M533" i="16"/>
  <c r="L533" i="16"/>
  <c r="K533" i="16"/>
  <c r="J533" i="16"/>
  <c r="I533" i="16"/>
  <c r="H533" i="16"/>
  <c r="G533" i="16"/>
  <c r="DC532" i="16"/>
  <c r="DB532" i="16"/>
  <c r="DA532" i="16"/>
  <c r="CZ532" i="16"/>
  <c r="CY532" i="16"/>
  <c r="CX532" i="16"/>
  <c r="CW532" i="16"/>
  <c r="CV532" i="16"/>
  <c r="CU532" i="16"/>
  <c r="CT532" i="16"/>
  <c r="CS532" i="16"/>
  <c r="CR532" i="16"/>
  <c r="CQ532" i="16"/>
  <c r="CP532" i="16"/>
  <c r="CO532" i="16"/>
  <c r="CN532" i="16"/>
  <c r="CM532" i="16"/>
  <c r="CL532" i="16"/>
  <c r="CK532" i="16"/>
  <c r="CJ532" i="16"/>
  <c r="CI532" i="16"/>
  <c r="CH532" i="16"/>
  <c r="CG532" i="16"/>
  <c r="CF532" i="16"/>
  <c r="CF534" i="16" s="1"/>
  <c r="CE532" i="16"/>
  <c r="CD532" i="16"/>
  <c r="CD534" i="16" s="1"/>
  <c r="CC532" i="16"/>
  <c r="CB532" i="16"/>
  <c r="CA532" i="16"/>
  <c r="BZ532" i="16"/>
  <c r="BY532" i="16"/>
  <c r="BX532" i="16"/>
  <c r="BW532" i="16"/>
  <c r="BV532" i="16"/>
  <c r="BU532" i="16"/>
  <c r="BT532" i="16"/>
  <c r="BS532" i="16"/>
  <c r="BR532" i="16"/>
  <c r="BR534" i="16" s="1"/>
  <c r="BR535" i="16" s="1"/>
  <c r="BQ532" i="16"/>
  <c r="BP532" i="16"/>
  <c r="BP534" i="16" s="1"/>
  <c r="BO532" i="16"/>
  <c r="BN532" i="16"/>
  <c r="BN534" i="16" s="1"/>
  <c r="BM532" i="16"/>
  <c r="BL532" i="16"/>
  <c r="BK532" i="16"/>
  <c r="BJ532" i="16"/>
  <c r="BI532" i="16"/>
  <c r="BH532" i="16"/>
  <c r="BG532" i="16"/>
  <c r="BF532" i="16"/>
  <c r="BE532" i="16"/>
  <c r="BD532" i="16"/>
  <c r="BD534" i="16" s="1"/>
  <c r="BC532" i="16"/>
  <c r="BB532" i="16"/>
  <c r="BA532" i="16"/>
  <c r="AZ532" i="16"/>
  <c r="AZ534" i="16" s="1"/>
  <c r="AY532" i="16"/>
  <c r="AX532" i="16"/>
  <c r="AW532" i="16"/>
  <c r="AV532" i="16"/>
  <c r="AU532" i="16"/>
  <c r="AT532" i="16"/>
  <c r="AS532" i="16"/>
  <c r="AR532" i="16"/>
  <c r="AQ532" i="16"/>
  <c r="AP532" i="16"/>
  <c r="AP534" i="16" s="1"/>
  <c r="AP535" i="16" s="1"/>
  <c r="AO532" i="16"/>
  <c r="AN532" i="16"/>
  <c r="AM532" i="16"/>
  <c r="AL532" i="16"/>
  <c r="AK532" i="16"/>
  <c r="AJ532" i="16"/>
  <c r="AI532" i="16"/>
  <c r="AH532" i="16"/>
  <c r="AG532" i="16"/>
  <c r="AF532" i="16"/>
  <c r="AE532" i="16"/>
  <c r="AD532" i="16"/>
  <c r="AC532" i="16"/>
  <c r="AB532" i="16"/>
  <c r="AB534" i="16" s="1"/>
  <c r="AB535" i="16" s="1"/>
  <c r="AA532" i="16"/>
  <c r="Z532" i="16"/>
  <c r="Z534" i="16" s="1"/>
  <c r="Z535" i="16" s="1"/>
  <c r="Y532" i="16"/>
  <c r="X532" i="16"/>
  <c r="W532" i="16"/>
  <c r="V532" i="16"/>
  <c r="U532" i="16"/>
  <c r="T532" i="16"/>
  <c r="S532" i="16"/>
  <c r="R532" i="16"/>
  <c r="Q532" i="16"/>
  <c r="P532" i="16"/>
  <c r="O532" i="16"/>
  <c r="N532" i="16"/>
  <c r="N534" i="16" s="1"/>
  <c r="M532" i="16"/>
  <c r="L532" i="16"/>
  <c r="L534" i="16" s="1"/>
  <c r="L535" i="16" s="1"/>
  <c r="K532" i="16"/>
  <c r="J532" i="16"/>
  <c r="I532" i="16"/>
  <c r="H532" i="16"/>
  <c r="G532" i="16"/>
  <c r="DC531" i="16"/>
  <c r="DB531" i="16"/>
  <c r="DA531" i="16"/>
  <c r="CZ531" i="16"/>
  <c r="CY531" i="16"/>
  <c r="CY534" i="16" s="1"/>
  <c r="CX531" i="16"/>
  <c r="CW531" i="16"/>
  <c r="CV531" i="16"/>
  <c r="CU531" i="16"/>
  <c r="CU534" i="16" s="1"/>
  <c r="CT531" i="16"/>
  <c r="CS531" i="16"/>
  <c r="CS534" i="16" s="1"/>
  <c r="CR531" i="16"/>
  <c r="CQ531" i="16"/>
  <c r="CP531" i="16"/>
  <c r="CO531" i="16"/>
  <c r="CN531" i="16"/>
  <c r="CM531" i="16"/>
  <c r="CL531" i="16"/>
  <c r="CK531" i="16"/>
  <c r="CJ531" i="16"/>
  <c r="CI531" i="16"/>
  <c r="CH531" i="16"/>
  <c r="CG531" i="16"/>
  <c r="CG534" i="16" s="1"/>
  <c r="CG535" i="16" s="1"/>
  <c r="CF531" i="16"/>
  <c r="CE531" i="16"/>
  <c r="CE534" i="16" s="1"/>
  <c r="CD531" i="16"/>
  <c r="CC531" i="16"/>
  <c r="CB531" i="16"/>
  <c r="CA531" i="16"/>
  <c r="BZ531" i="16"/>
  <c r="BY531" i="16"/>
  <c r="BX531" i="16"/>
  <c r="BW531" i="16"/>
  <c r="BW534" i="16" s="1"/>
  <c r="BV531" i="16"/>
  <c r="BU531" i="16"/>
  <c r="BT531" i="16"/>
  <c r="BS531" i="16"/>
  <c r="BS534" i="16" s="1"/>
  <c r="BS535" i="16" s="1"/>
  <c r="BR531" i="16"/>
  <c r="BQ531" i="16"/>
  <c r="BQ534" i="16" s="1"/>
  <c r="BP531" i="16"/>
  <c r="BO531" i="16"/>
  <c r="BN531" i="16"/>
  <c r="BM531" i="16"/>
  <c r="BL531" i="16"/>
  <c r="BK531" i="16"/>
  <c r="BJ531" i="16"/>
  <c r="BI531" i="16"/>
  <c r="BI534" i="16" s="1"/>
  <c r="BH531" i="16"/>
  <c r="BG531" i="16"/>
  <c r="BF531" i="16"/>
  <c r="BE531" i="16"/>
  <c r="BE534" i="16" s="1"/>
  <c r="BD531" i="16"/>
  <c r="BC531" i="16"/>
  <c r="BC534" i="16" s="1"/>
  <c r="BB531" i="16"/>
  <c r="BA531" i="16"/>
  <c r="AZ531" i="16"/>
  <c r="AY531" i="16"/>
  <c r="AX531" i="16"/>
  <c r="AW531" i="16"/>
  <c r="AV531" i="16"/>
  <c r="AU531" i="16"/>
  <c r="AT531" i="16"/>
  <c r="AS531" i="16"/>
  <c r="AR531" i="16"/>
  <c r="AQ531" i="16"/>
  <c r="AQ534" i="16" s="1"/>
  <c r="AP531" i="16"/>
  <c r="AO531" i="16"/>
  <c r="AO534" i="16" s="1"/>
  <c r="AN531" i="16"/>
  <c r="AM531" i="16"/>
  <c r="AL531" i="16"/>
  <c r="AK531" i="16"/>
  <c r="AJ531" i="16"/>
  <c r="AI531" i="16"/>
  <c r="AH531" i="16"/>
  <c r="AG531" i="16"/>
  <c r="AG534" i="16" s="1"/>
  <c r="AF531" i="16"/>
  <c r="AE531" i="16"/>
  <c r="AD531" i="16"/>
  <c r="AC531" i="16"/>
  <c r="AC534" i="16" s="1"/>
  <c r="AB531" i="16"/>
  <c r="AA531" i="16"/>
  <c r="AA534" i="16" s="1"/>
  <c r="Z531" i="16"/>
  <c r="Y531" i="16"/>
  <c r="X531" i="16"/>
  <c r="W531" i="16"/>
  <c r="V531" i="16"/>
  <c r="U531" i="16"/>
  <c r="T531" i="16"/>
  <c r="S531" i="16"/>
  <c r="S534" i="16" s="1"/>
  <c r="S535" i="16" s="1"/>
  <c r="R531" i="16"/>
  <c r="Q531" i="16"/>
  <c r="P531" i="16"/>
  <c r="O531" i="16"/>
  <c r="O534" i="16" s="1"/>
  <c r="O535" i="16" s="1"/>
  <c r="N531" i="16"/>
  <c r="M531" i="16"/>
  <c r="M534" i="16" s="1"/>
  <c r="M535" i="16" s="1"/>
  <c r="L531" i="16"/>
  <c r="K531" i="16"/>
  <c r="J531" i="16"/>
  <c r="I531" i="16"/>
  <c r="H531" i="16"/>
  <c r="G531" i="16"/>
  <c r="DC530" i="16"/>
  <c r="DB530" i="16"/>
  <c r="DB534" i="16" s="1"/>
  <c r="DA530" i="16"/>
  <c r="CZ530" i="16"/>
  <c r="CZ534" i="16" s="1"/>
  <c r="CY530" i="16"/>
  <c r="CX530" i="16"/>
  <c r="CW530" i="16"/>
  <c r="CV530" i="16"/>
  <c r="CV534" i="16" s="1"/>
  <c r="CU530" i="16"/>
  <c r="CT530" i="16"/>
  <c r="CS530" i="16"/>
  <c r="CR530" i="16"/>
  <c r="CQ530" i="16"/>
  <c r="CP530" i="16"/>
  <c r="CO530" i="16"/>
  <c r="CN530" i="16"/>
  <c r="CM530" i="16"/>
  <c r="CL530" i="16"/>
  <c r="CL534" i="16" s="1"/>
  <c r="CK530" i="16"/>
  <c r="CJ530" i="16"/>
  <c r="CI530" i="16"/>
  <c r="CH530" i="16"/>
  <c r="CH534" i="16" s="1"/>
  <c r="CG530" i="16"/>
  <c r="CF530" i="16"/>
  <c r="CE530" i="16"/>
  <c r="CD530" i="16"/>
  <c r="CC530" i="16"/>
  <c r="CB530" i="16"/>
  <c r="CA530" i="16"/>
  <c r="BZ530" i="16"/>
  <c r="BZ534" i="16" s="1"/>
  <c r="BY530" i="16"/>
  <c r="BX530" i="16"/>
  <c r="BX534" i="16" s="1"/>
  <c r="BW530" i="16"/>
  <c r="BV530" i="16"/>
  <c r="BV534" i="16" s="1"/>
  <c r="BU530" i="16"/>
  <c r="BT530" i="16"/>
  <c r="BT534" i="16" s="1"/>
  <c r="BS530" i="16"/>
  <c r="BR530" i="16"/>
  <c r="BQ530" i="16"/>
  <c r="BP530" i="16"/>
  <c r="BO530" i="16"/>
  <c r="BN530" i="16"/>
  <c r="BM530" i="16"/>
  <c r="BL530" i="16"/>
  <c r="BL534" i="16" s="1"/>
  <c r="BK530" i="16"/>
  <c r="BJ530" i="16"/>
  <c r="BJ534" i="16" s="1"/>
  <c r="BJ535" i="16" s="1"/>
  <c r="BI530" i="16"/>
  <c r="BH530" i="16"/>
  <c r="BH534" i="16" s="1"/>
  <c r="BG530" i="16"/>
  <c r="BF530" i="16"/>
  <c r="BF534" i="16" s="1"/>
  <c r="BE530" i="16"/>
  <c r="BD530" i="16"/>
  <c r="BC530" i="16"/>
  <c r="BB530" i="16"/>
  <c r="BA530" i="16"/>
  <c r="AZ530" i="16"/>
  <c r="AY530" i="16"/>
  <c r="AX530" i="16"/>
  <c r="AX534" i="16" s="1"/>
  <c r="AW530" i="16"/>
  <c r="AV530" i="16"/>
  <c r="AV534" i="16" s="1"/>
  <c r="AU530" i="16"/>
  <c r="AT530" i="16"/>
  <c r="AT534" i="16" s="1"/>
  <c r="AS530" i="16"/>
  <c r="AR530" i="16"/>
  <c r="AR534" i="16" s="1"/>
  <c r="AQ530" i="16"/>
  <c r="AP530" i="16"/>
  <c r="AO530" i="16"/>
  <c r="AN530" i="16"/>
  <c r="AM530" i="16"/>
  <c r="AL530" i="16"/>
  <c r="AK530" i="16"/>
  <c r="AJ530" i="16"/>
  <c r="AJ534" i="16" s="1"/>
  <c r="AI530" i="16"/>
  <c r="AH530" i="16"/>
  <c r="AH534" i="16" s="1"/>
  <c r="AH536" i="16" s="1"/>
  <c r="AG530" i="16"/>
  <c r="AF530" i="16"/>
  <c r="AF534" i="16" s="1"/>
  <c r="AF535" i="16" s="1"/>
  <c r="AE530" i="16"/>
  <c r="AD530" i="16"/>
  <c r="AD534" i="16" s="1"/>
  <c r="AC530" i="16"/>
  <c r="AB530" i="16"/>
  <c r="AA530" i="16"/>
  <c r="Z530" i="16"/>
  <c r="Y530" i="16"/>
  <c r="X530" i="16"/>
  <c r="X534" i="16" s="1"/>
  <c r="W530" i="16"/>
  <c r="V530" i="16"/>
  <c r="V534" i="16" s="1"/>
  <c r="V535" i="16" s="1"/>
  <c r="U530" i="16"/>
  <c r="T530" i="16"/>
  <c r="S530" i="16"/>
  <c r="R530" i="16"/>
  <c r="R534" i="16" s="1"/>
  <c r="R535" i="16" s="1"/>
  <c r="Q530" i="16"/>
  <c r="P530" i="16"/>
  <c r="P534" i="16" s="1"/>
  <c r="P535" i="16" s="1"/>
  <c r="O530" i="16"/>
  <c r="N530" i="16"/>
  <c r="M530" i="16"/>
  <c r="L530" i="16"/>
  <c r="K530" i="16"/>
  <c r="J530" i="16"/>
  <c r="J534" i="16" s="1"/>
  <c r="J535" i="16" s="1"/>
  <c r="I530" i="16"/>
  <c r="H530" i="16"/>
  <c r="G530" i="16"/>
  <c r="DC528" i="16"/>
  <c r="DB528" i="16"/>
  <c r="DA528" i="16"/>
  <c r="CZ528" i="16"/>
  <c r="CY528" i="16"/>
  <c r="CX528" i="16"/>
  <c r="CW528" i="16"/>
  <c r="CV528" i="16"/>
  <c r="CQ528" i="16"/>
  <c r="CP528" i="16"/>
  <c r="CO528" i="16"/>
  <c r="CN528" i="16"/>
  <c r="CM528" i="16"/>
  <c r="CL528" i="16"/>
  <c r="CK528" i="16"/>
  <c r="CJ528" i="16"/>
  <c r="CI528" i="16"/>
  <c r="CH528" i="16"/>
  <c r="CC528" i="16"/>
  <c r="CA528" i="16"/>
  <c r="BZ528" i="16"/>
  <c r="BY528" i="16"/>
  <c r="BX528" i="16"/>
  <c r="BW528" i="16"/>
  <c r="BV528" i="16"/>
  <c r="BU528" i="16"/>
  <c r="BT528" i="16"/>
  <c r="BO528" i="16"/>
  <c r="BN528" i="16"/>
  <c r="BM528" i="16"/>
  <c r="BL528" i="16"/>
  <c r="BK528" i="16"/>
  <c r="BJ528" i="16"/>
  <c r="BI528" i="16"/>
  <c r="BH528" i="16"/>
  <c r="BG528" i="16"/>
  <c r="BF528" i="16"/>
  <c r="BD528" i="16"/>
  <c r="BC528" i="16"/>
  <c r="BA528" i="16"/>
  <c r="AZ528" i="16"/>
  <c r="AY528" i="16"/>
  <c r="AX528" i="16"/>
  <c r="AW528" i="16"/>
  <c r="AV528" i="16"/>
  <c r="AU528" i="16"/>
  <c r="AT528" i="16"/>
  <c r="AS528" i="16"/>
  <c r="AR528" i="16"/>
  <c r="AP528" i="16"/>
  <c r="AM528" i="16"/>
  <c r="AL528" i="16"/>
  <c r="AK528" i="16"/>
  <c r="AJ528" i="16"/>
  <c r="AI528" i="16"/>
  <c r="AH528" i="16"/>
  <c r="AG528" i="16"/>
  <c r="AF528" i="16"/>
  <c r="AE528" i="16"/>
  <c r="AD528" i="16"/>
  <c r="AB528" i="16"/>
  <c r="AA528" i="16"/>
  <c r="Y528" i="16"/>
  <c r="W528" i="16"/>
  <c r="T528" i="16"/>
  <c r="Q528" i="16"/>
  <c r="N528" i="16"/>
  <c r="K528" i="16"/>
  <c r="DC527" i="16"/>
  <c r="DB527" i="16"/>
  <c r="DA527" i="16"/>
  <c r="CZ527" i="16"/>
  <c r="CY527" i="16"/>
  <c r="CX527" i="16"/>
  <c r="CW527" i="16"/>
  <c r="CV527" i="16"/>
  <c r="CU527" i="16"/>
  <c r="CT527" i="16"/>
  <c r="CS527" i="16"/>
  <c r="CR527" i="16"/>
  <c r="CQ527" i="16"/>
  <c r="CP527" i="16"/>
  <c r="CO527" i="16"/>
  <c r="CN527" i="16"/>
  <c r="CM527" i="16"/>
  <c r="CL527" i="16"/>
  <c r="CK527" i="16"/>
  <c r="CJ527" i="16"/>
  <c r="CI527" i="16"/>
  <c r="CH527" i="16"/>
  <c r="CG527" i="16"/>
  <c r="CF527" i="16"/>
  <c r="CE527" i="16"/>
  <c r="CD527" i="16"/>
  <c r="CC527" i="16"/>
  <c r="CB527" i="16"/>
  <c r="CA527" i="16"/>
  <c r="BZ527" i="16"/>
  <c r="BY527" i="16"/>
  <c r="BX527" i="16"/>
  <c r="BW527" i="16"/>
  <c r="BV527" i="16"/>
  <c r="BU527" i="16"/>
  <c r="BT527" i="16"/>
  <c r="BS527" i="16"/>
  <c r="BR527" i="16"/>
  <c r="BQ527" i="16"/>
  <c r="BP527" i="16"/>
  <c r="BO527" i="16"/>
  <c r="BN527" i="16"/>
  <c r="BM527" i="16"/>
  <c r="BL527" i="16"/>
  <c r="BK527" i="16"/>
  <c r="BJ527" i="16"/>
  <c r="BI527" i="16"/>
  <c r="BH527" i="16"/>
  <c r="BG527" i="16"/>
  <c r="BF527" i="16"/>
  <c r="BE527" i="16"/>
  <c r="BD527" i="16"/>
  <c r="BC527" i="16"/>
  <c r="BB527" i="16"/>
  <c r="BA527" i="16"/>
  <c r="AZ527" i="16"/>
  <c r="AY527" i="16"/>
  <c r="AX527" i="16"/>
  <c r="AW527" i="16"/>
  <c r="AV527" i="16"/>
  <c r="AU527" i="16"/>
  <c r="AT527" i="16"/>
  <c r="AS527" i="16"/>
  <c r="AR527" i="16"/>
  <c r="AQ527" i="16"/>
  <c r="AP527" i="16"/>
  <c r="AO527" i="16"/>
  <c r="AN527" i="16"/>
  <c r="AM527" i="16"/>
  <c r="AL527" i="16"/>
  <c r="AK527" i="16"/>
  <c r="AJ527" i="16"/>
  <c r="AI527" i="16"/>
  <c r="AH527" i="16"/>
  <c r="AG527" i="16"/>
  <c r="AF527" i="16"/>
  <c r="AE527" i="16"/>
  <c r="AD527" i="16"/>
  <c r="AC527" i="16"/>
  <c r="AB527" i="16"/>
  <c r="AA527" i="16"/>
  <c r="Z527" i="16"/>
  <c r="Y527" i="16"/>
  <c r="X527" i="16"/>
  <c r="W527" i="16"/>
  <c r="V527" i="16"/>
  <c r="U527" i="16"/>
  <c r="T527" i="16"/>
  <c r="S527" i="16"/>
  <c r="R527" i="16"/>
  <c r="Q527" i="16"/>
  <c r="P527" i="16"/>
  <c r="O527" i="16"/>
  <c r="N527" i="16"/>
  <c r="M527" i="16"/>
  <c r="L527" i="16"/>
  <c r="K527" i="16"/>
  <c r="J527" i="16"/>
  <c r="I527" i="16"/>
  <c r="H527" i="16"/>
  <c r="G527" i="16"/>
  <c r="DC524" i="16"/>
  <c r="DB524" i="16"/>
  <c r="DA524" i="16"/>
  <c r="CY524" i="16"/>
  <c r="CX524" i="16"/>
  <c r="CW524" i="16"/>
  <c r="CU524" i="16"/>
  <c r="CT524" i="16"/>
  <c r="CS524" i="16"/>
  <c r="CO524" i="16"/>
  <c r="CN524" i="16"/>
  <c r="CM524" i="16"/>
  <c r="CI524" i="16"/>
  <c r="CE524" i="16"/>
  <c r="CA524" i="16"/>
  <c r="BZ524" i="16"/>
  <c r="BY524" i="16"/>
  <c r="BV524" i="16"/>
  <c r="BU524" i="16"/>
  <c r="BS524" i="16"/>
  <c r="BQ524" i="16"/>
  <c r="BM524" i="16"/>
  <c r="BL524" i="16"/>
  <c r="BK524" i="16"/>
  <c r="BG524" i="16"/>
  <c r="BE524" i="16"/>
  <c r="BC524" i="16"/>
  <c r="AY524" i="16"/>
  <c r="AX524" i="16"/>
  <c r="AW524" i="16"/>
  <c r="AS524" i="16"/>
  <c r="AQ524" i="16"/>
  <c r="AO524" i="16"/>
  <c r="AK524" i="16"/>
  <c r="AJ524" i="16"/>
  <c r="AI524" i="16"/>
  <c r="AE524" i="16"/>
  <c r="AA524" i="16"/>
  <c r="W524" i="16"/>
  <c r="V524" i="16"/>
  <c r="U524" i="16"/>
  <c r="R524" i="16"/>
  <c r="Q524" i="16"/>
  <c r="O524" i="16"/>
  <c r="M524" i="16"/>
  <c r="I524" i="16"/>
  <c r="H524" i="16"/>
  <c r="G524" i="16"/>
  <c r="DB521" i="16"/>
  <c r="CX521" i="16"/>
  <c r="CW521" i="16"/>
  <c r="CI521" i="16"/>
  <c r="CC521" i="16"/>
  <c r="BV521" i="16"/>
  <c r="BU521" i="16"/>
  <c r="BO521" i="16"/>
  <c r="BG521" i="16"/>
  <c r="AX521" i="16"/>
  <c r="AW521" i="16"/>
  <c r="AT521" i="16"/>
  <c r="AS521" i="16"/>
  <c r="AR521" i="16"/>
  <c r="AJ521" i="16"/>
  <c r="AE521" i="16"/>
  <c r="T521" i="16"/>
  <c r="DC520" i="16"/>
  <c r="DB520" i="16"/>
  <c r="DA520" i="16"/>
  <c r="CW520" i="16"/>
  <c r="CS520" i="16"/>
  <c r="CO520" i="16"/>
  <c r="CN520" i="16"/>
  <c r="CM520" i="16"/>
  <c r="CI520" i="16"/>
  <c r="CG520" i="16"/>
  <c r="CE520" i="16"/>
  <c r="CA520" i="16"/>
  <c r="BZ520" i="16"/>
  <c r="BY520" i="16"/>
  <c r="BU520" i="16"/>
  <c r="BS520" i="16"/>
  <c r="BQ520" i="16"/>
  <c r="BM520" i="16"/>
  <c r="BL520" i="16"/>
  <c r="BK520" i="16"/>
  <c r="BG520" i="16"/>
  <c r="BF520" i="16"/>
  <c r="BE520" i="16"/>
  <c r="BC520" i="16"/>
  <c r="BB520" i="16"/>
  <c r="BA520" i="16"/>
  <c r="AY520" i="16"/>
  <c r="AX520" i="16"/>
  <c r="AW520" i="16"/>
  <c r="AS520" i="16"/>
  <c r="AO520" i="16"/>
  <c r="AM520" i="16"/>
  <c r="AK520" i="16"/>
  <c r="AJ520" i="16"/>
  <c r="AI520" i="16"/>
  <c r="AF520" i="16"/>
  <c r="AE520" i="16"/>
  <c r="AC520" i="16"/>
  <c r="AA520" i="16"/>
  <c r="Z520" i="16"/>
  <c r="W520" i="16"/>
  <c r="V520" i="16"/>
  <c r="U520" i="16"/>
  <c r="R520" i="16"/>
  <c r="Q520" i="16"/>
  <c r="M520" i="16"/>
  <c r="I520" i="16"/>
  <c r="H520" i="16"/>
  <c r="G520" i="16"/>
  <c r="DC519" i="16"/>
  <c r="DC521" i="16" s="1"/>
  <c r="DB519" i="16"/>
  <c r="DA519" i="16"/>
  <c r="CZ519" i="16"/>
  <c r="CZ521" i="16" s="1"/>
  <c r="CY519" i="16"/>
  <c r="CX519" i="16"/>
  <c r="CW519" i="16"/>
  <c r="CV519" i="16"/>
  <c r="CU519" i="16"/>
  <c r="CT519" i="16"/>
  <c r="CS519" i="16"/>
  <c r="CR519" i="16"/>
  <c r="CR513" i="16" s="1"/>
  <c r="CQ519" i="16"/>
  <c r="CQ524" i="16" s="1"/>
  <c r="CP519" i="16"/>
  <c r="CO519" i="16"/>
  <c r="CN519" i="16"/>
  <c r="CM519" i="16"/>
  <c r="CL519" i="16"/>
  <c r="CK519" i="16"/>
  <c r="CJ519" i="16"/>
  <c r="CI519" i="16"/>
  <c r="CH519" i="16"/>
  <c r="CH521" i="16" s="1"/>
  <c r="CG519" i="16"/>
  <c r="CF519" i="16"/>
  <c r="CE519" i="16"/>
  <c r="CD519" i="16"/>
  <c r="CC519" i="16"/>
  <c r="CC524" i="16" s="1"/>
  <c r="CB519" i="16"/>
  <c r="CA519" i="16"/>
  <c r="BZ519" i="16"/>
  <c r="BY519" i="16"/>
  <c r="BX519" i="16"/>
  <c r="BW519" i="16"/>
  <c r="BV519" i="16"/>
  <c r="BV520" i="16" s="1"/>
  <c r="BU519" i="16"/>
  <c r="BT519" i="16"/>
  <c r="BT520" i="16" s="1"/>
  <c r="BS519" i="16"/>
  <c r="BR519" i="16"/>
  <c r="BQ519" i="16"/>
  <c r="BP519" i="16"/>
  <c r="BO519" i="16"/>
  <c r="BO524" i="16" s="1"/>
  <c r="BN519" i="16"/>
  <c r="BM519" i="16"/>
  <c r="BM521" i="16" s="1"/>
  <c r="BL519" i="16"/>
  <c r="BK519" i="16"/>
  <c r="BJ519" i="16"/>
  <c r="BI519" i="16"/>
  <c r="BH519" i="16"/>
  <c r="BH520" i="16" s="1"/>
  <c r="BG519" i="16"/>
  <c r="BF519" i="16"/>
  <c r="BE519" i="16"/>
  <c r="BD519" i="16"/>
  <c r="BC519" i="16"/>
  <c r="BB519" i="16"/>
  <c r="BA519" i="16"/>
  <c r="BA524" i="16" s="1"/>
  <c r="AZ519" i="16"/>
  <c r="AY519" i="16"/>
  <c r="AY521" i="16" s="1"/>
  <c r="AX519" i="16"/>
  <c r="AW519" i="16"/>
  <c r="AV519" i="16"/>
  <c r="AU519" i="16"/>
  <c r="AT519" i="16"/>
  <c r="AS519" i="16"/>
  <c r="AR519" i="16"/>
  <c r="AQ519" i="16"/>
  <c r="AP519" i="16"/>
  <c r="AO519" i="16"/>
  <c r="AN519" i="16"/>
  <c r="AM519" i="16"/>
  <c r="AM524" i="16" s="1"/>
  <c r="AL519" i="16"/>
  <c r="AL524" i="16" s="1"/>
  <c r="AK519" i="16"/>
  <c r="AK521" i="16" s="1"/>
  <c r="AJ519" i="16"/>
  <c r="AI519" i="16"/>
  <c r="AH519" i="16"/>
  <c r="AG519" i="16"/>
  <c r="AF519" i="16"/>
  <c r="AF513" i="16" s="1"/>
  <c r="AE519" i="16"/>
  <c r="AD519" i="16"/>
  <c r="AC519" i="16"/>
  <c r="AB519" i="16"/>
  <c r="AA519" i="16"/>
  <c r="Z519" i="16"/>
  <c r="Y519" i="16"/>
  <c r="Y524" i="16" s="1"/>
  <c r="X519" i="16"/>
  <c r="W519" i="16"/>
  <c r="W521" i="16" s="1"/>
  <c r="V519" i="16"/>
  <c r="U519" i="16"/>
  <c r="T519" i="16"/>
  <c r="S519" i="16"/>
  <c r="R519" i="16"/>
  <c r="R513" i="16" s="1"/>
  <c r="Q519" i="16"/>
  <c r="P519" i="16"/>
  <c r="O519" i="16"/>
  <c r="O520" i="16" s="1"/>
  <c r="N519" i="16"/>
  <c r="M519" i="16"/>
  <c r="L519" i="16"/>
  <c r="L524" i="16" s="1"/>
  <c r="K519" i="16"/>
  <c r="J519" i="16"/>
  <c r="I519" i="16"/>
  <c r="H519" i="16"/>
  <c r="G519" i="16"/>
  <c r="DB515" i="16"/>
  <c r="BH515" i="16"/>
  <c r="DB514" i="16"/>
  <c r="CS514" i="16"/>
  <c r="CN514" i="16"/>
  <c r="CE514" i="16"/>
  <c r="BZ514" i="16"/>
  <c r="BV514" i="16"/>
  <c r="BL514" i="16"/>
  <c r="AY514" i="16"/>
  <c r="AF514" i="16"/>
  <c r="AA514" i="16"/>
  <c r="W514" i="16"/>
  <c r="R514" i="16"/>
  <c r="M514" i="16"/>
  <c r="I514" i="16"/>
  <c r="H514" i="16"/>
  <c r="DC513" i="16"/>
  <c r="DB513" i="16"/>
  <c r="DB512" i="16" s="1"/>
  <c r="DA513" i="16"/>
  <c r="CW513" i="16"/>
  <c r="CV513" i="16"/>
  <c r="CU513" i="16"/>
  <c r="CU514" i="16" s="1"/>
  <c r="CS513" i="16"/>
  <c r="CS512" i="16" s="1"/>
  <c r="CQ513" i="16"/>
  <c r="CO513" i="16"/>
  <c r="CN513" i="16"/>
  <c r="CN512" i="16" s="1"/>
  <c r="CM513" i="16"/>
  <c r="CI513" i="16"/>
  <c r="CG513" i="16"/>
  <c r="CE513" i="16"/>
  <c r="CE512" i="16" s="1"/>
  <c r="CC513" i="16"/>
  <c r="CA513" i="16"/>
  <c r="BZ513" i="16"/>
  <c r="BZ512" i="16" s="1"/>
  <c r="BY513" i="16"/>
  <c r="BY514" i="16" s="1"/>
  <c r="BV513" i="16"/>
  <c r="BU513" i="16"/>
  <c r="BS513" i="16"/>
  <c r="BS512" i="16" s="1"/>
  <c r="BQ513" i="16"/>
  <c r="BQ512" i="16" s="1"/>
  <c r="BP513" i="16"/>
  <c r="BP514" i="16" s="1"/>
  <c r="BM513" i="16"/>
  <c r="BL513" i="16"/>
  <c r="BL512" i="16" s="1"/>
  <c r="BK513" i="16"/>
  <c r="BK514" i="16" s="1"/>
  <c r="BH513" i="16"/>
  <c r="BH514" i="16" s="1"/>
  <c r="BG513" i="16"/>
  <c r="BC513" i="16"/>
  <c r="AY513" i="16"/>
  <c r="AY512" i="16" s="1"/>
  <c r="AX513" i="16"/>
  <c r="AX512" i="16" s="1"/>
  <c r="AW513" i="16"/>
  <c r="AS513" i="16"/>
  <c r="AO513" i="16"/>
  <c r="AN513" i="16"/>
  <c r="AK513" i="16"/>
  <c r="AJ513" i="16"/>
  <c r="AI513" i="16"/>
  <c r="AE513" i="16"/>
  <c r="AC513" i="16"/>
  <c r="AA513" i="16"/>
  <c r="AA512" i="16" s="1"/>
  <c r="W513" i="16"/>
  <c r="W512" i="16" s="1"/>
  <c r="V513" i="16"/>
  <c r="U513" i="16"/>
  <c r="Q513" i="16"/>
  <c r="P513" i="16"/>
  <c r="O513" i="16"/>
  <c r="O514" i="16" s="1"/>
  <c r="M513" i="16"/>
  <c r="M512" i="16" s="1"/>
  <c r="L513" i="16"/>
  <c r="L512" i="16" s="1"/>
  <c r="K513" i="16"/>
  <c r="K514" i="16" s="1"/>
  <c r="I513" i="16"/>
  <c r="I512" i="16" s="1"/>
  <c r="H513" i="16"/>
  <c r="H512" i="16" s="1"/>
  <c r="G513" i="16"/>
  <c r="BY512" i="16"/>
  <c r="BV512" i="16"/>
  <c r="BK512" i="16"/>
  <c r="BH512" i="16"/>
  <c r="AF512" i="16"/>
  <c r="R512" i="16"/>
  <c r="O512" i="16"/>
  <c r="DC505" i="16"/>
  <c r="DB505" i="16"/>
  <c r="DA505" i="16"/>
  <c r="CZ505" i="16"/>
  <c r="CY505" i="16"/>
  <c r="CX505" i="16"/>
  <c r="CW505" i="16"/>
  <c r="CV505" i="16"/>
  <c r="CT505" i="16"/>
  <c r="CS505" i="16"/>
  <c r="CR505" i="16"/>
  <c r="CQ505" i="16"/>
  <c r="CO505" i="16"/>
  <c r="CM505" i="16"/>
  <c r="CL505" i="16"/>
  <c r="CK505" i="16"/>
  <c r="CJ505" i="16"/>
  <c r="CI505" i="16"/>
  <c r="CH505" i="16"/>
  <c r="CE505" i="16"/>
  <c r="CD505" i="16"/>
  <c r="CC505" i="16"/>
  <c r="CA505" i="16"/>
  <c r="BX505" i="16"/>
  <c r="BW505" i="16"/>
  <c r="BV505" i="16"/>
  <c r="BU505" i="16"/>
  <c r="BT505" i="16"/>
  <c r="BQ505" i="16"/>
  <c r="BP505" i="16"/>
  <c r="BO505" i="16"/>
  <c r="BM505" i="16"/>
  <c r="BL505" i="16"/>
  <c r="BI505" i="16"/>
  <c r="BH505" i="16"/>
  <c r="BG505" i="16"/>
  <c r="BF505" i="16"/>
  <c r="BD505" i="16"/>
  <c r="BC505" i="16"/>
  <c r="BB505" i="16"/>
  <c r="BA505" i="16"/>
  <c r="AY505" i="16"/>
  <c r="AX505" i="16"/>
  <c r="AW505" i="16"/>
  <c r="AU505" i="16"/>
  <c r="AT505" i="16"/>
  <c r="AS505" i="16"/>
  <c r="AR505" i="16"/>
  <c r="AP505" i="16"/>
  <c r="AO505" i="16"/>
  <c r="AN505" i="16"/>
  <c r="AM505" i="16"/>
  <c r="AL505" i="16"/>
  <c r="AK505" i="16"/>
  <c r="AJ505" i="16"/>
  <c r="AI505" i="16"/>
  <c r="AH505" i="16"/>
  <c r="AG505" i="16"/>
  <c r="AE505" i="16"/>
  <c r="AD505" i="16"/>
  <c r="AB505" i="16"/>
  <c r="AA505" i="16"/>
  <c r="Z505" i="16"/>
  <c r="Y505" i="16"/>
  <c r="X505" i="16"/>
  <c r="W505" i="16"/>
  <c r="T505" i="16"/>
  <c r="Q505" i="16"/>
  <c r="N505" i="16"/>
  <c r="K505" i="16"/>
  <c r="DC504" i="16"/>
  <c r="DB504" i="16"/>
  <c r="DA504" i="16"/>
  <c r="CZ504" i="16"/>
  <c r="CY504" i="16"/>
  <c r="CX504" i="16"/>
  <c r="CW504" i="16"/>
  <c r="CV504" i="16"/>
  <c r="CU504" i="16"/>
  <c r="CT504" i="16"/>
  <c r="CS504" i="16"/>
  <c r="CR504" i="16"/>
  <c r="CQ504" i="16"/>
  <c r="CP504" i="16"/>
  <c r="CO504" i="16"/>
  <c r="CN504" i="16"/>
  <c r="CM504" i="16"/>
  <c r="CL504" i="16"/>
  <c r="CK504" i="16"/>
  <c r="CJ504" i="16"/>
  <c r="CI504" i="16"/>
  <c r="CH504" i="16"/>
  <c r="CG504" i="16"/>
  <c r="CF504" i="16"/>
  <c r="CE504" i="16"/>
  <c r="CD504" i="16"/>
  <c r="CC504" i="16"/>
  <c r="CB504" i="16"/>
  <c r="CA504" i="16"/>
  <c r="BZ504" i="16"/>
  <c r="BY504" i="16"/>
  <c r="BX504" i="16"/>
  <c r="BW504" i="16"/>
  <c r="BV504" i="16"/>
  <c r="BU504" i="16"/>
  <c r="BT504" i="16"/>
  <c r="BS504" i="16"/>
  <c r="BR504" i="16"/>
  <c r="BQ504" i="16"/>
  <c r="BP504" i="16"/>
  <c r="BO504" i="16"/>
  <c r="BN504" i="16"/>
  <c r="BM504" i="16"/>
  <c r="BL504" i="16"/>
  <c r="BK504" i="16"/>
  <c r="BJ504" i="16"/>
  <c r="BI504" i="16"/>
  <c r="BH504" i="16"/>
  <c r="BG504" i="16"/>
  <c r="BF504" i="16"/>
  <c r="BE504" i="16"/>
  <c r="BD504" i="16"/>
  <c r="BC504" i="16"/>
  <c r="BB504" i="16"/>
  <c r="BA504" i="16"/>
  <c r="AZ504" i="16"/>
  <c r="AY504" i="16"/>
  <c r="AX504" i="16"/>
  <c r="AW504" i="16"/>
  <c r="AV504" i="16"/>
  <c r="AU504" i="16"/>
  <c r="AT504" i="16"/>
  <c r="AS504" i="16"/>
  <c r="AR504" i="16"/>
  <c r="AQ504" i="16"/>
  <c r="AP504" i="16"/>
  <c r="AO504" i="16"/>
  <c r="AN504" i="16"/>
  <c r="AM504" i="16"/>
  <c r="AL504" i="16"/>
  <c r="AK504" i="16"/>
  <c r="AJ504" i="16"/>
  <c r="AI504" i="16"/>
  <c r="AH504" i="16"/>
  <c r="AG504" i="16"/>
  <c r="AF504" i="16"/>
  <c r="AE504" i="16"/>
  <c r="AD504" i="16"/>
  <c r="AC504" i="16"/>
  <c r="AB504" i="16"/>
  <c r="AA504" i="16"/>
  <c r="Z504" i="16"/>
  <c r="Y504" i="16"/>
  <c r="X504" i="16"/>
  <c r="W504" i="16"/>
  <c r="V504" i="16"/>
  <c r="U504" i="16"/>
  <c r="T504" i="16"/>
  <c r="S504" i="16"/>
  <c r="R504" i="16"/>
  <c r="Q504" i="16"/>
  <c r="P504" i="16"/>
  <c r="O504" i="16"/>
  <c r="N504" i="16"/>
  <c r="M504" i="16"/>
  <c r="L504" i="16"/>
  <c r="K504" i="16"/>
  <c r="J504" i="16"/>
  <c r="I504" i="16"/>
  <c r="H504" i="16"/>
  <c r="G504" i="16"/>
  <c r="DB501" i="16"/>
  <c r="DA501" i="16"/>
  <c r="CZ501" i="16"/>
  <c r="CY501" i="16"/>
  <c r="CX501" i="16"/>
  <c r="CW501" i="16"/>
  <c r="CV501" i="16"/>
  <c r="CU501" i="16"/>
  <c r="CT501" i="16"/>
  <c r="CL501" i="16"/>
  <c r="CK501" i="16"/>
  <c r="CJ501" i="16"/>
  <c r="CI501" i="16"/>
  <c r="CH501" i="16"/>
  <c r="CG501" i="16"/>
  <c r="CF501" i="16"/>
  <c r="CE501" i="16"/>
  <c r="BZ501" i="16"/>
  <c r="BY501" i="16"/>
  <c r="BX501" i="16"/>
  <c r="BW501" i="16"/>
  <c r="BV501" i="16"/>
  <c r="BU501" i="16"/>
  <c r="BT501" i="16"/>
  <c r="BS501" i="16"/>
  <c r="BR501" i="16"/>
  <c r="BQ501" i="16"/>
  <c r="BP501" i="16"/>
  <c r="BL501" i="16"/>
  <c r="BK501" i="16"/>
  <c r="BJ501" i="16"/>
  <c r="BI501" i="16"/>
  <c r="BH501" i="16"/>
  <c r="BE501" i="16"/>
  <c r="BD501" i="16"/>
  <c r="BC501" i="16"/>
  <c r="BB501" i="16"/>
  <c r="AZ501" i="16"/>
  <c r="AX501" i="16"/>
  <c r="AW501" i="16"/>
  <c r="AV501" i="16"/>
  <c r="AU501" i="16"/>
  <c r="AT501" i="16"/>
  <c r="AQ501" i="16"/>
  <c r="AP501" i="16"/>
  <c r="AO501" i="16"/>
  <c r="AN501" i="16"/>
  <c r="AM501" i="16"/>
  <c r="AJ501" i="16"/>
  <c r="AI501" i="16"/>
  <c r="AH501" i="16"/>
  <c r="AG501" i="16"/>
  <c r="AF501" i="16"/>
  <c r="AE501" i="16"/>
  <c r="AC501" i="16"/>
  <c r="AB501" i="16"/>
  <c r="AA501" i="16"/>
  <c r="Z501" i="16"/>
  <c r="Y501" i="16"/>
  <c r="X501" i="16"/>
  <c r="Q501" i="16"/>
  <c r="N501" i="16"/>
  <c r="K501" i="16"/>
  <c r="DC495" i="16"/>
  <c r="DB495" i="16"/>
  <c r="DA495" i="16"/>
  <c r="CZ495" i="16"/>
  <c r="CY495" i="16"/>
  <c r="CX495" i="16"/>
  <c r="CW495" i="16"/>
  <c r="CV495" i="16"/>
  <c r="CU495" i="16"/>
  <c r="CT495" i="16"/>
  <c r="CS495" i="16"/>
  <c r="CR495" i="16"/>
  <c r="CQ495" i="16"/>
  <c r="CP495" i="16"/>
  <c r="CO495" i="16"/>
  <c r="CN495" i="16"/>
  <c r="CM495" i="16"/>
  <c r="CL495" i="16"/>
  <c r="CK495" i="16"/>
  <c r="CJ495" i="16"/>
  <c r="CI495" i="16"/>
  <c r="CH495" i="16"/>
  <c r="CG495" i="16"/>
  <c r="CF495" i="16"/>
  <c r="CE495" i="16"/>
  <c r="CD495" i="16"/>
  <c r="CC495" i="16"/>
  <c r="CB495" i="16"/>
  <c r="CA495" i="16"/>
  <c r="BZ495" i="16"/>
  <c r="BY495" i="16"/>
  <c r="BX495" i="16"/>
  <c r="BW495" i="16"/>
  <c r="BV495" i="16"/>
  <c r="BU495" i="16"/>
  <c r="BT495" i="16"/>
  <c r="BS495" i="16"/>
  <c r="BR495" i="16"/>
  <c r="BQ495" i="16"/>
  <c r="BP495" i="16"/>
  <c r="BO495" i="16"/>
  <c r="BN495" i="16"/>
  <c r="BM495" i="16"/>
  <c r="BL495" i="16"/>
  <c r="BK495" i="16"/>
  <c r="BJ495" i="16"/>
  <c r="BI495" i="16"/>
  <c r="BH495" i="16"/>
  <c r="BG495" i="16"/>
  <c r="BF495" i="16"/>
  <c r="BE495" i="16"/>
  <c r="BD495" i="16"/>
  <c r="BC495" i="16"/>
  <c r="BB495" i="16"/>
  <c r="BA495" i="16"/>
  <c r="AZ495" i="16"/>
  <c r="AY495" i="16"/>
  <c r="AX495" i="16"/>
  <c r="AW495" i="16"/>
  <c r="AV495" i="16"/>
  <c r="AU495" i="16"/>
  <c r="AT495" i="16"/>
  <c r="AS495" i="16"/>
  <c r="AR495" i="16"/>
  <c r="AQ495" i="16"/>
  <c r="AP495" i="16"/>
  <c r="AO495" i="16"/>
  <c r="AN495" i="16"/>
  <c r="AM495" i="16"/>
  <c r="AL495" i="16"/>
  <c r="AK495" i="16"/>
  <c r="AJ495" i="16"/>
  <c r="AI495" i="16"/>
  <c r="AH495" i="16"/>
  <c r="AG495" i="16"/>
  <c r="AF495" i="16"/>
  <c r="AE495" i="16"/>
  <c r="AD495" i="16"/>
  <c r="AC495" i="16"/>
  <c r="AB495" i="16"/>
  <c r="AA495" i="16"/>
  <c r="Z495" i="16"/>
  <c r="Y495" i="16"/>
  <c r="X495" i="16"/>
  <c r="W495" i="16"/>
  <c r="V495" i="16"/>
  <c r="U495" i="16"/>
  <c r="T495" i="16"/>
  <c r="S495" i="16"/>
  <c r="R495" i="16"/>
  <c r="Q495" i="16"/>
  <c r="P495" i="16"/>
  <c r="O495" i="16"/>
  <c r="N495" i="16"/>
  <c r="M495" i="16"/>
  <c r="L495" i="16"/>
  <c r="K495" i="16"/>
  <c r="J495" i="16"/>
  <c r="I495" i="16"/>
  <c r="H495" i="16"/>
  <c r="G495" i="16"/>
  <c r="DC494" i="16"/>
  <c r="DB494" i="16"/>
  <c r="DA494" i="16"/>
  <c r="CZ494" i="16"/>
  <c r="CY494" i="16"/>
  <c r="CX494" i="16"/>
  <c r="CW494" i="16"/>
  <c r="CV494" i="16"/>
  <c r="CU494" i="16"/>
  <c r="CT494" i="16"/>
  <c r="CS494" i="16"/>
  <c r="CR494" i="16"/>
  <c r="CQ494" i="16"/>
  <c r="CP494" i="16"/>
  <c r="CO494" i="16"/>
  <c r="CN494" i="16"/>
  <c r="CM494" i="16"/>
  <c r="CL494" i="16"/>
  <c r="CK494" i="16"/>
  <c r="CJ494" i="16"/>
  <c r="CI494" i="16"/>
  <c r="CH494" i="16"/>
  <c r="CG494" i="16"/>
  <c r="CF494" i="16"/>
  <c r="CE494" i="16"/>
  <c r="CD494" i="16"/>
  <c r="CC494" i="16"/>
  <c r="CB494" i="16"/>
  <c r="CA494" i="16"/>
  <c r="BZ494" i="16"/>
  <c r="BY494" i="16"/>
  <c r="BX494" i="16"/>
  <c r="BW494" i="16"/>
  <c r="BV494" i="16"/>
  <c r="BU494" i="16"/>
  <c r="BT494" i="16"/>
  <c r="BS494" i="16"/>
  <c r="BR494" i="16"/>
  <c r="BQ494" i="16"/>
  <c r="BP494" i="16"/>
  <c r="BO494" i="16"/>
  <c r="BN494" i="16"/>
  <c r="BM494" i="16"/>
  <c r="BL494" i="16"/>
  <c r="BK494" i="16"/>
  <c r="BJ494" i="16"/>
  <c r="BI494" i="16"/>
  <c r="BH494" i="16"/>
  <c r="BG494" i="16"/>
  <c r="BF494" i="16"/>
  <c r="BE494" i="16"/>
  <c r="BD494" i="16"/>
  <c r="BC494" i="16"/>
  <c r="BB494" i="16"/>
  <c r="BA494" i="16"/>
  <c r="AZ494" i="16"/>
  <c r="AY494" i="16"/>
  <c r="AX494" i="16"/>
  <c r="AW494" i="16"/>
  <c r="AV494" i="16"/>
  <c r="AU494" i="16"/>
  <c r="AT494" i="16"/>
  <c r="AS494" i="16"/>
  <c r="AR494" i="16"/>
  <c r="AQ494" i="16"/>
  <c r="AP494" i="16"/>
  <c r="AO494" i="16"/>
  <c r="AN494" i="16"/>
  <c r="AM494" i="16"/>
  <c r="AL494" i="16"/>
  <c r="AK494" i="16"/>
  <c r="AJ494" i="16"/>
  <c r="AI494" i="16"/>
  <c r="AH494" i="16"/>
  <c r="AG494" i="16"/>
  <c r="AF494" i="16"/>
  <c r="AE494" i="16"/>
  <c r="AD494" i="16"/>
  <c r="AC494" i="16"/>
  <c r="AB494" i="16"/>
  <c r="AA494" i="16"/>
  <c r="Z494" i="16"/>
  <c r="Y494" i="16"/>
  <c r="X494" i="16"/>
  <c r="W494" i="16"/>
  <c r="V494" i="16"/>
  <c r="U494" i="16"/>
  <c r="T494" i="16"/>
  <c r="S494" i="16"/>
  <c r="R494" i="16"/>
  <c r="Q494" i="16"/>
  <c r="P494" i="16"/>
  <c r="O494" i="16"/>
  <c r="N494" i="16"/>
  <c r="M494" i="16"/>
  <c r="L494" i="16"/>
  <c r="K494" i="16"/>
  <c r="J494" i="16"/>
  <c r="I494" i="16"/>
  <c r="H494" i="16"/>
  <c r="G494" i="16"/>
  <c r="DC491" i="16"/>
  <c r="DB491" i="16"/>
  <c r="DA491" i="16"/>
  <c r="CY491" i="16"/>
  <c r="CW491" i="16"/>
  <c r="CV491" i="16"/>
  <c r="CU491" i="16"/>
  <c r="CT491" i="16"/>
  <c r="CS491" i="16"/>
  <c r="CR491" i="16"/>
  <c r="CQ491" i="16"/>
  <c r="CP491" i="16"/>
  <c r="CO491" i="16"/>
  <c r="CN491" i="16"/>
  <c r="CM491" i="16"/>
  <c r="CL491" i="16"/>
  <c r="CK491" i="16"/>
  <c r="CI491" i="16"/>
  <c r="CH491" i="16"/>
  <c r="CG491" i="16"/>
  <c r="CF491" i="16"/>
  <c r="CE491" i="16"/>
  <c r="CD491" i="16"/>
  <c r="CC491" i="16"/>
  <c r="CB491" i="16"/>
  <c r="CA491" i="16"/>
  <c r="BZ491" i="16"/>
  <c r="BY491" i="16"/>
  <c r="BW491" i="16"/>
  <c r="BU491" i="16"/>
  <c r="BT491" i="16"/>
  <c r="BS491" i="16"/>
  <c r="BR491" i="16"/>
  <c r="BQ491" i="16"/>
  <c r="BP491" i="16"/>
  <c r="BO491" i="16"/>
  <c r="BN491" i="16"/>
  <c r="BM491" i="16"/>
  <c r="BL491" i="16"/>
  <c r="BK491" i="16"/>
  <c r="BJ491" i="16"/>
  <c r="BI491" i="16"/>
  <c r="BG491" i="16"/>
  <c r="BF491" i="16"/>
  <c r="BE491" i="16"/>
  <c r="BD491" i="16"/>
  <c r="BC491" i="16"/>
  <c r="BB491" i="16"/>
  <c r="BA491" i="16"/>
  <c r="AZ491" i="16"/>
  <c r="AY491" i="16"/>
  <c r="AX491" i="16"/>
  <c r="AW491" i="16"/>
  <c r="AV491" i="16"/>
  <c r="AU491" i="16"/>
  <c r="AS491" i="16"/>
  <c r="AR491" i="16"/>
  <c r="AQ491" i="16"/>
  <c r="AP491" i="16"/>
  <c r="AO491" i="16"/>
  <c r="AN491" i="16"/>
  <c r="AM491" i="16"/>
  <c r="AL491" i="16"/>
  <c r="AK491" i="16"/>
  <c r="AJ491" i="16"/>
  <c r="AI491" i="16"/>
  <c r="AH491" i="16"/>
  <c r="AG491" i="16"/>
  <c r="AE491" i="16"/>
  <c r="AD491" i="16"/>
  <c r="AC491" i="16"/>
  <c r="AB491" i="16"/>
  <c r="AA491" i="16"/>
  <c r="Z491" i="16"/>
  <c r="Y491" i="16"/>
  <c r="X491" i="16"/>
  <c r="W491" i="16"/>
  <c r="T491" i="16"/>
  <c r="Q491" i="16"/>
  <c r="N491" i="16"/>
  <c r="K491" i="16"/>
  <c r="DC490" i="16"/>
  <c r="DB490" i="16"/>
  <c r="DA490" i="16"/>
  <c r="CZ490" i="16"/>
  <c r="CY490" i="16"/>
  <c r="CX490" i="16"/>
  <c r="CW490" i="16"/>
  <c r="CV490" i="16"/>
  <c r="CU490" i="16"/>
  <c r="CT490" i="16"/>
  <c r="CS490" i="16"/>
  <c r="CR490" i="16"/>
  <c r="CQ490" i="16"/>
  <c r="CP490" i="16"/>
  <c r="CO490" i="16"/>
  <c r="CN490" i="16"/>
  <c r="CM490" i="16"/>
  <c r="CL490" i="16"/>
  <c r="CK490" i="16"/>
  <c r="CJ490" i="16"/>
  <c r="CI490" i="16"/>
  <c r="CH490" i="16"/>
  <c r="CG490" i="16"/>
  <c r="CF490" i="16"/>
  <c r="CE490" i="16"/>
  <c r="CD490" i="16"/>
  <c r="CC490" i="16"/>
  <c r="CB490" i="16"/>
  <c r="CA490" i="16"/>
  <c r="BZ490" i="16"/>
  <c r="BY490" i="16"/>
  <c r="BX490" i="16"/>
  <c r="BW490" i="16"/>
  <c r="BV490" i="16"/>
  <c r="BU490" i="16"/>
  <c r="BT490" i="16"/>
  <c r="BS490" i="16"/>
  <c r="BR490" i="16"/>
  <c r="BQ490" i="16"/>
  <c r="BP490" i="16"/>
  <c r="BO490" i="16"/>
  <c r="BN490" i="16"/>
  <c r="BM490" i="16"/>
  <c r="BL490" i="16"/>
  <c r="BK490" i="16"/>
  <c r="BJ490" i="16"/>
  <c r="BI490" i="16"/>
  <c r="BH490" i="16"/>
  <c r="BG490" i="16"/>
  <c r="BF490" i="16"/>
  <c r="BE490" i="16"/>
  <c r="BD490" i="16"/>
  <c r="BC490" i="16"/>
  <c r="BB490" i="16"/>
  <c r="BA490" i="16"/>
  <c r="AZ490" i="16"/>
  <c r="AY490" i="16"/>
  <c r="AX490" i="16"/>
  <c r="AW490" i="16"/>
  <c r="AV490" i="16"/>
  <c r="AU490" i="16"/>
  <c r="AT490" i="16"/>
  <c r="AS490" i="16"/>
  <c r="AR490" i="16"/>
  <c r="AQ490" i="16"/>
  <c r="AP490" i="16"/>
  <c r="AO490" i="16"/>
  <c r="AN490" i="16"/>
  <c r="AM490" i="16"/>
  <c r="AL490" i="16"/>
  <c r="AK490" i="16"/>
  <c r="AJ490" i="16"/>
  <c r="AI490" i="16"/>
  <c r="AH490" i="16"/>
  <c r="AG490" i="16"/>
  <c r="AF490" i="16"/>
  <c r="AE490" i="16"/>
  <c r="AD490" i="16"/>
  <c r="AC490" i="16"/>
  <c r="AB490" i="16"/>
  <c r="AA490" i="16"/>
  <c r="Z490" i="16"/>
  <c r="Y490" i="16"/>
  <c r="X490" i="16"/>
  <c r="W490" i="16"/>
  <c r="V490" i="16"/>
  <c r="U490" i="16"/>
  <c r="T490" i="16"/>
  <c r="S490" i="16"/>
  <c r="R490" i="16"/>
  <c r="Q490" i="16"/>
  <c r="P490" i="16"/>
  <c r="O490" i="16"/>
  <c r="N490" i="16"/>
  <c r="M490" i="16"/>
  <c r="L490" i="16"/>
  <c r="K490" i="16"/>
  <c r="J490" i="16"/>
  <c r="I490" i="16"/>
  <c r="H490" i="16"/>
  <c r="G490" i="16"/>
  <c r="CI487" i="16"/>
  <c r="BR487" i="16"/>
  <c r="AE487" i="16"/>
  <c r="DC486" i="16"/>
  <c r="DB486" i="16"/>
  <c r="DA486" i="16"/>
  <c r="CZ486" i="16"/>
  <c r="CY486" i="16"/>
  <c r="CX486" i="16"/>
  <c r="CW486" i="16"/>
  <c r="CV486" i="16"/>
  <c r="CU486" i="16"/>
  <c r="CT486" i="16"/>
  <c r="CS486" i="16"/>
  <c r="CR486" i="16"/>
  <c r="CQ486" i="16"/>
  <c r="CP486" i="16"/>
  <c r="CO486" i="16"/>
  <c r="CN486" i="16"/>
  <c r="CM486" i="16"/>
  <c r="CL486" i="16"/>
  <c r="CK486" i="16"/>
  <c r="CJ486" i="16"/>
  <c r="CI486" i="16"/>
  <c r="CH486" i="16"/>
  <c r="CG486" i="16"/>
  <c r="CF486" i="16"/>
  <c r="CE486" i="16"/>
  <c r="CD486" i="16"/>
  <c r="CC486" i="16"/>
  <c r="CB486" i="16"/>
  <c r="CA486" i="16"/>
  <c r="BZ486" i="16"/>
  <c r="BY486" i="16"/>
  <c r="BX486" i="16"/>
  <c r="BW486" i="16"/>
  <c r="BV486" i="16"/>
  <c r="BU486" i="16"/>
  <c r="BT486" i="16"/>
  <c r="BS486" i="16"/>
  <c r="BR486" i="16"/>
  <c r="BQ486" i="16"/>
  <c r="BP486" i="16"/>
  <c r="BO486" i="16"/>
  <c r="BN486" i="16"/>
  <c r="BM486" i="16"/>
  <c r="BL486" i="16"/>
  <c r="BK486" i="16"/>
  <c r="BJ486" i="16"/>
  <c r="BI486" i="16"/>
  <c r="BH486" i="16"/>
  <c r="BG486" i="16"/>
  <c r="BF486" i="16"/>
  <c r="BE486" i="16"/>
  <c r="BD486" i="16"/>
  <c r="BC486" i="16"/>
  <c r="BB486" i="16"/>
  <c r="BA486" i="16"/>
  <c r="AZ486" i="16"/>
  <c r="AY486" i="16"/>
  <c r="AX486" i="16"/>
  <c r="AW486" i="16"/>
  <c r="AV486" i="16"/>
  <c r="AU486" i="16"/>
  <c r="AT486" i="16"/>
  <c r="AS486" i="16"/>
  <c r="AR486" i="16"/>
  <c r="AQ486" i="16"/>
  <c r="AP486" i="16"/>
  <c r="AO486" i="16"/>
  <c r="AN486" i="16"/>
  <c r="AM486" i="16"/>
  <c r="AL486" i="16"/>
  <c r="AK486" i="16"/>
  <c r="AJ486" i="16"/>
  <c r="AI486" i="16"/>
  <c r="AH486" i="16"/>
  <c r="AG486" i="16"/>
  <c r="AF486" i="16"/>
  <c r="AE486" i="16"/>
  <c r="AD486" i="16"/>
  <c r="AC486" i="16"/>
  <c r="AB486" i="16"/>
  <c r="AA486" i="16"/>
  <c r="Z486" i="16"/>
  <c r="Y486" i="16"/>
  <c r="X486" i="16"/>
  <c r="W486" i="16"/>
  <c r="V486" i="16"/>
  <c r="U486" i="16"/>
  <c r="T486" i="16"/>
  <c r="S486" i="16"/>
  <c r="R486" i="16"/>
  <c r="Q486" i="16"/>
  <c r="P486" i="16"/>
  <c r="O486" i="16"/>
  <c r="N486" i="16"/>
  <c r="M486" i="16"/>
  <c r="L486" i="16"/>
  <c r="K486" i="16"/>
  <c r="J486" i="16"/>
  <c r="I486" i="16"/>
  <c r="H486" i="16"/>
  <c r="G486" i="16"/>
  <c r="DC479" i="16"/>
  <c r="DB479" i="16"/>
  <c r="DA479" i="16"/>
  <c r="CY479" i="16"/>
  <c r="CX479" i="16"/>
  <c r="CW479" i="16"/>
  <c r="CV479" i="16"/>
  <c r="CU479" i="16"/>
  <c r="CT479" i="16"/>
  <c r="CS479" i="16"/>
  <c r="CR479" i="16"/>
  <c r="CQ479" i="16"/>
  <c r="CP479" i="16"/>
  <c r="CO479" i="16"/>
  <c r="CN479" i="16"/>
  <c r="CM479" i="16"/>
  <c r="CK479" i="16"/>
  <c r="CJ479" i="16"/>
  <c r="CI479" i="16"/>
  <c r="CH479" i="16"/>
  <c r="CG479" i="16"/>
  <c r="CF479" i="16"/>
  <c r="CE479" i="16"/>
  <c r="CD479" i="16"/>
  <c r="CC479" i="16"/>
  <c r="CB479" i="16"/>
  <c r="CA479" i="16"/>
  <c r="BZ479" i="16"/>
  <c r="BY479" i="16"/>
  <c r="BW479" i="16"/>
  <c r="BV479" i="16"/>
  <c r="BU479" i="16"/>
  <c r="BT479" i="16"/>
  <c r="BS479" i="16"/>
  <c r="BR479" i="16"/>
  <c r="BQ479" i="16"/>
  <c r="BP479" i="16"/>
  <c r="BO479" i="16"/>
  <c r="BN479" i="16"/>
  <c r="BM479" i="16"/>
  <c r="BL479" i="16"/>
  <c r="BK479" i="16"/>
  <c r="BI479" i="16"/>
  <c r="BH479" i="16"/>
  <c r="BG479" i="16"/>
  <c r="BF479" i="16"/>
  <c r="BE479" i="16"/>
  <c r="BD479" i="16"/>
  <c r="BC479" i="16"/>
  <c r="BB479" i="16"/>
  <c r="BA479" i="16"/>
  <c r="AY479" i="16"/>
  <c r="AX479" i="16"/>
  <c r="AW479" i="16"/>
  <c r="AU479" i="16"/>
  <c r="AT479" i="16"/>
  <c r="AS479" i="16"/>
  <c r="AR479" i="16"/>
  <c r="AQ479" i="16"/>
  <c r="AP479" i="16"/>
  <c r="AO479" i="16"/>
  <c r="AN479" i="16"/>
  <c r="AM479" i="16"/>
  <c r="AK479" i="16"/>
  <c r="AJ479" i="16"/>
  <c r="AI479" i="16"/>
  <c r="AG479" i="16"/>
  <c r="AF479" i="16"/>
  <c r="AE479" i="16"/>
  <c r="AD479" i="16"/>
  <c r="AC479" i="16"/>
  <c r="AB479" i="16"/>
  <c r="AA479" i="16"/>
  <c r="Z479" i="16"/>
  <c r="Y479" i="16"/>
  <c r="X479" i="16"/>
  <c r="W479" i="16"/>
  <c r="T479" i="16"/>
  <c r="Q479" i="16"/>
  <c r="K479" i="16"/>
  <c r="DC478" i="16"/>
  <c r="DB478" i="16"/>
  <c r="DA478" i="16"/>
  <c r="CZ478" i="16"/>
  <c r="CY478" i="16"/>
  <c r="CX478" i="16"/>
  <c r="CW478" i="16"/>
  <c r="CV478" i="16"/>
  <c r="CU478" i="16"/>
  <c r="CT478" i="16"/>
  <c r="CS478" i="16"/>
  <c r="CR478" i="16"/>
  <c r="CQ478" i="16"/>
  <c r="CP478" i="16"/>
  <c r="CO478" i="16"/>
  <c r="CN478" i="16"/>
  <c r="CM478" i="16"/>
  <c r="CL478" i="16"/>
  <c r="CK478" i="16"/>
  <c r="CJ478" i="16"/>
  <c r="CI478" i="16"/>
  <c r="CH478" i="16"/>
  <c r="CG478" i="16"/>
  <c r="CF478" i="16"/>
  <c r="CE478" i="16"/>
  <c r="CD478" i="16"/>
  <c r="CC478" i="16"/>
  <c r="CB478" i="16"/>
  <c r="CA478" i="16"/>
  <c r="BZ478" i="16"/>
  <c r="BY478" i="16"/>
  <c r="BX478" i="16"/>
  <c r="BW478" i="16"/>
  <c r="BV478" i="16"/>
  <c r="BU478" i="16"/>
  <c r="BT478" i="16"/>
  <c r="BS478" i="16"/>
  <c r="BR478" i="16"/>
  <c r="BQ478" i="16"/>
  <c r="BP478" i="16"/>
  <c r="BO478" i="16"/>
  <c r="BN478" i="16"/>
  <c r="BM478" i="16"/>
  <c r="BL478" i="16"/>
  <c r="BK478" i="16"/>
  <c r="BJ478" i="16"/>
  <c r="BI478" i="16"/>
  <c r="BH478" i="16"/>
  <c r="BG478" i="16"/>
  <c r="BF478" i="16"/>
  <c r="BE478" i="16"/>
  <c r="BD478" i="16"/>
  <c r="BC478" i="16"/>
  <c r="BB478" i="16"/>
  <c r="BA478" i="16"/>
  <c r="AZ478" i="16"/>
  <c r="AY478" i="16"/>
  <c r="AX478" i="16"/>
  <c r="AW478" i="16"/>
  <c r="AV478" i="16"/>
  <c r="AU478" i="16"/>
  <c r="AT478" i="16"/>
  <c r="AS478" i="16"/>
  <c r="AR478" i="16"/>
  <c r="AQ478" i="16"/>
  <c r="AP478" i="16"/>
  <c r="AO478" i="16"/>
  <c r="AN478" i="16"/>
  <c r="AM478" i="16"/>
  <c r="AL478" i="16"/>
  <c r="AK478" i="16"/>
  <c r="AJ478" i="16"/>
  <c r="AI478" i="16"/>
  <c r="AH478" i="16"/>
  <c r="AG478" i="16"/>
  <c r="AF478" i="16"/>
  <c r="AE478" i="16"/>
  <c r="AD478" i="16"/>
  <c r="AC478" i="16"/>
  <c r="AB478" i="16"/>
  <c r="AA478" i="16"/>
  <c r="Z478" i="16"/>
  <c r="Y478" i="16"/>
  <c r="X478" i="16"/>
  <c r="W478" i="16"/>
  <c r="V478" i="16"/>
  <c r="U478" i="16"/>
  <c r="T478" i="16"/>
  <c r="S478" i="16"/>
  <c r="R478" i="16"/>
  <c r="Q478" i="16"/>
  <c r="P478" i="16"/>
  <c r="O478" i="16"/>
  <c r="N478" i="16"/>
  <c r="M478" i="16"/>
  <c r="L478" i="16"/>
  <c r="K478" i="16"/>
  <c r="J478" i="16"/>
  <c r="I478" i="16"/>
  <c r="H478" i="16"/>
  <c r="G478" i="16"/>
  <c r="DC475" i="16"/>
  <c r="DB475" i="16"/>
  <c r="DA475" i="16"/>
  <c r="CZ475" i="16"/>
  <c r="CY475" i="16"/>
  <c r="CX475" i="16"/>
  <c r="CW475" i="16"/>
  <c r="CV475" i="16"/>
  <c r="CU475" i="16"/>
  <c r="CT475" i="16"/>
  <c r="CS475" i="16"/>
  <c r="CR475" i="16"/>
  <c r="CQ475" i="16"/>
  <c r="CP475" i="16"/>
  <c r="CO475" i="16"/>
  <c r="CN475" i="16"/>
  <c r="CM475" i="16"/>
  <c r="CL475" i="16"/>
  <c r="CK475" i="16"/>
  <c r="CJ475" i="16"/>
  <c r="CI475" i="16"/>
  <c r="CH475" i="16"/>
  <c r="CG475" i="16"/>
  <c r="CF475" i="16"/>
  <c r="CE475" i="16"/>
  <c r="CD475" i="16"/>
  <c r="CC475" i="16"/>
  <c r="CB475" i="16"/>
  <c r="CA475" i="16"/>
  <c r="BZ475" i="16"/>
  <c r="BY475" i="16"/>
  <c r="BX475" i="16"/>
  <c r="BW475" i="16"/>
  <c r="BV475" i="16"/>
  <c r="BU475" i="16"/>
  <c r="BT475" i="16"/>
  <c r="BS475" i="16"/>
  <c r="BR475" i="16"/>
  <c r="BQ475" i="16"/>
  <c r="BP475" i="16"/>
  <c r="BO475" i="16"/>
  <c r="BN475" i="16"/>
  <c r="BM475" i="16"/>
  <c r="BL475" i="16"/>
  <c r="BK475" i="16"/>
  <c r="BJ475" i="16"/>
  <c r="BI475" i="16"/>
  <c r="BH475" i="16"/>
  <c r="BG475" i="16"/>
  <c r="BF475" i="16"/>
  <c r="BE475" i="16"/>
  <c r="BD475" i="16"/>
  <c r="BC475" i="16"/>
  <c r="BB475" i="16"/>
  <c r="BA475" i="16"/>
  <c r="AZ475" i="16"/>
  <c r="AY475" i="16"/>
  <c r="AX475" i="16"/>
  <c r="AW475" i="16"/>
  <c r="AV475" i="16"/>
  <c r="AU475" i="16"/>
  <c r="AT475" i="16"/>
  <c r="AS475" i="16"/>
  <c r="AR475" i="16"/>
  <c r="AQ475" i="16"/>
  <c r="AP475" i="16"/>
  <c r="AO475" i="16"/>
  <c r="AN475" i="16"/>
  <c r="AM475" i="16"/>
  <c r="AL475" i="16"/>
  <c r="AK475" i="16"/>
  <c r="AJ475" i="16"/>
  <c r="AI475" i="16"/>
  <c r="AH475" i="16"/>
  <c r="AG475" i="16"/>
  <c r="AF475" i="16"/>
  <c r="AE475" i="16"/>
  <c r="AD475" i="16"/>
  <c r="AC475" i="16"/>
  <c r="AB475" i="16"/>
  <c r="AA475" i="16"/>
  <c r="Z475" i="16"/>
  <c r="Y475" i="16"/>
  <c r="X475" i="16"/>
  <c r="W475" i="16"/>
  <c r="V475" i="16"/>
  <c r="U475" i="16"/>
  <c r="T475" i="16"/>
  <c r="S475" i="16"/>
  <c r="R475" i="16"/>
  <c r="Q475" i="16"/>
  <c r="P475" i="16"/>
  <c r="O475" i="16"/>
  <c r="N475" i="16"/>
  <c r="M475" i="16"/>
  <c r="L475" i="16"/>
  <c r="K475" i="16"/>
  <c r="J475" i="16"/>
  <c r="I475" i="16"/>
  <c r="H475" i="16"/>
  <c r="G475" i="16"/>
  <c r="DC472" i="16"/>
  <c r="DB472" i="16"/>
  <c r="DA472" i="16"/>
  <c r="CX472" i="16"/>
  <c r="CV472" i="16"/>
  <c r="CU472" i="16"/>
  <c r="CT472" i="16"/>
  <c r="CR472" i="16"/>
  <c r="CQ472" i="16"/>
  <c r="CN472" i="16"/>
  <c r="CM472" i="16"/>
  <c r="CK472" i="16"/>
  <c r="CJ472" i="16"/>
  <c r="CG472" i="16"/>
  <c r="CF472" i="16"/>
  <c r="CE472" i="16"/>
  <c r="CC472" i="16"/>
  <c r="CA472" i="16"/>
  <c r="BZ472" i="16"/>
  <c r="BY472" i="16"/>
  <c r="BV472" i="16"/>
  <c r="BT472" i="16"/>
  <c r="BS472" i="16"/>
  <c r="BR472" i="16"/>
  <c r="BQ472" i="16"/>
  <c r="BP472" i="16"/>
  <c r="BO472" i="16"/>
  <c r="BL472" i="16"/>
  <c r="BH472" i="16"/>
  <c r="BF472" i="16"/>
  <c r="BE472" i="16"/>
  <c r="BD472" i="16"/>
  <c r="BC472" i="16"/>
  <c r="BA472" i="16"/>
  <c r="AY472" i="16"/>
  <c r="AX472" i="16"/>
  <c r="AT472" i="16"/>
  <c r="AR472" i="16"/>
  <c r="AQ472" i="16"/>
  <c r="AP472" i="16"/>
  <c r="AO472" i="16"/>
  <c r="AN472" i="16"/>
  <c r="AM472" i="16"/>
  <c r="AL472" i="16"/>
  <c r="AK472" i="16"/>
  <c r="AJ472" i="16"/>
  <c r="AI472" i="16"/>
  <c r="AF472" i="16"/>
  <c r="AD472" i="16"/>
  <c r="AC472" i="16"/>
  <c r="AA472" i="16"/>
  <c r="Z472" i="16"/>
  <c r="Y472" i="16"/>
  <c r="X472" i="16"/>
  <c r="W472" i="16"/>
  <c r="Q472" i="16"/>
  <c r="N472" i="16"/>
  <c r="K472" i="16"/>
  <c r="DC471" i="16"/>
  <c r="DB471" i="16"/>
  <c r="DA471" i="16"/>
  <c r="CZ471" i="16"/>
  <c r="CY471" i="16"/>
  <c r="CX471" i="16"/>
  <c r="CW471" i="16"/>
  <c r="CV471" i="16"/>
  <c r="CU471" i="16"/>
  <c r="CT471" i="16"/>
  <c r="CS471" i="16"/>
  <c r="CR471" i="16"/>
  <c r="CQ471" i="16"/>
  <c r="CP471" i="16"/>
  <c r="CO471" i="16"/>
  <c r="CN471" i="16"/>
  <c r="CM471" i="16"/>
  <c r="CL471" i="16"/>
  <c r="CK471" i="16"/>
  <c r="CJ471" i="16"/>
  <c r="CI471" i="16"/>
  <c r="CH471" i="16"/>
  <c r="CG471" i="16"/>
  <c r="CF471" i="16"/>
  <c r="CE471" i="16"/>
  <c r="CD471" i="16"/>
  <c r="CC471" i="16"/>
  <c r="CB471" i="16"/>
  <c r="CA471" i="16"/>
  <c r="BZ471" i="16"/>
  <c r="BY471" i="16"/>
  <c r="BX471" i="16"/>
  <c r="BW471" i="16"/>
  <c r="BV471" i="16"/>
  <c r="BU471" i="16"/>
  <c r="BT471" i="16"/>
  <c r="BS471" i="16"/>
  <c r="BR471" i="16"/>
  <c r="BQ471" i="16"/>
  <c r="BP471" i="16"/>
  <c r="BO471" i="16"/>
  <c r="BN471" i="16"/>
  <c r="BM471" i="16"/>
  <c r="BL471" i="16"/>
  <c r="BK471" i="16"/>
  <c r="BJ471" i="16"/>
  <c r="BI471" i="16"/>
  <c r="BH471" i="16"/>
  <c r="BG471" i="16"/>
  <c r="BF471" i="16"/>
  <c r="BE471" i="16"/>
  <c r="BD471" i="16"/>
  <c r="BC471" i="16"/>
  <c r="BB471" i="16"/>
  <c r="BA471" i="16"/>
  <c r="AZ471" i="16"/>
  <c r="AY471" i="16"/>
  <c r="AX471" i="16"/>
  <c r="AW471" i="16"/>
  <c r="AV471" i="16"/>
  <c r="AU471" i="16"/>
  <c r="AT471" i="16"/>
  <c r="AS471" i="16"/>
  <c r="AR471" i="16"/>
  <c r="AQ471" i="16"/>
  <c r="AP471" i="16"/>
  <c r="AO471" i="16"/>
  <c r="AN471" i="16"/>
  <c r="AM471" i="16"/>
  <c r="AL471" i="16"/>
  <c r="AK471" i="16"/>
  <c r="AJ471" i="16"/>
  <c r="AI471" i="16"/>
  <c r="AH471" i="16"/>
  <c r="AG471" i="16"/>
  <c r="AF471" i="16"/>
  <c r="AE471" i="16"/>
  <c r="AD471" i="16"/>
  <c r="AC471" i="16"/>
  <c r="AB471" i="16"/>
  <c r="AA471" i="16"/>
  <c r="Z471" i="16"/>
  <c r="Y471" i="16"/>
  <c r="X471" i="16"/>
  <c r="W471" i="16"/>
  <c r="V471" i="16"/>
  <c r="U471" i="16"/>
  <c r="T471" i="16"/>
  <c r="S471" i="16"/>
  <c r="R471" i="16"/>
  <c r="Q471" i="16"/>
  <c r="P471" i="16"/>
  <c r="O471" i="16"/>
  <c r="N471" i="16"/>
  <c r="M471" i="16"/>
  <c r="L471" i="16"/>
  <c r="K471" i="16"/>
  <c r="J471" i="16"/>
  <c r="I471" i="16"/>
  <c r="H471" i="16"/>
  <c r="G471" i="16"/>
  <c r="DA466" i="16"/>
  <c r="CX466" i="16"/>
  <c r="CU466" i="16"/>
  <c r="CT466" i="16"/>
  <c r="CE466" i="16"/>
  <c r="BU466" i="16"/>
  <c r="BT466" i="16"/>
  <c r="BG466" i="16"/>
  <c r="AR466" i="16"/>
  <c r="AP466" i="16"/>
  <c r="AD466" i="16"/>
  <c r="AC466" i="16"/>
  <c r="DC465" i="16"/>
  <c r="DB465" i="16"/>
  <c r="DA465" i="16"/>
  <c r="CZ465" i="16"/>
  <c r="CY465" i="16"/>
  <c r="CX465" i="16"/>
  <c r="CW465" i="16"/>
  <c r="CV465" i="16"/>
  <c r="CU465" i="16"/>
  <c r="CT465" i="16"/>
  <c r="CS465" i="16"/>
  <c r="CR465" i="16"/>
  <c r="CQ465" i="16"/>
  <c r="CP465" i="16"/>
  <c r="CO465" i="16"/>
  <c r="CN465" i="16"/>
  <c r="CM465" i="16"/>
  <c r="CL465" i="16"/>
  <c r="CK465" i="16"/>
  <c r="CJ465" i="16"/>
  <c r="CI465" i="16"/>
  <c r="CH465" i="16"/>
  <c r="CG465" i="16"/>
  <c r="CF465" i="16"/>
  <c r="CE465" i="16"/>
  <c r="CD465" i="16"/>
  <c r="CC465" i="16"/>
  <c r="CB465" i="16"/>
  <c r="CA465" i="16"/>
  <c r="BZ465" i="16"/>
  <c r="BY465" i="16"/>
  <c r="BX465" i="16"/>
  <c r="BW465" i="16"/>
  <c r="BV465" i="16"/>
  <c r="BU465" i="16"/>
  <c r="BT465" i="16"/>
  <c r="BS465" i="16"/>
  <c r="BR465" i="16"/>
  <c r="BQ465" i="16"/>
  <c r="BP465" i="16"/>
  <c r="BO465" i="16"/>
  <c r="BN465" i="16"/>
  <c r="BM465" i="16"/>
  <c r="BL465" i="16"/>
  <c r="BK465" i="16"/>
  <c r="BJ465" i="16"/>
  <c r="BI465" i="16"/>
  <c r="BH465" i="16"/>
  <c r="BG465" i="16"/>
  <c r="BF465" i="16"/>
  <c r="BE465" i="16"/>
  <c r="BD465" i="16"/>
  <c r="BC465" i="16"/>
  <c r="BB465" i="16"/>
  <c r="BA465" i="16"/>
  <c r="AZ465" i="16"/>
  <c r="AY465" i="16"/>
  <c r="AX465" i="16"/>
  <c r="AW465" i="16"/>
  <c r="AV465" i="16"/>
  <c r="AU465" i="16"/>
  <c r="AT465" i="16"/>
  <c r="AS465" i="16"/>
  <c r="AR465" i="16"/>
  <c r="AQ465" i="16"/>
  <c r="AP465" i="16"/>
  <c r="AO465" i="16"/>
  <c r="AN465" i="16"/>
  <c r="AM465" i="16"/>
  <c r="AL465" i="16"/>
  <c r="AK465" i="16"/>
  <c r="AJ465" i="16"/>
  <c r="AI465" i="16"/>
  <c r="AH465" i="16"/>
  <c r="AG465" i="16"/>
  <c r="AF465" i="16"/>
  <c r="AE465" i="16"/>
  <c r="AD465" i="16"/>
  <c r="AC465" i="16"/>
  <c r="AB465" i="16"/>
  <c r="AA465" i="16"/>
  <c r="Z465" i="16"/>
  <c r="Y465" i="16"/>
  <c r="X465" i="16"/>
  <c r="W465" i="16"/>
  <c r="V465" i="16"/>
  <c r="U465" i="16"/>
  <c r="T465" i="16"/>
  <c r="S465" i="16"/>
  <c r="R465" i="16"/>
  <c r="Q465" i="16"/>
  <c r="P465" i="16"/>
  <c r="O465" i="16"/>
  <c r="N465" i="16"/>
  <c r="M465" i="16"/>
  <c r="L465" i="16"/>
  <c r="K465" i="16"/>
  <c r="J465" i="16"/>
  <c r="I465" i="16"/>
  <c r="H465" i="16"/>
  <c r="G465" i="16"/>
  <c r="DC456" i="16"/>
  <c r="DB456" i="16"/>
  <c r="CZ456" i="16"/>
  <c r="CX456" i="16"/>
  <c r="CV456" i="16"/>
  <c r="CU456" i="16"/>
  <c r="CS456" i="16"/>
  <c r="CR456" i="16"/>
  <c r="CO456" i="16"/>
  <c r="CI456" i="16"/>
  <c r="CH456" i="16"/>
  <c r="CG456" i="16"/>
  <c r="CF456" i="16"/>
  <c r="CE456" i="16"/>
  <c r="CD456" i="16"/>
  <c r="CB456" i="16"/>
  <c r="CA456" i="16"/>
  <c r="BX456" i="16"/>
  <c r="BU456" i="16"/>
  <c r="BT456" i="16"/>
  <c r="BS456" i="16"/>
  <c r="BR456" i="16"/>
  <c r="BQ456" i="16"/>
  <c r="BP456" i="16"/>
  <c r="BM456" i="16"/>
  <c r="BG456" i="16"/>
  <c r="BF456" i="16"/>
  <c r="BE456" i="16"/>
  <c r="BC456" i="16"/>
  <c r="BB456" i="16"/>
  <c r="AY456" i="16"/>
  <c r="AX456" i="16"/>
  <c r="AV456" i="16"/>
  <c r="AR456" i="16"/>
  <c r="AQ456" i="16"/>
  <c r="AO456" i="16"/>
  <c r="AN456" i="16"/>
  <c r="AM456" i="16"/>
  <c r="AK456" i="16"/>
  <c r="AJ456" i="16"/>
  <c r="AI456" i="16"/>
  <c r="AE456" i="16"/>
  <c r="AD456" i="16"/>
  <c r="AC456" i="16"/>
  <c r="AA456" i="16"/>
  <c r="Z456" i="16"/>
  <c r="W456" i="16"/>
  <c r="DC455" i="16"/>
  <c r="DB455" i="16"/>
  <c r="DA455" i="16"/>
  <c r="CZ455" i="16"/>
  <c r="CY455" i="16"/>
  <c r="CX455" i="16"/>
  <c r="CW455" i="16"/>
  <c r="CV455" i="16"/>
  <c r="CU455" i="16"/>
  <c r="CT455" i="16"/>
  <c r="CS455" i="16"/>
  <c r="CR455" i="16"/>
  <c r="CQ455" i="16"/>
  <c r="CP455" i="16"/>
  <c r="CO455" i="16"/>
  <c r="CN455" i="16"/>
  <c r="CM455" i="16"/>
  <c r="CL455" i="16"/>
  <c r="CK455" i="16"/>
  <c r="CJ455" i="16"/>
  <c r="CI455" i="16"/>
  <c r="CH455" i="16"/>
  <c r="CG455" i="16"/>
  <c r="CF455" i="16"/>
  <c r="CE455" i="16"/>
  <c r="CD455" i="16"/>
  <c r="CC455" i="16"/>
  <c r="CB455" i="16"/>
  <c r="CA455" i="16"/>
  <c r="BZ455" i="16"/>
  <c r="BY455" i="16"/>
  <c r="BX455" i="16"/>
  <c r="BW455" i="16"/>
  <c r="BV455" i="16"/>
  <c r="BU455" i="16"/>
  <c r="BT455" i="16"/>
  <c r="BS455" i="16"/>
  <c r="BR455" i="16"/>
  <c r="BQ455" i="16"/>
  <c r="BP455" i="16"/>
  <c r="BO455" i="16"/>
  <c r="BN455" i="16"/>
  <c r="BM455" i="16"/>
  <c r="BL455" i="16"/>
  <c r="BK455" i="16"/>
  <c r="BJ455" i="16"/>
  <c r="BI455" i="16"/>
  <c r="BH455" i="16"/>
  <c r="BG455" i="16"/>
  <c r="BF455" i="16"/>
  <c r="BE455" i="16"/>
  <c r="BD455" i="16"/>
  <c r="BC455" i="16"/>
  <c r="BB455" i="16"/>
  <c r="BA455" i="16"/>
  <c r="AZ455" i="16"/>
  <c r="AY455" i="16"/>
  <c r="AX455" i="16"/>
  <c r="AW455" i="16"/>
  <c r="AV455" i="16"/>
  <c r="AU455" i="16"/>
  <c r="AT455" i="16"/>
  <c r="AS455" i="16"/>
  <c r="AR455" i="16"/>
  <c r="AQ455" i="16"/>
  <c r="AP455" i="16"/>
  <c r="AO455" i="16"/>
  <c r="AN455" i="16"/>
  <c r="AM455" i="16"/>
  <c r="AL455" i="16"/>
  <c r="AK455" i="16"/>
  <c r="AJ455" i="16"/>
  <c r="AI455" i="16"/>
  <c r="AH455" i="16"/>
  <c r="AG455" i="16"/>
  <c r="AF455" i="16"/>
  <c r="AE455" i="16"/>
  <c r="AD455" i="16"/>
  <c r="AC455" i="16"/>
  <c r="AB455" i="16"/>
  <c r="AA455" i="16"/>
  <c r="Z455" i="16"/>
  <c r="Y455" i="16"/>
  <c r="X455" i="16"/>
  <c r="W455" i="16"/>
  <c r="V455" i="16"/>
  <c r="U455" i="16"/>
  <c r="T455" i="16"/>
  <c r="S455" i="16"/>
  <c r="R455" i="16"/>
  <c r="Q455" i="16"/>
  <c r="P455" i="16"/>
  <c r="O455" i="16"/>
  <c r="N455" i="16"/>
  <c r="M455" i="16"/>
  <c r="L455" i="16"/>
  <c r="K455" i="16"/>
  <c r="J455" i="16"/>
  <c r="I455" i="16"/>
  <c r="H455" i="16"/>
  <c r="G455" i="16"/>
  <c r="DC452" i="16"/>
  <c r="DB452" i="16"/>
  <c r="CZ452" i="16"/>
  <c r="CW452" i="16"/>
  <c r="CV452" i="16"/>
  <c r="CU452" i="16"/>
  <c r="CR452" i="16"/>
  <c r="CO452" i="16"/>
  <c r="CN452" i="16"/>
  <c r="CL452" i="16"/>
  <c r="CK452" i="16"/>
  <c r="CI452" i="16"/>
  <c r="CH452" i="16"/>
  <c r="CD452" i="16"/>
  <c r="CC452" i="16"/>
  <c r="CA452" i="16"/>
  <c r="BZ452" i="16"/>
  <c r="BY452" i="16"/>
  <c r="BX452" i="16"/>
  <c r="BW452" i="16"/>
  <c r="BV452" i="16"/>
  <c r="BU452" i="16"/>
  <c r="BT452" i="16"/>
  <c r="BS452" i="16"/>
  <c r="BO452" i="16"/>
  <c r="BL452" i="16"/>
  <c r="BJ452" i="16"/>
  <c r="BG452" i="16"/>
  <c r="BF452" i="16"/>
  <c r="AZ452" i="16"/>
  <c r="AY452" i="16"/>
  <c r="AW452" i="16"/>
  <c r="AV452" i="16"/>
  <c r="AU452" i="16"/>
  <c r="AS452" i="16"/>
  <c r="AR452" i="16"/>
  <c r="AN452" i="16"/>
  <c r="AK452" i="16"/>
  <c r="AJ452" i="16"/>
  <c r="AH452" i="16"/>
  <c r="AG452" i="16"/>
  <c r="AF452" i="16"/>
  <c r="AE452" i="16"/>
  <c r="AD452" i="16"/>
  <c r="AC452" i="16"/>
  <c r="Z452" i="16"/>
  <c r="Y452" i="16"/>
  <c r="T452" i="16"/>
  <c r="N452" i="16"/>
  <c r="K452" i="16"/>
  <c r="DB348" i="16"/>
  <c r="DA348" i="16"/>
  <c r="CZ348" i="16"/>
  <c r="CW348" i="16"/>
  <c r="CT348" i="16"/>
  <c r="CS348" i="16"/>
  <c r="CN348" i="16"/>
  <c r="CM348" i="16"/>
  <c r="CL348" i="16"/>
  <c r="CH348" i="16"/>
  <c r="CG348" i="16"/>
  <c r="CE348" i="16"/>
  <c r="CD348" i="16"/>
  <c r="BZ348" i="16"/>
  <c r="BY348" i="16"/>
  <c r="BX348" i="16"/>
  <c r="BU348" i="16"/>
  <c r="BQ348" i="16"/>
  <c r="BL348" i="16"/>
  <c r="BK348" i="16"/>
  <c r="BJ348" i="16"/>
  <c r="BF348" i="16"/>
  <c r="BC348" i="16"/>
  <c r="BB348" i="16"/>
  <c r="AX348" i="16"/>
  <c r="AW348" i="16"/>
  <c r="AV348" i="16"/>
  <c r="AR348" i="16"/>
  <c r="AO348" i="16"/>
  <c r="AN348" i="16"/>
  <c r="AJ348" i="16"/>
  <c r="AI348" i="16"/>
  <c r="AH348" i="16"/>
  <c r="AE348" i="16"/>
  <c r="AD348" i="16"/>
  <c r="AA348" i="16"/>
  <c r="V348" i="16"/>
  <c r="U348" i="16"/>
  <c r="T348" i="16"/>
  <c r="P348" i="16"/>
  <c r="O348" i="16"/>
  <c r="M348" i="16"/>
  <c r="L348" i="16"/>
  <c r="H348" i="16"/>
  <c r="G348" i="16"/>
  <c r="DC347" i="16"/>
  <c r="DB347" i="16"/>
  <c r="DA347" i="16"/>
  <c r="CZ347" i="16"/>
  <c r="CY347" i="16"/>
  <c r="CX347" i="16"/>
  <c r="CV347" i="16"/>
  <c r="CU347" i="16"/>
  <c r="CO347" i="16"/>
  <c r="CN347" i="16"/>
  <c r="CM347" i="16"/>
  <c r="CL347" i="16"/>
  <c r="CH347" i="16"/>
  <c r="CA347" i="16"/>
  <c r="BZ347" i="16"/>
  <c r="BY347" i="16"/>
  <c r="BX347" i="16"/>
  <c r="BW347" i="16"/>
  <c r="BV347" i="16"/>
  <c r="BU347" i="16"/>
  <c r="BM347" i="16"/>
  <c r="BL347" i="16"/>
  <c r="BK347" i="16"/>
  <c r="BJ347" i="16"/>
  <c r="BI347" i="16"/>
  <c r="BH347" i="16"/>
  <c r="BG347" i="16"/>
  <c r="AY347" i="16"/>
  <c r="AX347" i="16"/>
  <c r="AW347" i="16"/>
  <c r="AV347" i="16"/>
  <c r="AR347" i="16"/>
  <c r="AK347" i="16"/>
  <c r="AJ347" i="16"/>
  <c r="AI347" i="16"/>
  <c r="AH347" i="16"/>
  <c r="AG347" i="16"/>
  <c r="W347" i="16"/>
  <c r="V347" i="16"/>
  <c r="U347" i="16"/>
  <c r="T347" i="16"/>
  <c r="S347" i="16"/>
  <c r="R347" i="16"/>
  <c r="P347" i="16"/>
  <c r="O347" i="16"/>
  <c r="N347" i="16"/>
  <c r="I347" i="16"/>
  <c r="H347" i="16"/>
  <c r="G347" i="16"/>
  <c r="CZ344" i="16"/>
  <c r="CY344" i="16"/>
  <c r="CX344" i="16"/>
  <c r="CW344" i="16"/>
  <c r="CL344" i="16"/>
  <c r="CK344" i="16"/>
  <c r="CJ344" i="16"/>
  <c r="CI344" i="16"/>
  <c r="BX344" i="16"/>
  <c r="BW344" i="16"/>
  <c r="BV344" i="16"/>
  <c r="BU344" i="16"/>
  <c r="BJ344" i="16"/>
  <c r="BI344" i="16"/>
  <c r="BH344" i="16"/>
  <c r="BG344" i="16"/>
  <c r="AV344" i="16"/>
  <c r="AU344" i="16"/>
  <c r="AT344" i="16"/>
  <c r="AS344" i="16"/>
  <c r="AH344" i="16"/>
  <c r="AG344" i="16"/>
  <c r="AF344" i="16"/>
  <c r="AE344" i="16"/>
  <c r="N344" i="16"/>
  <c r="K344" i="16"/>
  <c r="DC343" i="16"/>
  <c r="DB343" i="16"/>
  <c r="CZ343" i="16"/>
  <c r="CN343" i="16"/>
  <c r="CL343" i="16"/>
  <c r="CK343" i="16"/>
  <c r="BZ343" i="16"/>
  <c r="BX343" i="16"/>
  <c r="BW343" i="16"/>
  <c r="BL343" i="16"/>
  <c r="BJ343" i="16"/>
  <c r="BI343" i="16"/>
  <c r="AX343" i="16"/>
  <c r="AV343" i="16"/>
  <c r="AU343" i="16"/>
  <c r="AO343" i="16"/>
  <c r="AN343" i="16"/>
  <c r="AJ343" i="16"/>
  <c r="AH343" i="16"/>
  <c r="AG343" i="16"/>
  <c r="V343" i="16"/>
  <c r="T343" i="16"/>
  <c r="S343" i="16"/>
  <c r="M343" i="16"/>
  <c r="L343" i="16"/>
  <c r="I343" i="16"/>
  <c r="H343" i="16"/>
  <c r="G343" i="16"/>
  <c r="DC337" i="16"/>
  <c r="DB337" i="16"/>
  <c r="DA337" i="16"/>
  <c r="CZ337" i="16"/>
  <c r="CY337" i="16"/>
  <c r="CX337" i="16"/>
  <c r="CV337" i="16"/>
  <c r="CU337" i="16"/>
  <c r="CT337" i="16"/>
  <c r="CR337" i="16"/>
  <c r="CO337" i="16"/>
  <c r="CN337" i="16"/>
  <c r="CM337" i="16"/>
  <c r="CL337" i="16"/>
  <c r="CK337" i="16"/>
  <c r="CJ337" i="16"/>
  <c r="CH337" i="16"/>
  <c r="CG337" i="16"/>
  <c r="CF337" i="16"/>
  <c r="CD337" i="16"/>
  <c r="CA337" i="16"/>
  <c r="BZ337" i="16"/>
  <c r="BY337" i="16"/>
  <c r="BX337" i="16"/>
  <c r="BW337" i="16"/>
  <c r="BV337" i="16"/>
  <c r="BT337" i="16"/>
  <c r="BS337" i="16"/>
  <c r="BR337" i="16"/>
  <c r="BP337" i="16"/>
  <c r="BM337" i="16"/>
  <c r="BL337" i="16"/>
  <c r="BK337" i="16"/>
  <c r="BJ337" i="16"/>
  <c r="BI337" i="16"/>
  <c r="BH337" i="16"/>
  <c r="BF337" i="16"/>
  <c r="BE337" i="16"/>
  <c r="BD337" i="16"/>
  <c r="BB337" i="16"/>
  <c r="AY337" i="16"/>
  <c r="AX337" i="16"/>
  <c r="AW337" i="16"/>
  <c r="AV337" i="16"/>
  <c r="AU337" i="16"/>
  <c r="AT337" i="16"/>
  <c r="AR337" i="16"/>
  <c r="AQ337" i="16"/>
  <c r="AP337" i="16"/>
  <c r="AN337" i="16"/>
  <c r="AK337" i="16"/>
  <c r="AJ337" i="16"/>
  <c r="AI337" i="16"/>
  <c r="AH337" i="16"/>
  <c r="AG337" i="16"/>
  <c r="AF337" i="16"/>
  <c r="AD337" i="16"/>
  <c r="AC337" i="16"/>
  <c r="AB337" i="16"/>
  <c r="Z337" i="16"/>
  <c r="W337" i="16"/>
  <c r="V337" i="16"/>
  <c r="U337" i="16"/>
  <c r="T337" i="16"/>
  <c r="S337" i="16"/>
  <c r="R337" i="16"/>
  <c r="P337" i="16"/>
  <c r="O337" i="16"/>
  <c r="N337" i="16"/>
  <c r="L337" i="16"/>
  <c r="I337" i="16"/>
  <c r="H337" i="16"/>
  <c r="G337" i="16"/>
  <c r="DC336" i="16"/>
  <c r="DB336" i="16"/>
  <c r="DA336" i="16"/>
  <c r="CZ336" i="16"/>
  <c r="CY336" i="16"/>
  <c r="CX336" i="16"/>
  <c r="CW336" i="16"/>
  <c r="CV336" i="16"/>
  <c r="CU336" i="16"/>
  <c r="CO336" i="16"/>
  <c r="CN336" i="16"/>
  <c r="CM336" i="16"/>
  <c r="CL336" i="16"/>
  <c r="CK336" i="16"/>
  <c r="CJ336" i="16"/>
  <c r="CI336" i="16"/>
  <c r="CH336" i="16"/>
  <c r="CG336" i="16"/>
  <c r="CA336" i="16"/>
  <c r="BZ336" i="16"/>
  <c r="BY336" i="16"/>
  <c r="BX336" i="16"/>
  <c r="BW336" i="16"/>
  <c r="BV336" i="16"/>
  <c r="BU336" i="16"/>
  <c r="BT336" i="16"/>
  <c r="BS336" i="16"/>
  <c r="BM336" i="16"/>
  <c r="BL336" i="16"/>
  <c r="BK336" i="16"/>
  <c r="BJ336" i="16"/>
  <c r="BI336" i="16"/>
  <c r="BH336" i="16"/>
  <c r="BG336" i="16"/>
  <c r="BF336" i="16"/>
  <c r="BE336" i="16"/>
  <c r="AY336" i="16"/>
  <c r="AX336" i="16"/>
  <c r="AW336" i="16"/>
  <c r="AV336" i="16"/>
  <c r="AU336" i="16"/>
  <c r="AT336" i="16"/>
  <c r="AS336" i="16"/>
  <c r="AR336" i="16"/>
  <c r="AQ336" i="16"/>
  <c r="AK336" i="16"/>
  <c r="AJ336" i="16"/>
  <c r="AI336" i="16"/>
  <c r="AH336" i="16"/>
  <c r="AG336" i="16"/>
  <c r="AF336" i="16"/>
  <c r="AE336" i="16"/>
  <c r="AD336" i="16"/>
  <c r="AC336" i="16"/>
  <c r="W336" i="16"/>
  <c r="V336" i="16"/>
  <c r="U336" i="16"/>
  <c r="T336" i="16"/>
  <c r="S336" i="16"/>
  <c r="R336" i="16"/>
  <c r="Q336" i="16"/>
  <c r="P336" i="16"/>
  <c r="O336" i="16"/>
  <c r="I336" i="16"/>
  <c r="H336" i="16"/>
  <c r="G336" i="16"/>
  <c r="DC335" i="16"/>
  <c r="DB335" i="16"/>
  <c r="DA335" i="16"/>
  <c r="CZ335" i="16"/>
  <c r="CY335" i="16"/>
  <c r="CX335" i="16"/>
  <c r="CW335" i="16"/>
  <c r="CV335" i="16"/>
  <c r="CU335" i="16"/>
  <c r="CT335" i="16"/>
  <c r="CS335" i="16"/>
  <c r="CR335" i="16"/>
  <c r="CQ335" i="16"/>
  <c r="CP335" i="16"/>
  <c r="CO335" i="16"/>
  <c r="CN335" i="16"/>
  <c r="CM335" i="16"/>
  <c r="CL335" i="16"/>
  <c r="CK335" i="16"/>
  <c r="CJ335" i="16"/>
  <c r="CI335" i="16"/>
  <c r="CH335" i="16"/>
  <c r="CG335" i="16"/>
  <c r="CF335" i="16"/>
  <c r="CE335" i="16"/>
  <c r="CD335" i="16"/>
  <c r="CC335" i="16"/>
  <c r="CB335" i="16"/>
  <c r="CA335" i="16"/>
  <c r="BZ335" i="16"/>
  <c r="BY335" i="16"/>
  <c r="BX335" i="16"/>
  <c r="BW335" i="16"/>
  <c r="BV335" i="16"/>
  <c r="BU335" i="16"/>
  <c r="BT335" i="16"/>
  <c r="BS335" i="16"/>
  <c r="BR335" i="16"/>
  <c r="BQ335" i="16"/>
  <c r="BP335" i="16"/>
  <c r="BO335" i="16"/>
  <c r="BN335" i="16"/>
  <c r="BM335" i="16"/>
  <c r="BL335" i="16"/>
  <c r="BK335" i="16"/>
  <c r="BJ335" i="16"/>
  <c r="BI335" i="16"/>
  <c r="BH335" i="16"/>
  <c r="BG335" i="16"/>
  <c r="BF335" i="16"/>
  <c r="BE335" i="16"/>
  <c r="BD335" i="16"/>
  <c r="BC335" i="16"/>
  <c r="BB335" i="16"/>
  <c r="BA335" i="16"/>
  <c r="AZ335" i="16"/>
  <c r="AY335" i="16"/>
  <c r="AX335" i="16"/>
  <c r="AW335" i="16"/>
  <c r="AV335" i="16"/>
  <c r="AU335" i="16"/>
  <c r="AT335" i="16"/>
  <c r="AS335" i="16"/>
  <c r="AR335" i="16"/>
  <c r="AQ335" i="16"/>
  <c r="AP335" i="16"/>
  <c r="AO335" i="16"/>
  <c r="AN335" i="16"/>
  <c r="AM335" i="16"/>
  <c r="AL335" i="16"/>
  <c r="AK335" i="16"/>
  <c r="AJ335" i="16"/>
  <c r="AI335" i="16"/>
  <c r="AH335" i="16"/>
  <c r="AG335" i="16"/>
  <c r="AF335" i="16"/>
  <c r="AE335" i="16"/>
  <c r="AD335" i="16"/>
  <c r="AC335" i="16"/>
  <c r="AB335" i="16"/>
  <c r="AA335" i="16"/>
  <c r="Z335" i="16"/>
  <c r="Y335" i="16"/>
  <c r="X335" i="16"/>
  <c r="W335" i="16"/>
  <c r="V335" i="16"/>
  <c r="U335" i="16"/>
  <c r="T335" i="16"/>
  <c r="S335" i="16"/>
  <c r="R335" i="16"/>
  <c r="Q335" i="16"/>
  <c r="P335" i="16"/>
  <c r="O335" i="16"/>
  <c r="N335" i="16"/>
  <c r="M335" i="16"/>
  <c r="L335" i="16"/>
  <c r="K335" i="16"/>
  <c r="J335" i="16"/>
  <c r="I335" i="16"/>
  <c r="H335" i="16"/>
  <c r="G335" i="16"/>
  <c r="DC334" i="16"/>
  <c r="DB334" i="16"/>
  <c r="DA334" i="16"/>
  <c r="CZ334" i="16"/>
  <c r="CY334" i="16"/>
  <c r="CV334" i="16"/>
  <c r="CO334" i="16"/>
  <c r="CN334" i="16"/>
  <c r="CM334" i="16"/>
  <c r="CL334" i="16"/>
  <c r="CK334" i="16"/>
  <c r="CH334" i="16"/>
  <c r="CA334" i="16"/>
  <c r="BZ334" i="16"/>
  <c r="BY334" i="16"/>
  <c r="BX334" i="16"/>
  <c r="BW334" i="16"/>
  <c r="BT334" i="16"/>
  <c r="BM334" i="16"/>
  <c r="BM338" i="16" s="1"/>
  <c r="BL334" i="16"/>
  <c r="BK334" i="16"/>
  <c r="BJ334" i="16"/>
  <c r="BI334" i="16"/>
  <c r="BF334" i="16"/>
  <c r="AY334" i="16"/>
  <c r="AX334" i="16"/>
  <c r="AW334" i="16"/>
  <c r="AV334" i="16"/>
  <c r="AU334" i="16"/>
  <c r="AR334" i="16"/>
  <c r="AK334" i="16"/>
  <c r="AK338" i="16" s="1"/>
  <c r="AJ334" i="16"/>
  <c r="AI334" i="16"/>
  <c r="AH334" i="16"/>
  <c r="AG334" i="16"/>
  <c r="AD334" i="16"/>
  <c r="W334" i="16"/>
  <c r="V334" i="16"/>
  <c r="U334" i="16"/>
  <c r="T334" i="16"/>
  <c r="S334" i="16"/>
  <c r="P334" i="16"/>
  <c r="I334" i="16"/>
  <c r="H334" i="16"/>
  <c r="G334" i="16"/>
  <c r="DC332" i="16"/>
  <c r="DA332" i="16"/>
  <c r="CZ332" i="16"/>
  <c r="CY332" i="16"/>
  <c r="CX332" i="16"/>
  <c r="CT332" i="16"/>
  <c r="CO332" i="16"/>
  <c r="CM332" i="16"/>
  <c r="CL332" i="16"/>
  <c r="CK332" i="16"/>
  <c r="CJ332" i="16"/>
  <c r="CF332" i="16"/>
  <c r="CA332" i="16"/>
  <c r="BY332" i="16"/>
  <c r="BX332" i="16"/>
  <c r="BW332" i="16"/>
  <c r="BV332" i="16"/>
  <c r="BR332" i="16"/>
  <c r="BM332" i="16"/>
  <c r="BK332" i="16"/>
  <c r="BJ332" i="16"/>
  <c r="BH332" i="16"/>
  <c r="BD332" i="16"/>
  <c r="AY332" i="16"/>
  <c r="AW332" i="16"/>
  <c r="AV332" i="16"/>
  <c r="AU332" i="16"/>
  <c r="AT332" i="16"/>
  <c r="AP332" i="16"/>
  <c r="AK332" i="16"/>
  <c r="AI332" i="16"/>
  <c r="AH332" i="16"/>
  <c r="AG332" i="16"/>
  <c r="AF332" i="16"/>
  <c r="AD332" i="16"/>
  <c r="AB332" i="16"/>
  <c r="W332" i="16"/>
  <c r="Q332" i="16"/>
  <c r="K332" i="16"/>
  <c r="DC331" i="16"/>
  <c r="DB331" i="16"/>
  <c r="DA331" i="16"/>
  <c r="CZ331" i="16"/>
  <c r="CY331" i="16"/>
  <c r="CX331" i="16"/>
  <c r="CV331" i="16"/>
  <c r="CO331" i="16"/>
  <c r="CN331" i="16"/>
  <c r="CM331" i="16"/>
  <c r="CL331" i="16"/>
  <c r="CK331" i="16"/>
  <c r="CJ331" i="16"/>
  <c r="CH331" i="16"/>
  <c r="CG331" i="16"/>
  <c r="CA331" i="16"/>
  <c r="BZ331" i="16"/>
  <c r="BY331" i="16"/>
  <c r="BX331" i="16"/>
  <c r="BW331" i="16"/>
  <c r="BV331" i="16"/>
  <c r="BT331" i="16"/>
  <c r="BS331" i="16"/>
  <c r="BM331" i="16"/>
  <c r="BL331" i="16"/>
  <c r="BK331" i="16"/>
  <c r="BJ331" i="16"/>
  <c r="BH331" i="16"/>
  <c r="BF331" i="16"/>
  <c r="BE331" i="16"/>
  <c r="BD331" i="16"/>
  <c r="AY331" i="16"/>
  <c r="AX331" i="16"/>
  <c r="AW331" i="16"/>
  <c r="AV331" i="16"/>
  <c r="AT331" i="16"/>
  <c r="AS331" i="16"/>
  <c r="AR331" i="16"/>
  <c r="AK331" i="16"/>
  <c r="AJ331" i="16"/>
  <c r="AI331" i="16"/>
  <c r="AH331" i="16"/>
  <c r="AF331" i="16"/>
  <c r="AE331" i="16"/>
  <c r="AD331" i="16"/>
  <c r="W331" i="16"/>
  <c r="V331" i="16"/>
  <c r="U331" i="16"/>
  <c r="T331" i="16"/>
  <c r="R331" i="16"/>
  <c r="P331" i="16"/>
  <c r="O331" i="16"/>
  <c r="I331" i="16"/>
  <c r="H331" i="16"/>
  <c r="G331" i="16"/>
  <c r="DB328" i="16"/>
  <c r="DA328" i="16"/>
  <c r="CA328" i="16"/>
  <c r="BX328" i="16"/>
  <c r="AY328" i="16"/>
  <c r="AX328" i="16"/>
  <c r="AW328" i="16"/>
  <c r="AT328" i="16"/>
  <c r="AF328" i="16"/>
  <c r="W328" i="16"/>
  <c r="V328" i="16"/>
  <c r="R328" i="16"/>
  <c r="BY325" i="16"/>
  <c r="BK325" i="16"/>
  <c r="AT325" i="16"/>
  <c r="DC324" i="16"/>
  <c r="DB324" i="16"/>
  <c r="DA324" i="16"/>
  <c r="CO324" i="16"/>
  <c r="CM324" i="16"/>
  <c r="BZ324" i="16"/>
  <c r="BM324" i="16"/>
  <c r="AK324" i="16"/>
  <c r="W324" i="16"/>
  <c r="V324" i="16"/>
  <c r="L324" i="16"/>
  <c r="DC323" i="16"/>
  <c r="DC328" i="16" s="1"/>
  <c r="DB323" i="16"/>
  <c r="DB317" i="16" s="1"/>
  <c r="DA323" i="16"/>
  <c r="DA325" i="16" s="1"/>
  <c r="CZ323" i="16"/>
  <c r="CZ328" i="16" s="1"/>
  <c r="CX323" i="16"/>
  <c r="CW323" i="16"/>
  <c r="CV323" i="16"/>
  <c r="CV328" i="16" s="1"/>
  <c r="CS323" i="16"/>
  <c r="CR323" i="16"/>
  <c r="CO323" i="16"/>
  <c r="CO328" i="16" s="1"/>
  <c r="CN323" i="16"/>
  <c r="CN328" i="16" s="1"/>
  <c r="CM323" i="16"/>
  <c r="CM328" i="16" s="1"/>
  <c r="CL323" i="16"/>
  <c r="CL328" i="16" s="1"/>
  <c r="CJ323" i="16"/>
  <c r="CI323" i="16"/>
  <c r="CI317" i="16" s="1"/>
  <c r="CH323" i="16"/>
  <c r="CH325" i="16" s="1"/>
  <c r="CE323" i="16"/>
  <c r="CD323" i="16"/>
  <c r="CA323" i="16"/>
  <c r="CA324" i="16" s="1"/>
  <c r="BZ323" i="16"/>
  <c r="BZ317" i="16" s="1"/>
  <c r="BY323" i="16"/>
  <c r="BY317" i="16" s="1"/>
  <c r="BY319" i="16" s="1"/>
  <c r="BX323" i="16"/>
  <c r="BV323" i="16"/>
  <c r="BU323" i="16"/>
  <c r="BT323" i="16"/>
  <c r="BT317" i="16" s="1"/>
  <c r="BQ323" i="16"/>
  <c r="BP323" i="16"/>
  <c r="BM323" i="16"/>
  <c r="BM328" i="16" s="1"/>
  <c r="BL323" i="16"/>
  <c r="BL324" i="16" s="1"/>
  <c r="BK323" i="16"/>
  <c r="BK324" i="16" s="1"/>
  <c r="BJ323" i="16"/>
  <c r="BJ328" i="16" s="1"/>
  <c r="BH323" i="16"/>
  <c r="BF323" i="16"/>
  <c r="BF325" i="16" s="1"/>
  <c r="BC323" i="16"/>
  <c r="BB323" i="16"/>
  <c r="AY323" i="16"/>
  <c r="AY324" i="16" s="1"/>
  <c r="AX323" i="16"/>
  <c r="AX324" i="16" s="1"/>
  <c r="AW323" i="16"/>
  <c r="AW324" i="16" s="1"/>
  <c r="AV323" i="16"/>
  <c r="AV328" i="16" s="1"/>
  <c r="AT323" i="16"/>
  <c r="AR323" i="16"/>
  <c r="AR324" i="16" s="1"/>
  <c r="AO323" i="16"/>
  <c r="AN323" i="16"/>
  <c r="AK323" i="16"/>
  <c r="AK328" i="16" s="1"/>
  <c r="AJ323" i="16"/>
  <c r="AJ328" i="16" s="1"/>
  <c r="AI323" i="16"/>
  <c r="AI325" i="16" s="1"/>
  <c r="AH323" i="16"/>
  <c r="AH328" i="16" s="1"/>
  <c r="AF323" i="16"/>
  <c r="AE323" i="16"/>
  <c r="AD323" i="16"/>
  <c r="AD328" i="16" s="1"/>
  <c r="AA323" i="16"/>
  <c r="AA328" i="16" s="1"/>
  <c r="Z323" i="16"/>
  <c r="W323" i="16"/>
  <c r="W317" i="16" s="1"/>
  <c r="V323" i="16"/>
  <c r="V317" i="16" s="1"/>
  <c r="U323" i="16"/>
  <c r="U317" i="16" s="1"/>
  <c r="T323" i="16"/>
  <c r="T328" i="16" s="1"/>
  <c r="R323" i="16"/>
  <c r="Q323" i="16"/>
  <c r="Q328" i="16" s="1"/>
  <c r="P323" i="16"/>
  <c r="P317" i="16" s="1"/>
  <c r="M323" i="16"/>
  <c r="M328" i="16" s="1"/>
  <c r="L323" i="16"/>
  <c r="L328" i="16" s="1"/>
  <c r="I323" i="16"/>
  <c r="I324" i="16" s="1"/>
  <c r="H323" i="16"/>
  <c r="H324" i="16" s="1"/>
  <c r="G323" i="16"/>
  <c r="G317" i="16" s="1"/>
  <c r="G316" i="16" s="1"/>
  <c r="DC317" i="16"/>
  <c r="CN317" i="16"/>
  <c r="CM317" i="16"/>
  <c r="CM318" i="16" s="1"/>
  <c r="CA317" i="16"/>
  <c r="CA316" i="16" s="1"/>
  <c r="BM317" i="16"/>
  <c r="BM316" i="16" s="1"/>
  <c r="AY317" i="16"/>
  <c r="AY318" i="16" s="1"/>
  <c r="AX317" i="16"/>
  <c r="AW317" i="16"/>
  <c r="AJ317" i="16"/>
  <c r="AI317" i="16"/>
  <c r="DC309" i="16"/>
  <c r="DB309" i="16"/>
  <c r="CZ309" i="16"/>
  <c r="CS309" i="16"/>
  <c r="CR309" i="16"/>
  <c r="CP309" i="16"/>
  <c r="CO309" i="16"/>
  <c r="CN309" i="16"/>
  <c r="CL309" i="16"/>
  <c r="CE309" i="16"/>
  <c r="CD309" i="16"/>
  <c r="CB309" i="16"/>
  <c r="CA309" i="16"/>
  <c r="BZ309" i="16"/>
  <c r="BX309" i="16"/>
  <c r="BQ309" i="16"/>
  <c r="BP309" i="16"/>
  <c r="BN309" i="16"/>
  <c r="BM309" i="16"/>
  <c r="BL309" i="16"/>
  <c r="BJ309" i="16"/>
  <c r="BC309" i="16"/>
  <c r="BB309" i="16"/>
  <c r="AZ309" i="16"/>
  <c r="AY309" i="16"/>
  <c r="AX309" i="16"/>
  <c r="AV309" i="16"/>
  <c r="AO309" i="16"/>
  <c r="AN309" i="16"/>
  <c r="AL309" i="16"/>
  <c r="AK309" i="16"/>
  <c r="AJ309" i="16"/>
  <c r="AH309" i="16"/>
  <c r="AA309" i="16"/>
  <c r="Z309" i="16"/>
  <c r="X309" i="16"/>
  <c r="W309" i="16"/>
  <c r="T309" i="16"/>
  <c r="DC308" i="16"/>
  <c r="DB308" i="16"/>
  <c r="DA308" i="16"/>
  <c r="CZ308" i="16"/>
  <c r="CY308" i="16"/>
  <c r="CX308" i="16"/>
  <c r="CW308" i="16"/>
  <c r="CO308" i="16"/>
  <c r="CN308" i="16"/>
  <c r="CM308" i="16"/>
  <c r="CL308" i="16"/>
  <c r="CA308" i="16"/>
  <c r="BZ308" i="16"/>
  <c r="BY308" i="16"/>
  <c r="BX308" i="16"/>
  <c r="BW308" i="16"/>
  <c r="BV308" i="16"/>
  <c r="BU308" i="16"/>
  <c r="BM308" i="16"/>
  <c r="BL308" i="16"/>
  <c r="BK308" i="16"/>
  <c r="BJ308" i="16"/>
  <c r="AY308" i="16"/>
  <c r="AX308" i="16"/>
  <c r="AW308" i="16"/>
  <c r="AV308" i="16"/>
  <c r="AU308" i="16"/>
  <c r="AT308" i="16"/>
  <c r="AS308" i="16"/>
  <c r="AK308" i="16"/>
  <c r="AJ308" i="16"/>
  <c r="AI308" i="16"/>
  <c r="AH308" i="16"/>
  <c r="W308" i="16"/>
  <c r="V308" i="16"/>
  <c r="U308" i="16"/>
  <c r="T308" i="16"/>
  <c r="S308" i="16"/>
  <c r="R308" i="16"/>
  <c r="I308" i="16"/>
  <c r="H308" i="16"/>
  <c r="G308" i="16"/>
  <c r="DA305" i="16"/>
  <c r="CZ305" i="16"/>
  <c r="CW305" i="16"/>
  <c r="CQ305" i="16"/>
  <c r="CM305" i="16"/>
  <c r="CL305" i="16"/>
  <c r="CI305" i="16"/>
  <c r="CC305" i="16"/>
  <c r="BY305" i="16"/>
  <c r="BX305" i="16"/>
  <c r="BU305" i="16"/>
  <c r="BO305" i="16"/>
  <c r="BK305" i="16"/>
  <c r="BJ305" i="16"/>
  <c r="BG305" i="16"/>
  <c r="BA305" i="16"/>
  <c r="AW305" i="16"/>
  <c r="AV305" i="16"/>
  <c r="AS305" i="16"/>
  <c r="AM305" i="16"/>
  <c r="AI305" i="16"/>
  <c r="AH305" i="16"/>
  <c r="AE305" i="16"/>
  <c r="Y305" i="16"/>
  <c r="Q305" i="16"/>
  <c r="N305" i="16"/>
  <c r="DC201" i="16"/>
  <c r="DB201" i="16"/>
  <c r="CW201" i="16"/>
  <c r="CV201" i="16"/>
  <c r="CS201" i="16"/>
  <c r="CO201" i="16"/>
  <c r="CN201" i="16"/>
  <c r="CI201" i="16"/>
  <c r="CH201" i="16"/>
  <c r="CE201" i="16"/>
  <c r="CD201" i="16"/>
  <c r="CC201" i="16"/>
  <c r="CA201" i="16"/>
  <c r="BZ201" i="16"/>
  <c r="BY201" i="16"/>
  <c r="BX201" i="16"/>
  <c r="BU201" i="16"/>
  <c r="BT201" i="16"/>
  <c r="BQ201" i="16"/>
  <c r="BP201" i="16"/>
  <c r="BO201" i="16"/>
  <c r="BN201" i="16"/>
  <c r="BM201" i="16"/>
  <c r="BL201" i="16"/>
  <c r="BK201" i="16"/>
  <c r="BJ201" i="16"/>
  <c r="BG201" i="16"/>
  <c r="BF201" i="16"/>
  <c r="BC201" i="16"/>
  <c r="BB201" i="16"/>
  <c r="BA201" i="16"/>
  <c r="AZ201" i="16"/>
  <c r="AY201" i="16"/>
  <c r="AX201" i="16"/>
  <c r="AW201" i="16"/>
  <c r="AV201" i="16"/>
  <c r="AS201" i="16"/>
  <c r="AR201" i="16"/>
  <c r="AO201" i="16"/>
  <c r="AN201" i="16"/>
  <c r="AK201" i="16"/>
  <c r="AJ201" i="16"/>
  <c r="AI201" i="16"/>
  <c r="AH201" i="16"/>
  <c r="AE201" i="16"/>
  <c r="AD201" i="16"/>
  <c r="AA201" i="16"/>
  <c r="Z201" i="16"/>
  <c r="W201" i="16"/>
  <c r="V201" i="16"/>
  <c r="Q201" i="16"/>
  <c r="P201" i="16"/>
  <c r="M201" i="16"/>
  <c r="L201" i="16"/>
  <c r="I201" i="16"/>
  <c r="H201" i="16"/>
  <c r="DC200" i="16"/>
  <c r="DA200" i="16"/>
  <c r="CY200" i="16"/>
  <c r="CS200" i="16"/>
  <c r="CO200" i="16"/>
  <c r="CM200" i="16"/>
  <c r="CK200" i="16"/>
  <c r="CE200" i="16"/>
  <c r="CA200" i="16"/>
  <c r="BY200" i="16"/>
  <c r="BQ200" i="16"/>
  <c r="BN200" i="16"/>
  <c r="BM200" i="16"/>
  <c r="BC200" i="16"/>
  <c r="AZ200" i="16"/>
  <c r="AY200" i="16"/>
  <c r="AP200" i="16"/>
  <c r="AO200" i="16"/>
  <c r="AK200" i="16"/>
  <c r="AI200" i="16"/>
  <c r="AA200" i="16"/>
  <c r="W200" i="16"/>
  <c r="U200" i="16"/>
  <c r="S200" i="16"/>
  <c r="M200" i="16"/>
  <c r="I200" i="16"/>
  <c r="G200" i="16"/>
  <c r="DC197" i="16"/>
  <c r="DB197" i="16"/>
  <c r="DA197" i="16"/>
  <c r="CZ197" i="16"/>
  <c r="CY197" i="16"/>
  <c r="CX197" i="16"/>
  <c r="CS197" i="16"/>
  <c r="CR197" i="16"/>
  <c r="CO197" i="16"/>
  <c r="CN197" i="16"/>
  <c r="CM197" i="16"/>
  <c r="CK197" i="16"/>
  <c r="CJ197" i="16"/>
  <c r="CE197" i="16"/>
  <c r="CD197" i="16"/>
  <c r="CA197" i="16"/>
  <c r="BZ197" i="16"/>
  <c r="BY197" i="16"/>
  <c r="BX197" i="16"/>
  <c r="BW197" i="16"/>
  <c r="BV197" i="16"/>
  <c r="BQ197" i="16"/>
  <c r="BP197" i="16"/>
  <c r="BM197" i="16"/>
  <c r="BL197" i="16"/>
  <c r="BK197" i="16"/>
  <c r="BJ197" i="16"/>
  <c r="BI197" i="16"/>
  <c r="BH197" i="16"/>
  <c r="BC197" i="16"/>
  <c r="BB197" i="16"/>
  <c r="AY197" i="16"/>
  <c r="AX197" i="16"/>
  <c r="AW197" i="16"/>
  <c r="AV197" i="16"/>
  <c r="AU197" i="16"/>
  <c r="AT197" i="16"/>
  <c r="AO197" i="16"/>
  <c r="AN197" i="16"/>
  <c r="AK197" i="16"/>
  <c r="AJ197" i="16"/>
  <c r="AI197" i="16"/>
  <c r="AH197" i="16"/>
  <c r="AG197" i="16"/>
  <c r="AF197" i="16"/>
  <c r="AA197" i="16"/>
  <c r="Z197" i="16"/>
  <c r="W197" i="16"/>
  <c r="T197" i="16"/>
  <c r="Q197" i="16"/>
  <c r="K197" i="16"/>
  <c r="DC196" i="16"/>
  <c r="DA196" i="16"/>
  <c r="CS196" i="16"/>
  <c r="CP196" i="16"/>
  <c r="CO196" i="16"/>
  <c r="CN196" i="16"/>
  <c r="CM196" i="16"/>
  <c r="CK196" i="16"/>
  <c r="CE196" i="16"/>
  <c r="CA196" i="16"/>
  <c r="BY196" i="16"/>
  <c r="BQ196" i="16"/>
  <c r="BN196" i="16"/>
  <c r="BM196" i="16"/>
  <c r="BL196" i="16"/>
  <c r="BK196" i="16"/>
  <c r="BI196" i="16"/>
  <c r="BC196" i="16"/>
  <c r="AY196" i="16"/>
  <c r="AW196" i="16"/>
  <c r="AO196" i="16"/>
  <c r="AL196" i="16"/>
  <c r="AK196" i="16"/>
  <c r="AJ196" i="16"/>
  <c r="AI196" i="16"/>
  <c r="AG196" i="16"/>
  <c r="AA196" i="16"/>
  <c r="W196" i="16"/>
  <c r="U196" i="16"/>
  <c r="M196" i="16"/>
  <c r="J196" i="16"/>
  <c r="I196" i="16"/>
  <c r="H196" i="16"/>
  <c r="G196" i="16"/>
  <c r="DC190" i="16"/>
  <c r="DB190" i="16"/>
  <c r="DA190" i="16"/>
  <c r="CS190" i="16"/>
  <c r="CR190" i="16"/>
  <c r="CO190" i="16"/>
  <c r="CN190" i="16"/>
  <c r="CM190" i="16"/>
  <c r="CE190" i="16"/>
  <c r="CD190" i="16"/>
  <c r="CA190" i="16"/>
  <c r="CA191" i="16" s="1"/>
  <c r="BZ190" i="16"/>
  <c r="BY190" i="16"/>
  <c r="BQ190" i="16"/>
  <c r="BP190" i="16"/>
  <c r="BM190" i="16"/>
  <c r="BL190" i="16"/>
  <c r="BK190" i="16"/>
  <c r="BC190" i="16"/>
  <c r="BB190" i="16"/>
  <c r="AY190" i="16"/>
  <c r="AY191" i="16" s="1"/>
  <c r="AX190" i="16"/>
  <c r="AW190" i="16"/>
  <c r="AO190" i="16"/>
  <c r="AN190" i="16"/>
  <c r="AK190" i="16"/>
  <c r="AK191" i="16" s="1"/>
  <c r="AJ190" i="16"/>
  <c r="AI190" i="16"/>
  <c r="AA190" i="16"/>
  <c r="Z190" i="16"/>
  <c r="W190" i="16"/>
  <c r="V190" i="16"/>
  <c r="U190" i="16"/>
  <c r="M190" i="16"/>
  <c r="L190" i="16"/>
  <c r="I190" i="16"/>
  <c r="H190" i="16"/>
  <c r="G190" i="16"/>
  <c r="DC189" i="16"/>
  <c r="DB189" i="16"/>
  <c r="DB191" i="16" s="1"/>
  <c r="DB192" i="16" s="1"/>
  <c r="DA189" i="16"/>
  <c r="CZ189" i="16"/>
  <c r="CW189" i="16"/>
  <c r="CP189" i="16"/>
  <c r="CO189" i="16"/>
  <c r="CN189" i="16"/>
  <c r="CM189" i="16"/>
  <c r="CL189" i="16"/>
  <c r="CI189" i="16"/>
  <c r="CB189" i="16"/>
  <c r="CA189" i="16"/>
  <c r="BZ189" i="16"/>
  <c r="BY189" i="16"/>
  <c r="BX189" i="16"/>
  <c r="BU189" i="16"/>
  <c r="BN189" i="16"/>
  <c r="BM189" i="16"/>
  <c r="BL189" i="16"/>
  <c r="BK189" i="16"/>
  <c r="BJ189" i="16"/>
  <c r="BG189" i="16"/>
  <c r="AZ189" i="16"/>
  <c r="AY189" i="16"/>
  <c r="AX189" i="16"/>
  <c r="AW189" i="16"/>
  <c r="AV189" i="16"/>
  <c r="AS189" i="16"/>
  <c r="AL189" i="16"/>
  <c r="AK189" i="16"/>
  <c r="AJ189" i="16"/>
  <c r="AI189" i="16"/>
  <c r="AH189" i="16"/>
  <c r="AE189" i="16"/>
  <c r="X189" i="16"/>
  <c r="W189" i="16"/>
  <c r="V189" i="16"/>
  <c r="U189" i="16"/>
  <c r="T189" i="16"/>
  <c r="Q189" i="16"/>
  <c r="J189" i="16"/>
  <c r="I189" i="16"/>
  <c r="H189" i="16"/>
  <c r="H191" i="16" s="1"/>
  <c r="H192" i="16" s="1"/>
  <c r="G189" i="16"/>
  <c r="DC188" i="16"/>
  <c r="DB188" i="16"/>
  <c r="DA188" i="16"/>
  <c r="CZ188" i="16"/>
  <c r="CY188" i="16"/>
  <c r="CX188" i="16"/>
  <c r="CW188" i="16"/>
  <c r="CV188" i="16"/>
  <c r="CU188" i="16"/>
  <c r="CT188" i="16"/>
  <c r="CS188" i="16"/>
  <c r="CR188" i="16"/>
  <c r="CQ188" i="16"/>
  <c r="CP188" i="16"/>
  <c r="CO188" i="16"/>
  <c r="CN188" i="16"/>
  <c r="CM188" i="16"/>
  <c r="CL188" i="16"/>
  <c r="CK188" i="16"/>
  <c r="CJ188" i="16"/>
  <c r="CI188" i="16"/>
  <c r="CH188" i="16"/>
  <c r="CG188" i="16"/>
  <c r="CF188" i="16"/>
  <c r="CE188" i="16"/>
  <c r="CD188" i="16"/>
  <c r="CC188" i="16"/>
  <c r="CB188" i="16"/>
  <c r="CA188" i="16"/>
  <c r="BZ188" i="16"/>
  <c r="BY188" i="16"/>
  <c r="BX188" i="16"/>
  <c r="BW188" i="16"/>
  <c r="BV188" i="16"/>
  <c r="BU188" i="16"/>
  <c r="BT188" i="16"/>
  <c r="BS188" i="16"/>
  <c r="BR188" i="16"/>
  <c r="BQ188" i="16"/>
  <c r="BP188" i="16"/>
  <c r="BO188" i="16"/>
  <c r="BN188" i="16"/>
  <c r="BM188" i="16"/>
  <c r="BL188" i="16"/>
  <c r="BK188" i="16"/>
  <c r="BJ188" i="16"/>
  <c r="BI188" i="16"/>
  <c r="BH188" i="16"/>
  <c r="BG188" i="16"/>
  <c r="BF188" i="16"/>
  <c r="BE188" i="16"/>
  <c r="BD188" i="16"/>
  <c r="BC188" i="16"/>
  <c r="BB188" i="16"/>
  <c r="BA188" i="16"/>
  <c r="AZ188" i="16"/>
  <c r="AY188" i="16"/>
  <c r="AX188" i="16"/>
  <c r="AW188" i="16"/>
  <c r="AV188" i="16"/>
  <c r="AU188" i="16"/>
  <c r="AT188" i="16"/>
  <c r="AS188" i="16"/>
  <c r="AR188" i="16"/>
  <c r="AQ188" i="16"/>
  <c r="AP188" i="16"/>
  <c r="AO188" i="16"/>
  <c r="AN188" i="16"/>
  <c r="AM188" i="16"/>
  <c r="AL188" i="16"/>
  <c r="AK188" i="16"/>
  <c r="AJ188" i="16"/>
  <c r="AI188" i="16"/>
  <c r="AH188" i="16"/>
  <c r="AG188" i="16"/>
  <c r="AF188" i="16"/>
  <c r="AE188" i="16"/>
  <c r="AD188" i="16"/>
  <c r="AC188" i="16"/>
  <c r="AB188" i="16"/>
  <c r="AA188" i="16"/>
  <c r="Z188" i="16"/>
  <c r="Y188" i="16"/>
  <c r="X188" i="16"/>
  <c r="W188" i="16"/>
  <c r="V188" i="16"/>
  <c r="U188" i="16"/>
  <c r="T188" i="16"/>
  <c r="S188" i="16"/>
  <c r="R188" i="16"/>
  <c r="Q188" i="16"/>
  <c r="P188" i="16"/>
  <c r="O188" i="16"/>
  <c r="N188" i="16"/>
  <c r="M188" i="16"/>
  <c r="L188" i="16"/>
  <c r="K188" i="16"/>
  <c r="J188" i="16"/>
  <c r="I188" i="16"/>
  <c r="H188" i="16"/>
  <c r="G188" i="16"/>
  <c r="DC187" i="16"/>
  <c r="DB187" i="16"/>
  <c r="DA187" i="16"/>
  <c r="CZ187" i="16"/>
  <c r="CY187" i="16"/>
  <c r="CV187" i="16"/>
  <c r="CU187" i="16"/>
  <c r="CT187" i="16"/>
  <c r="CS187" i="16"/>
  <c r="CO187" i="16"/>
  <c r="CN187" i="16"/>
  <c r="CM187" i="16"/>
  <c r="CL187" i="16"/>
  <c r="CK187" i="16"/>
  <c r="CH187" i="16"/>
  <c r="CG187" i="16"/>
  <c r="CF187" i="16"/>
  <c r="CE187" i="16"/>
  <c r="CA187" i="16"/>
  <c r="BZ187" i="16"/>
  <c r="BY187" i="16"/>
  <c r="BX187" i="16"/>
  <c r="BW187" i="16"/>
  <c r="BT187" i="16"/>
  <c r="BS187" i="16"/>
  <c r="BR187" i="16"/>
  <c r="BQ187" i="16"/>
  <c r="BM187" i="16"/>
  <c r="BL187" i="16"/>
  <c r="BK187" i="16"/>
  <c r="BJ187" i="16"/>
  <c r="BI187" i="16"/>
  <c r="BF187" i="16"/>
  <c r="BE187" i="16"/>
  <c r="BD187" i="16"/>
  <c r="BC187" i="16"/>
  <c r="AY187" i="16"/>
  <c r="AX187" i="16"/>
  <c r="AW187" i="16"/>
  <c r="AV187" i="16"/>
  <c r="AU187" i="16"/>
  <c r="AR187" i="16"/>
  <c r="AQ187" i="16"/>
  <c r="AP187" i="16"/>
  <c r="AO187" i="16"/>
  <c r="AK187" i="16"/>
  <c r="AJ187" i="16"/>
  <c r="AI187" i="16"/>
  <c r="AH187" i="16"/>
  <c r="AG187" i="16"/>
  <c r="AD187" i="16"/>
  <c r="AC187" i="16"/>
  <c r="AB187" i="16"/>
  <c r="AA187" i="16"/>
  <c r="W187" i="16"/>
  <c r="V187" i="16"/>
  <c r="U187" i="16"/>
  <c r="T187" i="16"/>
  <c r="S187" i="16"/>
  <c r="P187" i="16"/>
  <c r="O187" i="16"/>
  <c r="N187" i="16"/>
  <c r="M187" i="16"/>
  <c r="I187" i="16"/>
  <c r="H187" i="16"/>
  <c r="G187" i="16"/>
  <c r="DA185" i="16"/>
  <c r="CZ185" i="16"/>
  <c r="CU185" i="16"/>
  <c r="CT185" i="16"/>
  <c r="CM185" i="16"/>
  <c r="CL185" i="16"/>
  <c r="CG185" i="16"/>
  <c r="CF185" i="16"/>
  <c r="BY185" i="16"/>
  <c r="BX185" i="16"/>
  <c r="BS185" i="16"/>
  <c r="BR185" i="16"/>
  <c r="BK185" i="16"/>
  <c r="BJ185" i="16"/>
  <c r="BF185" i="16"/>
  <c r="BE185" i="16"/>
  <c r="AW185" i="16"/>
  <c r="AV185" i="16"/>
  <c r="AR185" i="16"/>
  <c r="AQ185" i="16"/>
  <c r="AI185" i="16"/>
  <c r="AH185" i="16"/>
  <c r="AC185" i="16"/>
  <c r="Q185" i="16"/>
  <c r="N185" i="16"/>
  <c r="DC184" i="16"/>
  <c r="DB184" i="16"/>
  <c r="DA184" i="16"/>
  <c r="CZ184" i="16"/>
  <c r="CY184" i="16"/>
  <c r="CU184" i="16"/>
  <c r="CO184" i="16"/>
  <c r="CN184" i="16"/>
  <c r="CM184" i="16"/>
  <c r="CK184" i="16"/>
  <c r="CJ184" i="16"/>
  <c r="CI184" i="16"/>
  <c r="CA184" i="16"/>
  <c r="BZ184" i="16"/>
  <c r="BY184" i="16"/>
  <c r="BU184" i="16"/>
  <c r="BQ184" i="16"/>
  <c r="BP184" i="16"/>
  <c r="BM184" i="16"/>
  <c r="BL184" i="16"/>
  <c r="BK184" i="16"/>
  <c r="BJ184" i="16"/>
  <c r="BI184" i="16"/>
  <c r="BH184" i="16"/>
  <c r="BC184" i="16"/>
  <c r="BB184" i="16"/>
  <c r="BA184" i="16"/>
  <c r="AY184" i="16"/>
  <c r="AX184" i="16"/>
  <c r="AW184" i="16"/>
  <c r="AV184" i="16"/>
  <c r="AU184" i="16"/>
  <c r="AT184" i="16"/>
  <c r="AS184" i="16"/>
  <c r="AO184" i="16"/>
  <c r="AK184" i="16"/>
  <c r="AJ184" i="16"/>
  <c r="AI184" i="16"/>
  <c r="AH184" i="16"/>
  <c r="AC184" i="16"/>
  <c r="W184" i="16"/>
  <c r="V184" i="16"/>
  <c r="U184" i="16"/>
  <c r="T184" i="16"/>
  <c r="S184" i="16"/>
  <c r="O184" i="16"/>
  <c r="I184" i="16"/>
  <c r="H184" i="16"/>
  <c r="G184" i="16"/>
  <c r="DC181" i="16"/>
  <c r="DB181" i="16"/>
  <c r="DA181" i="16"/>
  <c r="CG181" i="16"/>
  <c r="CA181" i="16"/>
  <c r="BS181" i="16"/>
  <c r="BM181" i="16"/>
  <c r="AK181" i="16"/>
  <c r="I181" i="16"/>
  <c r="H181" i="16"/>
  <c r="DA178" i="16"/>
  <c r="CO177" i="16"/>
  <c r="CM177" i="16"/>
  <c r="CA177" i="16"/>
  <c r="BY177" i="16"/>
  <c r="AK177" i="16"/>
  <c r="DC176" i="16"/>
  <c r="DC177" i="16" s="1"/>
  <c r="DB176" i="16"/>
  <c r="DA176" i="16"/>
  <c r="DA177" i="16" s="1"/>
  <c r="CZ176" i="16"/>
  <c r="CZ178" i="16" s="1"/>
  <c r="CU176" i="16"/>
  <c r="CU181" i="16" s="1"/>
  <c r="CT176" i="16"/>
  <c r="CS176" i="16"/>
  <c r="CS177" i="16" s="1"/>
  <c r="CR176" i="16"/>
  <c r="CR181" i="16" s="1"/>
  <c r="CO176" i="16"/>
  <c r="CO181" i="16" s="1"/>
  <c r="CN176" i="16"/>
  <c r="CM176" i="16"/>
  <c r="CL176" i="16"/>
  <c r="CL181" i="16" s="1"/>
  <c r="CG176" i="16"/>
  <c r="CG170" i="16" s="1"/>
  <c r="CF176" i="16"/>
  <c r="CF170" i="16" s="1"/>
  <c r="CE176" i="16"/>
  <c r="CE177" i="16" s="1"/>
  <c r="CD176" i="16"/>
  <c r="CA176" i="16"/>
  <c r="BZ176" i="16"/>
  <c r="BY176" i="16"/>
  <c r="BX176" i="16"/>
  <c r="BX178" i="16" s="1"/>
  <c r="BS176" i="16"/>
  <c r="BR176" i="16"/>
  <c r="BQ176" i="16"/>
  <c r="BM176" i="16"/>
  <c r="BM177" i="16" s="1"/>
  <c r="BL176" i="16"/>
  <c r="BL177" i="16" s="1"/>
  <c r="BK176" i="16"/>
  <c r="BK170" i="16" s="1"/>
  <c r="BK169" i="16" s="1"/>
  <c r="BJ176" i="16"/>
  <c r="BE176" i="16"/>
  <c r="BE181" i="16" s="1"/>
  <c r="BD176" i="16"/>
  <c r="BC176" i="16"/>
  <c r="BC177" i="16" s="1"/>
  <c r="BB176" i="16"/>
  <c r="AY176" i="16"/>
  <c r="AY181" i="16" s="1"/>
  <c r="AX176" i="16"/>
  <c r="AW176" i="16"/>
  <c r="AV176" i="16"/>
  <c r="AV181" i="16" s="1"/>
  <c r="AQ176" i="16"/>
  <c r="AQ181" i="16" s="1"/>
  <c r="AP176" i="16"/>
  <c r="AO176" i="16"/>
  <c r="AK176" i="16"/>
  <c r="AJ176" i="16"/>
  <c r="AI176" i="16"/>
  <c r="AH176" i="16"/>
  <c r="AC176" i="16"/>
  <c r="AC181" i="16" s="1"/>
  <c r="AB176" i="16"/>
  <c r="AA176" i="16"/>
  <c r="AA177" i="16" s="1"/>
  <c r="Z176" i="16"/>
  <c r="W176" i="16"/>
  <c r="W181" i="16" s="1"/>
  <c r="V176" i="16"/>
  <c r="U176" i="16"/>
  <c r="T176" i="16"/>
  <c r="T181" i="16" s="1"/>
  <c r="O176" i="16"/>
  <c r="O181" i="16" s="1"/>
  <c r="N176" i="16"/>
  <c r="M176" i="16"/>
  <c r="M181" i="16" s="1"/>
  <c r="L176" i="16"/>
  <c r="L181" i="16" s="1"/>
  <c r="I176" i="16"/>
  <c r="I177" i="16" s="1"/>
  <c r="H176" i="16"/>
  <c r="H177" i="16" s="1"/>
  <c r="G176" i="16"/>
  <c r="DA170" i="16"/>
  <c r="DA169" i="16" s="1"/>
  <c r="BS170" i="16"/>
  <c r="BE170" i="16"/>
  <c r="BE171" i="16" s="1"/>
  <c r="AC170" i="16"/>
  <c r="W170" i="16"/>
  <c r="W169" i="16" s="1"/>
  <c r="DA162" i="16"/>
  <c r="CZ162" i="16"/>
  <c r="CY162" i="16"/>
  <c r="CX162" i="16"/>
  <c r="CW162" i="16"/>
  <c r="CV162" i="16"/>
  <c r="CU162" i="16"/>
  <c r="CT162" i="16"/>
  <c r="CQ162" i="16"/>
  <c r="CP162" i="16"/>
  <c r="CM162" i="16"/>
  <c r="CL162" i="16"/>
  <c r="CK162" i="16"/>
  <c r="CJ162" i="16"/>
  <c r="CI162" i="16"/>
  <c r="CH162" i="16"/>
  <c r="CG162" i="16"/>
  <c r="CF162" i="16"/>
  <c r="CC162" i="16"/>
  <c r="CB162" i="16"/>
  <c r="BY162" i="16"/>
  <c r="BX162" i="16"/>
  <c r="BW162" i="16"/>
  <c r="BV162" i="16"/>
  <c r="BR162" i="16"/>
  <c r="BO162" i="16"/>
  <c r="BN162" i="16"/>
  <c r="BK162" i="16"/>
  <c r="BJ162" i="16"/>
  <c r="BH162" i="16"/>
  <c r="BF162" i="16"/>
  <c r="BE162" i="16"/>
  <c r="BD162" i="16"/>
  <c r="BA162" i="16"/>
  <c r="AZ162" i="16"/>
  <c r="AW162" i="16"/>
  <c r="AV162" i="16"/>
  <c r="AU162" i="16"/>
  <c r="AT162" i="16"/>
  <c r="AS162" i="16"/>
  <c r="AR162" i="16"/>
  <c r="AQ162" i="16"/>
  <c r="AP162" i="16"/>
  <c r="AM162" i="16"/>
  <c r="AL162" i="16"/>
  <c r="AI162" i="16"/>
  <c r="AH162" i="16"/>
  <c r="AG162" i="16"/>
  <c r="AF162" i="16"/>
  <c r="AE162" i="16"/>
  <c r="AD162" i="16"/>
  <c r="AC162" i="16"/>
  <c r="AB162" i="16"/>
  <c r="Y162" i="16"/>
  <c r="X162" i="16"/>
  <c r="DC161" i="16"/>
  <c r="DB161" i="16"/>
  <c r="DA161" i="16"/>
  <c r="CY161" i="16"/>
  <c r="CX161" i="16"/>
  <c r="CS161" i="16"/>
  <c r="CR161" i="16"/>
  <c r="CO161" i="16"/>
  <c r="CN161" i="16"/>
  <c r="CM161" i="16"/>
  <c r="CE161" i="16"/>
  <c r="CD161" i="16"/>
  <c r="CA161" i="16"/>
  <c r="BZ161" i="16"/>
  <c r="BY161" i="16"/>
  <c r="BV161" i="16"/>
  <c r="BQ161" i="16"/>
  <c r="BP161" i="16"/>
  <c r="BM161" i="16"/>
  <c r="BL161" i="16"/>
  <c r="BK161" i="16"/>
  <c r="BH161" i="16"/>
  <c r="BC161" i="16"/>
  <c r="BB161" i="16"/>
  <c r="AZ161" i="16"/>
  <c r="AY161" i="16"/>
  <c r="AX161" i="16"/>
  <c r="AW161" i="16"/>
  <c r="AU161" i="16"/>
  <c r="AT161" i="16"/>
  <c r="AO161" i="16"/>
  <c r="AK161" i="16"/>
  <c r="AJ161" i="16"/>
  <c r="AI161" i="16"/>
  <c r="AG161" i="16"/>
  <c r="AF161" i="16"/>
  <c r="AA161" i="16"/>
  <c r="Z161" i="16"/>
  <c r="W161" i="16"/>
  <c r="V161" i="16"/>
  <c r="U161" i="16"/>
  <c r="M161" i="16"/>
  <c r="I161" i="16"/>
  <c r="H161" i="16"/>
  <c r="G161" i="16"/>
  <c r="DB158" i="16"/>
  <c r="DA158" i="16"/>
  <c r="CY158" i="16"/>
  <c r="CX158" i="16"/>
  <c r="CW158" i="16"/>
  <c r="CV158" i="16"/>
  <c r="CU158" i="16"/>
  <c r="CN158" i="16"/>
  <c r="CM158" i="16"/>
  <c r="CK158" i="16"/>
  <c r="CJ158" i="16"/>
  <c r="CI158" i="16"/>
  <c r="CH158" i="16"/>
  <c r="CG158" i="16"/>
  <c r="BZ158" i="16"/>
  <c r="BY158" i="16"/>
  <c r="BW158" i="16"/>
  <c r="BV158" i="16"/>
  <c r="BU158" i="16"/>
  <c r="BT158" i="16"/>
  <c r="BS158" i="16"/>
  <c r="BL158" i="16"/>
  <c r="BK158" i="16"/>
  <c r="BI158" i="16"/>
  <c r="BH158" i="16"/>
  <c r="BG158" i="16"/>
  <c r="BF158" i="16"/>
  <c r="BE158" i="16"/>
  <c r="AX158" i="16"/>
  <c r="AW158" i="16"/>
  <c r="AU158" i="16"/>
  <c r="AT158" i="16"/>
  <c r="AS158" i="16"/>
  <c r="AR158" i="16"/>
  <c r="AQ158" i="16"/>
  <c r="AJ158" i="16"/>
  <c r="AI158" i="16"/>
  <c r="AG158" i="16"/>
  <c r="AF158" i="16"/>
  <c r="AE158" i="16"/>
  <c r="AD158" i="16"/>
  <c r="AC158" i="16"/>
  <c r="DC152" i="16"/>
  <c r="DB152" i="16"/>
  <c r="DA152" i="16"/>
  <c r="CZ152" i="16"/>
  <c r="CY152" i="16"/>
  <c r="CX152" i="16"/>
  <c r="CW152" i="16"/>
  <c r="CV152" i="16"/>
  <c r="CU152" i="16"/>
  <c r="CT152" i="16"/>
  <c r="CS152" i="16"/>
  <c r="CR152" i="16"/>
  <c r="CQ152" i="16"/>
  <c r="CP152" i="16"/>
  <c r="CO152" i="16"/>
  <c r="CN152" i="16"/>
  <c r="CM152" i="16"/>
  <c r="CL152" i="16"/>
  <c r="CK152" i="16"/>
  <c r="CJ152" i="16"/>
  <c r="CI152" i="16"/>
  <c r="CH152" i="16"/>
  <c r="CG152" i="16"/>
  <c r="CF152" i="16"/>
  <c r="CE152" i="16"/>
  <c r="CD152" i="16"/>
  <c r="CC152" i="16"/>
  <c r="CB152" i="16"/>
  <c r="CA152" i="16"/>
  <c r="BZ152" i="16"/>
  <c r="BY152" i="16"/>
  <c r="BX152" i="16"/>
  <c r="BW152" i="16"/>
  <c r="BV152" i="16"/>
  <c r="BU152" i="16"/>
  <c r="BT152" i="16"/>
  <c r="BS152" i="16"/>
  <c r="BR152" i="16"/>
  <c r="BQ152" i="16"/>
  <c r="BP152" i="16"/>
  <c r="BO152" i="16"/>
  <c r="BN152" i="16"/>
  <c r="BM152" i="16"/>
  <c r="BL152" i="16"/>
  <c r="BK152" i="16"/>
  <c r="BJ152" i="16"/>
  <c r="BI152" i="16"/>
  <c r="BH152" i="16"/>
  <c r="BG152" i="16"/>
  <c r="BF152" i="16"/>
  <c r="BE152" i="16"/>
  <c r="BD152" i="16"/>
  <c r="BC152" i="16"/>
  <c r="BB152" i="16"/>
  <c r="BA152" i="16"/>
  <c r="AZ152" i="16"/>
  <c r="AY152" i="16"/>
  <c r="AX152" i="16"/>
  <c r="AW152" i="16"/>
  <c r="AV152" i="16"/>
  <c r="AU152" i="16"/>
  <c r="AT152" i="16"/>
  <c r="AS152" i="16"/>
  <c r="AR152" i="16"/>
  <c r="AQ152" i="16"/>
  <c r="AP152" i="16"/>
  <c r="AO152" i="16"/>
  <c r="AN152" i="16"/>
  <c r="AM152" i="16"/>
  <c r="AL152" i="16"/>
  <c r="AK152" i="16"/>
  <c r="AJ152" i="16"/>
  <c r="AI152" i="16"/>
  <c r="AH152" i="16"/>
  <c r="AG152" i="16"/>
  <c r="AF152" i="16"/>
  <c r="AE152" i="16"/>
  <c r="AD152" i="16"/>
  <c r="AC152" i="16"/>
  <c r="AB152" i="16"/>
  <c r="AA152" i="16"/>
  <c r="Z152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DC151" i="16"/>
  <c r="DB151" i="16"/>
  <c r="DA151" i="16"/>
  <c r="CZ151" i="16"/>
  <c r="CY151" i="16"/>
  <c r="CX151" i="16"/>
  <c r="CW151" i="16"/>
  <c r="CV151" i="16"/>
  <c r="CU151" i="16"/>
  <c r="CT151" i="16"/>
  <c r="CS151" i="16"/>
  <c r="CR151" i="16"/>
  <c r="CQ151" i="16"/>
  <c r="CP151" i="16"/>
  <c r="CO151" i="16"/>
  <c r="CN151" i="16"/>
  <c r="CM151" i="16"/>
  <c r="CL151" i="16"/>
  <c r="CK151" i="16"/>
  <c r="CJ151" i="16"/>
  <c r="CI151" i="16"/>
  <c r="CH151" i="16"/>
  <c r="CG151" i="16"/>
  <c r="CF151" i="16"/>
  <c r="CE151" i="16"/>
  <c r="CD151" i="16"/>
  <c r="CC151" i="16"/>
  <c r="CB151" i="16"/>
  <c r="CA151" i="16"/>
  <c r="BZ151" i="16"/>
  <c r="BY151" i="16"/>
  <c r="BX151" i="16"/>
  <c r="BW151" i="16"/>
  <c r="BV151" i="16"/>
  <c r="BU151" i="16"/>
  <c r="BT151" i="16"/>
  <c r="BS151" i="16"/>
  <c r="BR151" i="16"/>
  <c r="BQ151" i="16"/>
  <c r="BP151" i="16"/>
  <c r="BO151" i="16"/>
  <c r="BN151" i="16"/>
  <c r="BM151" i="16"/>
  <c r="BL151" i="16"/>
  <c r="BK151" i="16"/>
  <c r="BJ151" i="16"/>
  <c r="BI151" i="16"/>
  <c r="BH151" i="16"/>
  <c r="BG151" i="16"/>
  <c r="BF151" i="16"/>
  <c r="BE151" i="16"/>
  <c r="BD151" i="16"/>
  <c r="BC151" i="16"/>
  <c r="BB151" i="16"/>
  <c r="BA151" i="16"/>
  <c r="AZ151" i="16"/>
  <c r="AY151" i="16"/>
  <c r="AX151" i="16"/>
  <c r="AW151" i="16"/>
  <c r="AV151" i="16"/>
  <c r="AU151" i="16"/>
  <c r="AT151" i="16"/>
  <c r="AS151" i="16"/>
  <c r="AR151" i="16"/>
  <c r="AQ151" i="16"/>
  <c r="AP151" i="16"/>
  <c r="AO151" i="16"/>
  <c r="AN151" i="16"/>
  <c r="AM151" i="16"/>
  <c r="AL151" i="16"/>
  <c r="AK151" i="16"/>
  <c r="AJ151" i="16"/>
  <c r="AI151" i="16"/>
  <c r="AH151" i="16"/>
  <c r="AG151" i="16"/>
  <c r="AF151" i="16"/>
  <c r="AE151" i="16"/>
  <c r="AD151" i="16"/>
  <c r="AC151" i="16"/>
  <c r="AB151" i="16"/>
  <c r="AA151" i="16"/>
  <c r="Z151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DC148" i="16"/>
  <c r="DB148" i="16"/>
  <c r="DA148" i="16"/>
  <c r="CZ148" i="16"/>
  <c r="CY148" i="16"/>
  <c r="CX148" i="16"/>
  <c r="CW148" i="16"/>
  <c r="CV148" i="16"/>
  <c r="CU148" i="16"/>
  <c r="CT148" i="16"/>
  <c r="CS148" i="16"/>
  <c r="CR148" i="16"/>
  <c r="CQ148" i="16"/>
  <c r="CP148" i="16"/>
  <c r="CO148" i="16"/>
  <c r="CN148" i="16"/>
  <c r="CM148" i="16"/>
  <c r="CL148" i="16"/>
  <c r="CK148" i="16"/>
  <c r="CJ148" i="16"/>
  <c r="CI148" i="16"/>
  <c r="CH148" i="16"/>
  <c r="CG148" i="16"/>
  <c r="CF148" i="16"/>
  <c r="CE148" i="16"/>
  <c r="CD148" i="16"/>
  <c r="CC148" i="16"/>
  <c r="CB148" i="16"/>
  <c r="CA148" i="16"/>
  <c r="BZ148" i="16"/>
  <c r="BY148" i="16"/>
  <c r="BX148" i="16"/>
  <c r="BW148" i="16"/>
  <c r="BV148" i="16"/>
  <c r="BU148" i="16"/>
  <c r="BT148" i="16"/>
  <c r="BS148" i="16"/>
  <c r="BR148" i="16"/>
  <c r="BQ148" i="16"/>
  <c r="BP148" i="16"/>
  <c r="BO148" i="16"/>
  <c r="BN148" i="16"/>
  <c r="BM148" i="16"/>
  <c r="BL148" i="16"/>
  <c r="BK148" i="16"/>
  <c r="BJ148" i="16"/>
  <c r="BI148" i="16"/>
  <c r="BH148" i="16"/>
  <c r="BG148" i="16"/>
  <c r="BF148" i="16"/>
  <c r="BE148" i="16"/>
  <c r="BD148" i="16"/>
  <c r="BC148" i="16"/>
  <c r="BB148" i="16"/>
  <c r="BA148" i="16"/>
  <c r="AZ148" i="16"/>
  <c r="AY148" i="16"/>
  <c r="AX148" i="16"/>
  <c r="AW148" i="16"/>
  <c r="AV148" i="16"/>
  <c r="AU148" i="16"/>
  <c r="AT148" i="16"/>
  <c r="AS148" i="16"/>
  <c r="AR148" i="16"/>
  <c r="AQ148" i="16"/>
  <c r="AP148" i="16"/>
  <c r="AO148" i="16"/>
  <c r="AN148" i="16"/>
  <c r="AM148" i="16"/>
  <c r="AL148" i="16"/>
  <c r="AK148" i="16"/>
  <c r="AJ148" i="16"/>
  <c r="AI148" i="16"/>
  <c r="AH148" i="16"/>
  <c r="AG148" i="16"/>
  <c r="AF148" i="16"/>
  <c r="AE148" i="16"/>
  <c r="AD148" i="16"/>
  <c r="AC148" i="16"/>
  <c r="AB148" i="16"/>
  <c r="AA148" i="16"/>
  <c r="Z148" i="16"/>
  <c r="Y148" i="16"/>
  <c r="X148" i="16"/>
  <c r="W148" i="16"/>
  <c r="T148" i="16"/>
  <c r="Q148" i="16"/>
  <c r="N148" i="16"/>
  <c r="K148" i="16"/>
  <c r="DC147" i="16"/>
  <c r="DB147" i="16"/>
  <c r="DA147" i="16"/>
  <c r="CZ147" i="16"/>
  <c r="CY147" i="16"/>
  <c r="CX147" i="16"/>
  <c r="CW147" i="16"/>
  <c r="CV147" i="16"/>
  <c r="CU147" i="16"/>
  <c r="CT147" i="16"/>
  <c r="CS147" i="16"/>
  <c r="CR147" i="16"/>
  <c r="CQ147" i="16"/>
  <c r="CP147" i="16"/>
  <c r="CO147" i="16"/>
  <c r="CN147" i="16"/>
  <c r="CM147" i="16"/>
  <c r="CL147" i="16"/>
  <c r="CK147" i="16"/>
  <c r="CJ147" i="16"/>
  <c r="CI147" i="16"/>
  <c r="CH147" i="16"/>
  <c r="CG147" i="16"/>
  <c r="CF147" i="16"/>
  <c r="CE147" i="16"/>
  <c r="CD147" i="16"/>
  <c r="CC147" i="16"/>
  <c r="CB147" i="16"/>
  <c r="CA147" i="16"/>
  <c r="BZ147" i="16"/>
  <c r="BY147" i="16"/>
  <c r="BX147" i="16"/>
  <c r="BW147" i="16"/>
  <c r="BV147" i="16"/>
  <c r="BU147" i="16"/>
  <c r="BT147" i="16"/>
  <c r="BS147" i="16"/>
  <c r="BR147" i="16"/>
  <c r="BQ147" i="16"/>
  <c r="BP147" i="16"/>
  <c r="BO147" i="16"/>
  <c r="BN147" i="16"/>
  <c r="BM147" i="16"/>
  <c r="BL147" i="16"/>
  <c r="BK147" i="16"/>
  <c r="BJ147" i="16"/>
  <c r="BI147" i="16"/>
  <c r="BH147" i="16"/>
  <c r="BG147" i="16"/>
  <c r="BF147" i="16"/>
  <c r="BE147" i="16"/>
  <c r="BD147" i="16"/>
  <c r="BC147" i="16"/>
  <c r="BB147" i="16"/>
  <c r="BA147" i="16"/>
  <c r="AZ147" i="16"/>
  <c r="AY147" i="16"/>
  <c r="AX147" i="16"/>
  <c r="AW147" i="16"/>
  <c r="AV147" i="16"/>
  <c r="AU147" i="16"/>
  <c r="AT147" i="16"/>
  <c r="AS147" i="16"/>
  <c r="AR147" i="16"/>
  <c r="AQ147" i="16"/>
  <c r="AP147" i="16"/>
  <c r="AO147" i="16"/>
  <c r="AN147" i="16"/>
  <c r="AM147" i="16"/>
  <c r="AL147" i="16"/>
  <c r="AK147" i="16"/>
  <c r="AJ147" i="16"/>
  <c r="AI147" i="16"/>
  <c r="AH147" i="16"/>
  <c r="AG147" i="16"/>
  <c r="AF147" i="16"/>
  <c r="AE147" i="16"/>
  <c r="AD147" i="16"/>
  <c r="AC147" i="16"/>
  <c r="AB147" i="16"/>
  <c r="AA147" i="16"/>
  <c r="Z147" i="16"/>
  <c r="Y147" i="16"/>
  <c r="X147" i="16"/>
  <c r="W147" i="16"/>
  <c r="V147" i="16"/>
  <c r="U147" i="16"/>
  <c r="T147" i="16"/>
  <c r="S147" i="16"/>
  <c r="R147" i="16"/>
  <c r="Q147" i="16"/>
  <c r="P147" i="16"/>
  <c r="O147" i="16"/>
  <c r="N147" i="16"/>
  <c r="M147" i="16"/>
  <c r="L147" i="16"/>
  <c r="K147" i="16"/>
  <c r="J147" i="16"/>
  <c r="I147" i="16"/>
  <c r="H147" i="16"/>
  <c r="G147" i="16"/>
  <c r="CK143" i="16"/>
  <c r="CI143" i="16"/>
  <c r="BI143" i="16"/>
  <c r="BG143" i="16"/>
  <c r="BE143" i="16"/>
  <c r="AG143" i="16"/>
  <c r="AE143" i="16"/>
  <c r="DB142" i="16"/>
  <c r="CZ142" i="16"/>
  <c r="CX142" i="16"/>
  <c r="BZ142" i="16"/>
  <c r="BX142" i="16"/>
  <c r="BV142" i="16"/>
  <c r="AY142" i="16"/>
  <c r="AX142" i="16"/>
  <c r="AW142" i="16"/>
  <c r="AW144" i="16" s="1"/>
  <c r="AK142" i="16"/>
  <c r="W142" i="16"/>
  <c r="I142" i="16"/>
  <c r="I143" i="16" s="1"/>
  <c r="H142" i="16"/>
  <c r="H143" i="16" s="1"/>
  <c r="DC141" i="16"/>
  <c r="DC142" i="16" s="1"/>
  <c r="DB141" i="16"/>
  <c r="DA141" i="16"/>
  <c r="DA142" i="16" s="1"/>
  <c r="CZ141" i="16"/>
  <c r="CY141" i="16"/>
  <c r="CX141" i="16"/>
  <c r="CW141" i="16"/>
  <c r="CV141" i="16"/>
  <c r="CU141" i="16"/>
  <c r="CT141" i="16"/>
  <c r="CS141" i="16"/>
  <c r="CR141" i="16"/>
  <c r="CQ141" i="16"/>
  <c r="CP141" i="16"/>
  <c r="CO141" i="16"/>
  <c r="CN141" i="16"/>
  <c r="CM141" i="16"/>
  <c r="CL141" i="16"/>
  <c r="CK141" i="16"/>
  <c r="CJ141" i="16"/>
  <c r="CI141" i="16"/>
  <c r="CH141" i="16"/>
  <c r="CG141" i="16"/>
  <c r="CF141" i="16"/>
  <c r="CE141" i="16"/>
  <c r="CD141" i="16"/>
  <c r="CC141" i="16"/>
  <c r="CB141" i="16"/>
  <c r="CA141" i="16"/>
  <c r="CA142" i="16" s="1"/>
  <c r="BZ141" i="16"/>
  <c r="BY141" i="16"/>
  <c r="BY142" i="16" s="1"/>
  <c r="BX141" i="16"/>
  <c r="BW141" i="16"/>
  <c r="BV141" i="16"/>
  <c r="BU141" i="16"/>
  <c r="BT141" i="16"/>
  <c r="BS141" i="16"/>
  <c r="BR141" i="16"/>
  <c r="BQ141" i="16"/>
  <c r="BP141" i="16"/>
  <c r="BO141" i="16"/>
  <c r="BN141" i="16"/>
  <c r="BM141" i="16"/>
  <c r="BM142" i="16" s="1"/>
  <c r="BL141" i="16"/>
  <c r="BK141" i="16"/>
  <c r="BJ141" i="16"/>
  <c r="BI141" i="16"/>
  <c r="BH141" i="16"/>
  <c r="BG141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DC140" i="16"/>
  <c r="DB140" i="16"/>
  <c r="DA140" i="16"/>
  <c r="CZ140" i="16"/>
  <c r="CY140" i="16"/>
  <c r="CX140" i="16"/>
  <c r="CW140" i="16"/>
  <c r="CV140" i="16"/>
  <c r="CU140" i="16"/>
  <c r="CT140" i="16"/>
  <c r="CT142" i="16" s="1"/>
  <c r="CT143" i="16" s="1"/>
  <c r="CS140" i="16"/>
  <c r="CR140" i="16"/>
  <c r="CQ140" i="16"/>
  <c r="CP140" i="16"/>
  <c r="CP142" i="16" s="1"/>
  <c r="CO140" i="16"/>
  <c r="CN140" i="16"/>
  <c r="CM140" i="16"/>
  <c r="CL140" i="16"/>
  <c r="CK140" i="16"/>
  <c r="CJ140" i="16"/>
  <c r="CI140" i="16"/>
  <c r="CH140" i="16"/>
  <c r="CG140" i="16"/>
  <c r="CF140" i="16"/>
  <c r="CF142" i="16" s="1"/>
  <c r="CF143" i="16" s="1"/>
  <c r="CE140" i="16"/>
  <c r="CD140" i="16"/>
  <c r="CC140" i="16"/>
  <c r="CB140" i="16"/>
  <c r="CB142" i="16" s="1"/>
  <c r="CB143" i="16" s="1"/>
  <c r="CA140" i="16"/>
  <c r="BZ140" i="16"/>
  <c r="BY140" i="16"/>
  <c r="BX140" i="16"/>
  <c r="BW140" i="16"/>
  <c r="BV140" i="16"/>
  <c r="BU140" i="16"/>
  <c r="BT140" i="16"/>
  <c r="BS140" i="16"/>
  <c r="BR140" i="16"/>
  <c r="BR142" i="16" s="1"/>
  <c r="BQ140" i="16"/>
  <c r="BP140" i="16"/>
  <c r="BO140" i="16"/>
  <c r="BN140" i="16"/>
  <c r="BN142" i="16" s="1"/>
  <c r="BM140" i="16"/>
  <c r="BL140" i="16"/>
  <c r="BK140" i="16"/>
  <c r="BJ140" i="16"/>
  <c r="BI140" i="16"/>
  <c r="BH140" i="16"/>
  <c r="BG140" i="16"/>
  <c r="BF140" i="16"/>
  <c r="BE140" i="16"/>
  <c r="BD140" i="16"/>
  <c r="BD142" i="16" s="1"/>
  <c r="BC140" i="16"/>
  <c r="BB140" i="16"/>
  <c r="BA140" i="16"/>
  <c r="AZ140" i="16"/>
  <c r="AZ142" i="16" s="1"/>
  <c r="AY140" i="16"/>
  <c r="AX140" i="16"/>
  <c r="AW140" i="16"/>
  <c r="AV140" i="16"/>
  <c r="AU140" i="16"/>
  <c r="AT140" i="16"/>
  <c r="AS140" i="16"/>
  <c r="AR140" i="16"/>
  <c r="AQ140" i="16"/>
  <c r="AP140" i="16"/>
  <c r="AP142" i="16" s="1"/>
  <c r="AO140" i="16"/>
  <c r="AN140" i="16"/>
  <c r="AM140" i="16"/>
  <c r="AL140" i="16"/>
  <c r="AL142" i="16" s="1"/>
  <c r="AK140" i="16"/>
  <c r="AJ140" i="16"/>
  <c r="AI140" i="16"/>
  <c r="AH140" i="16"/>
  <c r="AG140" i="16"/>
  <c r="AF140" i="16"/>
  <c r="AE140" i="16"/>
  <c r="AD140" i="16"/>
  <c r="AC140" i="16"/>
  <c r="AB140" i="16"/>
  <c r="AB142" i="16" s="1"/>
  <c r="AA140" i="16"/>
  <c r="Z140" i="16"/>
  <c r="Y140" i="16"/>
  <c r="X140" i="16"/>
  <c r="X142" i="16" s="1"/>
  <c r="W140" i="16"/>
  <c r="V140" i="16"/>
  <c r="U140" i="16"/>
  <c r="T140" i="16"/>
  <c r="S140" i="16"/>
  <c r="R140" i="16"/>
  <c r="Q140" i="16"/>
  <c r="P140" i="16"/>
  <c r="O140" i="16"/>
  <c r="N140" i="16"/>
  <c r="N142" i="16" s="1"/>
  <c r="M140" i="16"/>
  <c r="L140" i="16"/>
  <c r="K140" i="16"/>
  <c r="J140" i="16"/>
  <c r="J142" i="16" s="1"/>
  <c r="J143" i="16" s="1"/>
  <c r="I140" i="16"/>
  <c r="H140" i="16"/>
  <c r="G140" i="16"/>
  <c r="DC139" i="16"/>
  <c r="DB139" i="16"/>
  <c r="DA139" i="16"/>
  <c r="CZ139" i="16"/>
  <c r="CY139" i="16"/>
  <c r="CX139" i="16"/>
  <c r="CW139" i="16"/>
  <c r="CV139" i="16"/>
  <c r="CU139" i="16"/>
  <c r="CT139" i="16"/>
  <c r="CS139" i="16"/>
  <c r="CS142" i="16" s="1"/>
  <c r="CR139" i="16"/>
  <c r="CQ139" i="16"/>
  <c r="CP139" i="16"/>
  <c r="CO139" i="16"/>
  <c r="CO142" i="16" s="1"/>
  <c r="CN139" i="16"/>
  <c r="CM139" i="16"/>
  <c r="CL139" i="16"/>
  <c r="CK139" i="16"/>
  <c r="CJ139" i="16"/>
  <c r="CI139" i="16"/>
  <c r="CH139" i="16"/>
  <c r="CG139" i="16"/>
  <c r="CF139" i="16"/>
  <c r="CE139" i="16"/>
  <c r="CE142" i="16" s="1"/>
  <c r="CD139" i="16"/>
  <c r="CC139" i="16"/>
  <c r="CB139" i="16"/>
  <c r="CA139" i="16"/>
  <c r="BZ139" i="16"/>
  <c r="BY139" i="16"/>
  <c r="BX139" i="16"/>
  <c r="BW139" i="16"/>
  <c r="BV139" i="16"/>
  <c r="BU139" i="16"/>
  <c r="BT139" i="16"/>
  <c r="BS139" i="16"/>
  <c r="BR139" i="16"/>
  <c r="BQ139" i="16"/>
  <c r="BQ142" i="16" s="1"/>
  <c r="BP139" i="16"/>
  <c r="BO139" i="16"/>
  <c r="BN139" i="16"/>
  <c r="BM139" i="16"/>
  <c r="BL139" i="16"/>
  <c r="BK139" i="16"/>
  <c r="BJ139" i="16"/>
  <c r="BI139" i="16"/>
  <c r="BH139" i="16"/>
  <c r="BH142" i="16" s="1"/>
  <c r="BG139" i="16"/>
  <c r="BF139" i="16"/>
  <c r="BE139" i="16"/>
  <c r="BD139" i="16"/>
  <c r="BC139" i="16"/>
  <c r="BC142" i="16" s="1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O142" i="16" s="1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AA142" i="16" s="1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M142" i="16" s="1"/>
  <c r="M143" i="16" s="1"/>
  <c r="L139" i="16"/>
  <c r="K139" i="16"/>
  <c r="J139" i="16"/>
  <c r="I139" i="16"/>
  <c r="H139" i="16"/>
  <c r="G139" i="16"/>
  <c r="DC138" i="16"/>
  <c r="DB138" i="16"/>
  <c r="DA138" i="16"/>
  <c r="CZ138" i="16"/>
  <c r="CY138" i="16"/>
  <c r="CY142" i="16" s="1"/>
  <c r="CY144" i="16" s="1"/>
  <c r="CX138" i="16"/>
  <c r="CW138" i="16"/>
  <c r="CW142" i="16" s="1"/>
  <c r="CW144" i="16" s="1"/>
  <c r="CV138" i="16"/>
  <c r="CV142" i="16" s="1"/>
  <c r="CV143" i="16" s="1"/>
  <c r="CU138" i="16"/>
  <c r="CU142" i="16" s="1"/>
  <c r="CU144" i="16" s="1"/>
  <c r="CT138" i="16"/>
  <c r="CS138" i="16"/>
  <c r="CR138" i="16"/>
  <c r="CQ138" i="16"/>
  <c r="CP138" i="16"/>
  <c r="CO138" i="16"/>
  <c r="CN138" i="16"/>
  <c r="CN142" i="16" s="1"/>
  <c r="CM138" i="16"/>
  <c r="CM142" i="16" s="1"/>
  <c r="CL138" i="16"/>
  <c r="CL142" i="16" s="1"/>
  <c r="CK138" i="16"/>
  <c r="CK142" i="16" s="1"/>
  <c r="CJ138" i="16"/>
  <c r="CJ142" i="16" s="1"/>
  <c r="CI138" i="16"/>
  <c r="CI142" i="16" s="1"/>
  <c r="CI144" i="16" s="1"/>
  <c r="CH138" i="16"/>
  <c r="CH142" i="16" s="1"/>
  <c r="CH143" i="16" s="1"/>
  <c r="CG138" i="16"/>
  <c r="CG142" i="16" s="1"/>
  <c r="CG143" i="16" s="1"/>
  <c r="CF138" i="16"/>
  <c r="CE138" i="16"/>
  <c r="CD138" i="16"/>
  <c r="CC138" i="16"/>
  <c r="CB138" i="16"/>
  <c r="CA138" i="16"/>
  <c r="BZ138" i="16"/>
  <c r="BY138" i="16"/>
  <c r="BX138" i="16"/>
  <c r="BW138" i="16"/>
  <c r="BW142" i="16" s="1"/>
  <c r="BW144" i="16" s="1"/>
  <c r="BV138" i="16"/>
  <c r="BU138" i="16"/>
  <c r="BU142" i="16" s="1"/>
  <c r="BU144" i="16" s="1"/>
  <c r="BT138" i="16"/>
  <c r="BT142" i="16" s="1"/>
  <c r="BT143" i="16" s="1"/>
  <c r="BS138" i="16"/>
  <c r="BS142" i="16" s="1"/>
  <c r="BS144" i="16" s="1"/>
  <c r="BR138" i="16"/>
  <c r="BQ138" i="16"/>
  <c r="BP138" i="16"/>
  <c r="BO138" i="16"/>
  <c r="BN138" i="16"/>
  <c r="BM138" i="16"/>
  <c r="BL138" i="16"/>
  <c r="BL142" i="16" s="1"/>
  <c r="BK138" i="16"/>
  <c r="BK142" i="16" s="1"/>
  <c r="BJ138" i="16"/>
  <c r="BJ142" i="16" s="1"/>
  <c r="BI138" i="16"/>
  <c r="BI142" i="16" s="1"/>
  <c r="BH138" i="16"/>
  <c r="BG138" i="16"/>
  <c r="BG142" i="16" s="1"/>
  <c r="BG144" i="16" s="1"/>
  <c r="BF138" i="16"/>
  <c r="BF142" i="16" s="1"/>
  <c r="BF143" i="16" s="1"/>
  <c r="BE138" i="16"/>
  <c r="BE142" i="16" s="1"/>
  <c r="BE144" i="16" s="1"/>
  <c r="BD138" i="16"/>
  <c r="BC138" i="16"/>
  <c r="BB138" i="16"/>
  <c r="BA138" i="16"/>
  <c r="AZ138" i="16"/>
  <c r="AY138" i="16"/>
  <c r="AX138" i="16"/>
  <c r="AW138" i="16"/>
  <c r="AV138" i="16"/>
  <c r="AV142" i="16" s="1"/>
  <c r="AU138" i="16"/>
  <c r="AU142" i="16" s="1"/>
  <c r="AU144" i="16" s="1"/>
  <c r="AT138" i="16"/>
  <c r="AT142" i="16" s="1"/>
  <c r="AS138" i="16"/>
  <c r="AS142" i="16" s="1"/>
  <c r="AS144" i="16" s="1"/>
  <c r="AR138" i="16"/>
  <c r="AR142" i="16" s="1"/>
  <c r="AR143" i="16" s="1"/>
  <c r="AQ138" i="16"/>
  <c r="AQ142" i="16" s="1"/>
  <c r="AQ144" i="16" s="1"/>
  <c r="AP138" i="16"/>
  <c r="AO138" i="16"/>
  <c r="AN138" i="16"/>
  <c r="AM138" i="16"/>
  <c r="AL138" i="16"/>
  <c r="AK138" i="16"/>
  <c r="AJ138" i="16"/>
  <c r="AJ142" i="16" s="1"/>
  <c r="AI138" i="16"/>
  <c r="AI142" i="16" s="1"/>
  <c r="AH138" i="16"/>
  <c r="AH142" i="16" s="1"/>
  <c r="AG138" i="16"/>
  <c r="AG142" i="16" s="1"/>
  <c r="AF138" i="16"/>
  <c r="AF142" i="16" s="1"/>
  <c r="AE138" i="16"/>
  <c r="AE142" i="16" s="1"/>
  <c r="AE144" i="16" s="1"/>
  <c r="AD138" i="16"/>
  <c r="AD142" i="16" s="1"/>
  <c r="AD143" i="16" s="1"/>
  <c r="AC138" i="16"/>
  <c r="AC142" i="16" s="1"/>
  <c r="AC143" i="16" s="1"/>
  <c r="AB138" i="16"/>
  <c r="AA138" i="16"/>
  <c r="Z138" i="16"/>
  <c r="Y138" i="16"/>
  <c r="X138" i="16"/>
  <c r="W138" i="16"/>
  <c r="V138" i="16"/>
  <c r="V142" i="16" s="1"/>
  <c r="V143" i="16" s="1"/>
  <c r="U138" i="16"/>
  <c r="U142" i="16" s="1"/>
  <c r="T138" i="16"/>
  <c r="T142" i="16" s="1"/>
  <c r="S138" i="16"/>
  <c r="S142" i="16" s="1"/>
  <c r="S143" i="16" s="1"/>
  <c r="R138" i="16"/>
  <c r="R142" i="16" s="1"/>
  <c r="R143" i="16" s="1"/>
  <c r="Q138" i="16"/>
  <c r="Q142" i="16" s="1"/>
  <c r="Q144" i="16" s="1"/>
  <c r="P138" i="16"/>
  <c r="P142" i="16" s="1"/>
  <c r="P143" i="16" s="1"/>
  <c r="O138" i="16"/>
  <c r="O142" i="16" s="1"/>
  <c r="O143" i="16" s="1"/>
  <c r="N138" i="16"/>
  <c r="M138" i="16"/>
  <c r="L138" i="16"/>
  <c r="K138" i="16"/>
  <c r="J138" i="16"/>
  <c r="I138" i="16"/>
  <c r="H138" i="16"/>
  <c r="G138" i="16"/>
  <c r="G142" i="16" s="1"/>
  <c r="G143" i="16" s="1"/>
  <c r="DC136" i="16"/>
  <c r="DB136" i="16"/>
  <c r="DA136" i="16"/>
  <c r="CZ136" i="16"/>
  <c r="CY136" i="16"/>
  <c r="CX136" i="16"/>
  <c r="CW136" i="16"/>
  <c r="CV136" i="16"/>
  <c r="CU136" i="16"/>
  <c r="CT136" i="16"/>
  <c r="CS136" i="16"/>
  <c r="CR136" i="16"/>
  <c r="CQ136" i="16"/>
  <c r="CP136" i="16"/>
  <c r="CO136" i="16"/>
  <c r="CN136" i="16"/>
  <c r="CM136" i="16"/>
  <c r="CL136" i="16"/>
  <c r="CK136" i="16"/>
  <c r="CJ136" i="16"/>
  <c r="CI136" i="16"/>
  <c r="CH136" i="16"/>
  <c r="CG136" i="16"/>
  <c r="CF136" i="16"/>
  <c r="CE136" i="16"/>
  <c r="CD136" i="16"/>
  <c r="CC136" i="16"/>
  <c r="CB136" i="16"/>
  <c r="CA136" i="16"/>
  <c r="BZ136" i="16"/>
  <c r="BY136" i="16"/>
  <c r="BX136" i="16"/>
  <c r="BW136" i="16"/>
  <c r="BV136" i="16"/>
  <c r="BU136" i="16"/>
  <c r="BT136" i="16"/>
  <c r="BS136" i="16"/>
  <c r="BR136" i="16"/>
  <c r="BQ136" i="16"/>
  <c r="BP136" i="16"/>
  <c r="BO136" i="16"/>
  <c r="BN136" i="16"/>
  <c r="BM136" i="16"/>
  <c r="BL136" i="16"/>
  <c r="BK136" i="16"/>
  <c r="BJ136" i="16"/>
  <c r="BI136" i="16"/>
  <c r="BH136" i="16"/>
  <c r="BG136" i="16"/>
  <c r="BF136" i="16"/>
  <c r="BE136" i="16"/>
  <c r="BD136" i="16"/>
  <c r="BC136" i="16"/>
  <c r="BB136" i="16"/>
  <c r="BA136" i="16"/>
  <c r="AZ136" i="16"/>
  <c r="AY136" i="16"/>
  <c r="AX136" i="16"/>
  <c r="AW136" i="16"/>
  <c r="AV136" i="16"/>
  <c r="AU136" i="16"/>
  <c r="AT136" i="16"/>
  <c r="AS136" i="16"/>
  <c r="AR136" i="16"/>
  <c r="AQ136" i="16"/>
  <c r="AP136" i="16"/>
  <c r="AO136" i="16"/>
  <c r="AN136" i="16"/>
  <c r="AM136" i="16"/>
  <c r="AL136" i="16"/>
  <c r="AK136" i="16"/>
  <c r="AJ136" i="16"/>
  <c r="AI136" i="16"/>
  <c r="AH136" i="16"/>
  <c r="AG136" i="16"/>
  <c r="AF136" i="16"/>
  <c r="AE136" i="16"/>
  <c r="AD136" i="16"/>
  <c r="AC136" i="16"/>
  <c r="AB136" i="16"/>
  <c r="AA136" i="16"/>
  <c r="Z136" i="16"/>
  <c r="Y136" i="16"/>
  <c r="X136" i="16"/>
  <c r="W136" i="16"/>
  <c r="T136" i="16"/>
  <c r="Q136" i="16"/>
  <c r="N136" i="16"/>
  <c r="K136" i="16"/>
  <c r="DC135" i="16"/>
  <c r="DB135" i="16"/>
  <c r="DA135" i="16"/>
  <c r="CZ135" i="16"/>
  <c r="CY135" i="16"/>
  <c r="CX135" i="16"/>
  <c r="CW135" i="16"/>
  <c r="CV135" i="16"/>
  <c r="CU135" i="16"/>
  <c r="CT135" i="16"/>
  <c r="CS135" i="16"/>
  <c r="CR135" i="16"/>
  <c r="CQ135" i="16"/>
  <c r="CP135" i="16"/>
  <c r="CO135" i="16"/>
  <c r="CN135" i="16"/>
  <c r="CM135" i="16"/>
  <c r="CL135" i="16"/>
  <c r="CK135" i="16"/>
  <c r="CJ135" i="16"/>
  <c r="CI135" i="16"/>
  <c r="CH135" i="16"/>
  <c r="CG135" i="16"/>
  <c r="CF135" i="16"/>
  <c r="CE135" i="16"/>
  <c r="CD135" i="16"/>
  <c r="CC135" i="16"/>
  <c r="CB135" i="16"/>
  <c r="CA135" i="16"/>
  <c r="BZ135" i="16"/>
  <c r="BY135" i="16"/>
  <c r="BX135" i="16"/>
  <c r="BW135" i="16"/>
  <c r="BV135" i="16"/>
  <c r="BU135" i="16"/>
  <c r="BT135" i="16"/>
  <c r="BS135" i="16"/>
  <c r="BR135" i="16"/>
  <c r="BQ135" i="16"/>
  <c r="BP135" i="16"/>
  <c r="BO135" i="16"/>
  <c r="BN135" i="16"/>
  <c r="BM135" i="16"/>
  <c r="BL135" i="16"/>
  <c r="BK135" i="16"/>
  <c r="BJ135" i="16"/>
  <c r="BI135" i="16"/>
  <c r="BH135" i="16"/>
  <c r="BG135" i="16"/>
  <c r="BF135" i="16"/>
  <c r="BE135" i="16"/>
  <c r="BD135" i="16"/>
  <c r="BC135" i="16"/>
  <c r="BB135" i="16"/>
  <c r="BA135" i="16"/>
  <c r="AZ135" i="16"/>
  <c r="AY135" i="16"/>
  <c r="AX135" i="16"/>
  <c r="AW135" i="16"/>
  <c r="AV135" i="16"/>
  <c r="AU135" i="16"/>
  <c r="AT135" i="16"/>
  <c r="AS135" i="16"/>
  <c r="AR135" i="16"/>
  <c r="AQ135" i="16"/>
  <c r="AP135" i="16"/>
  <c r="AO135" i="16"/>
  <c r="AN135" i="16"/>
  <c r="AM135" i="16"/>
  <c r="AL135" i="16"/>
  <c r="AK135" i="16"/>
  <c r="AJ135" i="16"/>
  <c r="AI135" i="16"/>
  <c r="AH135" i="16"/>
  <c r="AG135" i="16"/>
  <c r="AF135" i="16"/>
  <c r="AE135" i="16"/>
  <c r="AD135" i="16"/>
  <c r="AC135" i="16"/>
  <c r="AB135" i="16"/>
  <c r="AA135" i="16"/>
  <c r="Z135" i="16"/>
  <c r="Y135" i="16"/>
  <c r="X135" i="16"/>
  <c r="W135" i="16"/>
  <c r="V135" i="16"/>
  <c r="U135" i="16"/>
  <c r="T135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DC132" i="16"/>
  <c r="DB132" i="16"/>
  <c r="DA132" i="16"/>
  <c r="CX132" i="16"/>
  <c r="CW132" i="16"/>
  <c r="CS132" i="16"/>
  <c r="CO132" i="16"/>
  <c r="CN132" i="16"/>
  <c r="CM132" i="16"/>
  <c r="CJ132" i="16"/>
  <c r="CI132" i="16"/>
  <c r="CE132" i="16"/>
  <c r="CA132" i="16"/>
  <c r="BZ132" i="16"/>
  <c r="BY132" i="16"/>
  <c r="BV132" i="16"/>
  <c r="BU132" i="16"/>
  <c r="BT132" i="16"/>
  <c r="BS132" i="16"/>
  <c r="BM132" i="16"/>
  <c r="BL132" i="16"/>
  <c r="BK132" i="16"/>
  <c r="BH132" i="16"/>
  <c r="BG132" i="16"/>
  <c r="BC132" i="16"/>
  <c r="AY132" i="16"/>
  <c r="AX132" i="16"/>
  <c r="AW132" i="16"/>
  <c r="AU132" i="16"/>
  <c r="AT132" i="16"/>
  <c r="AS132" i="16"/>
  <c r="AO132" i="16"/>
  <c r="AK132" i="16"/>
  <c r="AJ132" i="16"/>
  <c r="AI132" i="16"/>
  <c r="AF132" i="16"/>
  <c r="AE132" i="16"/>
  <c r="AA132" i="16"/>
  <c r="W132" i="16"/>
  <c r="V132" i="16"/>
  <c r="U132" i="16"/>
  <c r="R132" i="16"/>
  <c r="Q132" i="16"/>
  <c r="M132" i="16"/>
  <c r="I132" i="16"/>
  <c r="H132" i="16"/>
  <c r="G132" i="16"/>
  <c r="DB129" i="16"/>
  <c r="DA129" i="16"/>
  <c r="CQ129" i="16"/>
  <c r="CN129" i="16"/>
  <c r="CM129" i="16"/>
  <c r="CC129" i="16"/>
  <c r="BY129" i="16"/>
  <c r="BO129" i="16"/>
  <c r="BL129" i="16"/>
  <c r="BK129" i="16"/>
  <c r="BI129" i="16"/>
  <c r="BH129" i="16"/>
  <c r="BF129" i="16"/>
  <c r="BA129" i="16"/>
  <c r="AW129" i="16"/>
  <c r="AM129" i="16"/>
  <c r="AJ129" i="16"/>
  <c r="AI129" i="16"/>
  <c r="AH129" i="16"/>
  <c r="AG129" i="16"/>
  <c r="Y129" i="16"/>
  <c r="Q129" i="16"/>
  <c r="K129" i="16"/>
  <c r="DC128" i="16"/>
  <c r="DB128" i="16"/>
  <c r="DA128" i="16"/>
  <c r="CW128" i="16"/>
  <c r="CV128" i="16"/>
  <c r="CS128" i="16"/>
  <c r="CQ128" i="16"/>
  <c r="CO128" i="16"/>
  <c r="CN128" i="16"/>
  <c r="CM128" i="16"/>
  <c r="CI128" i="16"/>
  <c r="CE128" i="16"/>
  <c r="CD128" i="16"/>
  <c r="CC128" i="16"/>
  <c r="CB128" i="16"/>
  <c r="CA128" i="16"/>
  <c r="BZ128" i="16"/>
  <c r="BY128" i="16"/>
  <c r="BU128" i="16"/>
  <c r="BQ128" i="16"/>
  <c r="BO128" i="16"/>
  <c r="BN128" i="16"/>
  <c r="BM128" i="16"/>
  <c r="BL128" i="16"/>
  <c r="BK128" i="16"/>
  <c r="BG128" i="16"/>
  <c r="BC128" i="16"/>
  <c r="BB128" i="16"/>
  <c r="BA128" i="16"/>
  <c r="AZ128" i="16"/>
  <c r="AY128" i="16"/>
  <c r="AX128" i="16"/>
  <c r="AW128" i="16"/>
  <c r="AS128" i="16"/>
  <c r="AO128" i="16"/>
  <c r="AN128" i="16"/>
  <c r="AM128" i="16"/>
  <c r="AL128" i="16"/>
  <c r="AK128" i="16"/>
  <c r="AJ128" i="16"/>
  <c r="AI128" i="16"/>
  <c r="AE128" i="16"/>
  <c r="AA128" i="16"/>
  <c r="Y128" i="16"/>
  <c r="X128" i="16"/>
  <c r="W128" i="16"/>
  <c r="V128" i="16"/>
  <c r="U128" i="16"/>
  <c r="Q128" i="16"/>
  <c r="M128" i="16"/>
  <c r="L128" i="16"/>
  <c r="K128" i="16"/>
  <c r="I128" i="16"/>
  <c r="H128" i="16"/>
  <c r="G128" i="16"/>
  <c r="DC127" i="16"/>
  <c r="DB127" i="16"/>
  <c r="DA127" i="16"/>
  <c r="CZ127" i="16"/>
  <c r="CY127" i="16"/>
  <c r="CX127" i="16"/>
  <c r="CX128" i="16" s="1"/>
  <c r="CW127" i="16"/>
  <c r="CV127" i="16"/>
  <c r="CV129" i="16" s="1"/>
  <c r="CU127" i="16"/>
  <c r="CT127" i="16"/>
  <c r="CS127" i="16"/>
  <c r="CR127" i="16"/>
  <c r="CR132" i="16" s="1"/>
  <c r="CQ127" i="16"/>
  <c r="CQ132" i="16" s="1"/>
  <c r="CP127" i="16"/>
  <c r="CO127" i="16"/>
  <c r="CN127" i="16"/>
  <c r="CM127" i="16"/>
  <c r="CL127" i="16"/>
  <c r="CL129" i="16" s="1"/>
  <c r="CK127" i="16"/>
  <c r="CK129" i="16" s="1"/>
  <c r="CJ127" i="16"/>
  <c r="CJ128" i="16" s="1"/>
  <c r="CI127" i="16"/>
  <c r="CH127" i="16"/>
  <c r="CH132" i="16" s="1"/>
  <c r="CG127" i="16"/>
  <c r="CF127" i="16"/>
  <c r="CE127" i="16"/>
  <c r="CD127" i="16"/>
  <c r="CD132" i="16" s="1"/>
  <c r="CC127" i="16"/>
  <c r="CC132" i="16" s="1"/>
  <c r="CB127" i="16"/>
  <c r="CA127" i="16"/>
  <c r="BZ127" i="16"/>
  <c r="BY127" i="16"/>
  <c r="BX127" i="16"/>
  <c r="CJ129" i="16" s="1"/>
  <c r="BW127" i="16"/>
  <c r="BW132" i="16" s="1"/>
  <c r="BV127" i="16"/>
  <c r="BV128" i="16" s="1"/>
  <c r="BU127" i="16"/>
  <c r="BT127" i="16"/>
  <c r="BT128" i="16" s="1"/>
  <c r="BS127" i="16"/>
  <c r="BR127" i="16"/>
  <c r="CD129" i="16" s="1"/>
  <c r="BQ127" i="16"/>
  <c r="BP127" i="16"/>
  <c r="BP132" i="16" s="1"/>
  <c r="BO127" i="16"/>
  <c r="BO132" i="16" s="1"/>
  <c r="BN127" i="16"/>
  <c r="BM127" i="16"/>
  <c r="BL127" i="16"/>
  <c r="BK127" i="16"/>
  <c r="BJ127" i="16"/>
  <c r="BJ129" i="16" s="1"/>
  <c r="BI127" i="16"/>
  <c r="BH127" i="16"/>
  <c r="BH128" i="16" s="1"/>
  <c r="BG127" i="16"/>
  <c r="BF127" i="16"/>
  <c r="BF132" i="16" s="1"/>
  <c r="BE127" i="16"/>
  <c r="BD127" i="16"/>
  <c r="BC127" i="16"/>
  <c r="BB127" i="16"/>
  <c r="BB132" i="16" s="1"/>
  <c r="BA127" i="16"/>
  <c r="BA132" i="16" s="1"/>
  <c r="AZ127" i="16"/>
  <c r="AY127" i="16"/>
  <c r="AX127" i="16"/>
  <c r="AW127" i="16"/>
  <c r="AV127" i="16"/>
  <c r="AU127" i="16"/>
  <c r="AT127" i="16"/>
  <c r="AT128" i="16" s="1"/>
  <c r="AS127" i="16"/>
  <c r="AR127" i="16"/>
  <c r="AR132" i="16" s="1"/>
  <c r="AQ127" i="16"/>
  <c r="AP127" i="16"/>
  <c r="AO127" i="16"/>
  <c r="AN127" i="16"/>
  <c r="AN132" i="16" s="1"/>
  <c r="AM127" i="16"/>
  <c r="AM132" i="16" s="1"/>
  <c r="AL127" i="16"/>
  <c r="AK127" i="16"/>
  <c r="AJ127" i="16"/>
  <c r="AI127" i="16"/>
  <c r="AH127" i="16"/>
  <c r="AT129" i="16" s="1"/>
  <c r="AG127" i="16"/>
  <c r="AF127" i="16"/>
  <c r="AF128" i="16" s="1"/>
  <c r="AE127" i="16"/>
  <c r="AD127" i="16"/>
  <c r="AD129" i="16" s="1"/>
  <c r="AC127" i="16"/>
  <c r="AB127" i="16"/>
  <c r="AN129" i="16" s="1"/>
  <c r="AA127" i="16"/>
  <c r="Z127" i="16"/>
  <c r="Z132" i="16" s="1"/>
  <c r="Y127" i="16"/>
  <c r="Y132" i="16" s="1"/>
  <c r="X127" i="16"/>
  <c r="W127" i="16"/>
  <c r="V127" i="16"/>
  <c r="U127" i="16"/>
  <c r="T127" i="16"/>
  <c r="S127" i="16"/>
  <c r="R127" i="16"/>
  <c r="R128" i="16" s="1"/>
  <c r="Q127" i="16"/>
  <c r="P127" i="16"/>
  <c r="P121" i="16" s="1"/>
  <c r="O127" i="16"/>
  <c r="N127" i="16"/>
  <c r="N129" i="16" s="1"/>
  <c r="M127" i="16"/>
  <c r="L127" i="16"/>
  <c r="L132" i="16" s="1"/>
  <c r="K127" i="16"/>
  <c r="K132" i="16" s="1"/>
  <c r="J127" i="16"/>
  <c r="J132" i="16" s="1"/>
  <c r="I127" i="16"/>
  <c r="H127" i="16"/>
  <c r="G127" i="16"/>
  <c r="BZ123" i="16"/>
  <c r="AX123" i="16"/>
  <c r="W123" i="16"/>
  <c r="DB122" i="16"/>
  <c r="CS122" i="16"/>
  <c r="CO122" i="16"/>
  <c r="CN122" i="16"/>
  <c r="CM122" i="16"/>
  <c r="BZ122" i="16"/>
  <c r="BQ122" i="16"/>
  <c r="BN122" i="16"/>
  <c r="BM122" i="16"/>
  <c r="BL122" i="16"/>
  <c r="AX122" i="16"/>
  <c r="AW122" i="16"/>
  <c r="AO122" i="16"/>
  <c r="AL122" i="16"/>
  <c r="AJ122" i="16"/>
  <c r="W122" i="16"/>
  <c r="V122" i="16"/>
  <c r="U122" i="16"/>
  <c r="H122" i="16"/>
  <c r="G122" i="16"/>
  <c r="DC121" i="16"/>
  <c r="DC120" i="16" s="1"/>
  <c r="DB121" i="16"/>
  <c r="DB120" i="16" s="1"/>
  <c r="DA121" i="16"/>
  <c r="DA122" i="16" s="1"/>
  <c r="CW121" i="16"/>
  <c r="CS121" i="16"/>
  <c r="CR121" i="16"/>
  <c r="CQ121" i="16"/>
  <c r="CP121" i="16"/>
  <c r="CP123" i="16" s="1"/>
  <c r="CO121" i="16"/>
  <c r="CO120" i="16" s="1"/>
  <c r="CN121" i="16"/>
  <c r="CN120" i="16" s="1"/>
  <c r="CM121" i="16"/>
  <c r="CI121" i="16"/>
  <c r="CE121" i="16"/>
  <c r="CE120" i="16" s="1"/>
  <c r="CD121" i="16"/>
  <c r="CC121" i="16"/>
  <c r="CB121" i="16"/>
  <c r="CB123" i="16" s="1"/>
  <c r="CA121" i="16"/>
  <c r="CA120" i="16" s="1"/>
  <c r="BZ121" i="16"/>
  <c r="BZ120" i="16" s="1"/>
  <c r="BY121" i="16"/>
  <c r="BU121" i="16"/>
  <c r="BT121" i="16"/>
  <c r="BT122" i="16" s="1"/>
  <c r="BQ121" i="16"/>
  <c r="BP121" i="16"/>
  <c r="BO121" i="16"/>
  <c r="BN121" i="16"/>
  <c r="BM121" i="16"/>
  <c r="BM120" i="16" s="1"/>
  <c r="BL121" i="16"/>
  <c r="BL120" i="16" s="1"/>
  <c r="BK121" i="16"/>
  <c r="BG121" i="16"/>
  <c r="BC121" i="16"/>
  <c r="BC120" i="16" s="1"/>
  <c r="BB121" i="16"/>
  <c r="BA121" i="16"/>
  <c r="AZ121" i="16"/>
  <c r="AZ123" i="16" s="1"/>
  <c r="AY121" i="16"/>
  <c r="AX121" i="16"/>
  <c r="AX120" i="16" s="1"/>
  <c r="AW121" i="16"/>
  <c r="AS121" i="16"/>
  <c r="AO121" i="16"/>
  <c r="AN121" i="16"/>
  <c r="AM121" i="16"/>
  <c r="AL121" i="16"/>
  <c r="AK121" i="16"/>
  <c r="AK120" i="16" s="1"/>
  <c r="AJ121" i="16"/>
  <c r="AJ120" i="16" s="1"/>
  <c r="AI121" i="16"/>
  <c r="AE121" i="16"/>
  <c r="AD121" i="16"/>
  <c r="AD122" i="16" s="1"/>
  <c r="AA121" i="16"/>
  <c r="Y121" i="16"/>
  <c r="W121" i="16"/>
  <c r="W120" i="16" s="1"/>
  <c r="V121" i="16"/>
  <c r="V120" i="16" s="1"/>
  <c r="U121" i="16"/>
  <c r="U120" i="16" s="1"/>
  <c r="Q121" i="16"/>
  <c r="M121" i="16"/>
  <c r="M122" i="16" s="1"/>
  <c r="L121" i="16"/>
  <c r="L122" i="16" s="1"/>
  <c r="K121" i="16"/>
  <c r="J121" i="16"/>
  <c r="J120" i="16" s="1"/>
  <c r="I121" i="16"/>
  <c r="I120" i="16" s="1"/>
  <c r="H121" i="16"/>
  <c r="H120" i="16" s="1"/>
  <c r="G121" i="16"/>
  <c r="G120" i="16" s="1"/>
  <c r="BQ120" i="16"/>
  <c r="BP120" i="16"/>
  <c r="BN120" i="16"/>
  <c r="AO120" i="16"/>
  <c r="AN120" i="16"/>
  <c r="AL120" i="16"/>
  <c r="M120" i="16"/>
  <c r="L120" i="16"/>
  <c r="DC113" i="16"/>
  <c r="DB113" i="16"/>
  <c r="DA113" i="16"/>
  <c r="CZ113" i="16"/>
  <c r="CY113" i="16"/>
  <c r="CX113" i="16"/>
  <c r="CW113" i="16"/>
  <c r="CV113" i="16"/>
  <c r="CU113" i="16"/>
  <c r="CT113" i="16"/>
  <c r="CS113" i="16"/>
  <c r="CR113" i="16"/>
  <c r="CQ113" i="16"/>
  <c r="CP113" i="16"/>
  <c r="CO113" i="16"/>
  <c r="CN113" i="16"/>
  <c r="CM113" i="16"/>
  <c r="CL113" i="16"/>
  <c r="CK113" i="16"/>
  <c r="CJ113" i="16"/>
  <c r="CI113" i="16"/>
  <c r="CH113" i="16"/>
  <c r="CG113" i="16"/>
  <c r="CF113" i="16"/>
  <c r="CE113" i="16"/>
  <c r="CD113" i="16"/>
  <c r="CC113" i="16"/>
  <c r="CB113" i="16"/>
  <c r="CA113" i="16"/>
  <c r="BZ113" i="16"/>
  <c r="BY113" i="16"/>
  <c r="BX113" i="16"/>
  <c r="BW113" i="16"/>
  <c r="BV113" i="16"/>
  <c r="BU113" i="16"/>
  <c r="BT113" i="16"/>
  <c r="BS113" i="16"/>
  <c r="BR113" i="16"/>
  <c r="BQ113" i="16"/>
  <c r="BP113" i="16"/>
  <c r="BO113" i="16"/>
  <c r="BN113" i="16"/>
  <c r="BM113" i="16"/>
  <c r="BL113" i="16"/>
  <c r="BK113" i="16"/>
  <c r="BJ113" i="16"/>
  <c r="BI113" i="16"/>
  <c r="BH113" i="16"/>
  <c r="BG113" i="16"/>
  <c r="BF113" i="16"/>
  <c r="BE113" i="16"/>
  <c r="BD113" i="16"/>
  <c r="BC113" i="16"/>
  <c r="BB113" i="16"/>
  <c r="BA113" i="16"/>
  <c r="AZ113" i="16"/>
  <c r="AY113" i="16"/>
  <c r="AX113" i="16"/>
  <c r="AW113" i="16"/>
  <c r="AV113" i="16"/>
  <c r="AU113" i="16"/>
  <c r="AT113" i="16"/>
  <c r="AS113" i="16"/>
  <c r="AR113" i="16"/>
  <c r="AQ113" i="16"/>
  <c r="AP113" i="16"/>
  <c r="AO113" i="16"/>
  <c r="AN113" i="16"/>
  <c r="AM113" i="16"/>
  <c r="AL113" i="16"/>
  <c r="AK113" i="16"/>
  <c r="AJ113" i="16"/>
  <c r="AI113" i="16"/>
  <c r="AH113" i="16"/>
  <c r="AG113" i="16"/>
  <c r="AF113" i="16"/>
  <c r="AE113" i="16"/>
  <c r="AD113" i="16"/>
  <c r="AC113" i="16"/>
  <c r="AB113" i="16"/>
  <c r="AA113" i="16"/>
  <c r="Z113" i="16"/>
  <c r="Y113" i="16"/>
  <c r="X113" i="16"/>
  <c r="W113" i="16"/>
  <c r="T113" i="16"/>
  <c r="Q113" i="16"/>
  <c r="N113" i="16"/>
  <c r="K113" i="16"/>
  <c r="DC112" i="16"/>
  <c r="DB112" i="16"/>
  <c r="DA112" i="16"/>
  <c r="CZ112" i="16"/>
  <c r="CY112" i="16"/>
  <c r="CX112" i="16"/>
  <c r="CW112" i="16"/>
  <c r="CV112" i="16"/>
  <c r="CU112" i="16"/>
  <c r="CT112" i="16"/>
  <c r="CS112" i="16"/>
  <c r="CR112" i="16"/>
  <c r="CQ112" i="16"/>
  <c r="CP112" i="16"/>
  <c r="CO112" i="16"/>
  <c r="CN112" i="16"/>
  <c r="CM112" i="16"/>
  <c r="CL112" i="16"/>
  <c r="CK112" i="16"/>
  <c r="CJ112" i="16"/>
  <c r="CI112" i="16"/>
  <c r="CH112" i="16"/>
  <c r="CG112" i="16"/>
  <c r="CF112" i="16"/>
  <c r="CE112" i="16"/>
  <c r="CD112" i="16"/>
  <c r="CC112" i="16"/>
  <c r="CB112" i="16"/>
  <c r="CA112" i="16"/>
  <c r="BZ112" i="16"/>
  <c r="BY112" i="16"/>
  <c r="BX112" i="16"/>
  <c r="BW112" i="16"/>
  <c r="BV112" i="16"/>
  <c r="BU112" i="16"/>
  <c r="BT112" i="16"/>
  <c r="BS112" i="16"/>
  <c r="BR112" i="16"/>
  <c r="BQ112" i="16"/>
  <c r="BP112" i="16"/>
  <c r="BO112" i="16"/>
  <c r="BN112" i="16"/>
  <c r="BM112" i="16"/>
  <c r="BL112" i="16"/>
  <c r="BK112" i="16"/>
  <c r="BJ112" i="16"/>
  <c r="BI112" i="16"/>
  <c r="BH112" i="16"/>
  <c r="BG112" i="16"/>
  <c r="BF112" i="16"/>
  <c r="BE112" i="16"/>
  <c r="BD112" i="16"/>
  <c r="BC112" i="16"/>
  <c r="BB112" i="16"/>
  <c r="BA112" i="16"/>
  <c r="AZ112" i="16"/>
  <c r="AY112" i="16"/>
  <c r="AX112" i="16"/>
  <c r="AW112" i="16"/>
  <c r="AV112" i="16"/>
  <c r="AU112" i="16"/>
  <c r="AT112" i="16"/>
  <c r="AS112" i="16"/>
  <c r="AR112" i="16"/>
  <c r="AQ112" i="16"/>
  <c r="AP112" i="16"/>
  <c r="AO112" i="16"/>
  <c r="AN112" i="16"/>
  <c r="AM112" i="16"/>
  <c r="AL112" i="16"/>
  <c r="AK112" i="16"/>
  <c r="AJ112" i="16"/>
  <c r="AI112" i="16"/>
  <c r="AH112" i="16"/>
  <c r="AG112" i="16"/>
  <c r="AF112" i="16"/>
  <c r="AE112" i="16"/>
  <c r="AD112" i="16"/>
  <c r="AC112" i="16"/>
  <c r="AB112" i="16"/>
  <c r="AA112" i="16"/>
  <c r="Z112" i="16"/>
  <c r="Y112" i="16"/>
  <c r="X112" i="16"/>
  <c r="W112" i="16"/>
  <c r="V112" i="16"/>
  <c r="U112" i="16"/>
  <c r="T112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DC109" i="16"/>
  <c r="DB109" i="16"/>
  <c r="DA109" i="16"/>
  <c r="CZ109" i="16"/>
  <c r="CY109" i="16"/>
  <c r="CX109" i="16"/>
  <c r="CW109" i="16"/>
  <c r="CV109" i="16"/>
  <c r="CU109" i="16"/>
  <c r="CT109" i="16"/>
  <c r="CS109" i="16"/>
  <c r="CR109" i="16"/>
  <c r="CQ109" i="16"/>
  <c r="CP109" i="16"/>
  <c r="CO109" i="16"/>
  <c r="CN109" i="16"/>
  <c r="CM109" i="16"/>
  <c r="CL109" i="16"/>
  <c r="CK109" i="16"/>
  <c r="CJ109" i="16"/>
  <c r="CI109" i="16"/>
  <c r="CH109" i="16"/>
  <c r="CG109" i="16"/>
  <c r="CF109" i="16"/>
  <c r="CE109" i="16"/>
  <c r="CD109" i="16"/>
  <c r="CC109" i="16"/>
  <c r="CB109" i="16"/>
  <c r="CA109" i="16"/>
  <c r="BZ109" i="16"/>
  <c r="BY109" i="16"/>
  <c r="BX109" i="16"/>
  <c r="BW109" i="16"/>
  <c r="BV109" i="16"/>
  <c r="BU109" i="16"/>
  <c r="BT109" i="16"/>
  <c r="BS109" i="16"/>
  <c r="BR109" i="16"/>
  <c r="BQ109" i="16"/>
  <c r="BP109" i="16"/>
  <c r="BO109" i="16"/>
  <c r="BN109" i="16"/>
  <c r="BM109" i="16"/>
  <c r="BL109" i="16"/>
  <c r="BK109" i="16"/>
  <c r="BJ109" i="16"/>
  <c r="BI109" i="16"/>
  <c r="BH109" i="16"/>
  <c r="BG109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T109" i="16"/>
  <c r="Q109" i="16"/>
  <c r="N109" i="16"/>
  <c r="K109" i="16"/>
  <c r="DC103" i="16"/>
  <c r="DB103" i="16"/>
  <c r="DA103" i="16"/>
  <c r="CZ103" i="16"/>
  <c r="CY103" i="16"/>
  <c r="CX103" i="16"/>
  <c r="CW103" i="16"/>
  <c r="CV103" i="16"/>
  <c r="CU103" i="16"/>
  <c r="CT103" i="16"/>
  <c r="CS103" i="16"/>
  <c r="CR103" i="16"/>
  <c r="CQ103" i="16"/>
  <c r="CP103" i="16"/>
  <c r="CO103" i="16"/>
  <c r="CN103" i="16"/>
  <c r="CM103" i="16"/>
  <c r="CL103" i="16"/>
  <c r="CK103" i="16"/>
  <c r="CJ103" i="16"/>
  <c r="CI103" i="16"/>
  <c r="CH103" i="16"/>
  <c r="CG103" i="16"/>
  <c r="CF103" i="16"/>
  <c r="CE103" i="16"/>
  <c r="CD103" i="16"/>
  <c r="CC103" i="16"/>
  <c r="CB103" i="16"/>
  <c r="CA103" i="16"/>
  <c r="BZ103" i="16"/>
  <c r="BY103" i="16"/>
  <c r="BX103" i="16"/>
  <c r="BW103" i="16"/>
  <c r="BV103" i="16"/>
  <c r="BU103" i="16"/>
  <c r="BT103" i="16"/>
  <c r="BS103" i="16"/>
  <c r="BR103" i="16"/>
  <c r="BQ103" i="16"/>
  <c r="BP103" i="16"/>
  <c r="BO103" i="16"/>
  <c r="BN103" i="16"/>
  <c r="BM103" i="16"/>
  <c r="BL103" i="16"/>
  <c r="BK103" i="16"/>
  <c r="BJ103" i="16"/>
  <c r="BI103" i="16"/>
  <c r="BH103" i="16"/>
  <c r="BG103" i="16"/>
  <c r="BF103" i="16"/>
  <c r="BE103" i="16"/>
  <c r="BD103" i="16"/>
  <c r="BC103" i="16"/>
  <c r="BB103" i="16"/>
  <c r="BA103" i="16"/>
  <c r="AZ103" i="16"/>
  <c r="AY103" i="16"/>
  <c r="AX103" i="16"/>
  <c r="AW103" i="16"/>
  <c r="AV103" i="16"/>
  <c r="AU103" i="16"/>
  <c r="AT103" i="16"/>
  <c r="AS103" i="16"/>
  <c r="AR103" i="16"/>
  <c r="AQ103" i="16"/>
  <c r="AP103" i="16"/>
  <c r="AO103" i="16"/>
  <c r="AN103" i="16"/>
  <c r="AM103" i="16"/>
  <c r="AL103" i="16"/>
  <c r="AK103" i="16"/>
  <c r="AJ103" i="16"/>
  <c r="AI103" i="16"/>
  <c r="AH103" i="16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DC102" i="16"/>
  <c r="DB102" i="16"/>
  <c r="DA102" i="16"/>
  <c r="CZ102" i="16"/>
  <c r="CY102" i="16"/>
  <c r="CX102" i="16"/>
  <c r="CW102" i="16"/>
  <c r="CV102" i="16"/>
  <c r="CU102" i="16"/>
  <c r="CT102" i="16"/>
  <c r="CS102" i="16"/>
  <c r="CR102" i="16"/>
  <c r="CQ102" i="16"/>
  <c r="CP102" i="16"/>
  <c r="CO102" i="16"/>
  <c r="CN102" i="16"/>
  <c r="CM102" i="16"/>
  <c r="CL102" i="16"/>
  <c r="CK102" i="16"/>
  <c r="CJ102" i="16"/>
  <c r="CI102" i="16"/>
  <c r="CH102" i="16"/>
  <c r="CG102" i="16"/>
  <c r="CF102" i="16"/>
  <c r="CE102" i="16"/>
  <c r="CD102" i="16"/>
  <c r="CC102" i="16"/>
  <c r="CB102" i="16"/>
  <c r="CA102" i="16"/>
  <c r="BZ102" i="16"/>
  <c r="BY102" i="16"/>
  <c r="BX102" i="16"/>
  <c r="BW102" i="16"/>
  <c r="BV102" i="16"/>
  <c r="BU102" i="16"/>
  <c r="BT102" i="16"/>
  <c r="BS102" i="16"/>
  <c r="BR102" i="16"/>
  <c r="BQ102" i="16"/>
  <c r="BP102" i="16"/>
  <c r="BO102" i="16"/>
  <c r="BN102" i="16"/>
  <c r="BM102" i="16"/>
  <c r="BL102" i="16"/>
  <c r="BK102" i="16"/>
  <c r="BJ102" i="16"/>
  <c r="BI102" i="16"/>
  <c r="BH102" i="16"/>
  <c r="BG102" i="16"/>
  <c r="BF102" i="16"/>
  <c r="BE102" i="16"/>
  <c r="BD102" i="16"/>
  <c r="BC102" i="16"/>
  <c r="BB102" i="16"/>
  <c r="BA102" i="16"/>
  <c r="AZ102" i="16"/>
  <c r="AY102" i="16"/>
  <c r="AX102" i="16"/>
  <c r="AW102" i="16"/>
  <c r="AV102" i="16"/>
  <c r="AU102" i="16"/>
  <c r="AT102" i="16"/>
  <c r="AS102" i="16"/>
  <c r="AR102" i="16"/>
  <c r="AQ102" i="16"/>
  <c r="AP102" i="16"/>
  <c r="AO102" i="16"/>
  <c r="AN102" i="16"/>
  <c r="AM102" i="16"/>
  <c r="AL102" i="16"/>
  <c r="AK102" i="16"/>
  <c r="AJ102" i="16"/>
  <c r="AI102" i="16"/>
  <c r="AH102" i="16"/>
  <c r="AG102" i="16"/>
  <c r="AF102" i="16"/>
  <c r="AE102" i="16"/>
  <c r="AD102" i="16"/>
  <c r="AC102" i="16"/>
  <c r="AB102" i="16"/>
  <c r="AA102" i="16"/>
  <c r="Z102" i="16"/>
  <c r="Y102" i="16"/>
  <c r="X102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DC99" i="16"/>
  <c r="DB99" i="16"/>
  <c r="DA99" i="16"/>
  <c r="CZ99" i="16"/>
  <c r="CY99" i="16"/>
  <c r="CX99" i="16"/>
  <c r="CW99" i="16"/>
  <c r="CV99" i="16"/>
  <c r="CU99" i="16"/>
  <c r="CT99" i="16"/>
  <c r="CS99" i="16"/>
  <c r="CR99" i="16"/>
  <c r="CQ99" i="16"/>
  <c r="CP99" i="16"/>
  <c r="CO99" i="16"/>
  <c r="CN99" i="16"/>
  <c r="CM99" i="16"/>
  <c r="CL99" i="16"/>
  <c r="CK99" i="16"/>
  <c r="CJ99" i="16"/>
  <c r="CI99" i="16"/>
  <c r="CH99" i="16"/>
  <c r="CG99" i="16"/>
  <c r="CF99" i="16"/>
  <c r="CE99" i="16"/>
  <c r="CD99" i="16"/>
  <c r="CC99" i="16"/>
  <c r="CB99" i="16"/>
  <c r="CA99" i="16"/>
  <c r="BZ99" i="16"/>
  <c r="BY99" i="16"/>
  <c r="BX99" i="16"/>
  <c r="BW99" i="16"/>
  <c r="BV99" i="16"/>
  <c r="BU99" i="16"/>
  <c r="BT99" i="16"/>
  <c r="BS99" i="16"/>
  <c r="BR99" i="16"/>
  <c r="BQ99" i="16"/>
  <c r="BP99" i="16"/>
  <c r="BO99" i="16"/>
  <c r="BN99" i="16"/>
  <c r="BM99" i="16"/>
  <c r="BL99" i="16"/>
  <c r="BK99" i="16"/>
  <c r="BJ99" i="16"/>
  <c r="BI99" i="16"/>
  <c r="BH99" i="16"/>
  <c r="BG99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T99" i="16"/>
  <c r="Q99" i="16"/>
  <c r="N99" i="16"/>
  <c r="K99" i="16"/>
  <c r="DC98" i="16"/>
  <c r="DB98" i="16"/>
  <c r="DA98" i="16"/>
  <c r="CZ98" i="16"/>
  <c r="CY98" i="16"/>
  <c r="CX98" i="16"/>
  <c r="CW98" i="16"/>
  <c r="CV98" i="16"/>
  <c r="CU98" i="16"/>
  <c r="CT98" i="16"/>
  <c r="CS98" i="16"/>
  <c r="CR98" i="16"/>
  <c r="CQ98" i="16"/>
  <c r="CP98" i="16"/>
  <c r="CO98" i="16"/>
  <c r="CN98" i="16"/>
  <c r="CM98" i="16"/>
  <c r="CL98" i="16"/>
  <c r="CK98" i="16"/>
  <c r="CJ98" i="16"/>
  <c r="CI98" i="16"/>
  <c r="CH98" i="16"/>
  <c r="CG98" i="16"/>
  <c r="CF98" i="16"/>
  <c r="CE98" i="16"/>
  <c r="CD98" i="16"/>
  <c r="CC98" i="16"/>
  <c r="CB98" i="16"/>
  <c r="CA98" i="16"/>
  <c r="BZ98" i="16"/>
  <c r="BY98" i="16"/>
  <c r="BX98" i="16"/>
  <c r="BW98" i="16"/>
  <c r="BV98" i="16"/>
  <c r="BU98" i="16"/>
  <c r="BT98" i="16"/>
  <c r="BS98" i="16"/>
  <c r="BR98" i="16"/>
  <c r="BQ98" i="16"/>
  <c r="BP98" i="16"/>
  <c r="BO98" i="16"/>
  <c r="BN98" i="16"/>
  <c r="BM98" i="16"/>
  <c r="BL98" i="16"/>
  <c r="BK98" i="16"/>
  <c r="BJ98" i="16"/>
  <c r="BI98" i="16"/>
  <c r="BH98" i="16"/>
  <c r="BG98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DA94" i="16"/>
  <c r="CY94" i="16"/>
  <c r="CU94" i="16"/>
  <c r="CN94" i="16"/>
  <c r="CK94" i="16"/>
  <c r="CG94" i="16"/>
  <c r="BK94" i="16"/>
  <c r="AW94" i="16"/>
  <c r="AU94" i="16"/>
  <c r="AI94" i="16"/>
  <c r="G94" i="16"/>
  <c r="DB93" i="16"/>
  <c r="DB94" i="16" s="1"/>
  <c r="CX93" i="16"/>
  <c r="CQ93" i="16"/>
  <c r="CN93" i="16"/>
  <c r="CJ93" i="16"/>
  <c r="BV93" i="16"/>
  <c r="BN93" i="16"/>
  <c r="BN94" i="16" s="1"/>
  <c r="BH93" i="16"/>
  <c r="BA93" i="16"/>
  <c r="AZ93" i="16"/>
  <c r="AZ94" i="16" s="1"/>
  <c r="AX93" i="16"/>
  <c r="AX95" i="16" s="1"/>
  <c r="AT93" i="16"/>
  <c r="AM93" i="16"/>
  <c r="AL93" i="16"/>
  <c r="AL94" i="16" s="1"/>
  <c r="AF93" i="16"/>
  <c r="R93" i="16"/>
  <c r="R94" i="16" s="1"/>
  <c r="J93" i="16"/>
  <c r="J94" i="16" s="1"/>
  <c r="H93" i="16"/>
  <c r="H94" i="16" s="1"/>
  <c r="DC92" i="16"/>
  <c r="DB92" i="16"/>
  <c r="DA92" i="16"/>
  <c r="CZ92" i="16"/>
  <c r="CY92" i="16"/>
  <c r="CX92" i="16"/>
  <c r="CW92" i="16"/>
  <c r="CV92" i="16"/>
  <c r="CU92" i="16"/>
  <c r="CT92" i="16"/>
  <c r="CS92" i="16"/>
  <c r="CR92" i="16"/>
  <c r="CQ92" i="16"/>
  <c r="CP92" i="16"/>
  <c r="CO92" i="16"/>
  <c r="CN92" i="16"/>
  <c r="CM92" i="16"/>
  <c r="CL92" i="16"/>
  <c r="CK92" i="16"/>
  <c r="CJ92" i="16"/>
  <c r="CI92" i="16"/>
  <c r="CH92" i="16"/>
  <c r="CG92" i="16"/>
  <c r="CF92" i="16"/>
  <c r="CE92" i="16"/>
  <c r="CD92" i="16"/>
  <c r="CC92" i="16"/>
  <c r="CC93" i="16" s="1"/>
  <c r="CB92" i="16"/>
  <c r="CA92" i="16"/>
  <c r="BZ92" i="16"/>
  <c r="BY92" i="16"/>
  <c r="BX92" i="16"/>
  <c r="BW92" i="16"/>
  <c r="BV92" i="16"/>
  <c r="BU92" i="16"/>
  <c r="BT92" i="16"/>
  <c r="BS92" i="16"/>
  <c r="BR92" i="16"/>
  <c r="BQ92" i="16"/>
  <c r="BP92" i="16"/>
  <c r="BO92" i="16"/>
  <c r="BO93" i="16" s="1"/>
  <c r="BN92" i="16"/>
  <c r="BM92" i="16"/>
  <c r="BL92" i="16"/>
  <c r="BK92" i="16"/>
  <c r="BJ92" i="16"/>
  <c r="BI92" i="16"/>
  <c r="BH92" i="16"/>
  <c r="BG92" i="16"/>
  <c r="BF92" i="16"/>
  <c r="BE92" i="16"/>
  <c r="BD92" i="16"/>
  <c r="BC92" i="16"/>
  <c r="BB92" i="16"/>
  <c r="BA92" i="16"/>
  <c r="AZ92" i="16"/>
  <c r="AY92" i="16"/>
  <c r="AX92" i="16"/>
  <c r="AW92" i="16"/>
  <c r="AV92" i="16"/>
  <c r="AU92" i="16"/>
  <c r="AT92" i="16"/>
  <c r="AS92" i="16"/>
  <c r="AR92" i="16"/>
  <c r="AQ92" i="16"/>
  <c r="AP92" i="16"/>
  <c r="AO92" i="16"/>
  <c r="AN92" i="16"/>
  <c r="AM92" i="16"/>
  <c r="AL92" i="16"/>
  <c r="AK92" i="16"/>
  <c r="AJ92" i="16"/>
  <c r="AI92" i="16"/>
  <c r="AH92" i="16"/>
  <c r="AG92" i="16"/>
  <c r="AF92" i="16"/>
  <c r="AE92" i="16"/>
  <c r="AD92" i="16"/>
  <c r="AC92" i="16"/>
  <c r="AB92" i="16"/>
  <c r="AA92" i="16"/>
  <c r="Z92" i="16"/>
  <c r="Y92" i="16"/>
  <c r="Y93" i="16" s="1"/>
  <c r="X92" i="16"/>
  <c r="W92" i="16"/>
  <c r="V92" i="16"/>
  <c r="U92" i="16"/>
  <c r="T92" i="16"/>
  <c r="S92" i="16"/>
  <c r="R92" i="16"/>
  <c r="Q92" i="16"/>
  <c r="P92" i="16"/>
  <c r="O92" i="16"/>
  <c r="N92" i="16"/>
  <c r="M92" i="16"/>
  <c r="L92" i="16"/>
  <c r="K92" i="16"/>
  <c r="K93" i="16" s="1"/>
  <c r="J92" i="16"/>
  <c r="I92" i="16"/>
  <c r="H92" i="16"/>
  <c r="G92" i="16"/>
  <c r="DC91" i="16"/>
  <c r="DB91" i="16"/>
  <c r="DA91" i="16"/>
  <c r="CZ91" i="16"/>
  <c r="CY91" i="16"/>
  <c r="CX91" i="16"/>
  <c r="CW91" i="16"/>
  <c r="CV91" i="16"/>
  <c r="CU91" i="16"/>
  <c r="CT91" i="16"/>
  <c r="CS91" i="16"/>
  <c r="CR91" i="16"/>
  <c r="CR93" i="16" s="1"/>
  <c r="CQ91" i="16"/>
  <c r="CP91" i="16"/>
  <c r="CP93" i="16" s="1"/>
  <c r="CO91" i="16"/>
  <c r="CN91" i="16"/>
  <c r="CM91" i="16"/>
  <c r="CL91" i="16"/>
  <c r="CK91" i="16"/>
  <c r="CJ91" i="16"/>
  <c r="CI91" i="16"/>
  <c r="CH91" i="16"/>
  <c r="CG91" i="16"/>
  <c r="CF91" i="16"/>
  <c r="CE91" i="16"/>
  <c r="CD91" i="16"/>
  <c r="CD93" i="16" s="1"/>
  <c r="CC91" i="16"/>
  <c r="CB91" i="16"/>
  <c r="CB93" i="16" s="1"/>
  <c r="CA91" i="16"/>
  <c r="BZ91" i="16"/>
  <c r="BY91" i="16"/>
  <c r="BX91" i="16"/>
  <c r="BW91" i="16"/>
  <c r="BV91" i="16"/>
  <c r="BU91" i="16"/>
  <c r="BT91" i="16"/>
  <c r="BS91" i="16"/>
  <c r="BR91" i="16"/>
  <c r="BQ91" i="16"/>
  <c r="BP91" i="16"/>
  <c r="BP93" i="16" s="1"/>
  <c r="BO91" i="16"/>
  <c r="BN91" i="16"/>
  <c r="BM91" i="16"/>
  <c r="BL91" i="16"/>
  <c r="BK91" i="16"/>
  <c r="BJ91" i="16"/>
  <c r="BI91" i="16"/>
  <c r="BH91" i="16"/>
  <c r="BG91" i="16"/>
  <c r="BF91" i="16"/>
  <c r="BE91" i="16"/>
  <c r="BD91" i="16"/>
  <c r="BC91" i="16"/>
  <c r="BB91" i="16"/>
  <c r="BB93" i="16" s="1"/>
  <c r="BN95" i="16" s="1"/>
  <c r="BA91" i="16"/>
  <c r="AZ91" i="16"/>
  <c r="AY91" i="16"/>
  <c r="AX91" i="16"/>
  <c r="AW91" i="16"/>
  <c r="AV91" i="16"/>
  <c r="AU91" i="16"/>
  <c r="AT91" i="16"/>
  <c r="AS91" i="16"/>
  <c r="AR91" i="16"/>
  <c r="AQ91" i="16"/>
  <c r="AP91" i="16"/>
  <c r="AO91" i="16"/>
  <c r="AN91" i="16"/>
  <c r="AN93" i="16" s="1"/>
  <c r="AM91" i="16"/>
  <c r="AL91" i="16"/>
  <c r="AK91" i="16"/>
  <c r="AJ91" i="16"/>
  <c r="AI91" i="16"/>
  <c r="AH91" i="16"/>
  <c r="AG91" i="16"/>
  <c r="AF91" i="16"/>
  <c r="AE91" i="16"/>
  <c r="AD91" i="16"/>
  <c r="AC91" i="16"/>
  <c r="AB91" i="16"/>
  <c r="AA91" i="16"/>
  <c r="Z91" i="16"/>
  <c r="Z93" i="16" s="1"/>
  <c r="Y91" i="16"/>
  <c r="X91" i="16"/>
  <c r="X93" i="16" s="1"/>
  <c r="W91" i="16"/>
  <c r="V91" i="16"/>
  <c r="U91" i="16"/>
  <c r="T91" i="16"/>
  <c r="S91" i="16"/>
  <c r="R91" i="16"/>
  <c r="Q91" i="16"/>
  <c r="P91" i="16"/>
  <c r="O91" i="16"/>
  <c r="N91" i="16"/>
  <c r="M91" i="16"/>
  <c r="L91" i="16"/>
  <c r="L93" i="16" s="1"/>
  <c r="L94" i="16" s="1"/>
  <c r="K91" i="16"/>
  <c r="J91" i="16"/>
  <c r="I91" i="16"/>
  <c r="H91" i="16"/>
  <c r="G91" i="16"/>
  <c r="DC90" i="16"/>
  <c r="DB90" i="16"/>
  <c r="DA90" i="16"/>
  <c r="CZ90" i="16"/>
  <c r="CY90" i="16"/>
  <c r="CY93" i="16" s="1"/>
  <c r="CY95" i="16" s="1"/>
  <c r="CX90" i="16"/>
  <c r="CW90" i="16"/>
  <c r="CV90" i="16"/>
  <c r="CU90" i="16"/>
  <c r="CT90" i="16"/>
  <c r="CS90" i="16"/>
  <c r="CR90" i="16"/>
  <c r="CQ90" i="16"/>
  <c r="CP90" i="16"/>
  <c r="CO90" i="16"/>
  <c r="CN90" i="16"/>
  <c r="CM90" i="16"/>
  <c r="CL90" i="16"/>
  <c r="CK90" i="16"/>
  <c r="CK93" i="16" s="1"/>
  <c r="CK95" i="16" s="1"/>
  <c r="CJ90" i="16"/>
  <c r="CI90" i="16"/>
  <c r="CH90" i="16"/>
  <c r="CG90" i="16"/>
  <c r="CF90" i="16"/>
  <c r="CE90" i="16"/>
  <c r="CD90" i="16"/>
  <c r="CC90" i="16"/>
  <c r="CB90" i="16"/>
  <c r="CA90" i="16"/>
  <c r="BZ90" i="16"/>
  <c r="BY90" i="16"/>
  <c r="BX90" i="16"/>
  <c r="BW90" i="16"/>
  <c r="BW93" i="16" s="1"/>
  <c r="BW95" i="16" s="1"/>
  <c r="BV90" i="16"/>
  <c r="BU90" i="16"/>
  <c r="BT90" i="16"/>
  <c r="BS90" i="16"/>
  <c r="BR90" i="16"/>
  <c r="BQ90" i="16"/>
  <c r="BP90" i="16"/>
  <c r="BO90" i="16"/>
  <c r="BN90" i="16"/>
  <c r="BM90" i="16"/>
  <c r="BL90" i="16"/>
  <c r="BK90" i="16"/>
  <c r="BJ90" i="16"/>
  <c r="BI90" i="16"/>
  <c r="BI93" i="16" s="1"/>
  <c r="BI95" i="16" s="1"/>
  <c r="BH90" i="16"/>
  <c r="BG90" i="16"/>
  <c r="BF90" i="16"/>
  <c r="BE90" i="16"/>
  <c r="BD90" i="16"/>
  <c r="BC90" i="16"/>
  <c r="BB90" i="16"/>
  <c r="BA90" i="16"/>
  <c r="AZ90" i="16"/>
  <c r="AY90" i="16"/>
  <c r="AX90" i="16"/>
  <c r="AW90" i="16"/>
  <c r="AV90" i="16"/>
  <c r="AU90" i="16"/>
  <c r="AU93" i="16" s="1"/>
  <c r="AU95" i="16" s="1"/>
  <c r="AT90" i="16"/>
  <c r="AS90" i="16"/>
  <c r="AR90" i="16"/>
  <c r="AQ90" i="16"/>
  <c r="AP90" i="16"/>
  <c r="AO90" i="16"/>
  <c r="AN90" i="16"/>
  <c r="AM90" i="16"/>
  <c r="AL90" i="16"/>
  <c r="AK90" i="16"/>
  <c r="AJ90" i="16"/>
  <c r="AI90" i="16"/>
  <c r="AH90" i="16"/>
  <c r="AG90" i="16"/>
  <c r="AG93" i="16" s="1"/>
  <c r="AG95" i="16" s="1"/>
  <c r="AF90" i="16"/>
  <c r="AE90" i="16"/>
  <c r="AD90" i="16"/>
  <c r="AC90" i="16"/>
  <c r="AB90" i="16"/>
  <c r="AA90" i="16"/>
  <c r="Z90" i="16"/>
  <c r="Y90" i="16"/>
  <c r="X90" i="16"/>
  <c r="W90" i="16"/>
  <c r="V90" i="16"/>
  <c r="U90" i="16"/>
  <c r="T90" i="16"/>
  <c r="S90" i="16"/>
  <c r="S93" i="16" s="1"/>
  <c r="S94" i="16" s="1"/>
  <c r="R90" i="16"/>
  <c r="Q90" i="16"/>
  <c r="P90" i="16"/>
  <c r="O90" i="16"/>
  <c r="N90" i="16"/>
  <c r="M90" i="16"/>
  <c r="L90" i="16"/>
  <c r="K90" i="16"/>
  <c r="J90" i="16"/>
  <c r="I90" i="16"/>
  <c r="H90" i="16"/>
  <c r="G90" i="16"/>
  <c r="DC89" i="16"/>
  <c r="DC93" i="16" s="1"/>
  <c r="DB89" i="16"/>
  <c r="DA89" i="16"/>
  <c r="DA93" i="16" s="1"/>
  <c r="DA95" i="16" s="1"/>
  <c r="CZ89" i="16"/>
  <c r="CZ93" i="16" s="1"/>
  <c r="CY89" i="16"/>
  <c r="CX89" i="16"/>
  <c r="CW89" i="16"/>
  <c r="CW93" i="16" s="1"/>
  <c r="CW94" i="16" s="1"/>
  <c r="CV89" i="16"/>
  <c r="CU89" i="16"/>
  <c r="CU93" i="16" s="1"/>
  <c r="CT89" i="16"/>
  <c r="CT93" i="16" s="1"/>
  <c r="CS89" i="16"/>
  <c r="CR89" i="16"/>
  <c r="CQ89" i="16"/>
  <c r="CP89" i="16"/>
  <c r="CO89" i="16"/>
  <c r="CO93" i="16" s="1"/>
  <c r="CN89" i="16"/>
  <c r="CM89" i="16"/>
  <c r="CM93" i="16" s="1"/>
  <c r="CM95" i="16" s="1"/>
  <c r="CL89" i="16"/>
  <c r="CL93" i="16" s="1"/>
  <c r="CK89" i="16"/>
  <c r="CJ89" i="16"/>
  <c r="CI89" i="16"/>
  <c r="CI93" i="16" s="1"/>
  <c r="CI94" i="16" s="1"/>
  <c r="CH89" i="16"/>
  <c r="CG89" i="16"/>
  <c r="CG93" i="16" s="1"/>
  <c r="CF89" i="16"/>
  <c r="CF93" i="16" s="1"/>
  <c r="CE89" i="16"/>
  <c r="CD89" i="16"/>
  <c r="CC89" i="16"/>
  <c r="CB89" i="16"/>
  <c r="CA89" i="16"/>
  <c r="CA93" i="16" s="1"/>
  <c r="BZ89" i="16"/>
  <c r="BZ93" i="16" s="1"/>
  <c r="BY89" i="16"/>
  <c r="BY93" i="16" s="1"/>
  <c r="BY95" i="16" s="1"/>
  <c r="BX89" i="16"/>
  <c r="BX93" i="16" s="1"/>
  <c r="BW89" i="16"/>
  <c r="BV89" i="16"/>
  <c r="BU89" i="16"/>
  <c r="BU93" i="16" s="1"/>
  <c r="BU94" i="16" s="1"/>
  <c r="BT89" i="16"/>
  <c r="BS89" i="16"/>
  <c r="BS93" i="16" s="1"/>
  <c r="BR89" i="16"/>
  <c r="BR93" i="16" s="1"/>
  <c r="BQ89" i="16"/>
  <c r="BP89" i="16"/>
  <c r="BO89" i="16"/>
  <c r="BN89" i="16"/>
  <c r="BM89" i="16"/>
  <c r="BM93" i="16" s="1"/>
  <c r="BL89" i="16"/>
  <c r="BL93" i="16" s="1"/>
  <c r="BK89" i="16"/>
  <c r="BK93" i="16" s="1"/>
  <c r="BK95" i="16" s="1"/>
  <c r="BJ89" i="16"/>
  <c r="BJ93" i="16" s="1"/>
  <c r="BI89" i="16"/>
  <c r="BH89" i="16"/>
  <c r="BG89" i="16"/>
  <c r="BG93" i="16" s="1"/>
  <c r="BG94" i="16" s="1"/>
  <c r="BF89" i="16"/>
  <c r="BE89" i="16"/>
  <c r="BE93" i="16" s="1"/>
  <c r="BD89" i="16"/>
  <c r="BD93" i="16" s="1"/>
  <c r="BD94" i="16" s="1"/>
  <c r="BC89" i="16"/>
  <c r="BB89" i="16"/>
  <c r="BA89" i="16"/>
  <c r="AZ89" i="16"/>
  <c r="AY89" i="16"/>
  <c r="AY93" i="16" s="1"/>
  <c r="AX89" i="16"/>
  <c r="AW89" i="16"/>
  <c r="AW93" i="16" s="1"/>
  <c r="AW95" i="16" s="1"/>
  <c r="AV89" i="16"/>
  <c r="AV93" i="16" s="1"/>
  <c r="AU89" i="16"/>
  <c r="AT89" i="16"/>
  <c r="AS89" i="16"/>
  <c r="AS93" i="16" s="1"/>
  <c r="AS94" i="16" s="1"/>
  <c r="AR89" i="16"/>
  <c r="AQ89" i="16"/>
  <c r="AQ93" i="16" s="1"/>
  <c r="AP89" i="16"/>
  <c r="AP93" i="16" s="1"/>
  <c r="AP94" i="16" s="1"/>
  <c r="AO89" i="16"/>
  <c r="AN89" i="16"/>
  <c r="AM89" i="16"/>
  <c r="AL89" i="16"/>
  <c r="AK89" i="16"/>
  <c r="AK93" i="16" s="1"/>
  <c r="AJ89" i="16"/>
  <c r="AJ93" i="16" s="1"/>
  <c r="AI89" i="16"/>
  <c r="AI93" i="16" s="1"/>
  <c r="AI95" i="16" s="1"/>
  <c r="AH89" i="16"/>
  <c r="AH93" i="16" s="1"/>
  <c r="AG89" i="16"/>
  <c r="AF89" i="16"/>
  <c r="AE89" i="16"/>
  <c r="AE93" i="16" s="1"/>
  <c r="AE94" i="16" s="1"/>
  <c r="AD89" i="16"/>
  <c r="AC89" i="16"/>
  <c r="AC93" i="16" s="1"/>
  <c r="AB89" i="16"/>
  <c r="AB93" i="16" s="1"/>
  <c r="AB94" i="16" s="1"/>
  <c r="AA89" i="16"/>
  <c r="Z89" i="16"/>
  <c r="Y89" i="16"/>
  <c r="X89" i="16"/>
  <c r="W89" i="16"/>
  <c r="W93" i="16" s="1"/>
  <c r="V89" i="16"/>
  <c r="V93" i="16" s="1"/>
  <c r="V94" i="16" s="1"/>
  <c r="U89" i="16"/>
  <c r="U93" i="16" s="1"/>
  <c r="U94" i="16" s="1"/>
  <c r="T89" i="16"/>
  <c r="T93" i="16" s="1"/>
  <c r="S89" i="16"/>
  <c r="R89" i="16"/>
  <c r="Q89" i="16"/>
  <c r="Q93" i="16" s="1"/>
  <c r="P89" i="16"/>
  <c r="O89" i="16"/>
  <c r="O93" i="16" s="1"/>
  <c r="O94" i="16" s="1"/>
  <c r="N89" i="16"/>
  <c r="N93" i="16" s="1"/>
  <c r="M89" i="16"/>
  <c r="L89" i="16"/>
  <c r="K89" i="16"/>
  <c r="J89" i="16"/>
  <c r="I89" i="16"/>
  <c r="I93" i="16" s="1"/>
  <c r="I94" i="16" s="1"/>
  <c r="H89" i="16"/>
  <c r="G89" i="16"/>
  <c r="G93" i="16" s="1"/>
  <c r="DC87" i="16"/>
  <c r="DB87" i="16"/>
  <c r="DA87" i="16"/>
  <c r="CZ87" i="16"/>
  <c r="CY87" i="16"/>
  <c r="CX87" i="16"/>
  <c r="CW87" i="16"/>
  <c r="CV87" i="16"/>
  <c r="CU87" i="16"/>
  <c r="CT87" i="16"/>
  <c r="CS87" i="16"/>
  <c r="CR87" i="16"/>
  <c r="CQ87" i="16"/>
  <c r="CP87" i="16"/>
  <c r="CO87" i="16"/>
  <c r="CN87" i="16"/>
  <c r="CM87" i="16"/>
  <c r="CL87" i="16"/>
  <c r="CK87" i="16"/>
  <c r="CJ87" i="16"/>
  <c r="CI87" i="16"/>
  <c r="CH87" i="16"/>
  <c r="CG87" i="16"/>
  <c r="CF87" i="16"/>
  <c r="CE87" i="16"/>
  <c r="CD87" i="16"/>
  <c r="CC87" i="16"/>
  <c r="CB87" i="16"/>
  <c r="CA87" i="16"/>
  <c r="BZ87" i="16"/>
  <c r="BY87" i="16"/>
  <c r="BX87" i="16"/>
  <c r="BW87" i="16"/>
  <c r="BV87" i="16"/>
  <c r="BU87" i="16"/>
  <c r="BT87" i="16"/>
  <c r="BS87" i="16"/>
  <c r="BR87" i="16"/>
  <c r="BQ87" i="16"/>
  <c r="BP87" i="16"/>
  <c r="BO87" i="16"/>
  <c r="BN87" i="16"/>
  <c r="BM87" i="16"/>
  <c r="BL87" i="16"/>
  <c r="BK87" i="16"/>
  <c r="BJ87" i="16"/>
  <c r="BI87" i="16"/>
  <c r="BH87" i="16"/>
  <c r="BG87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T87" i="16"/>
  <c r="Q87" i="16"/>
  <c r="N87" i="16"/>
  <c r="K87" i="16"/>
  <c r="DC86" i="16"/>
  <c r="DB86" i="16"/>
  <c r="DA86" i="16"/>
  <c r="CZ86" i="16"/>
  <c r="CY86" i="16"/>
  <c r="CX86" i="16"/>
  <c r="CW86" i="16"/>
  <c r="CV86" i="16"/>
  <c r="CU86" i="16"/>
  <c r="CT86" i="16"/>
  <c r="CS86" i="16"/>
  <c r="CR86" i="16"/>
  <c r="CQ86" i="16"/>
  <c r="CP86" i="16"/>
  <c r="CO86" i="16"/>
  <c r="CN86" i="16"/>
  <c r="CM86" i="16"/>
  <c r="CL86" i="16"/>
  <c r="CK86" i="16"/>
  <c r="CJ86" i="16"/>
  <c r="CI86" i="16"/>
  <c r="CH86" i="16"/>
  <c r="CG86" i="16"/>
  <c r="CF86" i="16"/>
  <c r="CE86" i="16"/>
  <c r="CD86" i="16"/>
  <c r="CC86" i="16"/>
  <c r="CB86" i="16"/>
  <c r="CA86" i="16"/>
  <c r="BZ86" i="16"/>
  <c r="BY86" i="16"/>
  <c r="BX86" i="16"/>
  <c r="BW86" i="16"/>
  <c r="BV86" i="16"/>
  <c r="BU86" i="16"/>
  <c r="BT86" i="16"/>
  <c r="BS86" i="16"/>
  <c r="BR86" i="16"/>
  <c r="BQ86" i="16"/>
  <c r="BP86" i="16"/>
  <c r="BO86" i="16"/>
  <c r="BN86" i="16"/>
  <c r="BM86" i="16"/>
  <c r="BL86" i="16"/>
  <c r="BK86" i="16"/>
  <c r="BJ86" i="16"/>
  <c r="BI86" i="16"/>
  <c r="BH86" i="16"/>
  <c r="BG86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DC83" i="16"/>
  <c r="DA83" i="16"/>
  <c r="CZ83" i="16"/>
  <c r="CY83" i="16"/>
  <c r="CU83" i="16"/>
  <c r="CS83" i="16"/>
  <c r="CO83" i="16"/>
  <c r="CM83" i="16"/>
  <c r="CL83" i="16"/>
  <c r="CK83" i="16"/>
  <c r="CG83" i="16"/>
  <c r="CE83" i="16"/>
  <c r="CA83" i="16"/>
  <c r="BY83" i="16"/>
  <c r="BX83" i="16"/>
  <c r="BW83" i="16"/>
  <c r="BS83" i="16"/>
  <c r="BQ83" i="16"/>
  <c r="BM83" i="16"/>
  <c r="BK83" i="16"/>
  <c r="BJ83" i="16"/>
  <c r="BI83" i="16"/>
  <c r="BE83" i="16"/>
  <c r="BC83" i="16"/>
  <c r="AY83" i="16"/>
  <c r="AW83" i="16"/>
  <c r="AV83" i="16"/>
  <c r="AU83" i="16"/>
  <c r="AQ83" i="16"/>
  <c r="AO83" i="16"/>
  <c r="AK83" i="16"/>
  <c r="AI83" i="16"/>
  <c r="AH83" i="16"/>
  <c r="AG83" i="16"/>
  <c r="AC83" i="16"/>
  <c r="AA83" i="16"/>
  <c r="W83" i="16"/>
  <c r="U83" i="16"/>
  <c r="T83" i="16"/>
  <c r="S83" i="16"/>
  <c r="O83" i="16"/>
  <c r="M83" i="16"/>
  <c r="I83" i="16"/>
  <c r="G83" i="16"/>
  <c r="DC80" i="16"/>
  <c r="DB80" i="16"/>
  <c r="DA80" i="16"/>
  <c r="CZ80" i="16"/>
  <c r="CY80" i="16"/>
  <c r="CX80" i="16"/>
  <c r="CO80" i="16"/>
  <c r="CN80" i="16"/>
  <c r="CM80" i="16"/>
  <c r="CL80" i="16"/>
  <c r="CK80" i="16"/>
  <c r="CJ80" i="16"/>
  <c r="CA80" i="16"/>
  <c r="BZ80" i="16"/>
  <c r="BY80" i="16"/>
  <c r="BX80" i="16"/>
  <c r="BW80" i="16"/>
  <c r="BV80" i="16"/>
  <c r="BM80" i="16"/>
  <c r="BL80" i="16"/>
  <c r="BK80" i="16"/>
  <c r="BJ80" i="16"/>
  <c r="BI80" i="16"/>
  <c r="BH80" i="16"/>
  <c r="AY80" i="16"/>
  <c r="AX80" i="16"/>
  <c r="AW80" i="16"/>
  <c r="AV80" i="16"/>
  <c r="AU80" i="16"/>
  <c r="AT80" i="16"/>
  <c r="AK80" i="16"/>
  <c r="AJ80" i="16"/>
  <c r="AI80" i="16"/>
  <c r="AH80" i="16"/>
  <c r="AG80" i="16"/>
  <c r="AF80" i="16"/>
  <c r="W80" i="16"/>
  <c r="T80" i="16"/>
  <c r="N80" i="16"/>
  <c r="DC79" i="16"/>
  <c r="DB79" i="16"/>
  <c r="DA79" i="16"/>
  <c r="CY79" i="16"/>
  <c r="CU79" i="16"/>
  <c r="CS79" i="16"/>
  <c r="CQ79" i="16"/>
  <c r="CO79" i="16"/>
  <c r="CN79" i="16"/>
  <c r="CM79" i="16"/>
  <c r="CK79" i="16"/>
  <c r="CG79" i="16"/>
  <c r="CF79" i="16"/>
  <c r="CE79" i="16"/>
  <c r="CC79" i="16"/>
  <c r="CA79" i="16"/>
  <c r="BZ79" i="16"/>
  <c r="BY79" i="16"/>
  <c r="BW79" i="16"/>
  <c r="BS79" i="16"/>
  <c r="BQ79" i="16"/>
  <c r="BO79" i="16"/>
  <c r="BM79" i="16"/>
  <c r="BL79" i="16"/>
  <c r="BK79" i="16"/>
  <c r="BI79" i="16"/>
  <c r="BE79" i="16"/>
  <c r="BC79" i="16"/>
  <c r="BA79" i="16"/>
  <c r="AY79" i="16"/>
  <c r="AX79" i="16"/>
  <c r="AW79" i="16"/>
  <c r="AU79" i="16"/>
  <c r="AQ79" i="16"/>
  <c r="AP79" i="16"/>
  <c r="AO79" i="16"/>
  <c r="AM79" i="16"/>
  <c r="AK79" i="16"/>
  <c r="AJ79" i="16"/>
  <c r="AI79" i="16"/>
  <c r="AG79" i="16"/>
  <c r="AC79" i="16"/>
  <c r="AA79" i="16"/>
  <c r="Y79" i="16"/>
  <c r="W79" i="16"/>
  <c r="V79" i="16"/>
  <c r="U79" i="16"/>
  <c r="S79" i="16"/>
  <c r="O79" i="16"/>
  <c r="N79" i="16"/>
  <c r="M79" i="16"/>
  <c r="K79" i="16"/>
  <c r="I79" i="16"/>
  <c r="H79" i="16"/>
  <c r="G79" i="16"/>
  <c r="DC78" i="16"/>
  <c r="DB78" i="16"/>
  <c r="DB83" i="16" s="1"/>
  <c r="DA78" i="16"/>
  <c r="CZ78" i="16"/>
  <c r="CZ79" i="16" s="1"/>
  <c r="CY78" i="16"/>
  <c r="CX78" i="16"/>
  <c r="CX79" i="16" s="1"/>
  <c r="CW78" i="16"/>
  <c r="CV78" i="16"/>
  <c r="CU78" i="16"/>
  <c r="CU80" i="16" s="1"/>
  <c r="CT78" i="16"/>
  <c r="CS78" i="16"/>
  <c r="CS80" i="16" s="1"/>
  <c r="CR78" i="16"/>
  <c r="CR83" i="16" s="1"/>
  <c r="CQ78" i="16"/>
  <c r="CQ83" i="16" s="1"/>
  <c r="CP78" i="16"/>
  <c r="CO78" i="16"/>
  <c r="CN78" i="16"/>
  <c r="CN83" i="16" s="1"/>
  <c r="CM78" i="16"/>
  <c r="CL78" i="16"/>
  <c r="CL79" i="16" s="1"/>
  <c r="CK78" i="16"/>
  <c r="CJ78" i="16"/>
  <c r="CJ79" i="16" s="1"/>
  <c r="CI78" i="16"/>
  <c r="CI83" i="16" s="1"/>
  <c r="CH78" i="16"/>
  <c r="CG78" i="16"/>
  <c r="CG80" i="16" s="1"/>
  <c r="CF78" i="16"/>
  <c r="CE78" i="16"/>
  <c r="CE80" i="16" s="1"/>
  <c r="CD78" i="16"/>
  <c r="CD83" i="16" s="1"/>
  <c r="CC78" i="16"/>
  <c r="CC83" i="16" s="1"/>
  <c r="CB78" i="16"/>
  <c r="CA78" i="16"/>
  <c r="BZ78" i="16"/>
  <c r="BZ83" i="16" s="1"/>
  <c r="BY78" i="16"/>
  <c r="BX78" i="16"/>
  <c r="BX79" i="16" s="1"/>
  <c r="BW78" i="16"/>
  <c r="BV78" i="16"/>
  <c r="BV79" i="16" s="1"/>
  <c r="BU78" i="16"/>
  <c r="BT78" i="16"/>
  <c r="BT80" i="16" s="1"/>
  <c r="BS78" i="16"/>
  <c r="BS80" i="16" s="1"/>
  <c r="BR78" i="16"/>
  <c r="BQ78" i="16"/>
  <c r="BQ80" i="16" s="1"/>
  <c r="BP78" i="16"/>
  <c r="BP83" i="16" s="1"/>
  <c r="BO78" i="16"/>
  <c r="BO83" i="16" s="1"/>
  <c r="BN78" i="16"/>
  <c r="BM78" i="16"/>
  <c r="BL78" i="16"/>
  <c r="BL83" i="16" s="1"/>
  <c r="BK78" i="16"/>
  <c r="BJ78" i="16"/>
  <c r="BJ79" i="16" s="1"/>
  <c r="BI78" i="16"/>
  <c r="BH78" i="16"/>
  <c r="BH79" i="16" s="1"/>
  <c r="BG78" i="16"/>
  <c r="BG83" i="16" s="1"/>
  <c r="BF78" i="16"/>
  <c r="BE78" i="16"/>
  <c r="BE80" i="16" s="1"/>
  <c r="BD78" i="16"/>
  <c r="BC78" i="16"/>
  <c r="BC80" i="16" s="1"/>
  <c r="BB78" i="16"/>
  <c r="BB83" i="16" s="1"/>
  <c r="BA78" i="16"/>
  <c r="BA83" i="16" s="1"/>
  <c r="AZ78" i="16"/>
  <c r="AY78" i="16"/>
  <c r="AX78" i="16"/>
  <c r="AX83" i="16" s="1"/>
  <c r="AW78" i="16"/>
  <c r="AV78" i="16"/>
  <c r="AV79" i="16" s="1"/>
  <c r="AU78" i="16"/>
  <c r="AT78" i="16"/>
  <c r="AT79" i="16" s="1"/>
  <c r="AS78" i="16"/>
  <c r="AS83" i="16" s="1"/>
  <c r="AR78" i="16"/>
  <c r="AQ78" i="16"/>
  <c r="AQ80" i="16" s="1"/>
  <c r="AP78" i="16"/>
  <c r="AO78" i="16"/>
  <c r="AO80" i="16" s="1"/>
  <c r="AN78" i="16"/>
  <c r="AN83" i="16" s="1"/>
  <c r="AM78" i="16"/>
  <c r="AM83" i="16" s="1"/>
  <c r="AL78" i="16"/>
  <c r="AK78" i="16"/>
  <c r="AJ78" i="16"/>
  <c r="AJ83" i="16" s="1"/>
  <c r="AI78" i="16"/>
  <c r="AH78" i="16"/>
  <c r="AH79" i="16" s="1"/>
  <c r="AG78" i="16"/>
  <c r="AF78" i="16"/>
  <c r="AF79" i="16" s="1"/>
  <c r="AE78" i="16"/>
  <c r="AE83" i="16" s="1"/>
  <c r="AD78" i="16"/>
  <c r="AD80" i="16" s="1"/>
  <c r="AC78" i="16"/>
  <c r="AC80" i="16" s="1"/>
  <c r="AB78" i="16"/>
  <c r="AA78" i="16"/>
  <c r="AA80" i="16" s="1"/>
  <c r="Z78" i="16"/>
  <c r="Z83" i="16" s="1"/>
  <c r="Y78" i="16"/>
  <c r="Y83" i="16" s="1"/>
  <c r="X78" i="16"/>
  <c r="W78" i="16"/>
  <c r="V78" i="16"/>
  <c r="V83" i="16" s="1"/>
  <c r="U78" i="16"/>
  <c r="T78" i="16"/>
  <c r="T79" i="16" s="1"/>
  <c r="S78" i="16"/>
  <c r="R78" i="16"/>
  <c r="R79" i="16" s="1"/>
  <c r="Q78" i="16"/>
  <c r="P78" i="16"/>
  <c r="O78" i="16"/>
  <c r="N78" i="16"/>
  <c r="N83" i="16" s="1"/>
  <c r="M78" i="16"/>
  <c r="L78" i="16"/>
  <c r="L83" i="16" s="1"/>
  <c r="K78" i="16"/>
  <c r="K83" i="16" s="1"/>
  <c r="J78" i="16"/>
  <c r="I78" i="16"/>
  <c r="H78" i="16"/>
  <c r="H83" i="16" s="1"/>
  <c r="G78" i="16"/>
  <c r="CS74" i="16"/>
  <c r="CK74" i="16"/>
  <c r="CE74" i="16"/>
  <c r="BI74" i="16"/>
  <c r="AU74" i="16"/>
  <c r="AO74" i="16"/>
  <c r="AG74" i="16"/>
  <c r="DB73" i="16"/>
  <c r="CY73" i="16"/>
  <c r="CQ73" i="16"/>
  <c r="CN73" i="16"/>
  <c r="CK73" i="16"/>
  <c r="BZ73" i="16"/>
  <c r="BW73" i="16"/>
  <c r="BL73" i="16"/>
  <c r="BI73" i="16"/>
  <c r="BA73" i="16"/>
  <c r="AX73" i="16"/>
  <c r="AU73" i="16"/>
  <c r="AJ73" i="16"/>
  <c r="AG73" i="16"/>
  <c r="Y73" i="16"/>
  <c r="V73" i="16"/>
  <c r="S73" i="16"/>
  <c r="H73" i="16"/>
  <c r="DC72" i="16"/>
  <c r="DC71" i="16" s="1"/>
  <c r="DB72" i="16"/>
  <c r="DB71" i="16" s="1"/>
  <c r="DA72" i="16"/>
  <c r="CY72" i="16"/>
  <c r="CY71" i="16" s="1"/>
  <c r="CU72" i="16"/>
  <c r="CU73" i="16" s="1"/>
  <c r="CS72" i="16"/>
  <c r="CQ72" i="16"/>
  <c r="CO72" i="16"/>
  <c r="CO71" i="16" s="1"/>
  <c r="CN72" i="16"/>
  <c r="CN71" i="16" s="1"/>
  <c r="CM72" i="16"/>
  <c r="CY74" i="16" s="1"/>
  <c r="CK72" i="16"/>
  <c r="CK71" i="16" s="1"/>
  <c r="CG72" i="16"/>
  <c r="CG73" i="16" s="1"/>
  <c r="CF72" i="16"/>
  <c r="CE72" i="16"/>
  <c r="CC72" i="16"/>
  <c r="CA72" i="16"/>
  <c r="CA71" i="16" s="1"/>
  <c r="BZ72" i="16"/>
  <c r="BZ71" i="16" s="1"/>
  <c r="BY72" i="16"/>
  <c r="BW72" i="16"/>
  <c r="BW71" i="16" s="1"/>
  <c r="BS72" i="16"/>
  <c r="BS73" i="16" s="1"/>
  <c r="BQ72" i="16"/>
  <c r="BO72" i="16"/>
  <c r="BM72" i="16"/>
  <c r="BM71" i="16" s="1"/>
  <c r="BL72" i="16"/>
  <c r="BL71" i="16" s="1"/>
  <c r="BK72" i="16"/>
  <c r="BI72" i="16"/>
  <c r="BI71" i="16" s="1"/>
  <c r="BE72" i="16"/>
  <c r="BE73" i="16" s="1"/>
  <c r="BD72" i="16"/>
  <c r="BC72" i="16"/>
  <c r="BA72" i="16"/>
  <c r="AY72" i="16"/>
  <c r="AY71" i="16" s="1"/>
  <c r="AX72" i="16"/>
  <c r="AX71" i="16" s="1"/>
  <c r="AW72" i="16"/>
  <c r="AU72" i="16"/>
  <c r="AU71" i="16" s="1"/>
  <c r="AQ72" i="16"/>
  <c r="AQ73" i="16" s="1"/>
  <c r="AP72" i="16"/>
  <c r="AO72" i="16"/>
  <c r="AM72" i="16"/>
  <c r="AM73" i="16" s="1"/>
  <c r="AK72" i="16"/>
  <c r="AK71" i="16" s="1"/>
  <c r="AJ72" i="16"/>
  <c r="AJ71" i="16" s="1"/>
  <c r="AI72" i="16"/>
  <c r="AG72" i="16"/>
  <c r="AG71" i="16" s="1"/>
  <c r="AC72" i="16"/>
  <c r="AC73" i="16" s="1"/>
  <c r="AA72" i="16"/>
  <c r="Y72" i="16"/>
  <c r="W72" i="16"/>
  <c r="W71" i="16" s="1"/>
  <c r="V72" i="16"/>
  <c r="V71" i="16" s="1"/>
  <c r="U72" i="16"/>
  <c r="S72" i="16"/>
  <c r="S71" i="16" s="1"/>
  <c r="O72" i="16"/>
  <c r="O73" i="16" s="1"/>
  <c r="N72" i="16"/>
  <c r="N73" i="16" s="1"/>
  <c r="M72" i="16"/>
  <c r="K72" i="16"/>
  <c r="K71" i="16" s="1"/>
  <c r="I72" i="16"/>
  <c r="I71" i="16" s="1"/>
  <c r="H72" i="16"/>
  <c r="H71" i="16" s="1"/>
  <c r="G72" i="16"/>
  <c r="AP71" i="16"/>
  <c r="DC64" i="16"/>
  <c r="DB64" i="16"/>
  <c r="DA64" i="16"/>
  <c r="CZ64" i="16"/>
  <c r="CY64" i="16"/>
  <c r="CX64" i="16"/>
  <c r="CW64" i="16"/>
  <c r="CV64" i="16"/>
  <c r="CU64" i="16"/>
  <c r="CT64" i="16"/>
  <c r="CS64" i="16"/>
  <c r="CR64" i="16"/>
  <c r="CQ64" i="16"/>
  <c r="CP64" i="16"/>
  <c r="CO64" i="16"/>
  <c r="CN64" i="16"/>
  <c r="CM64" i="16"/>
  <c r="CL64" i="16"/>
  <c r="CK64" i="16"/>
  <c r="CJ64" i="16"/>
  <c r="CI64" i="16"/>
  <c r="CH64" i="16"/>
  <c r="CG64" i="16"/>
  <c r="CF64" i="16"/>
  <c r="CE64" i="16"/>
  <c r="CD64" i="16"/>
  <c r="CC64" i="16"/>
  <c r="CB64" i="16"/>
  <c r="CA64" i="16"/>
  <c r="BZ64" i="16"/>
  <c r="BY64" i="16"/>
  <c r="BX64" i="16"/>
  <c r="BW64" i="16"/>
  <c r="BV64" i="16"/>
  <c r="BU64" i="16"/>
  <c r="BT64" i="16"/>
  <c r="BS64" i="16"/>
  <c r="BR64" i="16"/>
  <c r="BQ64" i="16"/>
  <c r="BP64" i="16"/>
  <c r="BO64" i="16"/>
  <c r="BN64" i="16"/>
  <c r="BM64" i="16"/>
  <c r="BL64" i="16"/>
  <c r="BK64" i="16"/>
  <c r="BJ64" i="16"/>
  <c r="BI64" i="16"/>
  <c r="BH64" i="16"/>
  <c r="BG64" i="16"/>
  <c r="BF64" i="16"/>
  <c r="BE64" i="16"/>
  <c r="BD64" i="16"/>
  <c r="BC64" i="16"/>
  <c r="BB64" i="16"/>
  <c r="BA64" i="16"/>
  <c r="AZ64" i="16"/>
  <c r="AY64" i="16"/>
  <c r="AX64" i="16"/>
  <c r="AW64" i="16"/>
  <c r="AV64" i="16"/>
  <c r="AU64" i="16"/>
  <c r="AT64" i="16"/>
  <c r="AS64" i="16"/>
  <c r="AR64" i="16"/>
  <c r="AQ64" i="16"/>
  <c r="AP64" i="16"/>
  <c r="AO64" i="16"/>
  <c r="AN64" i="16"/>
  <c r="AM64" i="16"/>
  <c r="AL64" i="16"/>
  <c r="AK64" i="16"/>
  <c r="AJ64" i="16"/>
  <c r="AI64" i="16"/>
  <c r="AH64" i="16"/>
  <c r="AG64" i="16"/>
  <c r="AF64" i="16"/>
  <c r="AE64" i="16"/>
  <c r="AD64" i="16"/>
  <c r="AC64" i="16"/>
  <c r="AB64" i="16"/>
  <c r="AA64" i="16"/>
  <c r="Z64" i="16"/>
  <c r="Y64" i="16"/>
  <c r="X64" i="16"/>
  <c r="W64" i="16"/>
  <c r="T64" i="16"/>
  <c r="Q64" i="16"/>
  <c r="N64" i="16"/>
  <c r="K64" i="16"/>
  <c r="DC63" i="16"/>
  <c r="DB63" i="16"/>
  <c r="DA63" i="16"/>
  <c r="CZ63" i="16"/>
  <c r="CY63" i="16"/>
  <c r="CX63" i="16"/>
  <c r="CW63" i="16"/>
  <c r="CV63" i="16"/>
  <c r="CU63" i="16"/>
  <c r="CT63" i="16"/>
  <c r="CS63" i="16"/>
  <c r="CR63" i="16"/>
  <c r="CQ63" i="16"/>
  <c r="CP63" i="16"/>
  <c r="CO63" i="16"/>
  <c r="CN63" i="16"/>
  <c r="CM63" i="16"/>
  <c r="CL63" i="16"/>
  <c r="CK63" i="16"/>
  <c r="CJ63" i="16"/>
  <c r="CI63" i="16"/>
  <c r="CH63" i="16"/>
  <c r="CG63" i="16"/>
  <c r="CF63" i="16"/>
  <c r="CE63" i="16"/>
  <c r="CD63" i="16"/>
  <c r="CC63" i="16"/>
  <c r="CB63" i="16"/>
  <c r="CA63" i="16"/>
  <c r="BZ63" i="16"/>
  <c r="BY63" i="16"/>
  <c r="BX63" i="16"/>
  <c r="BW63" i="16"/>
  <c r="BV63" i="16"/>
  <c r="BU63" i="16"/>
  <c r="BT63" i="16"/>
  <c r="BS63" i="16"/>
  <c r="BR63" i="16"/>
  <c r="BQ63" i="16"/>
  <c r="BP63" i="16"/>
  <c r="BO63" i="16"/>
  <c r="BN63" i="16"/>
  <c r="BM63" i="16"/>
  <c r="BL63" i="16"/>
  <c r="BK63" i="16"/>
  <c r="BJ63" i="16"/>
  <c r="BI63" i="16"/>
  <c r="BH63" i="16"/>
  <c r="BG63" i="16"/>
  <c r="BF63" i="16"/>
  <c r="BE63" i="16"/>
  <c r="BD63" i="16"/>
  <c r="BC63" i="16"/>
  <c r="BB63" i="16"/>
  <c r="BA63" i="16"/>
  <c r="AZ63" i="16"/>
  <c r="AY63" i="16"/>
  <c r="AX63" i="16"/>
  <c r="AW63" i="16"/>
  <c r="AV63" i="16"/>
  <c r="AU63" i="16"/>
  <c r="AT63" i="16"/>
  <c r="AS63" i="16"/>
  <c r="AR63" i="16"/>
  <c r="AQ63" i="16"/>
  <c r="AP63" i="16"/>
  <c r="AO63" i="16"/>
  <c r="AN63" i="16"/>
  <c r="AM63" i="16"/>
  <c r="AL63" i="16"/>
  <c r="AK63" i="16"/>
  <c r="AJ63" i="16"/>
  <c r="AI63" i="16"/>
  <c r="AH63" i="16"/>
  <c r="AG63" i="16"/>
  <c r="AF63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DC60" i="16"/>
  <c r="DB60" i="16"/>
  <c r="DA60" i="16"/>
  <c r="CZ60" i="16"/>
  <c r="CY60" i="16"/>
  <c r="CX60" i="16"/>
  <c r="CW60" i="16"/>
  <c r="CV60" i="16"/>
  <c r="CU60" i="16"/>
  <c r="CT60" i="16"/>
  <c r="CS60" i="16"/>
  <c r="CR60" i="16"/>
  <c r="CQ60" i="16"/>
  <c r="CP60" i="16"/>
  <c r="CO60" i="16"/>
  <c r="CN60" i="16"/>
  <c r="CM60" i="16"/>
  <c r="CL60" i="16"/>
  <c r="CK60" i="16"/>
  <c r="CJ60" i="16"/>
  <c r="CI60" i="16"/>
  <c r="CH60" i="16"/>
  <c r="CG60" i="16"/>
  <c r="CF60" i="16"/>
  <c r="CE60" i="16"/>
  <c r="CD60" i="16"/>
  <c r="CC60" i="16"/>
  <c r="CB60" i="16"/>
  <c r="CA60" i="16"/>
  <c r="BZ60" i="16"/>
  <c r="BY60" i="16"/>
  <c r="BX60" i="16"/>
  <c r="BW60" i="16"/>
  <c r="BV60" i="16"/>
  <c r="BU60" i="16"/>
  <c r="BT60" i="16"/>
  <c r="BS60" i="16"/>
  <c r="BR60" i="16"/>
  <c r="BQ60" i="16"/>
  <c r="BP60" i="16"/>
  <c r="BO60" i="16"/>
  <c r="BN60" i="16"/>
  <c r="BM60" i="16"/>
  <c r="BL60" i="16"/>
  <c r="BK60" i="16"/>
  <c r="BJ60" i="16"/>
  <c r="BI60" i="16"/>
  <c r="BH60" i="16"/>
  <c r="BG60" i="16"/>
  <c r="BF60" i="16"/>
  <c r="BE60" i="16"/>
  <c r="BD60" i="16"/>
  <c r="BC60" i="16"/>
  <c r="BB60" i="16"/>
  <c r="BA60" i="16"/>
  <c r="AZ60" i="16"/>
  <c r="AY60" i="16"/>
  <c r="AX60" i="16"/>
  <c r="AW60" i="16"/>
  <c r="AV60" i="16"/>
  <c r="AU60" i="16"/>
  <c r="AT60" i="16"/>
  <c r="AS60" i="16"/>
  <c r="AR60" i="16"/>
  <c r="AQ60" i="16"/>
  <c r="AP60" i="16"/>
  <c r="AO60" i="16"/>
  <c r="AN60" i="16"/>
  <c r="AM60" i="16"/>
  <c r="AL60" i="16"/>
  <c r="AK60" i="16"/>
  <c r="AJ60" i="16"/>
  <c r="AI60" i="16"/>
  <c r="AH60" i="16"/>
  <c r="AG60" i="16"/>
  <c r="AF60" i="16"/>
  <c r="AE60" i="16"/>
  <c r="AD60" i="16"/>
  <c r="AC60" i="16"/>
  <c r="AB60" i="16"/>
  <c r="AA60" i="16"/>
  <c r="Z60" i="16"/>
  <c r="Y60" i="16"/>
  <c r="X60" i="16"/>
  <c r="W60" i="16"/>
  <c r="T60" i="16"/>
  <c r="Q60" i="16"/>
  <c r="N60" i="16"/>
  <c r="K60" i="16"/>
  <c r="C5" i="83"/>
  <c r="DC50" i="16"/>
  <c r="DB50" i="16"/>
  <c r="DA50" i="16"/>
  <c r="CZ50" i="16"/>
  <c r="CY50" i="16"/>
  <c r="CX50" i="16"/>
  <c r="CW50" i="16"/>
  <c r="CV50" i="16"/>
  <c r="CU50" i="16"/>
  <c r="CT50" i="16"/>
  <c r="CS50" i="16"/>
  <c r="CR50" i="16"/>
  <c r="CQ50" i="16"/>
  <c r="CP50" i="16"/>
  <c r="CO50" i="16"/>
  <c r="CN50" i="16"/>
  <c r="CM50" i="16"/>
  <c r="CL50" i="16"/>
  <c r="CK50" i="16"/>
  <c r="CJ50" i="16"/>
  <c r="CI50" i="16"/>
  <c r="CH50" i="16"/>
  <c r="CG50" i="16"/>
  <c r="CF50" i="16"/>
  <c r="CE50" i="16"/>
  <c r="CD50" i="16"/>
  <c r="CC50" i="16"/>
  <c r="CB50" i="16"/>
  <c r="CA50" i="16"/>
  <c r="BZ50" i="16"/>
  <c r="BY50" i="16"/>
  <c r="BX50" i="16"/>
  <c r="BW50" i="16"/>
  <c r="BV50" i="16"/>
  <c r="BU50" i="16"/>
  <c r="BT50" i="16"/>
  <c r="BS50" i="16"/>
  <c r="BR50" i="16"/>
  <c r="BQ50" i="16"/>
  <c r="BP50" i="16"/>
  <c r="BO50" i="16"/>
  <c r="BN50" i="16"/>
  <c r="BM50" i="16"/>
  <c r="BL50" i="16"/>
  <c r="BK50" i="16"/>
  <c r="BJ50" i="16"/>
  <c r="BI50" i="16"/>
  <c r="BH50" i="16"/>
  <c r="BG50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DC46" i="16"/>
  <c r="DB46" i="16"/>
  <c r="DA46" i="16"/>
  <c r="CZ46" i="16"/>
  <c r="CY46" i="16"/>
  <c r="CX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J46" i="16"/>
  <c r="CI46" i="16"/>
  <c r="CH46" i="16"/>
  <c r="CG46" i="16"/>
  <c r="CF46" i="16"/>
  <c r="CE46" i="16"/>
  <c r="CD46" i="16"/>
  <c r="CC46" i="16"/>
  <c r="CB46" i="16"/>
  <c r="CA46" i="16"/>
  <c r="BZ46" i="16"/>
  <c r="BY46" i="16"/>
  <c r="BX46" i="16"/>
  <c r="BW46" i="16"/>
  <c r="BV46" i="16"/>
  <c r="BU46" i="16"/>
  <c r="BT46" i="16"/>
  <c r="BS46" i="16"/>
  <c r="BR46" i="16"/>
  <c r="BQ46" i="16"/>
  <c r="BP46" i="16"/>
  <c r="BO46" i="16"/>
  <c r="BN46" i="16"/>
  <c r="BM46" i="16"/>
  <c r="BL46" i="16"/>
  <c r="BK46" i="16"/>
  <c r="BJ46" i="16"/>
  <c r="BI46" i="16"/>
  <c r="BH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T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F46" i="16"/>
  <c r="AE46" i="16"/>
  <c r="AD46" i="16"/>
  <c r="AC46" i="16"/>
  <c r="AB46" i="16"/>
  <c r="AA46" i="16"/>
  <c r="Z46" i="16"/>
  <c r="Y46" i="16"/>
  <c r="X46" i="16"/>
  <c r="W46" i="16"/>
  <c r="T46" i="16"/>
  <c r="Q46" i="16"/>
  <c r="N46" i="16"/>
  <c r="K46" i="16"/>
  <c r="DC38" i="16"/>
  <c r="DB38" i="16"/>
  <c r="DA38" i="16"/>
  <c r="CZ38" i="16"/>
  <c r="CY38" i="16"/>
  <c r="CX38" i="16"/>
  <c r="CW38" i="16"/>
  <c r="CV38" i="16"/>
  <c r="CU38" i="16"/>
  <c r="CT38" i="16"/>
  <c r="CS38" i="16"/>
  <c r="CR38" i="16"/>
  <c r="CQ38" i="16"/>
  <c r="CP38" i="16"/>
  <c r="CO38" i="16"/>
  <c r="CN38" i="16"/>
  <c r="CM38" i="16"/>
  <c r="CL38" i="16"/>
  <c r="CK38" i="16"/>
  <c r="CJ38" i="16"/>
  <c r="CI38" i="16"/>
  <c r="CH38" i="16"/>
  <c r="CG38" i="16"/>
  <c r="CF38" i="16"/>
  <c r="CE38" i="16"/>
  <c r="CD38" i="16"/>
  <c r="CC38" i="16"/>
  <c r="CB38" i="16"/>
  <c r="CA38" i="16"/>
  <c r="BZ38" i="16"/>
  <c r="BY38" i="16"/>
  <c r="BX38" i="16"/>
  <c r="BW38" i="16"/>
  <c r="BV38" i="16"/>
  <c r="BU38" i="16"/>
  <c r="BT38" i="16"/>
  <c r="BS38" i="16"/>
  <c r="BR38" i="16"/>
  <c r="BQ38" i="16"/>
  <c r="BP38" i="16"/>
  <c r="BO38" i="16"/>
  <c r="BN38" i="16"/>
  <c r="BM38" i="16"/>
  <c r="BL38" i="16"/>
  <c r="BK38" i="16"/>
  <c r="BJ38" i="16"/>
  <c r="BI38" i="16"/>
  <c r="BH38" i="16"/>
  <c r="BG38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T38" i="16"/>
  <c r="Q38" i="16"/>
  <c r="N38" i="16"/>
  <c r="K38" i="16"/>
  <c r="DC31" i="16"/>
  <c r="DB31" i="16"/>
  <c r="DA31" i="16"/>
  <c r="CZ31" i="16"/>
  <c r="CY31" i="16"/>
  <c r="CX31" i="16"/>
  <c r="CW31" i="16"/>
  <c r="CV31" i="16"/>
  <c r="CU31" i="16"/>
  <c r="CT31" i="16"/>
  <c r="CS31" i="16"/>
  <c r="CR31" i="16"/>
  <c r="CQ31" i="16"/>
  <c r="CP31" i="16"/>
  <c r="CO31" i="16"/>
  <c r="CN31" i="16"/>
  <c r="CM31" i="16"/>
  <c r="CL31" i="16"/>
  <c r="CK31" i="16"/>
  <c r="CJ31" i="16"/>
  <c r="CI31" i="16"/>
  <c r="CH31" i="16"/>
  <c r="CG31" i="16"/>
  <c r="CF31" i="16"/>
  <c r="CE31" i="16"/>
  <c r="CD31" i="16"/>
  <c r="CC31" i="16"/>
  <c r="CB31" i="16"/>
  <c r="CA31" i="16"/>
  <c r="BZ31" i="16"/>
  <c r="BY31" i="16"/>
  <c r="BX31" i="16"/>
  <c r="BW31" i="16"/>
  <c r="BV31" i="16"/>
  <c r="BU31" i="16"/>
  <c r="BT31" i="16"/>
  <c r="BS31" i="16"/>
  <c r="BR31" i="16"/>
  <c r="BQ31" i="16"/>
  <c r="BP31" i="16"/>
  <c r="BO31" i="16"/>
  <c r="BN31" i="16"/>
  <c r="BM31" i="16"/>
  <c r="BL31" i="16"/>
  <c r="BK31" i="16"/>
  <c r="BJ31" i="16"/>
  <c r="BI31" i="16"/>
  <c r="BH31" i="16"/>
  <c r="BG31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T31" i="16"/>
  <c r="Q31" i="16"/>
  <c r="N31" i="16"/>
  <c r="K31" i="16"/>
  <c r="DC25" i="16"/>
  <c r="DB25" i="16"/>
  <c r="DA25" i="16"/>
  <c r="CZ25" i="16"/>
  <c r="CY25" i="16"/>
  <c r="CX25" i="16"/>
  <c r="CW25" i="16"/>
  <c r="CV25" i="16"/>
  <c r="CU25" i="16"/>
  <c r="CT25" i="16"/>
  <c r="CS25" i="16"/>
  <c r="CR25" i="16"/>
  <c r="CQ25" i="16"/>
  <c r="CP25" i="16"/>
  <c r="CO25" i="16"/>
  <c r="CN25" i="16"/>
  <c r="CM25" i="16"/>
  <c r="CL25" i="16"/>
  <c r="CK25" i="16"/>
  <c r="CJ25" i="16"/>
  <c r="CI25" i="16"/>
  <c r="CH25" i="16"/>
  <c r="CG25" i="16"/>
  <c r="CF25" i="16"/>
  <c r="CE25" i="16"/>
  <c r="CD25" i="16"/>
  <c r="CC25" i="16"/>
  <c r="CB25" i="16"/>
  <c r="CA25" i="16"/>
  <c r="BZ25" i="16"/>
  <c r="BY25" i="16"/>
  <c r="BX25" i="16"/>
  <c r="BW25" i="16"/>
  <c r="BV25" i="16"/>
  <c r="BU25" i="16"/>
  <c r="BT25" i="16"/>
  <c r="BS25" i="16"/>
  <c r="BR25" i="16"/>
  <c r="BQ25" i="16"/>
  <c r="BP25" i="16"/>
  <c r="BO25" i="16"/>
  <c r="BN25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T25" i="16"/>
  <c r="Q25" i="16"/>
  <c r="N25" i="16"/>
  <c r="K25" i="16"/>
  <c r="DC15" i="16"/>
  <c r="DB15" i="16"/>
  <c r="DA15" i="16"/>
  <c r="CZ15" i="16"/>
  <c r="CY15" i="16"/>
  <c r="CX15" i="16"/>
  <c r="CW15" i="16"/>
  <c r="CV15" i="16"/>
  <c r="CU15" i="16"/>
  <c r="CT15" i="16"/>
  <c r="CS15" i="16"/>
  <c r="CR15" i="16"/>
  <c r="CQ15" i="16"/>
  <c r="CP15" i="16"/>
  <c r="CO15" i="16"/>
  <c r="CN15" i="16"/>
  <c r="CM15" i="16"/>
  <c r="CL15" i="16"/>
  <c r="CK15" i="16"/>
  <c r="CJ15" i="16"/>
  <c r="CI15" i="16"/>
  <c r="CH15" i="16"/>
  <c r="CG15" i="16"/>
  <c r="CF15" i="16"/>
  <c r="CE15" i="16"/>
  <c r="CD15" i="16"/>
  <c r="CC15" i="16"/>
  <c r="CB15" i="16"/>
  <c r="CA15" i="16"/>
  <c r="BZ15" i="16"/>
  <c r="BY15" i="16"/>
  <c r="BX15" i="16"/>
  <c r="BW15" i="16"/>
  <c r="BV15" i="16"/>
  <c r="BU15" i="16"/>
  <c r="BT15" i="16"/>
  <c r="BS15" i="16"/>
  <c r="BR15" i="16"/>
  <c r="BQ15" i="16"/>
  <c r="BP15" i="16"/>
  <c r="BO15" i="16"/>
  <c r="BN15" i="16"/>
  <c r="BM15" i="16"/>
  <c r="BL15" i="16"/>
  <c r="BK15" i="16"/>
  <c r="BJ15" i="16"/>
  <c r="BI15" i="16"/>
  <c r="BH15" i="16"/>
  <c r="BG15" i="16"/>
  <c r="BF15" i="16"/>
  <c r="BE15" i="16"/>
  <c r="BD15" i="16"/>
  <c r="BC15" i="16"/>
  <c r="BB15" i="16"/>
  <c r="BA15" i="16"/>
  <c r="AZ15" i="16"/>
  <c r="AY15" i="16"/>
  <c r="AX15" i="16"/>
  <c r="AW15" i="16"/>
  <c r="AV15" i="16"/>
  <c r="AU15" i="16"/>
  <c r="AT15" i="16"/>
  <c r="AS15" i="16"/>
  <c r="DC11" i="16"/>
  <c r="DB11" i="16"/>
  <c r="DA11" i="16"/>
  <c r="CZ11" i="16"/>
  <c r="CY11" i="16"/>
  <c r="CX11" i="16"/>
  <c r="CW11" i="16"/>
  <c r="CV11" i="16"/>
  <c r="CU11" i="16"/>
  <c r="CT11" i="16"/>
  <c r="CS11" i="16"/>
  <c r="CR11" i="16"/>
  <c r="CQ11" i="16"/>
  <c r="CP11" i="16"/>
  <c r="CO11" i="16"/>
  <c r="CN11" i="16"/>
  <c r="CM11" i="16"/>
  <c r="CL11" i="16"/>
  <c r="CK11" i="16"/>
  <c r="CJ11" i="16"/>
  <c r="CI11" i="16"/>
  <c r="CH11" i="16"/>
  <c r="CG11" i="16"/>
  <c r="CF11" i="16"/>
  <c r="CE11" i="16"/>
  <c r="CD11" i="16"/>
  <c r="CC11" i="16"/>
  <c r="CB11" i="16"/>
  <c r="CA11" i="16"/>
  <c r="BZ11" i="16"/>
  <c r="BY11" i="16"/>
  <c r="BX11" i="16"/>
  <c r="BW11" i="16"/>
  <c r="BV11" i="16"/>
  <c r="BU11" i="16"/>
  <c r="BT11" i="16"/>
  <c r="BS11" i="16"/>
  <c r="BR11" i="16"/>
  <c r="BQ11" i="16"/>
  <c r="BP11" i="16"/>
  <c r="BO11" i="16"/>
  <c r="BN11" i="16"/>
  <c r="BM11" i="16"/>
  <c r="BL11" i="16"/>
  <c r="BK11" i="16"/>
  <c r="BJ11" i="16"/>
  <c r="BI11" i="16"/>
  <c r="BH11" i="16"/>
  <c r="BG11" i="16"/>
  <c r="BF11" i="16"/>
  <c r="BE11" i="16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H53" i="16"/>
  <c r="H49" i="16"/>
  <c r="DC54" i="16"/>
  <c r="DB54" i="16"/>
  <c r="DA54" i="16"/>
  <c r="CZ54" i="16"/>
  <c r="CY54" i="16"/>
  <c r="CX54" i="16"/>
  <c r="CW54" i="16"/>
  <c r="CV54" i="16"/>
  <c r="CU54" i="16"/>
  <c r="CT54" i="16"/>
  <c r="CS54" i="16"/>
  <c r="CR54" i="16"/>
  <c r="CQ54" i="16"/>
  <c r="CP54" i="16"/>
  <c r="CO54" i="16"/>
  <c r="CN54" i="16"/>
  <c r="CM54" i="16"/>
  <c r="CL54" i="16"/>
  <c r="CK54" i="16"/>
  <c r="CJ54" i="16"/>
  <c r="CI54" i="16"/>
  <c r="CH54" i="16"/>
  <c r="CG54" i="16"/>
  <c r="CF54" i="16"/>
  <c r="CE54" i="16"/>
  <c r="CD54" i="16"/>
  <c r="CC54" i="16"/>
  <c r="CB54" i="16"/>
  <c r="CA54" i="16"/>
  <c r="BZ54" i="16"/>
  <c r="BY54" i="16"/>
  <c r="BX54" i="16"/>
  <c r="BW54" i="16"/>
  <c r="BV54" i="16"/>
  <c r="BU54" i="16"/>
  <c r="BT54" i="16"/>
  <c r="BS54" i="16"/>
  <c r="BR54" i="16"/>
  <c r="BQ54" i="16"/>
  <c r="BP54" i="16"/>
  <c r="BO54" i="16"/>
  <c r="BN54" i="16"/>
  <c r="BM54" i="16"/>
  <c r="BL54" i="16"/>
  <c r="BK54" i="16"/>
  <c r="BJ54" i="16"/>
  <c r="BI54" i="16"/>
  <c r="BH54" i="16"/>
  <c r="BG54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DC53" i="16"/>
  <c r="DB53" i="16"/>
  <c r="DA53" i="16"/>
  <c r="CZ53" i="16"/>
  <c r="CY53" i="16"/>
  <c r="CX53" i="16"/>
  <c r="CW53" i="16"/>
  <c r="CV53" i="16"/>
  <c r="CU53" i="16"/>
  <c r="CT53" i="16"/>
  <c r="CS53" i="16"/>
  <c r="CR53" i="16"/>
  <c r="CQ53" i="16"/>
  <c r="CP53" i="16"/>
  <c r="CO53" i="16"/>
  <c r="CN53" i="16"/>
  <c r="CM53" i="16"/>
  <c r="CL53" i="16"/>
  <c r="CK53" i="16"/>
  <c r="CJ53" i="16"/>
  <c r="CI53" i="16"/>
  <c r="CH53" i="16"/>
  <c r="CG53" i="16"/>
  <c r="CF53" i="16"/>
  <c r="CE53" i="16"/>
  <c r="CD53" i="16"/>
  <c r="CC53" i="16"/>
  <c r="CB53" i="16"/>
  <c r="CA53" i="16"/>
  <c r="BZ53" i="16"/>
  <c r="BY53" i="16"/>
  <c r="BX53" i="16"/>
  <c r="BW53" i="16"/>
  <c r="BV53" i="16"/>
  <c r="BU53" i="16"/>
  <c r="BT53" i="16"/>
  <c r="BS53" i="16"/>
  <c r="BR53" i="16"/>
  <c r="BQ53" i="16"/>
  <c r="BP53" i="16"/>
  <c r="BO53" i="16"/>
  <c r="BN53" i="16"/>
  <c r="BM53" i="16"/>
  <c r="BL53" i="16"/>
  <c r="BK53" i="16"/>
  <c r="BJ53" i="16"/>
  <c r="BI53" i="16"/>
  <c r="BH53" i="16"/>
  <c r="BG53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DC49" i="16"/>
  <c r="DB49" i="16"/>
  <c r="DA49" i="16"/>
  <c r="CZ49" i="16"/>
  <c r="CY49" i="16"/>
  <c r="CX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J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V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H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G49" i="16"/>
  <c r="DC45" i="16"/>
  <c r="DB45" i="16"/>
  <c r="DA45" i="16"/>
  <c r="CZ45" i="16"/>
  <c r="CY45" i="16"/>
  <c r="CX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J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V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H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H45" i="16"/>
  <c r="G45" i="16"/>
  <c r="DC37" i="16"/>
  <c r="DB37" i="16"/>
  <c r="DA37" i="16"/>
  <c r="CZ37" i="16"/>
  <c r="CY37" i="16"/>
  <c r="CX37" i="16"/>
  <c r="CW37" i="16"/>
  <c r="CV37" i="16"/>
  <c r="CU37" i="16"/>
  <c r="CT37" i="16"/>
  <c r="CS37" i="16"/>
  <c r="CR37" i="16"/>
  <c r="CQ37" i="16"/>
  <c r="CP37" i="16"/>
  <c r="CO37" i="16"/>
  <c r="CN37" i="16"/>
  <c r="CM37" i="16"/>
  <c r="CL37" i="16"/>
  <c r="CK37" i="16"/>
  <c r="CJ37" i="16"/>
  <c r="CI37" i="16"/>
  <c r="CH37" i="16"/>
  <c r="CG37" i="16"/>
  <c r="CF37" i="16"/>
  <c r="CE37" i="16"/>
  <c r="CD37" i="16"/>
  <c r="CC37" i="16"/>
  <c r="CB37" i="16"/>
  <c r="CA37" i="16"/>
  <c r="BZ37" i="16"/>
  <c r="BY37" i="16"/>
  <c r="BX37" i="16"/>
  <c r="BW37" i="16"/>
  <c r="BV37" i="16"/>
  <c r="BU37" i="16"/>
  <c r="BT37" i="16"/>
  <c r="BS37" i="16"/>
  <c r="BR37" i="16"/>
  <c r="BQ37" i="16"/>
  <c r="BP37" i="16"/>
  <c r="BO37" i="16"/>
  <c r="BN37" i="16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G37" i="16"/>
  <c r="DC34" i="16"/>
  <c r="DB34" i="16"/>
  <c r="DA34" i="16"/>
  <c r="CZ34" i="16"/>
  <c r="CY34" i="16"/>
  <c r="CX34" i="16"/>
  <c r="CW34" i="16"/>
  <c r="CV34" i="16"/>
  <c r="CU34" i="16"/>
  <c r="CT34" i="16"/>
  <c r="CS34" i="16"/>
  <c r="CR34" i="16"/>
  <c r="CQ34" i="16"/>
  <c r="CP34" i="16"/>
  <c r="CO34" i="16"/>
  <c r="CN34" i="16"/>
  <c r="CM34" i="16"/>
  <c r="CL34" i="16"/>
  <c r="CK34" i="16"/>
  <c r="CJ34" i="16"/>
  <c r="CI34" i="16"/>
  <c r="CH34" i="16"/>
  <c r="CG34" i="16"/>
  <c r="CF34" i="16"/>
  <c r="CE34" i="16"/>
  <c r="CD34" i="16"/>
  <c r="CC34" i="16"/>
  <c r="CB34" i="16"/>
  <c r="CA34" i="16"/>
  <c r="BZ34" i="16"/>
  <c r="BY34" i="16"/>
  <c r="BX34" i="16"/>
  <c r="BW34" i="16"/>
  <c r="BV34" i="16"/>
  <c r="BU34" i="16"/>
  <c r="BT34" i="16"/>
  <c r="BS34" i="16"/>
  <c r="BR34" i="16"/>
  <c r="BQ34" i="16"/>
  <c r="BP34" i="16"/>
  <c r="BO34" i="16"/>
  <c r="BN34" i="16"/>
  <c r="BM34" i="16"/>
  <c r="BL34" i="16"/>
  <c r="BK34" i="16"/>
  <c r="BJ34" i="16"/>
  <c r="BI34" i="16"/>
  <c r="BH34" i="16"/>
  <c r="BG34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DC30" i="16"/>
  <c r="DB30" i="16"/>
  <c r="DA30" i="16"/>
  <c r="CZ30" i="16"/>
  <c r="CY30" i="16"/>
  <c r="CX30" i="16"/>
  <c r="CW30" i="16"/>
  <c r="CV30" i="16"/>
  <c r="CU30" i="16"/>
  <c r="CT30" i="16"/>
  <c r="CS30" i="16"/>
  <c r="CR30" i="16"/>
  <c r="CQ30" i="16"/>
  <c r="CP30" i="16"/>
  <c r="CO30" i="16"/>
  <c r="CN30" i="16"/>
  <c r="CM30" i="16"/>
  <c r="CL30" i="16"/>
  <c r="CK30" i="16"/>
  <c r="CJ30" i="16"/>
  <c r="CI30" i="16"/>
  <c r="CH30" i="16"/>
  <c r="CG30" i="16"/>
  <c r="CF30" i="16"/>
  <c r="CE30" i="16"/>
  <c r="CD30" i="16"/>
  <c r="CC30" i="16"/>
  <c r="CB30" i="16"/>
  <c r="CA30" i="16"/>
  <c r="BZ30" i="16"/>
  <c r="BY30" i="16"/>
  <c r="BX30" i="16"/>
  <c r="BW30" i="16"/>
  <c r="BV30" i="16"/>
  <c r="BU30" i="16"/>
  <c r="BT30" i="16"/>
  <c r="BS30" i="16"/>
  <c r="BR30" i="16"/>
  <c r="BQ30" i="16"/>
  <c r="BP30" i="16"/>
  <c r="BO30" i="16"/>
  <c r="BN30" i="16"/>
  <c r="BM30" i="16"/>
  <c r="BL30" i="16"/>
  <c r="BK30" i="16"/>
  <c r="BJ30" i="16"/>
  <c r="BI30" i="16"/>
  <c r="BH30" i="16"/>
  <c r="BG30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H30" i="16"/>
  <c r="G30" i="16"/>
  <c r="DC24" i="16"/>
  <c r="DB24" i="16"/>
  <c r="DA24" i="16"/>
  <c r="CZ24" i="16"/>
  <c r="CY24" i="16"/>
  <c r="CX24" i="16"/>
  <c r="CW24" i="16"/>
  <c r="CV24" i="16"/>
  <c r="CU24" i="16"/>
  <c r="CT24" i="16"/>
  <c r="CS24" i="16"/>
  <c r="CR24" i="16"/>
  <c r="CQ24" i="16"/>
  <c r="CP24" i="16"/>
  <c r="CO24" i="16"/>
  <c r="CN24" i="16"/>
  <c r="CM24" i="16"/>
  <c r="CL24" i="16"/>
  <c r="CK24" i="16"/>
  <c r="CJ24" i="16"/>
  <c r="CI24" i="16"/>
  <c r="CH24" i="16"/>
  <c r="CG24" i="16"/>
  <c r="CF24" i="16"/>
  <c r="CE24" i="16"/>
  <c r="CD24" i="16"/>
  <c r="CC24" i="16"/>
  <c r="CB24" i="16"/>
  <c r="CA24" i="16"/>
  <c r="BZ24" i="16"/>
  <c r="BY24" i="16"/>
  <c r="BX24" i="16"/>
  <c r="BW24" i="16"/>
  <c r="BV24" i="16"/>
  <c r="BU24" i="16"/>
  <c r="BT24" i="16"/>
  <c r="BS24" i="16"/>
  <c r="BR24" i="16"/>
  <c r="BQ24" i="16"/>
  <c r="BP24" i="16"/>
  <c r="BO24" i="16"/>
  <c r="BN24" i="16"/>
  <c r="BM24" i="16"/>
  <c r="BL24" i="16"/>
  <c r="BK24" i="16"/>
  <c r="BJ24" i="16"/>
  <c r="BI24" i="16"/>
  <c r="BH24" i="16"/>
  <c r="BG24" i="16"/>
  <c r="BF24" i="16"/>
  <c r="BE24" i="16"/>
  <c r="BD24" i="16"/>
  <c r="BC24" i="16"/>
  <c r="BB24" i="16"/>
  <c r="BA24" i="16"/>
  <c r="AZ24" i="16"/>
  <c r="AY24" i="16"/>
  <c r="AX24" i="16"/>
  <c r="AW24" i="16"/>
  <c r="AV24" i="16"/>
  <c r="AU24" i="16"/>
  <c r="AT24" i="16"/>
  <c r="AS24" i="16"/>
  <c r="AR24" i="16"/>
  <c r="AQ24" i="16"/>
  <c r="AP24" i="16"/>
  <c r="AO24" i="16"/>
  <c r="AN24" i="16"/>
  <c r="AM24" i="16"/>
  <c r="AL24" i="16"/>
  <c r="AK24" i="16"/>
  <c r="AJ24" i="16"/>
  <c r="AI24" i="16"/>
  <c r="AH24" i="16"/>
  <c r="AG24" i="16"/>
  <c r="H24" i="16"/>
  <c r="G24" i="16"/>
  <c r="DC14" i="16"/>
  <c r="DB14" i="16"/>
  <c r="DA14" i="16"/>
  <c r="CZ14" i="16"/>
  <c r="CY14" i="16"/>
  <c r="CX14" i="16"/>
  <c r="CW14" i="16"/>
  <c r="CV14" i="16"/>
  <c r="CU14" i="16"/>
  <c r="CT14" i="16"/>
  <c r="CS14" i="16"/>
  <c r="CR14" i="16"/>
  <c r="CQ14" i="16"/>
  <c r="CP14" i="16"/>
  <c r="CO14" i="16"/>
  <c r="CN14" i="16"/>
  <c r="CM14" i="16"/>
  <c r="CL14" i="16"/>
  <c r="CK14" i="16"/>
  <c r="CJ14" i="16"/>
  <c r="CI14" i="16"/>
  <c r="CH14" i="16"/>
  <c r="CG14" i="16"/>
  <c r="CF14" i="16"/>
  <c r="CE14" i="16"/>
  <c r="CD14" i="16"/>
  <c r="CC14" i="16"/>
  <c r="CB14" i="16"/>
  <c r="CA14" i="16"/>
  <c r="BZ14" i="16"/>
  <c r="BY14" i="16"/>
  <c r="BX14" i="16"/>
  <c r="BW14" i="16"/>
  <c r="BV14" i="16"/>
  <c r="BU14" i="16"/>
  <c r="BT14" i="16"/>
  <c r="BS14" i="16"/>
  <c r="BR14" i="16"/>
  <c r="BQ14" i="16"/>
  <c r="BP14" i="16"/>
  <c r="BO14" i="16"/>
  <c r="BN14" i="16"/>
  <c r="BM14" i="16"/>
  <c r="BL14" i="16"/>
  <c r="BK14" i="16"/>
  <c r="BJ14" i="16"/>
  <c r="BI14" i="16"/>
  <c r="BH14" i="16"/>
  <c r="BG14" i="16"/>
  <c r="BF14" i="16"/>
  <c r="BE14" i="16"/>
  <c r="BD14" i="16"/>
  <c r="BC14" i="16"/>
  <c r="BB14" i="16"/>
  <c r="BA14" i="16"/>
  <c r="AZ14" i="16"/>
  <c r="AY14" i="16"/>
  <c r="AX14" i="16"/>
  <c r="AW14" i="16"/>
  <c r="AV14" i="16"/>
  <c r="AU14" i="16"/>
  <c r="AT14" i="16"/>
  <c r="AS14" i="16"/>
  <c r="AR14" i="16"/>
  <c r="AQ14" i="16"/>
  <c r="AP14" i="16"/>
  <c r="AO14" i="16"/>
  <c r="AN14" i="16"/>
  <c r="AM14" i="16"/>
  <c r="AL14" i="16"/>
  <c r="AK14" i="16"/>
  <c r="AJ14" i="16"/>
  <c r="AI14" i="16"/>
  <c r="AH14" i="16"/>
  <c r="AG14" i="16"/>
  <c r="G14" i="16"/>
  <c r="H14" i="16"/>
  <c r="H37" i="16"/>
  <c r="BA96" i="83"/>
  <c r="AZ96" i="83"/>
  <c r="AY96" i="83"/>
  <c r="AS96" i="83"/>
  <c r="AR96" i="83"/>
  <c r="AQ96" i="83"/>
  <c r="AW96" i="83"/>
  <c r="AV96" i="83"/>
  <c r="AU96" i="83"/>
  <c r="AK96" i="83"/>
  <c r="AJ96" i="83"/>
  <c r="AI96" i="83"/>
  <c r="AO96" i="83"/>
  <c r="AN96" i="83"/>
  <c r="AM96" i="83"/>
  <c r="AG96" i="83"/>
  <c r="AF96" i="83"/>
  <c r="AE96" i="83"/>
  <c r="C248" i="17"/>
  <c r="C38" i="17"/>
  <c r="C308" i="17"/>
  <c r="M5" i="83"/>
  <c r="D156" i="10"/>
  <c r="D153" i="10"/>
  <c r="D150" i="10"/>
  <c r="D147" i="10"/>
  <c r="D144" i="10"/>
  <c r="D141" i="10"/>
  <c r="AO131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AO130" i="10"/>
  <c r="AN130" i="10"/>
  <c r="AM130" i="10"/>
  <c r="AL130" i="10"/>
  <c r="AK130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I131" i="10"/>
  <c r="AO121" i="10"/>
  <c r="AN121" i="10"/>
  <c r="AM121" i="10"/>
  <c r="AL121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AO64" i="10"/>
  <c r="AO66" i="10" s="1"/>
  <c r="AO123" i="10" s="1"/>
  <c r="AN64" i="10"/>
  <c r="AN66" i="10" s="1"/>
  <c r="AN123" i="10" s="1"/>
  <c r="AM64" i="10"/>
  <c r="AM66" i="10" s="1"/>
  <c r="AM123" i="10" s="1"/>
  <c r="AL64" i="10"/>
  <c r="AL66" i="10" s="1"/>
  <c r="AL123" i="10" s="1"/>
  <c r="AK64" i="10"/>
  <c r="AK66" i="10" s="1"/>
  <c r="AK123" i="10" s="1"/>
  <c r="AJ64" i="10"/>
  <c r="AJ66" i="10" s="1"/>
  <c r="AJ123" i="10" s="1"/>
  <c r="AI64" i="10"/>
  <c r="AI66" i="10" s="1"/>
  <c r="AI123" i="10" s="1"/>
  <c r="AH64" i="10"/>
  <c r="AH66" i="10" s="1"/>
  <c r="AH123" i="10" s="1"/>
  <c r="AG64" i="10"/>
  <c r="AG66" i="10" s="1"/>
  <c r="AG123" i="10" s="1"/>
  <c r="AF64" i="10"/>
  <c r="AF66" i="10" s="1"/>
  <c r="AE64" i="10"/>
  <c r="AE66" i="10" s="1"/>
  <c r="AD64" i="10"/>
  <c r="AD66" i="10" s="1"/>
  <c r="AC64" i="10"/>
  <c r="AC66" i="10" s="1"/>
  <c r="AB64" i="10"/>
  <c r="AB66" i="10" s="1"/>
  <c r="AA64" i="10"/>
  <c r="AA66" i="10" s="1"/>
  <c r="AA123" i="10" s="1"/>
  <c r="Z64" i="10"/>
  <c r="Z66" i="10" s="1"/>
  <c r="Z123" i="10" s="1"/>
  <c r="Y64" i="10"/>
  <c r="Y66" i="10" s="1"/>
  <c r="Y123" i="10" s="1"/>
  <c r="X64" i="10"/>
  <c r="X66" i="10" s="1"/>
  <c r="X123" i="10" s="1"/>
  <c r="W64" i="10"/>
  <c r="W66" i="10" s="1"/>
  <c r="W123" i="10" s="1"/>
  <c r="V64" i="10"/>
  <c r="V66" i="10" s="1"/>
  <c r="V123" i="10" s="1"/>
  <c r="U64" i="10"/>
  <c r="U66" i="10" s="1"/>
  <c r="U123" i="10" s="1"/>
  <c r="T64" i="10"/>
  <c r="T66" i="10" s="1"/>
  <c r="T123" i="10" s="1"/>
  <c r="S64" i="10"/>
  <c r="S66" i="10" s="1"/>
  <c r="S123" i="10" s="1"/>
  <c r="R64" i="10"/>
  <c r="R66" i="10" s="1"/>
  <c r="Q64" i="10"/>
  <c r="Q66" i="10" s="1"/>
  <c r="P64" i="10"/>
  <c r="P66" i="10" s="1"/>
  <c r="O64" i="10"/>
  <c r="O66" i="10" s="1"/>
  <c r="N64" i="10"/>
  <c r="N66" i="10" s="1"/>
  <c r="M64" i="10"/>
  <c r="M66" i="10" s="1"/>
  <c r="M123" i="10" s="1"/>
  <c r="L64" i="10"/>
  <c r="L66" i="10" s="1"/>
  <c r="L123" i="10" s="1"/>
  <c r="K64" i="10"/>
  <c r="K66" i="10" s="1"/>
  <c r="K123" i="10" s="1"/>
  <c r="J64" i="10"/>
  <c r="J66" i="10" s="1"/>
  <c r="J123" i="10" s="1"/>
  <c r="I64" i="10"/>
  <c r="I66" i="10" s="1"/>
  <c r="I123" i="10" s="1"/>
  <c r="DC649" i="16"/>
  <c r="DB649" i="16"/>
  <c r="DA649" i="16"/>
  <c r="CZ649" i="16"/>
  <c r="CY649" i="16"/>
  <c r="CX649" i="16"/>
  <c r="CW649" i="16"/>
  <c r="CV649" i="16"/>
  <c r="CU649" i="16"/>
  <c r="CT649" i="16"/>
  <c r="CS649" i="16"/>
  <c r="CR649" i="16"/>
  <c r="CQ649" i="16"/>
  <c r="CP649" i="16"/>
  <c r="CO649" i="16"/>
  <c r="CN649" i="16"/>
  <c r="CM649" i="16"/>
  <c r="CL649" i="16"/>
  <c r="CK649" i="16"/>
  <c r="CJ649" i="16"/>
  <c r="CI649" i="16"/>
  <c r="CH649" i="16"/>
  <c r="CG649" i="16"/>
  <c r="CF649" i="16"/>
  <c r="CE649" i="16"/>
  <c r="CD649" i="16"/>
  <c r="CC649" i="16"/>
  <c r="CB649" i="16"/>
  <c r="CA649" i="16"/>
  <c r="BZ649" i="16"/>
  <c r="BY649" i="16"/>
  <c r="BX649" i="16"/>
  <c r="BW649" i="16"/>
  <c r="BV649" i="16"/>
  <c r="BU649" i="16"/>
  <c r="BT649" i="16"/>
  <c r="BS649" i="16"/>
  <c r="BR649" i="16"/>
  <c r="BQ649" i="16"/>
  <c r="BP649" i="16"/>
  <c r="BO649" i="16"/>
  <c r="BN649" i="16"/>
  <c r="BM649" i="16"/>
  <c r="BL649" i="16"/>
  <c r="BK649" i="16"/>
  <c r="BJ649" i="16"/>
  <c r="BI649" i="16"/>
  <c r="BH649" i="16"/>
  <c r="BG649" i="16"/>
  <c r="BF649" i="16"/>
  <c r="BE649" i="16"/>
  <c r="BD649" i="16"/>
  <c r="BC649" i="16"/>
  <c r="BB649" i="16"/>
  <c r="BA649" i="16"/>
  <c r="AZ649" i="16"/>
  <c r="AY649" i="16"/>
  <c r="AX649" i="16"/>
  <c r="AW649" i="16"/>
  <c r="AV649" i="16"/>
  <c r="AU649" i="16"/>
  <c r="AT649" i="16"/>
  <c r="AS649" i="16"/>
  <c r="AR649" i="16"/>
  <c r="AQ649" i="16"/>
  <c r="AP649" i="16"/>
  <c r="AO649" i="16"/>
  <c r="AN649" i="16"/>
  <c r="AM649" i="16"/>
  <c r="AL649" i="16"/>
  <c r="AK649" i="16"/>
  <c r="AJ649" i="16"/>
  <c r="AI649" i="16"/>
  <c r="AH649" i="16"/>
  <c r="AG649" i="16"/>
  <c r="AF649" i="16"/>
  <c r="AE649" i="16"/>
  <c r="AD649" i="16"/>
  <c r="AC649" i="16"/>
  <c r="AB649" i="16"/>
  <c r="AA649" i="16"/>
  <c r="Z649" i="16"/>
  <c r="Y649" i="16"/>
  <c r="X649" i="16"/>
  <c r="W649" i="16"/>
  <c r="V649" i="16"/>
  <c r="U649" i="16"/>
  <c r="T649" i="16"/>
  <c r="S649" i="16"/>
  <c r="R649" i="16"/>
  <c r="Q649" i="16"/>
  <c r="P649" i="16"/>
  <c r="O649" i="16"/>
  <c r="N649" i="16"/>
  <c r="M649" i="16"/>
  <c r="L649" i="16"/>
  <c r="K649" i="16"/>
  <c r="J649" i="16"/>
  <c r="I649" i="16"/>
  <c r="H649" i="16"/>
  <c r="G649" i="16"/>
  <c r="G595" i="16"/>
  <c r="O432" i="16" l="1"/>
  <c r="O436" i="16" s="1"/>
  <c r="O437" i="16" s="1"/>
  <c r="O415" i="16"/>
  <c r="O416" i="16" s="1"/>
  <c r="AC437" i="16"/>
  <c r="AQ432" i="16"/>
  <c r="AQ436" i="16" s="1"/>
  <c r="AQ415" i="16"/>
  <c r="BE432" i="16"/>
  <c r="BE436" i="16" s="1"/>
  <c r="BE415" i="16"/>
  <c r="BS432" i="16"/>
  <c r="BS436" i="16" s="1"/>
  <c r="CG416" i="16"/>
  <c r="CG414" i="16"/>
  <c r="CU415" i="16"/>
  <c r="CU432" i="16"/>
  <c r="CU436" i="16" s="1"/>
  <c r="AN416" i="16"/>
  <c r="BB416" i="16"/>
  <c r="CD415" i="16"/>
  <c r="CR415" i="16"/>
  <c r="I426" i="16"/>
  <c r="I422" i="16"/>
  <c r="AZ417" i="16"/>
  <c r="AV437" i="16"/>
  <c r="T403" i="16"/>
  <c r="T441" i="16"/>
  <c r="T406" i="16"/>
  <c r="T445" i="16"/>
  <c r="AF403" i="16"/>
  <c r="AH445" i="16"/>
  <c r="AH429" i="16"/>
  <c r="AT403" i="16"/>
  <c r="AH403" i="16"/>
  <c r="AV422" i="16"/>
  <c r="AV403" i="16"/>
  <c r="AV441" i="16"/>
  <c r="BH403" i="16"/>
  <c r="AV429" i="16"/>
  <c r="BV403" i="16"/>
  <c r="BJ429" i="16"/>
  <c r="BJ403" i="16"/>
  <c r="BJ441" i="16"/>
  <c r="BJ406" i="16"/>
  <c r="CJ403" i="16"/>
  <c r="BX441" i="16"/>
  <c r="BX403" i="16"/>
  <c r="BX406" i="16"/>
  <c r="CL403" i="16"/>
  <c r="CX403" i="16"/>
  <c r="CL429" i="16"/>
  <c r="CZ445" i="16"/>
  <c r="CZ403" i="16"/>
  <c r="CZ441" i="16"/>
  <c r="CZ406" i="16"/>
  <c r="AZ423" i="16"/>
  <c r="AN422" i="16"/>
  <c r="AN426" i="16"/>
  <c r="BB437" i="16"/>
  <c r="BB438" i="16"/>
  <c r="AU438" i="16"/>
  <c r="AU437" i="16"/>
  <c r="BD416" i="16"/>
  <c r="K437" i="16"/>
  <c r="BA437" i="16"/>
  <c r="CQ438" i="16"/>
  <c r="CQ437" i="16"/>
  <c r="CD437" i="16"/>
  <c r="AU417" i="16"/>
  <c r="AU416" i="16"/>
  <c r="CY417" i="16"/>
  <c r="CY416" i="16"/>
  <c r="CY414" i="16"/>
  <c r="CG432" i="16"/>
  <c r="CG436" i="16" s="1"/>
  <c r="CS438" i="16" s="1"/>
  <c r="CO423" i="16"/>
  <c r="CO422" i="16"/>
  <c r="CO426" i="16"/>
  <c r="AR437" i="16"/>
  <c r="CS437" i="16"/>
  <c r="Y407" i="16"/>
  <c r="Y406" i="16"/>
  <c r="AM414" i="16"/>
  <c r="AM407" i="16"/>
  <c r="BA414" i="16"/>
  <c r="BA406" i="16"/>
  <c r="BA407" i="16"/>
  <c r="BO406" i="16"/>
  <c r="BO407" i="16"/>
  <c r="BO414" i="16"/>
  <c r="CQ414" i="16"/>
  <c r="DC407" i="16"/>
  <c r="CQ406" i="16"/>
  <c r="AK437" i="16"/>
  <c r="AH416" i="16"/>
  <c r="AH417" i="16"/>
  <c r="CZ415" i="16"/>
  <c r="N403" i="16"/>
  <c r="N429" i="16"/>
  <c r="AB403" i="16"/>
  <c r="AB441" i="16"/>
  <c r="AB406" i="16"/>
  <c r="BD403" i="16"/>
  <c r="BP403" i="16"/>
  <c r="BD429" i="16"/>
  <c r="CF403" i="16"/>
  <c r="CF441" i="16"/>
  <c r="CF445" i="16"/>
  <c r="CF406" i="16"/>
  <c r="CR403" i="16"/>
  <c r="CT445" i="16"/>
  <c r="CT441" i="16"/>
  <c r="M406" i="16"/>
  <c r="M414" i="16"/>
  <c r="AA407" i="16"/>
  <c r="AA406" i="16"/>
  <c r="AA414" i="16"/>
  <c r="AO407" i="16"/>
  <c r="AO406" i="16"/>
  <c r="BC406" i="16"/>
  <c r="BC414" i="16"/>
  <c r="BC407" i="16"/>
  <c r="BQ414" i="16"/>
  <c r="BQ406" i="16"/>
  <c r="CE406" i="16"/>
  <c r="CE407" i="16"/>
  <c r="CS406" i="16"/>
  <c r="CS407" i="16"/>
  <c r="AC415" i="16"/>
  <c r="CQ416" i="16"/>
  <c r="CP438" i="16"/>
  <c r="CP437" i="16"/>
  <c r="CN416" i="16"/>
  <c r="CN417" i="16"/>
  <c r="N416" i="16"/>
  <c r="N414" i="16"/>
  <c r="BR423" i="16"/>
  <c r="BR422" i="16"/>
  <c r="BR415" i="16"/>
  <c r="BR426" i="16"/>
  <c r="BL416" i="16"/>
  <c r="BL417" i="16"/>
  <c r="BL414" i="16"/>
  <c r="K407" i="16"/>
  <c r="K414" i="16"/>
  <c r="K406" i="16"/>
  <c r="CC406" i="16"/>
  <c r="CC414" i="16"/>
  <c r="CC407" i="16"/>
  <c r="AV416" i="16"/>
  <c r="BV436" i="16"/>
  <c r="CT406" i="16"/>
  <c r="CK414" i="16"/>
  <c r="CK416" i="16"/>
  <c r="N436" i="16"/>
  <c r="CN437" i="16"/>
  <c r="Z441" i="16"/>
  <c r="Z403" i="16"/>
  <c r="CD403" i="16"/>
  <c r="CD441" i="16"/>
  <c r="W407" i="16"/>
  <c r="AK406" i="16"/>
  <c r="AK407" i="16"/>
  <c r="AY406" i="16"/>
  <c r="AY407" i="16"/>
  <c r="CA407" i="16"/>
  <c r="CO406" i="16"/>
  <c r="CO407" i="16"/>
  <c r="BC416" i="16"/>
  <c r="CI417" i="16"/>
  <c r="AB432" i="16"/>
  <c r="AB436" i="16" s="1"/>
  <c r="AP432" i="16"/>
  <c r="AP436" i="16" s="1"/>
  <c r="AP415" i="16"/>
  <c r="BR436" i="16"/>
  <c r="CD438" i="16" s="1"/>
  <c r="CF436" i="16"/>
  <c r="CT432" i="16"/>
  <c r="CT436" i="16" s="1"/>
  <c r="CT415" i="16"/>
  <c r="CC417" i="16"/>
  <c r="CC416" i="16"/>
  <c r="AA426" i="16"/>
  <c r="AA422" i="16"/>
  <c r="AA423" i="16"/>
  <c r="CN422" i="16"/>
  <c r="AF421" i="16"/>
  <c r="AF430" i="16"/>
  <c r="AF429" i="16"/>
  <c r="AT429" i="16"/>
  <c r="AT421" i="16"/>
  <c r="AT430" i="16"/>
  <c r="BH429" i="16"/>
  <c r="BH421" i="16"/>
  <c r="BH430" i="16"/>
  <c r="BV426" i="16"/>
  <c r="BV422" i="16"/>
  <c r="CX430" i="16"/>
  <c r="CX421" i="16"/>
  <c r="CX429" i="16"/>
  <c r="J436" i="16"/>
  <c r="J437" i="16" s="1"/>
  <c r="AV445" i="16"/>
  <c r="P446" i="16"/>
  <c r="CK403" i="16"/>
  <c r="L414" i="16"/>
  <c r="X407" i="16"/>
  <c r="L406" i="16"/>
  <c r="Z407" i="16"/>
  <c r="AL407" i="16"/>
  <c r="Z406" i="16"/>
  <c r="AN414" i="16"/>
  <c r="AN407" i="16"/>
  <c r="AZ407" i="16"/>
  <c r="BB414" i="16"/>
  <c r="BB406" i="16"/>
  <c r="CB407" i="16"/>
  <c r="CD407" i="16"/>
  <c r="BP407" i="16"/>
  <c r="CR407" i="16"/>
  <c r="CZ437" i="16"/>
  <c r="CZ438" i="16"/>
  <c r="AE414" i="16"/>
  <c r="AS438" i="16"/>
  <c r="BG415" i="16"/>
  <c r="BT423" i="16"/>
  <c r="BT426" i="16"/>
  <c r="BT422" i="16"/>
  <c r="CI437" i="16"/>
  <c r="BD438" i="16"/>
  <c r="R441" i="16"/>
  <c r="R446" i="16"/>
  <c r="AF442" i="16"/>
  <c r="AF446" i="16"/>
  <c r="AT442" i="16"/>
  <c r="AT441" i="16"/>
  <c r="AT446" i="16"/>
  <c r="BH442" i="16"/>
  <c r="BH446" i="16"/>
  <c r="BV442" i="16"/>
  <c r="BV441" i="16"/>
  <c r="CJ442" i="16"/>
  <c r="CJ441" i="16"/>
  <c r="CJ446" i="16"/>
  <c r="CX442" i="16"/>
  <c r="CX446" i="16"/>
  <c r="CX441" i="16"/>
  <c r="AJ423" i="16"/>
  <c r="AJ426" i="16"/>
  <c r="BB422" i="16"/>
  <c r="BB423" i="16"/>
  <c r="BB426" i="16"/>
  <c r="BU422" i="16"/>
  <c r="BU426" i="16"/>
  <c r="CS426" i="16"/>
  <c r="CS423" i="16"/>
  <c r="CS422" i="16"/>
  <c r="CS415" i="16"/>
  <c r="BC436" i="16"/>
  <c r="CL437" i="16"/>
  <c r="CL438" i="16"/>
  <c r="BI437" i="16"/>
  <c r="BU438" i="16"/>
  <c r="N406" i="16"/>
  <c r="BW422" i="16"/>
  <c r="BW423" i="16"/>
  <c r="CT423" i="16"/>
  <c r="CT422" i="16"/>
  <c r="CU423" i="16"/>
  <c r="BW426" i="16"/>
  <c r="BG437" i="16"/>
  <c r="BG438" i="16"/>
  <c r="U445" i="16"/>
  <c r="BV446" i="16"/>
  <c r="AI403" i="16"/>
  <c r="P426" i="16"/>
  <c r="P415" i="16"/>
  <c r="P416" i="16" s="1"/>
  <c r="BD423" i="16"/>
  <c r="BD426" i="16"/>
  <c r="BD422" i="16"/>
  <c r="L429" i="16"/>
  <c r="BJ436" i="16"/>
  <c r="H415" i="16"/>
  <c r="BT415" i="16"/>
  <c r="DB415" i="16"/>
  <c r="BN417" i="16"/>
  <c r="U415" i="16"/>
  <c r="U432" i="16"/>
  <c r="U436" i="16" s="1"/>
  <c r="U437" i="16" s="1"/>
  <c r="AI417" i="16"/>
  <c r="AW415" i="16"/>
  <c r="AW432" i="16"/>
  <c r="AW436" i="16" s="1"/>
  <c r="BK416" i="16"/>
  <c r="BY432" i="16"/>
  <c r="BY436" i="16" s="1"/>
  <c r="BY415" i="16"/>
  <c r="CM415" i="16"/>
  <c r="CM432" i="16"/>
  <c r="CM436" i="16" s="1"/>
  <c r="DA415" i="16"/>
  <c r="DA432" i="16"/>
  <c r="DA436" i="16" s="1"/>
  <c r="Q422" i="16"/>
  <c r="Q423" i="16"/>
  <c r="BE422" i="16"/>
  <c r="BE426" i="16"/>
  <c r="BE423" i="16"/>
  <c r="BQ423" i="16"/>
  <c r="BZ426" i="16"/>
  <c r="BZ423" i="16"/>
  <c r="BK432" i="16"/>
  <c r="BK436" i="16" s="1"/>
  <c r="CR437" i="16"/>
  <c r="CR438" i="16"/>
  <c r="AS437" i="16"/>
  <c r="BH441" i="16"/>
  <c r="H436" i="16"/>
  <c r="H437" i="16" s="1"/>
  <c r="BL436" i="16"/>
  <c r="BI416" i="16"/>
  <c r="BG422" i="16"/>
  <c r="BG423" i="16"/>
  <c r="BG426" i="16"/>
  <c r="CA422" i="16"/>
  <c r="CA423" i="16"/>
  <c r="BN423" i="16"/>
  <c r="Z430" i="16"/>
  <c r="AL430" i="16"/>
  <c r="AN429" i="16"/>
  <c r="AN430" i="16"/>
  <c r="BB430" i="16"/>
  <c r="BN430" i="16"/>
  <c r="BB429" i="16"/>
  <c r="CB430" i="16"/>
  <c r="BP421" i="16"/>
  <c r="BP430" i="16"/>
  <c r="BP429" i="16"/>
  <c r="CD429" i="16"/>
  <c r="CD430" i="16"/>
  <c r="CP430" i="16"/>
  <c r="CD421" i="16"/>
  <c r="CR429" i="16"/>
  <c r="CR421" i="16"/>
  <c r="CR430" i="16"/>
  <c r="AE436" i="16"/>
  <c r="T437" i="16"/>
  <c r="T438" i="16"/>
  <c r="I446" i="16"/>
  <c r="I441" i="16"/>
  <c r="W446" i="16"/>
  <c r="W441" i="16"/>
  <c r="W442" i="16"/>
  <c r="AI442" i="16"/>
  <c r="AK446" i="16"/>
  <c r="AK441" i="16"/>
  <c r="AW442" i="16"/>
  <c r="BM446" i="16"/>
  <c r="BM441" i="16"/>
  <c r="BM442" i="16"/>
  <c r="BY442" i="16"/>
  <c r="CA446" i="16"/>
  <c r="CA441" i="16"/>
  <c r="CA442" i="16"/>
  <c r="CM442" i="16"/>
  <c r="CO446" i="16"/>
  <c r="CO441" i="16"/>
  <c r="CO442" i="16"/>
  <c r="DA442" i="16"/>
  <c r="DC446" i="16"/>
  <c r="DC441" i="16"/>
  <c r="DC442" i="16"/>
  <c r="AW429" i="16"/>
  <c r="AW403" i="16"/>
  <c r="CD406" i="16"/>
  <c r="AS416" i="16"/>
  <c r="I415" i="16"/>
  <c r="I416" i="16" s="1"/>
  <c r="I432" i="16"/>
  <c r="I436" i="16" s="1"/>
  <c r="I437" i="16" s="1"/>
  <c r="W415" i="16"/>
  <c r="W432" i="16"/>
  <c r="W436" i="16" s="1"/>
  <c r="AY415" i="16"/>
  <c r="BK417" i="16" s="1"/>
  <c r="AY432" i="16"/>
  <c r="AY436" i="16" s="1"/>
  <c r="CO415" i="16"/>
  <c r="CO432" i="16"/>
  <c r="CO436" i="16" s="1"/>
  <c r="AQ422" i="16"/>
  <c r="BC423" i="16"/>
  <c r="BI422" i="16"/>
  <c r="BI423" i="16"/>
  <c r="BI426" i="16"/>
  <c r="AH437" i="16"/>
  <c r="AH438" i="16"/>
  <c r="AX422" i="16"/>
  <c r="AX441" i="16"/>
  <c r="BZ429" i="16"/>
  <c r="BZ441" i="16"/>
  <c r="CN441" i="16"/>
  <c r="CN406" i="16"/>
  <c r="CN429" i="16"/>
  <c r="K416" i="16"/>
  <c r="N426" i="16"/>
  <c r="N423" i="16"/>
  <c r="N422" i="16"/>
  <c r="AB430" i="16"/>
  <c r="AB429" i="16"/>
  <c r="AB421" i="16"/>
  <c r="AP429" i="16"/>
  <c r="AP421" i="16"/>
  <c r="BR430" i="16"/>
  <c r="BR429" i="16"/>
  <c r="CT429" i="16"/>
  <c r="CT430" i="16"/>
  <c r="AI432" i="16"/>
  <c r="AI436" i="16" s="1"/>
  <c r="BD437" i="16"/>
  <c r="T407" i="16"/>
  <c r="AH406" i="16"/>
  <c r="AH414" i="16"/>
  <c r="AV406" i="16"/>
  <c r="AV414" i="16"/>
  <c r="BX407" i="16"/>
  <c r="CL407" i="16"/>
  <c r="CX407" i="16"/>
  <c r="CL406" i="16"/>
  <c r="CZ414" i="16"/>
  <c r="BB407" i="16"/>
  <c r="CJ407" i="16"/>
  <c r="CI416" i="16"/>
  <c r="AM417" i="16"/>
  <c r="Y436" i="16"/>
  <c r="AK438" i="16" s="1"/>
  <c r="AS422" i="16"/>
  <c r="AS423" i="16"/>
  <c r="H422" i="16"/>
  <c r="L426" i="16"/>
  <c r="CG423" i="16"/>
  <c r="CG422" i="16"/>
  <c r="CG426" i="16"/>
  <c r="BV429" i="16"/>
  <c r="AD430" i="16"/>
  <c r="BT436" i="16"/>
  <c r="BG446" i="16"/>
  <c r="BG445" i="16"/>
  <c r="AS417" i="16"/>
  <c r="BU415" i="16"/>
  <c r="CG417" i="16" s="1"/>
  <c r="V432" i="16"/>
  <c r="V436" i="16" s="1"/>
  <c r="V437" i="16" s="1"/>
  <c r="V415" i="16"/>
  <c r="AJ415" i="16"/>
  <c r="AJ432" i="16"/>
  <c r="AJ436" i="16" s="1"/>
  <c r="AX432" i="16"/>
  <c r="AX436" i="16" s="1"/>
  <c r="AX415" i="16"/>
  <c r="BZ432" i="16"/>
  <c r="BZ436" i="16" s="1"/>
  <c r="BZ415" i="16"/>
  <c r="DB436" i="16"/>
  <c r="BW417" i="16"/>
  <c r="BW414" i="16"/>
  <c r="AO426" i="16"/>
  <c r="AO423" i="16"/>
  <c r="AO415" i="16"/>
  <c r="BA417" i="16" s="1"/>
  <c r="BA423" i="16"/>
  <c r="AY446" i="16"/>
  <c r="AY441" i="16"/>
  <c r="BK442" i="16"/>
  <c r="AY442" i="16"/>
  <c r="BK445" i="16"/>
  <c r="BK403" i="16"/>
  <c r="BW403" i="16"/>
  <c r="CM445" i="16"/>
  <c r="CM429" i="16"/>
  <c r="AK415" i="16"/>
  <c r="BM415" i="16"/>
  <c r="BM432" i="16"/>
  <c r="BM436" i="16" s="1"/>
  <c r="CA432" i="16"/>
  <c r="CA436" i="16" s="1"/>
  <c r="CA415" i="16"/>
  <c r="CA414" i="16" s="1"/>
  <c r="DC415" i="16"/>
  <c r="DC432" i="16"/>
  <c r="DC436" i="16" s="1"/>
  <c r="AJ422" i="16"/>
  <c r="X423" i="16"/>
  <c r="BP436" i="16"/>
  <c r="Q442" i="16"/>
  <c r="H441" i="16"/>
  <c r="H429" i="16"/>
  <c r="H406" i="16"/>
  <c r="AJ441" i="16"/>
  <c r="AJ429" i="16"/>
  <c r="AJ406" i="16"/>
  <c r="BL429" i="16"/>
  <c r="BL403" i="16"/>
  <c r="BL406" i="16"/>
  <c r="AU414" i="16"/>
  <c r="AE417" i="16"/>
  <c r="AL436" i="16"/>
  <c r="V426" i="16"/>
  <c r="V422" i="16"/>
  <c r="AH423" i="16"/>
  <c r="AR423" i="16"/>
  <c r="AR426" i="16"/>
  <c r="AR422" i="16"/>
  <c r="CF430" i="16"/>
  <c r="CF421" i="16"/>
  <c r="CF415" i="16" s="1"/>
  <c r="BQ436" i="16"/>
  <c r="BF445" i="16"/>
  <c r="BF446" i="16"/>
  <c r="CH446" i="16"/>
  <c r="CH445" i="16"/>
  <c r="J429" i="16"/>
  <c r="J441" i="16"/>
  <c r="X441" i="16"/>
  <c r="X422" i="16"/>
  <c r="AL403" i="16"/>
  <c r="AL429" i="16"/>
  <c r="AL406" i="16"/>
  <c r="AL416" i="16"/>
  <c r="AL441" i="16"/>
  <c r="AL422" i="16"/>
  <c r="AZ441" i="16"/>
  <c r="AZ406" i="16"/>
  <c r="BN429" i="16"/>
  <c r="BN403" i="16"/>
  <c r="CB441" i="16"/>
  <c r="CB403" i="16"/>
  <c r="CP441" i="16"/>
  <c r="CP429" i="16"/>
  <c r="CP406" i="16"/>
  <c r="K403" i="16"/>
  <c r="AX403" i="16"/>
  <c r="G406" i="16"/>
  <c r="G414" i="16"/>
  <c r="U406" i="16"/>
  <c r="AG407" i="16"/>
  <c r="AI406" i="16"/>
  <c r="AI414" i="16"/>
  <c r="AW406" i="16"/>
  <c r="BI407" i="16"/>
  <c r="BK406" i="16"/>
  <c r="BK414" i="16"/>
  <c r="BK407" i="16"/>
  <c r="BY406" i="16"/>
  <c r="BY414" i="16"/>
  <c r="CM406" i="16"/>
  <c r="CY407" i="16"/>
  <c r="DA406" i="16"/>
  <c r="CK407" i="16"/>
  <c r="X417" i="16"/>
  <c r="AZ416" i="16"/>
  <c r="BA416" i="16"/>
  <c r="Y426" i="16"/>
  <c r="Y423" i="16"/>
  <c r="Y422" i="16"/>
  <c r="CK422" i="16"/>
  <c r="CK426" i="16"/>
  <c r="BU423" i="16"/>
  <c r="CT426" i="16"/>
  <c r="AD429" i="16"/>
  <c r="AD421" i="16"/>
  <c r="AR430" i="16"/>
  <c r="BF429" i="16"/>
  <c r="BF430" i="16"/>
  <c r="BF421" i="16"/>
  <c r="BT430" i="16"/>
  <c r="CH430" i="16"/>
  <c r="CH429" i="16"/>
  <c r="CH421" i="16"/>
  <c r="CV429" i="16"/>
  <c r="CV421" i="16"/>
  <c r="Z429" i="16"/>
  <c r="BY429" i="16"/>
  <c r="BV430" i="16"/>
  <c r="AM436" i="16"/>
  <c r="BY403" i="16"/>
  <c r="Y416" i="16"/>
  <c r="Y417" i="16"/>
  <c r="Z421" i="16"/>
  <c r="CM426" i="16"/>
  <c r="CM423" i="16"/>
  <c r="Q426" i="16"/>
  <c r="CU426" i="16"/>
  <c r="AE423" i="16"/>
  <c r="AE422" i="16"/>
  <c r="AE426" i="16"/>
  <c r="G432" i="16"/>
  <c r="G436" i="16" s="1"/>
  <c r="G437" i="16" s="1"/>
  <c r="AZ436" i="16"/>
  <c r="BN438" i="16"/>
  <c r="BN437" i="16"/>
  <c r="CB437" i="16"/>
  <c r="Y403" i="16"/>
  <c r="Y429" i="16"/>
  <c r="BA403" i="16"/>
  <c r="BA429" i="16"/>
  <c r="BO445" i="16"/>
  <c r="BO403" i="16"/>
  <c r="CC403" i="16"/>
  <c r="CC445" i="16"/>
  <c r="CQ445" i="16"/>
  <c r="CQ403" i="16"/>
  <c r="J414" i="16"/>
  <c r="X414" i="16"/>
  <c r="AL414" i="16"/>
  <c r="AZ414" i="16"/>
  <c r="BN414" i="16"/>
  <c r="CB414" i="16"/>
  <c r="CP414" i="16"/>
  <c r="AN436" i="16"/>
  <c r="BY423" i="16"/>
  <c r="BY422" i="16"/>
  <c r="BY426" i="16"/>
  <c r="CQ426" i="16"/>
  <c r="CQ423" i="16"/>
  <c r="CG429" i="16"/>
  <c r="CJ437" i="16"/>
  <c r="CJ438" i="16"/>
  <c r="AJ445" i="16"/>
  <c r="H445" i="16"/>
  <c r="V445" i="16"/>
  <c r="AX445" i="16"/>
  <c r="BZ446" i="16"/>
  <c r="BZ445" i="16"/>
  <c r="CN445" i="16"/>
  <c r="DB445" i="16"/>
  <c r="CU403" i="16"/>
  <c r="BD407" i="16"/>
  <c r="BD414" i="16"/>
  <c r="BR407" i="16"/>
  <c r="BR414" i="16"/>
  <c r="BR406" i="16"/>
  <c r="BF436" i="16"/>
  <c r="CH436" i="16"/>
  <c r="CC426" i="16"/>
  <c r="CC423" i="16"/>
  <c r="P436" i="16"/>
  <c r="P437" i="16" s="1"/>
  <c r="I445" i="16"/>
  <c r="W445" i="16"/>
  <c r="AY445" i="16"/>
  <c r="CO445" i="16"/>
  <c r="DC445" i="16"/>
  <c r="CG445" i="16"/>
  <c r="CN446" i="16"/>
  <c r="O406" i="16"/>
  <c r="CU407" i="16"/>
  <c r="Q415" i="16"/>
  <c r="Q432" i="16"/>
  <c r="Q436" i="16" s="1"/>
  <c r="AC438" i="16" s="1"/>
  <c r="CW432" i="16"/>
  <c r="CW436" i="16" s="1"/>
  <c r="CW415" i="16"/>
  <c r="AC423" i="16"/>
  <c r="AC422" i="16"/>
  <c r="AW422" i="16"/>
  <c r="CY422" i="16"/>
  <c r="CY423" i="16"/>
  <c r="Z436" i="16"/>
  <c r="J445" i="16"/>
  <c r="X445" i="16"/>
  <c r="X446" i="16"/>
  <c r="AL445" i="16"/>
  <c r="AZ445" i="16"/>
  <c r="BN445" i="16"/>
  <c r="CB445" i="16"/>
  <c r="CB446" i="16"/>
  <c r="CP445" i="16"/>
  <c r="CP446" i="16"/>
  <c r="AU403" i="16"/>
  <c r="AD407" i="16"/>
  <c r="AR407" i="16"/>
  <c r="BF407" i="16"/>
  <c r="BT407" i="16"/>
  <c r="CH407" i="16"/>
  <c r="CV407" i="16"/>
  <c r="BT406" i="16"/>
  <c r="CU414" i="16"/>
  <c r="CB416" i="16"/>
  <c r="AF436" i="16"/>
  <c r="AT436" i="16"/>
  <c r="BH432" i="16"/>
  <c r="BH436" i="16" s="1"/>
  <c r="BH415" i="16"/>
  <c r="CX436" i="16"/>
  <c r="AG426" i="16"/>
  <c r="I429" i="16"/>
  <c r="W429" i="16"/>
  <c r="W421" i="16"/>
  <c r="W430" i="16"/>
  <c r="AK429" i="16"/>
  <c r="AK430" i="16"/>
  <c r="AK421" i="16"/>
  <c r="BM429" i="16"/>
  <c r="BY430" i="16"/>
  <c r="CO429" i="16"/>
  <c r="AI430" i="16"/>
  <c r="BM430" i="16"/>
  <c r="BQ442" i="16"/>
  <c r="CG441" i="16"/>
  <c r="CK445" i="16"/>
  <c r="S432" i="16"/>
  <c r="S436" i="16" s="1"/>
  <c r="S437" i="16" s="1"/>
  <c r="S415" i="16"/>
  <c r="AG432" i="16"/>
  <c r="AG436" i="16" s="1"/>
  <c r="AG415" i="16"/>
  <c r="BW436" i="16"/>
  <c r="CK436" i="16"/>
  <c r="CY436" i="16"/>
  <c r="AR415" i="16"/>
  <c r="BD417" i="16" s="1"/>
  <c r="BO426" i="16"/>
  <c r="BO422" i="16"/>
  <c r="DB426" i="16"/>
  <c r="DB422" i="16"/>
  <c r="CI426" i="16"/>
  <c r="X430" i="16"/>
  <c r="AZ429" i="16"/>
  <c r="CB429" i="16"/>
  <c r="CW429" i="16"/>
  <c r="N446" i="16"/>
  <c r="N441" i="16"/>
  <c r="AP442" i="16"/>
  <c r="AP441" i="16"/>
  <c r="BD441" i="16"/>
  <c r="BP442" i="16"/>
  <c r="BD446" i="16"/>
  <c r="CD442" i="16"/>
  <c r="BR446" i="16"/>
  <c r="CR442" i="16"/>
  <c r="CF442" i="16"/>
  <c r="CT442" i="16"/>
  <c r="CT446" i="16"/>
  <c r="AU445" i="16"/>
  <c r="AU429" i="16"/>
  <c r="AE403" i="16"/>
  <c r="CY403" i="16"/>
  <c r="BH407" i="16"/>
  <c r="BV407" i="16"/>
  <c r="CJ414" i="16"/>
  <c r="R406" i="16"/>
  <c r="BD406" i="16"/>
  <c r="BV406" i="16"/>
  <c r="O422" i="16"/>
  <c r="AI423" i="16"/>
  <c r="AI422" i="16"/>
  <c r="AI426" i="16"/>
  <c r="DC423" i="16"/>
  <c r="DC426" i="16"/>
  <c r="CI423" i="16"/>
  <c r="BS429" i="16"/>
  <c r="X436" i="16"/>
  <c r="CC436" i="16"/>
  <c r="AQ442" i="16"/>
  <c r="AQ446" i="16"/>
  <c r="BE446" i="16"/>
  <c r="BE441" i="16"/>
  <c r="BE442" i="16"/>
  <c r="BS446" i="16"/>
  <c r="BS441" i="16"/>
  <c r="BS442" i="16"/>
  <c r="CU446" i="16"/>
  <c r="CU441" i="16"/>
  <c r="BN446" i="16"/>
  <c r="BL422" i="16"/>
  <c r="AC429" i="16"/>
  <c r="AC430" i="16"/>
  <c r="CU430" i="16"/>
  <c r="CU429" i="16"/>
  <c r="BS430" i="16"/>
  <c r="AH442" i="16"/>
  <c r="AH441" i="16"/>
  <c r="AH446" i="16"/>
  <c r="BJ442" i="16"/>
  <c r="BJ446" i="16"/>
  <c r="CL441" i="16"/>
  <c r="AA445" i="16"/>
  <c r="AA403" i="16"/>
  <c r="AO403" i="16"/>
  <c r="BC403" i="16"/>
  <c r="BQ445" i="16"/>
  <c r="BQ403" i="16"/>
  <c r="CE403" i="16"/>
  <c r="CS403" i="16"/>
  <c r="CE415" i="16"/>
  <c r="BO436" i="16"/>
  <c r="U422" i="16"/>
  <c r="U426" i="16"/>
  <c r="BL426" i="16"/>
  <c r="T430" i="16"/>
  <c r="T429" i="16"/>
  <c r="T421" i="16"/>
  <c r="BJ430" i="16"/>
  <c r="BJ421" i="16"/>
  <c r="BX421" i="16"/>
  <c r="BX429" i="16"/>
  <c r="CL421" i="16"/>
  <c r="CL430" i="16"/>
  <c r="CZ430" i="16"/>
  <c r="CZ421" i="16"/>
  <c r="CZ429" i="16"/>
  <c r="K441" i="16"/>
  <c r="BA442" i="16"/>
  <c r="BO442" i="16"/>
  <c r="S406" i="16"/>
  <c r="AG406" i="16"/>
  <c r="AU406" i="16"/>
  <c r="BI406" i="16"/>
  <c r="BW406" i="16"/>
  <c r="CK406" i="16"/>
  <c r="CY406" i="16"/>
  <c r="AA436" i="16"/>
  <c r="AO436" i="16"/>
  <c r="CE436" i="16"/>
  <c r="G422" i="16"/>
  <c r="BS421" i="16"/>
  <c r="BS415" i="16" s="1"/>
  <c r="DA422" i="16"/>
  <c r="AM422" i="16"/>
  <c r="BL423" i="16"/>
  <c r="DA423" i="16"/>
  <c r="CV436" i="16"/>
  <c r="AA446" i="16"/>
  <c r="AA441" i="16"/>
  <c r="AO446" i="16"/>
  <c r="AO441" i="16"/>
  <c r="AO442" i="16"/>
  <c r="BC446" i="16"/>
  <c r="BC441" i="16"/>
  <c r="BQ441" i="16"/>
  <c r="CS442" i="16"/>
  <c r="N445" i="16"/>
  <c r="AB445" i="16"/>
  <c r="AP445" i="16"/>
  <c r="BD445" i="16"/>
  <c r="BR445" i="16"/>
  <c r="K429" i="16"/>
  <c r="BO429" i="16"/>
  <c r="BO430" i="16"/>
  <c r="CC429" i="16"/>
  <c r="CQ429" i="16"/>
  <c r="Y446" i="16"/>
  <c r="Y441" i="16"/>
  <c r="AM446" i="16"/>
  <c r="AM441" i="16"/>
  <c r="CQ441" i="16"/>
  <c r="CQ442" i="16"/>
  <c r="BA441" i="16"/>
  <c r="K445" i="16"/>
  <c r="Y445" i="16"/>
  <c r="BO446" i="16"/>
  <c r="AM429" i="16"/>
  <c r="BI442" i="16"/>
  <c r="BW441" i="16"/>
  <c r="CK446" i="16"/>
  <c r="CK441" i="16"/>
  <c r="CY446" i="16"/>
  <c r="CY441" i="16"/>
  <c r="BO441" i="16"/>
  <c r="BX445" i="16"/>
  <c r="CL445" i="16"/>
  <c r="G429" i="16"/>
  <c r="AI429" i="16"/>
  <c r="BK429" i="16"/>
  <c r="AU430" i="16"/>
  <c r="G446" i="16"/>
  <c r="G441" i="16"/>
  <c r="U446" i="16"/>
  <c r="U441" i="16"/>
  <c r="AI446" i="16"/>
  <c r="AI441" i="16"/>
  <c r="AW446" i="16"/>
  <c r="AW441" i="16"/>
  <c r="BK446" i="16"/>
  <c r="BK441" i="16"/>
  <c r="BY446" i="16"/>
  <c r="BY441" i="16"/>
  <c r="CM446" i="16"/>
  <c r="CM441" i="16"/>
  <c r="DA446" i="16"/>
  <c r="DA441" i="16"/>
  <c r="AU441" i="16"/>
  <c r="Y442" i="16"/>
  <c r="CI442" i="16"/>
  <c r="AW445" i="16"/>
  <c r="DA445" i="16"/>
  <c r="M429" i="16"/>
  <c r="AA429" i="16"/>
  <c r="AO429" i="16"/>
  <c r="BC429" i="16"/>
  <c r="BQ429" i="16"/>
  <c r="BQ430" i="16"/>
  <c r="CE429" i="16"/>
  <c r="CS429" i="16"/>
  <c r="CS430" i="16"/>
  <c r="AD442" i="16"/>
  <c r="AR442" i="16"/>
  <c r="BF442" i="16"/>
  <c r="BT442" i="16"/>
  <c r="CH442" i="16"/>
  <c r="CV442" i="16"/>
  <c r="L445" i="16"/>
  <c r="Z445" i="16"/>
  <c r="AN445" i="16"/>
  <c r="BB445" i="16"/>
  <c r="BP445" i="16"/>
  <c r="CD445" i="16"/>
  <c r="CR445" i="16"/>
  <c r="Z446" i="16"/>
  <c r="AR446" i="16"/>
  <c r="CD446" i="16"/>
  <c r="CV446" i="16"/>
  <c r="AE442" i="16"/>
  <c r="BU446" i="16"/>
  <c r="BU441" i="16"/>
  <c r="CI446" i="16"/>
  <c r="CI441" i="16"/>
  <c r="AJ430" i="16"/>
  <c r="AX430" i="16"/>
  <c r="BL430" i="16"/>
  <c r="BZ430" i="16"/>
  <c r="CN430" i="16"/>
  <c r="DB430" i="16"/>
  <c r="AX429" i="16"/>
  <c r="AZ430" i="16"/>
  <c r="V441" i="16"/>
  <c r="DB441" i="16"/>
  <c r="BE367" i="16"/>
  <c r="BE365" i="16"/>
  <c r="CU367" i="16"/>
  <c r="X368" i="16"/>
  <c r="X367" i="16"/>
  <c r="BO388" i="16"/>
  <c r="BM367" i="16"/>
  <c r="AC388" i="16"/>
  <c r="K354" i="16"/>
  <c r="G380" i="16"/>
  <c r="G357" i="16"/>
  <c r="U367" i="16"/>
  <c r="AG354" i="16"/>
  <c r="U373" i="16"/>
  <c r="AI354" i="16"/>
  <c r="AI373" i="16"/>
  <c r="AI380" i="16"/>
  <c r="AW354" i="16"/>
  <c r="BI354" i="16"/>
  <c r="BK354" i="16"/>
  <c r="BK357" i="16"/>
  <c r="BY380" i="16"/>
  <c r="BY354" i="16"/>
  <c r="BY373" i="16"/>
  <c r="BY357" i="16"/>
  <c r="DA354" i="16"/>
  <c r="DA380" i="16"/>
  <c r="DA357" i="16"/>
  <c r="AU354" i="16"/>
  <c r="W358" i="16"/>
  <c r="W357" i="16"/>
  <c r="AK358" i="16"/>
  <c r="AW358" i="16"/>
  <c r="AY358" i="16"/>
  <c r="AY357" i="16"/>
  <c r="BM358" i="16"/>
  <c r="BM357" i="16"/>
  <c r="BM365" i="16"/>
  <c r="CA358" i="16"/>
  <c r="CA357" i="16"/>
  <c r="CO358" i="16"/>
  <c r="DA358" i="16"/>
  <c r="CO357" i="16"/>
  <c r="CO365" i="16"/>
  <c r="AO357" i="16"/>
  <c r="AN373" i="16"/>
  <c r="AN377" i="16"/>
  <c r="AN374" i="16"/>
  <c r="BM373" i="16"/>
  <c r="BM377" i="16"/>
  <c r="AP389" i="16"/>
  <c r="P397" i="16"/>
  <c r="P396" i="16"/>
  <c r="I357" i="16"/>
  <c r="AR357" i="16"/>
  <c r="AU367" i="16"/>
  <c r="AX388" i="16"/>
  <c r="AX389" i="16"/>
  <c r="AO373" i="16"/>
  <c r="AO377" i="16"/>
  <c r="AO374" i="16"/>
  <c r="BP377" i="16"/>
  <c r="BP373" i="16"/>
  <c r="CX373" i="16"/>
  <c r="CX380" i="16"/>
  <c r="BG388" i="16"/>
  <c r="BG389" i="16"/>
  <c r="CZ388" i="16"/>
  <c r="CZ389" i="16"/>
  <c r="AY392" i="16"/>
  <c r="AY354" i="16"/>
  <c r="AI358" i="16"/>
  <c r="W392" i="16"/>
  <c r="W380" i="16"/>
  <c r="W354" i="16"/>
  <c r="AK392" i="16"/>
  <c r="AK354" i="16"/>
  <c r="CA392" i="16"/>
  <c r="CA354" i="16"/>
  <c r="CO392" i="16"/>
  <c r="CO373" i="16"/>
  <c r="DC354" i="16"/>
  <c r="DC392" i="16"/>
  <c r="CQ358" i="16"/>
  <c r="AB367" i="16"/>
  <c r="CD374" i="16"/>
  <c r="BR377" i="16"/>
  <c r="K380" i="16"/>
  <c r="K381" i="16"/>
  <c r="Y380" i="16"/>
  <c r="Y381" i="16"/>
  <c r="AM380" i="16"/>
  <c r="AM372" i="16"/>
  <c r="AM381" i="16"/>
  <c r="BA380" i="16"/>
  <c r="BA381" i="16"/>
  <c r="BA372" i="16"/>
  <c r="BO372" i="16"/>
  <c r="CA381" i="16"/>
  <c r="BO380" i="16"/>
  <c r="BO381" i="16"/>
  <c r="CC372" i="16"/>
  <c r="CC381" i="16"/>
  <c r="CC380" i="16"/>
  <c r="CQ381" i="16"/>
  <c r="CQ372" i="16"/>
  <c r="CQ380" i="16"/>
  <c r="AN358" i="16"/>
  <c r="AN357" i="16"/>
  <c r="BB358" i="16"/>
  <c r="BP357" i="16"/>
  <c r="BP365" i="16"/>
  <c r="CD357" i="16"/>
  <c r="CD358" i="16"/>
  <c r="CM357" i="16"/>
  <c r="CC358" i="16"/>
  <c r="AX365" i="16"/>
  <c r="K388" i="16"/>
  <c r="CQ388" i="16"/>
  <c r="O357" i="16"/>
  <c r="O365" i="16"/>
  <c r="AC357" i="16"/>
  <c r="AC358" i="16"/>
  <c r="AQ357" i="16"/>
  <c r="AQ358" i="16"/>
  <c r="AQ365" i="16"/>
  <c r="BE357" i="16"/>
  <c r="BE358" i="16"/>
  <c r="BS357" i="16"/>
  <c r="BS365" i="16"/>
  <c r="CG357" i="16"/>
  <c r="CG365" i="16"/>
  <c r="CU357" i="16"/>
  <c r="CU365" i="16"/>
  <c r="CU358" i="16"/>
  <c r="G367" i="16"/>
  <c r="AN366" i="16"/>
  <c r="BZ368" i="16"/>
  <c r="BZ367" i="16"/>
  <c r="M387" i="16"/>
  <c r="M388" i="16" s="1"/>
  <c r="AO387" i="16"/>
  <c r="CS387" i="16"/>
  <c r="G373" i="16"/>
  <c r="BQ387" i="16"/>
  <c r="Y358" i="16"/>
  <c r="M357" i="16"/>
  <c r="BC357" i="16"/>
  <c r="X373" i="16"/>
  <c r="X374" i="16"/>
  <c r="M365" i="16"/>
  <c r="BY367" i="16"/>
  <c r="BY368" i="16"/>
  <c r="BY365" i="16"/>
  <c r="L383" i="16"/>
  <c r="L387" i="16" s="1"/>
  <c r="L388" i="16" s="1"/>
  <c r="L366" i="16"/>
  <c r="L367" i="16" s="1"/>
  <c r="Z383" i="16"/>
  <c r="Z387" i="16" s="1"/>
  <c r="Z366" i="16"/>
  <c r="BB383" i="16"/>
  <c r="BB387" i="16" s="1"/>
  <c r="BN389" i="16" s="1"/>
  <c r="BB366" i="16"/>
  <c r="CR383" i="16"/>
  <c r="CR387" i="16" s="1"/>
  <c r="CR366" i="16"/>
  <c r="AK366" i="16"/>
  <c r="AK365" i="16" s="1"/>
  <c r="BM354" i="16"/>
  <c r="CH357" i="16"/>
  <c r="CV357" i="16"/>
  <c r="N367" i="16"/>
  <c r="N368" i="16"/>
  <c r="AB388" i="16"/>
  <c r="BD388" i="16"/>
  <c r="BR366" i="16"/>
  <c r="CT387" i="16"/>
  <c r="BA366" i="16"/>
  <c r="AB374" i="16"/>
  <c r="AB377" i="16"/>
  <c r="CZ377" i="16"/>
  <c r="CZ374" i="16"/>
  <c r="BR373" i="16"/>
  <c r="BS387" i="16"/>
  <c r="DC357" i="16"/>
  <c r="BA358" i="16"/>
  <c r="CG368" i="16"/>
  <c r="BE387" i="16"/>
  <c r="AC377" i="16"/>
  <c r="AC374" i="16"/>
  <c r="AC373" i="16"/>
  <c r="DA377" i="16"/>
  <c r="DA373" i="16"/>
  <c r="DA366" i="16"/>
  <c r="DA374" i="16"/>
  <c r="X377" i="16"/>
  <c r="L392" i="16"/>
  <c r="X393" i="16"/>
  <c r="AP354" i="16"/>
  <c r="AD392" i="16"/>
  <c r="AD354" i="16"/>
  <c r="AG388" i="16"/>
  <c r="CH366" i="16"/>
  <c r="CH365" i="16" s="1"/>
  <c r="CH383" i="16"/>
  <c r="CH387" i="16" s="1"/>
  <c r="Z397" i="16"/>
  <c r="Z392" i="16"/>
  <c r="AL393" i="16"/>
  <c r="Z393" i="16"/>
  <c r="AN392" i="16"/>
  <c r="AN397" i="16"/>
  <c r="AZ393" i="16"/>
  <c r="AN393" i="16"/>
  <c r="BB397" i="16"/>
  <c r="BB393" i="16"/>
  <c r="CB393" i="16"/>
  <c r="BP392" i="16"/>
  <c r="BP393" i="16"/>
  <c r="BP397" i="16"/>
  <c r="CD397" i="16"/>
  <c r="CP393" i="16"/>
  <c r="CD393" i="16"/>
  <c r="CD392" i="16"/>
  <c r="CR393" i="16"/>
  <c r="CR397" i="16"/>
  <c r="CR392" i="16"/>
  <c r="P373" i="16"/>
  <c r="P357" i="16"/>
  <c r="BF354" i="16"/>
  <c r="BR354" i="16"/>
  <c r="BF357" i="16"/>
  <c r="BF392" i="16"/>
  <c r="AD357" i="16"/>
  <c r="CD366" i="16"/>
  <c r="P383" i="16"/>
  <c r="P387" i="16" s="1"/>
  <c r="P388" i="16" s="1"/>
  <c r="P366" i="16"/>
  <c r="AD366" i="16"/>
  <c r="AD383" i="16"/>
  <c r="AD387" i="16" s="1"/>
  <c r="AR366" i="16"/>
  <c r="AR383" i="16"/>
  <c r="AR387" i="16" s="1"/>
  <c r="BD389" i="16" s="1"/>
  <c r="BF383" i="16"/>
  <c r="BF387" i="16" s="1"/>
  <c r="BF366" i="16"/>
  <c r="BT383" i="16"/>
  <c r="BT387" i="16" s="1"/>
  <c r="CV383" i="16"/>
  <c r="CV387" i="16" s="1"/>
  <c r="CV366" i="16"/>
  <c r="CE366" i="16"/>
  <c r="K372" i="16"/>
  <c r="R372" i="16"/>
  <c r="R380" i="16"/>
  <c r="AF381" i="16"/>
  <c r="AF372" i="16"/>
  <c r="AF380" i="16"/>
  <c r="AT372" i="16"/>
  <c r="AT380" i="16"/>
  <c r="AT381" i="16"/>
  <c r="BH380" i="16"/>
  <c r="BH381" i="16"/>
  <c r="BV381" i="16"/>
  <c r="BV380" i="16"/>
  <c r="BV372" i="16"/>
  <c r="CH381" i="16"/>
  <c r="CJ381" i="16"/>
  <c r="CJ372" i="16"/>
  <c r="Q354" i="16"/>
  <c r="Q396" i="16"/>
  <c r="Q357" i="16"/>
  <c r="AC354" i="16"/>
  <c r="AE357" i="16"/>
  <c r="AE380" i="16"/>
  <c r="AS380" i="16"/>
  <c r="AS357" i="16"/>
  <c r="AS354" i="16"/>
  <c r="BU396" i="16"/>
  <c r="BU380" i="16"/>
  <c r="BU354" i="16"/>
  <c r="CG354" i="16"/>
  <c r="BU392" i="16"/>
  <c r="BU357" i="16"/>
  <c r="CI380" i="16"/>
  <c r="CI354" i="16"/>
  <c r="CU354" i="16"/>
  <c r="CW396" i="16"/>
  <c r="CW380" i="16"/>
  <c r="CW357" i="16"/>
  <c r="CW354" i="16"/>
  <c r="AC365" i="16"/>
  <c r="CF367" i="16"/>
  <c r="CF365" i="16"/>
  <c r="BG373" i="16"/>
  <c r="BG374" i="16"/>
  <c r="DC373" i="16"/>
  <c r="DC377" i="16"/>
  <c r="BM380" i="16"/>
  <c r="AI387" i="16"/>
  <c r="CN389" i="16"/>
  <c r="CN388" i="16"/>
  <c r="N389" i="16"/>
  <c r="N388" i="16"/>
  <c r="CS357" i="16"/>
  <c r="BA388" i="16"/>
  <c r="BA389" i="16"/>
  <c r="AR373" i="16"/>
  <c r="AR377" i="16"/>
  <c r="CU377" i="16"/>
  <c r="CU374" i="16"/>
  <c r="CU373" i="16"/>
  <c r="CD387" i="16"/>
  <c r="Y374" i="16"/>
  <c r="Y373" i="16"/>
  <c r="Y366" i="16"/>
  <c r="Y377" i="16"/>
  <c r="CS358" i="16"/>
  <c r="AO368" i="16"/>
  <c r="R383" i="16"/>
  <c r="R387" i="16" s="1"/>
  <c r="R388" i="16" s="1"/>
  <c r="AF383" i="16"/>
  <c r="AF387" i="16" s="1"/>
  <c r="AF366" i="16"/>
  <c r="AT383" i="16"/>
  <c r="AT387" i="16" s="1"/>
  <c r="AT366" i="16"/>
  <c r="BH383" i="16"/>
  <c r="BH387" i="16" s="1"/>
  <c r="CJ383" i="16"/>
  <c r="CJ387" i="16" s="1"/>
  <c r="CJ366" i="16"/>
  <c r="CX383" i="16"/>
  <c r="CX387" i="16" s="1"/>
  <c r="CX366" i="16"/>
  <c r="CK354" i="16"/>
  <c r="AQ354" i="16"/>
  <c r="BW354" i="16"/>
  <c r="G365" i="16"/>
  <c r="U365" i="16"/>
  <c r="AI357" i="16"/>
  <c r="BY358" i="16"/>
  <c r="CM358" i="16"/>
  <c r="BP358" i="16"/>
  <c r="AQ368" i="16"/>
  <c r="AU387" i="16"/>
  <c r="BW387" i="16"/>
  <c r="CI377" i="16"/>
  <c r="CI373" i="16"/>
  <c r="CI374" i="16"/>
  <c r="CP388" i="16"/>
  <c r="BB392" i="16"/>
  <c r="AA358" i="16"/>
  <c r="AA357" i="16"/>
  <c r="CE357" i="16"/>
  <c r="CE365" i="16"/>
  <c r="CE358" i="16"/>
  <c r="BN388" i="16"/>
  <c r="AN387" i="16"/>
  <c r="BP383" i="16"/>
  <c r="BP387" i="16" s="1"/>
  <c r="BP366" i="16"/>
  <c r="CO367" i="16"/>
  <c r="AS374" i="16"/>
  <c r="AS377" i="16"/>
  <c r="AS373" i="16"/>
  <c r="CH373" i="16"/>
  <c r="CH354" i="16"/>
  <c r="BT357" i="16"/>
  <c r="BC358" i="16"/>
  <c r="AK357" i="16"/>
  <c r="BK358" i="16"/>
  <c r="CA365" i="16"/>
  <c r="AX367" i="16"/>
  <c r="BV383" i="16"/>
  <c r="BV387" i="16" s="1"/>
  <c r="BV366" i="16"/>
  <c r="AC367" i="16"/>
  <c r="BS367" i="16"/>
  <c r="M373" i="16"/>
  <c r="M377" i="16"/>
  <c r="BH372" i="16"/>
  <c r="CG377" i="16"/>
  <c r="CG373" i="16"/>
  <c r="CA373" i="16"/>
  <c r="AJ388" i="16"/>
  <c r="CO388" i="16"/>
  <c r="CF388" i="16"/>
  <c r="T396" i="16"/>
  <c r="T357" i="16"/>
  <c r="T354" i="16"/>
  <c r="AH354" i="16"/>
  <c r="AH396" i="16"/>
  <c r="AV354" i="16"/>
  <c r="AV357" i="16"/>
  <c r="BX354" i="16"/>
  <c r="BX396" i="16"/>
  <c r="CL396" i="16"/>
  <c r="CL354" i="16"/>
  <c r="CX354" i="16"/>
  <c r="CL357" i="16"/>
  <c r="CL380" i="16"/>
  <c r="CZ396" i="16"/>
  <c r="CZ354" i="16"/>
  <c r="AR354" i="16"/>
  <c r="H365" i="16"/>
  <c r="H357" i="16"/>
  <c r="V365" i="16"/>
  <c r="AJ357" i="16"/>
  <c r="AJ365" i="16"/>
  <c r="AJ358" i="16"/>
  <c r="AV358" i="16"/>
  <c r="BL357" i="16"/>
  <c r="BL358" i="16"/>
  <c r="BZ365" i="16"/>
  <c r="CN358" i="16"/>
  <c r="CZ358" i="16"/>
  <c r="DB365" i="16"/>
  <c r="DB358" i="16"/>
  <c r="DB357" i="16"/>
  <c r="BQ358" i="16"/>
  <c r="AO365" i="16"/>
  <c r="CD365" i="16"/>
  <c r="BI367" i="16"/>
  <c r="AI367" i="16"/>
  <c r="T387" i="16"/>
  <c r="BJ367" i="16"/>
  <c r="CL387" i="16"/>
  <c r="CK374" i="16"/>
  <c r="CK377" i="16"/>
  <c r="CK373" i="16"/>
  <c r="CK366" i="16"/>
  <c r="AB373" i="16"/>
  <c r="BG377" i="16"/>
  <c r="AM389" i="16"/>
  <c r="AM388" i="16"/>
  <c r="CW373" i="16"/>
  <c r="Y389" i="16"/>
  <c r="Y388" i="16"/>
  <c r="BJ387" i="16"/>
  <c r="H397" i="16"/>
  <c r="H392" i="16"/>
  <c r="N393" i="16"/>
  <c r="V397" i="16"/>
  <c r="V392" i="16"/>
  <c r="AJ397" i="16"/>
  <c r="AV393" i="16"/>
  <c r="AJ392" i="16"/>
  <c r="AX397" i="16"/>
  <c r="BJ393" i="16"/>
  <c r="AX392" i="16"/>
  <c r="AX393" i="16"/>
  <c r="BL397" i="16"/>
  <c r="BL393" i="16"/>
  <c r="BX393" i="16"/>
  <c r="BZ397" i="16"/>
  <c r="BZ393" i="16"/>
  <c r="CL393" i="16"/>
  <c r="BZ392" i="16"/>
  <c r="CN397" i="16"/>
  <c r="CZ393" i="16"/>
  <c r="DB397" i="16"/>
  <c r="DB392" i="16"/>
  <c r="DB393" i="16"/>
  <c r="AE396" i="16"/>
  <c r="X358" i="16"/>
  <c r="AL358" i="16"/>
  <c r="AZ358" i="16"/>
  <c r="BN358" i="16"/>
  <c r="CB358" i="16"/>
  <c r="CP358" i="16"/>
  <c r="CT358" i="16"/>
  <c r="AA387" i="16"/>
  <c r="BC387" i="16"/>
  <c r="CE387" i="16"/>
  <c r="BI377" i="16"/>
  <c r="BI373" i="16"/>
  <c r="CA374" i="16"/>
  <c r="Z377" i="16"/>
  <c r="T381" i="16"/>
  <c r="T372" i="16"/>
  <c r="AH381" i="16"/>
  <c r="AH372" i="16"/>
  <c r="AV373" i="16"/>
  <c r="AV377" i="16"/>
  <c r="BX380" i="16"/>
  <c r="BX381" i="16"/>
  <c r="BJ380" i="16"/>
  <c r="CN380" i="16"/>
  <c r="AO381" i="16"/>
  <c r="BL387" i="16"/>
  <c r="BM389" i="16"/>
  <c r="BM388" i="16"/>
  <c r="AF396" i="16"/>
  <c r="BL354" i="16"/>
  <c r="X357" i="16"/>
  <c r="BV357" i="16"/>
  <c r="BO358" i="16"/>
  <c r="AB365" i="16"/>
  <c r="CB368" i="16"/>
  <c r="DB367" i="16"/>
  <c r="H373" i="16"/>
  <c r="AA372" i="16"/>
  <c r="AQ377" i="16"/>
  <c r="AQ373" i="16"/>
  <c r="BK373" i="16"/>
  <c r="CF373" i="16"/>
  <c r="CY374" i="16"/>
  <c r="CY377" i="16"/>
  <c r="BU373" i="16"/>
  <c r="BL380" i="16"/>
  <c r="BQ381" i="16"/>
  <c r="BI392" i="16"/>
  <c r="S396" i="16"/>
  <c r="AG396" i="16"/>
  <c r="AU396" i="16"/>
  <c r="CK396" i="16"/>
  <c r="CY396" i="16"/>
  <c r="AJ396" i="16"/>
  <c r="AJ380" i="16"/>
  <c r="AX396" i="16"/>
  <c r="AX380" i="16"/>
  <c r="N358" i="16"/>
  <c r="BR358" i="16"/>
  <c r="BN368" i="16"/>
  <c r="AJ367" i="16"/>
  <c r="AP368" i="16"/>
  <c r="Q366" i="16"/>
  <c r="AE383" i="16"/>
  <c r="AE387" i="16" s="1"/>
  <c r="AE366" i="16"/>
  <c r="AS366" i="16"/>
  <c r="BG366" i="16"/>
  <c r="BS368" i="16" s="1"/>
  <c r="BU366" i="16"/>
  <c r="CI366" i="16"/>
  <c r="CW383" i="16"/>
  <c r="CW387" i="16" s="1"/>
  <c r="CW366" i="16"/>
  <c r="AD373" i="16"/>
  <c r="AU374" i="16"/>
  <c r="AU373" i="16"/>
  <c r="BQ372" i="16"/>
  <c r="DB377" i="16"/>
  <c r="CY373" i="16"/>
  <c r="CB373" i="16"/>
  <c r="CB374" i="16"/>
  <c r="CP381" i="16"/>
  <c r="CP380" i="16"/>
  <c r="CP372" i="16"/>
  <c r="DB374" i="16" s="1"/>
  <c r="J387" i="16"/>
  <c r="J388" i="16" s="1"/>
  <c r="AL387" i="16"/>
  <c r="BR383" i="16"/>
  <c r="BR387" i="16" s="1"/>
  <c r="AU357" i="16"/>
  <c r="CQ357" i="16"/>
  <c r="BD358" i="16"/>
  <c r="BT358" i="16"/>
  <c r="S387" i="16"/>
  <c r="S388" i="16" s="1"/>
  <c r="BI387" i="16"/>
  <c r="CK387" i="16"/>
  <c r="CY387" i="16"/>
  <c r="N373" i="16"/>
  <c r="N377" i="16"/>
  <c r="AZ372" i="16"/>
  <c r="CL372" i="16"/>
  <c r="L377" i="16"/>
  <c r="BZ380" i="16"/>
  <c r="BU383" i="16"/>
  <c r="BU387" i="16" s="1"/>
  <c r="O392" i="16"/>
  <c r="AH387" i="16"/>
  <c r="AV387" i="16"/>
  <c r="BX387" i="16"/>
  <c r="CM377" i="16"/>
  <c r="CM373" i="16"/>
  <c r="CM374" i="16"/>
  <c r="CE380" i="16"/>
  <c r="CE381" i="16"/>
  <c r="CE372" i="16"/>
  <c r="CS380" i="16"/>
  <c r="CS381" i="16"/>
  <c r="CS372" i="16"/>
  <c r="CG387" i="16"/>
  <c r="AZ387" i="16"/>
  <c r="P392" i="16"/>
  <c r="CH397" i="16"/>
  <c r="AJ393" i="16"/>
  <c r="CY354" i="16"/>
  <c r="AW357" i="16"/>
  <c r="AP358" i="16"/>
  <c r="S366" i="16"/>
  <c r="S367" i="16" s="1"/>
  <c r="AJ368" i="16"/>
  <c r="G387" i="16"/>
  <c r="G388" i="16" s="1"/>
  <c r="BY387" i="16"/>
  <c r="CN374" i="16"/>
  <c r="CN377" i="16"/>
  <c r="O373" i="16"/>
  <c r="AJ373" i="16"/>
  <c r="N374" i="16"/>
  <c r="AQ374" i="16"/>
  <c r="AP377" i="16"/>
  <c r="AN381" i="16"/>
  <c r="AB380" i="16"/>
  <c r="AB381" i="16"/>
  <c r="CD381" i="16"/>
  <c r="BR380" i="16"/>
  <c r="CF381" i="16"/>
  <c r="CF380" i="16"/>
  <c r="CT372" i="16"/>
  <c r="CT380" i="16"/>
  <c r="N380" i="16"/>
  <c r="BC381" i="16"/>
  <c r="Q383" i="16"/>
  <c r="Q387" i="16" s="1"/>
  <c r="Q397" i="16"/>
  <c r="Q392" i="16"/>
  <c r="Q393" i="16"/>
  <c r="AE393" i="16"/>
  <c r="AE397" i="16"/>
  <c r="AS397" i="16"/>
  <c r="AS393" i="16"/>
  <c r="AS392" i="16"/>
  <c r="BG397" i="16"/>
  <c r="BG392" i="16"/>
  <c r="BU397" i="16"/>
  <c r="BU393" i="16"/>
  <c r="CI392" i="16"/>
  <c r="CI393" i="16"/>
  <c r="CW392" i="16"/>
  <c r="CW397" i="16"/>
  <c r="AE392" i="16"/>
  <c r="R396" i="16"/>
  <c r="X354" i="16"/>
  <c r="BD354" i="16"/>
  <c r="DB354" i="16"/>
  <c r="AG365" i="16"/>
  <c r="AU365" i="16"/>
  <c r="BI365" i="16"/>
  <c r="CK365" i="16"/>
  <c r="CY365" i="16"/>
  <c r="BN357" i="16"/>
  <c r="BG358" i="16"/>
  <c r="BW358" i="16"/>
  <c r="BR365" i="16"/>
  <c r="T366" i="16"/>
  <c r="CM366" i="16"/>
  <c r="BZ387" i="16"/>
  <c r="DB387" i="16"/>
  <c r="AJ374" i="16"/>
  <c r="AJ377" i="16"/>
  <c r="BC372" i="16"/>
  <c r="BW374" i="16"/>
  <c r="BW373" i="16"/>
  <c r="BJ373" i="16"/>
  <c r="AV374" i="16"/>
  <c r="BS374" i="16"/>
  <c r="AC380" i="16"/>
  <c r="AQ380" i="16"/>
  <c r="AV380" i="16"/>
  <c r="AS383" i="16"/>
  <c r="AS387" i="16" s="1"/>
  <c r="CI383" i="16"/>
  <c r="CI387" i="16" s="1"/>
  <c r="CN392" i="16"/>
  <c r="CI397" i="16"/>
  <c r="N392" i="16"/>
  <c r="N354" i="16"/>
  <c r="AO354" i="16"/>
  <c r="AV365" i="16"/>
  <c r="BJ365" i="16"/>
  <c r="BX365" i="16"/>
  <c r="CZ365" i="16"/>
  <c r="AB358" i="16"/>
  <c r="BH358" i="16"/>
  <c r="BX358" i="16"/>
  <c r="BW366" i="16"/>
  <c r="CN366" i="16"/>
  <c r="CZ368" i="16" s="1"/>
  <c r="W387" i="16"/>
  <c r="AY387" i="16"/>
  <c r="CA387" i="16"/>
  <c r="DC387" i="16"/>
  <c r="AL372" i="16"/>
  <c r="BD372" i="16"/>
  <c r="BX372" i="16"/>
  <c r="Q373" i="16"/>
  <c r="CR374" i="16"/>
  <c r="BW377" i="16"/>
  <c r="AD381" i="16"/>
  <c r="AD380" i="16"/>
  <c r="AR380" i="16"/>
  <c r="BF380" i="16"/>
  <c r="BF372" i="16"/>
  <c r="BR374" i="16" s="1"/>
  <c r="BF381" i="16"/>
  <c r="BT372" i="16"/>
  <c r="CF374" i="16" s="1"/>
  <c r="BT380" i="16"/>
  <c r="BT381" i="16"/>
  <c r="CV381" i="16"/>
  <c r="CV372" i="16"/>
  <c r="CV380" i="16"/>
  <c r="P380" i="16"/>
  <c r="AZ380" i="16"/>
  <c r="CH380" i="16"/>
  <c r="AA381" i="16"/>
  <c r="U387" i="16"/>
  <c r="U388" i="16" s="1"/>
  <c r="S392" i="16"/>
  <c r="S397" i="16"/>
  <c r="AG393" i="16"/>
  <c r="AG397" i="16"/>
  <c r="AU397" i="16"/>
  <c r="AU392" i="16"/>
  <c r="AU393" i="16"/>
  <c r="BI393" i="16"/>
  <c r="BI397" i="16"/>
  <c r="CK392" i="16"/>
  <c r="CK393" i="16"/>
  <c r="CK397" i="16"/>
  <c r="CY397" i="16"/>
  <c r="CY392" i="16"/>
  <c r="N396" i="16"/>
  <c r="AP396" i="16"/>
  <c r="BD396" i="16"/>
  <c r="BR396" i="16"/>
  <c r="CF396" i="16"/>
  <c r="BV354" i="16"/>
  <c r="CN354" i="16"/>
  <c r="AZ357" i="16"/>
  <c r="CX357" i="16"/>
  <c r="X365" i="16"/>
  <c r="BD365" i="16"/>
  <c r="BD366" i="16"/>
  <c r="BX366" i="16"/>
  <c r="BK367" i="16"/>
  <c r="CB367" i="16"/>
  <c r="BY374" i="16"/>
  <c r="BU374" i="16"/>
  <c r="CW374" i="16"/>
  <c r="AU377" i="16"/>
  <c r="BY377" i="16"/>
  <c r="CW377" i="16"/>
  <c r="BJ381" i="16"/>
  <c r="V387" i="16"/>
  <c r="V388" i="16" s="1"/>
  <c r="CM387" i="16"/>
  <c r="CS392" i="16"/>
  <c r="O396" i="16"/>
  <c r="BS396" i="16"/>
  <c r="CT393" i="16"/>
  <c r="AC396" i="16"/>
  <c r="CG396" i="16"/>
  <c r="CU396" i="16"/>
  <c r="BF397" i="16"/>
  <c r="BH396" i="16"/>
  <c r="CJ396" i="16"/>
  <c r="CX396" i="16"/>
  <c r="AW387" i="16"/>
  <c r="BK387" i="16"/>
  <c r="DA387" i="16"/>
  <c r="BZ374" i="16"/>
  <c r="BZ373" i="16"/>
  <c r="S380" i="16"/>
  <c r="CK380" i="16"/>
  <c r="X387" i="16"/>
  <c r="CU387" i="16"/>
  <c r="I387" i="16"/>
  <c r="I388" i="16" s="1"/>
  <c r="AK387" i="16"/>
  <c r="AG374" i="16"/>
  <c r="AG377" i="16"/>
  <c r="BL377" i="16"/>
  <c r="BL374" i="16"/>
  <c r="AG381" i="16"/>
  <c r="U380" i="16"/>
  <c r="AI381" i="16"/>
  <c r="AW381" i="16"/>
  <c r="BK381" i="16"/>
  <c r="BK380" i="16"/>
  <c r="BY381" i="16"/>
  <c r="CM381" i="16"/>
  <c r="CM380" i="16"/>
  <c r="DA381" i="16"/>
  <c r="AW380" i="16"/>
  <c r="CY381" i="16"/>
  <c r="M392" i="16"/>
  <c r="AA397" i="16"/>
  <c r="AA393" i="16"/>
  <c r="AO397" i="16"/>
  <c r="AO392" i="16"/>
  <c r="BC392" i="16"/>
  <c r="BC393" i="16"/>
  <c r="BQ392" i="16"/>
  <c r="CE397" i="16"/>
  <c r="CE393" i="16"/>
  <c r="CS393" i="16"/>
  <c r="V396" i="16"/>
  <c r="DB396" i="16"/>
  <c r="AT396" i="16"/>
  <c r="CJ397" i="16"/>
  <c r="CB387" i="16"/>
  <c r="AW372" i="16"/>
  <c r="BI374" i="16" s="1"/>
  <c r="BL373" i="16"/>
  <c r="V380" i="16"/>
  <c r="BD397" i="16"/>
  <c r="CC387" i="16"/>
  <c r="AI374" i="16"/>
  <c r="AE373" i="16"/>
  <c r="I380" i="16"/>
  <c r="I372" i="16"/>
  <c r="W381" i="16"/>
  <c r="W372" i="16"/>
  <c r="W366" i="16" s="1"/>
  <c r="AK381" i="16"/>
  <c r="AK380" i="16"/>
  <c r="AK372" i="16"/>
  <c r="AY381" i="16"/>
  <c r="AY372" i="16"/>
  <c r="CA380" i="16"/>
  <c r="CO381" i="16"/>
  <c r="CO380" i="16"/>
  <c r="DC380" i="16"/>
  <c r="DC381" i="16"/>
  <c r="AY380" i="16"/>
  <c r="AC393" i="16"/>
  <c r="AQ393" i="16"/>
  <c r="AQ392" i="16"/>
  <c r="BE393" i="16"/>
  <c r="BS393" i="16"/>
  <c r="BS392" i="16"/>
  <c r="BS397" i="16"/>
  <c r="CG393" i="16"/>
  <c r="CG397" i="16"/>
  <c r="CG392" i="16"/>
  <c r="CU393" i="16"/>
  <c r="CU397" i="16"/>
  <c r="AD393" i="16"/>
  <c r="AD397" i="16"/>
  <c r="AR393" i="16"/>
  <c r="AR397" i="16"/>
  <c r="BT393" i="16"/>
  <c r="BT392" i="16"/>
  <c r="BT397" i="16"/>
  <c r="CH393" i="16"/>
  <c r="CH392" i="16"/>
  <c r="CV393" i="16"/>
  <c r="CV397" i="16"/>
  <c r="CV392" i="16"/>
  <c r="J396" i="16"/>
  <c r="X396" i="16"/>
  <c r="X397" i="16"/>
  <c r="AL396" i="16"/>
  <c r="AZ396" i="16"/>
  <c r="BN396" i="16"/>
  <c r="BN397" i="16"/>
  <c r="CB396" i="16"/>
  <c r="CB397" i="16"/>
  <c r="CP396" i="16"/>
  <c r="AL397" i="16"/>
  <c r="AQ387" i="16"/>
  <c r="Q381" i="16"/>
  <c r="BG380" i="16"/>
  <c r="Q380" i="16"/>
  <c r="Y393" i="16"/>
  <c r="AM392" i="16"/>
  <c r="AY393" i="16"/>
  <c r="BM393" i="16"/>
  <c r="BA392" i="16"/>
  <c r="CC393" i="16"/>
  <c r="CC397" i="16"/>
  <c r="CO393" i="16"/>
  <c r="CQ393" i="16"/>
  <c r="AS396" i="16"/>
  <c r="BG396" i="16"/>
  <c r="CI396" i="16"/>
  <c r="CP397" i="16"/>
  <c r="N397" i="16"/>
  <c r="AB393" i="16"/>
  <c r="AB397" i="16"/>
  <c r="AP397" i="16"/>
  <c r="AP393" i="16"/>
  <c r="BD392" i="16"/>
  <c r="BR392" i="16"/>
  <c r="BR397" i="16"/>
  <c r="CF397" i="16"/>
  <c r="CF392" i="16"/>
  <c r="CQ392" i="16"/>
  <c r="DC393" i="16"/>
  <c r="AV396" i="16"/>
  <c r="BJ396" i="16"/>
  <c r="BW380" i="16"/>
  <c r="R392" i="16"/>
  <c r="BH397" i="16"/>
  <c r="CJ392" i="16"/>
  <c r="CX397" i="16"/>
  <c r="AJ381" i="16"/>
  <c r="AX381" i="16"/>
  <c r="BL381" i="16"/>
  <c r="BZ381" i="16"/>
  <c r="CN381" i="16"/>
  <c r="DB381" i="16"/>
  <c r="AT392" i="16"/>
  <c r="L380" i="16"/>
  <c r="Z380" i="16"/>
  <c r="AN380" i="16"/>
  <c r="BB380" i="16"/>
  <c r="BP380" i="16"/>
  <c r="CD380" i="16"/>
  <c r="CR380" i="16"/>
  <c r="BP381" i="16"/>
  <c r="T397" i="16"/>
  <c r="T392" i="16"/>
  <c r="AH397" i="16"/>
  <c r="AH392" i="16"/>
  <c r="AV397" i="16"/>
  <c r="AV392" i="16"/>
  <c r="BJ397" i="16"/>
  <c r="BJ392" i="16"/>
  <c r="BX397" i="16"/>
  <c r="BX392" i="16"/>
  <c r="CL397" i="16"/>
  <c r="CL392" i="16"/>
  <c r="CZ397" i="16"/>
  <c r="CZ392" i="16"/>
  <c r="G397" i="16"/>
  <c r="G392" i="16"/>
  <c r="U397" i="16"/>
  <c r="U392" i="16"/>
  <c r="AI397" i="16"/>
  <c r="AI392" i="16"/>
  <c r="AW397" i="16"/>
  <c r="AW392" i="16"/>
  <c r="BK397" i="16"/>
  <c r="BK392" i="16"/>
  <c r="BY397" i="16"/>
  <c r="BY392" i="16"/>
  <c r="CM397" i="16"/>
  <c r="CM392" i="16"/>
  <c r="DA397" i="16"/>
  <c r="DA392" i="16"/>
  <c r="I397" i="16"/>
  <c r="I396" i="16"/>
  <c r="W397" i="16"/>
  <c r="W396" i="16"/>
  <c r="AK397" i="16"/>
  <c r="AK396" i="16"/>
  <c r="AY397" i="16"/>
  <c r="AY396" i="16"/>
  <c r="BM397" i="16"/>
  <c r="BM396" i="16"/>
  <c r="CA397" i="16"/>
  <c r="CA396" i="16"/>
  <c r="CO397" i="16"/>
  <c r="CO396" i="16"/>
  <c r="DC397" i="16"/>
  <c r="DC396" i="16"/>
  <c r="K396" i="16"/>
  <c r="Y396" i="16"/>
  <c r="AM396" i="16"/>
  <c r="BA396" i="16"/>
  <c r="BO396" i="16"/>
  <c r="CC396" i="16"/>
  <c r="CQ396" i="16"/>
  <c r="AW393" i="16"/>
  <c r="BD347" i="16"/>
  <c r="BE347" i="16"/>
  <c r="Q347" i="16"/>
  <c r="AP347" i="16"/>
  <c r="AQ347" i="16"/>
  <c r="CF348" i="16"/>
  <c r="S348" i="16"/>
  <c r="AG348" i="16"/>
  <c r="AU348" i="16"/>
  <c r="BI348" i="16"/>
  <c r="BW348" i="16"/>
  <c r="CK348" i="16"/>
  <c r="AS347" i="16"/>
  <c r="CI348" i="16"/>
  <c r="X347" i="16"/>
  <c r="AL347" i="16"/>
  <c r="AZ347" i="16"/>
  <c r="BN347" i="16"/>
  <c r="CB347" i="16"/>
  <c r="CP347" i="16"/>
  <c r="AC347" i="16"/>
  <c r="Y347" i="16"/>
  <c r="AM347" i="16"/>
  <c r="BA347" i="16"/>
  <c r="BO347" i="16"/>
  <c r="CC347" i="16"/>
  <c r="CQ347" i="16"/>
  <c r="BR347" i="16"/>
  <c r="L347" i="16"/>
  <c r="Z347" i="16"/>
  <c r="AN347" i="16"/>
  <c r="BB347" i="16"/>
  <c r="BP347" i="16"/>
  <c r="CD347" i="16"/>
  <c r="CR347" i="16"/>
  <c r="J348" i="16"/>
  <c r="X348" i="16"/>
  <c r="AL348" i="16"/>
  <c r="AZ348" i="16"/>
  <c r="BN348" i="16"/>
  <c r="CB348" i="16"/>
  <c r="CP348" i="16"/>
  <c r="BS347" i="16"/>
  <c r="K348" i="16"/>
  <c r="Y348" i="16"/>
  <c r="AM348" i="16"/>
  <c r="BA348" i="16"/>
  <c r="BO348" i="16"/>
  <c r="CC348" i="16"/>
  <c r="CQ348" i="16"/>
  <c r="BT347" i="16"/>
  <c r="AY343" i="16"/>
  <c r="CE343" i="16"/>
  <c r="T344" i="16"/>
  <c r="AJ344" i="16"/>
  <c r="AX344" i="16"/>
  <c r="BL344" i="16"/>
  <c r="BZ344" i="16"/>
  <c r="CN344" i="16"/>
  <c r="DB344" i="16"/>
  <c r="BB343" i="16"/>
  <c r="W344" i="16"/>
  <c r="AK344" i="16"/>
  <c r="AY344" i="16"/>
  <c r="BM344" i="16"/>
  <c r="CA344" i="16"/>
  <c r="CO344" i="16"/>
  <c r="DC344" i="16"/>
  <c r="R348" i="16"/>
  <c r="AF348" i="16"/>
  <c r="AT348" i="16"/>
  <c r="BH348" i="16"/>
  <c r="BV348" i="16"/>
  <c r="CJ348" i="16"/>
  <c r="Q343" i="16"/>
  <c r="AE343" i="16"/>
  <c r="AS343" i="16"/>
  <c r="BG343" i="16"/>
  <c r="BU343" i="16"/>
  <c r="CI343" i="16"/>
  <c r="W343" i="16"/>
  <c r="BC343" i="16"/>
  <c r="X344" i="16"/>
  <c r="AL344" i="16"/>
  <c r="AZ344" i="16"/>
  <c r="BN344" i="16"/>
  <c r="CB344" i="16"/>
  <c r="CP344" i="16"/>
  <c r="CY348" i="16"/>
  <c r="R343" i="16"/>
  <c r="CD343" i="16"/>
  <c r="AI344" i="16"/>
  <c r="AW344" i="16"/>
  <c r="BY344" i="16"/>
  <c r="DA344" i="16"/>
  <c r="Y344" i="16"/>
  <c r="BA344" i="16"/>
  <c r="CQ344" i="16"/>
  <c r="CR343" i="16"/>
  <c r="AA344" i="16"/>
  <c r="BM343" i="16"/>
  <c r="CS343" i="16"/>
  <c r="I348" i="16"/>
  <c r="AK348" i="16"/>
  <c r="AY348" i="16"/>
  <c r="CA348" i="16"/>
  <c r="CO348" i="16"/>
  <c r="CA343" i="16"/>
  <c r="Z343" i="16"/>
  <c r="AM344" i="16"/>
  <c r="BO344" i="16"/>
  <c r="CC344" i="16"/>
  <c r="BP344" i="16"/>
  <c r="BQ344" i="16"/>
  <c r="O328" i="16"/>
  <c r="O324" i="16"/>
  <c r="BE324" i="16"/>
  <c r="BE328" i="16"/>
  <c r="BE317" i="16"/>
  <c r="BE318" i="16" s="1"/>
  <c r="AS325" i="16"/>
  <c r="CF323" i="16"/>
  <c r="J324" i="16"/>
  <c r="N317" i="16"/>
  <c r="N316" i="16" s="1"/>
  <c r="CH317" i="16"/>
  <c r="CH318" i="16" s="1"/>
  <c r="N323" i="16"/>
  <c r="AB323" i="16"/>
  <c r="AB328" i="16" s="1"/>
  <c r="AP323" i="16"/>
  <c r="AP328" i="16" s="1"/>
  <c r="BD323" i="16"/>
  <c r="BR323" i="16"/>
  <c r="BR328" i="16" s="1"/>
  <c r="CT323" i="16"/>
  <c r="CT328" i="16" s="1"/>
  <c r="AW325" i="16"/>
  <c r="BY328" i="16"/>
  <c r="AC332" i="16"/>
  <c r="AQ332" i="16"/>
  <c r="BE332" i="16"/>
  <c r="BS332" i="16"/>
  <c r="CG332" i="16"/>
  <c r="CU332" i="16"/>
  <c r="AK317" i="16"/>
  <c r="AK316" i="16" s="1"/>
  <c r="AC323" i="16"/>
  <c r="AC328" i="16" s="1"/>
  <c r="AQ323" i="16"/>
  <c r="AQ324" i="16" s="1"/>
  <c r="CU323" i="16"/>
  <c r="CU328" i="16" s="1"/>
  <c r="U324" i="16"/>
  <c r="U328" i="16"/>
  <c r="BZ328" i="16"/>
  <c r="AU331" i="16"/>
  <c r="CI331" i="16"/>
  <c r="O317" i="16"/>
  <c r="O316" i="16" s="1"/>
  <c r="BR331" i="16"/>
  <c r="AS332" i="16"/>
  <c r="BG332" i="16"/>
  <c r="BU332" i="16"/>
  <c r="CW332" i="16"/>
  <c r="BA325" i="16"/>
  <c r="BQ325" i="16"/>
  <c r="BG323" i="16"/>
  <c r="BG317" i="16" s="1"/>
  <c r="CI325" i="16"/>
  <c r="CW325" i="16"/>
  <c r="DA317" i="16"/>
  <c r="DA319" i="16" s="1"/>
  <c r="AF325" i="16"/>
  <c r="CJ325" i="16"/>
  <c r="AJ324" i="16"/>
  <c r="CN324" i="16"/>
  <c r="BI332" i="16"/>
  <c r="AP324" i="16"/>
  <c r="S323" i="16"/>
  <c r="S328" i="16" s="1"/>
  <c r="AG323" i="16"/>
  <c r="AG328" i="16" s="1"/>
  <c r="BI323" i="16"/>
  <c r="BI325" i="16" s="1"/>
  <c r="CM325" i="16"/>
  <c r="CJ328" i="16"/>
  <c r="N331" i="16"/>
  <c r="N332" i="16"/>
  <c r="BF317" i="16"/>
  <c r="T332" i="16"/>
  <c r="AJ332" i="16"/>
  <c r="AX332" i="16"/>
  <c r="BL332" i="16"/>
  <c r="BZ332" i="16"/>
  <c r="CN332" i="16"/>
  <c r="DB332" i="16"/>
  <c r="BK328" i="16"/>
  <c r="H317" i="16"/>
  <c r="BL317" i="16"/>
  <c r="Q325" i="16"/>
  <c r="H328" i="16"/>
  <c r="AI328" i="16"/>
  <c r="BL328" i="16"/>
  <c r="X332" i="16"/>
  <c r="AL332" i="16"/>
  <c r="AZ332" i="16"/>
  <c r="BN332" i="16"/>
  <c r="CB332" i="16"/>
  <c r="CP332" i="16"/>
  <c r="BK317" i="16"/>
  <c r="BK319" i="16" s="1"/>
  <c r="G328" i="16"/>
  <c r="G324" i="16"/>
  <c r="W325" i="16"/>
  <c r="I328" i="16"/>
  <c r="AP331" i="16"/>
  <c r="Y332" i="16"/>
  <c r="AM332" i="16"/>
  <c r="BA332" i="16"/>
  <c r="BO332" i="16"/>
  <c r="CC332" i="16"/>
  <c r="CQ332" i="16"/>
  <c r="CR332" i="16"/>
  <c r="AP317" i="16"/>
  <c r="P328" i="16"/>
  <c r="BS317" i="16"/>
  <c r="BS318" i="16" s="1"/>
  <c r="BU317" i="16"/>
  <c r="AK318" i="16"/>
  <c r="J317" i="16"/>
  <c r="CB317" i="16"/>
  <c r="CN319" i="16" s="1"/>
  <c r="G318" i="16"/>
  <c r="L317" i="16"/>
  <c r="L318" i="16" s="1"/>
  <c r="AN317" i="16"/>
  <c r="AN318" i="16" s="1"/>
  <c r="BB317" i="16"/>
  <c r="BB319" i="16" s="1"/>
  <c r="BP317" i="16"/>
  <c r="BP316" i="16" s="1"/>
  <c r="CD317" i="16"/>
  <c r="CD318" i="16" s="1"/>
  <c r="I316" i="16"/>
  <c r="I318" i="16"/>
  <c r="CB334" i="16"/>
  <c r="AB317" i="16"/>
  <c r="AN319" i="16" s="1"/>
  <c r="CF317" i="16"/>
  <c r="CF316" i="16" s="1"/>
  <c r="AC317" i="16"/>
  <c r="AC318" i="16" s="1"/>
  <c r="BM318" i="16"/>
  <c r="L334" i="16"/>
  <c r="L338" i="16" s="1"/>
  <c r="L339" i="16" s="1"/>
  <c r="AN334" i="16"/>
  <c r="AN338" i="16" s="1"/>
  <c r="AN339" i="16" s="1"/>
  <c r="BB334" i="16"/>
  <c r="BB338" i="16" s="1"/>
  <c r="BP334" i="16"/>
  <c r="BP338" i="16" s="1"/>
  <c r="CD334" i="16"/>
  <c r="CD338" i="16" s="1"/>
  <c r="CL338" i="16"/>
  <c r="CL339" i="16" s="1"/>
  <c r="CA318" i="16"/>
  <c r="BS334" i="16"/>
  <c r="CU334" i="16"/>
  <c r="CO338" i="16"/>
  <c r="AL317" i="16"/>
  <c r="AL316" i="16" s="1"/>
  <c r="DA318" i="16"/>
  <c r="AV338" i="16"/>
  <c r="AV339" i="16" s="1"/>
  <c r="BY318" i="16"/>
  <c r="BR317" i="16"/>
  <c r="BR318" i="16" s="1"/>
  <c r="CT317" i="16"/>
  <c r="CT316" i="16" s="1"/>
  <c r="BU334" i="16"/>
  <c r="BU338" i="16" s="1"/>
  <c r="J334" i="16"/>
  <c r="J338" i="16" s="1"/>
  <c r="J339" i="16" s="1"/>
  <c r="AP334" i="16"/>
  <c r="T338" i="16"/>
  <c r="CA338" i="16"/>
  <c r="AH338" i="16"/>
  <c r="BJ338" i="16"/>
  <c r="BX338" i="16"/>
  <c r="CJ340" i="16" s="1"/>
  <c r="BK338" i="16"/>
  <c r="AU338" i="16"/>
  <c r="AU339" i="16" s="1"/>
  <c r="CE338" i="16"/>
  <c r="CY338" i="16"/>
  <c r="AL338" i="16"/>
  <c r="AL339" i="16" s="1"/>
  <c r="CB338" i="16"/>
  <c r="BI338" i="16"/>
  <c r="BI339" i="16" s="1"/>
  <c r="CZ338" i="16"/>
  <c r="CZ339" i="16" s="1"/>
  <c r="BS316" i="16"/>
  <c r="Z338" i="16"/>
  <c r="CR338" i="16"/>
  <c r="K338" i="16"/>
  <c r="K339" i="16" s="1"/>
  <c r="Y338" i="16"/>
  <c r="AK340" i="16" s="1"/>
  <c r="AM338" i="16"/>
  <c r="AM339" i="16" s="1"/>
  <c r="BA338" i="16"/>
  <c r="BA339" i="16" s="1"/>
  <c r="BO338" i="16"/>
  <c r="CA340" i="16" s="1"/>
  <c r="CC338" i="16"/>
  <c r="CC340" i="16" s="1"/>
  <c r="CQ338" i="16"/>
  <c r="CQ339" i="16" s="1"/>
  <c r="X338" i="16"/>
  <c r="X339" i="16" s="1"/>
  <c r="M338" i="16"/>
  <c r="M339" i="16" s="1"/>
  <c r="AA338" i="16"/>
  <c r="AO338" i="16"/>
  <c r="BC338" i="16"/>
  <c r="BQ338" i="16"/>
  <c r="BQ339" i="16" s="1"/>
  <c r="CS338" i="16"/>
  <c r="CS339" i="16" s="1"/>
  <c r="U338" i="16"/>
  <c r="U339" i="16" s="1"/>
  <c r="AI338" i="16"/>
  <c r="AU340" i="16" s="1"/>
  <c r="AW338" i="16"/>
  <c r="AW339" i="16" s="1"/>
  <c r="CM338" i="16"/>
  <c r="CM339" i="16" s="1"/>
  <c r="Q338" i="16"/>
  <c r="Q339" i="16" s="1"/>
  <c r="AE338" i="16"/>
  <c r="AE339" i="16" s="1"/>
  <c r="AS338" i="16"/>
  <c r="AS339" i="16" s="1"/>
  <c r="BG338" i="16"/>
  <c r="BG339" i="16" s="1"/>
  <c r="CI338" i="16"/>
  <c r="CI339" i="16" s="1"/>
  <c r="CW338" i="16"/>
  <c r="CW339" i="16" s="1"/>
  <c r="N338" i="16"/>
  <c r="AB338" i="16"/>
  <c r="AP338" i="16"/>
  <c r="BD338" i="16"/>
  <c r="BD339" i="16" s="1"/>
  <c r="BR338" i="16"/>
  <c r="BR339" i="16" s="1"/>
  <c r="CF338" i="16"/>
  <c r="CF339" i="16" s="1"/>
  <c r="CT338" i="16"/>
  <c r="CT339" i="16" s="1"/>
  <c r="R338" i="16"/>
  <c r="R339" i="16" s="1"/>
  <c r="AF338" i="16"/>
  <c r="AT338" i="16"/>
  <c r="BH338" i="16"/>
  <c r="BV338" i="16"/>
  <c r="CJ338" i="16"/>
  <c r="CX338" i="16"/>
  <c r="CX339" i="16" s="1"/>
  <c r="O338" i="16"/>
  <c r="O339" i="16" s="1"/>
  <c r="AC338" i="16"/>
  <c r="AQ338" i="16"/>
  <c r="AQ339" i="16" s="1"/>
  <c r="BE338" i="16"/>
  <c r="BE340" i="16" s="1"/>
  <c r="BS338" i="16"/>
  <c r="BS339" i="16" s="1"/>
  <c r="CG338" i="16"/>
  <c r="CG339" i="16" s="1"/>
  <c r="CU338" i="16"/>
  <c r="CU339" i="16" s="1"/>
  <c r="DC338" i="16"/>
  <c r="DC340" i="16" s="1"/>
  <c r="BF309" i="16"/>
  <c r="CV309" i="16"/>
  <c r="AE308" i="16"/>
  <c r="BG308" i="16"/>
  <c r="CI308" i="16"/>
  <c r="AG309" i="16"/>
  <c r="BI309" i="16"/>
  <c r="CK309" i="16"/>
  <c r="Q309" i="16"/>
  <c r="O308" i="16"/>
  <c r="AC308" i="16"/>
  <c r="AQ308" i="16"/>
  <c r="BE308" i="16"/>
  <c r="BS308" i="16"/>
  <c r="CG308" i="16"/>
  <c r="CU308" i="16"/>
  <c r="AF308" i="16"/>
  <c r="BH308" i="16"/>
  <c r="CJ308" i="16"/>
  <c r="N308" i="16"/>
  <c r="AB308" i="16"/>
  <c r="BR308" i="16"/>
  <c r="CF308" i="16"/>
  <c r="CT308" i="16"/>
  <c r="BE316" i="16"/>
  <c r="AI316" i="16"/>
  <c r="BT309" i="16"/>
  <c r="DA316" i="16"/>
  <c r="AR309" i="16"/>
  <c r="CH309" i="16"/>
  <c r="BY316" i="16"/>
  <c r="T305" i="16"/>
  <c r="AJ305" i="16"/>
  <c r="AX305" i="16"/>
  <c r="BL305" i="16"/>
  <c r="BZ305" i="16"/>
  <c r="CN305" i="16"/>
  <c r="DB305" i="16"/>
  <c r="CB324" i="16"/>
  <c r="J343" i="16"/>
  <c r="X343" i="16"/>
  <c r="AL343" i="16"/>
  <c r="AZ343" i="16"/>
  <c r="BN343" i="16"/>
  <c r="CB343" i="16"/>
  <c r="CP343" i="16"/>
  <c r="W305" i="16"/>
  <c r="AK305" i="16"/>
  <c r="AY305" i="16"/>
  <c r="BM305" i="16"/>
  <c r="CA305" i="16"/>
  <c r="CO305" i="16"/>
  <c r="DC305" i="16"/>
  <c r="CD324" i="16"/>
  <c r="K343" i="16"/>
  <c r="Y343" i="16"/>
  <c r="AM343" i="16"/>
  <c r="BA343" i="16"/>
  <c r="BO343" i="16"/>
  <c r="CC343" i="16"/>
  <c r="CQ343" i="16"/>
  <c r="AB331" i="16"/>
  <c r="X305" i="16"/>
  <c r="AZ305" i="16"/>
  <c r="CB305" i="16"/>
  <c r="AN305" i="16"/>
  <c r="BP305" i="16"/>
  <c r="CR305" i="16"/>
  <c r="Z324" i="16"/>
  <c r="N343" i="16"/>
  <c r="BD343" i="16"/>
  <c r="CT343" i="16"/>
  <c r="AA305" i="16"/>
  <c r="AO305" i="16"/>
  <c r="BC305" i="16"/>
  <c r="BQ305" i="16"/>
  <c r="CE305" i="16"/>
  <c r="CS305" i="16"/>
  <c r="J308" i="16"/>
  <c r="X308" i="16"/>
  <c r="AL308" i="16"/>
  <c r="AZ308" i="16"/>
  <c r="BN308" i="16"/>
  <c r="CB308" i="16"/>
  <c r="CP308" i="16"/>
  <c r="O343" i="16"/>
  <c r="AC343" i="16"/>
  <c r="AQ343" i="16"/>
  <c r="BE343" i="16"/>
  <c r="BS343" i="16"/>
  <c r="CG343" i="16"/>
  <c r="CU343" i="16"/>
  <c r="AB305" i="16"/>
  <c r="CF305" i="16"/>
  <c r="K308" i="16"/>
  <c r="BA308" i="16"/>
  <c r="CC308" i="16"/>
  <c r="P343" i="16"/>
  <c r="AR343" i="16"/>
  <c r="BF343" i="16"/>
  <c r="CH343" i="16"/>
  <c r="CV343" i="16"/>
  <c r="AB347" i="16"/>
  <c r="AL305" i="16"/>
  <c r="BN305" i="16"/>
  <c r="CP305" i="16"/>
  <c r="Z305" i="16"/>
  <c r="BB305" i="16"/>
  <c r="CD305" i="16"/>
  <c r="AB343" i="16"/>
  <c r="BR343" i="16"/>
  <c r="CF343" i="16"/>
  <c r="BD305" i="16"/>
  <c r="BR305" i="16"/>
  <c r="CT305" i="16"/>
  <c r="Y308" i="16"/>
  <c r="AM308" i="16"/>
  <c r="BO308" i="16"/>
  <c r="CQ308" i="16"/>
  <c r="CR324" i="16"/>
  <c r="AD343" i="16"/>
  <c r="AC305" i="16"/>
  <c r="AQ305" i="16"/>
  <c r="BE305" i="16"/>
  <c r="BS305" i="16"/>
  <c r="CG305" i="16"/>
  <c r="CU305" i="16"/>
  <c r="L308" i="16"/>
  <c r="Z308" i="16"/>
  <c r="AN308" i="16"/>
  <c r="BB308" i="16"/>
  <c r="BP308" i="16"/>
  <c r="CD308" i="16"/>
  <c r="CR308" i="16"/>
  <c r="AD324" i="16"/>
  <c r="BP324" i="16"/>
  <c r="CT324" i="16"/>
  <c r="CW343" i="16"/>
  <c r="AP343" i="16"/>
  <c r="AP305" i="16"/>
  <c r="AD305" i="16"/>
  <c r="AR305" i="16"/>
  <c r="BF305" i="16"/>
  <c r="BT305" i="16"/>
  <c r="CH305" i="16"/>
  <c r="CV305" i="16"/>
  <c r="M308" i="16"/>
  <c r="AA308" i="16"/>
  <c r="AO308" i="16"/>
  <c r="BC308" i="16"/>
  <c r="BQ308" i="16"/>
  <c r="CE308" i="16"/>
  <c r="CS308" i="16"/>
  <c r="AI324" i="16"/>
  <c r="BR324" i="16"/>
  <c r="J331" i="16"/>
  <c r="X331" i="16"/>
  <c r="AL331" i="16"/>
  <c r="AZ331" i="16"/>
  <c r="BN331" i="16"/>
  <c r="CB331" i="16"/>
  <c r="CP331" i="16"/>
  <c r="AA339" i="16"/>
  <c r="AF343" i="16"/>
  <c r="AT343" i="16"/>
  <c r="BH343" i="16"/>
  <c r="BV343" i="16"/>
  <c r="CJ343" i="16"/>
  <c r="CX343" i="16"/>
  <c r="J347" i="16"/>
  <c r="BT343" i="16"/>
  <c r="AP308" i="16"/>
  <c r="BD308" i="16"/>
  <c r="BS324" i="16"/>
  <c r="K331" i="16"/>
  <c r="Y331" i="16"/>
  <c r="AM331" i="16"/>
  <c r="BA331" i="16"/>
  <c r="BO331" i="16"/>
  <c r="CC331" i="16"/>
  <c r="CQ331" i="16"/>
  <c r="K347" i="16"/>
  <c r="BT324" i="16"/>
  <c r="L331" i="16"/>
  <c r="Z331" i="16"/>
  <c r="AN331" i="16"/>
  <c r="BB331" i="16"/>
  <c r="BP331" i="16"/>
  <c r="CD331" i="16"/>
  <c r="CR331" i="16"/>
  <c r="CR339" i="16"/>
  <c r="AG305" i="16"/>
  <c r="AU305" i="16"/>
  <c r="BI305" i="16"/>
  <c r="BW305" i="16"/>
  <c r="CK305" i="16"/>
  <c r="CY305" i="16"/>
  <c r="BC324" i="16"/>
  <c r="BY324" i="16"/>
  <c r="M331" i="16"/>
  <c r="AA331" i="16"/>
  <c r="AO331" i="16"/>
  <c r="BC331" i="16"/>
  <c r="BQ331" i="16"/>
  <c r="CE331" i="16"/>
  <c r="CS331" i="16"/>
  <c r="CP291" i="16"/>
  <c r="CP290" i="16"/>
  <c r="BK276" i="16"/>
  <c r="AH290" i="16"/>
  <c r="AH291" i="16"/>
  <c r="AV290" i="16"/>
  <c r="AV291" i="16"/>
  <c r="BX290" i="16"/>
  <c r="BX291" i="16"/>
  <c r="M269" i="16"/>
  <c r="X269" i="16"/>
  <c r="AL269" i="16"/>
  <c r="AL270" i="16"/>
  <c r="O274" i="16"/>
  <c r="O282" i="16"/>
  <c r="AC282" i="16"/>
  <c r="AC283" i="16"/>
  <c r="AC274" i="16"/>
  <c r="AO528" i="16"/>
  <c r="AQ283" i="16"/>
  <c r="AQ282" i="16"/>
  <c r="BE283" i="16"/>
  <c r="BQ283" i="16"/>
  <c r="BE274" i="16"/>
  <c r="BE282" i="16"/>
  <c r="BQ528" i="16"/>
  <c r="BS274" i="16"/>
  <c r="BS283" i="16"/>
  <c r="BS282" i="16"/>
  <c r="CE528" i="16"/>
  <c r="CG282" i="16"/>
  <c r="CG274" i="16"/>
  <c r="CS283" i="16"/>
  <c r="CS528" i="16"/>
  <c r="CG283" i="16"/>
  <c r="CU282" i="16"/>
  <c r="CU283" i="16"/>
  <c r="CU274" i="16"/>
  <c r="Q290" i="16"/>
  <c r="G294" i="16"/>
  <c r="K295" i="16"/>
  <c r="K540" i="16"/>
  <c r="G299" i="16"/>
  <c r="AG295" i="16"/>
  <c r="AG540" i="16"/>
  <c r="U294" i="16"/>
  <c r="U299" i="16"/>
  <c r="AI299" i="16"/>
  <c r="AI295" i="16"/>
  <c r="AI294" i="16"/>
  <c r="AU295" i="16"/>
  <c r="AU540" i="16"/>
  <c r="AW295" i="16"/>
  <c r="BI295" i="16"/>
  <c r="AW299" i="16"/>
  <c r="AW294" i="16"/>
  <c r="BI540" i="16"/>
  <c r="BK295" i="16"/>
  <c r="BK294" i="16"/>
  <c r="BW540" i="16"/>
  <c r="BW295" i="16"/>
  <c r="BK299" i="16"/>
  <c r="CK295" i="16"/>
  <c r="BY295" i="16"/>
  <c r="CK540" i="16"/>
  <c r="BY294" i="16"/>
  <c r="CM299" i="16"/>
  <c r="CY295" i="16"/>
  <c r="CM294" i="16"/>
  <c r="CY540" i="16"/>
  <c r="CM295" i="16"/>
  <c r="DA299" i="16"/>
  <c r="DA294" i="16"/>
  <c r="AP291" i="16"/>
  <c r="CV276" i="16"/>
  <c r="CV275" i="16"/>
  <c r="CV279" i="16"/>
  <c r="CV268" i="16"/>
  <c r="BN289" i="16"/>
  <c r="M275" i="16"/>
  <c r="M294" i="16"/>
  <c r="M298" i="16"/>
  <c r="M282" i="16"/>
  <c r="AA298" i="16"/>
  <c r="AA256" i="16"/>
  <c r="AA259" i="16"/>
  <c r="AO275" i="16"/>
  <c r="AO282" i="16"/>
  <c r="AO269" i="16"/>
  <c r="AO298" i="16"/>
  <c r="BA501" i="16"/>
  <c r="AO256" i="16"/>
  <c r="BC298" i="16"/>
  <c r="BC282" i="16"/>
  <c r="BC256" i="16"/>
  <c r="BQ298" i="16"/>
  <c r="BQ294" i="16"/>
  <c r="BQ282" i="16"/>
  <c r="BQ275" i="16"/>
  <c r="BQ256" i="16"/>
  <c r="CC501" i="16"/>
  <c r="CE256" i="16"/>
  <c r="CE259" i="16"/>
  <c r="CQ501" i="16"/>
  <c r="CS298" i="16"/>
  <c r="CS259" i="16"/>
  <c r="BY269" i="16"/>
  <c r="O268" i="16"/>
  <c r="AC291" i="16"/>
  <c r="AC290" i="16"/>
  <c r="AI290" i="16"/>
  <c r="CC270" i="16"/>
  <c r="CC269" i="16"/>
  <c r="CD276" i="16"/>
  <c r="CD279" i="16"/>
  <c r="CD268" i="16"/>
  <c r="CD275" i="16"/>
  <c r="CP276" i="16"/>
  <c r="Z290" i="16"/>
  <c r="BP290" i="16"/>
  <c r="CR291" i="16"/>
  <c r="CR290" i="16"/>
  <c r="BB290" i="16"/>
  <c r="BB291" i="16"/>
  <c r="BO501" i="16"/>
  <c r="CI276" i="16"/>
  <c r="CI275" i="16"/>
  <c r="CI279" i="16"/>
  <c r="CX291" i="16"/>
  <c r="CX290" i="16"/>
  <c r="BY299" i="16"/>
  <c r="CP521" i="16"/>
  <c r="T276" i="16"/>
  <c r="T279" i="16"/>
  <c r="T275" i="16"/>
  <c r="AF521" i="16"/>
  <c r="AF291" i="16"/>
  <c r="AF290" i="16"/>
  <c r="X267" i="16"/>
  <c r="AW289" i="16"/>
  <c r="BY290" i="16"/>
  <c r="BY291" i="16"/>
  <c r="AQ274" i="16"/>
  <c r="AE290" i="16"/>
  <c r="BG290" i="16"/>
  <c r="AR269" i="16"/>
  <c r="AR270" i="16"/>
  <c r="AS289" i="16"/>
  <c r="Z270" i="16"/>
  <c r="Z269" i="16"/>
  <c r="BK275" i="16"/>
  <c r="BK268" i="16"/>
  <c r="BK279" i="16"/>
  <c r="AU270" i="16"/>
  <c r="AU269" i="16"/>
  <c r="CA289" i="16"/>
  <c r="BJ269" i="16"/>
  <c r="BJ267" i="16"/>
  <c r="Z275" i="16"/>
  <c r="Z276" i="16"/>
  <c r="AT270" i="16"/>
  <c r="AT267" i="16"/>
  <c r="AT269" i="16"/>
  <c r="AC536" i="16"/>
  <c r="AA279" i="16"/>
  <c r="AA276" i="16"/>
  <c r="AA275" i="16"/>
  <c r="AM276" i="16"/>
  <c r="BB275" i="16"/>
  <c r="BB279" i="16"/>
  <c r="BB276" i="16"/>
  <c r="CS282" i="16"/>
  <c r="M289" i="16"/>
  <c r="M290" i="16" s="1"/>
  <c r="CX269" i="16"/>
  <c r="CX270" i="16"/>
  <c r="AN279" i="16"/>
  <c r="AN275" i="16"/>
  <c r="AN276" i="16"/>
  <c r="CG291" i="16"/>
  <c r="CG290" i="16"/>
  <c r="CZ290" i="16"/>
  <c r="CZ291" i="16"/>
  <c r="CS256" i="16"/>
  <c r="T268" i="16"/>
  <c r="CL267" i="16"/>
  <c r="BA256" i="16"/>
  <c r="CK291" i="16"/>
  <c r="CK290" i="16"/>
  <c r="BA267" i="16"/>
  <c r="BA269" i="16"/>
  <c r="K268" i="16"/>
  <c r="K285" i="16"/>
  <c r="K289" i="16" s="1"/>
  <c r="Y285" i="16"/>
  <c r="Y289" i="16" s="1"/>
  <c r="Y268" i="16"/>
  <c r="AM285" i="16"/>
  <c r="AM289" i="16" s="1"/>
  <c r="AM268" i="16"/>
  <c r="BA290" i="16"/>
  <c r="BO285" i="16"/>
  <c r="BO289" i="16" s="1"/>
  <c r="BO268" i="16"/>
  <c r="CC291" i="16"/>
  <c r="CC290" i="16"/>
  <c r="CQ268" i="16"/>
  <c r="CQ285" i="16"/>
  <c r="CQ289" i="16" s="1"/>
  <c r="DC536" i="16" s="1"/>
  <c r="AJ270" i="16"/>
  <c r="AJ269" i="16"/>
  <c r="BZ269" i="16"/>
  <c r="CN269" i="16"/>
  <c r="CP505" i="16"/>
  <c r="BM256" i="16"/>
  <c r="CH256" i="16"/>
  <c r="G267" i="16"/>
  <c r="BY260" i="16"/>
  <c r="AB259" i="16"/>
  <c r="BZ259" i="16"/>
  <c r="AN260" i="16"/>
  <c r="BM268" i="16"/>
  <c r="BY270" i="16" s="1"/>
  <c r="AV270" i="16"/>
  <c r="CR274" i="16"/>
  <c r="X275" i="16"/>
  <c r="AU276" i="16"/>
  <c r="L282" i="16"/>
  <c r="AP294" i="16"/>
  <c r="BR298" i="16"/>
  <c r="I269" i="16"/>
  <c r="Q515" i="16"/>
  <c r="CB505" i="16"/>
  <c r="CV521" i="16"/>
  <c r="CF528" i="16"/>
  <c r="AL282" i="16"/>
  <c r="AX256" i="16"/>
  <c r="CN256" i="16"/>
  <c r="CB256" i="16"/>
  <c r="CP294" i="16"/>
  <c r="CP282" i="16"/>
  <c r="CP275" i="16"/>
  <c r="AN256" i="16"/>
  <c r="BN256" i="16"/>
  <c r="CJ256" i="16"/>
  <c r="AJ267" i="16"/>
  <c r="AJ259" i="16"/>
  <c r="AX260" i="16"/>
  <c r="CN260" i="16"/>
  <c r="CN267" i="16"/>
  <c r="AX259" i="16"/>
  <c r="CB259" i="16"/>
  <c r="M267" i="16"/>
  <c r="AK267" i="16"/>
  <c r="AQ268" i="16"/>
  <c r="P274" i="16"/>
  <c r="BC279" i="16"/>
  <c r="BY275" i="16"/>
  <c r="BY279" i="16"/>
  <c r="CS275" i="16"/>
  <c r="Z283" i="16"/>
  <c r="Z282" i="16"/>
  <c r="BB282" i="16"/>
  <c r="BP282" i="16"/>
  <c r="BP274" i="16"/>
  <c r="BP268" i="16" s="1"/>
  <c r="BP283" i="16"/>
  <c r="CD282" i="16"/>
  <c r="CP283" i="16"/>
  <c r="BT283" i="16"/>
  <c r="H289" i="16"/>
  <c r="H290" i="16" s="1"/>
  <c r="AJ290" i="16"/>
  <c r="BZ290" i="16"/>
  <c r="BV298" i="16"/>
  <c r="CW515" i="16"/>
  <c r="K282" i="16"/>
  <c r="K294" i="16"/>
  <c r="W501" i="16"/>
  <c r="Y294" i="16"/>
  <c r="Y282" i="16"/>
  <c r="Y256" i="16"/>
  <c r="AK501" i="16"/>
  <c r="AM294" i="16"/>
  <c r="AY501" i="16"/>
  <c r="AM282" i="16"/>
  <c r="BA294" i="16"/>
  <c r="BM501" i="16"/>
  <c r="BO294" i="16"/>
  <c r="BO282" i="16"/>
  <c r="CA501" i="16"/>
  <c r="CC294" i="16"/>
  <c r="CC256" i="16"/>
  <c r="CO501" i="16"/>
  <c r="CQ282" i="16"/>
  <c r="CQ275" i="16"/>
  <c r="DC501" i="16"/>
  <c r="N256" i="16"/>
  <c r="BO256" i="16"/>
  <c r="AY259" i="16"/>
  <c r="BM267" i="16"/>
  <c r="CO260" i="16"/>
  <c r="DC260" i="16"/>
  <c r="AD259" i="16"/>
  <c r="BD259" i="16"/>
  <c r="CD259" i="16"/>
  <c r="BR260" i="16"/>
  <c r="R275" i="16"/>
  <c r="AJ275" i="16"/>
  <c r="AV521" i="16"/>
  <c r="BF274" i="16"/>
  <c r="BZ275" i="16"/>
  <c r="CL276" i="16"/>
  <c r="BZ279" i="16"/>
  <c r="AB275" i="16"/>
  <c r="CX275" i="16"/>
  <c r="AA282" i="16"/>
  <c r="BC283" i="16"/>
  <c r="CE283" i="16"/>
  <c r="N282" i="16"/>
  <c r="AL283" i="16"/>
  <c r="AO285" i="16"/>
  <c r="AO289" i="16" s="1"/>
  <c r="AZ294" i="16"/>
  <c r="AF298" i="16"/>
  <c r="AT298" i="16"/>
  <c r="BH298" i="16"/>
  <c r="CJ298" i="16"/>
  <c r="CX298" i="16"/>
  <c r="CD501" i="16"/>
  <c r="BX521" i="16"/>
  <c r="BR528" i="16"/>
  <c r="AD536" i="16"/>
  <c r="AR536" i="16"/>
  <c r="Z294" i="16"/>
  <c r="Z256" i="16"/>
  <c r="CB501" i="16"/>
  <c r="BP256" i="16"/>
  <c r="CD256" i="16"/>
  <c r="CP501" i="16"/>
  <c r="CR294" i="16"/>
  <c r="CR256" i="16"/>
  <c r="X259" i="16"/>
  <c r="AL267" i="16"/>
  <c r="AL259" i="16"/>
  <c r="AZ259" i="16"/>
  <c r="BN260" i="16"/>
  <c r="CP260" i="16"/>
  <c r="CP259" i="16"/>
  <c r="AF259" i="16"/>
  <c r="BF259" i="16"/>
  <c r="Q260" i="16"/>
  <c r="AS260" i="16"/>
  <c r="AO267" i="16"/>
  <c r="BV269" i="16"/>
  <c r="G289" i="16"/>
  <c r="G290" i="16" s="1"/>
  <c r="BG279" i="16"/>
  <c r="BG276" i="16"/>
  <c r="BG275" i="16"/>
  <c r="CY275" i="16"/>
  <c r="N283" i="16"/>
  <c r="N274" i="16"/>
  <c r="Z528" i="16"/>
  <c r="AB282" i="16"/>
  <c r="AB283" i="16"/>
  <c r="AN528" i="16"/>
  <c r="AP283" i="16"/>
  <c r="AP282" i="16"/>
  <c r="BB528" i="16"/>
  <c r="BD282" i="16"/>
  <c r="BP528" i="16"/>
  <c r="BD274" i="16"/>
  <c r="BD268" i="16" s="1"/>
  <c r="BR282" i="16"/>
  <c r="BR274" i="16"/>
  <c r="CD528" i="16"/>
  <c r="CF282" i="16"/>
  <c r="CR528" i="16"/>
  <c r="CT282" i="16"/>
  <c r="CT283" i="16"/>
  <c r="CT274" i="16"/>
  <c r="BF282" i="16"/>
  <c r="CR282" i="16"/>
  <c r="CB283" i="16"/>
  <c r="L289" i="16"/>
  <c r="L290" i="16" s="1"/>
  <c r="AR289" i="16"/>
  <c r="BB294" i="16"/>
  <c r="BD295" i="16"/>
  <c r="S298" i="16"/>
  <c r="AG298" i="16"/>
  <c r="AG299" i="16"/>
  <c r="AU298" i="16"/>
  <c r="BI298" i="16"/>
  <c r="BI299" i="16"/>
  <c r="BW298" i="16"/>
  <c r="BW299" i="16"/>
  <c r="CK298" i="16"/>
  <c r="CY298" i="16"/>
  <c r="CY299" i="16"/>
  <c r="BM536" i="16"/>
  <c r="CF298" i="16"/>
  <c r="CF259" i="16"/>
  <c r="Z267" i="16"/>
  <c r="Z260" i="16"/>
  <c r="BB267" i="16"/>
  <c r="BB259" i="16"/>
  <c r="BP259" i="16"/>
  <c r="BP260" i="16"/>
  <c r="CR259" i="16"/>
  <c r="CY269" i="16"/>
  <c r="I289" i="16"/>
  <c r="I290" i="16" s="1"/>
  <c r="W285" i="16"/>
  <c r="W289" i="16" s="1"/>
  <c r="AK289" i="16"/>
  <c r="AY285" i="16"/>
  <c r="AY289" i="16" s="1"/>
  <c r="AY268" i="16"/>
  <c r="BM289" i="16"/>
  <c r="CO285" i="16"/>
  <c r="CO289" i="16" s="1"/>
  <c r="DC289" i="16"/>
  <c r="CL269" i="16"/>
  <c r="CL270" i="16"/>
  <c r="CZ269" i="16"/>
  <c r="CZ270" i="16"/>
  <c r="BI279" i="16"/>
  <c r="BI276" i="16"/>
  <c r="BI275" i="16"/>
  <c r="CE275" i="16"/>
  <c r="BV275" i="16"/>
  <c r="AD274" i="16"/>
  <c r="AD282" i="16"/>
  <c r="BT276" i="16"/>
  <c r="BT268" i="16"/>
  <c r="CH283" i="16"/>
  <c r="CH274" i="16"/>
  <c r="CV283" i="16"/>
  <c r="CV282" i="16"/>
  <c r="CX282" i="16"/>
  <c r="CF283" i="16"/>
  <c r="AX291" i="16"/>
  <c r="AX290" i="16"/>
  <c r="H299" i="16"/>
  <c r="H294" i="16"/>
  <c r="V299" i="16"/>
  <c r="V294" i="16"/>
  <c r="AJ299" i="16"/>
  <c r="AJ294" i="16"/>
  <c r="AJ295" i="16"/>
  <c r="AV295" i="16"/>
  <c r="AX299" i="16"/>
  <c r="AX294" i="16"/>
  <c r="BL299" i="16"/>
  <c r="BL294" i="16"/>
  <c r="BL295" i="16"/>
  <c r="BZ299" i="16"/>
  <c r="BZ294" i="16"/>
  <c r="CN299" i="16"/>
  <c r="CN294" i="16"/>
  <c r="DB299" i="16"/>
  <c r="DB294" i="16"/>
  <c r="DB295" i="16"/>
  <c r="BD294" i="16"/>
  <c r="CB299" i="16"/>
  <c r="T501" i="16"/>
  <c r="AL501" i="16"/>
  <c r="CA521" i="16"/>
  <c r="CO521" i="16"/>
  <c r="X528" i="16"/>
  <c r="AC298" i="16"/>
  <c r="AC294" i="16"/>
  <c r="AC256" i="16"/>
  <c r="BS298" i="16"/>
  <c r="BS294" i="16"/>
  <c r="CG298" i="16"/>
  <c r="CG294" i="16"/>
  <c r="CG256" i="16"/>
  <c r="CS501" i="16"/>
  <c r="CU298" i="16"/>
  <c r="CU256" i="16"/>
  <c r="CU259" i="16"/>
  <c r="X256" i="16"/>
  <c r="AY256" i="16"/>
  <c r="CQ256" i="16"/>
  <c r="Y260" i="16"/>
  <c r="M259" i="16"/>
  <c r="AA260" i="16"/>
  <c r="AA267" i="16"/>
  <c r="AO259" i="16"/>
  <c r="BA260" i="16"/>
  <c r="BC267" i="16"/>
  <c r="BC259" i="16"/>
  <c r="BQ259" i="16"/>
  <c r="BQ260" i="16"/>
  <c r="AK259" i="16"/>
  <c r="X260" i="16"/>
  <c r="AZ260" i="16"/>
  <c r="CA260" i="16"/>
  <c r="CW260" i="16"/>
  <c r="AV267" i="16"/>
  <c r="AP274" i="16"/>
  <c r="BJ276" i="16"/>
  <c r="BJ275" i="16"/>
  <c r="CF274" i="16"/>
  <c r="AL275" i="16"/>
  <c r="Q283" i="16"/>
  <c r="Q282" i="16"/>
  <c r="Q274" i="16"/>
  <c r="AC528" i="16"/>
  <c r="AE283" i="16"/>
  <c r="AQ528" i="16"/>
  <c r="AS283" i="16"/>
  <c r="AS274" i="16"/>
  <c r="BE528" i="16"/>
  <c r="BG283" i="16"/>
  <c r="BG282" i="16"/>
  <c r="BS528" i="16"/>
  <c r="BU283" i="16"/>
  <c r="BU282" i="16"/>
  <c r="CG528" i="16"/>
  <c r="CI283" i="16"/>
  <c r="CU528" i="16"/>
  <c r="CW283" i="16"/>
  <c r="CW274" i="16"/>
  <c r="CW282" i="16"/>
  <c r="X282" i="16"/>
  <c r="CY282" i="16"/>
  <c r="AZ289" i="16"/>
  <c r="BE294" i="16"/>
  <c r="P259" i="16"/>
  <c r="AB260" i="16"/>
  <c r="AR267" i="16"/>
  <c r="AR260" i="16"/>
  <c r="BT267" i="16"/>
  <c r="BT260" i="16"/>
  <c r="CV267" i="16"/>
  <c r="CV259" i="16"/>
  <c r="AT279" i="16"/>
  <c r="AT276" i="16"/>
  <c r="AT275" i="16"/>
  <c r="BJ289" i="16"/>
  <c r="CV289" i="16"/>
  <c r="AG294" i="16"/>
  <c r="AG256" i="16"/>
  <c r="AU294" i="16"/>
  <c r="AU256" i="16"/>
  <c r="BI294" i="16"/>
  <c r="BI282" i="16"/>
  <c r="BW256" i="16"/>
  <c r="BW294" i="16"/>
  <c r="CK282" i="16"/>
  <c r="CK294" i="16"/>
  <c r="BZ256" i="16"/>
  <c r="CY256" i="16"/>
  <c r="AE259" i="16"/>
  <c r="AQ505" i="16"/>
  <c r="AE267" i="16"/>
  <c r="AE260" i="16"/>
  <c r="BG260" i="16"/>
  <c r="BS505" i="16"/>
  <c r="BG259" i="16"/>
  <c r="BU259" i="16"/>
  <c r="CG505" i="16"/>
  <c r="BU267" i="16"/>
  <c r="CI267" i="16"/>
  <c r="CI260" i="16"/>
  <c r="CU505" i="16"/>
  <c r="V259" i="16"/>
  <c r="AR259" i="16"/>
  <c r="AJ260" i="16"/>
  <c r="BE260" i="16"/>
  <c r="CF260" i="16"/>
  <c r="DB260" i="16"/>
  <c r="AG270" i="16"/>
  <c r="BI268" i="16"/>
  <c r="BU515" i="16" s="1"/>
  <c r="N289" i="16"/>
  <c r="Z291" i="16" s="1"/>
  <c r="AB285" i="16"/>
  <c r="AB289" i="16" s="1"/>
  <c r="AB268" i="16"/>
  <c r="BD285" i="16"/>
  <c r="BD289" i="16" s="1"/>
  <c r="BR285" i="16"/>
  <c r="BR289" i="16" s="1"/>
  <c r="BR268" i="16"/>
  <c r="CF290" i="16"/>
  <c r="CT289" i="16"/>
  <c r="H279" i="16"/>
  <c r="H275" i="16"/>
  <c r="BB283" i="16"/>
  <c r="CW289" i="16"/>
  <c r="AO294" i="16"/>
  <c r="CL295" i="16"/>
  <c r="BD298" i="16"/>
  <c r="CP299" i="16"/>
  <c r="AR279" i="16"/>
  <c r="AR276" i="16"/>
  <c r="BM279" i="16"/>
  <c r="BM275" i="16"/>
  <c r="BM276" i="16"/>
  <c r="BY521" i="16"/>
  <c r="BI289" i="16"/>
  <c r="X298" i="16"/>
  <c r="X299" i="16"/>
  <c r="BN298" i="16"/>
  <c r="BN299" i="16"/>
  <c r="R282" i="16"/>
  <c r="R259" i="16"/>
  <c r="AT282" i="16"/>
  <c r="AT256" i="16"/>
  <c r="BH256" i="16"/>
  <c r="BH275" i="16"/>
  <c r="BH282" i="16"/>
  <c r="CJ282" i="16"/>
  <c r="CJ294" i="16"/>
  <c r="CX256" i="16"/>
  <c r="CH267" i="16"/>
  <c r="CT260" i="16"/>
  <c r="BD260" i="16"/>
  <c r="BG270" i="16"/>
  <c r="BG269" i="16"/>
  <c r="AA268" i="16"/>
  <c r="AA285" i="16"/>
  <c r="AA289" i="16" s="1"/>
  <c r="BC285" i="16"/>
  <c r="BC289" i="16" s="1"/>
  <c r="BC268" i="16"/>
  <c r="BQ285" i="16"/>
  <c r="BQ289" i="16" s="1"/>
  <c r="BQ268" i="16"/>
  <c r="CE268" i="16"/>
  <c r="CE285" i="16"/>
  <c r="CE289" i="16" s="1"/>
  <c r="CS268" i="16"/>
  <c r="CS285" i="16"/>
  <c r="CS289" i="16" s="1"/>
  <c r="AZ268" i="16"/>
  <c r="AB276" i="16"/>
  <c r="BO279" i="16"/>
  <c r="BO276" i="16"/>
  <c r="BO275" i="16"/>
  <c r="BF501" i="16"/>
  <c r="BS515" i="16"/>
  <c r="BF260" i="16"/>
  <c r="CD267" i="16"/>
  <c r="CK270" i="16"/>
  <c r="AQ289" i="16"/>
  <c r="BS285" i="16"/>
  <c r="BS289" i="16" s="1"/>
  <c r="BS268" i="16"/>
  <c r="CU285" i="16"/>
  <c r="CU289" i="16" s="1"/>
  <c r="CU268" i="16"/>
  <c r="BB268" i="16"/>
  <c r="I279" i="16"/>
  <c r="I275" i="16"/>
  <c r="AE279" i="16"/>
  <c r="AE276" i="16"/>
  <c r="AV279" i="16"/>
  <c r="AV276" i="16"/>
  <c r="AV275" i="16"/>
  <c r="BU276" i="16"/>
  <c r="BU275" i="16"/>
  <c r="CM275" i="16"/>
  <c r="CM279" i="16"/>
  <c r="BD283" i="16"/>
  <c r="Z295" i="16"/>
  <c r="N295" i="16"/>
  <c r="N299" i="16"/>
  <c r="N294" i="16"/>
  <c r="AB299" i="16"/>
  <c r="AN295" i="16"/>
  <c r="AB295" i="16"/>
  <c r="BR299" i="16"/>
  <c r="BR295" i="16"/>
  <c r="BR294" i="16"/>
  <c r="CD295" i="16"/>
  <c r="CF295" i="16"/>
  <c r="CF294" i="16"/>
  <c r="CF299" i="16"/>
  <c r="CR295" i="16"/>
  <c r="CT295" i="16"/>
  <c r="CT294" i="16"/>
  <c r="CT299" i="16"/>
  <c r="AP295" i="16"/>
  <c r="CE298" i="16"/>
  <c r="N298" i="16"/>
  <c r="AR501" i="16"/>
  <c r="BG501" i="16"/>
  <c r="AF505" i="16"/>
  <c r="BJ505" i="16"/>
  <c r="BY505" i="16"/>
  <c r="BV515" i="16"/>
  <c r="CB528" i="16"/>
  <c r="X54" i="1"/>
  <c r="AK256" i="16"/>
  <c r="DB256" i="16"/>
  <c r="S259" i="16"/>
  <c r="AG260" i="16"/>
  <c r="AG259" i="16"/>
  <c r="AU260" i="16"/>
  <c r="AU267" i="16"/>
  <c r="BI259" i="16"/>
  <c r="BW260" i="16"/>
  <c r="BW259" i="16"/>
  <c r="CK259" i="16"/>
  <c r="CK267" i="16"/>
  <c r="CY267" i="16"/>
  <c r="Z259" i="16"/>
  <c r="AU259" i="16"/>
  <c r="BT259" i="16"/>
  <c r="AL260" i="16"/>
  <c r="BI260" i="16"/>
  <c r="CH260" i="16"/>
  <c r="H267" i="16"/>
  <c r="AG267" i="16"/>
  <c r="BG267" i="16"/>
  <c r="CE267" i="16"/>
  <c r="AK268" i="16"/>
  <c r="CM268" i="16"/>
  <c r="AF276" i="16"/>
  <c r="AF275" i="16"/>
  <c r="AF268" i="16"/>
  <c r="CN275" i="16"/>
  <c r="CN279" i="16"/>
  <c r="CJ275" i="16"/>
  <c r="BY276" i="16"/>
  <c r="BT279" i="16"/>
  <c r="AI283" i="16"/>
  <c r="W282" i="16"/>
  <c r="W274" i="16"/>
  <c r="W268" i="16" s="1"/>
  <c r="AK279" i="16"/>
  <c r="AK275" i="16"/>
  <c r="AK276" i="16"/>
  <c r="AY283" i="16"/>
  <c r="AY282" i="16"/>
  <c r="BK283" i="16"/>
  <c r="AY274" i="16"/>
  <c r="BM282" i="16"/>
  <c r="BY283" i="16"/>
  <c r="CM283" i="16"/>
  <c r="CA274" i="16"/>
  <c r="CM276" i="16" s="1"/>
  <c r="CA282" i="16"/>
  <c r="CO282" i="16"/>
  <c r="CO274" i="16"/>
  <c r="DC283" i="16"/>
  <c r="DC282" i="16"/>
  <c r="DC274" i="16"/>
  <c r="DC268" i="16" s="1"/>
  <c r="AR282" i="16"/>
  <c r="CC282" i="16"/>
  <c r="AD283" i="16"/>
  <c r="AG289" i="16"/>
  <c r="AB294" i="16"/>
  <c r="CN295" i="16"/>
  <c r="J299" i="16"/>
  <c r="AD501" i="16"/>
  <c r="AS501" i="16"/>
  <c r="CN501" i="16"/>
  <c r="AV505" i="16"/>
  <c r="BK505" i="16"/>
  <c r="BZ505" i="16"/>
  <c r="CT528" i="16"/>
  <c r="N540" i="16"/>
  <c r="AH540" i="16"/>
  <c r="AV540" i="16"/>
  <c r="BJ540" i="16"/>
  <c r="BX540" i="16"/>
  <c r="CL540" i="16"/>
  <c r="CZ540" i="16"/>
  <c r="AL256" i="16"/>
  <c r="BI256" i="16"/>
  <c r="CF256" i="16"/>
  <c r="BX267" i="16"/>
  <c r="CY259" i="16"/>
  <c r="AH267" i="16"/>
  <c r="N268" i="16"/>
  <c r="AS268" i="16"/>
  <c r="BU285" i="16"/>
  <c r="BU289" i="16" s="1"/>
  <c r="BU268" i="16"/>
  <c r="CI285" i="16"/>
  <c r="CI289" i="16" s="1"/>
  <c r="CI268" i="16"/>
  <c r="L274" i="16"/>
  <c r="L268" i="16" s="1"/>
  <c r="BC275" i="16"/>
  <c r="BU279" i="16"/>
  <c r="AL276" i="16"/>
  <c r="CH282" i="16"/>
  <c r="BV289" i="16"/>
  <c r="AX295" i="16"/>
  <c r="BM298" i="16"/>
  <c r="AF260" i="16"/>
  <c r="AT259" i="16"/>
  <c r="S275" i="16"/>
  <c r="AM275" i="16"/>
  <c r="V282" i="16"/>
  <c r="V274" i="16"/>
  <c r="AH521" i="16" s="1"/>
  <c r="AJ282" i="16"/>
  <c r="AJ283" i="16"/>
  <c r="AX282" i="16"/>
  <c r="AX283" i="16"/>
  <c r="BL282" i="16"/>
  <c r="BL274" i="16"/>
  <c r="BZ282" i="16"/>
  <c r="BZ283" i="16"/>
  <c r="CN282" i="16"/>
  <c r="CN283" i="16"/>
  <c r="CZ283" i="16"/>
  <c r="DB282" i="16"/>
  <c r="DB283" i="16"/>
  <c r="DB274" i="16"/>
  <c r="K298" i="16"/>
  <c r="K299" i="16"/>
  <c r="Y298" i="16"/>
  <c r="Y299" i="16"/>
  <c r="AM298" i="16"/>
  <c r="AM299" i="16"/>
  <c r="BA298" i="16"/>
  <c r="BA299" i="16"/>
  <c r="BO298" i="16"/>
  <c r="CC298" i="16"/>
  <c r="CC299" i="16"/>
  <c r="CQ298" i="16"/>
  <c r="BE521" i="16"/>
  <c r="BS521" i="16"/>
  <c r="AR256" i="16"/>
  <c r="BF256" i="16"/>
  <c r="BF298" i="16"/>
  <c r="N260" i="16"/>
  <c r="CP269" i="16"/>
  <c r="R285" i="16"/>
  <c r="R289" i="16" s="1"/>
  <c r="R290" i="16" s="1"/>
  <c r="R268" i="16"/>
  <c r="AT289" i="16"/>
  <c r="BH269" i="16"/>
  <c r="BH270" i="16"/>
  <c r="BH267" i="16"/>
  <c r="CJ285" i="16"/>
  <c r="CJ289" i="16" s="1"/>
  <c r="CV536" i="16" s="1"/>
  <c r="CJ268" i="16"/>
  <c r="CV515" i="16" s="1"/>
  <c r="AX274" i="16"/>
  <c r="AX268" i="16" s="1"/>
  <c r="CK279" i="16"/>
  <c r="CK276" i="16"/>
  <c r="CK275" i="16"/>
  <c r="AG276" i="16"/>
  <c r="AM279" i="16"/>
  <c r="AF282" i="16"/>
  <c r="BJ283" i="16"/>
  <c r="X289" i="16"/>
  <c r="BF289" i="16"/>
  <c r="CL289" i="16"/>
  <c r="AQ260" i="16"/>
  <c r="BE259" i="16"/>
  <c r="CG259" i="16"/>
  <c r="S268" i="16"/>
  <c r="S269" i="16" s="1"/>
  <c r="S285" i="16"/>
  <c r="S289" i="16" s="1"/>
  <c r="S290" i="16" s="1"/>
  <c r="AU289" i="16"/>
  <c r="BW285" i="16"/>
  <c r="BW289" i="16" s="1"/>
  <c r="BW268" i="16"/>
  <c r="CY289" i="16"/>
  <c r="CH268" i="16"/>
  <c r="AG275" i="16"/>
  <c r="AG282" i="16"/>
  <c r="AH283" i="16"/>
  <c r="BL283" i="16"/>
  <c r="BH285" i="16"/>
  <c r="BH289" i="16" s="1"/>
  <c r="BO299" i="16"/>
  <c r="DA256" i="16"/>
  <c r="K259" i="16"/>
  <c r="Y259" i="16"/>
  <c r="AM259" i="16"/>
  <c r="BA259" i="16"/>
  <c r="BO259" i="16"/>
  <c r="CC259" i="16"/>
  <c r="CC267" i="16"/>
  <c r="CQ259" i="16"/>
  <c r="K267" i="16"/>
  <c r="G268" i="16"/>
  <c r="G269" i="16" s="1"/>
  <c r="AN285" i="16"/>
  <c r="AN289" i="16" s="1"/>
  <c r="AZ536" i="16" s="1"/>
  <c r="AN268" i="16"/>
  <c r="AN267" i="16" s="1"/>
  <c r="BV279" i="16"/>
  <c r="BV276" i="16"/>
  <c r="I299" i="16"/>
  <c r="I294" i="16"/>
  <c r="W299" i="16"/>
  <c r="W294" i="16"/>
  <c r="AK299" i="16"/>
  <c r="AK294" i="16"/>
  <c r="AY299" i="16"/>
  <c r="AY294" i="16"/>
  <c r="BM299" i="16"/>
  <c r="BM294" i="16"/>
  <c r="BM295" i="16"/>
  <c r="CA299" i="16"/>
  <c r="CA294" i="16"/>
  <c r="CA295" i="16"/>
  <c r="CO299" i="16"/>
  <c r="CO294" i="16"/>
  <c r="DC299" i="16"/>
  <c r="DC294" i="16"/>
  <c r="DC295" i="16"/>
  <c r="AW298" i="16"/>
  <c r="AT299" i="16"/>
  <c r="AH260" i="16"/>
  <c r="AV260" i="16"/>
  <c r="BJ260" i="16"/>
  <c r="BX260" i="16"/>
  <c r="BX259" i="16"/>
  <c r="CL260" i="16"/>
  <c r="CZ260" i="16"/>
  <c r="BK289" i="16"/>
  <c r="CM289" i="16"/>
  <c r="DA285" i="16"/>
  <c r="DA289" i="16" s="1"/>
  <c r="DA268" i="16"/>
  <c r="R299" i="16"/>
  <c r="R294" i="16"/>
  <c r="AF295" i="16"/>
  <c r="AF294" i="16"/>
  <c r="BH295" i="16"/>
  <c r="BH299" i="16"/>
  <c r="BH294" i="16"/>
  <c r="BV295" i="16"/>
  <c r="BV299" i="16"/>
  <c r="BV294" i="16"/>
  <c r="CJ295" i="16"/>
  <c r="CJ299" i="16"/>
  <c r="CX295" i="16"/>
  <c r="CX294" i="16"/>
  <c r="CX299" i="16"/>
  <c r="AF299" i="16"/>
  <c r="AE256" i="16"/>
  <c r="AS256" i="16"/>
  <c r="BG256" i="16"/>
  <c r="BU256" i="16"/>
  <c r="CI256" i="16"/>
  <c r="CW256" i="16"/>
  <c r="U267" i="16"/>
  <c r="BK260" i="16"/>
  <c r="BH260" i="16"/>
  <c r="AM267" i="16"/>
  <c r="CZ267" i="16"/>
  <c r="BL289" i="16"/>
  <c r="DB289" i="16"/>
  <c r="AI275" i="16"/>
  <c r="AI279" i="16"/>
  <c r="AW282" i="16"/>
  <c r="T289" i="16"/>
  <c r="BF295" i="16"/>
  <c r="Q298" i="16"/>
  <c r="AE298" i="16"/>
  <c r="AS298" i="16"/>
  <c r="AS299" i="16"/>
  <c r="BG299" i="16"/>
  <c r="BG298" i="16"/>
  <c r="BU298" i="16"/>
  <c r="CW298" i="16"/>
  <c r="DA298" i="16"/>
  <c r="CW299" i="16"/>
  <c r="J289" i="16"/>
  <c r="J290" i="16" s="1"/>
  <c r="AL289" i="16"/>
  <c r="CB289" i="16"/>
  <c r="AW275" i="16"/>
  <c r="AZ274" i="16"/>
  <c r="AZ282" i="16"/>
  <c r="BN283" i="16"/>
  <c r="BN282" i="16"/>
  <c r="BN274" i="16"/>
  <c r="CB282" i="16"/>
  <c r="CB274" i="16"/>
  <c r="AL299" i="16"/>
  <c r="AV298" i="16"/>
  <c r="G275" i="16"/>
  <c r="AA283" i="16"/>
  <c r="AO283" i="16"/>
  <c r="CE282" i="16"/>
  <c r="BO283" i="16"/>
  <c r="AD289" i="16"/>
  <c r="AA295" i="16"/>
  <c r="AA294" i="16"/>
  <c r="AO299" i="16"/>
  <c r="AO295" i="16"/>
  <c r="CE294" i="16"/>
  <c r="CE299" i="16"/>
  <c r="CS295" i="16"/>
  <c r="CS294" i="16"/>
  <c r="CS299" i="16"/>
  <c r="CE295" i="16"/>
  <c r="I298" i="16"/>
  <c r="W298" i="16"/>
  <c r="AY298" i="16"/>
  <c r="CO298" i="16"/>
  <c r="DC298" i="16"/>
  <c r="J268" i="16"/>
  <c r="J269" i="16" s="1"/>
  <c r="BH276" i="16"/>
  <c r="BH279" i="16"/>
  <c r="DA279" i="16"/>
  <c r="DA275" i="16"/>
  <c r="CL275" i="16"/>
  <c r="BW276" i="16"/>
  <c r="AV282" i="16"/>
  <c r="BX283" i="16"/>
  <c r="CL283" i="16"/>
  <c r="AV294" i="16"/>
  <c r="BJ294" i="16"/>
  <c r="BJ295" i="16"/>
  <c r="BJ299" i="16"/>
  <c r="BX295" i="16"/>
  <c r="CH298" i="16"/>
  <c r="CV298" i="16"/>
  <c r="BX299" i="16"/>
  <c r="S282" i="16"/>
  <c r="BT289" i="16"/>
  <c r="P299" i="16"/>
  <c r="P294" i="16"/>
  <c r="AD299" i="16"/>
  <c r="AD294" i="16"/>
  <c r="AD295" i="16"/>
  <c r="AR299" i="16"/>
  <c r="AR294" i="16"/>
  <c r="AR295" i="16"/>
  <c r="BF299" i="16"/>
  <c r="BF294" i="16"/>
  <c r="BT299" i="16"/>
  <c r="BT294" i="16"/>
  <c r="CH299" i="16"/>
  <c r="CH294" i="16"/>
  <c r="CV299" i="16"/>
  <c r="CV294" i="16"/>
  <c r="CH295" i="16"/>
  <c r="BK298" i="16"/>
  <c r="AH282" i="16"/>
  <c r="BH283" i="16"/>
  <c r="Q299" i="16"/>
  <c r="AE295" i="16"/>
  <c r="AE294" i="16"/>
  <c r="AS295" i="16"/>
  <c r="AS294" i="16"/>
  <c r="CI295" i="16"/>
  <c r="CI299" i="16"/>
  <c r="CI294" i="16"/>
  <c r="P289" i="16"/>
  <c r="P290" i="16" s="1"/>
  <c r="J294" i="16"/>
  <c r="AZ299" i="16"/>
  <c r="CB295" i="16"/>
  <c r="CB294" i="16"/>
  <c r="CH289" i="16"/>
  <c r="AQ295" i="16"/>
  <c r="AQ294" i="16"/>
  <c r="O294" i="16"/>
  <c r="AL294" i="16"/>
  <c r="BG294" i="16"/>
  <c r="AL295" i="16"/>
  <c r="CZ298" i="16"/>
  <c r="L298" i="16"/>
  <c r="Z298" i="16"/>
  <c r="AN298" i="16"/>
  <c r="BB298" i="16"/>
  <c r="BP298" i="16"/>
  <c r="CD298" i="16"/>
  <c r="CR298" i="16"/>
  <c r="Y295" i="16"/>
  <c r="AM295" i="16"/>
  <c r="BA295" i="16"/>
  <c r="BO295" i="16"/>
  <c r="CC295" i="16"/>
  <c r="CQ295" i="16"/>
  <c r="AZ466" i="16"/>
  <c r="AN220" i="16"/>
  <c r="R241" i="16"/>
  <c r="AD487" i="16"/>
  <c r="BH242" i="16"/>
  <c r="BH241" i="16"/>
  <c r="BT487" i="16"/>
  <c r="Y241" i="16"/>
  <c r="AK487" i="16"/>
  <c r="AQ220" i="16"/>
  <c r="AQ221" i="16"/>
  <c r="BC466" i="16"/>
  <c r="AQ218" i="16"/>
  <c r="CD242" i="16"/>
  <c r="CP487" i="16"/>
  <c r="CD241" i="16"/>
  <c r="CL221" i="16"/>
  <c r="AU242" i="16"/>
  <c r="BG487" i="16"/>
  <c r="AU241" i="16"/>
  <c r="AB241" i="16"/>
  <c r="AN487" i="16"/>
  <c r="AB242" i="16"/>
  <c r="K220" i="16"/>
  <c r="W466" i="16"/>
  <c r="W221" i="16"/>
  <c r="K218" i="16"/>
  <c r="AM220" i="16"/>
  <c r="AY466" i="16"/>
  <c r="AM221" i="16"/>
  <c r="AM218" i="16"/>
  <c r="AY221" i="16"/>
  <c r="BO218" i="16"/>
  <c r="BO220" i="16"/>
  <c r="BO221" i="16"/>
  <c r="CA466" i="16"/>
  <c r="BO241" i="16"/>
  <c r="BO242" i="16"/>
  <c r="CA487" i="16"/>
  <c r="AQ241" i="16"/>
  <c r="BC487" i="16"/>
  <c r="BV240" i="16"/>
  <c r="CS241" i="16"/>
  <c r="CS242" i="16"/>
  <c r="BK456" i="16"/>
  <c r="BP245" i="16"/>
  <c r="CB452" i="16"/>
  <c r="CR207" i="16"/>
  <c r="AD210" i="16"/>
  <c r="AD211" i="16"/>
  <c r="AR211" i="16"/>
  <c r="AR218" i="16"/>
  <c r="BD456" i="16"/>
  <c r="BF210" i="16"/>
  <c r="BF218" i="16"/>
  <c r="BF211" i="16"/>
  <c r="CV218" i="16"/>
  <c r="CV211" i="16"/>
  <c r="CV210" i="16"/>
  <c r="BT210" i="16"/>
  <c r="AK211" i="16"/>
  <c r="CM211" i="16"/>
  <c r="CT219" i="16"/>
  <c r="BH221" i="16"/>
  <c r="H226" i="16"/>
  <c r="CE240" i="16"/>
  <c r="BK452" i="16"/>
  <c r="CC456" i="16"/>
  <c r="U50" i="1"/>
  <c r="M233" i="16"/>
  <c r="M245" i="16"/>
  <c r="AA245" i="16"/>
  <c r="AA233" i="16"/>
  <c r="AM452" i="16"/>
  <c r="AO245" i="16"/>
  <c r="AO207" i="16"/>
  <c r="AO233" i="16"/>
  <c r="BA452" i="16"/>
  <c r="BC245" i="16"/>
  <c r="BC233" i="16"/>
  <c r="BQ226" i="16"/>
  <c r="BQ245" i="16"/>
  <c r="BQ207" i="16"/>
  <c r="CE233" i="16"/>
  <c r="CE226" i="16"/>
  <c r="CE245" i="16"/>
  <c r="CE207" i="16"/>
  <c r="CQ452" i="16"/>
  <c r="T207" i="16"/>
  <c r="AW207" i="16"/>
  <c r="CV207" i="16"/>
  <c r="AV210" i="16"/>
  <c r="AL211" i="16"/>
  <c r="CO211" i="16"/>
  <c r="L218" i="16"/>
  <c r="BR219" i="16"/>
  <c r="CU220" i="16"/>
  <c r="CU221" i="16"/>
  <c r="I226" i="16"/>
  <c r="CV226" i="16"/>
  <c r="BV227" i="16"/>
  <c r="BV226" i="16"/>
  <c r="K240" i="16"/>
  <c r="CH240" i="16"/>
  <c r="V241" i="16"/>
  <c r="T246" i="16"/>
  <c r="T245" i="16"/>
  <c r="AF491" i="16"/>
  <c r="AH246" i="16"/>
  <c r="AH250" i="16"/>
  <c r="AT491" i="16"/>
  <c r="AH245" i="16"/>
  <c r="AV246" i="16"/>
  <c r="AV250" i="16"/>
  <c r="BH491" i="16"/>
  <c r="AV245" i="16"/>
  <c r="BJ246" i="16"/>
  <c r="BJ245" i="16"/>
  <c r="BJ250" i="16"/>
  <c r="BV491" i="16"/>
  <c r="BX246" i="16"/>
  <c r="BX245" i="16"/>
  <c r="CJ491" i="16"/>
  <c r="BX250" i="16"/>
  <c r="CL246" i="16"/>
  <c r="CX491" i="16"/>
  <c r="CL250" i="16"/>
  <c r="CL245" i="16"/>
  <c r="CZ246" i="16"/>
  <c r="CZ250" i="16"/>
  <c r="CZ245" i="16"/>
  <c r="AB456" i="16"/>
  <c r="BN456" i="16"/>
  <c r="CH472" i="16"/>
  <c r="AB245" i="16"/>
  <c r="AB207" i="16"/>
  <c r="AB233" i="16"/>
  <c r="AP245" i="16"/>
  <c r="AP207" i="16"/>
  <c r="BB452" i="16"/>
  <c r="BD245" i="16"/>
  <c r="BD207" i="16"/>
  <c r="BD233" i="16"/>
  <c r="BP452" i="16"/>
  <c r="BR207" i="16"/>
  <c r="BR245" i="16"/>
  <c r="CF207" i="16"/>
  <c r="CF233" i="16"/>
  <c r="CT245" i="16"/>
  <c r="CT207" i="16"/>
  <c r="W207" i="16"/>
  <c r="AT211" i="16"/>
  <c r="AW210" i="16"/>
  <c r="CZ210" i="16"/>
  <c r="AO211" i="16"/>
  <c r="P218" i="16"/>
  <c r="AU218" i="16"/>
  <c r="AP219" i="16"/>
  <c r="CY220" i="16"/>
  <c r="CY221" i="16"/>
  <c r="Y221" i="16"/>
  <c r="T240" i="16"/>
  <c r="AH240" i="16"/>
  <c r="AV240" i="16"/>
  <c r="BJ219" i="16"/>
  <c r="BJ218" i="16" s="1"/>
  <c r="BJ236" i="16"/>
  <c r="BJ240" i="16" s="1"/>
  <c r="BX236" i="16"/>
  <c r="BX240" i="16" s="1"/>
  <c r="BX219" i="16"/>
  <c r="BX218" i="16" s="1"/>
  <c r="CL240" i="16"/>
  <c r="CZ240" i="16"/>
  <c r="AI230" i="16"/>
  <c r="AI227" i="16"/>
  <c r="AI226" i="16"/>
  <c r="BX227" i="16"/>
  <c r="BX230" i="16"/>
  <c r="CM227" i="16"/>
  <c r="CM226" i="16"/>
  <c r="M226" i="16"/>
  <c r="CW226" i="16"/>
  <c r="BV230" i="16"/>
  <c r="L245" i="16"/>
  <c r="X452" i="16"/>
  <c r="Z207" i="16"/>
  <c r="AL452" i="16"/>
  <c r="Z245" i="16"/>
  <c r="CD245" i="16"/>
  <c r="CD207" i="16"/>
  <c r="BK211" i="16"/>
  <c r="BQ220" i="16"/>
  <c r="CC466" i="16"/>
  <c r="BN452" i="16"/>
  <c r="DA452" i="16"/>
  <c r="BO487" i="16"/>
  <c r="AZ207" i="16"/>
  <c r="BY207" i="16"/>
  <c r="S210" i="16"/>
  <c r="AG210" i="16"/>
  <c r="BW210" i="16"/>
  <c r="BW211" i="16"/>
  <c r="CY210" i="16"/>
  <c r="CY211" i="16"/>
  <c r="Z210" i="16"/>
  <c r="AY210" i="16"/>
  <c r="AP211" i="16"/>
  <c r="AY218" i="16"/>
  <c r="L220" i="16"/>
  <c r="X466" i="16"/>
  <c r="BT220" i="16"/>
  <c r="BT221" i="16"/>
  <c r="CZ220" i="16"/>
  <c r="G236" i="16"/>
  <c r="G240" i="16" s="1"/>
  <c r="G219" i="16"/>
  <c r="U236" i="16"/>
  <c r="U240" i="16" s="1"/>
  <c r="AI236" i="16"/>
  <c r="AI240" i="16" s="1"/>
  <c r="AI219" i="16"/>
  <c r="AW236" i="16"/>
  <c r="AW240" i="16" s="1"/>
  <c r="AW219" i="16"/>
  <c r="BK236" i="16"/>
  <c r="BK240" i="16" s="1"/>
  <c r="BK219" i="16"/>
  <c r="BK218" i="16" s="1"/>
  <c r="BY236" i="16"/>
  <c r="BY240" i="16" s="1"/>
  <c r="BY219" i="16"/>
  <c r="CM236" i="16"/>
  <c r="CM240" i="16" s="1"/>
  <c r="CM219" i="16"/>
  <c r="DA236" i="16"/>
  <c r="DA240" i="16" s="1"/>
  <c r="DA219" i="16"/>
  <c r="AF221" i="16"/>
  <c r="AF220" i="16"/>
  <c r="AT219" i="16"/>
  <c r="P230" i="16"/>
  <c r="P226" i="16"/>
  <c r="BK227" i="16"/>
  <c r="BB233" i="16"/>
  <c r="M240" i="16"/>
  <c r="Y242" i="16" s="1"/>
  <c r="CP240" i="16"/>
  <c r="H245" i="16"/>
  <c r="H250" i="16"/>
  <c r="V250" i="16"/>
  <c r="V245" i="16"/>
  <c r="AJ250" i="16"/>
  <c r="AJ246" i="16"/>
  <c r="AX246" i="16"/>
  <c r="AX250" i="16"/>
  <c r="BL246" i="16"/>
  <c r="BL245" i="16"/>
  <c r="BL250" i="16"/>
  <c r="BZ245" i="16"/>
  <c r="BZ250" i="16"/>
  <c r="BZ246" i="16"/>
  <c r="CN246" i="16"/>
  <c r="CN250" i="16"/>
  <c r="CN245" i="16"/>
  <c r="CZ491" i="16"/>
  <c r="DB250" i="16"/>
  <c r="DB245" i="16"/>
  <c r="CS245" i="16"/>
  <c r="CV249" i="16"/>
  <c r="P249" i="16"/>
  <c r="P245" i="16"/>
  <c r="AD249" i="16"/>
  <c r="AD207" i="16"/>
  <c r="AD245" i="16"/>
  <c r="AR207" i="16"/>
  <c r="AR249" i="16"/>
  <c r="BF249" i="16"/>
  <c r="BF245" i="16"/>
  <c r="BR452" i="16"/>
  <c r="BT249" i="16"/>
  <c r="BT226" i="16"/>
  <c r="BT207" i="16"/>
  <c r="CF452" i="16"/>
  <c r="CH245" i="16"/>
  <c r="CH249" i="16"/>
  <c r="T218" i="16"/>
  <c r="U54" i="1"/>
  <c r="AH218" i="16"/>
  <c r="BJ211" i="16"/>
  <c r="BJ210" i="16"/>
  <c r="BX210" i="16"/>
  <c r="CJ211" i="16"/>
  <c r="CL210" i="16"/>
  <c r="CL211" i="16"/>
  <c r="CX211" i="16"/>
  <c r="AR221" i="16"/>
  <c r="AR220" i="16"/>
  <c r="BV221" i="16"/>
  <c r="BV220" i="16"/>
  <c r="CN241" i="16"/>
  <c r="AG219" i="16"/>
  <c r="BZ230" i="16"/>
  <c r="CL472" i="16"/>
  <c r="CL227" i="16"/>
  <c r="DA226" i="16"/>
  <c r="DA230" i="16"/>
  <c r="BF241" i="16"/>
  <c r="Q249" i="16"/>
  <c r="Q233" i="16"/>
  <c r="AE249" i="16"/>
  <c r="AE207" i="16"/>
  <c r="AE233" i="16"/>
  <c r="AQ452" i="16"/>
  <c r="BG249" i="16"/>
  <c r="BG233" i="16"/>
  <c r="BG207" i="16"/>
  <c r="BU249" i="16"/>
  <c r="BU210" i="16"/>
  <c r="CG452" i="16"/>
  <c r="BU226" i="16"/>
  <c r="AV211" i="16"/>
  <c r="CH218" i="16"/>
  <c r="AV220" i="16"/>
  <c r="CD220" i="16"/>
  <c r="AZ227" i="16"/>
  <c r="AN227" i="16"/>
  <c r="AN230" i="16"/>
  <c r="AN226" i="16"/>
  <c r="AZ472" i="16"/>
  <c r="BH230" i="16"/>
  <c r="BH226" i="16"/>
  <c r="CA230" i="16"/>
  <c r="CA227" i="16"/>
  <c r="CA219" i="16"/>
  <c r="CA226" i="16"/>
  <c r="N227" i="16"/>
  <c r="V225" i="16"/>
  <c r="AH479" i="16"/>
  <c r="AH234" i="16"/>
  <c r="AV479" i="16"/>
  <c r="AJ225" i="16"/>
  <c r="AJ234" i="16"/>
  <c r="AX234" i="16"/>
  <c r="BJ479" i="16"/>
  <c r="AX225" i="16"/>
  <c r="BJ234" i="16"/>
  <c r="AX233" i="16"/>
  <c r="BL233" i="16"/>
  <c r="BX479" i="16"/>
  <c r="BL234" i="16"/>
  <c r="BZ234" i="16"/>
  <c r="CL479" i="16"/>
  <c r="CL234" i="16"/>
  <c r="BZ233" i="16"/>
  <c r="CN233" i="16"/>
  <c r="CN234" i="16"/>
  <c r="CZ479" i="16"/>
  <c r="CZ234" i="16"/>
  <c r="CN225" i="16"/>
  <c r="DB234" i="16"/>
  <c r="DB233" i="16"/>
  <c r="DB225" i="16"/>
  <c r="CM452" i="16"/>
  <c r="AF456" i="16"/>
  <c r="DA456" i="16"/>
  <c r="CP466" i="16"/>
  <c r="BC207" i="16"/>
  <c r="CC207" i="16"/>
  <c r="V210" i="16"/>
  <c r="AH456" i="16"/>
  <c r="AX210" i="16"/>
  <c r="AX211" i="16"/>
  <c r="BL210" i="16"/>
  <c r="BL211" i="16"/>
  <c r="CN210" i="16"/>
  <c r="CN211" i="16"/>
  <c r="AE210" i="16"/>
  <c r="BG210" i="16"/>
  <c r="T211" i="16"/>
  <c r="BV211" i="16"/>
  <c r="AY220" i="16"/>
  <c r="CE220" i="16"/>
  <c r="CQ466" i="16"/>
  <c r="CE221" i="16"/>
  <c r="X226" i="16"/>
  <c r="X227" i="16"/>
  <c r="BJ230" i="16"/>
  <c r="BJ226" i="16"/>
  <c r="BJ227" i="16"/>
  <c r="CR227" i="16"/>
  <c r="CR230" i="16"/>
  <c r="CR226" i="16"/>
  <c r="BQ233" i="16"/>
  <c r="CU240" i="16"/>
  <c r="BD466" i="16"/>
  <c r="BF207" i="16"/>
  <c r="CH207" i="16"/>
  <c r="I210" i="16"/>
  <c r="Q211" i="16"/>
  <c r="BM218" i="16"/>
  <c r="BM211" i="16"/>
  <c r="CA218" i="16"/>
  <c r="CA211" i="16"/>
  <c r="DC211" i="16"/>
  <c r="CH210" i="16"/>
  <c r="W211" i="16"/>
  <c r="BX211" i="16"/>
  <c r="CZ211" i="16"/>
  <c r="CL218" i="16"/>
  <c r="T220" i="16"/>
  <c r="AF466" i="16"/>
  <c r="CG220" i="16"/>
  <c r="CS466" i="16"/>
  <c r="BC227" i="16"/>
  <c r="AQ230" i="16"/>
  <c r="AQ226" i="16"/>
  <c r="BK230" i="16"/>
  <c r="BW472" i="16"/>
  <c r="CC227" i="16"/>
  <c r="CO472" i="16"/>
  <c r="Z241" i="16"/>
  <c r="AL487" i="16"/>
  <c r="CV240" i="16"/>
  <c r="BD452" i="16"/>
  <c r="CJ456" i="16"/>
  <c r="AH233" i="16"/>
  <c r="AH249" i="16"/>
  <c r="AH207" i="16"/>
  <c r="AV233" i="16"/>
  <c r="AV207" i="16"/>
  <c r="BX249" i="16"/>
  <c r="CJ452" i="16"/>
  <c r="CL233" i="16"/>
  <c r="CL249" i="16"/>
  <c r="CL207" i="16"/>
  <c r="CZ207" i="16"/>
  <c r="CZ249" i="16"/>
  <c r="BH207" i="16"/>
  <c r="CJ207" i="16"/>
  <c r="X210" i="16"/>
  <c r="X211" i="16"/>
  <c r="AZ218" i="16"/>
  <c r="AZ210" i="16"/>
  <c r="BL456" i="16"/>
  <c r="AH210" i="16"/>
  <c r="AZ211" i="16"/>
  <c r="BZ211" i="16"/>
  <c r="DB211" i="16"/>
  <c r="AD218" i="16"/>
  <c r="CO218" i="16"/>
  <c r="BD219" i="16"/>
  <c r="CH220" i="16"/>
  <c r="CH221" i="16"/>
  <c r="Z230" i="16"/>
  <c r="Z227" i="16"/>
  <c r="Z226" i="16"/>
  <c r="Z219" i="16"/>
  <c r="AR230" i="16"/>
  <c r="AR227" i="16"/>
  <c r="AR226" i="16"/>
  <c r="BL225" i="16"/>
  <c r="CD227" i="16"/>
  <c r="CP227" i="16"/>
  <c r="CD230" i="16"/>
  <c r="CD226" i="16"/>
  <c r="CP472" i="16"/>
  <c r="AE226" i="16"/>
  <c r="BZ226" i="16"/>
  <c r="AD240" i="16"/>
  <c r="BP240" i="16"/>
  <c r="BR241" i="16"/>
  <c r="BC242" i="16"/>
  <c r="BE452" i="16"/>
  <c r="CP452" i="16"/>
  <c r="N456" i="16"/>
  <c r="BV456" i="16"/>
  <c r="CL456" i="16"/>
  <c r="AU207" i="16"/>
  <c r="AI249" i="16"/>
  <c r="AW249" i="16"/>
  <c r="BI207" i="16"/>
  <c r="CK207" i="16"/>
  <c r="BY249" i="16"/>
  <c r="BY233" i="16"/>
  <c r="CM249" i="16"/>
  <c r="CY207" i="16"/>
  <c r="CM210" i="16"/>
  <c r="CM245" i="16"/>
  <c r="CY452" i="16"/>
  <c r="DA249" i="16"/>
  <c r="DA207" i="16"/>
  <c r="BJ207" i="16"/>
  <c r="CM207" i="16"/>
  <c r="J210" i="16"/>
  <c r="AI210" i="16"/>
  <c r="BM210" i="16"/>
  <c r="CK210" i="16"/>
  <c r="AB211" i="16"/>
  <c r="CB211" i="16"/>
  <c r="BI218" i="16"/>
  <c r="W220" i="16"/>
  <c r="AI466" i="16"/>
  <c r="BF220" i="16"/>
  <c r="BF221" i="16"/>
  <c r="BR466" i="16"/>
  <c r="CI220" i="16"/>
  <c r="CI218" i="16"/>
  <c r="Q220" i="16"/>
  <c r="CO220" i="16"/>
  <c r="M220" i="16"/>
  <c r="Y466" i="16"/>
  <c r="AA240" i="16"/>
  <c r="AO240" i="16"/>
  <c r="CS220" i="16"/>
  <c r="CS221" i="16"/>
  <c r="AS230" i="16"/>
  <c r="AS226" i="16"/>
  <c r="CU227" i="16"/>
  <c r="CU226" i="16"/>
  <c r="AH226" i="16"/>
  <c r="CC226" i="16"/>
  <c r="BZ227" i="16"/>
  <c r="L226" i="16"/>
  <c r="Z233" i="16"/>
  <c r="Z234" i="16"/>
  <c r="AN234" i="16"/>
  <c r="AN233" i="16"/>
  <c r="BB234" i="16"/>
  <c r="BB225" i="16"/>
  <c r="BP233" i="16"/>
  <c r="BP225" i="16"/>
  <c r="CD233" i="16"/>
  <c r="CD234" i="16"/>
  <c r="CR233" i="16"/>
  <c r="L233" i="16"/>
  <c r="CA233" i="16"/>
  <c r="AE240" i="16"/>
  <c r="BQ240" i="16"/>
  <c r="BR242" i="16"/>
  <c r="AX245" i="16"/>
  <c r="T250" i="16"/>
  <c r="AK210" i="16"/>
  <c r="AW456" i="16"/>
  <c r="BH466" i="16"/>
  <c r="BH452" i="16"/>
  <c r="X456" i="16"/>
  <c r="BH456" i="16"/>
  <c r="BZ456" i="16"/>
  <c r="CF466" i="16"/>
  <c r="AB472" i="16"/>
  <c r="AZ479" i="16"/>
  <c r="X233" i="16"/>
  <c r="X207" i="16"/>
  <c r="AZ233" i="16"/>
  <c r="BL207" i="16"/>
  <c r="AN207" i="16"/>
  <c r="BP207" i="16"/>
  <c r="CP207" i="16"/>
  <c r="BD210" i="16"/>
  <c r="AR210" i="16"/>
  <c r="BP210" i="16"/>
  <c r="AI211" i="16"/>
  <c r="CH211" i="16"/>
  <c r="AL218" i="16"/>
  <c r="BT218" i="16"/>
  <c r="AH219" i="16"/>
  <c r="P236" i="16"/>
  <c r="P240" i="16" s="1"/>
  <c r="P219" i="16"/>
  <c r="AD220" i="16"/>
  <c r="AD221" i="16"/>
  <c r="AR240" i="16"/>
  <c r="BT240" i="16"/>
  <c r="BC220" i="16"/>
  <c r="BO466" i="16"/>
  <c r="BC221" i="16"/>
  <c r="J226" i="16"/>
  <c r="J230" i="16"/>
  <c r="T227" i="16"/>
  <c r="T472" i="16"/>
  <c r="AD230" i="16"/>
  <c r="AD226" i="16"/>
  <c r="AY230" i="16"/>
  <c r="AY226" i="16"/>
  <c r="AY227" i="16"/>
  <c r="BK472" i="16"/>
  <c r="BR227" i="16"/>
  <c r="BR226" i="16"/>
  <c r="CD472" i="16"/>
  <c r="CH230" i="16"/>
  <c r="CH226" i="16"/>
  <c r="CJ227" i="16"/>
  <c r="W233" i="16"/>
  <c r="CT233" i="16"/>
  <c r="AL240" i="16"/>
  <c r="CA240" i="16"/>
  <c r="Q456" i="16"/>
  <c r="CM456" i="16"/>
  <c r="Z211" i="16"/>
  <c r="AL456" i="16"/>
  <c r="AN211" i="16"/>
  <c r="AN218" i="16"/>
  <c r="AZ456" i="16"/>
  <c r="CD218" i="16"/>
  <c r="CD211" i="16"/>
  <c r="CP456" i="16"/>
  <c r="AN210" i="16"/>
  <c r="BB211" i="16"/>
  <c r="AF218" i="16"/>
  <c r="AA220" i="16"/>
  <c r="AM466" i="16"/>
  <c r="CJ220" i="16"/>
  <c r="CV466" i="16"/>
  <c r="N236" i="16"/>
  <c r="N240" i="16" s="1"/>
  <c r="N219" i="16"/>
  <c r="N218" i="16" s="1"/>
  <c r="AP241" i="16"/>
  <c r="BB487" i="16"/>
  <c r="BD240" i="16"/>
  <c r="CF236" i="16"/>
  <c r="CF240" i="16" s="1"/>
  <c r="CF219" i="16"/>
  <c r="CT241" i="16"/>
  <c r="Y220" i="16"/>
  <c r="Y218" i="16"/>
  <c r="CC219" i="16"/>
  <c r="CO221" i="16" s="1"/>
  <c r="CQ221" i="16"/>
  <c r="DC466" i="16"/>
  <c r="AB227" i="16"/>
  <c r="AB226" i="16"/>
  <c r="AT230" i="16"/>
  <c r="AT227" i="16"/>
  <c r="AT226" i="16"/>
  <c r="CR241" i="16"/>
  <c r="BB245" i="16"/>
  <c r="CT452" i="16"/>
  <c r="BY456" i="16"/>
  <c r="CN456" i="16"/>
  <c r="M218" i="16"/>
  <c r="M210" i="16"/>
  <c r="Y211" i="16"/>
  <c r="AA218" i="16"/>
  <c r="AM211" i="16"/>
  <c r="BA456" i="16"/>
  <c r="BC218" i="16"/>
  <c r="BC211" i="16"/>
  <c r="BO456" i="16"/>
  <c r="BQ218" i="16"/>
  <c r="BQ210" i="16"/>
  <c r="CE218" i="16"/>
  <c r="CE211" i="16"/>
  <c r="CS218" i="16"/>
  <c r="CS211" i="16"/>
  <c r="CP210" i="16"/>
  <c r="AH211" i="16"/>
  <c r="BD211" i="16"/>
  <c r="AB219" i="16"/>
  <c r="BY466" i="16"/>
  <c r="CL220" i="16"/>
  <c r="CQ220" i="16"/>
  <c r="CG230" i="16"/>
  <c r="CG227" i="16"/>
  <c r="CS472" i="16"/>
  <c r="CG226" i="16"/>
  <c r="V233" i="16"/>
  <c r="BG245" i="16"/>
  <c r="AP452" i="16"/>
  <c r="BI452" i="16"/>
  <c r="Y456" i="16"/>
  <c r="AP456" i="16"/>
  <c r="BJ456" i="16"/>
  <c r="CQ456" i="16"/>
  <c r="BK466" i="16"/>
  <c r="CH466" i="16"/>
  <c r="AU472" i="16"/>
  <c r="CY472" i="16"/>
  <c r="AL479" i="16"/>
  <c r="CZ487" i="16"/>
  <c r="U69" i="1"/>
  <c r="AM210" i="16"/>
  <c r="AM226" i="16"/>
  <c r="AM233" i="16"/>
  <c r="BO207" i="16"/>
  <c r="CC233" i="16"/>
  <c r="CC210" i="16"/>
  <c r="N207" i="16"/>
  <c r="AS207" i="16"/>
  <c r="BS207" i="16"/>
  <c r="CQ207" i="16"/>
  <c r="CU218" i="16"/>
  <c r="Q210" i="16"/>
  <c r="BR210" i="16"/>
  <c r="CT210" i="16"/>
  <c r="AJ211" i="16"/>
  <c r="CK211" i="16"/>
  <c r="CY218" i="16"/>
  <c r="Q240" i="16"/>
  <c r="AE219" i="16"/>
  <c r="AS236" i="16"/>
  <c r="AS240" i="16" s="1"/>
  <c r="AS219" i="16"/>
  <c r="BG236" i="16"/>
  <c r="BG240" i="16" s="1"/>
  <c r="BG219" i="16"/>
  <c r="BS221" i="16" s="1"/>
  <c r="BU236" i="16"/>
  <c r="BU240" i="16" s="1"/>
  <c r="BU219" i="16"/>
  <c r="CG221" i="16" s="1"/>
  <c r="CI240" i="16"/>
  <c r="CW236" i="16"/>
  <c r="CW240" i="16" s="1"/>
  <c r="CW219" i="16"/>
  <c r="K227" i="16"/>
  <c r="K226" i="16"/>
  <c r="BC226" i="16"/>
  <c r="CQ226" i="16"/>
  <c r="AQ227" i="16"/>
  <c r="CS227" i="16"/>
  <c r="AB230" i="16"/>
  <c r="AJ233" i="16"/>
  <c r="CZ233" i="16"/>
  <c r="AM240" i="16"/>
  <c r="CC240" i="16"/>
  <c r="BJ249" i="16"/>
  <c r="AU456" i="16"/>
  <c r="AI218" i="16"/>
  <c r="BI456" i="16"/>
  <c r="AW218" i="16"/>
  <c r="CK456" i="16"/>
  <c r="BY211" i="16"/>
  <c r="DA210" i="16"/>
  <c r="DA211" i="16"/>
  <c r="AP210" i="16"/>
  <c r="BS218" i="16"/>
  <c r="H236" i="16"/>
  <c r="H240" i="16" s="1"/>
  <c r="H219" i="16"/>
  <c r="AJ240" i="16"/>
  <c r="AX240" i="16"/>
  <c r="BL236" i="16"/>
  <c r="BL240" i="16" s="1"/>
  <c r="BL219" i="16"/>
  <c r="BZ236" i="16"/>
  <c r="BZ240" i="16" s="1"/>
  <c r="BZ219" i="16"/>
  <c r="DB236" i="16"/>
  <c r="DB240" i="16" s="1"/>
  <c r="DB219" i="16"/>
  <c r="Q226" i="16"/>
  <c r="Q227" i="16"/>
  <c r="Q230" i="16"/>
  <c r="CO230" i="16"/>
  <c r="CO226" i="16"/>
  <c r="CO227" i="16"/>
  <c r="BF227" i="16"/>
  <c r="I233" i="16"/>
  <c r="W230" i="16"/>
  <c r="W227" i="16"/>
  <c r="W226" i="16"/>
  <c r="AK225" i="16"/>
  <c r="AK233" i="16"/>
  <c r="AY234" i="16"/>
  <c r="AY233" i="16"/>
  <c r="BM230" i="16"/>
  <c r="BM226" i="16"/>
  <c r="DC234" i="16"/>
  <c r="DC225" i="16"/>
  <c r="CM234" i="16"/>
  <c r="BI240" i="16"/>
  <c r="N246" i="16"/>
  <c r="O245" i="16"/>
  <c r="AA452" i="16"/>
  <c r="AC249" i="16"/>
  <c r="AO452" i="16"/>
  <c r="AC207" i="16"/>
  <c r="BC452" i="16"/>
  <c r="AQ245" i="16"/>
  <c r="BE249" i="16"/>
  <c r="BQ452" i="16"/>
  <c r="BE207" i="16"/>
  <c r="BS249" i="16"/>
  <c r="CE452" i="16"/>
  <c r="BS245" i="16"/>
  <c r="CG249" i="16"/>
  <c r="CS452" i="16"/>
  <c r="CG245" i="16"/>
  <c r="CU249" i="16"/>
  <c r="CU210" i="16"/>
  <c r="AQ207" i="16"/>
  <c r="CU207" i="16"/>
  <c r="AB210" i="16"/>
  <c r="BR211" i="16"/>
  <c r="CF218" i="16"/>
  <c r="CF210" i="16"/>
  <c r="CT218" i="16"/>
  <c r="N210" i="16"/>
  <c r="BS210" i="16"/>
  <c r="O236" i="16"/>
  <c r="O240" i="16" s="1"/>
  <c r="O219" i="16"/>
  <c r="AC236" i="16"/>
  <c r="AC240" i="16" s="1"/>
  <c r="AC219" i="16"/>
  <c r="BE236" i="16"/>
  <c r="BE240" i="16" s="1"/>
  <c r="BE219" i="16"/>
  <c r="BS240" i="16"/>
  <c r="CG240" i="16"/>
  <c r="CR219" i="16"/>
  <c r="AC230" i="16"/>
  <c r="AC226" i="16"/>
  <c r="AV226" i="16"/>
  <c r="CV230" i="16"/>
  <c r="CV227" i="16"/>
  <c r="AO227" i="16"/>
  <c r="P233" i="16"/>
  <c r="AD233" i="16"/>
  <c r="AD234" i="16"/>
  <c r="L240" i="16"/>
  <c r="AN240" i="16"/>
  <c r="BE245" i="16"/>
  <c r="K249" i="16"/>
  <c r="Y249" i="16"/>
  <c r="AM249" i="16"/>
  <c r="BA249" i="16"/>
  <c r="BO249" i="16"/>
  <c r="CC249" i="16"/>
  <c r="CQ249" i="16"/>
  <c r="AF245" i="16"/>
  <c r="AF249" i="16"/>
  <c r="AF233" i="16"/>
  <c r="BV245" i="16"/>
  <c r="BV249" i="16"/>
  <c r="BV207" i="16"/>
  <c r="CX245" i="16"/>
  <c r="CX207" i="16"/>
  <c r="R210" i="16"/>
  <c r="AT240" i="16"/>
  <c r="AF226" i="16"/>
  <c r="BS227" i="16"/>
  <c r="BS226" i="16"/>
  <c r="AV227" i="16"/>
  <c r="CE227" i="16"/>
  <c r="AZ240" i="16"/>
  <c r="CG207" i="16"/>
  <c r="R218" i="16"/>
  <c r="AF211" i="16"/>
  <c r="BH210" i="16"/>
  <c r="BH211" i="16"/>
  <c r="BH218" i="16"/>
  <c r="CJ210" i="16"/>
  <c r="BE210" i="16"/>
  <c r="BY210" i="16"/>
  <c r="CJ218" i="16"/>
  <c r="I219" i="16"/>
  <c r="CF227" i="16"/>
  <c r="BX233" i="16"/>
  <c r="CO233" i="16"/>
  <c r="CJ240" i="16"/>
  <c r="G226" i="16"/>
  <c r="BG230" i="16"/>
  <c r="BG227" i="16"/>
  <c r="BY226" i="16"/>
  <c r="G233" i="16"/>
  <c r="U233" i="16"/>
  <c r="AI234" i="16"/>
  <c r="AI233" i="16"/>
  <c r="AW234" i="16"/>
  <c r="BY234" i="16"/>
  <c r="CM233" i="16"/>
  <c r="W240" i="16"/>
  <c r="AY240" i="16"/>
  <c r="G245" i="16"/>
  <c r="AI250" i="16"/>
  <c r="AI245" i="16"/>
  <c r="AW245" i="16"/>
  <c r="BK246" i="16"/>
  <c r="BK245" i="16"/>
  <c r="BY246" i="16"/>
  <c r="CM246" i="16"/>
  <c r="BY245" i="16"/>
  <c r="I250" i="16"/>
  <c r="I245" i="16"/>
  <c r="W250" i="16"/>
  <c r="W245" i="16"/>
  <c r="AK250" i="16"/>
  <c r="AK245" i="16"/>
  <c r="AK246" i="16"/>
  <c r="AY250" i="16"/>
  <c r="AY245" i="16"/>
  <c r="BM250" i="16"/>
  <c r="BM245" i="16"/>
  <c r="BM246" i="16"/>
  <c r="CA250" i="16"/>
  <c r="CA245" i="16"/>
  <c r="CO250" i="16"/>
  <c r="CO245" i="16"/>
  <c r="DC250" i="16"/>
  <c r="DC245" i="16"/>
  <c r="DC246" i="16"/>
  <c r="I249" i="16"/>
  <c r="W249" i="16"/>
  <c r="AK249" i="16"/>
  <c r="AY249" i="16"/>
  <c r="BM249" i="16"/>
  <c r="CA249" i="16"/>
  <c r="CO249" i="16"/>
  <c r="BY250" i="16"/>
  <c r="AC218" i="16"/>
  <c r="AO219" i="16"/>
  <c r="CK240" i="16"/>
  <c r="N226" i="16"/>
  <c r="N230" i="16"/>
  <c r="AW225" i="16"/>
  <c r="BO226" i="16"/>
  <c r="AL227" i="16"/>
  <c r="G230" i="16"/>
  <c r="AU234" i="16"/>
  <c r="AK240" i="16"/>
  <c r="CQ240" i="16"/>
  <c r="CI207" i="16"/>
  <c r="BO227" i="16"/>
  <c r="AS233" i="16"/>
  <c r="Q250" i="16"/>
  <c r="Q246" i="16"/>
  <c r="Q245" i="16"/>
  <c r="AS245" i="16"/>
  <c r="AS250" i="16"/>
  <c r="BG250" i="16"/>
  <c r="BG246" i="16"/>
  <c r="BU250" i="16"/>
  <c r="BU245" i="16"/>
  <c r="CI245" i="16"/>
  <c r="CW245" i="16"/>
  <c r="CW250" i="16"/>
  <c r="CW246" i="16"/>
  <c r="AE245" i="16"/>
  <c r="AE250" i="16"/>
  <c r="BK250" i="16"/>
  <c r="J236" i="16"/>
  <c r="J240" i="16" s="1"/>
  <c r="J219" i="16"/>
  <c r="X236" i="16"/>
  <c r="X240" i="16" s="1"/>
  <c r="X219" i="16"/>
  <c r="AL219" i="16"/>
  <c r="AZ219" i="16"/>
  <c r="BN236" i="16"/>
  <c r="BN240" i="16" s="1"/>
  <c r="BN219" i="16"/>
  <c r="BN218" i="16" s="1"/>
  <c r="CB219" i="16"/>
  <c r="CB218" i="16" s="1"/>
  <c r="CB236" i="16"/>
  <c r="CB240" i="16" s="1"/>
  <c r="CN242" i="16" s="1"/>
  <c r="CP219" i="16"/>
  <c r="CP218" i="16" s="1"/>
  <c r="U225" i="16"/>
  <c r="AL226" i="16"/>
  <c r="BD227" i="16"/>
  <c r="CJ226" i="16"/>
  <c r="CZ227" i="16"/>
  <c r="CZ226" i="16"/>
  <c r="Y226" i="16"/>
  <c r="CZ230" i="16"/>
  <c r="R226" i="16"/>
  <c r="R230" i="16"/>
  <c r="BF234" i="16"/>
  <c r="AT233" i="16"/>
  <c r="BH233" i="16"/>
  <c r="BH234" i="16"/>
  <c r="CJ233" i="16"/>
  <c r="CX234" i="16"/>
  <c r="CX225" i="16"/>
  <c r="BI234" i="16"/>
  <c r="CJ234" i="16"/>
  <c r="CY240" i="16"/>
  <c r="DA245" i="16"/>
  <c r="AE211" i="16"/>
  <c r="AS211" i="16"/>
  <c r="BG211" i="16"/>
  <c r="BU211" i="16"/>
  <c r="CI211" i="16"/>
  <c r="CW211" i="16"/>
  <c r="AS210" i="16"/>
  <c r="BA240" i="16"/>
  <c r="AM227" i="16"/>
  <c r="AM230" i="16"/>
  <c r="CL226" i="16"/>
  <c r="S233" i="16"/>
  <c r="S225" i="16"/>
  <c r="AE234" i="16"/>
  <c r="AG233" i="16"/>
  <c r="AG225" i="16"/>
  <c r="AU227" i="16"/>
  <c r="AU226" i="16"/>
  <c r="BG472" i="16"/>
  <c r="BI227" i="16"/>
  <c r="BU472" i="16"/>
  <c r="BW225" i="16"/>
  <c r="CI227" i="16" s="1"/>
  <c r="BW234" i="16"/>
  <c r="CK234" i="16"/>
  <c r="CK225" i="16"/>
  <c r="CK233" i="16"/>
  <c r="AG234" i="16"/>
  <c r="S245" i="16"/>
  <c r="S250" i="16"/>
  <c r="AG246" i="16"/>
  <c r="AG250" i="16"/>
  <c r="AU246" i="16"/>
  <c r="AU250" i="16"/>
  <c r="BI246" i="16"/>
  <c r="BI245" i="16"/>
  <c r="BW246" i="16"/>
  <c r="BW250" i="16"/>
  <c r="CK246" i="16"/>
  <c r="CK250" i="16"/>
  <c r="CK245" i="16"/>
  <c r="CY246" i="16"/>
  <c r="CY250" i="16"/>
  <c r="W246" i="16"/>
  <c r="AW246" i="16"/>
  <c r="DA246" i="16"/>
  <c r="G250" i="16"/>
  <c r="I240" i="16"/>
  <c r="BM240" i="16"/>
  <c r="CO240" i="16"/>
  <c r="DC240" i="16"/>
  <c r="AH227" i="16"/>
  <c r="CQ227" i="16"/>
  <c r="AH230" i="16"/>
  <c r="K234" i="16"/>
  <c r="Y234" i="16"/>
  <c r="Y233" i="16"/>
  <c r="BA234" i="16"/>
  <c r="BA233" i="16"/>
  <c r="BO234" i="16"/>
  <c r="BO233" i="16"/>
  <c r="BB240" i="16"/>
  <c r="BA225" i="16"/>
  <c r="CT226" i="16"/>
  <c r="CT227" i="16"/>
  <c r="CT230" i="16"/>
  <c r="N233" i="16"/>
  <c r="N234" i="16"/>
  <c r="AB234" i="16"/>
  <c r="AP233" i="16"/>
  <c r="AP225" i="16"/>
  <c r="BR233" i="16"/>
  <c r="CQ233" i="16"/>
  <c r="AG240" i="16"/>
  <c r="AT249" i="16"/>
  <c r="CX249" i="16"/>
  <c r="CX250" i="16"/>
  <c r="CJ249" i="16"/>
  <c r="AF240" i="16"/>
  <c r="CX240" i="16"/>
  <c r="BT227" i="16"/>
  <c r="Q234" i="16"/>
  <c r="BG234" i="16"/>
  <c r="BU233" i="16"/>
  <c r="CW234" i="16"/>
  <c r="CW233" i="16"/>
  <c r="AC234" i="16"/>
  <c r="L249" i="16"/>
  <c r="Z249" i="16"/>
  <c r="AN249" i="16"/>
  <c r="BB249" i="16"/>
  <c r="BB250" i="16"/>
  <c r="BP249" i="16"/>
  <c r="CD249" i="16"/>
  <c r="CD250" i="16"/>
  <c r="CR249" i="16"/>
  <c r="CR250" i="16"/>
  <c r="CY227" i="16"/>
  <c r="J233" i="16"/>
  <c r="X234" i="16"/>
  <c r="AL234" i="16"/>
  <c r="AZ234" i="16"/>
  <c r="BN234" i="16"/>
  <c r="CB234" i="16"/>
  <c r="CP234" i="16"/>
  <c r="AZ226" i="16"/>
  <c r="BN226" i="16"/>
  <c r="CB226" i="16"/>
  <c r="CP226" i="16"/>
  <c r="AZ230" i="16"/>
  <c r="O233" i="16"/>
  <c r="AC233" i="16"/>
  <c r="AQ233" i="16"/>
  <c r="BE233" i="16"/>
  <c r="BS233" i="16"/>
  <c r="CG233" i="16"/>
  <c r="CG234" i="16"/>
  <c r="CU233" i="16"/>
  <c r="CS234" i="16"/>
  <c r="AQ246" i="16"/>
  <c r="BS250" i="16"/>
  <c r="BS246" i="16"/>
  <c r="CU245" i="16"/>
  <c r="CU250" i="16"/>
  <c r="AV249" i="16"/>
  <c r="AR233" i="16"/>
  <c r="AR234" i="16"/>
  <c r="BF233" i="16"/>
  <c r="BT233" i="16"/>
  <c r="CH233" i="16"/>
  <c r="CV233" i="16"/>
  <c r="AO234" i="16"/>
  <c r="AR246" i="16"/>
  <c r="AR245" i="16"/>
  <c r="BT250" i="16"/>
  <c r="BT245" i="16"/>
  <c r="CG246" i="16"/>
  <c r="U249" i="16"/>
  <c r="O250" i="16"/>
  <c r="BX234" i="16"/>
  <c r="AF246" i="16"/>
  <c r="AT246" i="16"/>
  <c r="BH246" i="16"/>
  <c r="BV246" i="16"/>
  <c r="CJ246" i="16"/>
  <c r="CX246" i="16"/>
  <c r="R245" i="16"/>
  <c r="J250" i="16"/>
  <c r="J245" i="16"/>
  <c r="X250" i="16"/>
  <c r="X245" i="16"/>
  <c r="AL250" i="16"/>
  <c r="AL245" i="16"/>
  <c r="AZ250" i="16"/>
  <c r="AZ245" i="16"/>
  <c r="BN250" i="16"/>
  <c r="BN245" i="16"/>
  <c r="CB250" i="16"/>
  <c r="CB245" i="16"/>
  <c r="CP250" i="16"/>
  <c r="CP245" i="16"/>
  <c r="CB246" i="16"/>
  <c r="M249" i="16"/>
  <c r="AA249" i="16"/>
  <c r="AO249" i="16"/>
  <c r="BC249" i="16"/>
  <c r="BQ249" i="16"/>
  <c r="CE249" i="16"/>
  <c r="CS249" i="16"/>
  <c r="K250" i="16"/>
  <c r="K245" i="16"/>
  <c r="K246" i="16"/>
  <c r="Y250" i="16"/>
  <c r="Y245" i="16"/>
  <c r="AM250" i="16"/>
  <c r="AM245" i="16"/>
  <c r="BA250" i="16"/>
  <c r="BA245" i="16"/>
  <c r="BO250" i="16"/>
  <c r="BO245" i="16"/>
  <c r="CC250" i="16"/>
  <c r="CC245" i="16"/>
  <c r="CQ250" i="16"/>
  <c r="CQ245" i="16"/>
  <c r="CC246" i="16"/>
  <c r="N249" i="16"/>
  <c r="AB249" i="16"/>
  <c r="AP249" i="16"/>
  <c r="BD249" i="16"/>
  <c r="BR249" i="16"/>
  <c r="CF249" i="16"/>
  <c r="CT249" i="16"/>
  <c r="BC250" i="16"/>
  <c r="CB201" i="16"/>
  <c r="N201" i="16"/>
  <c r="AB201" i="16"/>
  <c r="AP201" i="16"/>
  <c r="BD201" i="16"/>
  <c r="BR201" i="16"/>
  <c r="CF201" i="16"/>
  <c r="CT201" i="16"/>
  <c r="AL200" i="16"/>
  <c r="X201" i="16"/>
  <c r="O201" i="16"/>
  <c r="AC201" i="16"/>
  <c r="AQ201" i="16"/>
  <c r="BE201" i="16"/>
  <c r="BS201" i="16"/>
  <c r="CG201" i="16"/>
  <c r="CU201" i="16"/>
  <c r="R200" i="16"/>
  <c r="AF200" i="16"/>
  <c r="AT200" i="16"/>
  <c r="BH200" i="16"/>
  <c r="BV200" i="16"/>
  <c r="CJ200" i="16"/>
  <c r="CX200" i="16"/>
  <c r="J200" i="16"/>
  <c r="H200" i="16"/>
  <c r="V200" i="16"/>
  <c r="AJ200" i="16"/>
  <c r="AX200" i="16"/>
  <c r="BL200" i="16"/>
  <c r="BZ200" i="16"/>
  <c r="CN200" i="16"/>
  <c r="DB200" i="16"/>
  <c r="CP201" i="16"/>
  <c r="AB200" i="16"/>
  <c r="X196" i="16"/>
  <c r="AZ196" i="16"/>
  <c r="CB196" i="16"/>
  <c r="N197" i="16"/>
  <c r="R201" i="16"/>
  <c r="AF201" i="16"/>
  <c r="AT201" i="16"/>
  <c r="BH201" i="16"/>
  <c r="BV201" i="16"/>
  <c r="CJ201" i="16"/>
  <c r="CX201" i="16"/>
  <c r="S201" i="16"/>
  <c r="AG201" i="16"/>
  <c r="AU201" i="16"/>
  <c r="BI201" i="16"/>
  <c r="BW201" i="16"/>
  <c r="CK201" i="16"/>
  <c r="CY201" i="16"/>
  <c r="O196" i="16"/>
  <c r="CU196" i="16"/>
  <c r="S196" i="16"/>
  <c r="AU196" i="16"/>
  <c r="BW196" i="16"/>
  <c r="AC197" i="16"/>
  <c r="AQ197" i="16"/>
  <c r="BE197" i="16"/>
  <c r="BS197" i="16"/>
  <c r="CG197" i="16"/>
  <c r="CU197" i="16"/>
  <c r="AB197" i="16"/>
  <c r="AP197" i="16"/>
  <c r="BD197" i="16"/>
  <c r="BR197" i="16"/>
  <c r="CF197" i="16"/>
  <c r="CT197" i="16"/>
  <c r="CQ185" i="16"/>
  <c r="CQ184" i="16"/>
  <c r="DC185" i="16"/>
  <c r="CQ176" i="16"/>
  <c r="AW181" i="16"/>
  <c r="AW178" i="16"/>
  <c r="AW177" i="16"/>
  <c r="BT184" i="16"/>
  <c r="K177" i="16"/>
  <c r="AM177" i="16"/>
  <c r="CQ177" i="16"/>
  <c r="Z184" i="16"/>
  <c r="Z185" i="16"/>
  <c r="AN185" i="16"/>
  <c r="AN184" i="16"/>
  <c r="CD184" i="16"/>
  <c r="CD185" i="16"/>
  <c r="CR184" i="16"/>
  <c r="CR185" i="16"/>
  <c r="U177" i="16"/>
  <c r="U181" i="16"/>
  <c r="CN185" i="16"/>
  <c r="CB185" i="16"/>
  <c r="CB184" i="16"/>
  <c r="CB176" i="16"/>
  <c r="BO184" i="16"/>
  <c r="BO185" i="16"/>
  <c r="CA185" i="16"/>
  <c r="BO176" i="16"/>
  <c r="Z181" i="16"/>
  <c r="Z177" i="16"/>
  <c r="AX177" i="16"/>
  <c r="AX181" i="16"/>
  <c r="CR178" i="16"/>
  <c r="T185" i="16"/>
  <c r="J176" i="16"/>
  <c r="AJ185" i="16"/>
  <c r="X185" i="16"/>
  <c r="X184" i="16"/>
  <c r="X176" i="16"/>
  <c r="AX185" i="16"/>
  <c r="AL185" i="16"/>
  <c r="AL176" i="16"/>
  <c r="AX178" i="16" s="1"/>
  <c r="AL184" i="16"/>
  <c r="BL185" i="16"/>
  <c r="AZ185" i="16"/>
  <c r="AZ176" i="16"/>
  <c r="DB185" i="16"/>
  <c r="CP185" i="16"/>
  <c r="CP176" i="16"/>
  <c r="V177" i="16"/>
  <c r="V181" i="16"/>
  <c r="K184" i="16"/>
  <c r="W185" i="16"/>
  <c r="K185" i="16"/>
  <c r="K176" i="16"/>
  <c r="Y185" i="16"/>
  <c r="AK185" i="16"/>
  <c r="Y176" i="16"/>
  <c r="AM185" i="16"/>
  <c r="AY185" i="16"/>
  <c r="AM176" i="16"/>
  <c r="AM184" i="16"/>
  <c r="BA185" i="16"/>
  <c r="BM185" i="16"/>
  <c r="BA176" i="16"/>
  <c r="BA170" i="16" s="1"/>
  <c r="CC185" i="16"/>
  <c r="CC184" i="16"/>
  <c r="CO185" i="16"/>
  <c r="CC176" i="16"/>
  <c r="BY170" i="16"/>
  <c r="BY169" i="16" s="1"/>
  <c r="BY178" i="16"/>
  <c r="BY181" i="16"/>
  <c r="Y184" i="16"/>
  <c r="AZ184" i="16"/>
  <c r="BD185" i="16"/>
  <c r="BF176" i="16"/>
  <c r="BF184" i="16"/>
  <c r="CV184" i="16"/>
  <c r="CV176" i="16"/>
  <c r="CV177" i="16" s="1"/>
  <c r="CD181" i="16"/>
  <c r="CD177" i="16"/>
  <c r="DB177" i="16"/>
  <c r="CV185" i="16"/>
  <c r="AS178" i="16"/>
  <c r="BU178" i="16"/>
  <c r="CH184" i="16"/>
  <c r="CH176" i="16"/>
  <c r="AI178" i="16"/>
  <c r="AI170" i="16"/>
  <c r="AI169" i="16" s="1"/>
  <c r="AI181" i="16"/>
  <c r="AB185" i="16"/>
  <c r="BV178" i="16"/>
  <c r="G181" i="16"/>
  <c r="G177" i="16"/>
  <c r="BQ177" i="16"/>
  <c r="BQ170" i="16"/>
  <c r="BQ171" i="16" s="1"/>
  <c r="BZ185" i="16"/>
  <c r="BN184" i="16"/>
  <c r="BN185" i="16"/>
  <c r="BN176" i="16"/>
  <c r="BB181" i="16"/>
  <c r="BB177" i="16"/>
  <c r="BZ177" i="16"/>
  <c r="BZ181" i="16"/>
  <c r="AJ177" i="16"/>
  <c r="AJ181" i="16"/>
  <c r="AK178" i="16"/>
  <c r="M177" i="16"/>
  <c r="AD185" i="16"/>
  <c r="AN176" i="16"/>
  <c r="AN181" i="16" s="1"/>
  <c r="AI177" i="16"/>
  <c r="J184" i="16"/>
  <c r="BT185" i="16"/>
  <c r="AO170" i="16"/>
  <c r="AO177" i="16"/>
  <c r="CM178" i="16"/>
  <c r="CM181" i="16"/>
  <c r="BL178" i="16"/>
  <c r="BK181" i="16"/>
  <c r="BK178" i="16"/>
  <c r="BK177" i="16"/>
  <c r="M170" i="16"/>
  <c r="M171" i="16" s="1"/>
  <c r="BP176" i="16"/>
  <c r="BP181" i="16" s="1"/>
  <c r="CN177" i="16"/>
  <c r="CN181" i="16"/>
  <c r="BL181" i="16"/>
  <c r="CP184" i="16"/>
  <c r="AP185" i="16"/>
  <c r="AE185" i="16"/>
  <c r="AS185" i="16"/>
  <c r="BG185" i="16"/>
  <c r="BU185" i="16"/>
  <c r="CI185" i="16"/>
  <c r="CW185" i="16"/>
  <c r="P170" i="16"/>
  <c r="BV184" i="16"/>
  <c r="AF185" i="16"/>
  <c r="AT185" i="16"/>
  <c r="BH185" i="16"/>
  <c r="BV185" i="16"/>
  <c r="CJ185" i="16"/>
  <c r="CX185" i="16"/>
  <c r="AY177" i="16"/>
  <c r="BG184" i="16"/>
  <c r="BW184" i="16"/>
  <c r="AG185" i="16"/>
  <c r="AU185" i="16"/>
  <c r="BI185" i="16"/>
  <c r="BW185" i="16"/>
  <c r="CK185" i="16"/>
  <c r="CY185" i="16"/>
  <c r="W177" i="16"/>
  <c r="CS184" i="16"/>
  <c r="AE184" i="16"/>
  <c r="BQ169" i="16"/>
  <c r="L170" i="16"/>
  <c r="L171" i="16" s="1"/>
  <c r="Z170" i="16"/>
  <c r="Z171" i="16" s="1"/>
  <c r="AN170" i="16"/>
  <c r="AN169" i="16" s="1"/>
  <c r="BP170" i="16"/>
  <c r="BP171" i="16" s="1"/>
  <c r="CD170" i="16"/>
  <c r="CD171" i="16" s="1"/>
  <c r="CR170" i="16"/>
  <c r="I170" i="16"/>
  <c r="AK170" i="16"/>
  <c r="AK169" i="16" s="1"/>
  <c r="AY170" i="16"/>
  <c r="BM170" i="16"/>
  <c r="BM169" i="16" s="1"/>
  <c r="CA170" i="16"/>
  <c r="CA169" i="16" s="1"/>
  <c r="CO170" i="16"/>
  <c r="CO171" i="16" s="1"/>
  <c r="DC170" i="16"/>
  <c r="R176" i="16"/>
  <c r="AF176" i="16"/>
  <c r="AR178" i="16" s="1"/>
  <c r="CX176" i="16"/>
  <c r="CX177" i="16" s="1"/>
  <c r="CO178" i="16"/>
  <c r="Q184" i="16"/>
  <c r="AG184" i="16"/>
  <c r="CE184" i="16"/>
  <c r="CW184" i="16"/>
  <c r="AA184" i="16"/>
  <c r="G170" i="16"/>
  <c r="G169" i="16" s="1"/>
  <c r="U170" i="16"/>
  <c r="U169" i="16" s="1"/>
  <c r="AW170" i="16"/>
  <c r="AW169" i="16" s="1"/>
  <c r="CM170" i="16"/>
  <c r="AA170" i="16"/>
  <c r="AA169" i="16" s="1"/>
  <c r="BC170" i="16"/>
  <c r="BC171" i="16" s="1"/>
  <c r="CE170" i="16"/>
  <c r="CE172" i="16" s="1"/>
  <c r="CS170" i="16"/>
  <c r="CS172" i="16" s="1"/>
  <c r="BN170" i="16"/>
  <c r="BN169" i="16" s="1"/>
  <c r="CB170" i="16"/>
  <c r="CB171" i="16" s="1"/>
  <c r="CP170" i="16"/>
  <c r="CP171" i="16" s="1"/>
  <c r="CU170" i="16"/>
  <c r="U171" i="16"/>
  <c r="CM169" i="16"/>
  <c r="CM171" i="16"/>
  <c r="DC169" i="16"/>
  <c r="DC171" i="16"/>
  <c r="AP170" i="16"/>
  <c r="AP171" i="16" s="1"/>
  <c r="DA171" i="16"/>
  <c r="O170" i="16"/>
  <c r="O171" i="16" s="1"/>
  <c r="N170" i="16"/>
  <c r="W171" i="16"/>
  <c r="BK172" i="16"/>
  <c r="L187" i="16"/>
  <c r="Z187" i="16"/>
  <c r="AN187" i="16"/>
  <c r="AN191" i="16" s="1"/>
  <c r="BP187" i="16"/>
  <c r="CD187" i="16"/>
  <c r="CD191" i="16" s="1"/>
  <c r="CR187" i="16"/>
  <c r="CR191" i="16" s="1"/>
  <c r="CR192" i="16" s="1"/>
  <c r="AM170" i="16"/>
  <c r="AM171" i="16" s="1"/>
  <c r="BO170" i="16"/>
  <c r="BO171" i="16" s="1"/>
  <c r="Q187" i="16"/>
  <c r="Q191" i="16" s="1"/>
  <c r="CQ170" i="16"/>
  <c r="CQ172" i="16" s="1"/>
  <c r="BK171" i="16"/>
  <c r="CI170" i="16"/>
  <c r="CI171" i="16" s="1"/>
  <c r="CW170" i="16"/>
  <c r="K170" i="16"/>
  <c r="K172" i="16" s="1"/>
  <c r="AO172" i="16"/>
  <c r="AI172" i="16"/>
  <c r="BY172" i="16"/>
  <c r="W191" i="16"/>
  <c r="W192" i="16" s="1"/>
  <c r="Y170" i="16"/>
  <c r="AK172" i="16" s="1"/>
  <c r="AZ170" i="16"/>
  <c r="AZ169" i="16" s="1"/>
  <c r="CC170" i="16"/>
  <c r="CC171" i="16" s="1"/>
  <c r="CM172" i="16"/>
  <c r="BM191" i="16"/>
  <c r="CA171" i="16"/>
  <c r="DA172" i="16"/>
  <c r="T191" i="16"/>
  <c r="T192" i="16" s="1"/>
  <c r="M191" i="16"/>
  <c r="M192" i="16" s="1"/>
  <c r="AA191" i="16"/>
  <c r="AA192" i="16" s="1"/>
  <c r="AO191" i="16"/>
  <c r="AO192" i="16" s="1"/>
  <c r="BQ191" i="16"/>
  <c r="BQ192" i="16" s="1"/>
  <c r="CS191" i="16"/>
  <c r="N191" i="16"/>
  <c r="AB191" i="16"/>
  <c r="AP191" i="16"/>
  <c r="BD191" i="16"/>
  <c r="BR191" i="16"/>
  <c r="BR192" i="16" s="1"/>
  <c r="CF191" i="16"/>
  <c r="CF192" i="16" s="1"/>
  <c r="CT191" i="16"/>
  <c r="CT192" i="16" s="1"/>
  <c r="AH191" i="16"/>
  <c r="AH192" i="16" s="1"/>
  <c r="CL191" i="16"/>
  <c r="BJ191" i="16"/>
  <c r="BJ193" i="16" s="1"/>
  <c r="CP191" i="16"/>
  <c r="CP192" i="16" s="1"/>
  <c r="BN191" i="16"/>
  <c r="BN192" i="16" s="1"/>
  <c r="CZ191" i="16"/>
  <c r="CZ192" i="16" s="1"/>
  <c r="K191" i="16"/>
  <c r="K192" i="16" s="1"/>
  <c r="AM191" i="16"/>
  <c r="AY193" i="16" s="1"/>
  <c r="BO191" i="16"/>
  <c r="BO193" i="16" s="1"/>
  <c r="CQ191" i="16"/>
  <c r="CQ192" i="16" s="1"/>
  <c r="BB191" i="16"/>
  <c r="BB193" i="16" s="1"/>
  <c r="BP191" i="16"/>
  <c r="R65" i="1"/>
  <c r="CO191" i="16"/>
  <c r="R191" i="16"/>
  <c r="R192" i="16" s="1"/>
  <c r="AF191" i="16"/>
  <c r="AF192" i="16" s="1"/>
  <c r="AT191" i="16"/>
  <c r="BF193" i="16" s="1"/>
  <c r="BH191" i="16"/>
  <c r="BH192" i="16" s="1"/>
  <c r="BV191" i="16"/>
  <c r="BV192" i="16" s="1"/>
  <c r="CJ191" i="16"/>
  <c r="CJ192" i="16" s="1"/>
  <c r="CX191" i="16"/>
  <c r="CX192" i="16" s="1"/>
  <c r="Z189" i="16"/>
  <c r="S191" i="16"/>
  <c r="S192" i="16" s="1"/>
  <c r="AG191" i="16"/>
  <c r="AG192" i="16" s="1"/>
  <c r="AU191" i="16"/>
  <c r="AU192" i="16" s="1"/>
  <c r="BI191" i="16"/>
  <c r="BI192" i="16" s="1"/>
  <c r="BW191" i="16"/>
  <c r="BW192" i="16" s="1"/>
  <c r="CK191" i="16"/>
  <c r="CK192" i="16" s="1"/>
  <c r="CY191" i="16"/>
  <c r="CY192" i="16" s="1"/>
  <c r="P191" i="16"/>
  <c r="P192" i="16" s="1"/>
  <c r="AD191" i="16"/>
  <c r="AD193" i="16" s="1"/>
  <c r="AR191" i="16"/>
  <c r="AR192" i="16" s="1"/>
  <c r="BF191" i="16"/>
  <c r="BT191" i="16"/>
  <c r="CH191" i="16"/>
  <c r="CH193" i="16" s="1"/>
  <c r="CV191" i="16"/>
  <c r="CV192" i="16" s="1"/>
  <c r="V191" i="16"/>
  <c r="V192" i="16" s="1"/>
  <c r="AJ191" i="16"/>
  <c r="AJ192" i="16" s="1"/>
  <c r="AX191" i="16"/>
  <c r="BL191" i="16"/>
  <c r="BL192" i="16" s="1"/>
  <c r="BZ191" i="16"/>
  <c r="BZ192" i="16" s="1"/>
  <c r="CN191" i="16"/>
  <c r="BC191" i="16"/>
  <c r="BC192" i="16" s="1"/>
  <c r="CE191" i="16"/>
  <c r="CE192" i="16" s="1"/>
  <c r="BX193" i="16"/>
  <c r="M169" i="16"/>
  <c r="J191" i="16"/>
  <c r="X191" i="16"/>
  <c r="X192" i="16" s="1"/>
  <c r="AL191" i="16"/>
  <c r="AL192" i="16" s="1"/>
  <c r="AZ191" i="16"/>
  <c r="AZ192" i="16" s="1"/>
  <c r="CB191" i="16"/>
  <c r="CB192" i="16" s="1"/>
  <c r="Y191" i="16"/>
  <c r="BA191" i="16"/>
  <c r="CC191" i="16"/>
  <c r="CC192" i="16" s="1"/>
  <c r="AC169" i="16"/>
  <c r="AQ169" i="16"/>
  <c r="BS169" i="16"/>
  <c r="CU169" i="16"/>
  <c r="CP161" i="16"/>
  <c r="Z162" i="16"/>
  <c r="N169" i="16"/>
  <c r="X161" i="16"/>
  <c r="CE162" i="16"/>
  <c r="BS162" i="16"/>
  <c r="CB161" i="16"/>
  <c r="J161" i="16"/>
  <c r="BI161" i="16"/>
  <c r="K162" i="16"/>
  <c r="AL161" i="16"/>
  <c r="BZ162" i="16"/>
  <c r="CF169" i="16"/>
  <c r="N196" i="16"/>
  <c r="N161" i="16"/>
  <c r="N158" i="16"/>
  <c r="Z158" i="16"/>
  <c r="N177" i="16"/>
  <c r="AB196" i="16"/>
  <c r="AB161" i="16"/>
  <c r="AB158" i="16"/>
  <c r="AN158" i="16"/>
  <c r="AP196" i="16"/>
  <c r="AP161" i="16"/>
  <c r="AP158" i="16"/>
  <c r="BB158" i="16"/>
  <c r="AP177" i="16"/>
  <c r="BD196" i="16"/>
  <c r="BD161" i="16"/>
  <c r="BD158" i="16"/>
  <c r="BP158" i="16"/>
  <c r="BR196" i="16"/>
  <c r="BR161" i="16"/>
  <c r="BR158" i="16"/>
  <c r="CD158" i="16"/>
  <c r="CF196" i="16"/>
  <c r="CF161" i="16"/>
  <c r="CF177" i="16"/>
  <c r="CF158" i="16"/>
  <c r="CR158" i="16"/>
  <c r="CT196" i="16"/>
  <c r="CT161" i="16"/>
  <c r="CT158" i="16"/>
  <c r="CT177" i="16"/>
  <c r="AC196" i="16"/>
  <c r="AC161" i="16"/>
  <c r="AC200" i="16"/>
  <c r="AO158" i="16"/>
  <c r="AQ196" i="16"/>
  <c r="AQ161" i="16"/>
  <c r="AQ200" i="16"/>
  <c r="AQ177" i="16"/>
  <c r="BC158" i="16"/>
  <c r="BE196" i="16"/>
  <c r="BE177" i="16"/>
  <c r="BE161" i="16"/>
  <c r="BE200" i="16"/>
  <c r="BQ158" i="16"/>
  <c r="BS196" i="16"/>
  <c r="BS161" i="16"/>
  <c r="BS200" i="16"/>
  <c r="CE158" i="16"/>
  <c r="CG196" i="16"/>
  <c r="CG161" i="16"/>
  <c r="CG200" i="16"/>
  <c r="CG177" i="16"/>
  <c r="CS158" i="16"/>
  <c r="CF184" i="16"/>
  <c r="N200" i="16"/>
  <c r="CG184" i="16"/>
  <c r="BR184" i="16"/>
  <c r="AP184" i="16"/>
  <c r="BE184" i="16"/>
  <c r="BS184" i="16"/>
  <c r="CF200" i="16"/>
  <c r="CT184" i="16"/>
  <c r="BD184" i="16"/>
  <c r="AB184" i="16"/>
  <c r="AQ184" i="16"/>
  <c r="AR200" i="16"/>
  <c r="Y158" i="16"/>
  <c r="AM158" i="16"/>
  <c r="BA158" i="16"/>
  <c r="BO158" i="16"/>
  <c r="CC158" i="16"/>
  <c r="CQ158" i="16"/>
  <c r="L177" i="16"/>
  <c r="BO177" i="16"/>
  <c r="CR177" i="16"/>
  <c r="Q196" i="16"/>
  <c r="AE196" i="16"/>
  <c r="AS196" i="16"/>
  <c r="BG196" i="16"/>
  <c r="BU196" i="16"/>
  <c r="CI196" i="16"/>
  <c r="CW196" i="16"/>
  <c r="R50" i="1"/>
  <c r="AA158" i="16"/>
  <c r="K200" i="16"/>
  <c r="Y200" i="16"/>
  <c r="AM200" i="16"/>
  <c r="BA200" i="16"/>
  <c r="BO200" i="16"/>
  <c r="CC200" i="16"/>
  <c r="CQ200" i="16"/>
  <c r="K161" i="16"/>
  <c r="Y161" i="16"/>
  <c r="AM161" i="16"/>
  <c r="BA161" i="16"/>
  <c r="BO161" i="16"/>
  <c r="CC161" i="16"/>
  <c r="CQ161" i="16"/>
  <c r="O177" i="16"/>
  <c r="CU177" i="16"/>
  <c r="BF192" i="16"/>
  <c r="BT192" i="16"/>
  <c r="CH192" i="16"/>
  <c r="T196" i="16"/>
  <c r="AH196" i="16"/>
  <c r="AV196" i="16"/>
  <c r="BJ196" i="16"/>
  <c r="BX196" i="16"/>
  <c r="CL196" i="16"/>
  <c r="CZ196" i="16"/>
  <c r="L200" i="16"/>
  <c r="Z200" i="16"/>
  <c r="AN200" i="16"/>
  <c r="BB200" i="16"/>
  <c r="BP200" i="16"/>
  <c r="CD200" i="16"/>
  <c r="CR200" i="16"/>
  <c r="K158" i="16"/>
  <c r="P161" i="16"/>
  <c r="AD161" i="16"/>
  <c r="AR161" i="16"/>
  <c r="BF161" i="16"/>
  <c r="BT161" i="16"/>
  <c r="CH161" i="16"/>
  <c r="CV161" i="16"/>
  <c r="K196" i="16"/>
  <c r="Y196" i="16"/>
  <c r="AM196" i="16"/>
  <c r="BA196" i="16"/>
  <c r="BO196" i="16"/>
  <c r="CC196" i="16"/>
  <c r="CQ196" i="16"/>
  <c r="Q200" i="16"/>
  <c r="AE200" i="16"/>
  <c r="AS200" i="16"/>
  <c r="BG200" i="16"/>
  <c r="BU200" i="16"/>
  <c r="CI200" i="16"/>
  <c r="CW200" i="16"/>
  <c r="AH158" i="16"/>
  <c r="AV158" i="16"/>
  <c r="BJ158" i="16"/>
  <c r="BX158" i="16"/>
  <c r="CL158" i="16"/>
  <c r="CZ158" i="16"/>
  <c r="Q161" i="16"/>
  <c r="L196" i="16"/>
  <c r="Z196" i="16"/>
  <c r="AN196" i="16"/>
  <c r="BB196" i="16"/>
  <c r="BP196" i="16"/>
  <c r="CD196" i="16"/>
  <c r="CG171" i="16"/>
  <c r="P184" i="16"/>
  <c r="AD184" i="16"/>
  <c r="AR184" i="16"/>
  <c r="O200" i="16"/>
  <c r="CU200" i="16"/>
  <c r="O161" i="16"/>
  <c r="CU161" i="16"/>
  <c r="AD200" i="16"/>
  <c r="BF200" i="16"/>
  <c r="BT200" i="16"/>
  <c r="CH200" i="16"/>
  <c r="CV200" i="16"/>
  <c r="BX184" i="16"/>
  <c r="CL184" i="16"/>
  <c r="T158" i="16"/>
  <c r="P171" i="16"/>
  <c r="T200" i="16"/>
  <c r="AH200" i="16"/>
  <c r="AV200" i="16"/>
  <c r="BJ200" i="16"/>
  <c r="BX200" i="16"/>
  <c r="CL200" i="16"/>
  <c r="CZ200" i="16"/>
  <c r="P200" i="16"/>
  <c r="W158" i="16"/>
  <c r="AY158" i="16"/>
  <c r="DC158" i="16"/>
  <c r="AH161" i="16"/>
  <c r="Q171" i="16"/>
  <c r="BS171" i="16"/>
  <c r="AP192" i="16"/>
  <c r="AQ171" i="16"/>
  <c r="H115" i="17"/>
  <c r="H116" i="17" s="1"/>
  <c r="H117" i="17" s="1"/>
  <c r="G174" i="17"/>
  <c r="F175" i="17"/>
  <c r="F176" i="17" s="1"/>
  <c r="H83" i="17"/>
  <c r="G264" i="17"/>
  <c r="H265" i="17"/>
  <c r="H266" i="17" s="1"/>
  <c r="H267" i="17" s="1"/>
  <c r="F266" i="17"/>
  <c r="G266" i="17" s="1"/>
  <c r="F145" i="17"/>
  <c r="G145" i="17" s="1"/>
  <c r="F205" i="17"/>
  <c r="F295" i="17"/>
  <c r="F296" i="17" s="1"/>
  <c r="F297" i="17" s="1"/>
  <c r="G297" i="17" s="1"/>
  <c r="F355" i="17"/>
  <c r="F356" i="17" s="1"/>
  <c r="F357" i="17" s="1"/>
  <c r="G357" i="17" s="1"/>
  <c r="F55" i="17"/>
  <c r="F56" i="17" s="1"/>
  <c r="F57" i="17" s="1"/>
  <c r="G57" i="17" s="1"/>
  <c r="H323" i="17"/>
  <c r="F27" i="17"/>
  <c r="G27" i="17" s="1"/>
  <c r="G26" i="17"/>
  <c r="H23" i="17"/>
  <c r="G24" i="17"/>
  <c r="G25" i="17"/>
  <c r="H53" i="17"/>
  <c r="G54" i="17"/>
  <c r="G84" i="17"/>
  <c r="F85" i="17"/>
  <c r="G114" i="17"/>
  <c r="F116" i="17"/>
  <c r="G144" i="17"/>
  <c r="F177" i="17"/>
  <c r="G177" i="17" s="1"/>
  <c r="G176" i="17"/>
  <c r="H173" i="17"/>
  <c r="G175" i="17"/>
  <c r="H203" i="17"/>
  <c r="G204" i="17"/>
  <c r="H353" i="17"/>
  <c r="G354" i="17"/>
  <c r="F325" i="17"/>
  <c r="G324" i="17"/>
  <c r="G296" i="17"/>
  <c r="H293" i="17"/>
  <c r="G294" i="17"/>
  <c r="F267" i="17"/>
  <c r="G267" i="17" s="1"/>
  <c r="AT535" i="16"/>
  <c r="AT536" i="16"/>
  <c r="BH535" i="16"/>
  <c r="BH536" i="16"/>
  <c r="AY536" i="16"/>
  <c r="AY535" i="16"/>
  <c r="CA536" i="16"/>
  <c r="CA535" i="16"/>
  <c r="CR514" i="16"/>
  <c r="CR512" i="16"/>
  <c r="AV535" i="16"/>
  <c r="AV536" i="16"/>
  <c r="CF535" i="16"/>
  <c r="P514" i="16"/>
  <c r="P512" i="16"/>
  <c r="AW514" i="16"/>
  <c r="AW512" i="16"/>
  <c r="AW515" i="16"/>
  <c r="CJ535" i="16"/>
  <c r="CJ536" i="16"/>
  <c r="Q514" i="16"/>
  <c r="Q512" i="16"/>
  <c r="BV535" i="16"/>
  <c r="BV536" i="16"/>
  <c r="AQ535" i="16"/>
  <c r="AQ536" i="16"/>
  <c r="BE535" i="16"/>
  <c r="CU535" i="16"/>
  <c r="CU536" i="16"/>
  <c r="BP535" i="16"/>
  <c r="BP536" i="16"/>
  <c r="CD535" i="16"/>
  <c r="CD536" i="16"/>
  <c r="W536" i="16"/>
  <c r="W535" i="16"/>
  <c r="CO536" i="16"/>
  <c r="CO535" i="16"/>
  <c r="DC535" i="16"/>
  <c r="CK536" i="16"/>
  <c r="CK535" i="16"/>
  <c r="CN536" i="16"/>
  <c r="CN535" i="16"/>
  <c r="BX535" i="16"/>
  <c r="BX536" i="16"/>
  <c r="CL536" i="16"/>
  <c r="CL535" i="16"/>
  <c r="CZ536" i="16"/>
  <c r="CZ535" i="16"/>
  <c r="N535" i="16"/>
  <c r="N536" i="16"/>
  <c r="BD535" i="16"/>
  <c r="CX535" i="16"/>
  <c r="CX536" i="16"/>
  <c r="BG514" i="16"/>
  <c r="BG512" i="16"/>
  <c r="BG515" i="16"/>
  <c r="DC512" i="16"/>
  <c r="DC515" i="16"/>
  <c r="S520" i="16"/>
  <c r="S513" i="16"/>
  <c r="S524" i="16"/>
  <c r="AG520" i="16"/>
  <c r="AG513" i="16"/>
  <c r="AG521" i="16"/>
  <c r="AG524" i="16"/>
  <c r="AU520" i="16"/>
  <c r="AU513" i="16"/>
  <c r="AU521" i="16"/>
  <c r="AU524" i="16"/>
  <c r="BI520" i="16"/>
  <c r="BI513" i="16"/>
  <c r="BI521" i="16"/>
  <c r="BI524" i="16"/>
  <c r="BW520" i="16"/>
  <c r="BW513" i="16"/>
  <c r="BW521" i="16"/>
  <c r="BW524" i="16"/>
  <c r="CK520" i="16"/>
  <c r="CK513" i="16"/>
  <c r="CK521" i="16"/>
  <c r="CK524" i="16"/>
  <c r="CY520" i="16"/>
  <c r="CY513" i="16"/>
  <c r="CY521" i="16"/>
  <c r="AB536" i="16"/>
  <c r="AC514" i="16"/>
  <c r="AC512" i="16"/>
  <c r="CI514" i="16"/>
  <c r="CI512" i="16"/>
  <c r="AN535" i="16"/>
  <c r="AN536" i="16"/>
  <c r="G514" i="16"/>
  <c r="G512" i="16"/>
  <c r="CM514" i="16"/>
  <c r="CM512" i="16"/>
  <c r="L514" i="16"/>
  <c r="DC514" i="16"/>
  <c r="X536" i="16"/>
  <c r="X535" i="16"/>
  <c r="AP536" i="16"/>
  <c r="AK512" i="16"/>
  <c r="AK514" i="16"/>
  <c r="BM535" i="16"/>
  <c r="BS536" i="16"/>
  <c r="AN514" i="16"/>
  <c r="AN512" i="16"/>
  <c r="BS514" i="16"/>
  <c r="Z524" i="16"/>
  <c r="Z513" i="16"/>
  <c r="AN524" i="16"/>
  <c r="AN520" i="16"/>
  <c r="AN521" i="16"/>
  <c r="BB524" i="16"/>
  <c r="BB513" i="16"/>
  <c r="BP524" i="16"/>
  <c r="BP521" i="16"/>
  <c r="BP520" i="16"/>
  <c r="CD524" i="16"/>
  <c r="CD513" i="16"/>
  <c r="CD521" i="16"/>
  <c r="CD520" i="16"/>
  <c r="AG535" i="16"/>
  <c r="AG536" i="16"/>
  <c r="T536" i="16"/>
  <c r="T535" i="16"/>
  <c r="AI514" i="16"/>
  <c r="AI512" i="16"/>
  <c r="BM512" i="16"/>
  <c r="BM514" i="16"/>
  <c r="BM515" i="16"/>
  <c r="AU536" i="16"/>
  <c r="AU535" i="16"/>
  <c r="AH535" i="16"/>
  <c r="BJ536" i="16"/>
  <c r="AJ512" i="16"/>
  <c r="AJ514" i="16"/>
  <c r="AJ515" i="16"/>
  <c r="BP512" i="16"/>
  <c r="CO512" i="16"/>
  <c r="CO514" i="16"/>
  <c r="CO515" i="16"/>
  <c r="J520" i="16"/>
  <c r="J513" i="16"/>
  <c r="J524" i="16"/>
  <c r="X520" i="16"/>
  <c r="X513" i="16"/>
  <c r="X524" i="16"/>
  <c r="AL520" i="16"/>
  <c r="AL513" i="16"/>
  <c r="AZ520" i="16"/>
  <c r="AZ513" i="16"/>
  <c r="AZ524" i="16"/>
  <c r="AZ521" i="16"/>
  <c r="BN520" i="16"/>
  <c r="BN513" i="16"/>
  <c r="BN524" i="16"/>
  <c r="CB520" i="16"/>
  <c r="CB513" i="16"/>
  <c r="CB524" i="16"/>
  <c r="CP520" i="16"/>
  <c r="CP513" i="16"/>
  <c r="CP524" i="16"/>
  <c r="BR536" i="16"/>
  <c r="CR524" i="16"/>
  <c r="CR520" i="16"/>
  <c r="CR521" i="16"/>
  <c r="BU514" i="16"/>
  <c r="BU512" i="16"/>
  <c r="L520" i="16"/>
  <c r="AL521" i="16"/>
  <c r="BN521" i="16"/>
  <c r="AS514" i="16"/>
  <c r="AS512" i="16"/>
  <c r="AS515" i="16"/>
  <c r="BF536" i="16"/>
  <c r="BF535" i="16"/>
  <c r="CH535" i="16"/>
  <c r="CH536" i="16"/>
  <c r="CV535" i="16"/>
  <c r="AA535" i="16"/>
  <c r="AA536" i="16"/>
  <c r="AO535" i="16"/>
  <c r="AO536" i="16"/>
  <c r="BC535" i="16"/>
  <c r="BQ535" i="16"/>
  <c r="BQ536" i="16"/>
  <c r="CE535" i="16"/>
  <c r="CE536" i="16"/>
  <c r="CS535" i="16"/>
  <c r="CS536" i="16"/>
  <c r="AZ535" i="16"/>
  <c r="BN536" i="16"/>
  <c r="BN535" i="16"/>
  <c r="CG536" i="16"/>
  <c r="AE514" i="16"/>
  <c r="AE512" i="16"/>
  <c r="CG512" i="16"/>
  <c r="CG514" i="16"/>
  <c r="CT534" i="16"/>
  <c r="AO512" i="16"/>
  <c r="AO514" i="16"/>
  <c r="CQ515" i="16"/>
  <c r="CQ514" i="16"/>
  <c r="CQ512" i="16"/>
  <c r="AJ535" i="16"/>
  <c r="AX536" i="16"/>
  <c r="AX535" i="16"/>
  <c r="BL536" i="16"/>
  <c r="BL535" i="16"/>
  <c r="BZ536" i="16"/>
  <c r="BZ535" i="16"/>
  <c r="DB536" i="16"/>
  <c r="DB535" i="16"/>
  <c r="BI536" i="16"/>
  <c r="BI535" i="16"/>
  <c r="CY536" i="16"/>
  <c r="CY535" i="16"/>
  <c r="V512" i="16"/>
  <c r="V514" i="16"/>
  <c r="CV514" i="16"/>
  <c r="CV512" i="16"/>
  <c r="AC524" i="16"/>
  <c r="AQ521" i="16"/>
  <c r="AQ513" i="16"/>
  <c r="CG521" i="16"/>
  <c r="CG524" i="16"/>
  <c r="CU521" i="16"/>
  <c r="CU520" i="16"/>
  <c r="BB534" i="16"/>
  <c r="CR534" i="16"/>
  <c r="AK534" i="16"/>
  <c r="AL534" i="16"/>
  <c r="CB534" i="16"/>
  <c r="CP534" i="16"/>
  <c r="U514" i="16"/>
  <c r="U512" i="16"/>
  <c r="N520" i="16"/>
  <c r="N513" i="16"/>
  <c r="N521" i="16"/>
  <c r="N524" i="16"/>
  <c r="AB521" i="16"/>
  <c r="AB520" i="16"/>
  <c r="AB513" i="16"/>
  <c r="AB524" i="16"/>
  <c r="AP521" i="16"/>
  <c r="AP520" i="16"/>
  <c r="AP513" i="16"/>
  <c r="AP524" i="16"/>
  <c r="BD521" i="16"/>
  <c r="BD520" i="16"/>
  <c r="BD513" i="16"/>
  <c r="BD524" i="16"/>
  <c r="BR521" i="16"/>
  <c r="BR520" i="16"/>
  <c r="BR513" i="16"/>
  <c r="BR524" i="16"/>
  <c r="CF521" i="16"/>
  <c r="CF520" i="16"/>
  <c r="CF513" i="16"/>
  <c r="CT521" i="16"/>
  <c r="CT520" i="16"/>
  <c r="CT513" i="16"/>
  <c r="CU512" i="16"/>
  <c r="CU515" i="16"/>
  <c r="P524" i="16"/>
  <c r="P520" i="16"/>
  <c r="AD524" i="16"/>
  <c r="AD521" i="16"/>
  <c r="AD520" i="16"/>
  <c r="AD513" i="16"/>
  <c r="AR524" i="16"/>
  <c r="AR520" i="16"/>
  <c r="AR513" i="16"/>
  <c r="BF524" i="16"/>
  <c r="BF513" i="16"/>
  <c r="BT524" i="16"/>
  <c r="BT521" i="16"/>
  <c r="BT513" i="16"/>
  <c r="CH524" i="16"/>
  <c r="CH513" i="16"/>
  <c r="CH520" i="16"/>
  <c r="CV524" i="16"/>
  <c r="CV520" i="16"/>
  <c r="CF524" i="16"/>
  <c r="BC512" i="16"/>
  <c r="BC514" i="16"/>
  <c r="CA512" i="16"/>
  <c r="CA514" i="16"/>
  <c r="DA514" i="16"/>
  <c r="DA512" i="16"/>
  <c r="AQ520" i="16"/>
  <c r="BF521" i="16"/>
  <c r="BE513" i="16"/>
  <c r="CC515" i="16"/>
  <c r="CC514" i="16"/>
  <c r="CC512" i="16"/>
  <c r="AT513" i="16"/>
  <c r="AT524" i="16"/>
  <c r="AT520" i="16"/>
  <c r="CJ524" i="16"/>
  <c r="CJ521" i="16"/>
  <c r="CJ520" i="16"/>
  <c r="CJ513" i="16"/>
  <c r="CX520" i="16"/>
  <c r="CX513" i="16"/>
  <c r="AF524" i="16"/>
  <c r="BH524" i="16"/>
  <c r="K524" i="16"/>
  <c r="K521" i="16"/>
  <c r="BO520" i="16"/>
  <c r="CQ521" i="16"/>
  <c r="BA513" i="16"/>
  <c r="AX514" i="16"/>
  <c r="BQ514" i="16"/>
  <c r="K520" i="16"/>
  <c r="AM521" i="16"/>
  <c r="Q534" i="16"/>
  <c r="AE534" i="16"/>
  <c r="AS534" i="16"/>
  <c r="BG534" i="16"/>
  <c r="BU534" i="16"/>
  <c r="CI534" i="16"/>
  <c r="CW534" i="16"/>
  <c r="AM513" i="16"/>
  <c r="CQ520" i="16"/>
  <c r="Y521" i="16"/>
  <c r="G534" i="16"/>
  <c r="G535" i="16" s="1"/>
  <c r="U534" i="16"/>
  <c r="U535" i="16" s="1"/>
  <c r="AI534" i="16"/>
  <c r="AW534" i="16"/>
  <c r="BK534" i="16"/>
  <c r="BY534" i="16"/>
  <c r="CM534" i="16"/>
  <c r="DA534" i="16"/>
  <c r="CW514" i="16"/>
  <c r="CW512" i="16"/>
  <c r="T520" i="16"/>
  <c r="T513" i="16"/>
  <c r="T524" i="16"/>
  <c r="AH520" i="16"/>
  <c r="AH513" i="16"/>
  <c r="AH524" i="16"/>
  <c r="AV520" i="16"/>
  <c r="AV513" i="16"/>
  <c r="AV524" i="16"/>
  <c r="BJ520" i="16"/>
  <c r="BJ513" i="16"/>
  <c r="BJ524" i="16"/>
  <c r="BX520" i="16"/>
  <c r="BX513" i="16"/>
  <c r="BX524" i="16"/>
  <c r="CL520" i="16"/>
  <c r="CL513" i="16"/>
  <c r="CL524" i="16"/>
  <c r="CZ520" i="16"/>
  <c r="CZ513" i="16"/>
  <c r="CZ524" i="16"/>
  <c r="Y513" i="16"/>
  <c r="AX515" i="16"/>
  <c r="CC520" i="16"/>
  <c r="CL521" i="16"/>
  <c r="K534" i="16"/>
  <c r="Y534" i="16"/>
  <c r="AM534" i="16"/>
  <c r="BA534" i="16"/>
  <c r="BO534" i="16"/>
  <c r="CC534" i="16"/>
  <c r="CQ534" i="16"/>
  <c r="K512" i="16"/>
  <c r="BO513" i="16"/>
  <c r="Y520" i="16"/>
  <c r="BA521" i="16"/>
  <c r="BT318" i="16"/>
  <c r="CF319" i="16"/>
  <c r="BT316" i="16"/>
  <c r="Y339" i="16"/>
  <c r="CY339" i="16"/>
  <c r="BK339" i="16"/>
  <c r="AO339" i="16"/>
  <c r="BC339" i="16"/>
  <c r="AI339" i="16"/>
  <c r="AK339" i="16"/>
  <c r="CJ339" i="16"/>
  <c r="Z339" i="16"/>
  <c r="CO339" i="16"/>
  <c r="W316" i="16"/>
  <c r="W318" i="16"/>
  <c r="BU318" i="16"/>
  <c r="CQ340" i="16"/>
  <c r="BC317" i="16"/>
  <c r="X328" i="16"/>
  <c r="AJ325" i="16"/>
  <c r="X317" i="16"/>
  <c r="AJ319" i="16" s="1"/>
  <c r="X325" i="16"/>
  <c r="AL328" i="16"/>
  <c r="AL325" i="16"/>
  <c r="AZ328" i="16"/>
  <c r="AZ317" i="16"/>
  <c r="BN328" i="16"/>
  <c r="BN317" i="16"/>
  <c r="CB328" i="16"/>
  <c r="CB325" i="16"/>
  <c r="CP328" i="16"/>
  <c r="DB325" i="16"/>
  <c r="CP325" i="16"/>
  <c r="AA324" i="16"/>
  <c r="AZ324" i="16"/>
  <c r="CV324" i="16"/>
  <c r="BZ325" i="16"/>
  <c r="BF328" i="16"/>
  <c r="BU316" i="16"/>
  <c r="BZ316" i="16"/>
  <c r="BZ318" i="16"/>
  <c r="CV317" i="16"/>
  <c r="K328" i="16"/>
  <c r="K324" i="16"/>
  <c r="K317" i="16"/>
  <c r="W319" i="16" s="1"/>
  <c r="K325" i="16"/>
  <c r="Y328" i="16"/>
  <c r="Y324" i="16"/>
  <c r="Y317" i="16"/>
  <c r="AK325" i="16"/>
  <c r="AM328" i="16"/>
  <c r="AM324" i="16"/>
  <c r="AM317" i="16"/>
  <c r="AM325" i="16"/>
  <c r="AY325" i="16"/>
  <c r="BA328" i="16"/>
  <c r="BA324" i="16"/>
  <c r="BA317" i="16"/>
  <c r="BO328" i="16"/>
  <c r="BO324" i="16"/>
  <c r="BO317" i="16"/>
  <c r="CA325" i="16"/>
  <c r="BO325" i="16"/>
  <c r="CC328" i="16"/>
  <c r="CC324" i="16"/>
  <c r="CC317" i="16"/>
  <c r="CC325" i="16"/>
  <c r="CQ328" i="16"/>
  <c r="CQ324" i="16"/>
  <c r="CQ317" i="16"/>
  <c r="DC319" i="16" s="1"/>
  <c r="AD317" i="16"/>
  <c r="AX325" i="16"/>
  <c r="CH328" i="16"/>
  <c r="AJ316" i="16"/>
  <c r="AJ318" i="16"/>
  <c r="CD319" i="16"/>
  <c r="DC316" i="16"/>
  <c r="AI318" i="16"/>
  <c r="AB325" i="16"/>
  <c r="AP325" i="16"/>
  <c r="BD325" i="16"/>
  <c r="BR325" i="16"/>
  <c r="CT325" i="16"/>
  <c r="BF324" i="16"/>
  <c r="P338" i="16"/>
  <c r="P339" i="16" s="1"/>
  <c r="AD338" i="16"/>
  <c r="AR338" i="16"/>
  <c r="BF338" i="16"/>
  <c r="BT338" i="16"/>
  <c r="CH338" i="16"/>
  <c r="CV338" i="16"/>
  <c r="T325" i="16"/>
  <c r="CN325" i="16"/>
  <c r="BQ328" i="16"/>
  <c r="AP339" i="16"/>
  <c r="DC318" i="16"/>
  <c r="AG324" i="16"/>
  <c r="AU324" i="16"/>
  <c r="AU317" i="16"/>
  <c r="AU325" i="16"/>
  <c r="BW324" i="16"/>
  <c r="BW317" i="16"/>
  <c r="CI319" i="16" s="1"/>
  <c r="CK324" i="16"/>
  <c r="CK317" i="16"/>
  <c r="CK328" i="16"/>
  <c r="CY324" i="16"/>
  <c r="CY317" i="16"/>
  <c r="CY328" i="16"/>
  <c r="CY325" i="16"/>
  <c r="BN325" i="16"/>
  <c r="BW328" i="16"/>
  <c r="BY338" i="16"/>
  <c r="Q317" i="16"/>
  <c r="AW316" i="16"/>
  <c r="AW319" i="16"/>
  <c r="AW318" i="16"/>
  <c r="BR316" i="16"/>
  <c r="BR319" i="16"/>
  <c r="CO316" i="16"/>
  <c r="CO318" i="16"/>
  <c r="BQ324" i="16"/>
  <c r="CP324" i="16"/>
  <c r="AG325" i="16"/>
  <c r="BT325" i="16"/>
  <c r="T339" i="16"/>
  <c r="BF318" i="16"/>
  <c r="CB318" i="16"/>
  <c r="CB316" i="16"/>
  <c r="AI319" i="16"/>
  <c r="M324" i="16"/>
  <c r="M317" i="16"/>
  <c r="AA325" i="16"/>
  <c r="AA317" i="16"/>
  <c r="AO324" i="16"/>
  <c r="AO328" i="16"/>
  <c r="BC325" i="16"/>
  <c r="BC328" i="16"/>
  <c r="CE325" i="16"/>
  <c r="CE328" i="16"/>
  <c r="CE324" i="16"/>
  <c r="CE317" i="16"/>
  <c r="CS325" i="16"/>
  <c r="CS324" i="16"/>
  <c r="AL340" i="16"/>
  <c r="CA339" i="16"/>
  <c r="J316" i="16"/>
  <c r="J318" i="16"/>
  <c r="P318" i="16"/>
  <c r="P316" i="16"/>
  <c r="AR328" i="16"/>
  <c r="AR317" i="16"/>
  <c r="CH324" i="16"/>
  <c r="CE339" i="16"/>
  <c r="CE340" i="16"/>
  <c r="CI318" i="16"/>
  <c r="CI316" i="16"/>
  <c r="AE328" i="16"/>
  <c r="AE324" i="16"/>
  <c r="AE317" i="16"/>
  <c r="AS324" i="16"/>
  <c r="AS328" i="16"/>
  <c r="AS317" i="16"/>
  <c r="BG328" i="16"/>
  <c r="BU324" i="16"/>
  <c r="BU328" i="16"/>
  <c r="CI324" i="16"/>
  <c r="CI328" i="16"/>
  <c r="CW324" i="16"/>
  <c r="CW328" i="16"/>
  <c r="CW317" i="16"/>
  <c r="P324" i="16"/>
  <c r="AL324" i="16"/>
  <c r="Y325" i="16"/>
  <c r="BL325" i="16"/>
  <c r="CQ325" i="16"/>
  <c r="S338" i="16"/>
  <c r="AG338" i="16"/>
  <c r="BW338" i="16"/>
  <c r="CK338" i="16"/>
  <c r="BF316" i="16"/>
  <c r="AO317" i="16"/>
  <c r="CM316" i="16"/>
  <c r="CM319" i="16"/>
  <c r="R324" i="16"/>
  <c r="R317" i="16"/>
  <c r="AF324" i="16"/>
  <c r="AF317" i="16"/>
  <c r="AT324" i="16"/>
  <c r="AT317" i="16"/>
  <c r="BF319" i="16" s="1"/>
  <c r="BH324" i="16"/>
  <c r="BH317" i="16"/>
  <c r="BH328" i="16"/>
  <c r="BH325" i="16"/>
  <c r="BV324" i="16"/>
  <c r="BV317" i="16"/>
  <c r="BV328" i="16"/>
  <c r="BV325" i="16"/>
  <c r="CJ324" i="16"/>
  <c r="CJ317" i="16"/>
  <c r="CX324" i="16"/>
  <c r="CX317" i="16"/>
  <c r="CX325" i="16"/>
  <c r="CX328" i="16"/>
  <c r="Q324" i="16"/>
  <c r="BN324" i="16"/>
  <c r="AD325" i="16"/>
  <c r="BM325" i="16"/>
  <c r="CV325" i="16"/>
  <c r="BT328" i="16"/>
  <c r="CS328" i="16"/>
  <c r="BM339" i="16"/>
  <c r="BA340" i="16"/>
  <c r="AP316" i="16"/>
  <c r="AP318" i="16"/>
  <c r="BQ317" i="16"/>
  <c r="N318" i="16"/>
  <c r="BI324" i="16"/>
  <c r="BI317" i="16"/>
  <c r="U316" i="16"/>
  <c r="U318" i="16"/>
  <c r="AX316" i="16"/>
  <c r="AX318" i="16"/>
  <c r="CP317" i="16"/>
  <c r="BU325" i="16"/>
  <c r="DC325" i="16"/>
  <c r="I338" i="16"/>
  <c r="I339" i="16" s="1"/>
  <c r="W338" i="16"/>
  <c r="AY338" i="16"/>
  <c r="BJ339" i="16"/>
  <c r="AH339" i="16"/>
  <c r="V316" i="16"/>
  <c r="V318" i="16"/>
  <c r="AY316" i="16"/>
  <c r="CS317" i="16"/>
  <c r="X324" i="16"/>
  <c r="AR325" i="16"/>
  <c r="BW325" i="16"/>
  <c r="AZ338" i="16"/>
  <c r="BN338" i="16"/>
  <c r="CP338" i="16"/>
  <c r="G338" i="16"/>
  <c r="G339" i="16" s="1"/>
  <c r="DA338" i="16"/>
  <c r="BX339" i="16"/>
  <c r="CN316" i="16"/>
  <c r="CN318" i="16"/>
  <c r="Z328" i="16"/>
  <c r="Z325" i="16"/>
  <c r="AN328" i="16"/>
  <c r="AN325" i="16"/>
  <c r="BB328" i="16"/>
  <c r="BB325" i="16"/>
  <c r="BP328" i="16"/>
  <c r="BP325" i="16"/>
  <c r="CD328" i="16"/>
  <c r="CD325" i="16"/>
  <c r="CR328" i="16"/>
  <c r="CR325" i="16"/>
  <c r="CR317" i="16"/>
  <c r="BE325" i="16"/>
  <c r="CG325" i="16"/>
  <c r="BB324" i="16"/>
  <c r="AQ317" i="16"/>
  <c r="BL316" i="16"/>
  <c r="BL318" i="16"/>
  <c r="T324" i="16"/>
  <c r="T317" i="16"/>
  <c r="AH324" i="16"/>
  <c r="AH317" i="16"/>
  <c r="AH325" i="16"/>
  <c r="AV324" i="16"/>
  <c r="AV317" i="16"/>
  <c r="AV325" i="16"/>
  <c r="BJ324" i="16"/>
  <c r="BJ317" i="16"/>
  <c r="BJ325" i="16"/>
  <c r="BX324" i="16"/>
  <c r="BX317" i="16"/>
  <c r="BX325" i="16"/>
  <c r="CL324" i="16"/>
  <c r="CL317" i="16"/>
  <c r="CL325" i="16"/>
  <c r="CZ324" i="16"/>
  <c r="CZ317" i="16"/>
  <c r="CZ325" i="16"/>
  <c r="AN324" i="16"/>
  <c r="AQ328" i="16"/>
  <c r="Z317" i="16"/>
  <c r="H316" i="16"/>
  <c r="H318" i="16"/>
  <c r="CG317" i="16"/>
  <c r="DB316" i="16"/>
  <c r="DB318" i="16"/>
  <c r="CG324" i="16"/>
  <c r="H338" i="16"/>
  <c r="H339" i="16" s="1"/>
  <c r="V338" i="16"/>
  <c r="V339" i="16" s="1"/>
  <c r="AJ338" i="16"/>
  <c r="AX338" i="16"/>
  <c r="BL338" i="16"/>
  <c r="BZ338" i="16"/>
  <c r="CN338" i="16"/>
  <c r="DB338" i="16"/>
  <c r="BA192" i="16"/>
  <c r="BJ192" i="16"/>
  <c r="Y193" i="16"/>
  <c r="Y192" i="16"/>
  <c r="BB192" i="16"/>
  <c r="BP192" i="16"/>
  <c r="AK193" i="16"/>
  <c r="AK192" i="16"/>
  <c r="AY192" i="16"/>
  <c r="BM193" i="16"/>
  <c r="BM192" i="16"/>
  <c r="CA192" i="16"/>
  <c r="CO192" i="16"/>
  <c r="CL192" i="16"/>
  <c r="CI169" i="16"/>
  <c r="CW171" i="16"/>
  <c r="CW169" i="16"/>
  <c r="CR172" i="16"/>
  <c r="CR169" i="16"/>
  <c r="AO171" i="16"/>
  <c r="CR171" i="16"/>
  <c r="Q181" i="16"/>
  <c r="O191" i="16"/>
  <c r="O192" i="16" s="1"/>
  <c r="AC191" i="16"/>
  <c r="AQ191" i="16"/>
  <c r="BE191" i="16"/>
  <c r="BS191" i="16"/>
  <c r="CG191" i="16"/>
  <c r="CU191" i="16"/>
  <c r="BC172" i="16"/>
  <c r="BC169" i="16"/>
  <c r="N181" i="16"/>
  <c r="N178" i="16"/>
  <c r="AB178" i="16"/>
  <c r="AB181" i="16"/>
  <c r="AB177" i="16"/>
  <c r="AP178" i="16"/>
  <c r="AP181" i="16"/>
  <c r="BD178" i="16"/>
  <c r="BD181" i="16"/>
  <c r="BR178" i="16"/>
  <c r="BR181" i="16"/>
  <c r="BR170" i="16"/>
  <c r="CF178" i="16"/>
  <c r="CF181" i="16"/>
  <c r="CT178" i="16"/>
  <c r="CT181" i="16"/>
  <c r="AB192" i="16"/>
  <c r="CS169" i="16"/>
  <c r="BD170" i="16"/>
  <c r="CT170" i="16"/>
  <c r="BD177" i="16"/>
  <c r="AS181" i="16"/>
  <c r="CU171" i="16"/>
  <c r="CU172" i="16"/>
  <c r="AD181" i="16"/>
  <c r="AD178" i="16"/>
  <c r="AR181" i="16"/>
  <c r="BF181" i="16"/>
  <c r="BF178" i="16"/>
  <c r="BT181" i="16"/>
  <c r="BT178" i="16"/>
  <c r="BT170" i="16"/>
  <c r="CH181" i="16"/>
  <c r="CH178" i="16"/>
  <c r="CH177" i="16"/>
  <c r="CV178" i="16"/>
  <c r="CS192" i="16"/>
  <c r="R177" i="16"/>
  <c r="R170" i="16"/>
  <c r="R181" i="16"/>
  <c r="AF177" i="16"/>
  <c r="AT177" i="16"/>
  <c r="AT170" i="16"/>
  <c r="BV177" i="16"/>
  <c r="BV170" i="16"/>
  <c r="S177" i="16"/>
  <c r="S170" i="16"/>
  <c r="AG177" i="16"/>
  <c r="AG170" i="16"/>
  <c r="AG178" i="16"/>
  <c r="AU177" i="16"/>
  <c r="AU178" i="16"/>
  <c r="BI177" i="16"/>
  <c r="BI170" i="16"/>
  <c r="BI178" i="16"/>
  <c r="BI181" i="16"/>
  <c r="BW177" i="16"/>
  <c r="BW170" i="16"/>
  <c r="BW178" i="16"/>
  <c r="CY177" i="16"/>
  <c r="CY170" i="16"/>
  <c r="CY178" i="16"/>
  <c r="BW181" i="16"/>
  <c r="T177" i="16"/>
  <c r="T170" i="16"/>
  <c r="AH177" i="16"/>
  <c r="AH170" i="16"/>
  <c r="AH181" i="16"/>
  <c r="BJ177" i="16"/>
  <c r="BJ170" i="16"/>
  <c r="BX177" i="16"/>
  <c r="BX170" i="16"/>
  <c r="CZ177" i="16"/>
  <c r="CZ170" i="16"/>
  <c r="CZ181" i="16"/>
  <c r="BX181" i="16"/>
  <c r="N192" i="16"/>
  <c r="N193" i="16"/>
  <c r="BE169" i="16"/>
  <c r="AR170" i="16"/>
  <c r="CF171" i="16"/>
  <c r="AR177" i="16"/>
  <c r="CY181" i="16"/>
  <c r="AM192" i="16"/>
  <c r="AS170" i="16"/>
  <c r="BE172" i="16"/>
  <c r="AS177" i="16"/>
  <c r="AF181" i="16"/>
  <c r="BX192" i="16"/>
  <c r="CG169" i="16"/>
  <c r="I169" i="16"/>
  <c r="I171" i="16"/>
  <c r="AA171" i="16"/>
  <c r="AU170" i="16"/>
  <c r="AG181" i="16"/>
  <c r="AB170" i="16"/>
  <c r="BQ172" i="16"/>
  <c r="CO169" i="16"/>
  <c r="BM171" i="16"/>
  <c r="BR177" i="16"/>
  <c r="Z178" i="16"/>
  <c r="BB178" i="16"/>
  <c r="CD178" i="16"/>
  <c r="L191" i="16"/>
  <c r="L192" i="16" s="1"/>
  <c r="I191" i="16"/>
  <c r="I192" i="16" s="1"/>
  <c r="DC191" i="16"/>
  <c r="AV192" i="16"/>
  <c r="BF170" i="16"/>
  <c r="AE178" i="16"/>
  <c r="AE170" i="16"/>
  <c r="AE177" i="16"/>
  <c r="BG178" i="16"/>
  <c r="BG181" i="16"/>
  <c r="CI178" i="16"/>
  <c r="CI177" i="16"/>
  <c r="BU181" i="16"/>
  <c r="CJ177" i="16"/>
  <c r="CJ170" i="16"/>
  <c r="BG177" i="16"/>
  <c r="AT178" i="16"/>
  <c r="BV181" i="16"/>
  <c r="BD192" i="16"/>
  <c r="Q177" i="16"/>
  <c r="CW178" i="16"/>
  <c r="CW181" i="16"/>
  <c r="BF177" i="16"/>
  <c r="BG170" i="16"/>
  <c r="BH177" i="16"/>
  <c r="BH170" i="16"/>
  <c r="P177" i="16"/>
  <c r="CK177" i="16"/>
  <c r="CK170" i="16"/>
  <c r="CK178" i="16"/>
  <c r="AV177" i="16"/>
  <c r="AV170" i="16"/>
  <c r="AV178" i="16"/>
  <c r="CL177" i="16"/>
  <c r="CL170" i="16"/>
  <c r="CH170" i="16"/>
  <c r="Q172" i="16"/>
  <c r="P169" i="16"/>
  <c r="AO169" i="16"/>
  <c r="AC171" i="16"/>
  <c r="AC172" i="16"/>
  <c r="AY169" i="16"/>
  <c r="AY171" i="16"/>
  <c r="BT177" i="16"/>
  <c r="AF178" i="16"/>
  <c r="BH178" i="16"/>
  <c r="CJ178" i="16"/>
  <c r="BJ181" i="16"/>
  <c r="Q169" i="16"/>
  <c r="AD170" i="16"/>
  <c r="BU170" i="16"/>
  <c r="CG172" i="16" s="1"/>
  <c r="N171" i="16"/>
  <c r="AD177" i="16"/>
  <c r="BU177" i="16"/>
  <c r="AH178" i="16"/>
  <c r="BJ178" i="16"/>
  <c r="CL178" i="16"/>
  <c r="CI181" i="16"/>
  <c r="BB170" i="16"/>
  <c r="BN172" i="16" s="1"/>
  <c r="AC178" i="16"/>
  <c r="AQ178" i="16"/>
  <c r="BE178" i="16"/>
  <c r="BS178" i="16"/>
  <c r="CG178" i="16"/>
  <c r="CU178" i="16"/>
  <c r="BS177" i="16"/>
  <c r="BP178" i="16"/>
  <c r="CP178" i="16"/>
  <c r="BP177" i="16"/>
  <c r="AE191" i="16"/>
  <c r="AS191" i="16"/>
  <c r="BG191" i="16"/>
  <c r="BU191" i="16"/>
  <c r="CI191" i="16"/>
  <c r="CW191" i="16"/>
  <c r="AA178" i="16"/>
  <c r="AO178" i="16"/>
  <c r="BC178" i="16"/>
  <c r="BQ178" i="16"/>
  <c r="CE178" i="16"/>
  <c r="CS178" i="16"/>
  <c r="AC177" i="16"/>
  <c r="AN178" i="16"/>
  <c r="BN178" i="16"/>
  <c r="G191" i="16"/>
  <c r="G192" i="16" s="1"/>
  <c r="U191" i="16"/>
  <c r="U192" i="16" s="1"/>
  <c r="AI191" i="16"/>
  <c r="AW191" i="16"/>
  <c r="BK191" i="16"/>
  <c r="BY191" i="16"/>
  <c r="CM191" i="16"/>
  <c r="DA191" i="16"/>
  <c r="AA181" i="16"/>
  <c r="AO181" i="16"/>
  <c r="BC181" i="16"/>
  <c r="BQ181" i="16"/>
  <c r="CE181" i="16"/>
  <c r="CS181" i="16"/>
  <c r="H170" i="16"/>
  <c r="V170" i="16"/>
  <c r="AJ170" i="16"/>
  <c r="AX170" i="16"/>
  <c r="BL170" i="16"/>
  <c r="BZ170" i="16"/>
  <c r="CN170" i="16"/>
  <c r="DB170" i="16"/>
  <c r="CO143" i="16"/>
  <c r="AO143" i="16"/>
  <c r="AO144" i="16"/>
  <c r="BQ143" i="16"/>
  <c r="BQ144" i="16"/>
  <c r="CS143" i="16"/>
  <c r="CS144" i="16"/>
  <c r="AL143" i="16"/>
  <c r="AZ143" i="16"/>
  <c r="BN143" i="16"/>
  <c r="CP143" i="16"/>
  <c r="DA144" i="16"/>
  <c r="DA143" i="16"/>
  <c r="AT144" i="16"/>
  <c r="AT143" i="16"/>
  <c r="CA143" i="16"/>
  <c r="P122" i="16"/>
  <c r="P120" i="16"/>
  <c r="AV144" i="16"/>
  <c r="AV143" i="16"/>
  <c r="CL144" i="16"/>
  <c r="CL143" i="16"/>
  <c r="BD143" i="16"/>
  <c r="BD144" i="16"/>
  <c r="AI144" i="16"/>
  <c r="AI143" i="16"/>
  <c r="CM144" i="16"/>
  <c r="CM143" i="16"/>
  <c r="AJ144" i="16"/>
  <c r="AJ143" i="16"/>
  <c r="BL144" i="16"/>
  <c r="BL143" i="16"/>
  <c r="CN144" i="16"/>
  <c r="CN143" i="16"/>
  <c r="AA143" i="16"/>
  <c r="AA144" i="16"/>
  <c r="BC143" i="16"/>
  <c r="BC144" i="16"/>
  <c r="CE143" i="16"/>
  <c r="CE144" i="16"/>
  <c r="X143" i="16"/>
  <c r="BY144" i="16"/>
  <c r="BY143" i="16"/>
  <c r="CK144" i="16"/>
  <c r="AF144" i="16"/>
  <c r="AF143" i="16"/>
  <c r="CJ144" i="16"/>
  <c r="CJ143" i="16"/>
  <c r="BM143" i="16"/>
  <c r="DC144" i="16"/>
  <c r="DC143" i="16"/>
  <c r="T144" i="16"/>
  <c r="T143" i="16"/>
  <c r="AH144" i="16"/>
  <c r="AH143" i="16"/>
  <c r="BJ144" i="16"/>
  <c r="BJ143" i="16"/>
  <c r="N143" i="16"/>
  <c r="N144" i="16"/>
  <c r="AB143" i="16"/>
  <c r="AB144" i="16"/>
  <c r="AP143" i="16"/>
  <c r="AP144" i="16"/>
  <c r="BR143" i="16"/>
  <c r="BR144" i="16"/>
  <c r="U143" i="16"/>
  <c r="AG144" i="16"/>
  <c r="BK144" i="16"/>
  <c r="BK143" i="16"/>
  <c r="BH144" i="16"/>
  <c r="BH143" i="16"/>
  <c r="AY120" i="16"/>
  <c r="AY122" i="16"/>
  <c r="AY123" i="16"/>
  <c r="AO123" i="16"/>
  <c r="AA120" i="16"/>
  <c r="AA122" i="16"/>
  <c r="CB144" i="16"/>
  <c r="CQ123" i="16"/>
  <c r="CQ122" i="16"/>
  <c r="CQ120" i="16"/>
  <c r="O128" i="16"/>
  <c r="O121" i="16"/>
  <c r="AC129" i="16"/>
  <c r="AC128" i="16"/>
  <c r="AC121" i="16"/>
  <c r="AQ129" i="16"/>
  <c r="AQ128" i="16"/>
  <c r="AQ121" i="16"/>
  <c r="BE129" i="16"/>
  <c r="BE128" i="16"/>
  <c r="BE121" i="16"/>
  <c r="CU129" i="16"/>
  <c r="CU128" i="16"/>
  <c r="CU121" i="16"/>
  <c r="AC132" i="16"/>
  <c r="AX144" i="16"/>
  <c r="AX143" i="16"/>
  <c r="BX144" i="16"/>
  <c r="CZ144" i="16"/>
  <c r="BU122" i="16"/>
  <c r="BU120" i="16"/>
  <c r="BY120" i="16"/>
  <c r="BY123" i="16"/>
  <c r="BF128" i="16"/>
  <c r="CH129" i="16"/>
  <c r="AD132" i="16"/>
  <c r="K122" i="16"/>
  <c r="K120" i="16"/>
  <c r="AI120" i="16"/>
  <c r="AI123" i="16"/>
  <c r="BB122" i="16"/>
  <c r="P128" i="16"/>
  <c r="BZ144" i="16"/>
  <c r="BZ143" i="16"/>
  <c r="DB144" i="16"/>
  <c r="DB143" i="16"/>
  <c r="CF144" i="16"/>
  <c r="BD129" i="16"/>
  <c r="BD128" i="16"/>
  <c r="BD121" i="16"/>
  <c r="BD132" i="16"/>
  <c r="CT129" i="16"/>
  <c r="CT128" i="16"/>
  <c r="CT121" i="16"/>
  <c r="CT132" i="16"/>
  <c r="BV144" i="16"/>
  <c r="BS129" i="16"/>
  <c r="BS128" i="16"/>
  <c r="BS121" i="16"/>
  <c r="AE122" i="16"/>
  <c r="AE120" i="16"/>
  <c r="BA123" i="16"/>
  <c r="BA122" i="16"/>
  <c r="BA120" i="16"/>
  <c r="CR122" i="16"/>
  <c r="AY143" i="16"/>
  <c r="CV121" i="16"/>
  <c r="CP122" i="16"/>
  <c r="CA123" i="16"/>
  <c r="CU132" i="16"/>
  <c r="AC144" i="16"/>
  <c r="CG144" i="16"/>
  <c r="AP129" i="16"/>
  <c r="AP128" i="16"/>
  <c r="AP121" i="16"/>
  <c r="BB123" i="16" s="1"/>
  <c r="AP132" i="16"/>
  <c r="W144" i="16"/>
  <c r="W143" i="16"/>
  <c r="CG129" i="16"/>
  <c r="CG128" i="16"/>
  <c r="CG121" i="16"/>
  <c r="CP120" i="16"/>
  <c r="BF121" i="16"/>
  <c r="CW122" i="16"/>
  <c r="CW120" i="16"/>
  <c r="DB123" i="16"/>
  <c r="S128" i="16"/>
  <c r="S121" i="16"/>
  <c r="AE129" i="16"/>
  <c r="AG128" i="16"/>
  <c r="AG121" i="16"/>
  <c r="AS129" i="16"/>
  <c r="AU128" i="16"/>
  <c r="AU121" i="16"/>
  <c r="BG129" i="16"/>
  <c r="BI128" i="16"/>
  <c r="BI121" i="16"/>
  <c r="BU129" i="16"/>
  <c r="BW128" i="16"/>
  <c r="BW121" i="16"/>
  <c r="CI129" i="16"/>
  <c r="CK128" i="16"/>
  <c r="CK121" i="16"/>
  <c r="CW129" i="16"/>
  <c r="CY128" i="16"/>
  <c r="CY121" i="16"/>
  <c r="AG132" i="16"/>
  <c r="BE132" i="16"/>
  <c r="CV132" i="16"/>
  <c r="AD144" i="16"/>
  <c r="BF144" i="16"/>
  <c r="CH144" i="16"/>
  <c r="CS120" i="16"/>
  <c r="Q122" i="16"/>
  <c r="Q123" i="16"/>
  <c r="Q120" i="16"/>
  <c r="AM123" i="16"/>
  <c r="AM122" i="16"/>
  <c r="AM120" i="16"/>
  <c r="BK120" i="16"/>
  <c r="BK123" i="16"/>
  <c r="CD123" i="16"/>
  <c r="CD122" i="16"/>
  <c r="BY122" i="16"/>
  <c r="AR128" i="16"/>
  <c r="BP129" i="16"/>
  <c r="P132" i="16"/>
  <c r="AQ143" i="16"/>
  <c r="BS143" i="16"/>
  <c r="CU143" i="16"/>
  <c r="AB129" i="16"/>
  <c r="AB128" i="16"/>
  <c r="AB121" i="16"/>
  <c r="AB132" i="16"/>
  <c r="CF129" i="16"/>
  <c r="CF128" i="16"/>
  <c r="CF121" i="16"/>
  <c r="CR123" i="16" s="1"/>
  <c r="CF132" i="16"/>
  <c r="CX144" i="16"/>
  <c r="CC123" i="16"/>
  <c r="CC122" i="16"/>
  <c r="CC120" i="16"/>
  <c r="DC123" i="16"/>
  <c r="AV128" i="16"/>
  <c r="AV121" i="16"/>
  <c r="AV132" i="16"/>
  <c r="CL128" i="16"/>
  <c r="CL121" i="16"/>
  <c r="CL132" i="16"/>
  <c r="AR129" i="16"/>
  <c r="O132" i="16"/>
  <c r="BI144" i="16"/>
  <c r="AK123" i="16"/>
  <c r="BT129" i="16"/>
  <c r="CY132" i="16"/>
  <c r="AK143" i="16"/>
  <c r="AS143" i="16"/>
  <c r="CW143" i="16"/>
  <c r="AZ120" i="16"/>
  <c r="BC122" i="16"/>
  <c r="BL123" i="16"/>
  <c r="BP128" i="16"/>
  <c r="AV129" i="16"/>
  <c r="CG132" i="16"/>
  <c r="BV143" i="16"/>
  <c r="N128" i="16"/>
  <c r="N121" i="16"/>
  <c r="N132" i="16"/>
  <c r="BR129" i="16"/>
  <c r="BR128" i="16"/>
  <c r="BR121" i="16"/>
  <c r="BR132" i="16"/>
  <c r="DA120" i="16"/>
  <c r="DA123" i="16"/>
  <c r="T128" i="16"/>
  <c r="T121" i="16"/>
  <c r="T132" i="16"/>
  <c r="AH128" i="16"/>
  <c r="AH121" i="16"/>
  <c r="AH132" i="16"/>
  <c r="BJ128" i="16"/>
  <c r="BJ121" i="16"/>
  <c r="BJ132" i="16"/>
  <c r="BX128" i="16"/>
  <c r="BX121" i="16"/>
  <c r="BX132" i="16"/>
  <c r="CZ128" i="16"/>
  <c r="CZ121" i="16"/>
  <c r="CZ132" i="16"/>
  <c r="CH128" i="16"/>
  <c r="BT120" i="16"/>
  <c r="AN122" i="16"/>
  <c r="AZ122" i="16"/>
  <c r="AU129" i="16"/>
  <c r="Q143" i="16"/>
  <c r="BU143" i="16"/>
  <c r="CH121" i="16"/>
  <c r="CA122" i="16"/>
  <c r="T129" i="16"/>
  <c r="BV129" i="16"/>
  <c r="CR129" i="16"/>
  <c r="BI132" i="16"/>
  <c r="CX143" i="16"/>
  <c r="BB120" i="16"/>
  <c r="AR121" i="16"/>
  <c r="BN123" i="16"/>
  <c r="CI122" i="16"/>
  <c r="CI120" i="16"/>
  <c r="CB122" i="16"/>
  <c r="BM123" i="16"/>
  <c r="X132" i="16"/>
  <c r="X129" i="16"/>
  <c r="AL132" i="16"/>
  <c r="AL129" i="16"/>
  <c r="AZ132" i="16"/>
  <c r="AZ129" i="16"/>
  <c r="BN132" i="16"/>
  <c r="BN129" i="16"/>
  <c r="CB132" i="16"/>
  <c r="CB129" i="16"/>
  <c r="CP132" i="16"/>
  <c r="CP129" i="16"/>
  <c r="Z128" i="16"/>
  <c r="BW129" i="16"/>
  <c r="S132" i="16"/>
  <c r="AQ132" i="16"/>
  <c r="K142" i="16"/>
  <c r="Y142" i="16"/>
  <c r="AM142" i="16"/>
  <c r="BA142" i="16"/>
  <c r="BO142" i="16"/>
  <c r="CC142" i="16"/>
  <c r="CQ142" i="16"/>
  <c r="AU143" i="16"/>
  <c r="BW143" i="16"/>
  <c r="CY143" i="16"/>
  <c r="CT144" i="16"/>
  <c r="CR120" i="16"/>
  <c r="CB120" i="16"/>
  <c r="X121" i="16"/>
  <c r="AS122" i="16"/>
  <c r="AS120" i="16"/>
  <c r="BO123" i="16"/>
  <c r="BO122" i="16"/>
  <c r="BO120" i="16"/>
  <c r="CM120" i="16"/>
  <c r="CM123" i="16"/>
  <c r="I122" i="16"/>
  <c r="AI122" i="16"/>
  <c r="CE122" i="16"/>
  <c r="DC122" i="16"/>
  <c r="CN123" i="16"/>
  <c r="CP128" i="16"/>
  <c r="Z129" i="16"/>
  <c r="AX129" i="16"/>
  <c r="BX129" i="16"/>
  <c r="CX129" i="16"/>
  <c r="L142" i="16"/>
  <c r="L143" i="16" s="1"/>
  <c r="Z142" i="16"/>
  <c r="AN142" i="16"/>
  <c r="AZ144" i="16" s="1"/>
  <c r="BB142" i="16"/>
  <c r="BP142" i="16"/>
  <c r="CD142" i="16"/>
  <c r="CR142" i="16"/>
  <c r="BX143" i="16"/>
  <c r="CZ143" i="16"/>
  <c r="BG122" i="16"/>
  <c r="BG120" i="16"/>
  <c r="BP123" i="16"/>
  <c r="BP122" i="16"/>
  <c r="AD120" i="16"/>
  <c r="CD120" i="16"/>
  <c r="Y123" i="16"/>
  <c r="Y122" i="16"/>
  <c r="Y120" i="16"/>
  <c r="AW120" i="16"/>
  <c r="AW123" i="16"/>
  <c r="J122" i="16"/>
  <c r="K123" i="16"/>
  <c r="CO123" i="16"/>
  <c r="AD128" i="16"/>
  <c r="CY129" i="16"/>
  <c r="AW143" i="16"/>
  <c r="AR144" i="16"/>
  <c r="BT144" i="16"/>
  <c r="CV144" i="16"/>
  <c r="Z121" i="16"/>
  <c r="AK122" i="16"/>
  <c r="BK122" i="16"/>
  <c r="AA129" i="16"/>
  <c r="AO129" i="16"/>
  <c r="BC129" i="16"/>
  <c r="BQ129" i="16"/>
  <c r="CE129" i="16"/>
  <c r="CS129" i="16"/>
  <c r="J128" i="16"/>
  <c r="CR128" i="16"/>
  <c r="AF129" i="16"/>
  <c r="BB129" i="16"/>
  <c r="BZ129" i="16"/>
  <c r="CZ129" i="16"/>
  <c r="BQ132" i="16"/>
  <c r="CK132" i="16"/>
  <c r="W129" i="16"/>
  <c r="AK129" i="16"/>
  <c r="AY129" i="16"/>
  <c r="BM129" i="16"/>
  <c r="CA129" i="16"/>
  <c r="CO129" i="16"/>
  <c r="DC129" i="16"/>
  <c r="R121" i="16"/>
  <c r="AD123" i="16" s="1"/>
  <c r="AF121" i="16"/>
  <c r="AT121" i="16"/>
  <c r="BH121" i="16"/>
  <c r="BV121" i="16"/>
  <c r="CJ121" i="16"/>
  <c r="CX121" i="16"/>
  <c r="Y94" i="16"/>
  <c r="BO94" i="16"/>
  <c r="AJ95" i="16"/>
  <c r="AJ94" i="16"/>
  <c r="K94" i="16"/>
  <c r="K95" i="16"/>
  <c r="CC94" i="16"/>
  <c r="BL95" i="16"/>
  <c r="BL94" i="16"/>
  <c r="X94" i="16"/>
  <c r="X95" i="16"/>
  <c r="CB94" i="16"/>
  <c r="CB95" i="16"/>
  <c r="CP94" i="16"/>
  <c r="CP95" i="16"/>
  <c r="BZ95" i="16"/>
  <c r="BZ94" i="16"/>
  <c r="G71" i="16"/>
  <c r="G73" i="16"/>
  <c r="BC73" i="16"/>
  <c r="BC71" i="16"/>
  <c r="DA71" i="16"/>
  <c r="DA74" i="16"/>
  <c r="DA73" i="16"/>
  <c r="N94" i="16"/>
  <c r="N95" i="16"/>
  <c r="BR94" i="16"/>
  <c r="CF94" i="16"/>
  <c r="CT94" i="16"/>
  <c r="CJ95" i="16"/>
  <c r="CJ94" i="16"/>
  <c r="BD73" i="16"/>
  <c r="BD74" i="16"/>
  <c r="CC74" i="16"/>
  <c r="CC71" i="16"/>
  <c r="AC95" i="16"/>
  <c r="AQ95" i="16"/>
  <c r="BE95" i="16"/>
  <c r="BS95" i="16"/>
  <c r="CG95" i="16"/>
  <c r="CU95" i="16"/>
  <c r="AM94" i="16"/>
  <c r="CN95" i="16"/>
  <c r="AS95" i="16"/>
  <c r="AI71" i="16"/>
  <c r="AI74" i="16"/>
  <c r="AI73" i="16"/>
  <c r="CE73" i="16"/>
  <c r="CE71" i="16"/>
  <c r="CC73" i="16"/>
  <c r="AB80" i="16"/>
  <c r="AB83" i="16"/>
  <c r="AP80" i="16"/>
  <c r="AP83" i="16"/>
  <c r="BD80" i="16"/>
  <c r="BD83" i="16"/>
  <c r="BR80" i="16"/>
  <c r="BR83" i="16"/>
  <c r="CF80" i="16"/>
  <c r="CF83" i="16"/>
  <c r="CT80" i="16"/>
  <c r="CT83" i="16"/>
  <c r="P93" i="16"/>
  <c r="P94" i="16" s="1"/>
  <c r="AD93" i="16"/>
  <c r="AR93" i="16"/>
  <c r="BF93" i="16"/>
  <c r="BT93" i="16"/>
  <c r="CF95" i="16" s="1"/>
  <c r="CH93" i="16"/>
  <c r="CT95" i="16" s="1"/>
  <c r="CV93" i="16"/>
  <c r="AT95" i="16"/>
  <c r="AT94" i="16"/>
  <c r="AQ94" i="16"/>
  <c r="CM94" i="16"/>
  <c r="AZ95" i="16"/>
  <c r="Q95" i="16"/>
  <c r="Q94" i="16"/>
  <c r="CF73" i="16"/>
  <c r="M73" i="16"/>
  <c r="M71" i="16"/>
  <c r="AO73" i="16"/>
  <c r="AO71" i="16"/>
  <c r="T95" i="16"/>
  <c r="T94" i="16"/>
  <c r="AH95" i="16"/>
  <c r="AH94" i="16"/>
  <c r="AV95" i="16"/>
  <c r="AV94" i="16"/>
  <c r="BJ95" i="16"/>
  <c r="BJ94" i="16"/>
  <c r="BX95" i="16"/>
  <c r="BX94" i="16"/>
  <c r="CL95" i="16"/>
  <c r="CL94" i="16"/>
  <c r="CZ95" i="16"/>
  <c r="CZ94" i="16"/>
  <c r="CF71" i="16"/>
  <c r="AP73" i="16"/>
  <c r="BO74" i="16"/>
  <c r="BO71" i="16"/>
  <c r="BC74" i="16"/>
  <c r="BR79" i="16"/>
  <c r="BI94" i="16"/>
  <c r="P79" i="16"/>
  <c r="P72" i="16"/>
  <c r="P83" i="16"/>
  <c r="AR79" i="16"/>
  <c r="AR72" i="16"/>
  <c r="AR83" i="16"/>
  <c r="CV79" i="16"/>
  <c r="CV72" i="16"/>
  <c r="CV83" i="16"/>
  <c r="Z94" i="16"/>
  <c r="Z95" i="16"/>
  <c r="AN94" i="16"/>
  <c r="AN95" i="16"/>
  <c r="CD94" i="16"/>
  <c r="CD95" i="16"/>
  <c r="CR94" i="16"/>
  <c r="CR95" i="16"/>
  <c r="CX95" i="16"/>
  <c r="CX94" i="16"/>
  <c r="K73" i="16"/>
  <c r="AE79" i="16"/>
  <c r="AE72" i="16"/>
  <c r="AE80" i="16"/>
  <c r="CW79" i="16"/>
  <c r="CW72" i="16"/>
  <c r="CW80" i="16"/>
  <c r="BA94" i="16"/>
  <c r="BA95" i="16"/>
  <c r="AX94" i="16"/>
  <c r="U71" i="16"/>
  <c r="U73" i="16"/>
  <c r="BQ73" i="16"/>
  <c r="BQ71" i="16"/>
  <c r="CW83" i="16"/>
  <c r="BR72" i="16"/>
  <c r="CT79" i="16"/>
  <c r="AK95" i="16"/>
  <c r="AK94" i="16"/>
  <c r="AY95" i="16"/>
  <c r="AY94" i="16"/>
  <c r="BM95" i="16"/>
  <c r="BM94" i="16"/>
  <c r="CA95" i="16"/>
  <c r="CA94" i="16"/>
  <c r="CO95" i="16"/>
  <c r="CO94" i="16"/>
  <c r="DC95" i="16"/>
  <c r="DC94" i="16"/>
  <c r="BE94" i="16"/>
  <c r="AW74" i="16"/>
  <c r="AW71" i="16"/>
  <c r="AW73" i="16"/>
  <c r="CS73" i="16"/>
  <c r="CS71" i="16"/>
  <c r="BV95" i="16"/>
  <c r="BV94" i="16"/>
  <c r="BS94" i="16"/>
  <c r="BF79" i="16"/>
  <c r="BF72" i="16"/>
  <c r="BF83" i="16"/>
  <c r="BF80" i="16"/>
  <c r="BP94" i="16"/>
  <c r="BP95" i="16"/>
  <c r="BU79" i="16"/>
  <c r="BU72" i="16"/>
  <c r="BU80" i="16"/>
  <c r="CM71" i="16"/>
  <c r="CM74" i="16"/>
  <c r="CM73" i="16"/>
  <c r="BH95" i="16"/>
  <c r="BH94" i="16"/>
  <c r="BU83" i="16"/>
  <c r="W95" i="16"/>
  <c r="W94" i="16"/>
  <c r="Y74" i="16"/>
  <c r="Y71" i="16"/>
  <c r="CT72" i="16"/>
  <c r="BO73" i="16"/>
  <c r="K74" i="16"/>
  <c r="BQ74" i="16"/>
  <c r="AB79" i="16"/>
  <c r="AR80" i="16"/>
  <c r="CV80" i="16"/>
  <c r="BW94" i="16"/>
  <c r="AE95" i="16"/>
  <c r="CI95" i="16"/>
  <c r="CQ94" i="16"/>
  <c r="CQ95" i="16"/>
  <c r="BK74" i="16"/>
  <c r="BK71" i="16"/>
  <c r="BK73" i="16"/>
  <c r="AD79" i="16"/>
  <c r="AD72" i="16"/>
  <c r="AD83" i="16"/>
  <c r="BT79" i="16"/>
  <c r="BT72" i="16"/>
  <c r="BT83" i="16"/>
  <c r="CH79" i="16"/>
  <c r="CH72" i="16"/>
  <c r="CH83" i="16"/>
  <c r="CH80" i="16"/>
  <c r="BB94" i="16"/>
  <c r="BB95" i="16"/>
  <c r="AM74" i="16"/>
  <c r="AM71" i="16"/>
  <c r="Q79" i="16"/>
  <c r="Q72" i="16"/>
  <c r="Q80" i="16"/>
  <c r="AS79" i="16"/>
  <c r="AS72" i="16"/>
  <c r="AS80" i="16"/>
  <c r="BG79" i="16"/>
  <c r="BG72" i="16"/>
  <c r="BG80" i="16"/>
  <c r="CI79" i="16"/>
  <c r="CI72" i="16"/>
  <c r="CI80" i="16"/>
  <c r="DB95" i="16"/>
  <c r="BG95" i="16"/>
  <c r="Q83" i="16"/>
  <c r="BU95" i="16"/>
  <c r="CQ74" i="16"/>
  <c r="CQ71" i="16"/>
  <c r="BD71" i="16"/>
  <c r="AA73" i="16"/>
  <c r="AA71" i="16"/>
  <c r="BY71" i="16"/>
  <c r="BY74" i="16"/>
  <c r="BY73" i="16"/>
  <c r="N74" i="16"/>
  <c r="J83" i="16"/>
  <c r="J79" i="16"/>
  <c r="J72" i="16"/>
  <c r="X80" i="16"/>
  <c r="X83" i="16"/>
  <c r="X79" i="16"/>
  <c r="X72" i="16"/>
  <c r="AL83" i="16"/>
  <c r="AL80" i="16"/>
  <c r="AL79" i="16"/>
  <c r="AL72" i="16"/>
  <c r="AZ83" i="16"/>
  <c r="AZ80" i="16"/>
  <c r="AZ79" i="16"/>
  <c r="AZ72" i="16"/>
  <c r="BN83" i="16"/>
  <c r="BN80" i="16"/>
  <c r="BN79" i="16"/>
  <c r="BN72" i="16"/>
  <c r="BZ74" i="16" s="1"/>
  <c r="CB80" i="16"/>
  <c r="CB83" i="16"/>
  <c r="CB79" i="16"/>
  <c r="CB72" i="16"/>
  <c r="CN74" i="16" s="1"/>
  <c r="CP83" i="16"/>
  <c r="CP80" i="16"/>
  <c r="CP79" i="16"/>
  <c r="CP72" i="16"/>
  <c r="AF95" i="16"/>
  <c r="AF94" i="16"/>
  <c r="AC94" i="16"/>
  <c r="BY94" i="16"/>
  <c r="AL95" i="16"/>
  <c r="N71" i="16"/>
  <c r="AB72" i="16"/>
  <c r="BA74" i="16"/>
  <c r="BA71" i="16"/>
  <c r="AA74" i="16"/>
  <c r="BW74" i="16"/>
  <c r="BD79" i="16"/>
  <c r="M93" i="16"/>
  <c r="M94" i="16" s="1"/>
  <c r="AA93" i="16"/>
  <c r="AM95" i="16" s="1"/>
  <c r="AO93" i="16"/>
  <c r="BC93" i="16"/>
  <c r="BQ93" i="16"/>
  <c r="CC95" i="16" s="1"/>
  <c r="CE93" i="16"/>
  <c r="CS93" i="16"/>
  <c r="AG94" i="16"/>
  <c r="AP95" i="16"/>
  <c r="CW95" i="16"/>
  <c r="K80" i="16"/>
  <c r="O71" i="16"/>
  <c r="AC71" i="16"/>
  <c r="AQ71" i="16"/>
  <c r="BE71" i="16"/>
  <c r="BS71" i="16"/>
  <c r="CG71" i="16"/>
  <c r="CU71" i="16"/>
  <c r="L72" i="16"/>
  <c r="Z72" i="16"/>
  <c r="AN72" i="16"/>
  <c r="BB72" i="16"/>
  <c r="BP72" i="16"/>
  <c r="CD72" i="16"/>
  <c r="CR72" i="16"/>
  <c r="I73" i="16"/>
  <c r="W73" i="16"/>
  <c r="AK73" i="16"/>
  <c r="AY73" i="16"/>
  <c r="BM73" i="16"/>
  <c r="CA73" i="16"/>
  <c r="CO73" i="16"/>
  <c r="DC73" i="16"/>
  <c r="L79" i="16"/>
  <c r="Z79" i="16"/>
  <c r="AN79" i="16"/>
  <c r="BB79" i="16"/>
  <c r="BP79" i="16"/>
  <c r="CD79" i="16"/>
  <c r="CR79" i="16"/>
  <c r="R83" i="16"/>
  <c r="AF83" i="16"/>
  <c r="AT83" i="16"/>
  <c r="BH83" i="16"/>
  <c r="BV83" i="16"/>
  <c r="CJ83" i="16"/>
  <c r="CX83" i="16"/>
  <c r="AX74" i="16"/>
  <c r="BL74" i="16"/>
  <c r="DB74" i="16"/>
  <c r="Y80" i="16"/>
  <c r="AM80" i="16"/>
  <c r="BA80" i="16"/>
  <c r="BO80" i="16"/>
  <c r="CC80" i="16"/>
  <c r="CQ80" i="16"/>
  <c r="W74" i="16"/>
  <c r="AK74" i="16"/>
  <c r="AY74" i="16"/>
  <c r="BM74" i="16"/>
  <c r="CA74" i="16"/>
  <c r="CO74" i="16"/>
  <c r="DC74" i="16"/>
  <c r="Z80" i="16"/>
  <c r="AN80" i="16"/>
  <c r="BB80" i="16"/>
  <c r="BP80" i="16"/>
  <c r="CD80" i="16"/>
  <c r="CR80" i="16"/>
  <c r="R72" i="16"/>
  <c r="AF72" i="16"/>
  <c r="AT72" i="16"/>
  <c r="BH72" i="16"/>
  <c r="BV72" i="16"/>
  <c r="CJ72" i="16"/>
  <c r="CX72" i="16"/>
  <c r="T72" i="16"/>
  <c r="AH72" i="16"/>
  <c r="AV72" i="16"/>
  <c r="BJ72" i="16"/>
  <c r="BX72" i="16"/>
  <c r="CL72" i="16"/>
  <c r="CZ72" i="16"/>
  <c r="G54" i="16"/>
  <c r="G53" i="16"/>
  <c r="H54" i="16"/>
  <c r="I132" i="10"/>
  <c r="AK132" i="10"/>
  <c r="AJ132" i="10"/>
  <c r="AG132" i="10"/>
  <c r="AE123" i="10"/>
  <c r="AE132" i="10" s="1"/>
  <c r="AH132" i="10"/>
  <c r="R123" i="10"/>
  <c r="R132" i="10" s="1"/>
  <c r="AF123" i="10"/>
  <c r="AF132" i="10" s="1"/>
  <c r="K132" i="10"/>
  <c r="Y132" i="10"/>
  <c r="AM132" i="10"/>
  <c r="U132" i="10"/>
  <c r="AI132" i="10"/>
  <c r="N123" i="10"/>
  <c r="N132" i="10" s="1"/>
  <c r="AB123" i="10"/>
  <c r="AB132" i="10" s="1"/>
  <c r="V132" i="10"/>
  <c r="AD123" i="10"/>
  <c r="AD132" i="10" s="1"/>
  <c r="S132" i="10"/>
  <c r="Q123" i="10"/>
  <c r="Q132" i="10" s="1"/>
  <c r="T132" i="10"/>
  <c r="L132" i="10"/>
  <c r="M132" i="10"/>
  <c r="AA132" i="10"/>
  <c r="AO132" i="10"/>
  <c r="P123" i="10"/>
  <c r="P132" i="10" s="1"/>
  <c r="AL132" i="10"/>
  <c r="W132" i="10"/>
  <c r="X132" i="10"/>
  <c r="AN132" i="10"/>
  <c r="O123" i="10"/>
  <c r="O132" i="10" s="1"/>
  <c r="AC123" i="10"/>
  <c r="AC132" i="10" s="1"/>
  <c r="J132" i="10"/>
  <c r="Z132" i="10"/>
  <c r="BS417" i="16" l="1"/>
  <c r="BS416" i="16"/>
  <c r="BS414" i="16"/>
  <c r="CF417" i="16"/>
  <c r="CF416" i="16"/>
  <c r="CF414" i="16"/>
  <c r="BH416" i="16"/>
  <c r="BH417" i="16"/>
  <c r="Z438" i="16"/>
  <c r="Z437" i="16"/>
  <c r="AZ437" i="16"/>
  <c r="AZ438" i="16"/>
  <c r="BM438" i="16"/>
  <c r="BM437" i="16"/>
  <c r="AB423" i="16"/>
  <c r="AB422" i="16"/>
  <c r="AB426" i="16"/>
  <c r="W437" i="16"/>
  <c r="W438" i="16"/>
  <c r="AP416" i="16"/>
  <c r="AP414" i="16"/>
  <c r="BV437" i="16"/>
  <c r="BV438" i="16"/>
  <c r="BX422" i="16"/>
  <c r="BX423" i="16"/>
  <c r="BX426" i="16"/>
  <c r="CJ423" i="16"/>
  <c r="CC438" i="16"/>
  <c r="CC437" i="16"/>
  <c r="BH437" i="16"/>
  <c r="BH438" i="16"/>
  <c r="BM417" i="16"/>
  <c r="BM414" i="16"/>
  <c r="BM416" i="16"/>
  <c r="W416" i="16"/>
  <c r="W417" i="16"/>
  <c r="W414" i="16"/>
  <c r="AP437" i="16"/>
  <c r="AP438" i="16"/>
  <c r="CZ416" i="16"/>
  <c r="CZ417" i="16"/>
  <c r="CV437" i="16"/>
  <c r="CV438" i="16"/>
  <c r="BJ426" i="16"/>
  <c r="BJ423" i="16"/>
  <c r="BJ422" i="16"/>
  <c r="X438" i="16"/>
  <c r="X437" i="16"/>
  <c r="AT437" i="16"/>
  <c r="AT438" i="16"/>
  <c r="AK417" i="16"/>
  <c r="AK416" i="16"/>
  <c r="CB423" i="16"/>
  <c r="BP422" i="16"/>
  <c r="BP423" i="16"/>
  <c r="BP426" i="16"/>
  <c r="AW437" i="16"/>
  <c r="AW438" i="16"/>
  <c r="BG417" i="16"/>
  <c r="BG414" i="16"/>
  <c r="BG416" i="16"/>
  <c r="AF423" i="16"/>
  <c r="AF426" i="16"/>
  <c r="AF422" i="16"/>
  <c r="AF415" i="16"/>
  <c r="AB415" i="16"/>
  <c r="AK414" i="16"/>
  <c r="BS438" i="16"/>
  <c r="BS437" i="16"/>
  <c r="AR416" i="16"/>
  <c r="AR414" i="16"/>
  <c r="AF437" i="16"/>
  <c r="AF438" i="16"/>
  <c r="CV423" i="16"/>
  <c r="CV426" i="16"/>
  <c r="CV415" i="16"/>
  <c r="CV422" i="16"/>
  <c r="BT438" i="16"/>
  <c r="BT437" i="16"/>
  <c r="AW417" i="16"/>
  <c r="AW416" i="16"/>
  <c r="CX422" i="16"/>
  <c r="CX426" i="16"/>
  <c r="CX423" i="16"/>
  <c r="AB438" i="16"/>
  <c r="AB437" i="16"/>
  <c r="CR416" i="16"/>
  <c r="CR417" i="16"/>
  <c r="BE417" i="16"/>
  <c r="BE416" i="16"/>
  <c r="T426" i="16"/>
  <c r="T423" i="16"/>
  <c r="T422" i="16"/>
  <c r="CY437" i="16"/>
  <c r="CY438" i="16"/>
  <c r="DB438" i="16"/>
  <c r="DB437" i="16"/>
  <c r="I414" i="16"/>
  <c r="BI417" i="16"/>
  <c r="CD416" i="16"/>
  <c r="CD417" i="16"/>
  <c r="CP417" i="16"/>
  <c r="BE438" i="16"/>
  <c r="BE437" i="16"/>
  <c r="CK438" i="16"/>
  <c r="CK437" i="16"/>
  <c r="AK422" i="16"/>
  <c r="AK423" i="16"/>
  <c r="AK426" i="16"/>
  <c r="AW423" i="16"/>
  <c r="CH423" i="16"/>
  <c r="CH426" i="16"/>
  <c r="CH422" i="16"/>
  <c r="CH415" i="16"/>
  <c r="BZ417" i="16"/>
  <c r="BZ414" i="16"/>
  <c r="BZ416" i="16"/>
  <c r="BL438" i="16"/>
  <c r="BL437" i="16"/>
  <c r="BX438" i="16"/>
  <c r="BV423" i="16"/>
  <c r="AQ417" i="16"/>
  <c r="AQ414" i="16"/>
  <c r="AQ416" i="16"/>
  <c r="BW437" i="16"/>
  <c r="BW438" i="16"/>
  <c r="CW414" i="16"/>
  <c r="CW416" i="16"/>
  <c r="CW417" i="16"/>
  <c r="AN437" i="16"/>
  <c r="AN438" i="16"/>
  <c r="BP437" i="16"/>
  <c r="BP438" i="16"/>
  <c r="BZ437" i="16"/>
  <c r="BZ438" i="16"/>
  <c r="AE438" i="16"/>
  <c r="AE437" i="16"/>
  <c r="U416" i="16"/>
  <c r="U414" i="16"/>
  <c r="BI438" i="16"/>
  <c r="BC417" i="16"/>
  <c r="AN423" i="16"/>
  <c r="BB417" i="16"/>
  <c r="AQ438" i="16"/>
  <c r="AQ437" i="16"/>
  <c r="CL422" i="16"/>
  <c r="CL426" i="16"/>
  <c r="CL423" i="16"/>
  <c r="CX437" i="16"/>
  <c r="CX438" i="16"/>
  <c r="CA438" i="16"/>
  <c r="CA437" i="16"/>
  <c r="CE423" i="16"/>
  <c r="BS422" i="16"/>
  <c r="BS423" i="16"/>
  <c r="BS426" i="16"/>
  <c r="AL437" i="16"/>
  <c r="AL438" i="16"/>
  <c r="AI437" i="16"/>
  <c r="AI438" i="16"/>
  <c r="CX415" i="16"/>
  <c r="DB417" i="16"/>
  <c r="DB414" i="16"/>
  <c r="DB416" i="16"/>
  <c r="CE438" i="16"/>
  <c r="CE437" i="16"/>
  <c r="S416" i="16"/>
  <c r="S414" i="16"/>
  <c r="W423" i="16"/>
  <c r="W422" i="16"/>
  <c r="W426" i="16"/>
  <c r="Q414" i="16"/>
  <c r="Q416" i="16"/>
  <c r="Q417" i="16"/>
  <c r="Z426" i="16"/>
  <c r="Z422" i="16"/>
  <c r="AL423" i="16"/>
  <c r="Z423" i="16"/>
  <c r="BF426" i="16"/>
  <c r="BF423" i="16"/>
  <c r="BF415" i="16"/>
  <c r="BF422" i="16"/>
  <c r="BX415" i="16"/>
  <c r="AJ437" i="16"/>
  <c r="AJ438" i="16"/>
  <c r="T415" i="16"/>
  <c r="CB438" i="16"/>
  <c r="DA416" i="16"/>
  <c r="DA417" i="16"/>
  <c r="DA414" i="16"/>
  <c r="BT417" i="16"/>
  <c r="BT416" i="16"/>
  <c r="BC438" i="16"/>
  <c r="BC437" i="16"/>
  <c r="CR414" i="16"/>
  <c r="BH426" i="16"/>
  <c r="BH423" i="16"/>
  <c r="BH422" i="16"/>
  <c r="N438" i="16"/>
  <c r="N437" i="16"/>
  <c r="Z415" i="16"/>
  <c r="AM437" i="16"/>
  <c r="AM438" i="16"/>
  <c r="AD426" i="16"/>
  <c r="AD422" i="16"/>
  <c r="AD423" i="16"/>
  <c r="AD415" i="16"/>
  <c r="CF423" i="16"/>
  <c r="CF426" i="16"/>
  <c r="CF422" i="16"/>
  <c r="AO417" i="16"/>
  <c r="AO416" i="16"/>
  <c r="Y438" i="16"/>
  <c r="Y437" i="16"/>
  <c r="AY416" i="16"/>
  <c r="AY417" i="16"/>
  <c r="CG438" i="16"/>
  <c r="CG437" i="16"/>
  <c r="AX416" i="16"/>
  <c r="AX414" i="16"/>
  <c r="AX417" i="16"/>
  <c r="BJ415" i="16"/>
  <c r="AC417" i="16"/>
  <c r="AC416" i="16"/>
  <c r="AC414" i="16"/>
  <c r="AO414" i="16"/>
  <c r="AR438" i="16"/>
  <c r="AO438" i="16"/>
  <c r="AO437" i="16"/>
  <c r="CZ423" i="16"/>
  <c r="CZ422" i="16"/>
  <c r="CZ426" i="16"/>
  <c r="BO438" i="16"/>
  <c r="BO437" i="16"/>
  <c r="BE414" i="16"/>
  <c r="CH437" i="16"/>
  <c r="CH438" i="16"/>
  <c r="DC437" i="16"/>
  <c r="DC438" i="16"/>
  <c r="AJ414" i="16"/>
  <c r="AJ417" i="16"/>
  <c r="AJ416" i="16"/>
  <c r="AV417" i="16"/>
  <c r="CO438" i="16"/>
  <c r="CO437" i="16"/>
  <c r="CD423" i="16"/>
  <c r="CD426" i="16"/>
  <c r="CD422" i="16"/>
  <c r="CP423" i="16"/>
  <c r="CM438" i="16"/>
  <c r="CM437" i="16"/>
  <c r="H414" i="16"/>
  <c r="H416" i="16"/>
  <c r="N417" i="16"/>
  <c r="CS417" i="16"/>
  <c r="CS416" i="16"/>
  <c r="CT417" i="16"/>
  <c r="CT416" i="16"/>
  <c r="CT414" i="16"/>
  <c r="CS414" i="16"/>
  <c r="BA438" i="16"/>
  <c r="CU438" i="16"/>
  <c r="CU437" i="16"/>
  <c r="BU416" i="16"/>
  <c r="BU417" i="16"/>
  <c r="BU414" i="16"/>
  <c r="BY438" i="16"/>
  <c r="BY437" i="16"/>
  <c r="BR437" i="16"/>
  <c r="BR438" i="16"/>
  <c r="AG417" i="16"/>
  <c r="AG416" i="16"/>
  <c r="AG414" i="16"/>
  <c r="CW437" i="16"/>
  <c r="CW438" i="16"/>
  <c r="CL415" i="16"/>
  <c r="AY414" i="16"/>
  <c r="AG437" i="16"/>
  <c r="AG438" i="16"/>
  <c r="Q438" i="16"/>
  <c r="Q437" i="16"/>
  <c r="AX438" i="16"/>
  <c r="AX437" i="16"/>
  <c r="CR426" i="16"/>
  <c r="CR422" i="16"/>
  <c r="CR423" i="16"/>
  <c r="DA437" i="16"/>
  <c r="DA438" i="16"/>
  <c r="AA438" i="16"/>
  <c r="AA437" i="16"/>
  <c r="CE417" i="16"/>
  <c r="CE416" i="16"/>
  <c r="BH414" i="16"/>
  <c r="BF437" i="16"/>
  <c r="BF438" i="16"/>
  <c r="AW414" i="16"/>
  <c r="DC417" i="16"/>
  <c r="DC416" i="16"/>
  <c r="DC414" i="16"/>
  <c r="V414" i="16"/>
  <c r="V416" i="16"/>
  <c r="CO417" i="16"/>
  <c r="CO416" i="16"/>
  <c r="CO414" i="16"/>
  <c r="CM416" i="16"/>
  <c r="CM414" i="16"/>
  <c r="CM417" i="16"/>
  <c r="P414" i="16"/>
  <c r="CI438" i="16"/>
  <c r="CD414" i="16"/>
  <c r="CT437" i="16"/>
  <c r="CT438" i="16"/>
  <c r="K438" i="16"/>
  <c r="CU417" i="16"/>
  <c r="CU416" i="16"/>
  <c r="CQ417" i="16"/>
  <c r="BQ417" i="16"/>
  <c r="BT414" i="16"/>
  <c r="O414" i="16"/>
  <c r="BQ438" i="16"/>
  <c r="BQ437" i="16"/>
  <c r="CA417" i="16"/>
  <c r="CA416" i="16"/>
  <c r="AP423" i="16"/>
  <c r="AP426" i="16"/>
  <c r="AP422" i="16"/>
  <c r="AY438" i="16"/>
  <c r="AY437" i="16"/>
  <c r="BK438" i="16"/>
  <c r="BK437" i="16"/>
  <c r="BY417" i="16"/>
  <c r="BY416" i="16"/>
  <c r="BJ437" i="16"/>
  <c r="BJ438" i="16"/>
  <c r="AT423" i="16"/>
  <c r="AT426" i="16"/>
  <c r="AT422" i="16"/>
  <c r="AT415" i="16"/>
  <c r="CF437" i="16"/>
  <c r="CF438" i="16"/>
  <c r="CK417" i="16"/>
  <c r="BR417" i="16"/>
  <c r="BR416" i="16"/>
  <c r="CE414" i="16"/>
  <c r="AA417" i="16"/>
  <c r="AV438" i="16"/>
  <c r="BP415" i="16"/>
  <c r="W367" i="16"/>
  <c r="W365" i="16"/>
  <c r="AI368" i="16"/>
  <c r="BW367" i="16"/>
  <c r="BW368" i="16"/>
  <c r="BC373" i="16"/>
  <c r="BC374" i="16"/>
  <c r="BC377" i="16"/>
  <c r="AH388" i="16"/>
  <c r="AH389" i="16"/>
  <c r="Q365" i="16"/>
  <c r="Q368" i="16"/>
  <c r="Q367" i="16"/>
  <c r="AA373" i="16"/>
  <c r="AA374" i="16"/>
  <c r="AA377" i="16"/>
  <c r="BP389" i="16"/>
  <c r="BP388" i="16"/>
  <c r="R373" i="16"/>
  <c r="R377" i="16"/>
  <c r="AD374" i="16"/>
  <c r="P367" i="16"/>
  <c r="P365" i="16"/>
  <c r="DA367" i="16"/>
  <c r="DA368" i="16"/>
  <c r="AM373" i="16"/>
  <c r="AM377" i="16"/>
  <c r="AM374" i="16"/>
  <c r="CC388" i="16"/>
  <c r="CC389" i="16"/>
  <c r="BX367" i="16"/>
  <c r="BX368" i="16"/>
  <c r="BC366" i="16"/>
  <c r="BW365" i="16"/>
  <c r="AZ388" i="16"/>
  <c r="AZ389" i="16"/>
  <c r="BL389" i="16"/>
  <c r="BL388" i="16"/>
  <c r="AN389" i="16"/>
  <c r="AN388" i="16"/>
  <c r="K374" i="16"/>
  <c r="K373" i="16"/>
  <c r="K377" i="16"/>
  <c r="K366" i="16"/>
  <c r="CQ374" i="16"/>
  <c r="CQ377" i="16"/>
  <c r="CQ373" i="16"/>
  <c r="CQ366" i="16"/>
  <c r="BD367" i="16"/>
  <c r="BD368" i="16"/>
  <c r="CG388" i="16"/>
  <c r="CG389" i="16"/>
  <c r="BU388" i="16"/>
  <c r="BU389" i="16"/>
  <c r="BQ373" i="16"/>
  <c r="BQ377" i="16"/>
  <c r="BQ374" i="16"/>
  <c r="CX368" i="16"/>
  <c r="CX367" i="16"/>
  <c r="CX365" i="16"/>
  <c r="BV377" i="16"/>
  <c r="BV373" i="16"/>
  <c r="CH374" i="16"/>
  <c r="BV374" i="16"/>
  <c r="CE367" i="16"/>
  <c r="CE368" i="16"/>
  <c r="CD368" i="16"/>
  <c r="CD367" i="16"/>
  <c r="BA368" i="16"/>
  <c r="BA367" i="16"/>
  <c r="BM368" i="16"/>
  <c r="AQ389" i="16"/>
  <c r="AQ388" i="16"/>
  <c r="AY377" i="16"/>
  <c r="AY374" i="16"/>
  <c r="AY373" i="16"/>
  <c r="CI388" i="16"/>
  <c r="CI389" i="16"/>
  <c r="DB389" i="16"/>
  <c r="DB388" i="16"/>
  <c r="CT374" i="16"/>
  <c r="CT377" i="16"/>
  <c r="CT366" i="16"/>
  <c r="CT373" i="16"/>
  <c r="CS373" i="16"/>
  <c r="CS374" i="16"/>
  <c r="CS377" i="16"/>
  <c r="CS366" i="16"/>
  <c r="BH373" i="16"/>
  <c r="BH374" i="16"/>
  <c r="BH377" i="16"/>
  <c r="BW389" i="16"/>
  <c r="BW388" i="16"/>
  <c r="CX388" i="16"/>
  <c r="CX389" i="16"/>
  <c r="Y367" i="16"/>
  <c r="Y365" i="16"/>
  <c r="Y368" i="16"/>
  <c r="BQ366" i="16"/>
  <c r="CH388" i="16"/>
  <c r="CH389" i="16"/>
  <c r="AM366" i="16"/>
  <c r="CT388" i="16"/>
  <c r="CT389" i="16"/>
  <c r="AK373" i="16"/>
  <c r="AK377" i="16"/>
  <c r="AK374" i="16"/>
  <c r="AW377" i="16"/>
  <c r="AW374" i="16"/>
  <c r="AW366" i="16"/>
  <c r="AW373" i="16"/>
  <c r="BK389" i="16"/>
  <c r="BK388" i="16"/>
  <c r="CM368" i="16"/>
  <c r="CM367" i="16"/>
  <c r="CY368" i="16"/>
  <c r="CM365" i="16"/>
  <c r="S365" i="16"/>
  <c r="CL377" i="16"/>
  <c r="CL373" i="16"/>
  <c r="CL374" i="16"/>
  <c r="CX374" i="16"/>
  <c r="BR388" i="16"/>
  <c r="BR389" i="16"/>
  <c r="BC389" i="16"/>
  <c r="BC388" i="16"/>
  <c r="CJ388" i="16"/>
  <c r="CJ389" i="16"/>
  <c r="CV389" i="16"/>
  <c r="CV388" i="16"/>
  <c r="AG389" i="16"/>
  <c r="BR367" i="16"/>
  <c r="BR368" i="16"/>
  <c r="CR368" i="16"/>
  <c r="CR367" i="16"/>
  <c r="CC374" i="16"/>
  <c r="CC373" i="16"/>
  <c r="CO374" i="16"/>
  <c r="CC377" i="16"/>
  <c r="CC366" i="16"/>
  <c r="BO389" i="16"/>
  <c r="CB388" i="16"/>
  <c r="CB389" i="16"/>
  <c r="AW389" i="16"/>
  <c r="AW388" i="16"/>
  <c r="CV374" i="16"/>
  <c r="CV373" i="16"/>
  <c r="CV377" i="16"/>
  <c r="BX377" i="16"/>
  <c r="BX374" i="16"/>
  <c r="BX373" i="16"/>
  <c r="T368" i="16"/>
  <c r="T367" i="16"/>
  <c r="CL366" i="16"/>
  <c r="CE373" i="16"/>
  <c r="CE374" i="16"/>
  <c r="CE377" i="16"/>
  <c r="AZ373" i="16"/>
  <c r="AZ374" i="16"/>
  <c r="AZ377" i="16"/>
  <c r="AZ366" i="16"/>
  <c r="AL388" i="16"/>
  <c r="AL389" i="16"/>
  <c r="CW367" i="16"/>
  <c r="CW365" i="16"/>
  <c r="CW368" i="16"/>
  <c r="AA389" i="16"/>
  <c r="AA388" i="16"/>
  <c r="CK368" i="16"/>
  <c r="CK367" i="16"/>
  <c r="BH366" i="16"/>
  <c r="AY366" i="16"/>
  <c r="BT388" i="16"/>
  <c r="BT389" i="16"/>
  <c r="BE388" i="16"/>
  <c r="BE389" i="16"/>
  <c r="CR389" i="16"/>
  <c r="CR388" i="16"/>
  <c r="BD374" i="16"/>
  <c r="BD377" i="16"/>
  <c r="BD373" i="16"/>
  <c r="CW388" i="16"/>
  <c r="CW389" i="16"/>
  <c r="DA365" i="16"/>
  <c r="BH388" i="16"/>
  <c r="BH389" i="16"/>
  <c r="CD389" i="16"/>
  <c r="CD388" i="16"/>
  <c r="BT366" i="16"/>
  <c r="BB368" i="16"/>
  <c r="BB367" i="16"/>
  <c r="CM389" i="16"/>
  <c r="CM388" i="16"/>
  <c r="BZ389" i="16"/>
  <c r="BZ388" i="16"/>
  <c r="CE389" i="16"/>
  <c r="CE388" i="16"/>
  <c r="AU389" i="16"/>
  <c r="AU388" i="16"/>
  <c r="CV367" i="16"/>
  <c r="CV365" i="16"/>
  <c r="CV368" i="16"/>
  <c r="AK368" i="16"/>
  <c r="AK367" i="16"/>
  <c r="AN367" i="16"/>
  <c r="AN368" i="16"/>
  <c r="AL373" i="16"/>
  <c r="AL377" i="16"/>
  <c r="AL374" i="16"/>
  <c r="CP377" i="16"/>
  <c r="CP373" i="16"/>
  <c r="CP374" i="16"/>
  <c r="CP366" i="16"/>
  <c r="CI365" i="16"/>
  <c r="CI368" i="16"/>
  <c r="CI367" i="16"/>
  <c r="AC368" i="16"/>
  <c r="AT367" i="16"/>
  <c r="AT368" i="16"/>
  <c r="AT365" i="16"/>
  <c r="AI388" i="16"/>
  <c r="AI389" i="16"/>
  <c r="BF367" i="16"/>
  <c r="BF365" i="16"/>
  <c r="BF368" i="16"/>
  <c r="BB389" i="16"/>
  <c r="BB388" i="16"/>
  <c r="CU368" i="16"/>
  <c r="DC389" i="16"/>
  <c r="DC388" i="16"/>
  <c r="CY388" i="16"/>
  <c r="CY389" i="16"/>
  <c r="BU367" i="16"/>
  <c r="BU368" i="16"/>
  <c r="BU365" i="16"/>
  <c r="AH377" i="16"/>
  <c r="AH373" i="16"/>
  <c r="AH374" i="16"/>
  <c r="AT388" i="16"/>
  <c r="AT389" i="16"/>
  <c r="AT377" i="16"/>
  <c r="AT374" i="16"/>
  <c r="AT373" i="16"/>
  <c r="BF389" i="16"/>
  <c r="BF388" i="16"/>
  <c r="AB389" i="16"/>
  <c r="Z367" i="16"/>
  <c r="Z368" i="16"/>
  <c r="Z365" i="16"/>
  <c r="BQ389" i="16"/>
  <c r="BQ388" i="16"/>
  <c r="CQ389" i="16"/>
  <c r="BB365" i="16"/>
  <c r="BO377" i="16"/>
  <c r="BO373" i="16"/>
  <c r="BO374" i="16"/>
  <c r="BO366" i="16"/>
  <c r="BP374" i="16"/>
  <c r="I373" i="16"/>
  <c r="I377" i="16"/>
  <c r="AK388" i="16"/>
  <c r="AK389" i="16"/>
  <c r="BT377" i="16"/>
  <c r="BT374" i="16"/>
  <c r="BT373" i="16"/>
  <c r="CA389" i="16"/>
  <c r="CA388" i="16"/>
  <c r="Q374" i="16"/>
  <c r="CK388" i="16"/>
  <c r="CK389" i="16"/>
  <c r="BG367" i="16"/>
  <c r="BG365" i="16"/>
  <c r="BG368" i="16"/>
  <c r="CL389" i="16"/>
  <c r="CL388" i="16"/>
  <c r="CO389" i="16"/>
  <c r="BV368" i="16"/>
  <c r="BV367" i="16"/>
  <c r="BV365" i="16"/>
  <c r="AF367" i="16"/>
  <c r="AF365" i="16"/>
  <c r="AF368" i="16"/>
  <c r="AR389" i="16"/>
  <c r="AR388" i="16"/>
  <c r="BS389" i="16"/>
  <c r="BS388" i="16"/>
  <c r="Z389" i="16"/>
  <c r="Z388" i="16"/>
  <c r="BA377" i="16"/>
  <c r="BA374" i="16"/>
  <c r="BA373" i="16"/>
  <c r="AB368" i="16"/>
  <c r="AA366" i="16"/>
  <c r="AY389" i="16"/>
  <c r="AY388" i="16"/>
  <c r="T365" i="16"/>
  <c r="BI389" i="16"/>
  <c r="BI388" i="16"/>
  <c r="AS367" i="16"/>
  <c r="AS368" i="16"/>
  <c r="AS365" i="16"/>
  <c r="BK374" i="16"/>
  <c r="T374" i="16"/>
  <c r="T377" i="16"/>
  <c r="T373" i="16"/>
  <c r="BV388" i="16"/>
  <c r="BV389" i="16"/>
  <c r="AF388" i="16"/>
  <c r="AF389" i="16"/>
  <c r="DC374" i="16"/>
  <c r="AF377" i="16"/>
  <c r="AF373" i="16"/>
  <c r="AF374" i="16"/>
  <c r="AR367" i="16"/>
  <c r="AR368" i="16"/>
  <c r="AR365" i="16"/>
  <c r="AL366" i="16"/>
  <c r="K389" i="16"/>
  <c r="BM374" i="16"/>
  <c r="CU389" i="16"/>
  <c r="CU388" i="16"/>
  <c r="BF373" i="16"/>
  <c r="BF377" i="16"/>
  <c r="BF374" i="16"/>
  <c r="W388" i="16"/>
  <c r="W389" i="16"/>
  <c r="BX389" i="16"/>
  <c r="BX388" i="16"/>
  <c r="AE368" i="16"/>
  <c r="AE365" i="16"/>
  <c r="AE367" i="16"/>
  <c r="BJ389" i="16"/>
  <c r="BJ388" i="16"/>
  <c r="T388" i="16"/>
  <c r="T389" i="16"/>
  <c r="I366" i="16"/>
  <c r="R366" i="16"/>
  <c r="AD389" i="16"/>
  <c r="AD388" i="16"/>
  <c r="CF389" i="16"/>
  <c r="CS389" i="16"/>
  <c r="CS388" i="16"/>
  <c r="AN365" i="16"/>
  <c r="BA365" i="16"/>
  <c r="BE368" i="16"/>
  <c r="DA388" i="16"/>
  <c r="DA389" i="16"/>
  <c r="AS388" i="16"/>
  <c r="AS389" i="16"/>
  <c r="BY388" i="16"/>
  <c r="BY389" i="16"/>
  <c r="CJ368" i="16"/>
  <c r="CJ365" i="16"/>
  <c r="CJ367" i="16"/>
  <c r="CH368" i="16"/>
  <c r="CH367" i="16"/>
  <c r="W377" i="16"/>
  <c r="W374" i="16"/>
  <c r="W373" i="16"/>
  <c r="AX374" i="16"/>
  <c r="X389" i="16"/>
  <c r="X388" i="16"/>
  <c r="CN368" i="16"/>
  <c r="CN367" i="16"/>
  <c r="CN365" i="16"/>
  <c r="Q388" i="16"/>
  <c r="Q389" i="16"/>
  <c r="AV389" i="16"/>
  <c r="AV388" i="16"/>
  <c r="AH366" i="16"/>
  <c r="AE388" i="16"/>
  <c r="AE389" i="16"/>
  <c r="AJ389" i="16"/>
  <c r="BP368" i="16"/>
  <c r="BP367" i="16"/>
  <c r="CP389" i="16"/>
  <c r="AR374" i="16"/>
  <c r="CJ373" i="16"/>
  <c r="CJ377" i="16"/>
  <c r="CJ374" i="16"/>
  <c r="AD368" i="16"/>
  <c r="AD365" i="16"/>
  <c r="AD367" i="16"/>
  <c r="AO389" i="16"/>
  <c r="AO388" i="16"/>
  <c r="CR365" i="16"/>
  <c r="L365" i="16"/>
  <c r="AC389" i="16"/>
  <c r="BG318" i="16"/>
  <c r="BS319" i="16"/>
  <c r="BD328" i="16"/>
  <c r="BD317" i="16"/>
  <c r="BG324" i="16"/>
  <c r="BK318" i="16"/>
  <c r="AC316" i="16"/>
  <c r="CU317" i="16"/>
  <c r="BK316" i="16"/>
  <c r="CU324" i="16"/>
  <c r="N325" i="16"/>
  <c r="N328" i="16"/>
  <c r="CU325" i="16"/>
  <c r="AL318" i="16"/>
  <c r="AG317" i="16"/>
  <c r="AX319" i="16"/>
  <c r="AE325" i="16"/>
  <c r="CH316" i="16"/>
  <c r="AB324" i="16"/>
  <c r="N324" i="16"/>
  <c r="CF328" i="16"/>
  <c r="CF324" i="16"/>
  <c r="AQ325" i="16"/>
  <c r="AO325" i="16"/>
  <c r="N319" i="16"/>
  <c r="BS325" i="16"/>
  <c r="CH319" i="16"/>
  <c r="S324" i="16"/>
  <c r="AC325" i="16"/>
  <c r="AN316" i="16"/>
  <c r="BB316" i="16"/>
  <c r="S317" i="16"/>
  <c r="O318" i="16"/>
  <c r="BI328" i="16"/>
  <c r="BG325" i="16"/>
  <c r="CF325" i="16"/>
  <c r="AC324" i="16"/>
  <c r="BD324" i="16"/>
  <c r="CB319" i="16"/>
  <c r="L316" i="16"/>
  <c r="BP319" i="16"/>
  <c r="BB318" i="16"/>
  <c r="AB318" i="16"/>
  <c r="BP318" i="16"/>
  <c r="CD316" i="16"/>
  <c r="AB316" i="16"/>
  <c r="AL319" i="16"/>
  <c r="CD339" i="16"/>
  <c r="CD340" i="16"/>
  <c r="BP339" i="16"/>
  <c r="BP340" i="16"/>
  <c r="BB340" i="16"/>
  <c r="BB339" i="16"/>
  <c r="CB340" i="16"/>
  <c r="BM340" i="16"/>
  <c r="CY340" i="16"/>
  <c r="AV340" i="16"/>
  <c r="BG316" i="16"/>
  <c r="CC339" i="16"/>
  <c r="AP340" i="16"/>
  <c r="Y340" i="16"/>
  <c r="CZ340" i="16"/>
  <c r="CT319" i="16"/>
  <c r="AC319" i="16"/>
  <c r="BV340" i="16"/>
  <c r="AB319" i="16"/>
  <c r="CF318" i="16"/>
  <c r="BH340" i="16"/>
  <c r="CO340" i="16"/>
  <c r="CX340" i="16"/>
  <c r="CT318" i="16"/>
  <c r="CM340" i="16"/>
  <c r="AT340" i="16"/>
  <c r="AW340" i="16"/>
  <c r="AF340" i="16"/>
  <c r="DC339" i="16"/>
  <c r="CR340" i="16"/>
  <c r="BO339" i="16"/>
  <c r="CB339" i="16"/>
  <c r="AF339" i="16"/>
  <c r="CT340" i="16"/>
  <c r="AC340" i="16"/>
  <c r="AB340" i="16"/>
  <c r="Z340" i="16"/>
  <c r="BC340" i="16"/>
  <c r="CF340" i="16"/>
  <c r="BH339" i="16"/>
  <c r="BI340" i="16"/>
  <c r="CS340" i="16"/>
  <c r="CG340" i="16"/>
  <c r="BQ340" i="16"/>
  <c r="BO340" i="16"/>
  <c r="AC339" i="16"/>
  <c r="T340" i="16"/>
  <c r="BU340" i="16"/>
  <c r="AA340" i="16"/>
  <c r="AO340" i="16"/>
  <c r="AQ340" i="16"/>
  <c r="BU339" i="16"/>
  <c r="AB339" i="16"/>
  <c r="AN340" i="16"/>
  <c r="N340" i="16"/>
  <c r="X340" i="16"/>
  <c r="BV339" i="16"/>
  <c r="N339" i="16"/>
  <c r="BS340" i="16"/>
  <c r="CU340" i="16"/>
  <c r="BG340" i="16"/>
  <c r="AT339" i="16"/>
  <c r="AM340" i="16"/>
  <c r="BE339" i="16"/>
  <c r="BD270" i="16"/>
  <c r="BD269" i="16"/>
  <c r="BD267" i="16"/>
  <c r="BP515" i="16"/>
  <c r="DC270" i="16"/>
  <c r="DC269" i="16"/>
  <c r="DC267" i="16"/>
  <c r="AX270" i="16"/>
  <c r="AX269" i="16"/>
  <c r="BJ270" i="16"/>
  <c r="AX267" i="16"/>
  <c r="W270" i="16"/>
  <c r="AI270" i="16"/>
  <c r="W269" i="16"/>
  <c r="AI515" i="16"/>
  <c r="W267" i="16"/>
  <c r="BP269" i="16"/>
  <c r="BP270" i="16"/>
  <c r="BP267" i="16"/>
  <c r="L269" i="16"/>
  <c r="L267" i="16"/>
  <c r="X270" i="16"/>
  <c r="X291" i="16"/>
  <c r="X290" i="16"/>
  <c r="AT290" i="16"/>
  <c r="AT291" i="16"/>
  <c r="AS269" i="16"/>
  <c r="AS270" i="16"/>
  <c r="AS267" i="16"/>
  <c r="BC290" i="16"/>
  <c r="BC291" i="16"/>
  <c r="BR267" i="16"/>
  <c r="BR270" i="16"/>
  <c r="BR269" i="16"/>
  <c r="CV291" i="16"/>
  <c r="CV290" i="16"/>
  <c r="CO291" i="16"/>
  <c r="CO290" i="16"/>
  <c r="AO290" i="16"/>
  <c r="AO291" i="16"/>
  <c r="Y267" i="16"/>
  <c r="Y270" i="16"/>
  <c r="Y269" i="16"/>
  <c r="AQ275" i="16"/>
  <c r="AQ276" i="16"/>
  <c r="BC521" i="16"/>
  <c r="AQ279" i="16"/>
  <c r="O269" i="16"/>
  <c r="O267" i="16"/>
  <c r="AA515" i="16"/>
  <c r="CY290" i="16"/>
  <c r="CY291" i="16"/>
  <c r="AS290" i="16"/>
  <c r="AS291" i="16"/>
  <c r="Q291" i="16"/>
  <c r="AJ536" i="16"/>
  <c r="BT291" i="16"/>
  <c r="BT290" i="16"/>
  <c r="BL291" i="16"/>
  <c r="BL290" i="16"/>
  <c r="DA269" i="16"/>
  <c r="DA270" i="16"/>
  <c r="DA267" i="16"/>
  <c r="BW270" i="16"/>
  <c r="BW269" i="16"/>
  <c r="R269" i="16"/>
  <c r="R267" i="16"/>
  <c r="N270" i="16"/>
  <c r="N269" i="16"/>
  <c r="N267" i="16"/>
  <c r="AF267" i="16"/>
  <c r="AF270" i="16"/>
  <c r="AF269" i="16"/>
  <c r="AA290" i="16"/>
  <c r="AA291" i="16"/>
  <c r="BR291" i="16"/>
  <c r="BR290" i="16"/>
  <c r="BJ290" i="16"/>
  <c r="BJ291" i="16"/>
  <c r="AP276" i="16"/>
  <c r="AP275" i="16"/>
  <c r="AP279" i="16"/>
  <c r="BM290" i="16"/>
  <c r="BM291" i="16"/>
  <c r="N279" i="16"/>
  <c r="N276" i="16"/>
  <c r="N275" i="16"/>
  <c r="Z521" i="16"/>
  <c r="AJ291" i="16"/>
  <c r="Y290" i="16"/>
  <c r="Y291" i="16"/>
  <c r="BB521" i="16"/>
  <c r="CB275" i="16"/>
  <c r="CN521" i="16"/>
  <c r="CB268" i="16"/>
  <c r="CB279" i="16"/>
  <c r="CB276" i="16"/>
  <c r="DA290" i="16"/>
  <c r="DA291" i="16"/>
  <c r="BW290" i="16"/>
  <c r="BW291" i="16"/>
  <c r="BL275" i="16"/>
  <c r="BL279" i="16"/>
  <c r="BX276" i="16"/>
  <c r="BL276" i="16"/>
  <c r="BV290" i="16"/>
  <c r="BV291" i="16"/>
  <c r="BB270" i="16"/>
  <c r="BB269" i="16"/>
  <c r="AA269" i="16"/>
  <c r="AA270" i="16"/>
  <c r="AZ291" i="16"/>
  <c r="AZ290" i="16"/>
  <c r="AD276" i="16"/>
  <c r="AD279" i="16"/>
  <c r="AD275" i="16"/>
  <c r="AD268" i="16"/>
  <c r="AY270" i="16"/>
  <c r="AY269" i="16"/>
  <c r="BK515" i="16"/>
  <c r="BC276" i="16"/>
  <c r="K291" i="16"/>
  <c r="K290" i="16"/>
  <c r="BW267" i="16"/>
  <c r="BN291" i="16"/>
  <c r="BN290" i="16"/>
  <c r="CU276" i="16"/>
  <c r="CU275" i="16"/>
  <c r="CU279" i="16"/>
  <c r="BE279" i="16"/>
  <c r="BE276" i="16"/>
  <c r="BQ276" i="16"/>
  <c r="BQ521" i="16"/>
  <c r="BE275" i="16"/>
  <c r="BE268" i="16"/>
  <c r="DB291" i="16"/>
  <c r="DB290" i="16"/>
  <c r="AK515" i="16"/>
  <c r="CM291" i="16"/>
  <c r="CM290" i="16"/>
  <c r="AU291" i="16"/>
  <c r="AU290" i="16"/>
  <c r="DC279" i="16"/>
  <c r="DC275" i="16"/>
  <c r="DC276" i="16"/>
  <c r="BD291" i="16"/>
  <c r="BD290" i="16"/>
  <c r="AS279" i="16"/>
  <c r="AS276" i="16"/>
  <c r="AS275" i="16"/>
  <c r="AY291" i="16"/>
  <c r="AY290" i="16"/>
  <c r="BR279" i="16"/>
  <c r="BR275" i="16"/>
  <c r="BR276" i="16"/>
  <c r="P279" i="16"/>
  <c r="P275" i="16"/>
  <c r="P268" i="16"/>
  <c r="AB515" i="16" s="1"/>
  <c r="V268" i="16"/>
  <c r="K270" i="16"/>
  <c r="W515" i="16"/>
  <c r="K269" i="16"/>
  <c r="S267" i="16"/>
  <c r="BK270" i="16"/>
  <c r="BK269" i="16"/>
  <c r="BK267" i="16"/>
  <c r="AW290" i="16"/>
  <c r="AW291" i="16"/>
  <c r="CP270" i="16"/>
  <c r="CD269" i="16"/>
  <c r="CD270" i="16"/>
  <c r="CV270" i="16"/>
  <c r="CV269" i="16"/>
  <c r="BN275" i="16"/>
  <c r="BN276" i="16"/>
  <c r="BZ521" i="16"/>
  <c r="BN279" i="16"/>
  <c r="BN268" i="16"/>
  <c r="BK291" i="16"/>
  <c r="BW536" i="16"/>
  <c r="BK290" i="16"/>
  <c r="CM269" i="16"/>
  <c r="CM267" i="16"/>
  <c r="CU270" i="16"/>
  <c r="CU269" i="16"/>
  <c r="CU267" i="16"/>
  <c r="AB267" i="16"/>
  <c r="AB270" i="16"/>
  <c r="AB269" i="16"/>
  <c r="AK290" i="16"/>
  <c r="AK291" i="16"/>
  <c r="CQ290" i="16"/>
  <c r="CQ291" i="16"/>
  <c r="AK269" i="16"/>
  <c r="AK270" i="16"/>
  <c r="AW270" i="16"/>
  <c r="CU291" i="16"/>
  <c r="CU290" i="16"/>
  <c r="AB290" i="16"/>
  <c r="AB291" i="16"/>
  <c r="AE270" i="16"/>
  <c r="BD275" i="16"/>
  <c r="BD279" i="16"/>
  <c r="BD276" i="16"/>
  <c r="AQ270" i="16"/>
  <c r="AQ269" i="16"/>
  <c r="BC515" i="16"/>
  <c r="CQ269" i="16"/>
  <c r="CQ270" i="16"/>
  <c r="CQ267" i="16"/>
  <c r="AZ269" i="16"/>
  <c r="BL515" i="16"/>
  <c r="AZ270" i="16"/>
  <c r="AZ267" i="16"/>
  <c r="CW276" i="16"/>
  <c r="CW279" i="16"/>
  <c r="CW275" i="16"/>
  <c r="W290" i="16"/>
  <c r="W291" i="16"/>
  <c r="AR291" i="16"/>
  <c r="AR290" i="16"/>
  <c r="CO279" i="16"/>
  <c r="CO275" i="16"/>
  <c r="DA276" i="16"/>
  <c r="CO276" i="16"/>
  <c r="DA521" i="16"/>
  <c r="W279" i="16"/>
  <c r="W275" i="16"/>
  <c r="AI276" i="16"/>
  <c r="W276" i="16"/>
  <c r="AI521" i="16"/>
  <c r="BS270" i="16"/>
  <c r="BS269" i="16"/>
  <c r="CE515" i="16"/>
  <c r="N290" i="16"/>
  <c r="N291" i="16"/>
  <c r="Z536" i="16"/>
  <c r="BH290" i="16"/>
  <c r="BT536" i="16"/>
  <c r="BH291" i="16"/>
  <c r="BS267" i="16"/>
  <c r="BS291" i="16"/>
  <c r="BS290" i="16"/>
  <c r="BI270" i="16"/>
  <c r="BI269" i="16"/>
  <c r="BI267" i="16"/>
  <c r="AD291" i="16"/>
  <c r="AD290" i="16"/>
  <c r="L275" i="16"/>
  <c r="L279" i="16"/>
  <c r="X521" i="16"/>
  <c r="X276" i="16"/>
  <c r="J267" i="16"/>
  <c r="AI291" i="16"/>
  <c r="CG279" i="16"/>
  <c r="CG276" i="16"/>
  <c r="CG275" i="16"/>
  <c r="CS521" i="16"/>
  <c r="CS276" i="16"/>
  <c r="CW268" i="16"/>
  <c r="AQ291" i="16"/>
  <c r="AQ290" i="16"/>
  <c r="CR279" i="16"/>
  <c r="CR276" i="16"/>
  <c r="CR275" i="16"/>
  <c r="AL290" i="16"/>
  <c r="AL291" i="16"/>
  <c r="CI515" i="16"/>
  <c r="CI290" i="16"/>
  <c r="CI291" i="16"/>
  <c r="CD291" i="16"/>
  <c r="BQ269" i="16"/>
  <c r="BQ267" i="16"/>
  <c r="CT290" i="16"/>
  <c r="CT291" i="16"/>
  <c r="CH276" i="16"/>
  <c r="CH275" i="16"/>
  <c r="CH279" i="16"/>
  <c r="CT279" i="16"/>
  <c r="CT276" i="16"/>
  <c r="CT268" i="16"/>
  <c r="CT275" i="16"/>
  <c r="BF276" i="16"/>
  <c r="BF279" i="16"/>
  <c r="BF275" i="16"/>
  <c r="BY515" i="16"/>
  <c r="BM270" i="16"/>
  <c r="BM269" i="16"/>
  <c r="BA291" i="16"/>
  <c r="BG291" i="16"/>
  <c r="CG268" i="16"/>
  <c r="BZ276" i="16"/>
  <c r="AN269" i="16"/>
  <c r="AN270" i="16"/>
  <c r="CS290" i="16"/>
  <c r="CS291" i="16"/>
  <c r="CW291" i="16"/>
  <c r="CW290" i="16"/>
  <c r="BP276" i="16"/>
  <c r="BP279" i="16"/>
  <c r="BP275" i="16"/>
  <c r="AZ275" i="16"/>
  <c r="AZ276" i="16"/>
  <c r="AZ279" i="16"/>
  <c r="BL521" i="16"/>
  <c r="DB279" i="16"/>
  <c r="DB275" i="16"/>
  <c r="DB276" i="16"/>
  <c r="BE291" i="16"/>
  <c r="BO267" i="16"/>
  <c r="BO270" i="16"/>
  <c r="BO269" i="16"/>
  <c r="CA515" i="16"/>
  <c r="AC279" i="16"/>
  <c r="AC275" i="16"/>
  <c r="AO276" i="16"/>
  <c r="AC276" i="16"/>
  <c r="AO521" i="16"/>
  <c r="CH291" i="16"/>
  <c r="CH290" i="16"/>
  <c r="AQ267" i="16"/>
  <c r="CA279" i="16"/>
  <c r="CA275" i="16"/>
  <c r="CA276" i="16"/>
  <c r="CM521" i="16"/>
  <c r="CA268" i="16"/>
  <c r="CM270" i="16" s="1"/>
  <c r="AE515" i="16"/>
  <c r="CB291" i="16"/>
  <c r="CB290" i="16"/>
  <c r="CJ290" i="16"/>
  <c r="CJ291" i="16"/>
  <c r="CI270" i="16"/>
  <c r="CI269" i="16"/>
  <c r="AC268" i="16"/>
  <c r="BI290" i="16"/>
  <c r="BI291" i="16"/>
  <c r="T270" i="16"/>
  <c r="T269" i="16"/>
  <c r="AF515" i="16"/>
  <c r="T267" i="16"/>
  <c r="BE536" i="16"/>
  <c r="CF536" i="16"/>
  <c r="CH270" i="16"/>
  <c r="CH269" i="16"/>
  <c r="CL290" i="16"/>
  <c r="CL291" i="16"/>
  <c r="BU270" i="16"/>
  <c r="BU269" i="16"/>
  <c r="CG515" i="16"/>
  <c r="CN291" i="16"/>
  <c r="BQ290" i="16"/>
  <c r="BQ291" i="16"/>
  <c r="CF291" i="16"/>
  <c r="CF275" i="16"/>
  <c r="CF268" i="16"/>
  <c r="CF276" i="16"/>
  <c r="CF279" i="16"/>
  <c r="DC291" i="16"/>
  <c r="DC290" i="16"/>
  <c r="AP268" i="16"/>
  <c r="AM270" i="16"/>
  <c r="AM269" i="16"/>
  <c r="AY515" i="16"/>
  <c r="BP291" i="16"/>
  <c r="O279" i="16"/>
  <c r="O275" i="16"/>
  <c r="AA521" i="16"/>
  <c r="AN291" i="16"/>
  <c r="AN290" i="16"/>
  <c r="AX275" i="16"/>
  <c r="AX279" i="16"/>
  <c r="AX276" i="16"/>
  <c r="BJ521" i="16"/>
  <c r="V275" i="16"/>
  <c r="AH276" i="16"/>
  <c r="V279" i="16"/>
  <c r="CS269" i="16"/>
  <c r="CS267" i="16"/>
  <c r="Q276" i="16"/>
  <c r="Q275" i="16"/>
  <c r="Q279" i="16"/>
  <c r="Q268" i="16"/>
  <c r="DB268" i="16"/>
  <c r="CJ267" i="16"/>
  <c r="CJ269" i="16"/>
  <c r="CJ270" i="16"/>
  <c r="CE290" i="16"/>
  <c r="CE291" i="16"/>
  <c r="CY270" i="16"/>
  <c r="BO291" i="16"/>
  <c r="BO290" i="16"/>
  <c r="AC521" i="16"/>
  <c r="BC536" i="16"/>
  <c r="CB521" i="16"/>
  <c r="T290" i="16"/>
  <c r="T291" i="16"/>
  <c r="X65" i="1"/>
  <c r="AF536" i="16"/>
  <c r="CE270" i="16"/>
  <c r="CE269" i="16"/>
  <c r="CR268" i="16"/>
  <c r="K515" i="16"/>
  <c r="AN515" i="16"/>
  <c r="BD536" i="16"/>
  <c r="BF268" i="16"/>
  <c r="BF290" i="16"/>
  <c r="BF291" i="16"/>
  <c r="BU290" i="16"/>
  <c r="BU291" i="16"/>
  <c r="AG291" i="16"/>
  <c r="AG290" i="16"/>
  <c r="AY279" i="16"/>
  <c r="AY275" i="16"/>
  <c r="AY276" i="16"/>
  <c r="BK521" i="16"/>
  <c r="CN276" i="16"/>
  <c r="BC270" i="16"/>
  <c r="BC269" i="16"/>
  <c r="BT270" i="16"/>
  <c r="BT269" i="16"/>
  <c r="CO268" i="16"/>
  <c r="AY267" i="16"/>
  <c r="BZ291" i="16"/>
  <c r="BL268" i="16"/>
  <c r="AM291" i="16"/>
  <c r="AM290" i="16"/>
  <c r="CA290" i="16"/>
  <c r="CA291" i="16"/>
  <c r="AE291" i="16"/>
  <c r="BS279" i="16"/>
  <c r="BS276" i="16"/>
  <c r="BS275" i="16"/>
  <c r="CE521" i="16"/>
  <c r="CE276" i="16"/>
  <c r="T466" i="16"/>
  <c r="J220" i="16"/>
  <c r="AI487" i="16"/>
  <c r="W242" i="16"/>
  <c r="W241" i="16"/>
  <c r="AZ241" i="16"/>
  <c r="AZ242" i="16"/>
  <c r="BL487" i="16"/>
  <c r="O218" i="16"/>
  <c r="O220" i="16"/>
  <c r="AA221" i="16"/>
  <c r="AA466" i="16"/>
  <c r="AK230" i="16"/>
  <c r="AK226" i="16"/>
  <c r="AW472" i="16"/>
  <c r="AK219" i="16"/>
  <c r="AK227" i="16"/>
  <c r="DB221" i="16"/>
  <c r="DB220" i="16"/>
  <c r="AS241" i="16"/>
  <c r="AS242" i="16"/>
  <c r="BE487" i="16"/>
  <c r="CF241" i="16"/>
  <c r="CR487" i="16"/>
  <c r="CF242" i="16"/>
  <c r="AO242" i="16"/>
  <c r="AO241" i="16"/>
  <c r="BA487" i="16"/>
  <c r="CU242" i="16"/>
  <c r="CU241" i="16"/>
  <c r="U241" i="16"/>
  <c r="AG487" i="16"/>
  <c r="CK227" i="16"/>
  <c r="CW472" i="16"/>
  <c r="CK226" i="16"/>
  <c r="CK230" i="16"/>
  <c r="CW227" i="16"/>
  <c r="J241" i="16"/>
  <c r="T487" i="16"/>
  <c r="O241" i="16"/>
  <c r="AA487" i="16"/>
  <c r="DB242" i="16"/>
  <c r="DB241" i="16"/>
  <c r="AE220" i="16"/>
  <c r="AQ466" i="16"/>
  <c r="AE218" i="16"/>
  <c r="AE221" i="16"/>
  <c r="BP487" i="16"/>
  <c r="BD241" i="16"/>
  <c r="BD242" i="16"/>
  <c r="AA241" i="16"/>
  <c r="AM487" i="16"/>
  <c r="AA242" i="16"/>
  <c r="AL466" i="16"/>
  <c r="Z220" i="16"/>
  <c r="Z221" i="16"/>
  <c r="DA220" i="16"/>
  <c r="DA221" i="16"/>
  <c r="DA218" i="16"/>
  <c r="G218" i="16"/>
  <c r="K466" i="16"/>
  <c r="G220" i="16"/>
  <c r="CH242" i="16"/>
  <c r="CH241" i="16"/>
  <c r="CT487" i="16"/>
  <c r="CT221" i="16"/>
  <c r="CT220" i="16"/>
  <c r="K221" i="16"/>
  <c r="CX226" i="16"/>
  <c r="CX230" i="16"/>
  <c r="CX227" i="16"/>
  <c r="CK241" i="16"/>
  <c r="CK242" i="16"/>
  <c r="CW487" i="16"/>
  <c r="Q466" i="16"/>
  <c r="I220" i="16"/>
  <c r="BZ221" i="16"/>
  <c r="BZ220" i="16"/>
  <c r="BZ218" i="16"/>
  <c r="CL466" i="16"/>
  <c r="Q241" i="16"/>
  <c r="Q242" i="16"/>
  <c r="AC487" i="16"/>
  <c r="I218" i="16"/>
  <c r="BQ241" i="16"/>
  <c r="BQ242" i="16"/>
  <c r="CC487" i="16"/>
  <c r="BP242" i="16"/>
  <c r="BP241" i="16"/>
  <c r="CB487" i="16"/>
  <c r="AJ227" i="16"/>
  <c r="AJ226" i="16"/>
  <c r="AV472" i="16"/>
  <c r="AJ219" i="16"/>
  <c r="AJ230" i="16"/>
  <c r="DA241" i="16"/>
  <c r="DA242" i="16"/>
  <c r="G241" i="16"/>
  <c r="K487" i="16"/>
  <c r="K242" i="16"/>
  <c r="K241" i="16"/>
  <c r="W487" i="16"/>
  <c r="CX242" i="16"/>
  <c r="CX241" i="16"/>
  <c r="BZ242" i="16"/>
  <c r="BZ241" i="16"/>
  <c r="CL487" i="16"/>
  <c r="AE242" i="16"/>
  <c r="AE241" i="16"/>
  <c r="AQ487" i="16"/>
  <c r="CM221" i="16"/>
  <c r="CY466" i="16"/>
  <c r="CM220" i="16"/>
  <c r="AO220" i="16"/>
  <c r="BA466" i="16"/>
  <c r="AO221" i="16"/>
  <c r="AD242" i="16"/>
  <c r="AD241" i="16"/>
  <c r="AP487" i="16"/>
  <c r="AG220" i="16"/>
  <c r="AG221" i="16"/>
  <c r="AS466" i="16"/>
  <c r="AP221" i="16"/>
  <c r="BB466" i="16"/>
  <c r="AP220" i="16"/>
  <c r="AF242" i="16"/>
  <c r="AF241" i="16"/>
  <c r="AR487" i="16"/>
  <c r="DC242" i="16"/>
  <c r="DC241" i="16"/>
  <c r="BW227" i="16"/>
  <c r="CI472" i="16"/>
  <c r="BW230" i="16"/>
  <c r="BW226" i="16"/>
  <c r="BW219" i="16"/>
  <c r="BA242" i="16"/>
  <c r="BA241" i="16"/>
  <c r="BM487" i="16"/>
  <c r="U230" i="16"/>
  <c r="AG472" i="16"/>
  <c r="U226" i="16"/>
  <c r="BI242" i="16"/>
  <c r="BI241" i="16"/>
  <c r="BU487" i="16"/>
  <c r="BL221" i="16"/>
  <c r="BL220" i="16"/>
  <c r="BX466" i="16"/>
  <c r="J218" i="16"/>
  <c r="AB220" i="16"/>
  <c r="AB221" i="16"/>
  <c r="AN466" i="16"/>
  <c r="AB218" i="16"/>
  <c r="AO218" i="16"/>
  <c r="AP242" i="16"/>
  <c r="CM241" i="16"/>
  <c r="CM242" i="16"/>
  <c r="CY487" i="16"/>
  <c r="AG218" i="16"/>
  <c r="CZ241" i="16"/>
  <c r="CZ242" i="16"/>
  <c r="AT241" i="16"/>
  <c r="BF487" i="16"/>
  <c r="AT242" i="16"/>
  <c r="Z487" i="16"/>
  <c r="N242" i="16"/>
  <c r="N241" i="16"/>
  <c r="V226" i="16"/>
  <c r="AH472" i="16"/>
  <c r="V230" i="16"/>
  <c r="V219" i="16"/>
  <c r="M241" i="16"/>
  <c r="Y487" i="16"/>
  <c r="BX221" i="16"/>
  <c r="BX220" i="16"/>
  <c r="CJ466" i="16"/>
  <c r="BA226" i="16"/>
  <c r="BM472" i="16"/>
  <c r="BA219" i="16"/>
  <c r="BA230" i="16"/>
  <c r="BA227" i="16"/>
  <c r="I241" i="16"/>
  <c r="Q487" i="16"/>
  <c r="CR220" i="16"/>
  <c r="CR221" i="16"/>
  <c r="CW242" i="16"/>
  <c r="CW241" i="16"/>
  <c r="BD220" i="16"/>
  <c r="BD221" i="16"/>
  <c r="BD218" i="16"/>
  <c r="BP466" i="16"/>
  <c r="BK220" i="16"/>
  <c r="BW466" i="16"/>
  <c r="BK221" i="16"/>
  <c r="BN220" i="16"/>
  <c r="BZ466" i="16"/>
  <c r="BN221" i="16"/>
  <c r="AK241" i="16"/>
  <c r="AK242" i="16"/>
  <c r="AW487" i="16"/>
  <c r="CG242" i="16"/>
  <c r="CG241" i="16"/>
  <c r="CS487" i="16"/>
  <c r="H220" i="16"/>
  <c r="N466" i="16"/>
  <c r="H218" i="16"/>
  <c r="CR242" i="16"/>
  <c r="CI242" i="16"/>
  <c r="CI241" i="16"/>
  <c r="CU487" i="16"/>
  <c r="CC221" i="16"/>
  <c r="CC218" i="16"/>
  <c r="CC220" i="16"/>
  <c r="CO466" i="16"/>
  <c r="AR242" i="16"/>
  <c r="AR241" i="16"/>
  <c r="BD487" i="16"/>
  <c r="AP218" i="16"/>
  <c r="BK241" i="16"/>
  <c r="BK242" i="16"/>
  <c r="BW242" i="16"/>
  <c r="BW487" i="16"/>
  <c r="BJ241" i="16"/>
  <c r="BJ242" i="16"/>
  <c r="BV487" i="16"/>
  <c r="BV241" i="16"/>
  <c r="BV242" i="16"/>
  <c r="CH487" i="16"/>
  <c r="BN241" i="16"/>
  <c r="BN242" i="16"/>
  <c r="BZ487" i="16"/>
  <c r="CC241" i="16"/>
  <c r="CC242" i="16"/>
  <c r="CO487" i="16"/>
  <c r="BP227" i="16"/>
  <c r="BP230" i="16"/>
  <c r="BP226" i="16"/>
  <c r="BP219" i="16"/>
  <c r="CB472" i="16"/>
  <c r="CB227" i="16"/>
  <c r="BL218" i="16"/>
  <c r="DB230" i="16"/>
  <c r="DB226" i="16"/>
  <c r="DB227" i="16"/>
  <c r="CA221" i="16"/>
  <c r="CM466" i="16"/>
  <c r="CA220" i="16"/>
  <c r="AW220" i="16"/>
  <c r="AW221" i="16"/>
  <c r="BI466" i="16"/>
  <c r="BJ220" i="16"/>
  <c r="BV466" i="16"/>
  <c r="BJ221" i="16"/>
  <c r="CP221" i="16"/>
  <c r="CP220" i="16"/>
  <c r="DB466" i="16"/>
  <c r="BL242" i="16"/>
  <c r="BX487" i="16"/>
  <c r="BL241" i="16"/>
  <c r="BY221" i="16"/>
  <c r="BY220" i="16"/>
  <c r="BY218" i="16"/>
  <c r="CK466" i="16"/>
  <c r="CL241" i="16"/>
  <c r="CL242" i="16"/>
  <c r="CX487" i="16"/>
  <c r="AX242" i="16"/>
  <c r="AX241" i="16"/>
  <c r="BJ487" i="16"/>
  <c r="AG227" i="16"/>
  <c r="AG226" i="16"/>
  <c r="AS472" i="16"/>
  <c r="AG230" i="16"/>
  <c r="AZ220" i="16"/>
  <c r="AZ221" i="16"/>
  <c r="BL466" i="16"/>
  <c r="AN241" i="16"/>
  <c r="AZ487" i="16"/>
  <c r="AN242" i="16"/>
  <c r="BE221" i="16"/>
  <c r="BE220" i="16"/>
  <c r="BE218" i="16"/>
  <c r="BQ221" i="16"/>
  <c r="BQ466" i="16"/>
  <c r="CM218" i="16"/>
  <c r="AM241" i="16"/>
  <c r="AM242" i="16"/>
  <c r="AY487" i="16"/>
  <c r="BU242" i="16"/>
  <c r="BU241" i="16"/>
  <c r="CG487" i="16"/>
  <c r="AS227" i="16"/>
  <c r="CV242" i="16"/>
  <c r="CV241" i="16"/>
  <c r="Q221" i="16"/>
  <c r="AW241" i="16"/>
  <c r="BI487" i="16"/>
  <c r="AW242" i="16"/>
  <c r="AV241" i="16"/>
  <c r="AV242" i="16"/>
  <c r="BH487" i="16"/>
  <c r="DB218" i="16"/>
  <c r="Z218" i="16"/>
  <c r="CO241" i="16"/>
  <c r="CO242" i="16"/>
  <c r="DA487" i="16"/>
  <c r="N220" i="16"/>
  <c r="N221" i="16"/>
  <c r="Z466" i="16"/>
  <c r="CP242" i="16"/>
  <c r="CP241" i="16"/>
  <c r="DB487" i="16"/>
  <c r="BM241" i="16"/>
  <c r="BM242" i="16"/>
  <c r="BY487" i="16"/>
  <c r="DC230" i="16"/>
  <c r="DC226" i="16"/>
  <c r="DC219" i="16"/>
  <c r="DC227" i="16"/>
  <c r="CW220" i="16"/>
  <c r="CW218" i="16"/>
  <c r="CW221" i="16"/>
  <c r="BB242" i="16"/>
  <c r="BB241" i="16"/>
  <c r="BN487" i="16"/>
  <c r="CB220" i="16"/>
  <c r="CN466" i="16"/>
  <c r="BX241" i="16"/>
  <c r="BX242" i="16"/>
  <c r="CJ487" i="16"/>
  <c r="BS242" i="16"/>
  <c r="BS241" i="16"/>
  <c r="CE487" i="16"/>
  <c r="BR220" i="16"/>
  <c r="CD466" i="16"/>
  <c r="BR218" i="16"/>
  <c r="CD221" i="16"/>
  <c r="BR221" i="16"/>
  <c r="AL221" i="16"/>
  <c r="AX466" i="16"/>
  <c r="AL220" i="16"/>
  <c r="L241" i="16"/>
  <c r="X487" i="16"/>
  <c r="BE242" i="16"/>
  <c r="BE241" i="16"/>
  <c r="BQ487" i="16"/>
  <c r="BG221" i="16"/>
  <c r="BG220" i="16"/>
  <c r="BG218" i="16"/>
  <c r="BS466" i="16"/>
  <c r="CR218" i="16"/>
  <c r="P220" i="16"/>
  <c r="AB466" i="16"/>
  <c r="BB227" i="16"/>
  <c r="BB226" i="16"/>
  <c r="BB230" i="16"/>
  <c r="BN472" i="16"/>
  <c r="BN227" i="16"/>
  <c r="BL230" i="16"/>
  <c r="BX472" i="16"/>
  <c r="BL226" i="16"/>
  <c r="BL227" i="16"/>
  <c r="T221" i="16"/>
  <c r="BF242" i="16"/>
  <c r="CX219" i="16"/>
  <c r="AI221" i="16"/>
  <c r="AU466" i="16"/>
  <c r="AU221" i="16"/>
  <c r="AI220" i="16"/>
  <c r="AH241" i="16"/>
  <c r="AH242" i="16"/>
  <c r="AT487" i="16"/>
  <c r="AQ242" i="16"/>
  <c r="BY241" i="16"/>
  <c r="BY242" i="16"/>
  <c r="CK487" i="16"/>
  <c r="CQ242" i="16"/>
  <c r="CQ241" i="16"/>
  <c r="DC487" i="16"/>
  <c r="AP230" i="16"/>
  <c r="AP226" i="16"/>
  <c r="AP227" i="16"/>
  <c r="BB472" i="16"/>
  <c r="X220" i="16"/>
  <c r="AJ466" i="16"/>
  <c r="X221" i="16"/>
  <c r="X218" i="16"/>
  <c r="CJ242" i="16"/>
  <c r="CJ241" i="16"/>
  <c r="CV487" i="16"/>
  <c r="AC221" i="16"/>
  <c r="AC220" i="16"/>
  <c r="AO466" i="16"/>
  <c r="CK219" i="16"/>
  <c r="BG242" i="16"/>
  <c r="BG241" i="16"/>
  <c r="BS487" i="16"/>
  <c r="BB219" i="16"/>
  <c r="CT242" i="16"/>
  <c r="CA242" i="16"/>
  <c r="CM487" i="16"/>
  <c r="CA241" i="16"/>
  <c r="AB487" i="16"/>
  <c r="P241" i="16"/>
  <c r="CN226" i="16"/>
  <c r="CN227" i="16"/>
  <c r="CN230" i="16"/>
  <c r="CN219" i="16"/>
  <c r="CZ472" i="16"/>
  <c r="AX227" i="16"/>
  <c r="AX226" i="16"/>
  <c r="AX230" i="16"/>
  <c r="AX219" i="16"/>
  <c r="BJ472" i="16"/>
  <c r="AT221" i="16"/>
  <c r="AT218" i="16"/>
  <c r="BF466" i="16"/>
  <c r="AT220" i="16"/>
  <c r="AI241" i="16"/>
  <c r="AI242" i="16"/>
  <c r="AU487" i="16"/>
  <c r="T241" i="16"/>
  <c r="U65" i="1"/>
  <c r="T242" i="16"/>
  <c r="AF487" i="16"/>
  <c r="CE241" i="16"/>
  <c r="CE242" i="16"/>
  <c r="CQ487" i="16"/>
  <c r="CB241" i="16"/>
  <c r="CB242" i="16"/>
  <c r="CN487" i="16"/>
  <c r="AJ242" i="16"/>
  <c r="AJ241" i="16"/>
  <c r="AV487" i="16"/>
  <c r="BT242" i="16"/>
  <c r="CF487" i="16"/>
  <c r="BT241" i="16"/>
  <c r="AG241" i="16"/>
  <c r="AG242" i="16"/>
  <c r="AS487" i="16"/>
  <c r="BM227" i="16"/>
  <c r="H241" i="16"/>
  <c r="N487" i="16"/>
  <c r="BU220" i="16"/>
  <c r="BU221" i="16"/>
  <c r="CG466" i="16"/>
  <c r="BU218" i="16"/>
  <c r="S230" i="16"/>
  <c r="AE472" i="16"/>
  <c r="AE227" i="16"/>
  <c r="S219" i="16"/>
  <c r="S226" i="16"/>
  <c r="CY241" i="16"/>
  <c r="CY242" i="16"/>
  <c r="X242" i="16"/>
  <c r="X241" i="16"/>
  <c r="AJ487" i="16"/>
  <c r="AW227" i="16"/>
  <c r="AW230" i="16"/>
  <c r="AW226" i="16"/>
  <c r="BI472" i="16"/>
  <c r="AY241" i="16"/>
  <c r="AY242" i="16"/>
  <c r="BK487" i="16"/>
  <c r="AC242" i="16"/>
  <c r="AC241" i="16"/>
  <c r="AO487" i="16"/>
  <c r="BI221" i="16"/>
  <c r="AS221" i="16"/>
  <c r="AS220" i="16"/>
  <c r="BE466" i="16"/>
  <c r="AS218" i="16"/>
  <c r="CJ221" i="16"/>
  <c r="CR466" i="16"/>
  <c r="CF221" i="16"/>
  <c r="CF220" i="16"/>
  <c r="AX487" i="16"/>
  <c r="AL242" i="16"/>
  <c r="AL241" i="16"/>
  <c r="AH221" i="16"/>
  <c r="AH220" i="16"/>
  <c r="AT466" i="16"/>
  <c r="Z242" i="16"/>
  <c r="U219" i="16"/>
  <c r="AN221" i="16"/>
  <c r="BA172" i="16"/>
  <c r="BA169" i="16"/>
  <c r="X181" i="16"/>
  <c r="X177" i="16"/>
  <c r="X178" i="16"/>
  <c r="BN171" i="16"/>
  <c r="Z172" i="16"/>
  <c r="CP181" i="16"/>
  <c r="CP177" i="16"/>
  <c r="J181" i="16"/>
  <c r="J170" i="16"/>
  <c r="J177" i="16"/>
  <c r="CE171" i="16"/>
  <c r="CV170" i="16"/>
  <c r="AN172" i="16"/>
  <c r="CX181" i="16"/>
  <c r="CD169" i="16"/>
  <c r="X170" i="16"/>
  <c r="X171" i="16" s="1"/>
  <c r="AK171" i="16"/>
  <c r="O169" i="16"/>
  <c r="AJ178" i="16"/>
  <c r="CX178" i="16"/>
  <c r="CX170" i="16"/>
  <c r="CX171" i="16" s="1"/>
  <c r="CS171" i="16"/>
  <c r="L169" i="16"/>
  <c r="AM181" i="16"/>
  <c r="AM178" i="16"/>
  <c r="AN171" i="16"/>
  <c r="CI172" i="16"/>
  <c r="BP169" i="16"/>
  <c r="AY178" i="16"/>
  <c r="AZ181" i="16"/>
  <c r="AZ178" i="16"/>
  <c r="AZ177" i="16"/>
  <c r="CB181" i="16"/>
  <c r="CB178" i="16"/>
  <c r="CB177" i="16"/>
  <c r="CV181" i="16"/>
  <c r="AM172" i="16"/>
  <c r="CA172" i="16"/>
  <c r="BN181" i="16"/>
  <c r="BN177" i="16"/>
  <c r="AW172" i="16"/>
  <c r="K169" i="16"/>
  <c r="AA172" i="16"/>
  <c r="Z169" i="16"/>
  <c r="AW171" i="16"/>
  <c r="Y177" i="16"/>
  <c r="Y181" i="16"/>
  <c r="Y178" i="16"/>
  <c r="CQ178" i="16"/>
  <c r="CQ181" i="16"/>
  <c r="BA181" i="16"/>
  <c r="BA178" i="16"/>
  <c r="BM178" i="16"/>
  <c r="BA177" i="16"/>
  <c r="AF170" i="16"/>
  <c r="AF172" i="16" s="1"/>
  <c r="AN177" i="16"/>
  <c r="CN178" i="16"/>
  <c r="AP169" i="16"/>
  <c r="CB169" i="16"/>
  <c r="CP169" i="16"/>
  <c r="CE169" i="16"/>
  <c r="CB172" i="16"/>
  <c r="BY171" i="16"/>
  <c r="DC178" i="16"/>
  <c r="DB178" i="16"/>
  <c r="CC181" i="16"/>
  <c r="CC178" i="16"/>
  <c r="CC177" i="16"/>
  <c r="K178" i="16"/>
  <c r="K181" i="16"/>
  <c r="W178" i="16"/>
  <c r="BO181" i="16"/>
  <c r="BO178" i="16"/>
  <c r="CA178" i="16"/>
  <c r="AL181" i="16"/>
  <c r="AL170" i="16"/>
  <c r="AL177" i="16"/>
  <c r="AL178" i="16"/>
  <c r="CP172" i="16"/>
  <c r="T178" i="16"/>
  <c r="G171" i="16"/>
  <c r="AI171" i="16"/>
  <c r="BZ178" i="16"/>
  <c r="AZ172" i="16"/>
  <c r="CQ169" i="16"/>
  <c r="BA171" i="16"/>
  <c r="AY172" i="16"/>
  <c r="CO172" i="16"/>
  <c r="X169" i="16"/>
  <c r="X172" i="16"/>
  <c r="CW172" i="16"/>
  <c r="CC169" i="16"/>
  <c r="BM172" i="16"/>
  <c r="AP172" i="16"/>
  <c r="K171" i="16"/>
  <c r="AM169" i="16"/>
  <c r="AN192" i="16"/>
  <c r="AN193" i="16"/>
  <c r="BT193" i="16"/>
  <c r="W193" i="16"/>
  <c r="CQ171" i="16"/>
  <c r="DC172" i="16"/>
  <c r="CC172" i="16"/>
  <c r="Y171" i="16"/>
  <c r="T193" i="16"/>
  <c r="Y169" i="16"/>
  <c r="BO192" i="16"/>
  <c r="CA193" i="16"/>
  <c r="CT193" i="16"/>
  <c r="Y172" i="16"/>
  <c r="BH193" i="16"/>
  <c r="BO169" i="16"/>
  <c r="CF193" i="16"/>
  <c r="BV193" i="16"/>
  <c r="AZ171" i="16"/>
  <c r="BO172" i="16"/>
  <c r="BD193" i="16"/>
  <c r="W172" i="16"/>
  <c r="CJ193" i="16"/>
  <c r="CS193" i="16"/>
  <c r="Z191" i="16"/>
  <c r="Z192" i="16" s="1"/>
  <c r="CQ193" i="16"/>
  <c r="CC193" i="16"/>
  <c r="AX193" i="16"/>
  <c r="CR193" i="16"/>
  <c r="CY193" i="16"/>
  <c r="AT193" i="16"/>
  <c r="BZ193" i="16"/>
  <c r="DB193" i="16"/>
  <c r="AT192" i="16"/>
  <c r="CE193" i="16"/>
  <c r="BP193" i="16"/>
  <c r="AM193" i="16"/>
  <c r="BR193" i="16"/>
  <c r="AB193" i="16"/>
  <c r="BA193" i="16"/>
  <c r="BW193" i="16"/>
  <c r="CV193" i="16"/>
  <c r="AP193" i="16"/>
  <c r="BN193" i="16"/>
  <c r="AO193" i="16"/>
  <c r="AF193" i="16"/>
  <c r="CL193" i="16"/>
  <c r="J192" i="16"/>
  <c r="CN193" i="16"/>
  <c r="CO193" i="16"/>
  <c r="AZ193" i="16"/>
  <c r="CK193" i="16"/>
  <c r="AV193" i="16"/>
  <c r="AR193" i="16"/>
  <c r="CN192" i="16"/>
  <c r="CZ193" i="16"/>
  <c r="AD192" i="16"/>
  <c r="BL193" i="16"/>
  <c r="CX193" i="16"/>
  <c r="AX192" i="16"/>
  <c r="AH193" i="16"/>
  <c r="AA193" i="16"/>
  <c r="AJ193" i="16"/>
  <c r="CB193" i="16"/>
  <c r="G355" i="17"/>
  <c r="F146" i="17"/>
  <c r="G356" i="17"/>
  <c r="G55" i="17"/>
  <c r="G205" i="17"/>
  <c r="F206" i="17"/>
  <c r="G295" i="17"/>
  <c r="G56" i="17"/>
  <c r="G85" i="17"/>
  <c r="F86" i="17"/>
  <c r="F117" i="17"/>
  <c r="G117" i="17" s="1"/>
  <c r="G116" i="17"/>
  <c r="F147" i="17"/>
  <c r="G147" i="17" s="1"/>
  <c r="G146" i="17"/>
  <c r="F326" i="17"/>
  <c r="G325" i="17"/>
  <c r="AP512" i="16"/>
  <c r="AP515" i="16"/>
  <c r="AP514" i="16"/>
  <c r="CZ515" i="16"/>
  <c r="CZ512" i="16"/>
  <c r="CZ514" i="16"/>
  <c r="CB536" i="16"/>
  <c r="CB535" i="16"/>
  <c r="CB514" i="16"/>
  <c r="CB515" i="16"/>
  <c r="CB512" i="16"/>
  <c r="AL536" i="16"/>
  <c r="AL535" i="16"/>
  <c r="J514" i="16"/>
  <c r="J512" i="16"/>
  <c r="CQ536" i="16"/>
  <c r="CQ535" i="16"/>
  <c r="AR514" i="16"/>
  <c r="AR515" i="16"/>
  <c r="AR512" i="16"/>
  <c r="CF515" i="16"/>
  <c r="CF512" i="16"/>
  <c r="CF514" i="16"/>
  <c r="AK536" i="16"/>
  <c r="AK535" i="16"/>
  <c r="CC536" i="16"/>
  <c r="CC535" i="16"/>
  <c r="CL515" i="16"/>
  <c r="CL514" i="16"/>
  <c r="CL512" i="16"/>
  <c r="CR535" i="16"/>
  <c r="CR536" i="16"/>
  <c r="BN512" i="16"/>
  <c r="BN514" i="16"/>
  <c r="BN515" i="16"/>
  <c r="AG515" i="16"/>
  <c r="AG512" i="16"/>
  <c r="AG514" i="16"/>
  <c r="BO536" i="16"/>
  <c r="BO535" i="16"/>
  <c r="T514" i="16"/>
  <c r="T515" i="16"/>
  <c r="T512" i="16"/>
  <c r="AM515" i="16"/>
  <c r="AM514" i="16"/>
  <c r="AM512" i="16"/>
  <c r="BA515" i="16"/>
  <c r="BA514" i="16"/>
  <c r="BA512" i="16"/>
  <c r="AB512" i="16"/>
  <c r="AB514" i="16"/>
  <c r="BB535" i="16"/>
  <c r="BB536" i="16"/>
  <c r="BA536" i="16"/>
  <c r="BA535" i="16"/>
  <c r="CW536" i="16"/>
  <c r="CW535" i="16"/>
  <c r="AT512" i="16"/>
  <c r="AT515" i="16"/>
  <c r="AT514" i="16"/>
  <c r="AD514" i="16"/>
  <c r="AD515" i="16"/>
  <c r="AD512" i="16"/>
  <c r="BB515" i="16"/>
  <c r="BB512" i="16"/>
  <c r="BB514" i="16"/>
  <c r="BW514" i="16"/>
  <c r="BW512" i="16"/>
  <c r="BW515" i="16"/>
  <c r="K535" i="16"/>
  <c r="K536" i="16"/>
  <c r="CM536" i="16"/>
  <c r="CM535" i="16"/>
  <c r="BI514" i="16"/>
  <c r="BI512" i="16"/>
  <c r="BI515" i="16"/>
  <c r="BY536" i="16"/>
  <c r="BY535" i="16"/>
  <c r="AE536" i="16"/>
  <c r="AE535" i="16"/>
  <c r="BE514" i="16"/>
  <c r="BE515" i="16"/>
  <c r="BE512" i="16"/>
  <c r="BD512" i="16"/>
  <c r="BD515" i="16"/>
  <c r="BD514" i="16"/>
  <c r="CP514" i="16"/>
  <c r="CP515" i="16"/>
  <c r="CP512" i="16"/>
  <c r="Z515" i="16"/>
  <c r="Z514" i="16"/>
  <c r="Z512" i="16"/>
  <c r="AM536" i="16"/>
  <c r="AM535" i="16"/>
  <c r="BX512" i="16"/>
  <c r="BX514" i="16"/>
  <c r="BR512" i="16"/>
  <c r="BR515" i="16"/>
  <c r="BR514" i="16"/>
  <c r="BG536" i="16"/>
  <c r="BG535" i="16"/>
  <c r="BJ515" i="16"/>
  <c r="BJ514" i="16"/>
  <c r="BJ512" i="16"/>
  <c r="AS536" i="16"/>
  <c r="AS535" i="16"/>
  <c r="CH514" i="16"/>
  <c r="CH515" i="16"/>
  <c r="CH512" i="16"/>
  <c r="N515" i="16"/>
  <c r="N512" i="16"/>
  <c r="N514" i="16"/>
  <c r="AQ514" i="16"/>
  <c r="AQ515" i="16"/>
  <c r="AQ512" i="16"/>
  <c r="CT535" i="16"/>
  <c r="CT536" i="16"/>
  <c r="AL515" i="16"/>
  <c r="AL512" i="16"/>
  <c r="AL514" i="16"/>
  <c r="BK536" i="16"/>
  <c r="BK535" i="16"/>
  <c r="Q536" i="16"/>
  <c r="Q535" i="16"/>
  <c r="CX515" i="16"/>
  <c r="CX512" i="16"/>
  <c r="CX514" i="16"/>
  <c r="BT514" i="16"/>
  <c r="BT515" i="16"/>
  <c r="BT512" i="16"/>
  <c r="CY514" i="16"/>
  <c r="CY515" i="16"/>
  <c r="CY512" i="16"/>
  <c r="CK512" i="16"/>
  <c r="CK515" i="16"/>
  <c r="CK514" i="16"/>
  <c r="Y515" i="16"/>
  <c r="Y514" i="16"/>
  <c r="Y512" i="16"/>
  <c r="AV515" i="16"/>
  <c r="AV512" i="16"/>
  <c r="AV514" i="16"/>
  <c r="AW536" i="16"/>
  <c r="AW535" i="16"/>
  <c r="X514" i="16"/>
  <c r="X515" i="16"/>
  <c r="X512" i="16"/>
  <c r="BO515" i="16"/>
  <c r="BO514" i="16"/>
  <c r="BO512" i="16"/>
  <c r="BF514" i="16"/>
  <c r="BF515" i="16"/>
  <c r="BF512" i="16"/>
  <c r="AH515" i="16"/>
  <c r="AH512" i="16"/>
  <c r="AH514" i="16"/>
  <c r="CI536" i="16"/>
  <c r="CI535" i="16"/>
  <c r="S514" i="16"/>
  <c r="S512" i="16"/>
  <c r="Y536" i="16"/>
  <c r="Y535" i="16"/>
  <c r="BU536" i="16"/>
  <c r="BU535" i="16"/>
  <c r="AZ515" i="16"/>
  <c r="AZ512" i="16"/>
  <c r="AZ514" i="16"/>
  <c r="DA536" i="16"/>
  <c r="DA535" i="16"/>
  <c r="AI536" i="16"/>
  <c r="AI535" i="16"/>
  <c r="CJ515" i="16"/>
  <c r="CJ514" i="16"/>
  <c r="CJ512" i="16"/>
  <c r="CT514" i="16"/>
  <c r="CT515" i="16"/>
  <c r="CT512" i="16"/>
  <c r="CP536" i="16"/>
  <c r="CP535" i="16"/>
  <c r="CD515" i="16"/>
  <c r="CD514" i="16"/>
  <c r="CD512" i="16"/>
  <c r="AU512" i="16"/>
  <c r="AU514" i="16"/>
  <c r="AU515" i="16"/>
  <c r="BZ340" i="16"/>
  <c r="BZ339" i="16"/>
  <c r="AY340" i="16"/>
  <c r="AY339" i="16"/>
  <c r="BH316" i="16"/>
  <c r="BH318" i="16"/>
  <c r="BH319" i="16"/>
  <c r="AM319" i="16"/>
  <c r="AM318" i="16"/>
  <c r="AM316" i="16"/>
  <c r="BN319" i="16"/>
  <c r="BN316" i="16"/>
  <c r="BN318" i="16"/>
  <c r="BL340" i="16"/>
  <c r="BL339" i="16"/>
  <c r="AV316" i="16"/>
  <c r="AV319" i="16"/>
  <c r="AV318" i="16"/>
  <c r="W340" i="16"/>
  <c r="W339" i="16"/>
  <c r="BZ319" i="16"/>
  <c r="S316" i="16"/>
  <c r="S318" i="16"/>
  <c r="CC319" i="16"/>
  <c r="CC318" i="16"/>
  <c r="CO319" i="16"/>
  <c r="CC316" i="16"/>
  <c r="AI340" i="16"/>
  <c r="AX340" i="16"/>
  <c r="AX339" i="16"/>
  <c r="CS316" i="16"/>
  <c r="CS318" i="16"/>
  <c r="CS319" i="16"/>
  <c r="BQ316" i="16"/>
  <c r="BQ318" i="16"/>
  <c r="BQ319" i="16"/>
  <c r="AT316" i="16"/>
  <c r="AT319" i="16"/>
  <c r="AT318" i="16"/>
  <c r="CE319" i="16"/>
  <c r="CE318" i="16"/>
  <c r="CE316" i="16"/>
  <c r="AZ319" i="16"/>
  <c r="AZ318" i="16"/>
  <c r="BL319" i="16"/>
  <c r="AZ316" i="16"/>
  <c r="AJ340" i="16"/>
  <c r="AJ339" i="16"/>
  <c r="CZ316" i="16"/>
  <c r="CZ319" i="16"/>
  <c r="CZ318" i="16"/>
  <c r="AY319" i="16"/>
  <c r="CK339" i="16"/>
  <c r="CK340" i="16"/>
  <c r="CY318" i="16"/>
  <c r="CY319" i="16"/>
  <c r="CY316" i="16"/>
  <c r="T319" i="16"/>
  <c r="T318" i="16"/>
  <c r="T316" i="16"/>
  <c r="CJ316" i="16"/>
  <c r="CJ319" i="16"/>
  <c r="CJ318" i="16"/>
  <c r="CW340" i="16"/>
  <c r="CV340" i="16"/>
  <c r="CV339" i="16"/>
  <c r="BO319" i="16"/>
  <c r="BO316" i="16"/>
  <c r="CA319" i="16"/>
  <c r="BO318" i="16"/>
  <c r="CH339" i="16"/>
  <c r="CH340" i="16"/>
  <c r="AD318" i="16"/>
  <c r="AD316" i="16"/>
  <c r="AD319" i="16"/>
  <c r="AP319" i="16"/>
  <c r="X319" i="16"/>
  <c r="X318" i="16"/>
  <c r="X316" i="16"/>
  <c r="AH318" i="16"/>
  <c r="AH316" i="16"/>
  <c r="AH319" i="16"/>
  <c r="CR319" i="16"/>
  <c r="CR316" i="16"/>
  <c r="CR318" i="16"/>
  <c r="AF319" i="16"/>
  <c r="AF316" i="16"/>
  <c r="AF318" i="16"/>
  <c r="BW339" i="16"/>
  <c r="CI340" i="16"/>
  <c r="BW340" i="16"/>
  <c r="Y319" i="16"/>
  <c r="AK319" i="16"/>
  <c r="Y316" i="16"/>
  <c r="Y318" i="16"/>
  <c r="CP319" i="16"/>
  <c r="CP318" i="16"/>
  <c r="DB319" i="16"/>
  <c r="CP316" i="16"/>
  <c r="S339" i="16"/>
  <c r="AE340" i="16"/>
  <c r="CK319" i="16"/>
  <c r="CK318" i="16"/>
  <c r="CK316" i="16"/>
  <c r="CP339" i="16"/>
  <c r="CP340" i="16"/>
  <c r="CL340" i="16"/>
  <c r="AS318" i="16"/>
  <c r="AS319" i="16"/>
  <c r="AS316" i="16"/>
  <c r="BE319" i="16"/>
  <c r="K340" i="16"/>
  <c r="BW318" i="16"/>
  <c r="BW319" i="16"/>
  <c r="BW316" i="16"/>
  <c r="BT340" i="16"/>
  <c r="BT339" i="16"/>
  <c r="K316" i="16"/>
  <c r="K319" i="16"/>
  <c r="K318" i="16"/>
  <c r="BX318" i="16"/>
  <c r="BX319" i="16"/>
  <c r="BX316" i="16"/>
  <c r="BN340" i="16"/>
  <c r="BN339" i="16"/>
  <c r="BF340" i="16"/>
  <c r="BF339" i="16"/>
  <c r="AQ318" i="16"/>
  <c r="AQ319" i="16"/>
  <c r="AQ316" i="16"/>
  <c r="AZ340" i="16"/>
  <c r="AZ339" i="16"/>
  <c r="BV318" i="16"/>
  <c r="BV316" i="16"/>
  <c r="BV319" i="16"/>
  <c r="AR340" i="16"/>
  <c r="AR339" i="16"/>
  <c r="AE318" i="16"/>
  <c r="AE319" i="16"/>
  <c r="AE316" i="16"/>
  <c r="AA316" i="16"/>
  <c r="AA318" i="16"/>
  <c r="AA319" i="16"/>
  <c r="AU316" i="16"/>
  <c r="AU319" i="16"/>
  <c r="AU318" i="16"/>
  <c r="Q340" i="16"/>
  <c r="AD339" i="16"/>
  <c r="AD340" i="16"/>
  <c r="CQ319" i="16"/>
  <c r="CQ316" i="16"/>
  <c r="CQ318" i="16"/>
  <c r="BK340" i="16"/>
  <c r="DB340" i="16"/>
  <c r="DB339" i="16"/>
  <c r="Z319" i="16"/>
  <c r="Z316" i="16"/>
  <c r="Z318" i="16"/>
  <c r="BJ318" i="16"/>
  <c r="BJ319" i="16"/>
  <c r="BJ316" i="16"/>
  <c r="BJ340" i="16"/>
  <c r="CW318" i="16"/>
  <c r="CW319" i="16"/>
  <c r="CW316" i="16"/>
  <c r="BY340" i="16"/>
  <c r="BY339" i="16"/>
  <c r="BD340" i="16"/>
  <c r="CV318" i="16"/>
  <c r="CV319" i="16"/>
  <c r="CV316" i="16"/>
  <c r="BT319" i="16"/>
  <c r="CX318" i="16"/>
  <c r="CX319" i="16"/>
  <c r="CX316" i="16"/>
  <c r="AG339" i="16"/>
  <c r="AG340" i="16"/>
  <c r="CL319" i="16"/>
  <c r="CL316" i="16"/>
  <c r="CL318" i="16"/>
  <c r="DA340" i="16"/>
  <c r="DA339" i="16"/>
  <c r="R318" i="16"/>
  <c r="R316" i="16"/>
  <c r="CG318" i="16"/>
  <c r="CG316" i="16"/>
  <c r="CG319" i="16"/>
  <c r="AS340" i="16"/>
  <c r="BA319" i="16"/>
  <c r="BA318" i="16"/>
  <c r="BA316" i="16"/>
  <c r="BM319" i="16"/>
  <c r="BX340" i="16"/>
  <c r="Q318" i="16"/>
  <c r="Q319" i="16"/>
  <c r="Q316" i="16"/>
  <c r="BR340" i="16"/>
  <c r="CN340" i="16"/>
  <c r="CN339" i="16"/>
  <c r="AH340" i="16"/>
  <c r="BI318" i="16"/>
  <c r="BI316" i="16"/>
  <c r="BI319" i="16"/>
  <c r="AO318" i="16"/>
  <c r="AO319" i="16"/>
  <c r="AO316" i="16"/>
  <c r="AR318" i="16"/>
  <c r="BD319" i="16"/>
  <c r="AR319" i="16"/>
  <c r="AR316" i="16"/>
  <c r="M318" i="16"/>
  <c r="M316" i="16"/>
  <c r="AG319" i="16"/>
  <c r="AG316" i="16"/>
  <c r="AG318" i="16"/>
  <c r="BG319" i="16"/>
  <c r="BC316" i="16"/>
  <c r="BC319" i="16"/>
  <c r="BC318" i="16"/>
  <c r="BU319" i="16"/>
  <c r="CG192" i="16"/>
  <c r="CG193" i="16"/>
  <c r="AJ169" i="16"/>
  <c r="AJ171" i="16"/>
  <c r="AJ172" i="16"/>
  <c r="CU192" i="16"/>
  <c r="CU193" i="16"/>
  <c r="AW193" i="16"/>
  <c r="AW192" i="16"/>
  <c r="BT171" i="16"/>
  <c r="BT172" i="16"/>
  <c r="BT169" i="16"/>
  <c r="BD172" i="16"/>
  <c r="BD171" i="16"/>
  <c r="BD169" i="16"/>
  <c r="T172" i="16"/>
  <c r="T169" i="16"/>
  <c r="T171" i="16"/>
  <c r="V169" i="16"/>
  <c r="V171" i="16"/>
  <c r="BV171" i="16"/>
  <c r="BV172" i="16"/>
  <c r="BV169" i="16"/>
  <c r="CW193" i="16"/>
  <c r="CW192" i="16"/>
  <c r="BS192" i="16"/>
  <c r="BS193" i="16"/>
  <c r="H169" i="16"/>
  <c r="H171" i="16"/>
  <c r="CD192" i="16"/>
  <c r="CD193" i="16"/>
  <c r="CP193" i="16"/>
  <c r="CI192" i="16"/>
  <c r="CI193" i="16"/>
  <c r="CF172" i="16"/>
  <c r="BU192" i="16"/>
  <c r="BU193" i="16"/>
  <c r="CZ169" i="16"/>
  <c r="CZ172" i="16"/>
  <c r="CZ171" i="16"/>
  <c r="CH171" i="16"/>
  <c r="CH172" i="16"/>
  <c r="CH169" i="16"/>
  <c r="AF171" i="16"/>
  <c r="K193" i="16"/>
  <c r="BP172" i="16"/>
  <c r="AE192" i="16"/>
  <c r="AE193" i="16"/>
  <c r="AS171" i="16"/>
  <c r="AS172" i="16"/>
  <c r="AS169" i="16"/>
  <c r="BE192" i="16"/>
  <c r="BE193" i="16"/>
  <c r="DA193" i="16"/>
  <c r="DA192" i="16"/>
  <c r="BH171" i="16"/>
  <c r="BH172" i="16"/>
  <c r="BH169" i="16"/>
  <c r="CV171" i="16"/>
  <c r="CV172" i="16"/>
  <c r="CV169" i="16"/>
  <c r="CY171" i="16"/>
  <c r="CY169" i="16"/>
  <c r="CY172" i="16"/>
  <c r="CN169" i="16"/>
  <c r="CN171" i="16"/>
  <c r="CN172" i="16"/>
  <c r="CT172" i="16"/>
  <c r="CT169" i="16"/>
  <c r="CT171" i="16"/>
  <c r="AC192" i="16"/>
  <c r="AC193" i="16"/>
  <c r="X193" i="16"/>
  <c r="BZ169" i="16"/>
  <c r="BZ171" i="16"/>
  <c r="BZ172" i="16"/>
  <c r="BY193" i="16"/>
  <c r="BY192" i="16"/>
  <c r="BG171" i="16"/>
  <c r="BS172" i="16"/>
  <c r="BG172" i="16"/>
  <c r="BG169" i="16"/>
  <c r="BI193" i="16"/>
  <c r="AH172" i="16"/>
  <c r="AH171" i="16"/>
  <c r="AH169" i="16"/>
  <c r="AX169" i="16"/>
  <c r="AX171" i="16"/>
  <c r="AX172" i="16"/>
  <c r="CJ171" i="16"/>
  <c r="CJ169" i="16"/>
  <c r="CJ172" i="16"/>
  <c r="AB172" i="16"/>
  <c r="AB171" i="16"/>
  <c r="AB169" i="16"/>
  <c r="BR172" i="16"/>
  <c r="BR171" i="16"/>
  <c r="BR169" i="16"/>
  <c r="AI193" i="16"/>
  <c r="AI192" i="16"/>
  <c r="CK171" i="16"/>
  <c r="CK172" i="16"/>
  <c r="CK169" i="16"/>
  <c r="DC193" i="16"/>
  <c r="DC192" i="16"/>
  <c r="AG193" i="16"/>
  <c r="CD172" i="16"/>
  <c r="BI171" i="16"/>
  <c r="BI172" i="16"/>
  <c r="BI169" i="16"/>
  <c r="AR171" i="16"/>
  <c r="AR169" i="16"/>
  <c r="N172" i="16"/>
  <c r="AT171" i="16"/>
  <c r="AT172" i="16"/>
  <c r="AT169" i="16"/>
  <c r="BG193" i="16"/>
  <c r="BG192" i="16"/>
  <c r="AS193" i="16"/>
  <c r="AS192" i="16"/>
  <c r="CL172" i="16"/>
  <c r="CL171" i="16"/>
  <c r="CL169" i="16"/>
  <c r="BX171" i="16"/>
  <c r="BX172" i="16"/>
  <c r="BX169" i="16"/>
  <c r="BB172" i="16"/>
  <c r="BB171" i="16"/>
  <c r="BB169" i="16"/>
  <c r="AE171" i="16"/>
  <c r="AE172" i="16"/>
  <c r="AE169" i="16"/>
  <c r="AQ172" i="16"/>
  <c r="AU171" i="16"/>
  <c r="AU169" i="16"/>
  <c r="AU172" i="16"/>
  <c r="AG171" i="16"/>
  <c r="AG172" i="16"/>
  <c r="AG169" i="16"/>
  <c r="Q193" i="16"/>
  <c r="Q192" i="16"/>
  <c r="BU171" i="16"/>
  <c r="BU172" i="16"/>
  <c r="BU169" i="16"/>
  <c r="BJ169" i="16"/>
  <c r="BJ171" i="16"/>
  <c r="BJ172" i="16"/>
  <c r="R171" i="16"/>
  <c r="R169" i="16"/>
  <c r="DB169" i="16"/>
  <c r="DB172" i="16"/>
  <c r="DB171" i="16"/>
  <c r="AD171" i="16"/>
  <c r="AD172" i="16"/>
  <c r="AD169" i="16"/>
  <c r="AV172" i="16"/>
  <c r="AV169" i="16"/>
  <c r="AV171" i="16"/>
  <c r="S171" i="16"/>
  <c r="S169" i="16"/>
  <c r="AQ192" i="16"/>
  <c r="AQ193" i="16"/>
  <c r="CM193" i="16"/>
  <c r="CM192" i="16"/>
  <c r="BF171" i="16"/>
  <c r="BF172" i="16"/>
  <c r="BF169" i="16"/>
  <c r="BL169" i="16"/>
  <c r="BL171" i="16"/>
  <c r="BL172" i="16"/>
  <c r="BK193" i="16"/>
  <c r="BK192" i="16"/>
  <c r="AU193" i="16"/>
  <c r="BC193" i="16"/>
  <c r="BW171" i="16"/>
  <c r="BW172" i="16"/>
  <c r="BW169" i="16"/>
  <c r="BQ193" i="16"/>
  <c r="BH120" i="16"/>
  <c r="BH122" i="16"/>
  <c r="BH123" i="16"/>
  <c r="Z123" i="16"/>
  <c r="Z122" i="16"/>
  <c r="Z120" i="16"/>
  <c r="Z143" i="16"/>
  <c r="Z144" i="16"/>
  <c r="BO143" i="16"/>
  <c r="BO144" i="16"/>
  <c r="T123" i="16"/>
  <c r="T120" i="16"/>
  <c r="T122" i="16"/>
  <c r="AU122" i="16"/>
  <c r="AU123" i="16"/>
  <c r="AU120" i="16"/>
  <c r="CV122" i="16"/>
  <c r="CV120" i="16"/>
  <c r="CV123" i="16"/>
  <c r="AC122" i="16"/>
  <c r="AC120" i="16"/>
  <c r="AC123" i="16"/>
  <c r="AT120" i="16"/>
  <c r="AT123" i="16"/>
  <c r="AT122" i="16"/>
  <c r="BA143" i="16"/>
  <c r="BA144" i="16"/>
  <c r="CT123" i="16"/>
  <c r="CT120" i="16"/>
  <c r="CT122" i="16"/>
  <c r="AF120" i="16"/>
  <c r="AF122" i="16"/>
  <c r="AF123" i="16"/>
  <c r="AM143" i="16"/>
  <c r="AM144" i="16"/>
  <c r="CZ123" i="16"/>
  <c r="CZ120" i="16"/>
  <c r="CZ122" i="16"/>
  <c r="CL123" i="16"/>
  <c r="CL120" i="16"/>
  <c r="CL122" i="16"/>
  <c r="CY122" i="16"/>
  <c r="CY120" i="16"/>
  <c r="CY123" i="16"/>
  <c r="AY144" i="16"/>
  <c r="AL144" i="16"/>
  <c r="CG122" i="16"/>
  <c r="CG123" i="16"/>
  <c r="CG120" i="16"/>
  <c r="CA144" i="16"/>
  <c r="CH122" i="16"/>
  <c r="CH123" i="16"/>
  <c r="CH120" i="16"/>
  <c r="BR123" i="16"/>
  <c r="BR120" i="16"/>
  <c r="BR122" i="16"/>
  <c r="S122" i="16"/>
  <c r="S120" i="16"/>
  <c r="X144" i="16"/>
  <c r="BV120" i="16"/>
  <c r="BV122" i="16"/>
  <c r="BV123" i="16"/>
  <c r="AN143" i="16"/>
  <c r="AN144" i="16"/>
  <c r="Y143" i="16"/>
  <c r="Y144" i="16"/>
  <c r="AB123" i="16"/>
  <c r="AB120" i="16"/>
  <c r="AB122" i="16"/>
  <c r="O122" i="16"/>
  <c r="O120" i="16"/>
  <c r="AV123" i="16"/>
  <c r="AV120" i="16"/>
  <c r="AV122" i="16"/>
  <c r="CK122" i="16"/>
  <c r="CK123" i="16"/>
  <c r="CW123" i="16"/>
  <c r="CK120" i="16"/>
  <c r="AP123" i="16"/>
  <c r="AP120" i="16"/>
  <c r="AP122" i="16"/>
  <c r="CU122" i="16"/>
  <c r="CU120" i="16"/>
  <c r="CU123" i="16"/>
  <c r="CR143" i="16"/>
  <c r="CR144" i="16"/>
  <c r="CS123" i="16"/>
  <c r="CC143" i="16"/>
  <c r="CC144" i="16"/>
  <c r="AG122" i="16"/>
  <c r="AG120" i="16"/>
  <c r="AS123" i="16"/>
  <c r="AG123" i="16"/>
  <c r="AL123" i="16"/>
  <c r="BD123" i="16"/>
  <c r="BD120" i="16"/>
  <c r="BD122" i="16"/>
  <c r="AK144" i="16"/>
  <c r="BW122" i="16"/>
  <c r="BW120" i="16"/>
  <c r="CI123" i="16"/>
  <c r="BW123" i="16"/>
  <c r="CD143" i="16"/>
  <c r="CD144" i="16"/>
  <c r="N123" i="16"/>
  <c r="N120" i="16"/>
  <c r="N122" i="16"/>
  <c r="BS122" i="16"/>
  <c r="BS123" i="16"/>
  <c r="BS120" i="16"/>
  <c r="CE123" i="16"/>
  <c r="AA123" i="16"/>
  <c r="CP144" i="16"/>
  <c r="BG123" i="16"/>
  <c r="CF123" i="16"/>
  <c r="CF122" i="16"/>
  <c r="CF120" i="16"/>
  <c r="R120" i="16"/>
  <c r="R122" i="16"/>
  <c r="K143" i="16"/>
  <c r="K144" i="16"/>
  <c r="X123" i="16"/>
  <c r="X122" i="16"/>
  <c r="AJ123" i="16"/>
  <c r="X120" i="16"/>
  <c r="BX123" i="16"/>
  <c r="BX120" i="16"/>
  <c r="BX122" i="16"/>
  <c r="BJ123" i="16"/>
  <c r="BJ122" i="16"/>
  <c r="BJ120" i="16"/>
  <c r="BE122" i="16"/>
  <c r="BE120" i="16"/>
  <c r="BQ123" i="16"/>
  <c r="BE123" i="16"/>
  <c r="CX120" i="16"/>
  <c r="CX122" i="16"/>
  <c r="CX123" i="16"/>
  <c r="BT123" i="16"/>
  <c r="BP143" i="16"/>
  <c r="BP144" i="16"/>
  <c r="AH123" i="16"/>
  <c r="AH122" i="16"/>
  <c r="AH120" i="16"/>
  <c r="BI122" i="16"/>
  <c r="BI123" i="16"/>
  <c r="BU123" i="16"/>
  <c r="BI120" i="16"/>
  <c r="BF122" i="16"/>
  <c r="BF123" i="16"/>
  <c r="BF120" i="16"/>
  <c r="AQ122" i="16"/>
  <c r="AQ123" i="16"/>
  <c r="AQ120" i="16"/>
  <c r="BC123" i="16"/>
  <c r="CJ120" i="16"/>
  <c r="CJ122" i="16"/>
  <c r="CJ123" i="16"/>
  <c r="BB143" i="16"/>
  <c r="BB144" i="16"/>
  <c r="CQ143" i="16"/>
  <c r="CQ144" i="16"/>
  <c r="AR122" i="16"/>
  <c r="AR123" i="16"/>
  <c r="AR120" i="16"/>
  <c r="AN123" i="16"/>
  <c r="AE123" i="16"/>
  <c r="BM144" i="16"/>
  <c r="BN144" i="16"/>
  <c r="CO144" i="16"/>
  <c r="CR74" i="16"/>
  <c r="CR73" i="16"/>
  <c r="CR71" i="16"/>
  <c r="AS73" i="16"/>
  <c r="BE74" i="16"/>
  <c r="AS71" i="16"/>
  <c r="AS74" i="16"/>
  <c r="BT73" i="16"/>
  <c r="BT74" i="16"/>
  <c r="BT71" i="16"/>
  <c r="T71" i="16"/>
  <c r="T74" i="16"/>
  <c r="T73" i="16"/>
  <c r="CD74" i="16"/>
  <c r="CD73" i="16"/>
  <c r="CD71" i="16"/>
  <c r="X74" i="16"/>
  <c r="X73" i="16"/>
  <c r="X71" i="16"/>
  <c r="CX71" i="16"/>
  <c r="CX74" i="16"/>
  <c r="CX73" i="16"/>
  <c r="BP74" i="16"/>
  <c r="BP73" i="16"/>
  <c r="BP71" i="16"/>
  <c r="AB73" i="16"/>
  <c r="AB74" i="16"/>
  <c r="AB71" i="16"/>
  <c r="CW73" i="16"/>
  <c r="CW71" i="16"/>
  <c r="CW74" i="16"/>
  <c r="AV71" i="16"/>
  <c r="AV73" i="16"/>
  <c r="AV74" i="16"/>
  <c r="BB74" i="16"/>
  <c r="BB73" i="16"/>
  <c r="BB71" i="16"/>
  <c r="BN74" i="16"/>
  <c r="BN73" i="16"/>
  <c r="BN71" i="16"/>
  <c r="AD73" i="16"/>
  <c r="AD74" i="16"/>
  <c r="AD71" i="16"/>
  <c r="BU73" i="16"/>
  <c r="CG74" i="16"/>
  <c r="BU74" i="16"/>
  <c r="BU71" i="16"/>
  <c r="CS94" i="16"/>
  <c r="CS95" i="16"/>
  <c r="BH71" i="16"/>
  <c r="BH74" i="16"/>
  <c r="BH73" i="16"/>
  <c r="AJ74" i="16"/>
  <c r="Z74" i="16"/>
  <c r="Z73" i="16"/>
  <c r="Z71" i="16"/>
  <c r="CE94" i="16"/>
  <c r="CE95" i="16"/>
  <c r="J71" i="16"/>
  <c r="J73" i="16"/>
  <c r="CT73" i="16"/>
  <c r="CT74" i="16"/>
  <c r="CT71" i="16"/>
  <c r="AE73" i="16"/>
  <c r="AQ74" i="16"/>
  <c r="AE71" i="16"/>
  <c r="AE74" i="16"/>
  <c r="CV73" i="16"/>
  <c r="CV74" i="16"/>
  <c r="CV71" i="16"/>
  <c r="CB74" i="16"/>
  <c r="CB71" i="16"/>
  <c r="CB73" i="16"/>
  <c r="AH71" i="16"/>
  <c r="AH73" i="16"/>
  <c r="AH74" i="16"/>
  <c r="CJ71" i="16"/>
  <c r="CJ74" i="16"/>
  <c r="CJ73" i="16"/>
  <c r="Q73" i="16"/>
  <c r="Q74" i="16"/>
  <c r="AC74" i="16"/>
  <c r="Q71" i="16"/>
  <c r="BV71" i="16"/>
  <c r="BV74" i="16"/>
  <c r="BV73" i="16"/>
  <c r="AN74" i="16"/>
  <c r="AN73" i="16"/>
  <c r="AN71" i="16"/>
  <c r="AP74" i="16"/>
  <c r="AT71" i="16"/>
  <c r="AT74" i="16"/>
  <c r="AT73" i="16"/>
  <c r="L73" i="16"/>
  <c r="L71" i="16"/>
  <c r="BQ94" i="16"/>
  <c r="BQ95" i="16"/>
  <c r="AB95" i="16"/>
  <c r="BR73" i="16"/>
  <c r="BR74" i="16"/>
  <c r="BR71" i="16"/>
  <c r="CV94" i="16"/>
  <c r="CV95" i="16"/>
  <c r="AF71" i="16"/>
  <c r="AF74" i="16"/>
  <c r="AF73" i="16"/>
  <c r="BC94" i="16"/>
  <c r="BC95" i="16"/>
  <c r="AZ74" i="16"/>
  <c r="AZ73" i="16"/>
  <c r="AZ71" i="16"/>
  <c r="CH94" i="16"/>
  <c r="CH95" i="16"/>
  <c r="R71" i="16"/>
  <c r="R73" i="16"/>
  <c r="AO94" i="16"/>
  <c r="AO95" i="16"/>
  <c r="CI73" i="16"/>
  <c r="CU74" i="16"/>
  <c r="CI71" i="16"/>
  <c r="CI74" i="16"/>
  <c r="AR73" i="16"/>
  <c r="AR74" i="16"/>
  <c r="AR71" i="16"/>
  <c r="BT94" i="16"/>
  <c r="BT95" i="16"/>
  <c r="BO95" i="16"/>
  <c r="BJ71" i="16"/>
  <c r="BJ73" i="16"/>
  <c r="BJ74" i="16"/>
  <c r="CZ71" i="16"/>
  <c r="CZ73" i="16"/>
  <c r="CZ74" i="16"/>
  <c r="AA94" i="16"/>
  <c r="AA95" i="16"/>
  <c r="CP74" i="16"/>
  <c r="CP71" i="16"/>
  <c r="CP73" i="16"/>
  <c r="BF73" i="16"/>
  <c r="BF74" i="16"/>
  <c r="BF71" i="16"/>
  <c r="BF94" i="16"/>
  <c r="BF95" i="16"/>
  <c r="BR95" i="16"/>
  <c r="CL71" i="16"/>
  <c r="CL73" i="16"/>
  <c r="CL74" i="16"/>
  <c r="AR94" i="16"/>
  <c r="BD95" i="16"/>
  <c r="AR95" i="16"/>
  <c r="Y95" i="16"/>
  <c r="BX71" i="16"/>
  <c r="BX73" i="16"/>
  <c r="BX74" i="16"/>
  <c r="AL74" i="16"/>
  <c r="AL71" i="16"/>
  <c r="AL73" i="16"/>
  <c r="BG73" i="16"/>
  <c r="BS74" i="16"/>
  <c r="BG74" i="16"/>
  <c r="BG71" i="16"/>
  <c r="CH73" i="16"/>
  <c r="CH74" i="16"/>
  <c r="CH71" i="16"/>
  <c r="P73" i="16"/>
  <c r="P71" i="16"/>
  <c r="CF74" i="16"/>
  <c r="AD94" i="16"/>
  <c r="AD95" i="16"/>
  <c r="I30" i="16"/>
  <c r="I53" i="16"/>
  <c r="I24" i="16"/>
  <c r="I45" i="16"/>
  <c r="I37" i="16"/>
  <c r="I14" i="16"/>
  <c r="C544" i="16"/>
  <c r="C543" i="16"/>
  <c r="C542" i="16"/>
  <c r="C540" i="16"/>
  <c r="C539" i="16"/>
  <c r="C538" i="16"/>
  <c r="C536" i="16"/>
  <c r="C535" i="16"/>
  <c r="C534" i="16"/>
  <c r="C528" i="16"/>
  <c r="C527" i="16"/>
  <c r="C526" i="16"/>
  <c r="C524" i="16"/>
  <c r="C523" i="16"/>
  <c r="C521" i="16"/>
  <c r="C520" i="16"/>
  <c r="C519" i="16"/>
  <c r="C518" i="16"/>
  <c r="C517" i="16"/>
  <c r="C515" i="16"/>
  <c r="C514" i="16"/>
  <c r="C513" i="16"/>
  <c r="C512" i="16"/>
  <c r="C511" i="16"/>
  <c r="C510" i="16"/>
  <c r="C509" i="16"/>
  <c r="C508" i="16"/>
  <c r="C507" i="16"/>
  <c r="C505" i="16"/>
  <c r="C504" i="16"/>
  <c r="C503" i="16"/>
  <c r="C501" i="16"/>
  <c r="C500" i="16"/>
  <c r="C495" i="16"/>
  <c r="C494" i="16"/>
  <c r="C493" i="16"/>
  <c r="C491" i="16"/>
  <c r="C490" i="16"/>
  <c r="C489" i="16"/>
  <c r="C487" i="16"/>
  <c r="C486" i="16"/>
  <c r="C485" i="16"/>
  <c r="DC484" i="16"/>
  <c r="DB484" i="16"/>
  <c r="DA484" i="16"/>
  <c r="CZ484" i="16"/>
  <c r="CY484" i="16"/>
  <c r="CX484" i="16"/>
  <c r="CW484" i="16"/>
  <c r="CV484" i="16"/>
  <c r="CU484" i="16"/>
  <c r="CT484" i="16"/>
  <c r="CS484" i="16"/>
  <c r="CR484" i="16"/>
  <c r="CQ484" i="16"/>
  <c r="CP484" i="16"/>
  <c r="CO484" i="16"/>
  <c r="CN484" i="16"/>
  <c r="CM484" i="16"/>
  <c r="CL484" i="16"/>
  <c r="CK484" i="16"/>
  <c r="CJ484" i="16"/>
  <c r="CI484" i="16"/>
  <c r="CH484" i="16"/>
  <c r="CG484" i="16"/>
  <c r="CF484" i="16"/>
  <c r="CE484" i="16"/>
  <c r="CD484" i="16"/>
  <c r="CC484" i="16"/>
  <c r="CB484" i="16"/>
  <c r="CA484" i="16"/>
  <c r="BZ484" i="16"/>
  <c r="BY484" i="16"/>
  <c r="BX484" i="16"/>
  <c r="BW484" i="16"/>
  <c r="BV484" i="16"/>
  <c r="BU484" i="16"/>
  <c r="BT484" i="16"/>
  <c r="BS484" i="16"/>
  <c r="BR484" i="16"/>
  <c r="BQ484" i="16"/>
  <c r="BP484" i="16"/>
  <c r="BO484" i="16"/>
  <c r="BN484" i="16"/>
  <c r="BM484" i="16"/>
  <c r="BL484" i="16"/>
  <c r="BK484" i="16"/>
  <c r="BJ484" i="16"/>
  <c r="BI484" i="16"/>
  <c r="BH484" i="16"/>
  <c r="BG484" i="16"/>
  <c r="BF484" i="16"/>
  <c r="BE484" i="16"/>
  <c r="BD484" i="16"/>
  <c r="BC484" i="16"/>
  <c r="BB484" i="16"/>
  <c r="BA484" i="16"/>
  <c r="AZ484" i="16"/>
  <c r="AY484" i="16"/>
  <c r="AX484" i="16"/>
  <c r="AW484" i="16"/>
  <c r="AV484" i="16"/>
  <c r="AU484" i="16"/>
  <c r="AT484" i="16"/>
  <c r="AS484" i="16"/>
  <c r="AR484" i="16"/>
  <c r="AQ484" i="16"/>
  <c r="AP484" i="16"/>
  <c r="AO484" i="16"/>
  <c r="AN484" i="16"/>
  <c r="AM484" i="16"/>
  <c r="AL484" i="16"/>
  <c r="AK484" i="16"/>
  <c r="AJ484" i="16"/>
  <c r="AI484" i="16"/>
  <c r="AH484" i="16"/>
  <c r="AG484" i="16"/>
  <c r="AF484" i="16"/>
  <c r="AE484" i="16"/>
  <c r="AD484" i="16"/>
  <c r="AC484" i="16"/>
  <c r="AB484" i="16"/>
  <c r="AA484" i="16"/>
  <c r="Z484" i="16"/>
  <c r="Y484" i="16"/>
  <c r="X484" i="16"/>
  <c r="W484" i="16"/>
  <c r="V484" i="16"/>
  <c r="U484" i="16"/>
  <c r="T484" i="16"/>
  <c r="S484" i="16"/>
  <c r="R484" i="16"/>
  <c r="Q484" i="16"/>
  <c r="P484" i="16"/>
  <c r="O484" i="16"/>
  <c r="N484" i="16"/>
  <c r="M484" i="16"/>
  <c r="L484" i="16"/>
  <c r="K484" i="16"/>
  <c r="J484" i="16"/>
  <c r="I484" i="16"/>
  <c r="H484" i="16"/>
  <c r="G484" i="16"/>
  <c r="DC483" i="16"/>
  <c r="DB483" i="16"/>
  <c r="DA483" i="16"/>
  <c r="CZ483" i="16"/>
  <c r="CY483" i="16"/>
  <c r="CX483" i="16"/>
  <c r="CW483" i="16"/>
  <c r="CV483" i="16"/>
  <c r="CU483" i="16"/>
  <c r="CT483" i="16"/>
  <c r="CS483" i="16"/>
  <c r="CR483" i="16"/>
  <c r="CQ483" i="16"/>
  <c r="CP483" i="16"/>
  <c r="CO483" i="16"/>
  <c r="CN483" i="16"/>
  <c r="CM483" i="16"/>
  <c r="CL483" i="16"/>
  <c r="CK483" i="16"/>
  <c r="CJ483" i="16"/>
  <c r="CI483" i="16"/>
  <c r="CH483" i="16"/>
  <c r="CG483" i="16"/>
  <c r="CF483" i="16"/>
  <c r="CE483" i="16"/>
  <c r="CD483" i="16"/>
  <c r="CC483" i="16"/>
  <c r="CB483" i="16"/>
  <c r="CA483" i="16"/>
  <c r="BZ483" i="16"/>
  <c r="BY483" i="16"/>
  <c r="BX483" i="16"/>
  <c r="BW483" i="16"/>
  <c r="BV483" i="16"/>
  <c r="BU483" i="16"/>
  <c r="BT483" i="16"/>
  <c r="BS483" i="16"/>
  <c r="BR483" i="16"/>
  <c r="BQ483" i="16"/>
  <c r="BP483" i="16"/>
  <c r="BO483" i="16"/>
  <c r="BN483" i="16"/>
  <c r="BM483" i="16"/>
  <c r="BL483" i="16"/>
  <c r="BK483" i="16"/>
  <c r="BJ483" i="16"/>
  <c r="BI483" i="16"/>
  <c r="BH483" i="16"/>
  <c r="BG483" i="16"/>
  <c r="BF483" i="16"/>
  <c r="BE483" i="16"/>
  <c r="BD483" i="16"/>
  <c r="BC483" i="16"/>
  <c r="BB483" i="16"/>
  <c r="BA483" i="16"/>
  <c r="AZ483" i="16"/>
  <c r="AY483" i="16"/>
  <c r="AX483" i="16"/>
  <c r="AW483" i="16"/>
  <c r="AV483" i="16"/>
  <c r="AU483" i="16"/>
  <c r="AT483" i="16"/>
  <c r="AS483" i="16"/>
  <c r="AR483" i="16"/>
  <c r="AQ483" i="16"/>
  <c r="AP483" i="16"/>
  <c r="AO483" i="16"/>
  <c r="AN483" i="16"/>
  <c r="AM483" i="16"/>
  <c r="AL483" i="16"/>
  <c r="AK483" i="16"/>
  <c r="AJ483" i="16"/>
  <c r="AI483" i="16"/>
  <c r="AH483" i="16"/>
  <c r="AG483" i="16"/>
  <c r="AF483" i="16"/>
  <c r="AE483" i="16"/>
  <c r="AD483" i="16"/>
  <c r="AC483" i="16"/>
  <c r="AB483" i="16"/>
  <c r="AA483" i="16"/>
  <c r="Z483" i="16"/>
  <c r="Y483" i="16"/>
  <c r="X483" i="16"/>
  <c r="W483" i="16"/>
  <c r="V483" i="16"/>
  <c r="U483" i="16"/>
  <c r="T483" i="16"/>
  <c r="S483" i="16"/>
  <c r="R483" i="16"/>
  <c r="Q483" i="16"/>
  <c r="P483" i="16"/>
  <c r="O483" i="16"/>
  <c r="N483" i="16"/>
  <c r="M483" i="16"/>
  <c r="L483" i="16"/>
  <c r="K483" i="16"/>
  <c r="J483" i="16"/>
  <c r="I483" i="16"/>
  <c r="H483" i="16"/>
  <c r="G483" i="16"/>
  <c r="DC482" i="16"/>
  <c r="DB482" i="16"/>
  <c r="DA482" i="16"/>
  <c r="CZ482" i="16"/>
  <c r="CY482" i="16"/>
  <c r="CX482" i="16"/>
  <c r="CW482" i="16"/>
  <c r="CV482" i="16"/>
  <c r="CU482" i="16"/>
  <c r="CT482" i="16"/>
  <c r="CS482" i="16"/>
  <c r="CR482" i="16"/>
  <c r="CQ482" i="16"/>
  <c r="CP482" i="16"/>
  <c r="CO482" i="16"/>
  <c r="CN482" i="16"/>
  <c r="CM482" i="16"/>
  <c r="CL482" i="16"/>
  <c r="CK482" i="16"/>
  <c r="CJ482" i="16"/>
  <c r="CI482" i="16"/>
  <c r="CH482" i="16"/>
  <c r="CG482" i="16"/>
  <c r="CF482" i="16"/>
  <c r="CE482" i="16"/>
  <c r="CD482" i="16"/>
  <c r="CC482" i="16"/>
  <c r="CB482" i="16"/>
  <c r="CA482" i="16"/>
  <c r="BZ482" i="16"/>
  <c r="BY482" i="16"/>
  <c r="BX482" i="16"/>
  <c r="BW482" i="16"/>
  <c r="BV482" i="16"/>
  <c r="BU482" i="16"/>
  <c r="BT482" i="16"/>
  <c r="BS482" i="16"/>
  <c r="BR482" i="16"/>
  <c r="BQ482" i="16"/>
  <c r="BP482" i="16"/>
  <c r="BO482" i="16"/>
  <c r="BN482" i="16"/>
  <c r="BM482" i="16"/>
  <c r="BL482" i="16"/>
  <c r="BK482" i="16"/>
  <c r="BJ482" i="16"/>
  <c r="BI482" i="16"/>
  <c r="BH482" i="16"/>
  <c r="BG482" i="16"/>
  <c r="BF482" i="16"/>
  <c r="BE482" i="16"/>
  <c r="BD482" i="16"/>
  <c r="BC482" i="16"/>
  <c r="BB482" i="16"/>
  <c r="BA482" i="16"/>
  <c r="AZ482" i="16"/>
  <c r="AY482" i="16"/>
  <c r="AX482" i="16"/>
  <c r="AW482" i="16"/>
  <c r="AV482" i="16"/>
  <c r="AU482" i="16"/>
  <c r="AT482" i="16"/>
  <c r="AS482" i="16"/>
  <c r="AR482" i="16"/>
  <c r="AQ482" i="16"/>
  <c r="AP482" i="16"/>
  <c r="AO482" i="16"/>
  <c r="AN482" i="16"/>
  <c r="AM482" i="16"/>
  <c r="AL482" i="16"/>
  <c r="AK482" i="16"/>
  <c r="AJ482" i="16"/>
  <c r="AI482" i="16"/>
  <c r="AH482" i="16"/>
  <c r="AG482" i="16"/>
  <c r="AF482" i="16"/>
  <c r="AE482" i="16"/>
  <c r="AD482" i="16"/>
  <c r="AC482" i="16"/>
  <c r="AB482" i="16"/>
  <c r="AA482" i="16"/>
  <c r="Z482" i="16"/>
  <c r="Y482" i="16"/>
  <c r="X482" i="16"/>
  <c r="W482" i="16"/>
  <c r="V482" i="16"/>
  <c r="U482" i="16"/>
  <c r="T482" i="16"/>
  <c r="S482" i="16"/>
  <c r="R482" i="16"/>
  <c r="Q482" i="16"/>
  <c r="P482" i="16"/>
  <c r="O482" i="16"/>
  <c r="N482" i="16"/>
  <c r="M482" i="16"/>
  <c r="L482" i="16"/>
  <c r="K482" i="16"/>
  <c r="J482" i="16"/>
  <c r="I482" i="16"/>
  <c r="H482" i="16"/>
  <c r="G482" i="16"/>
  <c r="DC481" i="16"/>
  <c r="DB481" i="16"/>
  <c r="DA481" i="16"/>
  <c r="CZ481" i="16"/>
  <c r="CY481" i="16"/>
  <c r="CX481" i="16"/>
  <c r="CW481" i="16"/>
  <c r="CV481" i="16"/>
  <c r="CU481" i="16"/>
  <c r="CT481" i="16"/>
  <c r="CS481" i="16"/>
  <c r="CR481" i="16"/>
  <c r="CQ481" i="16"/>
  <c r="CP481" i="16"/>
  <c r="CO481" i="16"/>
  <c r="CN481" i="16"/>
  <c r="CM481" i="16"/>
  <c r="CL481" i="16"/>
  <c r="CK481" i="16"/>
  <c r="CJ481" i="16"/>
  <c r="CI481" i="16"/>
  <c r="CH481" i="16"/>
  <c r="CG481" i="16"/>
  <c r="CF481" i="16"/>
  <c r="CE481" i="16"/>
  <c r="CD481" i="16"/>
  <c r="CC481" i="16"/>
  <c r="CB481" i="16"/>
  <c r="CA481" i="16"/>
  <c r="BZ481" i="16"/>
  <c r="BY481" i="16"/>
  <c r="BX481" i="16"/>
  <c r="BW481" i="16"/>
  <c r="BV481" i="16"/>
  <c r="BU481" i="16"/>
  <c r="BT481" i="16"/>
  <c r="BS481" i="16"/>
  <c r="BR481" i="16"/>
  <c r="BQ481" i="16"/>
  <c r="BP481" i="16"/>
  <c r="BO481" i="16"/>
  <c r="BN481" i="16"/>
  <c r="BM481" i="16"/>
  <c r="BL481" i="16"/>
  <c r="BK481" i="16"/>
  <c r="BJ481" i="16"/>
  <c r="BI481" i="16"/>
  <c r="BH481" i="16"/>
  <c r="BG481" i="16"/>
  <c r="BF481" i="16"/>
  <c r="BE481" i="16"/>
  <c r="BD481" i="16"/>
  <c r="BC481" i="16"/>
  <c r="BB481" i="16"/>
  <c r="BA481" i="16"/>
  <c r="AZ481" i="16"/>
  <c r="AY481" i="16"/>
  <c r="AX481" i="16"/>
  <c r="AW481" i="16"/>
  <c r="AV481" i="16"/>
  <c r="AU481" i="16"/>
  <c r="AT481" i="16"/>
  <c r="AS481" i="16"/>
  <c r="AR481" i="16"/>
  <c r="AQ481" i="16"/>
  <c r="AP481" i="16"/>
  <c r="AO481" i="16"/>
  <c r="AN481" i="16"/>
  <c r="AM481" i="16"/>
  <c r="AL481" i="16"/>
  <c r="AK481" i="16"/>
  <c r="AJ481" i="16"/>
  <c r="AI481" i="16"/>
  <c r="AH481" i="16"/>
  <c r="AG481" i="16"/>
  <c r="AF481" i="16"/>
  <c r="AE481" i="16"/>
  <c r="AD481" i="16"/>
  <c r="AC481" i="16"/>
  <c r="AB481" i="16"/>
  <c r="AA481" i="16"/>
  <c r="Z481" i="16"/>
  <c r="Y481" i="16"/>
  <c r="X481" i="16"/>
  <c r="W481" i="16"/>
  <c r="V481" i="16"/>
  <c r="U481" i="16"/>
  <c r="T481" i="16"/>
  <c r="S481" i="16"/>
  <c r="R481" i="16"/>
  <c r="Q481" i="16"/>
  <c r="P481" i="16"/>
  <c r="O481" i="16"/>
  <c r="N481" i="16"/>
  <c r="M481" i="16"/>
  <c r="L481" i="16"/>
  <c r="K481" i="16"/>
  <c r="J481" i="16"/>
  <c r="I481" i="16"/>
  <c r="H481" i="16"/>
  <c r="G481" i="16"/>
  <c r="C479" i="16"/>
  <c r="C478" i="16"/>
  <c r="C477" i="16"/>
  <c r="C475" i="16"/>
  <c r="C474" i="16"/>
  <c r="C472" i="16"/>
  <c r="C471" i="16"/>
  <c r="DC470" i="16"/>
  <c r="DB470" i="16"/>
  <c r="DA470" i="16"/>
  <c r="CZ470" i="16"/>
  <c r="CY470" i="16"/>
  <c r="CX470" i="16"/>
  <c r="CW470" i="16"/>
  <c r="CV470" i="16"/>
  <c r="CU470" i="16"/>
  <c r="CT470" i="16"/>
  <c r="CT464" i="16" s="1"/>
  <c r="CS470" i="16"/>
  <c r="CR470" i="16"/>
  <c r="CR464" i="16" s="1"/>
  <c r="CQ470" i="16"/>
  <c r="CQ464" i="16" s="1"/>
  <c r="CP470" i="16"/>
  <c r="CP464" i="16" s="1"/>
  <c r="CO470" i="16"/>
  <c r="CO464" i="16" s="1"/>
  <c r="CN470" i="16"/>
  <c r="CM470" i="16"/>
  <c r="CL470" i="16"/>
  <c r="CK470" i="16"/>
  <c r="CJ470" i="16"/>
  <c r="CI470" i="16"/>
  <c r="CH470" i="16"/>
  <c r="CG470" i="16"/>
  <c r="CF470" i="16"/>
  <c r="CE470" i="16"/>
  <c r="CD470" i="16"/>
  <c r="CD464" i="16" s="1"/>
  <c r="CC470" i="16"/>
  <c r="CB470" i="16"/>
  <c r="CB464" i="16" s="1"/>
  <c r="CA470" i="16"/>
  <c r="CA464" i="16" s="1"/>
  <c r="BZ470" i="16"/>
  <c r="BZ464" i="16" s="1"/>
  <c r="BY470" i="16"/>
  <c r="BY464" i="16" s="1"/>
  <c r="BX470" i="16"/>
  <c r="BW470" i="16"/>
  <c r="BV470" i="16"/>
  <c r="BU470" i="16"/>
  <c r="BT470" i="16"/>
  <c r="BS470" i="16"/>
  <c r="BR470" i="16"/>
  <c r="BQ470" i="16"/>
  <c r="BP470" i="16"/>
  <c r="BO470" i="16"/>
  <c r="BN470" i="16"/>
  <c r="BM470" i="16"/>
  <c r="BL470" i="16"/>
  <c r="BL464" i="16" s="1"/>
  <c r="BK470" i="16"/>
  <c r="BK464" i="16" s="1"/>
  <c r="BJ470" i="16"/>
  <c r="BJ464" i="16" s="1"/>
  <c r="BI470" i="16"/>
  <c r="BI464" i="16" s="1"/>
  <c r="BH470" i="16"/>
  <c r="BG470" i="16"/>
  <c r="BF470" i="16"/>
  <c r="BE470" i="16"/>
  <c r="BD470" i="16"/>
  <c r="BC470" i="16"/>
  <c r="BB470" i="16"/>
  <c r="BA470" i="16"/>
  <c r="AZ470" i="16"/>
  <c r="AY470" i="16"/>
  <c r="AX470" i="16"/>
  <c r="AX464" i="16" s="1"/>
  <c r="AW470" i="16"/>
  <c r="AV470" i="16"/>
  <c r="AV464" i="16" s="1"/>
  <c r="AU470" i="16"/>
  <c r="AU464" i="16" s="1"/>
  <c r="AT470" i="16"/>
  <c r="AT464" i="16" s="1"/>
  <c r="AS470" i="16"/>
  <c r="AS464" i="16" s="1"/>
  <c r="AR470" i="16"/>
  <c r="AR464" i="16" s="1"/>
  <c r="AQ470" i="16"/>
  <c r="AP470" i="16"/>
  <c r="AP464" i="16" s="1"/>
  <c r="AP463" i="16" s="1"/>
  <c r="AO470" i="16"/>
  <c r="AN470" i="16"/>
  <c r="AM470" i="16"/>
  <c r="AL470" i="16"/>
  <c r="AK470" i="16"/>
  <c r="AJ470" i="16"/>
  <c r="AI470" i="16"/>
  <c r="AH470" i="16"/>
  <c r="AH464" i="16" s="1"/>
  <c r="AG470" i="16"/>
  <c r="AF470" i="16"/>
  <c r="AF464" i="16" s="1"/>
  <c r="AE470" i="16"/>
  <c r="AE464" i="16" s="1"/>
  <c r="AD470" i="16"/>
  <c r="AD464" i="16" s="1"/>
  <c r="AC470" i="16"/>
  <c r="AC464" i="16" s="1"/>
  <c r="AB470" i="16"/>
  <c r="AB464" i="16" s="1"/>
  <c r="AA470" i="16"/>
  <c r="Z470" i="16"/>
  <c r="Z464" i="16" s="1"/>
  <c r="Z463" i="16" s="1"/>
  <c r="Y470" i="16"/>
  <c r="X470" i="16"/>
  <c r="W470" i="16"/>
  <c r="V470" i="16"/>
  <c r="U470" i="16"/>
  <c r="T470" i="16"/>
  <c r="S470" i="16"/>
  <c r="R470" i="16"/>
  <c r="R464" i="16" s="1"/>
  <c r="Q470" i="16"/>
  <c r="P470" i="16"/>
  <c r="P464" i="16" s="1"/>
  <c r="O470" i="16"/>
  <c r="N470" i="16"/>
  <c r="M470" i="16"/>
  <c r="L470" i="16"/>
  <c r="K470" i="16"/>
  <c r="J470" i="16"/>
  <c r="I470" i="16"/>
  <c r="H470" i="16"/>
  <c r="G470" i="16"/>
  <c r="C470" i="16"/>
  <c r="C469" i="16"/>
  <c r="C468" i="16"/>
  <c r="C466" i="16"/>
  <c r="C465" i="16"/>
  <c r="CW464" i="16"/>
  <c r="CW463" i="16" s="1"/>
  <c r="CS464" i="16"/>
  <c r="CG464" i="16"/>
  <c r="CG463" i="16" s="1"/>
  <c r="BQ464" i="16"/>
  <c r="BQ463" i="16" s="1"/>
  <c r="BA464" i="16"/>
  <c r="BA463" i="16" s="1"/>
  <c r="AK464" i="16"/>
  <c r="AK463" i="16" s="1"/>
  <c r="C464" i="16"/>
  <c r="C463" i="16"/>
  <c r="C462" i="16"/>
  <c r="C461" i="16"/>
  <c r="C460" i="16"/>
  <c r="C459" i="16"/>
  <c r="C458" i="16"/>
  <c r="C456" i="16"/>
  <c r="C455" i="16"/>
  <c r="C454" i="16"/>
  <c r="C452" i="16"/>
  <c r="C451" i="16"/>
  <c r="C446" i="16"/>
  <c r="C445" i="16"/>
  <c r="C444" i="16"/>
  <c r="C442" i="16"/>
  <c r="C441" i="16"/>
  <c r="C440" i="16"/>
  <c r="C438" i="16"/>
  <c r="C437" i="16"/>
  <c r="C436" i="16"/>
  <c r="C430" i="16"/>
  <c r="C429" i="16"/>
  <c r="C428" i="16"/>
  <c r="C426" i="16"/>
  <c r="C425" i="16"/>
  <c r="C423" i="16"/>
  <c r="C422" i="16"/>
  <c r="C421" i="16"/>
  <c r="C420" i="16"/>
  <c r="C419" i="16"/>
  <c r="C417" i="16"/>
  <c r="C416" i="16"/>
  <c r="C415" i="16"/>
  <c r="C414" i="16"/>
  <c r="C413" i="16"/>
  <c r="C412" i="16"/>
  <c r="C411" i="16"/>
  <c r="C410" i="16"/>
  <c r="C409" i="16"/>
  <c r="C407" i="16"/>
  <c r="C406" i="16"/>
  <c r="C405" i="16"/>
  <c r="C403" i="16"/>
  <c r="C402" i="16"/>
  <c r="C397" i="16"/>
  <c r="C396" i="16"/>
  <c r="C395" i="16"/>
  <c r="C393" i="16"/>
  <c r="C392" i="16"/>
  <c r="C391" i="16"/>
  <c r="C389" i="16"/>
  <c r="C388" i="16"/>
  <c r="C387" i="16"/>
  <c r="C381" i="16"/>
  <c r="C380" i="16"/>
  <c r="C379" i="16"/>
  <c r="C377" i="16"/>
  <c r="C376" i="16"/>
  <c r="C374" i="16"/>
  <c r="C373" i="16"/>
  <c r="C372" i="16"/>
  <c r="C371" i="16"/>
  <c r="C370" i="16"/>
  <c r="C368" i="16"/>
  <c r="C367" i="16"/>
  <c r="C366" i="16"/>
  <c r="C365" i="16"/>
  <c r="C364" i="16"/>
  <c r="C363" i="16"/>
  <c r="C362" i="16"/>
  <c r="C361" i="16"/>
  <c r="C360" i="16"/>
  <c r="C358" i="16"/>
  <c r="C357" i="16"/>
  <c r="C356" i="16"/>
  <c r="C354" i="16"/>
  <c r="C353" i="16"/>
  <c r="C348" i="16"/>
  <c r="C347" i="16"/>
  <c r="C346" i="16"/>
  <c r="C344" i="16"/>
  <c r="C343" i="16"/>
  <c r="C342" i="16"/>
  <c r="C340" i="16"/>
  <c r="C339" i="16"/>
  <c r="C338" i="16"/>
  <c r="C332" i="16"/>
  <c r="C331" i="16"/>
  <c r="C330" i="16"/>
  <c r="C328" i="16"/>
  <c r="C327" i="16"/>
  <c r="C325" i="16"/>
  <c r="C324" i="16"/>
  <c r="C323" i="16"/>
  <c r="C322" i="16"/>
  <c r="C321" i="16"/>
  <c r="C319" i="16"/>
  <c r="C318" i="16"/>
  <c r="C317" i="16"/>
  <c r="C316" i="16"/>
  <c r="C315" i="16"/>
  <c r="C314" i="16"/>
  <c r="C313" i="16"/>
  <c r="C312" i="16"/>
  <c r="C311" i="16"/>
  <c r="C309" i="16"/>
  <c r="C308" i="16"/>
  <c r="C307" i="16"/>
  <c r="C305" i="16"/>
  <c r="C304" i="16"/>
  <c r="C299" i="16"/>
  <c r="C298" i="16"/>
  <c r="C297" i="16"/>
  <c r="C295" i="16"/>
  <c r="C294" i="16"/>
  <c r="C293" i="16"/>
  <c r="C291" i="16"/>
  <c r="C290" i="16"/>
  <c r="C289" i="16"/>
  <c r="C283" i="16"/>
  <c r="C282" i="16"/>
  <c r="C281" i="16"/>
  <c r="C279" i="16"/>
  <c r="C278" i="16"/>
  <c r="C276" i="16"/>
  <c r="C275" i="16"/>
  <c r="C274" i="16"/>
  <c r="C273" i="16"/>
  <c r="C272" i="16"/>
  <c r="C270" i="16"/>
  <c r="C269" i="16"/>
  <c r="C268" i="16"/>
  <c r="C267" i="16"/>
  <c r="C266" i="16"/>
  <c r="C265" i="16"/>
  <c r="C264" i="16"/>
  <c r="C263" i="16"/>
  <c r="C262" i="16"/>
  <c r="C260" i="16"/>
  <c r="C259" i="16"/>
  <c r="C258" i="16"/>
  <c r="C256" i="16"/>
  <c r="C255" i="16"/>
  <c r="C250" i="16"/>
  <c r="C249" i="16"/>
  <c r="C248" i="16"/>
  <c r="C246" i="16"/>
  <c r="C245" i="16"/>
  <c r="C244" i="16"/>
  <c r="C242" i="16"/>
  <c r="C241" i="16"/>
  <c r="C240" i="16"/>
  <c r="C234" i="16"/>
  <c r="C233" i="16"/>
  <c r="C232" i="16"/>
  <c r="C230" i="16"/>
  <c r="C229" i="16"/>
  <c r="C227" i="16"/>
  <c r="C226" i="16"/>
  <c r="C225" i="16"/>
  <c r="C224" i="16"/>
  <c r="C223" i="16"/>
  <c r="C221" i="16"/>
  <c r="C220" i="16"/>
  <c r="C219" i="16"/>
  <c r="C218" i="16"/>
  <c r="C217" i="16"/>
  <c r="C216" i="16"/>
  <c r="C215" i="16"/>
  <c r="C214" i="16"/>
  <c r="C213" i="16"/>
  <c r="C211" i="16"/>
  <c r="C210" i="16"/>
  <c r="C209" i="16"/>
  <c r="C207" i="16"/>
  <c r="C206" i="16"/>
  <c r="C201" i="16"/>
  <c r="C200" i="16"/>
  <c r="C199" i="16"/>
  <c r="C197" i="16"/>
  <c r="C196" i="16"/>
  <c r="C195" i="16"/>
  <c r="C193" i="16"/>
  <c r="C192" i="16"/>
  <c r="C191" i="16"/>
  <c r="C185" i="16"/>
  <c r="C184" i="16"/>
  <c r="C183" i="16"/>
  <c r="C181" i="16"/>
  <c r="C180" i="16"/>
  <c r="C178" i="16"/>
  <c r="C177" i="16"/>
  <c r="C176" i="16"/>
  <c r="C175" i="16"/>
  <c r="C174" i="16"/>
  <c r="C172" i="16"/>
  <c r="C171" i="16"/>
  <c r="C170" i="16"/>
  <c r="C169" i="16"/>
  <c r="C168" i="16"/>
  <c r="C167" i="16"/>
  <c r="C166" i="16"/>
  <c r="C165" i="16"/>
  <c r="C164" i="16"/>
  <c r="C162" i="16"/>
  <c r="C161" i="16"/>
  <c r="C160" i="16"/>
  <c r="C158" i="16"/>
  <c r="C157" i="16"/>
  <c r="C152" i="16"/>
  <c r="C151" i="16"/>
  <c r="C150" i="16"/>
  <c r="C148" i="16"/>
  <c r="C147" i="16"/>
  <c r="C146" i="16"/>
  <c r="C144" i="16"/>
  <c r="C143" i="16"/>
  <c r="C142" i="16"/>
  <c r="C136" i="16"/>
  <c r="C135" i="16"/>
  <c r="C134" i="16"/>
  <c r="C132" i="16"/>
  <c r="C131" i="16"/>
  <c r="C129" i="16"/>
  <c r="C128" i="16"/>
  <c r="C127" i="16"/>
  <c r="C126" i="16"/>
  <c r="C125" i="16"/>
  <c r="C123" i="16"/>
  <c r="C122" i="16"/>
  <c r="C121" i="16"/>
  <c r="C120" i="16"/>
  <c r="C119" i="16"/>
  <c r="C118" i="16"/>
  <c r="C117" i="16"/>
  <c r="C116" i="16"/>
  <c r="C115" i="16"/>
  <c r="C113" i="16"/>
  <c r="C112" i="16"/>
  <c r="C111" i="16"/>
  <c r="C109" i="16"/>
  <c r="C108" i="16"/>
  <c r="C103" i="16"/>
  <c r="C102" i="16"/>
  <c r="C101" i="16"/>
  <c r="C99" i="16"/>
  <c r="C98" i="16"/>
  <c r="C97" i="16"/>
  <c r="C95" i="16"/>
  <c r="C94" i="16"/>
  <c r="C93" i="16"/>
  <c r="C87" i="16"/>
  <c r="C86" i="16"/>
  <c r="C85" i="16"/>
  <c r="C83" i="16"/>
  <c r="C82" i="16"/>
  <c r="C80" i="16"/>
  <c r="C79" i="16"/>
  <c r="C78" i="16"/>
  <c r="C77" i="16"/>
  <c r="C76" i="16"/>
  <c r="C74" i="16"/>
  <c r="C73" i="16"/>
  <c r="C72" i="16"/>
  <c r="C71" i="16"/>
  <c r="C70" i="16"/>
  <c r="C69" i="16"/>
  <c r="C68" i="16"/>
  <c r="C67" i="16"/>
  <c r="C66" i="16"/>
  <c r="C64" i="16"/>
  <c r="C63" i="16"/>
  <c r="C62" i="16"/>
  <c r="C60" i="16"/>
  <c r="C59" i="16"/>
  <c r="DC43" i="16"/>
  <c r="DB43" i="16"/>
  <c r="DA43" i="16"/>
  <c r="CZ43" i="16"/>
  <c r="CY43" i="16"/>
  <c r="CX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J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V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H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DC42" i="16"/>
  <c r="DB42" i="16"/>
  <c r="DA42" i="16"/>
  <c r="CZ42" i="16"/>
  <c r="CY42" i="16"/>
  <c r="CX42" i="16"/>
  <c r="CW42" i="16"/>
  <c r="CV42" i="16"/>
  <c r="CU42" i="16"/>
  <c r="CT42" i="16"/>
  <c r="CS42" i="16"/>
  <c r="CR42" i="16"/>
  <c r="CQ42" i="16"/>
  <c r="CP42" i="16"/>
  <c r="CO42" i="16"/>
  <c r="CN42" i="16"/>
  <c r="CM42" i="16"/>
  <c r="CL42" i="16"/>
  <c r="CK42" i="16"/>
  <c r="CJ42" i="16"/>
  <c r="CI42" i="16"/>
  <c r="CH42" i="16"/>
  <c r="CG42" i="16"/>
  <c r="CF42" i="16"/>
  <c r="CE42" i="16"/>
  <c r="CD42" i="16"/>
  <c r="CC42" i="16"/>
  <c r="CB42" i="16"/>
  <c r="CA42" i="16"/>
  <c r="BZ42" i="16"/>
  <c r="BY42" i="16"/>
  <c r="BX42" i="16"/>
  <c r="BW42" i="16"/>
  <c r="BV42" i="16"/>
  <c r="BU42" i="16"/>
  <c r="BT42" i="16"/>
  <c r="BS42" i="16"/>
  <c r="BR42" i="16"/>
  <c r="BQ42" i="16"/>
  <c r="BP42" i="16"/>
  <c r="BO42" i="16"/>
  <c r="BN42" i="16"/>
  <c r="BM42" i="16"/>
  <c r="BL42" i="16"/>
  <c r="BK42" i="16"/>
  <c r="BJ42" i="16"/>
  <c r="BI42" i="16"/>
  <c r="BH42" i="16"/>
  <c r="BG42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DC41" i="16"/>
  <c r="DB41" i="16"/>
  <c r="DA41" i="16"/>
  <c r="CZ41" i="16"/>
  <c r="CY41" i="16"/>
  <c r="CX41" i="16"/>
  <c r="CW41" i="16"/>
  <c r="CV41" i="16"/>
  <c r="CU41" i="16"/>
  <c r="CT41" i="16"/>
  <c r="CS41" i="16"/>
  <c r="CR41" i="16"/>
  <c r="CQ41" i="16"/>
  <c r="CP41" i="16"/>
  <c r="CO41" i="16"/>
  <c r="CN41" i="16"/>
  <c r="CM41" i="16"/>
  <c r="CL41" i="16"/>
  <c r="CK41" i="16"/>
  <c r="CJ41" i="16"/>
  <c r="CI41" i="16"/>
  <c r="CH41" i="16"/>
  <c r="CG41" i="16"/>
  <c r="CF41" i="16"/>
  <c r="CE41" i="16"/>
  <c r="CD41" i="16"/>
  <c r="CC41" i="16"/>
  <c r="CB41" i="16"/>
  <c r="CA41" i="16"/>
  <c r="BZ41" i="16"/>
  <c r="BY41" i="16"/>
  <c r="BX41" i="16"/>
  <c r="BW41" i="16"/>
  <c r="BV41" i="16"/>
  <c r="BU41" i="16"/>
  <c r="BT41" i="16"/>
  <c r="BS41" i="16"/>
  <c r="BR41" i="16"/>
  <c r="BQ41" i="16"/>
  <c r="BP41" i="16"/>
  <c r="BO41" i="16"/>
  <c r="BN41" i="16"/>
  <c r="BM41" i="16"/>
  <c r="BL41" i="16"/>
  <c r="BK41" i="16"/>
  <c r="BJ41" i="16"/>
  <c r="BI41" i="16"/>
  <c r="BH41" i="16"/>
  <c r="BG41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DC40" i="16"/>
  <c r="DB40" i="16"/>
  <c r="DA40" i="16"/>
  <c r="CZ40" i="16"/>
  <c r="CY40" i="16"/>
  <c r="CX40" i="16"/>
  <c r="CW40" i="16"/>
  <c r="CV40" i="16"/>
  <c r="CU40" i="16"/>
  <c r="CT40" i="16"/>
  <c r="CS40" i="16"/>
  <c r="CR40" i="16"/>
  <c r="CQ40" i="16"/>
  <c r="CP40" i="16"/>
  <c r="CO40" i="16"/>
  <c r="CN40" i="16"/>
  <c r="CM40" i="16"/>
  <c r="CL40" i="16"/>
  <c r="CK40" i="16"/>
  <c r="CJ40" i="16"/>
  <c r="CI40" i="16"/>
  <c r="CH40" i="16"/>
  <c r="CG40" i="16"/>
  <c r="CF40" i="16"/>
  <c r="CE40" i="16"/>
  <c r="CD40" i="16"/>
  <c r="CC40" i="16"/>
  <c r="CB40" i="16"/>
  <c r="CA40" i="16"/>
  <c r="BZ40" i="16"/>
  <c r="BY40" i="16"/>
  <c r="BX40" i="16"/>
  <c r="BW40" i="16"/>
  <c r="BV40" i="16"/>
  <c r="BU40" i="16"/>
  <c r="BT40" i="16"/>
  <c r="BS40" i="16"/>
  <c r="BR40" i="16"/>
  <c r="BQ40" i="16"/>
  <c r="BP40" i="16"/>
  <c r="BO40" i="16"/>
  <c r="BN40" i="16"/>
  <c r="BM40" i="16"/>
  <c r="BL40" i="16"/>
  <c r="BK40" i="16"/>
  <c r="BJ40" i="16"/>
  <c r="BI40" i="16"/>
  <c r="BH40" i="16"/>
  <c r="BG40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3" i="16"/>
  <c r="G42" i="16"/>
  <c r="G41" i="16"/>
  <c r="G40" i="16"/>
  <c r="C43" i="16"/>
  <c r="C92" i="16" s="1"/>
  <c r="C42" i="16"/>
  <c r="C91" i="16" s="1"/>
  <c r="C41" i="16"/>
  <c r="C90" i="16" s="1"/>
  <c r="C40" i="16"/>
  <c r="C89" i="16" s="1"/>
  <c r="DC29" i="16"/>
  <c r="DC23" i="16" s="1"/>
  <c r="DB29" i="16"/>
  <c r="DA29" i="16"/>
  <c r="CZ29" i="16"/>
  <c r="CY29" i="16"/>
  <c r="CX29" i="16"/>
  <c r="CW29" i="16"/>
  <c r="CV29" i="16"/>
  <c r="CU29" i="16"/>
  <c r="CT29" i="16"/>
  <c r="CT23" i="16" s="1"/>
  <c r="CS29" i="16"/>
  <c r="CR29" i="16"/>
  <c r="CR23" i="16" s="1"/>
  <c r="CQ29" i="16"/>
  <c r="CP29" i="16"/>
  <c r="CO29" i="16"/>
  <c r="CO23" i="16" s="1"/>
  <c r="CN29" i="16"/>
  <c r="CN23" i="16" s="1"/>
  <c r="CM29" i="16"/>
  <c r="CM23" i="16" s="1"/>
  <c r="CL29" i="16"/>
  <c r="CK29" i="16"/>
  <c r="CJ29" i="16"/>
  <c r="CI29" i="16"/>
  <c r="CH29" i="16"/>
  <c r="CG29" i="16"/>
  <c r="CF29" i="16"/>
  <c r="CE29" i="16"/>
  <c r="CD29" i="16"/>
  <c r="CC29" i="16"/>
  <c r="CB29" i="16"/>
  <c r="CB23" i="16" s="1"/>
  <c r="CA29" i="16"/>
  <c r="BZ29" i="16"/>
  <c r="BY29" i="16"/>
  <c r="BY23" i="16" s="1"/>
  <c r="BX29" i="16"/>
  <c r="BX23" i="16" s="1"/>
  <c r="BW29" i="16"/>
  <c r="BW23" i="16" s="1"/>
  <c r="BV29" i="16"/>
  <c r="BU29" i="16"/>
  <c r="BT29" i="16"/>
  <c r="BS29" i="16"/>
  <c r="BR29" i="16"/>
  <c r="BQ29" i="16"/>
  <c r="BP29" i="16"/>
  <c r="BO29" i="16"/>
  <c r="BN29" i="16"/>
  <c r="BN23" i="16" s="1"/>
  <c r="BM29" i="16"/>
  <c r="BL29" i="16"/>
  <c r="BK29" i="16"/>
  <c r="BJ29" i="16"/>
  <c r="BI29" i="16"/>
  <c r="BI23" i="16" s="1"/>
  <c r="BH29" i="16"/>
  <c r="BH23" i="16" s="1"/>
  <c r="BG29" i="16"/>
  <c r="BG23" i="16" s="1"/>
  <c r="BF29" i="16"/>
  <c r="BE29" i="16"/>
  <c r="BD29" i="16"/>
  <c r="BC29" i="16"/>
  <c r="BB29" i="16"/>
  <c r="BA29" i="16"/>
  <c r="AZ29" i="16"/>
  <c r="AY29" i="16"/>
  <c r="AX29" i="16"/>
  <c r="AW29" i="16"/>
  <c r="AV29" i="16"/>
  <c r="AV23" i="16" s="1"/>
  <c r="AU29" i="16"/>
  <c r="AT29" i="16"/>
  <c r="AS29" i="16"/>
  <c r="AS23" i="16" s="1"/>
  <c r="AR29" i="16"/>
  <c r="AR23" i="16" s="1"/>
  <c r="AQ29" i="16"/>
  <c r="AQ23" i="16" s="1"/>
  <c r="AP29" i="16"/>
  <c r="AO29" i="16"/>
  <c r="AN29" i="16"/>
  <c r="AM29" i="16"/>
  <c r="AL29" i="16"/>
  <c r="AK29" i="16"/>
  <c r="AK23" i="16" s="1"/>
  <c r="AJ29" i="16"/>
  <c r="AI29" i="16"/>
  <c r="AH29" i="16"/>
  <c r="AG29" i="16"/>
  <c r="AF29" i="16"/>
  <c r="AE29" i="16"/>
  <c r="AD29" i="16"/>
  <c r="AC29" i="16"/>
  <c r="AC23" i="16" s="1"/>
  <c r="AB29" i="16"/>
  <c r="AB23" i="16" s="1"/>
  <c r="AA29" i="16"/>
  <c r="AA23" i="16" s="1"/>
  <c r="Z29" i="16"/>
  <c r="Y29" i="16"/>
  <c r="X29" i="16"/>
  <c r="W29" i="16"/>
  <c r="V29" i="16"/>
  <c r="U29" i="16"/>
  <c r="T29" i="16"/>
  <c r="S29" i="16"/>
  <c r="R29" i="16"/>
  <c r="Q29" i="16"/>
  <c r="P29" i="16"/>
  <c r="P23" i="16" s="1"/>
  <c r="O29" i="16"/>
  <c r="N29" i="16"/>
  <c r="M29" i="16"/>
  <c r="M23" i="16" s="1"/>
  <c r="L29" i="16"/>
  <c r="L23" i="16" s="1"/>
  <c r="K29" i="16"/>
  <c r="K23" i="16" s="1"/>
  <c r="J29" i="16"/>
  <c r="I29" i="16"/>
  <c r="H29" i="16"/>
  <c r="G29" i="16"/>
  <c r="BP417" i="16" l="1"/>
  <c r="BP416" i="16"/>
  <c r="BP414" i="16"/>
  <c r="CB417" i="16"/>
  <c r="AD416" i="16"/>
  <c r="AD417" i="16"/>
  <c r="AD414" i="16"/>
  <c r="CL416" i="16"/>
  <c r="CL417" i="16"/>
  <c r="CL414" i="16"/>
  <c r="CX416" i="16"/>
  <c r="CX417" i="16"/>
  <c r="CX414" i="16"/>
  <c r="CV414" i="16"/>
  <c r="CV416" i="16"/>
  <c r="CV417" i="16"/>
  <c r="Z417" i="16"/>
  <c r="Z416" i="16"/>
  <c r="Z414" i="16"/>
  <c r="AL417" i="16"/>
  <c r="BJ416" i="16"/>
  <c r="BJ417" i="16"/>
  <c r="BJ414" i="16"/>
  <c r="BV417" i="16"/>
  <c r="AB417" i="16"/>
  <c r="AB416" i="16"/>
  <c r="AB414" i="16"/>
  <c r="AN417" i="16"/>
  <c r="AF416" i="16"/>
  <c r="AF417" i="16"/>
  <c r="AF414" i="16"/>
  <c r="AT416" i="16"/>
  <c r="AT414" i="16"/>
  <c r="AT417" i="16"/>
  <c r="CH417" i="16"/>
  <c r="CH416" i="16"/>
  <c r="CH414" i="16"/>
  <c r="BX416" i="16"/>
  <c r="BX417" i="16"/>
  <c r="BX414" i="16"/>
  <c r="CJ417" i="16"/>
  <c r="T416" i="16"/>
  <c r="T417" i="16"/>
  <c r="T414" i="16"/>
  <c r="AP417" i="16"/>
  <c r="BF417" i="16"/>
  <c r="BF416" i="16"/>
  <c r="BF414" i="16"/>
  <c r="AR417" i="16"/>
  <c r="AA367" i="16"/>
  <c r="AA368" i="16"/>
  <c r="AA365" i="16"/>
  <c r="CT367" i="16"/>
  <c r="CT368" i="16"/>
  <c r="CT365" i="16"/>
  <c r="AW368" i="16"/>
  <c r="AW365" i="16"/>
  <c r="AW367" i="16"/>
  <c r="BI368" i="16"/>
  <c r="AL368" i="16"/>
  <c r="AL367" i="16"/>
  <c r="AX368" i="16"/>
  <c r="AL365" i="16"/>
  <c r="AY368" i="16"/>
  <c r="AY367" i="16"/>
  <c r="AY365" i="16"/>
  <c r="BK368" i="16"/>
  <c r="AM367" i="16"/>
  <c r="AM368" i="16"/>
  <c r="AM365" i="16"/>
  <c r="CS368" i="16"/>
  <c r="CS367" i="16"/>
  <c r="CS365" i="16"/>
  <c r="CP367" i="16"/>
  <c r="CP368" i="16"/>
  <c r="DB368" i="16"/>
  <c r="CP365" i="16"/>
  <c r="BH368" i="16"/>
  <c r="BH367" i="16"/>
  <c r="BH365" i="16"/>
  <c r="CQ368" i="16"/>
  <c r="CQ367" i="16"/>
  <c r="CQ365" i="16"/>
  <c r="DC368" i="16"/>
  <c r="K367" i="16"/>
  <c r="K368" i="16"/>
  <c r="K365" i="16"/>
  <c r="BT368" i="16"/>
  <c r="BT367" i="16"/>
  <c r="BT365" i="16"/>
  <c r="CF368" i="16"/>
  <c r="AH368" i="16"/>
  <c r="AH367" i="16"/>
  <c r="AH365" i="16"/>
  <c r="BO368" i="16"/>
  <c r="BO367" i="16"/>
  <c r="CA368" i="16"/>
  <c r="BO365" i="16"/>
  <c r="R365" i="16"/>
  <c r="R367" i="16"/>
  <c r="BQ367" i="16"/>
  <c r="BQ368" i="16"/>
  <c r="BQ365" i="16"/>
  <c r="AZ368" i="16"/>
  <c r="AZ365" i="16"/>
  <c r="AZ367" i="16"/>
  <c r="BL368" i="16"/>
  <c r="BC367" i="16"/>
  <c r="BC368" i="16"/>
  <c r="BC365" i="16"/>
  <c r="I367" i="16"/>
  <c r="I365" i="16"/>
  <c r="CL368" i="16"/>
  <c r="CL367" i="16"/>
  <c r="CL365" i="16"/>
  <c r="CC368" i="16"/>
  <c r="CC367" i="16"/>
  <c r="CO368" i="16"/>
  <c r="CC365" i="16"/>
  <c r="W368" i="16"/>
  <c r="CU318" i="16"/>
  <c r="CU316" i="16"/>
  <c r="CU319" i="16"/>
  <c r="BD318" i="16"/>
  <c r="BD316" i="16"/>
  <c r="CR270" i="16"/>
  <c r="CR269" i="16"/>
  <c r="CR267" i="16"/>
  <c r="AP270" i="16"/>
  <c r="AP269" i="16"/>
  <c r="AP267" i="16"/>
  <c r="AC267" i="16"/>
  <c r="AC270" i="16"/>
  <c r="AC269" i="16"/>
  <c r="AO515" i="16"/>
  <c r="AO270" i="16"/>
  <c r="CG270" i="16"/>
  <c r="CG269" i="16"/>
  <c r="CS515" i="16"/>
  <c r="CG267" i="16"/>
  <c r="CB269" i="16"/>
  <c r="CB270" i="16"/>
  <c r="CB267" i="16"/>
  <c r="CN270" i="16"/>
  <c r="CN515" i="16"/>
  <c r="CW269" i="16"/>
  <c r="CW270" i="16"/>
  <c r="CW267" i="16"/>
  <c r="BE269" i="16"/>
  <c r="BE267" i="16"/>
  <c r="BQ515" i="16"/>
  <c r="BE270" i="16"/>
  <c r="BN269" i="16"/>
  <c r="BN270" i="16"/>
  <c r="BZ270" i="16"/>
  <c r="BZ515" i="16"/>
  <c r="BN267" i="16"/>
  <c r="DB270" i="16"/>
  <c r="DB269" i="16"/>
  <c r="DB267" i="16"/>
  <c r="CA269" i="16"/>
  <c r="CA270" i="16"/>
  <c r="CM515" i="16"/>
  <c r="CA267" i="16"/>
  <c r="AD269" i="16"/>
  <c r="AD270" i="16"/>
  <c r="AD267" i="16"/>
  <c r="DA515" i="16"/>
  <c r="CO270" i="16"/>
  <c r="CO269" i="16"/>
  <c r="CO267" i="16"/>
  <c r="CT269" i="16"/>
  <c r="CT270" i="16"/>
  <c r="CT267" i="16"/>
  <c r="CF270" i="16"/>
  <c r="CF269" i="16"/>
  <c r="CF267" i="16"/>
  <c r="CR515" i="16"/>
  <c r="BQ270" i="16"/>
  <c r="BF269" i="16"/>
  <c r="BF270" i="16"/>
  <c r="BF267" i="16"/>
  <c r="BL269" i="16"/>
  <c r="BL270" i="16"/>
  <c r="BX270" i="16"/>
  <c r="BL267" i="16"/>
  <c r="Q270" i="16"/>
  <c r="Q269" i="16"/>
  <c r="Q267" i="16"/>
  <c r="AC515" i="16"/>
  <c r="BX515" i="16"/>
  <c r="V269" i="16"/>
  <c r="AH270" i="16"/>
  <c r="V267" i="16"/>
  <c r="P269" i="16"/>
  <c r="P267" i="16"/>
  <c r="CS270" i="16"/>
  <c r="BP220" i="16"/>
  <c r="BP221" i="16"/>
  <c r="CB466" i="16"/>
  <c r="BP218" i="16"/>
  <c r="BA220" i="16"/>
  <c r="BM466" i="16"/>
  <c r="BA221" i="16"/>
  <c r="BA218" i="16"/>
  <c r="BM221" i="16"/>
  <c r="BB221" i="16"/>
  <c r="BN466" i="16"/>
  <c r="BB220" i="16"/>
  <c r="BB218" i="16"/>
  <c r="CB221" i="16"/>
  <c r="DC220" i="16"/>
  <c r="DC221" i="16"/>
  <c r="DC218" i="16"/>
  <c r="U218" i="16"/>
  <c r="U220" i="16"/>
  <c r="AG466" i="16"/>
  <c r="S220" i="16"/>
  <c r="AE466" i="16"/>
  <c r="S218" i="16"/>
  <c r="AJ221" i="16"/>
  <c r="AJ220" i="16"/>
  <c r="AJ218" i="16"/>
  <c r="AV466" i="16"/>
  <c r="AV221" i="16"/>
  <c r="BW221" i="16"/>
  <c r="CI221" i="16"/>
  <c r="CI466" i="16"/>
  <c r="BW220" i="16"/>
  <c r="BW218" i="16"/>
  <c r="AX221" i="16"/>
  <c r="AX220" i="16"/>
  <c r="BJ466" i="16"/>
  <c r="AX218" i="16"/>
  <c r="CN221" i="16"/>
  <c r="CZ466" i="16"/>
  <c r="CN220" i="16"/>
  <c r="CN218" i="16"/>
  <c r="CZ221" i="16"/>
  <c r="CK221" i="16"/>
  <c r="CK220" i="16"/>
  <c r="CW466" i="16"/>
  <c r="CK218" i="16"/>
  <c r="V220" i="16"/>
  <c r="AH466" i="16"/>
  <c r="V218" i="16"/>
  <c r="AK221" i="16"/>
  <c r="AW466" i="16"/>
  <c r="AK220" i="16"/>
  <c r="AK218" i="16"/>
  <c r="CX221" i="16"/>
  <c r="CX220" i="16"/>
  <c r="CX218" i="16"/>
  <c r="AR172" i="16"/>
  <c r="AF169" i="16"/>
  <c r="CX169" i="16"/>
  <c r="J171" i="16"/>
  <c r="J169" i="16"/>
  <c r="AL172" i="16"/>
  <c r="AL169" i="16"/>
  <c r="AL171" i="16"/>
  <c r="CX172" i="16"/>
  <c r="Z193" i="16"/>
  <c r="AL193" i="16"/>
  <c r="F207" i="17"/>
  <c r="G207" i="17" s="1"/>
  <c r="G206" i="17"/>
  <c r="F87" i="17"/>
  <c r="G87" i="17" s="1"/>
  <c r="G86" i="17"/>
  <c r="G326" i="17"/>
  <c r="F327" i="17"/>
  <c r="G327" i="17" s="1"/>
  <c r="I54" i="16"/>
  <c r="I49" i="16"/>
  <c r="J30" i="16"/>
  <c r="J45" i="16"/>
  <c r="J53" i="16"/>
  <c r="J24" i="16"/>
  <c r="J37" i="16"/>
  <c r="J14" i="16"/>
  <c r="Q464" i="16"/>
  <c r="AG464" i="16"/>
  <c r="AW464" i="16"/>
  <c r="BM464" i="16"/>
  <c r="CC464" i="16"/>
  <c r="BP464" i="16"/>
  <c r="BR464" i="16"/>
  <c r="BR463" i="16" s="1"/>
  <c r="CF464" i="16"/>
  <c r="CF463" i="16" s="1"/>
  <c r="CH464" i="16"/>
  <c r="CH463" i="16" s="1"/>
  <c r="V464" i="16"/>
  <c r="AL464" i="16"/>
  <c r="AL463" i="16" s="1"/>
  <c r="CX464" i="16"/>
  <c r="CX463" i="16" s="1"/>
  <c r="BB464" i="16"/>
  <c r="BB463" i="16" s="1"/>
  <c r="BC464" i="16"/>
  <c r="BC463" i="16" s="1"/>
  <c r="J485" i="16"/>
  <c r="Z485" i="16"/>
  <c r="AP485" i="16"/>
  <c r="BF485" i="16"/>
  <c r="BV485" i="16"/>
  <c r="CL485" i="16"/>
  <c r="CL464" i="16"/>
  <c r="CL463" i="16" s="1"/>
  <c r="C530" i="16"/>
  <c r="C533" i="16"/>
  <c r="C531" i="16"/>
  <c r="O464" i="16"/>
  <c r="C532" i="16"/>
  <c r="CV464" i="16"/>
  <c r="CV463" i="16" s="1"/>
  <c r="DB485" i="16"/>
  <c r="M464" i="16"/>
  <c r="N464" i="16"/>
  <c r="N463" i="16" s="1"/>
  <c r="AW463" i="16"/>
  <c r="CS463" i="16"/>
  <c r="O463" i="16"/>
  <c r="AS463" i="16"/>
  <c r="BO464" i="16"/>
  <c r="CU464" i="16"/>
  <c r="CA463" i="16"/>
  <c r="AI464" i="16"/>
  <c r="CO463" i="16"/>
  <c r="AD463" i="16"/>
  <c r="AQ464" i="16"/>
  <c r="AE463" i="16"/>
  <c r="L464" i="16"/>
  <c r="BU464" i="16"/>
  <c r="BU463" i="16" s="1"/>
  <c r="BV464" i="16"/>
  <c r="O485" i="16"/>
  <c r="AE485" i="16"/>
  <c r="AU485" i="16"/>
  <c r="BK485" i="16"/>
  <c r="CA485" i="16"/>
  <c r="CQ485" i="16"/>
  <c r="DB464" i="16"/>
  <c r="DB463" i="16" s="1"/>
  <c r="BK463" i="16"/>
  <c r="BF464" i="16"/>
  <c r="BF463" i="16" s="1"/>
  <c r="AR463" i="16"/>
  <c r="H485" i="16"/>
  <c r="X485" i="16"/>
  <c r="AN485" i="16"/>
  <c r="BD485" i="16"/>
  <c r="BT485" i="16"/>
  <c r="CJ485" i="16"/>
  <c r="CZ485" i="16"/>
  <c r="AJ464" i="16"/>
  <c r="AJ463" i="16" s="1"/>
  <c r="BX464" i="16"/>
  <c r="BD464" i="16"/>
  <c r="BD463" i="16" s="1"/>
  <c r="BE464" i="16"/>
  <c r="BE463" i="16" s="1"/>
  <c r="K485" i="16"/>
  <c r="AA485" i="16"/>
  <c r="AQ485" i="16"/>
  <c r="BG485" i="16"/>
  <c r="BW485" i="16"/>
  <c r="CM485" i="16"/>
  <c r="DC485" i="16"/>
  <c r="AB463" i="16"/>
  <c r="BJ463" i="16"/>
  <c r="S464" i="16"/>
  <c r="S463" i="16" s="1"/>
  <c r="AN464" i="16"/>
  <c r="AN463" i="16" s="1"/>
  <c r="AC463" i="16"/>
  <c r="CP463" i="16"/>
  <c r="T464" i="16"/>
  <c r="AO464" i="16"/>
  <c r="AO463" i="16" s="1"/>
  <c r="BH464" i="16"/>
  <c r="CQ463" i="16"/>
  <c r="U464" i="16"/>
  <c r="CE464" i="16"/>
  <c r="CZ464" i="16"/>
  <c r="CZ463" i="16" s="1"/>
  <c r="DA464" i="16"/>
  <c r="DA463" i="16" s="1"/>
  <c r="BP463" i="16"/>
  <c r="X464" i="16"/>
  <c r="X463" i="16" s="1"/>
  <c r="P485" i="16"/>
  <c r="AF485" i="16"/>
  <c r="AV485" i="16"/>
  <c r="BL485" i="16"/>
  <c r="CB485" i="16"/>
  <c r="CR485" i="16"/>
  <c r="Y464" i="16"/>
  <c r="Y463" i="16" s="1"/>
  <c r="L485" i="16"/>
  <c r="CJ464" i="16"/>
  <c r="CJ463" i="16" s="1"/>
  <c r="R485" i="16"/>
  <c r="AH485" i="16"/>
  <c r="AX485" i="16"/>
  <c r="BN485" i="16"/>
  <c r="CD485" i="16"/>
  <c r="CT485" i="16"/>
  <c r="CK464" i="16"/>
  <c r="CK463" i="16" s="1"/>
  <c r="BY463" i="16"/>
  <c r="H464" i="16"/>
  <c r="H463" i="16" s="1"/>
  <c r="T485" i="16"/>
  <c r="AJ485" i="16"/>
  <c r="AZ485" i="16"/>
  <c r="BP485" i="16"/>
  <c r="CF485" i="16"/>
  <c r="CV485" i="16"/>
  <c r="AT463" i="16"/>
  <c r="BZ463" i="16"/>
  <c r="I464" i="16"/>
  <c r="I463" i="16" s="1"/>
  <c r="AY464" i="16"/>
  <c r="CN464" i="16"/>
  <c r="U485" i="16"/>
  <c r="AK485" i="16"/>
  <c r="BA485" i="16"/>
  <c r="BQ485" i="16"/>
  <c r="CG485" i="16"/>
  <c r="CW485" i="16"/>
  <c r="AU463" i="16"/>
  <c r="J464" i="16"/>
  <c r="J463" i="16" s="1"/>
  <c r="AZ464" i="16"/>
  <c r="BT464" i="16"/>
  <c r="BT463" i="16" s="1"/>
  <c r="V485" i="16"/>
  <c r="AL485" i="16"/>
  <c r="BB485" i="16"/>
  <c r="BR485" i="16"/>
  <c r="CH485" i="16"/>
  <c r="CX485" i="16"/>
  <c r="I485" i="16"/>
  <c r="Y485" i="16"/>
  <c r="AO485" i="16"/>
  <c r="BE485" i="16"/>
  <c r="BU485" i="16"/>
  <c r="CK485" i="16"/>
  <c r="DA485" i="16"/>
  <c r="CC463" i="16"/>
  <c r="AA464" i="16"/>
  <c r="DC464" i="16"/>
  <c r="BI463" i="16"/>
  <c r="K464" i="16"/>
  <c r="K463" i="16" s="1"/>
  <c r="N485" i="16"/>
  <c r="AD485" i="16"/>
  <c r="AT485" i="16"/>
  <c r="BJ485" i="16"/>
  <c r="BZ485" i="16"/>
  <c r="CP485" i="16"/>
  <c r="CM464" i="16"/>
  <c r="AB485" i="16"/>
  <c r="AR485" i="16"/>
  <c r="BH485" i="16"/>
  <c r="BW464" i="16"/>
  <c r="S485" i="16"/>
  <c r="AI485" i="16"/>
  <c r="AY485" i="16"/>
  <c r="BO485" i="16"/>
  <c r="CE485" i="16"/>
  <c r="CU485" i="16"/>
  <c r="BG464" i="16"/>
  <c r="C482" i="16"/>
  <c r="CY464" i="16"/>
  <c r="M485" i="16"/>
  <c r="AC485" i="16"/>
  <c r="AS485" i="16"/>
  <c r="BI485" i="16"/>
  <c r="BY485" i="16"/>
  <c r="CO485" i="16"/>
  <c r="CI464" i="16"/>
  <c r="BS464" i="16"/>
  <c r="Q485" i="16"/>
  <c r="AG485" i="16"/>
  <c r="AW485" i="16"/>
  <c r="BM485" i="16"/>
  <c r="CC485" i="16"/>
  <c r="CS485" i="16"/>
  <c r="BX485" i="16"/>
  <c r="CN485" i="16"/>
  <c r="C483" i="16"/>
  <c r="AM464" i="16"/>
  <c r="C481" i="16"/>
  <c r="W464" i="16"/>
  <c r="G485" i="16"/>
  <c r="W485" i="16"/>
  <c r="AM485" i="16"/>
  <c r="BC485" i="16"/>
  <c r="BS485" i="16"/>
  <c r="CI485" i="16"/>
  <c r="CY485" i="16"/>
  <c r="C484" i="16"/>
  <c r="G464" i="16"/>
  <c r="Q463" i="16"/>
  <c r="P463" i="16"/>
  <c r="AF463" i="16"/>
  <c r="AV463" i="16"/>
  <c r="BL463" i="16"/>
  <c r="CB463" i="16"/>
  <c r="CR463" i="16"/>
  <c r="R463" i="16"/>
  <c r="AH463" i="16"/>
  <c r="AX463" i="16"/>
  <c r="CD463" i="16"/>
  <c r="CT463" i="16"/>
  <c r="BN464" i="16"/>
  <c r="C434" i="16"/>
  <c r="C432" i="16"/>
  <c r="C435" i="16"/>
  <c r="C433" i="16"/>
  <c r="C385" i="16"/>
  <c r="C383" i="16"/>
  <c r="C386" i="16"/>
  <c r="C384" i="16"/>
  <c r="C336" i="16"/>
  <c r="C334" i="16"/>
  <c r="C337" i="16"/>
  <c r="C335" i="16"/>
  <c r="C287" i="16"/>
  <c r="C285" i="16"/>
  <c r="C288" i="16"/>
  <c r="C286" i="16"/>
  <c r="C238" i="16"/>
  <c r="C236" i="16"/>
  <c r="C239" i="16"/>
  <c r="C237" i="16"/>
  <c r="C187" i="16"/>
  <c r="C188" i="16"/>
  <c r="C189" i="16"/>
  <c r="C190" i="16"/>
  <c r="C138" i="16"/>
  <c r="C139" i="16"/>
  <c r="C140" i="16"/>
  <c r="C141" i="16"/>
  <c r="G44" i="16"/>
  <c r="O44" i="16"/>
  <c r="AE44" i="16"/>
  <c r="AU44" i="16"/>
  <c r="BK44" i="16"/>
  <c r="CA44" i="16"/>
  <c r="CQ44" i="16"/>
  <c r="CO22" i="16"/>
  <c r="BI22" i="16"/>
  <c r="BY22" i="16"/>
  <c r="H23" i="16"/>
  <c r="H22" i="16" s="1"/>
  <c r="W44" i="16"/>
  <c r="AM44" i="16"/>
  <c r="BC44" i="16"/>
  <c r="BS44" i="16"/>
  <c r="CI44" i="16"/>
  <c r="CY44" i="16"/>
  <c r="X23" i="16"/>
  <c r="AN23" i="16"/>
  <c r="L44" i="16"/>
  <c r="AB44" i="16"/>
  <c r="AR44" i="16"/>
  <c r="BH44" i="16"/>
  <c r="BX44" i="16"/>
  <c r="CN44" i="16"/>
  <c r="BD23" i="16"/>
  <c r="N44" i="16"/>
  <c r="AD44" i="16"/>
  <c r="AT44" i="16"/>
  <c r="BJ44" i="16"/>
  <c r="BZ44" i="16"/>
  <c r="CP44" i="16"/>
  <c r="BT23" i="16"/>
  <c r="BT22" i="16" s="1"/>
  <c r="CJ23" i="16"/>
  <c r="CJ22" i="16" s="1"/>
  <c r="Q44" i="16"/>
  <c r="AG44" i="16"/>
  <c r="AW44" i="16"/>
  <c r="BM44" i="16"/>
  <c r="CC44" i="16"/>
  <c r="CS44" i="16"/>
  <c r="CZ23" i="16"/>
  <c r="AK22" i="16"/>
  <c r="AQ22" i="16"/>
  <c r="BG22" i="16"/>
  <c r="BW22" i="16"/>
  <c r="CM22" i="16"/>
  <c r="DC22" i="16"/>
  <c r="AR22" i="16"/>
  <c r="BH22" i="16"/>
  <c r="BX22" i="16"/>
  <c r="CN22" i="16"/>
  <c r="AV22" i="16"/>
  <c r="CB22" i="16"/>
  <c r="CR22" i="16"/>
  <c r="BN22" i="16"/>
  <c r="CT22" i="16"/>
  <c r="U44" i="16"/>
  <c r="AK44" i="16"/>
  <c r="BA44" i="16"/>
  <c r="BQ44" i="16"/>
  <c r="CG44" i="16"/>
  <c r="CW44" i="16"/>
  <c r="Q23" i="16"/>
  <c r="AG23" i="16"/>
  <c r="AW23" i="16"/>
  <c r="BM23" i="16"/>
  <c r="CC23" i="16"/>
  <c r="CS23" i="16"/>
  <c r="V44" i="16"/>
  <c r="AL44" i="16"/>
  <c r="BB44" i="16"/>
  <c r="BR44" i="16"/>
  <c r="CH44" i="16"/>
  <c r="CX44" i="16"/>
  <c r="R23" i="16"/>
  <c r="AH23" i="16"/>
  <c r="AX23" i="16"/>
  <c r="CD23" i="16"/>
  <c r="AS22" i="16"/>
  <c r="S23" i="16"/>
  <c r="AI23" i="16"/>
  <c r="AY23" i="16"/>
  <c r="BO23" i="16"/>
  <c r="CE23" i="16"/>
  <c r="CU23" i="16"/>
  <c r="H44" i="16"/>
  <c r="X44" i="16"/>
  <c r="AN44" i="16"/>
  <c r="BD44" i="16"/>
  <c r="BT44" i="16"/>
  <c r="CJ44" i="16"/>
  <c r="CZ44" i="16"/>
  <c r="T23" i="16"/>
  <c r="AJ23" i="16"/>
  <c r="AZ23" i="16"/>
  <c r="BP23" i="16"/>
  <c r="CF23" i="16"/>
  <c r="CV23" i="16"/>
  <c r="I44" i="16"/>
  <c r="Y44" i="16"/>
  <c r="AO44" i="16"/>
  <c r="BE44" i="16"/>
  <c r="BU44" i="16"/>
  <c r="CK44" i="16"/>
  <c r="DA44" i="16"/>
  <c r="U23" i="16"/>
  <c r="BA23" i="16"/>
  <c r="BQ23" i="16"/>
  <c r="CG23" i="16"/>
  <c r="CW23" i="16"/>
  <c r="J44" i="16"/>
  <c r="Z44" i="16"/>
  <c r="AP44" i="16"/>
  <c r="BF44" i="16"/>
  <c r="BV44" i="16"/>
  <c r="CL44" i="16"/>
  <c r="DB44" i="16"/>
  <c r="V23" i="16"/>
  <c r="AL23" i="16"/>
  <c r="BB23" i="16"/>
  <c r="BR23" i="16"/>
  <c r="CH23" i="16"/>
  <c r="CX23" i="16"/>
  <c r="K44" i="16"/>
  <c r="AA44" i="16"/>
  <c r="AQ44" i="16"/>
  <c r="BG44" i="16"/>
  <c r="BW44" i="16"/>
  <c r="CM44" i="16"/>
  <c r="DC44" i="16"/>
  <c r="G23" i="16"/>
  <c r="W23" i="16"/>
  <c r="AM23" i="16"/>
  <c r="BC23" i="16"/>
  <c r="BS23" i="16"/>
  <c r="CI23" i="16"/>
  <c r="CY23" i="16"/>
  <c r="M44" i="16"/>
  <c r="AC44" i="16"/>
  <c r="AS44" i="16"/>
  <c r="BI44" i="16"/>
  <c r="BY44" i="16"/>
  <c r="CO44" i="16"/>
  <c r="I23" i="16"/>
  <c r="Y23" i="16"/>
  <c r="AO23" i="16"/>
  <c r="BE23" i="16"/>
  <c r="BU23" i="16"/>
  <c r="CK23" i="16"/>
  <c r="DA23" i="16"/>
  <c r="J23" i="16"/>
  <c r="Z23" i="16"/>
  <c r="AP23" i="16"/>
  <c r="BF23" i="16"/>
  <c r="BV23" i="16"/>
  <c r="CL23" i="16"/>
  <c r="DB23" i="16"/>
  <c r="P44" i="16"/>
  <c r="AF44" i="16"/>
  <c r="AV44" i="16"/>
  <c r="BL44" i="16"/>
  <c r="CB44" i="16"/>
  <c r="CR44" i="16"/>
  <c r="R44" i="16"/>
  <c r="AH44" i="16"/>
  <c r="AX44" i="16"/>
  <c r="BN44" i="16"/>
  <c r="CD44" i="16"/>
  <c r="CT44" i="16"/>
  <c r="N23" i="16"/>
  <c r="AD23" i="16"/>
  <c r="AT23" i="16"/>
  <c r="BJ23" i="16"/>
  <c r="BZ23" i="16"/>
  <c r="CP23" i="16"/>
  <c r="S44" i="16"/>
  <c r="AI44" i="16"/>
  <c r="AY44" i="16"/>
  <c r="BO44" i="16"/>
  <c r="CE44" i="16"/>
  <c r="CU44" i="16"/>
  <c r="O23" i="16"/>
  <c r="AE23" i="16"/>
  <c r="AU23" i="16"/>
  <c r="BK23" i="16"/>
  <c r="CA23" i="16"/>
  <c r="CQ23" i="16"/>
  <c r="T44" i="16"/>
  <c r="AJ44" i="16"/>
  <c r="AZ44" i="16"/>
  <c r="BP44" i="16"/>
  <c r="CF44" i="16"/>
  <c r="CV44" i="16"/>
  <c r="AF23" i="16"/>
  <c r="BL23" i="16"/>
  <c r="J54" i="16" l="1"/>
  <c r="J49" i="16"/>
  <c r="K53" i="16"/>
  <c r="K30" i="16"/>
  <c r="K24" i="16"/>
  <c r="K45" i="16"/>
  <c r="K37" i="16"/>
  <c r="K11" i="16"/>
  <c r="AG463" i="16"/>
  <c r="V463" i="16"/>
  <c r="BM463" i="16"/>
  <c r="BV463" i="16"/>
  <c r="M463" i="16"/>
  <c r="AQ463" i="16"/>
  <c r="L463" i="16"/>
  <c r="AI463" i="16"/>
  <c r="BO463" i="16"/>
  <c r="CU463" i="16"/>
  <c r="BH463" i="16"/>
  <c r="T463" i="16"/>
  <c r="BX463" i="16"/>
  <c r="CN463" i="16"/>
  <c r="CM463" i="16"/>
  <c r="AY463" i="16"/>
  <c r="CE463" i="16"/>
  <c r="AZ463" i="16"/>
  <c r="U463" i="16"/>
  <c r="BW463" i="16"/>
  <c r="DC463" i="16"/>
  <c r="AA463" i="16"/>
  <c r="BG463" i="16"/>
  <c r="BS463" i="16"/>
  <c r="CY463" i="16"/>
  <c r="AM463" i="16"/>
  <c r="G463" i="16"/>
  <c r="W463" i="16"/>
  <c r="CI463" i="16"/>
  <c r="BN463" i="16"/>
  <c r="CZ22" i="16"/>
  <c r="AN22" i="16"/>
  <c r="BD22" i="16"/>
  <c r="AZ22" i="16"/>
  <c r="DB22" i="16"/>
  <c r="CW22" i="16"/>
  <c r="AJ22" i="16"/>
  <c r="CD22" i="16"/>
  <c r="AG22" i="16"/>
  <c r="CL22" i="16"/>
  <c r="AX22" i="16"/>
  <c r="AU22" i="16"/>
  <c r="CG22" i="16"/>
  <c r="BV22" i="16"/>
  <c r="CX22" i="16"/>
  <c r="BQ22" i="16"/>
  <c r="AH22" i="16"/>
  <c r="BP22" i="16"/>
  <c r="BL22" i="16"/>
  <c r="BF22" i="16"/>
  <c r="CH22" i="16"/>
  <c r="BA22" i="16"/>
  <c r="AP22" i="16"/>
  <c r="CY22" i="16"/>
  <c r="BR22" i="16"/>
  <c r="CI22" i="16"/>
  <c r="BB22" i="16"/>
  <c r="J22" i="16"/>
  <c r="BS22" i="16"/>
  <c r="AL22" i="16"/>
  <c r="CP22" i="16"/>
  <c r="DA22" i="16"/>
  <c r="BC22" i="16"/>
  <c r="BZ22" i="16"/>
  <c r="CK22" i="16"/>
  <c r="AM22" i="16"/>
  <c r="BJ22" i="16"/>
  <c r="BU22" i="16"/>
  <c r="CU22" i="16"/>
  <c r="AT22" i="16"/>
  <c r="BE22" i="16"/>
  <c r="G22" i="16"/>
  <c r="CE22" i="16"/>
  <c r="CS22" i="16"/>
  <c r="CQ22" i="16"/>
  <c r="AO22" i="16"/>
  <c r="BO22" i="16"/>
  <c r="CC22" i="16"/>
  <c r="CA22" i="16"/>
  <c r="CV22" i="16"/>
  <c r="AY22" i="16"/>
  <c r="BM22" i="16"/>
  <c r="BK22" i="16"/>
  <c r="I22" i="16"/>
  <c r="CF22" i="16"/>
  <c r="AI22" i="16"/>
  <c r="AW22" i="16"/>
  <c r="K15" i="16" l="1"/>
  <c r="K14" i="16"/>
  <c r="K22" i="16"/>
  <c r="L30" i="16"/>
  <c r="L53" i="16"/>
  <c r="L24" i="16"/>
  <c r="L45" i="16"/>
  <c r="L37" i="16"/>
  <c r="K49" i="16"/>
  <c r="K54" i="16"/>
  <c r="K50" i="16"/>
  <c r="G3" i="16"/>
  <c r="CH96" i="83"/>
  <c r="CG96" i="83"/>
  <c r="CF96" i="83"/>
  <c r="CD96" i="83"/>
  <c r="CC96" i="83"/>
  <c r="CB96" i="83"/>
  <c r="CA96" i="83"/>
  <c r="BY96" i="83"/>
  <c r="BX96" i="83"/>
  <c r="BW96" i="83"/>
  <c r="BV96" i="83"/>
  <c r="BT96" i="83"/>
  <c r="BS96" i="83"/>
  <c r="BR96" i="83"/>
  <c r="BQ96" i="83"/>
  <c r="Z640" i="16"/>
  <c r="AA640" i="16" s="1"/>
  <c r="AB640" i="16" s="1"/>
  <c r="AC640" i="16" s="1"/>
  <c r="AD640" i="16" s="1"/>
  <c r="AE640" i="16" s="1"/>
  <c r="AF640" i="16" s="1"/>
  <c r="AG640" i="16" s="1"/>
  <c r="AH640" i="16" s="1"/>
  <c r="AI640" i="16" s="1"/>
  <c r="AJ640" i="16" s="1"/>
  <c r="AK640" i="16" s="1"/>
  <c r="AL640" i="16" s="1"/>
  <c r="AM640" i="16" s="1"/>
  <c r="AN640" i="16" s="1"/>
  <c r="AO640" i="16" s="1"/>
  <c r="AP640" i="16" s="1"/>
  <c r="AQ640" i="16" s="1"/>
  <c r="AR640" i="16" s="1"/>
  <c r="AS640" i="16" s="1"/>
  <c r="AT640" i="16" s="1"/>
  <c r="AU640" i="16" s="1"/>
  <c r="AV640" i="16" s="1"/>
  <c r="AW640" i="16" s="1"/>
  <c r="AX640" i="16" s="1"/>
  <c r="AY640" i="16" s="1"/>
  <c r="AZ640" i="16" s="1"/>
  <c r="BA640" i="16" s="1"/>
  <c r="BB640" i="16" s="1"/>
  <c r="BC640" i="16" s="1"/>
  <c r="BD640" i="16" s="1"/>
  <c r="BE640" i="16" s="1"/>
  <c r="BF640" i="16" s="1"/>
  <c r="BG640" i="16" s="1"/>
  <c r="BH640" i="16" s="1"/>
  <c r="BI640" i="16" s="1"/>
  <c r="BJ640" i="16" s="1"/>
  <c r="BK640" i="16" s="1"/>
  <c r="BL640" i="16" s="1"/>
  <c r="BM640" i="16" s="1"/>
  <c r="BN640" i="16" s="1"/>
  <c r="BO640" i="16" s="1"/>
  <c r="BP640" i="16" s="1"/>
  <c r="BQ640" i="16" s="1"/>
  <c r="BR640" i="16" s="1"/>
  <c r="BS640" i="16" s="1"/>
  <c r="BT640" i="16" s="1"/>
  <c r="BU640" i="16" s="1"/>
  <c r="BV640" i="16" s="1"/>
  <c r="BW640" i="16" s="1"/>
  <c r="BX640" i="16" s="1"/>
  <c r="BY640" i="16" s="1"/>
  <c r="BZ640" i="16" s="1"/>
  <c r="CA640" i="16" s="1"/>
  <c r="CB640" i="16" s="1"/>
  <c r="CC640" i="16" s="1"/>
  <c r="CD640" i="16" s="1"/>
  <c r="CE640" i="16" s="1"/>
  <c r="CF640" i="16" s="1"/>
  <c r="CG640" i="16" s="1"/>
  <c r="CH640" i="16" s="1"/>
  <c r="CI640" i="16" s="1"/>
  <c r="CJ640" i="16" s="1"/>
  <c r="CK640" i="16" s="1"/>
  <c r="CL640" i="16" s="1"/>
  <c r="CM640" i="16" s="1"/>
  <c r="CN640" i="16" s="1"/>
  <c r="CO640" i="16" s="1"/>
  <c r="CP640" i="16" s="1"/>
  <c r="CQ640" i="16" s="1"/>
  <c r="CR640" i="16" s="1"/>
  <c r="CS640" i="16" s="1"/>
  <c r="CT640" i="16" s="1"/>
  <c r="CU640" i="16" s="1"/>
  <c r="CV640" i="16" s="1"/>
  <c r="CW640" i="16" s="1"/>
  <c r="CX640" i="16" s="1"/>
  <c r="CY640" i="16" s="1"/>
  <c r="CZ640" i="16" s="1"/>
  <c r="DA640" i="16" s="1"/>
  <c r="DB640" i="16" s="1"/>
  <c r="DC640" i="16" s="1"/>
  <c r="H640" i="16"/>
  <c r="I640" i="16" s="1"/>
  <c r="J640" i="16" s="1"/>
  <c r="K640" i="16" s="1"/>
  <c r="L640" i="16" s="1"/>
  <c r="M640" i="16" s="1"/>
  <c r="N640" i="16" s="1"/>
  <c r="O640" i="16" s="1"/>
  <c r="P640" i="16" s="1"/>
  <c r="Q640" i="16" s="1"/>
  <c r="R640" i="16" s="1"/>
  <c r="S640" i="16" s="1"/>
  <c r="T640" i="16" s="1"/>
  <c r="U640" i="16" s="1"/>
  <c r="V640" i="16" s="1"/>
  <c r="W640" i="16" s="1"/>
  <c r="X640" i="16" s="1"/>
  <c r="Y640" i="16" s="1"/>
  <c r="H639" i="16"/>
  <c r="I639" i="16" s="1"/>
  <c r="J639" i="16" s="1"/>
  <c r="K639" i="16" s="1"/>
  <c r="L639" i="16" s="1"/>
  <c r="M639" i="16" s="1"/>
  <c r="N639" i="16" s="1"/>
  <c r="O639" i="16" s="1"/>
  <c r="P639" i="16" s="1"/>
  <c r="Q639" i="16" s="1"/>
  <c r="R639" i="16" s="1"/>
  <c r="S639" i="16" s="1"/>
  <c r="T639" i="16" s="1"/>
  <c r="U639" i="16" s="1"/>
  <c r="V639" i="16" s="1"/>
  <c r="W639" i="16" s="1"/>
  <c r="X639" i="16" s="1"/>
  <c r="Y639" i="16" s="1"/>
  <c r="Z639" i="16" s="1"/>
  <c r="AA639" i="16" s="1"/>
  <c r="AB639" i="16" s="1"/>
  <c r="AC639" i="16" s="1"/>
  <c r="AD639" i="16" s="1"/>
  <c r="AE639" i="16" s="1"/>
  <c r="AF639" i="16" s="1"/>
  <c r="AG639" i="16" s="1"/>
  <c r="AH639" i="16" s="1"/>
  <c r="AI639" i="16" s="1"/>
  <c r="AJ639" i="16" s="1"/>
  <c r="AK639" i="16" s="1"/>
  <c r="AL639" i="16" s="1"/>
  <c r="AM639" i="16" s="1"/>
  <c r="AN639" i="16" s="1"/>
  <c r="AO639" i="16" s="1"/>
  <c r="AP639" i="16" s="1"/>
  <c r="AQ639" i="16" s="1"/>
  <c r="AR639" i="16" s="1"/>
  <c r="AS639" i="16" s="1"/>
  <c r="AT639" i="16" s="1"/>
  <c r="AU639" i="16" s="1"/>
  <c r="AV639" i="16" s="1"/>
  <c r="AW639" i="16" s="1"/>
  <c r="AX639" i="16" s="1"/>
  <c r="AY639" i="16" s="1"/>
  <c r="AZ639" i="16" s="1"/>
  <c r="BA639" i="16" s="1"/>
  <c r="BB639" i="16" s="1"/>
  <c r="BC639" i="16" s="1"/>
  <c r="BD639" i="16" s="1"/>
  <c r="BE639" i="16" s="1"/>
  <c r="BF639" i="16" s="1"/>
  <c r="BG639" i="16" s="1"/>
  <c r="BH639" i="16" s="1"/>
  <c r="BI639" i="16" s="1"/>
  <c r="BJ639" i="16" s="1"/>
  <c r="BK639" i="16" s="1"/>
  <c r="BL639" i="16" s="1"/>
  <c r="BM639" i="16" s="1"/>
  <c r="BN639" i="16" s="1"/>
  <c r="BO639" i="16" s="1"/>
  <c r="BP639" i="16" s="1"/>
  <c r="BQ639" i="16" s="1"/>
  <c r="BR639" i="16" s="1"/>
  <c r="BS639" i="16" s="1"/>
  <c r="BT639" i="16" s="1"/>
  <c r="BU639" i="16" s="1"/>
  <c r="BV639" i="16" s="1"/>
  <c r="BW639" i="16" s="1"/>
  <c r="BX639" i="16" s="1"/>
  <c r="BY639" i="16" s="1"/>
  <c r="BZ639" i="16" s="1"/>
  <c r="CA639" i="16" s="1"/>
  <c r="CB639" i="16" s="1"/>
  <c r="CC639" i="16" s="1"/>
  <c r="CD639" i="16" s="1"/>
  <c r="CE639" i="16" s="1"/>
  <c r="CF639" i="16" s="1"/>
  <c r="CG639" i="16" s="1"/>
  <c r="CH639" i="16" s="1"/>
  <c r="CI639" i="16" s="1"/>
  <c r="CJ639" i="16" s="1"/>
  <c r="CK639" i="16" s="1"/>
  <c r="CL639" i="16" s="1"/>
  <c r="CM639" i="16" s="1"/>
  <c r="CN639" i="16" s="1"/>
  <c r="CO639" i="16" s="1"/>
  <c r="CP639" i="16" s="1"/>
  <c r="CQ639" i="16" s="1"/>
  <c r="CR639" i="16" s="1"/>
  <c r="CS639" i="16" s="1"/>
  <c r="CT639" i="16" s="1"/>
  <c r="CU639" i="16" s="1"/>
  <c r="CV639" i="16" s="1"/>
  <c r="CW639" i="16" s="1"/>
  <c r="CX639" i="16" s="1"/>
  <c r="CY639" i="16" s="1"/>
  <c r="CZ639" i="16" s="1"/>
  <c r="DA639" i="16" s="1"/>
  <c r="DB639" i="16" s="1"/>
  <c r="DC639" i="16" s="1"/>
  <c r="C194" i="10"/>
  <c r="C166" i="10"/>
  <c r="C164" i="10"/>
  <c r="C163" i="10"/>
  <c r="M85" i="1"/>
  <c r="M63" i="1"/>
  <c r="M59" i="1"/>
  <c r="DC685" i="16"/>
  <c r="DB685" i="16"/>
  <c r="DA685" i="16"/>
  <c r="CZ685" i="16"/>
  <c r="CY685" i="16"/>
  <c r="CX685" i="16"/>
  <c r="CW685" i="16"/>
  <c r="CV685" i="16"/>
  <c r="CU685" i="16"/>
  <c r="CT685" i="16"/>
  <c r="CS685" i="16"/>
  <c r="CR685" i="16"/>
  <c r="CQ685" i="16"/>
  <c r="CP685" i="16"/>
  <c r="CO685" i="16"/>
  <c r="CN685" i="16"/>
  <c r="CM685" i="16"/>
  <c r="CL685" i="16"/>
  <c r="CK685" i="16"/>
  <c r="CJ685" i="16"/>
  <c r="CI685" i="16"/>
  <c r="CH685" i="16"/>
  <c r="CG685" i="16"/>
  <c r="CF685" i="16"/>
  <c r="CE685" i="16"/>
  <c r="CD685" i="16"/>
  <c r="CC685" i="16"/>
  <c r="CB685" i="16"/>
  <c r="CA685" i="16"/>
  <c r="BZ685" i="16"/>
  <c r="BY685" i="16"/>
  <c r="BX685" i="16"/>
  <c r="BW685" i="16"/>
  <c r="BV685" i="16"/>
  <c r="BU685" i="16"/>
  <c r="BT685" i="16"/>
  <c r="BS685" i="16"/>
  <c r="BR685" i="16"/>
  <c r="BQ685" i="16"/>
  <c r="BP685" i="16"/>
  <c r="BO685" i="16"/>
  <c r="BN685" i="16"/>
  <c r="BM685" i="16"/>
  <c r="BL685" i="16"/>
  <c r="BK685" i="16"/>
  <c r="BJ685" i="16"/>
  <c r="BI685" i="16"/>
  <c r="BH685" i="16"/>
  <c r="BG685" i="16"/>
  <c r="BF685" i="16"/>
  <c r="BE685" i="16"/>
  <c r="BD685" i="16"/>
  <c r="BC685" i="16"/>
  <c r="BB685" i="16"/>
  <c r="BA685" i="16"/>
  <c r="AZ685" i="16"/>
  <c r="AY685" i="16"/>
  <c r="AX685" i="16"/>
  <c r="AW685" i="16"/>
  <c r="AV685" i="16"/>
  <c r="AU685" i="16"/>
  <c r="AT685" i="16"/>
  <c r="AS685" i="16"/>
  <c r="AR685" i="16"/>
  <c r="AQ685" i="16"/>
  <c r="AP685" i="16"/>
  <c r="AO685" i="16"/>
  <c r="AN685" i="16"/>
  <c r="AM685" i="16"/>
  <c r="AL685" i="16"/>
  <c r="AK685" i="16"/>
  <c r="AJ685" i="16"/>
  <c r="AI685" i="16"/>
  <c r="AH685" i="16"/>
  <c r="AG685" i="16"/>
  <c r="L685" i="16"/>
  <c r="J685" i="16"/>
  <c r="I685" i="16"/>
  <c r="H685" i="16"/>
  <c r="G647" i="16"/>
  <c r="G646" i="16"/>
  <c r="H593" i="16"/>
  <c r="I593" i="16" s="1"/>
  <c r="I647" i="16" s="1"/>
  <c r="H592" i="16"/>
  <c r="I592" i="16" s="1"/>
  <c r="J592" i="16" s="1"/>
  <c r="J646" i="16" s="1"/>
  <c r="C108" i="1"/>
  <c r="C101" i="1"/>
  <c r="C94" i="1"/>
  <c r="G219" i="10"/>
  <c r="AB219" i="10" s="1"/>
  <c r="AO210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C202" i="10"/>
  <c r="M30" i="16" l="1"/>
  <c r="M53" i="16"/>
  <c r="M24" i="16"/>
  <c r="M45" i="16"/>
  <c r="M37" i="16"/>
  <c r="L14" i="16"/>
  <c r="L22" i="16"/>
  <c r="L49" i="16"/>
  <c r="L54" i="16"/>
  <c r="Q219" i="10"/>
  <c r="AF219" i="10"/>
  <c r="AD219" i="10"/>
  <c r="AE219" i="10"/>
  <c r="AG219" i="10"/>
  <c r="AH219" i="10"/>
  <c r="M219" i="10"/>
  <c r="AI219" i="10"/>
  <c r="N219" i="10"/>
  <c r="AJ219" i="10"/>
  <c r="O219" i="10"/>
  <c r="AK219" i="10"/>
  <c r="P219" i="10"/>
  <c r="AL219" i="10"/>
  <c r="R219" i="10"/>
  <c r="S219" i="10"/>
  <c r="T219" i="10"/>
  <c r="U219" i="10"/>
  <c r="V219" i="10"/>
  <c r="AC219" i="10"/>
  <c r="H646" i="16"/>
  <c r="I646" i="16"/>
  <c r="H647" i="16"/>
  <c r="J593" i="16"/>
  <c r="K592" i="16"/>
  <c r="K646" i="16" s="1"/>
  <c r="W219" i="10"/>
  <c r="AM219" i="10"/>
  <c r="X219" i="10"/>
  <c r="AN219" i="10"/>
  <c r="I219" i="10"/>
  <c r="Y219" i="10"/>
  <c r="AO219" i="10"/>
  <c r="J219" i="10"/>
  <c r="Z219" i="10"/>
  <c r="K219" i="10"/>
  <c r="AA219" i="10"/>
  <c r="L219" i="10"/>
  <c r="I154" i="10"/>
  <c r="I148" i="10"/>
  <c r="I142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H589" i="16"/>
  <c r="I589" i="16" s="1"/>
  <c r="J589" i="16" s="1"/>
  <c r="C6" i="83"/>
  <c r="C3" i="83"/>
  <c r="M49" i="16" l="1"/>
  <c r="M54" i="16"/>
  <c r="M685" i="16"/>
  <c r="M14" i="16"/>
  <c r="M22" i="16"/>
  <c r="N30" i="16"/>
  <c r="N24" i="16"/>
  <c r="N53" i="16"/>
  <c r="N45" i="16"/>
  <c r="N37" i="16"/>
  <c r="N11" i="16"/>
  <c r="O561" i="16"/>
  <c r="K593" i="16"/>
  <c r="J647" i="16"/>
  <c r="L592" i="16"/>
  <c r="L646" i="16" s="1"/>
  <c r="K589" i="16"/>
  <c r="L589" i="16" s="1"/>
  <c r="M589" i="16" s="1"/>
  <c r="N589" i="16" s="1"/>
  <c r="O589" i="16" s="1"/>
  <c r="P589" i="16" s="1"/>
  <c r="Q589" i="16" s="1"/>
  <c r="R589" i="16" s="1"/>
  <c r="S589" i="16" s="1"/>
  <c r="T589" i="16" s="1"/>
  <c r="U589" i="16" s="1"/>
  <c r="V589" i="16" s="1"/>
  <c r="W589" i="16" s="1"/>
  <c r="X589" i="16" s="1"/>
  <c r="C188" i="17"/>
  <c r="C607" i="16" s="1"/>
  <c r="C128" i="17"/>
  <c r="C601" i="16" s="1"/>
  <c r="C8" i="17"/>
  <c r="C597" i="16" s="1"/>
  <c r="C219" i="10"/>
  <c r="H23" i="12"/>
  <c r="I23" i="12"/>
  <c r="K23" i="12"/>
  <c r="K22" i="12"/>
  <c r="G23" i="12"/>
  <c r="C23" i="12"/>
  <c r="G22" i="12"/>
  <c r="H22" i="12"/>
  <c r="I22" i="12"/>
  <c r="I21" i="12"/>
  <c r="K21" i="12"/>
  <c r="C22" i="12"/>
  <c r="G21" i="12"/>
  <c r="C21" i="12"/>
  <c r="H21" i="12"/>
  <c r="H20" i="12"/>
  <c r="I20" i="12"/>
  <c r="K20" i="12"/>
  <c r="K19" i="12"/>
  <c r="G20" i="12"/>
  <c r="C20" i="12"/>
  <c r="C19" i="12"/>
  <c r="H19" i="12"/>
  <c r="I19" i="12"/>
  <c r="I18" i="12"/>
  <c r="K18" i="12"/>
  <c r="G19" i="12"/>
  <c r="C18" i="12"/>
  <c r="G18" i="12"/>
  <c r="H18" i="12"/>
  <c r="H17" i="12"/>
  <c r="I17" i="12"/>
  <c r="K17" i="12"/>
  <c r="K16" i="12"/>
  <c r="G17" i="12"/>
  <c r="C17" i="12"/>
  <c r="G16" i="12"/>
  <c r="H16" i="12"/>
  <c r="I16" i="12"/>
  <c r="I15" i="12"/>
  <c r="K15" i="12"/>
  <c r="C16" i="12"/>
  <c r="G15" i="12"/>
  <c r="C15" i="12"/>
  <c r="H15" i="12"/>
  <c r="H14" i="12"/>
  <c r="I14" i="12"/>
  <c r="K14" i="12"/>
  <c r="K13" i="12"/>
  <c r="G14" i="12"/>
  <c r="C14" i="12"/>
  <c r="C13" i="12"/>
  <c r="H13" i="12"/>
  <c r="I13" i="12"/>
  <c r="I12" i="12"/>
  <c r="K12" i="12"/>
  <c r="G13" i="12"/>
  <c r="C12" i="12"/>
  <c r="G12" i="12"/>
  <c r="H12" i="12"/>
  <c r="H11" i="12"/>
  <c r="I11" i="12"/>
  <c r="K11" i="12"/>
  <c r="C10" i="12"/>
  <c r="G11" i="12"/>
  <c r="C11" i="12"/>
  <c r="I10" i="12"/>
  <c r="H10" i="12"/>
  <c r="G10" i="12"/>
  <c r="K10" i="12"/>
  <c r="F10" i="12"/>
  <c r="W23" i="12"/>
  <c r="X23" i="12"/>
  <c r="W22" i="12"/>
  <c r="X22" i="12"/>
  <c r="W21" i="12"/>
  <c r="X21" i="12"/>
  <c r="W20" i="12"/>
  <c r="X20" i="12"/>
  <c r="W19" i="12"/>
  <c r="X19" i="12"/>
  <c r="W18" i="12"/>
  <c r="X18" i="12"/>
  <c r="W17" i="12"/>
  <c r="X17" i="12"/>
  <c r="W16" i="12"/>
  <c r="X16" i="12"/>
  <c r="W15" i="12"/>
  <c r="X15" i="12"/>
  <c r="W14" i="12"/>
  <c r="X14" i="12"/>
  <c r="W13" i="12"/>
  <c r="X13" i="12"/>
  <c r="W12" i="12"/>
  <c r="X12" i="12"/>
  <c r="W11" i="12"/>
  <c r="X11" i="12"/>
  <c r="W10" i="12"/>
  <c r="X10" i="12"/>
  <c r="C3" i="18"/>
  <c r="C5" i="18"/>
  <c r="N7" i="18"/>
  <c r="M8" i="18" s="1" a="1"/>
  <c r="M8" i="18" s="1"/>
  <c r="N24" i="18"/>
  <c r="M25" i="18" s="1" a="1"/>
  <c r="M25" i="18" s="1"/>
  <c r="I3" i="10"/>
  <c r="C3" i="10"/>
  <c r="C5" i="10"/>
  <c r="D127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J142" i="10"/>
  <c r="AK142" i="10"/>
  <c r="AL142" i="10"/>
  <c r="AM142" i="10"/>
  <c r="AN142" i="10"/>
  <c r="AO142" i="10"/>
  <c r="G1" i="16"/>
  <c r="H3" i="16"/>
  <c r="G2" i="16"/>
  <c r="C3" i="16"/>
  <c r="C5" i="16"/>
  <c r="G685" i="16"/>
  <c r="K685" i="16"/>
  <c r="G560" i="16"/>
  <c r="C551" i="16"/>
  <c r="G558" i="16"/>
  <c r="H560" i="16"/>
  <c r="I560" i="16"/>
  <c r="J560" i="16"/>
  <c r="K560" i="16"/>
  <c r="L560" i="16"/>
  <c r="M560" i="16"/>
  <c r="O560" i="16"/>
  <c r="P560" i="16"/>
  <c r="AG560" i="16"/>
  <c r="AG576" i="16" s="1"/>
  <c r="AH560" i="16"/>
  <c r="AH576" i="16" s="1"/>
  <c r="AI560" i="16"/>
  <c r="AI576" i="16" s="1"/>
  <c r="AJ560" i="16"/>
  <c r="AJ576" i="16" s="1"/>
  <c r="AK560" i="16"/>
  <c r="AK576" i="16" s="1"/>
  <c r="AL560" i="16"/>
  <c r="AM560" i="16"/>
  <c r="AN560" i="16"/>
  <c r="AO560" i="16"/>
  <c r="AO576" i="16" s="1"/>
  <c r="AP560" i="16"/>
  <c r="AP576" i="16" s="1"/>
  <c r="AQ560" i="16"/>
  <c r="AQ576" i="16" s="1"/>
  <c r="AR560" i="16"/>
  <c r="AR576" i="16" s="1"/>
  <c r="AS560" i="16"/>
  <c r="AS576" i="16" s="1"/>
  <c r="AT560" i="16"/>
  <c r="AT576" i="16" s="1"/>
  <c r="AU560" i="16"/>
  <c r="AU576" i="16" s="1"/>
  <c r="AV560" i="16"/>
  <c r="AV576" i="16" s="1"/>
  <c r="AW560" i="16"/>
  <c r="AW576" i="16" s="1"/>
  <c r="AX560" i="16"/>
  <c r="AX576" i="16" s="1"/>
  <c r="AY560" i="16"/>
  <c r="AY576" i="16" s="1"/>
  <c r="AZ560" i="16"/>
  <c r="BA560" i="16"/>
  <c r="BB560" i="16"/>
  <c r="BC560" i="16"/>
  <c r="BC576" i="16" s="1"/>
  <c r="BD560" i="16"/>
  <c r="BD576" i="16" s="1"/>
  <c r="BE560" i="16"/>
  <c r="BE576" i="16" s="1"/>
  <c r="BF560" i="16"/>
  <c r="BF576" i="16" s="1"/>
  <c r="BG560" i="16"/>
  <c r="BG576" i="16" s="1"/>
  <c r="BH560" i="16"/>
  <c r="BH576" i="16" s="1"/>
  <c r="BI560" i="16"/>
  <c r="BI576" i="16" s="1"/>
  <c r="BJ560" i="16"/>
  <c r="BJ576" i="16" s="1"/>
  <c r="BK560" i="16"/>
  <c r="BK576" i="16" s="1"/>
  <c r="BL560" i="16"/>
  <c r="BL576" i="16" s="1"/>
  <c r="BM560" i="16"/>
  <c r="BM576" i="16" s="1"/>
  <c r="BN560" i="16"/>
  <c r="BO560" i="16"/>
  <c r="BP560" i="16"/>
  <c r="BQ560" i="16"/>
  <c r="BQ576" i="16" s="1"/>
  <c r="BR560" i="16"/>
  <c r="BR576" i="16" s="1"/>
  <c r="BS560" i="16"/>
  <c r="BS576" i="16" s="1"/>
  <c r="BT560" i="16"/>
  <c r="BT576" i="16" s="1"/>
  <c r="BU560" i="16"/>
  <c r="BU576" i="16" s="1"/>
  <c r="BV560" i="16"/>
  <c r="BV576" i="16" s="1"/>
  <c r="BW560" i="16"/>
  <c r="BW576" i="16" s="1"/>
  <c r="BX560" i="16"/>
  <c r="BX576" i="16" s="1"/>
  <c r="BY560" i="16"/>
  <c r="BY576" i="16" s="1"/>
  <c r="BZ560" i="16"/>
  <c r="BZ576" i="16" s="1"/>
  <c r="CA560" i="16"/>
  <c r="CA576" i="16" s="1"/>
  <c r="CB560" i="16"/>
  <c r="CC560" i="16"/>
  <c r="CD560" i="16"/>
  <c r="CE560" i="16"/>
  <c r="CE576" i="16" s="1"/>
  <c r="CF560" i="16"/>
  <c r="CF576" i="16" s="1"/>
  <c r="CG560" i="16"/>
  <c r="CG576" i="16" s="1"/>
  <c r="CH560" i="16"/>
  <c r="CH576" i="16" s="1"/>
  <c r="CI560" i="16"/>
  <c r="CI576" i="16" s="1"/>
  <c r="CJ560" i="16"/>
  <c r="CJ576" i="16" s="1"/>
  <c r="CK560" i="16"/>
  <c r="CK576" i="16" s="1"/>
  <c r="CL560" i="16"/>
  <c r="CL576" i="16" s="1"/>
  <c r="CM560" i="16"/>
  <c r="CM576" i="16" s="1"/>
  <c r="CN560" i="16"/>
  <c r="CN576" i="16" s="1"/>
  <c r="CO560" i="16"/>
  <c r="CO576" i="16" s="1"/>
  <c r="CP560" i="16"/>
  <c r="CQ560" i="16"/>
  <c r="CR560" i="16"/>
  <c r="CS560" i="16"/>
  <c r="CS576" i="16" s="1"/>
  <c r="CT560" i="16"/>
  <c r="CT576" i="16" s="1"/>
  <c r="CU560" i="16"/>
  <c r="CU576" i="16" s="1"/>
  <c r="CV560" i="16"/>
  <c r="CV576" i="16" s="1"/>
  <c r="CW560" i="16"/>
  <c r="CW576" i="16" s="1"/>
  <c r="CX560" i="16"/>
  <c r="CX576" i="16" s="1"/>
  <c r="CY560" i="16"/>
  <c r="CY576" i="16" s="1"/>
  <c r="CZ560" i="16"/>
  <c r="CZ576" i="16" s="1"/>
  <c r="DA560" i="16"/>
  <c r="DA576" i="16" s="1"/>
  <c r="DB560" i="16"/>
  <c r="DB576" i="16" s="1"/>
  <c r="DC560" i="16"/>
  <c r="DC576" i="16" s="1"/>
  <c r="H561" i="16"/>
  <c r="I561" i="16"/>
  <c r="J561" i="16"/>
  <c r="L561" i="16"/>
  <c r="M561" i="16"/>
  <c r="AG561" i="16"/>
  <c r="AH561" i="16"/>
  <c r="AI561" i="16"/>
  <c r="AJ561" i="16"/>
  <c r="AK561" i="16"/>
  <c r="AL561" i="16"/>
  <c r="AM561" i="16"/>
  <c r="AN561" i="16"/>
  <c r="AO561" i="16"/>
  <c r="AP561" i="16"/>
  <c r="AQ561" i="16"/>
  <c r="AR561" i="16"/>
  <c r="AS561" i="16"/>
  <c r="AT561" i="16"/>
  <c r="AU561" i="16"/>
  <c r="AV561" i="16"/>
  <c r="AW561" i="16"/>
  <c r="AX561" i="16"/>
  <c r="AY561" i="16"/>
  <c r="AZ561" i="16"/>
  <c r="BA561" i="16"/>
  <c r="BB561" i="16"/>
  <c r="BC561" i="16"/>
  <c r="BD561" i="16"/>
  <c r="BE561" i="16"/>
  <c r="BF561" i="16"/>
  <c r="BG561" i="16"/>
  <c r="BH561" i="16"/>
  <c r="BI561" i="16"/>
  <c r="BJ561" i="16"/>
  <c r="BK561" i="16"/>
  <c r="BL561" i="16"/>
  <c r="BM561" i="16"/>
  <c r="BN561" i="16"/>
  <c r="BO561" i="16"/>
  <c r="BP561" i="16"/>
  <c r="BQ561" i="16"/>
  <c r="BR561" i="16"/>
  <c r="BS561" i="16"/>
  <c r="BT561" i="16"/>
  <c r="BU561" i="16"/>
  <c r="BV561" i="16"/>
  <c r="BW561" i="16"/>
  <c r="BX561" i="16"/>
  <c r="BY561" i="16"/>
  <c r="BZ561" i="16"/>
  <c r="CA561" i="16"/>
  <c r="CB561" i="16"/>
  <c r="CC561" i="16"/>
  <c r="CD561" i="16"/>
  <c r="CE561" i="16"/>
  <c r="CF561" i="16"/>
  <c r="CG561" i="16"/>
  <c r="CH561" i="16"/>
  <c r="CI561" i="16"/>
  <c r="CJ561" i="16"/>
  <c r="CK561" i="16"/>
  <c r="CL561" i="16"/>
  <c r="CM561" i="16"/>
  <c r="CN561" i="16"/>
  <c r="CO561" i="16"/>
  <c r="CP561" i="16"/>
  <c r="CQ561" i="16"/>
  <c r="CR561" i="16"/>
  <c r="CS561" i="16"/>
  <c r="CT561" i="16"/>
  <c r="CU561" i="16"/>
  <c r="CV561" i="16"/>
  <c r="CW561" i="16"/>
  <c r="CX561" i="16"/>
  <c r="CY561" i="16"/>
  <c r="CZ561" i="16"/>
  <c r="DA561" i="16"/>
  <c r="DB561" i="16"/>
  <c r="DC561" i="16"/>
  <c r="AG567" i="16"/>
  <c r="AH567" i="16"/>
  <c r="AI567" i="16"/>
  <c r="AJ567" i="16"/>
  <c r="AK567" i="16"/>
  <c r="AO567" i="16"/>
  <c r="AP567" i="16"/>
  <c r="AQ567" i="16"/>
  <c r="AR567" i="16"/>
  <c r="AS567" i="16"/>
  <c r="AT567" i="16"/>
  <c r="AU567" i="16"/>
  <c r="AV567" i="16"/>
  <c r="AW567" i="16"/>
  <c r="AX567" i="16"/>
  <c r="AY567" i="16"/>
  <c r="BC567" i="16"/>
  <c r="BD567" i="16"/>
  <c r="BE567" i="16"/>
  <c r="BF567" i="16"/>
  <c r="BG567" i="16"/>
  <c r="BH567" i="16"/>
  <c r="BI567" i="16"/>
  <c r="BJ567" i="16"/>
  <c r="BK567" i="16"/>
  <c r="BL567" i="16"/>
  <c r="BM567" i="16"/>
  <c r="BQ567" i="16"/>
  <c r="BR567" i="16"/>
  <c r="BS567" i="16"/>
  <c r="BT567" i="16"/>
  <c r="BU567" i="16"/>
  <c r="BV567" i="16"/>
  <c r="BW567" i="16"/>
  <c r="BX567" i="16"/>
  <c r="BY567" i="16"/>
  <c r="BZ567" i="16"/>
  <c r="CA567" i="16"/>
  <c r="CE567" i="16"/>
  <c r="CF567" i="16"/>
  <c r="CG567" i="16"/>
  <c r="CH567" i="16"/>
  <c r="CI567" i="16"/>
  <c r="CJ567" i="16"/>
  <c r="CK567" i="16"/>
  <c r="CL567" i="16"/>
  <c r="CM567" i="16"/>
  <c r="CN567" i="16"/>
  <c r="CO567" i="16"/>
  <c r="CS567" i="16"/>
  <c r="CT567" i="16"/>
  <c r="CU567" i="16"/>
  <c r="CV567" i="16"/>
  <c r="CW567" i="16"/>
  <c r="CX567" i="16"/>
  <c r="CY567" i="16"/>
  <c r="CZ567" i="16"/>
  <c r="DA567" i="16"/>
  <c r="DB567" i="16"/>
  <c r="DC567" i="16"/>
  <c r="G573" i="16"/>
  <c r="H573" i="16"/>
  <c r="I573" i="16"/>
  <c r="J573" i="16"/>
  <c r="K573" i="16"/>
  <c r="L573" i="16"/>
  <c r="M573" i="16"/>
  <c r="N573" i="16"/>
  <c r="O573" i="16"/>
  <c r="P573" i="16"/>
  <c r="Q573" i="16"/>
  <c r="R573" i="16"/>
  <c r="S573" i="16"/>
  <c r="T573" i="16"/>
  <c r="U573" i="16"/>
  <c r="V573" i="16"/>
  <c r="W573" i="16"/>
  <c r="X573" i="16"/>
  <c r="Y573" i="16"/>
  <c r="Z573" i="16"/>
  <c r="AA573" i="16"/>
  <c r="AB573" i="16"/>
  <c r="AC573" i="16"/>
  <c r="AD573" i="16"/>
  <c r="AE573" i="16"/>
  <c r="AF573" i="16"/>
  <c r="AG573" i="16"/>
  <c r="AH573" i="16"/>
  <c r="AI573" i="16"/>
  <c r="AJ573" i="16"/>
  <c r="AK573" i="16"/>
  <c r="AL573" i="16"/>
  <c r="AM573" i="16"/>
  <c r="AN573" i="16"/>
  <c r="AO573" i="16"/>
  <c r="AP573" i="16"/>
  <c r="AQ573" i="16"/>
  <c r="AR573" i="16"/>
  <c r="AS573" i="16"/>
  <c r="AT573" i="16"/>
  <c r="AU573" i="16"/>
  <c r="AV573" i="16"/>
  <c r="AW573" i="16"/>
  <c r="AX573" i="16"/>
  <c r="AY573" i="16"/>
  <c r="AZ573" i="16"/>
  <c r="BA573" i="16"/>
  <c r="BB573" i="16"/>
  <c r="BC573" i="16"/>
  <c r="BD573" i="16"/>
  <c r="BE573" i="16"/>
  <c r="BF573" i="16"/>
  <c r="BG573" i="16"/>
  <c r="BH573" i="16"/>
  <c r="BI573" i="16"/>
  <c r="BJ573" i="16"/>
  <c r="BK573" i="16"/>
  <c r="BL573" i="16"/>
  <c r="BM573" i="16"/>
  <c r="BN573" i="16"/>
  <c r="BO573" i="16"/>
  <c r="BP573" i="16"/>
  <c r="BQ573" i="16"/>
  <c r="BR573" i="16"/>
  <c r="BS573" i="16"/>
  <c r="BT573" i="16"/>
  <c r="BU573" i="16"/>
  <c r="BV573" i="16"/>
  <c r="BW573" i="16"/>
  <c r="BX573" i="16"/>
  <c r="BY573" i="16"/>
  <c r="BZ573" i="16"/>
  <c r="CA573" i="16"/>
  <c r="CB573" i="16"/>
  <c r="CC573" i="16"/>
  <c r="CD573" i="16"/>
  <c r="CE573" i="16"/>
  <c r="CF573" i="16"/>
  <c r="CG573" i="16"/>
  <c r="CH573" i="16"/>
  <c r="CI573" i="16"/>
  <c r="CJ573" i="16"/>
  <c r="CK573" i="16"/>
  <c r="CL573" i="16"/>
  <c r="CM573" i="16"/>
  <c r="CN573" i="16"/>
  <c r="CO573" i="16"/>
  <c r="CP573" i="16"/>
  <c r="CQ573" i="16"/>
  <c r="CR573" i="16"/>
  <c r="CS573" i="16"/>
  <c r="CT573" i="16"/>
  <c r="CU573" i="16"/>
  <c r="CV573" i="16"/>
  <c r="CW573" i="16"/>
  <c r="CX573" i="16"/>
  <c r="CY573" i="16"/>
  <c r="CZ573" i="16"/>
  <c r="DA573" i="16"/>
  <c r="DB573" i="16"/>
  <c r="DC573" i="16"/>
  <c r="H586" i="16"/>
  <c r="I586" i="16" s="1"/>
  <c r="J586" i="16" s="1"/>
  <c r="K586" i="16" s="1"/>
  <c r="L586" i="16" s="1"/>
  <c r="M586" i="16" s="1"/>
  <c r="N586" i="16" s="1"/>
  <c r="O586" i="16" s="1"/>
  <c r="P586" i="16" s="1"/>
  <c r="Q586" i="16" s="1"/>
  <c r="R586" i="16" s="1"/>
  <c r="S586" i="16" s="1"/>
  <c r="T586" i="16" s="1"/>
  <c r="U586" i="16" s="1"/>
  <c r="V586" i="16" s="1"/>
  <c r="W586" i="16" s="1"/>
  <c r="X586" i="16" s="1"/>
  <c r="H587" i="16"/>
  <c r="I587" i="16" s="1"/>
  <c r="J587" i="16" s="1"/>
  <c r="K587" i="16" s="1"/>
  <c r="L587" i="16" s="1"/>
  <c r="M587" i="16" s="1"/>
  <c r="N587" i="16" s="1"/>
  <c r="O587" i="16" s="1"/>
  <c r="P587" i="16" s="1"/>
  <c r="Q587" i="16" s="1"/>
  <c r="R587" i="16" s="1"/>
  <c r="S587" i="16" s="1"/>
  <c r="T587" i="16" s="1"/>
  <c r="U587" i="16" s="1"/>
  <c r="V587" i="16" s="1"/>
  <c r="W587" i="16" s="1"/>
  <c r="X587" i="16" s="1"/>
  <c r="H588" i="16"/>
  <c r="H631" i="16"/>
  <c r="I631" i="16" s="1"/>
  <c r="J631" i="16" s="1"/>
  <c r="K631" i="16" s="1"/>
  <c r="L631" i="16" s="1"/>
  <c r="M631" i="16" s="1"/>
  <c r="N631" i="16" s="1"/>
  <c r="O631" i="16" s="1"/>
  <c r="P631" i="16" s="1"/>
  <c r="Q631" i="16" s="1"/>
  <c r="R631" i="16" s="1"/>
  <c r="S631" i="16" s="1"/>
  <c r="T631" i="16" s="1"/>
  <c r="U631" i="16" s="1"/>
  <c r="V631" i="16" s="1"/>
  <c r="W631" i="16" s="1"/>
  <c r="X631" i="16" s="1"/>
  <c r="H591" i="16"/>
  <c r="H595" i="16" s="1"/>
  <c r="H597" i="16"/>
  <c r="I597" i="16" s="1"/>
  <c r="H598" i="16"/>
  <c r="I598" i="16" s="1"/>
  <c r="J598" i="16" s="1"/>
  <c r="K598" i="16" s="1"/>
  <c r="L598" i="16" s="1"/>
  <c r="M598" i="16" s="1"/>
  <c r="N598" i="16" s="1"/>
  <c r="O598" i="16" s="1"/>
  <c r="P598" i="16" s="1"/>
  <c r="Q598" i="16" s="1"/>
  <c r="R598" i="16" s="1"/>
  <c r="S598" i="16" s="1"/>
  <c r="T598" i="16" s="1"/>
  <c r="U598" i="16" s="1"/>
  <c r="V598" i="16" s="1"/>
  <c r="W598" i="16" s="1"/>
  <c r="X598" i="16" s="1"/>
  <c r="C599" i="16"/>
  <c r="H599" i="16"/>
  <c r="I599" i="16" s="1"/>
  <c r="J599" i="16" s="1"/>
  <c r="K599" i="16" s="1"/>
  <c r="L599" i="16" s="1"/>
  <c r="M599" i="16" s="1"/>
  <c r="N599" i="16" s="1"/>
  <c r="O599" i="16" s="1"/>
  <c r="P599" i="16" s="1"/>
  <c r="Q599" i="16" s="1"/>
  <c r="R599" i="16" s="1"/>
  <c r="S599" i="16" s="1"/>
  <c r="T599" i="16" s="1"/>
  <c r="U599" i="16" s="1"/>
  <c r="V599" i="16" s="1"/>
  <c r="W599" i="16" s="1"/>
  <c r="X599" i="16" s="1"/>
  <c r="C600" i="16"/>
  <c r="H600" i="16"/>
  <c r="I600" i="16" s="1"/>
  <c r="J600" i="16" s="1"/>
  <c r="K600" i="16" s="1"/>
  <c r="L600" i="16" s="1"/>
  <c r="M600" i="16" s="1"/>
  <c r="N600" i="16" s="1"/>
  <c r="O600" i="16" s="1"/>
  <c r="P600" i="16" s="1"/>
  <c r="Q600" i="16" s="1"/>
  <c r="R600" i="16" s="1"/>
  <c r="S600" i="16" s="1"/>
  <c r="T600" i="16" s="1"/>
  <c r="U600" i="16" s="1"/>
  <c r="V600" i="16" s="1"/>
  <c r="W600" i="16" s="1"/>
  <c r="X600" i="16" s="1"/>
  <c r="H601" i="16"/>
  <c r="I601" i="16" s="1"/>
  <c r="J601" i="16" s="1"/>
  <c r="K601" i="16" s="1"/>
  <c r="L601" i="16" s="1"/>
  <c r="M601" i="16" s="1"/>
  <c r="N601" i="16" s="1"/>
  <c r="O601" i="16" s="1"/>
  <c r="P601" i="16" s="1"/>
  <c r="Q601" i="16" s="1"/>
  <c r="R601" i="16" s="1"/>
  <c r="S601" i="16" s="1"/>
  <c r="T601" i="16" s="1"/>
  <c r="U601" i="16" s="1"/>
  <c r="V601" i="16" s="1"/>
  <c r="W601" i="16" s="1"/>
  <c r="X601" i="16" s="1"/>
  <c r="H602" i="16"/>
  <c r="I602" i="16" s="1"/>
  <c r="J602" i="16" s="1"/>
  <c r="K602" i="16" s="1"/>
  <c r="L602" i="16" s="1"/>
  <c r="M602" i="16" s="1"/>
  <c r="N602" i="16" s="1"/>
  <c r="O602" i="16" s="1"/>
  <c r="P602" i="16" s="1"/>
  <c r="Q602" i="16" s="1"/>
  <c r="R602" i="16" s="1"/>
  <c r="S602" i="16" s="1"/>
  <c r="T602" i="16" s="1"/>
  <c r="U602" i="16" s="1"/>
  <c r="V602" i="16" s="1"/>
  <c r="W602" i="16" s="1"/>
  <c r="X602" i="16" s="1"/>
  <c r="H603" i="16"/>
  <c r="I603" i="16" s="1"/>
  <c r="J603" i="16" s="1"/>
  <c r="K603" i="16" s="1"/>
  <c r="L603" i="16" s="1"/>
  <c r="M603" i="16" s="1"/>
  <c r="N603" i="16" s="1"/>
  <c r="O603" i="16" s="1"/>
  <c r="P603" i="16" s="1"/>
  <c r="Q603" i="16" s="1"/>
  <c r="R603" i="16" s="1"/>
  <c r="S603" i="16" s="1"/>
  <c r="T603" i="16" s="1"/>
  <c r="U603" i="16" s="1"/>
  <c r="V603" i="16" s="1"/>
  <c r="W603" i="16" s="1"/>
  <c r="X603" i="16" s="1"/>
  <c r="G604" i="16"/>
  <c r="G633" i="16" s="1"/>
  <c r="C606" i="16"/>
  <c r="H606" i="16"/>
  <c r="I606" i="16" s="1"/>
  <c r="J606" i="16" s="1"/>
  <c r="K606" i="16" s="1"/>
  <c r="L606" i="16" s="1"/>
  <c r="M606" i="16" s="1"/>
  <c r="N606" i="16" s="1"/>
  <c r="O606" i="16" s="1"/>
  <c r="P606" i="16" s="1"/>
  <c r="Q606" i="16" s="1"/>
  <c r="R606" i="16" s="1"/>
  <c r="S606" i="16" s="1"/>
  <c r="T606" i="16" s="1"/>
  <c r="U606" i="16" s="1"/>
  <c r="V606" i="16" s="1"/>
  <c r="W606" i="16" s="1"/>
  <c r="X606" i="16" s="1"/>
  <c r="H607" i="16"/>
  <c r="I607" i="16" s="1"/>
  <c r="J607" i="16" s="1"/>
  <c r="K607" i="16" s="1"/>
  <c r="L607" i="16" s="1"/>
  <c r="M607" i="16" s="1"/>
  <c r="N607" i="16" s="1"/>
  <c r="O607" i="16" s="1"/>
  <c r="P607" i="16" s="1"/>
  <c r="Q607" i="16" s="1"/>
  <c r="R607" i="16" s="1"/>
  <c r="S607" i="16" s="1"/>
  <c r="T607" i="16" s="1"/>
  <c r="U607" i="16" s="1"/>
  <c r="V607" i="16" s="1"/>
  <c r="W607" i="16" s="1"/>
  <c r="X607" i="16" s="1"/>
  <c r="H608" i="16"/>
  <c r="I608" i="16" s="1"/>
  <c r="J608" i="16" s="1"/>
  <c r="K608" i="16" s="1"/>
  <c r="L608" i="16" s="1"/>
  <c r="M608" i="16" s="1"/>
  <c r="N608" i="16" s="1"/>
  <c r="O608" i="16" s="1"/>
  <c r="P608" i="16" s="1"/>
  <c r="Q608" i="16" s="1"/>
  <c r="R608" i="16" s="1"/>
  <c r="S608" i="16" s="1"/>
  <c r="T608" i="16" s="1"/>
  <c r="U608" i="16" s="1"/>
  <c r="V608" i="16" s="1"/>
  <c r="W608" i="16" s="1"/>
  <c r="X608" i="16" s="1"/>
  <c r="C611" i="16"/>
  <c r="H611" i="16"/>
  <c r="I611" i="16" s="1"/>
  <c r="J611" i="16" s="1"/>
  <c r="K611" i="16" s="1"/>
  <c r="L611" i="16" s="1"/>
  <c r="M611" i="16" s="1"/>
  <c r="N611" i="16" s="1"/>
  <c r="O611" i="16" s="1"/>
  <c r="P611" i="16" s="1"/>
  <c r="Q611" i="16" s="1"/>
  <c r="R611" i="16" s="1"/>
  <c r="S611" i="16" s="1"/>
  <c r="T611" i="16" s="1"/>
  <c r="U611" i="16" s="1"/>
  <c r="V611" i="16" s="1"/>
  <c r="W611" i="16" s="1"/>
  <c r="X611" i="16" s="1"/>
  <c r="C612" i="16"/>
  <c r="H612" i="16"/>
  <c r="I612" i="16" s="1"/>
  <c r="J612" i="16" s="1"/>
  <c r="K612" i="16" s="1"/>
  <c r="L612" i="16" s="1"/>
  <c r="M612" i="16" s="1"/>
  <c r="N612" i="16" s="1"/>
  <c r="O612" i="16" s="1"/>
  <c r="P612" i="16" s="1"/>
  <c r="Q612" i="16" s="1"/>
  <c r="R612" i="16" s="1"/>
  <c r="S612" i="16" s="1"/>
  <c r="T612" i="16" s="1"/>
  <c r="U612" i="16" s="1"/>
  <c r="V612" i="16" s="1"/>
  <c r="W612" i="16" s="1"/>
  <c r="X612" i="16" s="1"/>
  <c r="H613" i="16"/>
  <c r="I613" i="16" s="1"/>
  <c r="J613" i="16" s="1"/>
  <c r="K613" i="16" s="1"/>
  <c r="L613" i="16" s="1"/>
  <c r="M613" i="16" s="1"/>
  <c r="N613" i="16" s="1"/>
  <c r="O613" i="16" s="1"/>
  <c r="P613" i="16" s="1"/>
  <c r="Q613" i="16" s="1"/>
  <c r="R613" i="16" s="1"/>
  <c r="S613" i="16" s="1"/>
  <c r="T613" i="16" s="1"/>
  <c r="U613" i="16" s="1"/>
  <c r="V613" i="16" s="1"/>
  <c r="W613" i="16" s="1"/>
  <c r="X613" i="16" s="1"/>
  <c r="H614" i="16"/>
  <c r="I614" i="16" s="1"/>
  <c r="J614" i="16" s="1"/>
  <c r="K614" i="16" s="1"/>
  <c r="L614" i="16" s="1"/>
  <c r="M614" i="16" s="1"/>
  <c r="N614" i="16" s="1"/>
  <c r="O614" i="16" s="1"/>
  <c r="P614" i="16" s="1"/>
  <c r="Q614" i="16" s="1"/>
  <c r="R614" i="16" s="1"/>
  <c r="S614" i="16" s="1"/>
  <c r="T614" i="16" s="1"/>
  <c r="U614" i="16" s="1"/>
  <c r="V614" i="16" s="1"/>
  <c r="W614" i="16" s="1"/>
  <c r="X614" i="16" s="1"/>
  <c r="H615" i="16"/>
  <c r="I615" i="16" s="1"/>
  <c r="J615" i="16" s="1"/>
  <c r="K615" i="16" s="1"/>
  <c r="L615" i="16" s="1"/>
  <c r="M615" i="16" s="1"/>
  <c r="N615" i="16" s="1"/>
  <c r="O615" i="16" s="1"/>
  <c r="P615" i="16" s="1"/>
  <c r="Q615" i="16" s="1"/>
  <c r="R615" i="16" s="1"/>
  <c r="S615" i="16" s="1"/>
  <c r="T615" i="16" s="1"/>
  <c r="U615" i="16" s="1"/>
  <c r="V615" i="16" s="1"/>
  <c r="W615" i="16" s="1"/>
  <c r="X615" i="16" s="1"/>
  <c r="C618" i="16"/>
  <c r="H618" i="16"/>
  <c r="I618" i="16" s="1"/>
  <c r="J618" i="16" s="1"/>
  <c r="K618" i="16" s="1"/>
  <c r="L618" i="16" s="1"/>
  <c r="M618" i="16" s="1"/>
  <c r="N618" i="16" s="1"/>
  <c r="O618" i="16" s="1"/>
  <c r="P618" i="16" s="1"/>
  <c r="Q618" i="16" s="1"/>
  <c r="R618" i="16" s="1"/>
  <c r="S618" i="16" s="1"/>
  <c r="T618" i="16" s="1"/>
  <c r="U618" i="16" s="1"/>
  <c r="V618" i="16" s="1"/>
  <c r="W618" i="16" s="1"/>
  <c r="X618" i="16" s="1"/>
  <c r="H619" i="16"/>
  <c r="I619" i="16" s="1"/>
  <c r="J619" i="16" s="1"/>
  <c r="K619" i="16" s="1"/>
  <c r="L619" i="16" s="1"/>
  <c r="M619" i="16" s="1"/>
  <c r="N619" i="16" s="1"/>
  <c r="O619" i="16" s="1"/>
  <c r="P619" i="16" s="1"/>
  <c r="Q619" i="16" s="1"/>
  <c r="R619" i="16" s="1"/>
  <c r="S619" i="16" s="1"/>
  <c r="T619" i="16" s="1"/>
  <c r="U619" i="16" s="1"/>
  <c r="V619" i="16" s="1"/>
  <c r="W619" i="16" s="1"/>
  <c r="X619" i="16" s="1"/>
  <c r="H620" i="16"/>
  <c r="I620" i="16" s="1"/>
  <c r="J620" i="16" s="1"/>
  <c r="K620" i="16" s="1"/>
  <c r="L620" i="16" s="1"/>
  <c r="M620" i="16" s="1"/>
  <c r="N620" i="16" s="1"/>
  <c r="O620" i="16" s="1"/>
  <c r="P620" i="16" s="1"/>
  <c r="Q620" i="16" s="1"/>
  <c r="R620" i="16" s="1"/>
  <c r="S620" i="16" s="1"/>
  <c r="T620" i="16" s="1"/>
  <c r="U620" i="16" s="1"/>
  <c r="V620" i="16" s="1"/>
  <c r="W620" i="16" s="1"/>
  <c r="X620" i="16" s="1"/>
  <c r="C623" i="16"/>
  <c r="H623" i="16"/>
  <c r="C624" i="16"/>
  <c r="H624" i="16"/>
  <c r="I624" i="16" s="1"/>
  <c r="J624" i="16" s="1"/>
  <c r="K624" i="16" s="1"/>
  <c r="L624" i="16" s="1"/>
  <c r="M624" i="16" s="1"/>
  <c r="N624" i="16" s="1"/>
  <c r="O624" i="16" s="1"/>
  <c r="P624" i="16" s="1"/>
  <c r="Q624" i="16" s="1"/>
  <c r="R624" i="16" s="1"/>
  <c r="S624" i="16" s="1"/>
  <c r="T624" i="16" s="1"/>
  <c r="U624" i="16" s="1"/>
  <c r="V624" i="16" s="1"/>
  <c r="W624" i="16" s="1"/>
  <c r="X624" i="16" s="1"/>
  <c r="H625" i="16"/>
  <c r="I625" i="16" s="1"/>
  <c r="J625" i="16" s="1"/>
  <c r="K625" i="16" s="1"/>
  <c r="L625" i="16" s="1"/>
  <c r="M625" i="16" s="1"/>
  <c r="N625" i="16" s="1"/>
  <c r="O625" i="16" s="1"/>
  <c r="P625" i="16" s="1"/>
  <c r="Q625" i="16" s="1"/>
  <c r="R625" i="16" s="1"/>
  <c r="S625" i="16" s="1"/>
  <c r="T625" i="16" s="1"/>
  <c r="U625" i="16" s="1"/>
  <c r="V625" i="16" s="1"/>
  <c r="W625" i="16" s="1"/>
  <c r="X625" i="16" s="1"/>
  <c r="G626" i="16"/>
  <c r="C645" i="16"/>
  <c r="C653" i="16"/>
  <c r="C170" i="10" s="1"/>
  <c r="C654" i="16"/>
  <c r="C171" i="10" s="1"/>
  <c r="C656" i="16"/>
  <c r="C173" i="10" s="1"/>
  <c r="C657" i="16"/>
  <c r="C174" i="10" s="1"/>
  <c r="C658" i="16"/>
  <c r="C175" i="10" s="1"/>
  <c r="G658" i="16"/>
  <c r="H658" i="16"/>
  <c r="I658" i="16"/>
  <c r="J658" i="16"/>
  <c r="K658" i="16"/>
  <c r="L658" i="16"/>
  <c r="M658" i="16"/>
  <c r="N658" i="16"/>
  <c r="O658" i="16"/>
  <c r="P658" i="16"/>
  <c r="Q658" i="16"/>
  <c r="R658" i="16"/>
  <c r="S658" i="16"/>
  <c r="T658" i="16"/>
  <c r="U658" i="16"/>
  <c r="V658" i="16"/>
  <c r="W658" i="16"/>
  <c r="X658" i="16"/>
  <c r="Y658" i="16"/>
  <c r="Z658" i="16"/>
  <c r="AA658" i="16"/>
  <c r="AB658" i="16"/>
  <c r="AC658" i="16"/>
  <c r="AD658" i="16"/>
  <c r="AE658" i="16"/>
  <c r="AF658" i="16"/>
  <c r="AF663" i="16" s="1"/>
  <c r="AG658" i="16"/>
  <c r="AH658" i="16"/>
  <c r="AI658" i="16"/>
  <c r="AJ658" i="16"/>
  <c r="AK658" i="16"/>
  <c r="AL658" i="16"/>
  <c r="AM658" i="16"/>
  <c r="AN658" i="16"/>
  <c r="AO658" i="16"/>
  <c r="AP658" i="16"/>
  <c r="AQ658" i="16"/>
  <c r="AR658" i="16"/>
  <c r="AS658" i="16"/>
  <c r="AT658" i="16"/>
  <c r="AU658" i="16"/>
  <c r="AV658" i="16"/>
  <c r="AW658" i="16"/>
  <c r="AX658" i="16"/>
  <c r="AY658" i="16"/>
  <c r="AZ658" i="16"/>
  <c r="BA658" i="16"/>
  <c r="BB658" i="16"/>
  <c r="BC658" i="16"/>
  <c r="BD658" i="16"/>
  <c r="BE658" i="16"/>
  <c r="BF658" i="16"/>
  <c r="BG658" i="16"/>
  <c r="BH658" i="16"/>
  <c r="BI658" i="16"/>
  <c r="BJ658" i="16"/>
  <c r="BK658" i="16"/>
  <c r="BL658" i="16"/>
  <c r="BM658" i="16"/>
  <c r="BN658" i="16"/>
  <c r="BO658" i="16"/>
  <c r="BP658" i="16"/>
  <c r="BQ658" i="16"/>
  <c r="BR658" i="16"/>
  <c r="BS658" i="16"/>
  <c r="BT658" i="16"/>
  <c r="BU658" i="16"/>
  <c r="BV658" i="16"/>
  <c r="BW658" i="16"/>
  <c r="BX658" i="16"/>
  <c r="BY658" i="16"/>
  <c r="BZ658" i="16"/>
  <c r="CA658" i="16"/>
  <c r="CB658" i="16"/>
  <c r="CC658" i="16"/>
  <c r="CD658" i="16"/>
  <c r="CE658" i="16"/>
  <c r="CF658" i="16"/>
  <c r="CG658" i="16"/>
  <c r="CH658" i="16"/>
  <c r="CI658" i="16"/>
  <c r="CJ658" i="16"/>
  <c r="CK658" i="16"/>
  <c r="CL658" i="16"/>
  <c r="CM658" i="16"/>
  <c r="CN658" i="16"/>
  <c r="CO658" i="16"/>
  <c r="CP658" i="16"/>
  <c r="CQ658" i="16"/>
  <c r="CR658" i="16"/>
  <c r="CS658" i="16"/>
  <c r="CT658" i="16"/>
  <c r="CU658" i="16"/>
  <c r="CV658" i="16"/>
  <c r="CW658" i="16"/>
  <c r="CX658" i="16"/>
  <c r="CY658" i="16"/>
  <c r="CZ658" i="16"/>
  <c r="DA658" i="16"/>
  <c r="DB658" i="16"/>
  <c r="DC658" i="16"/>
  <c r="C660" i="16"/>
  <c r="C177" i="10" s="1"/>
  <c r="C662" i="16"/>
  <c r="C179" i="10" s="1"/>
  <c r="C663" i="16"/>
  <c r="C180" i="10" s="1"/>
  <c r="C665" i="16"/>
  <c r="C182" i="10" s="1"/>
  <c r="C666" i="16"/>
  <c r="C183" i="10" s="1"/>
  <c r="C667" i="16"/>
  <c r="C184" i="10" s="1"/>
  <c r="C668" i="16"/>
  <c r="C185" i="10" s="1"/>
  <c r="C669" i="16"/>
  <c r="C186" i="10" s="1"/>
  <c r="C670" i="16"/>
  <c r="C672" i="16"/>
  <c r="C189" i="10" s="1"/>
  <c r="C674" i="16"/>
  <c r="C191" i="10" s="1"/>
  <c r="C675" i="16"/>
  <c r="C192" i="10" s="1"/>
  <c r="C677" i="16"/>
  <c r="C678" i="16"/>
  <c r="C679" i="16"/>
  <c r="C680" i="16"/>
  <c r="C682" i="16"/>
  <c r="C3" i="13"/>
  <c r="C5" i="13"/>
  <c r="K10" i="13"/>
  <c r="L10" i="13"/>
  <c r="M10" i="13"/>
  <c r="K11" i="13"/>
  <c r="L11" i="13"/>
  <c r="M11" i="13"/>
  <c r="K12" i="13"/>
  <c r="L12" i="13"/>
  <c r="M12" i="13"/>
  <c r="K13" i="13"/>
  <c r="L13" i="13"/>
  <c r="M13" i="13"/>
  <c r="K14" i="13"/>
  <c r="L14" i="13"/>
  <c r="M14" i="13"/>
  <c r="K15" i="13"/>
  <c r="L15" i="13"/>
  <c r="M15" i="13"/>
  <c r="K16" i="13"/>
  <c r="L16" i="13"/>
  <c r="M16" i="13"/>
  <c r="K17" i="13"/>
  <c r="L17" i="13"/>
  <c r="M17" i="13"/>
  <c r="K18" i="13"/>
  <c r="L18" i="13"/>
  <c r="M18" i="13"/>
  <c r="K19" i="13"/>
  <c r="L19" i="13"/>
  <c r="M19" i="13"/>
  <c r="K20" i="13"/>
  <c r="L20" i="13"/>
  <c r="M20" i="13"/>
  <c r="K21" i="13"/>
  <c r="L21" i="13"/>
  <c r="M21" i="13"/>
  <c r="K22" i="13"/>
  <c r="L22" i="13"/>
  <c r="M22" i="13"/>
  <c r="K23" i="13"/>
  <c r="L23" i="13"/>
  <c r="M23" i="13"/>
  <c r="K24" i="13"/>
  <c r="L24" i="13"/>
  <c r="M24" i="13"/>
  <c r="C32" i="13"/>
  <c r="C3" i="12"/>
  <c r="C5" i="12"/>
  <c r="V21" i="12"/>
  <c r="V22" i="12"/>
  <c r="V23" i="12"/>
  <c r="V18" i="12"/>
  <c r="V19" i="12"/>
  <c r="V20" i="12"/>
  <c r="V15" i="12"/>
  <c r="V16" i="12"/>
  <c r="V17" i="12"/>
  <c r="V12" i="12"/>
  <c r="V10" i="12"/>
  <c r="V11" i="12"/>
  <c r="V13" i="12"/>
  <c r="V14" i="12"/>
  <c r="CQ567" i="16" l="1"/>
  <c r="CQ576" i="16"/>
  <c r="BA567" i="16"/>
  <c r="BA576" i="16"/>
  <c r="AM567" i="16"/>
  <c r="AM576" i="16"/>
  <c r="BN567" i="16"/>
  <c r="BN576" i="16"/>
  <c r="M567" i="16"/>
  <c r="M576" i="16"/>
  <c r="BO567" i="16"/>
  <c r="BO576" i="16"/>
  <c r="CP567" i="16"/>
  <c r="CP576" i="16"/>
  <c r="CB567" i="16"/>
  <c r="CB576" i="16"/>
  <c r="AZ567" i="16"/>
  <c r="AZ576" i="16"/>
  <c r="AL567" i="16"/>
  <c r="AL576" i="16"/>
  <c r="O567" i="16"/>
  <c r="O576" i="16"/>
  <c r="L567" i="16"/>
  <c r="L576" i="16"/>
  <c r="K567" i="16"/>
  <c r="K576" i="16"/>
  <c r="J567" i="16"/>
  <c r="J576" i="16"/>
  <c r="CC567" i="16"/>
  <c r="CC576" i="16"/>
  <c r="H567" i="16"/>
  <c r="H576" i="16"/>
  <c r="P567" i="16"/>
  <c r="P576" i="16"/>
  <c r="CR567" i="16"/>
  <c r="CR576" i="16"/>
  <c r="CD567" i="16"/>
  <c r="CD576" i="16"/>
  <c r="BP567" i="16"/>
  <c r="BP576" i="16"/>
  <c r="BB567" i="16"/>
  <c r="BB576" i="16"/>
  <c r="AN567" i="16"/>
  <c r="AN576" i="16"/>
  <c r="I567" i="16"/>
  <c r="I576" i="16"/>
  <c r="G567" i="16"/>
  <c r="G576" i="16"/>
  <c r="G578" i="16" a="1"/>
  <c r="G578" i="16" s="1"/>
  <c r="C661" i="16"/>
  <c r="C178" i="10" s="1"/>
  <c r="N14" i="16"/>
  <c r="N15" i="16"/>
  <c r="N22" i="16"/>
  <c r="N54" i="16"/>
  <c r="N50" i="16"/>
  <c r="N49" i="16"/>
  <c r="O53" i="16"/>
  <c r="O24" i="16"/>
  <c r="O45" i="16"/>
  <c r="O37" i="16"/>
  <c r="O30" i="16"/>
  <c r="C655" i="16"/>
  <c r="C172" i="10" s="1"/>
  <c r="C598" i="16"/>
  <c r="C652" i="16"/>
  <c r="C169" i="10" s="1"/>
  <c r="C651" i="16"/>
  <c r="C168" i="10" s="1"/>
  <c r="Y613" i="16"/>
  <c r="Z613" i="16" s="1"/>
  <c r="AA613" i="16" s="1"/>
  <c r="AB613" i="16" s="1"/>
  <c r="AC613" i="16" s="1"/>
  <c r="AD613" i="16" s="1"/>
  <c r="AE613" i="16" s="1"/>
  <c r="AF613" i="16" s="1"/>
  <c r="AG613" i="16" s="1"/>
  <c r="AH613" i="16" s="1"/>
  <c r="AI613" i="16" s="1"/>
  <c r="AJ613" i="16" s="1"/>
  <c r="AK613" i="16" s="1"/>
  <c r="AL613" i="16" s="1"/>
  <c r="AM613" i="16" s="1"/>
  <c r="AN613" i="16" s="1"/>
  <c r="AO613" i="16" s="1"/>
  <c r="AP613" i="16" s="1"/>
  <c r="AQ613" i="16" s="1"/>
  <c r="AR613" i="16" s="1"/>
  <c r="AS613" i="16" s="1"/>
  <c r="AT613" i="16" s="1"/>
  <c r="AU613" i="16" s="1"/>
  <c r="AV613" i="16" s="1"/>
  <c r="AW613" i="16" s="1"/>
  <c r="AX613" i="16" s="1"/>
  <c r="AY613" i="16" s="1"/>
  <c r="AZ613" i="16" s="1"/>
  <c r="BA613" i="16" s="1"/>
  <c r="BB613" i="16" s="1"/>
  <c r="BC613" i="16" s="1"/>
  <c r="BD613" i="16" s="1"/>
  <c r="BE613" i="16" s="1"/>
  <c r="BF613" i="16" s="1"/>
  <c r="BG613" i="16" s="1"/>
  <c r="BH613" i="16" s="1"/>
  <c r="BI613" i="16" s="1"/>
  <c r="BJ613" i="16" s="1"/>
  <c r="BK613" i="16" s="1"/>
  <c r="BL613" i="16" s="1"/>
  <c r="BM613" i="16" s="1"/>
  <c r="BN613" i="16" s="1"/>
  <c r="BO613" i="16" s="1"/>
  <c r="BP613" i="16" s="1"/>
  <c r="BQ613" i="16" s="1"/>
  <c r="BR613" i="16" s="1"/>
  <c r="BS613" i="16" s="1"/>
  <c r="BT613" i="16" s="1"/>
  <c r="BU613" i="16" s="1"/>
  <c r="BV613" i="16" s="1"/>
  <c r="BW613" i="16" s="1"/>
  <c r="BX613" i="16" s="1"/>
  <c r="BY613" i="16" s="1"/>
  <c r="BZ613" i="16" s="1"/>
  <c r="CA613" i="16" s="1"/>
  <c r="CB613" i="16" s="1"/>
  <c r="CC613" i="16" s="1"/>
  <c r="CD613" i="16" s="1"/>
  <c r="CE613" i="16" s="1"/>
  <c r="CF613" i="16" s="1"/>
  <c r="CG613" i="16" s="1"/>
  <c r="CH613" i="16" s="1"/>
  <c r="CI613" i="16" s="1"/>
  <c r="CJ613" i="16" s="1"/>
  <c r="CK613" i="16" s="1"/>
  <c r="CL613" i="16" s="1"/>
  <c r="CM613" i="16" s="1"/>
  <c r="CN613" i="16" s="1"/>
  <c r="CO613" i="16" s="1"/>
  <c r="CP613" i="16" s="1"/>
  <c r="CQ613" i="16" s="1"/>
  <c r="CR613" i="16" s="1"/>
  <c r="CS613" i="16" s="1"/>
  <c r="CT613" i="16" s="1"/>
  <c r="CU613" i="16" s="1"/>
  <c r="CV613" i="16" s="1"/>
  <c r="CW613" i="16" s="1"/>
  <c r="CX613" i="16" s="1"/>
  <c r="CY613" i="16" s="1"/>
  <c r="CZ613" i="16" s="1"/>
  <c r="DA613" i="16" s="1"/>
  <c r="DB613" i="16" s="1"/>
  <c r="DC613" i="16" s="1"/>
  <c r="Y611" i="16"/>
  <c r="Z611" i="16" s="1"/>
  <c r="AA611" i="16" s="1"/>
  <c r="AB611" i="16" s="1"/>
  <c r="AC611" i="16" s="1"/>
  <c r="AD611" i="16" s="1"/>
  <c r="AE611" i="16" s="1"/>
  <c r="AF611" i="16" s="1"/>
  <c r="AG611" i="16" s="1"/>
  <c r="AH611" i="16" s="1"/>
  <c r="AI611" i="16" s="1"/>
  <c r="AJ611" i="16" s="1"/>
  <c r="AK611" i="16" s="1"/>
  <c r="AL611" i="16" s="1"/>
  <c r="AM611" i="16" s="1"/>
  <c r="AN611" i="16" s="1"/>
  <c r="AO611" i="16" s="1"/>
  <c r="AP611" i="16" s="1"/>
  <c r="AQ611" i="16" s="1"/>
  <c r="AR611" i="16" s="1"/>
  <c r="AS611" i="16" s="1"/>
  <c r="AT611" i="16" s="1"/>
  <c r="AU611" i="16" s="1"/>
  <c r="AV611" i="16" s="1"/>
  <c r="AW611" i="16" s="1"/>
  <c r="AX611" i="16" s="1"/>
  <c r="AY611" i="16" s="1"/>
  <c r="AZ611" i="16" s="1"/>
  <c r="BA611" i="16" s="1"/>
  <c r="BB611" i="16" s="1"/>
  <c r="BC611" i="16" s="1"/>
  <c r="BD611" i="16" s="1"/>
  <c r="BE611" i="16" s="1"/>
  <c r="BF611" i="16" s="1"/>
  <c r="BG611" i="16" s="1"/>
  <c r="BH611" i="16" s="1"/>
  <c r="BI611" i="16" s="1"/>
  <c r="BJ611" i="16" s="1"/>
  <c r="BK611" i="16" s="1"/>
  <c r="BL611" i="16" s="1"/>
  <c r="BM611" i="16" s="1"/>
  <c r="BN611" i="16" s="1"/>
  <c r="BO611" i="16" s="1"/>
  <c r="BP611" i="16" s="1"/>
  <c r="BQ611" i="16" s="1"/>
  <c r="BR611" i="16" s="1"/>
  <c r="BS611" i="16" s="1"/>
  <c r="BT611" i="16" s="1"/>
  <c r="BU611" i="16" s="1"/>
  <c r="BV611" i="16" s="1"/>
  <c r="BW611" i="16" s="1"/>
  <c r="BX611" i="16" s="1"/>
  <c r="BY611" i="16" s="1"/>
  <c r="BZ611" i="16" s="1"/>
  <c r="CA611" i="16" s="1"/>
  <c r="CB611" i="16" s="1"/>
  <c r="CC611" i="16" s="1"/>
  <c r="CD611" i="16" s="1"/>
  <c r="CE611" i="16" s="1"/>
  <c r="CF611" i="16" s="1"/>
  <c r="CG611" i="16" s="1"/>
  <c r="CH611" i="16" s="1"/>
  <c r="CI611" i="16" s="1"/>
  <c r="CJ611" i="16" s="1"/>
  <c r="CK611" i="16" s="1"/>
  <c r="CL611" i="16" s="1"/>
  <c r="CM611" i="16" s="1"/>
  <c r="CN611" i="16" s="1"/>
  <c r="CO611" i="16" s="1"/>
  <c r="CP611" i="16" s="1"/>
  <c r="CQ611" i="16" s="1"/>
  <c r="CR611" i="16" s="1"/>
  <c r="CS611" i="16" s="1"/>
  <c r="CT611" i="16" s="1"/>
  <c r="CU611" i="16" s="1"/>
  <c r="CV611" i="16" s="1"/>
  <c r="CW611" i="16" s="1"/>
  <c r="CX611" i="16" s="1"/>
  <c r="CY611" i="16" s="1"/>
  <c r="CZ611" i="16" s="1"/>
  <c r="DA611" i="16" s="1"/>
  <c r="DB611" i="16" s="1"/>
  <c r="DC611" i="16" s="1"/>
  <c r="Y598" i="16"/>
  <c r="Z598" i="16" s="1"/>
  <c r="AA598" i="16" s="1"/>
  <c r="AB598" i="16" s="1"/>
  <c r="AC598" i="16" s="1"/>
  <c r="AD598" i="16" s="1"/>
  <c r="AE598" i="16" s="1"/>
  <c r="AF598" i="16" s="1"/>
  <c r="AG598" i="16" s="1"/>
  <c r="AH598" i="16" s="1"/>
  <c r="AI598" i="16" s="1"/>
  <c r="AJ598" i="16" s="1"/>
  <c r="AK598" i="16" s="1"/>
  <c r="AL598" i="16" s="1"/>
  <c r="AM598" i="16" s="1"/>
  <c r="AN598" i="16" s="1"/>
  <c r="AO598" i="16" s="1"/>
  <c r="AP598" i="16" s="1"/>
  <c r="AQ598" i="16" s="1"/>
  <c r="AR598" i="16" s="1"/>
  <c r="AS598" i="16" s="1"/>
  <c r="AT598" i="16" s="1"/>
  <c r="AU598" i="16" s="1"/>
  <c r="AV598" i="16" s="1"/>
  <c r="AW598" i="16" s="1"/>
  <c r="AX598" i="16" s="1"/>
  <c r="AY598" i="16" s="1"/>
  <c r="AZ598" i="16" s="1"/>
  <c r="BA598" i="16" s="1"/>
  <c r="BB598" i="16" s="1"/>
  <c r="BC598" i="16" s="1"/>
  <c r="BD598" i="16" s="1"/>
  <c r="BE598" i="16" s="1"/>
  <c r="BF598" i="16" s="1"/>
  <c r="BG598" i="16" s="1"/>
  <c r="BH598" i="16" s="1"/>
  <c r="BI598" i="16" s="1"/>
  <c r="BJ598" i="16" s="1"/>
  <c r="BK598" i="16" s="1"/>
  <c r="BL598" i="16" s="1"/>
  <c r="BM598" i="16" s="1"/>
  <c r="BN598" i="16" s="1"/>
  <c r="BO598" i="16" s="1"/>
  <c r="BP598" i="16" s="1"/>
  <c r="BQ598" i="16" s="1"/>
  <c r="BR598" i="16" s="1"/>
  <c r="BS598" i="16" s="1"/>
  <c r="BT598" i="16" s="1"/>
  <c r="BU598" i="16" s="1"/>
  <c r="BV598" i="16" s="1"/>
  <c r="BW598" i="16" s="1"/>
  <c r="BX598" i="16" s="1"/>
  <c r="BY598" i="16" s="1"/>
  <c r="BZ598" i="16" s="1"/>
  <c r="CA598" i="16" s="1"/>
  <c r="CB598" i="16" s="1"/>
  <c r="CC598" i="16" s="1"/>
  <c r="CD598" i="16" s="1"/>
  <c r="CE598" i="16" s="1"/>
  <c r="CF598" i="16" s="1"/>
  <c r="CG598" i="16" s="1"/>
  <c r="CH598" i="16" s="1"/>
  <c r="CI598" i="16" s="1"/>
  <c r="CJ598" i="16" s="1"/>
  <c r="CK598" i="16" s="1"/>
  <c r="CL598" i="16" s="1"/>
  <c r="CM598" i="16" s="1"/>
  <c r="CN598" i="16" s="1"/>
  <c r="CO598" i="16" s="1"/>
  <c r="CP598" i="16" s="1"/>
  <c r="CQ598" i="16" s="1"/>
  <c r="CR598" i="16" s="1"/>
  <c r="CS598" i="16" s="1"/>
  <c r="CT598" i="16" s="1"/>
  <c r="CU598" i="16" s="1"/>
  <c r="CV598" i="16" s="1"/>
  <c r="CW598" i="16" s="1"/>
  <c r="CX598" i="16" s="1"/>
  <c r="CY598" i="16" s="1"/>
  <c r="CZ598" i="16" s="1"/>
  <c r="DA598" i="16" s="1"/>
  <c r="DB598" i="16" s="1"/>
  <c r="DC598" i="16" s="1"/>
  <c r="Y625" i="16"/>
  <c r="Z625" i="16" s="1"/>
  <c r="AA625" i="16" s="1"/>
  <c r="AB625" i="16" s="1"/>
  <c r="AC625" i="16" s="1"/>
  <c r="AD625" i="16" s="1"/>
  <c r="AE625" i="16" s="1"/>
  <c r="AF625" i="16" s="1"/>
  <c r="AG625" i="16" s="1"/>
  <c r="AH625" i="16" s="1"/>
  <c r="AI625" i="16" s="1"/>
  <c r="AJ625" i="16" s="1"/>
  <c r="AK625" i="16" s="1"/>
  <c r="AL625" i="16" s="1"/>
  <c r="AM625" i="16" s="1"/>
  <c r="AN625" i="16" s="1"/>
  <c r="AO625" i="16" s="1"/>
  <c r="AP625" i="16" s="1"/>
  <c r="AQ625" i="16" s="1"/>
  <c r="AR625" i="16" s="1"/>
  <c r="AS625" i="16" s="1"/>
  <c r="AT625" i="16" s="1"/>
  <c r="AU625" i="16" s="1"/>
  <c r="AV625" i="16" s="1"/>
  <c r="AW625" i="16" s="1"/>
  <c r="AX625" i="16" s="1"/>
  <c r="AY625" i="16" s="1"/>
  <c r="AZ625" i="16" s="1"/>
  <c r="BA625" i="16" s="1"/>
  <c r="BB625" i="16" s="1"/>
  <c r="BC625" i="16" s="1"/>
  <c r="BD625" i="16" s="1"/>
  <c r="BE625" i="16" s="1"/>
  <c r="BF625" i="16" s="1"/>
  <c r="BG625" i="16" s="1"/>
  <c r="BH625" i="16" s="1"/>
  <c r="BI625" i="16" s="1"/>
  <c r="BJ625" i="16" s="1"/>
  <c r="BK625" i="16" s="1"/>
  <c r="BL625" i="16" s="1"/>
  <c r="BM625" i="16" s="1"/>
  <c r="BN625" i="16" s="1"/>
  <c r="BO625" i="16" s="1"/>
  <c r="BP625" i="16" s="1"/>
  <c r="BQ625" i="16" s="1"/>
  <c r="BR625" i="16" s="1"/>
  <c r="BS625" i="16" s="1"/>
  <c r="BT625" i="16" s="1"/>
  <c r="BU625" i="16" s="1"/>
  <c r="BV625" i="16" s="1"/>
  <c r="BW625" i="16" s="1"/>
  <c r="BX625" i="16" s="1"/>
  <c r="BY625" i="16" s="1"/>
  <c r="BZ625" i="16" s="1"/>
  <c r="CA625" i="16" s="1"/>
  <c r="CB625" i="16" s="1"/>
  <c r="CC625" i="16" s="1"/>
  <c r="CD625" i="16" s="1"/>
  <c r="CE625" i="16" s="1"/>
  <c r="CF625" i="16" s="1"/>
  <c r="CG625" i="16" s="1"/>
  <c r="CH625" i="16" s="1"/>
  <c r="CI625" i="16" s="1"/>
  <c r="CJ625" i="16" s="1"/>
  <c r="CK625" i="16" s="1"/>
  <c r="CL625" i="16" s="1"/>
  <c r="CM625" i="16" s="1"/>
  <c r="CN625" i="16" s="1"/>
  <c r="CO625" i="16" s="1"/>
  <c r="CP625" i="16" s="1"/>
  <c r="CQ625" i="16" s="1"/>
  <c r="CR625" i="16" s="1"/>
  <c r="CS625" i="16" s="1"/>
  <c r="CT625" i="16" s="1"/>
  <c r="CU625" i="16" s="1"/>
  <c r="CV625" i="16" s="1"/>
  <c r="CW625" i="16" s="1"/>
  <c r="CX625" i="16" s="1"/>
  <c r="CY625" i="16" s="1"/>
  <c r="CZ625" i="16" s="1"/>
  <c r="DA625" i="16" s="1"/>
  <c r="DB625" i="16" s="1"/>
  <c r="DC625" i="16" s="1"/>
  <c r="Y608" i="16"/>
  <c r="Z608" i="16" s="1"/>
  <c r="AA608" i="16" s="1"/>
  <c r="AB608" i="16" s="1"/>
  <c r="AC608" i="16" s="1"/>
  <c r="AD608" i="16" s="1"/>
  <c r="AE608" i="16" s="1"/>
  <c r="AF608" i="16" s="1"/>
  <c r="AG608" i="16" s="1"/>
  <c r="AH608" i="16" s="1"/>
  <c r="AI608" i="16" s="1"/>
  <c r="AJ608" i="16" s="1"/>
  <c r="AK608" i="16" s="1"/>
  <c r="AL608" i="16" s="1"/>
  <c r="AM608" i="16" s="1"/>
  <c r="AN608" i="16" s="1"/>
  <c r="AO608" i="16" s="1"/>
  <c r="AP608" i="16" s="1"/>
  <c r="AQ608" i="16" s="1"/>
  <c r="AR608" i="16" s="1"/>
  <c r="AS608" i="16" s="1"/>
  <c r="AT608" i="16" s="1"/>
  <c r="AU608" i="16" s="1"/>
  <c r="AV608" i="16" s="1"/>
  <c r="AW608" i="16" s="1"/>
  <c r="AX608" i="16" s="1"/>
  <c r="AY608" i="16" s="1"/>
  <c r="AZ608" i="16" s="1"/>
  <c r="BA608" i="16" s="1"/>
  <c r="BB608" i="16" s="1"/>
  <c r="BC608" i="16" s="1"/>
  <c r="BD608" i="16" s="1"/>
  <c r="BE608" i="16" s="1"/>
  <c r="BF608" i="16" s="1"/>
  <c r="BG608" i="16" s="1"/>
  <c r="BH608" i="16" s="1"/>
  <c r="BI608" i="16" s="1"/>
  <c r="BJ608" i="16" s="1"/>
  <c r="BK608" i="16" s="1"/>
  <c r="BL608" i="16" s="1"/>
  <c r="BM608" i="16" s="1"/>
  <c r="BN608" i="16" s="1"/>
  <c r="BO608" i="16" s="1"/>
  <c r="BP608" i="16" s="1"/>
  <c r="BQ608" i="16" s="1"/>
  <c r="BR608" i="16" s="1"/>
  <c r="BS608" i="16" s="1"/>
  <c r="BT608" i="16" s="1"/>
  <c r="BU608" i="16" s="1"/>
  <c r="BV608" i="16" s="1"/>
  <c r="BW608" i="16" s="1"/>
  <c r="BX608" i="16" s="1"/>
  <c r="BY608" i="16" s="1"/>
  <c r="BZ608" i="16" s="1"/>
  <c r="CA608" i="16" s="1"/>
  <c r="CB608" i="16" s="1"/>
  <c r="CC608" i="16" s="1"/>
  <c r="CD608" i="16" s="1"/>
  <c r="CE608" i="16" s="1"/>
  <c r="CF608" i="16" s="1"/>
  <c r="CG608" i="16" s="1"/>
  <c r="CH608" i="16" s="1"/>
  <c r="CI608" i="16" s="1"/>
  <c r="CJ608" i="16" s="1"/>
  <c r="CK608" i="16" s="1"/>
  <c r="CL608" i="16" s="1"/>
  <c r="CM608" i="16" s="1"/>
  <c r="CN608" i="16" s="1"/>
  <c r="CO608" i="16" s="1"/>
  <c r="CP608" i="16" s="1"/>
  <c r="CQ608" i="16" s="1"/>
  <c r="CR608" i="16" s="1"/>
  <c r="CS608" i="16" s="1"/>
  <c r="CT608" i="16" s="1"/>
  <c r="CU608" i="16" s="1"/>
  <c r="CV608" i="16" s="1"/>
  <c r="CW608" i="16" s="1"/>
  <c r="CX608" i="16" s="1"/>
  <c r="CY608" i="16" s="1"/>
  <c r="CZ608" i="16" s="1"/>
  <c r="DA608" i="16" s="1"/>
  <c r="DB608" i="16" s="1"/>
  <c r="DC608" i="16" s="1"/>
  <c r="Y600" i="16"/>
  <c r="Z600" i="16" s="1"/>
  <c r="AA600" i="16" s="1"/>
  <c r="AB600" i="16" s="1"/>
  <c r="AC600" i="16" s="1"/>
  <c r="AD600" i="16" s="1"/>
  <c r="AE600" i="16" s="1"/>
  <c r="AF600" i="16" s="1"/>
  <c r="AG600" i="16" s="1"/>
  <c r="AH600" i="16" s="1"/>
  <c r="AI600" i="16" s="1"/>
  <c r="AJ600" i="16" s="1"/>
  <c r="AK600" i="16" s="1"/>
  <c r="AL600" i="16" s="1"/>
  <c r="AM600" i="16" s="1"/>
  <c r="AN600" i="16" s="1"/>
  <c r="AO600" i="16" s="1"/>
  <c r="AP600" i="16" s="1"/>
  <c r="AQ600" i="16" s="1"/>
  <c r="AR600" i="16" s="1"/>
  <c r="AS600" i="16" s="1"/>
  <c r="AT600" i="16" s="1"/>
  <c r="AU600" i="16" s="1"/>
  <c r="AV600" i="16" s="1"/>
  <c r="AW600" i="16" s="1"/>
  <c r="AX600" i="16" s="1"/>
  <c r="AY600" i="16" s="1"/>
  <c r="AZ600" i="16" s="1"/>
  <c r="BA600" i="16" s="1"/>
  <c r="BB600" i="16" s="1"/>
  <c r="BC600" i="16" s="1"/>
  <c r="BD600" i="16" s="1"/>
  <c r="BE600" i="16" s="1"/>
  <c r="BF600" i="16" s="1"/>
  <c r="BG600" i="16" s="1"/>
  <c r="BH600" i="16" s="1"/>
  <c r="BI600" i="16" s="1"/>
  <c r="BJ600" i="16" s="1"/>
  <c r="BK600" i="16" s="1"/>
  <c r="BL600" i="16" s="1"/>
  <c r="BM600" i="16" s="1"/>
  <c r="BN600" i="16" s="1"/>
  <c r="BO600" i="16" s="1"/>
  <c r="BP600" i="16" s="1"/>
  <c r="BQ600" i="16" s="1"/>
  <c r="BR600" i="16" s="1"/>
  <c r="BS600" i="16" s="1"/>
  <c r="BT600" i="16" s="1"/>
  <c r="BU600" i="16" s="1"/>
  <c r="BV600" i="16" s="1"/>
  <c r="BW600" i="16" s="1"/>
  <c r="BX600" i="16" s="1"/>
  <c r="BY600" i="16" s="1"/>
  <c r="BZ600" i="16" s="1"/>
  <c r="CA600" i="16" s="1"/>
  <c r="CB600" i="16" s="1"/>
  <c r="CC600" i="16" s="1"/>
  <c r="CD600" i="16" s="1"/>
  <c r="CE600" i="16" s="1"/>
  <c r="CF600" i="16" s="1"/>
  <c r="CG600" i="16" s="1"/>
  <c r="CH600" i="16" s="1"/>
  <c r="CI600" i="16" s="1"/>
  <c r="CJ600" i="16" s="1"/>
  <c r="CK600" i="16" s="1"/>
  <c r="CL600" i="16" s="1"/>
  <c r="CM600" i="16" s="1"/>
  <c r="CN600" i="16" s="1"/>
  <c r="CO600" i="16" s="1"/>
  <c r="CP600" i="16" s="1"/>
  <c r="CQ600" i="16" s="1"/>
  <c r="CR600" i="16" s="1"/>
  <c r="CS600" i="16" s="1"/>
  <c r="CT600" i="16" s="1"/>
  <c r="CU600" i="16" s="1"/>
  <c r="CV600" i="16" s="1"/>
  <c r="CW600" i="16" s="1"/>
  <c r="CX600" i="16" s="1"/>
  <c r="CY600" i="16" s="1"/>
  <c r="CZ600" i="16" s="1"/>
  <c r="DA600" i="16" s="1"/>
  <c r="DB600" i="16" s="1"/>
  <c r="DC600" i="16" s="1"/>
  <c r="Y624" i="16"/>
  <c r="Z624" i="16" s="1"/>
  <c r="AA624" i="16" s="1"/>
  <c r="AB624" i="16" s="1"/>
  <c r="AC624" i="16" s="1"/>
  <c r="AD624" i="16" s="1"/>
  <c r="AE624" i="16" s="1"/>
  <c r="AF624" i="16" s="1"/>
  <c r="AG624" i="16" s="1"/>
  <c r="AH624" i="16" s="1"/>
  <c r="AI624" i="16" s="1"/>
  <c r="AJ624" i="16" s="1"/>
  <c r="AK624" i="16" s="1"/>
  <c r="AL624" i="16" s="1"/>
  <c r="AM624" i="16" s="1"/>
  <c r="AN624" i="16" s="1"/>
  <c r="AO624" i="16" s="1"/>
  <c r="AP624" i="16" s="1"/>
  <c r="AQ624" i="16" s="1"/>
  <c r="AR624" i="16" s="1"/>
  <c r="AS624" i="16" s="1"/>
  <c r="AT624" i="16" s="1"/>
  <c r="AU624" i="16" s="1"/>
  <c r="AV624" i="16" s="1"/>
  <c r="AW624" i="16" s="1"/>
  <c r="AX624" i="16" s="1"/>
  <c r="AY624" i="16" s="1"/>
  <c r="AZ624" i="16" s="1"/>
  <c r="BA624" i="16" s="1"/>
  <c r="BB624" i="16" s="1"/>
  <c r="BC624" i="16" s="1"/>
  <c r="BD624" i="16" s="1"/>
  <c r="BE624" i="16" s="1"/>
  <c r="BF624" i="16" s="1"/>
  <c r="BG624" i="16" s="1"/>
  <c r="BH624" i="16" s="1"/>
  <c r="BI624" i="16" s="1"/>
  <c r="BJ624" i="16" s="1"/>
  <c r="BK624" i="16" s="1"/>
  <c r="BL624" i="16" s="1"/>
  <c r="BM624" i="16" s="1"/>
  <c r="BN624" i="16" s="1"/>
  <c r="BO624" i="16" s="1"/>
  <c r="BP624" i="16" s="1"/>
  <c r="BQ624" i="16" s="1"/>
  <c r="BR624" i="16" s="1"/>
  <c r="BS624" i="16" s="1"/>
  <c r="BT624" i="16" s="1"/>
  <c r="BU624" i="16" s="1"/>
  <c r="BV624" i="16" s="1"/>
  <c r="BW624" i="16" s="1"/>
  <c r="BX624" i="16" s="1"/>
  <c r="BY624" i="16" s="1"/>
  <c r="BZ624" i="16" s="1"/>
  <c r="CA624" i="16" s="1"/>
  <c r="CB624" i="16" s="1"/>
  <c r="CC624" i="16" s="1"/>
  <c r="CD624" i="16" s="1"/>
  <c r="CE624" i="16" s="1"/>
  <c r="CF624" i="16" s="1"/>
  <c r="CG624" i="16" s="1"/>
  <c r="CH624" i="16" s="1"/>
  <c r="CI624" i="16" s="1"/>
  <c r="CJ624" i="16" s="1"/>
  <c r="CK624" i="16" s="1"/>
  <c r="CL624" i="16" s="1"/>
  <c r="CM624" i="16" s="1"/>
  <c r="CN624" i="16" s="1"/>
  <c r="CO624" i="16" s="1"/>
  <c r="CP624" i="16" s="1"/>
  <c r="CQ624" i="16" s="1"/>
  <c r="CR624" i="16" s="1"/>
  <c r="CS624" i="16" s="1"/>
  <c r="CT624" i="16" s="1"/>
  <c r="CU624" i="16" s="1"/>
  <c r="CV624" i="16" s="1"/>
  <c r="CW624" i="16" s="1"/>
  <c r="CX624" i="16" s="1"/>
  <c r="CY624" i="16" s="1"/>
  <c r="CZ624" i="16" s="1"/>
  <c r="DA624" i="16" s="1"/>
  <c r="DB624" i="16" s="1"/>
  <c r="DC624" i="16" s="1"/>
  <c r="Y607" i="16"/>
  <c r="Z607" i="16" s="1"/>
  <c r="AA607" i="16" s="1"/>
  <c r="AB607" i="16" s="1"/>
  <c r="AC607" i="16" s="1"/>
  <c r="AD607" i="16" s="1"/>
  <c r="AE607" i="16" s="1"/>
  <c r="AF607" i="16" s="1"/>
  <c r="AG607" i="16" s="1"/>
  <c r="AH607" i="16" s="1"/>
  <c r="AI607" i="16" s="1"/>
  <c r="AJ607" i="16" s="1"/>
  <c r="AK607" i="16" s="1"/>
  <c r="AL607" i="16" s="1"/>
  <c r="AM607" i="16" s="1"/>
  <c r="AN607" i="16" s="1"/>
  <c r="AO607" i="16" s="1"/>
  <c r="AP607" i="16" s="1"/>
  <c r="AQ607" i="16" s="1"/>
  <c r="AR607" i="16" s="1"/>
  <c r="AS607" i="16" s="1"/>
  <c r="AT607" i="16" s="1"/>
  <c r="AU607" i="16" s="1"/>
  <c r="AV607" i="16" s="1"/>
  <c r="AW607" i="16" s="1"/>
  <c r="AX607" i="16" s="1"/>
  <c r="AY607" i="16" s="1"/>
  <c r="AZ607" i="16" s="1"/>
  <c r="BA607" i="16" s="1"/>
  <c r="BB607" i="16" s="1"/>
  <c r="BC607" i="16" s="1"/>
  <c r="BD607" i="16" s="1"/>
  <c r="BE607" i="16" s="1"/>
  <c r="BF607" i="16" s="1"/>
  <c r="BG607" i="16" s="1"/>
  <c r="BH607" i="16" s="1"/>
  <c r="BI607" i="16" s="1"/>
  <c r="BJ607" i="16" s="1"/>
  <c r="BK607" i="16" s="1"/>
  <c r="BL607" i="16" s="1"/>
  <c r="BM607" i="16" s="1"/>
  <c r="BN607" i="16" s="1"/>
  <c r="BO607" i="16" s="1"/>
  <c r="BP607" i="16" s="1"/>
  <c r="BQ607" i="16" s="1"/>
  <c r="BR607" i="16" s="1"/>
  <c r="BS607" i="16" s="1"/>
  <c r="BT607" i="16" s="1"/>
  <c r="BU607" i="16" s="1"/>
  <c r="BV607" i="16" s="1"/>
  <c r="BW607" i="16" s="1"/>
  <c r="BX607" i="16" s="1"/>
  <c r="BY607" i="16" s="1"/>
  <c r="BZ607" i="16" s="1"/>
  <c r="CA607" i="16" s="1"/>
  <c r="CB607" i="16" s="1"/>
  <c r="CC607" i="16" s="1"/>
  <c r="CD607" i="16" s="1"/>
  <c r="CE607" i="16" s="1"/>
  <c r="CF607" i="16" s="1"/>
  <c r="CG607" i="16" s="1"/>
  <c r="CH607" i="16" s="1"/>
  <c r="CI607" i="16" s="1"/>
  <c r="CJ607" i="16" s="1"/>
  <c r="CK607" i="16" s="1"/>
  <c r="CL607" i="16" s="1"/>
  <c r="CM607" i="16" s="1"/>
  <c r="CN607" i="16" s="1"/>
  <c r="CO607" i="16" s="1"/>
  <c r="CP607" i="16" s="1"/>
  <c r="CQ607" i="16" s="1"/>
  <c r="CR607" i="16" s="1"/>
  <c r="CS607" i="16" s="1"/>
  <c r="CT607" i="16" s="1"/>
  <c r="CU607" i="16" s="1"/>
  <c r="CV607" i="16" s="1"/>
  <c r="CW607" i="16" s="1"/>
  <c r="CX607" i="16" s="1"/>
  <c r="CY607" i="16" s="1"/>
  <c r="CZ607" i="16" s="1"/>
  <c r="DA607" i="16" s="1"/>
  <c r="DB607" i="16" s="1"/>
  <c r="DC607" i="16" s="1"/>
  <c r="Y606" i="16"/>
  <c r="Z606" i="16" s="1"/>
  <c r="AA606" i="16" s="1"/>
  <c r="AB606" i="16" s="1"/>
  <c r="AC606" i="16" s="1"/>
  <c r="AD606" i="16" s="1"/>
  <c r="AE606" i="16" s="1"/>
  <c r="AF606" i="16" s="1"/>
  <c r="AG606" i="16" s="1"/>
  <c r="AH606" i="16" s="1"/>
  <c r="AI606" i="16" s="1"/>
  <c r="AJ606" i="16" s="1"/>
  <c r="AK606" i="16" s="1"/>
  <c r="AL606" i="16" s="1"/>
  <c r="AM606" i="16" s="1"/>
  <c r="AN606" i="16" s="1"/>
  <c r="AO606" i="16" s="1"/>
  <c r="AP606" i="16" s="1"/>
  <c r="AQ606" i="16" s="1"/>
  <c r="AR606" i="16" s="1"/>
  <c r="AS606" i="16" s="1"/>
  <c r="AT606" i="16" s="1"/>
  <c r="AU606" i="16" s="1"/>
  <c r="AV606" i="16" s="1"/>
  <c r="AW606" i="16" s="1"/>
  <c r="AX606" i="16" s="1"/>
  <c r="AY606" i="16" s="1"/>
  <c r="AZ606" i="16" s="1"/>
  <c r="BA606" i="16" s="1"/>
  <c r="BB606" i="16" s="1"/>
  <c r="BC606" i="16" s="1"/>
  <c r="BD606" i="16" s="1"/>
  <c r="BE606" i="16" s="1"/>
  <c r="BF606" i="16" s="1"/>
  <c r="BG606" i="16" s="1"/>
  <c r="BH606" i="16" s="1"/>
  <c r="BI606" i="16" s="1"/>
  <c r="BJ606" i="16" s="1"/>
  <c r="BK606" i="16" s="1"/>
  <c r="BL606" i="16" s="1"/>
  <c r="BM606" i="16" s="1"/>
  <c r="BN606" i="16" s="1"/>
  <c r="BO606" i="16" s="1"/>
  <c r="BP606" i="16" s="1"/>
  <c r="BQ606" i="16" s="1"/>
  <c r="BR606" i="16" s="1"/>
  <c r="BS606" i="16" s="1"/>
  <c r="BT606" i="16" s="1"/>
  <c r="BU606" i="16" s="1"/>
  <c r="BV606" i="16" s="1"/>
  <c r="BW606" i="16" s="1"/>
  <c r="BX606" i="16" s="1"/>
  <c r="BY606" i="16" s="1"/>
  <c r="BZ606" i="16" s="1"/>
  <c r="CA606" i="16" s="1"/>
  <c r="CB606" i="16" s="1"/>
  <c r="CC606" i="16" s="1"/>
  <c r="CD606" i="16" s="1"/>
  <c r="CE606" i="16" s="1"/>
  <c r="CF606" i="16" s="1"/>
  <c r="CG606" i="16" s="1"/>
  <c r="CH606" i="16" s="1"/>
  <c r="CI606" i="16" s="1"/>
  <c r="CJ606" i="16" s="1"/>
  <c r="CK606" i="16" s="1"/>
  <c r="CL606" i="16" s="1"/>
  <c r="CM606" i="16" s="1"/>
  <c r="CN606" i="16" s="1"/>
  <c r="CO606" i="16" s="1"/>
  <c r="CP606" i="16" s="1"/>
  <c r="CQ606" i="16" s="1"/>
  <c r="CR606" i="16" s="1"/>
  <c r="CS606" i="16" s="1"/>
  <c r="CT606" i="16" s="1"/>
  <c r="CU606" i="16" s="1"/>
  <c r="CV606" i="16" s="1"/>
  <c r="CW606" i="16" s="1"/>
  <c r="CX606" i="16" s="1"/>
  <c r="CY606" i="16" s="1"/>
  <c r="CZ606" i="16" s="1"/>
  <c r="DA606" i="16" s="1"/>
  <c r="DB606" i="16" s="1"/>
  <c r="DC606" i="16" s="1"/>
  <c r="Y631" i="16"/>
  <c r="Z631" i="16" s="1"/>
  <c r="AA631" i="16" s="1"/>
  <c r="AB631" i="16" s="1"/>
  <c r="AC631" i="16" s="1"/>
  <c r="AD631" i="16" s="1"/>
  <c r="AE631" i="16" s="1"/>
  <c r="AF631" i="16" s="1"/>
  <c r="AG631" i="16" s="1"/>
  <c r="AH631" i="16" s="1"/>
  <c r="AI631" i="16" s="1"/>
  <c r="AJ631" i="16" s="1"/>
  <c r="AK631" i="16" s="1"/>
  <c r="AL631" i="16" s="1"/>
  <c r="AM631" i="16" s="1"/>
  <c r="AN631" i="16" s="1"/>
  <c r="AO631" i="16" s="1"/>
  <c r="AP631" i="16" s="1"/>
  <c r="AQ631" i="16" s="1"/>
  <c r="AR631" i="16" s="1"/>
  <c r="AS631" i="16" s="1"/>
  <c r="AT631" i="16" s="1"/>
  <c r="AU631" i="16" s="1"/>
  <c r="AV631" i="16" s="1"/>
  <c r="AW631" i="16" s="1"/>
  <c r="AX631" i="16" s="1"/>
  <c r="AY631" i="16" s="1"/>
  <c r="AZ631" i="16" s="1"/>
  <c r="BA631" i="16" s="1"/>
  <c r="BB631" i="16" s="1"/>
  <c r="BC631" i="16" s="1"/>
  <c r="BD631" i="16" s="1"/>
  <c r="BE631" i="16" s="1"/>
  <c r="BF631" i="16" s="1"/>
  <c r="BG631" i="16" s="1"/>
  <c r="BH631" i="16" s="1"/>
  <c r="BI631" i="16" s="1"/>
  <c r="BJ631" i="16" s="1"/>
  <c r="BK631" i="16" s="1"/>
  <c r="BL631" i="16" s="1"/>
  <c r="BM631" i="16" s="1"/>
  <c r="BN631" i="16" s="1"/>
  <c r="BO631" i="16" s="1"/>
  <c r="BP631" i="16" s="1"/>
  <c r="BQ631" i="16" s="1"/>
  <c r="BR631" i="16" s="1"/>
  <c r="BS631" i="16" s="1"/>
  <c r="BT631" i="16" s="1"/>
  <c r="BU631" i="16" s="1"/>
  <c r="BV631" i="16" s="1"/>
  <c r="BW631" i="16" s="1"/>
  <c r="BX631" i="16" s="1"/>
  <c r="BY631" i="16" s="1"/>
  <c r="BZ631" i="16" s="1"/>
  <c r="CA631" i="16" s="1"/>
  <c r="CB631" i="16" s="1"/>
  <c r="CC631" i="16" s="1"/>
  <c r="CD631" i="16" s="1"/>
  <c r="CE631" i="16" s="1"/>
  <c r="CF631" i="16" s="1"/>
  <c r="CG631" i="16" s="1"/>
  <c r="CH631" i="16" s="1"/>
  <c r="CI631" i="16" s="1"/>
  <c r="CJ631" i="16" s="1"/>
  <c r="CK631" i="16" s="1"/>
  <c r="CL631" i="16" s="1"/>
  <c r="CM631" i="16" s="1"/>
  <c r="CN631" i="16" s="1"/>
  <c r="CO631" i="16" s="1"/>
  <c r="CP631" i="16" s="1"/>
  <c r="CQ631" i="16" s="1"/>
  <c r="CR631" i="16" s="1"/>
  <c r="CS631" i="16" s="1"/>
  <c r="CT631" i="16" s="1"/>
  <c r="CU631" i="16" s="1"/>
  <c r="CV631" i="16" s="1"/>
  <c r="CW631" i="16" s="1"/>
  <c r="CX631" i="16" s="1"/>
  <c r="CY631" i="16" s="1"/>
  <c r="CZ631" i="16" s="1"/>
  <c r="DA631" i="16" s="1"/>
  <c r="DB631" i="16" s="1"/>
  <c r="DC631" i="16" s="1"/>
  <c r="Y589" i="16"/>
  <c r="Z589" i="16" s="1"/>
  <c r="AA589" i="16" s="1"/>
  <c r="AB589" i="16" s="1"/>
  <c r="AC589" i="16" s="1"/>
  <c r="AD589" i="16" s="1"/>
  <c r="AE589" i="16" s="1"/>
  <c r="AF589" i="16" s="1"/>
  <c r="AG589" i="16" s="1"/>
  <c r="AH589" i="16" s="1"/>
  <c r="AI589" i="16" s="1"/>
  <c r="AJ589" i="16" s="1"/>
  <c r="AK589" i="16" s="1"/>
  <c r="AL589" i="16" s="1"/>
  <c r="AM589" i="16" s="1"/>
  <c r="AN589" i="16" s="1"/>
  <c r="AO589" i="16" s="1"/>
  <c r="AP589" i="16" s="1"/>
  <c r="AQ589" i="16" s="1"/>
  <c r="AR589" i="16" s="1"/>
  <c r="AS589" i="16" s="1"/>
  <c r="AT589" i="16" s="1"/>
  <c r="AU589" i="16" s="1"/>
  <c r="AV589" i="16" s="1"/>
  <c r="AW589" i="16" s="1"/>
  <c r="AX589" i="16" s="1"/>
  <c r="AY589" i="16" s="1"/>
  <c r="AZ589" i="16" s="1"/>
  <c r="BA589" i="16" s="1"/>
  <c r="BB589" i="16" s="1"/>
  <c r="BC589" i="16" s="1"/>
  <c r="BD589" i="16" s="1"/>
  <c r="BE589" i="16" s="1"/>
  <c r="BF589" i="16" s="1"/>
  <c r="BG589" i="16" s="1"/>
  <c r="BH589" i="16" s="1"/>
  <c r="BI589" i="16" s="1"/>
  <c r="BJ589" i="16" s="1"/>
  <c r="BK589" i="16" s="1"/>
  <c r="BL589" i="16" s="1"/>
  <c r="BM589" i="16" s="1"/>
  <c r="BN589" i="16" s="1"/>
  <c r="BO589" i="16" s="1"/>
  <c r="BP589" i="16" s="1"/>
  <c r="BQ589" i="16" s="1"/>
  <c r="BR589" i="16" s="1"/>
  <c r="BS589" i="16" s="1"/>
  <c r="BT589" i="16" s="1"/>
  <c r="BU589" i="16" s="1"/>
  <c r="BV589" i="16" s="1"/>
  <c r="BW589" i="16" s="1"/>
  <c r="BX589" i="16" s="1"/>
  <c r="BY589" i="16" s="1"/>
  <c r="BZ589" i="16" s="1"/>
  <c r="CA589" i="16" s="1"/>
  <c r="CB589" i="16" s="1"/>
  <c r="CC589" i="16" s="1"/>
  <c r="CD589" i="16" s="1"/>
  <c r="CE589" i="16" s="1"/>
  <c r="CF589" i="16" s="1"/>
  <c r="CG589" i="16" s="1"/>
  <c r="CH589" i="16" s="1"/>
  <c r="CI589" i="16" s="1"/>
  <c r="CJ589" i="16" s="1"/>
  <c r="CK589" i="16" s="1"/>
  <c r="CL589" i="16" s="1"/>
  <c r="CM589" i="16" s="1"/>
  <c r="CN589" i="16" s="1"/>
  <c r="CO589" i="16" s="1"/>
  <c r="CP589" i="16" s="1"/>
  <c r="CQ589" i="16" s="1"/>
  <c r="CR589" i="16" s="1"/>
  <c r="CS589" i="16" s="1"/>
  <c r="CT589" i="16" s="1"/>
  <c r="CU589" i="16" s="1"/>
  <c r="CV589" i="16" s="1"/>
  <c r="CW589" i="16" s="1"/>
  <c r="CX589" i="16" s="1"/>
  <c r="CY589" i="16" s="1"/>
  <c r="CZ589" i="16" s="1"/>
  <c r="DA589" i="16" s="1"/>
  <c r="DB589" i="16" s="1"/>
  <c r="DC589" i="16" s="1"/>
  <c r="Y599" i="16"/>
  <c r="Z599" i="16" s="1"/>
  <c r="AA599" i="16" s="1"/>
  <c r="AB599" i="16" s="1"/>
  <c r="AC599" i="16" s="1"/>
  <c r="AD599" i="16" s="1"/>
  <c r="AE599" i="16" s="1"/>
  <c r="AF599" i="16" s="1"/>
  <c r="AG599" i="16" s="1"/>
  <c r="AH599" i="16" s="1"/>
  <c r="AI599" i="16" s="1"/>
  <c r="AJ599" i="16" s="1"/>
  <c r="AK599" i="16" s="1"/>
  <c r="AL599" i="16" s="1"/>
  <c r="AM599" i="16" s="1"/>
  <c r="AN599" i="16" s="1"/>
  <c r="AO599" i="16" s="1"/>
  <c r="AP599" i="16" s="1"/>
  <c r="AQ599" i="16" s="1"/>
  <c r="AR599" i="16" s="1"/>
  <c r="AS599" i="16" s="1"/>
  <c r="AT599" i="16" s="1"/>
  <c r="AU599" i="16" s="1"/>
  <c r="AV599" i="16" s="1"/>
  <c r="AW599" i="16" s="1"/>
  <c r="AX599" i="16" s="1"/>
  <c r="AY599" i="16" s="1"/>
  <c r="AZ599" i="16" s="1"/>
  <c r="BA599" i="16" s="1"/>
  <c r="BB599" i="16" s="1"/>
  <c r="BC599" i="16" s="1"/>
  <c r="BD599" i="16" s="1"/>
  <c r="BE599" i="16" s="1"/>
  <c r="BF599" i="16" s="1"/>
  <c r="BG599" i="16" s="1"/>
  <c r="BH599" i="16" s="1"/>
  <c r="BI599" i="16" s="1"/>
  <c r="BJ599" i="16" s="1"/>
  <c r="BK599" i="16" s="1"/>
  <c r="BL599" i="16" s="1"/>
  <c r="BM599" i="16" s="1"/>
  <c r="BN599" i="16" s="1"/>
  <c r="BO599" i="16" s="1"/>
  <c r="BP599" i="16" s="1"/>
  <c r="BQ599" i="16" s="1"/>
  <c r="BR599" i="16" s="1"/>
  <c r="BS599" i="16" s="1"/>
  <c r="BT599" i="16" s="1"/>
  <c r="BU599" i="16" s="1"/>
  <c r="BV599" i="16" s="1"/>
  <c r="BW599" i="16" s="1"/>
  <c r="BX599" i="16" s="1"/>
  <c r="BY599" i="16" s="1"/>
  <c r="BZ599" i="16" s="1"/>
  <c r="CA599" i="16" s="1"/>
  <c r="CB599" i="16" s="1"/>
  <c r="CC599" i="16" s="1"/>
  <c r="CD599" i="16" s="1"/>
  <c r="CE599" i="16" s="1"/>
  <c r="CF599" i="16" s="1"/>
  <c r="CG599" i="16" s="1"/>
  <c r="CH599" i="16" s="1"/>
  <c r="CI599" i="16" s="1"/>
  <c r="CJ599" i="16" s="1"/>
  <c r="CK599" i="16" s="1"/>
  <c r="CL599" i="16" s="1"/>
  <c r="CM599" i="16" s="1"/>
  <c r="CN599" i="16" s="1"/>
  <c r="CO599" i="16" s="1"/>
  <c r="CP599" i="16" s="1"/>
  <c r="CQ599" i="16" s="1"/>
  <c r="CR599" i="16" s="1"/>
  <c r="CS599" i="16" s="1"/>
  <c r="CT599" i="16" s="1"/>
  <c r="CU599" i="16" s="1"/>
  <c r="CV599" i="16" s="1"/>
  <c r="CW599" i="16" s="1"/>
  <c r="CX599" i="16" s="1"/>
  <c r="CY599" i="16" s="1"/>
  <c r="CZ599" i="16" s="1"/>
  <c r="DA599" i="16" s="1"/>
  <c r="DB599" i="16" s="1"/>
  <c r="DC599" i="16" s="1"/>
  <c r="Y612" i="16"/>
  <c r="Z612" i="16" s="1"/>
  <c r="AA612" i="16" s="1"/>
  <c r="AB612" i="16" s="1"/>
  <c r="AC612" i="16" s="1"/>
  <c r="AD612" i="16" s="1"/>
  <c r="AE612" i="16" s="1"/>
  <c r="AF612" i="16" s="1"/>
  <c r="AG612" i="16" s="1"/>
  <c r="AH612" i="16" s="1"/>
  <c r="AI612" i="16" s="1"/>
  <c r="AJ612" i="16" s="1"/>
  <c r="AK612" i="16" s="1"/>
  <c r="AL612" i="16" s="1"/>
  <c r="AM612" i="16" s="1"/>
  <c r="AN612" i="16" s="1"/>
  <c r="AO612" i="16" s="1"/>
  <c r="AP612" i="16" s="1"/>
  <c r="AQ612" i="16" s="1"/>
  <c r="AR612" i="16" s="1"/>
  <c r="AS612" i="16" s="1"/>
  <c r="AT612" i="16" s="1"/>
  <c r="AU612" i="16" s="1"/>
  <c r="AV612" i="16" s="1"/>
  <c r="AW612" i="16" s="1"/>
  <c r="AX612" i="16" s="1"/>
  <c r="AY612" i="16" s="1"/>
  <c r="AZ612" i="16" s="1"/>
  <c r="BA612" i="16" s="1"/>
  <c r="BB612" i="16" s="1"/>
  <c r="BC612" i="16" s="1"/>
  <c r="BD612" i="16" s="1"/>
  <c r="BE612" i="16" s="1"/>
  <c r="BF612" i="16" s="1"/>
  <c r="BG612" i="16" s="1"/>
  <c r="BH612" i="16" s="1"/>
  <c r="BI612" i="16" s="1"/>
  <c r="BJ612" i="16" s="1"/>
  <c r="BK612" i="16" s="1"/>
  <c r="BL612" i="16" s="1"/>
  <c r="BM612" i="16" s="1"/>
  <c r="BN612" i="16" s="1"/>
  <c r="BO612" i="16" s="1"/>
  <c r="BP612" i="16" s="1"/>
  <c r="BQ612" i="16" s="1"/>
  <c r="BR612" i="16" s="1"/>
  <c r="BS612" i="16" s="1"/>
  <c r="BT612" i="16" s="1"/>
  <c r="BU612" i="16" s="1"/>
  <c r="BV612" i="16" s="1"/>
  <c r="BW612" i="16" s="1"/>
  <c r="BX612" i="16" s="1"/>
  <c r="BY612" i="16" s="1"/>
  <c r="BZ612" i="16" s="1"/>
  <c r="CA612" i="16" s="1"/>
  <c r="CB612" i="16" s="1"/>
  <c r="CC612" i="16" s="1"/>
  <c r="CD612" i="16" s="1"/>
  <c r="CE612" i="16" s="1"/>
  <c r="CF612" i="16" s="1"/>
  <c r="CG612" i="16" s="1"/>
  <c r="CH612" i="16" s="1"/>
  <c r="CI612" i="16" s="1"/>
  <c r="CJ612" i="16" s="1"/>
  <c r="CK612" i="16" s="1"/>
  <c r="CL612" i="16" s="1"/>
  <c r="CM612" i="16" s="1"/>
  <c r="CN612" i="16" s="1"/>
  <c r="CO612" i="16" s="1"/>
  <c r="CP612" i="16" s="1"/>
  <c r="CQ612" i="16" s="1"/>
  <c r="CR612" i="16" s="1"/>
  <c r="CS612" i="16" s="1"/>
  <c r="CT612" i="16" s="1"/>
  <c r="CU612" i="16" s="1"/>
  <c r="CV612" i="16" s="1"/>
  <c r="CW612" i="16" s="1"/>
  <c r="CX612" i="16" s="1"/>
  <c r="CY612" i="16" s="1"/>
  <c r="CZ612" i="16" s="1"/>
  <c r="DA612" i="16" s="1"/>
  <c r="DB612" i="16" s="1"/>
  <c r="DC612" i="16" s="1"/>
  <c r="Y620" i="16"/>
  <c r="Z620" i="16" s="1"/>
  <c r="AA620" i="16" s="1"/>
  <c r="AB620" i="16" s="1"/>
  <c r="AC620" i="16" s="1"/>
  <c r="AD620" i="16" s="1"/>
  <c r="AE620" i="16" s="1"/>
  <c r="AF620" i="16" s="1"/>
  <c r="AG620" i="16" s="1"/>
  <c r="AH620" i="16" s="1"/>
  <c r="AI620" i="16" s="1"/>
  <c r="AJ620" i="16" s="1"/>
  <c r="AK620" i="16" s="1"/>
  <c r="AL620" i="16" s="1"/>
  <c r="AM620" i="16" s="1"/>
  <c r="AN620" i="16" s="1"/>
  <c r="AO620" i="16" s="1"/>
  <c r="AP620" i="16" s="1"/>
  <c r="AQ620" i="16" s="1"/>
  <c r="AR620" i="16" s="1"/>
  <c r="AS620" i="16" s="1"/>
  <c r="AT620" i="16" s="1"/>
  <c r="AU620" i="16" s="1"/>
  <c r="AV620" i="16" s="1"/>
  <c r="AW620" i="16" s="1"/>
  <c r="AX620" i="16" s="1"/>
  <c r="AY620" i="16" s="1"/>
  <c r="AZ620" i="16" s="1"/>
  <c r="BA620" i="16" s="1"/>
  <c r="BB620" i="16" s="1"/>
  <c r="BC620" i="16" s="1"/>
  <c r="BD620" i="16" s="1"/>
  <c r="BE620" i="16" s="1"/>
  <c r="BF620" i="16" s="1"/>
  <c r="BG620" i="16" s="1"/>
  <c r="BH620" i="16" s="1"/>
  <c r="BI620" i="16" s="1"/>
  <c r="BJ620" i="16" s="1"/>
  <c r="BK620" i="16" s="1"/>
  <c r="BL620" i="16" s="1"/>
  <c r="BM620" i="16" s="1"/>
  <c r="BN620" i="16" s="1"/>
  <c r="BO620" i="16" s="1"/>
  <c r="BP620" i="16" s="1"/>
  <c r="BQ620" i="16" s="1"/>
  <c r="BR620" i="16" s="1"/>
  <c r="BS620" i="16" s="1"/>
  <c r="BT620" i="16" s="1"/>
  <c r="BU620" i="16" s="1"/>
  <c r="BV620" i="16" s="1"/>
  <c r="BW620" i="16" s="1"/>
  <c r="BX620" i="16" s="1"/>
  <c r="BY620" i="16" s="1"/>
  <c r="BZ620" i="16" s="1"/>
  <c r="CA620" i="16" s="1"/>
  <c r="CB620" i="16" s="1"/>
  <c r="CC620" i="16" s="1"/>
  <c r="CD620" i="16" s="1"/>
  <c r="CE620" i="16" s="1"/>
  <c r="CF620" i="16" s="1"/>
  <c r="CG620" i="16" s="1"/>
  <c r="CH620" i="16" s="1"/>
  <c r="CI620" i="16" s="1"/>
  <c r="CJ620" i="16" s="1"/>
  <c r="CK620" i="16" s="1"/>
  <c r="CL620" i="16" s="1"/>
  <c r="CM620" i="16" s="1"/>
  <c r="CN620" i="16" s="1"/>
  <c r="CO620" i="16" s="1"/>
  <c r="CP620" i="16" s="1"/>
  <c r="CQ620" i="16" s="1"/>
  <c r="CR620" i="16" s="1"/>
  <c r="CS620" i="16" s="1"/>
  <c r="CT620" i="16" s="1"/>
  <c r="CU620" i="16" s="1"/>
  <c r="CV620" i="16" s="1"/>
  <c r="CW620" i="16" s="1"/>
  <c r="CX620" i="16" s="1"/>
  <c r="CY620" i="16" s="1"/>
  <c r="CZ620" i="16" s="1"/>
  <c r="DA620" i="16" s="1"/>
  <c r="DB620" i="16" s="1"/>
  <c r="DC620" i="16" s="1"/>
  <c r="Y587" i="16"/>
  <c r="Z587" i="16" s="1"/>
  <c r="AA587" i="16" s="1"/>
  <c r="AB587" i="16" s="1"/>
  <c r="AC587" i="16" s="1"/>
  <c r="AD587" i="16" s="1"/>
  <c r="AE587" i="16" s="1"/>
  <c r="AF587" i="16" s="1"/>
  <c r="AG587" i="16" s="1"/>
  <c r="AH587" i="16" s="1"/>
  <c r="AI587" i="16" s="1"/>
  <c r="AJ587" i="16" s="1"/>
  <c r="AK587" i="16" s="1"/>
  <c r="AL587" i="16" s="1"/>
  <c r="AM587" i="16" s="1"/>
  <c r="AN587" i="16" s="1"/>
  <c r="AO587" i="16" s="1"/>
  <c r="AP587" i="16" s="1"/>
  <c r="AQ587" i="16" s="1"/>
  <c r="AR587" i="16" s="1"/>
  <c r="AS587" i="16" s="1"/>
  <c r="AT587" i="16" s="1"/>
  <c r="AU587" i="16" s="1"/>
  <c r="AV587" i="16" s="1"/>
  <c r="AW587" i="16" s="1"/>
  <c r="AX587" i="16" s="1"/>
  <c r="AY587" i="16" s="1"/>
  <c r="AZ587" i="16" s="1"/>
  <c r="BA587" i="16" s="1"/>
  <c r="BB587" i="16" s="1"/>
  <c r="BC587" i="16" s="1"/>
  <c r="BD587" i="16" s="1"/>
  <c r="BE587" i="16" s="1"/>
  <c r="BF587" i="16" s="1"/>
  <c r="BG587" i="16" s="1"/>
  <c r="BH587" i="16" s="1"/>
  <c r="BI587" i="16" s="1"/>
  <c r="BJ587" i="16" s="1"/>
  <c r="BK587" i="16" s="1"/>
  <c r="BL587" i="16" s="1"/>
  <c r="BM587" i="16" s="1"/>
  <c r="BN587" i="16" s="1"/>
  <c r="BO587" i="16" s="1"/>
  <c r="BP587" i="16" s="1"/>
  <c r="BQ587" i="16" s="1"/>
  <c r="BR587" i="16" s="1"/>
  <c r="BS587" i="16" s="1"/>
  <c r="BT587" i="16" s="1"/>
  <c r="BU587" i="16" s="1"/>
  <c r="BV587" i="16" s="1"/>
  <c r="BW587" i="16" s="1"/>
  <c r="BX587" i="16" s="1"/>
  <c r="BY587" i="16" s="1"/>
  <c r="BZ587" i="16" s="1"/>
  <c r="CA587" i="16" s="1"/>
  <c r="CB587" i="16" s="1"/>
  <c r="CC587" i="16" s="1"/>
  <c r="CD587" i="16" s="1"/>
  <c r="CE587" i="16" s="1"/>
  <c r="CF587" i="16" s="1"/>
  <c r="CG587" i="16" s="1"/>
  <c r="CH587" i="16" s="1"/>
  <c r="CI587" i="16" s="1"/>
  <c r="CJ587" i="16" s="1"/>
  <c r="CK587" i="16" s="1"/>
  <c r="CL587" i="16" s="1"/>
  <c r="CM587" i="16" s="1"/>
  <c r="CN587" i="16" s="1"/>
  <c r="CO587" i="16" s="1"/>
  <c r="CP587" i="16" s="1"/>
  <c r="CQ587" i="16" s="1"/>
  <c r="CR587" i="16" s="1"/>
  <c r="CS587" i="16" s="1"/>
  <c r="CT587" i="16" s="1"/>
  <c r="CU587" i="16" s="1"/>
  <c r="CV587" i="16" s="1"/>
  <c r="CW587" i="16" s="1"/>
  <c r="CX587" i="16" s="1"/>
  <c r="CY587" i="16" s="1"/>
  <c r="CZ587" i="16" s="1"/>
  <c r="DA587" i="16" s="1"/>
  <c r="DB587" i="16" s="1"/>
  <c r="DC587" i="16" s="1"/>
  <c r="Y614" i="16"/>
  <c r="Z614" i="16" s="1"/>
  <c r="AA614" i="16" s="1"/>
  <c r="AB614" i="16" s="1"/>
  <c r="AC614" i="16" s="1"/>
  <c r="AD614" i="16" s="1"/>
  <c r="AE614" i="16" s="1"/>
  <c r="AF614" i="16" s="1"/>
  <c r="AG614" i="16" s="1"/>
  <c r="AH614" i="16" s="1"/>
  <c r="AI614" i="16" s="1"/>
  <c r="AJ614" i="16" s="1"/>
  <c r="AK614" i="16" s="1"/>
  <c r="AL614" i="16" s="1"/>
  <c r="AM614" i="16" s="1"/>
  <c r="AN614" i="16" s="1"/>
  <c r="AO614" i="16" s="1"/>
  <c r="AP614" i="16" s="1"/>
  <c r="AQ614" i="16" s="1"/>
  <c r="AR614" i="16" s="1"/>
  <c r="AS614" i="16" s="1"/>
  <c r="AT614" i="16" s="1"/>
  <c r="AU614" i="16" s="1"/>
  <c r="AV614" i="16" s="1"/>
  <c r="AW614" i="16" s="1"/>
  <c r="AX614" i="16" s="1"/>
  <c r="AY614" i="16" s="1"/>
  <c r="AZ614" i="16" s="1"/>
  <c r="BA614" i="16" s="1"/>
  <c r="BB614" i="16" s="1"/>
  <c r="BC614" i="16" s="1"/>
  <c r="BD614" i="16" s="1"/>
  <c r="BE614" i="16" s="1"/>
  <c r="BF614" i="16" s="1"/>
  <c r="BG614" i="16" s="1"/>
  <c r="BH614" i="16" s="1"/>
  <c r="BI614" i="16" s="1"/>
  <c r="BJ614" i="16" s="1"/>
  <c r="BK614" i="16" s="1"/>
  <c r="BL614" i="16" s="1"/>
  <c r="BM614" i="16" s="1"/>
  <c r="BN614" i="16" s="1"/>
  <c r="BO614" i="16" s="1"/>
  <c r="BP614" i="16" s="1"/>
  <c r="BQ614" i="16" s="1"/>
  <c r="BR614" i="16" s="1"/>
  <c r="BS614" i="16" s="1"/>
  <c r="BT614" i="16" s="1"/>
  <c r="BU614" i="16" s="1"/>
  <c r="BV614" i="16" s="1"/>
  <c r="BW614" i="16" s="1"/>
  <c r="BX614" i="16" s="1"/>
  <c r="BY614" i="16" s="1"/>
  <c r="BZ614" i="16" s="1"/>
  <c r="CA614" i="16" s="1"/>
  <c r="CB614" i="16" s="1"/>
  <c r="CC614" i="16" s="1"/>
  <c r="CD614" i="16" s="1"/>
  <c r="CE614" i="16" s="1"/>
  <c r="CF614" i="16" s="1"/>
  <c r="CG614" i="16" s="1"/>
  <c r="CH614" i="16" s="1"/>
  <c r="CI614" i="16" s="1"/>
  <c r="CJ614" i="16" s="1"/>
  <c r="CK614" i="16" s="1"/>
  <c r="CL614" i="16" s="1"/>
  <c r="CM614" i="16" s="1"/>
  <c r="CN614" i="16" s="1"/>
  <c r="CO614" i="16" s="1"/>
  <c r="CP614" i="16" s="1"/>
  <c r="CQ614" i="16" s="1"/>
  <c r="CR614" i="16" s="1"/>
  <c r="CS614" i="16" s="1"/>
  <c r="CT614" i="16" s="1"/>
  <c r="CU614" i="16" s="1"/>
  <c r="CV614" i="16" s="1"/>
  <c r="CW614" i="16" s="1"/>
  <c r="CX614" i="16" s="1"/>
  <c r="CY614" i="16" s="1"/>
  <c r="CZ614" i="16" s="1"/>
  <c r="DA614" i="16" s="1"/>
  <c r="DB614" i="16" s="1"/>
  <c r="DC614" i="16" s="1"/>
  <c r="Y619" i="16"/>
  <c r="Z619" i="16" s="1"/>
  <c r="AA619" i="16" s="1"/>
  <c r="AB619" i="16" s="1"/>
  <c r="AC619" i="16" s="1"/>
  <c r="AD619" i="16" s="1"/>
  <c r="AE619" i="16" s="1"/>
  <c r="AF619" i="16" s="1"/>
  <c r="AG619" i="16" s="1"/>
  <c r="AH619" i="16" s="1"/>
  <c r="AI619" i="16" s="1"/>
  <c r="AJ619" i="16" s="1"/>
  <c r="AK619" i="16" s="1"/>
  <c r="AL619" i="16" s="1"/>
  <c r="AM619" i="16" s="1"/>
  <c r="AN619" i="16" s="1"/>
  <c r="AO619" i="16" s="1"/>
  <c r="AP619" i="16" s="1"/>
  <c r="AQ619" i="16" s="1"/>
  <c r="AR619" i="16" s="1"/>
  <c r="AS619" i="16" s="1"/>
  <c r="AT619" i="16" s="1"/>
  <c r="AU619" i="16" s="1"/>
  <c r="AV619" i="16" s="1"/>
  <c r="AW619" i="16" s="1"/>
  <c r="AX619" i="16" s="1"/>
  <c r="AY619" i="16" s="1"/>
  <c r="AZ619" i="16" s="1"/>
  <c r="BA619" i="16" s="1"/>
  <c r="BB619" i="16" s="1"/>
  <c r="BC619" i="16" s="1"/>
  <c r="BD619" i="16" s="1"/>
  <c r="BE619" i="16" s="1"/>
  <c r="BF619" i="16" s="1"/>
  <c r="BG619" i="16" s="1"/>
  <c r="BH619" i="16" s="1"/>
  <c r="BI619" i="16" s="1"/>
  <c r="BJ619" i="16" s="1"/>
  <c r="BK619" i="16" s="1"/>
  <c r="BL619" i="16" s="1"/>
  <c r="BM619" i="16" s="1"/>
  <c r="BN619" i="16" s="1"/>
  <c r="BO619" i="16" s="1"/>
  <c r="BP619" i="16" s="1"/>
  <c r="BQ619" i="16" s="1"/>
  <c r="BR619" i="16" s="1"/>
  <c r="BS619" i="16" s="1"/>
  <c r="BT619" i="16" s="1"/>
  <c r="BU619" i="16" s="1"/>
  <c r="BV619" i="16" s="1"/>
  <c r="BW619" i="16" s="1"/>
  <c r="BX619" i="16" s="1"/>
  <c r="BY619" i="16" s="1"/>
  <c r="BZ619" i="16" s="1"/>
  <c r="CA619" i="16" s="1"/>
  <c r="CB619" i="16" s="1"/>
  <c r="CC619" i="16" s="1"/>
  <c r="CD619" i="16" s="1"/>
  <c r="CE619" i="16" s="1"/>
  <c r="CF619" i="16" s="1"/>
  <c r="CG619" i="16" s="1"/>
  <c r="CH619" i="16" s="1"/>
  <c r="CI619" i="16" s="1"/>
  <c r="CJ619" i="16" s="1"/>
  <c r="CK619" i="16" s="1"/>
  <c r="CL619" i="16" s="1"/>
  <c r="CM619" i="16" s="1"/>
  <c r="CN619" i="16" s="1"/>
  <c r="CO619" i="16" s="1"/>
  <c r="CP619" i="16" s="1"/>
  <c r="CQ619" i="16" s="1"/>
  <c r="CR619" i="16" s="1"/>
  <c r="CS619" i="16" s="1"/>
  <c r="CT619" i="16" s="1"/>
  <c r="CU619" i="16" s="1"/>
  <c r="CV619" i="16" s="1"/>
  <c r="CW619" i="16" s="1"/>
  <c r="CX619" i="16" s="1"/>
  <c r="CY619" i="16" s="1"/>
  <c r="CZ619" i="16" s="1"/>
  <c r="DA619" i="16" s="1"/>
  <c r="DB619" i="16" s="1"/>
  <c r="DC619" i="16" s="1"/>
  <c r="Y603" i="16"/>
  <c r="Z603" i="16" s="1"/>
  <c r="AA603" i="16" s="1"/>
  <c r="AB603" i="16" s="1"/>
  <c r="AC603" i="16" s="1"/>
  <c r="AD603" i="16" s="1"/>
  <c r="AE603" i="16" s="1"/>
  <c r="AF603" i="16" s="1"/>
  <c r="AG603" i="16" s="1"/>
  <c r="AH603" i="16" s="1"/>
  <c r="AI603" i="16" s="1"/>
  <c r="AJ603" i="16" s="1"/>
  <c r="AK603" i="16" s="1"/>
  <c r="AL603" i="16" s="1"/>
  <c r="AM603" i="16" s="1"/>
  <c r="AN603" i="16" s="1"/>
  <c r="AO603" i="16" s="1"/>
  <c r="AP603" i="16" s="1"/>
  <c r="AQ603" i="16" s="1"/>
  <c r="AR603" i="16" s="1"/>
  <c r="AS603" i="16" s="1"/>
  <c r="AT603" i="16" s="1"/>
  <c r="AU603" i="16" s="1"/>
  <c r="AV603" i="16" s="1"/>
  <c r="AW603" i="16" s="1"/>
  <c r="AX603" i="16" s="1"/>
  <c r="AY603" i="16" s="1"/>
  <c r="AZ603" i="16" s="1"/>
  <c r="BA603" i="16" s="1"/>
  <c r="BB603" i="16" s="1"/>
  <c r="BC603" i="16" s="1"/>
  <c r="BD603" i="16" s="1"/>
  <c r="BE603" i="16" s="1"/>
  <c r="BF603" i="16" s="1"/>
  <c r="BG603" i="16" s="1"/>
  <c r="BH603" i="16" s="1"/>
  <c r="BI603" i="16" s="1"/>
  <c r="BJ603" i="16" s="1"/>
  <c r="BK603" i="16" s="1"/>
  <c r="BL603" i="16" s="1"/>
  <c r="BM603" i="16" s="1"/>
  <c r="BN603" i="16" s="1"/>
  <c r="BO603" i="16" s="1"/>
  <c r="BP603" i="16" s="1"/>
  <c r="BQ603" i="16" s="1"/>
  <c r="BR603" i="16" s="1"/>
  <c r="BS603" i="16" s="1"/>
  <c r="BT603" i="16" s="1"/>
  <c r="BU603" i="16" s="1"/>
  <c r="BV603" i="16" s="1"/>
  <c r="BW603" i="16" s="1"/>
  <c r="BX603" i="16" s="1"/>
  <c r="BY603" i="16" s="1"/>
  <c r="BZ603" i="16" s="1"/>
  <c r="CA603" i="16" s="1"/>
  <c r="CB603" i="16" s="1"/>
  <c r="CC603" i="16" s="1"/>
  <c r="CD603" i="16" s="1"/>
  <c r="CE603" i="16" s="1"/>
  <c r="CF603" i="16" s="1"/>
  <c r="CG603" i="16" s="1"/>
  <c r="CH603" i="16" s="1"/>
  <c r="CI603" i="16" s="1"/>
  <c r="CJ603" i="16" s="1"/>
  <c r="CK603" i="16" s="1"/>
  <c r="CL603" i="16" s="1"/>
  <c r="CM603" i="16" s="1"/>
  <c r="CN603" i="16" s="1"/>
  <c r="CO603" i="16" s="1"/>
  <c r="CP603" i="16" s="1"/>
  <c r="CQ603" i="16" s="1"/>
  <c r="CR603" i="16" s="1"/>
  <c r="CS603" i="16" s="1"/>
  <c r="CT603" i="16" s="1"/>
  <c r="CU603" i="16" s="1"/>
  <c r="CV603" i="16" s="1"/>
  <c r="CW603" i="16" s="1"/>
  <c r="CX603" i="16" s="1"/>
  <c r="CY603" i="16" s="1"/>
  <c r="CZ603" i="16" s="1"/>
  <c r="DA603" i="16" s="1"/>
  <c r="DB603" i="16" s="1"/>
  <c r="DC603" i="16" s="1"/>
  <c r="Y586" i="16"/>
  <c r="Z586" i="16" s="1"/>
  <c r="AA586" i="16" s="1"/>
  <c r="AB586" i="16" s="1"/>
  <c r="AC586" i="16" s="1"/>
  <c r="AD586" i="16" s="1"/>
  <c r="AE586" i="16" s="1"/>
  <c r="AF586" i="16" s="1"/>
  <c r="AG586" i="16" s="1"/>
  <c r="AH586" i="16" s="1"/>
  <c r="AI586" i="16" s="1"/>
  <c r="AJ586" i="16" s="1"/>
  <c r="AK586" i="16" s="1"/>
  <c r="AL586" i="16" s="1"/>
  <c r="AM586" i="16" s="1"/>
  <c r="AN586" i="16" s="1"/>
  <c r="AO586" i="16" s="1"/>
  <c r="AP586" i="16" s="1"/>
  <c r="AQ586" i="16" s="1"/>
  <c r="AR586" i="16" s="1"/>
  <c r="AS586" i="16" s="1"/>
  <c r="AT586" i="16" s="1"/>
  <c r="AU586" i="16" s="1"/>
  <c r="AV586" i="16" s="1"/>
  <c r="AW586" i="16" s="1"/>
  <c r="AX586" i="16" s="1"/>
  <c r="AY586" i="16" s="1"/>
  <c r="AZ586" i="16" s="1"/>
  <c r="BA586" i="16" s="1"/>
  <c r="BB586" i="16" s="1"/>
  <c r="BC586" i="16" s="1"/>
  <c r="BD586" i="16" s="1"/>
  <c r="BE586" i="16" s="1"/>
  <c r="BF586" i="16" s="1"/>
  <c r="BG586" i="16" s="1"/>
  <c r="BH586" i="16" s="1"/>
  <c r="BI586" i="16" s="1"/>
  <c r="BJ586" i="16" s="1"/>
  <c r="BK586" i="16" s="1"/>
  <c r="BL586" i="16" s="1"/>
  <c r="BM586" i="16" s="1"/>
  <c r="BN586" i="16" s="1"/>
  <c r="BO586" i="16" s="1"/>
  <c r="BP586" i="16" s="1"/>
  <c r="BQ586" i="16" s="1"/>
  <c r="BR586" i="16" s="1"/>
  <c r="BS586" i="16" s="1"/>
  <c r="BT586" i="16" s="1"/>
  <c r="BU586" i="16" s="1"/>
  <c r="BV586" i="16" s="1"/>
  <c r="BW586" i="16" s="1"/>
  <c r="BX586" i="16" s="1"/>
  <c r="BY586" i="16" s="1"/>
  <c r="BZ586" i="16" s="1"/>
  <c r="CA586" i="16" s="1"/>
  <c r="CB586" i="16" s="1"/>
  <c r="CC586" i="16" s="1"/>
  <c r="CD586" i="16" s="1"/>
  <c r="CE586" i="16" s="1"/>
  <c r="CF586" i="16" s="1"/>
  <c r="CG586" i="16" s="1"/>
  <c r="CH586" i="16" s="1"/>
  <c r="CI586" i="16" s="1"/>
  <c r="CJ586" i="16" s="1"/>
  <c r="CK586" i="16" s="1"/>
  <c r="CL586" i="16" s="1"/>
  <c r="CM586" i="16" s="1"/>
  <c r="CN586" i="16" s="1"/>
  <c r="CO586" i="16" s="1"/>
  <c r="CP586" i="16" s="1"/>
  <c r="CQ586" i="16" s="1"/>
  <c r="CR586" i="16" s="1"/>
  <c r="CS586" i="16" s="1"/>
  <c r="CT586" i="16" s="1"/>
  <c r="CU586" i="16" s="1"/>
  <c r="CV586" i="16" s="1"/>
  <c r="CW586" i="16" s="1"/>
  <c r="CX586" i="16" s="1"/>
  <c r="CY586" i="16" s="1"/>
  <c r="CZ586" i="16" s="1"/>
  <c r="DA586" i="16" s="1"/>
  <c r="DB586" i="16" s="1"/>
  <c r="DC586" i="16" s="1"/>
  <c r="Y618" i="16"/>
  <c r="Z618" i="16" s="1"/>
  <c r="AA618" i="16" s="1"/>
  <c r="AB618" i="16" s="1"/>
  <c r="AC618" i="16" s="1"/>
  <c r="AD618" i="16" s="1"/>
  <c r="AE618" i="16" s="1"/>
  <c r="AF618" i="16" s="1"/>
  <c r="AG618" i="16" s="1"/>
  <c r="AH618" i="16" s="1"/>
  <c r="AI618" i="16" s="1"/>
  <c r="AJ618" i="16" s="1"/>
  <c r="AK618" i="16" s="1"/>
  <c r="AL618" i="16" s="1"/>
  <c r="AM618" i="16" s="1"/>
  <c r="AN618" i="16" s="1"/>
  <c r="AO618" i="16" s="1"/>
  <c r="AP618" i="16" s="1"/>
  <c r="AQ618" i="16" s="1"/>
  <c r="AR618" i="16" s="1"/>
  <c r="AS618" i="16" s="1"/>
  <c r="AT618" i="16" s="1"/>
  <c r="AU618" i="16" s="1"/>
  <c r="AV618" i="16" s="1"/>
  <c r="AW618" i="16" s="1"/>
  <c r="AX618" i="16" s="1"/>
  <c r="AY618" i="16" s="1"/>
  <c r="AZ618" i="16" s="1"/>
  <c r="BA618" i="16" s="1"/>
  <c r="BB618" i="16" s="1"/>
  <c r="BC618" i="16" s="1"/>
  <c r="BD618" i="16" s="1"/>
  <c r="BE618" i="16" s="1"/>
  <c r="BF618" i="16" s="1"/>
  <c r="BG618" i="16" s="1"/>
  <c r="BH618" i="16" s="1"/>
  <c r="BI618" i="16" s="1"/>
  <c r="BJ618" i="16" s="1"/>
  <c r="BK618" i="16" s="1"/>
  <c r="BL618" i="16" s="1"/>
  <c r="BM618" i="16" s="1"/>
  <c r="BN618" i="16" s="1"/>
  <c r="BO618" i="16" s="1"/>
  <c r="BP618" i="16" s="1"/>
  <c r="BQ618" i="16" s="1"/>
  <c r="BR618" i="16" s="1"/>
  <c r="BS618" i="16" s="1"/>
  <c r="BT618" i="16" s="1"/>
  <c r="BU618" i="16" s="1"/>
  <c r="BV618" i="16" s="1"/>
  <c r="BW618" i="16" s="1"/>
  <c r="BX618" i="16" s="1"/>
  <c r="BY618" i="16" s="1"/>
  <c r="BZ618" i="16" s="1"/>
  <c r="CA618" i="16" s="1"/>
  <c r="CB618" i="16" s="1"/>
  <c r="CC618" i="16" s="1"/>
  <c r="CD618" i="16" s="1"/>
  <c r="CE618" i="16" s="1"/>
  <c r="CF618" i="16" s="1"/>
  <c r="CG618" i="16" s="1"/>
  <c r="CH618" i="16" s="1"/>
  <c r="CI618" i="16" s="1"/>
  <c r="CJ618" i="16" s="1"/>
  <c r="CK618" i="16" s="1"/>
  <c r="CL618" i="16" s="1"/>
  <c r="CM618" i="16" s="1"/>
  <c r="CN618" i="16" s="1"/>
  <c r="CO618" i="16" s="1"/>
  <c r="CP618" i="16" s="1"/>
  <c r="CQ618" i="16" s="1"/>
  <c r="CR618" i="16" s="1"/>
  <c r="CS618" i="16" s="1"/>
  <c r="CT618" i="16" s="1"/>
  <c r="CU618" i="16" s="1"/>
  <c r="CV618" i="16" s="1"/>
  <c r="CW618" i="16" s="1"/>
  <c r="CX618" i="16" s="1"/>
  <c r="CY618" i="16" s="1"/>
  <c r="CZ618" i="16" s="1"/>
  <c r="DA618" i="16" s="1"/>
  <c r="DB618" i="16" s="1"/>
  <c r="DC618" i="16" s="1"/>
  <c r="Y602" i="16"/>
  <c r="Z602" i="16" s="1"/>
  <c r="AA602" i="16" s="1"/>
  <c r="AB602" i="16" s="1"/>
  <c r="AC602" i="16" s="1"/>
  <c r="AD602" i="16" s="1"/>
  <c r="AE602" i="16" s="1"/>
  <c r="AF602" i="16" s="1"/>
  <c r="AG602" i="16" s="1"/>
  <c r="AH602" i="16" s="1"/>
  <c r="AI602" i="16" s="1"/>
  <c r="AJ602" i="16" s="1"/>
  <c r="AK602" i="16" s="1"/>
  <c r="AL602" i="16" s="1"/>
  <c r="AM602" i="16" s="1"/>
  <c r="AN602" i="16" s="1"/>
  <c r="AO602" i="16" s="1"/>
  <c r="AP602" i="16" s="1"/>
  <c r="AQ602" i="16" s="1"/>
  <c r="AR602" i="16" s="1"/>
  <c r="AS602" i="16" s="1"/>
  <c r="AT602" i="16" s="1"/>
  <c r="AU602" i="16" s="1"/>
  <c r="AV602" i="16" s="1"/>
  <c r="AW602" i="16" s="1"/>
  <c r="AX602" i="16" s="1"/>
  <c r="AY602" i="16" s="1"/>
  <c r="AZ602" i="16" s="1"/>
  <c r="BA602" i="16" s="1"/>
  <c r="BB602" i="16" s="1"/>
  <c r="BC602" i="16" s="1"/>
  <c r="BD602" i="16" s="1"/>
  <c r="BE602" i="16" s="1"/>
  <c r="BF602" i="16" s="1"/>
  <c r="BG602" i="16" s="1"/>
  <c r="BH602" i="16" s="1"/>
  <c r="BI602" i="16" s="1"/>
  <c r="BJ602" i="16" s="1"/>
  <c r="BK602" i="16" s="1"/>
  <c r="BL602" i="16" s="1"/>
  <c r="BM602" i="16" s="1"/>
  <c r="BN602" i="16" s="1"/>
  <c r="BO602" i="16" s="1"/>
  <c r="BP602" i="16" s="1"/>
  <c r="BQ602" i="16" s="1"/>
  <c r="BR602" i="16" s="1"/>
  <c r="BS602" i="16" s="1"/>
  <c r="BT602" i="16" s="1"/>
  <c r="BU602" i="16" s="1"/>
  <c r="BV602" i="16" s="1"/>
  <c r="BW602" i="16" s="1"/>
  <c r="BX602" i="16" s="1"/>
  <c r="BY602" i="16" s="1"/>
  <c r="BZ602" i="16" s="1"/>
  <c r="CA602" i="16" s="1"/>
  <c r="CB602" i="16" s="1"/>
  <c r="CC602" i="16" s="1"/>
  <c r="CD602" i="16" s="1"/>
  <c r="CE602" i="16" s="1"/>
  <c r="CF602" i="16" s="1"/>
  <c r="CG602" i="16" s="1"/>
  <c r="CH602" i="16" s="1"/>
  <c r="CI602" i="16" s="1"/>
  <c r="CJ602" i="16" s="1"/>
  <c r="CK602" i="16" s="1"/>
  <c r="CL602" i="16" s="1"/>
  <c r="CM602" i="16" s="1"/>
  <c r="CN602" i="16" s="1"/>
  <c r="CO602" i="16" s="1"/>
  <c r="CP602" i="16" s="1"/>
  <c r="CQ602" i="16" s="1"/>
  <c r="CR602" i="16" s="1"/>
  <c r="CS602" i="16" s="1"/>
  <c r="CT602" i="16" s="1"/>
  <c r="CU602" i="16" s="1"/>
  <c r="CV602" i="16" s="1"/>
  <c r="CW602" i="16" s="1"/>
  <c r="CX602" i="16" s="1"/>
  <c r="CY602" i="16" s="1"/>
  <c r="CZ602" i="16" s="1"/>
  <c r="DA602" i="16" s="1"/>
  <c r="DB602" i="16" s="1"/>
  <c r="DC602" i="16" s="1"/>
  <c r="Y601" i="16"/>
  <c r="Z601" i="16" s="1"/>
  <c r="AA601" i="16" s="1"/>
  <c r="AB601" i="16" s="1"/>
  <c r="AC601" i="16" s="1"/>
  <c r="AD601" i="16" s="1"/>
  <c r="AE601" i="16" s="1"/>
  <c r="AF601" i="16" s="1"/>
  <c r="AG601" i="16" s="1"/>
  <c r="AH601" i="16" s="1"/>
  <c r="AI601" i="16" s="1"/>
  <c r="AJ601" i="16" s="1"/>
  <c r="AK601" i="16" s="1"/>
  <c r="AL601" i="16" s="1"/>
  <c r="AM601" i="16" s="1"/>
  <c r="AN601" i="16" s="1"/>
  <c r="AO601" i="16" s="1"/>
  <c r="AP601" i="16" s="1"/>
  <c r="AQ601" i="16" s="1"/>
  <c r="AR601" i="16" s="1"/>
  <c r="AS601" i="16" s="1"/>
  <c r="AT601" i="16" s="1"/>
  <c r="AU601" i="16" s="1"/>
  <c r="AV601" i="16" s="1"/>
  <c r="AW601" i="16" s="1"/>
  <c r="AX601" i="16" s="1"/>
  <c r="AY601" i="16" s="1"/>
  <c r="AZ601" i="16" s="1"/>
  <c r="BA601" i="16" s="1"/>
  <c r="BB601" i="16" s="1"/>
  <c r="BC601" i="16" s="1"/>
  <c r="BD601" i="16" s="1"/>
  <c r="BE601" i="16" s="1"/>
  <c r="BF601" i="16" s="1"/>
  <c r="BG601" i="16" s="1"/>
  <c r="BH601" i="16" s="1"/>
  <c r="BI601" i="16" s="1"/>
  <c r="BJ601" i="16" s="1"/>
  <c r="BK601" i="16" s="1"/>
  <c r="BL601" i="16" s="1"/>
  <c r="BM601" i="16" s="1"/>
  <c r="BN601" i="16" s="1"/>
  <c r="BO601" i="16" s="1"/>
  <c r="BP601" i="16" s="1"/>
  <c r="BQ601" i="16" s="1"/>
  <c r="BR601" i="16" s="1"/>
  <c r="BS601" i="16" s="1"/>
  <c r="BT601" i="16" s="1"/>
  <c r="BU601" i="16" s="1"/>
  <c r="BV601" i="16" s="1"/>
  <c r="BW601" i="16" s="1"/>
  <c r="BX601" i="16" s="1"/>
  <c r="BY601" i="16" s="1"/>
  <c r="BZ601" i="16" s="1"/>
  <c r="CA601" i="16" s="1"/>
  <c r="CB601" i="16" s="1"/>
  <c r="CC601" i="16" s="1"/>
  <c r="CD601" i="16" s="1"/>
  <c r="CE601" i="16" s="1"/>
  <c r="CF601" i="16" s="1"/>
  <c r="CG601" i="16" s="1"/>
  <c r="CH601" i="16" s="1"/>
  <c r="CI601" i="16" s="1"/>
  <c r="CJ601" i="16" s="1"/>
  <c r="CK601" i="16" s="1"/>
  <c r="CL601" i="16" s="1"/>
  <c r="CM601" i="16" s="1"/>
  <c r="CN601" i="16" s="1"/>
  <c r="CO601" i="16" s="1"/>
  <c r="CP601" i="16" s="1"/>
  <c r="CQ601" i="16" s="1"/>
  <c r="CR601" i="16" s="1"/>
  <c r="CS601" i="16" s="1"/>
  <c r="CT601" i="16" s="1"/>
  <c r="CU601" i="16" s="1"/>
  <c r="CV601" i="16" s="1"/>
  <c r="CW601" i="16" s="1"/>
  <c r="CX601" i="16" s="1"/>
  <c r="CY601" i="16" s="1"/>
  <c r="CZ601" i="16" s="1"/>
  <c r="DA601" i="16" s="1"/>
  <c r="DB601" i="16" s="1"/>
  <c r="DC601" i="16" s="1"/>
  <c r="Y615" i="16"/>
  <c r="Z615" i="16" s="1"/>
  <c r="AA615" i="16" s="1"/>
  <c r="AB615" i="16" s="1"/>
  <c r="AC615" i="16" s="1"/>
  <c r="AD615" i="16" s="1"/>
  <c r="AE615" i="16" s="1"/>
  <c r="AF615" i="16" s="1"/>
  <c r="AG615" i="16" s="1"/>
  <c r="AH615" i="16" s="1"/>
  <c r="AI615" i="16" s="1"/>
  <c r="AJ615" i="16" s="1"/>
  <c r="AK615" i="16" s="1"/>
  <c r="AL615" i="16" s="1"/>
  <c r="AM615" i="16" s="1"/>
  <c r="AN615" i="16" s="1"/>
  <c r="AO615" i="16" s="1"/>
  <c r="AP615" i="16" s="1"/>
  <c r="AQ615" i="16" s="1"/>
  <c r="AR615" i="16" s="1"/>
  <c r="AS615" i="16" s="1"/>
  <c r="AT615" i="16" s="1"/>
  <c r="AU615" i="16" s="1"/>
  <c r="AV615" i="16" s="1"/>
  <c r="AW615" i="16" s="1"/>
  <c r="AX615" i="16" s="1"/>
  <c r="AY615" i="16" s="1"/>
  <c r="AZ615" i="16" s="1"/>
  <c r="BA615" i="16" s="1"/>
  <c r="BB615" i="16" s="1"/>
  <c r="BC615" i="16" s="1"/>
  <c r="BD615" i="16" s="1"/>
  <c r="BE615" i="16" s="1"/>
  <c r="BF615" i="16" s="1"/>
  <c r="BG615" i="16" s="1"/>
  <c r="BH615" i="16" s="1"/>
  <c r="BI615" i="16" s="1"/>
  <c r="BJ615" i="16" s="1"/>
  <c r="BK615" i="16" s="1"/>
  <c r="BL615" i="16" s="1"/>
  <c r="BM615" i="16" s="1"/>
  <c r="BN615" i="16" s="1"/>
  <c r="BO615" i="16" s="1"/>
  <c r="BP615" i="16" s="1"/>
  <c r="BQ615" i="16" s="1"/>
  <c r="BR615" i="16" s="1"/>
  <c r="BS615" i="16" s="1"/>
  <c r="BT615" i="16" s="1"/>
  <c r="BU615" i="16" s="1"/>
  <c r="BV615" i="16" s="1"/>
  <c r="BW615" i="16" s="1"/>
  <c r="BX615" i="16" s="1"/>
  <c r="BY615" i="16" s="1"/>
  <c r="BZ615" i="16" s="1"/>
  <c r="CA615" i="16" s="1"/>
  <c r="CB615" i="16" s="1"/>
  <c r="CC615" i="16" s="1"/>
  <c r="CD615" i="16" s="1"/>
  <c r="CE615" i="16" s="1"/>
  <c r="CF615" i="16" s="1"/>
  <c r="CG615" i="16" s="1"/>
  <c r="CH615" i="16" s="1"/>
  <c r="CI615" i="16" s="1"/>
  <c r="CJ615" i="16" s="1"/>
  <c r="CK615" i="16" s="1"/>
  <c r="CL615" i="16" s="1"/>
  <c r="CM615" i="16" s="1"/>
  <c r="CN615" i="16" s="1"/>
  <c r="CO615" i="16" s="1"/>
  <c r="CP615" i="16" s="1"/>
  <c r="CQ615" i="16" s="1"/>
  <c r="CR615" i="16" s="1"/>
  <c r="CS615" i="16" s="1"/>
  <c r="CT615" i="16" s="1"/>
  <c r="CU615" i="16" s="1"/>
  <c r="CV615" i="16" s="1"/>
  <c r="CW615" i="16" s="1"/>
  <c r="CX615" i="16" s="1"/>
  <c r="CY615" i="16" s="1"/>
  <c r="CZ615" i="16" s="1"/>
  <c r="DA615" i="16" s="1"/>
  <c r="DB615" i="16" s="1"/>
  <c r="DC615" i="16" s="1"/>
  <c r="I3" i="16"/>
  <c r="I558" i="16" s="1"/>
  <c r="C222" i="10"/>
  <c r="C162" i="10"/>
  <c r="M84" i="1"/>
  <c r="C187" i="10"/>
  <c r="M86" i="1"/>
  <c r="N685" i="16"/>
  <c r="Y663" i="16"/>
  <c r="CK663" i="16"/>
  <c r="BE663" i="16"/>
  <c r="AO663" i="16"/>
  <c r="CZ663" i="16"/>
  <c r="CJ663" i="16"/>
  <c r="BT663" i="16"/>
  <c r="BD663" i="16"/>
  <c r="AN663" i="16"/>
  <c r="X663" i="16"/>
  <c r="H663" i="16"/>
  <c r="H687" i="16"/>
  <c r="CI663" i="16"/>
  <c r="BC663" i="16"/>
  <c r="AM663" i="16"/>
  <c r="G663" i="16"/>
  <c r="G687" i="16"/>
  <c r="DA663" i="16"/>
  <c r="BU663" i="16"/>
  <c r="I663" i="16"/>
  <c r="I687" i="16"/>
  <c r="CY663" i="16"/>
  <c r="BS663" i="16"/>
  <c r="W663" i="16"/>
  <c r="CX663" i="16"/>
  <c r="CH663" i="16"/>
  <c r="BR663" i="16"/>
  <c r="BB663" i="16"/>
  <c r="AL663" i="16"/>
  <c r="V663" i="16"/>
  <c r="CW663" i="16"/>
  <c r="CG663" i="16"/>
  <c r="BQ663" i="16"/>
  <c r="BA663" i="16"/>
  <c r="AK663" i="16"/>
  <c r="U663" i="16"/>
  <c r="CV663" i="16"/>
  <c r="CU663" i="16"/>
  <c r="CE663" i="16"/>
  <c r="BO663" i="16"/>
  <c r="AY663" i="16"/>
  <c r="AI663" i="16"/>
  <c r="S663" i="16"/>
  <c r="BF663" i="16"/>
  <c r="CT663" i="16"/>
  <c r="CD663" i="16"/>
  <c r="BN663" i="16"/>
  <c r="AX663" i="16"/>
  <c r="AH663" i="16"/>
  <c r="R663" i="16"/>
  <c r="AZ663" i="16"/>
  <c r="CS663" i="16"/>
  <c r="CC663" i="16"/>
  <c r="BM663" i="16"/>
  <c r="AW663" i="16"/>
  <c r="AG663" i="16"/>
  <c r="Q663" i="16"/>
  <c r="AP663" i="16"/>
  <c r="BV663" i="16"/>
  <c r="BP663" i="16"/>
  <c r="AF670" i="16"/>
  <c r="P663" i="16"/>
  <c r="CQ663" i="16"/>
  <c r="CA663" i="16"/>
  <c r="BK663" i="16"/>
  <c r="AU663" i="16"/>
  <c r="AE663" i="16"/>
  <c r="O663" i="16"/>
  <c r="J663" i="16"/>
  <c r="T663" i="16"/>
  <c r="CP663" i="16"/>
  <c r="BZ663" i="16"/>
  <c r="BJ663" i="16"/>
  <c r="AT663" i="16"/>
  <c r="AD663" i="16"/>
  <c r="N663" i="16"/>
  <c r="CO663" i="16"/>
  <c r="BY663" i="16"/>
  <c r="BI663" i="16"/>
  <c r="AS663" i="16"/>
  <c r="AC663" i="16"/>
  <c r="M663" i="16"/>
  <c r="CB663" i="16"/>
  <c r="CN663" i="16"/>
  <c r="BX663" i="16"/>
  <c r="BH663" i="16"/>
  <c r="AR663" i="16"/>
  <c r="AB663" i="16"/>
  <c r="L663" i="16"/>
  <c r="DB663" i="16"/>
  <c r="CL663" i="16"/>
  <c r="Z663" i="16"/>
  <c r="CF663" i="16"/>
  <c r="AJ663" i="16"/>
  <c r="CR663" i="16"/>
  <c r="BL663" i="16"/>
  <c r="AV663" i="16"/>
  <c r="DC663" i="16"/>
  <c r="CM663" i="16"/>
  <c r="BW663" i="16"/>
  <c r="BG663" i="16"/>
  <c r="AQ663" i="16"/>
  <c r="AA663" i="16"/>
  <c r="K663" i="16"/>
  <c r="L593" i="16"/>
  <c r="K647" i="16"/>
  <c r="J687" i="16"/>
  <c r="G609" i="16"/>
  <c r="G634" i="16" s="1"/>
  <c r="I591" i="16"/>
  <c r="I595" i="16" s="1"/>
  <c r="M592" i="16"/>
  <c r="M646" i="16" s="1"/>
  <c r="K561" i="16"/>
  <c r="I588" i="16"/>
  <c r="J588" i="16" s="1"/>
  <c r="K588" i="16" s="1"/>
  <c r="L588" i="16" s="1"/>
  <c r="M588" i="16" s="1"/>
  <c r="N588" i="16" s="1"/>
  <c r="O588" i="16" s="1"/>
  <c r="P588" i="16" s="1"/>
  <c r="Q588" i="16" s="1"/>
  <c r="R588" i="16" s="1"/>
  <c r="S588" i="16" s="1"/>
  <c r="T588" i="16" s="1"/>
  <c r="U588" i="16" s="1"/>
  <c r="V588" i="16" s="1"/>
  <c r="W588" i="16" s="1"/>
  <c r="X588" i="16" s="1"/>
  <c r="I1" i="10"/>
  <c r="J575" i="16"/>
  <c r="G561" i="16"/>
  <c r="G580" i="16" s="1"/>
  <c r="DB575" i="16"/>
  <c r="CL575" i="16"/>
  <c r="BV575" i="16"/>
  <c r="BF575" i="16"/>
  <c r="CV575" i="16"/>
  <c r="CF575" i="16"/>
  <c r="AJ575" i="16"/>
  <c r="BO575" i="16"/>
  <c r="CY575" i="16"/>
  <c r="P575" i="16"/>
  <c r="CW575" i="16"/>
  <c r="CR575" i="16"/>
  <c r="AV575" i="16"/>
  <c r="O575" i="16"/>
  <c r="BR575" i="16"/>
  <c r="CG575" i="16"/>
  <c r="BQ575" i="16"/>
  <c r="BA575" i="16"/>
  <c r="AK575" i="16"/>
  <c r="AP575" i="16"/>
  <c r="DA575" i="16"/>
  <c r="CK575" i="16"/>
  <c r="BU575" i="16"/>
  <c r="BE575" i="16"/>
  <c r="AO575" i="16"/>
  <c r="I575" i="16"/>
  <c r="H604" i="16"/>
  <c r="CO575" i="16"/>
  <c r="BI575" i="16"/>
  <c r="AS575" i="16"/>
  <c r="M575" i="16"/>
  <c r="L575" i="16"/>
  <c r="BT575" i="16"/>
  <c r="AX575" i="16"/>
  <c r="BS575" i="16"/>
  <c r="BM575" i="16"/>
  <c r="AG575" i="16"/>
  <c r="AH575" i="16"/>
  <c r="L27" i="13"/>
  <c r="K27" i="13"/>
  <c r="BL575" i="16"/>
  <c r="BN575" i="16"/>
  <c r="H558" i="16"/>
  <c r="H575" i="16"/>
  <c r="G575" i="16"/>
  <c r="BD575" i="16"/>
  <c r="CX575" i="16"/>
  <c r="CH575" i="16"/>
  <c r="BB575" i="16"/>
  <c r="CP575" i="16"/>
  <c r="AT575" i="16"/>
  <c r="CZ575" i="16"/>
  <c r="AN575" i="16"/>
  <c r="CJ575" i="16"/>
  <c r="H2" i="16"/>
  <c r="C673" i="16"/>
  <c r="C190" i="10" s="1"/>
  <c r="C619" i="16"/>
  <c r="I2" i="10"/>
  <c r="CI575" i="16"/>
  <c r="BC575" i="16"/>
  <c r="AM575" i="16"/>
  <c r="BP575" i="16"/>
  <c r="AZ575" i="16"/>
  <c r="CU575" i="16"/>
  <c r="CE575" i="16"/>
  <c r="AY575" i="16"/>
  <c r="CS575" i="16"/>
  <c r="CC575" i="16"/>
  <c r="AW575" i="16"/>
  <c r="CB575" i="16"/>
  <c r="CQ575" i="16"/>
  <c r="CA575" i="16"/>
  <c r="BK575" i="16"/>
  <c r="AU575" i="16"/>
  <c r="BY575" i="16"/>
  <c r="CN575" i="16"/>
  <c r="BX575" i="16"/>
  <c r="BH575" i="16"/>
  <c r="AR575" i="16"/>
  <c r="AL575" i="16"/>
  <c r="AI575" i="16"/>
  <c r="T14" i="12"/>
  <c r="T13" i="12"/>
  <c r="T11" i="12"/>
  <c r="T10" i="12"/>
  <c r="T12" i="12"/>
  <c r="T17" i="12"/>
  <c r="T16" i="12"/>
  <c r="T15" i="12"/>
  <c r="T20" i="12"/>
  <c r="T19" i="12"/>
  <c r="T18" i="12"/>
  <c r="T23" i="12"/>
  <c r="T22" i="12"/>
  <c r="T21" i="12"/>
  <c r="M27" i="13"/>
  <c r="M28" i="13"/>
  <c r="M29" i="13"/>
  <c r="L28" i="13"/>
  <c r="L29" i="13"/>
  <c r="L26" i="13"/>
  <c r="K28" i="13"/>
  <c r="M26" i="13"/>
  <c r="K26" i="13"/>
  <c r="K29" i="13"/>
  <c r="I623" i="16"/>
  <c r="H626" i="16"/>
  <c r="J597" i="16"/>
  <c r="I604" i="16"/>
  <c r="CT575" i="16"/>
  <c r="CD575" i="16"/>
  <c r="BZ575" i="16"/>
  <c r="BJ575" i="16"/>
  <c r="DC575" i="16"/>
  <c r="CM575" i="16"/>
  <c r="BW575" i="16"/>
  <c r="BG575" i="16"/>
  <c r="AQ575" i="16"/>
  <c r="K575" i="16"/>
  <c r="J3" i="10"/>
  <c r="C220" i="10" l="1"/>
  <c r="P53" i="16"/>
  <c r="P24" i="16"/>
  <c r="P45" i="16"/>
  <c r="P37" i="16"/>
  <c r="P30" i="16"/>
  <c r="O54" i="16"/>
  <c r="O49" i="16"/>
  <c r="O685" i="16"/>
  <c r="O14" i="16"/>
  <c r="O22" i="16"/>
  <c r="Q561" i="16"/>
  <c r="P561" i="16"/>
  <c r="H580" i="16"/>
  <c r="H579" i="16"/>
  <c r="H578" i="16" a="1"/>
  <c r="H578" i="16" s="1"/>
  <c r="I580" i="16"/>
  <c r="I578" i="16" a="1"/>
  <c r="I578" i="16" s="1"/>
  <c r="I579" i="16"/>
  <c r="W151" i="10"/>
  <c r="W145" i="10"/>
  <c r="AF145" i="10"/>
  <c r="AF151" i="10"/>
  <c r="I151" i="10"/>
  <c r="I145" i="10"/>
  <c r="AM151" i="10"/>
  <c r="AM145" i="10"/>
  <c r="Q145" i="10"/>
  <c r="Q151" i="10"/>
  <c r="X151" i="10"/>
  <c r="X145" i="10"/>
  <c r="R145" i="10"/>
  <c r="R151" i="10"/>
  <c r="AN151" i="10"/>
  <c r="AN145" i="10"/>
  <c r="AH151" i="10"/>
  <c r="AH145" i="10"/>
  <c r="Y151" i="10"/>
  <c r="Y145" i="10"/>
  <c r="S151" i="10"/>
  <c r="S145" i="10"/>
  <c r="Z151" i="10"/>
  <c r="Z145" i="10"/>
  <c r="AJ151" i="10"/>
  <c r="AJ145" i="10"/>
  <c r="AC151" i="10"/>
  <c r="AC145" i="10"/>
  <c r="AO151" i="10"/>
  <c r="AO145" i="10"/>
  <c r="M151" i="10"/>
  <c r="M145" i="10"/>
  <c r="U151" i="10"/>
  <c r="U145" i="10"/>
  <c r="AD145" i="10"/>
  <c r="AD151" i="10"/>
  <c r="AB145" i="10"/>
  <c r="AB151" i="10"/>
  <c r="AK151" i="10"/>
  <c r="AK145" i="10"/>
  <c r="O145" i="10"/>
  <c r="O151" i="10"/>
  <c r="AI151" i="10"/>
  <c r="AI145" i="10"/>
  <c r="AG151" i="10"/>
  <c r="AG145" i="10"/>
  <c r="V151" i="10"/>
  <c r="V145" i="10"/>
  <c r="AE145" i="10"/>
  <c r="AE151" i="10"/>
  <c r="J151" i="10"/>
  <c r="J145" i="10"/>
  <c r="L151" i="10"/>
  <c r="L145" i="10"/>
  <c r="T151" i="10"/>
  <c r="T145" i="10"/>
  <c r="AL151" i="10"/>
  <c r="AL145" i="10"/>
  <c r="P145" i="10"/>
  <c r="P151" i="10"/>
  <c r="Y588" i="16"/>
  <c r="Z588" i="16" s="1"/>
  <c r="AA588" i="16" s="1"/>
  <c r="I2" i="16"/>
  <c r="J3" i="16"/>
  <c r="I220" i="10"/>
  <c r="I163" i="10"/>
  <c r="I184" i="10"/>
  <c r="I222" i="10"/>
  <c r="I185" i="10"/>
  <c r="I166" i="10"/>
  <c r="I168" i="10"/>
  <c r="H633" i="16"/>
  <c r="CM670" i="16"/>
  <c r="CL670" i="16"/>
  <c r="CB670" i="16"/>
  <c r="AD670" i="16"/>
  <c r="AE670" i="16"/>
  <c r="BV670" i="16"/>
  <c r="AZ670" i="16"/>
  <c r="S670" i="16"/>
  <c r="AK670" i="16"/>
  <c r="BR670" i="16"/>
  <c r="DA670" i="16"/>
  <c r="BD670" i="16"/>
  <c r="DC670" i="16"/>
  <c r="DB670" i="16"/>
  <c r="M670" i="16"/>
  <c r="AT670" i="16"/>
  <c r="AU670" i="16"/>
  <c r="AP670" i="16"/>
  <c r="R670" i="16"/>
  <c r="AI670" i="16"/>
  <c r="BA670" i="16"/>
  <c r="CH670" i="16"/>
  <c r="G670" i="16"/>
  <c r="G688" i="16"/>
  <c r="BT670" i="16"/>
  <c r="M593" i="16"/>
  <c r="L647" i="16"/>
  <c r="AV670" i="16"/>
  <c r="L670" i="16"/>
  <c r="AC670" i="16"/>
  <c r="BJ670" i="16"/>
  <c r="BK670" i="16"/>
  <c r="Q670" i="16"/>
  <c r="AH670" i="16"/>
  <c r="AY670" i="16"/>
  <c r="BQ670" i="16"/>
  <c r="CX670" i="16"/>
  <c r="AM670" i="16"/>
  <c r="CJ670" i="16"/>
  <c r="AB670" i="16"/>
  <c r="AG670" i="16"/>
  <c r="AX670" i="16"/>
  <c r="BO670" i="16"/>
  <c r="CG670" i="16"/>
  <c r="W670" i="16"/>
  <c r="BC670" i="16"/>
  <c r="CZ670" i="16"/>
  <c r="CA670" i="16"/>
  <c r="AA670" i="16"/>
  <c r="CR670" i="16"/>
  <c r="AR670" i="16"/>
  <c r="BI670" i="16"/>
  <c r="CP670" i="16"/>
  <c r="CQ670" i="16"/>
  <c r="AW670" i="16"/>
  <c r="BN670" i="16"/>
  <c r="CE670" i="16"/>
  <c r="CW670" i="16"/>
  <c r="BS670" i="16"/>
  <c r="CI670" i="16"/>
  <c r="AO670" i="16"/>
  <c r="AQ670" i="16"/>
  <c r="AJ670" i="16"/>
  <c r="BH670" i="16"/>
  <c r="BY670" i="16"/>
  <c r="T670" i="16"/>
  <c r="P670" i="16"/>
  <c r="BM670" i="16"/>
  <c r="CD670" i="16"/>
  <c r="CU670" i="16"/>
  <c r="V670" i="16"/>
  <c r="CY670" i="16"/>
  <c r="H670" i="16"/>
  <c r="H688" i="16"/>
  <c r="BE670" i="16"/>
  <c r="K670" i="16"/>
  <c r="AS670" i="16"/>
  <c r="BG670" i="16"/>
  <c r="CF670" i="16"/>
  <c r="BX670" i="16"/>
  <c r="CO670" i="16"/>
  <c r="J670" i="16"/>
  <c r="J688" i="16"/>
  <c r="BL670" i="16"/>
  <c r="AF675" i="16"/>
  <c r="CC670" i="16"/>
  <c r="CT670" i="16"/>
  <c r="CV670" i="16"/>
  <c r="AL670" i="16"/>
  <c r="I670" i="16"/>
  <c r="I688" i="16"/>
  <c r="X670" i="16"/>
  <c r="CK670" i="16"/>
  <c r="BW670" i="16"/>
  <c r="Z670" i="16"/>
  <c r="CN670" i="16"/>
  <c r="N670" i="16"/>
  <c r="O670" i="16"/>
  <c r="BZ670" i="16"/>
  <c r="BP670" i="16"/>
  <c r="CS670" i="16"/>
  <c r="BF670" i="16"/>
  <c r="U670" i="16"/>
  <c r="BB670" i="16"/>
  <c r="BU670" i="16"/>
  <c r="AN670" i="16"/>
  <c r="Y670" i="16"/>
  <c r="K687" i="16"/>
  <c r="I609" i="16"/>
  <c r="H609" i="16"/>
  <c r="H634" i="16" s="1"/>
  <c r="G616" i="16"/>
  <c r="G635" i="16" s="1"/>
  <c r="G579" i="16"/>
  <c r="G581" i="16" s="1"/>
  <c r="J591" i="16"/>
  <c r="J595" i="16" s="1"/>
  <c r="I633" i="16"/>
  <c r="N592" i="16"/>
  <c r="N646" i="16" s="1"/>
  <c r="M157" i="10"/>
  <c r="M202" i="10"/>
  <c r="AG157" i="10"/>
  <c r="AG202" i="10"/>
  <c r="AC157" i="10"/>
  <c r="AC202" i="10"/>
  <c r="L157" i="10"/>
  <c r="L202" i="10"/>
  <c r="T157" i="10"/>
  <c r="T202" i="10"/>
  <c r="AJ157" i="10"/>
  <c r="AJ202" i="10"/>
  <c r="O157" i="10"/>
  <c r="O202" i="10"/>
  <c r="AB157" i="10"/>
  <c r="AB202" i="10"/>
  <c r="AD157" i="10"/>
  <c r="AD202" i="10"/>
  <c r="U157" i="10"/>
  <c r="U202" i="10"/>
  <c r="AE157" i="10"/>
  <c r="AE202" i="10"/>
  <c r="AK157" i="10"/>
  <c r="AK202" i="10"/>
  <c r="P157" i="10"/>
  <c r="P202" i="10"/>
  <c r="V157" i="10"/>
  <c r="V202" i="10"/>
  <c r="AF157" i="10"/>
  <c r="AF202" i="10"/>
  <c r="AL157" i="10"/>
  <c r="AL202" i="10"/>
  <c r="Q157" i="10"/>
  <c r="Q202" i="10"/>
  <c r="W157" i="10"/>
  <c r="W202" i="10"/>
  <c r="R157" i="10"/>
  <c r="R202" i="10"/>
  <c r="AM157" i="10"/>
  <c r="AM202" i="10"/>
  <c r="AH157" i="10"/>
  <c r="AH202" i="10"/>
  <c r="X157" i="10"/>
  <c r="X202" i="10"/>
  <c r="S157" i="10"/>
  <c r="S202" i="10"/>
  <c r="I157" i="10"/>
  <c r="I202" i="10"/>
  <c r="AN157" i="10"/>
  <c r="AN202" i="10"/>
  <c r="AI157" i="10"/>
  <c r="AI202" i="10"/>
  <c r="Y157" i="10"/>
  <c r="Y202" i="10"/>
  <c r="AO157" i="10"/>
  <c r="AO202" i="10"/>
  <c r="J157" i="10"/>
  <c r="J202" i="10"/>
  <c r="Z157" i="10"/>
  <c r="Z202" i="10"/>
  <c r="AM194" i="10"/>
  <c r="AM128" i="10"/>
  <c r="AK194" i="10"/>
  <c r="L128" i="10"/>
  <c r="O194" i="10"/>
  <c r="U194" i="10"/>
  <c r="Q194" i="10"/>
  <c r="S128" i="10"/>
  <c r="AI194" i="10"/>
  <c r="L194" i="10"/>
  <c r="V125" i="10"/>
  <c r="I133" i="10" a="1"/>
  <c r="I133" i="10" s="1"/>
  <c r="I194" i="10"/>
  <c r="I128" i="10"/>
  <c r="AO125" i="10"/>
  <c r="AH125" i="10"/>
  <c r="AK125" i="10"/>
  <c r="AF194" i="10"/>
  <c r="S125" i="10"/>
  <c r="AK128" i="10"/>
  <c r="O128" i="10"/>
  <c r="AM125" i="10"/>
  <c r="Q128" i="10"/>
  <c r="AF128" i="10"/>
  <c r="AI128" i="10"/>
  <c r="AL125" i="10"/>
  <c r="AI125" i="10"/>
  <c r="Y194" i="10"/>
  <c r="Y125" i="10"/>
  <c r="U128" i="10"/>
  <c r="Y128" i="10"/>
  <c r="U125" i="10"/>
  <c r="S194" i="10"/>
  <c r="V194" i="10"/>
  <c r="V128" i="10"/>
  <c r="R128" i="10"/>
  <c r="R194" i="10"/>
  <c r="J604" i="16"/>
  <c r="K597" i="16"/>
  <c r="K3" i="10"/>
  <c r="J2" i="10"/>
  <c r="AE128" i="10"/>
  <c r="AE194" i="10"/>
  <c r="AB128" i="10"/>
  <c r="AB194" i="10"/>
  <c r="N561" i="16"/>
  <c r="N560" i="16"/>
  <c r="J623" i="16"/>
  <c r="I626" i="16"/>
  <c r="AG194" i="10"/>
  <c r="AG128" i="10"/>
  <c r="W125" i="10"/>
  <c r="W128" i="10"/>
  <c r="W194" i="10"/>
  <c r="AH128" i="10"/>
  <c r="AH194" i="10"/>
  <c r="AF125" i="10"/>
  <c r="Q10" i="12"/>
  <c r="Q560" i="16"/>
  <c r="AB125" i="10"/>
  <c r="Y10" i="12"/>
  <c r="P11" i="12"/>
  <c r="Q11" i="12" s="1"/>
  <c r="F11" i="12"/>
  <c r="Q567" i="16" l="1"/>
  <c r="Q575" i="16" s="1"/>
  <c r="Q576" i="16"/>
  <c r="N567" i="16"/>
  <c r="N575" i="16" s="1"/>
  <c r="N576" i="16"/>
  <c r="P54" i="16"/>
  <c r="P49" i="16"/>
  <c r="P685" i="16"/>
  <c r="P14" i="16"/>
  <c r="P22" i="16"/>
  <c r="Q53" i="16"/>
  <c r="Q24" i="16"/>
  <c r="Q45" i="16"/>
  <c r="Q37" i="16"/>
  <c r="Q11" i="16"/>
  <c r="Q30" i="16"/>
  <c r="R561" i="16"/>
  <c r="R560" i="16"/>
  <c r="R576" i="16" s="1"/>
  <c r="K3" i="16"/>
  <c r="I581" i="16"/>
  <c r="H581" i="16"/>
  <c r="K151" i="10"/>
  <c r="K145" i="10"/>
  <c r="N145" i="10"/>
  <c r="N151" i="10"/>
  <c r="AA145" i="10"/>
  <c r="AA151" i="10"/>
  <c r="J2" i="16"/>
  <c r="J558" i="16"/>
  <c r="I223" i="10"/>
  <c r="I225" i="10" s="1"/>
  <c r="I172" i="10"/>
  <c r="I164" i="10"/>
  <c r="I190" i="10"/>
  <c r="I183" i="10"/>
  <c r="I186" i="10"/>
  <c r="I203" i="10" a="1"/>
  <c r="I203" i="10" s="1"/>
  <c r="I204" i="10" s="1"/>
  <c r="I212" i="10" s="1"/>
  <c r="I214" i="10" s="1"/>
  <c r="I177" i="10"/>
  <c r="I182" i="10"/>
  <c r="I171" i="10"/>
  <c r="I191" i="10"/>
  <c r="I173" i="10"/>
  <c r="I179" i="10"/>
  <c r="I189" i="10"/>
  <c r="I174" i="10"/>
  <c r="I170" i="10"/>
  <c r="I178" i="10"/>
  <c r="I169" i="10"/>
  <c r="BE675" i="16"/>
  <c r="BP675" i="16"/>
  <c r="X675" i="16"/>
  <c r="CR675" i="16"/>
  <c r="AX675" i="16"/>
  <c r="AH675" i="16"/>
  <c r="BT675" i="16"/>
  <c r="AT675" i="16"/>
  <c r="S675" i="16"/>
  <c r="J675" i="16"/>
  <c r="J689" i="16"/>
  <c r="Y675" i="16"/>
  <c r="BZ675" i="16"/>
  <c r="I675" i="16"/>
  <c r="I689" i="16"/>
  <c r="AA675" i="16"/>
  <c r="AG675" i="16"/>
  <c r="Q675" i="16"/>
  <c r="G675" i="16"/>
  <c r="G689" i="16"/>
  <c r="M675" i="16"/>
  <c r="AZ675" i="16"/>
  <c r="AN675" i="16"/>
  <c r="O675" i="16"/>
  <c r="AL675" i="16"/>
  <c r="CA675" i="16"/>
  <c r="AB675" i="16"/>
  <c r="BK675" i="16"/>
  <c r="CH675" i="16"/>
  <c r="DB675" i="16"/>
  <c r="BV675" i="16"/>
  <c r="BL675" i="16"/>
  <c r="CY675" i="16"/>
  <c r="BX675" i="16"/>
  <c r="V675" i="16"/>
  <c r="AJ675" i="16"/>
  <c r="AW675" i="16"/>
  <c r="BH675" i="16"/>
  <c r="BU675" i="16"/>
  <c r="N675" i="16"/>
  <c r="CV675" i="16"/>
  <c r="CZ675" i="16"/>
  <c r="CJ675" i="16"/>
  <c r="BJ675" i="16"/>
  <c r="BA675" i="16"/>
  <c r="DC675" i="16"/>
  <c r="AE675" i="16"/>
  <c r="CE675" i="16"/>
  <c r="CF675" i="16"/>
  <c r="CU675" i="16"/>
  <c r="AQ675" i="16"/>
  <c r="BN675" i="16"/>
  <c r="BB675" i="16"/>
  <c r="CN675" i="16"/>
  <c r="CT675" i="16"/>
  <c r="CQ675" i="16"/>
  <c r="BC675" i="16"/>
  <c r="AM675" i="16"/>
  <c r="AC675" i="16"/>
  <c r="AI675" i="16"/>
  <c r="BD675" i="16"/>
  <c r="AD675" i="16"/>
  <c r="BG675" i="16"/>
  <c r="CD675" i="16"/>
  <c r="AO675" i="16"/>
  <c r="BY675" i="16"/>
  <c r="U675" i="16"/>
  <c r="Z675" i="16"/>
  <c r="CC675" i="16"/>
  <c r="CP675" i="16"/>
  <c r="W675" i="16"/>
  <c r="CX675" i="16"/>
  <c r="L675" i="16"/>
  <c r="R675" i="16"/>
  <c r="DA675" i="16"/>
  <c r="CB675" i="16"/>
  <c r="CW675" i="16"/>
  <c r="H675" i="16"/>
  <c r="H689" i="16"/>
  <c r="AS675" i="16"/>
  <c r="BM675" i="16"/>
  <c r="CI675" i="16"/>
  <c r="BF675" i="16"/>
  <c r="BW675" i="16"/>
  <c r="K688" i="16"/>
  <c r="BI675" i="16"/>
  <c r="CG675" i="16"/>
  <c r="BQ675" i="16"/>
  <c r="AV675" i="16"/>
  <c r="AP675" i="16"/>
  <c r="BR675" i="16"/>
  <c r="CL675" i="16"/>
  <c r="CO675" i="16"/>
  <c r="K675" i="16"/>
  <c r="K689" i="16"/>
  <c r="P675" i="16"/>
  <c r="BS675" i="16"/>
  <c r="T675" i="16"/>
  <c r="CS675" i="16"/>
  <c r="CK675" i="16"/>
  <c r="AR675" i="16"/>
  <c r="BO675" i="16"/>
  <c r="AY675" i="16"/>
  <c r="N593" i="16"/>
  <c r="M647" i="16"/>
  <c r="AU675" i="16"/>
  <c r="AK675" i="16"/>
  <c r="CM675" i="16"/>
  <c r="I634" i="16"/>
  <c r="L689" i="16"/>
  <c r="G621" i="16"/>
  <c r="G636" i="16" s="1"/>
  <c r="J609" i="16"/>
  <c r="H616" i="16"/>
  <c r="H635" i="16" s="1"/>
  <c r="I616" i="16"/>
  <c r="I635" i="16" s="1"/>
  <c r="K591" i="16"/>
  <c r="K595" i="16" s="1"/>
  <c r="J633" i="16"/>
  <c r="O592" i="16"/>
  <c r="O646" i="16" s="1"/>
  <c r="AB588" i="16"/>
  <c r="AA157" i="10"/>
  <c r="AA202" i="10"/>
  <c r="K157" i="10"/>
  <c r="K202" i="10"/>
  <c r="N157" i="10"/>
  <c r="N202" i="10"/>
  <c r="K194" i="10"/>
  <c r="AA125" i="10"/>
  <c r="R125" i="10"/>
  <c r="K128" i="10"/>
  <c r="O125" i="10"/>
  <c r="AM134" i="10"/>
  <c r="AJ134" i="10"/>
  <c r="AA194" i="10"/>
  <c r="AA128" i="10"/>
  <c r="S134" i="10"/>
  <c r="AJ128" i="10"/>
  <c r="AD194" i="10"/>
  <c r="AD128" i="10"/>
  <c r="AJ125" i="10"/>
  <c r="AJ194" i="10"/>
  <c r="AO194" i="10"/>
  <c r="AO128" i="10"/>
  <c r="AE125" i="10"/>
  <c r="AK134" i="10"/>
  <c r="AI134" i="10"/>
  <c r="U134" i="10"/>
  <c r="Y134" i="10"/>
  <c r="N194" i="10"/>
  <c r="N128" i="10"/>
  <c r="P128" i="10"/>
  <c r="P194" i="10"/>
  <c r="P125" i="10"/>
  <c r="T128" i="10"/>
  <c r="T194" i="10"/>
  <c r="T125" i="10"/>
  <c r="AL194" i="10"/>
  <c r="AL128" i="10"/>
  <c r="M10" i="12"/>
  <c r="L10" i="12"/>
  <c r="J10" i="12"/>
  <c r="AC125" i="10"/>
  <c r="AC194" i="10"/>
  <c r="AC128" i="10"/>
  <c r="AG125" i="10"/>
  <c r="H1" i="16"/>
  <c r="L3" i="16"/>
  <c r="K2" i="16"/>
  <c r="K558" i="16"/>
  <c r="L3" i="10"/>
  <c r="K2" i="10"/>
  <c r="AN125" i="10"/>
  <c r="AN128" i="10"/>
  <c r="AN194" i="10"/>
  <c r="X125" i="10"/>
  <c r="X194" i="10"/>
  <c r="X128" i="10"/>
  <c r="J128" i="10"/>
  <c r="J194" i="10"/>
  <c r="N125" i="10"/>
  <c r="M125" i="10"/>
  <c r="M194" i="10"/>
  <c r="M128" i="10"/>
  <c r="Q125" i="10"/>
  <c r="W134" i="10"/>
  <c r="AF134" i="10"/>
  <c r="Z194" i="10"/>
  <c r="Z125" i="10"/>
  <c r="Z128" i="10"/>
  <c r="AD125" i="10"/>
  <c r="L597" i="16"/>
  <c r="K604" i="16"/>
  <c r="K623" i="16"/>
  <c r="J626" i="16"/>
  <c r="J11" i="12"/>
  <c r="Q49" i="16" l="1"/>
  <c r="Q54" i="16"/>
  <c r="Q50" i="16"/>
  <c r="Q685" i="16"/>
  <c r="Q14" i="16"/>
  <c r="Q15" i="16"/>
  <c r="Q22" i="16"/>
  <c r="R45" i="16"/>
  <c r="R37" i="16"/>
  <c r="R53" i="16"/>
  <c r="R30" i="16"/>
  <c r="R24" i="16"/>
  <c r="R567" i="16"/>
  <c r="R575" i="16" s="1"/>
  <c r="S560" i="16"/>
  <c r="S576" i="16" s="1"/>
  <c r="S561" i="16"/>
  <c r="J580" i="16"/>
  <c r="J579" i="16"/>
  <c r="J578" i="16" a="1"/>
  <c r="J578" i="16" s="1"/>
  <c r="K580" i="16"/>
  <c r="K579" i="16"/>
  <c r="K578" i="16" a="1"/>
  <c r="K578" i="16" s="1"/>
  <c r="I175" i="10"/>
  <c r="I180" i="10" s="1"/>
  <c r="I187" i="10" s="1"/>
  <c r="I192" i="10" s="1"/>
  <c r="J634" i="16"/>
  <c r="L687" i="16"/>
  <c r="L688" i="16"/>
  <c r="L690" i="16"/>
  <c r="I690" i="16"/>
  <c r="H690" i="16"/>
  <c r="O593" i="16"/>
  <c r="N647" i="16"/>
  <c r="K690" i="16"/>
  <c r="J690" i="16"/>
  <c r="G690" i="16"/>
  <c r="I621" i="16"/>
  <c r="I636" i="16" s="1"/>
  <c r="K609" i="16"/>
  <c r="H621" i="16"/>
  <c r="H636" i="16" s="1"/>
  <c r="J616" i="16"/>
  <c r="J635" i="16" s="1"/>
  <c r="G628" i="16"/>
  <c r="G629" i="16" s="1"/>
  <c r="G637" i="16" s="1"/>
  <c r="G691" i="16" s="1"/>
  <c r="G683" i="16" s="1"/>
  <c r="G682" i="16" s="1"/>
  <c r="G680" i="16" s="1"/>
  <c r="G679" i="16" s="1"/>
  <c r="L591" i="16"/>
  <c r="L595" i="16" s="1"/>
  <c r="K633" i="16"/>
  <c r="P592" i="16"/>
  <c r="P646" i="16" s="1"/>
  <c r="AC588" i="16"/>
  <c r="O134" i="10"/>
  <c r="V134" i="10"/>
  <c r="AL134" i="10"/>
  <c r="AH134" i="10"/>
  <c r="AG134" i="10"/>
  <c r="AA134" i="10"/>
  <c r="AO134" i="10"/>
  <c r="R134" i="10"/>
  <c r="AE134" i="10"/>
  <c r="T134" i="10"/>
  <c r="P134" i="10"/>
  <c r="X134" i="10"/>
  <c r="M3" i="16"/>
  <c r="L558" i="16"/>
  <c r="L623" i="16"/>
  <c r="K626" i="16"/>
  <c r="AN134" i="10"/>
  <c r="AC134" i="10"/>
  <c r="M3" i="10"/>
  <c r="L2" i="10"/>
  <c r="M134" i="10"/>
  <c r="Q134" i="10"/>
  <c r="N134" i="10"/>
  <c r="L604" i="16"/>
  <c r="M597" i="16"/>
  <c r="AB134" i="10"/>
  <c r="Z134" i="10"/>
  <c r="AD134" i="10"/>
  <c r="L11" i="12"/>
  <c r="M11" i="12"/>
  <c r="R11" i="12"/>
  <c r="Y11" i="12"/>
  <c r="P12" i="12"/>
  <c r="Q12" i="12"/>
  <c r="F12" i="12"/>
  <c r="R49" i="16" l="1"/>
  <c r="R54" i="16"/>
  <c r="R685" i="16"/>
  <c r="R14" i="16"/>
  <c r="R22" i="16"/>
  <c r="S45" i="16"/>
  <c r="S37" i="16"/>
  <c r="S53" i="16"/>
  <c r="S30" i="16"/>
  <c r="S24" i="16"/>
  <c r="S567" i="16"/>
  <c r="S575" i="16" s="1"/>
  <c r="T560" i="16"/>
  <c r="T576" i="16" s="1"/>
  <c r="T561" i="16"/>
  <c r="K581" i="16"/>
  <c r="L580" i="16"/>
  <c r="L579" i="16"/>
  <c r="L578" i="16" a="1"/>
  <c r="L578" i="16" s="1"/>
  <c r="J581" i="16"/>
  <c r="J174" i="10"/>
  <c r="J168" i="10"/>
  <c r="J191" i="10"/>
  <c r="J171" i="10"/>
  <c r="J183" i="10"/>
  <c r="J133" i="10" a="1"/>
  <c r="J133" i="10" s="1"/>
  <c r="J179" i="10"/>
  <c r="J173" i="10"/>
  <c r="J186" i="10"/>
  <c r="J222" i="10"/>
  <c r="J189" i="10"/>
  <c r="J182" i="10"/>
  <c r="P593" i="16"/>
  <c r="O647" i="16"/>
  <c r="M687" i="16"/>
  <c r="M688" i="16"/>
  <c r="M689" i="16"/>
  <c r="M690" i="16"/>
  <c r="K634" i="16"/>
  <c r="J621" i="16"/>
  <c r="J636" i="16" s="1"/>
  <c r="H628" i="16"/>
  <c r="H629" i="16" s="1"/>
  <c r="H637" i="16" s="1"/>
  <c r="H691" i="16" s="1"/>
  <c r="H683" i="16" s="1"/>
  <c r="H682" i="16" s="1"/>
  <c r="H680" i="16" s="1"/>
  <c r="H679" i="16" s="1"/>
  <c r="K616" i="16"/>
  <c r="K635" i="16" s="1"/>
  <c r="L609" i="16"/>
  <c r="I628" i="16"/>
  <c r="I629" i="16" s="1"/>
  <c r="I637" i="16" s="1"/>
  <c r="I691" i="16" s="1"/>
  <c r="I683" i="16" s="1"/>
  <c r="I682" i="16" s="1"/>
  <c r="I680" i="16" s="1"/>
  <c r="I679" i="16" s="1"/>
  <c r="M591" i="16"/>
  <c r="M595" i="16" s="1"/>
  <c r="L633" i="16"/>
  <c r="Q592" i="16"/>
  <c r="Q646" i="16" s="1"/>
  <c r="AD588" i="16"/>
  <c r="N3" i="10"/>
  <c r="M2" i="10"/>
  <c r="J1" i="10"/>
  <c r="M623" i="16"/>
  <c r="L626" i="16"/>
  <c r="N3" i="16"/>
  <c r="M558" i="16"/>
  <c r="M604" i="16"/>
  <c r="N597" i="16"/>
  <c r="J12" i="12"/>
  <c r="T37" i="16" l="1"/>
  <c r="T30" i="16"/>
  <c r="T53" i="16"/>
  <c r="T45" i="16"/>
  <c r="T11" i="16"/>
  <c r="T24" i="16"/>
  <c r="S49" i="16"/>
  <c r="S54" i="16"/>
  <c r="S685" i="16"/>
  <c r="S14" i="16"/>
  <c r="S22" i="16"/>
  <c r="T567" i="16"/>
  <c r="T575" i="16" s="1"/>
  <c r="U560" i="16"/>
  <c r="U576" i="16" s="1"/>
  <c r="M580" i="16"/>
  <c r="M578" i="16" a="1"/>
  <c r="M578" i="16" s="1"/>
  <c r="M579" i="16"/>
  <c r="L581" i="16"/>
  <c r="J178" i="10"/>
  <c r="J172" i="10"/>
  <c r="J164" i="10"/>
  <c r="J166" i="10"/>
  <c r="J177" i="10"/>
  <c r="J185" i="10"/>
  <c r="J170" i="10"/>
  <c r="J184" i="10"/>
  <c r="J163" i="10"/>
  <c r="J190" i="10"/>
  <c r="J169" i="10"/>
  <c r="J203" i="10" a="1"/>
  <c r="J203" i="10" s="1"/>
  <c r="J204" i="10" s="1"/>
  <c r="J212" i="10" s="1"/>
  <c r="J214" i="10" s="1"/>
  <c r="J220" i="10"/>
  <c r="J223" i="10" s="1"/>
  <c r="J225" i="10" s="1"/>
  <c r="N687" i="16"/>
  <c r="N688" i="16"/>
  <c r="N689" i="16"/>
  <c r="N690" i="16"/>
  <c r="Q593" i="16"/>
  <c r="P647" i="16"/>
  <c r="L634" i="16"/>
  <c r="L616" i="16"/>
  <c r="L635" i="16" s="1"/>
  <c r="K621" i="16"/>
  <c r="K636" i="16" s="1"/>
  <c r="M609" i="16"/>
  <c r="J628" i="16"/>
  <c r="J629" i="16" s="1"/>
  <c r="J637" i="16" s="1"/>
  <c r="J691" i="16" s="1"/>
  <c r="J683" i="16" s="1"/>
  <c r="J682" i="16" s="1"/>
  <c r="J680" i="16" s="1"/>
  <c r="J679" i="16" s="1"/>
  <c r="N591" i="16"/>
  <c r="N595" i="16" s="1"/>
  <c r="M633" i="16"/>
  <c r="R592" i="16"/>
  <c r="R646" i="16" s="1"/>
  <c r="AE588" i="16"/>
  <c r="N623" i="16"/>
  <c r="M626" i="16"/>
  <c r="O3" i="16"/>
  <c r="N558" i="16"/>
  <c r="N2" i="10"/>
  <c r="O3" i="10"/>
  <c r="O597" i="16"/>
  <c r="N604" i="16"/>
  <c r="L12" i="12"/>
  <c r="M12" i="12"/>
  <c r="R12" i="12"/>
  <c r="Y12" i="12"/>
  <c r="R10" i="12" s="1"/>
  <c r="P13" i="12"/>
  <c r="Q13" i="12" s="1"/>
  <c r="F13" i="12"/>
  <c r="T14" i="16" l="1"/>
  <c r="T15" i="16"/>
  <c r="T22" i="16"/>
  <c r="T54" i="16"/>
  <c r="T49" i="16"/>
  <c r="T50" i="16"/>
  <c r="T685" i="16"/>
  <c r="U37" i="16"/>
  <c r="U30" i="16"/>
  <c r="U45" i="16"/>
  <c r="AG11" i="16"/>
  <c r="U24" i="16"/>
  <c r="U53" i="16"/>
  <c r="U567" i="16"/>
  <c r="U575" i="16" s="1"/>
  <c r="U561" i="16"/>
  <c r="V560" i="16"/>
  <c r="V576" i="16" s="1"/>
  <c r="N579" i="16"/>
  <c r="N580" i="16"/>
  <c r="N578" i="16" a="1"/>
  <c r="N578" i="16" s="1"/>
  <c r="M581" i="16"/>
  <c r="J175" i="10"/>
  <c r="J180" i="10" s="1"/>
  <c r="J187" i="10" s="1"/>
  <c r="J192" i="10" s="1"/>
  <c r="O687" i="16"/>
  <c r="O688" i="16"/>
  <c r="O689" i="16"/>
  <c r="O690" i="16"/>
  <c r="R593" i="16"/>
  <c r="Q647" i="16"/>
  <c r="M634" i="16"/>
  <c r="M616" i="16"/>
  <c r="M635" i="16" s="1"/>
  <c r="K628" i="16"/>
  <c r="K629" i="16" s="1"/>
  <c r="K637" i="16" s="1"/>
  <c r="K691" i="16" s="1"/>
  <c r="K683" i="16" s="1"/>
  <c r="K682" i="16" s="1"/>
  <c r="K680" i="16" s="1"/>
  <c r="K679" i="16" s="1"/>
  <c r="N609" i="16"/>
  <c r="L621" i="16"/>
  <c r="L636" i="16" s="1"/>
  <c r="O591" i="16"/>
  <c r="O595" i="16" s="1"/>
  <c r="N633" i="16"/>
  <c r="S592" i="16"/>
  <c r="S646" i="16" s="1"/>
  <c r="AF588" i="16"/>
  <c r="O623" i="16"/>
  <c r="N626" i="16"/>
  <c r="O2" i="10"/>
  <c r="P3" i="10"/>
  <c r="P3" i="16"/>
  <c r="O558" i="16"/>
  <c r="P597" i="16"/>
  <c r="O604" i="16"/>
  <c r="J13" i="12"/>
  <c r="U54" i="16" l="1"/>
  <c r="U49" i="16"/>
  <c r="AG50" i="16"/>
  <c r="U685" i="16"/>
  <c r="V37" i="16"/>
  <c r="V53" i="16"/>
  <c r="V30" i="16"/>
  <c r="V45" i="16"/>
  <c r="AH11" i="16"/>
  <c r="V24" i="16"/>
  <c r="AG15" i="16"/>
  <c r="U14" i="16"/>
  <c r="U22" i="16"/>
  <c r="V567" i="16"/>
  <c r="V575" i="16" s="1"/>
  <c r="W561" i="16"/>
  <c r="W560" i="16"/>
  <c r="W576" i="16" s="1"/>
  <c r="V561" i="16"/>
  <c r="O579" i="16"/>
  <c r="O580" i="16"/>
  <c r="O578" i="16" a="1"/>
  <c r="O578" i="16" s="1"/>
  <c r="N581" i="16"/>
  <c r="P687" i="16"/>
  <c r="P688" i="16"/>
  <c r="P689" i="16"/>
  <c r="P690" i="16"/>
  <c r="S593" i="16"/>
  <c r="R647" i="16"/>
  <c r="N634" i="16"/>
  <c r="L628" i="16"/>
  <c r="L629" i="16" s="1"/>
  <c r="L637" i="16" s="1"/>
  <c r="L691" i="16" s="1"/>
  <c r="L683" i="16" s="1"/>
  <c r="L682" i="16" s="1"/>
  <c r="L680" i="16" s="1"/>
  <c r="L679" i="16" s="1"/>
  <c r="N616" i="16"/>
  <c r="N635" i="16" s="1"/>
  <c r="O609" i="16"/>
  <c r="M621" i="16"/>
  <c r="M636" i="16" s="1"/>
  <c r="P591" i="16"/>
  <c r="P595" i="16" s="1"/>
  <c r="O633" i="16"/>
  <c r="T592" i="16"/>
  <c r="T646" i="16" s="1"/>
  <c r="AG588" i="16"/>
  <c r="P2" i="10"/>
  <c r="Q3" i="10"/>
  <c r="Q597" i="16"/>
  <c r="P604" i="16"/>
  <c r="O626" i="16"/>
  <c r="P623" i="16"/>
  <c r="Q3" i="16"/>
  <c r="P558" i="16"/>
  <c r="L13" i="12"/>
  <c r="M13" i="12"/>
  <c r="R13" i="12"/>
  <c r="Y13" i="12"/>
  <c r="P14" i="12"/>
  <c r="Q14" i="12" s="1"/>
  <c r="F14" i="12"/>
  <c r="AH15" i="16" l="1"/>
  <c r="V14" i="16"/>
  <c r="V22" i="16"/>
  <c r="V49" i="16"/>
  <c r="AH50" i="16"/>
  <c r="V54" i="16"/>
  <c r="V685" i="16"/>
  <c r="W53" i="16"/>
  <c r="W11" i="16"/>
  <c r="W24" i="16"/>
  <c r="W30" i="16"/>
  <c r="W37" i="16"/>
  <c r="AI11" i="16"/>
  <c r="W45" i="16"/>
  <c r="W567" i="16"/>
  <c r="W575" i="16" s="1"/>
  <c r="X560" i="16"/>
  <c r="X576" i="16" s="1"/>
  <c r="X561" i="16"/>
  <c r="P579" i="16"/>
  <c r="P578" i="16" a="1"/>
  <c r="P578" i="16" s="1"/>
  <c r="P580" i="16"/>
  <c r="O581" i="16"/>
  <c r="K189" i="10"/>
  <c r="K220" i="10"/>
  <c r="K179" i="10"/>
  <c r="K170" i="10"/>
  <c r="K184" i="10"/>
  <c r="K163" i="10"/>
  <c r="K178" i="10"/>
  <c r="K133" i="10" a="1"/>
  <c r="K133" i="10" s="1"/>
  <c r="K172" i="10"/>
  <c r="K177" i="10"/>
  <c r="K190" i="10"/>
  <c r="K185" i="10"/>
  <c r="K186" i="10"/>
  <c r="K168" i="10"/>
  <c r="K173" i="10"/>
  <c r="K183" i="10"/>
  <c r="K164" i="10"/>
  <c r="K169" i="10"/>
  <c r="K222" i="10"/>
  <c r="K171" i="10"/>
  <c r="K191" i="10"/>
  <c r="K166" i="10"/>
  <c r="K174" i="10"/>
  <c r="K182" i="10"/>
  <c r="K203" i="10" a="1"/>
  <c r="K203" i="10" s="1"/>
  <c r="K204" i="10" s="1"/>
  <c r="K212" i="10" s="1"/>
  <c r="K214" i="10" s="1"/>
  <c r="Q687" i="16"/>
  <c r="Q688" i="16"/>
  <c r="Q689" i="16"/>
  <c r="Q690" i="16"/>
  <c r="T593" i="16"/>
  <c r="S647" i="16"/>
  <c r="O634" i="16"/>
  <c r="M628" i="16"/>
  <c r="M629" i="16" s="1"/>
  <c r="M637" i="16" s="1"/>
  <c r="M691" i="16" s="1"/>
  <c r="M683" i="16" s="1"/>
  <c r="M682" i="16" s="1"/>
  <c r="M680" i="16" s="1"/>
  <c r="M679" i="16" s="1"/>
  <c r="P609" i="16"/>
  <c r="N621" i="16"/>
  <c r="N636" i="16" s="1"/>
  <c r="O616" i="16"/>
  <c r="O635" i="16" s="1"/>
  <c r="Q591" i="16"/>
  <c r="Q595" i="16" s="1"/>
  <c r="P633" i="16"/>
  <c r="U592" i="16"/>
  <c r="U646" i="16" s="1"/>
  <c r="AH588" i="16"/>
  <c r="Q623" i="16"/>
  <c r="P626" i="16"/>
  <c r="Q2" i="10"/>
  <c r="N1" i="10"/>
  <c r="R3" i="10"/>
  <c r="R597" i="16"/>
  <c r="Q604" i="16"/>
  <c r="R3" i="16"/>
  <c r="Q558" i="16"/>
  <c r="J14" i="12"/>
  <c r="X30" i="16" l="1"/>
  <c r="AJ11" i="16"/>
  <c r="X45" i="16"/>
  <c r="X11" i="16"/>
  <c r="X53" i="16"/>
  <c r="X24" i="16"/>
  <c r="X37" i="16"/>
  <c r="W54" i="16"/>
  <c r="W49" i="16"/>
  <c r="W50" i="16"/>
  <c r="AI50" i="16"/>
  <c r="W685" i="16"/>
  <c r="W15" i="16"/>
  <c r="AI15" i="16"/>
  <c r="W14" i="16"/>
  <c r="W22" i="16"/>
  <c r="X567" i="16"/>
  <c r="X575" i="16" s="1"/>
  <c r="Y561" i="16"/>
  <c r="Y560" i="16"/>
  <c r="Y576" i="16" s="1"/>
  <c r="P581" i="16"/>
  <c r="Q579" i="16"/>
  <c r="Q578" i="16" a="1"/>
  <c r="Q578" i="16" s="1"/>
  <c r="Q580" i="16"/>
  <c r="K223" i="10"/>
  <c r="K225" i="10" s="1"/>
  <c r="K175" i="10"/>
  <c r="K180" i="10" s="1"/>
  <c r="K187" i="10" s="1"/>
  <c r="K192" i="10" s="1"/>
  <c r="R687" i="16"/>
  <c r="R688" i="16"/>
  <c r="R689" i="16"/>
  <c r="R690" i="16"/>
  <c r="U593" i="16"/>
  <c r="T647" i="16"/>
  <c r="P634" i="16"/>
  <c r="Q609" i="16"/>
  <c r="O621" i="16"/>
  <c r="O636" i="16" s="1"/>
  <c r="N628" i="16"/>
  <c r="N629" i="16" s="1"/>
  <c r="N637" i="16" s="1"/>
  <c r="N691" i="16" s="1"/>
  <c r="N683" i="16" s="1"/>
  <c r="N682" i="16" s="1"/>
  <c r="N680" i="16" s="1"/>
  <c r="N679" i="16" s="1"/>
  <c r="P616" i="16"/>
  <c r="P635" i="16" s="1"/>
  <c r="R591" i="16"/>
  <c r="R595" i="16" s="1"/>
  <c r="Q633" i="16"/>
  <c r="V592" i="16"/>
  <c r="V646" i="16" s="1"/>
  <c r="AI588" i="16"/>
  <c r="R604" i="16"/>
  <c r="S597" i="16"/>
  <c r="R2" i="10"/>
  <c r="S3" i="10"/>
  <c r="Q626" i="16"/>
  <c r="R623" i="16"/>
  <c r="S3" i="16"/>
  <c r="R558" i="16"/>
  <c r="L14" i="12"/>
  <c r="M14" i="12"/>
  <c r="R14" i="12"/>
  <c r="Y14" i="12"/>
  <c r="P15" i="12"/>
  <c r="Q15" i="12" s="1"/>
  <c r="F15" i="12"/>
  <c r="X15" i="16" l="1"/>
  <c r="AJ15" i="16"/>
  <c r="X14" i="16"/>
  <c r="X22" i="16"/>
  <c r="X54" i="16"/>
  <c r="X50" i="16"/>
  <c r="AJ50" i="16"/>
  <c r="X49" i="16"/>
  <c r="X685" i="16"/>
  <c r="Y30" i="16"/>
  <c r="Y24" i="16"/>
  <c r="Y45" i="16"/>
  <c r="Y11" i="16"/>
  <c r="Y53" i="16"/>
  <c r="AK11" i="16"/>
  <c r="Y37" i="16"/>
  <c r="Y567" i="16"/>
  <c r="Y575" i="16" s="1"/>
  <c r="Z560" i="16"/>
  <c r="Z576" i="16" s="1"/>
  <c r="Q581" i="16"/>
  <c r="R578" i="16" a="1"/>
  <c r="R578" i="16" s="1"/>
  <c r="R580" i="16"/>
  <c r="R579" i="16"/>
  <c r="S687" i="16"/>
  <c r="S688" i="16"/>
  <c r="S689" i="16"/>
  <c r="S690" i="16"/>
  <c r="V593" i="16"/>
  <c r="U647" i="16"/>
  <c r="Q634" i="16"/>
  <c r="R609" i="16"/>
  <c r="P621" i="16"/>
  <c r="P636" i="16" s="1"/>
  <c r="O628" i="16"/>
  <c r="O629" i="16" s="1"/>
  <c r="O637" i="16" s="1"/>
  <c r="O691" i="16" s="1"/>
  <c r="O683" i="16" s="1"/>
  <c r="O682" i="16" s="1"/>
  <c r="O680" i="16" s="1"/>
  <c r="O679" i="16" s="1"/>
  <c r="Q616" i="16"/>
  <c r="Q635" i="16" s="1"/>
  <c r="S591" i="16"/>
  <c r="S595" i="16" s="1"/>
  <c r="R633" i="16"/>
  <c r="W592" i="16"/>
  <c r="W646" i="16" s="1"/>
  <c r="AJ588" i="16"/>
  <c r="AK588" i="16" s="1"/>
  <c r="AL588" i="16" s="1"/>
  <c r="AM588" i="16" s="1"/>
  <c r="AN588" i="16" s="1"/>
  <c r="AO588" i="16" s="1"/>
  <c r="AP588" i="16" s="1"/>
  <c r="AQ588" i="16" s="1"/>
  <c r="AR588" i="16" s="1"/>
  <c r="AS588" i="16" s="1"/>
  <c r="AT588" i="16" s="1"/>
  <c r="AU588" i="16" s="1"/>
  <c r="AV588" i="16" s="1"/>
  <c r="AW588" i="16" s="1"/>
  <c r="AX588" i="16" s="1"/>
  <c r="AY588" i="16" s="1"/>
  <c r="AZ588" i="16" s="1"/>
  <c r="BA588" i="16" s="1"/>
  <c r="BB588" i="16" s="1"/>
  <c r="BC588" i="16" s="1"/>
  <c r="BD588" i="16" s="1"/>
  <c r="BE588" i="16" s="1"/>
  <c r="BF588" i="16" s="1"/>
  <c r="BG588" i="16" s="1"/>
  <c r="BH588" i="16" s="1"/>
  <c r="BI588" i="16" s="1"/>
  <c r="BJ588" i="16" s="1"/>
  <c r="BK588" i="16" s="1"/>
  <c r="BL588" i="16" s="1"/>
  <c r="BM588" i="16" s="1"/>
  <c r="BN588" i="16" s="1"/>
  <c r="BO588" i="16" s="1"/>
  <c r="BP588" i="16" s="1"/>
  <c r="BQ588" i="16" s="1"/>
  <c r="BR588" i="16" s="1"/>
  <c r="BS588" i="16" s="1"/>
  <c r="BT588" i="16" s="1"/>
  <c r="BU588" i="16" s="1"/>
  <c r="BV588" i="16" s="1"/>
  <c r="BW588" i="16" s="1"/>
  <c r="BX588" i="16" s="1"/>
  <c r="BY588" i="16" s="1"/>
  <c r="BZ588" i="16" s="1"/>
  <c r="CA588" i="16" s="1"/>
  <c r="CB588" i="16" s="1"/>
  <c r="CC588" i="16" s="1"/>
  <c r="CD588" i="16" s="1"/>
  <c r="CE588" i="16" s="1"/>
  <c r="CF588" i="16" s="1"/>
  <c r="CG588" i="16" s="1"/>
  <c r="CH588" i="16" s="1"/>
  <c r="CI588" i="16" s="1"/>
  <c r="CJ588" i="16" s="1"/>
  <c r="CK588" i="16" s="1"/>
  <c r="CL588" i="16" s="1"/>
  <c r="CM588" i="16" s="1"/>
  <c r="CN588" i="16" s="1"/>
  <c r="CO588" i="16" s="1"/>
  <c r="CP588" i="16" s="1"/>
  <c r="CQ588" i="16" s="1"/>
  <c r="CR588" i="16" s="1"/>
  <c r="CS588" i="16" s="1"/>
  <c r="CT588" i="16" s="1"/>
  <c r="CU588" i="16" s="1"/>
  <c r="CV588" i="16" s="1"/>
  <c r="CW588" i="16" s="1"/>
  <c r="CX588" i="16" s="1"/>
  <c r="CY588" i="16" s="1"/>
  <c r="CZ588" i="16" s="1"/>
  <c r="DA588" i="16" s="1"/>
  <c r="DB588" i="16" s="1"/>
  <c r="DC588" i="16" s="1"/>
  <c r="T3" i="16"/>
  <c r="S558" i="16"/>
  <c r="S604" i="16"/>
  <c r="T597" i="16"/>
  <c r="S623" i="16"/>
  <c r="R626" i="16"/>
  <c r="S2" i="10"/>
  <c r="T3" i="10"/>
  <c r="J15" i="12"/>
  <c r="Y50" i="16" l="1"/>
  <c r="Y54" i="16"/>
  <c r="AK50" i="16"/>
  <c r="Y49" i="16"/>
  <c r="Y685" i="16"/>
  <c r="Z30" i="16"/>
  <c r="Z11" i="16"/>
  <c r="Z53" i="16"/>
  <c r="Z24" i="16"/>
  <c r="AL11" i="16"/>
  <c r="Z45" i="16"/>
  <c r="Z37" i="16"/>
  <c r="Y15" i="16"/>
  <c r="AK15" i="16"/>
  <c r="Y14" i="16"/>
  <c r="Y22" i="16"/>
  <c r="Z567" i="16"/>
  <c r="Z575" i="16" s="1"/>
  <c r="AA561" i="16"/>
  <c r="AA560" i="16"/>
  <c r="AA576" i="16" s="1"/>
  <c r="Z561" i="16"/>
  <c r="S578" i="16" a="1"/>
  <c r="S578" i="16" s="1"/>
  <c r="S580" i="16"/>
  <c r="S579" i="16"/>
  <c r="R581" i="16"/>
  <c r="L184" i="10"/>
  <c r="L220" i="10"/>
  <c r="T687" i="16"/>
  <c r="T688" i="16"/>
  <c r="T689" i="16"/>
  <c r="T690" i="16"/>
  <c r="W593" i="16"/>
  <c r="V647" i="16"/>
  <c r="R634" i="16"/>
  <c r="S609" i="16"/>
  <c r="Q621" i="16"/>
  <c r="Q636" i="16" s="1"/>
  <c r="P628" i="16"/>
  <c r="P629" i="16" s="1"/>
  <c r="P637" i="16" s="1"/>
  <c r="P691" i="16" s="1"/>
  <c r="P683" i="16" s="1"/>
  <c r="P682" i="16" s="1"/>
  <c r="P680" i="16" s="1"/>
  <c r="P679" i="16" s="1"/>
  <c r="R616" i="16"/>
  <c r="R635" i="16" s="1"/>
  <c r="T591" i="16"/>
  <c r="T595" i="16" s="1"/>
  <c r="S633" i="16"/>
  <c r="X592" i="16"/>
  <c r="S626" i="16"/>
  <c r="T623" i="16"/>
  <c r="U3" i="16"/>
  <c r="T558" i="16"/>
  <c r="U3" i="10"/>
  <c r="T2" i="10"/>
  <c r="U597" i="16"/>
  <c r="T604" i="16"/>
  <c r="L15" i="12"/>
  <c r="M15" i="12"/>
  <c r="Y15" i="12"/>
  <c r="P16" i="12"/>
  <c r="Q16" i="12"/>
  <c r="F16" i="12"/>
  <c r="Z15" i="16" l="1"/>
  <c r="AL15" i="16"/>
  <c r="Z14" i="16"/>
  <c r="Z22" i="16"/>
  <c r="Z49" i="16"/>
  <c r="Z50" i="16"/>
  <c r="Z54" i="16"/>
  <c r="AL50" i="16"/>
  <c r="Z685" i="16"/>
  <c r="AA53" i="16"/>
  <c r="AA30" i="16"/>
  <c r="AA11" i="16"/>
  <c r="AA24" i="16"/>
  <c r="AA37" i="16"/>
  <c r="AM11" i="16"/>
  <c r="AA45" i="16"/>
  <c r="AA567" i="16"/>
  <c r="AA575" i="16" s="1"/>
  <c r="AB561" i="16"/>
  <c r="AB560" i="16"/>
  <c r="AB576" i="16" s="1"/>
  <c r="S581" i="16"/>
  <c r="T578" i="16" a="1"/>
  <c r="T578" i="16" s="1"/>
  <c r="T579" i="16"/>
  <c r="T580" i="16"/>
  <c r="X646" i="16"/>
  <c r="Y592" i="16"/>
  <c r="U687" i="16"/>
  <c r="U688" i="16"/>
  <c r="U689" i="16"/>
  <c r="U690" i="16"/>
  <c r="X593" i="16"/>
  <c r="W647" i="16"/>
  <c r="S634" i="16"/>
  <c r="T609" i="16"/>
  <c r="R621" i="16"/>
  <c r="R636" i="16" s="1"/>
  <c r="Q628" i="16"/>
  <c r="Q629" i="16" s="1"/>
  <c r="Q637" i="16" s="1"/>
  <c r="Q691" i="16" s="1"/>
  <c r="Q683" i="16" s="1"/>
  <c r="Q682" i="16" s="1"/>
  <c r="Q680" i="16" s="1"/>
  <c r="Q679" i="16" s="1"/>
  <c r="S616" i="16"/>
  <c r="S635" i="16" s="1"/>
  <c r="U591" i="16"/>
  <c r="U595" i="16" s="1"/>
  <c r="T633" i="16"/>
  <c r="U2" i="10"/>
  <c r="R1" i="10"/>
  <c r="V3" i="10"/>
  <c r="V3" i="16"/>
  <c r="U558" i="16"/>
  <c r="T626" i="16"/>
  <c r="U623" i="16"/>
  <c r="V597" i="16"/>
  <c r="U604" i="16"/>
  <c r="J16" i="12"/>
  <c r="AA49" i="16" l="1"/>
  <c r="AA50" i="16"/>
  <c r="AA54" i="16"/>
  <c r="AM50" i="16"/>
  <c r="AA685" i="16"/>
  <c r="AM15" i="16"/>
  <c r="AA14" i="16"/>
  <c r="AA15" i="16"/>
  <c r="AA22" i="16"/>
  <c r="AB30" i="16"/>
  <c r="AB11" i="16"/>
  <c r="AB53" i="16"/>
  <c r="AB24" i="16"/>
  <c r="AB37" i="16"/>
  <c r="AN11" i="16"/>
  <c r="AB45" i="16"/>
  <c r="AB567" i="16"/>
  <c r="AB575" i="16" s="1"/>
  <c r="AC561" i="16"/>
  <c r="AC560" i="16"/>
  <c r="AC576" i="16" s="1"/>
  <c r="T581" i="16"/>
  <c r="U580" i="16"/>
  <c r="U579" i="16"/>
  <c r="U578" i="16" a="1"/>
  <c r="U578" i="16" s="1"/>
  <c r="Y646" i="16"/>
  <c r="Z592" i="16"/>
  <c r="X647" i="16"/>
  <c r="Y593" i="16"/>
  <c r="V687" i="16"/>
  <c r="V688" i="16"/>
  <c r="V689" i="16"/>
  <c r="V690" i="16"/>
  <c r="T634" i="16"/>
  <c r="U609" i="16"/>
  <c r="S621" i="16"/>
  <c r="S636" i="16" s="1"/>
  <c r="R628" i="16"/>
  <c r="R629" i="16" s="1"/>
  <c r="R637" i="16" s="1"/>
  <c r="R691" i="16" s="1"/>
  <c r="R683" i="16" s="1"/>
  <c r="R682" i="16" s="1"/>
  <c r="R680" i="16" s="1"/>
  <c r="R679" i="16" s="1"/>
  <c r="T616" i="16"/>
  <c r="T635" i="16" s="1"/>
  <c r="V591" i="16"/>
  <c r="V595" i="16" s="1"/>
  <c r="U633" i="16"/>
  <c r="W3" i="16"/>
  <c r="V558" i="16"/>
  <c r="W597" i="16"/>
  <c r="V604" i="16"/>
  <c r="U626" i="16"/>
  <c r="V623" i="16"/>
  <c r="W3" i="10"/>
  <c r="V2" i="10"/>
  <c r="L16" i="12"/>
  <c r="M16" i="12"/>
  <c r="R16" i="12"/>
  <c r="Y16" i="12"/>
  <c r="R15" i="12" s="1"/>
  <c r="P17" i="12"/>
  <c r="Q17" i="12"/>
  <c r="F17" i="12"/>
  <c r="AB54" i="16" l="1"/>
  <c r="AB50" i="16"/>
  <c r="AN50" i="16"/>
  <c r="AB49" i="16"/>
  <c r="AB685" i="16"/>
  <c r="AC11" i="16"/>
  <c r="AC53" i="16"/>
  <c r="AC24" i="16"/>
  <c r="AO11" i="16"/>
  <c r="AC45" i="16"/>
  <c r="AC37" i="16"/>
  <c r="AC30" i="16"/>
  <c r="AN15" i="16"/>
  <c r="AB14" i="16"/>
  <c r="AB15" i="16"/>
  <c r="AB22" i="16"/>
  <c r="AC567" i="16"/>
  <c r="AC575" i="16" s="1"/>
  <c r="AD560" i="16"/>
  <c r="AD576" i="16" s="1"/>
  <c r="V580" i="16"/>
  <c r="V579" i="16"/>
  <c r="V578" i="16" a="1"/>
  <c r="V578" i="16" s="1"/>
  <c r="U581" i="16"/>
  <c r="Y647" i="16"/>
  <c r="Z593" i="16"/>
  <c r="AA592" i="16"/>
  <c r="Z646" i="16"/>
  <c r="W687" i="16"/>
  <c r="W688" i="16"/>
  <c r="W689" i="16"/>
  <c r="W690" i="16"/>
  <c r="U634" i="16"/>
  <c r="T621" i="16"/>
  <c r="T636" i="16" s="1"/>
  <c r="S628" i="16"/>
  <c r="S629" i="16" s="1"/>
  <c r="S637" i="16" s="1"/>
  <c r="S691" i="16" s="1"/>
  <c r="S683" i="16" s="1"/>
  <c r="S682" i="16" s="1"/>
  <c r="S680" i="16" s="1"/>
  <c r="S679" i="16" s="1"/>
  <c r="V609" i="16"/>
  <c r="U616" i="16"/>
  <c r="U635" i="16" s="1"/>
  <c r="W591" i="16"/>
  <c r="W595" i="16" s="1"/>
  <c r="V633" i="16"/>
  <c r="X597" i="16"/>
  <c r="Y597" i="16" s="1"/>
  <c r="Y604" i="16" s="1"/>
  <c r="W604" i="16"/>
  <c r="X3" i="10"/>
  <c r="W2" i="10"/>
  <c r="V626" i="16"/>
  <c r="W623" i="16"/>
  <c r="S2" i="16"/>
  <c r="U2" i="16"/>
  <c r="W2" i="16"/>
  <c r="X3" i="16"/>
  <c r="L2" i="16"/>
  <c r="M2" i="16"/>
  <c r="N2" i="16"/>
  <c r="O2" i="16"/>
  <c r="Q2" i="16"/>
  <c r="L1" i="16"/>
  <c r="R2" i="16"/>
  <c r="V2" i="16"/>
  <c r="P2" i="16"/>
  <c r="T2" i="16"/>
  <c r="W558" i="16"/>
  <c r="J17" i="12"/>
  <c r="AC14" i="16" l="1"/>
  <c r="AO15" i="16"/>
  <c r="AC15" i="16"/>
  <c r="AC22" i="16"/>
  <c r="AD11" i="16"/>
  <c r="AD53" i="16"/>
  <c r="AD24" i="16"/>
  <c r="AP11" i="16"/>
  <c r="AD45" i="16"/>
  <c r="AD37" i="16"/>
  <c r="AD30" i="16"/>
  <c r="AC54" i="16"/>
  <c r="AC50" i="16"/>
  <c r="AO50" i="16"/>
  <c r="AC49" i="16"/>
  <c r="AC685" i="16"/>
  <c r="AD567" i="16"/>
  <c r="AD575" i="16" s="1"/>
  <c r="AD561" i="16"/>
  <c r="AE560" i="16"/>
  <c r="AE576" i="16" s="1"/>
  <c r="W578" i="16" a="1"/>
  <c r="W578" i="16" s="1"/>
  <c r="W580" i="16"/>
  <c r="W579" i="16"/>
  <c r="V581" i="16"/>
  <c r="Y609" i="16"/>
  <c r="AA646" i="16"/>
  <c r="AB592" i="16"/>
  <c r="AA593" i="16"/>
  <c r="Z647" i="16"/>
  <c r="X687" i="16"/>
  <c r="X688" i="16"/>
  <c r="X689" i="16"/>
  <c r="X690" i="16"/>
  <c r="V634" i="16"/>
  <c r="V616" i="16"/>
  <c r="V635" i="16" s="1"/>
  <c r="U621" i="16"/>
  <c r="U636" i="16" s="1"/>
  <c r="W609" i="16"/>
  <c r="T628" i="16"/>
  <c r="T629" i="16" s="1"/>
  <c r="T637" i="16" s="1"/>
  <c r="T691" i="16" s="1"/>
  <c r="T683" i="16" s="1"/>
  <c r="T682" i="16" s="1"/>
  <c r="T680" i="16" s="1"/>
  <c r="T679" i="16" s="1"/>
  <c r="X591" i="16"/>
  <c r="W633" i="16"/>
  <c r="Y3" i="10"/>
  <c r="X2" i="10"/>
  <c r="W626" i="16"/>
  <c r="X623" i="16"/>
  <c r="Y623" i="16" s="1"/>
  <c r="Y626" i="16" s="1"/>
  <c r="Y3" i="16"/>
  <c r="X558" i="16"/>
  <c r="X604" i="16"/>
  <c r="L17" i="12"/>
  <c r="M17" i="12"/>
  <c r="Y17" i="12"/>
  <c r="R17" i="12" s="1"/>
  <c r="P18" i="12"/>
  <c r="Q18" i="12"/>
  <c r="F18" i="12"/>
  <c r="AD14" i="16" l="1"/>
  <c r="AP15" i="16"/>
  <c r="AD15" i="16"/>
  <c r="AD22" i="16"/>
  <c r="AD54" i="16"/>
  <c r="AP50" i="16"/>
  <c r="AD50" i="16"/>
  <c r="AD49" i="16"/>
  <c r="AD685" i="16"/>
  <c r="AE11" i="16"/>
  <c r="AE53" i="16"/>
  <c r="AE24" i="16"/>
  <c r="AQ11" i="16"/>
  <c r="AE45" i="16"/>
  <c r="AE37" i="16"/>
  <c r="AE30" i="16"/>
  <c r="AE567" i="16"/>
  <c r="AE575" i="16" s="1"/>
  <c r="AE561" i="16"/>
  <c r="V97" i="83" a="1"/>
  <c r="V97" i="83" s="1"/>
  <c r="AF560" i="16"/>
  <c r="AF576" i="16" s="1"/>
  <c r="W581" i="16"/>
  <c r="X580" i="16"/>
  <c r="X579" i="16"/>
  <c r="X578" i="16" a="1"/>
  <c r="X578" i="16" s="1"/>
  <c r="Y591" i="16"/>
  <c r="X595" i="16"/>
  <c r="AB646" i="16"/>
  <c r="AC592" i="16"/>
  <c r="AB593" i="16"/>
  <c r="AA647" i="16"/>
  <c r="Y616" i="16"/>
  <c r="Y687" i="16"/>
  <c r="Y688" i="16"/>
  <c r="Y689" i="16"/>
  <c r="Y690" i="16"/>
  <c r="W634" i="16"/>
  <c r="X609" i="16"/>
  <c r="W616" i="16"/>
  <c r="W635" i="16" s="1"/>
  <c r="U628" i="16"/>
  <c r="U629" i="16" s="1"/>
  <c r="U637" i="16" s="1"/>
  <c r="U691" i="16" s="1"/>
  <c r="U683" i="16" s="1"/>
  <c r="U682" i="16" s="1"/>
  <c r="U680" i="16" s="1"/>
  <c r="U679" i="16" s="1"/>
  <c r="V621" i="16"/>
  <c r="V636" i="16" s="1"/>
  <c r="Z591" i="16"/>
  <c r="Z595" i="16" s="1"/>
  <c r="X633" i="16"/>
  <c r="Z597" i="16"/>
  <c r="V1" i="10"/>
  <c r="Z3" i="10"/>
  <c r="Y2" i="10"/>
  <c r="Z3" i="16"/>
  <c r="Y558" i="16"/>
  <c r="X626" i="16"/>
  <c r="J18" i="12"/>
  <c r="AR11" i="16" l="1"/>
  <c r="AF45" i="16"/>
  <c r="AF37" i="16"/>
  <c r="AF24" i="16"/>
  <c r="AF30" i="16"/>
  <c r="AF11" i="16"/>
  <c r="AF53" i="16"/>
  <c r="AQ50" i="16"/>
  <c r="AE54" i="16"/>
  <c r="AE50" i="16"/>
  <c r="AE49" i="16"/>
  <c r="AE685" i="16"/>
  <c r="AE14" i="16"/>
  <c r="AE15" i="16"/>
  <c r="AQ15" i="16"/>
  <c r="AE22" i="16"/>
  <c r="Y97" i="83" a="1"/>
  <c r="Y97" i="83" s="1"/>
  <c r="X97" i="83" a="1"/>
  <c r="X97" i="83" s="1"/>
  <c r="AF567" i="16"/>
  <c r="AF575" i="16" s="1"/>
  <c r="AB97" i="83" s="1" a="1"/>
  <c r="AB97" i="83" s="1"/>
  <c r="AA97" i="83" a="1"/>
  <c r="AA97" i="83" s="1"/>
  <c r="W97" i="83" a="1"/>
  <c r="W97" i="83" s="1"/>
  <c r="AF561" i="16"/>
  <c r="X581" i="16"/>
  <c r="Y580" i="16"/>
  <c r="Y579" i="16"/>
  <c r="Y578" i="16" a="1"/>
  <c r="Y578" i="16" s="1"/>
  <c r="Y595" i="16"/>
  <c r="Y634" i="16" s="1"/>
  <c r="Y621" i="16"/>
  <c r="AC593" i="16"/>
  <c r="AB647" i="16"/>
  <c r="AC646" i="16"/>
  <c r="AD592" i="16"/>
  <c r="Z687" i="16"/>
  <c r="Z688" i="16"/>
  <c r="Z689" i="16"/>
  <c r="Z690" i="16"/>
  <c r="X634" i="16"/>
  <c r="V628" i="16"/>
  <c r="V629" i="16" s="1"/>
  <c r="V637" i="16" s="1"/>
  <c r="V691" i="16" s="1"/>
  <c r="V683" i="16" s="1"/>
  <c r="V682" i="16" s="1"/>
  <c r="V680" i="16" s="1"/>
  <c r="V679" i="16" s="1"/>
  <c r="W621" i="16"/>
  <c r="W636" i="16" s="1"/>
  <c r="X616" i="16"/>
  <c r="X635" i="16" s="1"/>
  <c r="AA591" i="16"/>
  <c r="AA595" i="16" s="1"/>
  <c r="Z2" i="10"/>
  <c r="AA3" i="10"/>
  <c r="AA3" i="16"/>
  <c r="Z558" i="16"/>
  <c r="Z623" i="16"/>
  <c r="AA597" i="16"/>
  <c r="Z604" i="16"/>
  <c r="L18" i="12"/>
  <c r="M18" i="12"/>
  <c r="Y18" i="12"/>
  <c r="P19" i="12"/>
  <c r="Q19" i="12" s="1"/>
  <c r="F19" i="12"/>
  <c r="AF54" i="16" l="1"/>
  <c r="AF50" i="16"/>
  <c r="AF49" i="16"/>
  <c r="AR50" i="16"/>
  <c r="AF685" i="16"/>
  <c r="AF14" i="16"/>
  <c r="AF15" i="16"/>
  <c r="AR15" i="16"/>
  <c r="AF22" i="16"/>
  <c r="Z580" i="16"/>
  <c r="Z579" i="16"/>
  <c r="Z578" i="16" a="1"/>
  <c r="Z578" i="16" s="1"/>
  <c r="Y581" i="16"/>
  <c r="Y635" i="16"/>
  <c r="Y633" i="16"/>
  <c r="AD646" i="16"/>
  <c r="AE592" i="16"/>
  <c r="AD593" i="16"/>
  <c r="AC647" i="16"/>
  <c r="Y636" i="16"/>
  <c r="Y628" i="16"/>
  <c r="Y629" i="16" s="1"/>
  <c r="Y637" i="16" s="1"/>
  <c r="Y691" i="16" s="1"/>
  <c r="Y683" i="16" s="1"/>
  <c r="Y682" i="16" s="1"/>
  <c r="Y680" i="16" s="1"/>
  <c r="Y679" i="16" s="1"/>
  <c r="Z633" i="16"/>
  <c r="AA687" i="16"/>
  <c r="AA688" i="16"/>
  <c r="AA689" i="16"/>
  <c r="AA690" i="16"/>
  <c r="W628" i="16"/>
  <c r="W629" i="16" s="1"/>
  <c r="W637" i="16" s="1"/>
  <c r="W691" i="16" s="1"/>
  <c r="W683" i="16" s="1"/>
  <c r="W682" i="16" s="1"/>
  <c r="W680" i="16" s="1"/>
  <c r="W679" i="16" s="1"/>
  <c r="X621" i="16"/>
  <c r="X636" i="16" s="1"/>
  <c r="Z609" i="16"/>
  <c r="Z634" i="16" s="1"/>
  <c r="AB591" i="16"/>
  <c r="AB595" i="16" s="1"/>
  <c r="AA2" i="10"/>
  <c r="AB3" i="10"/>
  <c r="AB3" i="16"/>
  <c r="AA558" i="16"/>
  <c r="AB597" i="16"/>
  <c r="AA604" i="16"/>
  <c r="AA623" i="16"/>
  <c r="Z626" i="16"/>
  <c r="J19" i="12"/>
  <c r="AA580" i="16" l="1"/>
  <c r="AA578" i="16" a="1"/>
  <c r="AA578" i="16" s="1"/>
  <c r="AA579" i="16"/>
  <c r="Z581" i="16"/>
  <c r="AE593" i="16"/>
  <c r="AD647" i="16"/>
  <c r="AE646" i="16"/>
  <c r="AF592" i="16"/>
  <c r="AB687" i="16"/>
  <c r="AB688" i="16"/>
  <c r="AB689" i="16"/>
  <c r="AB690" i="16"/>
  <c r="AA633" i="16"/>
  <c r="AA609" i="16"/>
  <c r="AA634" i="16" s="1"/>
  <c r="X628" i="16"/>
  <c r="X629" i="16" s="1"/>
  <c r="X637" i="16" s="1"/>
  <c r="X691" i="16" s="1"/>
  <c r="X683" i="16" s="1"/>
  <c r="X682" i="16" s="1"/>
  <c r="X680" i="16" s="1"/>
  <c r="X679" i="16" s="1"/>
  <c r="Z616" i="16"/>
  <c r="Z635" i="16" s="1"/>
  <c r="AC591" i="16"/>
  <c r="AC595" i="16" s="1"/>
  <c r="AB2" i="10"/>
  <c r="AC3" i="10"/>
  <c r="AB604" i="16"/>
  <c r="AC597" i="16"/>
  <c r="AB623" i="16"/>
  <c r="AA626" i="16"/>
  <c r="AC3" i="16"/>
  <c r="AB558" i="16"/>
  <c r="L19" i="12"/>
  <c r="M19" i="12"/>
  <c r="R19" i="12"/>
  <c r="Y19" i="12"/>
  <c r="P20" i="12"/>
  <c r="Q20" i="12" s="1"/>
  <c r="F20" i="12"/>
  <c r="AB579" i="16" l="1"/>
  <c r="AB580" i="16"/>
  <c r="AB578" i="16" a="1"/>
  <c r="AB578" i="16" s="1"/>
  <c r="AA581" i="16"/>
  <c r="AF646" i="16"/>
  <c r="AG592" i="16"/>
  <c r="AF593" i="16"/>
  <c r="AE647" i="16"/>
  <c r="AC687" i="16"/>
  <c r="AC688" i="16"/>
  <c r="AC689" i="16"/>
  <c r="AC690" i="16"/>
  <c r="AB633" i="16"/>
  <c r="AB609" i="16"/>
  <c r="AB634" i="16" s="1"/>
  <c r="Z621" i="16"/>
  <c r="Z636" i="16" s="1"/>
  <c r="AA616" i="16"/>
  <c r="AA635" i="16" s="1"/>
  <c r="AD591" i="16"/>
  <c r="AD595" i="16" s="1"/>
  <c r="AD3" i="16"/>
  <c r="AC558" i="16"/>
  <c r="AD3" i="10"/>
  <c r="AC2" i="10"/>
  <c r="Z1" i="10"/>
  <c r="AC623" i="16"/>
  <c r="AB626" i="16"/>
  <c r="AC604" i="16"/>
  <c r="AD597" i="16"/>
  <c r="J20" i="12"/>
  <c r="AC579" i="16" l="1"/>
  <c r="AC580" i="16"/>
  <c r="AC578" i="16" a="1"/>
  <c r="AC578" i="16" s="1"/>
  <c r="AB581" i="16"/>
  <c r="AG593" i="16"/>
  <c r="AF647" i="16"/>
  <c r="AG646" i="16"/>
  <c r="AH592" i="16"/>
  <c r="AD687" i="16"/>
  <c r="AD688" i="16"/>
  <c r="AD689" i="16"/>
  <c r="AD690" i="16"/>
  <c r="AC633" i="16"/>
  <c r="AC609" i="16"/>
  <c r="AC634" i="16" s="1"/>
  <c r="AA621" i="16"/>
  <c r="AA636" i="16" s="1"/>
  <c r="Z628" i="16"/>
  <c r="Z629" i="16" s="1"/>
  <c r="Z637" i="16" s="1"/>
  <c r="Z691" i="16" s="1"/>
  <c r="Z683" i="16" s="1"/>
  <c r="Z682" i="16" s="1"/>
  <c r="Z680" i="16" s="1"/>
  <c r="Z679" i="16" s="1"/>
  <c r="AB616" i="16"/>
  <c r="AB635" i="16" s="1"/>
  <c r="AE591" i="16"/>
  <c r="AE595" i="16" s="1"/>
  <c r="AE3" i="16"/>
  <c r="AD558" i="16"/>
  <c r="AD2" i="10"/>
  <c r="AE3" i="10"/>
  <c r="AC626" i="16"/>
  <c r="AD623" i="16"/>
  <c r="AD604" i="16"/>
  <c r="AE597" i="16"/>
  <c r="L20" i="12"/>
  <c r="M20" i="12"/>
  <c r="Y20" i="12"/>
  <c r="R20" i="12" s="1"/>
  <c r="P21" i="12"/>
  <c r="Q21" i="12" s="1"/>
  <c r="F21" i="12"/>
  <c r="AC581" i="16" l="1"/>
  <c r="AD578" i="16" a="1"/>
  <c r="AD578" i="16" s="1"/>
  <c r="AD580" i="16"/>
  <c r="AD579" i="16"/>
  <c r="AH646" i="16"/>
  <c r="AI592" i="16"/>
  <c r="AH593" i="16"/>
  <c r="AG647" i="16"/>
  <c r="AE687" i="16"/>
  <c r="AE688" i="16"/>
  <c r="AE689" i="16"/>
  <c r="AE690" i="16"/>
  <c r="AD633" i="16"/>
  <c r="AB621" i="16"/>
  <c r="AB636" i="16" s="1"/>
  <c r="AA628" i="16"/>
  <c r="AA629" i="16" s="1"/>
  <c r="AA637" i="16" s="1"/>
  <c r="AA691" i="16" s="1"/>
  <c r="AA683" i="16" s="1"/>
  <c r="AA682" i="16" s="1"/>
  <c r="AA680" i="16" s="1"/>
  <c r="AA679" i="16" s="1"/>
  <c r="AC616" i="16"/>
  <c r="AC635" i="16" s="1"/>
  <c r="AD609" i="16"/>
  <c r="AD634" i="16" s="1"/>
  <c r="AF591" i="16"/>
  <c r="AF595" i="16" s="1"/>
  <c r="AE604" i="16"/>
  <c r="AF597" i="16"/>
  <c r="AE2" i="10"/>
  <c r="AF3" i="10"/>
  <c r="AF3" i="16"/>
  <c r="AE558" i="16"/>
  <c r="AE623" i="16"/>
  <c r="AD626" i="16"/>
  <c r="J21" i="12"/>
  <c r="AE578" i="16" l="1" a="1"/>
  <c r="AE578" i="16" s="1"/>
  <c r="AE579" i="16"/>
  <c r="AE580" i="16"/>
  <c r="AD581" i="16"/>
  <c r="AI593" i="16"/>
  <c r="AH647" i="16"/>
  <c r="AI646" i="16"/>
  <c r="AJ592" i="16"/>
  <c r="AE633" i="16"/>
  <c r="AF688" i="16"/>
  <c r="AF687" i="16"/>
  <c r="AF689" i="16"/>
  <c r="AF690" i="16"/>
  <c r="AD616" i="16"/>
  <c r="AD635" i="16" s="1"/>
  <c r="AC621" i="16"/>
  <c r="AC636" i="16" s="1"/>
  <c r="AE609" i="16"/>
  <c r="AE634" i="16" s="1"/>
  <c r="AB628" i="16"/>
  <c r="AB629" i="16" s="1"/>
  <c r="AB637" i="16" s="1"/>
  <c r="AB691" i="16" s="1"/>
  <c r="AB683" i="16" s="1"/>
  <c r="AB682" i="16" s="1"/>
  <c r="AB680" i="16" s="1"/>
  <c r="AB679" i="16" s="1"/>
  <c r="AG591" i="16"/>
  <c r="AG595" i="16" s="1"/>
  <c r="AF604" i="16"/>
  <c r="AG597" i="16"/>
  <c r="AE626" i="16"/>
  <c r="AF623" i="16"/>
  <c r="AF2" i="10"/>
  <c r="AG3" i="10"/>
  <c r="AG3" i="16"/>
  <c r="AF558" i="16"/>
  <c r="L21" i="12"/>
  <c r="M21" i="12"/>
  <c r="R21" i="12"/>
  <c r="Y21" i="12"/>
  <c r="P22" i="12"/>
  <c r="Q22" i="12"/>
  <c r="F22" i="12"/>
  <c r="AE581" i="16" l="1"/>
  <c r="AF580" i="16"/>
  <c r="AF578" i="16" a="1"/>
  <c r="AF578" i="16" s="1"/>
  <c r="AF579" i="16"/>
  <c r="AJ646" i="16"/>
  <c r="AK592" i="16"/>
  <c r="AJ593" i="16"/>
  <c r="AI647" i="16"/>
  <c r="AF633" i="16"/>
  <c r="AG687" i="16"/>
  <c r="AG688" i="16"/>
  <c r="AG689" i="16"/>
  <c r="AG690" i="16"/>
  <c r="AE616" i="16"/>
  <c r="AE635" i="16" s="1"/>
  <c r="AD621" i="16"/>
  <c r="AD636" i="16" s="1"/>
  <c r="AF609" i="16"/>
  <c r="AF634" i="16" s="1"/>
  <c r="AC628" i="16"/>
  <c r="AC629" i="16" s="1"/>
  <c r="AC637" i="16" s="1"/>
  <c r="AC691" i="16" s="1"/>
  <c r="AC683" i="16" s="1"/>
  <c r="AC682" i="16" s="1"/>
  <c r="AC680" i="16" s="1"/>
  <c r="AC679" i="16" s="1"/>
  <c r="AH591" i="16"/>
  <c r="AH595" i="16" s="1"/>
  <c r="AG623" i="16"/>
  <c r="AF626" i="16"/>
  <c r="AH597" i="16"/>
  <c r="AG604" i="16"/>
  <c r="AD1" i="10"/>
  <c r="AG2" i="10"/>
  <c r="AH3" i="10"/>
  <c r="AH3" i="16"/>
  <c r="AG558" i="16"/>
  <c r="J22" i="12"/>
  <c r="AG578" i="16" l="1" a="1"/>
  <c r="AG578" i="16" s="1"/>
  <c r="AG580" i="16"/>
  <c r="AG579" i="16"/>
  <c r="AF581" i="16"/>
  <c r="AK646" i="16"/>
  <c r="AL592" i="16"/>
  <c r="AK593" i="16"/>
  <c r="AJ647" i="16"/>
  <c r="AH687" i="16"/>
  <c r="AH688" i="16"/>
  <c r="AH689" i="16"/>
  <c r="AH690" i="16"/>
  <c r="AG633" i="16"/>
  <c r="AF616" i="16"/>
  <c r="AF635" i="16" s="1"/>
  <c r="AD628" i="16"/>
  <c r="AD629" i="16" s="1"/>
  <c r="AD637" i="16" s="1"/>
  <c r="AD691" i="16" s="1"/>
  <c r="AD683" i="16" s="1"/>
  <c r="AD682" i="16" s="1"/>
  <c r="AD680" i="16" s="1"/>
  <c r="AD679" i="16" s="1"/>
  <c r="AG609" i="16"/>
  <c r="AG634" i="16" s="1"/>
  <c r="AE621" i="16"/>
  <c r="AE636" i="16" s="1"/>
  <c r="AI591" i="16"/>
  <c r="AI595" i="16" s="1"/>
  <c r="AI3" i="10"/>
  <c r="AH2" i="10"/>
  <c r="AI3" i="16"/>
  <c r="AH558" i="16"/>
  <c r="AI597" i="16"/>
  <c r="AH604" i="16"/>
  <c r="AH623" i="16"/>
  <c r="AG626" i="16"/>
  <c r="L22" i="12"/>
  <c r="M22" i="12"/>
  <c r="R22" i="12"/>
  <c r="Y22" i="12"/>
  <c r="R18" i="12" s="1"/>
  <c r="P23" i="12"/>
  <c r="Q23" i="12"/>
  <c r="F23" i="12"/>
  <c r="AG581" i="16" l="1"/>
  <c r="AH578" i="16" a="1"/>
  <c r="AH578" i="16" s="1"/>
  <c r="AH579" i="16"/>
  <c r="AH580" i="16"/>
  <c r="AL593" i="16"/>
  <c r="AK647" i="16"/>
  <c r="AL646" i="16"/>
  <c r="AM592" i="16"/>
  <c r="AI687" i="16"/>
  <c r="AI688" i="16"/>
  <c r="AI689" i="16"/>
  <c r="AI690" i="16"/>
  <c r="AH633" i="16"/>
  <c r="AH609" i="16"/>
  <c r="AH634" i="16" s="1"/>
  <c r="AG616" i="16"/>
  <c r="AG635" i="16" s="1"/>
  <c r="AF621" i="16"/>
  <c r="AF636" i="16" s="1"/>
  <c r="AE628" i="16"/>
  <c r="AE629" i="16" s="1"/>
  <c r="AE637" i="16" s="1"/>
  <c r="AE691" i="16" s="1"/>
  <c r="AE683" i="16" s="1"/>
  <c r="AE682" i="16" s="1"/>
  <c r="AE680" i="16" s="1"/>
  <c r="AE679" i="16" s="1"/>
  <c r="AJ591" i="16"/>
  <c r="AJ595" i="16" s="1"/>
  <c r="AJ3" i="10"/>
  <c r="AI2" i="10"/>
  <c r="AI623" i="16"/>
  <c r="AH626" i="16"/>
  <c r="AJ597" i="16"/>
  <c r="AI604" i="16"/>
  <c r="AI2" i="16"/>
  <c r="X1" i="16"/>
  <c r="Z2" i="16"/>
  <c r="AB2" i="16"/>
  <c r="AC2" i="16"/>
  <c r="AD2" i="16"/>
  <c r="X2" i="16"/>
  <c r="AA2" i="16"/>
  <c r="Y2" i="16"/>
  <c r="AE2" i="16"/>
  <c r="AF2" i="16"/>
  <c r="AG2" i="16"/>
  <c r="AH2" i="16"/>
  <c r="AJ3" i="16"/>
  <c r="AI558" i="16"/>
  <c r="J23" i="12"/>
  <c r="AH581" i="16" l="1"/>
  <c r="AI579" i="16"/>
  <c r="AI580" i="16"/>
  <c r="AI578" i="16" a="1"/>
  <c r="AI578" i="16" s="1"/>
  <c r="AM646" i="16"/>
  <c r="AN592" i="16"/>
  <c r="AM593" i="16"/>
  <c r="AL647" i="16"/>
  <c r="AJ687" i="16"/>
  <c r="AJ688" i="16"/>
  <c r="AJ689" i="16"/>
  <c r="AJ690" i="16"/>
  <c r="AI633" i="16"/>
  <c r="AG621" i="16"/>
  <c r="AG636" i="16" s="1"/>
  <c r="AI609" i="16"/>
  <c r="AI634" i="16" s="1"/>
  <c r="AF628" i="16"/>
  <c r="AF629" i="16" s="1"/>
  <c r="AF637" i="16" s="1"/>
  <c r="AF691" i="16" s="1"/>
  <c r="AF683" i="16" s="1"/>
  <c r="AF682" i="16" s="1"/>
  <c r="AF680" i="16" s="1"/>
  <c r="AF679" i="16" s="1"/>
  <c r="AH616" i="16"/>
  <c r="AH635" i="16" s="1"/>
  <c r="AK591" i="16"/>
  <c r="AK595" i="16" s="1"/>
  <c r="AK597" i="16"/>
  <c r="AJ604" i="16"/>
  <c r="AK3" i="10"/>
  <c r="AJ2" i="10"/>
  <c r="AK3" i="16"/>
  <c r="AJ558" i="16"/>
  <c r="AJ623" i="16"/>
  <c r="AI626" i="16"/>
  <c r="L23" i="12"/>
  <c r="M23" i="12"/>
  <c r="Y23" i="12"/>
  <c r="R23" i="12" s="1"/>
  <c r="J25" i="12"/>
  <c r="K25" i="12"/>
  <c r="J26" i="12"/>
  <c r="K26" i="12"/>
  <c r="J27" i="12"/>
  <c r="K27" i="12"/>
  <c r="J28" i="12"/>
  <c r="K28" i="12"/>
  <c r="C31" i="12"/>
  <c r="O114" i="1" s="1"/>
  <c r="C3" i="14"/>
  <c r="C5" i="14"/>
  <c r="I10" i="14"/>
  <c r="L10" i="14"/>
  <c r="M10" i="14"/>
  <c r="N10" i="14"/>
  <c r="I11" i="14"/>
  <c r="N11" i="14" s="1"/>
  <c r="L11" i="14"/>
  <c r="M11" i="14"/>
  <c r="I12" i="14"/>
  <c r="N12" i="14" s="1"/>
  <c r="M144" i="1" s="1"/>
  <c r="L12" i="14"/>
  <c r="M12" i="14"/>
  <c r="I13" i="14"/>
  <c r="L13" i="14"/>
  <c r="M13" i="14"/>
  <c r="I14" i="14"/>
  <c r="L14" i="14"/>
  <c r="M14" i="14"/>
  <c r="N14" i="14"/>
  <c r="I15" i="14"/>
  <c r="N15" i="14" s="1"/>
  <c r="L15" i="14"/>
  <c r="M15" i="14"/>
  <c r="I16" i="14"/>
  <c r="L16" i="14"/>
  <c r="M16" i="14"/>
  <c r="N16" i="14"/>
  <c r="I17" i="14"/>
  <c r="N17" i="14" s="1"/>
  <c r="L17" i="14"/>
  <c r="M17" i="14"/>
  <c r="I18" i="14"/>
  <c r="N18" i="14" s="1"/>
  <c r="M150" i="1" s="1"/>
  <c r="L18" i="14"/>
  <c r="M18" i="14"/>
  <c r="I19" i="14"/>
  <c r="N19" i="14" s="1"/>
  <c r="L19" i="14"/>
  <c r="M19" i="14"/>
  <c r="I20" i="14"/>
  <c r="N20" i="14" s="1"/>
  <c r="M152" i="1" s="1"/>
  <c r="L20" i="14"/>
  <c r="M20" i="14"/>
  <c r="I21" i="14"/>
  <c r="N21" i="14" s="1"/>
  <c r="L21" i="14"/>
  <c r="M21" i="14"/>
  <c r="I22" i="14"/>
  <c r="L22" i="14"/>
  <c r="M22" i="14"/>
  <c r="N22" i="14"/>
  <c r="I23" i="14"/>
  <c r="N23" i="14" s="1"/>
  <c r="L23" i="14"/>
  <c r="M23" i="14"/>
  <c r="F25" i="14"/>
  <c r="M25" i="14" s="1"/>
  <c r="G25" i="14"/>
  <c r="H25" i="14"/>
  <c r="J25" i="14"/>
  <c r="K25" i="14"/>
  <c r="F26" i="14"/>
  <c r="M26" i="14" s="1"/>
  <c r="G26" i="14"/>
  <c r="H26" i="14"/>
  <c r="J26" i="14"/>
  <c r="K26" i="14"/>
  <c r="C3" i="17"/>
  <c r="C5" i="17"/>
  <c r="E11" i="17"/>
  <c r="E12" i="17" s="1"/>
  <c r="M12" i="17"/>
  <c r="F22" i="17" s="1"/>
  <c r="G22" i="17" s="1"/>
  <c r="E16" i="17"/>
  <c r="E17" i="17" s="1"/>
  <c r="I17" i="17"/>
  <c r="L23" i="17"/>
  <c r="C24" i="17"/>
  <c r="C25" i="17" s="1"/>
  <c r="C26" i="17" s="1"/>
  <c r="C27" i="17" s="1"/>
  <c r="E24" i="17"/>
  <c r="E25" i="17" s="1"/>
  <c r="E26" i="17" s="1"/>
  <c r="E27" i="17" s="1"/>
  <c r="L24" i="17"/>
  <c r="L25" i="17"/>
  <c r="L26" i="17"/>
  <c r="L27" i="17"/>
  <c r="E41" i="17"/>
  <c r="E42" i="17" s="1"/>
  <c r="M42" i="17"/>
  <c r="F52" i="17" s="1"/>
  <c r="G52" i="17" s="1"/>
  <c r="E46" i="17"/>
  <c r="E47" i="17" s="1"/>
  <c r="I47" i="17"/>
  <c r="L53" i="17"/>
  <c r="C54" i="17"/>
  <c r="C55" i="17" s="1"/>
  <c r="C56" i="17" s="1"/>
  <c r="C57" i="17" s="1"/>
  <c r="E54" i="17"/>
  <c r="E55" i="17" s="1"/>
  <c r="E56" i="17" s="1"/>
  <c r="E57" i="17" s="1"/>
  <c r="L54" i="17"/>
  <c r="L55" i="17"/>
  <c r="L56" i="17"/>
  <c r="L57" i="17"/>
  <c r="E71" i="17"/>
  <c r="T390" i="17" s="1"/>
  <c r="H22" i="1" s="1"/>
  <c r="M72" i="17"/>
  <c r="F82" i="17" s="1"/>
  <c r="G82" i="17" s="1"/>
  <c r="E76" i="17"/>
  <c r="Y390" i="17" s="1"/>
  <c r="O22" i="1" s="1"/>
  <c r="R22" i="1" s="1"/>
  <c r="I77" i="17"/>
  <c r="L83" i="17"/>
  <c r="C84" i="17"/>
  <c r="C85" i="17" s="1"/>
  <c r="C86" i="17" s="1"/>
  <c r="C87" i="17" s="1"/>
  <c r="E84" i="17"/>
  <c r="E85" i="17" s="1"/>
  <c r="E86" i="17" s="1"/>
  <c r="E87" i="17" s="1"/>
  <c r="L84" i="17"/>
  <c r="L85" i="17"/>
  <c r="W390" i="17" s="1" a="1"/>
  <c r="W390" i="17" s="1"/>
  <c r="L22" i="1" s="1"/>
  <c r="L86" i="17"/>
  <c r="L87" i="17"/>
  <c r="E101" i="17"/>
  <c r="E102" i="17" s="1"/>
  <c r="M102" i="17"/>
  <c r="F112" i="17" s="1"/>
  <c r="G112" i="17" s="1"/>
  <c r="E106" i="17"/>
  <c r="E107" i="17" s="1"/>
  <c r="I107" i="17"/>
  <c r="L113" i="17"/>
  <c r="C114" i="17"/>
  <c r="C115" i="17" s="1"/>
  <c r="C116" i="17" s="1"/>
  <c r="C117" i="17" s="1"/>
  <c r="E114" i="17"/>
  <c r="E115" i="17" s="1"/>
  <c r="E116" i="17" s="1"/>
  <c r="E117" i="17" s="1"/>
  <c r="L114" i="17"/>
  <c r="L115" i="17"/>
  <c r="W391" i="17" s="1" a="1"/>
  <c r="W391" i="17" s="1"/>
  <c r="L23" i="1" s="1"/>
  <c r="L116" i="17"/>
  <c r="L117" i="17"/>
  <c r="E131" i="17"/>
  <c r="E132" i="17" s="1"/>
  <c r="M132" i="17"/>
  <c r="F142" i="17" s="1"/>
  <c r="G142" i="17" s="1"/>
  <c r="E136" i="17"/>
  <c r="E137" i="17" s="1"/>
  <c r="I137" i="17"/>
  <c r="L143" i="17"/>
  <c r="C144" i="17"/>
  <c r="C145" i="17" s="1"/>
  <c r="C146" i="17" s="1"/>
  <c r="C147" i="17" s="1"/>
  <c r="E144" i="17"/>
  <c r="E145" i="17" s="1"/>
  <c r="E146" i="17" s="1"/>
  <c r="E147" i="17" s="1"/>
  <c r="L144" i="17"/>
  <c r="L145" i="17"/>
  <c r="W392" i="17" s="1" a="1"/>
  <c r="W392" i="17" s="1"/>
  <c r="L24" i="1" s="1"/>
  <c r="L146" i="17"/>
  <c r="L147" i="17"/>
  <c r="E161" i="17"/>
  <c r="E162" i="17" s="1"/>
  <c r="M162" i="17"/>
  <c r="F172" i="17" s="1"/>
  <c r="G172" i="17" s="1"/>
  <c r="E166" i="17"/>
  <c r="E167" i="17" s="1"/>
  <c r="I167" i="17"/>
  <c r="L173" i="17"/>
  <c r="C174" i="17"/>
  <c r="C175" i="17" s="1"/>
  <c r="C176" i="17" s="1"/>
  <c r="C177" i="17" s="1"/>
  <c r="E174" i="17"/>
  <c r="E175" i="17" s="1"/>
  <c r="E176" i="17" s="1"/>
  <c r="E177" i="17" s="1"/>
  <c r="L174" i="17"/>
  <c r="L175" i="17"/>
  <c r="W393" i="17" s="1" a="1"/>
  <c r="W393" i="17" s="1"/>
  <c r="L25" i="1" s="1"/>
  <c r="L176" i="17"/>
  <c r="L177" i="17"/>
  <c r="E191" i="17"/>
  <c r="T394" i="17" s="1"/>
  <c r="H26" i="1" s="1"/>
  <c r="M192" i="17"/>
  <c r="F202" i="17" s="1"/>
  <c r="G202" i="17" s="1"/>
  <c r="E196" i="17"/>
  <c r="E197" i="17" s="1"/>
  <c r="I197" i="17"/>
  <c r="L203" i="17"/>
  <c r="C204" i="17"/>
  <c r="C205" i="17" s="1"/>
  <c r="C206" i="17" s="1"/>
  <c r="C207" i="17" s="1"/>
  <c r="E204" i="17"/>
  <c r="E205" i="17" s="1"/>
  <c r="E206" i="17" s="1"/>
  <c r="E207" i="17" s="1"/>
  <c r="L204" i="17"/>
  <c r="L205" i="17"/>
  <c r="W394" i="17" s="1" a="1"/>
  <c r="W394" i="17" s="1"/>
  <c r="L26" i="1" s="1"/>
  <c r="L206" i="17"/>
  <c r="L207" i="17"/>
  <c r="E221" i="17"/>
  <c r="E222" i="17" s="1"/>
  <c r="M222" i="17"/>
  <c r="F232" i="17" s="1"/>
  <c r="G232" i="17" s="1"/>
  <c r="E226" i="17"/>
  <c r="Y395" i="17" s="1"/>
  <c r="O27" i="1" s="1"/>
  <c r="R27" i="1" s="1"/>
  <c r="I227" i="17"/>
  <c r="F234" i="17"/>
  <c r="L233" i="17"/>
  <c r="C234" i="17"/>
  <c r="C235" i="17" s="1"/>
  <c r="C236" i="17" s="1"/>
  <c r="C237" i="17" s="1"/>
  <c r="E234" i="17"/>
  <c r="E235" i="17" s="1"/>
  <c r="E236" i="17" s="1"/>
  <c r="E237" i="17" s="1"/>
  <c r="L234" i="17"/>
  <c r="L235" i="17"/>
  <c r="W395" i="17" s="1" a="1"/>
  <c r="W395" i="17" s="1"/>
  <c r="L27" i="1" s="1"/>
  <c r="L236" i="17"/>
  <c r="L237" i="17"/>
  <c r="E251" i="17"/>
  <c r="E252" i="17" s="1"/>
  <c r="M252" i="17"/>
  <c r="F262" i="17" s="1"/>
  <c r="G262" i="17" s="1"/>
  <c r="E256" i="17"/>
  <c r="E257" i="17" s="1"/>
  <c r="I257" i="17"/>
  <c r="L263" i="17"/>
  <c r="C264" i="17"/>
  <c r="C265" i="17" s="1"/>
  <c r="C266" i="17" s="1"/>
  <c r="C267" i="17" s="1"/>
  <c r="E264" i="17"/>
  <c r="E265" i="17" s="1"/>
  <c r="E266" i="17" s="1"/>
  <c r="E267" i="17" s="1"/>
  <c r="L264" i="17"/>
  <c r="L265" i="17"/>
  <c r="W396" i="17" s="1" a="1"/>
  <c r="W396" i="17" s="1"/>
  <c r="L28" i="1" s="1"/>
  <c r="L266" i="17"/>
  <c r="L267" i="17"/>
  <c r="E281" i="17"/>
  <c r="E282" i="17" s="1"/>
  <c r="M282" i="17"/>
  <c r="F292" i="17" s="1"/>
  <c r="G292" i="17" s="1"/>
  <c r="E286" i="17"/>
  <c r="Y397" i="17" s="1"/>
  <c r="O29" i="1" s="1"/>
  <c r="R29" i="1" s="1"/>
  <c r="I287" i="17"/>
  <c r="L293" i="17"/>
  <c r="C294" i="17"/>
  <c r="C295" i="17" s="1"/>
  <c r="C296" i="17" s="1"/>
  <c r="C297" i="17" s="1"/>
  <c r="E294" i="17"/>
  <c r="E295" i="17" s="1"/>
  <c r="E296" i="17" s="1"/>
  <c r="E297" i="17" s="1"/>
  <c r="L294" i="17"/>
  <c r="L295" i="17"/>
  <c r="W397" i="17" s="1" a="1"/>
  <c r="W397" i="17" s="1"/>
  <c r="L29" i="1" s="1"/>
  <c r="L296" i="17"/>
  <c r="L297" i="17"/>
  <c r="E311" i="17"/>
  <c r="E312" i="17" s="1"/>
  <c r="M312" i="17"/>
  <c r="F322" i="17" s="1"/>
  <c r="G322" i="17" s="1"/>
  <c r="E316" i="17"/>
  <c r="E317" i="17" s="1"/>
  <c r="I317" i="17"/>
  <c r="L323" i="17"/>
  <c r="C324" i="17"/>
  <c r="C325" i="17" s="1"/>
  <c r="C326" i="17" s="1"/>
  <c r="C327" i="17" s="1"/>
  <c r="E324" i="17"/>
  <c r="E325" i="17" s="1"/>
  <c r="E326" i="17" s="1"/>
  <c r="E327" i="17" s="1"/>
  <c r="L324" i="17"/>
  <c r="L325" i="17"/>
  <c r="W398" i="17" s="1" a="1"/>
  <c r="W398" i="17" s="1"/>
  <c r="L30" i="1" s="1"/>
  <c r="L326" i="17"/>
  <c r="L327" i="17"/>
  <c r="E341" i="17"/>
  <c r="E342" i="17" s="1"/>
  <c r="M342" i="17"/>
  <c r="F352" i="17" s="1"/>
  <c r="G352" i="17" s="1"/>
  <c r="E346" i="17"/>
  <c r="Y399" i="17" s="1"/>
  <c r="O31" i="1" s="1"/>
  <c r="R31" i="1" s="1"/>
  <c r="I347" i="17"/>
  <c r="L353" i="17"/>
  <c r="C354" i="17"/>
  <c r="C355" i="17" s="1"/>
  <c r="C356" i="17" s="1"/>
  <c r="C357" i="17" s="1"/>
  <c r="E354" i="17"/>
  <c r="E355" i="17" s="1"/>
  <c r="E356" i="17" s="1"/>
  <c r="E357" i="17" s="1"/>
  <c r="L354" i="17"/>
  <c r="L355" i="17"/>
  <c r="W399" i="17" s="1" a="1"/>
  <c r="W399" i="17" s="1"/>
  <c r="L31" i="1" s="1"/>
  <c r="L356" i="17"/>
  <c r="L357" i="17"/>
  <c r="I374" i="17"/>
  <c r="E375" i="17"/>
  <c r="I375" i="17"/>
  <c r="P388" i="17"/>
  <c r="C20" i="1" s="1"/>
  <c r="S388" i="17"/>
  <c r="G20" i="1" s="1"/>
  <c r="X388" i="17"/>
  <c r="M20" i="1" s="1"/>
  <c r="Y388" i="17"/>
  <c r="O20" i="1" s="1"/>
  <c r="R20" i="1" s="1"/>
  <c r="Z388" i="17"/>
  <c r="T20" i="1" s="1"/>
  <c r="AA388" i="17"/>
  <c r="S20" i="1" s="1"/>
  <c r="AB388" i="17"/>
  <c r="U20" i="1" s="1"/>
  <c r="AC388" i="17"/>
  <c r="V20" i="1" s="1"/>
  <c r="AD388" i="17"/>
  <c r="W20" i="1" s="1"/>
  <c r="P389" i="17"/>
  <c r="C21" i="1" s="1"/>
  <c r="S389" i="17"/>
  <c r="G21" i="1" s="1"/>
  <c r="X389" i="17"/>
  <c r="M21" i="1" s="1"/>
  <c r="Z389" i="17"/>
  <c r="T21" i="1" s="1"/>
  <c r="AA389" i="17"/>
  <c r="S21" i="1" s="1"/>
  <c r="AB389" i="17"/>
  <c r="U21" i="1" s="1"/>
  <c r="AC389" i="17"/>
  <c r="V21" i="1" s="1"/>
  <c r="AD389" i="17"/>
  <c r="W21" i="1" s="1"/>
  <c r="P390" i="17"/>
  <c r="C22" i="1" s="1"/>
  <c r="S390" i="17"/>
  <c r="G22" i="1" s="1"/>
  <c r="U390" i="17"/>
  <c r="J22" i="1" s="1"/>
  <c r="X390" i="17"/>
  <c r="M22" i="1" s="1"/>
  <c r="Z390" i="17"/>
  <c r="T22" i="1" s="1"/>
  <c r="AA390" i="17"/>
  <c r="S22" i="1" s="1"/>
  <c r="AB390" i="17"/>
  <c r="U22" i="1" s="1"/>
  <c r="AC390" i="17"/>
  <c r="V22" i="1" s="1"/>
  <c r="AD390" i="17"/>
  <c r="W22" i="1" s="1"/>
  <c r="P391" i="17"/>
  <c r="C23" i="1" s="1"/>
  <c r="S391" i="17"/>
  <c r="G23" i="1" s="1"/>
  <c r="U391" i="17"/>
  <c r="J23" i="1" s="1"/>
  <c r="X391" i="17"/>
  <c r="M23" i="1" s="1"/>
  <c r="Z391" i="17"/>
  <c r="T23" i="1" s="1"/>
  <c r="AA391" i="17"/>
  <c r="S23" i="1" s="1"/>
  <c r="AB391" i="17"/>
  <c r="U23" i="1" s="1"/>
  <c r="AC391" i="17"/>
  <c r="V23" i="1" s="1"/>
  <c r="AD391" i="17"/>
  <c r="P392" i="17"/>
  <c r="C24" i="1" s="1"/>
  <c r="S392" i="17"/>
  <c r="G24" i="1" s="1"/>
  <c r="U392" i="17"/>
  <c r="J24" i="1" s="1"/>
  <c r="X392" i="17"/>
  <c r="M24" i="1" s="1"/>
  <c r="Z392" i="17"/>
  <c r="T24" i="1" s="1"/>
  <c r="AA392" i="17"/>
  <c r="S24" i="1" s="1"/>
  <c r="AB392" i="17"/>
  <c r="U24" i="1" s="1"/>
  <c r="AC392" i="17"/>
  <c r="V24" i="1" s="1"/>
  <c r="AD392" i="17"/>
  <c r="W24" i="1" s="1"/>
  <c r="P393" i="17"/>
  <c r="C25" i="1" s="1"/>
  <c r="S393" i="17"/>
  <c r="G25" i="1" s="1"/>
  <c r="U393" i="17"/>
  <c r="J25" i="1" s="1"/>
  <c r="X393" i="17"/>
  <c r="M25" i="1" s="1"/>
  <c r="Z393" i="17"/>
  <c r="T25" i="1" s="1"/>
  <c r="AA393" i="17"/>
  <c r="S25" i="1" s="1"/>
  <c r="AB393" i="17"/>
  <c r="U25" i="1" s="1"/>
  <c r="AC393" i="17"/>
  <c r="V25" i="1" s="1"/>
  <c r="AD393" i="17"/>
  <c r="W25" i="1" s="1"/>
  <c r="P394" i="17"/>
  <c r="C26" i="1" s="1"/>
  <c r="S394" i="17"/>
  <c r="G26" i="1" s="1"/>
  <c r="U394" i="17"/>
  <c r="J26" i="1" s="1"/>
  <c r="X394" i="17"/>
  <c r="M26" i="1" s="1"/>
  <c r="Z394" i="17"/>
  <c r="T26" i="1" s="1"/>
  <c r="AA394" i="17"/>
  <c r="S26" i="1" s="1"/>
  <c r="AB394" i="17"/>
  <c r="U26" i="1" s="1"/>
  <c r="AC394" i="17"/>
  <c r="V26" i="1" s="1"/>
  <c r="AD394" i="17"/>
  <c r="P395" i="17"/>
  <c r="C27" i="1" s="1"/>
  <c r="S395" i="17"/>
  <c r="G27" i="1" s="1"/>
  <c r="U395" i="17"/>
  <c r="J27" i="1" s="1"/>
  <c r="X395" i="17"/>
  <c r="M27" i="1" s="1"/>
  <c r="Z395" i="17"/>
  <c r="T27" i="1" s="1"/>
  <c r="AA395" i="17"/>
  <c r="S27" i="1" s="1"/>
  <c r="AB395" i="17"/>
  <c r="U27" i="1" s="1"/>
  <c r="AC395" i="17"/>
  <c r="V27" i="1" s="1"/>
  <c r="AD395" i="17"/>
  <c r="W27" i="1" s="1"/>
  <c r="P396" i="17"/>
  <c r="C28" i="1" s="1"/>
  <c r="S396" i="17"/>
  <c r="G28" i="1" s="1"/>
  <c r="U396" i="17"/>
  <c r="J28" i="1" s="1"/>
  <c r="X396" i="17"/>
  <c r="M28" i="1" s="1"/>
  <c r="Z396" i="17"/>
  <c r="T28" i="1" s="1"/>
  <c r="AA396" i="17"/>
  <c r="S28" i="1" s="1"/>
  <c r="AB396" i="17"/>
  <c r="U28" i="1" s="1"/>
  <c r="AC396" i="17"/>
  <c r="V28" i="1" s="1"/>
  <c r="AD396" i="17"/>
  <c r="W28" i="1" s="1"/>
  <c r="P397" i="17"/>
  <c r="C29" i="1" s="1"/>
  <c r="S397" i="17"/>
  <c r="G29" i="1" s="1"/>
  <c r="U397" i="17"/>
  <c r="J29" i="1" s="1"/>
  <c r="X397" i="17"/>
  <c r="M29" i="1" s="1"/>
  <c r="Z397" i="17"/>
  <c r="T29" i="1" s="1"/>
  <c r="AA397" i="17"/>
  <c r="S29" i="1" s="1"/>
  <c r="AB397" i="17"/>
  <c r="U29" i="1" s="1"/>
  <c r="AC397" i="17"/>
  <c r="V29" i="1" s="1"/>
  <c r="AD397" i="17"/>
  <c r="W29" i="1" s="1"/>
  <c r="P398" i="17"/>
  <c r="C30" i="1" s="1"/>
  <c r="S398" i="17"/>
  <c r="G30" i="1" s="1"/>
  <c r="U398" i="17"/>
  <c r="J30" i="1" s="1"/>
  <c r="X398" i="17"/>
  <c r="M30" i="1" s="1"/>
  <c r="Z398" i="17"/>
  <c r="T30" i="1" s="1"/>
  <c r="AA398" i="17"/>
  <c r="S30" i="1" s="1"/>
  <c r="AB398" i="17"/>
  <c r="U30" i="1" s="1"/>
  <c r="AC398" i="17"/>
  <c r="V30" i="1" s="1"/>
  <c r="AD398" i="17"/>
  <c r="P399" i="17"/>
  <c r="C31" i="1" s="1"/>
  <c r="S399" i="17"/>
  <c r="G31" i="1" s="1"/>
  <c r="U399" i="17"/>
  <c r="J31" i="1" s="1"/>
  <c r="X399" i="17"/>
  <c r="M31" i="1" s="1"/>
  <c r="Z399" i="17"/>
  <c r="T31" i="1" s="1"/>
  <c r="AA399" i="17"/>
  <c r="S31" i="1" s="1"/>
  <c r="AB399" i="17"/>
  <c r="U31" i="1" s="1"/>
  <c r="AC399" i="17"/>
  <c r="V31" i="1" s="1"/>
  <c r="AD399" i="17"/>
  <c r="W31" i="1" s="1"/>
  <c r="P400" i="17"/>
  <c r="C32" i="1" s="1"/>
  <c r="S400" i="17"/>
  <c r="G32" i="1" s="1"/>
  <c r="X400" i="17"/>
  <c r="M32" i="1" s="1"/>
  <c r="Y400" i="17"/>
  <c r="O32" i="1" s="1"/>
  <c r="R32" i="1" s="1"/>
  <c r="C1" i="1"/>
  <c r="R1" i="1"/>
  <c r="U1" i="1"/>
  <c r="C3" i="1"/>
  <c r="C5" i="1"/>
  <c r="Y5" i="1"/>
  <c r="J20" i="1"/>
  <c r="L20" i="1"/>
  <c r="J21" i="1"/>
  <c r="L21" i="1"/>
  <c r="Q33" i="1"/>
  <c r="I47" i="1"/>
  <c r="C48" i="1"/>
  <c r="M48" i="1"/>
  <c r="C49" i="1"/>
  <c r="M49" i="1"/>
  <c r="M50" i="1"/>
  <c r="C51" i="1"/>
  <c r="C52" i="1"/>
  <c r="M52" i="1"/>
  <c r="C53" i="1"/>
  <c r="M53" i="1"/>
  <c r="C54" i="1"/>
  <c r="M54" i="1"/>
  <c r="C55" i="1"/>
  <c r="C56" i="1"/>
  <c r="M56" i="1"/>
  <c r="C57" i="1"/>
  <c r="M57" i="1"/>
  <c r="C58" i="1"/>
  <c r="M58" i="1"/>
  <c r="M60" i="1"/>
  <c r="C60" i="1"/>
  <c r="M61" i="1"/>
  <c r="C61" i="1"/>
  <c r="C62" i="1"/>
  <c r="M67" i="1"/>
  <c r="C63" i="1"/>
  <c r="M68" i="1"/>
  <c r="M69" i="1"/>
  <c r="C65" i="1"/>
  <c r="C66" i="1"/>
  <c r="C67" i="1"/>
  <c r="C68" i="1"/>
  <c r="C69" i="1"/>
  <c r="M64" i="1"/>
  <c r="C70" i="1"/>
  <c r="M65" i="1"/>
  <c r="C72" i="1"/>
  <c r="M71" i="1"/>
  <c r="C73" i="1"/>
  <c r="C74" i="1"/>
  <c r="M73" i="1"/>
  <c r="C75" i="1"/>
  <c r="M74" i="1"/>
  <c r="C77" i="1"/>
  <c r="C78" i="1"/>
  <c r="C79" i="1"/>
  <c r="C80" i="1"/>
  <c r="C82" i="1"/>
  <c r="O96" i="1"/>
  <c r="R96" i="1"/>
  <c r="S96" i="1"/>
  <c r="T96" i="1"/>
  <c r="U96" i="1"/>
  <c r="V96" i="1"/>
  <c r="W96" i="1"/>
  <c r="X96" i="1"/>
  <c r="Y96" i="1"/>
  <c r="O97" i="1"/>
  <c r="R97" i="1"/>
  <c r="S97" i="1"/>
  <c r="T97" i="1"/>
  <c r="U97" i="1"/>
  <c r="V97" i="1"/>
  <c r="W97" i="1"/>
  <c r="X97" i="1"/>
  <c r="Y97" i="1"/>
  <c r="O98" i="1"/>
  <c r="R98" i="1"/>
  <c r="S98" i="1"/>
  <c r="T98" i="1"/>
  <c r="U98" i="1"/>
  <c r="V98" i="1"/>
  <c r="W98" i="1"/>
  <c r="X98" i="1"/>
  <c r="Y98" i="1"/>
  <c r="O99" i="1"/>
  <c r="R99" i="1"/>
  <c r="S99" i="1"/>
  <c r="T99" i="1"/>
  <c r="U99" i="1"/>
  <c r="V99" i="1"/>
  <c r="W99" i="1"/>
  <c r="X99" i="1"/>
  <c r="Y99" i="1"/>
  <c r="O100" i="1"/>
  <c r="R100" i="1"/>
  <c r="S100" i="1"/>
  <c r="T100" i="1"/>
  <c r="U100" i="1"/>
  <c r="V100" i="1"/>
  <c r="W100" i="1"/>
  <c r="X100" i="1"/>
  <c r="Y100" i="1"/>
  <c r="O101" i="1"/>
  <c r="R101" i="1"/>
  <c r="S101" i="1"/>
  <c r="T101" i="1"/>
  <c r="U101" i="1"/>
  <c r="V101" i="1"/>
  <c r="W101" i="1"/>
  <c r="X101" i="1"/>
  <c r="Y101" i="1"/>
  <c r="O102" i="1"/>
  <c r="R102" i="1"/>
  <c r="S102" i="1"/>
  <c r="T102" i="1"/>
  <c r="U102" i="1"/>
  <c r="V102" i="1"/>
  <c r="W102" i="1"/>
  <c r="X102" i="1"/>
  <c r="Y102" i="1"/>
  <c r="O103" i="1"/>
  <c r="R103" i="1"/>
  <c r="S103" i="1"/>
  <c r="T103" i="1"/>
  <c r="U103" i="1"/>
  <c r="V103" i="1"/>
  <c r="W103" i="1"/>
  <c r="X103" i="1"/>
  <c r="Y103" i="1"/>
  <c r="O104" i="1"/>
  <c r="R104" i="1"/>
  <c r="S104" i="1"/>
  <c r="T104" i="1"/>
  <c r="U104" i="1"/>
  <c r="V104" i="1"/>
  <c r="W104" i="1"/>
  <c r="X104" i="1"/>
  <c r="Y104" i="1"/>
  <c r="O105" i="1"/>
  <c r="R105" i="1"/>
  <c r="S105" i="1"/>
  <c r="T105" i="1"/>
  <c r="U105" i="1"/>
  <c r="V105" i="1"/>
  <c r="W105" i="1"/>
  <c r="X105" i="1"/>
  <c r="Y105" i="1"/>
  <c r="O106" i="1"/>
  <c r="R106" i="1"/>
  <c r="S106" i="1"/>
  <c r="T106" i="1"/>
  <c r="U106" i="1"/>
  <c r="V106" i="1"/>
  <c r="W106" i="1"/>
  <c r="X106" i="1"/>
  <c r="Y106" i="1"/>
  <c r="O107" i="1"/>
  <c r="R107" i="1"/>
  <c r="S107" i="1"/>
  <c r="T107" i="1"/>
  <c r="U107" i="1"/>
  <c r="V107" i="1"/>
  <c r="W107" i="1"/>
  <c r="X107" i="1"/>
  <c r="Y107" i="1"/>
  <c r="O108" i="1"/>
  <c r="R108" i="1"/>
  <c r="S108" i="1"/>
  <c r="T108" i="1"/>
  <c r="U108" i="1"/>
  <c r="V108" i="1"/>
  <c r="W108" i="1"/>
  <c r="X108" i="1"/>
  <c r="Y108" i="1"/>
  <c r="O109" i="1"/>
  <c r="R109" i="1"/>
  <c r="S109" i="1"/>
  <c r="T109" i="1"/>
  <c r="U109" i="1"/>
  <c r="V109" i="1"/>
  <c r="W109" i="1"/>
  <c r="W111" i="1"/>
  <c r="W112" i="1"/>
  <c r="W113" i="1"/>
  <c r="W114" i="1"/>
  <c r="O119" i="1"/>
  <c r="P119" i="1"/>
  <c r="R119" i="1"/>
  <c r="T119" i="1"/>
  <c r="U119" i="1"/>
  <c r="V119" i="1"/>
  <c r="W119" i="1"/>
  <c r="X119" i="1"/>
  <c r="Y119" i="1"/>
  <c r="O120" i="1"/>
  <c r="P120" i="1"/>
  <c r="R120" i="1"/>
  <c r="T120" i="1"/>
  <c r="U120" i="1"/>
  <c r="V120" i="1"/>
  <c r="W120" i="1"/>
  <c r="X120" i="1"/>
  <c r="Y120" i="1"/>
  <c r="O121" i="1"/>
  <c r="P121" i="1"/>
  <c r="R121" i="1"/>
  <c r="T121" i="1"/>
  <c r="U121" i="1"/>
  <c r="V121" i="1"/>
  <c r="W121" i="1"/>
  <c r="X121" i="1"/>
  <c r="Y121" i="1"/>
  <c r="O122" i="1"/>
  <c r="P122" i="1"/>
  <c r="R122" i="1"/>
  <c r="T122" i="1"/>
  <c r="U122" i="1"/>
  <c r="V122" i="1"/>
  <c r="W122" i="1"/>
  <c r="X122" i="1"/>
  <c r="Y122" i="1"/>
  <c r="O123" i="1"/>
  <c r="P123" i="1"/>
  <c r="R123" i="1"/>
  <c r="T123" i="1"/>
  <c r="U123" i="1"/>
  <c r="V123" i="1"/>
  <c r="W123" i="1"/>
  <c r="X123" i="1"/>
  <c r="Y123" i="1"/>
  <c r="J124" i="1"/>
  <c r="O124" i="1"/>
  <c r="P124" i="1"/>
  <c r="R124" i="1"/>
  <c r="T124" i="1"/>
  <c r="U124" i="1"/>
  <c r="V124" i="1"/>
  <c r="W124" i="1"/>
  <c r="X124" i="1"/>
  <c r="Y124" i="1"/>
  <c r="O125" i="1"/>
  <c r="P125" i="1"/>
  <c r="R125" i="1"/>
  <c r="T125" i="1"/>
  <c r="U125" i="1"/>
  <c r="V125" i="1"/>
  <c r="W125" i="1"/>
  <c r="X125" i="1"/>
  <c r="Y125" i="1"/>
  <c r="C126" i="1"/>
  <c r="O126" i="1"/>
  <c r="P126" i="1"/>
  <c r="R126" i="1"/>
  <c r="T126" i="1"/>
  <c r="U126" i="1"/>
  <c r="V126" i="1"/>
  <c r="W126" i="1"/>
  <c r="X126" i="1"/>
  <c r="Y126" i="1"/>
  <c r="C130" i="1"/>
  <c r="C127" i="1"/>
  <c r="O127" i="1"/>
  <c r="P127" i="1"/>
  <c r="R127" i="1"/>
  <c r="T127" i="1"/>
  <c r="U127" i="1"/>
  <c r="V127" i="1"/>
  <c r="W127" i="1"/>
  <c r="X127" i="1"/>
  <c r="Y127" i="1"/>
  <c r="C131" i="1"/>
  <c r="C128" i="1"/>
  <c r="O128" i="1"/>
  <c r="P128" i="1"/>
  <c r="R128" i="1"/>
  <c r="T128" i="1"/>
  <c r="U128" i="1"/>
  <c r="V128" i="1"/>
  <c r="W128" i="1"/>
  <c r="X128" i="1"/>
  <c r="Y128" i="1"/>
  <c r="O129" i="1"/>
  <c r="P129" i="1"/>
  <c r="R129" i="1"/>
  <c r="T129" i="1"/>
  <c r="U129" i="1"/>
  <c r="V129" i="1"/>
  <c r="W129" i="1"/>
  <c r="X129" i="1"/>
  <c r="Y129" i="1"/>
  <c r="O130" i="1"/>
  <c r="P130" i="1"/>
  <c r="R130" i="1"/>
  <c r="T130" i="1"/>
  <c r="U130" i="1"/>
  <c r="V130" i="1"/>
  <c r="W130" i="1"/>
  <c r="X130" i="1"/>
  <c r="Y130" i="1"/>
  <c r="C134" i="1"/>
  <c r="O131" i="1"/>
  <c r="P131" i="1"/>
  <c r="R131" i="1"/>
  <c r="T131" i="1"/>
  <c r="U131" i="1"/>
  <c r="V131" i="1"/>
  <c r="W131" i="1"/>
  <c r="X131" i="1"/>
  <c r="Y131" i="1"/>
  <c r="C135" i="1"/>
  <c r="O132" i="1"/>
  <c r="P132" i="1"/>
  <c r="R132" i="1"/>
  <c r="T132" i="1"/>
  <c r="U132" i="1"/>
  <c r="V132" i="1"/>
  <c r="W132" i="1"/>
  <c r="X132" i="1"/>
  <c r="Y132" i="1"/>
  <c r="O133" i="1"/>
  <c r="P133" i="1"/>
  <c r="R133" i="1"/>
  <c r="T133" i="1"/>
  <c r="U133" i="1"/>
  <c r="V133" i="1"/>
  <c r="W133" i="1"/>
  <c r="X133" i="1"/>
  <c r="Y133" i="1"/>
  <c r="C142" i="1"/>
  <c r="D142" i="1"/>
  <c r="F142" i="1"/>
  <c r="G142" i="1"/>
  <c r="H142" i="1"/>
  <c r="I142" i="1"/>
  <c r="J142" i="1"/>
  <c r="K142" i="1"/>
  <c r="L142" i="1"/>
  <c r="M142" i="1"/>
  <c r="C143" i="1"/>
  <c r="D143" i="1"/>
  <c r="F143" i="1"/>
  <c r="G143" i="1"/>
  <c r="H143" i="1"/>
  <c r="I143" i="1"/>
  <c r="J143" i="1"/>
  <c r="K143" i="1"/>
  <c r="L143" i="1"/>
  <c r="M143" i="1"/>
  <c r="W135" i="1"/>
  <c r="X135" i="1"/>
  <c r="Y135" i="1"/>
  <c r="C144" i="1"/>
  <c r="D144" i="1"/>
  <c r="F144" i="1"/>
  <c r="G144" i="1"/>
  <c r="H144" i="1"/>
  <c r="I144" i="1"/>
  <c r="J144" i="1"/>
  <c r="K144" i="1"/>
  <c r="L144" i="1"/>
  <c r="W136" i="1"/>
  <c r="X136" i="1"/>
  <c r="Y136" i="1"/>
  <c r="C145" i="1"/>
  <c r="D145" i="1"/>
  <c r="F145" i="1"/>
  <c r="G145" i="1"/>
  <c r="H145" i="1"/>
  <c r="I145" i="1"/>
  <c r="J145" i="1"/>
  <c r="K145" i="1"/>
  <c r="L145" i="1"/>
  <c r="W137" i="1"/>
  <c r="X137" i="1"/>
  <c r="Y137" i="1"/>
  <c r="C146" i="1"/>
  <c r="D146" i="1"/>
  <c r="F146" i="1"/>
  <c r="G146" i="1"/>
  <c r="H146" i="1"/>
  <c r="I146" i="1"/>
  <c r="J146" i="1"/>
  <c r="K146" i="1"/>
  <c r="L146" i="1"/>
  <c r="M146" i="1"/>
  <c r="O138" i="1"/>
  <c r="W138" i="1"/>
  <c r="X138" i="1"/>
  <c r="Y138" i="1"/>
  <c r="C147" i="1"/>
  <c r="D147" i="1"/>
  <c r="F147" i="1"/>
  <c r="G147" i="1"/>
  <c r="H147" i="1"/>
  <c r="I147" i="1"/>
  <c r="J147" i="1"/>
  <c r="K147" i="1"/>
  <c r="L147" i="1"/>
  <c r="M147" i="1"/>
  <c r="C148" i="1"/>
  <c r="D148" i="1"/>
  <c r="F148" i="1"/>
  <c r="G148" i="1"/>
  <c r="H148" i="1"/>
  <c r="I148" i="1"/>
  <c r="J148" i="1"/>
  <c r="K148" i="1"/>
  <c r="L148" i="1"/>
  <c r="M148" i="1"/>
  <c r="C149" i="1"/>
  <c r="D149" i="1"/>
  <c r="F149" i="1"/>
  <c r="G149" i="1"/>
  <c r="H149" i="1"/>
  <c r="I149" i="1"/>
  <c r="J149" i="1"/>
  <c r="K149" i="1"/>
  <c r="L149" i="1"/>
  <c r="M149" i="1"/>
  <c r="C150" i="1"/>
  <c r="D150" i="1"/>
  <c r="F150" i="1"/>
  <c r="G150" i="1"/>
  <c r="H150" i="1"/>
  <c r="I150" i="1"/>
  <c r="J150" i="1"/>
  <c r="K150" i="1"/>
  <c r="L150" i="1"/>
  <c r="C151" i="1"/>
  <c r="D151" i="1"/>
  <c r="F151" i="1"/>
  <c r="G151" i="1"/>
  <c r="H151" i="1"/>
  <c r="I151" i="1"/>
  <c r="J151" i="1"/>
  <c r="K151" i="1"/>
  <c r="L151" i="1"/>
  <c r="M151" i="1"/>
  <c r="C152" i="1"/>
  <c r="D152" i="1"/>
  <c r="F152" i="1"/>
  <c r="G152" i="1"/>
  <c r="H152" i="1"/>
  <c r="I152" i="1"/>
  <c r="J152" i="1"/>
  <c r="K152" i="1"/>
  <c r="L152" i="1"/>
  <c r="C153" i="1"/>
  <c r="D153" i="1"/>
  <c r="F153" i="1"/>
  <c r="G153" i="1"/>
  <c r="H153" i="1"/>
  <c r="I153" i="1"/>
  <c r="J153" i="1"/>
  <c r="K153" i="1"/>
  <c r="L153" i="1"/>
  <c r="M153" i="1"/>
  <c r="C154" i="1"/>
  <c r="D154" i="1"/>
  <c r="F154" i="1"/>
  <c r="G154" i="1"/>
  <c r="H154" i="1"/>
  <c r="I154" i="1"/>
  <c r="J154" i="1"/>
  <c r="K154" i="1"/>
  <c r="L154" i="1"/>
  <c r="M154" i="1"/>
  <c r="C155" i="1"/>
  <c r="D155" i="1"/>
  <c r="F155" i="1"/>
  <c r="G155" i="1"/>
  <c r="H155" i="1"/>
  <c r="I155" i="1"/>
  <c r="J155" i="1"/>
  <c r="K155" i="1"/>
  <c r="L155" i="1"/>
  <c r="M155" i="1"/>
  <c r="F156" i="1"/>
  <c r="G156" i="1"/>
  <c r="H156" i="1"/>
  <c r="J156" i="1"/>
  <c r="K156" i="1"/>
  <c r="L156" i="1"/>
  <c r="F157" i="1"/>
  <c r="G157" i="1"/>
  <c r="H157" i="1"/>
  <c r="J157" i="1"/>
  <c r="K157" i="1"/>
  <c r="L157" i="1"/>
  <c r="G234" i="17" l="1"/>
  <c r="F235" i="17"/>
  <c r="F233" i="17"/>
  <c r="G233" i="17" s="1"/>
  <c r="Y389" i="17"/>
  <c r="O21" i="1" s="1"/>
  <c r="R21" i="1" s="1"/>
  <c r="T393" i="17"/>
  <c r="H25" i="1" s="1"/>
  <c r="Y391" i="17"/>
  <c r="O23" i="1" s="1"/>
  <c r="R23" i="1" s="1"/>
  <c r="Y392" i="17"/>
  <c r="O24" i="1" s="1"/>
  <c r="R24" i="1" s="1"/>
  <c r="Y396" i="17"/>
  <c r="O28" i="1" s="1"/>
  <c r="R28" i="1" s="1"/>
  <c r="T396" i="17"/>
  <c r="H28" i="1" s="1"/>
  <c r="I28" i="1" s="1"/>
  <c r="AJ580" i="16"/>
  <c r="AJ579" i="16"/>
  <c r="AJ578" i="16" a="1"/>
  <c r="AJ578" i="16" s="1"/>
  <c r="AI581" i="16"/>
  <c r="AN593" i="16"/>
  <c r="AM647" i="16"/>
  <c r="AN646" i="16"/>
  <c r="AO592" i="16"/>
  <c r="J127" i="1"/>
  <c r="J135" i="1"/>
  <c r="J131" i="1"/>
  <c r="AK687" i="16"/>
  <c r="AK688" i="16"/>
  <c r="AK689" i="16"/>
  <c r="AK690" i="16"/>
  <c r="AJ633" i="16"/>
  <c r="AH621" i="16"/>
  <c r="AH636" i="16" s="1"/>
  <c r="AI616" i="16"/>
  <c r="AI635" i="16" s="1"/>
  <c r="AJ609" i="16"/>
  <c r="AJ634" i="16" s="1"/>
  <c r="AG628" i="16"/>
  <c r="AG629" i="16" s="1"/>
  <c r="AG637" i="16" s="1"/>
  <c r="AG691" i="16" s="1"/>
  <c r="AG683" i="16" s="1"/>
  <c r="AG682" i="16" s="1"/>
  <c r="AG680" i="16" s="1"/>
  <c r="AG679" i="16" s="1"/>
  <c r="AL591" i="16"/>
  <c r="AL595" i="16" s="1"/>
  <c r="T399" i="17"/>
  <c r="H31" i="1" s="1"/>
  <c r="I31" i="1" s="1"/>
  <c r="T391" i="17"/>
  <c r="H23" i="1" s="1"/>
  <c r="I23" i="1" s="1"/>
  <c r="C1" i="83"/>
  <c r="L26" i="14"/>
  <c r="L25" i="14"/>
  <c r="M26" i="12"/>
  <c r="L26" i="12"/>
  <c r="T398" i="17"/>
  <c r="H30" i="1" s="1"/>
  <c r="I30" i="1" s="1"/>
  <c r="T395" i="17"/>
  <c r="H27" i="1" s="1"/>
  <c r="I27" i="1" s="1"/>
  <c r="E72" i="17"/>
  <c r="W26" i="1"/>
  <c r="T397" i="17"/>
  <c r="H29" i="1" s="1"/>
  <c r="I29" i="1" s="1"/>
  <c r="Y398" i="17"/>
  <c r="O30" i="1" s="1"/>
  <c r="R30" i="1" s="1"/>
  <c r="W30" i="1"/>
  <c r="T389" i="17"/>
  <c r="H21" i="1" s="1"/>
  <c r="I21" i="1" s="1"/>
  <c r="Y394" i="17"/>
  <c r="O26" i="1" s="1"/>
  <c r="P32" i="1"/>
  <c r="P27" i="1"/>
  <c r="P23" i="1"/>
  <c r="P31" i="1"/>
  <c r="P20" i="1"/>
  <c r="E287" i="17"/>
  <c r="E77" i="17"/>
  <c r="P29" i="1"/>
  <c r="P22" i="1"/>
  <c r="X1" i="1"/>
  <c r="V1" i="1"/>
  <c r="R48" i="1"/>
  <c r="X109" i="1"/>
  <c r="Y109" i="1"/>
  <c r="S1" i="1"/>
  <c r="U48" i="1"/>
  <c r="X48" i="1" s="1"/>
  <c r="I124" i="1"/>
  <c r="M28" i="12"/>
  <c r="L28" i="12"/>
  <c r="L27" i="12"/>
  <c r="M25" i="12"/>
  <c r="L25" i="12"/>
  <c r="M33" i="1"/>
  <c r="I26" i="1"/>
  <c r="I22" i="1"/>
  <c r="E347" i="17"/>
  <c r="T1" i="1"/>
  <c r="Y393" i="17"/>
  <c r="O25" i="1" s="1"/>
  <c r="T388" i="17"/>
  <c r="H20" i="1" s="1"/>
  <c r="I20" i="1" s="1"/>
  <c r="K124" i="1"/>
  <c r="T392" i="17"/>
  <c r="H24" i="1" s="1"/>
  <c r="E227" i="17"/>
  <c r="E192" i="17"/>
  <c r="I25" i="1"/>
  <c r="C1" i="17"/>
  <c r="W23" i="1"/>
  <c r="C1" i="18"/>
  <c r="C1" i="10"/>
  <c r="C1" i="16"/>
  <c r="C1" i="12"/>
  <c r="C1" i="13"/>
  <c r="C1" i="14"/>
  <c r="I25" i="14"/>
  <c r="I26" i="14"/>
  <c r="N13" i="14"/>
  <c r="M145" i="1" s="1"/>
  <c r="AK558" i="16"/>
  <c r="AL3" i="16"/>
  <c r="AL597" i="16"/>
  <c r="AK604" i="16"/>
  <c r="AH1" i="10"/>
  <c r="AK2" i="10"/>
  <c r="AL3" i="10"/>
  <c r="M27" i="12"/>
  <c r="AK623" i="16"/>
  <c r="AJ626" i="16"/>
  <c r="P21" i="1" l="1"/>
  <c r="P28" i="1"/>
  <c r="P24" i="1"/>
  <c r="G235" i="17"/>
  <c r="F236" i="17"/>
  <c r="AK580" i="16"/>
  <c r="AK579" i="16"/>
  <c r="AK578" i="16" a="1"/>
  <c r="AK578" i="16" s="1"/>
  <c r="AJ581" i="16"/>
  <c r="AO646" i="16"/>
  <c r="AP592" i="16"/>
  <c r="AO593" i="16"/>
  <c r="AN647" i="16"/>
  <c r="AK633" i="16"/>
  <c r="T59" i="1"/>
  <c r="I135" i="1"/>
  <c r="I131" i="1"/>
  <c r="I127" i="1"/>
  <c r="K131" i="1"/>
  <c r="K135" i="1"/>
  <c r="K127" i="1"/>
  <c r="AL687" i="16"/>
  <c r="AL688" i="16"/>
  <c r="AL689" i="16"/>
  <c r="AL690" i="16"/>
  <c r="AK609" i="16"/>
  <c r="AK634" i="16" s="1"/>
  <c r="AJ616" i="16"/>
  <c r="AJ635" i="16" s="1"/>
  <c r="AI621" i="16"/>
  <c r="AI636" i="16" s="1"/>
  <c r="AH628" i="16"/>
  <c r="AH629" i="16" s="1"/>
  <c r="AH637" i="16" s="1"/>
  <c r="AH691" i="16" s="1"/>
  <c r="AH683" i="16" s="1"/>
  <c r="AH682" i="16" s="1"/>
  <c r="AH680" i="16" s="1"/>
  <c r="AH679" i="16" s="1"/>
  <c r="AM591" i="16"/>
  <c r="AM595" i="16" s="1"/>
  <c r="P30" i="1"/>
  <c r="P25" i="1"/>
  <c r="R25" i="1"/>
  <c r="P26" i="1"/>
  <c r="R26" i="1"/>
  <c r="X111" i="1"/>
  <c r="Y111" i="1"/>
  <c r="X112" i="1"/>
  <c r="Y113" i="1"/>
  <c r="X113" i="1"/>
  <c r="X114" i="1"/>
  <c r="Q1" i="1"/>
  <c r="Y114" i="1"/>
  <c r="Y112" i="1"/>
  <c r="S48" i="1"/>
  <c r="O33" i="1"/>
  <c r="T63" i="1"/>
  <c r="T64" i="1"/>
  <c r="T65" i="1"/>
  <c r="Y1" i="1"/>
  <c r="V48" i="1"/>
  <c r="Y48" i="1" s="1"/>
  <c r="H124" i="1"/>
  <c r="L124" i="1"/>
  <c r="N26" i="14"/>
  <c r="M157" i="1" s="1"/>
  <c r="I157" i="1"/>
  <c r="AL2" i="10"/>
  <c r="AM3" i="10"/>
  <c r="I24" i="1"/>
  <c r="AM597" i="16"/>
  <c r="AL604" i="16"/>
  <c r="Q12" i="1"/>
  <c r="AM3" i="16"/>
  <c r="AL558" i="16"/>
  <c r="T48" i="1"/>
  <c r="W48" i="1" s="1"/>
  <c r="W1" i="1"/>
  <c r="W59" i="1" s="1"/>
  <c r="N25" i="14"/>
  <c r="M156" i="1" s="1"/>
  <c r="I156" i="1"/>
  <c r="AK626" i="16"/>
  <c r="AL623" i="16"/>
  <c r="F237" i="17" l="1"/>
  <c r="G237" i="17" s="1"/>
  <c r="G236" i="17"/>
  <c r="AL580" i="16"/>
  <c r="AL579" i="16"/>
  <c r="AL578" i="16" a="1"/>
  <c r="AL578" i="16" s="1"/>
  <c r="AK581" i="16"/>
  <c r="AP593" i="16"/>
  <c r="AO647" i="16"/>
  <c r="AP646" i="16"/>
  <c r="AQ592" i="16"/>
  <c r="L131" i="1"/>
  <c r="L127" i="1"/>
  <c r="L135" i="1"/>
  <c r="G124" i="1"/>
  <c r="F124" i="1" s="1"/>
  <c r="H135" i="1"/>
  <c r="H127" i="1"/>
  <c r="H131" i="1"/>
  <c r="Q74" i="1"/>
  <c r="Q58" i="1"/>
  <c r="Q53" i="1"/>
  <c r="Q57" i="1"/>
  <c r="Q73" i="1"/>
  <c r="Q56" i="1"/>
  <c r="Q52" i="1"/>
  <c r="S54" i="1" s="1"/>
  <c r="Q54" i="1"/>
  <c r="Q71" i="1"/>
  <c r="Q50" i="1"/>
  <c r="Q69" i="1"/>
  <c r="Q68" i="1"/>
  <c r="Q67" i="1"/>
  <c r="S69" i="1" s="1"/>
  <c r="Q59" i="1"/>
  <c r="Q65" i="1"/>
  <c r="Q64" i="1"/>
  <c r="Q63" i="1"/>
  <c r="S65" i="1" s="1"/>
  <c r="Q61" i="1"/>
  <c r="Q60" i="1"/>
  <c r="Q86" i="1"/>
  <c r="Q85" i="1"/>
  <c r="Q84" i="1"/>
  <c r="Q76" i="1"/>
  <c r="Q77" i="1"/>
  <c r="Q80" i="1"/>
  <c r="Q79" i="1"/>
  <c r="Q81" i="1"/>
  <c r="Q82" i="1"/>
  <c r="Q49" i="1"/>
  <c r="S50" i="1" s="1"/>
  <c r="AL633" i="16"/>
  <c r="AM687" i="16"/>
  <c r="AM688" i="16"/>
  <c r="AM689" i="16"/>
  <c r="AM690" i="16"/>
  <c r="AI628" i="16"/>
  <c r="AI629" i="16" s="1"/>
  <c r="AI637" i="16" s="1"/>
  <c r="AI691" i="16" s="1"/>
  <c r="AI683" i="16" s="1"/>
  <c r="AI682" i="16" s="1"/>
  <c r="AI680" i="16" s="1"/>
  <c r="AI679" i="16" s="1"/>
  <c r="AJ621" i="16"/>
  <c r="AJ636" i="16" s="1"/>
  <c r="AL609" i="16"/>
  <c r="AL634" i="16" s="1"/>
  <c r="AK616" i="16"/>
  <c r="AK635" i="16" s="1"/>
  <c r="AN591" i="16"/>
  <c r="AN595" i="16" s="1"/>
  <c r="P1" i="1"/>
  <c r="O1" i="1" s="1"/>
  <c r="P33" i="1"/>
  <c r="R33" i="1"/>
  <c r="Q48" i="1"/>
  <c r="W64" i="1"/>
  <c r="W65" i="1"/>
  <c r="W63" i="1"/>
  <c r="M124" i="1"/>
  <c r="AN597" i="16"/>
  <c r="AM604" i="16"/>
  <c r="AN3" i="16"/>
  <c r="AM558" i="16"/>
  <c r="AM2" i="10"/>
  <c r="AN3" i="10"/>
  <c r="AM623" i="16"/>
  <c r="AL626" i="16"/>
  <c r="AM580" i="16" l="1"/>
  <c r="AM579" i="16"/>
  <c r="AM578" i="16" a="1"/>
  <c r="AM578" i="16" s="1"/>
  <c r="AL581" i="16"/>
  <c r="AQ646" i="16"/>
  <c r="AR592" i="16"/>
  <c r="AQ593" i="16"/>
  <c r="AP647" i="16"/>
  <c r="Q89" i="1" a="1"/>
  <c r="Q89" i="1" s="1"/>
  <c r="M135" i="1"/>
  <c r="M127" i="1"/>
  <c r="M131" i="1"/>
  <c r="G131" i="1"/>
  <c r="G135" i="1"/>
  <c r="G127" i="1"/>
  <c r="Q88" i="1" a="1"/>
  <c r="Q88" i="1" s="1"/>
  <c r="F131" i="1"/>
  <c r="F126" i="1"/>
  <c r="F136" i="1"/>
  <c r="F130" i="1"/>
  <c r="F127" i="1"/>
  <c r="F134" i="1"/>
  <c r="F132" i="1"/>
  <c r="F128" i="1"/>
  <c r="F135" i="1"/>
  <c r="Q90" i="1"/>
  <c r="O86" i="1"/>
  <c r="O89" i="1" s="1" a="1"/>
  <c r="O89" i="1" s="1"/>
  <c r="O85" i="1"/>
  <c r="O84" i="1"/>
  <c r="P86" i="1"/>
  <c r="P85" i="1"/>
  <c r="P89" i="1" s="1" a="1"/>
  <c r="P89" i="1" s="1"/>
  <c r="P84" i="1"/>
  <c r="P88" i="1" s="1" a="1"/>
  <c r="P88" i="1" s="1"/>
  <c r="P65" i="1"/>
  <c r="P59" i="1"/>
  <c r="P48" i="1"/>
  <c r="AN687" i="16"/>
  <c r="AN688" i="16"/>
  <c r="AN689" i="16"/>
  <c r="AN690" i="16"/>
  <c r="AM633" i="16"/>
  <c r="AK621" i="16"/>
  <c r="AK636" i="16" s="1"/>
  <c r="AL616" i="16"/>
  <c r="AL635" i="16" s="1"/>
  <c r="AM609" i="16"/>
  <c r="AM634" i="16" s="1"/>
  <c r="AJ628" i="16"/>
  <c r="AJ629" i="16" s="1"/>
  <c r="AJ637" i="16" s="1"/>
  <c r="AJ691" i="16" s="1"/>
  <c r="AJ683" i="16" s="1"/>
  <c r="AJ682" i="16" s="1"/>
  <c r="AJ680" i="16" s="1"/>
  <c r="AJ679" i="16" s="1"/>
  <c r="AO591" i="16"/>
  <c r="AO595" i="16" s="1"/>
  <c r="P64" i="1"/>
  <c r="P63" i="1"/>
  <c r="AN2" i="10"/>
  <c r="AO3" i="10"/>
  <c r="O48" i="1"/>
  <c r="AM626" i="16"/>
  <c r="AN623" i="16"/>
  <c r="AO3" i="16"/>
  <c r="AN558" i="16"/>
  <c r="AO597" i="16"/>
  <c r="AN604" i="16"/>
  <c r="O88" i="1" l="1" a="1"/>
  <c r="O88" i="1" s="1"/>
  <c r="AN580" i="16"/>
  <c r="AN579" i="16"/>
  <c r="AN578" i="16" a="1"/>
  <c r="AN578" i="16" s="1"/>
  <c r="AM581" i="16"/>
  <c r="AR593" i="16"/>
  <c r="AQ647" i="16"/>
  <c r="AR646" i="16"/>
  <c r="AS592" i="16"/>
  <c r="BC97" i="83" a="1"/>
  <c r="BC97" i="83" s="1"/>
  <c r="AN633" i="16"/>
  <c r="AO687" i="16"/>
  <c r="AO688" i="16"/>
  <c r="AO689" i="16"/>
  <c r="AO690" i="16"/>
  <c r="AN609" i="16"/>
  <c r="AN634" i="16" s="1"/>
  <c r="AM616" i="16"/>
  <c r="AM635" i="16" s="1"/>
  <c r="AL621" i="16"/>
  <c r="AL636" i="16" s="1"/>
  <c r="AK628" i="16"/>
  <c r="AK629" i="16" s="1"/>
  <c r="AK637" i="16" s="1"/>
  <c r="AK691" i="16" s="1"/>
  <c r="AK683" i="16" s="1"/>
  <c r="AK682" i="16" s="1"/>
  <c r="AK680" i="16" s="1"/>
  <c r="AK679" i="16" s="1"/>
  <c r="AP591" i="16"/>
  <c r="AP595" i="16" s="1"/>
  <c r="AO604" i="16"/>
  <c r="AP597" i="16"/>
  <c r="AO623" i="16"/>
  <c r="AN626" i="16"/>
  <c r="AL1" i="10"/>
  <c r="AO2" i="10"/>
  <c r="AP3" i="16"/>
  <c r="AO558" i="16"/>
  <c r="AO580" i="16" l="1"/>
  <c r="AO578" i="16" a="1"/>
  <c r="AO578" i="16" s="1"/>
  <c r="AO579" i="16"/>
  <c r="AN581" i="16"/>
  <c r="AS646" i="16"/>
  <c r="AT592" i="16"/>
  <c r="AS593" i="16"/>
  <c r="AR647" i="16"/>
  <c r="BL97" i="83" a="1"/>
  <c r="BL97" i="83" s="1"/>
  <c r="BD97" i="83" a="1"/>
  <c r="BI97" i="83" a="1"/>
  <c r="BI97" i="83" s="1"/>
  <c r="BF97" i="83" a="1"/>
  <c r="BF97" i="83" s="1"/>
  <c r="AP687" i="16"/>
  <c r="AP688" i="16"/>
  <c r="AP689" i="16"/>
  <c r="AP690" i="16"/>
  <c r="AO633" i="16"/>
  <c r="AL628" i="16"/>
  <c r="AL629" i="16" s="1"/>
  <c r="AL637" i="16" s="1"/>
  <c r="AL691" i="16" s="1"/>
  <c r="AL683" i="16" s="1"/>
  <c r="AL682" i="16" s="1"/>
  <c r="AL680" i="16" s="1"/>
  <c r="AL679" i="16" s="1"/>
  <c r="AO609" i="16"/>
  <c r="AO634" i="16" s="1"/>
  <c r="AM621" i="16"/>
  <c r="AM636" i="16" s="1"/>
  <c r="AN616" i="16"/>
  <c r="AN635" i="16" s="1"/>
  <c r="AQ591" i="16"/>
  <c r="AQ595" i="16" s="1"/>
  <c r="AP623" i="16"/>
  <c r="AO626" i="16"/>
  <c r="AQ3" i="16"/>
  <c r="AP558" i="16"/>
  <c r="AP604" i="16"/>
  <c r="AQ597" i="16"/>
  <c r="BD97" i="83" l="1"/>
  <c r="AO581" i="16"/>
  <c r="AP579" i="16"/>
  <c r="AP580" i="16"/>
  <c r="AP578" i="16" a="1"/>
  <c r="AP578" i="16" s="1"/>
  <c r="AT593" i="16"/>
  <c r="AS647" i="16"/>
  <c r="AT646" i="16"/>
  <c r="AU592" i="16"/>
  <c r="AP633" i="16"/>
  <c r="AQ687" i="16"/>
  <c r="AQ688" i="16"/>
  <c r="AQ689" i="16"/>
  <c r="AQ690" i="16"/>
  <c r="AP609" i="16"/>
  <c r="AP634" i="16" s="1"/>
  <c r="AN621" i="16"/>
  <c r="AN636" i="16" s="1"/>
  <c r="AM628" i="16"/>
  <c r="AM629" i="16" s="1"/>
  <c r="AM637" i="16" s="1"/>
  <c r="AM691" i="16" s="1"/>
  <c r="AM683" i="16" s="1"/>
  <c r="AM682" i="16" s="1"/>
  <c r="AM680" i="16" s="1"/>
  <c r="AM679" i="16" s="1"/>
  <c r="AO616" i="16"/>
  <c r="AO635" i="16" s="1"/>
  <c r="AR591" i="16"/>
  <c r="AR595" i="16" s="1"/>
  <c r="AR3" i="16"/>
  <c r="AQ558" i="16"/>
  <c r="AQ623" i="16"/>
  <c r="AP626" i="16"/>
  <c r="AR597" i="16"/>
  <c r="AQ604" i="16"/>
  <c r="AQ579" i="16" l="1"/>
  <c r="AQ578" i="16" a="1"/>
  <c r="AQ578" i="16" s="1"/>
  <c r="AQ580" i="16"/>
  <c r="AP581" i="16"/>
  <c r="AU646" i="16"/>
  <c r="AV592" i="16"/>
  <c r="AU593" i="16"/>
  <c r="AT647" i="16"/>
  <c r="AR687" i="16"/>
  <c r="AR688" i="16"/>
  <c r="AR689" i="16"/>
  <c r="AR690" i="16"/>
  <c r="AQ633" i="16"/>
  <c r="AN628" i="16"/>
  <c r="AN629" i="16" s="1"/>
  <c r="AN637" i="16" s="1"/>
  <c r="AN691" i="16" s="1"/>
  <c r="AN683" i="16" s="1"/>
  <c r="AN682" i="16" s="1"/>
  <c r="AN680" i="16" s="1"/>
  <c r="AN679" i="16" s="1"/>
  <c r="AO621" i="16"/>
  <c r="AO636" i="16" s="1"/>
  <c r="AQ609" i="16"/>
  <c r="AQ634" i="16" s="1"/>
  <c r="AP616" i="16"/>
  <c r="AP635" i="16" s="1"/>
  <c r="AS591" i="16"/>
  <c r="AS595" i="16" s="1"/>
  <c r="AS3" i="16"/>
  <c r="AR558" i="16"/>
  <c r="AR623" i="16"/>
  <c r="AQ626" i="16"/>
  <c r="AR604" i="16"/>
  <c r="AS597" i="16"/>
  <c r="AQ581" i="16" l="1"/>
  <c r="AR579" i="16"/>
  <c r="AR578" i="16" a="1"/>
  <c r="AR578" i="16" s="1"/>
  <c r="AR580" i="16"/>
  <c r="AV646" i="16"/>
  <c r="AW592" i="16"/>
  <c r="AV593" i="16"/>
  <c r="AU647" i="16"/>
  <c r="AS687" i="16"/>
  <c r="AS688" i="16"/>
  <c r="AS689" i="16"/>
  <c r="AS690" i="16"/>
  <c r="AR633" i="16"/>
  <c r="AP621" i="16"/>
  <c r="AP636" i="16" s="1"/>
  <c r="AQ616" i="16"/>
  <c r="AQ635" i="16" s="1"/>
  <c r="AO628" i="16"/>
  <c r="AO629" i="16" s="1"/>
  <c r="AO637" i="16" s="1"/>
  <c r="AO691" i="16" s="1"/>
  <c r="AO683" i="16" s="1"/>
  <c r="AO682" i="16" s="1"/>
  <c r="AO680" i="16" s="1"/>
  <c r="AO679" i="16" s="1"/>
  <c r="AR609" i="16"/>
  <c r="AR634" i="16" s="1"/>
  <c r="AT591" i="16"/>
  <c r="AT595" i="16" s="1"/>
  <c r="AS604" i="16"/>
  <c r="AT597" i="16"/>
  <c r="AS623" i="16"/>
  <c r="AR626" i="16"/>
  <c r="AT3" i="16"/>
  <c r="AS558" i="16"/>
  <c r="AR581" i="16" l="1"/>
  <c r="AS578" i="16" a="1"/>
  <c r="AS578" i="16" s="1"/>
  <c r="AS580" i="16"/>
  <c r="AS579" i="16"/>
  <c r="AW593" i="16"/>
  <c r="AV647" i="16"/>
  <c r="AW646" i="16"/>
  <c r="AX592" i="16"/>
  <c r="AT687" i="16"/>
  <c r="AT688" i="16"/>
  <c r="AT689" i="16"/>
  <c r="AT690" i="16"/>
  <c r="AS633" i="16"/>
  <c r="AR616" i="16"/>
  <c r="AR635" i="16" s="1"/>
  <c r="AQ621" i="16"/>
  <c r="AQ636" i="16" s="1"/>
  <c r="AS609" i="16"/>
  <c r="AS634" i="16" s="1"/>
  <c r="AP628" i="16"/>
  <c r="AP629" i="16" s="1"/>
  <c r="AP637" i="16" s="1"/>
  <c r="AP691" i="16" s="1"/>
  <c r="AP683" i="16" s="1"/>
  <c r="AP682" i="16" s="1"/>
  <c r="AP680" i="16" s="1"/>
  <c r="AP679" i="16" s="1"/>
  <c r="AU591" i="16"/>
  <c r="AU595" i="16" s="1"/>
  <c r="AS626" i="16"/>
  <c r="AT623" i="16"/>
  <c r="AU597" i="16"/>
  <c r="AT604" i="16"/>
  <c r="AU3" i="16"/>
  <c r="AT558" i="16"/>
  <c r="AT578" i="16" l="1" a="1"/>
  <c r="AT578" i="16" s="1"/>
  <c r="AT580" i="16"/>
  <c r="AT579" i="16"/>
  <c r="AS581" i="16"/>
  <c r="AX646" i="16"/>
  <c r="AY592" i="16"/>
  <c r="AX593" i="16"/>
  <c r="AW647" i="16"/>
  <c r="S57" i="1"/>
  <c r="AU687" i="16"/>
  <c r="AU688" i="16"/>
  <c r="AU689" i="16"/>
  <c r="AU690" i="16"/>
  <c r="AT633" i="16"/>
  <c r="AS616" i="16"/>
  <c r="AS635" i="16" s="1"/>
  <c r="AQ628" i="16"/>
  <c r="AQ629" i="16" s="1"/>
  <c r="AQ637" i="16" s="1"/>
  <c r="AQ691" i="16" s="1"/>
  <c r="AQ683" i="16" s="1"/>
  <c r="AQ682" i="16" s="1"/>
  <c r="AQ680" i="16" s="1"/>
  <c r="AQ679" i="16" s="1"/>
  <c r="AT609" i="16"/>
  <c r="AT634" i="16" s="1"/>
  <c r="AR621" i="16"/>
  <c r="AR636" i="16" s="1"/>
  <c r="AV591" i="16"/>
  <c r="AV595" i="16" s="1"/>
  <c r="AU623" i="16"/>
  <c r="AT626" i="16"/>
  <c r="AV597" i="16"/>
  <c r="AU604" i="16"/>
  <c r="AJ1" i="16"/>
  <c r="AK2" i="16"/>
  <c r="AM2" i="16"/>
  <c r="AP2" i="16"/>
  <c r="AR2" i="16"/>
  <c r="AS2" i="16"/>
  <c r="AT2" i="16"/>
  <c r="AO2" i="16"/>
  <c r="AU2" i="16"/>
  <c r="AJ2" i="16"/>
  <c r="AL2" i="16"/>
  <c r="AV3" i="16"/>
  <c r="AN2" i="16"/>
  <c r="AQ2" i="16"/>
  <c r="AU558" i="16"/>
  <c r="AT581" i="16" l="1"/>
  <c r="AU578" i="16" a="1"/>
  <c r="AU578" i="16" s="1"/>
  <c r="AU580" i="16"/>
  <c r="AU579" i="16"/>
  <c r="AY593" i="16"/>
  <c r="AX647" i="16"/>
  <c r="AY646" i="16"/>
  <c r="AZ592" i="16"/>
  <c r="AU633" i="16"/>
  <c r="AV687" i="16"/>
  <c r="AV688" i="16"/>
  <c r="AV689" i="16"/>
  <c r="AV690" i="16"/>
  <c r="AT616" i="16"/>
  <c r="AT635" i="16" s="1"/>
  <c r="AU609" i="16"/>
  <c r="AU634" i="16" s="1"/>
  <c r="AS621" i="16"/>
  <c r="AS636" i="16" s="1"/>
  <c r="AR628" i="16"/>
  <c r="AR629" i="16" s="1"/>
  <c r="AR637" i="16" s="1"/>
  <c r="AR691" i="16" s="1"/>
  <c r="AR683" i="16" s="1"/>
  <c r="AR682" i="16" s="1"/>
  <c r="AR680" i="16" s="1"/>
  <c r="AR679" i="16" s="1"/>
  <c r="AW591" i="16"/>
  <c r="AW595" i="16" s="1"/>
  <c r="AW597" i="16"/>
  <c r="AV604" i="16"/>
  <c r="AU626" i="16"/>
  <c r="AV623" i="16"/>
  <c r="AW3" i="16"/>
  <c r="AV558" i="16"/>
  <c r="AU581" i="16" l="1"/>
  <c r="AV578" i="16" a="1"/>
  <c r="AV578" i="16" s="1"/>
  <c r="AV579" i="16"/>
  <c r="AV580" i="16"/>
  <c r="AZ646" i="16"/>
  <c r="BA592" i="16"/>
  <c r="AZ593" i="16"/>
  <c r="AY647" i="16"/>
  <c r="AW687" i="16"/>
  <c r="AW688" i="16"/>
  <c r="AW689" i="16"/>
  <c r="AW690" i="16"/>
  <c r="AV633" i="16"/>
  <c r="AU616" i="16"/>
  <c r="AU635" i="16" s="1"/>
  <c r="AV609" i="16"/>
  <c r="AV634" i="16" s="1"/>
  <c r="AS628" i="16"/>
  <c r="AS629" i="16" s="1"/>
  <c r="AS637" i="16" s="1"/>
  <c r="AS691" i="16" s="1"/>
  <c r="AS683" i="16" s="1"/>
  <c r="AS682" i="16" s="1"/>
  <c r="AS680" i="16" s="1"/>
  <c r="AS679" i="16" s="1"/>
  <c r="AT621" i="16"/>
  <c r="AT636" i="16" s="1"/>
  <c r="AX591" i="16"/>
  <c r="AX595" i="16" s="1"/>
  <c r="AW623" i="16"/>
  <c r="AV626" i="16"/>
  <c r="AX3" i="16"/>
  <c r="AW558" i="16"/>
  <c r="AX597" i="16"/>
  <c r="AW604" i="16"/>
  <c r="AV581" i="16" l="1"/>
  <c r="AW579" i="16"/>
  <c r="AW580" i="16"/>
  <c r="AW578" i="16" a="1"/>
  <c r="AW578" i="16" s="1"/>
  <c r="BA593" i="16"/>
  <c r="AZ647" i="16"/>
  <c r="BA646" i="16"/>
  <c r="BB592" i="16"/>
  <c r="AX687" i="16"/>
  <c r="AX688" i="16"/>
  <c r="AX689" i="16"/>
  <c r="AX690" i="16"/>
  <c r="AW633" i="16"/>
  <c r="AW609" i="16"/>
  <c r="AW634" i="16" s="1"/>
  <c r="AT628" i="16"/>
  <c r="AT629" i="16" s="1"/>
  <c r="AT637" i="16" s="1"/>
  <c r="AT691" i="16" s="1"/>
  <c r="AT683" i="16" s="1"/>
  <c r="AT682" i="16" s="1"/>
  <c r="AT680" i="16" s="1"/>
  <c r="AT679" i="16" s="1"/>
  <c r="AV616" i="16"/>
  <c r="AV635" i="16" s="1"/>
  <c r="AU621" i="16"/>
  <c r="AU636" i="16" s="1"/>
  <c r="AY591" i="16"/>
  <c r="AY595" i="16" s="1"/>
  <c r="AY597" i="16"/>
  <c r="AX604" i="16"/>
  <c r="AY3" i="16"/>
  <c r="AX558" i="16"/>
  <c r="AX623" i="16"/>
  <c r="AW626" i="16"/>
  <c r="AX580" i="16" l="1"/>
  <c r="AX579" i="16"/>
  <c r="AX578" i="16" a="1"/>
  <c r="AX578" i="16" s="1"/>
  <c r="AW581" i="16"/>
  <c r="BB646" i="16"/>
  <c r="BC592" i="16"/>
  <c r="BB593" i="16"/>
  <c r="BA647" i="16"/>
  <c r="AY687" i="16"/>
  <c r="AY688" i="16"/>
  <c r="AY689" i="16"/>
  <c r="AY690" i="16"/>
  <c r="AX633" i="16"/>
  <c r="AU628" i="16"/>
  <c r="AU629" i="16" s="1"/>
  <c r="AU637" i="16" s="1"/>
  <c r="AU691" i="16" s="1"/>
  <c r="AU683" i="16" s="1"/>
  <c r="AU682" i="16" s="1"/>
  <c r="AU680" i="16" s="1"/>
  <c r="AU679" i="16" s="1"/>
  <c r="AX609" i="16"/>
  <c r="AX634" i="16" s="1"/>
  <c r="AV621" i="16"/>
  <c r="AV636" i="16" s="1"/>
  <c r="AW616" i="16"/>
  <c r="AW635" i="16" s="1"/>
  <c r="AZ591" i="16"/>
  <c r="AZ595" i="16" s="1"/>
  <c r="AY623" i="16"/>
  <c r="AX626" i="16"/>
  <c r="AY604" i="16"/>
  <c r="AZ597" i="16"/>
  <c r="AZ3" i="16"/>
  <c r="AY558" i="16"/>
  <c r="AY578" i="16" l="1" a="1"/>
  <c r="AY578" i="16" s="1"/>
  <c r="AY580" i="16"/>
  <c r="AY579" i="16"/>
  <c r="AX581" i="16"/>
  <c r="BC646" i="16"/>
  <c r="BD592" i="16"/>
  <c r="BC593" i="16"/>
  <c r="BB647" i="16"/>
  <c r="AZ687" i="16"/>
  <c r="AZ688" i="16"/>
  <c r="AZ689" i="16"/>
  <c r="AZ690" i="16"/>
  <c r="AY633" i="16"/>
  <c r="AW621" i="16"/>
  <c r="AW636" i="16" s="1"/>
  <c r="AV628" i="16"/>
  <c r="AV629" i="16" s="1"/>
  <c r="AV637" i="16" s="1"/>
  <c r="AV691" i="16" s="1"/>
  <c r="AV683" i="16" s="1"/>
  <c r="AV682" i="16" s="1"/>
  <c r="AV680" i="16" s="1"/>
  <c r="AV679" i="16" s="1"/>
  <c r="AX616" i="16"/>
  <c r="AX635" i="16" s="1"/>
  <c r="AY609" i="16"/>
  <c r="AY634" i="16" s="1"/>
  <c r="BA591" i="16"/>
  <c r="BA595" i="16" s="1"/>
  <c r="BA3" i="16"/>
  <c r="AZ558" i="16"/>
  <c r="AZ623" i="16"/>
  <c r="AY626" i="16"/>
  <c r="AZ604" i="16"/>
  <c r="BA597" i="16"/>
  <c r="AZ580" i="16" l="1"/>
  <c r="AZ579" i="16"/>
  <c r="AZ578" i="16" a="1"/>
  <c r="AZ578" i="16" s="1"/>
  <c r="AY581" i="16"/>
  <c r="BD593" i="16"/>
  <c r="BC647" i="16"/>
  <c r="BD646" i="16"/>
  <c r="BE592" i="16"/>
  <c r="BA687" i="16"/>
  <c r="BA688" i="16"/>
  <c r="BA689" i="16"/>
  <c r="BA690" i="16"/>
  <c r="AZ633" i="16"/>
  <c r="AY616" i="16"/>
  <c r="AY635" i="16" s="1"/>
  <c r="AX621" i="16"/>
  <c r="AX636" i="16" s="1"/>
  <c r="AW628" i="16"/>
  <c r="AW629" i="16" s="1"/>
  <c r="AW637" i="16" s="1"/>
  <c r="AW691" i="16" s="1"/>
  <c r="AW683" i="16" s="1"/>
  <c r="AW682" i="16" s="1"/>
  <c r="AW680" i="16" s="1"/>
  <c r="AW679" i="16" s="1"/>
  <c r="AZ609" i="16"/>
  <c r="AZ634" i="16" s="1"/>
  <c r="BB591" i="16"/>
  <c r="BB595" i="16" s="1"/>
  <c r="BA623" i="16"/>
  <c r="AZ626" i="16"/>
  <c r="BB597" i="16"/>
  <c r="BA604" i="16"/>
  <c r="BB3" i="16"/>
  <c r="BA558" i="16"/>
  <c r="BA580" i="16" l="1"/>
  <c r="BA579" i="16"/>
  <c r="BA578" i="16" a="1"/>
  <c r="BA578" i="16" s="1"/>
  <c r="AZ581" i="16"/>
  <c r="BE646" i="16"/>
  <c r="BF592" i="16"/>
  <c r="BE593" i="16"/>
  <c r="BD647" i="16"/>
  <c r="BB687" i="16"/>
  <c r="BB688" i="16"/>
  <c r="BB689" i="16"/>
  <c r="BB690" i="16"/>
  <c r="BA633" i="16"/>
  <c r="AZ616" i="16"/>
  <c r="AZ635" i="16" s="1"/>
  <c r="BA609" i="16"/>
  <c r="BA634" i="16" s="1"/>
  <c r="AX628" i="16"/>
  <c r="AX629" i="16" s="1"/>
  <c r="AX637" i="16" s="1"/>
  <c r="AX691" i="16" s="1"/>
  <c r="AX683" i="16" s="1"/>
  <c r="AX682" i="16" s="1"/>
  <c r="AX680" i="16" s="1"/>
  <c r="AX679" i="16" s="1"/>
  <c r="AY621" i="16"/>
  <c r="AY636" i="16" s="1"/>
  <c r="BC591" i="16"/>
  <c r="BC595" i="16" s="1"/>
  <c r="BB623" i="16"/>
  <c r="BA626" i="16"/>
  <c r="BC3" i="16"/>
  <c r="BB558" i="16"/>
  <c r="BC597" i="16"/>
  <c r="BB604" i="16"/>
  <c r="BB580" i="16" l="1"/>
  <c r="BB579" i="16"/>
  <c r="BB578" i="16" a="1"/>
  <c r="BB578" i="16" s="1"/>
  <c r="BA581" i="16"/>
  <c r="BF593" i="16"/>
  <c r="BE647" i="16"/>
  <c r="BF646" i="16"/>
  <c r="BG592" i="16"/>
  <c r="BC687" i="16"/>
  <c r="BC688" i="16"/>
  <c r="BC689" i="16"/>
  <c r="BC690" i="16"/>
  <c r="BB633" i="16"/>
  <c r="AY628" i="16"/>
  <c r="AY629" i="16" s="1"/>
  <c r="AY637" i="16" s="1"/>
  <c r="AY691" i="16" s="1"/>
  <c r="AY683" i="16" s="1"/>
  <c r="AY682" i="16" s="1"/>
  <c r="AY680" i="16" s="1"/>
  <c r="AY679" i="16" s="1"/>
  <c r="BA616" i="16"/>
  <c r="BA635" i="16" s="1"/>
  <c r="BB609" i="16"/>
  <c r="BB634" i="16" s="1"/>
  <c r="AZ621" i="16"/>
  <c r="AZ636" i="16" s="1"/>
  <c r="BD591" i="16"/>
  <c r="BD595" i="16" s="1"/>
  <c r="BD597" i="16"/>
  <c r="BC604" i="16"/>
  <c r="BD3" i="16"/>
  <c r="BC558" i="16"/>
  <c r="BC623" i="16"/>
  <c r="BB626" i="16"/>
  <c r="BC580" i="16" l="1"/>
  <c r="BC578" i="16" a="1"/>
  <c r="BC578" i="16" s="1"/>
  <c r="BC579" i="16"/>
  <c r="BB581" i="16"/>
  <c r="BG646" i="16"/>
  <c r="BH592" i="16"/>
  <c r="BG593" i="16"/>
  <c r="BF647" i="16"/>
  <c r="BD687" i="16"/>
  <c r="BD688" i="16"/>
  <c r="BD689" i="16"/>
  <c r="BD690" i="16"/>
  <c r="BC633" i="16"/>
  <c r="AZ628" i="16"/>
  <c r="AZ629" i="16" s="1"/>
  <c r="AZ637" i="16" s="1"/>
  <c r="AZ691" i="16" s="1"/>
  <c r="AZ683" i="16" s="1"/>
  <c r="AZ682" i="16" s="1"/>
  <c r="AZ680" i="16" s="1"/>
  <c r="AZ679" i="16" s="1"/>
  <c r="BB616" i="16"/>
  <c r="BB635" i="16" s="1"/>
  <c r="BC609" i="16"/>
  <c r="BC634" i="16" s="1"/>
  <c r="BA621" i="16"/>
  <c r="BA636" i="16" s="1"/>
  <c r="BE591" i="16"/>
  <c r="BE595" i="16" s="1"/>
  <c r="BD623" i="16"/>
  <c r="BC626" i="16"/>
  <c r="BE597" i="16"/>
  <c r="BD604" i="16"/>
  <c r="BE3" i="16"/>
  <c r="BD558" i="16"/>
  <c r="BD579" i="16" l="1"/>
  <c r="BD580" i="16"/>
  <c r="BD578" i="16" a="1"/>
  <c r="BD578" i="16" s="1"/>
  <c r="BC581" i="16"/>
  <c r="BH646" i="16"/>
  <c r="BI592" i="16"/>
  <c r="BH593" i="16"/>
  <c r="BG647" i="16"/>
  <c r="BE687" i="16"/>
  <c r="BE688" i="16"/>
  <c r="BE689" i="16"/>
  <c r="BE690" i="16"/>
  <c r="BD633" i="16"/>
  <c r="BA628" i="16"/>
  <c r="BA629" i="16" s="1"/>
  <c r="BA637" i="16" s="1"/>
  <c r="BA691" i="16" s="1"/>
  <c r="BA683" i="16" s="1"/>
  <c r="BA682" i="16" s="1"/>
  <c r="BA680" i="16" s="1"/>
  <c r="BA679" i="16" s="1"/>
  <c r="BC616" i="16"/>
  <c r="BC635" i="16" s="1"/>
  <c r="BB621" i="16"/>
  <c r="BB636" i="16" s="1"/>
  <c r="BD609" i="16"/>
  <c r="BD634" i="16" s="1"/>
  <c r="BF591" i="16"/>
  <c r="BF595" i="16" s="1"/>
  <c r="BF597" i="16"/>
  <c r="BE604" i="16"/>
  <c r="BE623" i="16"/>
  <c r="BD626" i="16"/>
  <c r="BF3" i="16"/>
  <c r="BE558" i="16"/>
  <c r="BE579" i="16" l="1"/>
  <c r="BE580" i="16"/>
  <c r="BE578" i="16" a="1"/>
  <c r="BE578" i="16" s="1"/>
  <c r="BD581" i="16"/>
  <c r="BI646" i="16"/>
  <c r="BJ592" i="16"/>
  <c r="BI593" i="16"/>
  <c r="BH647" i="16"/>
  <c r="BF687" i="16"/>
  <c r="BF688" i="16"/>
  <c r="BF689" i="16"/>
  <c r="BF690" i="16"/>
  <c r="BE633" i="16"/>
  <c r="BE609" i="16"/>
  <c r="BE634" i="16" s="1"/>
  <c r="BB628" i="16"/>
  <c r="BB629" i="16" s="1"/>
  <c r="BB637" i="16" s="1"/>
  <c r="BB691" i="16" s="1"/>
  <c r="BB683" i="16" s="1"/>
  <c r="BB682" i="16" s="1"/>
  <c r="BB680" i="16" s="1"/>
  <c r="BB679" i="16" s="1"/>
  <c r="BC621" i="16"/>
  <c r="BC636" i="16" s="1"/>
  <c r="BD616" i="16"/>
  <c r="BD635" i="16" s="1"/>
  <c r="BG591" i="16"/>
  <c r="BG595" i="16" s="1"/>
  <c r="BG597" i="16"/>
  <c r="BF604" i="16"/>
  <c r="BG3" i="16"/>
  <c r="BF558" i="16"/>
  <c r="BF623" i="16"/>
  <c r="BE626" i="16"/>
  <c r="BF578" i="16" l="1" a="1"/>
  <c r="BF578" i="16" s="1"/>
  <c r="BF579" i="16"/>
  <c r="BF580" i="16"/>
  <c r="BE581" i="16"/>
  <c r="BJ593" i="16"/>
  <c r="BI647" i="16"/>
  <c r="BJ646" i="16"/>
  <c r="BK592" i="16"/>
  <c r="BF633" i="16"/>
  <c r="BG687" i="16"/>
  <c r="BG688" i="16"/>
  <c r="BG689" i="16"/>
  <c r="BG690" i="16"/>
  <c r="BC628" i="16"/>
  <c r="BC629" i="16" s="1"/>
  <c r="BC637" i="16" s="1"/>
  <c r="BC691" i="16" s="1"/>
  <c r="BC683" i="16" s="1"/>
  <c r="BC682" i="16" s="1"/>
  <c r="BC680" i="16" s="1"/>
  <c r="BC679" i="16" s="1"/>
  <c r="BF609" i="16"/>
  <c r="BF634" i="16" s="1"/>
  <c r="BD621" i="16"/>
  <c r="BD636" i="16" s="1"/>
  <c r="BE616" i="16"/>
  <c r="BE635" i="16" s="1"/>
  <c r="BH591" i="16"/>
  <c r="BH595" i="16" s="1"/>
  <c r="BH3" i="16"/>
  <c r="AY2" i="16"/>
  <c r="BA2" i="16"/>
  <c r="BC2" i="16"/>
  <c r="BF2" i="16"/>
  <c r="AV2" i="16"/>
  <c r="AV1" i="16"/>
  <c r="AX2" i="16"/>
  <c r="AZ2" i="16"/>
  <c r="BD2" i="16"/>
  <c r="AW2" i="16"/>
  <c r="BB2" i="16"/>
  <c r="BG558" i="16"/>
  <c r="BE2" i="16"/>
  <c r="BG2" i="16"/>
  <c r="BG604" i="16"/>
  <c r="BH597" i="16"/>
  <c r="BG623" i="16"/>
  <c r="BF626" i="16"/>
  <c r="BG578" i="16" l="1" a="1"/>
  <c r="BG578" i="16" s="1"/>
  <c r="BG580" i="16"/>
  <c r="BG579" i="16"/>
  <c r="BF581" i="16"/>
  <c r="BK646" i="16"/>
  <c r="BL592" i="16"/>
  <c r="BK593" i="16"/>
  <c r="BJ647" i="16"/>
  <c r="BH687" i="16"/>
  <c r="BH688" i="16"/>
  <c r="BH689" i="16"/>
  <c r="BH690" i="16"/>
  <c r="BG633" i="16"/>
  <c r="BE621" i="16"/>
  <c r="BE636" i="16" s="1"/>
  <c r="BD628" i="16"/>
  <c r="BD629" i="16" s="1"/>
  <c r="BD637" i="16" s="1"/>
  <c r="BD691" i="16" s="1"/>
  <c r="BD683" i="16" s="1"/>
  <c r="BD682" i="16" s="1"/>
  <c r="BD680" i="16" s="1"/>
  <c r="BD679" i="16" s="1"/>
  <c r="BF616" i="16"/>
  <c r="BF635" i="16" s="1"/>
  <c r="BG609" i="16"/>
  <c r="BG634" i="16" s="1"/>
  <c r="BI591" i="16"/>
  <c r="BI595" i="16" s="1"/>
  <c r="BI3" i="16"/>
  <c r="BH558" i="16"/>
  <c r="BH604" i="16"/>
  <c r="BI597" i="16"/>
  <c r="BH623" i="16"/>
  <c r="BG626" i="16"/>
  <c r="BG581" i="16" l="1"/>
  <c r="BH580" i="16"/>
  <c r="BH578" i="16" a="1"/>
  <c r="BH578" i="16" s="1"/>
  <c r="BH579" i="16"/>
  <c r="BL593" i="16"/>
  <c r="BK647" i="16"/>
  <c r="BL646" i="16"/>
  <c r="BM592" i="16"/>
  <c r="BI687" i="16"/>
  <c r="BI688" i="16"/>
  <c r="BI689" i="16"/>
  <c r="BI690" i="16"/>
  <c r="BH633" i="16"/>
  <c r="BG616" i="16"/>
  <c r="BG635" i="16" s="1"/>
  <c r="BF621" i="16"/>
  <c r="BF636" i="16" s="1"/>
  <c r="BH609" i="16"/>
  <c r="BH634" i="16" s="1"/>
  <c r="BE628" i="16"/>
  <c r="BE629" i="16" s="1"/>
  <c r="BE637" i="16" s="1"/>
  <c r="BE691" i="16" s="1"/>
  <c r="BE683" i="16" s="1"/>
  <c r="BE682" i="16" s="1"/>
  <c r="BE680" i="16" s="1"/>
  <c r="BE679" i="16" s="1"/>
  <c r="BJ591" i="16"/>
  <c r="BJ595" i="16" s="1"/>
  <c r="BI604" i="16"/>
  <c r="BJ597" i="16"/>
  <c r="BJ3" i="16"/>
  <c r="BI558" i="16"/>
  <c r="BI623" i="16"/>
  <c r="BH626" i="16"/>
  <c r="BI578" i="16" l="1" a="1"/>
  <c r="BI578" i="16" s="1"/>
  <c r="BI580" i="16"/>
  <c r="BI579" i="16"/>
  <c r="BH581" i="16"/>
  <c r="BM646" i="16"/>
  <c r="BN592" i="16"/>
  <c r="BM593" i="16"/>
  <c r="BL647" i="16"/>
  <c r="BI633" i="16"/>
  <c r="BJ687" i="16"/>
  <c r="BJ688" i="16"/>
  <c r="BJ689" i="16"/>
  <c r="BJ690" i="16"/>
  <c r="BI609" i="16"/>
  <c r="BI634" i="16" s="1"/>
  <c r="BH616" i="16"/>
  <c r="BH635" i="16" s="1"/>
  <c r="BG621" i="16"/>
  <c r="BG636" i="16" s="1"/>
  <c r="BF628" i="16"/>
  <c r="BF629" i="16" s="1"/>
  <c r="BF637" i="16" s="1"/>
  <c r="BF691" i="16" s="1"/>
  <c r="BF683" i="16" s="1"/>
  <c r="BF682" i="16" s="1"/>
  <c r="BF680" i="16" s="1"/>
  <c r="BF679" i="16" s="1"/>
  <c r="BK591" i="16"/>
  <c r="BK595" i="16" s="1"/>
  <c r="BK3" i="16"/>
  <c r="BJ558" i="16"/>
  <c r="BJ604" i="16"/>
  <c r="BK597" i="16"/>
  <c r="BI626" i="16"/>
  <c r="BJ623" i="16"/>
  <c r="BJ578" i="16" l="1" a="1"/>
  <c r="BJ578" i="16" s="1"/>
  <c r="BJ579" i="16"/>
  <c r="BJ580" i="16"/>
  <c r="BI581" i="16"/>
  <c r="BN593" i="16"/>
  <c r="BM647" i="16"/>
  <c r="BN646" i="16"/>
  <c r="BO592" i="16"/>
  <c r="BK687" i="16"/>
  <c r="BK688" i="16"/>
  <c r="BK689" i="16"/>
  <c r="BK690" i="16"/>
  <c r="BJ633" i="16"/>
  <c r="BH621" i="16"/>
  <c r="BH636" i="16" s="1"/>
  <c r="BJ609" i="16"/>
  <c r="BJ634" i="16" s="1"/>
  <c r="BG628" i="16"/>
  <c r="BG629" i="16" s="1"/>
  <c r="BG637" i="16" s="1"/>
  <c r="BG691" i="16" s="1"/>
  <c r="BG683" i="16" s="1"/>
  <c r="BG682" i="16" s="1"/>
  <c r="BG680" i="16" s="1"/>
  <c r="BG679" i="16" s="1"/>
  <c r="BI616" i="16"/>
  <c r="BI635" i="16" s="1"/>
  <c r="BL591" i="16"/>
  <c r="BL595" i="16" s="1"/>
  <c r="BK604" i="16"/>
  <c r="BL597" i="16"/>
  <c r="BL3" i="16"/>
  <c r="BK558" i="16"/>
  <c r="BJ626" i="16"/>
  <c r="BK623" i="16"/>
  <c r="BJ581" i="16" l="1"/>
  <c r="BK579" i="16"/>
  <c r="BK580" i="16"/>
  <c r="BK578" i="16" a="1"/>
  <c r="BK578" i="16" s="1"/>
  <c r="BO646" i="16"/>
  <c r="BP592" i="16"/>
  <c r="BO593" i="16"/>
  <c r="BN647" i="16"/>
  <c r="BK633" i="16"/>
  <c r="BL687" i="16"/>
  <c r="BL688" i="16"/>
  <c r="BL689" i="16"/>
  <c r="BL690" i="16"/>
  <c r="BK609" i="16"/>
  <c r="BK634" i="16" s="1"/>
  <c r="BI621" i="16"/>
  <c r="BI636" i="16" s="1"/>
  <c r="BJ616" i="16"/>
  <c r="BJ635" i="16" s="1"/>
  <c r="BH628" i="16"/>
  <c r="BH629" i="16" s="1"/>
  <c r="BH637" i="16" s="1"/>
  <c r="BH691" i="16" s="1"/>
  <c r="BH683" i="16" s="1"/>
  <c r="BH682" i="16" s="1"/>
  <c r="BH680" i="16" s="1"/>
  <c r="BH679" i="16" s="1"/>
  <c r="BM591" i="16"/>
  <c r="BM595" i="16" s="1"/>
  <c r="BM3" i="16"/>
  <c r="BL558" i="16"/>
  <c r="BL604" i="16"/>
  <c r="BM597" i="16"/>
  <c r="BK626" i="16"/>
  <c r="BL623" i="16"/>
  <c r="BL580" i="16" l="1"/>
  <c r="BL579" i="16"/>
  <c r="BL578" i="16" a="1"/>
  <c r="BL578" i="16" s="1"/>
  <c r="BK581" i="16"/>
  <c r="BP593" i="16"/>
  <c r="BO647" i="16"/>
  <c r="BP646" i="16"/>
  <c r="BQ592" i="16"/>
  <c r="BM687" i="16"/>
  <c r="BM688" i="16"/>
  <c r="BM689" i="16"/>
  <c r="BM690" i="16"/>
  <c r="BL633" i="16"/>
  <c r="BL609" i="16"/>
  <c r="BL634" i="16" s="1"/>
  <c r="BI628" i="16"/>
  <c r="BI629" i="16" s="1"/>
  <c r="BI637" i="16" s="1"/>
  <c r="BI691" i="16" s="1"/>
  <c r="BI683" i="16" s="1"/>
  <c r="BI682" i="16" s="1"/>
  <c r="BI680" i="16" s="1"/>
  <c r="BI679" i="16" s="1"/>
  <c r="BJ621" i="16"/>
  <c r="BJ636" i="16" s="1"/>
  <c r="BK616" i="16"/>
  <c r="BK635" i="16" s="1"/>
  <c r="BN591" i="16"/>
  <c r="BN595" i="16" s="1"/>
  <c r="BN597" i="16"/>
  <c r="BM604" i="16"/>
  <c r="BM623" i="16"/>
  <c r="BL626" i="16"/>
  <c r="BN3" i="16"/>
  <c r="BM558" i="16"/>
  <c r="BM578" i="16" l="1" a="1"/>
  <c r="BM578" i="16" s="1"/>
  <c r="BM580" i="16"/>
  <c r="BM579" i="16"/>
  <c r="BL581" i="16"/>
  <c r="BQ646" i="16"/>
  <c r="BR592" i="16"/>
  <c r="BQ593" i="16"/>
  <c r="BP647" i="16"/>
  <c r="BN687" i="16"/>
  <c r="BN688" i="16"/>
  <c r="BN689" i="16"/>
  <c r="BN690" i="16"/>
  <c r="BM633" i="16"/>
  <c r="BJ628" i="16"/>
  <c r="BJ629" i="16" s="1"/>
  <c r="BJ637" i="16" s="1"/>
  <c r="BJ691" i="16" s="1"/>
  <c r="BJ683" i="16" s="1"/>
  <c r="BJ682" i="16" s="1"/>
  <c r="BJ680" i="16" s="1"/>
  <c r="BJ679" i="16" s="1"/>
  <c r="BM609" i="16"/>
  <c r="BM634" i="16" s="1"/>
  <c r="BK621" i="16"/>
  <c r="BK636" i="16" s="1"/>
  <c r="BL616" i="16"/>
  <c r="BL635" i="16" s="1"/>
  <c r="BO591" i="16"/>
  <c r="BO595" i="16" s="1"/>
  <c r="BN623" i="16"/>
  <c r="BM626" i="16"/>
  <c r="BO3" i="16"/>
  <c r="BN558" i="16"/>
  <c r="BO597" i="16"/>
  <c r="BN604" i="16"/>
  <c r="BN580" i="16" l="1"/>
  <c r="BN579" i="16"/>
  <c r="BN578" i="16" a="1"/>
  <c r="BN578" i="16" s="1"/>
  <c r="BM581" i="16"/>
  <c r="BR593" i="16"/>
  <c r="BQ647" i="16"/>
  <c r="BR646" i="16"/>
  <c r="BS592" i="16"/>
  <c r="BO687" i="16"/>
  <c r="BO688" i="16"/>
  <c r="BO689" i="16"/>
  <c r="BO690" i="16"/>
  <c r="BN633" i="16"/>
  <c r="BN609" i="16"/>
  <c r="BN634" i="16" s="1"/>
  <c r="BL621" i="16"/>
  <c r="BL636" i="16" s="1"/>
  <c r="BK628" i="16"/>
  <c r="BK629" i="16" s="1"/>
  <c r="BK637" i="16" s="1"/>
  <c r="BK691" i="16" s="1"/>
  <c r="BK683" i="16" s="1"/>
  <c r="BK682" i="16" s="1"/>
  <c r="BK680" i="16" s="1"/>
  <c r="BK679" i="16" s="1"/>
  <c r="BM616" i="16"/>
  <c r="BM635" i="16" s="1"/>
  <c r="BP591" i="16"/>
  <c r="BP595" i="16" s="1"/>
  <c r="BP597" i="16"/>
  <c r="BO604" i="16"/>
  <c r="BP3" i="16"/>
  <c r="BO558" i="16"/>
  <c r="BO623" i="16"/>
  <c r="BN626" i="16"/>
  <c r="BO580" i="16" l="1"/>
  <c r="BO579" i="16"/>
  <c r="BO578" i="16" a="1"/>
  <c r="BO578" i="16" s="1"/>
  <c r="BN581" i="16"/>
  <c r="BS646" i="16"/>
  <c r="BT592" i="16"/>
  <c r="BS593" i="16"/>
  <c r="BR647" i="16"/>
  <c r="BP687" i="16"/>
  <c r="BP688" i="16"/>
  <c r="BP689" i="16"/>
  <c r="BP690" i="16"/>
  <c r="BO633" i="16"/>
  <c r="BO609" i="16"/>
  <c r="BO634" i="16" s="1"/>
  <c r="BM621" i="16"/>
  <c r="BM636" i="16" s="1"/>
  <c r="BL628" i="16"/>
  <c r="BL629" i="16" s="1"/>
  <c r="BL637" i="16" s="1"/>
  <c r="BL691" i="16" s="1"/>
  <c r="BL683" i="16" s="1"/>
  <c r="BL682" i="16" s="1"/>
  <c r="BL680" i="16" s="1"/>
  <c r="BL679" i="16" s="1"/>
  <c r="BN616" i="16"/>
  <c r="BN635" i="16" s="1"/>
  <c r="BQ591" i="16"/>
  <c r="BQ595" i="16" s="1"/>
  <c r="BP623" i="16"/>
  <c r="BO626" i="16"/>
  <c r="BQ597" i="16"/>
  <c r="BP604" i="16"/>
  <c r="BQ3" i="16"/>
  <c r="BP558" i="16"/>
  <c r="BP580" i="16" l="1"/>
  <c r="BP579" i="16"/>
  <c r="BP578" i="16" a="1"/>
  <c r="BP578" i="16" s="1"/>
  <c r="BO581" i="16"/>
  <c r="BT593" i="16"/>
  <c r="BS647" i="16"/>
  <c r="BT646" i="16"/>
  <c r="BU592" i="16"/>
  <c r="BQ687" i="16"/>
  <c r="BQ688" i="16"/>
  <c r="BQ689" i="16"/>
  <c r="BQ690" i="16"/>
  <c r="BP633" i="16"/>
  <c r="BN621" i="16"/>
  <c r="BN636" i="16" s="1"/>
  <c r="BP609" i="16"/>
  <c r="BP634" i="16" s="1"/>
  <c r="BM628" i="16"/>
  <c r="BM629" i="16" s="1"/>
  <c r="BM637" i="16" s="1"/>
  <c r="BM691" i="16" s="1"/>
  <c r="BM683" i="16" s="1"/>
  <c r="BM682" i="16" s="1"/>
  <c r="BM680" i="16" s="1"/>
  <c r="BM679" i="16" s="1"/>
  <c r="BO616" i="16"/>
  <c r="BO635" i="16" s="1"/>
  <c r="BR591" i="16"/>
  <c r="BR595" i="16" s="1"/>
  <c r="BR3" i="16"/>
  <c r="BQ558" i="16"/>
  <c r="BR597" i="16"/>
  <c r="BQ604" i="16"/>
  <c r="BQ623" i="16"/>
  <c r="BP626" i="16"/>
  <c r="BQ580" i="16" l="1"/>
  <c r="BQ578" i="16" a="1"/>
  <c r="BQ578" i="16" s="1"/>
  <c r="BQ579" i="16"/>
  <c r="BP581" i="16"/>
  <c r="BU646" i="16"/>
  <c r="BV592" i="16"/>
  <c r="BU593" i="16"/>
  <c r="BT647" i="16"/>
  <c r="BR687" i="16"/>
  <c r="BR688" i="16"/>
  <c r="BR689" i="16"/>
  <c r="BR690" i="16"/>
  <c r="BQ633" i="16"/>
  <c r="BO621" i="16"/>
  <c r="BO636" i="16" s="1"/>
  <c r="BQ609" i="16"/>
  <c r="BQ634" i="16" s="1"/>
  <c r="BP616" i="16"/>
  <c r="BP635" i="16" s="1"/>
  <c r="BN628" i="16"/>
  <c r="BN629" i="16" s="1"/>
  <c r="BN637" i="16" s="1"/>
  <c r="BN691" i="16" s="1"/>
  <c r="BN683" i="16" s="1"/>
  <c r="BN682" i="16" s="1"/>
  <c r="BN680" i="16" s="1"/>
  <c r="BN679" i="16" s="1"/>
  <c r="BS591" i="16"/>
  <c r="BS595" i="16" s="1"/>
  <c r="BR623" i="16"/>
  <c r="BQ626" i="16"/>
  <c r="BR604" i="16"/>
  <c r="BS597" i="16"/>
  <c r="BS3" i="16"/>
  <c r="BR558" i="16"/>
  <c r="BR579" i="16" l="1"/>
  <c r="BR580" i="16"/>
  <c r="BR578" i="16" a="1"/>
  <c r="BR578" i="16" s="1"/>
  <c r="BQ581" i="16"/>
  <c r="BV593" i="16"/>
  <c r="BU647" i="16"/>
  <c r="BV646" i="16"/>
  <c r="BW592" i="16"/>
  <c r="BS687" i="16"/>
  <c r="BS688" i="16"/>
  <c r="BS689" i="16"/>
  <c r="BS690" i="16"/>
  <c r="BR633" i="16"/>
  <c r="BO628" i="16"/>
  <c r="BO629" i="16" s="1"/>
  <c r="BO637" i="16" s="1"/>
  <c r="BO691" i="16" s="1"/>
  <c r="BO683" i="16" s="1"/>
  <c r="BO682" i="16" s="1"/>
  <c r="BO680" i="16" s="1"/>
  <c r="BO679" i="16" s="1"/>
  <c r="BP621" i="16"/>
  <c r="BP636" i="16" s="1"/>
  <c r="BR609" i="16"/>
  <c r="BR634" i="16" s="1"/>
  <c r="BQ616" i="16"/>
  <c r="BQ635" i="16" s="1"/>
  <c r="BT591" i="16"/>
  <c r="BT595" i="16" s="1"/>
  <c r="BO2" i="16"/>
  <c r="BQ2" i="16"/>
  <c r="BS2" i="16"/>
  <c r="BH2" i="16"/>
  <c r="BI2" i="16"/>
  <c r="BJ2" i="16"/>
  <c r="BR2" i="16"/>
  <c r="BM2" i="16"/>
  <c r="BN2" i="16"/>
  <c r="BP2" i="16"/>
  <c r="BH1" i="16"/>
  <c r="BT3" i="16"/>
  <c r="BK2" i="16"/>
  <c r="BL2" i="16"/>
  <c r="BS558" i="16"/>
  <c r="BS604" i="16"/>
  <c r="BT597" i="16"/>
  <c r="BS623" i="16"/>
  <c r="BR626" i="16"/>
  <c r="BR581" i="16" l="1"/>
  <c r="BS579" i="16"/>
  <c r="BS580" i="16"/>
  <c r="BS578" i="16" a="1"/>
  <c r="BS578" i="16" s="1"/>
  <c r="BW646" i="16"/>
  <c r="BX592" i="16"/>
  <c r="BW593" i="16"/>
  <c r="BV647" i="16"/>
  <c r="BT687" i="16"/>
  <c r="BT688" i="16"/>
  <c r="BT689" i="16"/>
  <c r="BT690" i="16"/>
  <c r="BS633" i="16"/>
  <c r="BP628" i="16"/>
  <c r="BP629" i="16" s="1"/>
  <c r="BP637" i="16" s="1"/>
  <c r="BP691" i="16" s="1"/>
  <c r="BP683" i="16" s="1"/>
  <c r="BP682" i="16" s="1"/>
  <c r="BP680" i="16" s="1"/>
  <c r="BP679" i="16" s="1"/>
  <c r="BQ621" i="16"/>
  <c r="BQ636" i="16" s="1"/>
  <c r="BR616" i="16"/>
  <c r="BR635" i="16" s="1"/>
  <c r="BS609" i="16"/>
  <c r="BS634" i="16" s="1"/>
  <c r="BU591" i="16"/>
  <c r="BU595" i="16" s="1"/>
  <c r="BU3" i="16"/>
  <c r="BT558" i="16"/>
  <c r="BS626" i="16"/>
  <c r="BT623" i="16"/>
  <c r="BU597" i="16"/>
  <c r="BT604" i="16"/>
  <c r="BT578" i="16" l="1" a="1"/>
  <c r="BT578" i="16" s="1"/>
  <c r="BT579" i="16"/>
  <c r="BT580" i="16"/>
  <c r="BS581" i="16"/>
  <c r="BX593" i="16"/>
  <c r="BW647" i="16"/>
  <c r="BX646" i="16"/>
  <c r="BY592" i="16"/>
  <c r="BU687" i="16"/>
  <c r="BU688" i="16"/>
  <c r="BU689" i="16"/>
  <c r="BU690" i="16"/>
  <c r="BT633" i="16"/>
  <c r="BR621" i="16"/>
  <c r="BR636" i="16" s="1"/>
  <c r="BT609" i="16"/>
  <c r="BT634" i="16" s="1"/>
  <c r="BS616" i="16"/>
  <c r="BS635" i="16" s="1"/>
  <c r="BQ628" i="16"/>
  <c r="BQ629" i="16" s="1"/>
  <c r="BQ637" i="16" s="1"/>
  <c r="BQ691" i="16" s="1"/>
  <c r="BQ683" i="16" s="1"/>
  <c r="BQ682" i="16" s="1"/>
  <c r="BQ680" i="16" s="1"/>
  <c r="BQ679" i="16" s="1"/>
  <c r="BV591" i="16"/>
  <c r="BV595" i="16" s="1"/>
  <c r="BV597" i="16"/>
  <c r="BU604" i="16"/>
  <c r="BU623" i="16"/>
  <c r="BT626" i="16"/>
  <c r="BV3" i="16"/>
  <c r="BU558" i="16"/>
  <c r="BU579" i="16" l="1"/>
  <c r="BU578" i="16" a="1"/>
  <c r="BU578" i="16" s="1"/>
  <c r="BU580" i="16"/>
  <c r="BT581" i="16"/>
  <c r="BY646" i="16"/>
  <c r="BZ592" i="16"/>
  <c r="BY593" i="16"/>
  <c r="BX647" i="16"/>
  <c r="BV687" i="16"/>
  <c r="BV688" i="16"/>
  <c r="BV689" i="16"/>
  <c r="BV690" i="16"/>
  <c r="BU633" i="16"/>
  <c r="BU609" i="16"/>
  <c r="BU634" i="16" s="1"/>
  <c r="BS621" i="16"/>
  <c r="BS636" i="16" s="1"/>
  <c r="BT616" i="16"/>
  <c r="BT635" i="16" s="1"/>
  <c r="BR628" i="16"/>
  <c r="BR629" i="16" s="1"/>
  <c r="BR637" i="16" s="1"/>
  <c r="BR691" i="16" s="1"/>
  <c r="BR683" i="16" s="1"/>
  <c r="BR682" i="16" s="1"/>
  <c r="BR680" i="16" s="1"/>
  <c r="BR679" i="16" s="1"/>
  <c r="BW591" i="16"/>
  <c r="BW595" i="16" s="1"/>
  <c r="BW3" i="16"/>
  <c r="BV558" i="16"/>
  <c r="BU626" i="16"/>
  <c r="BV623" i="16"/>
  <c r="BW597" i="16"/>
  <c r="BV604" i="16"/>
  <c r="BU581" i="16" l="1"/>
  <c r="BV578" i="16" a="1"/>
  <c r="BV578" i="16" s="1"/>
  <c r="BV580" i="16"/>
  <c r="BV579" i="16"/>
  <c r="BZ593" i="16"/>
  <c r="BY647" i="16"/>
  <c r="BZ646" i="16"/>
  <c r="CA592" i="16"/>
  <c r="BV633" i="16"/>
  <c r="BW687" i="16"/>
  <c r="BW688" i="16"/>
  <c r="BW689" i="16"/>
  <c r="BW690" i="16"/>
  <c r="BV609" i="16"/>
  <c r="BV634" i="16" s="1"/>
  <c r="BT621" i="16"/>
  <c r="BT636" i="16" s="1"/>
  <c r="BS628" i="16"/>
  <c r="BS629" i="16" s="1"/>
  <c r="BS637" i="16" s="1"/>
  <c r="BS691" i="16" s="1"/>
  <c r="BS683" i="16" s="1"/>
  <c r="BS682" i="16" s="1"/>
  <c r="BS680" i="16" s="1"/>
  <c r="BS679" i="16" s="1"/>
  <c r="BU616" i="16"/>
  <c r="BU635" i="16" s="1"/>
  <c r="BX591" i="16"/>
  <c r="BX595" i="16" s="1"/>
  <c r="BX597" i="16"/>
  <c r="BW604" i="16"/>
  <c r="BX3" i="16"/>
  <c r="BW558" i="16"/>
  <c r="BW623" i="16"/>
  <c r="BV626" i="16"/>
  <c r="BV581" i="16" l="1"/>
  <c r="BW578" i="16" a="1"/>
  <c r="BW578" i="16" s="1"/>
  <c r="BW580" i="16"/>
  <c r="BW579" i="16"/>
  <c r="CA646" i="16"/>
  <c r="CB592" i="16"/>
  <c r="CA593" i="16"/>
  <c r="BZ647" i="16"/>
  <c r="BW633" i="16"/>
  <c r="BX687" i="16"/>
  <c r="BX688" i="16"/>
  <c r="BX689" i="16"/>
  <c r="BX690" i="16"/>
  <c r="BW609" i="16"/>
  <c r="BW634" i="16" s="1"/>
  <c r="BU621" i="16"/>
  <c r="BU636" i="16" s="1"/>
  <c r="BT628" i="16"/>
  <c r="BT629" i="16" s="1"/>
  <c r="BT637" i="16" s="1"/>
  <c r="BT691" i="16" s="1"/>
  <c r="BT683" i="16" s="1"/>
  <c r="BT682" i="16" s="1"/>
  <c r="BT680" i="16" s="1"/>
  <c r="BT679" i="16" s="1"/>
  <c r="BV616" i="16"/>
  <c r="BV635" i="16" s="1"/>
  <c r="BY591" i="16"/>
  <c r="BY595" i="16" s="1"/>
  <c r="BX623" i="16"/>
  <c r="BW626" i="16"/>
  <c r="BY3" i="16"/>
  <c r="BX558" i="16"/>
  <c r="BX604" i="16"/>
  <c r="BY597" i="16"/>
  <c r="BX578" i="16" l="1" a="1"/>
  <c r="BX578" i="16" s="1"/>
  <c r="BX579" i="16"/>
  <c r="BX580" i="16"/>
  <c r="BW581" i="16"/>
  <c r="CB593" i="16"/>
  <c r="CA647" i="16"/>
  <c r="CB646" i="16"/>
  <c r="CC592" i="16"/>
  <c r="BY687" i="16"/>
  <c r="BY688" i="16"/>
  <c r="BY689" i="16"/>
  <c r="BY690" i="16"/>
  <c r="BX633" i="16"/>
  <c r="BX609" i="16"/>
  <c r="BX634" i="16" s="1"/>
  <c r="BV621" i="16"/>
  <c r="BV636" i="16" s="1"/>
  <c r="BU628" i="16"/>
  <c r="BU629" i="16" s="1"/>
  <c r="BU637" i="16" s="1"/>
  <c r="BU691" i="16" s="1"/>
  <c r="BU683" i="16" s="1"/>
  <c r="BU682" i="16" s="1"/>
  <c r="BU680" i="16" s="1"/>
  <c r="BU679" i="16" s="1"/>
  <c r="BW616" i="16"/>
  <c r="BW635" i="16" s="1"/>
  <c r="BZ591" i="16"/>
  <c r="BZ595" i="16" s="1"/>
  <c r="BY604" i="16"/>
  <c r="BZ597" i="16"/>
  <c r="BY623" i="16"/>
  <c r="BX626" i="16"/>
  <c r="BZ3" i="16"/>
  <c r="BY558" i="16"/>
  <c r="BX581" i="16" l="1"/>
  <c r="BY580" i="16"/>
  <c r="BY579" i="16"/>
  <c r="BY578" i="16" a="1"/>
  <c r="BY578" i="16" s="1"/>
  <c r="CC646" i="16"/>
  <c r="CD592" i="16"/>
  <c r="CC593" i="16"/>
  <c r="CB647" i="16"/>
  <c r="BY633" i="16"/>
  <c r="BZ687" i="16"/>
  <c r="BZ688" i="16"/>
  <c r="BZ689" i="16"/>
  <c r="BZ690" i="16"/>
  <c r="BY609" i="16"/>
  <c r="BY634" i="16" s="1"/>
  <c r="BW621" i="16"/>
  <c r="BW636" i="16" s="1"/>
  <c r="BV628" i="16"/>
  <c r="BV629" i="16" s="1"/>
  <c r="BV637" i="16" s="1"/>
  <c r="BV691" i="16" s="1"/>
  <c r="BV683" i="16" s="1"/>
  <c r="BV682" i="16" s="1"/>
  <c r="BV680" i="16" s="1"/>
  <c r="BV679" i="16" s="1"/>
  <c r="BX616" i="16"/>
  <c r="BX635" i="16" s="1"/>
  <c r="CA591" i="16"/>
  <c r="CA595" i="16" s="1"/>
  <c r="CA3" i="16"/>
  <c r="BZ558" i="16"/>
  <c r="CA597" i="16"/>
  <c r="BZ604" i="16"/>
  <c r="BZ623" i="16"/>
  <c r="BY626" i="16"/>
  <c r="BY581" i="16" l="1"/>
  <c r="BZ580" i="16"/>
  <c r="BZ579" i="16"/>
  <c r="BZ578" i="16" a="1"/>
  <c r="BZ578" i="16" s="1"/>
  <c r="CD593" i="16"/>
  <c r="CC647" i="16"/>
  <c r="CD646" i="16"/>
  <c r="CE592" i="16"/>
  <c r="CA687" i="16"/>
  <c r="CA688" i="16"/>
  <c r="CA689" i="16"/>
  <c r="CA690" i="16"/>
  <c r="BZ633" i="16"/>
  <c r="BX621" i="16"/>
  <c r="BX636" i="16" s="1"/>
  <c r="BZ609" i="16"/>
  <c r="BZ634" i="16" s="1"/>
  <c r="BW628" i="16"/>
  <c r="BW629" i="16" s="1"/>
  <c r="BW637" i="16" s="1"/>
  <c r="BW691" i="16" s="1"/>
  <c r="BW683" i="16" s="1"/>
  <c r="BW682" i="16" s="1"/>
  <c r="BW680" i="16" s="1"/>
  <c r="BW679" i="16" s="1"/>
  <c r="BY616" i="16"/>
  <c r="BY635" i="16" s="1"/>
  <c r="CB591" i="16"/>
  <c r="CB595" i="16" s="1"/>
  <c r="CA623" i="16"/>
  <c r="BZ626" i="16"/>
  <c r="CB597" i="16"/>
  <c r="CA604" i="16"/>
  <c r="CB3" i="16"/>
  <c r="CA558" i="16"/>
  <c r="CA578" i="16" l="1" a="1"/>
  <c r="CA578" i="16" s="1"/>
  <c r="CA580" i="16"/>
  <c r="CA579" i="16"/>
  <c r="BZ581" i="16"/>
  <c r="CE646" i="16"/>
  <c r="CF592" i="16"/>
  <c r="CE593" i="16"/>
  <c r="CD647" i="16"/>
  <c r="CB687" i="16"/>
  <c r="CB688" i="16"/>
  <c r="CB689" i="16"/>
  <c r="CB690" i="16"/>
  <c r="CA633" i="16"/>
  <c r="BZ616" i="16"/>
  <c r="BZ635" i="16" s="1"/>
  <c r="BX628" i="16"/>
  <c r="BX629" i="16" s="1"/>
  <c r="BX637" i="16" s="1"/>
  <c r="BX691" i="16" s="1"/>
  <c r="BX683" i="16" s="1"/>
  <c r="BX682" i="16" s="1"/>
  <c r="BX680" i="16" s="1"/>
  <c r="BX679" i="16" s="1"/>
  <c r="CA609" i="16"/>
  <c r="CA634" i="16" s="1"/>
  <c r="BY621" i="16"/>
  <c r="BY636" i="16" s="1"/>
  <c r="CC591" i="16"/>
  <c r="CC595" i="16" s="1"/>
  <c r="CC3" i="16"/>
  <c r="CB558" i="16"/>
  <c r="CB604" i="16"/>
  <c r="CC597" i="16"/>
  <c r="CA626" i="16"/>
  <c r="CB623" i="16"/>
  <c r="CB580" i="16" l="1"/>
  <c r="CB579" i="16"/>
  <c r="CB578" i="16" a="1"/>
  <c r="CB578" i="16" s="1"/>
  <c r="CA581" i="16"/>
  <c r="CF593" i="16"/>
  <c r="CE647" i="16"/>
  <c r="CF646" i="16"/>
  <c r="CG592" i="16"/>
  <c r="CC687" i="16"/>
  <c r="CC688" i="16"/>
  <c r="CC689" i="16"/>
  <c r="CC690" i="16"/>
  <c r="CB633" i="16"/>
  <c r="BY628" i="16"/>
  <c r="BY629" i="16" s="1"/>
  <c r="BY637" i="16" s="1"/>
  <c r="BY691" i="16" s="1"/>
  <c r="BY683" i="16" s="1"/>
  <c r="BY682" i="16" s="1"/>
  <c r="BY680" i="16" s="1"/>
  <c r="BY679" i="16" s="1"/>
  <c r="CB609" i="16"/>
  <c r="CB634" i="16" s="1"/>
  <c r="CA616" i="16"/>
  <c r="CA635" i="16" s="1"/>
  <c r="BZ621" i="16"/>
  <c r="BZ636" i="16" s="1"/>
  <c r="CD591" i="16"/>
  <c r="CD595" i="16" s="1"/>
  <c r="CB626" i="16"/>
  <c r="CC623" i="16"/>
  <c r="CC604" i="16"/>
  <c r="CD597" i="16"/>
  <c r="CD3" i="16"/>
  <c r="CC558" i="16"/>
  <c r="CC580" i="16" l="1"/>
  <c r="CC579" i="16"/>
  <c r="CC578" i="16" a="1"/>
  <c r="CC578" i="16" s="1"/>
  <c r="CB581" i="16"/>
  <c r="CG646" i="16"/>
  <c r="CH592" i="16"/>
  <c r="CG593" i="16"/>
  <c r="CF647" i="16"/>
  <c r="CC633" i="16"/>
  <c r="CD687" i="16"/>
  <c r="CD688" i="16"/>
  <c r="CD689" i="16"/>
  <c r="CD690" i="16"/>
  <c r="CC609" i="16"/>
  <c r="CC634" i="16" s="1"/>
  <c r="BZ628" i="16"/>
  <c r="BZ629" i="16" s="1"/>
  <c r="BZ637" i="16" s="1"/>
  <c r="BZ691" i="16" s="1"/>
  <c r="BZ683" i="16" s="1"/>
  <c r="BZ682" i="16" s="1"/>
  <c r="BZ680" i="16" s="1"/>
  <c r="BZ679" i="16" s="1"/>
  <c r="CA621" i="16"/>
  <c r="CA636" i="16" s="1"/>
  <c r="CB616" i="16"/>
  <c r="CB635" i="16" s="1"/>
  <c r="CE591" i="16"/>
  <c r="CE595" i="16" s="1"/>
  <c r="CE3" i="16"/>
  <c r="CD558" i="16"/>
  <c r="CD604" i="16"/>
  <c r="CE597" i="16"/>
  <c r="CC626" i="16"/>
  <c r="CD623" i="16"/>
  <c r="CD580" i="16" l="1"/>
  <c r="CD579" i="16"/>
  <c r="CD578" i="16" a="1"/>
  <c r="CD578" i="16" s="1"/>
  <c r="CC581" i="16"/>
  <c r="CH593" i="16"/>
  <c r="CG647" i="16"/>
  <c r="CH646" i="16"/>
  <c r="CI592" i="16"/>
  <c r="CE687" i="16"/>
  <c r="CE688" i="16"/>
  <c r="CE689" i="16"/>
  <c r="CE690" i="16"/>
  <c r="CD633" i="16"/>
  <c r="CD609" i="16"/>
  <c r="CD634" i="16" s="1"/>
  <c r="CB621" i="16"/>
  <c r="CB636" i="16" s="1"/>
  <c r="CA628" i="16"/>
  <c r="CA629" i="16" s="1"/>
  <c r="CA637" i="16" s="1"/>
  <c r="CA691" i="16" s="1"/>
  <c r="CA683" i="16" s="1"/>
  <c r="CA682" i="16" s="1"/>
  <c r="CA680" i="16" s="1"/>
  <c r="CA679" i="16" s="1"/>
  <c r="CC616" i="16"/>
  <c r="CC635" i="16" s="1"/>
  <c r="CF591" i="16"/>
  <c r="CF595" i="16" s="1"/>
  <c r="CE623" i="16"/>
  <c r="CD626" i="16"/>
  <c r="CE604" i="16"/>
  <c r="CF597" i="16"/>
  <c r="CE2" i="16"/>
  <c r="BV2" i="16"/>
  <c r="BT1" i="16"/>
  <c r="BX2" i="16"/>
  <c r="CF3" i="16"/>
  <c r="BY2" i="16"/>
  <c r="BZ2" i="16"/>
  <c r="BU2" i="16"/>
  <c r="BW2" i="16"/>
  <c r="CB2" i="16"/>
  <c r="CC2" i="16"/>
  <c r="BT2" i="16"/>
  <c r="CA2" i="16"/>
  <c r="CD2" i="16"/>
  <c r="CE558" i="16"/>
  <c r="CE580" i="16" l="1"/>
  <c r="CE578" i="16" a="1"/>
  <c r="CE578" i="16" s="1"/>
  <c r="CE579" i="16"/>
  <c r="CD581" i="16"/>
  <c r="CI646" i="16"/>
  <c r="CJ592" i="16"/>
  <c r="CI593" i="16"/>
  <c r="CH647" i="16"/>
  <c r="CF687" i="16"/>
  <c r="CF688" i="16"/>
  <c r="CF689" i="16"/>
  <c r="CF690" i="16"/>
  <c r="CE633" i="16"/>
  <c r="CB628" i="16"/>
  <c r="CB629" i="16" s="1"/>
  <c r="CB637" i="16" s="1"/>
  <c r="CB691" i="16" s="1"/>
  <c r="CB683" i="16" s="1"/>
  <c r="CB682" i="16" s="1"/>
  <c r="CB680" i="16" s="1"/>
  <c r="CB679" i="16" s="1"/>
  <c r="CE609" i="16"/>
  <c r="CE634" i="16" s="1"/>
  <c r="CD616" i="16"/>
  <c r="CD635" i="16" s="1"/>
  <c r="CC621" i="16"/>
  <c r="CC636" i="16" s="1"/>
  <c r="CG591" i="16"/>
  <c r="CG595" i="16" s="1"/>
  <c r="CG3" i="16"/>
  <c r="CF558" i="16"/>
  <c r="CG597" i="16"/>
  <c r="CF604" i="16"/>
  <c r="CE626" i="16"/>
  <c r="CF623" i="16"/>
  <c r="CF579" i="16" l="1"/>
  <c r="CF580" i="16"/>
  <c r="CF578" i="16" a="1"/>
  <c r="CF578" i="16" s="1"/>
  <c r="CE581" i="16"/>
  <c r="CJ593" i="16"/>
  <c r="CI647" i="16"/>
  <c r="CJ646" i="16"/>
  <c r="CK592" i="16"/>
  <c r="CF633" i="16"/>
  <c r="CG687" i="16"/>
  <c r="CG688" i="16"/>
  <c r="CG689" i="16"/>
  <c r="CG690" i="16"/>
  <c r="CC628" i="16"/>
  <c r="CC629" i="16" s="1"/>
  <c r="CC637" i="16" s="1"/>
  <c r="CC691" i="16" s="1"/>
  <c r="CC683" i="16" s="1"/>
  <c r="CC682" i="16" s="1"/>
  <c r="CC680" i="16" s="1"/>
  <c r="CC679" i="16" s="1"/>
  <c r="CD621" i="16"/>
  <c r="CD636" i="16" s="1"/>
  <c r="CE616" i="16"/>
  <c r="CE635" i="16" s="1"/>
  <c r="CF609" i="16"/>
  <c r="CF634" i="16" s="1"/>
  <c r="CH591" i="16"/>
  <c r="CH595" i="16" s="1"/>
  <c r="CG623" i="16"/>
  <c r="CF626" i="16"/>
  <c r="CH597" i="16"/>
  <c r="CG604" i="16"/>
  <c r="CH3" i="16"/>
  <c r="CG558" i="16"/>
  <c r="CG579" i="16" l="1"/>
  <c r="CG580" i="16"/>
  <c r="CG578" i="16" a="1"/>
  <c r="CG578" i="16" s="1"/>
  <c r="CF581" i="16"/>
  <c r="CK646" i="16"/>
  <c r="CL592" i="16"/>
  <c r="CK593" i="16"/>
  <c r="CJ647" i="16"/>
  <c r="CG633" i="16"/>
  <c r="CH687" i="16"/>
  <c r="CH688" i="16"/>
  <c r="CH689" i="16"/>
  <c r="CH690" i="16"/>
  <c r="CG609" i="16"/>
  <c r="CG634" i="16" s="1"/>
  <c r="CF616" i="16"/>
  <c r="CF635" i="16" s="1"/>
  <c r="CE621" i="16"/>
  <c r="CE636" i="16" s="1"/>
  <c r="CD628" i="16"/>
  <c r="CD629" i="16" s="1"/>
  <c r="CD637" i="16" s="1"/>
  <c r="CD691" i="16" s="1"/>
  <c r="CD683" i="16" s="1"/>
  <c r="CD682" i="16" s="1"/>
  <c r="CD680" i="16" s="1"/>
  <c r="CD679" i="16" s="1"/>
  <c r="CI591" i="16"/>
  <c r="CI595" i="16" s="1"/>
  <c r="CI3" i="16"/>
  <c r="CH558" i="16"/>
  <c r="CI597" i="16"/>
  <c r="CH604" i="16"/>
  <c r="CH623" i="16"/>
  <c r="CG626" i="16"/>
  <c r="CH579" i="16" l="1"/>
  <c r="CH578" i="16" a="1"/>
  <c r="CH578" i="16" s="1"/>
  <c r="CH580" i="16"/>
  <c r="CG581" i="16"/>
  <c r="CL593" i="16"/>
  <c r="CK647" i="16"/>
  <c r="CL646" i="16"/>
  <c r="CM592" i="16"/>
  <c r="CI687" i="16"/>
  <c r="CI688" i="16"/>
  <c r="CI689" i="16"/>
  <c r="CI690" i="16"/>
  <c r="CH633" i="16"/>
  <c r="CH609" i="16"/>
  <c r="CH634" i="16" s="1"/>
  <c r="CF621" i="16"/>
  <c r="CF636" i="16" s="1"/>
  <c r="CE628" i="16"/>
  <c r="CE629" i="16" s="1"/>
  <c r="CE637" i="16" s="1"/>
  <c r="CE691" i="16" s="1"/>
  <c r="CE683" i="16" s="1"/>
  <c r="CE682" i="16" s="1"/>
  <c r="CE680" i="16" s="1"/>
  <c r="CE679" i="16" s="1"/>
  <c r="CG616" i="16"/>
  <c r="CG635" i="16" s="1"/>
  <c r="CJ591" i="16"/>
  <c r="CJ595" i="16" s="1"/>
  <c r="CI623" i="16"/>
  <c r="CH626" i="16"/>
  <c r="CJ597" i="16"/>
  <c r="CI604" i="16"/>
  <c r="CJ3" i="16"/>
  <c r="CI558" i="16"/>
  <c r="CI579" i="16" l="1"/>
  <c r="CI578" i="16" a="1"/>
  <c r="CI578" i="16" s="1"/>
  <c r="CI580" i="16"/>
  <c r="CH581" i="16"/>
  <c r="CM646" i="16"/>
  <c r="CN592" i="16"/>
  <c r="CM593" i="16"/>
  <c r="CL647" i="16"/>
  <c r="CI633" i="16"/>
  <c r="CJ687" i="16"/>
  <c r="CJ688" i="16"/>
  <c r="CJ689" i="16"/>
  <c r="CJ690" i="16"/>
  <c r="CI609" i="16"/>
  <c r="CI634" i="16" s="1"/>
  <c r="CG621" i="16"/>
  <c r="CG636" i="16" s="1"/>
  <c r="CF628" i="16"/>
  <c r="CF629" i="16" s="1"/>
  <c r="CF637" i="16" s="1"/>
  <c r="CF691" i="16" s="1"/>
  <c r="CF683" i="16" s="1"/>
  <c r="CF682" i="16" s="1"/>
  <c r="CF680" i="16" s="1"/>
  <c r="CF679" i="16" s="1"/>
  <c r="CH616" i="16"/>
  <c r="CH635" i="16" s="1"/>
  <c r="CK591" i="16"/>
  <c r="CK595" i="16" s="1"/>
  <c r="CK3" i="16"/>
  <c r="CJ558" i="16"/>
  <c r="CK597" i="16"/>
  <c r="CJ604" i="16"/>
  <c r="CJ623" i="16"/>
  <c r="CI626" i="16"/>
  <c r="CJ578" i="16" l="1" a="1"/>
  <c r="CJ578" i="16" s="1"/>
  <c r="CJ580" i="16"/>
  <c r="CJ579" i="16"/>
  <c r="CI581" i="16"/>
  <c r="CN646" i="16"/>
  <c r="CO592" i="16"/>
  <c r="CN593" i="16"/>
  <c r="CM647" i="16"/>
  <c r="CK687" i="16"/>
  <c r="CK688" i="16"/>
  <c r="CK689" i="16"/>
  <c r="CK690" i="16"/>
  <c r="CJ633" i="16"/>
  <c r="CH621" i="16"/>
  <c r="CH636" i="16" s="1"/>
  <c r="CG628" i="16"/>
  <c r="CG629" i="16" s="1"/>
  <c r="CG637" i="16" s="1"/>
  <c r="CG691" i="16" s="1"/>
  <c r="CG683" i="16" s="1"/>
  <c r="CG682" i="16" s="1"/>
  <c r="CG680" i="16" s="1"/>
  <c r="CG679" i="16" s="1"/>
  <c r="CJ609" i="16"/>
  <c r="CJ634" i="16" s="1"/>
  <c r="CI616" i="16"/>
  <c r="CI635" i="16" s="1"/>
  <c r="CL591" i="16"/>
  <c r="CL595" i="16" s="1"/>
  <c r="CK623" i="16"/>
  <c r="CJ626" i="16"/>
  <c r="CL597" i="16"/>
  <c r="CK604" i="16"/>
  <c r="CL3" i="16"/>
  <c r="CK558" i="16"/>
  <c r="CJ581" i="16" l="1"/>
  <c r="CK578" i="16" a="1"/>
  <c r="CK578" i="16" s="1"/>
  <c r="CK580" i="16"/>
  <c r="CK579" i="16"/>
  <c r="CO593" i="16"/>
  <c r="CN647" i="16"/>
  <c r="CO646" i="16"/>
  <c r="CP592" i="16"/>
  <c r="CL687" i="16"/>
  <c r="CL688" i="16"/>
  <c r="CL689" i="16"/>
  <c r="CL690" i="16"/>
  <c r="CK633" i="16"/>
  <c r="CI621" i="16"/>
  <c r="CI636" i="16" s="1"/>
  <c r="CJ616" i="16"/>
  <c r="CJ635" i="16" s="1"/>
  <c r="CK609" i="16"/>
  <c r="CK634" i="16" s="1"/>
  <c r="CH628" i="16"/>
  <c r="CH629" i="16" s="1"/>
  <c r="CH637" i="16" s="1"/>
  <c r="CH691" i="16" s="1"/>
  <c r="CH683" i="16" s="1"/>
  <c r="CH682" i="16" s="1"/>
  <c r="CH680" i="16" s="1"/>
  <c r="CH679" i="16" s="1"/>
  <c r="CM591" i="16"/>
  <c r="CM595" i="16" s="1"/>
  <c r="CM3" i="16"/>
  <c r="CL558" i="16"/>
  <c r="CM597" i="16"/>
  <c r="CL604" i="16"/>
  <c r="CK626" i="16"/>
  <c r="CL623" i="16"/>
  <c r="CK581" i="16" l="1"/>
  <c r="CL578" i="16" a="1"/>
  <c r="CL578" i="16" s="1"/>
  <c r="CL580" i="16"/>
  <c r="CL579" i="16"/>
  <c r="CP646" i="16"/>
  <c r="CQ592" i="16"/>
  <c r="CP593" i="16"/>
  <c r="CO647" i="16"/>
  <c r="CL633" i="16"/>
  <c r="CM687" i="16"/>
  <c r="CM688" i="16"/>
  <c r="CM689" i="16"/>
  <c r="CM690" i="16"/>
  <c r="CK616" i="16"/>
  <c r="CK635" i="16" s="1"/>
  <c r="CJ621" i="16"/>
  <c r="CJ636" i="16" s="1"/>
  <c r="CL609" i="16"/>
  <c r="CL634" i="16" s="1"/>
  <c r="CI628" i="16"/>
  <c r="CI629" i="16" s="1"/>
  <c r="CI637" i="16" s="1"/>
  <c r="CI691" i="16" s="1"/>
  <c r="CI683" i="16" s="1"/>
  <c r="CI682" i="16" s="1"/>
  <c r="CI680" i="16" s="1"/>
  <c r="CI679" i="16" s="1"/>
  <c r="CN591" i="16"/>
  <c r="CN595" i="16" s="1"/>
  <c r="CM623" i="16"/>
  <c r="CL626" i="16"/>
  <c r="CN597" i="16"/>
  <c r="CM604" i="16"/>
  <c r="CN3" i="16"/>
  <c r="CM558" i="16"/>
  <c r="CL581" i="16" l="1"/>
  <c r="CM579" i="16"/>
  <c r="CM580" i="16"/>
  <c r="CM578" i="16" a="1"/>
  <c r="CM578" i="16" s="1"/>
  <c r="CQ593" i="16"/>
  <c r="CP647" i="16"/>
  <c r="CQ646" i="16"/>
  <c r="CR592" i="16"/>
  <c r="CN687" i="16"/>
  <c r="CN688" i="16"/>
  <c r="CN689" i="16"/>
  <c r="CN690" i="16"/>
  <c r="CM633" i="16"/>
  <c r="CL616" i="16"/>
  <c r="CL635" i="16" s="1"/>
  <c r="CJ628" i="16"/>
  <c r="CJ629" i="16" s="1"/>
  <c r="CJ637" i="16" s="1"/>
  <c r="CJ691" i="16" s="1"/>
  <c r="CJ683" i="16" s="1"/>
  <c r="CJ682" i="16" s="1"/>
  <c r="CJ680" i="16" s="1"/>
  <c r="CJ679" i="16" s="1"/>
  <c r="CM609" i="16"/>
  <c r="CM634" i="16" s="1"/>
  <c r="CK621" i="16"/>
  <c r="CK636" i="16" s="1"/>
  <c r="CO591" i="16"/>
  <c r="CO595" i="16" s="1"/>
  <c r="CO3" i="16"/>
  <c r="CN558" i="16"/>
  <c r="CN604" i="16"/>
  <c r="CO597" i="16"/>
  <c r="CN623" i="16"/>
  <c r="CM626" i="16"/>
  <c r="CN580" i="16" l="1"/>
  <c r="CN579" i="16"/>
  <c r="CN578" i="16" a="1"/>
  <c r="CN578" i="16" s="1"/>
  <c r="CM581" i="16"/>
  <c r="CR646" i="16"/>
  <c r="CS592" i="16"/>
  <c r="CR593" i="16"/>
  <c r="CQ647" i="16"/>
  <c r="CN633" i="16"/>
  <c r="CO687" i="16"/>
  <c r="CO688" i="16"/>
  <c r="CO689" i="16"/>
  <c r="CO690" i="16"/>
  <c r="CK628" i="16"/>
  <c r="CK629" i="16" s="1"/>
  <c r="CK637" i="16" s="1"/>
  <c r="CK691" i="16" s="1"/>
  <c r="CK683" i="16" s="1"/>
  <c r="CK682" i="16" s="1"/>
  <c r="CK680" i="16" s="1"/>
  <c r="CK679" i="16" s="1"/>
  <c r="CM616" i="16"/>
  <c r="CM635" i="16" s="1"/>
  <c r="CN609" i="16"/>
  <c r="CN634" i="16" s="1"/>
  <c r="CL621" i="16"/>
  <c r="CL636" i="16" s="1"/>
  <c r="CP591" i="16"/>
  <c r="CP595" i="16" s="1"/>
  <c r="CO623" i="16"/>
  <c r="CN626" i="16"/>
  <c r="CO604" i="16"/>
  <c r="CP597" i="16"/>
  <c r="CP3" i="16"/>
  <c r="CO558" i="16"/>
  <c r="CO580" i="16" l="1"/>
  <c r="CO579" i="16"/>
  <c r="CO578" i="16" a="1"/>
  <c r="CO578" i="16" s="1"/>
  <c r="CN581" i="16"/>
  <c r="CS593" i="16"/>
  <c r="CR647" i="16"/>
  <c r="CS646" i="16"/>
  <c r="CT592" i="16"/>
  <c r="CO633" i="16"/>
  <c r="CP687" i="16"/>
  <c r="CP688" i="16"/>
  <c r="CP689" i="16"/>
  <c r="CP690" i="16"/>
  <c r="CL628" i="16"/>
  <c r="CL629" i="16" s="1"/>
  <c r="CL637" i="16" s="1"/>
  <c r="CL691" i="16" s="1"/>
  <c r="CL683" i="16" s="1"/>
  <c r="CL682" i="16" s="1"/>
  <c r="CL680" i="16" s="1"/>
  <c r="CL679" i="16" s="1"/>
  <c r="CN616" i="16"/>
  <c r="CN635" i="16" s="1"/>
  <c r="CO609" i="16"/>
  <c r="CO634" i="16" s="1"/>
  <c r="CM621" i="16"/>
  <c r="CM636" i="16" s="1"/>
  <c r="CQ591" i="16"/>
  <c r="CQ595" i="16" s="1"/>
  <c r="CQ3" i="16"/>
  <c r="CP558" i="16"/>
  <c r="CQ597" i="16"/>
  <c r="CP604" i="16"/>
  <c r="CO626" i="16"/>
  <c r="CP623" i="16"/>
  <c r="CP580" i="16" l="1"/>
  <c r="CP579" i="16"/>
  <c r="CP578" i="16" a="1"/>
  <c r="CP578" i="16" s="1"/>
  <c r="CO581" i="16"/>
  <c r="CT646" i="16"/>
  <c r="CU592" i="16"/>
  <c r="CT593" i="16"/>
  <c r="CS647" i="16"/>
  <c r="CQ687" i="16"/>
  <c r="CQ688" i="16"/>
  <c r="CQ689" i="16"/>
  <c r="CQ690" i="16"/>
  <c r="CP633" i="16"/>
  <c r="CO616" i="16"/>
  <c r="CO635" i="16" s="1"/>
  <c r="CN621" i="16"/>
  <c r="CN636" i="16" s="1"/>
  <c r="CM628" i="16"/>
  <c r="CM629" i="16" s="1"/>
  <c r="CM637" i="16" s="1"/>
  <c r="CM691" i="16" s="1"/>
  <c r="CM683" i="16" s="1"/>
  <c r="CM682" i="16" s="1"/>
  <c r="CM680" i="16" s="1"/>
  <c r="CM679" i="16" s="1"/>
  <c r="CP609" i="16"/>
  <c r="CP634" i="16" s="1"/>
  <c r="CR591" i="16"/>
  <c r="CR595" i="16" s="1"/>
  <c r="CQ604" i="16"/>
  <c r="CR597" i="16"/>
  <c r="CG2" i="16"/>
  <c r="CI2" i="16"/>
  <c r="CR3" i="16"/>
  <c r="CL2" i="16"/>
  <c r="CN2" i="16"/>
  <c r="CO2" i="16"/>
  <c r="CP2" i="16"/>
  <c r="CF1" i="16"/>
  <c r="CF2" i="16"/>
  <c r="CQ2" i="16"/>
  <c r="CH2" i="16"/>
  <c r="CJ2" i="16"/>
  <c r="CK2" i="16"/>
  <c r="CM2" i="16"/>
  <c r="CQ558" i="16"/>
  <c r="CP626" i="16"/>
  <c r="CQ623" i="16"/>
  <c r="CQ580" i="16" l="1"/>
  <c r="CQ579" i="16"/>
  <c r="CQ578" i="16" a="1"/>
  <c r="CQ578" i="16" s="1"/>
  <c r="CP581" i="16"/>
  <c r="CU593" i="16"/>
  <c r="CT647" i="16"/>
  <c r="CU646" i="16"/>
  <c r="CV592" i="16"/>
  <c r="CQ633" i="16"/>
  <c r="CR687" i="16"/>
  <c r="CR688" i="16"/>
  <c r="CR689" i="16"/>
  <c r="CR690" i="16"/>
  <c r="CQ609" i="16"/>
  <c r="CQ634" i="16" s="1"/>
  <c r="CN628" i="16"/>
  <c r="CN629" i="16" s="1"/>
  <c r="CN637" i="16" s="1"/>
  <c r="CN691" i="16" s="1"/>
  <c r="CN683" i="16" s="1"/>
  <c r="CN682" i="16" s="1"/>
  <c r="CN680" i="16" s="1"/>
  <c r="CN679" i="16" s="1"/>
  <c r="CP616" i="16"/>
  <c r="CP635" i="16" s="1"/>
  <c r="CO621" i="16"/>
  <c r="CO636" i="16" s="1"/>
  <c r="CS591" i="16"/>
  <c r="CS595" i="16" s="1"/>
  <c r="CQ626" i="16"/>
  <c r="CR623" i="16"/>
  <c r="CS3" i="16"/>
  <c r="CR558" i="16"/>
  <c r="CR604" i="16"/>
  <c r="CS597" i="16"/>
  <c r="CR580" i="16" l="1"/>
  <c r="CR578" i="16" a="1"/>
  <c r="CR578" i="16" s="1"/>
  <c r="CR579" i="16"/>
  <c r="CQ581" i="16"/>
  <c r="CV646" i="16"/>
  <c r="CW592" i="16"/>
  <c r="CV593" i="16"/>
  <c r="CU647" i="16"/>
  <c r="CS687" i="16"/>
  <c r="CS688" i="16"/>
  <c r="CS689" i="16"/>
  <c r="CS690" i="16"/>
  <c r="CR633" i="16"/>
  <c r="CP621" i="16"/>
  <c r="CP636" i="16" s="1"/>
  <c r="CO628" i="16"/>
  <c r="CO629" i="16" s="1"/>
  <c r="CO637" i="16" s="1"/>
  <c r="CO691" i="16" s="1"/>
  <c r="CO683" i="16" s="1"/>
  <c r="CO682" i="16" s="1"/>
  <c r="CO680" i="16" s="1"/>
  <c r="CO679" i="16" s="1"/>
  <c r="CR609" i="16"/>
  <c r="CR634" i="16" s="1"/>
  <c r="CQ616" i="16"/>
  <c r="CQ635" i="16" s="1"/>
  <c r="CT591" i="16"/>
  <c r="CT595" i="16" s="1"/>
  <c r="CR626" i="16"/>
  <c r="CS623" i="16"/>
  <c r="CT597" i="16"/>
  <c r="CS604" i="16"/>
  <c r="CT3" i="16"/>
  <c r="CS558" i="16"/>
  <c r="CS580" i="16" l="1"/>
  <c r="CS578" i="16" a="1"/>
  <c r="CS578" i="16" s="1"/>
  <c r="CS579" i="16"/>
  <c r="CR581" i="16"/>
  <c r="CW593" i="16"/>
  <c r="CV647" i="16"/>
  <c r="CW646" i="16"/>
  <c r="CX592" i="16"/>
  <c r="CT687" i="16"/>
  <c r="CT688" i="16"/>
  <c r="CT689" i="16"/>
  <c r="CT690" i="16"/>
  <c r="CS633" i="16"/>
  <c r="CS609" i="16"/>
  <c r="CS634" i="16" s="1"/>
  <c r="CQ621" i="16"/>
  <c r="CQ636" i="16" s="1"/>
  <c r="CR616" i="16"/>
  <c r="CR635" i="16" s="1"/>
  <c r="CP628" i="16"/>
  <c r="CP629" i="16" s="1"/>
  <c r="CP637" i="16" s="1"/>
  <c r="CP691" i="16" s="1"/>
  <c r="CP683" i="16" s="1"/>
  <c r="CP682" i="16" s="1"/>
  <c r="CP680" i="16" s="1"/>
  <c r="CP679" i="16" s="1"/>
  <c r="CU591" i="16"/>
  <c r="CU595" i="16" s="1"/>
  <c r="CU3" i="16"/>
  <c r="CT558" i="16"/>
  <c r="CT604" i="16"/>
  <c r="CU597" i="16"/>
  <c r="CS626" i="16"/>
  <c r="CT623" i="16"/>
  <c r="CT579" i="16" l="1"/>
  <c r="CT580" i="16"/>
  <c r="CT578" i="16" a="1"/>
  <c r="CT578" i="16" s="1"/>
  <c r="CS581" i="16"/>
  <c r="CX646" i="16"/>
  <c r="CY592" i="16"/>
  <c r="CX593" i="16"/>
  <c r="CW647" i="16"/>
  <c r="CT633" i="16"/>
  <c r="CU687" i="16"/>
  <c r="CU688" i="16"/>
  <c r="CU689" i="16"/>
  <c r="CU690" i="16"/>
  <c r="CS616" i="16"/>
  <c r="CS635" i="16" s="1"/>
  <c r="CR621" i="16"/>
  <c r="CR636" i="16" s="1"/>
  <c r="CQ628" i="16"/>
  <c r="CQ629" i="16" s="1"/>
  <c r="CQ637" i="16" s="1"/>
  <c r="CQ691" i="16" s="1"/>
  <c r="CQ683" i="16" s="1"/>
  <c r="CQ682" i="16" s="1"/>
  <c r="CQ680" i="16" s="1"/>
  <c r="CQ679" i="16" s="1"/>
  <c r="CT609" i="16"/>
  <c r="CT634" i="16" s="1"/>
  <c r="CV591" i="16"/>
  <c r="CV595" i="16" s="1"/>
  <c r="CT626" i="16"/>
  <c r="CU623" i="16"/>
  <c r="CV597" i="16"/>
  <c r="CU604" i="16"/>
  <c r="CV3" i="16"/>
  <c r="CU558" i="16"/>
  <c r="CU579" i="16" l="1"/>
  <c r="CU578" i="16" a="1"/>
  <c r="CU578" i="16" s="1"/>
  <c r="CU580" i="16"/>
  <c r="CT581" i="16"/>
  <c r="CY593" i="16"/>
  <c r="CX647" i="16"/>
  <c r="CY646" i="16"/>
  <c r="CZ592" i="16"/>
  <c r="CV687" i="16"/>
  <c r="CV688" i="16"/>
  <c r="CV689" i="16"/>
  <c r="CV690" i="16"/>
  <c r="CU633" i="16"/>
  <c r="CU609" i="16"/>
  <c r="CU634" i="16" s="1"/>
  <c r="CS621" i="16"/>
  <c r="CS636" i="16" s="1"/>
  <c r="CT616" i="16"/>
  <c r="CT635" i="16" s="1"/>
  <c r="CR628" i="16"/>
  <c r="CR629" i="16" s="1"/>
  <c r="CR637" i="16" s="1"/>
  <c r="CR691" i="16" s="1"/>
  <c r="CR683" i="16" s="1"/>
  <c r="CR682" i="16" s="1"/>
  <c r="CR680" i="16" s="1"/>
  <c r="CR679" i="16" s="1"/>
  <c r="CW591" i="16"/>
  <c r="CW595" i="16" s="1"/>
  <c r="CW3" i="16"/>
  <c r="CV558" i="16"/>
  <c r="CV604" i="16"/>
  <c r="CW597" i="16"/>
  <c r="CU626" i="16"/>
  <c r="CV623" i="16"/>
  <c r="CU581" i="16" l="1"/>
  <c r="CV579" i="16"/>
  <c r="CV578" i="16" a="1"/>
  <c r="CV578" i="16" s="1"/>
  <c r="CV580" i="16"/>
  <c r="CZ646" i="16"/>
  <c r="DA592" i="16"/>
  <c r="CZ593" i="16"/>
  <c r="CY647" i="16"/>
  <c r="CV633" i="16"/>
  <c r="CW687" i="16"/>
  <c r="CW688" i="16"/>
  <c r="CW689" i="16"/>
  <c r="CW690" i="16"/>
  <c r="CV609" i="16"/>
  <c r="CV634" i="16" s="1"/>
  <c r="CS628" i="16"/>
  <c r="CS629" i="16" s="1"/>
  <c r="CS637" i="16" s="1"/>
  <c r="CS691" i="16" s="1"/>
  <c r="CS683" i="16" s="1"/>
  <c r="CS682" i="16" s="1"/>
  <c r="CS680" i="16" s="1"/>
  <c r="CS679" i="16" s="1"/>
  <c r="CT621" i="16"/>
  <c r="CT636" i="16" s="1"/>
  <c r="CU616" i="16"/>
  <c r="CU635" i="16" s="1"/>
  <c r="CX591" i="16"/>
  <c r="CX595" i="16" s="1"/>
  <c r="CW623" i="16"/>
  <c r="CV626" i="16"/>
  <c r="CX597" i="16"/>
  <c r="CW604" i="16"/>
  <c r="CX3" i="16"/>
  <c r="CW558" i="16"/>
  <c r="CW579" i="16" l="1"/>
  <c r="CW578" i="16" a="1"/>
  <c r="CW578" i="16" s="1"/>
  <c r="CW580" i="16"/>
  <c r="CV581" i="16"/>
  <c r="DA593" i="16"/>
  <c r="CZ647" i="16"/>
  <c r="DA646" i="16"/>
  <c r="DB592" i="16"/>
  <c r="CW633" i="16"/>
  <c r="CX687" i="16"/>
  <c r="CX688" i="16"/>
  <c r="CX689" i="16"/>
  <c r="CX690" i="16"/>
  <c r="CU621" i="16"/>
  <c r="CU636" i="16" s="1"/>
  <c r="CT628" i="16"/>
  <c r="CT629" i="16" s="1"/>
  <c r="CT637" i="16" s="1"/>
  <c r="CT691" i="16" s="1"/>
  <c r="CT683" i="16" s="1"/>
  <c r="CT682" i="16" s="1"/>
  <c r="CT680" i="16" s="1"/>
  <c r="CT679" i="16" s="1"/>
  <c r="CW609" i="16"/>
  <c r="CW634" i="16" s="1"/>
  <c r="CV616" i="16"/>
  <c r="CV635" i="16" s="1"/>
  <c r="CY591" i="16"/>
  <c r="CY595" i="16" s="1"/>
  <c r="CY3" i="16"/>
  <c r="CX558" i="16"/>
  <c r="CY597" i="16"/>
  <c r="CX604" i="16"/>
  <c r="CW626" i="16"/>
  <c r="CX623" i="16"/>
  <c r="CX580" i="16" l="1"/>
  <c r="CX578" i="16" a="1"/>
  <c r="CX578" i="16" s="1"/>
  <c r="CX579" i="16"/>
  <c r="CW581" i="16"/>
  <c r="DB646" i="16"/>
  <c r="DC592" i="16"/>
  <c r="DC646" i="16" s="1"/>
  <c r="DB593" i="16"/>
  <c r="DA647" i="16"/>
  <c r="CY687" i="16"/>
  <c r="CY688" i="16"/>
  <c r="CY689" i="16"/>
  <c r="CY690" i="16"/>
  <c r="CX633" i="16"/>
  <c r="CV621" i="16"/>
  <c r="CV636" i="16" s="1"/>
  <c r="CW616" i="16"/>
  <c r="CW635" i="16" s="1"/>
  <c r="CX609" i="16"/>
  <c r="CX634" i="16" s="1"/>
  <c r="CU628" i="16"/>
  <c r="CU629" i="16" s="1"/>
  <c r="CU637" i="16" s="1"/>
  <c r="CU691" i="16" s="1"/>
  <c r="CU683" i="16" s="1"/>
  <c r="CU682" i="16" s="1"/>
  <c r="CU680" i="16" s="1"/>
  <c r="CU679" i="16" s="1"/>
  <c r="CZ591" i="16"/>
  <c r="CZ595" i="16" s="1"/>
  <c r="CY623" i="16"/>
  <c r="CX626" i="16"/>
  <c r="CZ597" i="16"/>
  <c r="CY604" i="16"/>
  <c r="CZ3" i="16"/>
  <c r="CY558" i="16"/>
  <c r="CY578" i="16" l="1" a="1"/>
  <c r="CY578" i="16" s="1"/>
  <c r="CY580" i="16"/>
  <c r="CY579" i="16"/>
  <c r="CX581" i="16"/>
  <c r="DC593" i="16"/>
  <c r="DC647" i="16" s="1"/>
  <c r="DB647" i="16"/>
  <c r="CZ687" i="16"/>
  <c r="CZ688" i="16"/>
  <c r="CZ689" i="16"/>
  <c r="CZ690" i="16"/>
  <c r="CY633" i="16"/>
  <c r="CX616" i="16"/>
  <c r="CX635" i="16" s="1"/>
  <c r="CY609" i="16"/>
  <c r="CY634" i="16" s="1"/>
  <c r="CW621" i="16"/>
  <c r="CW636" i="16" s="1"/>
  <c r="CV628" i="16"/>
  <c r="CV629" i="16" s="1"/>
  <c r="CV637" i="16" s="1"/>
  <c r="CV691" i="16" s="1"/>
  <c r="CV683" i="16" s="1"/>
  <c r="CV682" i="16" s="1"/>
  <c r="CV680" i="16" s="1"/>
  <c r="CV679" i="16" s="1"/>
  <c r="DA591" i="16"/>
  <c r="DA595" i="16" s="1"/>
  <c r="DA3" i="16"/>
  <c r="CZ558" i="16"/>
  <c r="DA597" i="16"/>
  <c r="CZ604" i="16"/>
  <c r="CZ623" i="16"/>
  <c r="CY626" i="16"/>
  <c r="CY581" i="16" l="1"/>
  <c r="CZ578" i="16" a="1"/>
  <c r="CZ578" i="16" s="1"/>
  <c r="CZ579" i="16"/>
  <c r="CZ580" i="16"/>
  <c r="DA687" i="16"/>
  <c r="DA688" i="16"/>
  <c r="DA689" i="16"/>
  <c r="DA690" i="16"/>
  <c r="CZ633" i="16"/>
  <c r="CW628" i="16"/>
  <c r="CW629" i="16" s="1"/>
  <c r="CW637" i="16" s="1"/>
  <c r="CW691" i="16" s="1"/>
  <c r="CW683" i="16" s="1"/>
  <c r="CW682" i="16" s="1"/>
  <c r="CW680" i="16" s="1"/>
  <c r="CW679" i="16" s="1"/>
  <c r="CY616" i="16"/>
  <c r="CY635" i="16" s="1"/>
  <c r="CZ609" i="16"/>
  <c r="CZ634" i="16" s="1"/>
  <c r="CX621" i="16"/>
  <c r="CX636" i="16" s="1"/>
  <c r="DB591" i="16"/>
  <c r="DB595" i="16" s="1"/>
  <c r="DB597" i="16"/>
  <c r="DA604" i="16"/>
  <c r="DA623" i="16"/>
  <c r="CZ626" i="16"/>
  <c r="DB3" i="16"/>
  <c r="DA558" i="16"/>
  <c r="CZ581" i="16" l="1"/>
  <c r="DA580" i="16"/>
  <c r="DA579" i="16"/>
  <c r="DA578" i="16" a="1"/>
  <c r="DA578" i="16" s="1"/>
  <c r="DA633" i="16"/>
  <c r="DC687" i="16"/>
  <c r="DC688" i="16"/>
  <c r="DC689" i="16"/>
  <c r="DC690" i="16"/>
  <c r="DB687" i="16"/>
  <c r="DB688" i="16"/>
  <c r="DB689" i="16"/>
  <c r="DB690" i="16"/>
  <c r="CX628" i="16"/>
  <c r="CX629" i="16" s="1"/>
  <c r="CX637" i="16" s="1"/>
  <c r="CX691" i="16" s="1"/>
  <c r="CX683" i="16" s="1"/>
  <c r="CX682" i="16" s="1"/>
  <c r="CX680" i="16" s="1"/>
  <c r="CX679" i="16" s="1"/>
  <c r="CY621" i="16"/>
  <c r="CY636" i="16" s="1"/>
  <c r="DA609" i="16"/>
  <c r="DA634" i="16" s="1"/>
  <c r="CZ616" i="16"/>
  <c r="CZ635" i="16" s="1"/>
  <c r="DC591" i="16"/>
  <c r="DC595" i="16" s="1"/>
  <c r="DC3" i="16"/>
  <c r="DB558" i="16"/>
  <c r="DB623" i="16"/>
  <c r="DA626" i="16"/>
  <c r="DB604" i="16"/>
  <c r="DC597" i="16"/>
  <c r="DC604" i="16" s="1"/>
  <c r="P97" i="83" l="1" a="1"/>
  <c r="O65" i="1"/>
  <c r="O64" i="1"/>
  <c r="O63" i="1"/>
  <c r="O59" i="1"/>
  <c r="DB580" i="16"/>
  <c r="DB579" i="16"/>
  <c r="DB578" i="16" a="1"/>
  <c r="DB578" i="16" s="1"/>
  <c r="DA581" i="16"/>
  <c r="L190" i="10"/>
  <c r="L185" i="10"/>
  <c r="L178" i="10"/>
  <c r="L164" i="10"/>
  <c r="L183" i="10"/>
  <c r="N174" i="10"/>
  <c r="L222" i="10"/>
  <c r="L223" i="10" s="1"/>
  <c r="L225" i="10" s="1"/>
  <c r="L177" i="10"/>
  <c r="M164" i="10"/>
  <c r="L172" i="10"/>
  <c r="L189" i="10"/>
  <c r="L191" i="10"/>
  <c r="L133" i="10" a="1"/>
  <c r="L133" i="10" s="1"/>
  <c r="M220" i="10"/>
  <c r="L173" i="10"/>
  <c r="L168" i="10"/>
  <c r="L163" i="10"/>
  <c r="L171" i="10"/>
  <c r="L203" i="10" a="1"/>
  <c r="L203" i="10" s="1"/>
  <c r="L204" i="10" s="1"/>
  <c r="L212" i="10" s="1"/>
  <c r="L214" i="10" s="1"/>
  <c r="M183" i="10"/>
  <c r="L169" i="10"/>
  <c r="M184" i="10"/>
  <c r="L170" i="10"/>
  <c r="L174" i="10"/>
  <c r="M163" i="10"/>
  <c r="M170" i="10"/>
  <c r="L179" i="10"/>
  <c r="M182" i="10"/>
  <c r="L182" i="10"/>
  <c r="N186" i="10"/>
  <c r="L186" i="10"/>
  <c r="L166" i="10"/>
  <c r="M173" i="10"/>
  <c r="M174" i="10"/>
  <c r="M166" i="10"/>
  <c r="N222" i="10"/>
  <c r="M177" i="10"/>
  <c r="M172" i="10"/>
  <c r="M191" i="10"/>
  <c r="N182" i="10"/>
  <c r="M169" i="10"/>
  <c r="N179" i="10"/>
  <c r="N191" i="10"/>
  <c r="N177" i="10"/>
  <c r="M171" i="10"/>
  <c r="M189" i="10"/>
  <c r="N190" i="10"/>
  <c r="N168" i="10"/>
  <c r="M168" i="10"/>
  <c r="M179" i="10"/>
  <c r="M190" i="10"/>
  <c r="N163" i="10"/>
  <c r="M178" i="10"/>
  <c r="N164" i="10"/>
  <c r="N178" i="10"/>
  <c r="N184" i="10"/>
  <c r="M222" i="10"/>
  <c r="N170" i="10"/>
  <c r="N173" i="10"/>
  <c r="N133" i="10" a="1"/>
  <c r="N133" i="10" s="1"/>
  <c r="N166" i="10"/>
  <c r="M185" i="10"/>
  <c r="N172" i="10"/>
  <c r="O182" i="10"/>
  <c r="N183" i="10"/>
  <c r="M186" i="10"/>
  <c r="O190" i="10"/>
  <c r="N189" i="10"/>
  <c r="M203" i="10" a="1"/>
  <c r="M203" i="10" s="1"/>
  <c r="M204" i="10" s="1"/>
  <c r="M212" i="10" s="1"/>
  <c r="M214" i="10" s="1"/>
  <c r="O133" i="10" a="1"/>
  <c r="O133" i="10" s="1"/>
  <c r="N169" i="10"/>
  <c r="N185" i="10"/>
  <c r="N220" i="10"/>
  <c r="N203" i="10" a="1"/>
  <c r="N203" i="10" s="1"/>
  <c r="N204" i="10" s="1"/>
  <c r="N212" i="10" s="1"/>
  <c r="N214" i="10" s="1"/>
  <c r="N171" i="10"/>
  <c r="M133" i="10" a="1"/>
  <c r="M133" i="10" s="1"/>
  <c r="O170" i="10"/>
  <c r="O179" i="10"/>
  <c r="O177" i="10"/>
  <c r="O173" i="10"/>
  <c r="O185" i="10"/>
  <c r="O168" i="10"/>
  <c r="O189" i="10"/>
  <c r="O163" i="10"/>
  <c r="O186" i="10"/>
  <c r="O174" i="10"/>
  <c r="O220" i="10"/>
  <c r="O191" i="10"/>
  <c r="O166" i="10"/>
  <c r="O203" i="10" a="1"/>
  <c r="O203" i="10" s="1"/>
  <c r="O204" i="10" s="1"/>
  <c r="O212" i="10" s="1"/>
  <c r="O214" i="10" s="1"/>
  <c r="O169" i="10"/>
  <c r="O184" i="10"/>
  <c r="P177" i="10"/>
  <c r="O222" i="10"/>
  <c r="O183" i="10"/>
  <c r="O164" i="10"/>
  <c r="O172" i="10"/>
  <c r="O178" i="10"/>
  <c r="O171" i="10"/>
  <c r="P179" i="10"/>
  <c r="P172" i="10"/>
  <c r="P163" i="10"/>
  <c r="P203" i="10" a="1"/>
  <c r="P203" i="10" s="1"/>
  <c r="P204" i="10" s="1"/>
  <c r="P212" i="10" s="1"/>
  <c r="P214" i="10" s="1"/>
  <c r="P186" i="10"/>
  <c r="P189" i="10"/>
  <c r="P170" i="10"/>
  <c r="P173" i="10"/>
  <c r="P220" i="10"/>
  <c r="P168" i="10"/>
  <c r="P222" i="10"/>
  <c r="P191" i="10"/>
  <c r="P171" i="10"/>
  <c r="P169" i="10"/>
  <c r="P133" i="10" a="1"/>
  <c r="P133" i="10" s="1"/>
  <c r="P182" i="10"/>
  <c r="P185" i="10"/>
  <c r="P178" i="10"/>
  <c r="Q177" i="10"/>
  <c r="P183" i="10"/>
  <c r="P174" i="10"/>
  <c r="P184" i="10"/>
  <c r="P190" i="10"/>
  <c r="P166" i="10"/>
  <c r="P164" i="10"/>
  <c r="Q178" i="10"/>
  <c r="Q173" i="10"/>
  <c r="Q182" i="10"/>
  <c r="Q169" i="10"/>
  <c r="R190" i="10"/>
  <c r="Q179" i="10"/>
  <c r="Q133" i="10" a="1"/>
  <c r="Q133" i="10" s="1"/>
  <c r="Q164" i="10"/>
  <c r="Q184" i="10"/>
  <c r="Q203" i="10" a="1"/>
  <c r="Q203" i="10" s="1"/>
  <c r="Q204" i="10" s="1"/>
  <c r="Q212" i="10" s="1"/>
  <c r="Q214" i="10" s="1"/>
  <c r="Q189" i="10"/>
  <c r="Q170" i="10"/>
  <c r="Q186" i="10"/>
  <c r="R170" i="10"/>
  <c r="Q222" i="10"/>
  <c r="Q190" i="10"/>
  <c r="Q172" i="10"/>
  <c r="Q183" i="10"/>
  <c r="Q185" i="10"/>
  <c r="Q174" i="10"/>
  <c r="Q171" i="10"/>
  <c r="Q220" i="10"/>
  <c r="R133" i="10" a="1"/>
  <c r="R133" i="10" s="1"/>
  <c r="R179" i="10"/>
  <c r="R203" i="10" a="1"/>
  <c r="R203" i="10" s="1"/>
  <c r="R204" i="10" s="1"/>
  <c r="R212" i="10" s="1"/>
  <c r="R214" i="10" s="1"/>
  <c r="R172" i="10"/>
  <c r="R166" i="10"/>
  <c r="R177" i="10"/>
  <c r="R171" i="10"/>
  <c r="R182" i="10"/>
  <c r="R185" i="10"/>
  <c r="R222" i="10"/>
  <c r="R184" i="10"/>
  <c r="S189" i="10"/>
  <c r="S190" i="10"/>
  <c r="N29" i="1"/>
  <c r="N28" i="1"/>
  <c r="N20" i="1"/>
  <c r="N31" i="1"/>
  <c r="N32" i="1"/>
  <c r="N30" i="1"/>
  <c r="F108" i="1"/>
  <c r="F65" i="1"/>
  <c r="I65" i="1"/>
  <c r="I67" i="1"/>
  <c r="F79" i="1"/>
  <c r="I72" i="1"/>
  <c r="U58" i="1"/>
  <c r="I56" i="1"/>
  <c r="R64" i="1"/>
  <c r="F68" i="1"/>
  <c r="U71" i="1"/>
  <c r="F52" i="1"/>
  <c r="J84" i="1"/>
  <c r="F47" i="1"/>
  <c r="F56" i="1"/>
  <c r="U56" i="1"/>
  <c r="U61" i="1"/>
  <c r="F60" i="1"/>
  <c r="I61" i="1"/>
  <c r="R82" i="1"/>
  <c r="F54" i="1"/>
  <c r="I66" i="1"/>
  <c r="I62" i="1"/>
  <c r="F118" i="1"/>
  <c r="N21" i="1"/>
  <c r="F53" i="1"/>
  <c r="F77" i="1"/>
  <c r="I55" i="1"/>
  <c r="F51" i="1"/>
  <c r="N25" i="1"/>
  <c r="R68" i="1"/>
  <c r="N24" i="1"/>
  <c r="J125" i="1"/>
  <c r="U64" i="1"/>
  <c r="I54" i="1"/>
  <c r="U67" i="1"/>
  <c r="U68" i="1"/>
  <c r="N23" i="1"/>
  <c r="I53" i="1"/>
  <c r="S63" i="1"/>
  <c r="I77" i="1"/>
  <c r="F72" i="1"/>
  <c r="S74" i="1"/>
  <c r="N22" i="1"/>
  <c r="S56" i="1"/>
  <c r="X57" i="1"/>
  <c r="I74" i="1"/>
  <c r="F55" i="1"/>
  <c r="R74" i="1"/>
  <c r="N27" i="1"/>
  <c r="S59" i="1"/>
  <c r="X49" i="1"/>
  <c r="I51" i="1"/>
  <c r="X73" i="1"/>
  <c r="N26" i="1"/>
  <c r="R80" i="1"/>
  <c r="S49" i="1"/>
  <c r="R84" i="1"/>
  <c r="F78" i="1"/>
  <c r="R85" i="1"/>
  <c r="I57" i="1"/>
  <c r="V59" i="1"/>
  <c r="F62" i="1"/>
  <c r="V56" i="1"/>
  <c r="U74" i="1"/>
  <c r="S61" i="1"/>
  <c r="F114" i="1"/>
  <c r="F67" i="1"/>
  <c r="R60" i="1"/>
  <c r="R56" i="1"/>
  <c r="R59" i="1"/>
  <c r="F73" i="1"/>
  <c r="R53" i="1"/>
  <c r="S73" i="1"/>
  <c r="I49" i="1"/>
  <c r="U73" i="1"/>
  <c r="U49" i="1"/>
  <c r="I78" i="1"/>
  <c r="U59" i="1"/>
  <c r="S71" i="1"/>
  <c r="R61" i="1"/>
  <c r="I68" i="1"/>
  <c r="U52" i="1"/>
  <c r="R57" i="1"/>
  <c r="S67" i="1"/>
  <c r="R73" i="1"/>
  <c r="F57" i="1"/>
  <c r="R58" i="1"/>
  <c r="U57" i="1"/>
  <c r="I60" i="1"/>
  <c r="F74" i="1"/>
  <c r="F66" i="1"/>
  <c r="S60" i="1"/>
  <c r="F69" i="1"/>
  <c r="X56" i="1"/>
  <c r="R81" i="1"/>
  <c r="V60" i="1"/>
  <c r="I52" i="1"/>
  <c r="X63" i="1"/>
  <c r="R86" i="1"/>
  <c r="V61" i="1"/>
  <c r="Y59" i="1"/>
  <c r="V74" i="1"/>
  <c r="Y61" i="1"/>
  <c r="U53" i="1"/>
  <c r="Y53" i="1"/>
  <c r="X59" i="1"/>
  <c r="Y67" i="1"/>
  <c r="R76" i="1"/>
  <c r="Y63" i="1"/>
  <c r="Y65" i="1" s="1"/>
  <c r="X68" i="1"/>
  <c r="X58" i="1"/>
  <c r="X61" i="1"/>
  <c r="V67" i="1"/>
  <c r="X64" i="1"/>
  <c r="R79" i="1"/>
  <c r="U60" i="1"/>
  <c r="G84" i="1"/>
  <c r="X60" i="1"/>
  <c r="F49" i="1"/>
  <c r="Y74" i="1"/>
  <c r="R49" i="1"/>
  <c r="S53" i="1"/>
  <c r="F61" i="1"/>
  <c r="X74" i="1"/>
  <c r="V73" i="1"/>
  <c r="V68" i="1"/>
  <c r="Y56" i="1"/>
  <c r="V52" i="1"/>
  <c r="R63" i="1"/>
  <c r="S68" i="1"/>
  <c r="V53" i="1"/>
  <c r="R67" i="1"/>
  <c r="V64" i="1"/>
  <c r="V71" i="1"/>
  <c r="Y49" i="1"/>
  <c r="U63" i="1"/>
  <c r="F94" i="1"/>
  <c r="X53" i="1"/>
  <c r="X67" i="1"/>
  <c r="V63" i="1"/>
  <c r="V65" i="1" s="1"/>
  <c r="F101" i="1"/>
  <c r="S64" i="1"/>
  <c r="Y71" i="1"/>
  <c r="R71" i="1"/>
  <c r="X71" i="1"/>
  <c r="Y64" i="1"/>
  <c r="S52" i="1"/>
  <c r="I73" i="1"/>
  <c r="R52" i="1"/>
  <c r="X52" i="1"/>
  <c r="V49" i="1"/>
  <c r="R77" i="1"/>
  <c r="I69" i="1"/>
  <c r="S58" i="1"/>
  <c r="Y73" i="1"/>
  <c r="V57" i="1"/>
  <c r="Y52" i="1"/>
  <c r="Y57" i="1"/>
  <c r="Y60" i="1"/>
  <c r="Y68" i="1"/>
  <c r="V58" i="1"/>
  <c r="Y58" i="1"/>
  <c r="M125" i="1"/>
  <c r="L125" i="1"/>
  <c r="Q166" i="10"/>
  <c r="Q163" i="10"/>
  <c r="R163" i="10"/>
  <c r="S166" i="10"/>
  <c r="R164" i="10"/>
  <c r="T164" i="10"/>
  <c r="V166" i="10"/>
  <c r="S164" i="10"/>
  <c r="V163" i="10"/>
  <c r="T166" i="10"/>
  <c r="T163" i="10"/>
  <c r="S163" i="10"/>
  <c r="W164" i="10"/>
  <c r="U164" i="10"/>
  <c r="Y164" i="10"/>
  <c r="U166" i="10"/>
  <c r="V164" i="10"/>
  <c r="W163" i="10"/>
  <c r="W166" i="10"/>
  <c r="U163" i="10"/>
  <c r="X166" i="10"/>
  <c r="X164" i="10"/>
  <c r="X163" i="10"/>
  <c r="Z164" i="10"/>
  <c r="Y163" i="10"/>
  <c r="AA166" i="10"/>
  <c r="Y166" i="10"/>
  <c r="AC166" i="10"/>
  <c r="Z166" i="10"/>
  <c r="Z163" i="10"/>
  <c r="AA163" i="10"/>
  <c r="AA164" i="10"/>
  <c r="AB164" i="10"/>
  <c r="AB163" i="10"/>
  <c r="AD163" i="10"/>
  <c r="AB166" i="10"/>
  <c r="AC164" i="10"/>
  <c r="AD164" i="10"/>
  <c r="AC163" i="10"/>
  <c r="AD166" i="10"/>
  <c r="AE164" i="10"/>
  <c r="AG163" i="10"/>
  <c r="AE166" i="10"/>
  <c r="AE163" i="10"/>
  <c r="AF166" i="10"/>
  <c r="AF163" i="10"/>
  <c r="AH166" i="10"/>
  <c r="AG166" i="10"/>
  <c r="AF164" i="10"/>
  <c r="AH164" i="10"/>
  <c r="AH163" i="10"/>
  <c r="AG164" i="10"/>
  <c r="AK166" i="10"/>
  <c r="AI166" i="10"/>
  <c r="AI163" i="10"/>
  <c r="AI164" i="10"/>
  <c r="AK163" i="10"/>
  <c r="AJ164" i="10"/>
  <c r="AJ166" i="10"/>
  <c r="AM163" i="10"/>
  <c r="AJ163" i="10"/>
  <c r="AK164" i="10"/>
  <c r="AL166" i="10"/>
  <c r="AL164" i="10"/>
  <c r="AL163" i="10"/>
  <c r="AM164" i="10"/>
  <c r="AN164" i="10"/>
  <c r="AM166" i="10"/>
  <c r="AO163" i="10"/>
  <c r="AN166" i="10"/>
  <c r="AN163" i="10"/>
  <c r="AO164" i="10"/>
  <c r="AO166" i="10"/>
  <c r="DC633" i="16"/>
  <c r="DB633" i="16"/>
  <c r="DA616" i="16"/>
  <c r="DA635" i="16" s="1"/>
  <c r="CZ621" i="16"/>
  <c r="CZ636" i="16" s="1"/>
  <c r="DC609" i="16"/>
  <c r="DC634" i="16" s="1"/>
  <c r="DB609" i="16"/>
  <c r="DB634" i="16" s="1"/>
  <c r="CY628" i="16"/>
  <c r="CY629" i="16" s="1"/>
  <c r="CY637" i="16" s="1"/>
  <c r="CY691" i="16" s="1"/>
  <c r="CY683" i="16" s="1"/>
  <c r="CY682" i="16" s="1"/>
  <c r="CY680" i="16" s="1"/>
  <c r="CY679" i="16" s="1"/>
  <c r="Q191" i="10"/>
  <c r="Q168" i="10"/>
  <c r="R220" i="10"/>
  <c r="R168" i="10"/>
  <c r="S169" i="10"/>
  <c r="R191" i="10"/>
  <c r="R189" i="10"/>
  <c r="R169" i="10"/>
  <c r="R178" i="10"/>
  <c r="T171" i="10"/>
  <c r="S174" i="10"/>
  <c r="S133" i="10" a="1"/>
  <c r="S133" i="10" s="1"/>
  <c r="R183" i="10"/>
  <c r="R173" i="10"/>
  <c r="R186" i="10"/>
  <c r="S178" i="10"/>
  <c r="S168" i="10"/>
  <c r="S185" i="10"/>
  <c r="S177" i="10"/>
  <c r="R174" i="10"/>
  <c r="S183" i="10"/>
  <c r="T191" i="10"/>
  <c r="S173" i="10"/>
  <c r="S191" i="10"/>
  <c r="S179" i="10"/>
  <c r="T185" i="10"/>
  <c r="T222" i="10"/>
  <c r="T190" i="10"/>
  <c r="S203" i="10" a="1"/>
  <c r="S203" i="10" s="1"/>
  <c r="S204" i="10" s="1"/>
  <c r="S212" i="10" s="1"/>
  <c r="T173" i="10"/>
  <c r="U172" i="10"/>
  <c r="W183" i="10"/>
  <c r="S220" i="10"/>
  <c r="S170" i="10"/>
  <c r="T177" i="10"/>
  <c r="S182" i="10"/>
  <c r="T220" i="10"/>
  <c r="U220" i="10"/>
  <c r="S184" i="10"/>
  <c r="S171" i="10"/>
  <c r="U179" i="10"/>
  <c r="U189" i="10"/>
  <c r="T182" i="10"/>
  <c r="V173" i="10"/>
  <c r="U171" i="10"/>
  <c r="S222" i="10"/>
  <c r="T172" i="10"/>
  <c r="U170" i="10"/>
  <c r="T203" i="10" a="1"/>
  <c r="T203" i="10" s="1"/>
  <c r="T204" i="10" s="1"/>
  <c r="T212" i="10" s="1"/>
  <c r="T183" i="10"/>
  <c r="U190" i="10"/>
  <c r="T174" i="10"/>
  <c r="S186" i="10"/>
  <c r="T168" i="10"/>
  <c r="S172" i="10"/>
  <c r="V172" i="10"/>
  <c r="V182" i="10"/>
  <c r="U184" i="10"/>
  <c r="U186" i="10"/>
  <c r="U182" i="10"/>
  <c r="U177" i="10"/>
  <c r="U185" i="10"/>
  <c r="W186" i="10"/>
  <c r="U174" i="10"/>
  <c r="W133" i="10" a="1"/>
  <c r="W133" i="10" s="1"/>
  <c r="V190" i="10"/>
  <c r="T189" i="10"/>
  <c r="U133" i="10" a="1"/>
  <c r="U133" i="10" s="1"/>
  <c r="T170" i="10"/>
  <c r="U183" i="10"/>
  <c r="T178" i="10"/>
  <c r="V179" i="10"/>
  <c r="U178" i="10"/>
  <c r="U222" i="10"/>
  <c r="T179" i="10"/>
  <c r="W222" i="10"/>
  <c r="V191" i="10"/>
  <c r="W182" i="10"/>
  <c r="T169" i="10"/>
  <c r="U168" i="10"/>
  <c r="V174" i="10"/>
  <c r="U203" i="10" a="1"/>
  <c r="U203" i="10" s="1"/>
  <c r="U204" i="10" s="1"/>
  <c r="U212" i="10" s="1"/>
  <c r="U169" i="10"/>
  <c r="U173" i="10"/>
  <c r="V186" i="10"/>
  <c r="W169" i="10"/>
  <c r="X186" i="10"/>
  <c r="V183" i="10"/>
  <c r="T184" i="10"/>
  <c r="V220" i="10"/>
  <c r="W173" i="10"/>
  <c r="V168" i="10"/>
  <c r="V171" i="10"/>
  <c r="X189" i="10"/>
  <c r="W184" i="10"/>
  <c r="T133" i="10" a="1"/>
  <c r="T133" i="10" s="1"/>
  <c r="W170" i="10"/>
  <c r="X184" i="10"/>
  <c r="V170" i="10"/>
  <c r="W189" i="10"/>
  <c r="V189" i="10"/>
  <c r="W177" i="10"/>
  <c r="T186" i="10"/>
  <c r="W203" i="10" a="1"/>
  <c r="W203" i="10" s="1"/>
  <c r="W204" i="10" s="1"/>
  <c r="W212" i="10" s="1"/>
  <c r="V184" i="10"/>
  <c r="V177" i="10"/>
  <c r="X222" i="10"/>
  <c r="V203" i="10" a="1"/>
  <c r="V203" i="10" s="1"/>
  <c r="V204" i="10" s="1"/>
  <c r="V212" i="10" s="1"/>
  <c r="V133" i="10" a="1"/>
  <c r="V133" i="10" s="1"/>
  <c r="V169" i="10"/>
  <c r="V178" i="10"/>
  <c r="W185" i="10"/>
  <c r="W171" i="10"/>
  <c r="X178" i="10"/>
  <c r="X171" i="10"/>
  <c r="V185" i="10"/>
  <c r="W178" i="10"/>
  <c r="W168" i="10"/>
  <c r="W220" i="10"/>
  <c r="Y177" i="10"/>
  <c r="U191" i="10"/>
  <c r="Y185" i="10"/>
  <c r="V222" i="10"/>
  <c r="X203" i="10" a="1"/>
  <c r="X203" i="10" s="1"/>
  <c r="X204" i="10" s="1"/>
  <c r="X212" i="10" s="1"/>
  <c r="X214" i="10" s="1"/>
  <c r="Y190" i="10"/>
  <c r="X182" i="10"/>
  <c r="X133" i="10" a="1"/>
  <c r="X133" i="10" s="1"/>
  <c r="X169" i="10"/>
  <c r="X191" i="10"/>
  <c r="X179" i="10"/>
  <c r="X185" i="10"/>
  <c r="X172" i="10"/>
  <c r="W174" i="10"/>
  <c r="X190" i="10"/>
  <c r="Y191" i="10"/>
  <c r="W172" i="10"/>
  <c r="Z182" i="10"/>
  <c r="X220" i="10"/>
  <c r="X183" i="10"/>
  <c r="W179" i="10"/>
  <c r="Y168" i="10"/>
  <c r="X173" i="10"/>
  <c r="Z174" i="10"/>
  <c r="W191" i="10"/>
  <c r="X174" i="10"/>
  <c r="Y184" i="10"/>
  <c r="X168" i="10"/>
  <c r="Z173" i="10"/>
  <c r="Y220" i="10"/>
  <c r="X177" i="10"/>
  <c r="Y182" i="10"/>
  <c r="Z133" i="10" a="1"/>
  <c r="Z133" i="10" s="1"/>
  <c r="Y222" i="10"/>
  <c r="Z189" i="10"/>
  <c r="W190" i="10"/>
  <c r="Y183" i="10"/>
  <c r="X170" i="10"/>
  <c r="AA185" i="10"/>
  <c r="Y173" i="10"/>
  <c r="Z170" i="10"/>
  <c r="Y179" i="10"/>
  <c r="Y203" i="10" a="1"/>
  <c r="Y203" i="10" s="1"/>
  <c r="Y204" i="10" s="1"/>
  <c r="Y212" i="10" s="1"/>
  <c r="Y214" i="10" s="1"/>
  <c r="Y170" i="10"/>
  <c r="Z203" i="10" a="1"/>
  <c r="Z203" i="10" s="1"/>
  <c r="Z204" i="10" s="1"/>
  <c r="Z212" i="10" s="1"/>
  <c r="Z214" i="10" s="1"/>
  <c r="Z186" i="10"/>
  <c r="Z190" i="10"/>
  <c r="Z178" i="10"/>
  <c r="AA183" i="10"/>
  <c r="Y174" i="10"/>
  <c r="Z168" i="10"/>
  <c r="Z220" i="10"/>
  <c r="AA190" i="10"/>
  <c r="Z171" i="10"/>
  <c r="Z184" i="10"/>
  <c r="Y172" i="10"/>
  <c r="Y133" i="10" a="1"/>
  <c r="Y133" i="10" s="1"/>
  <c r="Y186" i="10"/>
  <c r="Z183" i="10"/>
  <c r="AA177" i="10"/>
  <c r="AA186" i="10"/>
  <c r="Y189" i="10"/>
  <c r="Y171" i="10"/>
  <c r="AA174" i="10"/>
  <c r="Y178" i="10"/>
  <c r="AB168" i="10"/>
  <c r="AA184" i="10"/>
  <c r="Z172" i="10"/>
  <c r="Z222" i="10"/>
  <c r="Z169" i="10"/>
  <c r="AA220" i="10"/>
  <c r="Z177" i="10"/>
  <c r="Z191" i="10"/>
  <c r="AA172" i="10"/>
  <c r="Y169" i="10"/>
  <c r="Z179" i="10"/>
  <c r="Z185" i="10"/>
  <c r="AA133" i="10" a="1"/>
  <c r="AA133" i="10" s="1"/>
  <c r="AA171" i="10"/>
  <c r="AA189" i="10"/>
  <c r="AB183" i="10"/>
  <c r="AA173" i="10"/>
  <c r="AC189" i="10"/>
  <c r="AB185" i="10"/>
  <c r="AB222" i="10"/>
  <c r="AB220" i="10"/>
  <c r="AA168" i="10"/>
  <c r="AD178" i="10"/>
  <c r="AA170" i="10"/>
  <c r="AA179" i="10"/>
  <c r="AB191" i="10"/>
  <c r="AB169" i="10"/>
  <c r="AA178" i="10"/>
  <c r="AA191" i="10"/>
  <c r="AB186" i="10"/>
  <c r="AB190" i="10"/>
  <c r="AD220" i="10"/>
  <c r="AC168" i="10"/>
  <c r="AB172" i="10"/>
  <c r="AB189" i="10"/>
  <c r="AB177" i="10"/>
  <c r="AA203" i="10" a="1"/>
  <c r="AA203" i="10" s="1"/>
  <c r="AA204" i="10" s="1"/>
  <c r="AA212" i="10" s="1"/>
  <c r="AA214" i="10" s="1"/>
  <c r="AC174" i="10"/>
  <c r="AB171" i="10"/>
  <c r="AB179" i="10"/>
  <c r="AA169" i="10"/>
  <c r="AB182" i="10"/>
  <c r="AB170" i="10"/>
  <c r="AD191" i="10"/>
  <c r="AD186" i="10"/>
  <c r="AD185" i="10"/>
  <c r="AB184" i="10"/>
  <c r="AC172" i="10"/>
  <c r="AA222" i="10"/>
  <c r="AA182" i="10"/>
  <c r="AC133" i="10" a="1"/>
  <c r="AC133" i="10" s="1"/>
  <c r="AC191" i="10"/>
  <c r="AB133" i="10" a="1"/>
  <c r="AB133" i="10" s="1"/>
  <c r="AC170" i="10"/>
  <c r="AB174" i="10"/>
  <c r="AB203" i="10" a="1"/>
  <c r="AB203" i="10" s="1"/>
  <c r="AB204" i="10" s="1"/>
  <c r="AB212" i="10" s="1"/>
  <c r="AB214" i="10" s="1"/>
  <c r="AB173" i="10"/>
  <c r="AC185" i="10"/>
  <c r="AC169" i="10"/>
  <c r="AB178" i="10"/>
  <c r="AE133" i="10" a="1"/>
  <c r="AE133" i="10" s="1"/>
  <c r="AC190" i="10"/>
  <c r="AD179" i="10"/>
  <c r="AC222" i="10"/>
  <c r="AC220" i="10"/>
  <c r="AC177" i="10"/>
  <c r="AD183" i="10"/>
  <c r="AD171" i="10"/>
  <c r="AC182" i="10"/>
  <c r="AD172" i="10"/>
  <c r="AC179" i="10"/>
  <c r="AD190" i="10"/>
  <c r="AC186" i="10"/>
  <c r="AC203" i="10" a="1"/>
  <c r="AC203" i="10" s="1"/>
  <c r="AC204" i="10" s="1"/>
  <c r="AC212" i="10" s="1"/>
  <c r="AC214" i="10" s="1"/>
  <c r="AE174" i="10"/>
  <c r="AC183" i="10"/>
  <c r="AE170" i="10"/>
  <c r="AD169" i="10"/>
  <c r="AD177" i="10"/>
  <c r="AD182" i="10"/>
  <c r="AE172" i="10"/>
  <c r="AE203" i="10" a="1"/>
  <c r="AE203" i="10" s="1"/>
  <c r="AE204" i="10" s="1"/>
  <c r="AE212" i="10" s="1"/>
  <c r="AE214" i="10" s="1"/>
  <c r="AF177" i="10"/>
  <c r="AF178" i="10"/>
  <c r="AE168" i="10"/>
  <c r="AD173" i="10"/>
  <c r="AE183" i="10"/>
  <c r="AD168" i="10"/>
  <c r="AD189" i="10"/>
  <c r="AF172" i="10"/>
  <c r="AF174" i="10"/>
  <c r="AE173" i="10"/>
  <c r="AE182" i="10"/>
  <c r="AC184" i="10"/>
  <c r="AD222" i="10"/>
  <c r="AC171" i="10"/>
  <c r="AC178" i="10"/>
  <c r="AF190" i="10"/>
  <c r="AD174" i="10"/>
  <c r="AD184" i="10"/>
  <c r="AE190" i="10"/>
  <c r="AD203" i="10" a="1"/>
  <c r="AD203" i="10" s="1"/>
  <c r="AD204" i="10" s="1"/>
  <c r="AD212" i="10" s="1"/>
  <c r="AD214" i="10" s="1"/>
  <c r="AF173" i="10"/>
  <c r="AD133" i="10" a="1"/>
  <c r="AD133" i="10" s="1"/>
  <c r="AC173" i="10"/>
  <c r="AE220" i="10"/>
  <c r="AG173" i="10"/>
  <c r="AG203" i="10" a="1"/>
  <c r="AG203" i="10" s="1"/>
  <c r="AG204" i="10" s="1"/>
  <c r="AG212" i="10" s="1"/>
  <c r="AG214" i="10" s="1"/>
  <c r="AF183" i="10"/>
  <c r="AE184" i="10"/>
  <c r="AG191" i="10"/>
  <c r="AE171" i="10"/>
  <c r="AF168" i="10"/>
  <c r="AF220" i="10"/>
  <c r="AF170" i="10"/>
  <c r="AF222" i="10"/>
  <c r="AE186" i="10"/>
  <c r="AF191" i="10"/>
  <c r="AE169" i="10"/>
  <c r="AE178" i="10"/>
  <c r="AG189" i="10"/>
  <c r="AG185" i="10"/>
  <c r="AE177" i="10"/>
  <c r="AF182" i="10"/>
  <c r="AF203" i="10" a="1"/>
  <c r="AF203" i="10" s="1"/>
  <c r="AF204" i="10" s="1"/>
  <c r="AF212" i="10" s="1"/>
  <c r="AF214" i="10" s="1"/>
  <c r="AD170" i="10"/>
  <c r="AG174" i="10"/>
  <c r="AG222" i="10"/>
  <c r="AG186" i="10"/>
  <c r="AG133" i="10" a="1"/>
  <c r="AG133" i="10" s="1"/>
  <c r="AG190" i="10"/>
  <c r="AE222" i="10"/>
  <c r="AE191" i="10"/>
  <c r="AE179" i="10"/>
  <c r="AG171" i="10"/>
  <c r="AE189" i="10"/>
  <c r="AE185" i="10"/>
  <c r="AH171" i="10"/>
  <c r="AH172" i="10"/>
  <c r="AF179" i="10"/>
  <c r="AG178" i="10"/>
  <c r="AF171" i="10"/>
  <c r="AG177" i="10"/>
  <c r="AF186" i="10"/>
  <c r="AF133" i="10" a="1"/>
  <c r="AF133" i="10" s="1"/>
  <c r="AG179" i="10"/>
  <c r="AH174" i="10"/>
  <c r="AG183" i="10"/>
  <c r="AI170" i="10"/>
  <c r="AG170" i="10"/>
  <c r="AG184" i="10"/>
  <c r="AF189" i="10"/>
  <c r="AG169" i="10"/>
  <c r="AH133" i="10" a="1"/>
  <c r="AH133" i="10" s="1"/>
  <c r="AF169" i="10"/>
  <c r="AF184" i="10"/>
  <c r="AG220" i="10"/>
  <c r="AG172" i="10"/>
  <c r="AH185" i="10"/>
  <c r="AF185" i="10"/>
  <c r="AH177" i="10"/>
  <c r="AG182" i="10"/>
  <c r="AH183" i="10"/>
  <c r="AG168" i="10"/>
  <c r="AI179" i="10"/>
  <c r="AH182" i="10"/>
  <c r="AI220" i="10"/>
  <c r="AH170" i="10"/>
  <c r="AH189" i="10"/>
  <c r="AH178" i="10"/>
  <c r="AH179" i="10"/>
  <c r="AI171" i="10"/>
  <c r="AI172" i="10"/>
  <c r="AH190" i="10"/>
  <c r="AH203" i="10" a="1"/>
  <c r="AH203" i="10" s="1"/>
  <c r="AH204" i="10" s="1"/>
  <c r="AH212" i="10" s="1"/>
  <c r="AH214" i="10" s="1"/>
  <c r="AH173" i="10"/>
  <c r="AH184" i="10"/>
  <c r="AH186" i="10"/>
  <c r="AH220" i="10"/>
  <c r="AI190" i="10"/>
  <c r="AH222" i="10"/>
  <c r="AH169" i="10"/>
  <c r="AH168" i="10"/>
  <c r="AI189" i="10"/>
  <c r="AH191" i="10"/>
  <c r="AK182" i="10"/>
  <c r="AJ186" i="10"/>
  <c r="AJ179" i="10"/>
  <c r="AJ173" i="10"/>
  <c r="AI182" i="10"/>
  <c r="AI174" i="10"/>
  <c r="AI133" i="10" a="1"/>
  <c r="AI133" i="10" s="1"/>
  <c r="AJ220" i="10"/>
  <c r="AJ222" i="10"/>
  <c r="AJ189" i="10"/>
  <c r="AJ184" i="10"/>
  <c r="AJ168" i="10"/>
  <c r="AJ183" i="10"/>
  <c r="AI173" i="10"/>
  <c r="AJ171" i="10"/>
  <c r="AJ190" i="10"/>
  <c r="AJ169" i="10"/>
  <c r="AJ133" i="10" a="1"/>
  <c r="AJ133" i="10" s="1"/>
  <c r="AI178" i="10"/>
  <c r="AI222" i="10"/>
  <c r="AI185" i="10"/>
  <c r="AI168" i="10"/>
  <c r="AJ191" i="10"/>
  <c r="AI183" i="10"/>
  <c r="AI169" i="10"/>
  <c r="AI186" i="10"/>
  <c r="AJ170" i="10"/>
  <c r="AI191" i="10"/>
  <c r="AI203" i="10" a="1"/>
  <c r="AI203" i="10" s="1"/>
  <c r="AI204" i="10" s="1"/>
  <c r="AI212" i="10" s="1"/>
  <c r="AI214" i="10" s="1"/>
  <c r="AJ174" i="10"/>
  <c r="AI184" i="10"/>
  <c r="AJ203" i="10" a="1"/>
  <c r="AJ203" i="10" s="1"/>
  <c r="AJ204" i="10" s="1"/>
  <c r="AJ212" i="10" s="1"/>
  <c r="AJ214" i="10" s="1"/>
  <c r="AI177" i="10"/>
  <c r="AJ177" i="10"/>
  <c r="AJ178" i="10"/>
  <c r="AJ172" i="10"/>
  <c r="AK189" i="10"/>
  <c r="AK173" i="10"/>
  <c r="AJ182" i="10"/>
  <c r="AK186" i="10"/>
  <c r="AK172" i="10"/>
  <c r="AK185" i="10"/>
  <c r="AK133" i="10" a="1"/>
  <c r="AK133" i="10" s="1"/>
  <c r="AK177" i="10"/>
  <c r="AK203" i="10" a="1"/>
  <c r="AK203" i="10" s="1"/>
  <c r="AK204" i="10" s="1"/>
  <c r="AK212" i="10" s="1"/>
  <c r="AK214" i="10" s="1"/>
  <c r="AK220" i="10"/>
  <c r="AK169" i="10"/>
  <c r="AK170" i="10"/>
  <c r="AJ185" i="10"/>
  <c r="AK174" i="10"/>
  <c r="AK171" i="10"/>
  <c r="AK168" i="10"/>
  <c r="AK191" i="10"/>
  <c r="AK184" i="10"/>
  <c r="AK178" i="10"/>
  <c r="AK190" i="10"/>
  <c r="AL220" i="10"/>
  <c r="AL182" i="10"/>
  <c r="AL191" i="10"/>
  <c r="AL186" i="10"/>
  <c r="AL203" i="10" a="1"/>
  <c r="AL203" i="10" s="1"/>
  <c r="AL204" i="10" s="1"/>
  <c r="AL212" i="10" s="1"/>
  <c r="AL214" i="10" s="1"/>
  <c r="AL174" i="10"/>
  <c r="AL169" i="10"/>
  <c r="AK179" i="10"/>
  <c r="AL190" i="10"/>
  <c r="AL183" i="10"/>
  <c r="AL173" i="10"/>
  <c r="AL189" i="10"/>
  <c r="AL185" i="10"/>
  <c r="AK183" i="10"/>
  <c r="AL222" i="10"/>
  <c r="AK222" i="10"/>
  <c r="AL172" i="10"/>
  <c r="AL179" i="10"/>
  <c r="AL171" i="10"/>
  <c r="AL168" i="10"/>
  <c r="AL178" i="10"/>
  <c r="AL184" i="10"/>
  <c r="AL133" i="10" a="1"/>
  <c r="AL133" i="10" s="1"/>
  <c r="AL170" i="10"/>
  <c r="AM170" i="10"/>
  <c r="AM182" i="10"/>
  <c r="AM190" i="10"/>
  <c r="AM184" i="10"/>
  <c r="AM189" i="10"/>
  <c r="AM203" i="10" a="1"/>
  <c r="AM203" i="10" s="1"/>
  <c r="AM204" i="10" s="1"/>
  <c r="AM212" i="10" s="1"/>
  <c r="AM214" i="10" s="1"/>
  <c r="AM220" i="10"/>
  <c r="AM186" i="10"/>
  <c r="AM178" i="10"/>
  <c r="AL177" i="10"/>
  <c r="AN170" i="10"/>
  <c r="AM169" i="10"/>
  <c r="AM171" i="10"/>
  <c r="AM183" i="10"/>
  <c r="AM133" i="10" a="1"/>
  <c r="AM133" i="10" s="1"/>
  <c r="AM174" i="10"/>
  <c r="AM168" i="10"/>
  <c r="AM179" i="10"/>
  <c r="AN191" i="10"/>
  <c r="AN133" i="10" a="1"/>
  <c r="AN133" i="10" s="1"/>
  <c r="AN203" i="10" a="1"/>
  <c r="AN203" i="10" s="1"/>
  <c r="AN204" i="10" s="1"/>
  <c r="AN212" i="10" s="1"/>
  <c r="AN214" i="10" s="1"/>
  <c r="AM173" i="10"/>
  <c r="AM172" i="10"/>
  <c r="AN184" i="10"/>
  <c r="AM191" i="10"/>
  <c r="AN178" i="10"/>
  <c r="AM177" i="10"/>
  <c r="AN182" i="10"/>
  <c r="AO191" i="10"/>
  <c r="AN174" i="10"/>
  <c r="AO186" i="10"/>
  <c r="AO178" i="10"/>
  <c r="AO174" i="10"/>
  <c r="AO168" i="10"/>
  <c r="AM222" i="10"/>
  <c r="AN185" i="10"/>
  <c r="AO190" i="10"/>
  <c r="AN220" i="10"/>
  <c r="AN177" i="10"/>
  <c r="AN179" i="10"/>
  <c r="AO179" i="10"/>
  <c r="AN186" i="10"/>
  <c r="AN189" i="10"/>
  <c r="AN172" i="10"/>
  <c r="AM185" i="10"/>
  <c r="AO133" i="10" a="1"/>
  <c r="AO133" i="10" s="1"/>
  <c r="AO220" i="10"/>
  <c r="AO171" i="10"/>
  <c r="AN169" i="10"/>
  <c r="AN171" i="10"/>
  <c r="AO222" i="10"/>
  <c r="AN222" i="10"/>
  <c r="AO203" i="10" a="1"/>
  <c r="AO203" i="10" s="1"/>
  <c r="AO204" i="10" s="1"/>
  <c r="AO212" i="10" s="1"/>
  <c r="AO214" i="10" s="1"/>
  <c r="AN168" i="10"/>
  <c r="AN183" i="10"/>
  <c r="AO185" i="10"/>
  <c r="AO177" i="10"/>
  <c r="AO184" i="10"/>
  <c r="AO173" i="10"/>
  <c r="AO189" i="10"/>
  <c r="AN173" i="10"/>
  <c r="AN190" i="10"/>
  <c r="AO170" i="10"/>
  <c r="AO182" i="10"/>
  <c r="AO172" i="10"/>
  <c r="AO183" i="10"/>
  <c r="AO169" i="10"/>
  <c r="I162" i="10"/>
  <c r="I195" i="10" s="1"/>
  <c r="I197" i="10" s="1"/>
  <c r="I124" i="10" a="1"/>
  <c r="I124" i="10" s="1"/>
  <c r="J124" i="10" a="1"/>
  <c r="J124" i="10" s="1"/>
  <c r="J162" i="10"/>
  <c r="J195" i="10" s="1"/>
  <c r="J197" i="10" s="1"/>
  <c r="K162" i="10"/>
  <c r="K195" i="10" s="1"/>
  <c r="K197" i="10" s="1"/>
  <c r="I125" i="1"/>
  <c r="T71" i="1"/>
  <c r="W58" i="1"/>
  <c r="T68" i="1"/>
  <c r="T61" i="1"/>
  <c r="T67" i="1"/>
  <c r="V69" i="1" s="1"/>
  <c r="T54" i="1"/>
  <c r="W69" i="1"/>
  <c r="T60" i="1"/>
  <c r="T49" i="1"/>
  <c r="V50" i="1" s="1"/>
  <c r="T69" i="1"/>
  <c r="P49" i="1"/>
  <c r="P67" i="1"/>
  <c r="W57" i="1"/>
  <c r="W71" i="1"/>
  <c r="P81" i="1"/>
  <c r="W67" i="1"/>
  <c r="Y69" i="1" s="1"/>
  <c r="T52" i="1"/>
  <c r="V54" i="1" s="1"/>
  <c r="T58" i="1"/>
  <c r="T50" i="1"/>
  <c r="P60" i="1"/>
  <c r="P82" i="1"/>
  <c r="P76" i="1"/>
  <c r="W68" i="1"/>
  <c r="W50" i="1"/>
  <c r="W73" i="1"/>
  <c r="T56" i="1"/>
  <c r="P80" i="1"/>
  <c r="P77" i="1"/>
  <c r="H125" i="1"/>
  <c r="T73" i="1"/>
  <c r="T57" i="1"/>
  <c r="P69" i="1"/>
  <c r="P57" i="1"/>
  <c r="P52" i="1"/>
  <c r="W54" i="1"/>
  <c r="P58" i="1"/>
  <c r="W74" i="1"/>
  <c r="T53" i="1"/>
  <c r="T74" i="1"/>
  <c r="P74" i="1"/>
  <c r="W60" i="1"/>
  <c r="W52" i="1"/>
  <c r="Y54" i="1" s="1"/>
  <c r="W56" i="1"/>
  <c r="P50" i="1"/>
  <c r="P73" i="1"/>
  <c r="P56" i="1"/>
  <c r="P68" i="1"/>
  <c r="F125" i="1"/>
  <c r="P53" i="1"/>
  <c r="P61" i="1"/>
  <c r="W53" i="1"/>
  <c r="P79" i="1"/>
  <c r="P71" i="1"/>
  <c r="W61" i="1"/>
  <c r="P54" i="1"/>
  <c r="G125" i="1"/>
  <c r="W49" i="1"/>
  <c r="Y50" i="1" s="1"/>
  <c r="O56" i="1"/>
  <c r="O71" i="1"/>
  <c r="O73" i="1"/>
  <c r="O49" i="1"/>
  <c r="O50" i="1"/>
  <c r="O61" i="1"/>
  <c r="O52" i="1"/>
  <c r="O82" i="1"/>
  <c r="O54" i="1"/>
  <c r="O58" i="1"/>
  <c r="O68" i="1"/>
  <c r="O76" i="1"/>
  <c r="O67" i="1"/>
  <c r="O81" i="1"/>
  <c r="O79" i="1"/>
  <c r="O53" i="1"/>
  <c r="O74" i="1"/>
  <c r="O77" i="1"/>
  <c r="O80" i="1"/>
  <c r="O69" i="1"/>
  <c r="O60" i="1"/>
  <c r="O57" i="1"/>
  <c r="DC623" i="16"/>
  <c r="DC626" i="16" s="1"/>
  <c r="DB626" i="16"/>
  <c r="CU2" i="16"/>
  <c r="CW2" i="16"/>
  <c r="CY2" i="16"/>
  <c r="DB2" i="16"/>
  <c r="CT2" i="16"/>
  <c r="CX2" i="16"/>
  <c r="CZ2" i="16"/>
  <c r="DC2" i="16"/>
  <c r="K125" i="1" s="1"/>
  <c r="CR2" i="16"/>
  <c r="CS2" i="16"/>
  <c r="CV2" i="16"/>
  <c r="DA2" i="16"/>
  <c r="CR1" i="16"/>
  <c r="DC558" i="16"/>
  <c r="K124" i="10" a="1"/>
  <c r="K124" i="10" s="1"/>
  <c r="M162" i="10"/>
  <c r="O124" i="10" a="1"/>
  <c r="O124" i="10" s="1"/>
  <c r="L124" i="10" a="1"/>
  <c r="L124" i="10" s="1"/>
  <c r="M124" i="10" a="1"/>
  <c r="M124" i="10" s="1"/>
  <c r="L162" i="10"/>
  <c r="N124" i="10" a="1"/>
  <c r="N124" i="10" s="1"/>
  <c r="P124" i="10" a="1"/>
  <c r="P124" i="10" s="1"/>
  <c r="N162" i="10"/>
  <c r="O162" i="10"/>
  <c r="P162" i="10"/>
  <c r="Q162" i="10"/>
  <c r="Q124" i="10" a="1"/>
  <c r="Q124" i="10" s="1"/>
  <c r="R162" i="10"/>
  <c r="R124" i="10" a="1"/>
  <c r="R124" i="10" s="1"/>
  <c r="T124" i="10" a="1"/>
  <c r="T124" i="10" s="1"/>
  <c r="S124" i="10" a="1"/>
  <c r="S124" i="10" s="1"/>
  <c r="V124" i="10" a="1"/>
  <c r="V124" i="10" s="1"/>
  <c r="U124" i="10" a="1"/>
  <c r="U124" i="10" s="1"/>
  <c r="S162" i="10"/>
  <c r="T162" i="10"/>
  <c r="W124" i="10" a="1"/>
  <c r="W124" i="10" s="1"/>
  <c r="X162" i="10"/>
  <c r="U162" i="10"/>
  <c r="V162" i="10"/>
  <c r="X124" i="10" a="1"/>
  <c r="X124" i="10" s="1"/>
  <c r="Y124" i="10" a="1"/>
  <c r="Y124" i="10" s="1"/>
  <c r="W162" i="10"/>
  <c r="Z124" i="10" a="1"/>
  <c r="Z124" i="10" s="1"/>
  <c r="Y162" i="10"/>
  <c r="Z162" i="10"/>
  <c r="AA124" i="10" a="1"/>
  <c r="AA124" i="10" s="1"/>
  <c r="AA162" i="10"/>
  <c r="AB124" i="10" a="1"/>
  <c r="AB124" i="10" s="1"/>
  <c r="AB162" i="10"/>
  <c r="AC124" i="10" a="1"/>
  <c r="AC124" i="10" s="1"/>
  <c r="AF162" i="10"/>
  <c r="AG124" i="10" a="1"/>
  <c r="AG124" i="10" s="1"/>
  <c r="AD124" i="10" a="1"/>
  <c r="AD124" i="10" s="1"/>
  <c r="AE124" i="10" a="1"/>
  <c r="AE124" i="10" s="1"/>
  <c r="AC162" i="10"/>
  <c r="AE162" i="10"/>
  <c r="AD162" i="10"/>
  <c r="AF124" i="10" a="1"/>
  <c r="AF124" i="10" s="1"/>
  <c r="AH124" i="10" a="1"/>
  <c r="AH124" i="10" s="1"/>
  <c r="AI162" i="10"/>
  <c r="AI124" i="10" a="1"/>
  <c r="AI124" i="10" s="1"/>
  <c r="AG162" i="10"/>
  <c r="AK162" i="10"/>
  <c r="AL124" i="10" a="1"/>
  <c r="AL124" i="10" s="1"/>
  <c r="AH162" i="10"/>
  <c r="AJ124" i="10" a="1"/>
  <c r="AJ124" i="10" s="1"/>
  <c r="AK124" i="10" a="1"/>
  <c r="AK124" i="10" s="1"/>
  <c r="AJ162" i="10"/>
  <c r="AN162" i="10"/>
  <c r="AM124" i="10" a="1"/>
  <c r="AM124" i="10" s="1"/>
  <c r="AN124" i="10" a="1"/>
  <c r="AN124" i="10" s="1"/>
  <c r="AL162" i="10"/>
  <c r="AO124" i="10" a="1"/>
  <c r="AO124" i="10" s="1"/>
  <c r="AM162" i="10"/>
  <c r="AO162" i="10"/>
  <c r="O90" i="1" l="1"/>
  <c r="P90" i="1"/>
  <c r="P97" i="83"/>
  <c r="DB581" i="16"/>
  <c r="DC578" i="16" a="1"/>
  <c r="DC578" i="16" s="1"/>
  <c r="DC580" i="16"/>
  <c r="DC579" i="16"/>
  <c r="N223" i="10"/>
  <c r="N225" i="10" s="1"/>
  <c r="R223" i="10"/>
  <c r="R225" i="10" s="1"/>
  <c r="M223" i="10"/>
  <c r="M225" i="10" s="1"/>
  <c r="H130" i="1"/>
  <c r="P223" i="10"/>
  <c r="P225" i="10" s="1"/>
  <c r="G51" i="1"/>
  <c r="G52" i="1" s="1"/>
  <c r="G53" i="1" s="1"/>
  <c r="G54" i="1" s="1"/>
  <c r="G55" i="1" s="1"/>
  <c r="G56" i="1" s="1"/>
  <c r="G57" i="1" s="1"/>
  <c r="G58" i="1" s="1"/>
  <c r="G86" i="1" s="1"/>
  <c r="J51" i="1"/>
  <c r="J52" i="1" s="1"/>
  <c r="J53" i="1" s="1"/>
  <c r="J54" i="1" s="1"/>
  <c r="J55" i="1" s="1"/>
  <c r="J56" i="1" s="1"/>
  <c r="J57" i="1" s="1"/>
  <c r="J58" i="1" s="1"/>
  <c r="J86" i="1" s="1"/>
  <c r="P175" i="10"/>
  <c r="P180" i="10" s="1"/>
  <c r="P187" i="10" s="1"/>
  <c r="P192" i="10" s="1"/>
  <c r="T223" i="10"/>
  <c r="F58" i="1"/>
  <c r="Q175" i="10"/>
  <c r="Q180" i="10" s="1"/>
  <c r="Q187" i="10" s="1"/>
  <c r="Q192" i="10" s="1"/>
  <c r="F80" i="1"/>
  <c r="O223" i="10"/>
  <c r="O225" i="10" s="1"/>
  <c r="N33" i="1"/>
  <c r="R90" i="1"/>
  <c r="I58" i="1"/>
  <c r="I63" i="1" s="1"/>
  <c r="I70" i="1" s="1"/>
  <c r="I75" i="1" s="1"/>
  <c r="Q223" i="10"/>
  <c r="Q225" i="10" s="1"/>
  <c r="O175" i="10"/>
  <c r="O180" i="10" s="1"/>
  <c r="O187" i="10" s="1"/>
  <c r="O192" i="10" s="1"/>
  <c r="Z223" i="10"/>
  <c r="Z225" i="10" s="1"/>
  <c r="M175" i="10"/>
  <c r="M180" i="10" s="1"/>
  <c r="M187" i="10" s="1"/>
  <c r="M192" i="10" s="1"/>
  <c r="R89" i="1" a="1"/>
  <c r="R89" i="1" s="1"/>
  <c r="R88" i="1" a="1"/>
  <c r="R88" i="1" s="1"/>
  <c r="N175" i="10"/>
  <c r="N180" i="10" s="1"/>
  <c r="N187" i="10" s="1"/>
  <c r="N192" i="10" s="1"/>
  <c r="L175" i="10"/>
  <c r="L180" i="10" s="1"/>
  <c r="L187" i="10" s="1"/>
  <c r="L192" i="10" s="1"/>
  <c r="G130" i="1"/>
  <c r="BH97" i="83" a="1"/>
  <c r="S223" i="10"/>
  <c r="U214" i="10"/>
  <c r="K130" i="1"/>
  <c r="T214" i="10"/>
  <c r="J130" i="1"/>
  <c r="S214" i="10"/>
  <c r="I130" i="1"/>
  <c r="V214" i="10"/>
  <c r="L130" i="1"/>
  <c r="W214" i="10"/>
  <c r="M132" i="1" s="1"/>
  <c r="M130" i="1"/>
  <c r="DB616" i="16"/>
  <c r="DB635" i="16" s="1"/>
  <c r="DC616" i="16"/>
  <c r="DC635" i="16" s="1"/>
  <c r="CZ628" i="16"/>
  <c r="CZ629" i="16" s="1"/>
  <c r="CZ637" i="16" s="1"/>
  <c r="CZ691" i="16" s="1"/>
  <c r="CZ683" i="16" s="1"/>
  <c r="CZ682" i="16" s="1"/>
  <c r="CZ680" i="16" s="1"/>
  <c r="CZ679" i="16" s="1"/>
  <c r="DA621" i="16"/>
  <c r="DA636" i="16" s="1"/>
  <c r="AK223" i="10"/>
  <c r="AK225" i="10" s="1"/>
  <c r="AO223" i="10"/>
  <c r="AO225" i="10" s="1"/>
  <c r="AD175" i="10"/>
  <c r="AD180" i="10" s="1"/>
  <c r="AD187" i="10" s="1"/>
  <c r="AI223" i="10"/>
  <c r="AI225" i="10" s="1"/>
  <c r="AE175" i="10"/>
  <c r="AE180" i="10" s="1"/>
  <c r="AE187" i="10" s="1"/>
  <c r="Y175" i="10"/>
  <c r="Y180" i="10" s="1"/>
  <c r="Y187" i="10" s="1"/>
  <c r="Y195" i="10" s="1"/>
  <c r="AG223" i="10"/>
  <c r="AG225" i="10" s="1"/>
  <c r="U175" i="10"/>
  <c r="U180" i="10" s="1"/>
  <c r="U187" i="10" s="1"/>
  <c r="AL223" i="10"/>
  <c r="AL225" i="10" s="1"/>
  <c r="AH175" i="10"/>
  <c r="AH180" i="10" s="1"/>
  <c r="AH187" i="10" s="1"/>
  <c r="AA175" i="10"/>
  <c r="AA180" i="10" s="1"/>
  <c r="AA187" i="10" s="1"/>
  <c r="AL175" i="10"/>
  <c r="AL180" i="10" s="1"/>
  <c r="AL187" i="10" s="1"/>
  <c r="AJ175" i="10"/>
  <c r="AJ180" i="10" s="1"/>
  <c r="AJ187" i="10" s="1"/>
  <c r="AG175" i="10"/>
  <c r="AG180" i="10" s="1"/>
  <c r="AG187" i="10" s="1"/>
  <c r="AB223" i="10"/>
  <c r="AB225" i="10" s="1"/>
  <c r="V175" i="10"/>
  <c r="V180" i="10" s="1"/>
  <c r="V187" i="10" s="1"/>
  <c r="AH223" i="10"/>
  <c r="AH225" i="10" s="1"/>
  <c r="AF223" i="10"/>
  <c r="AF225" i="10" s="1"/>
  <c r="Z175" i="10"/>
  <c r="Z180" i="10" s="1"/>
  <c r="Z187" i="10" s="1"/>
  <c r="X223" i="10"/>
  <c r="X225" i="10" s="1"/>
  <c r="V223" i="10"/>
  <c r="AJ223" i="10"/>
  <c r="AJ225" i="10" s="1"/>
  <c r="AF175" i="10"/>
  <c r="AF180" i="10" s="1"/>
  <c r="AF187" i="10" s="1"/>
  <c r="AC223" i="10"/>
  <c r="AC225" i="10" s="1"/>
  <c r="AA223" i="10"/>
  <c r="AA225" i="10" s="1"/>
  <c r="AC175" i="10"/>
  <c r="AC180" i="10" s="1"/>
  <c r="AC187" i="10" s="1"/>
  <c r="AB175" i="10"/>
  <c r="AB180" i="10" s="1"/>
  <c r="AB187" i="10" s="1"/>
  <c r="AM223" i="10"/>
  <c r="AM225" i="10" s="1"/>
  <c r="AN175" i="10"/>
  <c r="AN180" i="10" s="1"/>
  <c r="AN187" i="10" s="1"/>
  <c r="AN223" i="10"/>
  <c r="AN225" i="10" s="1"/>
  <c r="AI175" i="10"/>
  <c r="AI180" i="10" s="1"/>
  <c r="AI187" i="10" s="1"/>
  <c r="AD223" i="10"/>
  <c r="AD225" i="10" s="1"/>
  <c r="W223" i="10"/>
  <c r="W175" i="10"/>
  <c r="W180" i="10" s="1"/>
  <c r="W187" i="10" s="1"/>
  <c r="T175" i="10"/>
  <c r="T180" i="10" s="1"/>
  <c r="T187" i="10" s="1"/>
  <c r="U223" i="10"/>
  <c r="AK175" i="10"/>
  <c r="AK180" i="10" s="1"/>
  <c r="AK187" i="10" s="1"/>
  <c r="Y223" i="10"/>
  <c r="Y225" i="10" s="1"/>
  <c r="R175" i="10"/>
  <c r="R180" i="10" s="1"/>
  <c r="R187" i="10" s="1"/>
  <c r="AO175" i="10"/>
  <c r="AO180" i="10" s="1"/>
  <c r="AO187" i="10" s="1"/>
  <c r="X175" i="10"/>
  <c r="X180" i="10" s="1"/>
  <c r="X187" i="10" s="1"/>
  <c r="AM175" i="10"/>
  <c r="AM180" i="10" s="1"/>
  <c r="AM187" i="10" s="1"/>
  <c r="AE223" i="10"/>
  <c r="AE225" i="10" s="1"/>
  <c r="S175" i="10"/>
  <c r="S180" i="10" s="1"/>
  <c r="S187" i="10" s="1"/>
  <c r="R97" i="83" l="1" a="1"/>
  <c r="R97" i="83" s="1"/>
  <c r="BH97" i="83"/>
  <c r="BJ97" i="83" s="1" a="1"/>
  <c r="BJ97" i="83" s="1"/>
  <c r="BV97" i="83" s="1" a="1"/>
  <c r="BV97" i="83" s="1"/>
  <c r="AC97" i="83" a="1"/>
  <c r="AC97" i="83" s="1"/>
  <c r="Q97" i="83" a="1"/>
  <c r="S97" i="83" a="1"/>
  <c r="T97" i="83" a="1"/>
  <c r="U97" i="83" a="1"/>
  <c r="U97" i="83" s="1"/>
  <c r="L132" i="1"/>
  <c r="DC581" i="16"/>
  <c r="G60" i="1"/>
  <c r="G61" i="1" s="1"/>
  <c r="G62" i="1" s="1"/>
  <c r="G63" i="1" s="1"/>
  <c r="G87" i="1" s="1"/>
  <c r="P195" i="10"/>
  <c r="P197" i="10" s="1"/>
  <c r="J60" i="1"/>
  <c r="J61" i="1" s="1"/>
  <c r="J62" i="1" s="1"/>
  <c r="J63" i="1" s="1"/>
  <c r="J87" i="1" s="1"/>
  <c r="H134" i="1"/>
  <c r="Q195" i="10"/>
  <c r="Q197" i="10" s="1"/>
  <c r="F63" i="1"/>
  <c r="O195" i="10"/>
  <c r="O197" i="10" s="1"/>
  <c r="L195" i="10"/>
  <c r="L197" i="10" s="1"/>
  <c r="M195" i="10"/>
  <c r="M197" i="10" s="1"/>
  <c r="N195" i="10"/>
  <c r="N197" i="10" s="1"/>
  <c r="X192" i="10"/>
  <c r="X195" i="10"/>
  <c r="X197" i="10" s="1"/>
  <c r="AA192" i="10"/>
  <c r="AA195" i="10"/>
  <c r="AA197" i="10" s="1"/>
  <c r="AO192" i="10"/>
  <c r="AO195" i="10"/>
  <c r="AO197" i="10" s="1"/>
  <c r="U192" i="10"/>
  <c r="U195" i="10"/>
  <c r="R192" i="10"/>
  <c r="R195" i="10"/>
  <c r="AF192" i="10"/>
  <c r="AF195" i="10"/>
  <c r="AF197" i="10" s="1"/>
  <c r="I132" i="1"/>
  <c r="G132" i="1"/>
  <c r="AB192" i="10"/>
  <c r="AB195" i="10"/>
  <c r="AB197" i="10" s="1"/>
  <c r="AK192" i="10"/>
  <c r="AK195" i="10"/>
  <c r="AK197" i="10" s="1"/>
  <c r="AE192" i="10"/>
  <c r="AE195" i="10"/>
  <c r="AE197" i="10" s="1"/>
  <c r="T192" i="10"/>
  <c r="T195" i="10"/>
  <c r="Z192" i="10"/>
  <c r="Z195" i="10"/>
  <c r="Z197" i="10" s="1"/>
  <c r="AD192" i="10"/>
  <c r="AD195" i="10"/>
  <c r="AD197" i="10" s="1"/>
  <c r="J132" i="1"/>
  <c r="H132" i="1"/>
  <c r="AH192" i="10"/>
  <c r="AH195" i="10"/>
  <c r="AH197" i="10" s="1"/>
  <c r="W192" i="10"/>
  <c r="W195" i="10"/>
  <c r="K132" i="1"/>
  <c r="AM192" i="10"/>
  <c r="AM195" i="10"/>
  <c r="AM197" i="10" s="1"/>
  <c r="V192" i="10"/>
  <c r="V195" i="10"/>
  <c r="G134" i="1"/>
  <c r="BK97" i="83" a="1"/>
  <c r="AC192" i="10"/>
  <c r="AC195" i="10"/>
  <c r="AC197" i="10" s="1"/>
  <c r="AI192" i="10"/>
  <c r="AI195" i="10"/>
  <c r="AI197" i="10" s="1"/>
  <c r="AG192" i="10"/>
  <c r="AG195" i="10"/>
  <c r="AG197" i="10" s="1"/>
  <c r="AN192" i="10"/>
  <c r="AN195" i="10"/>
  <c r="AN197" i="10" s="1"/>
  <c r="AJ192" i="10"/>
  <c r="AJ195" i="10"/>
  <c r="AJ197" i="10" s="1"/>
  <c r="S192" i="10"/>
  <c r="S195" i="10"/>
  <c r="AL192" i="10"/>
  <c r="AL195" i="10"/>
  <c r="AL197" i="10" s="1"/>
  <c r="T225" i="10"/>
  <c r="J134" i="1"/>
  <c r="U225" i="10"/>
  <c r="K134" i="1"/>
  <c r="W225" i="10"/>
  <c r="M136" i="1" s="1"/>
  <c r="M134" i="1"/>
  <c r="V225" i="10"/>
  <c r="L134" i="1"/>
  <c r="S225" i="10"/>
  <c r="I134" i="1"/>
  <c r="DA628" i="16"/>
  <c r="DA629" i="16" s="1"/>
  <c r="DA637" i="16" s="1"/>
  <c r="DA691" i="16" s="1"/>
  <c r="DA683" i="16" s="1"/>
  <c r="DA682" i="16" s="1"/>
  <c r="DA680" i="16" s="1"/>
  <c r="DA679" i="16" s="1"/>
  <c r="DC621" i="16"/>
  <c r="DC636" i="16" s="1"/>
  <c r="DB621" i="16"/>
  <c r="DB636" i="16" s="1"/>
  <c r="Y192" i="10"/>
  <c r="Y197" i="10"/>
  <c r="S97" i="83" l="1"/>
  <c r="T97" i="83"/>
  <c r="Q97" i="83"/>
  <c r="AM97" i="83" s="1" a="1"/>
  <c r="AM97" i="83" s="1"/>
  <c r="BK97" i="83"/>
  <c r="BM97" i="83" s="1" a="1"/>
  <c r="BM97" i="83" s="1"/>
  <c r="CF97" i="83" s="1" a="1"/>
  <c r="CF97" i="83" s="1"/>
  <c r="Z97" i="83" a="1"/>
  <c r="G126" i="1"/>
  <c r="L136" i="1"/>
  <c r="G65" i="1"/>
  <c r="G66" i="1" s="1"/>
  <c r="G67" i="1" s="1"/>
  <c r="G68" i="1" s="1"/>
  <c r="G69" i="1" s="1"/>
  <c r="G70" i="1" s="1"/>
  <c r="J65" i="1"/>
  <c r="J66" i="1" s="1"/>
  <c r="J67" i="1" s="1"/>
  <c r="J68" i="1" s="1"/>
  <c r="J69" i="1" s="1"/>
  <c r="J70" i="1" s="1"/>
  <c r="J88" i="1" s="1"/>
  <c r="BE97" i="83" a="1"/>
  <c r="F70" i="1"/>
  <c r="K136" i="1"/>
  <c r="J136" i="1"/>
  <c r="H136" i="1"/>
  <c r="I136" i="1"/>
  <c r="G136" i="1"/>
  <c r="U197" i="10"/>
  <c r="K126" i="1"/>
  <c r="V197" i="10"/>
  <c r="L126" i="1"/>
  <c r="S197" i="10"/>
  <c r="I126" i="1"/>
  <c r="T197" i="10"/>
  <c r="J126" i="1"/>
  <c r="W197" i="10"/>
  <c r="M128" i="1" s="1"/>
  <c r="M126" i="1"/>
  <c r="R197" i="10"/>
  <c r="H126" i="1"/>
  <c r="DB628" i="16"/>
  <c r="DB629" i="16" s="1"/>
  <c r="DB637" i="16" s="1"/>
  <c r="DB691" i="16" s="1"/>
  <c r="DB683" i="16" s="1"/>
  <c r="DB682" i="16" s="1"/>
  <c r="DB680" i="16" s="1"/>
  <c r="DB679" i="16" s="1"/>
  <c r="DC628" i="16"/>
  <c r="DC629" i="16" s="1"/>
  <c r="DC637" i="16" s="1"/>
  <c r="DC691" i="16" s="1"/>
  <c r="DC683" i="16" s="1"/>
  <c r="DC682" i="16" s="1"/>
  <c r="DC680" i="16" s="1"/>
  <c r="DC679" i="16" s="1"/>
  <c r="AI97" i="83" l="1" a="1"/>
  <c r="AI97" i="83" s="1"/>
  <c r="AE97" i="83" a="1"/>
  <c r="AE97" i="83" s="1"/>
  <c r="AQ97" i="83" a="1"/>
  <c r="AQ97" i="83" s="1"/>
  <c r="AY97" i="83" a="1"/>
  <c r="AY97" i="83" s="1"/>
  <c r="Z97" i="83"/>
  <c r="AU97" i="83" s="1" a="1"/>
  <c r="AU97" i="83" s="1"/>
  <c r="BE97" i="83"/>
  <c r="BG97" i="83" s="1" a="1"/>
  <c r="BG97" i="83" s="1"/>
  <c r="BQ97" i="83" s="1" a="1"/>
  <c r="BQ97" i="83" s="1"/>
  <c r="G88" i="1"/>
  <c r="G72" i="1"/>
  <c r="G73" i="1" s="1"/>
  <c r="G74" i="1" s="1"/>
  <c r="G75" i="1" s="1"/>
  <c r="J72" i="1"/>
  <c r="J73" i="1" s="1"/>
  <c r="J74" i="1" s="1"/>
  <c r="J75" i="1" s="1"/>
  <c r="J89" i="1" s="1"/>
  <c r="F75" i="1"/>
  <c r="F82" i="1" s="1"/>
  <c r="H70" i="1" s="1"/>
  <c r="J128" i="1"/>
  <c r="I128" i="1"/>
  <c r="L128" i="1"/>
  <c r="K128" i="1"/>
  <c r="H128" i="1"/>
  <c r="CA97" i="83" a="1"/>
  <c r="CA97" i="83" s="1"/>
  <c r="G128" i="1"/>
  <c r="G77" i="1" l="1"/>
  <c r="G78" i="1" s="1"/>
  <c r="G79" i="1" s="1"/>
  <c r="G80" i="1" s="1"/>
  <c r="G82" i="1" s="1"/>
  <c r="G90" i="1" s="1"/>
  <c r="G89" i="1"/>
  <c r="J77" i="1"/>
  <c r="J78" i="1" s="1"/>
  <c r="H75" i="1"/>
  <c r="H51" i="1"/>
  <c r="H77" i="1"/>
  <c r="H78" i="1"/>
  <c r="H54" i="1"/>
  <c r="H55" i="1"/>
  <c r="H73" i="1"/>
  <c r="H66" i="1"/>
  <c r="H74" i="1"/>
  <c r="H65" i="1"/>
  <c r="H52" i="1"/>
  <c r="H61" i="1"/>
  <c r="H79" i="1"/>
  <c r="H69" i="1"/>
  <c r="H60" i="1"/>
  <c r="H67" i="1"/>
  <c r="H72" i="1"/>
  <c r="H53" i="1"/>
  <c r="H68" i="1"/>
  <c r="H57" i="1"/>
  <c r="H56" i="1"/>
  <c r="H62" i="1"/>
  <c r="H58" i="1"/>
  <c r="G85" i="1" s="1"/>
  <c r="H80" i="1"/>
  <c r="H82" i="1" s="1"/>
  <c r="H63" i="1"/>
  <c r="I79" i="1" l="1"/>
  <c r="J79" i="1" l="1"/>
  <c r="J80" i="1" s="1"/>
  <c r="J82" i="1" s="1"/>
  <c r="J90" i="1" s="1"/>
  <c r="I80" i="1"/>
  <c r="I82" i="1" l="1"/>
  <c r="K62" i="1" l="1"/>
  <c r="K63" i="1"/>
  <c r="K65" i="1"/>
  <c r="K66" i="1"/>
  <c r="K67" i="1"/>
  <c r="K68" i="1"/>
  <c r="K51" i="1"/>
  <c r="K69" i="1"/>
  <c r="K52" i="1"/>
  <c r="K70" i="1"/>
  <c r="K53" i="1"/>
  <c r="K72" i="1"/>
  <c r="K54" i="1"/>
  <c r="K73" i="1"/>
  <c r="K55" i="1"/>
  <c r="K74" i="1"/>
  <c r="K56" i="1"/>
  <c r="K75" i="1"/>
  <c r="K57" i="1"/>
  <c r="K77" i="1"/>
  <c r="K58" i="1"/>
  <c r="J85" i="1" s="1"/>
  <c r="K78" i="1"/>
  <c r="K60" i="1"/>
  <c r="K61" i="1"/>
  <c r="K79" i="1"/>
  <c r="K80" i="1"/>
  <c r="K8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Bowman, Robert</author>
  </authors>
  <commentList>
    <comment ref="AE652" authorId="0" shapeId="0" xr:uid="{FE6442D2-149C-4783-8E9B-75F4A2CC8B21}">
      <text>
        <r>
          <rPr>
            <b/>
            <sz val="9"/>
            <color indexed="81"/>
            <rFont val="Tahoma"/>
            <family val="2"/>
          </rPr>
          <t>Bowman, Robert:</t>
        </r>
        <r>
          <rPr>
            <sz val="9"/>
            <color indexed="81"/>
            <rFont val="Tahoma"/>
            <family val="2"/>
          </rPr>
          <t xml:space="preserve">
as of 10/7</t>
        </r>
      </text>
    </comment>
    <comment ref="AE654" authorId="0" shapeId="0" xr:uid="{711DE169-CCE8-4DB3-B28D-217618D12240}">
      <text>
        <r>
          <rPr>
            <b/>
            <sz val="9"/>
            <color indexed="81"/>
            <rFont val="Tahoma"/>
            <family val="2"/>
          </rPr>
          <t>Bowman, Robert:</t>
        </r>
        <r>
          <rPr>
            <sz val="9"/>
            <color indexed="81"/>
            <rFont val="Tahoma"/>
            <family val="2"/>
          </rPr>
          <t xml:space="preserve">
As of 10/7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tc={7DC9333C-8107-471F-8365-376D08EF7AB8}</author>
    <author>tc={7EB47911-2F6C-4CEB-86F9-E133AFA4C46C}</author>
    <author>tc={06CC2A0A-75B7-4CAA-8996-4D0D90E23DBB}</author>
    <author>tc={21DE5ADF-3611-44F5-872C-D463C4391D31}</author>
    <author>tc={E0C302BC-3BBC-4996-BFDF-EA38AA6A78B4}</author>
    <author>tc={E4CBF236-0ABB-4221-90C5-ACBF259BC2ED}</author>
    <author>tc={782EDCD0-229E-4FE4-97CD-984184D38358}</author>
    <author>tc={7FD18996-D913-4931-B191-ED4642ED74FE}</author>
    <author>tc={43005CCB-C0AE-4F77-9156-E497678B2F62}</author>
    <author>tc={D5DF5DBD-ED4C-4205-AA9E-22B82ECAE3E8}</author>
    <author>tc={E6393128-1C80-4F76-9FEF-CA9E3876E292}</author>
    <author>tc={3A7A94C4-E1A9-4CE4-AF82-0E6D25109369}</author>
    <author>tc={09376633-D1E5-4039-BEC6-7A41B2640C3B}</author>
    <author>tc={BB81DEB7-0AE3-4E71-9963-E0DEDD32A13A}</author>
    <author>tc={B5CAB3BD-B73F-4DA1-B44B-281BF6E640B8}</author>
    <author>tc={322C628B-352F-484A-BC5E-F9CD90324D5B}</author>
    <author>tc={0CBBB15E-9D07-4199-AA8A-D17B381410C9}</author>
    <author>tc={630E78A5-6BDC-4306-927A-136BC2F5A33F}</author>
    <author>tc={8EBA943A-E3BC-486E-849A-0FD4D77E94FE}</author>
    <author>tc={D91AF4B8-9ECE-470E-A6A5-7079D492BA2A}</author>
    <author>tc={5B960AD4-452E-41C4-921A-1CF81824A3FB}</author>
    <author>tc={E2CAF104-EC52-4380-B2F3-8EA5BEFD6696}</author>
    <author>tc={0D6AFD16-C493-4201-9A95-AD9DA3AEBA2C}</author>
    <author>tc={E0D9E511-97F9-4599-9B51-0DC48D51F9AE}</author>
    <author>tc={4213941D-CE41-4BE0-9E7A-E5782816E8BE}</author>
    <author>tc={F71704A1-FA20-42C1-9D80-92EFA4F2EA73}</author>
    <author>tc={E391D23D-5121-4478-886F-744917F01FAC}</author>
    <author>tc={00223169-A6D3-4875-8BB4-6A43A0ADF0B9}</author>
    <author>tc={19044A2E-ED13-46D4-93FD-6F4D5A44D9F4}</author>
    <author>tc={22488AD0-5D11-447C-B01D-58875D1734C5}</author>
    <author>tc={5F183FEE-6028-45D3-B034-C2804BCD134C}</author>
    <author>tc={AAE11BE0-C070-47C3-8066-990E09136B46}</author>
    <author>tc={ABDB0AE5-779F-4805-A3EF-D65DF2681096}</author>
    <author>tc={0EAE25BB-D69A-408B-97A5-7799F40D59F5}</author>
    <author>tc={17F6F6ED-8F90-4A2C-ACCE-2A867A6BC4BE}</author>
    <author>tc={2CB18DA5-7814-46DB-9833-1BE7E53594C9}</author>
    <author>tc={9943264D-E289-44CF-AFB9-390B9B475626}</author>
    <author>tc={293DFDE3-096A-4BD8-909A-D66933B51335}</author>
    <author>tc={C228E8BE-870D-439B-B8A9-1DE0EFDBDA3D}</author>
    <author>tc={C609A649-A16E-4224-B0BE-8025846E9D1D}</author>
    <author>tc={F88B8624-3474-43A1-AE17-261244264E26}</author>
    <author>tc={A98F3A7C-E1D5-4989-BDA0-E4107A7E196A}</author>
    <author>tc={81086224-6605-4D51-808A-F5C8FDB25898}</author>
    <author>tc={F5506763-B540-4507-9316-96283CA2FAB6}</author>
    <author>tc={4AEFB5FD-5F4B-48D4-897B-FC5E7E687ADB}</author>
    <author>tc={69DA569E-ED62-477A-8C7F-C6AB9B171376}</author>
    <author>tc={559B0C8C-3DEF-4841-8D13-084075E7D208}</author>
    <author>tc={7EF6AD2C-B3D9-4861-A739-15C3E8379595}</author>
    <author>tc={6C45FE78-DC69-48A5-9A19-1BE2991B139B}</author>
    <author>tc={705470B1-3DD0-447E-BF3A-45EE12D9BF64}</author>
    <author>tc={E8FA88E5-076D-457B-8CE6-EB50D7F6595F}</author>
    <author>tc={E7DC30CE-153E-4877-AF8E-FA7E930D5C06}</author>
    <author>tc={BDBB7C75-506A-497D-B551-9787C8F9DB53}</author>
    <author>tc={C21BD563-7B51-4F80-8B0D-87DC95E6192C}</author>
    <author>tc={A29D73EE-5656-4AAF-A304-262569E90616}</author>
    <author>tc={1EBFF396-C8CC-49AB-A4DC-24848D32116D}</author>
    <author>tc={4D38B01C-5ABF-47F6-B21A-9DEE9642A701}</author>
    <author>tc={A05DBBB3-26BD-41C9-B97C-6849FC49A099}</author>
    <author>tc={8FFDF8E5-F7B5-4399-ABC5-BA22A3ECC197}</author>
    <author>tc={FFA8206E-5033-44F2-9B79-7076826A8550}</author>
    <author>tc={6B2AE4B5-3C3E-42F7-A5AA-27F52C055508}</author>
    <author>tc={DB9A9AFF-357D-4FC8-9CBF-D1CCA70DAEDE}</author>
    <author>tc={6E101436-4342-409B-901D-7108F9E2FE41}</author>
    <author>tc={D93F4BBB-B14C-4D5B-925B-D3D050C4BCB0}</author>
    <author>tc={BA2A6DA9-3B58-4095-8521-9E51BCA0B779}</author>
    <author>tc={EF36A35C-2221-4957-847D-E5D3889FF750}</author>
    <author>tc={29CA6A8F-563F-4076-BD23-5FB07FCCA799}</author>
    <author>tc={2FFC481F-1F3D-468B-B3EC-1C7523CE401C}</author>
    <author>tc={15E544D3-C346-407D-894D-0AA935BC0600}</author>
    <author>tc={9B709E72-6F2B-47AB-852A-97AB414B579D}</author>
    <author>tc={ACBA3E18-2C73-43E1-944F-3909E0F6009D}</author>
    <author>tc={95BB3350-383A-42E3-B873-B1B045D26B14}</author>
    <author>tc={C3C32E8A-C6F7-4EAE-8737-DCE67A3C8E56}</author>
    <author>tc={D2734561-BF76-4D9D-BEF9-3C0142E74D67}</author>
    <author>tc={D1D96249-45F8-45FA-9516-ADA6433BD1BC}</author>
    <author>tc={8B730FEC-ED61-4CFD-BFAD-28F68889D1A1}</author>
    <author>tc={1DA40628-9E5F-4011-9D4D-221A19D82E2D}</author>
    <author>tc={F5729551-2F49-4864-853F-01F24B3B3460}</author>
    <author>tc={9A938413-157A-4F61-A72F-8AC6BACE65B7}</author>
    <author>tc={F7538766-28A1-43D7-8357-B9A7A2892BC9}</author>
    <author>tc={C7537A52-3741-44F3-B93E-B96102B6A0F6}</author>
    <author>tc={44562732-9927-498F-B8A4-168DB01FE4EB}</author>
    <author>tc={35D1EF43-2566-4356-82D1-14EEF078BC60}</author>
    <author>tc={F2B7BEC8-BC68-4B01-841E-8E36C1466F95}</author>
  </authors>
  <commentList>
    <comment ref="I10" authorId="0" shapeId="0" xr:uid="{7DC9333C-8107-471F-8365-376D08EF7AB8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11" authorId="1" shapeId="0" xr:uid="{7EB47911-2F6C-4CEB-86F9-E133AFA4C46C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12" authorId="2" shapeId="0" xr:uid="{06CC2A0A-75B7-4CAA-8996-4D0D90E23DBB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12" authorId="3" shapeId="0" xr:uid="{21DE5ADF-3611-44F5-872C-D463C4391D3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13" authorId="4" shapeId="0" xr:uid="{E0C302BC-3BBC-4996-BFDF-EA38AA6A78B4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17" authorId="5" shapeId="0" xr:uid="{E4CBF236-0ABB-4221-90C5-ACBF259BC2ED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18" authorId="6" shapeId="0" xr:uid="{782EDCD0-229E-4FE4-97CD-984184D38358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40" authorId="7" shapeId="0" xr:uid="{7FD18996-D913-4931-B191-ED4642ED74FE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41" authorId="8" shapeId="0" xr:uid="{43005CCB-C0AE-4F77-9156-E497678B2F62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42" authorId="9" shapeId="0" xr:uid="{D5DF5DBD-ED4C-4205-AA9E-22B82ECAE3E8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42" authorId="10" shapeId="0" xr:uid="{E6393128-1C80-4F76-9FEF-CA9E3876E292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43" authorId="11" shapeId="0" xr:uid="{3A7A94C4-E1A9-4CE4-AF82-0E6D2510936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47" authorId="12" shapeId="0" xr:uid="{09376633-D1E5-4039-BEC6-7A41B2640C3B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48" authorId="13" shapeId="0" xr:uid="{BB81DEB7-0AE3-4E71-9963-E0DEDD32A13A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70" authorId="14" shapeId="0" xr:uid="{B5CAB3BD-B73F-4DA1-B44B-281BF6E640B8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71" authorId="15" shapeId="0" xr:uid="{322C628B-352F-484A-BC5E-F9CD90324D5B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72" authorId="16" shapeId="0" xr:uid="{0CBBB15E-9D07-4199-AA8A-D17B381410C9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72" authorId="17" shapeId="0" xr:uid="{630E78A5-6BDC-4306-927A-136BC2F5A33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73" authorId="18" shapeId="0" xr:uid="{8EBA943A-E3BC-486E-849A-0FD4D77E94FE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77" authorId="19" shapeId="0" xr:uid="{D91AF4B8-9ECE-470E-A6A5-7079D492BA2A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78" authorId="20" shapeId="0" xr:uid="{5B960AD4-452E-41C4-921A-1CF81824A3FB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100" authorId="21" shapeId="0" xr:uid="{E2CAF104-EC52-4380-B2F3-8EA5BEFD6696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101" authorId="22" shapeId="0" xr:uid="{0D6AFD16-C493-4201-9A95-AD9DA3AEBA2C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102" authorId="23" shapeId="0" xr:uid="{E0D9E511-97F9-4599-9B51-0DC48D51F9AE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102" authorId="24" shapeId="0" xr:uid="{4213941D-CE41-4BE0-9E7A-E5782816E8B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103" authorId="25" shapeId="0" xr:uid="{F71704A1-FA20-42C1-9D80-92EFA4F2EA73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107" authorId="26" shapeId="0" xr:uid="{E391D23D-5121-4478-886F-744917F01FAC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108" authorId="27" shapeId="0" xr:uid="{00223169-A6D3-4875-8BB4-6A43A0ADF0B9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130" authorId="28" shapeId="0" xr:uid="{19044A2E-ED13-46D4-93FD-6F4D5A44D9F4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131" authorId="29" shapeId="0" xr:uid="{22488AD0-5D11-447C-B01D-58875D1734C5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132" authorId="30" shapeId="0" xr:uid="{5F183FEE-6028-45D3-B034-C2804BCD134C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132" authorId="31" shapeId="0" xr:uid="{AAE11BE0-C070-47C3-8066-990E09136B4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133" authorId="32" shapeId="0" xr:uid="{ABDB0AE5-779F-4805-A3EF-D65DF2681096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137" authorId="33" shapeId="0" xr:uid="{0EAE25BB-D69A-408B-97A5-7799F40D59F5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138" authorId="34" shapeId="0" xr:uid="{17F6F6ED-8F90-4A2C-ACCE-2A867A6BC4BE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160" authorId="35" shapeId="0" xr:uid="{2CB18DA5-7814-46DB-9833-1BE7E53594C9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161" authorId="36" shapeId="0" xr:uid="{9943264D-E289-44CF-AFB9-390B9B475626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162" authorId="37" shapeId="0" xr:uid="{293DFDE3-096A-4BD8-909A-D66933B51335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162" authorId="38" shapeId="0" xr:uid="{C228E8BE-870D-439B-B8A9-1DE0EFDBDA3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163" authorId="39" shapeId="0" xr:uid="{C609A649-A16E-4224-B0BE-8025846E9D1D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167" authorId="40" shapeId="0" xr:uid="{F88B8624-3474-43A1-AE17-261244264E26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168" authorId="41" shapeId="0" xr:uid="{A98F3A7C-E1D5-4989-BDA0-E4107A7E196A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190" authorId="42" shapeId="0" xr:uid="{81086224-6605-4D51-808A-F5C8FDB25898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191" authorId="43" shapeId="0" xr:uid="{F5506763-B540-4507-9316-96283CA2FAB6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192" authorId="44" shapeId="0" xr:uid="{4AEFB5FD-5F4B-48D4-897B-FC5E7E687ADB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192" authorId="45" shapeId="0" xr:uid="{69DA569E-ED62-477A-8C7F-C6AB9B17137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193" authorId="46" shapeId="0" xr:uid="{559B0C8C-3DEF-4841-8D13-084075E7D20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197" authorId="47" shapeId="0" xr:uid="{7EF6AD2C-B3D9-4861-A739-15C3E8379595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198" authorId="48" shapeId="0" xr:uid="{6C45FE78-DC69-48A5-9A19-1BE2991B139B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220" authorId="49" shapeId="0" xr:uid="{705470B1-3DD0-447E-BF3A-45EE12D9BF64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221" authorId="50" shapeId="0" xr:uid="{E8FA88E5-076D-457B-8CE6-EB50D7F6595F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222" authorId="51" shapeId="0" xr:uid="{E7DC30CE-153E-4877-AF8E-FA7E930D5C06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222" authorId="52" shapeId="0" xr:uid="{BDBB7C75-506A-497D-B551-9787C8F9DB5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223" authorId="53" shapeId="0" xr:uid="{C21BD563-7B51-4F80-8B0D-87DC95E6192C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227" authorId="54" shapeId="0" xr:uid="{A29D73EE-5656-4AAF-A304-262569E90616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228" authorId="55" shapeId="0" xr:uid="{1EBFF396-C8CC-49AB-A4DC-24848D32116D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250" authorId="56" shapeId="0" xr:uid="{4D38B01C-5ABF-47F6-B21A-9DEE9642A701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251" authorId="57" shapeId="0" xr:uid="{A05DBBB3-26BD-41C9-B97C-6849FC49A099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252" authorId="58" shapeId="0" xr:uid="{8FFDF8E5-F7B5-4399-ABC5-BA22A3ECC197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252" authorId="59" shapeId="0" xr:uid="{FFA8206E-5033-44F2-9B79-7076826A855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253" authorId="60" shapeId="0" xr:uid="{6B2AE4B5-3C3E-42F7-A5AA-27F52C05550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257" authorId="61" shapeId="0" xr:uid="{DB9A9AFF-357D-4FC8-9CBF-D1CCA70DAEDE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258" authorId="62" shapeId="0" xr:uid="{6E101436-4342-409B-901D-7108F9E2FE41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280" authorId="63" shapeId="0" xr:uid="{D93F4BBB-B14C-4D5B-925B-D3D050C4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281" authorId="64" shapeId="0" xr:uid="{BA2A6DA9-3B58-4095-8521-9E51BCA0B779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282" authorId="65" shapeId="0" xr:uid="{EF36A35C-2221-4957-847D-E5D3889FF750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282" authorId="66" shapeId="0" xr:uid="{29CA6A8F-563F-4076-BD23-5FB07FCCA79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283" authorId="67" shapeId="0" xr:uid="{2FFC481F-1F3D-468B-B3EC-1C7523CE401C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287" authorId="68" shapeId="0" xr:uid="{15E544D3-C346-407D-894D-0AA935BC06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288" authorId="69" shapeId="0" xr:uid="{9B709E72-6F2B-47AB-852A-97AB414B579D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310" authorId="70" shapeId="0" xr:uid="{ACBA3E18-2C73-43E1-944F-3909E0F6009D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311" authorId="71" shapeId="0" xr:uid="{95BB3350-383A-42E3-B873-B1B045D26B14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312" authorId="72" shapeId="0" xr:uid="{C3C32E8A-C6F7-4EAE-8737-DCE67A3C8E56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312" authorId="73" shapeId="0" xr:uid="{D2734561-BF76-4D9D-BEF9-3C0142E74D6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313" authorId="74" shapeId="0" xr:uid="{D1D96249-45F8-45FA-9516-ADA6433BD1BC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317" authorId="75" shapeId="0" xr:uid="{8B730FEC-ED61-4CFD-BFAD-28F68889D1A1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318" authorId="76" shapeId="0" xr:uid="{1DA40628-9E5F-4011-9D4D-221A19D82E2D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I340" authorId="77" shapeId="0" xr:uid="{F5729551-2F49-4864-853F-01F24B3B3460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341" authorId="78" shapeId="0" xr:uid="{9A938413-157A-4F61-A72F-8AC6BACE65B7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total commitment at closing</t>
      </text>
    </comment>
    <comment ref="I342" authorId="79" shapeId="0" xr:uid="{F7538766-28A1-43D7-8357-B9A7A2892BC9}">
      <text>
        <t>[Threaded comment]
Your version of Excel allows you to read this threaded comment; however, any edits to it will get removed if the file is opened in a newer version of Excel. Learn more: https://go.microsoft.com/fwlink/?linkid=870924
Comment:
    % borrowed amount at draw</t>
      </text>
    </comment>
    <comment ref="M342" authorId="80" shapeId="0" xr:uid="{C7537A52-3741-44F3-B93E-B96102B6A0F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3 month contracts / foward term</t>
      </text>
    </comment>
    <comment ref="M343" authorId="81" shapeId="0" xr:uid="{44562732-9927-498F-B8A4-168DB01FE4EB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floor (vs. 0% floor) put "n/a"</t>
      </text>
    </comment>
    <comment ref="M347" authorId="82" shapeId="0" xr:uid="{35D1EF43-2566-4356-82D1-14EEF078BC60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  <comment ref="M348" authorId="83" shapeId="0" xr:uid="{F2B7BEC8-BC68-4B01-841E-8E36C1466F95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closing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<sst xmlns="http://schemas.openxmlformats.org/spreadsheetml/2006/main" count="3462" uniqueCount="654">
  <si>
    <t>x</t>
  </si>
  <si>
    <t>USD in 000's, except where noted</t>
  </si>
  <si>
    <t>Company Name:</t>
  </si>
  <si>
    <t>[X]</t>
  </si>
  <si>
    <t>Sector:</t>
  </si>
  <si>
    <t>Industry:</t>
  </si>
  <si>
    <t>HQ:</t>
  </si>
  <si>
    <t>Address:</t>
  </si>
  <si>
    <t>CEO:</t>
  </si>
  <si>
    <t>CEO Email:</t>
  </si>
  <si>
    <t>CEO Phone:</t>
  </si>
  <si>
    <t>CFO:</t>
  </si>
  <si>
    <t>CFO Email:</t>
  </si>
  <si>
    <t>CFO Phone:</t>
  </si>
  <si>
    <t>FYE:</t>
  </si>
  <si>
    <t>Agent:</t>
  </si>
  <si>
    <t>Agent Contact:</t>
  </si>
  <si>
    <t>Agent Contact Email:</t>
  </si>
  <si>
    <t>ESG Category:</t>
  </si>
  <si>
    <t>ESG Subsector:</t>
  </si>
  <si>
    <t>[Name]</t>
  </si>
  <si>
    <t>[Email]</t>
  </si>
  <si>
    <t>[Firm Name]</t>
  </si>
  <si>
    <t>Company Description</t>
  </si>
  <si>
    <t>Security</t>
  </si>
  <si>
    <t>Global</t>
  </si>
  <si>
    <t>GC</t>
  </si>
  <si>
    <t>Commit.</t>
  </si>
  <si>
    <t>Outstand.</t>
  </si>
  <si>
    <t>% Total</t>
  </si>
  <si>
    <t>Pricing</t>
  </si>
  <si>
    <t>Floor</t>
  </si>
  <si>
    <t>Spread/Coup</t>
  </si>
  <si>
    <t>Maturity</t>
  </si>
  <si>
    <t>Structuring</t>
  </si>
  <si>
    <t>Closing</t>
  </si>
  <si>
    <t>Mark</t>
  </si>
  <si>
    <t>Tenor (yrs)</t>
  </si>
  <si>
    <t>Dates</t>
  </si>
  <si>
    <t>Investment</t>
  </si>
  <si>
    <t>Val. Date</t>
  </si>
  <si>
    <t>First Lien Term Loan</t>
  </si>
  <si>
    <t>Second Lien Term Loan</t>
  </si>
  <si>
    <t>Expiration</t>
  </si>
  <si>
    <t>Preferred Equity</t>
  </si>
  <si>
    <t>Common Equity</t>
  </si>
  <si>
    <t>Total</t>
  </si>
  <si>
    <t>n/a</t>
  </si>
  <si>
    <t>Final Call</t>
  </si>
  <si>
    <t>Capitalization Summary</t>
  </si>
  <si>
    <t>Historical Financials</t>
  </si>
  <si>
    <t>Capital Leases</t>
  </si>
  <si>
    <t>Other First Lien Debt</t>
  </si>
  <si>
    <t>$</t>
  </si>
  <si>
    <t>Net Mult.</t>
  </si>
  <si>
    <t>HoldCo Notes</t>
  </si>
  <si>
    <t>Seller Notes</t>
  </si>
  <si>
    <t>Other Debt</t>
  </si>
  <si>
    <t>Common Equity (Implied Equity)</t>
  </si>
  <si>
    <t>Total Equity</t>
  </si>
  <si>
    <t>Total Capitalization</t>
  </si>
  <si>
    <t>First Lien Net Leverage</t>
  </si>
  <si>
    <t>Senior Net Leverage</t>
  </si>
  <si>
    <t>Total Net Leverage</t>
  </si>
  <si>
    <t>Revenue</t>
  </si>
  <si>
    <t>% y/y</t>
  </si>
  <si>
    <t>Gross Profit</t>
  </si>
  <si>
    <t>% margin</t>
  </si>
  <si>
    <t>% revenue</t>
  </si>
  <si>
    <t>Interest Expense (Income)</t>
  </si>
  <si>
    <t>Capital Expenditures</t>
  </si>
  <si>
    <t>NWC</t>
  </si>
  <si>
    <t>DSO</t>
  </si>
  <si>
    <t>DIH</t>
  </si>
  <si>
    <t>DPO</t>
  </si>
  <si>
    <t>CCC</t>
  </si>
  <si>
    <t>Interest Coverage</t>
  </si>
  <si>
    <t>YTD Period Ending,</t>
  </si>
  <si>
    <t>TTM Period Ending,</t>
  </si>
  <si>
    <t>Historical Financial Results MD&amp;A</t>
  </si>
  <si>
    <t>Leverage / Liquidity</t>
  </si>
  <si>
    <t>Other / Misc.</t>
  </si>
  <si>
    <t>Public Comparables</t>
  </si>
  <si>
    <t>Covenant Compliance</t>
  </si>
  <si>
    <t>Transaction Comparables</t>
  </si>
  <si>
    <t>Company Name</t>
  </si>
  <si>
    <t>EBITDA</t>
  </si>
  <si>
    <t>Mkt Cap</t>
  </si>
  <si>
    <t>TEV</t>
  </si>
  <si>
    <t>LTM Financials</t>
  </si>
  <si>
    <t>5-yr Rev.</t>
  </si>
  <si>
    <t>% CAGR</t>
  </si>
  <si>
    <t>High</t>
  </si>
  <si>
    <t>Low</t>
  </si>
  <si>
    <t>Average</t>
  </si>
  <si>
    <t>Median</t>
  </si>
  <si>
    <t>USD in millions, except where noted</t>
  </si>
  <si>
    <t xml:space="preserve">Purchase </t>
  </si>
  <si>
    <t>Date</t>
  </si>
  <si>
    <t xml:space="preserve">Price </t>
  </si>
  <si>
    <t>Target Company</t>
  </si>
  <si>
    <t>Buyer</t>
  </si>
  <si>
    <t>Recent Events</t>
  </si>
  <si>
    <t>Description:</t>
  </si>
  <si>
    <t>Date:</t>
  </si>
  <si>
    <t>Amend. Fee:</t>
  </si>
  <si>
    <t>Doc. / Misc.</t>
  </si>
  <si>
    <t>Covenant</t>
  </si>
  <si>
    <t>% cushion</t>
  </si>
  <si>
    <t>Add-on M&amp;A</t>
  </si>
  <si>
    <t>Consideration</t>
  </si>
  <si>
    <t>Cash</t>
  </si>
  <si>
    <t>EO / Defer</t>
  </si>
  <si>
    <t>Stock</t>
  </si>
  <si>
    <t>PPM (EV / EBITDA)</t>
  </si>
  <si>
    <t>Total Add-ons</t>
  </si>
  <si>
    <t>Total Blended</t>
  </si>
  <si>
    <t>Historical Financials Input</t>
  </si>
  <si>
    <t>YTD Financials (Pro Forma)</t>
  </si>
  <si>
    <t>TTM Financials (Pro Forma)</t>
  </si>
  <si>
    <t>Days in Period</t>
  </si>
  <si>
    <t>Accounts Receivable</t>
  </si>
  <si>
    <t>Inventory</t>
  </si>
  <si>
    <t>Current Assets</t>
  </si>
  <si>
    <t>Accounts Payable</t>
  </si>
  <si>
    <t>Deferred Revenue</t>
  </si>
  <si>
    <t>Current Liabilities</t>
  </si>
  <si>
    <t>Pro Forma Capitalization (Last Close)</t>
  </si>
  <si>
    <t>Close Type</t>
  </si>
  <si>
    <t>Close Description</t>
  </si>
  <si>
    <t>Close Date</t>
  </si>
  <si>
    <t>Initial</t>
  </si>
  <si>
    <t>Pro Forma Capitalization (Current)</t>
  </si>
  <si>
    <t>Status</t>
  </si>
  <si>
    <t>Outstanding</t>
  </si>
  <si>
    <t>No.</t>
  </si>
  <si>
    <t>Consolidated Net Income</t>
  </si>
  <si>
    <t>Pro Forma Adjustments</t>
  </si>
  <si>
    <t>Before / After</t>
  </si>
  <si>
    <t>Cash Netting Cap</t>
  </si>
  <si>
    <t>Diligence Adjustments</t>
  </si>
  <si>
    <t>YTD Financials (Budgeted)</t>
  </si>
  <si>
    <t>Financials Date:</t>
  </si>
  <si>
    <t>Period</t>
  </si>
  <si>
    <t>Rank</t>
  </si>
  <si>
    <t>Price</t>
  </si>
  <si>
    <t>OpCo Net Leverage</t>
  </si>
  <si>
    <t>% FCF conversion</t>
  </si>
  <si>
    <t>Add-on M&amp;A Summary</t>
  </si>
  <si>
    <t>Public Comparable Companies</t>
  </si>
  <si>
    <t>Ticker</t>
  </si>
  <si>
    <t>P/E Cap</t>
  </si>
  <si>
    <t>EPS</t>
  </si>
  <si>
    <t>P/E</t>
  </si>
  <si>
    <t>Precedent Transactions</t>
  </si>
  <si>
    <t>TEV / Revenue Cap</t>
  </si>
  <si>
    <t>TEV / EBITDA Cap</t>
  </si>
  <si>
    <t>Target</t>
  </si>
  <si>
    <t>TEV / LTM (1)</t>
  </si>
  <si>
    <t>Facility Size:</t>
  </si>
  <si>
    <t>% tranche</t>
  </si>
  <si>
    <t>Investment Date:</t>
  </si>
  <si>
    <t>Maturity Date:</t>
  </si>
  <si>
    <t>Tenor (years):</t>
  </si>
  <si>
    <t>Admin Fee ($000's):</t>
  </si>
  <si>
    <t>Deferred Fee (%):</t>
  </si>
  <si>
    <t>Closing Fee (%):</t>
  </si>
  <si>
    <t>Structuring Fee (%):</t>
  </si>
  <si>
    <t>Unused Fee (% p.a.):</t>
  </si>
  <si>
    <t>Amortization (% p.a.)</t>
  </si>
  <si>
    <t>Quarterly Amort. ($000's)</t>
  </si>
  <si>
    <t>Fixed / Floating:</t>
  </si>
  <si>
    <t>Floating</t>
  </si>
  <si>
    <t>Floating Rate Benchmark:</t>
  </si>
  <si>
    <t>Floating Rate Floor:</t>
  </si>
  <si>
    <t>Floating Rate Spread:</t>
  </si>
  <si>
    <t>Metric</t>
  </si>
  <si>
    <t>Value</t>
  </si>
  <si>
    <t>Floating Rate</t>
  </si>
  <si>
    <t>Pricing Grid Spread(s) / Coupon(s)</t>
  </si>
  <si>
    <t>Fixed Rate</t>
  </si>
  <si>
    <t>PIK</t>
  </si>
  <si>
    <t>Prepayment Premium(s)</t>
  </si>
  <si>
    <t>6 mo.</t>
  </si>
  <si>
    <t>Floating Rate 6 mo. CSA:</t>
  </si>
  <si>
    <t>Floating Rate 3 mo. CSA:</t>
  </si>
  <si>
    <t>Floating Rate 1 mo. CSA:</t>
  </si>
  <si>
    <t>Year 1</t>
  </si>
  <si>
    <t>Year 2</t>
  </si>
  <si>
    <t>Year 3</t>
  </si>
  <si>
    <t>Year 4</t>
  </si>
  <si>
    <t>Premium</t>
  </si>
  <si>
    <t>Floating / Fixed:</t>
  </si>
  <si>
    <t>Interest Basis:</t>
  </si>
  <si>
    <t>Actual/360</t>
  </si>
  <si>
    <t>Notes:</t>
  </si>
  <si>
    <t>Fed Funds Rate</t>
  </si>
  <si>
    <t>Term SOFR</t>
  </si>
  <si>
    <t>Term SONIA</t>
  </si>
  <si>
    <t>EURIBOR</t>
  </si>
  <si>
    <t>USD LIBOR</t>
  </si>
  <si>
    <t>US (NASD) 30/360</t>
  </si>
  <si>
    <t>Actual/actual</t>
  </si>
  <si>
    <t>Actual/365</t>
  </si>
  <si>
    <t>European 30/360</t>
  </si>
  <si>
    <t>Fixed</t>
  </si>
  <si>
    <t>Voting Rights:</t>
  </si>
  <si>
    <t>Board Observer Rights:</t>
  </si>
  <si>
    <t>Total Common Shares:</t>
  </si>
  <si>
    <t>Fully Diluted Common Shares:</t>
  </si>
  <si>
    <t>% basic ownership</t>
  </si>
  <si>
    <t>% fully diluted ownership</t>
  </si>
  <si>
    <t>Yes</t>
  </si>
  <si>
    <t>No</t>
  </si>
  <si>
    <t>Data Validation</t>
  </si>
  <si>
    <t>Misc.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</si>
  <si>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</si>
  <si>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</si>
  <si>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</si>
  <si>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</si>
  <si>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</si>
  <si>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</si>
  <si>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</si>
  <si>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Materials</t>
  </si>
  <si>
    <t>Real Estate</t>
  </si>
  <si>
    <t>Information Technology</t>
  </si>
  <si>
    <t>Utilities</t>
  </si>
  <si>
    <t>Investment Status:</t>
  </si>
  <si>
    <t>Partially Realized</t>
  </si>
  <si>
    <t>Realized</t>
  </si>
  <si>
    <t>Diversified Telecommunication Services</t>
  </si>
  <si>
    <t>Entertainment</t>
  </si>
  <si>
    <t>Interactive Media &amp; Services</t>
  </si>
  <si>
    <t>Media</t>
  </si>
  <si>
    <t>Wireless Telecommunication Services</t>
  </si>
  <si>
    <t>Auto Components</t>
  </si>
  <si>
    <t>Automobiles</t>
  </si>
  <si>
    <t>Distributors</t>
  </si>
  <si>
    <t>Diversified Consumer Services</t>
  </si>
  <si>
    <t>Hotels, Restaurants &amp; Leisure</t>
  </si>
  <si>
    <t>Household Durables</t>
  </si>
  <si>
    <t>Internet &amp; Direct Marketing Retail</t>
  </si>
  <si>
    <t>Leisure Products</t>
  </si>
  <si>
    <t>Multiline Retail</t>
  </si>
  <si>
    <t>Specialty Retail</t>
  </si>
  <si>
    <t>Textiles, Apparel, &amp; Luxury Goods</t>
  </si>
  <si>
    <t>Beverages</t>
  </si>
  <si>
    <t>Food Products</t>
  </si>
  <si>
    <t>Household Products</t>
  </si>
  <si>
    <t>Personal Products</t>
  </si>
  <si>
    <t>Tobacco</t>
  </si>
  <si>
    <t>Energy Equipment &amp; Services</t>
  </si>
  <si>
    <t>Oil, Gas, &amp; Consumable Fuels</t>
  </si>
  <si>
    <t>Banks</t>
  </si>
  <si>
    <t>Capital Markets</t>
  </si>
  <si>
    <t>Consumer Finance</t>
  </si>
  <si>
    <t>Diversified Financial Services</t>
  </si>
  <si>
    <t>Insurance</t>
  </si>
  <si>
    <t>Mortgage REITs</t>
  </si>
  <si>
    <t>Thrifts &amp; Mortgage Finance</t>
  </si>
  <si>
    <t>Biotechnology</t>
  </si>
  <si>
    <t>Health Care Equipment &amp; Supplies</t>
  </si>
  <si>
    <t>Health Care Providers &amp; Services</t>
  </si>
  <si>
    <t>Health Care Technology</t>
  </si>
  <si>
    <t>Life Sciences Tools &amp; Services</t>
  </si>
  <si>
    <t>Pharmaceuticals</t>
  </si>
  <si>
    <t>Aerospance &amp; Defense</t>
  </si>
  <si>
    <t>Air Freight &amp; Logistics</t>
  </si>
  <si>
    <t>Airlines</t>
  </si>
  <si>
    <t>Building Products</t>
  </si>
  <si>
    <t>Commercial Services &amp; Supplies</t>
  </si>
  <si>
    <t>Engineering &amp; Construction</t>
  </si>
  <si>
    <t>Electrical Equipment</t>
  </si>
  <si>
    <t>Industrial Conglomerates</t>
  </si>
  <si>
    <t>Machinery</t>
  </si>
  <si>
    <t>Marine</t>
  </si>
  <si>
    <t>Professional Services</t>
  </si>
  <si>
    <t>Road &amp; Rail</t>
  </si>
  <si>
    <t>Trading Companies &amp; Distributors</t>
  </si>
  <si>
    <t>Transportation Infrastructure</t>
  </si>
  <si>
    <t>Chemicals</t>
  </si>
  <si>
    <t>Construction Materials</t>
  </si>
  <si>
    <t>Containers &amp; Packaging</t>
  </si>
  <si>
    <t>Metals &amp; Mining</t>
  </si>
  <si>
    <t>Paper &amp; Forest Products</t>
  </si>
  <si>
    <t>REITs</t>
  </si>
  <si>
    <t>Real Estate Management &amp; Development</t>
  </si>
  <si>
    <t>Communications Equipment</t>
  </si>
  <si>
    <t>Electronic Equipment Instruments &amp; Components</t>
  </si>
  <si>
    <t>IT Services</t>
  </si>
  <si>
    <t>Semiconductors &amp; Semiconductor Equipment</t>
  </si>
  <si>
    <t>Software</t>
  </si>
  <si>
    <t>Technology Hardware, Storage, &amp; Peripherals</t>
  </si>
  <si>
    <t>Electric Utilities</t>
  </si>
  <si>
    <t>Gas Utilities</t>
  </si>
  <si>
    <t>Independent Power &amp; Renewable Electricity Producers</t>
  </si>
  <si>
    <t>Multi-Utilities</t>
  </si>
  <si>
    <t>Water Utilities</t>
  </si>
  <si>
    <t>Sector Filter:</t>
  </si>
  <si>
    <t>ESG:</t>
  </si>
  <si>
    <t>ESG - 1</t>
  </si>
  <si>
    <t>ESG - 2</t>
  </si>
  <si>
    <t>ESG - 3</t>
  </si>
  <si>
    <t>ESG Risk Category:</t>
  </si>
  <si>
    <t>ESG Subsector</t>
  </si>
  <si>
    <t>Alcohol Manufacturing &amp; Wholesale Distribution</t>
  </si>
  <si>
    <t>Animal Testing</t>
  </si>
  <si>
    <t>Apparel Manufacturing</t>
  </si>
  <si>
    <t>Auto Parts Manufacturers</t>
  </si>
  <si>
    <t>Chemical Producers</t>
  </si>
  <si>
    <t>Data Monetization</t>
  </si>
  <si>
    <t>Defense Contractors</t>
  </si>
  <si>
    <t>Energy Services (Equipment/Field Services)</t>
  </si>
  <si>
    <t>Facial Recognition Technology</t>
  </si>
  <si>
    <t>Fast Food/Quick Service Restaurant</t>
  </si>
  <si>
    <t>Fertility Businesses</t>
  </si>
  <si>
    <t>Fuel Retailers</t>
  </si>
  <si>
    <t>Gaming (Operators)</t>
  </si>
  <si>
    <t>Gaming (Tech &amp; Service Providers)</t>
  </si>
  <si>
    <t>Genetic Engineering</t>
  </si>
  <si>
    <t>Healthcare Staffing</t>
  </si>
  <si>
    <t>Hunting &amp; Related Retail Services</t>
  </si>
  <si>
    <t>Paper and Packing Manufacturers</t>
  </si>
  <si>
    <t>Pharmaceutical (Manufacturing)</t>
  </si>
  <si>
    <t>Pharmaceutical (Marketing &amp; Services)</t>
  </si>
  <si>
    <t>Physician Practices &amp; Specialty Healthcare Providers</t>
  </si>
  <si>
    <t>Post-Secondary For-Profit Education</t>
  </si>
  <si>
    <t>Prison Services</t>
  </si>
  <si>
    <t>Waste Management</t>
  </si>
  <si>
    <t>Adult Entertainment</t>
  </si>
  <si>
    <t>Automatic Weapons/Firearm Manufacturing</t>
  </si>
  <si>
    <t>Cannabis/Cannabinoids</t>
  </si>
  <si>
    <t>Fossil Fuel Extraction &amp; Refining</t>
  </si>
  <si>
    <t>Genetically Modified Organism (Gmo) Production</t>
  </si>
  <si>
    <t>Mining, Refining And Smelting</t>
  </si>
  <si>
    <t>Multi-Level Marketing</t>
  </si>
  <si>
    <t>Opioid Manufacturing</t>
  </si>
  <si>
    <t>Radioactive Material Production &amp; Transformation</t>
  </si>
  <si>
    <t>Social Gaming/Microtransactions</t>
  </si>
  <si>
    <t>Tobacco Product Manufacturing &amp; Distribution</t>
  </si>
  <si>
    <t>ESG Subsector Filter:</t>
  </si>
  <si>
    <t>Call Schedule</t>
  </si>
  <si>
    <t>Deferred</t>
  </si>
  <si>
    <t>Fixed Rate Coupon:</t>
  </si>
  <si>
    <t>Total Net Leverage (Inc. HoldCo)</t>
  </si>
  <si>
    <t>Month Ending,</t>
  </si>
  <si>
    <t>Monthly Financials (Pro Forma)</t>
  </si>
  <si>
    <t>Monthly Financials (Budgeted)</t>
  </si>
  <si>
    <t>Other Senior Debt</t>
  </si>
  <si>
    <t>Other OpCo Debt</t>
  </si>
  <si>
    <t>NWC Detail (as Reported)</t>
  </si>
  <si>
    <t>Loan-to-Value</t>
  </si>
  <si>
    <t>Industrial Equipment / Parts Manufacturers</t>
  </si>
  <si>
    <t>Net Income (GAAP)</t>
  </si>
  <si>
    <t>Check</t>
  </si>
  <si>
    <t>RTX</t>
  </si>
  <si>
    <t>LMT</t>
  </si>
  <si>
    <t>BA</t>
  </si>
  <si>
    <t>TDG</t>
  </si>
  <si>
    <t>HWM</t>
  </si>
  <si>
    <t>TXT</t>
  </si>
  <si>
    <t>HEI</t>
  </si>
  <si>
    <t>CW</t>
  </si>
  <si>
    <t>WWD</t>
  </si>
  <si>
    <t>HXL</t>
  </si>
  <si>
    <t>SPR</t>
  </si>
  <si>
    <t>MOG/A</t>
  </si>
  <si>
    <t>BDRBF</t>
  </si>
  <si>
    <t>ERJ</t>
  </si>
  <si>
    <t>%</t>
  </si>
  <si>
    <t>CA EBITDA</t>
  </si>
  <si>
    <t>FCF</t>
  </si>
  <si>
    <t>Capex</t>
  </si>
  <si>
    <t>Pre-Tax Income (Loss)</t>
  </si>
  <si>
    <t>Net Income</t>
  </si>
  <si>
    <t>Senior Debt</t>
  </si>
  <si>
    <t>Depreciation</t>
  </si>
  <si>
    <t>Reported EBITDA (GAAP)</t>
  </si>
  <si>
    <t>Reported EBITDA</t>
  </si>
  <si>
    <t>LBO</t>
  </si>
  <si>
    <t>[Date]</t>
  </si>
  <si>
    <t>[Target]</t>
  </si>
  <si>
    <t>[Buyer]</t>
  </si>
  <si>
    <t>[Company] (Platform)</t>
  </si>
  <si>
    <t>[Add-on]</t>
  </si>
  <si>
    <t>Note: [X]</t>
  </si>
  <si>
    <t>[City, State]</t>
  </si>
  <si>
    <t>[Address]</t>
  </si>
  <si>
    <t>FCCR</t>
  </si>
  <si>
    <t>[Phone]</t>
  </si>
  <si>
    <t>[Company Name]</t>
  </si>
  <si>
    <t>[Description (Material / Technical)]</t>
  </si>
  <si>
    <t>Cash Interest Expense</t>
  </si>
  <si>
    <t>BAABTAVMT0NBTAFI/////wFQdgAAADFDSVEuQkRSQkYuSVFfRElMVVRfRVBTX0VYQ0wuMjAwMC4xMi8zMS8yMDIzLi4uVVNEAQAAAKSbCgACAAAAAzQuNwEIAAAABQAAAAExAQAAAAstMjAxMTM1MDkzNwMAAAADMTYwAgAAAAMxNDIEAAAAATAHAAAACjEyLzMxLzIwMjMIAAAACjEyLzMxLzIwMjMJAAAAATDFOMGuxNfcCHJSy67E19wIL0NJUS5SVFguSVFfRElMVVRfRVBTX0VYQ0wuMjAwMC4xMi8zMS8yMDIzLi4uVVNEAQAAAP5tAgACAAAABDIuMjMBCAAAAAUAAAABMQEAAAALLTIwMTE2NzU4NjQDAAAAAzE2MAIAAAADMTQyBAAAAAEwBwAAAAoxMi8zMS8yMDIzCAAAAAoxMi8zMS8yMDIzCQAAAAEwxTjBrsTX3AiK5MyuxNfcCC9DSVEuSFdNLklRX0RJTFVUX0VQU19FWENMLjIwMDAuMTIvMzEvMjAyMy4uLlVTRAEAAAAKsc8YAgAAAAQxLjgzAQgAAAAFAAAAATEBAAAACy0yMDEwMzM3OTcyAwAAAAMxNjACAAAAAzE0MgQAAAABMAcAAAAKMTIvMzEvMjAyMwgAAAAKMTIvMzEvMjAyMwkAAAABMMU4wa7E19wIS8HMrsTX3AgvQ0lRLlRYVC5JUV9ESUxVVF9FUFNfRVhDTC4yMDAwLjEyLzMxLzIwMjMuLi5VU0QBAAAA54kAAAIAAAAENC41NwEIAAAABQAAAAExAQAAAAstMjAxMDc5MDQ2NgMAAAADMTYwAgAAAAMxNDIEAAAAATAHAAAACjEyLzMxLzIwMjMIAAAACjEyLzMwLzIwMjMJAAAAATDFOMGuxNfcCEvB</t>
  </si>
  <si>
    <t>zK7E19wIL0NJUS5IWEwuSVFfRElMVVRfRVBTX0VYQ0wuMjAwMC4xMi8zMS8yMDIzLi4uVVNEAQAAAPE/BAACAAAABDEuMjQBCAAAAAUAAAABMQEAAAALLTIwMTEzOTc2OTgDAAAAAzE2MAIAAAADMTQyBAAAAAEwBwAAAAoxMi8zMS8yMDIzCAAAAAoxMi8zMS8yMDIzCQAAAAEwxTjBrsTX3AhyUsuuxNfcCC9DSVEuSEVJLklRX0RJTFVUX0VQU19FWENMLjIwMDAuMTIvMzEvMjAyMy4uLlVTRAEAAAB/PgQAAgAAAAQyLjkxAQgAAAAFAAAAATEBAAAACy0yMDE0NTE2MDgyAwAAAAMxNjACAAAAAzE0MgQAAAABMAcAAAAKMTIvMzEvMjAyMwgAAAAKMTAvMzEvMjAyMwkAAAABMMU4wa7E19wIclLLrsTX3AgvQ0lRLlNQUi5JUV9ESUxVVF9FUFNfRVhDTC4yMDAwLjEyLzMxLzIwMjMuLi5VU0QBAAAAax6pAQIAAAAJLTUuNzgwNDg3AQgAAAAFAAAAATEBAAAACy0yMDA5MDgzMzE3AwAAAAMxNjACAAAAAzE0MgQAAAABMAcAAAAKMTIvMzEvMjAyMwgAAAAKMTIvMzEvMjAyMwkAAAABMMU4wa7E19wIclLLrsTX3AgvQ0lRLkVSSi5JUV9ESUxVVF9FUFNfRVhDTC4yMDAwLjEyLzMxLzIwMjMuLi5VU0QBAAAAx24KAAIAAAAIMC4yMTk4MTMBCAAAAAUAAAABMQEAAAALLTIwMDU1NTcxMjMDAAAAAzE2MAIAAAADMTQyBAAAAAEwBwAAAAoxMi8zMS8yMDIzCAAAAAoxMi8zMS8yMDIzCQAAAAEwxTjBrsTX3AhyUsuuxNfcCC5D</t>
  </si>
  <si>
    <t>SVEuQkEuSVFfRElMVVRfRVBTX0VYQ0wuMjAwMC4xMi8zMS8yMDIzLi4uVVNEAQAAAKmoBQACAAAABS0zLjY3AQgAAAAFAAAAATEBAAAACy0yMDEyMDQ5NTA4AwAAAAMxNjACAAAAAzE0MgQAAAABMAcAAAAKMTIvMzEvMjAyMwgAAAAKMTIvMzEvMjAyMwkAAAABMMU4wa7E19wIS8HMrsTX3AgvQ0lRLldXRC5JUV9ESUxVVF9FUFNfRVhDTC4yMDAwLjEyLzMxLzIwMjMuLi5VU0QBAAAAQs0EAAIAAAAINC43NDUzNDUBCAAAAAUAAAABMQEAAAALLTIwMTE4MTI3OTkDAAAAAzE2MAIAAAADMTQyBAAAAAEwBwAAAAoxMi8zMS8yMDIzCAAAAAoxMi8zMS8yMDIzCQAAAAEwxTjBrsTX3AhyUsuuxNfcCC9DSVEuVERHLklRX0RJTFVUX0VQU19FWENMLjIwMDAuMTIvMzEvMjAyMy4uLlVTRAEAAAA051sBAgAAAAkyMy41NTcxMDUBCAAAAAUAAAABMQEAAAALLTIwMTEyNDg3NjQDAAAAAzE2MAIAAAADMTQyBAAAAAEwBwAAAAoxMi8zMS8yMDIzCAAAAAoxMi8zMC8yMDIzCQAAAAEwxTjBrsTX3AhLwcyuxNfcCC5DSVEuQ1cuSVFfRElMVVRfRVBTX0VYQ0wuMjAwMC4xMi8zMS8yMDIzLi4uVVNEAQAAAKoMBAACAAAAAzkuMgEIAAAABQAAAAExAQAAAAstMjAwOTU2MjM0OAMAAAADMTYwAgAAAAMxNDIEAAAAATAHAAAACjEyLzMxLzIwMjMIAAAACjEyLzMxLzIwMjMJAAAAATDFOMGuxNfcCHJSy67E19wIL0NJUS5MTVQuSVFf</t>
  </si>
  <si>
    <t>RElMVVRfRVBTX0VYQ0wuMjAwMC4xMi8zMS8yMDIzLi4uVVNEAQAAAINcBAACAAAABTI3LjU1AQgAAAAFAAAAATEBAAAACy0yMDEyNjg0MjQ2AwAAAAMxNjACAAAAAzE0MgQAAAABMAcAAAAKMTIvMzEvMjAyMwgAAAAKMTIvMzEvMjAyMwkAAAABMMU4wa7E19wIiuTMrsTX3AgxQ0lRLk1PRy9BLklRX0RJTFVUX0VQU19FWENMLjIwMDAuMTIvMzEvMjAyMy4uLlVTRAEAAABUawQAAgAAAAg1LjM4MTM2MgEIAAAABQAAAAExAQAAAAstMjAxMTc1Njg5NAMAAAADMTYwAgAAAAMxNDIEAAAAATAHAAAACjEyLzMxLzIwMjMIAAAACjEyLzMwLzIwMjMJAAAAATDFOMGuxNfcCHJSy67E19wIFENJUS4uSVFfQ09NUEFOWV9OQU1FBQAAAAAAAAAIAAAAFChJbnZhbGlkIElkZW50aWZpZXIpxTjBrsTX3AiK5MyuxNfcCB1DSVEuUlRYLklRX1RFVi4xMi8zMS8yMDIzLlVTRAEAAAD+bQIAAgAAAA0xNTM2OTAuOTQyNDY5AQYAAAAFAAAAATEBAAAACy0yMDIzMTQyNTI0AwAAAAMxNjACAAAABjEwMDA2MAQAAAABMAcAAAAKMTIvMzEvMjAyM8U4wa7E19wIiuTMrsTX3AgdQ0lRLkxNVC5JUV9URVYuMTIvMzEvMjAyMy5VU0QBAAAAg1wEAAIAAAANMTI2Mjg2LjI2MTU4NgEGAAAABQAAAAExAQAAAAstMjAyMzgxOTMxOQMAAAADMTYwAgAAAAYxMDAwNjAEAAAAATAHAAAACjEyLzMxLzIwMjPFOMGuxNfcCJ2Vza7E19wIHENJUS5C</t>
  </si>
  <si>
    <t>QS5JUV9URVYuMTIvMzEvMjAyMy5VU0QBAAAAqagFAAIAAAANMTk2NjA1LjI1MTkwNgEGAAAABQAAAAExAQAAAAstMjAyMjk5NzExNgMAAAADMTYwAgAAAAYxMDAwNjAEAAAAATAHAAAACjEyLzMxLzIwMjPFOMGuxNfcCCXLFK/E19wIHUNJUS5UREcuSVFfVEVWLjEyLzMxLzIwMjMuVVNEAQAAADTnWwECAAAADDcyMjQ0Ljc0NzYwNgEGAAAABQAAAAExAQAAAAstMjAyMDExNDk3MwMAAAADMTYwAgAAAAYxMDAwNjAEAAAAATAHAAAACjEyLzMxLzIwMjPFOMGuxNfcCBW9za7E19wIHUNJUS5IV00uSVFfVEVWLjEyLzMxLzIwMjMuVVNEAQAAAAqxzxgCAAAADDI1ODIzLjYwNDQzOAEGAAAABQAAAAExAQAAAAstMjAyMTQwMDg3NQMAAAADMTYwAgAAAAYxMDAwNjAEAAAAATAHAAAACjEyLzMxLzIwMjPFOMGuxNfcCCnkza7E19wIHUNJUS5UWFQuSVFfVEVWLjEyLzMxLzIwMjMuVVNEAQAAAOeJAAACAAAADDE3OTk0Ljc1ODg1MQEGAAAABQAAAAExAQAAAAstMjAyMjczNjIwNwMAAAADMTYwAgAAAAYxMDAwNjAEAAAAATAHAAAACjEyLzMxLzIwMjPFOMGuxNfcCKoyzq7E19wIHUNJUS5IRUkuSVFfVEVWLjEyLzMxLzIwMjMuVVNEAQAAAH8+BAACAAAADDI0NTMwLjc1MjQ3MgEGAAAABQAAAAExAQAAAAstMjAxNDUxNjA4NAMAAAADMTYwAgAAAAYxMDAwNjAEAAAAATAHAAAACjEyLzMxLzIwMjPFOMGuxNfcCIkLzq7E</t>
  </si>
  <si>
    <t>19wIHENJUS5DVy5JUV9URVYuMTIvMzEvMjAyMy5VU0QBAAAAqgwEAAIAAAALOTUzOC45ODQ5NTgBBgAAAAUAAAABMQEAAAALLTIwMjE0MDA4NDMDAAAAAzE2MAIAAAAGMTAwMDYwBAAAAAEwBwAAAAoxMi8zMS8yMDIzxTjBrsTX3AiqMs6uxNfcCB1DSVEuV1dELklRX1RFVi4xMi8zMS8yMDIzLlVTRAEAAABCzQQAAgAAAAo4Nzg1LjA2MTk4AQYAAAAFAAAAATEBAAAACy0yMDE4MjMzNTM5AwAAAAMxNjACAAAABjEwMDA2MAQAAAABMAcAAAAKMTIvMzEvMjAyM8U4wa7E19wIqjLOrsTX3AgdQ0lRLkhYTC5JUV9URVYuMTIvMzEvMjAyMy5VU0QBAAAA8T8EAAIAAAALNjg1OS43MDc5MzIBBgAAAAUAAAABMQEAAAALLTIwMjMwOTEzNzEDAAAAAzE2MAIAAAAGMTAwMDYwBAAAAAEwBwAAAAoxMi8zMS8yMDIzxTjBrsTX3AiqMs6uxNfcCB1DSVEuU1BSLklRX1RFVi4xMi8zMS8yMDIzLlVTRAEAAABrHqkBAgAAAAs3Mjg1LjM5MDQ4NQEGAAAABQAAAAExAQAAAAstMjAyMTI0Nzk2MAMAAAADMTYwAgAAAAYxMDAwNjAEAAAAATAHAAAACjEyLzMxLzIwMjPFOMGuxNfcCKoyzq7E19wIH0NJUS5NT0cvQS5JUV9URVYuMTIvMzEvMjAyMy5VU0QBAAAAVGsEAAIAAAALNTgyNS4wNTYxMjcBBgAAAAUAAAABMQEAAAALLTIwMTkxODU3MzADAAAAAzE2MAIAAAAGMTAwMDYwBAAAAAEwBwAAAAoxMi8zMS8yMDIzxTjBrsTX3Aiq</t>
  </si>
  <si>
    <t>Ms6uxNfcCB9DSVEuQkRSQkYuSVFfVEVWLjEyLzMxLzIwMjMuVVNEAQAAAKSbCgACAAAAEDkzNjQuMDE1MjM4MjIxMTcBBgAAAAUAAAABMQEAAAALLTIwMjE2NTkzNTkDAAAAAzE2MAIAAAAGMTAwMDYwBAAAAAEwBwAAAAoxMi8zMS8yMDIzxTjBrsTX3AiqMs6uxNfcCB1DSVEuRVJKLklRX1RFVi4xMi8zMS8yMDIzLlVTRAEAAADHbgoAAgAAABA1MDQ5Ljc0NTE4NjY5MTMzAQYAAAAFAAAAATEBAAAACy0yMDIwNDA0NzE1AwAAAAMxNjACAAAABjEwMDA2MAQAAAABMAcAAAAKMTIvMzEvMjAyM8U4wa7E19wISurOrsTX3AgnQ0lRLlJUWC5JUV9MQVNUU0FMRVBSSUNFLjEyLzMxLzIwMjMuVVNEAQAAAP5tAgACAAAABTg0LjE0AMU4wa7E19wIiuTMrsTX3AgnQ0lRLkxNVC5JUV9MQVNUU0FMRVBSSUNFLjEyLzMxLzIwMjMuVVNEAQAAAINcBAACAAAABjQ1My4yNADFOMGuxNfcCIrkzK7E19wIJkNJUS5CQS5JUV9MQVNUU0FMRVBSSUNFLjEyLzMxLzIwMjMuVVNEAQAAAKmoBQACAAAABjI2MC42NgDFOMGuxNfcCEvBzK7E19wIJ0NJUS5UREcuSVFfTEFTVFNBTEVQUklDRS4xMi8zMS8yMDIzLlVTRAEAAAA051sBAgAAAAYxMDExLjYAxTjBrsTX3AhLwcyuxNfcCCdDSVEuSFdNLklRX0xBU1RTQUxFUFJJQ0UuMTIvMzEvMjAyMy5VU0QBAAAACrHPGAIAAAAFNTQuMTIAxTjBrsTX3AhLwcyuxNfcCCdDSVEuVFhULklR</t>
  </si>
  <si>
    <t>X0xBU1RTQUxFUFJJQ0UuMTIvMzEvMjAyMy5VU0QBAAAA54kAAAIAAAAFODAuNDIAxTjBrsTX3AhLwcyuxNfcCCdDSVEuSEVJLklRX0xBU1RTQUxFUFJJQ0UuMTIvMzEvMjAyMy5VU0QBAAAAfz4EAAIAAAAGMTc4Ljg3AMU4wa7E19wIclLLrsTX3AgmQ0lRLkNXLklRX0xBU1RTQUxFUFJJQ0UuMTIvMzEvMjAyMy5VU0QBAAAAqgwEAAIAAAAGMjIyLjc5AMU4wa7E19wIclLLrsTX3AgnQ0lRLldXRC5JUV9MQVNUU0FMRVBSSUNFLjEyLzMxLzIwMjMuVVNEAQAAAELNBAACAAAABjEzNi4xMwDFOMGuxNfcCHJSy67E19wIJ0NJUS5IWEwuSVFfTEFTVFNBTEVQUklDRS4xMi8zMS8yMDIzLlVTRAEAAADxPwQAAgAAAAU3My43NQDFOMGuxNfcCHJSy67E19wIJ0NJUS5TUFIuSVFfTEFTVFNBTEVQUklDRS4xMi8zMS8yMDIzLlVTRAEAAABrHqkBAgAAAAUzMS43OADFOMGuxNfcCHJSy67E19wIKUNJUS5NT0cvQS5JUV9MQVNUU0FMRVBSSUNFLjEyLzMxLzIwMjMuVVNEAQAAAFRrBAADAAAAAADFOMGuxNfcCHJSy67E19wIKUNJUS5CRFJCRi5JUV9MQVNUU0FMRVBSSUNFLjEyLzMxLzIwMjMuVVNEAQAAAKSbCgADAAAAAADFOMGuxNfcCHJSy67E19wIJ0NJUS5FUkouSVFfTEFTVFNBTEVQUklDRS4xMi8zMS8yMDIzLlVTRAEAAADHbgoAAgAAAAUxOC40NQDFOMGuxNfcCHJSy67E19wIGkNJUS4uSVFfVEVWLjEyLzMxLzIw</t>
  </si>
  <si>
    <t>MjMuVVNEBQAAAAEAAAAIAAAAFChJbnZhbGlkIElkZW50aWZpZXIpNS0Nr8TX3Ag1LQ2vxNfcCCBDSVEuLklRX01BUktFVENBUC4xMi8zMS8yMDIzLlVTRAUAAAABAAAACAAAABQoSW52YWxpZCBJZGVudGlmaWVyKTUtDa/E19wINS0Nr8TX3AgnQ0lRLi5JUV9UT1RBTF9SRVYuMjAwMC4xMi8zMS8yMDIzLi4uVVNEBQAAAAEAAAAIAAAAFChJbnZhbGlkIElkZW50aWZpZXIpNS0Nr8TX3Ag1LQ2vxNfcCCRDSVEuLklRX0VCSVREQS4yMDAwLjEyLzMxLzIwMjMuLi5VU0QFAAAAAQAAAAgAAAAUKEludmFsaWQgSWRlbnRpZmllcik1LQ2vxNfcCDUtDa/E19wILkNJUS4uSVFfVE9UQUxfUkVWXzVZUl9BTk5fQ0FHUi4yMDAwLjEyLzMxLzIwMjMFAAAAAQAAAAgAAAAUKEludmFsaWQgSWRlbnRpZmllcik1LQ2vxNfcCDUtDa/E19wIFkNJUS5CQS5JUV9DT01QQU5ZX05BTUUBAAAAqagFAAMAAAASVGhlIEJvZWluZyBDb21wYW55ADUtDa/E19wIJcsUr8TX3AgXQ0lRLlJUWC5JUV9DT01QQU5ZX05BTUUBAAAA/m0CAAMAAAAPUlRYIENvcnBvcmF0aW9uADUtDa/E19wIJcsUr8TX3AgXQ0lRLkxNVC5JUV9DT01QQU5ZX05BTUUBAAAAg1wEAAMAAAAbTG9ja2hlZWQgTWFydGluIENvcnBvcmF0aW9uADUtDa/E19wIJcsUr8TX3AgXQ0lRLlRERy5JUV9DT01QQU5ZX05BTUUBAAAANOdbAQMAAAAcVHJhbnNEaWdtIEdyb3Vw</t>
  </si>
  <si>
    <t>IEluY29ycG9yYXRlZAA1LQ2vxNfcCCXLFK/E19wIF0NJUS5IV00uSVFfQ09NUEFOWV9OQU1FAQAAAAqxzxgDAAAAFUhvd21ldCBBZXJvc3BhY2UgSW5jLgA1LQ2vxNfcCCXLFK/E19wIF0NJUS5IRUkuSVFfQ09NUEFOWV9OQU1FAQAAAH8+BAADAAAAEUhFSUNPIENvcnBvcmF0aW9uADUtDa/E19wI0scUr8TX3AgXQ0lRLlRYVC5JUV9DT01QQU5ZX05BTUUBAAAA54kAAAMAAAAMVGV4dHJvbiBJbmMuADUtDa/E19wI3rAUr8TX3AgWQ0lRLkNXLklRX0NPTVBBTllfTkFNRQEAAACqDAQAAwAAABpDdXJ0aXNzLVdyaWdodCBDb3Jwb3JhdGlvbgA1LQ2vxNfcCN6wFK/E19wIGUNJUS5CRFJCRi5JUV9DT01QQU5ZX05BTUUBAAAApJsKAAMAAAAPQm9tYmFyZGllciBJbmMuADUtDa/E19wI3rAUr8TX3AgXQ0lRLldXRC5JUV9DT01QQU5ZX05BTUUBAAAAQs0EAAMAAAAOV29vZHdhcmQsIEluYy4ANS0Nr8TX3AjesBSvxNfcCBdDSVEuU1BSLklRX0NPTVBBTllfTkFNRQEAAABrHqkBAwAAACFTcGlyaXQgQWVyb1N5c3RlbXMgSG9sZGluZ3MsIEluYy4ANS0Nr8TX3AjesBSvxNfcCBdDSVEuSFhMLklRX0NPTVBBTllfTkFNRQEAAADxPwQAAwAAABJIZXhjZWwgQ29ycG9yYXRpb24ANS0Nr8TX3AjesBSvxNfcCBlDSVEuTU9HL0EuSVFfQ09NUEFOWV9OQU1FAQAAAFRrBAADAAAACU1vb2cgSW5jLgA1LQ2vxNfcCN6wFK/E</t>
  </si>
  <si>
    <t>19wIF0NJUS5FUkouSVFfQ09NUEFOWV9OQU1FAQAAAMduCgADAAAADEVtYnJhZXIgUy5BLgA1LQ2vxNfcCE6JFK/E19wIMENJUS5CQS5JUV9UT1RBTF9SRVZfNVlSX0FOTl9DQUdSLjIwMDAuMTIvMzEvMjAyMwEAAACpqAUAAgAAAAYtNS4xMTEBCAAAAAUAAAABMQEAAAALLTIwMTIwNDk1MDgDAAAAAzE2MAIAAAAENDIzMwQAAAABMAcAAAAKMTIvMzEvMjAyMwgAAAAKMTIvMzEvMjAyMwkAAAABMDUtDa/E19wIJcsUr8TX3AgmQ0lRLkJBLklRX0VCSVREQS4yMDAwLjEyLzMxLzIwMjMuLi5VU0QBAAAAqagFAAIAAAAEMzE1NAEIAAAABQAAAAExAQAAAAstMjAxMjA0OTUwOAMAAAADMTYwAgAAAAQ0MDUxBAAAAAEwBwAAAAoxMi8zMS8yMDIzCAAAAAoxMi8zMS8yMDIzCQAAAAEwNS0Nr8TX3AglyxSvxNfcCClDSVEuQkEuSVFfVE9UQUxfUkVWLjIwMDAuMTIvMzEvMjAyMy4uLlVTRAEAAACpqAUAAgAAAAU3Nzc5NAEIAAAABQAAAAExAQAAAAstMjAxMjA0OTUwOAMAAAADMTYwAgAAAAIyOAQAAAABMAcAAAAKMTIvMzEvMjAyMwgAAAAKMTIvMzEvMjAyMwkAAAABMDUtDa/E19wIJcsUr8TX3AgqQ0lRLlJUWC5JUV9UT1RBTF9SRVYuMjAwMC4xMi8zMS8yMDIzLi4uVVNEAQAAAP5tAgACAAAABTY4OTIwAQgAAAAFAAAAATEBAAAACy0yMDExNjc1ODY0AwAAAAMxNjACAAAAAjI4BAAAAAEwBwAAAAoxMi8zMS8yMDIz</t>
  </si>
  <si>
    <t>CAAAAAoxMi8zMS8yMDIzCQAAAAEwNS0Nr8TX3AglyxSvxNfcCCdDSVEuUlRYLklRX0VCSVREQS4yMDAwLjEyLzMxLzIwMjMuLi5VU0QBAAAA/m0CAAIAAAAEOTYxMQEIAAAABQAAAAExAQAAAAstMjAxMTY3NTg2NAMAAAADMTYwAgAAAAQ0MDUxBAAAAAEwBwAAAAoxMi8zMS8yMDIzCAAAAAoxMi8zMS8yMDIzCQAAAAEwNS0Nr8TX3AglyxSvxNfcCDFDSVEuUlRYLklRX1RPVEFMX1JFVl81WVJfQU5OX0NBR1IuMjAwMC4xMi8zMS8yMDIzAQAAAP5tAgACAAAABzE0LjcwOTgBCAAAAAUAAAABMQEAAAALLTIwMTE2NzU4NjQDAAAAAzE2MAIAAAAENDIzMwQAAAABMAcAAAAKMTIvMzEvMjAyMwgAAAAKMTIvMzEvMjAyMwkAAAABMDUtDa/E19wIJcsUr8TX3AgqQ0lRLkxNVC5JUV9UT1RBTF9SRVYuMjAwMC4xMi8zMS8yMDIzLi4uVVNEAQAAAINcBAACAAAABTY3NTcxAQgAAAAFAAAAATEBAAAACy0yMDEyNjg0MjQ2AwAAAAMxNjACAAAAAjI4BAAAAAEwBwAAAAoxMi8zMS8yMDIzCAAAAAoxMi8zMS8yMDIzCQAAAAEwNS0Nr8TX3AglyxSvxNfcCCdDSVEuTE1ULklRX0VCSVREQS4yMDAwLjEyLzMxLzIwMjMuLi5VU0QBAAAAg1wEAAIAAAAFMTAyMjUBCAAAAAUAAAABMQEAAAALLTIwMTI2ODQyNDYDAAAAAzE2MAIAAAAENDA1MQQAAAABMAcAAAAKMTIvMzEvMjAyMwgAAAAKMTIvMzEvMjAyMwkAAAABMDUtDa/E19wI</t>
  </si>
  <si>
    <t>JcsUr8TX3AgxQ0lRLkxNVC5JUV9UT1RBTF9SRVZfNVlSX0FOTl9DQUdSLjIwMDAuMTIvMzEvMjAyMwEAAACDXAQAAgAAAAY0LjY3ODQBCAAAAAUAAAABMQEAAAALLTIwMTI2ODQyNDYDAAAAAzE2MAIAAAAENDIzMwQAAAABMAcAAAAKMTIvMzEvMjAyMwgAAAAKMTIvMzEvMjAyMwkAAAABMDUtDa/E19wIJcsUr8TX3AgqQ0lRLlRERy5JUV9UT1RBTF9SRVYuMjAwMC4xMi8zMS8yMDIzLi4uVVNEAQAAADTnWwECAAAABDY5NzcBCAAAAAUAAAABMQEAAAALLTIwMTEyNDg3NjQDAAAAAzE2MAIAAAACMjgEAAAAATAHAAAACjEyLzMxLzIwMjMIAAAACjEyLzMwLzIwMjMJAAAAATA1LQ2vxNfcCCXLFK/E19wIJ0NJUS5UREcuSVFfRUJJVERBLjIwMDAuMTIvMzEvMjAyMy4uLlVTRAEAAAA051sBAgAAAAQzNDE2AQgAAAAFAAAAATEBAAAACy0yMDExMjQ4NzY0AwAAAAMxNjACAAAABDQwNTEEAAAAATAHAAAACjEyLzMxLzIwMjMIAAAACjEyLzMwLzIwMjMJAAAAATA1LQ2vxNfcCCXLFK/E19wIMUNJUS5UREcuSVFfVE9UQUxfUkVWXzVZUl9BTk5fQ0FHUi4yMDAwLjEyLzMxLzIwMjMBAAAANOdbAQIAAAAHMTIuMDE1NwEIAAAABQAAAAExAQAAAAstMjAxMTI0ODc2NAMAAAADMTYwAgAAAAQ0MjMzBAAAAAEwBwAAAAoxMi8zMS8yMDIzCAAAAAoxMi8zMC8yMDIzCQAAAAEwNS0Nr8TX3AglyxSvxNfcCCpDSVEuSFdNLklR</t>
  </si>
  <si>
    <t>X1RPVEFMX1JFVi4yMDAwLjEyLzMxLzIwMjMuLi5VU0QBAAAACrHPGAIAAAAENjY0MAEIAAAABQAAAAExAQAAAAstMjAxMDMzNzk3MgMAAAADMTYwAgAAAAIyOAQAAAABMAcAAAAKMTIvMzEvMjAyMwgAAAAKMTIvMzEvMjAyMwkAAAABMDUtDa/E19wI0scUr8TX3AgnQ0lRLkhXTS5JUV9FQklUREEuMjAwMC4xMi8zMS8yMDIzLi4uVVNEAQAAAAqxzxgCAAAABDE0NTcBCAAAAAUAAAABMQEAAAALLTIwMTAzMzc5NzIDAAAAAzE2MAIAAAAENDA1MQQAAAABMAcAAAAKMTIvMzEvMjAyMwgAAAAKMTIvMzEvMjAyMwkAAAABMDUtDa/E19wI0scUr8TX3AgxQ0lRLkhXTS5JUV9UT1RBTF9SRVZfNVlSX0FOTl9DQUdSLjIwMDAuMTIvMzEvMjAyMwEAAAAKsc8YAgAAAActMC40MTA2AQgAAAAFAAAAATEBAAAACy0yMDEwMzM3OTcyAwAAAAMxNjACAAAABDQyMzMEAAAAATAHAAAACjEyLzMxLzIwMjMIAAAACjEyLzMxLzIwMjMJAAAAATA1LQ2vxNfcCNLHFK/E19wIKkNJUS5IRUkuSVFfVE9UQUxfUkVWLjIwMDAuMTIvMzEvMjAyMy4uLlVTRAEAAAB/PgQAAgAAAAgyOTY4LjEwNQEIAAAABQAAAAExAQAAAAstMjAxNDUxNjA4MgMAAAADMTYwAgAAAAIyOAQAAAABMAcAAAAKMTIvMzEvMjAyMwgAAAAKMTAvMzEvMjAyMwkAAAABMDUtDa/E19wI0scUr8TX3AgnQ0lRLkhFSS5JUV9FQklUREEuMjAwMC4xMi8zMS8yMDIzLi4u</t>
  </si>
  <si>
    <t>VVNEAQAAAH8+BAACAAAABzc2Ny4yMzkBCAAAAAUAAAABMQEAAAALLTIwMTQ1MTYwODIDAAAAAzE2MAIAAAAENDA1MQQAAAABMAcAAAAKMTIvMzEvMjAyMwgAAAAKMTAvMzEvMjAyMwkAAAABMDUtDa/E19wI3rAUr8TX3AgxQ0lRLkhFSS5JUV9UT1RBTF9SRVZfNVlSX0FOTl9DQUdSLjIwMDAuMTIvMzEvMjAyMwEAAAB/PgQAAgAAAAcxMC43OTU4AQgAAAAFAAAAATEBAAAACy0yMDE0NTE2MDgyAwAAAAMxNjACAAAABDQyMzMEAAAAATAHAAAACjEyLzMxLzIwMjMIAAAACjEwLzMxLzIwMjMJAAAAATA1LQ2vxNfcCN6wFK/E19wIKkNJUS5UWFQuSVFfVE9UQUxfUkVWLjIwMDAuMTIvMzEvMjAyMy4uLlVTRAEAAADniQAAAgAAAAUxMzY4MwEIAAAABQAAAAExAQAAAAstMjAxMDc5MDQ2NgMAAAADMTYwAgAAAAIyOAQAAAABMAcAAAAKMTIvMzEvMjAyMwgAAAAKMTIvMzAvMjAyMwkAAAABMDUtDa/E19wI3rAUr8TX3AgnQ0lRLlRYVC5JUV9FQklUREEuMjAwMC4xMi8zMS8yMDIzLi4uVVNEAQAAAOeJAAACAAAABDE2NzABCAAAAAUAAAABMQEAAAALLTIwMTA3OTA0NjYDAAAAAzE2MAIAAAAENDA1MQQAAAABMAcAAAAKMTIvMzEvMjAyMwgAAAAKMTIvMzAvMjAyMwkAAAABMDUtDa/E19wI3rAUr8TX3AgxQ0lRLlRYVC5JUV9UT1RBTF9SRVZfNVlSX0FOTl9DQUdSLjIwMDAuMTIvMzEvMjAyMwEAAADniQAAAgAAAAct</t>
  </si>
  <si>
    <t>MC40MTcyAQgAAAAFAAAAATEBAAAACy0yMDEwNzkwNDY2AwAAAAMxNjACAAAABDQyMzMEAAAAATAHAAAACjEyLzMxLzIwMjMIAAAACjEyLzMwLzIwMjMJAAAAATA1LQ2vxNfcCN6wFK/E19wIKUNJUS5DVy5JUV9UT1RBTF9SRVYuMjAwMC4xMi8zMS8yMDIzLi4uVVNEAQAAAKoMBAACAAAACDI4NDUuMzczAQgAAAAFAAAAATEBAAAACy0yMDA5NTYyMzQ4AwAAAAMxNjACAAAAAjI4BAAAAAEwBwAAAAoxMi8zMS8yMDIzCAAAAAoxMi8zMS8yMDIzCQAAAAEwNS0Nr8TX3AjesBSvxNfcCCZDSVEuQ1cuSVFfRUJJVERBLjIwMDAuMTIvMzEvMjAyMy4uLlVTRAEAAACqDAQAAgAAAAc2MjkuNjY5AQgAAAAFAAAAATEBAAAACy0yMDA5NTYyMzQ4AwAAAAMxNjACAAAABDQwNTEEAAAAATAHAAAACjEyLzMxLzIwMjMIAAAACjEyLzMxLzIwMjMJAAAAATA1LQ2vxNfcCN6wFK/E19wIMENJUS5DVy5JUV9UT1RBTF9SRVZfNVlSX0FOTl9DQUdSLjIwMDAuMTIvMzEvMjAyMwEAAACqDAQAAgAAAAYzLjM2MTQBCAAAAAUAAAABMQEAAAALLTIwMDk1NjIzNDgDAAAAAzE2MAIAAAAENDIzMwQAAAABMAcAAAAKMTIvMzEvMjAyMwgAAAAKMTIvMzEvMjAyMwkAAAABMDUtDa/E19wI3rAUr8TX3AgsQ0lRLkJEUkJGLklRX1RPVEFMX1JFVi4yMDAwLjEyLzMxLzIwMjMuLi5VU0QBAAAApJsKAAIAAAAEODA0NgEIAAAABQAAAAExAQAAAAst</t>
  </si>
  <si>
    <t>MjAxMTM1MDkzNwMAAAADMTYwAgAAAAIyOAQAAAABMAcAAAAKMTIvMzEvMjAyMwgAAAAKMTIvMzEvMjAyMwkAAAABMDUtDa/E19wI3rAUr8TX3AgpQ0lRLkJEUkJGLklRX0VCSVREQS4yMDAwLjEyLzMxLzIwMjMuLi5VU0QBAAAApJsKAAIAAAADOTMzAQgAAAAFAAAAATEBAAAACy0yMDExMzUwOTM3AwAAAAMxNjACAAAABDQwNTEEAAAAATAHAAAACjEyLzMxLzIwMjMIAAAACjEyLzMxLzIwMjMJAAAAATA1LQ2vxNfcCN6wFK/E19wIM0NJUS5CRFJCRi5JUV9UT1RBTF9SRVZfNVlSX0FOTl9DQUdSLjIwMDAuMTIvMzEvMjAyMwEAAACkmwoAAgAAAAgtMTMuMDk5OQEIAAAABQAAAAExAQAAAAstMjAxMTM1MDkzNwMAAAADMTYwAgAAAAQ0MjMzBAAAAAEwBwAAAAoxMi8zMS8yMDIzCAAAAAoxMi8zMS8yMDIzCQAAAAEwNS0Nr8TX3AjesBSvxNfcCCpDSVEuV1dELklRX1RPVEFMX1JFVi4yMDAwLjEyLzMxLzIwMjMuLi5VU0QBAAAAQs0EAAIAAAAIMzA4Mi42NzcBCAAAAAUAAAABMQEAAAALLTIwMTE4MTI3OTkDAAAAAzE2MAIAAAACMjgEAAAAATAHAAAACjEyLzMxLzIwMjMIAAAACjEyLzMxLzIwMjMJAAAAATA1LQ2vxNfcCN6wFK/E19wIJ0NJUS5XV0QuSVFfRUJJVERBLjIwMDAuMTIvMzEvMjAyMy4uLlVTRAEAAABCzQQAAgAAAAc0ODkuMTk4AQgAAAAFAAAAATEBAAAACy0yMDExODEyNzk5AwAAAAMxNjACAAAA</t>
  </si>
  <si>
    <t>BDQwNTEEAAAAATAHAAAACjEyLzMxLzIwMjMIAAAACjEyLzMxLzIwMjMJAAAAATA1LQ2vxNfcCN6wFK/E19wIMUNJUS5XV0QuSVFfVE9UQUxfUkVWXzVZUl9BTk5fQ0FHUi4yMDAwLjEyLzMxLzIwMjMBAAAAQs0EAAIAAAAGNC4yMDgxAQgAAAAFAAAAATEBAAAACy0yMDExODEyNzk5AwAAAAMxNjACAAAABDQyMzMEAAAAATAHAAAACjEyLzMxLzIwMjMIAAAACjEyLzMxLzIwMjMJAAAAATA1LQ2vxNfcCN6wFK/E19wIKkNJUS5TUFIuSVFfVE9UQUxfUkVWLjIwMDAuMTIvMzEvMjAyMy4uLlVTRAEAAABrHqkBAgAAAAY2MDQ3LjkBCAAAAAUAAAABMQEAAAALLTIwMDkwODMzMTcDAAAAAzE2MAIAAAACMjgEAAAAATAHAAAACjEyLzMxLzIwMjMIAAAACjEyLzMxLzIwMjMJAAAAATA1LQ2vxNfcCN6wFK/E19wIJ0NJUS5TUFIuSVFfRUJJVERBLjIwMDAuMTIvMzEvMjAyMy4uLlVTRAEAAABrHqkBAgAAAAQ4NC43AQgAAAAFAAAAATEBAAAACy0yMDA5MDgzMzE3AwAAAAMxNjACAAAABDQwNTEEAAAAATAHAAAACjEyLzMxLzIwMjMIAAAACjEyLzMxLzIwMjMJAAAAATA1LQ2vxNfcCN6wFK/E19wIMUNJUS5TUFIuSVFfVE9UQUxfUkVWXzVZUl9BTk5fQ0FHUi4yMDAwLjEyLzMxLzIwMjMBAAAAax6pAQIAAAAHLTMuNDg2MgEIAAAABQAAAAExAQAAAAstMjAwOTA4MzMxNwMAAAADMTYwAgAAAAQ0MjMzBAAAAAEwBwAAAAox</t>
  </si>
  <si>
    <t>Mi8zMS8yMDIzCAAAAAoxMi8zMS8yMDIzCQAAAAEwNS0Nr8TX3AjesBSvxNfcCCpDSVEuSFhMLklRX1RPVEFMX1JFVi4yMDAwLjEyLzMxLzIwMjMuLi5VU0QBAAAA8T8EAAIAAAAEMTc4OQEIAAAABQAAAAExAQAAAAstMjAxMTM5NzY5OAMAAAADMTYwAgAAAAIyOAQAAAABMAcAAAAKMTIvMzEvMjAyMwgAAAAKMTIvMzEvMjAyMwkAAAABMDUtDa/E19wI3rAUr8TX3AgnQ0lRLkhYTC5JUV9FQklUREEuMjAwMC4xMi8zMS8yMDIzLi4uVVNEAQAAAPE/BAACAAAABTM0MC4xAQgAAAAFAAAAATEBAAAACy0yMDExMzk3Njk4AwAAAAMxNjACAAAABDQwNTEEAAAAATAHAAAACjEyLzMxLzIwMjMIAAAACjEyLzMxLzIwMjMJAAAAATA1LQ2vxNfcCN6wFK/E19wIMUNJUS5IWEwuSVFfVE9UQUxfUkVWXzVZUl9BTk5fQ0FHUi4yMDAwLjEyLzMxLzIwMjMBAAAA8T8EAAIAAAAHLTMuOTU2MwEIAAAABQAAAAExAQAAAAstMjAxMTM5NzY5OAMAAAADMTYwAgAAAAQ0MjMzBAAAAAEwBwAAAAoxMi8zMS8yMDIzCAAAAAoxMi8zMS8yMDIzCQAAAAEwNS0Nr8TX3AjesBSvxNfcCCxDSVEuTU9HL0EuSVFfVE9UQUxfUkVWLjIwMDAuMTIvMzEvMjAyMy4uLlVTRAEAAABUawQAAgAAAAgzNDE1Ljg2OQEIAAAABQAAAAExAQAAAAstMjAxMTc1Njg5NAMAAAADMTYwAgAAAAIyOAQAAAABMAcAAAAKMTIvMzEvMjAyMwgAAAAKMTIvMzAvMjAy</t>
  </si>
  <si>
    <t>MwkAAAABMDUtDa/E19wI3rAUr8TX3AgpQ0lRLk1PRy9BLklRX0VCSVREQS4yMDAwLjEyLzMxLzIwMjMuLi5VU0QBAAAAVGsEAAIAAAAHNDIxLjg3OAEIAAAABQAAAAExAQAAAAstMjAxMTc1Njg5NAMAAAADMTYwAgAAAAQ0MDUxBAAAAAEwBwAAAAoxMi8zMS8yMDIzCAAAAAoxMi8zMC8yMDIzCQAAAAEwNS0Nr8TX3AjesBSvxNfcCDNDSVEuTU9HL0EuSVFfVE9UQUxfUkVWXzVZUl9BTk5fQ0FHUi4yMDAwLjEyLzMxLzIwMjMBAAAAVGsEAAIAAAAGNC4zNDQxAQgAAAAFAAAAATEBAAAACy0yMDExNzU2ODk0AwAAAAMxNjACAAAABDQyMzMEAAAAATAHAAAACjEyLzMxLzIwMjMIAAAACjEyLzMwLzIwMjMJAAAAATA1LQ2vxNfcCE6JFK/E19wIKkNJUS5FUkouSVFfVE9UQUxfUkVWLjIwMDAuMTIvMzEvMjAyMy4uLlVTRAEAAADHbgoAAgAAAAs1MzgxLjA1OTkxOQEIAAAABQAAAAExAQAAAAstMjAwNTU1NzEyMwMAAAADMTYwAgAAAAIyOAQAAAABMAcAAAAKMTIvMzEvMjAyMwgAAAAKMTIvMzEvMjAyMwkAAAABMDUtDa/E19wITokUr8TX3AgnQ0lRLkVSSi5JUV9FQklUREEuMjAwMC4xMi8zMS8yMDIzLi4uVVNEAQAAAMduCgACAAAACjQxMC41NTcwNTYBCAAAAAUAAAABMQEAAAALLTIwMDU1NTcxMjMDAAAAAzE2MAIAAAAENDA1MQQAAAABMAcAAAAKMTIvMzEvMjAyMwgAAAAKMTIvMzEvMjAyMwkAAAABMDUtDa/E</t>
  </si>
  <si>
    <t>19wITokUr8TX3AgxQ0lRLkVSSi5JUV9UT1RBTF9SRVZfNVlSX0FOTl9DQUdSLjIwMDAuMTIvMzEvMjAyMwEAAADHbgoAAgAAAAcyNy4wNDg0AQgAAAAFAAAAATEBAAAACy0yMDA1NTU3MTIzAwAAAAIyMQIAAAAENDIzMwQAAAABMAcAAAAKMTIvMzEvMjAyMwgAAAAKMTIvMzEvMjAyMwkAAAABMDUtDa/E19wITokUr8TX3AgiQ0lRLkJBLklRX01BUktFVENBUC4xMi8zMS8yMDIzLlVTRAEAAACpqAUAAgAAAA0xNTc2OTMuMjUxOTA2AQYAAAAFAAAAATEBAAAACy0yMDIyOTk3MTE2AwAAAAMxNjACAAAABjEwMDA1NAQAAAABMAcAAAAKMTIvMzEvMjAyMzUtDa/E19wIJcsUr8TX3AgjQ0lRLlJUWC5JUV9NQVJLRVRDQVAuMTIvMzEvMjAyMy5VU0QBAAAA/m0CAAIAAAAMMTIwNzEzLjk0MjQ3AQYAAAAFAAAAATEBAAAACy0yMDIzMTQyNTI0AwAAAAMxNjACAAAABjEwMDA1NAQAAAABMAcAAAAKMTIvMzEvMjAyMzUtDa/E19wIJcsUr8TX3AgjQ0lRLkxNVC5JUV9NQVJLRVRDQVAuMTIvMzEvMjAyMy5VU0QBAAAAg1wEAAIAAAANMTEyNDQ4LjI2MTU4NwEGAAAABQAAAAExAQAAAAstMjAyMzgxOTMxOQMAAAADMTYwAgAAAAYxMDAwNTQEAAAAATAHAAAACjEyLzMxLzIwMjM1LQ2vxNfcCCXLFK/E19wII0NJUS5UREcuSVFfTUFSS0VUQ0FQLjEyLzMxLzIwMjMuVVNEAQAAADTnWwECAAAADDU1OTU1Ljc0NzYwNgEGAAAA</t>
  </si>
  <si>
    <t>BQAAAAExAQAAAAstMjAyMDExNDk3MwMAAAADMTYwAgAAAAYxMDAwNTQEAAAAATAHAAAACjEyLzMxLzIwMjM1LQ2vxNfcCCXLFK/E19wII0NJUS5IV00uSVFfTUFSS0VUQ0FQLjEyLzMxLzIwMjMuVVNEAQAAAAqxzxgCAAAADDIyMjgzLjYwNDQzOAEGAAAABQAAAAExAQAAAAstMjAyMTQwMDg3NQMAAAADMTYwAgAAAAYxMDAwNTQEAAAAATAHAAAACjEyLzMxLzIwMjM1LQ2vxNfcCCXLFK/E19wII0NJUS5IRUkuSVFfTUFSS0VUQ0FQLjEyLzMxLzIwMjMuVVNEAQAAAH8+BAACAAAADDIxNjg2LjQ5NzQ3MwEGAAAABQAAAAExAQAAAAstMjAxNDUxNjA4NAMAAAADMTYwAgAAAAYxMDAwNTQEAAAAATAHAAAACjEyLzMxLzIwMjM1LQ2vxNfcCN6wFK/E19wII0NJUS5UWFQuSVFfTUFSS0VUQ0FQLjEyLzMxLzIwMjMuVVNEAQAAAOeJAAACAAAADDE1NzYyLjc1ODg1MgEGAAAABQAAAAExAQAAAAstMjAyMjczNjIwNwMAAAADMTYwAgAAAAYxMDAwNTQEAAAAATAHAAAACjEyLzMxLzIwMjM1LQ2vxNfcCN6wFK/E19wIIkNJUS5DVy5JUV9NQVJLRVRDQVAuMTIvMzEvMjAyMy5VU0QBAAAAqgwEAAIAAAALODUxOS43NjA5NTgBBgAAAAUAAAABMQEAAAALLTIwMjE0MDA4NDMDAAAAAzE2MAIAAAAGMTAwMDU0BAAAAAEwBwAAAAoxMi8zMS8yMDIzNS0Nr8TX3AjesBSvxNfcCCVDSVEuQkRSQkYuSVFfTUFSS0VUQ0FQLjEyLzMx</t>
  </si>
  <si>
    <t>LzIwMjMuVVNEAQAAAKSbCgACAAAAEDM4NjEuMzU4OTI5NjQ2MTEBBgAAAAUAAAABMQEAAAALLTIwMjE2NTkzNTkDAAAAAzE2MAIAAAAGMTAwMDU0BAAAAAEwBwAAAAoxMi8zMS8yMDIzNS0Nr8TX3AjesBSvxNfcCCNDSVEuV1dELklRX01BUktFVENBUC4xMi8zMS8yMDIzLlVTRAEAAABCzQQAAgAAAAo4MTc1LjcwMzk4AQYAAAAFAAAAATEBAAAACy0yMDE4MjMzNTM5AwAAAAMxNjACAAAABjEwMDA1NAQAAAABMAcAAAAKMTIvMzEvMjAyMzUtDa/E19wI3rAUr8TX3AgjQ0lRLlNQUi5JUV9NQVJLRVRDQVAuMTIvMzEvMjAyMy5VU0QBAAAAax6pAQIAAAALMzY4Ny4yOTA0ODUBBgAAAAUAAAABMQEAAAALLTIwMjEyNDc5NjADAAAAAzE2MAIAAAAGMTAwMDU0BAAAAAEwBwAAAAoxMi8zMS8yMDIzNS0Nr8TX3AjesBSvxNfcCCNDSVEuSFhMLklRX01BUktFVENBUC4xMi8zMS8yMDIzLlVTRAEAAADxPwQAAgAAAAs2MjAzLjIwNzkzMwEGAAAABQAAAAExAQAAAAstMjAyMzA5MTM3MQMAAAADMTYwAgAAAAYxMDAwNTQEAAAAATAHAAAACjEyLzMxLzIwMjM1LQ2vxNfcCN6wFK/E19wIJUNJUS5NT0cvQS5JUV9NQVJLRVRDQVAuMTIvMzEvMjAyMy5VU0QBAAAAVGsEAAIAAAALNDg4Ni4zOTYxMjgBBgAAAAUAAAABMQEAAAALLTIwMTkxODU3MzADAAAAAzE2MAIAAAAGMTAwMDU0BAAAAAEwBwAAAAoxMi8zMS8yMDIzNS0N</t>
  </si>
  <si>
    <t>r8TX3AjesBSvxNfcCCNDSVEuRVJKLklRX01BUktFVENBUC4xMi8zMS8yMDIzLlVTRAEAAADHbgoAAgAAABAzMzg5LjgyMTAyNDA3NTU4AQYAAAAFAAAAATEBAAAACy0yMDIwNDA0NzE1AwAAAAMxNjACAAAABjEwMDA1NAQAAAABMAcAAAAKMTIvMzEvMjAyMzUtDa/E19wITokUr8TX3Ag=</t>
  </si>
  <si>
    <t>Agent of the facility is [Agent]. Overland's role is [Agent, JLA, Participant]. [Provide any other noteworthy information about this security (e.g. if it is a priority revolver, deferred fee dynamics, pricing grid color on ABR and if any ability to PIK, ECF &amp; step-downs, if unfunded any UoP requirements, prepayment carve-outs, etc.]</t>
  </si>
  <si>
    <t>OL Investment Dashboard</t>
  </si>
  <si>
    <t>OL Cap Markets:</t>
  </si>
  <si>
    <t>OL Counsel</t>
  </si>
  <si>
    <t>OL Coverage:</t>
  </si>
  <si>
    <t>OL Counsel Contact:</t>
  </si>
  <si>
    <t>OL Role:</t>
  </si>
  <si>
    <t>OL Counsel Email:</t>
  </si>
  <si>
    <t>OL Maturity Date:</t>
  </si>
  <si>
    <t>OL Fees</t>
  </si>
  <si>
    <t>OL Valuation</t>
  </si>
  <si>
    <t>OL Amendment History</t>
  </si>
  <si>
    <t>OL Commitment:</t>
  </si>
  <si>
    <t>OL Final Hold:</t>
  </si>
  <si>
    <t>OL Blocker:</t>
  </si>
  <si>
    <t>OL Common Shares:</t>
  </si>
  <si>
    <t>Food &amp; Staple Retailing</t>
  </si>
  <si>
    <t>Trade Ticket</t>
  </si>
  <si>
    <t>OL Commitments</t>
  </si>
  <si>
    <t>Global Commitments</t>
  </si>
  <si>
    <t>OL U/W:</t>
  </si>
  <si>
    <t>WF Origination:</t>
  </si>
  <si>
    <t>WF Sourced (Y/N):</t>
  </si>
  <si>
    <t>[Yes/No]</t>
  </si>
  <si>
    <t>[Wells Fargo]</t>
  </si>
  <si>
    <t>[Lead Arranger / Bookrunner]</t>
  </si>
  <si>
    <t>Q3'25</t>
  </si>
  <si>
    <t>Owner:</t>
  </si>
  <si>
    <t>Owner Fund:</t>
  </si>
  <si>
    <t>[Fund Name / n/a]</t>
  </si>
  <si>
    <t>[Sponsor / Founder / Family Office]</t>
  </si>
  <si>
    <t>Owner Counsel:</t>
  </si>
  <si>
    <t>Owner Counsel Contact:</t>
  </si>
  <si>
    <t>Owner Counsel Email:</t>
  </si>
  <si>
    <t>Owner Contact:</t>
  </si>
  <si>
    <t>Owner Contact Email:</t>
  </si>
  <si>
    <t>Owner Contact Phone:</t>
  </si>
  <si>
    <t>Overland Investment Summary</t>
  </si>
  <si>
    <t>% Commit.</t>
  </si>
  <si>
    <t>Financial Performance Trends</t>
  </si>
  <si>
    <t>TTM CA EBITDA (% margin)</t>
  </si>
  <si>
    <t>TTM Gross Profit (% margin)</t>
  </si>
  <si>
    <t>TTM Revenue (% y/y)</t>
  </si>
  <si>
    <t>TTM Capex (% revenue)</t>
  </si>
  <si>
    <t>TTM FCF (% conversion)</t>
  </si>
  <si>
    <t>NWC (% revenue)</t>
  </si>
  <si>
    <t>Fixed Charge Coverage Ratio (% covenant cushion)</t>
  </si>
  <si>
    <t>[Total] Net Leverage (% covenant cushion)</t>
  </si>
  <si>
    <t>Liquidity (% covenant cushion)</t>
  </si>
  <si>
    <t>% conversion</t>
  </si>
  <si>
    <t>Liquidity</t>
  </si>
  <si>
    <t>OL Mark</t>
  </si>
  <si>
    <t>OL RR</t>
  </si>
  <si>
    <t>LTM Financials Date</t>
  </si>
  <si>
    <t>TTM Financials (Reported)</t>
  </si>
  <si>
    <t>YTD Financials (Reported)</t>
  </si>
  <si>
    <t>Monthly Financials (Reported)</t>
  </si>
  <si>
    <t>Consolidated EBITDA</t>
  </si>
  <si>
    <t>Before</t>
  </si>
  <si>
    <t>Individual Cap</t>
  </si>
  <si>
    <t>Description</t>
  </si>
  <si>
    <t>Shared Cap</t>
  </si>
  <si>
    <t>Cash Netting Floor</t>
  </si>
  <si>
    <t>Consolidated EBITDA Adjustment Compliance</t>
  </si>
  <si>
    <t>Cap ($ / %)</t>
  </si>
  <si>
    <t>Type ($ / %)</t>
  </si>
  <si>
    <t>First Lien Debt</t>
  </si>
  <si>
    <t>Total Debt (OpCo)</t>
  </si>
  <si>
    <t>Total Debt (HoldCo)</t>
  </si>
  <si>
    <t>Covenant Tracker</t>
  </si>
  <si>
    <t>Leverage Covenant Compliance</t>
  </si>
  <si>
    <t>Fixed Charge Coverage Ratio Compliance</t>
  </si>
  <si>
    <t>FCCR Numerator</t>
  </si>
  <si>
    <t>( + ) Cash Taxes</t>
  </si>
  <si>
    <t>( + ) Scheduled Principal Payments</t>
  </si>
  <si>
    <t>( + ) Restricted Distributions</t>
  </si>
  <si>
    <t>FCCR Denominator ("Fixed Charges")</t>
  </si>
  <si>
    <t>Fixed Charge Coverage (Covenant)</t>
  </si>
  <si>
    <t>Minimum Liquidity Compliance</t>
  </si>
  <si>
    <t>Liquidity (Reported)</t>
  </si>
  <si>
    <t>Minimum Liquidity (Covenant)</t>
  </si>
  <si>
    <t>LTM CA EBITDA</t>
  </si>
  <si>
    <r>
      <t xml:space="preserve">( </t>
    </r>
    <r>
      <rPr>
        <sz val="10"/>
        <color rgb="FF0000FF"/>
        <rFont val="Calibri"/>
        <family val="2"/>
      </rPr>
      <t>− ) Capital Expenditures</t>
    </r>
  </si>
  <si>
    <r>
      <t xml:space="preserve">( </t>
    </r>
    <r>
      <rPr>
        <sz val="10"/>
        <color rgb="FF0000FF"/>
        <rFont val="Calibri"/>
        <family val="2"/>
      </rPr>
      <t>− ) L/Cs</t>
    </r>
  </si>
  <si>
    <t>[Operating Expense]</t>
  </si>
  <si>
    <t>Date (LU)</t>
  </si>
  <si>
    <t>Date Label</t>
  </si>
  <si>
    <t>TNL</t>
  </si>
  <si>
    <t>Fixed Charge Coverage (Reported)</t>
  </si>
  <si>
    <t>Earn-Outs</t>
  </si>
  <si>
    <t>Cash &amp; Equivalents (Reported)</t>
  </si>
  <si>
    <t>Cash &amp; Equivalents (CA Definition)</t>
  </si>
  <si>
    <t>TEV / LTM CA EBITDA</t>
  </si>
  <si>
    <t>Spread / Coup</t>
  </si>
  <si>
    <t>TTM Financials (Restated)</t>
  </si>
  <si>
    <t>YTD Financials (Restated)</t>
  </si>
  <si>
    <t>Monthly Financials (Restated)</t>
  </si>
  <si>
    <t>Total Net Leverage (Reported)</t>
  </si>
  <si>
    <t>Total Net Leverage (CA Definition)</t>
  </si>
  <si>
    <t>Transaction Description</t>
  </si>
  <si>
    <r>
      <rPr>
        <b/>
        <sz val="10"/>
        <color rgb="FF0000FF"/>
        <rFont val="Calibri"/>
        <family val="2"/>
        <scheme val="minor"/>
      </rPr>
      <t>[Event Name]</t>
    </r>
    <r>
      <rPr>
        <sz val="10"/>
        <color rgb="FF0000FF"/>
        <rFont val="Calibri"/>
        <family val="2"/>
        <scheme val="minor"/>
      </rPr>
      <t xml:space="preserve">
[Description]</t>
    </r>
  </si>
  <si>
    <t>Overland Risk Rating Migration &amp; Mark History</t>
  </si>
  <si>
    <t>PPM (TEV / EBITDA)</t>
  </si>
  <si>
    <t>Operating Income (Loss)</t>
  </si>
  <si>
    <t>Amortization</t>
  </si>
  <si>
    <t>Other Operating Expense (Income)</t>
  </si>
  <si>
    <t>Other Expense (Income)</t>
  </si>
  <si>
    <t>% effective rate</t>
  </si>
  <si>
    <t>Tax Expense (Benefit)</t>
  </si>
  <si>
    <t>Costs in Excess of Billings ("CIE")</t>
  </si>
  <si>
    <t>Prepaid &amp; Other</t>
  </si>
  <si>
    <t>Accrued &amp; Other</t>
  </si>
  <si>
    <t>Billings in Excess of Costs ("BIE")</t>
  </si>
  <si>
    <t>Adjustment Caps</t>
  </si>
  <si>
    <t>Adjustment Types</t>
  </si>
  <si>
    <t>After</t>
  </si>
  <si>
    <t>Increases (Decreases) to Consolidated Net Income</t>
  </si>
  <si>
    <t>Depreciation &amp; Amortization</t>
  </si>
  <si>
    <t>Increases (Decreases) to Consolidated EBITDA</t>
  </si>
  <si>
    <t>[Consolidated EBITDA Adjustment - #1]</t>
  </si>
  <si>
    <t>[Consolidated EBITDA Adjustment - #2]</t>
  </si>
  <si>
    <t>[Consolidated EBITDA Adjustment - #3]</t>
  </si>
  <si>
    <t>[Consolidated EBITDA Adjustment - #4]</t>
  </si>
  <si>
    <t>[Consolidated EBITDA Adjustment - #5]</t>
  </si>
  <si>
    <t>[Consolidated EBITDA Adjustment - #6]</t>
  </si>
  <si>
    <t>[Consolidated EBITDA Adjustment - #7]</t>
  </si>
  <si>
    <t>[Consolidated EBITDA Adjustment - #8]</t>
  </si>
  <si>
    <t>[Consolidated EBITDA Adjustment - #9]</t>
  </si>
  <si>
    <t>[Consolidated EBITDA Adjustment - #10]</t>
  </si>
  <si>
    <t>[Consolidated EBITDA Adjustment - #11]</t>
  </si>
  <si>
    <t>[Consolidated EBITDA Adjustment - #12]</t>
  </si>
  <si>
    <t>[Consolidated EBITDA Adjustment - #13]</t>
  </si>
  <si>
    <t>[Consolidated EBITDA Adjustment - #14]</t>
  </si>
  <si>
    <t>[Consolidated EBITDA Adjustment - #15]</t>
  </si>
  <si>
    <t>[Consolidated EBITDA Adjustment - #16]</t>
  </si>
  <si>
    <t>[Consolidated EBITDA Adjustment - #17]</t>
  </si>
  <si>
    <t>[Consolidated EBITDA Adjustment - #18]</t>
  </si>
  <si>
    <t>[Consolidated EBITDA Adjustment - #19]</t>
  </si>
  <si>
    <t>[Consolidated EBITDA Adjustment - #20]</t>
  </si>
  <si>
    <t>[Consolidated EBITDA Adjustment - #21]</t>
  </si>
  <si>
    <t>[Consolidated EBITDA Adjustment - #22]</t>
  </si>
  <si>
    <t>[Consolidated EBITDA Adjustment - #23]</t>
  </si>
  <si>
    <t>[Consolidated EBITDA Adjustment - #24]</t>
  </si>
  <si>
    <t>[Consolidated EBITDA Adjustment - #25]</t>
  </si>
  <si>
    <t>[Consolidated EBITDA Adjustment - #26]</t>
  </si>
  <si>
    <t>[Consolidated EBITDA Adjustment - #27]</t>
  </si>
  <si>
    <t>[Consolidated EBITDA Adjustment - #28]</t>
  </si>
  <si>
    <t>[Consolidated EBITDA Adjustment - #29]</t>
  </si>
  <si>
    <t>[Consolidated EBITDA Adjustment - #30]</t>
  </si>
  <si>
    <t>[Consolidated EBITDA Adjustment - #31]</t>
  </si>
  <si>
    <t>[Consolidated EBITDA Adjustment - #32]</t>
  </si>
  <si>
    <t>[Consolidated EBITDA Adjustment - #33]</t>
  </si>
  <si>
    <t>[Consolidated EBITDA Adjustment - #34]</t>
  </si>
  <si>
    <t>[Consolidated EBITDA Adjustment - #35]</t>
  </si>
  <si>
    <t>[Consolidated EBITDA Adjustment - #36]</t>
  </si>
  <si>
    <t>[Consolidated EBITDA Adjustment - #37]</t>
  </si>
  <si>
    <t>[Consolidated EBITDA Adjustment - #38]</t>
  </si>
  <si>
    <t>[Consolidated EBITDA Adjustment - #39]</t>
  </si>
  <si>
    <t>[Consolidated EBITDA Adjustment - #40]</t>
  </si>
  <si>
    <t>[Consolidated EBITDA Adjustment - #41]</t>
  </si>
  <si>
    <t>[Consolidated EBITDA Adjustment - #42]</t>
  </si>
  <si>
    <t>[Consolidated EBITDA Adjustment - #43]</t>
  </si>
  <si>
    <t>[Consolidated EBITDA Adjustment - #44]</t>
  </si>
  <si>
    <t>[Consolidated EBITDA Adjustment - #45]</t>
  </si>
  <si>
    <t>[Consolidated EBITDA Adjustment - #46]</t>
  </si>
  <si>
    <t>[Consolidated EBITDA Adjustment - #47]</t>
  </si>
  <si>
    <t>[Consolidated EBITDA Adjustment - #48]</t>
  </si>
  <si>
    <t>[Consolidated EBITDA Adjustment - #49]</t>
  </si>
  <si>
    <t>[Consolidated EBITDA Adjustment - #50]</t>
  </si>
  <si>
    <t>[Consolidated Net Income Adjustment - #1]</t>
  </si>
  <si>
    <t>[Consolidated Net Income Adjustment - #2]</t>
  </si>
  <si>
    <t>[Consolidated Net Income Adjustment - #3]</t>
  </si>
  <si>
    <t>[Consolidated Net Income Adjustment - #4]</t>
  </si>
  <si>
    <t>[Consolidated Net Income Adjustment - #5]</t>
  </si>
  <si>
    <t>[Consolidated Net Income Adjustment - #6]</t>
  </si>
  <si>
    <t>[Consolidated Net Income Adjustment - #7]</t>
  </si>
  <si>
    <t>[Consolidated Net Income Adjustment - #8]</t>
  </si>
  <si>
    <t>[Consolidated Net Income Adjustment - #9]</t>
  </si>
  <si>
    <t>[Consolidated Net Income Adjustment - #10]</t>
  </si>
  <si>
    <t>[Consolidated Net Income Adjustment - #11]</t>
  </si>
  <si>
    <t>[Consolidated Net Income Adjustment - #12]</t>
  </si>
  <si>
    <t>[Consolidated Net Income Adjustment - #13]</t>
  </si>
  <si>
    <t>[Consolidated Net Income Adjustment - #14]</t>
  </si>
  <si>
    <t>[Consolidated Net Income Adjustment - #15]</t>
  </si>
  <si>
    <t>[Consolidated Net Income Adjustment - #16]</t>
  </si>
  <si>
    <t>[Consolidated Net Income Adjustment - #17]</t>
  </si>
  <si>
    <t>[Consolidated Net Income Adjustment - #18]</t>
  </si>
  <si>
    <t>[Consolidated Net Income Adjustment - #19]</t>
  </si>
  <si>
    <t>[Consolidated Net Income Adjustment - #20]</t>
  </si>
  <si>
    <t>[Consolidated Net Income Adjustment - #21]</t>
  </si>
  <si>
    <t>[Consolidated Net Income Adjustment - #22]</t>
  </si>
  <si>
    <t>[Consolidated Net Income Adjustment - #23]</t>
  </si>
  <si>
    <t>[Consolidated Net Income Adjustment - #24]</t>
  </si>
  <si>
    <t>[Consolidated Net Income Adjustment - #25]</t>
  </si>
  <si>
    <t>[Consolidated Net Income Adjustment - #26]</t>
  </si>
  <si>
    <t>[Consolidated Net Income Adjustment - #27]</t>
  </si>
  <si>
    <t>[Consolidated Net Income Adjustment - #28]</t>
  </si>
  <si>
    <t>[Consolidated Net Income Adjustment - #29]</t>
  </si>
  <si>
    <t>[Consolidated Net Income Adjustment - #30]</t>
  </si>
  <si>
    <t>[Consolidated Net Income Adjustment - #31]</t>
  </si>
  <si>
    <t>[Consolidated Net Income Adjustment - #32]</t>
  </si>
  <si>
    <t>[Consolidated Net Income Adjustment - #33]</t>
  </si>
  <si>
    <t>[Consolidated Net Income Adjustment - #34]</t>
  </si>
  <si>
    <t>[Consolidated Net Income Adjustment - #35]</t>
  </si>
  <si>
    <t>[Consolidated Net Income Adjustment - #36]</t>
  </si>
  <si>
    <t>[Consolidated Net Income Adjustment - #37]</t>
  </si>
  <si>
    <t>[Consolidated Net Income Adjustment - #38]</t>
  </si>
  <si>
    <t>[Consolidated Net Income Adjustment - #39]</t>
  </si>
  <si>
    <t>[Consolidated Net Income Adjustment - #40]</t>
  </si>
  <si>
    <t>[Consolidated Net Income Adjustment - #41]</t>
  </si>
  <si>
    <t>[Consolidated Net Income Adjustment - #42]</t>
  </si>
  <si>
    <t>[Consolidated Net Income Adjustment - #43]</t>
  </si>
  <si>
    <t>[Consolidated Net Income Adjustment - #44]</t>
  </si>
  <si>
    <t>[Consolidated Net Income Adjustment - #45]</t>
  </si>
  <si>
    <t>[Consolidated Net Income Adjustment - #46]</t>
  </si>
  <si>
    <t>[Consolidated Net Income Adjustment - #47]</t>
  </si>
  <si>
    <t>[Consolidated Net Income Adjustment - #48]</t>
  </si>
  <si>
    <t>[Consolidated Net Income Adjustment - #49]</t>
  </si>
  <si>
    <t>[Consolidated Net Income Adjustment - #50]</t>
  </si>
  <si>
    <t>Adjustment</t>
  </si>
  <si>
    <t>Type</t>
  </si>
  <si>
    <t>Cap Types</t>
  </si>
  <si>
    <t>Definitional</t>
  </si>
  <si>
    <t>Diligence</t>
  </si>
  <si>
    <t>Pro Forma</t>
  </si>
  <si>
    <t>Pre-Acquisition</t>
  </si>
  <si>
    <t>[Total] [Net] Leverage (Reported)</t>
  </si>
  <si>
    <t>[Total] [Net] Leverage (Covenant)</t>
  </si>
  <si>
    <t>Financials Type:</t>
  </si>
  <si>
    <t>Financial Charts</t>
  </si>
  <si>
    <t>Reported</t>
  </si>
  <si>
    <t>Restated</t>
  </si>
  <si>
    <t>TTM Revenue (Restated)</t>
  </si>
  <si>
    <t>TTM COGS (Restated)</t>
  </si>
  <si>
    <t>First Lien Last-Out Term Loan</t>
  </si>
  <si>
    <t>Subordinated Notes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</si>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</sst>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164" formatCode="#,##0.0_);\(#,##0.0\);&quot;--&quot;_);@_)"/>
    <numFmt numFmtId="165" formatCode="#,##0.0%_);\(#,##0.0%\);&quot;--%&quot;_);@_)"/>
    <numFmt numFmtId="166" formatCode="#,##0.0\x_);\(#,##0.0\x\);&quot;--x&quot;_);@_)"/>
    <numFmt numFmtId="167" formatCode="&quot;$&quot;#,##0_);\(&quot;$&quot;#,##0\);&quot;$--&quot;_);@_)"/>
    <numFmt numFmtId="168" formatCode="#,##0_);\(#,##0\);&quot;--&quot;_);@_)"/>
    <numFmt numFmtId="169" formatCode="#,##0.000%_);\(#,##0.000%\);&quot;--%&quot;_);@_)"/>
    <numFmt numFmtId="170" formatCode="#,##0.00_);\(#,##0.00\);&quot;--&quot;_);@_)"/>
    <numFmt numFmtId="171" formatCode="#,##0.00\x_);\(#,##0.00\x\);&quot;--x&quot;_);@_)"/>
    <numFmt numFmtId="172" formatCode="&quot;$&quot;#,##0.0_);\(&quot;$&quot;#,##0.0\);&quot;$--&quot;_);@_)"/>
    <numFmt numFmtId="173" formatCode="mmm\-d"/>
    <numFmt numFmtId="174" formatCode="&quot;$&quot;#,##0.00_);\(&quot;$&quot;#,##0.00\);&quot;$--&quot;_);@_)"/>
    <numFmt numFmtId="175" formatCode="m/d/yy_);@_)"/>
    <numFmt numFmtId="176" formatCode="\&gt;\=#,##0.00\x_);\(#,##0.00\x\);&quot;--x&quot;_);@_)"/>
    <numFmt numFmtId="177" formatCode="\&lt;#,##0.00\x_);\(#,##0.00\x\);&quot;--x&quot;_);@_)"/>
    <numFmt numFmtId="178" formatCode="m/d/yy;@"/>
  </numFmts>
  <fonts count="34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8000"/>
      <name val="Calibri"/>
      <family val="2"/>
      <scheme val="minor"/>
    </font>
    <font>
      <b/>
      <u val="singleAccounting"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0"/>
      <color rgb="FF00B050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rgb="FF0000FF"/>
      <name val="Calibri"/>
      <family val="2"/>
    </font>
    <font>
      <i/>
      <sz val="10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 style="double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/>
      <diagonal/>
    </border>
    <border>
      <left/>
      <right style="thin">
        <color theme="0" tint="-0.249977111117893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0">
    <xf numFmtId="0" fontId="0" fillId="0" borderId="0" xfId="0"/>
    <xf numFmtId="0" fontId="4" fillId="0" borderId="0" xfId="0" applyFont="1"/>
    <xf numFmtId="0" fontId="5" fillId="2" borderId="2" xfId="0" applyFont="1" applyFill="1" applyBorder="1"/>
    <xf numFmtId="0" fontId="4" fillId="2" borderId="3" xfId="0" applyFont="1" applyFill="1" applyBorder="1"/>
    <xf numFmtId="0" fontId="4" fillId="2" borderId="6" xfId="0" applyFont="1" applyFill="1" applyBorder="1"/>
    <xf numFmtId="17" fontId="6" fillId="0" borderId="0" xfId="0" applyNumberFormat="1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4" fillId="0" borderId="31" xfId="0" applyFont="1" applyBorder="1"/>
    <xf numFmtId="0" fontId="4" fillId="0" borderId="33" xfId="0" applyFont="1" applyBorder="1"/>
    <xf numFmtId="17" fontId="7" fillId="4" borderId="29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4" fillId="2" borderId="0" xfId="0" applyFont="1" applyFill="1"/>
    <xf numFmtId="0" fontId="4" fillId="2" borderId="7" xfId="0" applyFont="1" applyFill="1" applyBorder="1"/>
    <xf numFmtId="0" fontId="8" fillId="2" borderId="4" xfId="0" applyFont="1" applyFill="1" applyBorder="1"/>
    <xf numFmtId="0" fontId="4" fillId="2" borderId="5" xfId="0" applyFont="1" applyFill="1" applyBorder="1"/>
    <xf numFmtId="0" fontId="4" fillId="2" borderId="8" xfId="0" applyFont="1" applyFill="1" applyBorder="1"/>
    <xf numFmtId="0" fontId="4" fillId="0" borderId="0" xfId="0" applyFont="1" applyAlignment="1">
      <alignment horizontal="center" vertical="center"/>
    </xf>
    <xf numFmtId="0" fontId="7" fillId="4" borderId="0" xfId="0" applyFont="1" applyFill="1" applyAlignment="1">
      <alignment horizontal="left"/>
    </xf>
    <xf numFmtId="0" fontId="4" fillId="0" borderId="16" xfId="0" applyFont="1" applyBorder="1"/>
    <xf numFmtId="0" fontId="6" fillId="0" borderId="0" xfId="0" applyFont="1"/>
    <xf numFmtId="173" fontId="7" fillId="4" borderId="0" xfId="0" applyNumberFormat="1" applyFont="1" applyFill="1" applyAlignment="1">
      <alignment horizontal="left"/>
    </xf>
    <xf numFmtId="0" fontId="4" fillId="0" borderId="17" xfId="0" applyFont="1" applyBorder="1"/>
    <xf numFmtId="0" fontId="4" fillId="0" borderId="18" xfId="0" applyFont="1" applyBorder="1"/>
    <xf numFmtId="0" fontId="7" fillId="0" borderId="18" xfId="0" applyFont="1" applyBorder="1"/>
    <xf numFmtId="0" fontId="4" fillId="0" borderId="19" xfId="0" applyFont="1" applyBorder="1"/>
    <xf numFmtId="0" fontId="11" fillId="0" borderId="15" xfId="0" applyFont="1" applyBorder="1"/>
    <xf numFmtId="44" fontId="12" fillId="0" borderId="0" xfId="0" applyNumberFormat="1" applyFont="1" applyAlignment="1">
      <alignment horizontal="centerContinuous"/>
    </xf>
    <xf numFmtId="0" fontId="5" fillId="0" borderId="0" xfId="0" applyFont="1" applyAlignment="1">
      <alignment horizontal="center"/>
    </xf>
    <xf numFmtId="44" fontId="12" fillId="0" borderId="16" xfId="0" applyNumberFormat="1" applyFont="1" applyBorder="1" applyAlignment="1">
      <alignment horizontal="centerContinuous"/>
    </xf>
    <xf numFmtId="44" fontId="12" fillId="0" borderId="15" xfId="0" applyNumberFormat="1" applyFont="1" applyBorder="1" applyAlignment="1">
      <alignment horizontal="centerContinuous"/>
    </xf>
    <xf numFmtId="44" fontId="12" fillId="0" borderId="0" xfId="0" applyNumberFormat="1" applyFont="1" applyAlignment="1">
      <alignment horizontal="center"/>
    </xf>
    <xf numFmtId="44" fontId="12" fillId="0" borderId="16" xfId="0" applyNumberFormat="1" applyFont="1" applyBorder="1" applyAlignment="1">
      <alignment horizontal="center"/>
    </xf>
    <xf numFmtId="0" fontId="6" fillId="0" borderId="15" xfId="0" applyFont="1" applyBorder="1"/>
    <xf numFmtId="0" fontId="7" fillId="4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167" fontId="6" fillId="0" borderId="0" xfId="0" applyNumberFormat="1" applyFont="1" applyAlignment="1">
      <alignment horizontal="right"/>
    </xf>
    <xf numFmtId="165" fontId="4" fillId="0" borderId="0" xfId="0" applyNumberFormat="1" applyFont="1"/>
    <xf numFmtId="167" fontId="7" fillId="4" borderId="0" xfId="0" applyNumberFormat="1" applyFont="1" applyFill="1" applyAlignment="1">
      <alignment horizontal="right"/>
    </xf>
    <xf numFmtId="169" fontId="6" fillId="0" borderId="0" xfId="0" applyNumberFormat="1" applyFont="1" applyAlignment="1">
      <alignment horizontal="center"/>
    </xf>
    <xf numFmtId="170" fontId="7" fillId="4" borderId="0" xfId="0" applyNumberFormat="1" applyFont="1" applyFill="1" applyAlignment="1">
      <alignment horizontal="center"/>
    </xf>
    <xf numFmtId="0" fontId="7" fillId="4" borderId="16" xfId="0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right"/>
    </xf>
    <xf numFmtId="168" fontId="7" fillId="4" borderId="0" xfId="0" applyNumberFormat="1" applyFont="1" applyFill="1" applyAlignment="1">
      <alignment horizontal="right"/>
    </xf>
    <xf numFmtId="178" fontId="7" fillId="4" borderId="16" xfId="0" applyNumberFormat="1" applyFont="1" applyFill="1" applyBorder="1" applyAlignment="1">
      <alignment horizontal="center"/>
    </xf>
    <xf numFmtId="171" fontId="7" fillId="4" borderId="0" xfId="0" applyNumberFormat="1" applyFont="1" applyFill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44" fontId="13" fillId="0" borderId="0" xfId="0" applyNumberFormat="1" applyFont="1" applyAlignment="1">
      <alignment horizontal="centerContinuous"/>
    </xf>
    <xf numFmtId="44" fontId="13" fillId="0" borderId="25" xfId="0" applyNumberFormat="1" applyFont="1" applyBorder="1" applyAlignment="1">
      <alignment horizontal="centerContinuous"/>
    </xf>
    <xf numFmtId="44" fontId="13" fillId="0" borderId="16" xfId="0" applyNumberFormat="1" applyFont="1" applyBorder="1" applyAlignment="1">
      <alignment horizontal="centerContinuous"/>
    </xf>
    <xf numFmtId="0" fontId="6" fillId="0" borderId="16" xfId="0" applyFont="1" applyBorder="1"/>
    <xf numFmtId="171" fontId="6" fillId="0" borderId="0" xfId="0" applyNumberFormat="1" applyFont="1" applyAlignment="1">
      <alignment horizontal="right"/>
    </xf>
    <xf numFmtId="0" fontId="4" fillId="0" borderId="3" xfId="0" applyFont="1" applyBorder="1"/>
    <xf numFmtId="165" fontId="6" fillId="0" borderId="0" xfId="0" applyNumberFormat="1" applyFont="1" applyAlignment="1">
      <alignment horizontal="right"/>
    </xf>
    <xf numFmtId="171" fontId="6" fillId="0" borderId="16" xfId="0" applyNumberFormat="1" applyFont="1" applyBorder="1" applyAlignment="1">
      <alignment horizontal="right"/>
    </xf>
    <xf numFmtId="171" fontId="16" fillId="0" borderId="0" xfId="0" applyNumberFormat="1" applyFont="1" applyAlignment="1">
      <alignment horizontal="right"/>
    </xf>
    <xf numFmtId="171" fontId="16" fillId="0" borderId="16" xfId="0" applyNumberFormat="1" applyFont="1" applyBorder="1" applyAlignment="1">
      <alignment horizontal="right"/>
    </xf>
    <xf numFmtId="0" fontId="15" fillId="0" borderId="15" xfId="0" applyFont="1" applyBorder="1" applyAlignment="1">
      <alignment horizontal="left" indent="1"/>
    </xf>
    <xf numFmtId="0" fontId="17" fillId="0" borderId="12" xfId="0" applyFont="1" applyBorder="1"/>
    <xf numFmtId="0" fontId="18" fillId="0" borderId="13" xfId="0" applyFont="1" applyBorder="1"/>
    <xf numFmtId="0" fontId="18" fillId="0" borderId="13" xfId="0" applyFont="1" applyBorder="1" applyAlignment="1">
      <alignment vertical="top"/>
    </xf>
    <xf numFmtId="44" fontId="13" fillId="0" borderId="13" xfId="0" applyNumberFormat="1" applyFont="1" applyBorder="1" applyAlignment="1">
      <alignment horizontal="centerContinuous" vertical="top"/>
    </xf>
    <xf numFmtId="44" fontId="13" fillId="0" borderId="14" xfId="0" applyNumberFormat="1" applyFont="1" applyBorder="1" applyAlignment="1">
      <alignment horizontal="centerContinuous" vertical="top"/>
    </xf>
    <xf numFmtId="44" fontId="13" fillId="0" borderId="15" xfId="0" applyNumberFormat="1" applyFont="1" applyBorder="1" applyAlignment="1">
      <alignment horizontal="centerContinuous"/>
    </xf>
    <xf numFmtId="44" fontId="13" fillId="0" borderId="0" xfId="0" applyNumberFormat="1" applyFont="1" applyAlignment="1">
      <alignment horizontal="center" vertical="top"/>
    </xf>
    <xf numFmtId="44" fontId="13" fillId="0" borderId="16" xfId="0" applyNumberFormat="1" applyFont="1" applyBorder="1" applyAlignment="1">
      <alignment horizontal="center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8" fillId="0" borderId="0" xfId="0" applyFont="1" applyAlignment="1">
      <alignment vertical="top"/>
    </xf>
    <xf numFmtId="168" fontId="7" fillId="0" borderId="0" xfId="0" applyNumberFormat="1" applyFont="1" applyAlignment="1">
      <alignment horizontal="right"/>
    </xf>
    <xf numFmtId="0" fontId="11" fillId="0" borderId="0" xfId="0" applyFont="1"/>
    <xf numFmtId="175" fontId="7" fillId="4" borderId="29" xfId="0" applyNumberFormat="1" applyFont="1" applyFill="1" applyBorder="1" applyAlignment="1">
      <alignment horizontal="right"/>
    </xf>
    <xf numFmtId="169" fontId="7" fillId="4" borderId="29" xfId="0" applyNumberFormat="1" applyFont="1" applyFill="1" applyBorder="1" applyAlignment="1">
      <alignment horizontal="right"/>
    </xf>
    <xf numFmtId="167" fontId="7" fillId="4" borderId="29" xfId="0" applyNumberFormat="1" applyFont="1" applyFill="1" applyBorder="1" applyAlignment="1">
      <alignment horizontal="right"/>
    </xf>
    <xf numFmtId="170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left" indent="1"/>
    </xf>
    <xf numFmtId="169" fontId="11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7" fillId="4" borderId="29" xfId="0" applyFont="1" applyFill="1" applyBorder="1"/>
    <xf numFmtId="0" fontId="7" fillId="4" borderId="31" xfId="0" applyFont="1" applyFill="1" applyBorder="1"/>
    <xf numFmtId="176" fontId="7" fillId="4" borderId="29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75" fontId="7" fillId="4" borderId="29" xfId="0" applyNumberFormat="1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169" fontId="6" fillId="0" borderId="29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177" fontId="7" fillId="4" borderId="29" xfId="0" applyNumberFormat="1" applyFont="1" applyFill="1" applyBorder="1" applyAlignment="1">
      <alignment horizontal="center"/>
    </xf>
    <xf numFmtId="0" fontId="8" fillId="0" borderId="0" xfId="0" applyFont="1"/>
    <xf numFmtId="168" fontId="21" fillId="4" borderId="29" xfId="0" applyNumberFormat="1" applyFont="1" applyFill="1" applyBorder="1" applyAlignment="1">
      <alignment horizontal="right"/>
    </xf>
    <xf numFmtId="168" fontId="7" fillId="4" borderId="29" xfId="0" applyNumberFormat="1" applyFont="1" applyFill="1" applyBorder="1" applyAlignment="1">
      <alignment horizontal="center"/>
    </xf>
    <xf numFmtId="167" fontId="21" fillId="4" borderId="29" xfId="0" applyNumberFormat="1" applyFont="1" applyFill="1" applyBorder="1" applyAlignment="1">
      <alignment horizontal="right"/>
    </xf>
    <xf numFmtId="0" fontId="7" fillId="0" borderId="0" xfId="0" applyFont="1" applyAlignment="1">
      <alignment horizontal="centerContinuous"/>
    </xf>
    <xf numFmtId="17" fontId="7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0" fontId="23" fillId="0" borderId="0" xfId="0" applyFont="1"/>
    <xf numFmtId="0" fontId="17" fillId="0" borderId="0" xfId="0" applyFont="1" applyAlignment="1">
      <alignment vertical="top"/>
    </xf>
    <xf numFmtId="0" fontId="18" fillId="0" borderId="0" xfId="0" applyFont="1"/>
    <xf numFmtId="0" fontId="21" fillId="0" borderId="0" xfId="0" applyFont="1"/>
    <xf numFmtId="17" fontId="7" fillId="0" borderId="0" xfId="0" applyNumberFormat="1" applyFont="1" applyAlignment="1">
      <alignment horizontal="center" vertical="top"/>
    </xf>
    <xf numFmtId="0" fontId="5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168" fontId="7" fillId="4" borderId="5" xfId="0" applyNumberFormat="1" applyFont="1" applyFill="1" applyBorder="1" applyAlignment="1">
      <alignment horizontal="right"/>
    </xf>
    <xf numFmtId="167" fontId="7" fillId="4" borderId="0" xfId="0" applyNumberFormat="1" applyFont="1" applyFill="1"/>
    <xf numFmtId="0" fontId="4" fillId="0" borderId="32" xfId="0" applyFont="1" applyBorder="1"/>
    <xf numFmtId="166" fontId="7" fillId="0" borderId="29" xfId="0" applyNumberFormat="1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71" fontId="20" fillId="0" borderId="5" xfId="0" applyNumberFormat="1" applyFont="1" applyBorder="1" applyAlignment="1">
      <alignment horizontal="right"/>
    </xf>
    <xf numFmtId="167" fontId="14" fillId="0" borderId="5" xfId="0" applyNumberFormat="1" applyFont="1" applyBorder="1" applyAlignment="1">
      <alignment horizontal="right"/>
    </xf>
    <xf numFmtId="174" fontId="14" fillId="0" borderId="5" xfId="0" applyNumberFormat="1" applyFont="1" applyBorder="1" applyAlignment="1">
      <alignment horizontal="right"/>
    </xf>
    <xf numFmtId="171" fontId="14" fillId="0" borderId="5" xfId="0" applyNumberFormat="1" applyFont="1" applyBorder="1" applyAlignment="1">
      <alignment horizontal="right"/>
    </xf>
    <xf numFmtId="0" fontId="7" fillId="0" borderId="0" xfId="0" applyFont="1" applyAlignment="1">
      <alignment horizontal="center"/>
    </xf>
    <xf numFmtId="166" fontId="18" fillId="0" borderId="0" xfId="0" applyNumberFormat="1" applyFont="1" applyAlignment="1">
      <alignment horizontal="right"/>
    </xf>
    <xf numFmtId="167" fontId="21" fillId="0" borderId="0" xfId="0" applyNumberFormat="1" applyFont="1" applyAlignment="1">
      <alignment horizontal="right"/>
    </xf>
    <xf numFmtId="174" fontId="21" fillId="0" borderId="0" xfId="0" applyNumberFormat="1" applyFont="1" applyAlignment="1">
      <alignment horizontal="right"/>
    </xf>
    <xf numFmtId="166" fontId="21" fillId="0" borderId="0" xfId="0" applyNumberFormat="1" applyFont="1" applyAlignment="1">
      <alignment horizontal="right"/>
    </xf>
    <xf numFmtId="165" fontId="24" fillId="2" borderId="0" xfId="0" applyNumberFormat="1" applyFont="1" applyFill="1" applyAlignment="1">
      <alignment horizontal="right"/>
    </xf>
    <xf numFmtId="0" fontId="7" fillId="4" borderId="0" xfId="0" applyFont="1" applyFill="1"/>
    <xf numFmtId="0" fontId="7" fillId="4" borderId="29" xfId="0" applyFont="1" applyFill="1" applyBorder="1" applyAlignment="1">
      <alignment horizontal="left" vertical="top"/>
    </xf>
    <xf numFmtId="178" fontId="7" fillId="4" borderId="29" xfId="0" applyNumberFormat="1" applyFont="1" applyFill="1" applyBorder="1" applyAlignment="1">
      <alignment horizontal="center"/>
    </xf>
    <xf numFmtId="168" fontId="7" fillId="4" borderId="38" xfId="0" applyNumberFormat="1" applyFont="1" applyFill="1" applyBorder="1" applyAlignment="1">
      <alignment horizontal="right"/>
    </xf>
    <xf numFmtId="168" fontId="7" fillId="4" borderId="40" xfId="0" applyNumberFormat="1" applyFont="1" applyFill="1" applyBorder="1" applyAlignment="1">
      <alignment horizontal="right"/>
    </xf>
    <xf numFmtId="171" fontId="7" fillId="4" borderId="0" xfId="0" applyNumberFormat="1" applyFont="1" applyFill="1" applyAlignment="1">
      <alignment horizontal="right"/>
    </xf>
    <xf numFmtId="0" fontId="7" fillId="4" borderId="29" xfId="0" applyFont="1" applyFill="1" applyBorder="1" applyAlignment="1">
      <alignment horizontal="left"/>
    </xf>
    <xf numFmtId="0" fontId="7" fillId="4" borderId="2" xfId="0" applyFont="1" applyFill="1" applyBorder="1"/>
    <xf numFmtId="0" fontId="7" fillId="4" borderId="38" xfId="0" applyFont="1" applyFill="1" applyBorder="1"/>
    <xf numFmtId="0" fontId="4" fillId="0" borderId="38" xfId="0" applyFont="1" applyBorder="1"/>
    <xf numFmtId="0" fontId="7" fillId="4" borderId="1" xfId="0" applyFont="1" applyFill="1" applyBorder="1"/>
    <xf numFmtId="0" fontId="7" fillId="4" borderId="40" xfId="0" applyFont="1" applyFill="1" applyBorder="1"/>
    <xf numFmtId="0" fontId="4" fillId="0" borderId="40" xfId="0" applyFont="1" applyBorder="1"/>
    <xf numFmtId="0" fontId="7" fillId="4" borderId="4" xfId="0" applyFont="1" applyFill="1" applyBorder="1"/>
    <xf numFmtId="0" fontId="7" fillId="4" borderId="39" xfId="0" applyFont="1" applyFill="1" applyBorder="1"/>
    <xf numFmtId="0" fontId="7" fillId="4" borderId="31" xfId="0" applyFont="1" applyFill="1" applyBorder="1" applyAlignment="1">
      <alignment horizontal="left"/>
    </xf>
    <xf numFmtId="0" fontId="4" fillId="4" borderId="33" xfId="0" applyFont="1" applyFill="1" applyBorder="1"/>
    <xf numFmtId="0" fontId="4" fillId="0" borderId="39" xfId="0" applyFont="1" applyBorder="1"/>
    <xf numFmtId="0" fontId="9" fillId="5" borderId="9" xfId="0" applyFont="1" applyFill="1" applyBorder="1" applyAlignment="1">
      <alignment vertical="center"/>
    </xf>
    <xf numFmtId="0" fontId="4" fillId="5" borderId="10" xfId="0" applyFont="1" applyFill="1" applyBorder="1"/>
    <xf numFmtId="0" fontId="10" fillId="5" borderId="11" xfId="0" applyFont="1" applyFill="1" applyBorder="1" applyAlignment="1">
      <alignment horizontal="right"/>
    </xf>
    <xf numFmtId="0" fontId="4" fillId="5" borderId="11" xfId="0" applyFont="1" applyFill="1" applyBorder="1"/>
    <xf numFmtId="0" fontId="9" fillId="5" borderId="10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0" fontId="4" fillId="5" borderId="0" xfId="0" applyFont="1" applyFill="1"/>
    <xf numFmtId="0" fontId="5" fillId="6" borderId="21" xfId="0" applyFont="1" applyFill="1" applyBorder="1"/>
    <xf numFmtId="0" fontId="4" fillId="6" borderId="20" xfId="0" applyFont="1" applyFill="1" applyBorder="1"/>
    <xf numFmtId="167" fontId="5" fillId="6" borderId="20" xfId="0" applyNumberFormat="1" applyFont="1" applyFill="1" applyBorder="1" applyAlignment="1">
      <alignment horizontal="right"/>
    </xf>
    <xf numFmtId="165" fontId="5" fillId="6" borderId="20" xfId="0" applyNumberFormat="1" applyFont="1" applyFill="1" applyBorder="1"/>
    <xf numFmtId="169" fontId="4" fillId="6" borderId="20" xfId="0" applyNumberFormat="1" applyFont="1" applyFill="1" applyBorder="1"/>
    <xf numFmtId="0" fontId="4" fillId="6" borderId="22" xfId="0" applyFont="1" applyFill="1" applyBorder="1"/>
    <xf numFmtId="0" fontId="4" fillId="6" borderId="0" xfId="0" applyFont="1" applyFill="1"/>
    <xf numFmtId="0" fontId="20" fillId="6" borderId="23" xfId="0" applyFont="1" applyFill="1" applyBorder="1" applyAlignment="1">
      <alignment horizontal="left" vertical="top"/>
    </xf>
    <xf numFmtId="0" fontId="20" fillId="6" borderId="3" xfId="0" applyFont="1" applyFill="1" applyBorder="1" applyAlignment="1">
      <alignment vertical="top"/>
    </xf>
    <xf numFmtId="0" fontId="17" fillId="6" borderId="17" xfId="0" applyFont="1" applyFill="1" applyBorder="1" applyAlignment="1">
      <alignment horizontal="left" vertical="top"/>
    </xf>
    <xf numFmtId="0" fontId="20" fillId="6" borderId="18" xfId="0" applyFont="1" applyFill="1" applyBorder="1" applyAlignment="1">
      <alignment vertical="top"/>
    </xf>
    <xf numFmtId="0" fontId="19" fillId="6" borderId="31" xfId="0" applyFont="1" applyFill="1" applyBorder="1"/>
    <xf numFmtId="17" fontId="19" fillId="6" borderId="29" xfId="0" applyNumberFormat="1" applyFont="1" applyFill="1" applyBorder="1" applyAlignment="1">
      <alignment horizontal="center"/>
    </xf>
    <xf numFmtId="167" fontId="19" fillId="6" borderId="35" xfId="0" applyNumberFormat="1" applyFont="1" applyFill="1" applyBorder="1"/>
    <xf numFmtId="165" fontId="19" fillId="6" borderId="29" xfId="0" applyNumberFormat="1" applyFont="1" applyFill="1" applyBorder="1"/>
    <xf numFmtId="167" fontId="6" fillId="6" borderId="0" xfId="0" applyNumberFormat="1" applyFont="1" applyFill="1" applyAlignment="1">
      <alignment horizontal="right"/>
    </xf>
    <xf numFmtId="0" fontId="9" fillId="5" borderId="31" xfId="0" applyFont="1" applyFill="1" applyBorder="1" applyAlignment="1">
      <alignment vertical="center"/>
    </xf>
    <xf numFmtId="17" fontId="7" fillId="6" borderId="39" xfId="0" applyNumberFormat="1" applyFont="1" applyFill="1" applyBorder="1" applyAlignment="1">
      <alignment horizontal="center"/>
    </xf>
    <xf numFmtId="0" fontId="9" fillId="5" borderId="49" xfId="0" applyFont="1" applyFill="1" applyBorder="1" applyAlignment="1">
      <alignment vertical="center"/>
    </xf>
    <xf numFmtId="0" fontId="9" fillId="5" borderId="44" xfId="0" applyFont="1" applyFill="1" applyBorder="1" applyAlignment="1">
      <alignment horizontal="centerContinuous"/>
    </xf>
    <xf numFmtId="0" fontId="9" fillId="5" borderId="41" xfId="0" applyFont="1" applyFill="1" applyBorder="1" applyAlignment="1">
      <alignment horizontal="centerContinuous"/>
    </xf>
    <xf numFmtId="44" fontId="22" fillId="5" borderId="0" xfId="0" applyNumberFormat="1" applyFont="1" applyFill="1" applyAlignment="1">
      <alignment horizontal="centerContinuous"/>
    </xf>
    <xf numFmtId="17" fontId="18" fillId="0" borderId="0" xfId="0" applyNumberFormat="1" applyFont="1" applyAlignment="1">
      <alignment horizontal="center"/>
    </xf>
    <xf numFmtId="172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0" fontId="20" fillId="2" borderId="2" xfId="0" applyFont="1" applyFill="1" applyBorder="1"/>
    <xf numFmtId="165" fontId="18" fillId="2" borderId="3" xfId="0" applyNumberFormat="1" applyFont="1" applyFill="1" applyBorder="1" applyAlignment="1">
      <alignment horizontal="right"/>
    </xf>
    <xf numFmtId="171" fontId="18" fillId="2" borderId="3" xfId="0" applyNumberFormat="1" applyFont="1" applyFill="1" applyBorder="1" applyAlignment="1">
      <alignment horizontal="right"/>
    </xf>
    <xf numFmtId="171" fontId="18" fillId="2" borderId="6" xfId="0" applyNumberFormat="1" applyFont="1" applyFill="1" applyBorder="1" applyAlignment="1">
      <alignment horizontal="right"/>
    </xf>
    <xf numFmtId="0" fontId="20" fillId="2" borderId="1" xfId="0" applyFont="1" applyFill="1" applyBorder="1"/>
    <xf numFmtId="165" fontId="18" fillId="2" borderId="0" xfId="0" applyNumberFormat="1" applyFont="1" applyFill="1" applyAlignment="1">
      <alignment horizontal="right"/>
    </xf>
    <xf numFmtId="171" fontId="18" fillId="2" borderId="0" xfId="0" applyNumberFormat="1" applyFont="1" applyFill="1" applyAlignment="1">
      <alignment horizontal="right"/>
    </xf>
    <xf numFmtId="171" fontId="18" fillId="2" borderId="7" xfId="0" applyNumberFormat="1" applyFont="1" applyFill="1" applyBorder="1" applyAlignment="1">
      <alignment horizontal="right"/>
    </xf>
    <xf numFmtId="0" fontId="20" fillId="2" borderId="4" xfId="0" applyFont="1" applyFill="1" applyBorder="1"/>
    <xf numFmtId="165" fontId="18" fillId="2" borderId="5" xfId="0" applyNumberFormat="1" applyFont="1" applyFill="1" applyBorder="1" applyAlignment="1">
      <alignment horizontal="right"/>
    </xf>
    <xf numFmtId="171" fontId="18" fillId="2" borderId="5" xfId="0" applyNumberFormat="1" applyFont="1" applyFill="1" applyBorder="1" applyAlignment="1">
      <alignment horizontal="right"/>
    </xf>
    <xf numFmtId="171" fontId="18" fillId="2" borderId="8" xfId="0" applyNumberFormat="1" applyFont="1" applyFill="1" applyBorder="1" applyAlignment="1">
      <alignment horizontal="right"/>
    </xf>
    <xf numFmtId="0" fontId="17" fillId="0" borderId="0" xfId="0" applyFont="1"/>
    <xf numFmtId="0" fontId="20" fillId="0" borderId="0" xfId="0" applyFont="1" applyAlignment="1">
      <alignment horizontal="center"/>
    </xf>
    <xf numFmtId="44" fontId="13" fillId="0" borderId="0" xfId="0" applyNumberFormat="1" applyFont="1" applyAlignment="1">
      <alignment horizontal="center"/>
    </xf>
    <xf numFmtId="171" fontId="18" fillId="6" borderId="0" xfId="0" applyNumberFormat="1" applyFont="1" applyFill="1" applyAlignment="1">
      <alignment horizontal="right"/>
    </xf>
    <xf numFmtId="0" fontId="18" fillId="0" borderId="0" xfId="0" applyFont="1" applyAlignment="1">
      <alignment horizontal="centerContinuous"/>
    </xf>
    <xf numFmtId="0" fontId="18" fillId="0" borderId="3" xfId="0" applyFont="1" applyBorder="1"/>
    <xf numFmtId="0" fontId="26" fillId="0" borderId="0" xfId="0" applyFont="1"/>
    <xf numFmtId="0" fontId="20" fillId="0" borderId="0" xfId="0" applyFont="1"/>
    <xf numFmtId="168" fontId="18" fillId="0" borderId="0" xfId="0" applyNumberFormat="1" applyFont="1"/>
    <xf numFmtId="167" fontId="18" fillId="0" borderId="0" xfId="0" applyNumberFormat="1" applyFont="1"/>
    <xf numFmtId="0" fontId="18" fillId="0" borderId="5" xfId="0" applyFont="1" applyBorder="1"/>
    <xf numFmtId="0" fontId="18" fillId="6" borderId="3" xfId="0" applyFont="1" applyFill="1" applyBorder="1"/>
    <xf numFmtId="167" fontId="20" fillId="6" borderId="3" xfId="0" applyNumberFormat="1" applyFont="1" applyFill="1" applyBorder="1"/>
    <xf numFmtId="167" fontId="18" fillId="0" borderId="0" xfId="0" applyNumberFormat="1" applyFont="1" applyAlignment="1">
      <alignment horizontal="right"/>
    </xf>
    <xf numFmtId="168" fontId="18" fillId="0" borderId="0" xfId="0" applyNumberFormat="1" applyFont="1" applyAlignment="1">
      <alignment horizontal="right"/>
    </xf>
    <xf numFmtId="0" fontId="20" fillId="6" borderId="0" xfId="0" applyFont="1" applyFill="1" applyAlignment="1">
      <alignment vertical="center"/>
    </xf>
    <xf numFmtId="0" fontId="18" fillId="6" borderId="20" xfId="0" applyFont="1" applyFill="1" applyBorder="1"/>
    <xf numFmtId="0" fontId="18" fillId="6" borderId="0" xfId="0" applyFont="1" applyFill="1"/>
    <xf numFmtId="167" fontId="20" fillId="6" borderId="20" xfId="0" applyNumberFormat="1" applyFont="1" applyFill="1" applyBorder="1" applyAlignment="1">
      <alignment horizontal="right"/>
    </xf>
    <xf numFmtId="0" fontId="17" fillId="0" borderId="15" xfId="0" applyFont="1" applyBorder="1"/>
    <xf numFmtId="44" fontId="13" fillId="0" borderId="0" xfId="0" quotePrefix="1" applyNumberFormat="1" applyFont="1" applyAlignment="1">
      <alignment horizontal="center"/>
    </xf>
    <xf numFmtId="44" fontId="13" fillId="0" borderId="25" xfId="0" applyNumberFormat="1" applyFont="1" applyBorder="1" applyAlignment="1">
      <alignment horizontal="center"/>
    </xf>
    <xf numFmtId="44" fontId="13" fillId="0" borderId="16" xfId="0" quotePrefix="1" applyNumberFormat="1" applyFont="1" applyBorder="1" applyAlignment="1">
      <alignment horizontal="center"/>
    </xf>
    <xf numFmtId="0" fontId="20" fillId="6" borderId="15" xfId="0" applyFont="1" applyFill="1" applyBorder="1"/>
    <xf numFmtId="167" fontId="20" fillId="6" borderId="0" xfId="0" applyNumberFormat="1" applyFont="1" applyFill="1" applyAlignment="1">
      <alignment horizontal="right"/>
    </xf>
    <xf numFmtId="167" fontId="20" fillId="6" borderId="25" xfId="0" applyNumberFormat="1" applyFont="1" applyFill="1" applyBorder="1" applyAlignment="1">
      <alignment horizontal="right"/>
    </xf>
    <xf numFmtId="167" fontId="20" fillId="6" borderId="16" xfId="0" applyNumberFormat="1" applyFont="1" applyFill="1" applyBorder="1" applyAlignment="1">
      <alignment horizontal="right"/>
    </xf>
    <xf numFmtId="0" fontId="17" fillId="6" borderId="15" xfId="0" applyFont="1" applyFill="1" applyBorder="1" applyAlignment="1">
      <alignment horizontal="left" indent="1"/>
    </xf>
    <xf numFmtId="165" fontId="17" fillId="6" borderId="0" xfId="0" applyNumberFormat="1" applyFont="1" applyFill="1" applyAlignment="1">
      <alignment horizontal="right"/>
    </xf>
    <xf numFmtId="165" fontId="17" fillId="6" borderId="25" xfId="0" applyNumberFormat="1" applyFont="1" applyFill="1" applyBorder="1" applyAlignment="1">
      <alignment horizontal="right"/>
    </xf>
    <xf numFmtId="165" fontId="17" fillId="6" borderId="16" xfId="0" applyNumberFormat="1" applyFont="1" applyFill="1" applyBorder="1" applyAlignment="1">
      <alignment horizontal="right"/>
    </xf>
    <xf numFmtId="0" fontId="18" fillId="0" borderId="15" xfId="0" applyFont="1" applyBorder="1"/>
    <xf numFmtId="0" fontId="18" fillId="0" borderId="25" xfId="0" applyFont="1" applyBorder="1"/>
    <xf numFmtId="0" fontId="18" fillId="0" borderId="16" xfId="0" applyFont="1" applyBorder="1"/>
    <xf numFmtId="0" fontId="20" fillId="0" borderId="15" xfId="0" applyFont="1" applyBorder="1"/>
    <xf numFmtId="167" fontId="20" fillId="0" borderId="0" xfId="0" applyNumberFormat="1" applyFont="1" applyAlignment="1">
      <alignment horizontal="right"/>
    </xf>
    <xf numFmtId="167" fontId="20" fillId="0" borderId="25" xfId="0" applyNumberFormat="1" applyFont="1" applyBorder="1" applyAlignment="1">
      <alignment horizontal="right"/>
    </xf>
    <xf numFmtId="167" fontId="20" fillId="0" borderId="16" xfId="0" applyNumberFormat="1" applyFont="1" applyBorder="1" applyAlignment="1">
      <alignment horizontal="right"/>
    </xf>
    <xf numFmtId="0" fontId="17" fillId="0" borderId="15" xfId="0" applyFont="1" applyBorder="1" applyAlignment="1">
      <alignment horizontal="left" indent="1"/>
    </xf>
    <xf numFmtId="165" fontId="17" fillId="0" borderId="0" xfId="0" applyNumberFormat="1" applyFont="1" applyAlignment="1">
      <alignment horizontal="right"/>
    </xf>
    <xf numFmtId="165" fontId="17" fillId="0" borderId="25" xfId="0" applyNumberFormat="1" applyFont="1" applyBorder="1" applyAlignment="1">
      <alignment horizontal="right"/>
    </xf>
    <xf numFmtId="165" fontId="17" fillId="0" borderId="16" xfId="0" applyNumberFormat="1" applyFont="1" applyBorder="1" applyAlignment="1">
      <alignment horizontal="right"/>
    </xf>
    <xf numFmtId="168" fontId="18" fillId="0" borderId="25" xfId="0" applyNumberFormat="1" applyFont="1" applyBorder="1" applyAlignment="1">
      <alignment horizontal="right"/>
    </xf>
    <xf numFmtId="168" fontId="18" fillId="0" borderId="16" xfId="0" applyNumberFormat="1" applyFont="1" applyBorder="1" applyAlignment="1">
      <alignment horizontal="right"/>
    </xf>
    <xf numFmtId="0" fontId="20" fillId="0" borderId="23" xfId="0" applyFont="1" applyBorder="1"/>
    <xf numFmtId="0" fontId="20" fillId="0" borderId="3" xfId="0" applyFont="1" applyBorder="1"/>
    <xf numFmtId="167" fontId="20" fillId="0" borderId="3" xfId="0" applyNumberFormat="1" applyFont="1" applyBorder="1" applyAlignment="1">
      <alignment horizontal="right"/>
    </xf>
    <xf numFmtId="167" fontId="20" fillId="0" borderId="26" xfId="0" applyNumberFormat="1" applyFont="1" applyBorder="1" applyAlignment="1">
      <alignment horizontal="right"/>
    </xf>
    <xf numFmtId="167" fontId="20" fillId="0" borderId="24" xfId="0" applyNumberFormat="1" applyFont="1" applyBorder="1" applyAlignment="1">
      <alignment horizontal="right"/>
    </xf>
    <xf numFmtId="168" fontId="18" fillId="2" borderId="25" xfId="0" applyNumberFormat="1" applyFont="1" applyFill="1" applyBorder="1" applyAlignment="1">
      <alignment horizontal="right"/>
    </xf>
    <xf numFmtId="168" fontId="18" fillId="2" borderId="0" xfId="0" applyNumberFormat="1" applyFont="1" applyFill="1" applyAlignment="1">
      <alignment horizontal="right"/>
    </xf>
    <xf numFmtId="168" fontId="18" fillId="2" borderId="16" xfId="0" applyNumberFormat="1" applyFont="1" applyFill="1" applyBorder="1" applyAlignment="1">
      <alignment horizontal="right"/>
    </xf>
    <xf numFmtId="0" fontId="20" fillId="6" borderId="23" xfId="0" applyFont="1" applyFill="1" applyBorder="1"/>
    <xf numFmtId="167" fontId="20" fillId="6" borderId="3" xfId="0" applyNumberFormat="1" applyFont="1" applyFill="1" applyBorder="1" applyAlignment="1">
      <alignment horizontal="right"/>
    </xf>
    <xf numFmtId="167" fontId="18" fillId="0" borderId="25" xfId="0" applyNumberFormat="1" applyFont="1" applyBorder="1" applyAlignment="1">
      <alignment horizontal="right"/>
    </xf>
    <xf numFmtId="167" fontId="18" fillId="0" borderId="16" xfId="0" applyNumberFormat="1" applyFont="1" applyBorder="1" applyAlignment="1">
      <alignment horizontal="right"/>
    </xf>
    <xf numFmtId="167" fontId="18" fillId="2" borderId="25" xfId="0" applyNumberFormat="1" applyFont="1" applyFill="1" applyBorder="1" applyAlignment="1">
      <alignment horizontal="right"/>
    </xf>
    <xf numFmtId="167" fontId="18" fillId="2" borderId="0" xfId="0" applyNumberFormat="1" applyFont="1" applyFill="1" applyAlignment="1">
      <alignment horizontal="right"/>
    </xf>
    <xf numFmtId="167" fontId="18" fillId="2" borderId="16" xfId="0" applyNumberFormat="1" applyFont="1" applyFill="1" applyBorder="1" applyAlignment="1">
      <alignment horizontal="right"/>
    </xf>
    <xf numFmtId="165" fontId="17" fillId="2" borderId="25" xfId="0" applyNumberFormat="1" applyFont="1" applyFill="1" applyBorder="1" applyAlignment="1">
      <alignment horizontal="right"/>
    </xf>
    <xf numFmtId="165" fontId="17" fillId="2" borderId="0" xfId="0" applyNumberFormat="1" applyFont="1" applyFill="1" applyAlignment="1">
      <alignment horizontal="right"/>
    </xf>
    <xf numFmtId="165" fontId="17" fillId="2" borderId="16" xfId="0" applyNumberFormat="1" applyFont="1" applyFill="1" applyBorder="1" applyAlignment="1">
      <alignment horizontal="right"/>
    </xf>
    <xf numFmtId="166" fontId="18" fillId="2" borderId="25" xfId="0" applyNumberFormat="1" applyFont="1" applyFill="1" applyBorder="1" applyAlignment="1">
      <alignment horizontal="right"/>
    </xf>
    <xf numFmtId="166" fontId="18" fillId="2" borderId="0" xfId="0" applyNumberFormat="1" applyFont="1" applyFill="1" applyAlignment="1">
      <alignment horizontal="right"/>
    </xf>
    <xf numFmtId="166" fontId="18" fillId="2" borderId="16" xfId="0" applyNumberFormat="1" applyFont="1" applyFill="1" applyBorder="1" applyAlignment="1">
      <alignment horizontal="right"/>
    </xf>
    <xf numFmtId="166" fontId="18" fillId="0" borderId="3" xfId="0" applyNumberFormat="1" applyFont="1" applyBorder="1" applyAlignment="1">
      <alignment horizontal="right"/>
    </xf>
    <xf numFmtId="166" fontId="18" fillId="2" borderId="26" xfId="0" applyNumberFormat="1" applyFont="1" applyFill="1" applyBorder="1" applyAlignment="1">
      <alignment horizontal="right"/>
    </xf>
    <xf numFmtId="166" fontId="18" fillId="2" borderId="3" xfId="0" applyNumberFormat="1" applyFont="1" applyFill="1" applyBorder="1" applyAlignment="1">
      <alignment horizontal="right"/>
    </xf>
    <xf numFmtId="166" fontId="18" fillId="2" borderId="24" xfId="0" applyNumberFormat="1" applyFont="1" applyFill="1" applyBorder="1" applyAlignment="1">
      <alignment horizontal="right"/>
    </xf>
    <xf numFmtId="171" fontId="18" fillId="0" borderId="0" xfId="0" applyNumberFormat="1" applyFont="1" applyAlignment="1">
      <alignment horizontal="right"/>
    </xf>
    <xf numFmtId="0" fontId="18" fillId="0" borderId="17" xfId="0" applyFont="1" applyBorder="1"/>
    <xf numFmtId="0" fontId="18" fillId="0" borderId="18" xfId="0" applyFont="1" applyBorder="1"/>
    <xf numFmtId="171" fontId="18" fillId="0" borderId="18" xfId="0" applyNumberFormat="1" applyFont="1" applyBorder="1" applyAlignment="1">
      <alignment horizontal="right"/>
    </xf>
    <xf numFmtId="166" fontId="18" fillId="2" borderId="28" xfId="0" applyNumberFormat="1" applyFont="1" applyFill="1" applyBorder="1" applyAlignment="1">
      <alignment horizontal="right"/>
    </xf>
    <xf numFmtId="166" fontId="18" fillId="2" borderId="18" xfId="0" applyNumberFormat="1" applyFont="1" applyFill="1" applyBorder="1" applyAlignment="1">
      <alignment horizontal="right"/>
    </xf>
    <xf numFmtId="166" fontId="18" fillId="2" borderId="19" xfId="0" applyNumberFormat="1" applyFont="1" applyFill="1" applyBorder="1" applyAlignment="1">
      <alignment horizontal="right"/>
    </xf>
    <xf numFmtId="44" fontId="13" fillId="0" borderId="16" xfId="0" applyNumberFormat="1" applyFont="1" applyBorder="1" applyAlignment="1">
      <alignment horizontal="center"/>
    </xf>
    <xf numFmtId="165" fontId="18" fillId="0" borderId="25" xfId="0" applyNumberFormat="1" applyFont="1" applyBorder="1" applyAlignment="1">
      <alignment horizontal="right"/>
    </xf>
    <xf numFmtId="165" fontId="18" fillId="0" borderId="16" xfId="0" applyNumberFormat="1" applyFont="1" applyBorder="1" applyAlignment="1">
      <alignment horizontal="right"/>
    </xf>
    <xf numFmtId="171" fontId="20" fillId="6" borderId="3" xfId="0" applyNumberFormat="1" applyFont="1" applyFill="1" applyBorder="1" applyAlignment="1">
      <alignment horizontal="right"/>
    </xf>
    <xf numFmtId="165" fontId="20" fillId="6" borderId="26" xfId="0" applyNumberFormat="1" applyFont="1" applyFill="1" applyBorder="1" applyAlignment="1">
      <alignment horizontal="right"/>
    </xf>
    <xf numFmtId="165" fontId="20" fillId="6" borderId="24" xfId="0" applyNumberFormat="1" applyFont="1" applyFill="1" applyBorder="1" applyAlignment="1">
      <alignment horizontal="right"/>
    </xf>
    <xf numFmtId="0" fontId="20" fillId="6" borderId="21" xfId="0" applyFont="1" applyFill="1" applyBorder="1"/>
    <xf numFmtId="171" fontId="20" fillId="6" borderId="20" xfId="0" applyNumberFormat="1" applyFont="1" applyFill="1" applyBorder="1" applyAlignment="1">
      <alignment horizontal="right"/>
    </xf>
    <xf numFmtId="165" fontId="20" fillId="6" borderId="27" xfId="0" applyNumberFormat="1" applyFont="1" applyFill="1" applyBorder="1" applyAlignment="1">
      <alignment horizontal="right"/>
    </xf>
    <xf numFmtId="165" fontId="20" fillId="6" borderId="22" xfId="0" applyNumberFormat="1" applyFont="1" applyFill="1" applyBorder="1" applyAlignment="1">
      <alignment horizontal="right"/>
    </xf>
    <xf numFmtId="0" fontId="18" fillId="2" borderId="23" xfId="0" applyFont="1" applyFill="1" applyBorder="1"/>
    <xf numFmtId="0" fontId="18" fillId="2" borderId="3" xfId="0" applyFont="1" applyFill="1" applyBorder="1"/>
    <xf numFmtId="167" fontId="18" fillId="2" borderId="3" xfId="0" applyNumberFormat="1" applyFont="1" applyFill="1" applyBorder="1" applyAlignment="1">
      <alignment horizontal="right"/>
    </xf>
    <xf numFmtId="0" fontId="18" fillId="2" borderId="24" xfId="0" applyFont="1" applyFill="1" applyBorder="1"/>
    <xf numFmtId="0" fontId="18" fillId="2" borderId="15" xfId="0" applyFont="1" applyFill="1" applyBorder="1"/>
    <xf numFmtId="0" fontId="18" fillId="2" borderId="0" xfId="0" applyFont="1" applyFill="1"/>
    <xf numFmtId="0" fontId="18" fillId="2" borderId="16" xfId="0" applyFont="1" applyFill="1" applyBorder="1"/>
    <xf numFmtId="0" fontId="18" fillId="2" borderId="17" xfId="0" applyFont="1" applyFill="1" applyBorder="1"/>
    <xf numFmtId="0" fontId="18" fillId="2" borderId="18" xfId="0" applyFont="1" applyFill="1" applyBorder="1"/>
    <xf numFmtId="171" fontId="18" fillId="2" borderId="18" xfId="0" applyNumberFormat="1" applyFont="1" applyFill="1" applyBorder="1" applyAlignment="1">
      <alignment horizontal="right"/>
    </xf>
    <xf numFmtId="0" fontId="18" fillId="2" borderId="19" xfId="0" applyFont="1" applyFill="1" applyBorder="1"/>
    <xf numFmtId="44" fontId="13" fillId="0" borderId="13" xfId="0" applyNumberFormat="1" applyFont="1" applyBorder="1" applyAlignment="1">
      <alignment horizontal="centerContinuous"/>
    </xf>
    <xf numFmtId="0" fontId="20" fillId="0" borderId="13" xfId="0" applyFont="1" applyBorder="1" applyAlignment="1">
      <alignment horizontal="center"/>
    </xf>
    <xf numFmtId="44" fontId="13" fillId="0" borderId="14" xfId="0" applyNumberFormat="1" applyFont="1" applyBorder="1" applyAlignment="1">
      <alignment horizontal="centerContinuous"/>
    </xf>
    <xf numFmtId="166" fontId="18" fillId="0" borderId="16" xfId="0" applyNumberFormat="1" applyFont="1" applyBorder="1" applyAlignment="1">
      <alignment horizontal="right"/>
    </xf>
    <xf numFmtId="0" fontId="27" fillId="0" borderId="17" xfId="0" applyFont="1" applyBorder="1"/>
    <xf numFmtId="0" fontId="20" fillId="2" borderId="30" xfId="0" applyFont="1" applyFill="1" applyBorder="1"/>
    <xf numFmtId="44" fontId="13" fillId="0" borderId="15" xfId="0" applyNumberFormat="1" applyFont="1" applyBorder="1" applyAlignment="1">
      <alignment horizontal="center"/>
    </xf>
    <xf numFmtId="17" fontId="18" fillId="0" borderId="15" xfId="0" applyNumberFormat="1" applyFont="1" applyBorder="1" applyAlignment="1">
      <alignment horizontal="center"/>
    </xf>
    <xf numFmtId="171" fontId="18" fillId="0" borderId="16" xfId="0" applyNumberFormat="1" applyFont="1" applyBorder="1" applyAlignment="1">
      <alignment horizontal="right"/>
    </xf>
    <xf numFmtId="171" fontId="18" fillId="2" borderId="24" xfId="0" applyNumberFormat="1" applyFont="1" applyFill="1" applyBorder="1" applyAlignment="1">
      <alignment horizontal="right"/>
    </xf>
    <xf numFmtId="171" fontId="18" fillId="2" borderId="16" xfId="0" applyNumberFormat="1" applyFont="1" applyFill="1" applyBorder="1" applyAlignment="1">
      <alignment horizontal="right"/>
    </xf>
    <xf numFmtId="171" fontId="18" fillId="2" borderId="19" xfId="0" applyNumberFormat="1" applyFont="1" applyFill="1" applyBorder="1" applyAlignment="1">
      <alignment horizontal="right"/>
    </xf>
    <xf numFmtId="17" fontId="18" fillId="0" borderId="13" xfId="0" applyNumberFormat="1" applyFont="1" applyBorder="1" applyAlignment="1">
      <alignment horizontal="center"/>
    </xf>
    <xf numFmtId="17" fontId="18" fillId="0" borderId="14" xfId="0" applyNumberFormat="1" applyFont="1" applyBorder="1" applyAlignment="1">
      <alignment horizontal="center"/>
    </xf>
    <xf numFmtId="0" fontId="18" fillId="0" borderId="19" xfId="0" applyFont="1" applyBorder="1"/>
    <xf numFmtId="17" fontId="18" fillId="0" borderId="15" xfId="0" applyNumberFormat="1" applyFont="1" applyBorder="1" applyAlignment="1">
      <alignment horizontal="center" vertical="top"/>
    </xf>
    <xf numFmtId="171" fontId="18" fillId="0" borderId="16" xfId="0" applyNumberFormat="1" applyFont="1" applyBorder="1" applyAlignment="1">
      <alignment horizontal="right" vertical="top"/>
    </xf>
    <xf numFmtId="167" fontId="20" fillId="6" borderId="3" xfId="0" applyNumberFormat="1" applyFont="1" applyFill="1" applyBorder="1" applyAlignment="1">
      <alignment vertical="top"/>
    </xf>
    <xf numFmtId="171" fontId="20" fillId="6" borderId="3" xfId="0" applyNumberFormat="1" applyFont="1" applyFill="1" applyBorder="1" applyAlignment="1">
      <alignment vertical="top"/>
    </xf>
    <xf numFmtId="171" fontId="20" fillId="6" borderId="24" xfId="0" applyNumberFormat="1" applyFont="1" applyFill="1" applyBorder="1" applyAlignment="1">
      <alignment vertical="top"/>
    </xf>
    <xf numFmtId="167" fontId="17" fillId="6" borderId="18" xfId="0" applyNumberFormat="1" applyFont="1" applyFill="1" applyBorder="1" applyAlignment="1">
      <alignment vertical="top"/>
    </xf>
    <xf numFmtId="171" fontId="17" fillId="6" borderId="18" xfId="0" applyNumberFormat="1" applyFont="1" applyFill="1" applyBorder="1" applyAlignment="1">
      <alignment vertical="top"/>
    </xf>
    <xf numFmtId="171" fontId="17" fillId="6" borderId="19" xfId="0" applyNumberFormat="1" applyFont="1" applyFill="1" applyBorder="1" applyAlignment="1">
      <alignment vertical="top"/>
    </xf>
    <xf numFmtId="0" fontId="18" fillId="0" borderId="14" xfId="0" applyFont="1" applyBorder="1"/>
    <xf numFmtId="0" fontId="20" fillId="6" borderId="34" xfId="0" applyFont="1" applyFill="1" applyBorder="1" applyAlignment="1">
      <alignment horizontal="right"/>
    </xf>
    <xf numFmtId="0" fontId="20" fillId="6" borderId="32" xfId="0" applyFont="1" applyFill="1" applyBorder="1"/>
    <xf numFmtId="0" fontId="20" fillId="6" borderId="33" xfId="0" applyFont="1" applyFill="1" applyBorder="1"/>
    <xf numFmtId="0" fontId="20" fillId="6" borderId="29" xfId="0" applyFont="1" applyFill="1" applyBorder="1" applyAlignment="1">
      <alignment horizontal="right"/>
    </xf>
    <xf numFmtId="17" fontId="20" fillId="6" borderId="29" xfId="0" applyNumberFormat="1" applyFont="1" applyFill="1" applyBorder="1" applyAlignment="1">
      <alignment horizontal="center"/>
    </xf>
    <xf numFmtId="167" fontId="20" fillId="6" borderId="35" xfId="0" applyNumberFormat="1" applyFont="1" applyFill="1" applyBorder="1"/>
    <xf numFmtId="17" fontId="18" fillId="0" borderId="0" xfId="0" applyNumberFormat="1" applyFont="1" applyAlignment="1">
      <alignment horizontal="left"/>
    </xf>
    <xf numFmtId="0" fontId="18" fillId="2" borderId="6" xfId="0" applyFont="1" applyFill="1" applyBorder="1"/>
    <xf numFmtId="0" fontId="18" fillId="2" borderId="7" xfId="0" applyFont="1" applyFill="1" applyBorder="1"/>
    <xf numFmtId="0" fontId="28" fillId="2" borderId="4" xfId="0" applyFont="1" applyFill="1" applyBorder="1"/>
    <xf numFmtId="0" fontId="18" fillId="2" borderId="5" xfId="0" applyFont="1" applyFill="1" applyBorder="1"/>
    <xf numFmtId="0" fontId="18" fillId="2" borderId="8" xfId="0" applyFont="1" applyFill="1" applyBorder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left" indent="1"/>
    </xf>
    <xf numFmtId="165" fontId="18" fillId="0" borderId="0" xfId="0" applyNumberFormat="1" applyFont="1"/>
    <xf numFmtId="0" fontId="18" fillId="4" borderId="0" xfId="0" applyFont="1" applyFill="1"/>
    <xf numFmtId="167" fontId="17" fillId="6" borderId="0" xfId="0" applyNumberFormat="1" applyFont="1" applyFill="1" applyAlignment="1">
      <alignment horizontal="right"/>
    </xf>
    <xf numFmtId="17" fontId="19" fillId="7" borderId="0" xfId="0" applyNumberFormat="1" applyFont="1" applyFill="1" applyAlignment="1">
      <alignment horizontal="center" vertical="top"/>
    </xf>
    <xf numFmtId="0" fontId="19" fillId="7" borderId="0" xfId="0" applyFont="1" applyFill="1" applyAlignment="1">
      <alignment vertical="top"/>
    </xf>
    <xf numFmtId="0" fontId="14" fillId="7" borderId="0" xfId="0" applyFont="1" applyFill="1" applyAlignment="1">
      <alignment vertical="top"/>
    </xf>
    <xf numFmtId="167" fontId="19" fillId="7" borderId="0" xfId="0" applyNumberFormat="1" applyFont="1" applyFill="1" applyAlignment="1">
      <alignment horizontal="right"/>
    </xf>
    <xf numFmtId="0" fontId="20" fillId="6" borderId="3" xfId="0" applyFont="1" applyFill="1" applyBorder="1" applyAlignment="1">
      <alignment horizontal="left" vertical="top"/>
    </xf>
    <xf numFmtId="165" fontId="20" fillId="6" borderId="3" xfId="0" applyNumberFormat="1" applyFont="1" applyFill="1" applyBorder="1" applyAlignment="1">
      <alignment vertical="top"/>
    </xf>
    <xf numFmtId="0" fontId="17" fillId="6" borderId="47" xfId="0" applyFont="1" applyFill="1" applyBorder="1" applyAlignment="1">
      <alignment horizontal="left" vertical="top"/>
    </xf>
    <xf numFmtId="0" fontId="17" fillId="6" borderId="47" xfId="0" applyFont="1" applyFill="1" applyBorder="1" applyAlignment="1">
      <alignment vertical="top"/>
    </xf>
    <xf numFmtId="167" fontId="17" fillId="6" borderId="47" xfId="0" applyNumberFormat="1" applyFont="1" applyFill="1" applyBorder="1" applyAlignment="1">
      <alignment vertical="top"/>
    </xf>
    <xf numFmtId="165" fontId="17" fillId="6" borderId="47" xfId="0" applyNumberFormat="1" applyFont="1" applyFill="1" applyBorder="1" applyAlignment="1">
      <alignment vertical="top"/>
    </xf>
    <xf numFmtId="171" fontId="17" fillId="6" borderId="47" xfId="0" applyNumberFormat="1" applyFont="1" applyFill="1" applyBorder="1" applyAlignment="1">
      <alignment vertical="top"/>
    </xf>
    <xf numFmtId="44" fontId="13" fillId="0" borderId="0" xfId="0" applyNumberFormat="1" applyFont="1" applyAlignment="1">
      <alignment horizontal="centerContinuous" vertical="top"/>
    </xf>
    <xf numFmtId="165" fontId="14" fillId="7" borderId="0" xfId="0" applyNumberFormat="1" applyFont="1" applyFill="1" applyAlignment="1">
      <alignment horizontal="right"/>
    </xf>
    <xf numFmtId="171" fontId="14" fillId="7" borderId="0" xfId="0" applyNumberFormat="1" applyFont="1" applyFill="1" applyAlignment="1">
      <alignment horizontal="right"/>
    </xf>
    <xf numFmtId="167" fontId="14" fillId="7" borderId="0" xfId="0" applyNumberFormat="1" applyFont="1" applyFill="1" applyAlignment="1">
      <alignment horizontal="right"/>
    </xf>
    <xf numFmtId="0" fontId="18" fillId="0" borderId="0" xfId="0" applyFont="1" applyAlignment="1">
      <alignment horizontal="right"/>
    </xf>
    <xf numFmtId="44" fontId="13" fillId="5" borderId="0" xfId="0" applyNumberFormat="1" applyFont="1" applyFill="1" applyAlignment="1">
      <alignment horizontal="centerContinuous"/>
    </xf>
    <xf numFmtId="0" fontId="25" fillId="0" borderId="0" xfId="0" applyFont="1"/>
    <xf numFmtId="17" fontId="18" fillId="6" borderId="13" xfId="0" applyNumberFormat="1" applyFont="1" applyFill="1" applyBorder="1" applyAlignment="1">
      <alignment horizontal="center"/>
    </xf>
    <xf numFmtId="44" fontId="13" fillId="6" borderId="0" xfId="0" applyNumberFormat="1" applyFont="1" applyFill="1" applyAlignment="1">
      <alignment horizontal="center"/>
    </xf>
    <xf numFmtId="0" fontId="18" fillId="6" borderId="18" xfId="0" applyFont="1" applyFill="1" applyBorder="1"/>
    <xf numFmtId="171" fontId="6" fillId="6" borderId="0" xfId="0" applyNumberFormat="1" applyFont="1" applyFill="1" applyAlignment="1">
      <alignment horizontal="right"/>
    </xf>
    <xf numFmtId="0" fontId="6" fillId="6" borderId="0" xfId="0" applyFont="1" applyFill="1"/>
    <xf numFmtId="0" fontId="18" fillId="5" borderId="10" xfId="0" applyFont="1" applyFill="1" applyBorder="1"/>
    <xf numFmtId="0" fontId="9" fillId="5" borderId="52" xfId="0" applyFont="1" applyFill="1" applyBorder="1" applyAlignment="1">
      <alignment horizontal="center"/>
    </xf>
    <xf numFmtId="167" fontId="7" fillId="4" borderId="29" xfId="1" applyNumberFormat="1" applyFont="1" applyFill="1" applyBorder="1" applyAlignment="1">
      <alignment horizontal="center"/>
    </xf>
    <xf numFmtId="167" fontId="25" fillId="6" borderId="0" xfId="0" applyNumberFormat="1" applyFont="1" applyFill="1"/>
    <xf numFmtId="167" fontId="25" fillId="0" borderId="0" xfId="0" applyNumberFormat="1" applyFont="1"/>
    <xf numFmtId="17" fontId="25" fillId="6" borderId="39" xfId="0" applyNumberFormat="1" applyFont="1" applyFill="1" applyBorder="1" applyAlignment="1">
      <alignment horizontal="center"/>
    </xf>
    <xf numFmtId="0" fontId="20" fillId="5" borderId="45" xfId="0" applyFont="1" applyFill="1" applyBorder="1" applyAlignment="1">
      <alignment horizontal="centerContinuous"/>
    </xf>
    <xf numFmtId="0" fontId="20" fillId="5" borderId="46" xfId="0" applyFont="1" applyFill="1" applyBorder="1" applyAlignment="1">
      <alignment horizontal="centerContinuous"/>
    </xf>
    <xf numFmtId="0" fontId="20" fillId="5" borderId="42" xfId="0" applyFont="1" applyFill="1" applyBorder="1" applyAlignment="1">
      <alignment horizontal="centerContinuous"/>
    </xf>
    <xf numFmtId="0" fontId="20" fillId="5" borderId="43" xfId="0" applyFont="1" applyFill="1" applyBorder="1" applyAlignment="1">
      <alignment horizontal="centerContinuous"/>
    </xf>
    <xf numFmtId="0" fontId="20" fillId="6" borderId="38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17" fontId="18" fillId="0" borderId="4" xfId="0" applyNumberFormat="1" applyFont="1" applyBorder="1" applyAlignment="1">
      <alignment horizontal="center"/>
    </xf>
    <xf numFmtId="17" fontId="18" fillId="0" borderId="5" xfId="0" applyNumberFormat="1" applyFont="1" applyBorder="1" applyAlignment="1">
      <alignment horizontal="center"/>
    </xf>
    <xf numFmtId="17" fontId="18" fillId="6" borderId="8" xfId="0" applyNumberFormat="1" applyFont="1" applyFill="1" applyBorder="1" applyAlignment="1">
      <alignment horizontal="center"/>
    </xf>
    <xf numFmtId="0" fontId="18" fillId="5" borderId="50" xfId="0" applyFont="1" applyFill="1" applyBorder="1"/>
    <xf numFmtId="0" fontId="18" fillId="5" borderId="51" xfId="0" applyFont="1" applyFill="1" applyBorder="1"/>
    <xf numFmtId="0" fontId="18" fillId="5" borderId="32" xfId="0" applyFont="1" applyFill="1" applyBorder="1"/>
    <xf numFmtId="0" fontId="18" fillId="0" borderId="0" xfId="0" applyFont="1" applyAlignment="1">
      <alignment horizontal="right" indent="1"/>
    </xf>
    <xf numFmtId="0" fontId="20" fillId="0" borderId="20" xfId="0" applyFont="1" applyBorder="1"/>
    <xf numFmtId="0" fontId="18" fillId="0" borderId="20" xfId="0" applyFont="1" applyBorder="1"/>
    <xf numFmtId="167" fontId="20" fillId="0" borderId="20" xfId="0" applyNumberFormat="1" applyFont="1" applyBorder="1" applyAlignment="1">
      <alignment horizontal="right"/>
    </xf>
    <xf numFmtId="168" fontId="17" fillId="6" borderId="0" xfId="0" applyNumberFormat="1" applyFont="1" applyFill="1" applyAlignment="1">
      <alignment horizontal="right"/>
    </xf>
    <xf numFmtId="168" fontId="17" fillId="0" borderId="0" xfId="0" applyNumberFormat="1" applyFont="1" applyAlignment="1">
      <alignment horizontal="right"/>
    </xf>
    <xf numFmtId="168" fontId="18" fillId="6" borderId="0" xfId="0" applyNumberFormat="1" applyFont="1" applyFill="1" applyAlignment="1">
      <alignment horizontal="right"/>
    </xf>
    <xf numFmtId="167" fontId="18" fillId="6" borderId="0" xfId="0" applyNumberFormat="1" applyFont="1" applyFill="1" applyAlignment="1">
      <alignment horizontal="right"/>
    </xf>
    <xf numFmtId="167" fontId="17" fillId="0" borderId="0" xfId="0" applyNumberFormat="1" applyFont="1" applyAlignment="1">
      <alignment horizontal="right"/>
    </xf>
    <xf numFmtId="167" fontId="17" fillId="3" borderId="0" xfId="0" applyNumberFormat="1" applyFont="1" applyFill="1" applyAlignment="1">
      <alignment horizontal="right"/>
    </xf>
    <xf numFmtId="165" fontId="18" fillId="6" borderId="0" xfId="0" applyNumberFormat="1" applyFont="1" applyFill="1" applyAlignment="1">
      <alignment horizontal="right"/>
    </xf>
    <xf numFmtId="165" fontId="18" fillId="3" borderId="0" xfId="0" applyNumberFormat="1" applyFont="1" applyFill="1" applyAlignment="1">
      <alignment horizontal="right"/>
    </xf>
    <xf numFmtId="167" fontId="20" fillId="0" borderId="3" xfId="0" applyNumberFormat="1" applyFont="1" applyBorder="1"/>
    <xf numFmtId="168" fontId="25" fillId="6" borderId="0" xfId="0" applyNumberFormat="1" applyFont="1" applyFill="1" applyAlignment="1">
      <alignment horizontal="right"/>
    </xf>
    <xf numFmtId="168" fontId="25" fillId="0" borderId="0" xfId="0" applyNumberFormat="1" applyFont="1" applyAlignment="1">
      <alignment horizontal="right"/>
    </xf>
    <xf numFmtId="0" fontId="29" fillId="0" borderId="3" xfId="0" applyFont="1" applyBorder="1"/>
    <xf numFmtId="171" fontId="24" fillId="4" borderId="0" xfId="0" applyNumberFormat="1" applyFont="1" applyFill="1" applyAlignment="1">
      <alignment horizontal="right"/>
    </xf>
    <xf numFmtId="168" fontId="25" fillId="6" borderId="5" xfId="0" applyNumberFormat="1" applyFont="1" applyFill="1" applyBorder="1"/>
    <xf numFmtId="168" fontId="25" fillId="0" borderId="5" xfId="0" applyNumberFormat="1" applyFont="1" applyBorder="1"/>
    <xf numFmtId="171" fontId="14" fillId="6" borderId="20" xfId="0" applyNumberFormat="1" applyFont="1" applyFill="1" applyBorder="1" applyAlignment="1">
      <alignment horizontal="right"/>
    </xf>
    <xf numFmtId="171" fontId="14" fillId="0" borderId="20" xfId="0" applyNumberFormat="1" applyFont="1" applyBorder="1" applyAlignment="1">
      <alignment horizontal="right"/>
    </xf>
    <xf numFmtId="171" fontId="20" fillId="0" borderId="20" xfId="0" applyNumberFormat="1" applyFont="1" applyBorder="1" applyAlignment="1">
      <alignment horizontal="right"/>
    </xf>
    <xf numFmtId="0" fontId="14" fillId="0" borderId="20" xfId="0" applyFont="1" applyBorder="1"/>
    <xf numFmtId="0" fontId="6" fillId="0" borderId="20" xfId="0" applyFont="1" applyBorder="1"/>
    <xf numFmtId="0" fontId="15" fillId="0" borderId="0" xfId="0" applyFont="1" applyAlignment="1">
      <alignment horizontal="left" indent="1"/>
    </xf>
    <xf numFmtId="167" fontId="25" fillId="0" borderId="29" xfId="0" applyNumberFormat="1" applyFont="1" applyBorder="1"/>
    <xf numFmtId="167" fontId="14" fillId="6" borderId="20" xfId="0" applyNumberFormat="1" applyFont="1" applyFill="1" applyBorder="1" applyAlignment="1">
      <alignment horizontal="right"/>
    </xf>
    <xf numFmtId="167" fontId="14" fillId="0" borderId="20" xfId="0" applyNumberFormat="1" applyFont="1" applyBorder="1" applyAlignment="1">
      <alignment horizontal="right"/>
    </xf>
    <xf numFmtId="167" fontId="24" fillId="4" borderId="0" xfId="0" applyNumberFormat="1" applyFont="1" applyFill="1" applyAlignment="1">
      <alignment horizontal="right"/>
    </xf>
    <xf numFmtId="167" fontId="16" fillId="0" borderId="0" xfId="0" applyNumberFormat="1" applyFont="1" applyAlignment="1">
      <alignment horizontal="right"/>
    </xf>
    <xf numFmtId="167" fontId="16" fillId="0" borderId="16" xfId="0" applyNumberFormat="1" applyFont="1" applyBorder="1" applyAlignment="1">
      <alignment horizontal="right"/>
    </xf>
    <xf numFmtId="167" fontId="6" fillId="0" borderId="16" xfId="0" applyNumberFormat="1" applyFont="1" applyBorder="1" applyAlignment="1">
      <alignment horizontal="right"/>
    </xf>
    <xf numFmtId="167" fontId="19" fillId="4" borderId="0" xfId="0" applyNumberFormat="1" applyFont="1" applyFill="1" applyAlignment="1">
      <alignment horizontal="right"/>
    </xf>
    <xf numFmtId="0" fontId="18" fillId="3" borderId="0" xfId="0" applyFont="1" applyFill="1"/>
    <xf numFmtId="0" fontId="18" fillId="0" borderId="32" xfId="0" applyFont="1" applyBorder="1"/>
    <xf numFmtId="0" fontId="18" fillId="0" borderId="33" xfId="0" applyFont="1" applyBorder="1"/>
    <xf numFmtId="168" fontId="18" fillId="6" borderId="0" xfId="0" applyNumberFormat="1" applyFont="1" applyFill="1"/>
    <xf numFmtId="166" fontId="18" fillId="6" borderId="0" xfId="0" applyNumberFormat="1" applyFont="1" applyFill="1" applyAlignment="1">
      <alignment horizontal="right"/>
    </xf>
    <xf numFmtId="166" fontId="18" fillId="6" borderId="3" xfId="0" applyNumberFormat="1" applyFont="1" applyFill="1" applyBorder="1" applyAlignment="1">
      <alignment horizontal="right"/>
    </xf>
    <xf numFmtId="0" fontId="18" fillId="6" borderId="0" xfId="0" applyFont="1" applyFill="1" applyAlignment="1">
      <alignment horizontal="center"/>
    </xf>
    <xf numFmtId="178" fontId="18" fillId="0" borderId="0" xfId="0" applyNumberFormat="1" applyFont="1" applyAlignment="1">
      <alignment horizontal="center"/>
    </xf>
    <xf numFmtId="178" fontId="18" fillId="6" borderId="0" xfId="0" applyNumberFormat="1" applyFont="1" applyFill="1" applyAlignment="1">
      <alignment horizontal="center"/>
    </xf>
    <xf numFmtId="167" fontId="18" fillId="6" borderId="0" xfId="0" applyNumberFormat="1" applyFont="1" applyFill="1"/>
    <xf numFmtId="0" fontId="20" fillId="5" borderId="48" xfId="0" applyFont="1" applyFill="1" applyBorder="1" applyAlignment="1">
      <alignment horizontal="centerContinuous"/>
    </xf>
    <xf numFmtId="0" fontId="19" fillId="0" borderId="31" xfId="0" applyFont="1" applyBorder="1" applyAlignment="1">
      <alignment vertical="top"/>
    </xf>
    <xf numFmtId="17" fontId="20" fillId="2" borderId="15" xfId="0" applyNumberFormat="1" applyFont="1" applyFill="1" applyBorder="1" applyAlignment="1">
      <alignment horizontal="center" vertical="top"/>
    </xf>
    <xf numFmtId="0" fontId="20" fillId="2" borderId="0" xfId="0" applyFont="1" applyFill="1" applyAlignment="1">
      <alignment vertical="top"/>
    </xf>
    <xf numFmtId="167" fontId="20" fillId="2" borderId="0" xfId="0" applyNumberFormat="1" applyFont="1" applyFill="1" applyAlignment="1">
      <alignment horizontal="right"/>
    </xf>
    <xf numFmtId="171" fontId="20" fillId="2" borderId="0" xfId="0" applyNumberFormat="1" applyFont="1" applyFill="1" applyAlignment="1">
      <alignment horizontal="right"/>
    </xf>
    <xf numFmtId="171" fontId="20" fillId="2" borderId="16" xfId="0" applyNumberFormat="1" applyFont="1" applyFill="1" applyBorder="1" applyAlignment="1">
      <alignment horizontal="right" vertical="top"/>
    </xf>
    <xf numFmtId="167" fontId="24" fillId="4" borderId="29" xfId="0" applyNumberFormat="1" applyFont="1" applyFill="1" applyBorder="1" applyAlignment="1">
      <alignment horizontal="right"/>
    </xf>
    <xf numFmtId="167" fontId="32" fillId="6" borderId="0" xfId="0" applyNumberFormat="1" applyFont="1" applyFill="1" applyAlignment="1">
      <alignment horizontal="right"/>
    </xf>
    <xf numFmtId="167" fontId="32" fillId="0" borderId="0" xfId="0" applyNumberFormat="1" applyFont="1" applyAlignment="1">
      <alignment horizontal="right"/>
    </xf>
    <xf numFmtId="0" fontId="19" fillId="4" borderId="20" xfId="0" applyFont="1" applyFill="1" applyBorder="1"/>
    <xf numFmtId="0" fontId="18" fillId="4" borderId="20" xfId="0" applyFont="1" applyFill="1" applyBorder="1"/>
    <xf numFmtId="0" fontId="7" fillId="4" borderId="5" xfId="0" applyFont="1" applyFill="1" applyBorder="1"/>
    <xf numFmtId="0" fontId="18" fillId="4" borderId="5" xfId="0" applyFont="1" applyFill="1" applyBorder="1"/>
    <xf numFmtId="165" fontId="30" fillId="0" borderId="0" xfId="0" applyNumberFormat="1" applyFont="1" applyAlignment="1">
      <alignment horizontal="right"/>
    </xf>
    <xf numFmtId="165" fontId="30" fillId="0" borderId="16" xfId="0" applyNumberFormat="1" applyFont="1" applyBorder="1" applyAlignment="1">
      <alignment horizontal="right"/>
    </xf>
    <xf numFmtId="165" fontId="15" fillId="0" borderId="0" xfId="0" applyNumberFormat="1" applyFont="1" applyAlignment="1">
      <alignment horizontal="right"/>
    </xf>
    <xf numFmtId="165" fontId="15" fillId="6" borderId="0" xfId="0" applyNumberFormat="1" applyFont="1" applyFill="1" applyAlignment="1">
      <alignment horizontal="right"/>
    </xf>
    <xf numFmtId="171" fontId="18" fillId="0" borderId="0" xfId="0" applyNumberFormat="1" applyFont="1"/>
    <xf numFmtId="171" fontId="7" fillId="4" borderId="29" xfId="0" applyNumberFormat="1" applyFont="1" applyFill="1" applyBorder="1" applyAlignment="1">
      <alignment horizontal="right"/>
    </xf>
    <xf numFmtId="171" fontId="18" fillId="6" borderId="0" xfId="0" applyNumberFormat="1" applyFont="1" applyFill="1"/>
    <xf numFmtId="172" fontId="18" fillId="0" borderId="0" xfId="0" applyNumberFormat="1" applyFont="1"/>
    <xf numFmtId="172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7" fontId="19" fillId="4" borderId="20" xfId="0" applyNumberFormat="1" applyFont="1" applyFill="1" applyBorder="1" applyAlignment="1">
      <alignment horizontal="right"/>
    </xf>
    <xf numFmtId="0" fontId="7" fillId="0" borderId="0" xfId="0" quotePrefix="1" applyFont="1" applyAlignment="1">
      <alignment horizontal="right" indent="1"/>
    </xf>
    <xf numFmtId="0" fontId="7" fillId="0" borderId="0" xfId="0" applyFont="1" applyAlignment="1">
      <alignment horizontal="right" indent="1"/>
    </xf>
    <xf numFmtId="0" fontId="19" fillId="0" borderId="0" xfId="0" quotePrefix="1" applyFont="1" applyAlignment="1">
      <alignment horizontal="right" indent="1"/>
    </xf>
    <xf numFmtId="167" fontId="33" fillId="6" borderId="0" xfId="0" applyNumberFormat="1" applyFont="1" applyFill="1" applyAlignment="1">
      <alignment horizontal="right"/>
    </xf>
    <xf numFmtId="167" fontId="33" fillId="0" borderId="0" xfId="0" applyNumberFormat="1" applyFont="1" applyAlignment="1">
      <alignment horizontal="right"/>
    </xf>
    <xf numFmtId="0" fontId="19" fillId="4" borderId="0" xfId="0" applyFont="1" applyFill="1"/>
    <xf numFmtId="0" fontId="24" fillId="4" borderId="0" xfId="0" applyFont="1" applyFill="1" applyAlignment="1">
      <alignment horizontal="left" indent="1"/>
    </xf>
    <xf numFmtId="0" fontId="19" fillId="0" borderId="0" xfId="0" applyFont="1"/>
    <xf numFmtId="176" fontId="7" fillId="4" borderId="33" xfId="0" applyNumberFormat="1" applyFont="1" applyFill="1" applyBorder="1" applyAlignment="1">
      <alignment horizontal="center"/>
    </xf>
    <xf numFmtId="0" fontId="7" fillId="4" borderId="33" xfId="0" applyFont="1" applyFill="1" applyBorder="1"/>
    <xf numFmtId="0" fontId="7" fillId="4" borderId="2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24" xfId="0" applyFont="1" applyFill="1" applyBorder="1" applyAlignment="1">
      <alignment horizontal="left" vertical="top" wrapText="1"/>
    </xf>
    <xf numFmtId="0" fontId="7" fillId="4" borderId="15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7" fillId="4" borderId="16" xfId="0" applyFont="1" applyFill="1" applyBorder="1" applyAlignment="1">
      <alignment horizontal="left" vertical="top" wrapText="1"/>
    </xf>
    <xf numFmtId="0" fontId="7" fillId="4" borderId="36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 wrapText="1"/>
    </xf>
    <xf numFmtId="0" fontId="7" fillId="4" borderId="37" xfId="0" applyFont="1" applyFill="1" applyBorder="1" applyAlignment="1">
      <alignment horizontal="left" vertical="top" wrapText="1"/>
    </xf>
    <xf numFmtId="0" fontId="7" fillId="4" borderId="17" xfId="0" applyFont="1" applyFill="1" applyBorder="1" applyAlignment="1">
      <alignment horizontal="left" vertical="top" wrapText="1"/>
    </xf>
    <xf numFmtId="0" fontId="7" fillId="4" borderId="18" xfId="0" applyFont="1" applyFill="1" applyBorder="1" applyAlignment="1">
      <alignment horizontal="left" vertical="top" wrapText="1"/>
    </xf>
    <xf numFmtId="0" fontId="7" fillId="4" borderId="19" xfId="0" applyFont="1" applyFill="1" applyBorder="1" applyAlignment="1">
      <alignment horizontal="left" vertical="top" wrapText="1"/>
    </xf>
    <xf numFmtId="0" fontId="7" fillId="4" borderId="12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horizontal="left" vertical="top" wrapText="1"/>
    </xf>
    <xf numFmtId="0" fontId="7" fillId="4" borderId="14" xfId="0" applyFont="1" applyFill="1" applyBorder="1" applyAlignment="1">
      <alignment horizontal="left" vertical="top" wrapText="1"/>
    </xf>
    <xf numFmtId="0" fontId="18" fillId="0" borderId="12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18" fillId="0" borderId="14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16" xfId="0" applyFont="1" applyBorder="1" applyAlignment="1">
      <alignment horizontal="left" vertical="top" wrapText="1"/>
    </xf>
    <xf numFmtId="0" fontId="18" fillId="0" borderId="17" xfId="0" applyFont="1" applyBorder="1" applyAlignment="1">
      <alignment horizontal="left" vertical="top" wrapText="1"/>
    </xf>
    <xf numFmtId="0" fontId="18" fillId="0" borderId="18" xfId="0" applyFont="1" applyBorder="1" applyAlignment="1">
      <alignment horizontal="left" vertical="top" wrapText="1"/>
    </xf>
    <xf numFmtId="0" fontId="18" fillId="0" borderId="19" xfId="0" applyFont="1" applyBorder="1" applyAlignment="1">
      <alignment horizontal="left" vertical="top" wrapText="1"/>
    </xf>
    <xf numFmtId="0" fontId="20" fillId="6" borderId="12" xfId="0" applyFont="1" applyFill="1" applyBorder="1" applyAlignment="1">
      <alignment horizontal="left" vertical="top" wrapText="1"/>
    </xf>
    <xf numFmtId="0" fontId="20" fillId="6" borderId="13" xfId="0" applyFont="1" applyFill="1" applyBorder="1" applyAlignment="1">
      <alignment horizontal="left" vertical="top" wrapText="1"/>
    </xf>
    <xf numFmtId="0" fontId="20" fillId="6" borderId="14" xfId="0" applyFont="1" applyFill="1" applyBorder="1" applyAlignment="1">
      <alignment horizontal="left" vertical="top" wrapText="1"/>
    </xf>
    <xf numFmtId="0" fontId="20" fillId="6" borderId="15" xfId="0" applyFont="1" applyFill="1" applyBorder="1" applyAlignment="1">
      <alignment horizontal="left" vertical="top" wrapText="1"/>
    </xf>
    <xf numFmtId="0" fontId="20" fillId="6" borderId="0" xfId="0" applyFont="1" applyFill="1" applyAlignment="1">
      <alignment horizontal="left" vertical="top" wrapText="1"/>
    </xf>
    <xf numFmtId="0" fontId="20" fillId="6" borderId="16" xfId="0" applyFont="1" applyFill="1" applyBorder="1" applyAlignment="1">
      <alignment horizontal="left" vertical="top" wrapText="1"/>
    </xf>
    <xf numFmtId="0" fontId="20" fillId="6" borderId="17" xfId="0" applyFont="1" applyFill="1" applyBorder="1" applyAlignment="1">
      <alignment horizontal="left" vertical="top" wrapText="1"/>
    </xf>
    <xf numFmtId="0" fontId="20" fillId="6" borderId="18" xfId="0" applyFont="1" applyFill="1" applyBorder="1" applyAlignment="1">
      <alignment horizontal="left" vertical="top" wrapText="1"/>
    </xf>
    <xf numFmtId="0" fontId="20" fillId="6" borderId="19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top" wrapText="1"/>
    </xf>
    <xf numFmtId="0" fontId="7" fillId="0" borderId="0" xfId="0" applyFont="1" applyBorder="1"/>
    <xf numFmtId="0" fontId="18" fillId="0" borderId="0" xfId="0" applyFont="1" applyBorder="1"/>
  </cellXfs>
  <cellStyles count="2">
    <cellStyle name="Normal" xfId="0" builtinId="0"/>
    <cellStyle name="Percent" xfId="1" builtinId="5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0000FF"/>
      </font>
      <numFmt numFmtId="167" formatCode="&quot;$&quot;#,##0_);\(&quot;$&quot;#,##0\);&quot;$--&quot;_);@_)"/>
      <fill>
        <patternFill>
          <bgColor rgb="FFFFFFCC"/>
        </patternFill>
      </fill>
    </dxf>
    <dxf>
      <font>
        <color rgb="FF0000FF"/>
      </font>
      <numFmt numFmtId="165" formatCode="#,##0.0%_);\(#,##0.0%\);&quot;--%&quot;_);@_)"/>
      <fill>
        <patternFill>
          <bgColor rgb="FFFFFFCC"/>
        </patternFill>
      </fill>
    </dxf>
    <dxf>
      <font>
        <color rgb="FF0000FF"/>
      </font>
      <numFmt numFmtId="165" formatCode="#,##0.0%_);\(#,##0.0%\);&quot;--%&quot;_);@_)"/>
      <fill>
        <patternFill>
          <bgColor rgb="FFFFFFCC"/>
        </patternFill>
      </fill>
    </dxf>
    <dxf>
      <font>
        <color rgb="FF0000FF"/>
      </font>
      <numFmt numFmtId="167" formatCode="&quot;$&quot;#,##0_);\(&quot;$&quot;#,##0\);&quot;$--&quot;_);@_)"/>
      <fill>
        <patternFill>
          <bgColor rgb="FFFFFFCC"/>
        </patternFill>
      </fill>
    </dxf>
    <dxf>
      <font>
        <color rgb="FF0000FF"/>
      </font>
      <numFmt numFmtId="165" formatCode="#,##0.0%_);\(#,##0.0%\);&quot;--%&quot;_);@_)"/>
      <fill>
        <patternFill>
          <bgColor rgb="FFFFFFCC"/>
        </patternFill>
      </fill>
    </dxf>
    <dxf>
      <font>
        <color rgb="FF0000FF"/>
      </font>
      <numFmt numFmtId="167" formatCode="&quot;$&quot;#,##0_);\(&quot;$&quot;#,##0\);&quot;$--&quot;_);@_)"/>
      <fill>
        <patternFill>
          <bgColor rgb="FFFFFFCC"/>
        </patternFill>
      </fill>
    </dxf>
    <dxf>
      <font>
        <color rgb="FF0000FF"/>
      </font>
      <numFmt numFmtId="165" formatCode="#,##0.0%_);\(#,##0.0%\);&quot;--%&quot;_);@_)"/>
      <fill>
        <patternFill>
          <bgColor rgb="FFFFFFCC"/>
        </patternFill>
      </fill>
    </dxf>
    <dxf>
      <font>
        <color rgb="FF0000FF"/>
      </font>
      <numFmt numFmtId="167" formatCode="&quot;$&quot;#,##0_);\(&quot;$&quot;#,##0\);&quot;$--&quot;_);@_)"/>
      <fill>
        <patternFill>
          <bgColor rgb="FFFFFFCC"/>
        </patternFill>
      </fill>
    </dxf>
    <dxf>
      <font>
        <color rgb="FF0000FF"/>
      </font>
      <numFmt numFmtId="165" formatCode="#,##0.0%_);\(#,##0.0%\);&quot;--%&quot;_);@_)"/>
      <fill>
        <patternFill>
          <bgColor rgb="FFFFFFCC"/>
        </patternFill>
      </fill>
    </dxf>
    <dxf>
      <font>
        <color rgb="FF0000FF"/>
      </font>
      <numFmt numFmtId="167" formatCode="&quot;$&quot;#,##0_);\(&quot;$&quot;#,##0\);&quot;$--&quot;_);@_)"/>
      <fill>
        <patternFill>
          <bgColor rgb="FFFFFFCC"/>
        </patternFill>
      </fill>
    </dxf>
    <dxf>
      <font>
        <color rgb="FF0000FF"/>
      </font>
      <numFmt numFmtId="165" formatCode="#,##0.0%_);\(#,##0.0%\);&quot;--%&quot;_);@_)"/>
      <fill>
        <patternFill>
          <bgColor rgb="FFFFFFCC"/>
        </patternFill>
      </fill>
    </dxf>
    <dxf>
      <font>
        <color rgb="FF0000FF"/>
      </font>
      <numFmt numFmtId="167" formatCode="&quot;$&quot;#,##0_);\(&quot;$&quot;#,##0\);&quot;$--&quot;_);@_)"/>
      <fill>
        <patternFill>
          <bgColor rgb="FFFFFFCC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CC"/>
      <color rgb="FF0000FF"/>
      <color rgb="FFFFE9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Charts!$BR$96</c:f>
              <c:strCache>
                <c:ptCount val="1"/>
                <c:pt idx="0">
                  <c:v> TNL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\x_);\(#,##0.00\x\);&quot;--x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Charts!$BQ$97:$BQ$101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Charts!$BR$97:$BR$101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B-4659-A73B-A010D79E7D45}"/>
            </c:ext>
          </c:extLst>
        </c:ser>
        <c:ser>
          <c:idx val="1"/>
          <c:order val="1"/>
          <c:tx>
            <c:strRef>
              <c:f>Charts!$BS$96</c:f>
              <c:strCache>
                <c:ptCount val="1"/>
                <c:pt idx="0">
                  <c:v> Covenant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\x_);\(#,##0.00\x\);&quot;--x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Charts!$BQ$97:$BQ$101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Charts!$BS$97:$BS$101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B-4659-A73B-A010D79E7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7964127"/>
        <c:axId val="547972287"/>
      </c:barChart>
      <c:lineChart>
        <c:grouping val="standard"/>
        <c:varyColors val="0"/>
        <c:ser>
          <c:idx val="2"/>
          <c:order val="2"/>
          <c:tx>
            <c:strRef>
              <c:f>Charts!$BT$96</c:f>
              <c:strCache>
                <c:ptCount val="1"/>
                <c:pt idx="0">
                  <c:v> % cushion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%_);\(#,##0%\);&quot;--%&quot;_);@_)" sourceLinked="0"/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Charts!$BQ$97:$BQ$101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Charts!$BT$97:$BT$101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EB-4659-A73B-A010D79E7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094223"/>
        <c:axId val="634102863"/>
      </c:lineChart>
      <c:catAx>
        <c:axId val="54796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972287"/>
        <c:crosses val="autoZero"/>
        <c:auto val="1"/>
        <c:lblAlgn val="ctr"/>
        <c:lblOffset val="100"/>
        <c:noMultiLvlLbl val="0"/>
      </c:catAx>
      <c:valAx>
        <c:axId val="547972287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964127"/>
        <c:crosses val="autoZero"/>
        <c:crossBetween val="between"/>
      </c:valAx>
      <c:valAx>
        <c:axId val="6341028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94223"/>
        <c:crosses val="max"/>
        <c:crossBetween val="between"/>
      </c:valAx>
      <c:catAx>
        <c:axId val="634094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4102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504412082898239"/>
          <c:y val="0"/>
          <c:w val="0.56991175834203522"/>
          <c:h val="6.398204161799080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Charts!$BW$96</c:f>
              <c:strCache>
                <c:ptCount val="1"/>
                <c:pt idx="0">
                  <c:v> FCCR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\x_);\(#,##0.00\x\);&quot;--x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Charts!$BV$97:$BV$101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Charts!$BW$97:$BW$101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C-4401-98CD-D04E9CCA6150}"/>
            </c:ext>
          </c:extLst>
        </c:ser>
        <c:ser>
          <c:idx val="1"/>
          <c:order val="1"/>
          <c:tx>
            <c:strRef>
              <c:f>Charts!$BX$96</c:f>
              <c:strCache>
                <c:ptCount val="1"/>
                <c:pt idx="0">
                  <c:v> Covenant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\x_);\(#,##0.00\x\);&quot;--x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Charts!$BV$97:$BV$101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Charts!$BX$97:$BX$101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3C-4401-98CD-D04E9CCA6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4107663"/>
        <c:axId val="634098543"/>
      </c:barChart>
      <c:lineChart>
        <c:grouping val="standard"/>
        <c:varyColors val="0"/>
        <c:ser>
          <c:idx val="2"/>
          <c:order val="2"/>
          <c:tx>
            <c:strRef>
              <c:f>Charts!$BY$96</c:f>
              <c:strCache>
                <c:ptCount val="1"/>
                <c:pt idx="0">
                  <c:v> % cushion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%_);\(#,##0%\);&quot;--%&quot;_);@_)" sourceLinked="0"/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Charts!$BV$97:$BV$101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Charts!$BY$97:$BY$101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3C-4401-98CD-D04E9CCA6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138895"/>
        <c:axId val="656139855"/>
      </c:lineChart>
      <c:catAx>
        <c:axId val="63410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98543"/>
        <c:crosses val="autoZero"/>
        <c:auto val="1"/>
        <c:lblAlgn val="ctr"/>
        <c:lblOffset val="100"/>
        <c:noMultiLvlLbl val="0"/>
      </c:catAx>
      <c:valAx>
        <c:axId val="634098543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07663"/>
        <c:crosses val="autoZero"/>
        <c:crossBetween val="between"/>
      </c:valAx>
      <c:valAx>
        <c:axId val="6561398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38895"/>
        <c:crosses val="max"/>
        <c:crossBetween val="between"/>
      </c:valAx>
      <c:catAx>
        <c:axId val="656138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61398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766046717278622"/>
          <c:y val="0"/>
          <c:w val="0.58467906565442762"/>
          <c:h val="6.398204161799080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Charts!$CB$96</c:f>
              <c:strCache>
                <c:ptCount val="1"/>
                <c:pt idx="0">
                  <c:v> Liquidity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_);\(&quot;$&quot;#,##0.0\);&quot;$--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Charts!$CA$97:$CA$101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Charts!$CB$97:$CB$101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3-4BB4-9CEC-200C90531BA6}"/>
            </c:ext>
          </c:extLst>
        </c:ser>
        <c:ser>
          <c:idx val="1"/>
          <c:order val="1"/>
          <c:tx>
            <c:strRef>
              <c:f>Charts!$CC$96</c:f>
              <c:strCache>
                <c:ptCount val="1"/>
                <c:pt idx="0">
                  <c:v> Covenant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.0_);\(&quot;$&quot;#,##0.0\);&quot;$--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Charts!$CA$97:$CA$101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Charts!$CC$97:$CC$101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3-4BB4-9CEC-200C90531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4103343"/>
        <c:axId val="634098063"/>
      </c:barChart>
      <c:lineChart>
        <c:grouping val="standard"/>
        <c:varyColors val="0"/>
        <c:ser>
          <c:idx val="2"/>
          <c:order val="2"/>
          <c:tx>
            <c:strRef>
              <c:f>Charts!$CD$96</c:f>
              <c:strCache>
                <c:ptCount val="1"/>
                <c:pt idx="0">
                  <c:v> % cushion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%_);\(#,##0%\);&quot;--%&quot;_);@_)" sourceLinked="0"/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Charts!$CA$97:$CA$101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Charts!$CD$97:$CD$101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B3-4BB4-9CEC-200C90531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398463"/>
        <c:axId val="649393183"/>
      </c:lineChart>
      <c:catAx>
        <c:axId val="63410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98063"/>
        <c:crosses val="autoZero"/>
        <c:auto val="1"/>
        <c:lblAlgn val="ctr"/>
        <c:lblOffset val="100"/>
        <c:noMultiLvlLbl val="0"/>
      </c:catAx>
      <c:valAx>
        <c:axId val="63409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03343"/>
        <c:crosses val="autoZero"/>
        <c:crossBetween val="between"/>
      </c:valAx>
      <c:valAx>
        <c:axId val="6493931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398463"/>
        <c:crosses val="max"/>
        <c:crossBetween val="between"/>
      </c:valAx>
      <c:catAx>
        <c:axId val="649398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9393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752575282928344"/>
          <c:y val="0"/>
          <c:w val="0.62494849434143318"/>
          <c:h val="6.398204161799080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Charts!$CG$96</c:f>
              <c:strCache>
                <c:ptCount val="1"/>
                <c:pt idx="0">
                  <c:v> OL RR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Charts!$CF$97:$CF$101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Charts!$CG$97:$CG$101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2-43AD-BFDF-3D8C516CD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49419103"/>
        <c:axId val="649414783"/>
      </c:barChart>
      <c:lineChart>
        <c:grouping val="standard"/>
        <c:varyColors val="0"/>
        <c:ser>
          <c:idx val="1"/>
          <c:order val="1"/>
          <c:tx>
            <c:strRef>
              <c:f>Charts!$CH$96</c:f>
              <c:strCache>
                <c:ptCount val="1"/>
                <c:pt idx="0">
                  <c:v> OL Mark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Charts!$CF$97:$CF$101</c:f>
              <c:strCache>
                <c:ptCount val="5"/>
                <c:pt idx="0">
                  <c:v>LBO (11/24)</c:v>
                </c:pt>
                <c:pt idx="1">
                  <c:v>Q4'24A</c:v>
                </c:pt>
                <c:pt idx="2">
                  <c:v>Q1'25A</c:v>
                </c:pt>
                <c:pt idx="3">
                  <c:v>Q2'25A</c:v>
                </c:pt>
                <c:pt idx="4">
                  <c:v>Q3'25A</c:v>
                </c:pt>
              </c:strCache>
            </c:strRef>
          </c:cat>
          <c:val>
            <c:numRef>
              <c:f>Charts!$CH$97:$CH$101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22-43AD-BFDF-3D8C516CD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442783"/>
        <c:axId val="576440863"/>
      </c:lineChart>
      <c:catAx>
        <c:axId val="64941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14783"/>
        <c:crosses val="autoZero"/>
        <c:auto val="1"/>
        <c:lblAlgn val="ctr"/>
        <c:lblOffset val="100"/>
        <c:noMultiLvlLbl val="0"/>
      </c:catAx>
      <c:valAx>
        <c:axId val="649414783"/>
        <c:scaling>
          <c:orientation val="minMax"/>
          <c:max val="6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19103"/>
        <c:crosses val="autoZero"/>
        <c:crossBetween val="between"/>
      </c:valAx>
      <c:valAx>
        <c:axId val="576440863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442783"/>
        <c:crosses val="max"/>
        <c:crossBetween val="between"/>
      </c:valAx>
      <c:catAx>
        <c:axId val="576442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6440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72666252739913"/>
          <c:y val="0"/>
          <c:w val="0.3654667494520174"/>
          <c:h val="6.400050177551334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Charts!$AF$96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E1-4C4C-AE3E-95A2FFDD960E}"/>
              </c:ext>
            </c:extLst>
          </c:dPt>
          <c:dLbls>
            <c:numFmt formatCode="&quot;$&quot;#,##0.0_);\(&quot;$&quot;#,##0.0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Charts!$AE$97:$AE$114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Charts!$AF$97:$AF$114</c:f>
              <c:numCache>
                <c:formatCode>"$"#,##0.0_);\("$"#,##0.0\);"$--"_);@_)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1-4C4C-AE3E-95A2FFDD9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428099119"/>
        <c:axId val="428098639"/>
      </c:barChart>
      <c:lineChart>
        <c:grouping val="standard"/>
        <c:varyColors val="0"/>
        <c:ser>
          <c:idx val="1"/>
          <c:order val="1"/>
          <c:tx>
            <c:strRef>
              <c:f>Charts!$AG$96</c:f>
              <c:strCache>
                <c:ptCount val="1"/>
                <c:pt idx="0">
                  <c:v> % y/y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.0%_);\(#,##0.0%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Charts!$AE$97:$AE$114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Charts!$AG$97:$AG$114</c:f>
              <c:numCache>
                <c:formatCode>#,##0.0%_);\(#,##0.0%\);"--%"_);@_)</c:formatCode>
                <c:ptCount val="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1-4C4C-AE3E-95A2FFDD9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254703"/>
        <c:axId val="442577519"/>
      </c:lineChart>
      <c:catAx>
        <c:axId val="42809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8639"/>
        <c:crosses val="autoZero"/>
        <c:auto val="1"/>
        <c:lblAlgn val="ctr"/>
        <c:lblOffset val="100"/>
        <c:noMultiLvlLbl val="0"/>
      </c:catAx>
      <c:valAx>
        <c:axId val="428098639"/>
        <c:scaling>
          <c:orientation val="minMax"/>
          <c:min val="0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9119"/>
        <c:crosses val="autoZero"/>
        <c:crossBetween val="between"/>
      </c:valAx>
      <c:valAx>
        <c:axId val="442577519"/>
        <c:scaling>
          <c:orientation val="minMax"/>
          <c:max val="0.25"/>
        </c:scaling>
        <c:delete val="0"/>
        <c:axPos val="r"/>
        <c:numFmt formatCode="#,##0.0%_);\(#,##0.0%\);&quot;--%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54703"/>
        <c:crosses val="max"/>
        <c:crossBetween val="between"/>
      </c:valAx>
      <c:catAx>
        <c:axId val="1318254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257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Charts!$AJ$96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3F-404F-A16E-3DB9BADE3F1E}"/>
              </c:ext>
            </c:extLst>
          </c:dPt>
          <c:dLbls>
            <c:numFmt formatCode="&quot;$&quot;#,##0.0_);\(&quot;$&quot;#,##0.0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Charts!$AI$97:$AI$114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Charts!$AJ$97:$AJ$114</c:f>
              <c:numCache>
                <c:formatCode>"$"#,##0.0_);\("$"#,##0.0\);"$--"_);@_)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3F-404F-A16E-3DB9BADE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428099119"/>
        <c:axId val="428098639"/>
      </c:barChart>
      <c:lineChart>
        <c:grouping val="standard"/>
        <c:varyColors val="0"/>
        <c:ser>
          <c:idx val="1"/>
          <c:order val="1"/>
          <c:tx>
            <c:strRef>
              <c:f>Charts!$AK$96</c:f>
              <c:strCache>
                <c:ptCount val="1"/>
                <c:pt idx="0">
                  <c:v> % margin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Charts!$AI$97:$AI$114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Charts!$AK$97:$AK$114</c:f>
              <c:numCache>
                <c:formatCode>#,##0.0%_);\(#,##0.0%\);"--%"_);@_)</c:formatCode>
                <c:ptCount val="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F-404F-A16E-3DB9BADE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254703"/>
        <c:axId val="442577519"/>
      </c:lineChart>
      <c:catAx>
        <c:axId val="42809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8639"/>
        <c:crosses val="autoZero"/>
        <c:auto val="1"/>
        <c:lblAlgn val="ctr"/>
        <c:lblOffset val="100"/>
        <c:noMultiLvlLbl val="0"/>
      </c:catAx>
      <c:valAx>
        <c:axId val="428098639"/>
        <c:scaling>
          <c:orientation val="minMax"/>
          <c:min val="0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9119"/>
        <c:crosses val="autoZero"/>
        <c:crossBetween val="between"/>
      </c:valAx>
      <c:valAx>
        <c:axId val="442577519"/>
        <c:scaling>
          <c:orientation val="minMax"/>
          <c:max val="0.9"/>
        </c:scaling>
        <c:delete val="0"/>
        <c:axPos val="r"/>
        <c:numFmt formatCode="#,##0.0%_);\(#,##0.0%\);&quot;--%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54703"/>
        <c:crosses val="max"/>
        <c:crossBetween val="between"/>
      </c:valAx>
      <c:catAx>
        <c:axId val="1318254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257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Charts!$AN$96</c:f>
              <c:strCache>
                <c:ptCount val="1"/>
                <c:pt idx="0">
                  <c:v> CA EBITDA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46-4E1D-BF7E-D1BF3E4D1BF3}"/>
              </c:ext>
            </c:extLst>
          </c:dPt>
          <c:dLbls>
            <c:numFmt formatCode="&quot;$&quot;#,##0.0_);\(&quot;$&quot;#,##0.0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Charts!$AM$97:$AM$114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Charts!$AN$97:$AN$114</c:f>
              <c:numCache>
                <c:formatCode>"$"#,##0.0_);\("$"#,##0.0\);"$--"_);@_)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46-4E1D-BF7E-D1BF3E4D1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428099119"/>
        <c:axId val="428098639"/>
      </c:barChart>
      <c:lineChart>
        <c:grouping val="standard"/>
        <c:varyColors val="0"/>
        <c:ser>
          <c:idx val="1"/>
          <c:order val="1"/>
          <c:tx>
            <c:strRef>
              <c:f>Charts!$AO$96</c:f>
              <c:strCache>
                <c:ptCount val="1"/>
                <c:pt idx="0">
                  <c:v> % margin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.0%_);\(#,##0.0%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Charts!$AM$97:$AM$114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Charts!$AO$97:$AO$114</c:f>
              <c:numCache>
                <c:formatCode>#,##0.0%_);\(#,##0.0%\);"--%"_);@_)</c:formatCode>
                <c:ptCount val="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46-4E1D-BF7E-D1BF3E4D1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254703"/>
        <c:axId val="442577519"/>
      </c:lineChart>
      <c:catAx>
        <c:axId val="42809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8639"/>
        <c:crosses val="autoZero"/>
        <c:auto val="1"/>
        <c:lblAlgn val="ctr"/>
        <c:lblOffset val="100"/>
        <c:noMultiLvlLbl val="0"/>
      </c:catAx>
      <c:valAx>
        <c:axId val="428098639"/>
        <c:scaling>
          <c:orientation val="minMax"/>
          <c:min val="0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9119"/>
        <c:crosses val="autoZero"/>
        <c:crossBetween val="between"/>
      </c:valAx>
      <c:valAx>
        <c:axId val="442577519"/>
        <c:scaling>
          <c:orientation val="minMax"/>
          <c:max val="0.4"/>
        </c:scaling>
        <c:delete val="0"/>
        <c:axPos val="r"/>
        <c:numFmt formatCode="#,##0.0%_);\(#,##0.0%\);&quot;--%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54703"/>
        <c:crosses val="max"/>
        <c:crossBetween val="between"/>
      </c:valAx>
      <c:catAx>
        <c:axId val="1318254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257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Charts!$AR$96</c:f>
              <c:strCache>
                <c:ptCount val="1"/>
                <c:pt idx="0">
                  <c:v> Capex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05-4509-AC21-48E2052374DF}"/>
              </c:ext>
            </c:extLst>
          </c:dPt>
          <c:dLbls>
            <c:numFmt formatCode="&quot;$&quot;#,##0.0_);\(&quot;$&quot;#,##0.0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Charts!$AQ$97:$AQ$114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Charts!$AR$97:$AR$114</c:f>
              <c:numCache>
                <c:formatCode>"$"#,##0.0_);\("$"#,##0.0\);"$--"_);@_)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05-4509-AC21-48E205237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428099119"/>
        <c:axId val="428098639"/>
      </c:barChart>
      <c:lineChart>
        <c:grouping val="standard"/>
        <c:varyColors val="0"/>
        <c:ser>
          <c:idx val="1"/>
          <c:order val="1"/>
          <c:tx>
            <c:strRef>
              <c:f>Charts!$AS$96</c:f>
              <c:strCache>
                <c:ptCount val="1"/>
                <c:pt idx="0">
                  <c:v> % revenue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.0%_);\(#,##0.0%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Charts!$AQ$97:$AQ$114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Charts!$AS$97:$AS$114</c:f>
              <c:numCache>
                <c:formatCode>#,##0.0%_);\(#,##0.0%\);"--%"_);@_)</c:formatCode>
                <c:ptCount val="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05-4509-AC21-48E205237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254703"/>
        <c:axId val="442577519"/>
      </c:lineChart>
      <c:catAx>
        <c:axId val="42809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8639"/>
        <c:crosses val="autoZero"/>
        <c:auto val="1"/>
        <c:lblAlgn val="ctr"/>
        <c:lblOffset val="100"/>
        <c:noMultiLvlLbl val="0"/>
      </c:catAx>
      <c:valAx>
        <c:axId val="428098639"/>
        <c:scaling>
          <c:orientation val="minMax"/>
          <c:min val="0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9119"/>
        <c:crosses val="autoZero"/>
        <c:crossBetween val="between"/>
      </c:valAx>
      <c:valAx>
        <c:axId val="442577519"/>
        <c:scaling>
          <c:orientation val="minMax"/>
          <c:max val="0.4"/>
        </c:scaling>
        <c:delete val="0"/>
        <c:axPos val="r"/>
        <c:numFmt formatCode="#,##0.0%_);\(#,##0.0%\);&quot;--%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54703"/>
        <c:crosses val="max"/>
        <c:crossBetween val="between"/>
      </c:valAx>
      <c:catAx>
        <c:axId val="1318254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257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Charts!$AV$96</c:f>
              <c:strCache>
                <c:ptCount val="1"/>
                <c:pt idx="0">
                  <c:v> FCF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B7-44A0-9D9E-D9F4E78947D4}"/>
              </c:ext>
            </c:extLst>
          </c:dPt>
          <c:dLbls>
            <c:numFmt formatCode="&quot;$&quot;#,##0.0_);\(&quot;$&quot;#,##0.0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Charts!$AU$97:$AU$114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Charts!$AV$97:$AV$114</c:f>
              <c:numCache>
                <c:formatCode>"$"#,##0.0_);\("$"#,##0.0\);"$--"_);@_)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B7-44A0-9D9E-D9F4E789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428099119"/>
        <c:axId val="428098639"/>
      </c:barChart>
      <c:lineChart>
        <c:grouping val="standard"/>
        <c:varyColors val="0"/>
        <c:ser>
          <c:idx val="1"/>
          <c:order val="1"/>
          <c:tx>
            <c:strRef>
              <c:f>Charts!$AW$96</c:f>
              <c:strCache>
                <c:ptCount val="1"/>
                <c:pt idx="0">
                  <c:v> % conversion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.0%_);\(#,##0.0%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Charts!$AU$97:$AU$114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Charts!$AW$97:$AW$114</c:f>
              <c:numCache>
                <c:formatCode>#,##0.0%_);\(#,##0.0%\);"--%"_);@_)</c:formatCode>
                <c:ptCount val="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B7-44A0-9D9E-D9F4E789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254703"/>
        <c:axId val="442577519"/>
      </c:lineChart>
      <c:catAx>
        <c:axId val="42809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8639"/>
        <c:crosses val="autoZero"/>
        <c:auto val="1"/>
        <c:lblAlgn val="ctr"/>
        <c:lblOffset val="100"/>
        <c:noMultiLvlLbl val="0"/>
      </c:catAx>
      <c:valAx>
        <c:axId val="428098639"/>
        <c:scaling>
          <c:orientation val="minMax"/>
          <c:min val="0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9119"/>
        <c:crosses val="autoZero"/>
        <c:crossBetween val="between"/>
      </c:valAx>
      <c:valAx>
        <c:axId val="442577519"/>
        <c:scaling>
          <c:orientation val="minMax"/>
          <c:max val="2"/>
        </c:scaling>
        <c:delete val="0"/>
        <c:axPos val="r"/>
        <c:numFmt formatCode="#,##0.0%_);\(#,##0.0%\);&quot;--%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54703"/>
        <c:crosses val="max"/>
        <c:crossBetween val="between"/>
      </c:valAx>
      <c:catAx>
        <c:axId val="1318254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257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Charts!$AZ$96</c:f>
              <c:strCache>
                <c:ptCount val="1"/>
                <c:pt idx="0">
                  <c:v> NWC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64-4E54-AB99-AB5B617CE4BA}"/>
              </c:ext>
            </c:extLst>
          </c:dPt>
          <c:dLbls>
            <c:numFmt formatCode="&quot;$&quot;#,##0.0_);\(&quot;$&quot;#,##0.0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Charts!$AY$97:$AY$114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Charts!$AZ$97:$AZ$114</c:f>
              <c:numCache>
                <c:formatCode>"$"#,##0.0_);\("$"#,##0.0\);"$--"_);@_)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64-4E54-AB99-AB5B617CE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428099119"/>
        <c:axId val="428098639"/>
      </c:barChart>
      <c:lineChart>
        <c:grouping val="standard"/>
        <c:varyColors val="0"/>
        <c:ser>
          <c:idx val="1"/>
          <c:order val="1"/>
          <c:tx>
            <c:strRef>
              <c:f>Charts!$BA$96</c:f>
              <c:strCache>
                <c:ptCount val="1"/>
                <c:pt idx="0">
                  <c:v> % revenue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.0%_);\(#,##0.0%\);&quot;&quot;_);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Charts!$AY$97:$AY$114</c:f>
              <c:strCache>
                <c:ptCount val="18"/>
                <c:pt idx="0">
                  <c:v>Q4'22</c:v>
                </c:pt>
                <c:pt idx="1">
                  <c:v>Q1'23</c:v>
                </c:pt>
                <c:pt idx="2">
                  <c:v>Q2'23</c:v>
                </c:pt>
                <c:pt idx="3">
                  <c:v>Q3'23</c:v>
                </c:pt>
                <c:pt idx="4">
                  <c:v>Q4'23</c:v>
                </c:pt>
                <c:pt idx="5">
                  <c:v>Q1'24</c:v>
                </c:pt>
                <c:pt idx="6">
                  <c:v>Q2'24</c:v>
                </c:pt>
                <c:pt idx="7">
                  <c:v>Q3'24</c:v>
                </c:pt>
                <c:pt idx="8">
                  <c:v>Q4'24</c:v>
                </c:pt>
                <c:pt idx="9">
                  <c:v>Jan'25</c:v>
                </c:pt>
                <c:pt idx="10">
                  <c:v>Feb'25</c:v>
                </c:pt>
                <c:pt idx="11">
                  <c:v>Q1'25</c:v>
                </c:pt>
                <c:pt idx="12">
                  <c:v>Apr'25</c:v>
                </c:pt>
                <c:pt idx="13">
                  <c:v>May'25</c:v>
                </c:pt>
                <c:pt idx="14">
                  <c:v>Q2'25</c:v>
                </c:pt>
                <c:pt idx="15">
                  <c:v>Jul'25</c:v>
                </c:pt>
                <c:pt idx="16">
                  <c:v>Aug'25</c:v>
                </c:pt>
                <c:pt idx="17">
                  <c:v>Q3'25</c:v>
                </c:pt>
              </c:strCache>
            </c:strRef>
          </c:cat>
          <c:val>
            <c:numRef>
              <c:f>Charts!$BA$97:$BA$114</c:f>
              <c:numCache>
                <c:formatCode>#,##0.0%_);\(#,##0.0%\);"--%"_);@_)</c:formatCode>
                <c:ptCount val="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64-4E54-AB99-AB5B617CE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254703"/>
        <c:axId val="442577519"/>
      </c:lineChart>
      <c:catAx>
        <c:axId val="42809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8639"/>
        <c:crosses val="autoZero"/>
        <c:auto val="1"/>
        <c:lblAlgn val="ctr"/>
        <c:lblOffset val="100"/>
        <c:noMultiLvlLbl val="0"/>
      </c:catAx>
      <c:valAx>
        <c:axId val="428098639"/>
        <c:scaling>
          <c:orientation val="minMax"/>
          <c:min val="0"/>
        </c:scaling>
        <c:delete val="0"/>
        <c:axPos val="l"/>
        <c:numFmt formatCode="&quot;$&quot;#,##0.0_);\(&quot;$&quot;#,##0.0\);&quot;$--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99119"/>
        <c:crosses val="autoZero"/>
        <c:crossBetween val="between"/>
      </c:valAx>
      <c:valAx>
        <c:axId val="442577519"/>
        <c:scaling>
          <c:orientation val="minMax"/>
          <c:max val="0.30000000000000004"/>
        </c:scaling>
        <c:delete val="0"/>
        <c:axPos val="r"/>
        <c:numFmt formatCode="#,##0.0%_);\(#,##0.0%\);&quot;--%&quot;_);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254703"/>
        <c:crosses val="max"/>
        <c:crossBetween val="between"/>
      </c:valAx>
      <c:catAx>
        <c:axId val="1318254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2577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52</xdr:row>
      <xdr:rowOff>0</xdr:rowOff>
    </xdr:from>
    <xdr:to>
      <xdr:col>6</xdr:col>
      <xdr:colOff>922528</xdr:colOff>
      <xdr:row>71</xdr:row>
      <xdr:rowOff>129092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27AF035-5D82-427F-ABE3-B62CFFF7D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52</xdr:row>
      <xdr:rowOff>0</xdr:rowOff>
    </xdr:from>
    <xdr:to>
      <xdr:col>12</xdr:col>
      <xdr:colOff>922528</xdr:colOff>
      <xdr:row>71</xdr:row>
      <xdr:rowOff>129092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6DBCC18-3C0A-4713-B257-EC7C5F9C2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73</xdr:row>
      <xdr:rowOff>0</xdr:rowOff>
    </xdr:from>
    <xdr:to>
      <xdr:col>6</xdr:col>
      <xdr:colOff>922528</xdr:colOff>
      <xdr:row>92</xdr:row>
      <xdr:rowOff>129092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BBA4B99-7E59-472F-A568-E6E3F109D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73</xdr:row>
      <xdr:rowOff>0</xdr:rowOff>
    </xdr:from>
    <xdr:to>
      <xdr:col>12</xdr:col>
      <xdr:colOff>922528</xdr:colOff>
      <xdr:row>92</xdr:row>
      <xdr:rowOff>128195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DE9CDD7-76ED-4E27-AC5D-F246A65E6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0</xdr:colOff>
      <xdr:row>8</xdr:row>
      <xdr:rowOff>0</xdr:rowOff>
    </xdr:from>
    <xdr:to>
      <xdr:col>6</xdr:col>
      <xdr:colOff>922528</xdr:colOff>
      <xdr:row>20</xdr:row>
      <xdr:rowOff>121920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AEE3E68-CF2C-4D2B-84D7-E8265A81A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12</xdr:col>
      <xdr:colOff>922528</xdr:colOff>
      <xdr:row>20</xdr:row>
      <xdr:rowOff>121920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B0C5AE0-9575-4253-9F25-AD632184B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0</xdr:colOff>
      <xdr:row>22</xdr:row>
      <xdr:rowOff>0</xdr:rowOff>
    </xdr:from>
    <xdr:to>
      <xdr:col>6</xdr:col>
      <xdr:colOff>922528</xdr:colOff>
      <xdr:row>34</xdr:row>
      <xdr:rowOff>121920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45BA093-755C-4E98-BE60-AA031EBF2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22</xdr:row>
      <xdr:rowOff>0</xdr:rowOff>
    </xdr:from>
    <xdr:to>
      <xdr:col>12</xdr:col>
      <xdr:colOff>922528</xdr:colOff>
      <xdr:row>34</xdr:row>
      <xdr:rowOff>121920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5468320-D504-44B3-8473-A913A4825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</xdr:col>
      <xdr:colOff>0</xdr:colOff>
      <xdr:row>36</xdr:row>
      <xdr:rowOff>0</xdr:rowOff>
    </xdr:from>
    <xdr:to>
      <xdr:col>6</xdr:col>
      <xdr:colOff>922528</xdr:colOff>
      <xdr:row>48</xdr:row>
      <xdr:rowOff>121920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3DCDFCF-639D-498C-BAF1-8C9D7EEEB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</xdr:col>
      <xdr:colOff>0</xdr:colOff>
      <xdr:row>36</xdr:row>
      <xdr:rowOff>0</xdr:rowOff>
    </xdr:from>
    <xdr:to>
      <xdr:col>12</xdr:col>
      <xdr:colOff>922528</xdr:colOff>
      <xdr:row>48</xdr:row>
      <xdr:rowOff>121920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FC328C1-472D-4AA1-934D-A722B5DBD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mie Anderson" id="{8B353520-150A-46F7-9148-B350C2ADEAC5}" userId="Jamie Anderson" providerId="None"/>
</personList>
</file>

<file path=xl/theme/theme1.xml><?xml version="1.0" encoding="utf-8"?>
<a:theme xmlns:a="http://schemas.openxmlformats.org/drawingml/2006/main" name="2024 Centerbridge PPT Template">
  <a:themeElements>
    <a:clrScheme name="Overland">
      <a:dk1>
        <a:srgbClr val="2E3035"/>
      </a:dk1>
      <a:lt1>
        <a:srgbClr val="FFFFFF"/>
      </a:lt1>
      <a:dk2>
        <a:srgbClr val="00453F"/>
      </a:dk2>
      <a:lt2>
        <a:srgbClr val="F3F3F3"/>
      </a:lt2>
      <a:accent1>
        <a:srgbClr val="49839F"/>
      </a:accent1>
      <a:accent2>
        <a:srgbClr val="1C4A68"/>
      </a:accent2>
      <a:accent3>
        <a:srgbClr val="C5D097"/>
      </a:accent3>
      <a:accent4>
        <a:srgbClr val="328F85"/>
      </a:accent4>
      <a:accent5>
        <a:srgbClr val="9098A4"/>
      </a:accent5>
      <a:accent6>
        <a:srgbClr val="5D616C"/>
      </a:accent6>
      <a:hlink>
        <a:srgbClr val="49839F"/>
      </a:hlink>
      <a:folHlink>
        <a:srgbClr val="328F8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2024 Centerbridge PPT Template" id="{E338F891-CCA0-4B3E-B1B4-BAC7D2572629}" vid="{46F8C29D-BADC-4AC5-B9B3-5C7D1CE9F84E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0" dT="2022-07-08T17:41:04.38" personId="{8B353520-150A-46F7-9148-B350C2ADEAC5}" id="{7DC9333C-8107-471F-8365-376D08EF7AB8}">
    <text>% of total commitment at closing</text>
  </threadedComment>
  <threadedComment ref="I11" dT="2022-07-08T17:41:04.38" personId="{8B353520-150A-46F7-9148-B350C2ADEAC5}" id="{7EB47911-2F6C-4CEB-86F9-E133AFA4C46C}">
    <text>% of total commitment at closing</text>
  </threadedComment>
  <threadedComment ref="I12" dT="2022-07-08T17:40:43.70" personId="{8B353520-150A-46F7-9148-B350C2ADEAC5}" id="{06CC2A0A-75B7-4CAA-8996-4D0D90E23DBB}">
    <text>% borrowed amount at draw</text>
  </threadedComment>
  <threadedComment ref="M12" dT="2022-07-08T19:05:04.11" personId="{8B353520-150A-46F7-9148-B350C2ADEAC5}" id="{21DE5ADF-3611-44F5-872C-D463C4391D31}">
    <text>Use 3 month contracts / foward term</text>
  </threadedComment>
  <threadedComment ref="M13" dT="2022-07-08T19:21:45.52" personId="{8B353520-150A-46F7-9148-B350C2ADEAC5}" id="{E0C302BC-3BBC-4996-BFDF-EA38AA6A78B4}">
    <text>If no floor (vs. 0% floor) put "n/a"</text>
  </threadedComment>
  <threadedComment ref="M17" dT="2022-07-08T20:54:59.82" personId="{8B353520-150A-46F7-9148-B350C2ADEAC5}" id="{E4CBF236-0ABB-4221-90C5-ACBF259BC2ED}">
    <text>At closing</text>
  </threadedComment>
  <threadedComment ref="M18" dT="2022-07-08T20:54:59.82" personId="{8B353520-150A-46F7-9148-B350C2ADEAC5}" id="{782EDCD0-229E-4FE4-97CD-984184D38358}">
    <text>At closing</text>
  </threadedComment>
  <threadedComment ref="I40" dT="2022-07-08T17:41:04.38" personId="{8B353520-150A-46F7-9148-B350C2ADEAC5}" id="{7FD18996-D913-4931-B191-ED4642ED74FE}">
    <text>% of total commitment at closing</text>
  </threadedComment>
  <threadedComment ref="I41" dT="2022-07-08T17:41:04.38" personId="{8B353520-150A-46F7-9148-B350C2ADEAC5}" id="{43005CCB-C0AE-4F77-9156-E497678B2F62}">
    <text>% of total commitment at closing</text>
  </threadedComment>
  <threadedComment ref="I42" dT="2022-07-08T17:40:43.70" personId="{8B353520-150A-46F7-9148-B350C2ADEAC5}" id="{D5DF5DBD-ED4C-4205-AA9E-22B82ECAE3E8}">
    <text>% borrowed amount at draw</text>
  </threadedComment>
  <threadedComment ref="M42" dT="2022-07-08T19:05:04.11" personId="{8B353520-150A-46F7-9148-B350C2ADEAC5}" id="{E6393128-1C80-4F76-9FEF-CA9E3876E292}">
    <text>Use 3 month contracts / foward term</text>
  </threadedComment>
  <threadedComment ref="M43" dT="2022-07-08T19:21:45.52" personId="{8B353520-150A-46F7-9148-B350C2ADEAC5}" id="{3A7A94C4-E1A9-4CE4-AF82-0E6D25109369}">
    <text>If no floor (vs. 0% floor) put "n/a"</text>
  </threadedComment>
  <threadedComment ref="M47" dT="2022-07-08T20:54:59.82" personId="{8B353520-150A-46F7-9148-B350C2ADEAC5}" id="{09376633-D1E5-4039-BEC6-7A41B2640C3B}">
    <text>At closing</text>
  </threadedComment>
  <threadedComment ref="M48" dT="2022-07-08T20:54:59.82" personId="{8B353520-150A-46F7-9148-B350C2ADEAC5}" id="{BB81DEB7-0AE3-4E71-9963-E0DEDD32A13A}">
    <text>At closing</text>
  </threadedComment>
  <threadedComment ref="I70" dT="2022-07-08T17:41:04.38" personId="{8B353520-150A-46F7-9148-B350C2ADEAC5}" id="{B5CAB3BD-B73F-4DA1-B44B-281BF6E640B8}">
    <text>% of total commitment at closing</text>
  </threadedComment>
  <threadedComment ref="I71" dT="2022-07-08T17:41:04.38" personId="{8B353520-150A-46F7-9148-B350C2ADEAC5}" id="{322C628B-352F-484A-BC5E-F9CD90324D5B}">
    <text>% of total commitment at closing</text>
  </threadedComment>
  <threadedComment ref="I72" dT="2022-07-08T17:40:43.70" personId="{8B353520-150A-46F7-9148-B350C2ADEAC5}" id="{0CBBB15E-9D07-4199-AA8A-D17B381410C9}">
    <text>% borrowed amount at draw</text>
  </threadedComment>
  <threadedComment ref="M72" dT="2022-07-08T19:05:04.11" personId="{8B353520-150A-46F7-9148-B350C2ADEAC5}" id="{630E78A5-6BDC-4306-927A-136BC2F5A33F}">
    <text>Use 3 month contracts / foward term</text>
  </threadedComment>
  <threadedComment ref="M73" dT="2022-07-08T19:21:45.52" personId="{8B353520-150A-46F7-9148-B350C2ADEAC5}" id="{8EBA943A-E3BC-486E-849A-0FD4D77E94FE}">
    <text>If no floor (vs. 0% floor) put "n/a"</text>
  </threadedComment>
  <threadedComment ref="M77" dT="2022-07-08T20:54:59.82" personId="{8B353520-150A-46F7-9148-B350C2ADEAC5}" id="{D91AF4B8-9ECE-470E-A6A5-7079D492BA2A}">
    <text>At closing</text>
  </threadedComment>
  <threadedComment ref="M78" dT="2022-07-08T20:54:59.82" personId="{8B353520-150A-46F7-9148-B350C2ADEAC5}" id="{5B960AD4-452E-41C4-921A-1CF81824A3FB}">
    <text>At closing</text>
  </threadedComment>
  <threadedComment ref="I100" dT="2022-07-08T17:41:04.38" personId="{8B353520-150A-46F7-9148-B350C2ADEAC5}" id="{E2CAF104-EC52-4380-B2F3-8EA5BEFD6696}">
    <text>% of total commitment at closing</text>
  </threadedComment>
  <threadedComment ref="I101" dT="2022-07-08T17:41:04.38" personId="{8B353520-150A-46F7-9148-B350C2ADEAC5}" id="{0D6AFD16-C493-4201-9A95-AD9DA3AEBA2C}">
    <text>% of total commitment at closing</text>
  </threadedComment>
  <threadedComment ref="I102" dT="2022-07-08T17:40:43.70" personId="{8B353520-150A-46F7-9148-B350C2ADEAC5}" id="{E0D9E511-97F9-4599-9B51-0DC48D51F9AE}">
    <text>% borrowed amount at draw</text>
  </threadedComment>
  <threadedComment ref="M102" dT="2022-07-08T19:05:04.11" personId="{8B353520-150A-46F7-9148-B350C2ADEAC5}" id="{4213941D-CE41-4BE0-9E7A-E5782816E8BE}">
    <text>Use 3 month contracts / foward term</text>
  </threadedComment>
  <threadedComment ref="M103" dT="2022-07-08T19:21:45.52" personId="{8B353520-150A-46F7-9148-B350C2ADEAC5}" id="{F71704A1-FA20-42C1-9D80-92EFA4F2EA73}">
    <text>If no floor (vs. 0% floor) put "n/a"</text>
  </threadedComment>
  <threadedComment ref="M107" dT="2022-07-08T20:54:59.82" personId="{8B353520-150A-46F7-9148-B350C2ADEAC5}" id="{E391D23D-5121-4478-886F-744917F01FAC}">
    <text>At closing</text>
  </threadedComment>
  <threadedComment ref="M108" dT="2022-07-08T20:54:59.82" personId="{8B353520-150A-46F7-9148-B350C2ADEAC5}" id="{00223169-A6D3-4875-8BB4-6A43A0ADF0B9}">
    <text>At closing</text>
  </threadedComment>
  <threadedComment ref="I130" dT="2022-07-08T17:41:04.38" personId="{8B353520-150A-46F7-9148-B350C2ADEAC5}" id="{19044A2E-ED13-46D4-93FD-6F4D5A44D9F4}">
    <text>% of total commitment at closing</text>
  </threadedComment>
  <threadedComment ref="I131" dT="2022-07-08T17:41:04.38" personId="{8B353520-150A-46F7-9148-B350C2ADEAC5}" id="{22488AD0-5D11-447C-B01D-58875D1734C5}">
    <text>% of total commitment at closing</text>
  </threadedComment>
  <threadedComment ref="I132" dT="2022-07-08T17:40:43.70" personId="{8B353520-150A-46F7-9148-B350C2ADEAC5}" id="{5F183FEE-6028-45D3-B034-C2804BCD134C}">
    <text>% borrowed amount at draw</text>
  </threadedComment>
  <threadedComment ref="M132" dT="2022-07-08T19:05:04.11" personId="{8B353520-150A-46F7-9148-B350C2ADEAC5}" id="{AAE11BE0-C070-47C3-8066-990E09136B46}">
    <text>Use 3 month contracts / foward term</text>
  </threadedComment>
  <threadedComment ref="M133" dT="2022-07-08T19:21:45.52" personId="{8B353520-150A-46F7-9148-B350C2ADEAC5}" id="{ABDB0AE5-779F-4805-A3EF-D65DF2681096}">
    <text>If no floor (vs. 0% floor) put "n/a"</text>
  </threadedComment>
  <threadedComment ref="M137" dT="2022-07-08T20:54:59.82" personId="{8B353520-150A-46F7-9148-B350C2ADEAC5}" id="{0EAE25BB-D69A-408B-97A5-7799F40D59F5}">
    <text>At closing</text>
  </threadedComment>
  <threadedComment ref="M138" dT="2022-07-08T20:54:59.82" personId="{8B353520-150A-46F7-9148-B350C2ADEAC5}" id="{17F6F6ED-8F90-4A2C-ACCE-2A867A6BC4BE}">
    <text>At closing</text>
  </threadedComment>
  <threadedComment ref="I160" dT="2022-07-08T17:41:04.38" personId="{8B353520-150A-46F7-9148-B350C2ADEAC5}" id="{2CB18DA5-7814-46DB-9833-1BE7E53594C9}">
    <text>% of total commitment at closing</text>
  </threadedComment>
  <threadedComment ref="I161" dT="2022-07-08T17:41:04.38" personId="{8B353520-150A-46F7-9148-B350C2ADEAC5}" id="{9943264D-E289-44CF-AFB9-390B9B475626}">
    <text>% of total commitment at closing</text>
  </threadedComment>
  <threadedComment ref="I162" dT="2022-07-08T17:40:43.70" personId="{8B353520-150A-46F7-9148-B350C2ADEAC5}" id="{293DFDE3-096A-4BD8-909A-D66933B51335}">
    <text>% borrowed amount at draw</text>
  </threadedComment>
  <threadedComment ref="M162" dT="2022-07-08T19:05:04.11" personId="{8B353520-150A-46F7-9148-B350C2ADEAC5}" id="{C228E8BE-870D-439B-B8A9-1DE0EFDBDA3D}">
    <text>Use 3 month contracts / foward term</text>
  </threadedComment>
  <threadedComment ref="M163" dT="2022-07-08T19:21:45.52" personId="{8B353520-150A-46F7-9148-B350C2ADEAC5}" id="{C609A649-A16E-4224-B0BE-8025846E9D1D}">
    <text>If no floor (vs. 0% floor) put "n/a"</text>
  </threadedComment>
  <threadedComment ref="M167" dT="2022-07-08T20:54:59.82" personId="{8B353520-150A-46F7-9148-B350C2ADEAC5}" id="{F88B8624-3474-43A1-AE17-261244264E26}">
    <text>At closing</text>
  </threadedComment>
  <threadedComment ref="M168" dT="2022-07-08T20:54:59.82" personId="{8B353520-150A-46F7-9148-B350C2ADEAC5}" id="{A98F3A7C-E1D5-4989-BDA0-E4107A7E196A}">
    <text>At closing</text>
  </threadedComment>
  <threadedComment ref="I190" dT="2022-07-08T17:41:04.38" personId="{8B353520-150A-46F7-9148-B350C2ADEAC5}" id="{81086224-6605-4D51-808A-F5C8FDB25898}">
    <text>% of total commitment at closing</text>
  </threadedComment>
  <threadedComment ref="I191" dT="2022-07-08T17:41:04.38" personId="{8B353520-150A-46F7-9148-B350C2ADEAC5}" id="{F5506763-B540-4507-9316-96283CA2FAB6}">
    <text>% of total commitment at closing</text>
  </threadedComment>
  <threadedComment ref="I192" dT="2022-07-08T17:40:43.70" personId="{8B353520-150A-46F7-9148-B350C2ADEAC5}" id="{4AEFB5FD-5F4B-48D4-897B-FC5E7E687ADB}">
    <text>% borrowed amount at draw</text>
  </threadedComment>
  <threadedComment ref="M192" dT="2022-07-08T19:05:04.11" personId="{8B353520-150A-46F7-9148-B350C2ADEAC5}" id="{69DA569E-ED62-477A-8C7F-C6AB9B171376}">
    <text>Use 3 month contracts / foward term</text>
  </threadedComment>
  <threadedComment ref="M193" dT="2022-07-08T19:21:45.52" personId="{8B353520-150A-46F7-9148-B350C2ADEAC5}" id="{559B0C8C-3DEF-4841-8D13-084075E7D208}">
    <text>If no floor (vs. 0% floor) put "n/a"</text>
  </threadedComment>
  <threadedComment ref="M197" dT="2022-07-08T20:54:59.82" personId="{8B353520-150A-46F7-9148-B350C2ADEAC5}" id="{7EF6AD2C-B3D9-4861-A739-15C3E8379595}">
    <text>At closing</text>
  </threadedComment>
  <threadedComment ref="M198" dT="2022-07-08T20:54:59.82" personId="{8B353520-150A-46F7-9148-B350C2ADEAC5}" id="{6C45FE78-DC69-48A5-9A19-1BE2991B139B}">
    <text>At closing</text>
  </threadedComment>
  <threadedComment ref="I220" dT="2022-07-08T17:41:04.38" personId="{8B353520-150A-46F7-9148-B350C2ADEAC5}" id="{705470B1-3DD0-447E-BF3A-45EE12D9BF64}">
    <text>% of total commitment at closing</text>
  </threadedComment>
  <threadedComment ref="I221" dT="2022-07-08T17:41:04.38" personId="{8B353520-150A-46F7-9148-B350C2ADEAC5}" id="{E8FA88E5-076D-457B-8CE6-EB50D7F6595F}">
    <text>% of total commitment at closing</text>
  </threadedComment>
  <threadedComment ref="I222" dT="2022-07-08T17:40:43.70" personId="{8B353520-150A-46F7-9148-B350C2ADEAC5}" id="{E7DC30CE-153E-4877-AF8E-FA7E930D5C06}">
    <text>% borrowed amount at draw</text>
  </threadedComment>
  <threadedComment ref="M222" dT="2022-07-08T19:05:04.11" personId="{8B353520-150A-46F7-9148-B350C2ADEAC5}" id="{BDBB7C75-506A-497D-B551-9787C8F9DB53}">
    <text>Use 3 month contracts / foward term</text>
  </threadedComment>
  <threadedComment ref="M223" dT="2022-07-08T19:21:45.52" personId="{8B353520-150A-46F7-9148-B350C2ADEAC5}" id="{C21BD563-7B51-4F80-8B0D-87DC95E6192C}">
    <text>If no floor (vs. 0% floor) put "n/a"</text>
  </threadedComment>
  <threadedComment ref="M227" dT="2022-07-08T20:54:59.82" personId="{8B353520-150A-46F7-9148-B350C2ADEAC5}" id="{A29D73EE-5656-4AAF-A304-262569E90616}">
    <text>At closing</text>
  </threadedComment>
  <threadedComment ref="M228" dT="2022-07-08T20:54:59.82" personId="{8B353520-150A-46F7-9148-B350C2ADEAC5}" id="{1EBFF396-C8CC-49AB-A4DC-24848D32116D}">
    <text>At closing</text>
  </threadedComment>
  <threadedComment ref="I250" dT="2022-07-08T17:41:04.38" personId="{8B353520-150A-46F7-9148-B350C2ADEAC5}" id="{4D38B01C-5ABF-47F6-B21A-9DEE9642A701}">
    <text>% of total commitment at closing</text>
  </threadedComment>
  <threadedComment ref="I251" dT="2022-07-08T17:41:04.38" personId="{8B353520-150A-46F7-9148-B350C2ADEAC5}" id="{A05DBBB3-26BD-41C9-B97C-6849FC49A099}">
    <text>% of total commitment at closing</text>
  </threadedComment>
  <threadedComment ref="I252" dT="2022-07-08T17:40:43.70" personId="{8B353520-150A-46F7-9148-B350C2ADEAC5}" id="{8FFDF8E5-F7B5-4399-ABC5-BA22A3ECC197}">
    <text>% borrowed amount at draw</text>
  </threadedComment>
  <threadedComment ref="M252" dT="2022-07-08T19:05:04.11" personId="{8B353520-150A-46F7-9148-B350C2ADEAC5}" id="{FFA8206E-5033-44F2-9B79-7076826A8550}">
    <text>Use 3 month contracts / foward term</text>
  </threadedComment>
  <threadedComment ref="M253" dT="2022-07-08T19:21:45.52" personId="{8B353520-150A-46F7-9148-B350C2ADEAC5}" id="{6B2AE4B5-3C3E-42F7-A5AA-27F52C055508}">
    <text>If no floor (vs. 0% floor) put "n/a"</text>
  </threadedComment>
  <threadedComment ref="M257" dT="2022-07-08T20:54:59.82" personId="{8B353520-150A-46F7-9148-B350C2ADEAC5}" id="{DB9A9AFF-357D-4FC8-9CBF-D1CCA70DAEDE}">
    <text>At closing</text>
  </threadedComment>
  <threadedComment ref="M258" dT="2022-07-08T20:54:59.82" personId="{8B353520-150A-46F7-9148-B350C2ADEAC5}" id="{6E101436-4342-409B-901D-7108F9E2FE41}">
    <text>At closing</text>
  </threadedComment>
  <threadedComment ref="I280" dT="2022-07-08T17:41:04.38" personId="{8B353520-150A-46F7-9148-B350C2ADEAC5}" id="{D93F4BBB-B14C-4D5B-925B-D3D050C4BCB0}">
    <text>% of total commitment at closing</text>
  </threadedComment>
  <threadedComment ref="I281" dT="2022-07-08T17:41:04.38" personId="{8B353520-150A-46F7-9148-B350C2ADEAC5}" id="{BA2A6DA9-3B58-4095-8521-9E51BCA0B779}">
    <text>% of total commitment at closing</text>
  </threadedComment>
  <threadedComment ref="I282" dT="2022-07-08T17:40:43.70" personId="{8B353520-150A-46F7-9148-B350C2ADEAC5}" id="{EF36A35C-2221-4957-847D-E5D3889FF750}">
    <text>% borrowed amount at draw</text>
  </threadedComment>
  <threadedComment ref="M282" dT="2022-07-08T19:05:04.11" personId="{8B353520-150A-46F7-9148-B350C2ADEAC5}" id="{29CA6A8F-563F-4076-BD23-5FB07FCCA799}">
    <text>Use 3 month contracts / foward term</text>
  </threadedComment>
  <threadedComment ref="M283" dT="2022-07-08T19:21:45.52" personId="{8B353520-150A-46F7-9148-B350C2ADEAC5}" id="{2FFC481F-1F3D-468B-B3EC-1C7523CE401C}">
    <text>If no floor (vs. 0% floor) put "n/a"</text>
  </threadedComment>
  <threadedComment ref="M287" dT="2022-07-08T20:54:59.82" personId="{8B353520-150A-46F7-9148-B350C2ADEAC5}" id="{15E544D3-C346-407D-894D-0AA935BC0600}">
    <text>At closing</text>
  </threadedComment>
  <threadedComment ref="M288" dT="2022-07-08T20:54:59.82" personId="{8B353520-150A-46F7-9148-B350C2ADEAC5}" id="{9B709E72-6F2B-47AB-852A-97AB414B579D}">
    <text>At closing</text>
  </threadedComment>
  <threadedComment ref="I310" dT="2022-07-08T17:41:04.38" personId="{8B353520-150A-46F7-9148-B350C2ADEAC5}" id="{ACBA3E18-2C73-43E1-944F-3909E0F6009D}">
    <text>% of total commitment at closing</text>
  </threadedComment>
  <threadedComment ref="I311" dT="2022-07-08T17:41:04.38" personId="{8B353520-150A-46F7-9148-B350C2ADEAC5}" id="{95BB3350-383A-42E3-B873-B1B045D26B14}">
    <text>% of total commitment at closing</text>
  </threadedComment>
  <threadedComment ref="I312" dT="2022-07-08T17:40:43.70" personId="{8B353520-150A-46F7-9148-B350C2ADEAC5}" id="{C3C32E8A-C6F7-4EAE-8737-DCE67A3C8E56}">
    <text>% borrowed amount at draw</text>
  </threadedComment>
  <threadedComment ref="M312" dT="2022-07-08T19:05:04.11" personId="{8B353520-150A-46F7-9148-B350C2ADEAC5}" id="{D2734561-BF76-4D9D-BEF9-3C0142E74D67}">
    <text>Use 3 month contracts / foward term</text>
  </threadedComment>
  <threadedComment ref="M313" dT="2022-07-08T19:21:45.52" personId="{8B353520-150A-46F7-9148-B350C2ADEAC5}" id="{D1D96249-45F8-45FA-9516-ADA6433BD1BC}">
    <text>If no floor (vs. 0% floor) put "n/a"</text>
  </threadedComment>
  <threadedComment ref="M317" dT="2022-07-08T20:54:59.82" personId="{8B353520-150A-46F7-9148-B350C2ADEAC5}" id="{8B730FEC-ED61-4CFD-BFAD-28F68889D1A1}">
    <text>At closing</text>
  </threadedComment>
  <threadedComment ref="M318" dT="2022-07-08T20:54:59.82" personId="{8B353520-150A-46F7-9148-B350C2ADEAC5}" id="{1DA40628-9E5F-4011-9D4D-221A19D82E2D}">
    <text>At closing</text>
  </threadedComment>
  <threadedComment ref="I340" dT="2022-07-08T17:41:04.38" personId="{8B353520-150A-46F7-9148-B350C2ADEAC5}" id="{F5729551-2F49-4864-853F-01F24B3B3460}">
    <text>% of total commitment at closing</text>
  </threadedComment>
  <threadedComment ref="I341" dT="2022-07-08T17:41:04.38" personId="{8B353520-150A-46F7-9148-B350C2ADEAC5}" id="{9A938413-157A-4F61-A72F-8AC6BACE65B7}">
    <text>% of total commitment at closing</text>
  </threadedComment>
  <threadedComment ref="I342" dT="2022-07-08T17:40:43.70" personId="{8B353520-150A-46F7-9148-B350C2ADEAC5}" id="{F7538766-28A1-43D7-8357-B9A7A2892BC9}">
    <text>% borrowed amount at draw</text>
  </threadedComment>
  <threadedComment ref="M342" dT="2022-07-08T19:05:04.11" personId="{8B353520-150A-46F7-9148-B350C2ADEAC5}" id="{C7537A52-3741-44F3-B93E-B96102B6A0F6}">
    <text>Use 3 month contracts / foward term</text>
  </threadedComment>
  <threadedComment ref="M343" dT="2022-07-08T19:21:45.52" personId="{8B353520-150A-46F7-9148-B350C2ADEAC5}" id="{44562732-9927-498F-B8A4-168DB01FE4EB}">
    <text>If no floor (vs. 0% floor) put "n/a"</text>
  </threadedComment>
  <threadedComment ref="M347" dT="2022-07-08T20:54:59.82" personId="{8B353520-150A-46F7-9148-B350C2ADEAC5}" id="{35D1EF43-2566-4356-82D1-14EEF078BC60}">
    <text>At closing</text>
  </threadedComment>
  <threadedComment ref="M348" dT="2022-07-08T20:54:59.82" personId="{8B353520-150A-46F7-9148-B350C2ADEAC5}" id="{F2B7BEC8-BC68-4B01-841E-8E36C1466F95}">
    <text>At closing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08B0-4728-4D95-8023-72C2C9E3C01A}">
  <dimension ref="A1:Y1"/>
  <sheetViews>
    <sheetView workbookViewId="0"/>
  </sheetViews>
  <sheetFormatPr defaultRowHeight="13" x14ac:dyDescent="0.3"/>
  <sheetData>
    <row r="1" spans="1:25" x14ac:dyDescent="0.3">
      <c r="A1">
        <v>25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  <c r="P1" t="s">
        <v>407</v>
      </c>
      <c r="Q1" t="s">
        <v>408</v>
      </c>
      <c r="R1" t="s">
        <v>409</v>
      </c>
      <c r="S1" t="s">
        <v>410</v>
      </c>
      <c r="T1" t="s">
        <v>411</v>
      </c>
      <c r="U1" t="s">
        <v>412</v>
      </c>
      <c r="V1" t="s">
        <v>413</v>
      </c>
      <c r="W1" t="s">
        <v>414</v>
      </c>
      <c r="X1" t="s">
        <v>415</v>
      </c>
      <c r="Y1" t="s">
        <v>416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8CEA-8856-4BA4-9D84-F0BA067A3E27}">
  <sheetPr codeName="Sheet1">
    <tabColor theme="7"/>
    <pageSetUpPr fitToPage="1"/>
  </sheetPr>
  <dimension ref="A1:AC181"/>
  <sheetViews>
    <sheetView showGridLines="0" tabSelected="1" view="pageBreakPreview" zoomScale="85" zoomScaleNormal="100" zoomScaleSheetLayoutView="85" zoomScalePageLayoutView="55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C17" sqref="C17"/>
    </sheetView>
  </sheetViews>
  <sheetFormatPr defaultColWidth="9.296875" defaultRowHeight="13" x14ac:dyDescent="0.3"/>
  <cols>
    <col min="1" max="2" width="2.796875" style="1" customWidth="1"/>
    <col min="3" max="25" width="13.296875" style="1" customWidth="1"/>
    <col min="26" max="16384" width="9.296875" style="1"/>
  </cols>
  <sheetData>
    <row r="1" spans="1:29" x14ac:dyDescent="0.3">
      <c r="C1" s="174" t="str">
        <f>++$E$6</f>
        <v>[Company Name]</v>
      </c>
      <c r="D1" s="3"/>
      <c r="E1" s="4"/>
      <c r="O1" s="5">
        <f t="shared" ref="O1" si="0">++EOMONTH(P1,-12)</f>
        <v>44926</v>
      </c>
      <c r="P1" s="5">
        <f>++EOMONTH(Q1,-12)</f>
        <v>45291</v>
      </c>
      <c r="Q1" s="5">
        <f>++EOMONTH(S1,-12)</f>
        <v>45657</v>
      </c>
      <c r="R1" s="5">
        <f>++LTMDate</f>
        <v>45930</v>
      </c>
      <c r="S1" s="5">
        <f>++DATE(YEAR(R1),MONTH($E$11),DAY($E$11))</f>
        <v>46022</v>
      </c>
      <c r="T1" s="5">
        <f>++EOMONTH(U1,-12)</f>
        <v>45565</v>
      </c>
      <c r="U1" s="5">
        <f>++LTMDate</f>
        <v>45930</v>
      </c>
      <c r="V1" s="5">
        <f>++U1</f>
        <v>45930</v>
      </c>
      <c r="W1" s="6">
        <f>++T1</f>
        <v>45565</v>
      </c>
      <c r="X1" s="6">
        <f t="shared" ref="X1:Y1" si="1">++U1</f>
        <v>45930</v>
      </c>
      <c r="Y1" s="6">
        <f t="shared" si="1"/>
        <v>45930</v>
      </c>
      <c r="AA1" s="7" t="s">
        <v>142</v>
      </c>
      <c r="AB1" s="8"/>
      <c r="AC1" s="9">
        <v>45930</v>
      </c>
    </row>
    <row r="2" spans="1:29" x14ac:dyDescent="0.3">
      <c r="C2" s="178" t="s">
        <v>418</v>
      </c>
      <c r="D2" s="11"/>
      <c r="E2" s="12"/>
      <c r="AA2" s="7" t="s">
        <v>645</v>
      </c>
      <c r="AB2" s="8"/>
      <c r="AC2" s="88" t="s">
        <v>647</v>
      </c>
    </row>
    <row r="3" spans="1:29" x14ac:dyDescent="0.3">
      <c r="C3" s="316" t="str">
        <f ca="1">++TEXT(TODAY(),"MMMM D, YYYY")</f>
        <v>February 26, 2026</v>
      </c>
      <c r="D3" s="14"/>
      <c r="E3" s="15"/>
    </row>
    <row r="5" spans="1:29" x14ac:dyDescent="0.3">
      <c r="A5" s="16" t="s">
        <v>0</v>
      </c>
      <c r="B5" s="16" t="s">
        <v>0</v>
      </c>
      <c r="C5" s="141" t="str">
        <f>++C2</f>
        <v>OL Investment Dashboard</v>
      </c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3" t="str">
        <f>++"Financial Performance Update as of "&amp;TEXT(LTMDate,"MMMM D, YYYY")</f>
        <v>Financial Performance Update as of September 30, 2025</v>
      </c>
    </row>
    <row r="6" spans="1:29" x14ac:dyDescent="0.3">
      <c r="C6" s="217" t="s">
        <v>2</v>
      </c>
      <c r="E6" s="17" t="s">
        <v>390</v>
      </c>
      <c r="I6" s="101" t="s">
        <v>11</v>
      </c>
      <c r="K6" s="17" t="s">
        <v>20</v>
      </c>
      <c r="O6" s="101" t="s">
        <v>439</v>
      </c>
      <c r="Q6" s="17" t="s">
        <v>440</v>
      </c>
      <c r="U6" s="101" t="s">
        <v>15</v>
      </c>
      <c r="W6" s="17" t="s">
        <v>441</v>
      </c>
      <c r="Y6" s="18"/>
    </row>
    <row r="7" spans="1:29" x14ac:dyDescent="0.3">
      <c r="C7" s="217" t="s">
        <v>6</v>
      </c>
      <c r="E7" s="17" t="s">
        <v>386</v>
      </c>
      <c r="I7" s="101" t="s">
        <v>12</v>
      </c>
      <c r="K7" s="17" t="s">
        <v>21</v>
      </c>
      <c r="O7" s="101" t="s">
        <v>438</v>
      </c>
      <c r="Q7" s="17" t="s">
        <v>20</v>
      </c>
      <c r="U7" s="101" t="s">
        <v>16</v>
      </c>
      <c r="W7" s="17" t="s">
        <v>20</v>
      </c>
      <c r="Y7" s="18"/>
    </row>
    <row r="8" spans="1:29" x14ac:dyDescent="0.3">
      <c r="C8" s="217" t="s">
        <v>7</v>
      </c>
      <c r="E8" s="17" t="s">
        <v>387</v>
      </c>
      <c r="I8" s="101" t="s">
        <v>13</v>
      </c>
      <c r="K8" s="17" t="s">
        <v>389</v>
      </c>
      <c r="L8" s="19"/>
      <c r="M8" s="19"/>
      <c r="O8" s="101" t="s">
        <v>437</v>
      </c>
      <c r="Q8" s="17" t="s">
        <v>20</v>
      </c>
      <c r="U8" s="101" t="s">
        <v>17</v>
      </c>
      <c r="W8" s="17" t="s">
        <v>21</v>
      </c>
      <c r="Y8" s="18"/>
    </row>
    <row r="9" spans="1:29" x14ac:dyDescent="0.3">
      <c r="C9" s="217" t="s">
        <v>4</v>
      </c>
      <c r="E9" s="17" t="s">
        <v>222</v>
      </c>
      <c r="I9" s="101" t="s">
        <v>444</v>
      </c>
      <c r="K9" s="17" t="s">
        <v>447</v>
      </c>
      <c r="O9" s="101" t="s">
        <v>419</v>
      </c>
      <c r="Q9" s="17" t="s">
        <v>20</v>
      </c>
      <c r="U9" s="101" t="s">
        <v>420</v>
      </c>
      <c r="W9" s="17" t="s">
        <v>22</v>
      </c>
      <c r="Y9" s="18"/>
    </row>
    <row r="10" spans="1:29" x14ac:dyDescent="0.3">
      <c r="C10" s="217" t="s">
        <v>5</v>
      </c>
      <c r="E10" s="17" t="s">
        <v>276</v>
      </c>
      <c r="I10" s="101" t="s">
        <v>445</v>
      </c>
      <c r="K10" s="17" t="s">
        <v>446</v>
      </c>
      <c r="O10" s="101" t="s">
        <v>421</v>
      </c>
      <c r="Q10" s="17" t="s">
        <v>20</v>
      </c>
      <c r="U10" s="101" t="s">
        <v>422</v>
      </c>
      <c r="W10" s="17" t="s">
        <v>20</v>
      </c>
      <c r="Y10" s="18"/>
    </row>
    <row r="11" spans="1:29" x14ac:dyDescent="0.3">
      <c r="C11" s="217" t="s">
        <v>14</v>
      </c>
      <c r="E11" s="20">
        <v>45657</v>
      </c>
      <c r="I11" s="101" t="s">
        <v>7</v>
      </c>
      <c r="K11" s="17" t="s">
        <v>387</v>
      </c>
      <c r="O11" s="101" t="s">
        <v>423</v>
      </c>
      <c r="Q11" s="17" t="s">
        <v>442</v>
      </c>
      <c r="U11" s="101" t="s">
        <v>424</v>
      </c>
      <c r="W11" s="17" t="s">
        <v>21</v>
      </c>
      <c r="Y11" s="18"/>
    </row>
    <row r="12" spans="1:29" x14ac:dyDescent="0.3">
      <c r="C12" s="217" t="s">
        <v>8</v>
      </c>
      <c r="E12" s="17" t="s">
        <v>20</v>
      </c>
      <c r="I12" s="101" t="s">
        <v>451</v>
      </c>
      <c r="K12" s="17" t="s">
        <v>20</v>
      </c>
      <c r="O12" s="101" t="s">
        <v>425</v>
      </c>
      <c r="Q12" s="313">
        <f>++MAX(H20:H24)</f>
        <v>47664</v>
      </c>
      <c r="U12" s="101" t="s">
        <v>448</v>
      </c>
      <c r="W12" s="17" t="s">
        <v>22</v>
      </c>
      <c r="Y12" s="18"/>
    </row>
    <row r="13" spans="1:29" x14ac:dyDescent="0.3">
      <c r="C13" s="217" t="s">
        <v>9</v>
      </c>
      <c r="E13" s="17" t="s">
        <v>21</v>
      </c>
      <c r="I13" s="101" t="s">
        <v>452</v>
      </c>
      <c r="K13" s="17" t="s">
        <v>21</v>
      </c>
      <c r="O13" s="101" t="s">
        <v>18</v>
      </c>
      <c r="Q13" s="17" t="s">
        <v>300</v>
      </c>
      <c r="U13" s="101" t="s">
        <v>449</v>
      </c>
      <c r="W13" s="17" t="s">
        <v>20</v>
      </c>
      <c r="Y13" s="18"/>
    </row>
    <row r="14" spans="1:29" x14ac:dyDescent="0.3">
      <c r="C14" s="217" t="s">
        <v>10</v>
      </c>
      <c r="E14" s="17" t="s">
        <v>389</v>
      </c>
      <c r="I14" s="101" t="s">
        <v>453</v>
      </c>
      <c r="K14" s="17" t="s">
        <v>389</v>
      </c>
      <c r="O14" s="101" t="s">
        <v>19</v>
      </c>
      <c r="Q14" s="17" t="s">
        <v>47</v>
      </c>
      <c r="U14" s="101" t="s">
        <v>450</v>
      </c>
      <c r="W14" s="17" t="s">
        <v>21</v>
      </c>
      <c r="Y14" s="18"/>
    </row>
    <row r="15" spans="1:29" ht="5.15" customHeight="1" x14ac:dyDescent="0.3">
      <c r="C15" s="21"/>
      <c r="D15" s="22"/>
      <c r="E15" s="23"/>
      <c r="F15" s="22"/>
      <c r="G15" s="22"/>
      <c r="H15" s="22"/>
      <c r="I15" s="22"/>
      <c r="J15" s="22"/>
      <c r="K15" s="23"/>
      <c r="L15" s="22"/>
      <c r="M15" s="22"/>
      <c r="N15" s="22"/>
      <c r="O15" s="22"/>
      <c r="P15" s="22"/>
      <c r="Q15" s="22"/>
      <c r="R15" s="23"/>
      <c r="S15" s="22"/>
      <c r="T15" s="22"/>
      <c r="U15" s="22"/>
      <c r="V15" s="22"/>
      <c r="W15" s="23"/>
      <c r="X15" s="22"/>
      <c r="Y15" s="24"/>
    </row>
    <row r="17" spans="2:25" x14ac:dyDescent="0.3">
      <c r="B17" s="16" t="s">
        <v>0</v>
      </c>
      <c r="C17" s="141" t="s">
        <v>454</v>
      </c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4"/>
    </row>
    <row r="18" spans="2:25" ht="14.5" x14ac:dyDescent="0.45">
      <c r="C18" s="25" t="s">
        <v>1</v>
      </c>
      <c r="G18" s="26" t="s">
        <v>38</v>
      </c>
      <c r="H18" s="26"/>
      <c r="L18" s="27" t="s">
        <v>48</v>
      </c>
      <c r="M18" s="26" t="s">
        <v>436</v>
      </c>
      <c r="N18" s="26"/>
      <c r="O18" s="26" t="s">
        <v>435</v>
      </c>
      <c r="P18" s="26"/>
      <c r="Q18" s="26"/>
      <c r="R18" s="26"/>
      <c r="S18" s="26" t="s">
        <v>653</v>
      </c>
      <c r="T18" s="26"/>
      <c r="U18" s="26"/>
      <c r="V18" s="26" t="s">
        <v>30</v>
      </c>
      <c r="W18" s="26"/>
      <c r="X18" s="26" t="s">
        <v>427</v>
      </c>
      <c r="Y18" s="28"/>
    </row>
    <row r="19" spans="2:25" ht="14.5" x14ac:dyDescent="0.45">
      <c r="C19" s="29" t="s">
        <v>24</v>
      </c>
      <c r="D19" s="26"/>
      <c r="E19" s="26"/>
      <c r="F19" s="30" t="s">
        <v>133</v>
      </c>
      <c r="G19" s="30" t="s">
        <v>39</v>
      </c>
      <c r="H19" s="30" t="s">
        <v>33</v>
      </c>
      <c r="I19" s="30" t="s">
        <v>37</v>
      </c>
      <c r="J19" s="26" t="s">
        <v>341</v>
      </c>
      <c r="K19" s="26"/>
      <c r="L19" s="30" t="s">
        <v>43</v>
      </c>
      <c r="M19" s="30" t="s">
        <v>27</v>
      </c>
      <c r="N19" s="30" t="s">
        <v>28</v>
      </c>
      <c r="O19" s="30" t="s">
        <v>27</v>
      </c>
      <c r="P19" s="30" t="s">
        <v>29</v>
      </c>
      <c r="Q19" s="30" t="s">
        <v>28</v>
      </c>
      <c r="R19" s="30" t="s">
        <v>455</v>
      </c>
      <c r="S19" s="30" t="s">
        <v>35</v>
      </c>
      <c r="T19" s="30" t="s">
        <v>34</v>
      </c>
      <c r="U19" s="30" t="s">
        <v>342</v>
      </c>
      <c r="V19" s="30" t="s">
        <v>31</v>
      </c>
      <c r="W19" s="30" t="s">
        <v>510</v>
      </c>
      <c r="X19" s="30" t="s">
        <v>36</v>
      </c>
      <c r="Y19" s="31" t="s">
        <v>40</v>
      </c>
    </row>
    <row r="20" spans="2:25" x14ac:dyDescent="0.3">
      <c r="C20" s="32" t="str">
        <f>++'Trade Ticket Input'!P388</f>
        <v>ABL Revolver ($0.0MM)</v>
      </c>
      <c r="F20" s="33" t="s">
        <v>134</v>
      </c>
      <c r="G20" s="5">
        <f>++'Trade Ticket Input'!S388</f>
        <v>45838</v>
      </c>
      <c r="H20" s="5">
        <f>++'Trade Ticket Input'!T388</f>
        <v>47664</v>
      </c>
      <c r="I20" s="34">
        <f>++YEARFRAC(G20,H20,1)</f>
        <v>5.0004564125969875</v>
      </c>
      <c r="J20" s="35" t="str">
        <f>++'Trade Ticket Input'!U388</f>
        <v>n/a</v>
      </c>
      <c r="K20" s="36"/>
      <c r="L20" s="5" t="str">
        <f>++'Trade Ticket Input'!W388</f>
        <v>n/a</v>
      </c>
      <c r="M20" s="37">
        <f>++'Trade Ticket Input'!X388</f>
        <v>0</v>
      </c>
      <c r="N20" s="37">
        <f>++INDEX('Financials Input'!$G$651:$DC$680,MATCH(C20,'Financials Input'!$C$651:$C$680,0),MATCH(LTMDate,'Financials Input'!$G$3:$DC$3,0))</f>
        <v>0</v>
      </c>
      <c r="O20" s="37">
        <f>++'Trade Ticket Input'!Y388</f>
        <v>0</v>
      </c>
      <c r="P20" s="38">
        <f t="shared" ref="P20:P33" si="2">++IFERROR(O20/M20,0)</f>
        <v>0</v>
      </c>
      <c r="Q20" s="39">
        <v>0</v>
      </c>
      <c r="R20" s="38">
        <f>++IFERROR(Q20/O20,0)</f>
        <v>0</v>
      </c>
      <c r="S20" s="40">
        <f>++'Trade Ticket Input'!AA388</f>
        <v>0</v>
      </c>
      <c r="T20" s="40">
        <f>++'Trade Ticket Input'!Z388</f>
        <v>0</v>
      </c>
      <c r="U20" s="40">
        <f>++'Trade Ticket Input'!AB388</f>
        <v>0</v>
      </c>
      <c r="V20" s="40">
        <f>++'Trade Ticket Input'!AC388</f>
        <v>0</v>
      </c>
      <c r="W20" s="40">
        <f>++'Trade Ticket Input'!AD388</f>
        <v>0</v>
      </c>
      <c r="X20" s="41">
        <v>100</v>
      </c>
      <c r="Y20" s="42" t="s">
        <v>443</v>
      </c>
    </row>
    <row r="21" spans="2:25" x14ac:dyDescent="0.3">
      <c r="C21" s="32" t="str">
        <f>++'Trade Ticket Input'!P389</f>
        <v>Priority Revolver ($0.0MM)</v>
      </c>
      <c r="F21" s="33" t="s">
        <v>134</v>
      </c>
      <c r="G21" s="5">
        <f>++'Trade Ticket Input'!S389</f>
        <v>45838</v>
      </c>
      <c r="H21" s="5">
        <f>++'Trade Ticket Input'!T389</f>
        <v>47664</v>
      </c>
      <c r="I21" s="43">
        <f t="shared" ref="I21:I31" si="3">++YEARFRAC(G21,H21,1)</f>
        <v>5.0004564125969875</v>
      </c>
      <c r="J21" s="35" t="str">
        <f>++'Trade Ticket Input'!U389</f>
        <v>n/a</v>
      </c>
      <c r="K21" s="35"/>
      <c r="L21" s="5" t="str">
        <f>++'Trade Ticket Input'!W389</f>
        <v>n/a</v>
      </c>
      <c r="M21" s="44">
        <f>++'Trade Ticket Input'!X389</f>
        <v>0</v>
      </c>
      <c r="N21" s="44">
        <f>++INDEX('Financials Input'!$G$651:$DC$680,MATCH(C21,'Financials Input'!$C$651:$C$680,0),MATCH(LTMDate,'Financials Input'!$G$3:$DC$3,0))</f>
        <v>0</v>
      </c>
      <c r="O21" s="44">
        <f>++'Trade Ticket Input'!Y389</f>
        <v>0</v>
      </c>
      <c r="P21" s="38">
        <f t="shared" si="2"/>
        <v>0</v>
      </c>
      <c r="Q21" s="45">
        <v>0</v>
      </c>
      <c r="R21" s="38">
        <f t="shared" ref="R21:R33" si="4">++IFERROR(Q21/O21,0)</f>
        <v>0</v>
      </c>
      <c r="S21" s="40">
        <f>++'Trade Ticket Input'!AA389</f>
        <v>0</v>
      </c>
      <c r="T21" s="40">
        <f>++'Trade Ticket Input'!Z389</f>
        <v>0</v>
      </c>
      <c r="U21" s="40">
        <f>++'Trade Ticket Input'!AB389</f>
        <v>0</v>
      </c>
      <c r="V21" s="40">
        <f>++'Trade Ticket Input'!AC389</f>
        <v>0</v>
      </c>
      <c r="W21" s="40">
        <f>++'Trade Ticket Input'!AD389</f>
        <v>0</v>
      </c>
      <c r="X21" s="41">
        <v>100</v>
      </c>
      <c r="Y21" s="46" t="s">
        <v>443</v>
      </c>
    </row>
    <row r="22" spans="2:25" x14ac:dyDescent="0.3">
      <c r="C22" s="32" t="str">
        <f>++'Trade Ticket Input'!P390</f>
        <v>First Lien Term Loan</v>
      </c>
      <c r="F22" s="33" t="s">
        <v>134</v>
      </c>
      <c r="G22" s="5">
        <f>++'Trade Ticket Input'!S390</f>
        <v>45838</v>
      </c>
      <c r="H22" s="5">
        <f>++'Trade Ticket Input'!T390</f>
        <v>47664</v>
      </c>
      <c r="I22" s="43">
        <f t="shared" si="3"/>
        <v>5.0004564125969875</v>
      </c>
      <c r="J22" s="35" t="str">
        <f>++'Trade Ticket Input'!U390</f>
        <v>102/101</v>
      </c>
      <c r="K22" s="35"/>
      <c r="L22" s="5">
        <f>++'Trade Ticket Input'!W390</f>
        <v>46568</v>
      </c>
      <c r="M22" s="44">
        <f>++'Trade Ticket Input'!X390</f>
        <v>0</v>
      </c>
      <c r="N22" s="44">
        <f>++INDEX('Financials Input'!$G$651:$DC$680,MATCH(C22,'Financials Input'!$C$651:$C$680,0),MATCH(LTMDate,'Financials Input'!$G$3:$DC$3,0))</f>
        <v>0</v>
      </c>
      <c r="O22" s="44">
        <f>++'Trade Ticket Input'!Y390</f>
        <v>0</v>
      </c>
      <c r="P22" s="38">
        <f t="shared" si="2"/>
        <v>0</v>
      </c>
      <c r="Q22" s="45">
        <v>0</v>
      </c>
      <c r="R22" s="38">
        <f t="shared" si="4"/>
        <v>0</v>
      </c>
      <c r="S22" s="40">
        <f>++'Trade Ticket Input'!AA390</f>
        <v>0</v>
      </c>
      <c r="T22" s="40">
        <f>++'Trade Ticket Input'!Z390</f>
        <v>0</v>
      </c>
      <c r="U22" s="40">
        <f>++'Trade Ticket Input'!AB390</f>
        <v>0</v>
      </c>
      <c r="V22" s="40">
        <f>++'Trade Ticket Input'!AC390</f>
        <v>0</v>
      </c>
      <c r="W22" s="40">
        <f>++'Trade Ticket Input'!AD390</f>
        <v>0</v>
      </c>
      <c r="X22" s="41">
        <v>100</v>
      </c>
      <c r="Y22" s="46" t="s">
        <v>443</v>
      </c>
    </row>
    <row r="23" spans="2:25" x14ac:dyDescent="0.3">
      <c r="C23" s="32" t="str">
        <f>++'Trade Ticket Input'!P391</f>
        <v>First Lien Last-Out Term Loan</v>
      </c>
      <c r="F23" s="33" t="s">
        <v>134</v>
      </c>
      <c r="G23" s="5">
        <f>++'Trade Ticket Input'!S391</f>
        <v>45838</v>
      </c>
      <c r="H23" s="5">
        <f>++'Trade Ticket Input'!T391</f>
        <v>47664</v>
      </c>
      <c r="I23" s="43">
        <f t="shared" si="3"/>
        <v>5.0004564125969875</v>
      </c>
      <c r="J23" s="35" t="str">
        <f>++'Trade Ticket Input'!U391</f>
        <v>102/101</v>
      </c>
      <c r="K23" s="35"/>
      <c r="L23" s="5">
        <f>++'Trade Ticket Input'!W391</f>
        <v>46568</v>
      </c>
      <c r="M23" s="44">
        <f>++'Trade Ticket Input'!X391</f>
        <v>0</v>
      </c>
      <c r="N23" s="44">
        <f>++INDEX('Financials Input'!$G$651:$DC$680,MATCH(C23,'Financials Input'!$C$651:$C$680,0),MATCH(LTMDate,'Financials Input'!$G$3:$DC$3,0))</f>
        <v>0</v>
      </c>
      <c r="O23" s="44">
        <f>++'Trade Ticket Input'!Y391</f>
        <v>0</v>
      </c>
      <c r="P23" s="38">
        <f t="shared" si="2"/>
        <v>0</v>
      </c>
      <c r="Q23" s="45">
        <v>0</v>
      </c>
      <c r="R23" s="38">
        <f t="shared" si="4"/>
        <v>0</v>
      </c>
      <c r="S23" s="40">
        <f>++'Trade Ticket Input'!AA391</f>
        <v>0</v>
      </c>
      <c r="T23" s="40">
        <f>++'Trade Ticket Input'!Z391</f>
        <v>0</v>
      </c>
      <c r="U23" s="40">
        <f>++'Trade Ticket Input'!AB391</f>
        <v>0</v>
      </c>
      <c r="V23" s="40">
        <f>++'Trade Ticket Input'!AC391</f>
        <v>0</v>
      </c>
      <c r="W23" s="40">
        <f>++'Trade Ticket Input'!AD391</f>
        <v>0</v>
      </c>
      <c r="X23" s="41">
        <v>100</v>
      </c>
      <c r="Y23" s="46" t="s">
        <v>443</v>
      </c>
    </row>
    <row r="24" spans="2:25" x14ac:dyDescent="0.3">
      <c r="C24" s="32" t="str">
        <f>++'Trade Ticket Input'!P392</f>
        <v>First Lien DDTL ($0.0MM)</v>
      </c>
      <c r="F24" s="33" t="s">
        <v>134</v>
      </c>
      <c r="G24" s="5">
        <f>++'Trade Ticket Input'!S392</f>
        <v>45838</v>
      </c>
      <c r="H24" s="5">
        <f>++'Trade Ticket Input'!T392</f>
        <v>47664</v>
      </c>
      <c r="I24" s="43">
        <f t="shared" si="3"/>
        <v>5.0004564125969875</v>
      </c>
      <c r="J24" s="35" t="str">
        <f>++'Trade Ticket Input'!U392</f>
        <v>102/101</v>
      </c>
      <c r="K24" s="35"/>
      <c r="L24" s="5">
        <f>++'Trade Ticket Input'!W392</f>
        <v>46568</v>
      </c>
      <c r="M24" s="44">
        <f>++'Trade Ticket Input'!X392</f>
        <v>0</v>
      </c>
      <c r="N24" s="44">
        <f>++INDEX('Financials Input'!$G$651:$DC$680,MATCH(C24,'Financials Input'!$C$651:$C$680,0),MATCH(LTMDate,'Financials Input'!$G$3:$DC$3,0))</f>
        <v>0</v>
      </c>
      <c r="O24" s="44">
        <f>++'Trade Ticket Input'!Y392</f>
        <v>0</v>
      </c>
      <c r="P24" s="38">
        <f t="shared" si="2"/>
        <v>0</v>
      </c>
      <c r="Q24" s="45">
        <v>0</v>
      </c>
      <c r="R24" s="38">
        <f t="shared" si="4"/>
        <v>0</v>
      </c>
      <c r="S24" s="40">
        <f>++'Trade Ticket Input'!AA392</f>
        <v>0</v>
      </c>
      <c r="T24" s="40">
        <f>++'Trade Ticket Input'!Z392</f>
        <v>0</v>
      </c>
      <c r="U24" s="40">
        <f>++'Trade Ticket Input'!AB392</f>
        <v>0</v>
      </c>
      <c r="V24" s="40">
        <f>++'Trade Ticket Input'!AC392</f>
        <v>0</v>
      </c>
      <c r="W24" s="40">
        <f>++'Trade Ticket Input'!AD392</f>
        <v>0</v>
      </c>
      <c r="X24" s="41">
        <v>100</v>
      </c>
      <c r="Y24" s="46" t="s">
        <v>443</v>
      </c>
    </row>
    <row r="25" spans="2:25" x14ac:dyDescent="0.3">
      <c r="C25" s="32" t="str">
        <f>++'Trade Ticket Input'!P393</f>
        <v>Second Lien Term Loan</v>
      </c>
      <c r="F25" s="33" t="s">
        <v>134</v>
      </c>
      <c r="G25" s="5">
        <f>++'Trade Ticket Input'!S393</f>
        <v>45838</v>
      </c>
      <c r="H25" s="5">
        <f>++'Trade Ticket Input'!T393</f>
        <v>47664</v>
      </c>
      <c r="I25" s="43">
        <f t="shared" si="3"/>
        <v>5.0004564125969875</v>
      </c>
      <c r="J25" s="35" t="str">
        <f>++'Trade Ticket Input'!U393</f>
        <v>102/101</v>
      </c>
      <c r="K25" s="35"/>
      <c r="L25" s="5">
        <f>++'Trade Ticket Input'!W393</f>
        <v>46568</v>
      </c>
      <c r="M25" s="44">
        <f>++'Trade Ticket Input'!X393</f>
        <v>0</v>
      </c>
      <c r="N25" s="44">
        <f>++INDEX('Financials Input'!$G$651:$DC$680,MATCH(C25,'Financials Input'!$C$651:$C$680,0),MATCH(LTMDate,'Financials Input'!$G$3:$DC$3,0))</f>
        <v>0</v>
      </c>
      <c r="O25" s="44">
        <f>++'Trade Ticket Input'!Y393</f>
        <v>0</v>
      </c>
      <c r="P25" s="38">
        <f t="shared" si="2"/>
        <v>0</v>
      </c>
      <c r="Q25" s="45">
        <v>0</v>
      </c>
      <c r="R25" s="38">
        <f t="shared" si="4"/>
        <v>0</v>
      </c>
      <c r="S25" s="40">
        <f>++'Trade Ticket Input'!AA393</f>
        <v>0</v>
      </c>
      <c r="T25" s="40">
        <f>++'Trade Ticket Input'!Z393</f>
        <v>0</v>
      </c>
      <c r="U25" s="40">
        <f>++'Trade Ticket Input'!AB393</f>
        <v>0</v>
      </c>
      <c r="V25" s="40">
        <f>++'Trade Ticket Input'!AC393</f>
        <v>0</v>
      </c>
      <c r="W25" s="40">
        <f>++'Trade Ticket Input'!AD393</f>
        <v>0</v>
      </c>
      <c r="X25" s="41">
        <v>100</v>
      </c>
      <c r="Y25" s="46" t="s">
        <v>443</v>
      </c>
    </row>
    <row r="26" spans="2:25" x14ac:dyDescent="0.3">
      <c r="C26" s="32" t="str">
        <f>++'Trade Ticket Input'!P394</f>
        <v>Second Lien DDTL ($0.0MM)</v>
      </c>
      <c r="F26" s="33" t="s">
        <v>134</v>
      </c>
      <c r="G26" s="5">
        <f>++'Trade Ticket Input'!S394</f>
        <v>45838</v>
      </c>
      <c r="H26" s="5">
        <f>++'Trade Ticket Input'!T394</f>
        <v>47664</v>
      </c>
      <c r="I26" s="43">
        <f t="shared" si="3"/>
        <v>5.0004564125969875</v>
      </c>
      <c r="J26" s="35" t="str">
        <f>++'Trade Ticket Input'!U394</f>
        <v>102/101</v>
      </c>
      <c r="K26" s="35"/>
      <c r="L26" s="5">
        <f>++'Trade Ticket Input'!W394</f>
        <v>46568</v>
      </c>
      <c r="M26" s="44">
        <f>++'Trade Ticket Input'!X394</f>
        <v>0</v>
      </c>
      <c r="N26" s="44">
        <f>++INDEX('Financials Input'!$G$651:$DC$680,MATCH(C26,'Financials Input'!$C$651:$C$680,0),MATCH(LTMDate,'Financials Input'!$G$3:$DC$3,0))</f>
        <v>0</v>
      </c>
      <c r="O26" s="44">
        <f>++'Trade Ticket Input'!Y394</f>
        <v>0</v>
      </c>
      <c r="P26" s="38">
        <f t="shared" si="2"/>
        <v>0</v>
      </c>
      <c r="Q26" s="45">
        <v>0</v>
      </c>
      <c r="R26" s="38">
        <f t="shared" si="4"/>
        <v>0</v>
      </c>
      <c r="S26" s="40">
        <f>++'Trade Ticket Input'!AA394</f>
        <v>0</v>
      </c>
      <c r="T26" s="40">
        <f>++'Trade Ticket Input'!Z394</f>
        <v>0</v>
      </c>
      <c r="U26" s="40">
        <f>++'Trade Ticket Input'!AB394</f>
        <v>0</v>
      </c>
      <c r="V26" s="40">
        <f>++'Trade Ticket Input'!AC394</f>
        <v>0</v>
      </c>
      <c r="W26" s="40">
        <f>++'Trade Ticket Input'!AD394</f>
        <v>0</v>
      </c>
      <c r="X26" s="41">
        <v>100</v>
      </c>
      <c r="Y26" s="46" t="s">
        <v>443</v>
      </c>
    </row>
    <row r="27" spans="2:25" x14ac:dyDescent="0.3">
      <c r="C27" s="32" t="str">
        <f>++'Trade Ticket Input'!P395</f>
        <v>Subordinated Notes</v>
      </c>
      <c r="F27" s="33" t="s">
        <v>134</v>
      </c>
      <c r="G27" s="5">
        <f>++'Trade Ticket Input'!S395</f>
        <v>45838</v>
      </c>
      <c r="H27" s="5">
        <f>++'Trade Ticket Input'!T395</f>
        <v>47664</v>
      </c>
      <c r="I27" s="43">
        <f t="shared" si="3"/>
        <v>5.0004564125969875</v>
      </c>
      <c r="J27" s="35" t="str">
        <f>++'Trade Ticket Input'!U395</f>
        <v>102/101</v>
      </c>
      <c r="K27" s="35"/>
      <c r="L27" s="5">
        <f>++'Trade Ticket Input'!W395</f>
        <v>46568</v>
      </c>
      <c r="M27" s="44">
        <f>++'Trade Ticket Input'!X395</f>
        <v>0</v>
      </c>
      <c r="N27" s="44">
        <f>++INDEX('Financials Input'!$G$651:$DC$680,MATCH(C27,'Financials Input'!$C$651:$C$680,0),MATCH(LTMDate,'Financials Input'!$G$3:$DC$3,0))</f>
        <v>0</v>
      </c>
      <c r="O27" s="44">
        <f>++'Trade Ticket Input'!Y395</f>
        <v>0</v>
      </c>
      <c r="P27" s="38">
        <f t="shared" ref="P27:P28" si="5">++IFERROR(O27/M27,0)</f>
        <v>0</v>
      </c>
      <c r="Q27" s="45">
        <v>0</v>
      </c>
      <c r="R27" s="38">
        <f t="shared" si="4"/>
        <v>0</v>
      </c>
      <c r="S27" s="40">
        <f>++'Trade Ticket Input'!AA395</f>
        <v>0</v>
      </c>
      <c r="T27" s="40">
        <f>++'Trade Ticket Input'!Z395</f>
        <v>0</v>
      </c>
      <c r="U27" s="40">
        <f>++'Trade Ticket Input'!AB395</f>
        <v>0</v>
      </c>
      <c r="V27" s="40" t="str">
        <f>++'Trade Ticket Input'!AC395</f>
        <v>n/a</v>
      </c>
      <c r="W27" s="40">
        <f>++'Trade Ticket Input'!AD395</f>
        <v>0</v>
      </c>
      <c r="X27" s="41">
        <v>100</v>
      </c>
      <c r="Y27" s="46" t="s">
        <v>443</v>
      </c>
    </row>
    <row r="28" spans="2:25" x14ac:dyDescent="0.3">
      <c r="C28" s="32" t="str">
        <f>++'Trade Ticket Input'!P396</f>
        <v>Subordinated DD Notes ($0.0MM)</v>
      </c>
      <c r="F28" s="33" t="s">
        <v>134</v>
      </c>
      <c r="G28" s="5">
        <f>++'Trade Ticket Input'!S396</f>
        <v>45838</v>
      </c>
      <c r="H28" s="5">
        <f>++'Trade Ticket Input'!T396</f>
        <v>47664</v>
      </c>
      <c r="I28" s="43">
        <f t="shared" si="3"/>
        <v>5.0004564125969875</v>
      </c>
      <c r="J28" s="35" t="str">
        <f>++'Trade Ticket Input'!U396</f>
        <v>102/101</v>
      </c>
      <c r="K28" s="35"/>
      <c r="L28" s="5">
        <f>++'Trade Ticket Input'!W396</f>
        <v>46568</v>
      </c>
      <c r="M28" s="44">
        <f>++'Trade Ticket Input'!X396</f>
        <v>0</v>
      </c>
      <c r="N28" s="44">
        <f>++INDEX('Financials Input'!$G$651:$DC$680,MATCH(C28,'Financials Input'!$C$651:$C$680,0),MATCH(LTMDate,'Financials Input'!$G$3:$DC$3,0))</f>
        <v>0</v>
      </c>
      <c r="O28" s="44">
        <f>++'Trade Ticket Input'!Y396</f>
        <v>0</v>
      </c>
      <c r="P28" s="38">
        <f t="shared" si="5"/>
        <v>0</v>
      </c>
      <c r="Q28" s="45">
        <v>0</v>
      </c>
      <c r="R28" s="38">
        <f t="shared" si="4"/>
        <v>0</v>
      </c>
      <c r="S28" s="40">
        <f>++'Trade Ticket Input'!AA396</f>
        <v>0</v>
      </c>
      <c r="T28" s="40">
        <f>++'Trade Ticket Input'!Z396</f>
        <v>0</v>
      </c>
      <c r="U28" s="40">
        <f>++'Trade Ticket Input'!AB396</f>
        <v>0</v>
      </c>
      <c r="V28" s="40" t="str">
        <f>++'Trade Ticket Input'!AC396</f>
        <v>n/a</v>
      </c>
      <c r="W28" s="40">
        <f>++'Trade Ticket Input'!AD396</f>
        <v>0</v>
      </c>
      <c r="X28" s="41">
        <v>100</v>
      </c>
      <c r="Y28" s="46" t="s">
        <v>443</v>
      </c>
    </row>
    <row r="29" spans="2:25" x14ac:dyDescent="0.3">
      <c r="C29" s="32" t="str">
        <f>++'Trade Ticket Input'!P397</f>
        <v>HoldCo Notes</v>
      </c>
      <c r="F29" s="33" t="s">
        <v>134</v>
      </c>
      <c r="G29" s="5">
        <f>++'Trade Ticket Input'!S397</f>
        <v>45838</v>
      </c>
      <c r="H29" s="5">
        <f>++'Trade Ticket Input'!T397</f>
        <v>47664</v>
      </c>
      <c r="I29" s="43">
        <f t="shared" si="3"/>
        <v>5.0004564125969875</v>
      </c>
      <c r="J29" s="35" t="str">
        <f>++'Trade Ticket Input'!U397</f>
        <v>102/101</v>
      </c>
      <c r="K29" s="35"/>
      <c r="L29" s="5">
        <f>++'Trade Ticket Input'!W397</f>
        <v>46568</v>
      </c>
      <c r="M29" s="44">
        <f>++'Trade Ticket Input'!X397</f>
        <v>0</v>
      </c>
      <c r="N29" s="44">
        <f>++INDEX('Financials Input'!$G$651:$DC$680,MATCH(C29,'Financials Input'!$C$651:$C$680,0),MATCH(LTMDate,'Financials Input'!$G$3:$DC$3,0))</f>
        <v>0</v>
      </c>
      <c r="O29" s="44">
        <f>++'Trade Ticket Input'!Y397</f>
        <v>0</v>
      </c>
      <c r="P29" s="38">
        <f t="shared" ref="P29:P30" si="6">++IFERROR(O29/M29,0)</f>
        <v>0</v>
      </c>
      <c r="Q29" s="45">
        <v>0</v>
      </c>
      <c r="R29" s="38">
        <f t="shared" si="4"/>
        <v>0</v>
      </c>
      <c r="S29" s="40">
        <f>++'Trade Ticket Input'!AA397</f>
        <v>0</v>
      </c>
      <c r="T29" s="40">
        <f>++'Trade Ticket Input'!Z397</f>
        <v>0</v>
      </c>
      <c r="U29" s="40">
        <f>++'Trade Ticket Input'!AB397</f>
        <v>0</v>
      </c>
      <c r="V29" s="40" t="str">
        <f>++'Trade Ticket Input'!AC397</f>
        <v>n/a</v>
      </c>
      <c r="W29" s="40">
        <f>++'Trade Ticket Input'!AD397</f>
        <v>0</v>
      </c>
      <c r="X29" s="41">
        <v>100</v>
      </c>
      <c r="Y29" s="46" t="s">
        <v>443</v>
      </c>
    </row>
    <row r="30" spans="2:25" x14ac:dyDescent="0.3">
      <c r="C30" s="32" t="str">
        <f>++'Trade Ticket Input'!P398</f>
        <v>HoldCo DD Notes ($0.0MM)</v>
      </c>
      <c r="F30" s="33" t="s">
        <v>134</v>
      </c>
      <c r="G30" s="5">
        <f>++'Trade Ticket Input'!S398</f>
        <v>45838</v>
      </c>
      <c r="H30" s="5">
        <f>++'Trade Ticket Input'!T398</f>
        <v>47664</v>
      </c>
      <c r="I30" s="43">
        <f t="shared" si="3"/>
        <v>5.0004564125969875</v>
      </c>
      <c r="J30" s="35" t="str">
        <f>++'Trade Ticket Input'!U398</f>
        <v>102/101</v>
      </c>
      <c r="K30" s="35"/>
      <c r="L30" s="5">
        <f>++'Trade Ticket Input'!W398</f>
        <v>46568</v>
      </c>
      <c r="M30" s="44">
        <f>++'Trade Ticket Input'!X398</f>
        <v>0</v>
      </c>
      <c r="N30" s="44">
        <f>++INDEX('Financials Input'!$G$651:$DC$680,MATCH(C30,'Financials Input'!$C$651:$C$680,0),MATCH(LTMDate,'Financials Input'!$G$3:$DC$3,0))</f>
        <v>0</v>
      </c>
      <c r="O30" s="44">
        <f>++'Trade Ticket Input'!Y398</f>
        <v>0</v>
      </c>
      <c r="P30" s="38">
        <f t="shared" si="6"/>
        <v>0</v>
      </c>
      <c r="Q30" s="45">
        <v>0</v>
      </c>
      <c r="R30" s="38">
        <f t="shared" si="4"/>
        <v>0</v>
      </c>
      <c r="S30" s="40">
        <f>++'Trade Ticket Input'!AA398</f>
        <v>0</v>
      </c>
      <c r="T30" s="40">
        <f>++'Trade Ticket Input'!Z398</f>
        <v>0</v>
      </c>
      <c r="U30" s="40">
        <f>++'Trade Ticket Input'!AB398</f>
        <v>0</v>
      </c>
      <c r="V30" s="40" t="str">
        <f>++'Trade Ticket Input'!AC398</f>
        <v>n/a</v>
      </c>
      <c r="W30" s="40">
        <f>++'Trade Ticket Input'!AD398</f>
        <v>0</v>
      </c>
      <c r="X30" s="41">
        <v>100</v>
      </c>
      <c r="Y30" s="46" t="s">
        <v>443</v>
      </c>
    </row>
    <row r="31" spans="2:25" x14ac:dyDescent="0.3">
      <c r="C31" s="32" t="str">
        <f>++'Trade Ticket Input'!P399</f>
        <v>Preferred Equity</v>
      </c>
      <c r="F31" s="33" t="s">
        <v>134</v>
      </c>
      <c r="G31" s="5">
        <f>++'Trade Ticket Input'!S399</f>
        <v>45838</v>
      </c>
      <c r="H31" s="5">
        <f>++'Trade Ticket Input'!T399</f>
        <v>47664</v>
      </c>
      <c r="I31" s="43">
        <f t="shared" si="3"/>
        <v>5.0004564125969875</v>
      </c>
      <c r="J31" s="35" t="str">
        <f>++'Trade Ticket Input'!U399</f>
        <v>102/101</v>
      </c>
      <c r="K31" s="35"/>
      <c r="L31" s="5">
        <f>++'Trade Ticket Input'!W399</f>
        <v>46568</v>
      </c>
      <c r="M31" s="44">
        <f>++'Trade Ticket Input'!X399</f>
        <v>0</v>
      </c>
      <c r="N31" s="44">
        <f>++INDEX('Financials Input'!$G$651:$DC$680,MATCH(C31,'Financials Input'!$C$651:$C$680,0),MATCH(LTMDate,'Financials Input'!$G$3:$DC$3,0))</f>
        <v>0</v>
      </c>
      <c r="O31" s="44">
        <f>++'Trade Ticket Input'!Y399</f>
        <v>0</v>
      </c>
      <c r="P31" s="38">
        <f t="shared" si="2"/>
        <v>0</v>
      </c>
      <c r="Q31" s="45">
        <v>0</v>
      </c>
      <c r="R31" s="38">
        <f t="shared" si="4"/>
        <v>0</v>
      </c>
      <c r="S31" s="40">
        <f>++'Trade Ticket Input'!AA399</f>
        <v>0</v>
      </c>
      <c r="T31" s="40">
        <f>++'Trade Ticket Input'!Z399</f>
        <v>0</v>
      </c>
      <c r="U31" s="40">
        <f>++'Trade Ticket Input'!AB399</f>
        <v>0</v>
      </c>
      <c r="V31" s="40" t="str">
        <f>++'Trade Ticket Input'!AC399</f>
        <v>n/a</v>
      </c>
      <c r="W31" s="40">
        <f>++'Trade Ticket Input'!AD399</f>
        <v>0</v>
      </c>
      <c r="X31" s="47">
        <v>1</v>
      </c>
      <c r="Y31" s="46" t="s">
        <v>443</v>
      </c>
    </row>
    <row r="32" spans="2:25" x14ac:dyDescent="0.3">
      <c r="C32" s="32" t="str">
        <f>++'Trade Ticket Input'!P400&amp;" (Cash)"</f>
        <v>Common Equity (Cash)</v>
      </c>
      <c r="F32" s="33" t="s">
        <v>134</v>
      </c>
      <c r="G32" s="5">
        <f>++'Trade Ticket Input'!S400</f>
        <v>45838</v>
      </c>
      <c r="H32" s="5"/>
      <c r="I32" s="19"/>
      <c r="J32" s="35"/>
      <c r="K32" s="35"/>
      <c r="L32" s="19"/>
      <c r="M32" s="44">
        <f>++'Trade Ticket Input'!X400</f>
        <v>0</v>
      </c>
      <c r="N32" s="44">
        <f>++INDEX('Financials Input'!$G$651:$DC$680,MATCH(C32,'Financials Input'!$C$651:$C$680,0),MATCH(LTMDate,'Financials Input'!$G$3:$DC$3,0))</f>
        <v>0</v>
      </c>
      <c r="O32" s="44">
        <f>++'Trade Ticket Input'!Y400</f>
        <v>0</v>
      </c>
      <c r="P32" s="38">
        <f t="shared" si="2"/>
        <v>0</v>
      </c>
      <c r="Q32" s="45">
        <v>0</v>
      </c>
      <c r="R32" s="38">
        <f t="shared" si="4"/>
        <v>0</v>
      </c>
      <c r="S32" s="40"/>
      <c r="T32" s="40"/>
      <c r="U32" s="40"/>
      <c r="V32" s="19"/>
      <c r="W32" s="19"/>
      <c r="X32" s="47">
        <v>1</v>
      </c>
      <c r="Y32" s="46" t="s">
        <v>443</v>
      </c>
    </row>
    <row r="33" spans="2:25" ht="13.5" thickBot="1" x14ac:dyDescent="0.35">
      <c r="C33" s="148" t="s">
        <v>46</v>
      </c>
      <c r="D33" s="149"/>
      <c r="E33" s="149"/>
      <c r="F33" s="149"/>
      <c r="G33" s="149"/>
      <c r="H33" s="149"/>
      <c r="I33" s="149"/>
      <c r="J33" s="149"/>
      <c r="K33" s="149"/>
      <c r="L33" s="149"/>
      <c r="M33" s="150">
        <f>++SUM(M20:M32)</f>
        <v>0</v>
      </c>
      <c r="N33" s="150">
        <f>++SUM(N20:N32)</f>
        <v>0</v>
      </c>
      <c r="O33" s="150">
        <f>++SUM(O20:O32)</f>
        <v>0</v>
      </c>
      <c r="P33" s="151">
        <f t="shared" si="2"/>
        <v>0</v>
      </c>
      <c r="Q33" s="150">
        <f>++SUM(Q20:Q32)</f>
        <v>0</v>
      </c>
      <c r="R33" s="151">
        <f t="shared" si="4"/>
        <v>0</v>
      </c>
      <c r="S33" s="152"/>
      <c r="T33" s="152"/>
      <c r="U33" s="149"/>
      <c r="V33" s="149"/>
      <c r="W33" s="149"/>
      <c r="X33" s="149"/>
      <c r="Y33" s="153"/>
    </row>
    <row r="34" spans="2:25" ht="5.15" customHeight="1" thickTop="1" x14ac:dyDescent="0.3"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4"/>
    </row>
    <row r="36" spans="2:25" x14ac:dyDescent="0.3">
      <c r="B36" s="16" t="s">
        <v>0</v>
      </c>
      <c r="C36" s="141" t="s">
        <v>23</v>
      </c>
      <c r="D36" s="142"/>
      <c r="E36" s="142"/>
      <c r="F36" s="142"/>
      <c r="G36" s="142"/>
      <c r="H36" s="142"/>
      <c r="I36" s="142"/>
      <c r="J36" s="142"/>
      <c r="K36" s="144"/>
      <c r="M36" s="141" t="s">
        <v>516</v>
      </c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4"/>
    </row>
    <row r="37" spans="2:25" x14ac:dyDescent="0.3">
      <c r="C37" s="458" t="s">
        <v>3</v>
      </c>
      <c r="D37" s="459"/>
      <c r="E37" s="459"/>
      <c r="F37" s="459"/>
      <c r="G37" s="459"/>
      <c r="H37" s="459"/>
      <c r="I37" s="459"/>
      <c r="J37" s="459"/>
      <c r="K37" s="460"/>
      <c r="M37" s="458" t="s">
        <v>3</v>
      </c>
      <c r="N37" s="459"/>
      <c r="O37" s="459"/>
      <c r="P37" s="459"/>
      <c r="Q37" s="459"/>
      <c r="R37" s="459"/>
      <c r="S37" s="459"/>
      <c r="T37" s="459"/>
      <c r="U37" s="459"/>
      <c r="V37" s="459"/>
      <c r="W37" s="459"/>
      <c r="X37" s="459"/>
      <c r="Y37" s="460"/>
    </row>
    <row r="38" spans="2:25" x14ac:dyDescent="0.3">
      <c r="C38" s="449"/>
      <c r="D38" s="450"/>
      <c r="E38" s="450"/>
      <c r="F38" s="450"/>
      <c r="G38" s="450"/>
      <c r="H38" s="450"/>
      <c r="I38" s="450"/>
      <c r="J38" s="450"/>
      <c r="K38" s="451"/>
      <c r="M38" s="449"/>
      <c r="N38" s="450"/>
      <c r="O38" s="450"/>
      <c r="P38" s="450"/>
      <c r="Q38" s="450"/>
      <c r="R38" s="450"/>
      <c r="S38" s="450"/>
      <c r="T38" s="450"/>
      <c r="U38" s="450"/>
      <c r="V38" s="450"/>
      <c r="W38" s="450"/>
      <c r="X38" s="450"/>
      <c r="Y38" s="451"/>
    </row>
    <row r="39" spans="2:25" x14ac:dyDescent="0.3">
      <c r="C39" s="449"/>
      <c r="D39" s="450"/>
      <c r="E39" s="450"/>
      <c r="F39" s="450"/>
      <c r="G39" s="450"/>
      <c r="H39" s="450"/>
      <c r="I39" s="450"/>
      <c r="J39" s="450"/>
      <c r="K39" s="451"/>
      <c r="M39" s="449"/>
      <c r="N39" s="450"/>
      <c r="O39" s="450"/>
      <c r="P39" s="450"/>
      <c r="Q39" s="450"/>
      <c r="R39" s="450"/>
      <c r="S39" s="450"/>
      <c r="T39" s="450"/>
      <c r="U39" s="450"/>
      <c r="V39" s="450"/>
      <c r="W39" s="450"/>
      <c r="X39" s="450"/>
      <c r="Y39" s="451"/>
    </row>
    <row r="40" spans="2:25" x14ac:dyDescent="0.3">
      <c r="C40" s="449"/>
      <c r="D40" s="450"/>
      <c r="E40" s="450"/>
      <c r="F40" s="450"/>
      <c r="G40" s="450"/>
      <c r="H40" s="450"/>
      <c r="I40" s="450"/>
      <c r="J40" s="450"/>
      <c r="K40" s="451"/>
      <c r="M40" s="449"/>
      <c r="N40" s="450"/>
      <c r="O40" s="450"/>
      <c r="P40" s="450"/>
      <c r="Q40" s="450"/>
      <c r="R40" s="450"/>
      <c r="S40" s="450"/>
      <c r="T40" s="450"/>
      <c r="U40" s="450"/>
      <c r="V40" s="450"/>
      <c r="W40" s="450"/>
      <c r="X40" s="450"/>
      <c r="Y40" s="451"/>
    </row>
    <row r="41" spans="2:25" x14ac:dyDescent="0.3">
      <c r="C41" s="449"/>
      <c r="D41" s="450"/>
      <c r="E41" s="450"/>
      <c r="F41" s="450"/>
      <c r="G41" s="450"/>
      <c r="H41" s="450"/>
      <c r="I41" s="450"/>
      <c r="J41" s="450"/>
      <c r="K41" s="451"/>
      <c r="M41" s="449"/>
      <c r="N41" s="450"/>
      <c r="O41" s="450"/>
      <c r="P41" s="450"/>
      <c r="Q41" s="450"/>
      <c r="R41" s="450"/>
      <c r="S41" s="450"/>
      <c r="T41" s="450"/>
      <c r="U41" s="450"/>
      <c r="V41" s="450"/>
      <c r="W41" s="450"/>
      <c r="X41" s="450"/>
      <c r="Y41" s="451"/>
    </row>
    <row r="42" spans="2:25" x14ac:dyDescent="0.3">
      <c r="C42" s="449"/>
      <c r="D42" s="450"/>
      <c r="E42" s="450"/>
      <c r="F42" s="450"/>
      <c r="G42" s="450"/>
      <c r="H42" s="450"/>
      <c r="I42" s="450"/>
      <c r="J42" s="450"/>
      <c r="K42" s="451"/>
      <c r="M42" s="449"/>
      <c r="N42" s="450"/>
      <c r="O42" s="450"/>
      <c r="P42" s="450"/>
      <c r="Q42" s="450"/>
      <c r="R42" s="450"/>
      <c r="S42" s="450"/>
      <c r="T42" s="450"/>
      <c r="U42" s="450"/>
      <c r="V42" s="450"/>
      <c r="W42" s="450"/>
      <c r="X42" s="450"/>
      <c r="Y42" s="451"/>
    </row>
    <row r="43" spans="2:25" x14ac:dyDescent="0.3">
      <c r="C43" s="455"/>
      <c r="D43" s="456"/>
      <c r="E43" s="456"/>
      <c r="F43" s="456"/>
      <c r="G43" s="456"/>
      <c r="H43" s="456"/>
      <c r="I43" s="456"/>
      <c r="J43" s="456"/>
      <c r="K43" s="457"/>
      <c r="M43" s="455"/>
      <c r="N43" s="456"/>
      <c r="O43" s="456"/>
      <c r="P43" s="456"/>
      <c r="Q43" s="456"/>
      <c r="R43" s="456"/>
      <c r="S43" s="456"/>
      <c r="T43" s="456"/>
      <c r="U43" s="456"/>
      <c r="V43" s="456"/>
      <c r="W43" s="456"/>
      <c r="X43" s="456"/>
      <c r="Y43" s="457"/>
    </row>
    <row r="45" spans="2:25" x14ac:dyDescent="0.3">
      <c r="B45" s="16" t="s">
        <v>0</v>
      </c>
      <c r="C45" s="141" t="s">
        <v>49</v>
      </c>
      <c r="D45" s="142"/>
      <c r="E45" s="142"/>
      <c r="F45" s="142"/>
      <c r="G45" s="142"/>
      <c r="H45" s="142"/>
      <c r="I45" s="142"/>
      <c r="J45" s="142"/>
      <c r="K45" s="144"/>
      <c r="M45" s="141" t="s">
        <v>50</v>
      </c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4"/>
    </row>
    <row r="46" spans="2:25" ht="5.15" customHeight="1" x14ac:dyDescent="0.3">
      <c r="C46" s="48"/>
      <c r="D46" s="49"/>
      <c r="E46" s="49"/>
      <c r="F46" s="49"/>
      <c r="G46" s="49"/>
      <c r="H46" s="49"/>
      <c r="I46" s="49"/>
      <c r="J46" s="49"/>
      <c r="K46" s="50"/>
      <c r="M46" s="48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50"/>
    </row>
    <row r="47" spans="2:25" ht="14.5" x14ac:dyDescent="0.45">
      <c r="C47" s="205" t="s">
        <v>1</v>
      </c>
      <c r="D47" s="101"/>
      <c r="E47" s="101"/>
      <c r="F47" s="51" t="str">
        <f>++"Last Close ("&amp;INDEX('Financials Input'!$G587:$DC587,1,MATCH(LTMDate,'Financials Input'!$G$3:$DC$3,0))&amp;" - "&amp;TEXT(INDEX('Financials Input'!$G588:$DC588,1,MATCH(LTMDate,'Financials Input'!$G$3:$DC$3,0)),"M/YY")&amp;")"</f>
        <v>Last Close (LBO - 11/24)</v>
      </c>
      <c r="G47" s="51"/>
      <c r="H47" s="52"/>
      <c r="I47" s="51" t="str">
        <f>++"Current ("&amp;TEXT(LTMDate,"M/YY")&amp;")"</f>
        <v>Current (9/25)</v>
      </c>
      <c r="J47" s="51"/>
      <c r="K47" s="53"/>
      <c r="M47" s="205" t="s">
        <v>1</v>
      </c>
      <c r="N47" s="101"/>
      <c r="O47" s="51" t="s">
        <v>78</v>
      </c>
      <c r="P47" s="51"/>
      <c r="Q47" s="51"/>
      <c r="R47" s="51"/>
      <c r="S47" s="52"/>
      <c r="T47" s="51" t="s">
        <v>77</v>
      </c>
      <c r="U47" s="51"/>
      <c r="V47" s="52"/>
      <c r="W47" s="51" t="s">
        <v>345</v>
      </c>
      <c r="X47" s="51"/>
      <c r="Y47" s="53"/>
    </row>
    <row r="48" spans="2:25" ht="14.5" x14ac:dyDescent="0.45">
      <c r="C48" s="205" t="str">
        <f>++"FYE "&amp;TEXT($E$11,"M/D")</f>
        <v>FYE 12/31</v>
      </c>
      <c r="D48" s="101"/>
      <c r="E48" s="101"/>
      <c r="F48" s="188" t="s">
        <v>53</v>
      </c>
      <c r="G48" s="188" t="s">
        <v>54</v>
      </c>
      <c r="H48" s="207" t="s">
        <v>29</v>
      </c>
      <c r="I48" s="188" t="s">
        <v>53</v>
      </c>
      <c r="J48" s="188" t="s">
        <v>54</v>
      </c>
      <c r="K48" s="262" t="s">
        <v>29</v>
      </c>
      <c r="M48" s="205" t="str">
        <f>++"FYE "&amp;TEXT($E$11,"M/D")</f>
        <v>FYE 12/31</v>
      </c>
      <c r="N48" s="101"/>
      <c r="O48" s="188" t="str">
        <f>++"FY'"&amp;RIGHT(YEAR(O1),2)&amp;"A"</f>
        <v>FY'22A</v>
      </c>
      <c r="P48" s="188" t="str">
        <f>++"FY'"&amp;RIGHT(YEAR(P1),2)&amp;"A"</f>
        <v>FY'23A</v>
      </c>
      <c r="Q48" s="188" t="str">
        <f>++"FY'"&amp;RIGHT(YEAR(Q1),2)&amp;"A"</f>
        <v>FY'24A</v>
      </c>
      <c r="R48" s="206" t="str">
        <f>++"LTM "&amp;TEXT(R$1,"M/YY")</f>
        <v>LTM 9/25</v>
      </c>
      <c r="S48" s="207" t="str">
        <f>++"FY'"&amp;RIGHT(YEAR(S1),2)&amp;"B"</f>
        <v>FY'25B</v>
      </c>
      <c r="T48" s="188" t="str">
        <f>++TEXT(T$1,"M/YY")&amp;"A"</f>
        <v>9/24A</v>
      </c>
      <c r="U48" s="188" t="str">
        <f t="shared" ref="U48" si="7">++TEXT(U$1,"M/YY")&amp;"A"</f>
        <v>9/25A</v>
      </c>
      <c r="V48" s="207" t="str">
        <f>++TEXT(V$1,"M/YY")&amp;"B"</f>
        <v>9/25B</v>
      </c>
      <c r="W48" s="188" t="str">
        <f>++T48</f>
        <v>9/24A</v>
      </c>
      <c r="X48" s="188" t="str">
        <f t="shared" ref="X48:Y48" si="8">++U48</f>
        <v>9/25A</v>
      </c>
      <c r="Y48" s="208" t="str">
        <f t="shared" si="8"/>
        <v>9/25B</v>
      </c>
    </row>
    <row r="49" spans="3:29" x14ac:dyDescent="0.3">
      <c r="C49" s="217" t="str">
        <f>++'Financials Input'!C645</f>
        <v>Cash &amp; Equivalents (Reported)</v>
      </c>
      <c r="D49" s="101"/>
      <c r="E49" s="101"/>
      <c r="F49" s="199">
        <f>++INDEX('Financials Input'!$G591:$DC591,1,MATCH(LTMDate,'Financials Input'!$G$3:$DC$3,0))</f>
        <v>0</v>
      </c>
      <c r="G49" s="101"/>
      <c r="H49" s="218"/>
      <c r="I49" s="199">
        <f>++INDEX('Financials Input'!$G645:$DC645,1,MATCH(LTMDate,'Financials Input'!$G$3:$DC$3,0))</f>
        <v>0</v>
      </c>
      <c r="J49" s="101"/>
      <c r="K49" s="219"/>
      <c r="M49" s="209" t="str">
        <f>++'Financials Input'!C10</f>
        <v>Revenue</v>
      </c>
      <c r="N49" s="203"/>
      <c r="O49" s="210">
        <f>++INDEX('Financials Input'!$G157:$DC157,1,MATCH(O$1,'Financials Input'!$G$3:$DC$3,0))</f>
        <v>0</v>
      </c>
      <c r="P49" s="210">
        <f>++INDEX('Financials Input'!$G157:$DC157,1,MATCH(P$1,'Financials Input'!$G$3:$DC$3,0))</f>
        <v>0</v>
      </c>
      <c r="Q49" s="210">
        <f>++IF(R$1&lt;EOMONTH(Q$1,12),INDEX('Financials Input'!$G10:$DC10,1,MATCH(Q$1,'Financials Input'!$G$3:$DC$3,0)),INDEX('Financials Input'!$G157:$DC157,1,MATCH(Q$1,'Financials Input'!$G$3:$DC$3,0)))</f>
        <v>0</v>
      </c>
      <c r="R49" s="210">
        <f>++INDEX('Financials Input'!$G10:$DC10,1,MATCH(R$1,'Financials Input'!$G$3:$DC$3,0))</f>
        <v>0</v>
      </c>
      <c r="S49" s="211">
        <f>++INDEX('Financials Input'!$G451:$DC451,1,MATCH(S$1,'Financials Input'!$G$3:$DC$3,0))</f>
        <v>0</v>
      </c>
      <c r="T49" s="210">
        <f>++INDEX('Financials Input'!$G206:$DC206,1,MATCH(T$1,'Financials Input'!$G$3:$DC$3,0))</f>
        <v>0</v>
      </c>
      <c r="U49" s="210">
        <f>++INDEX('Financials Input'!$G59:$DC59,1,MATCH(U$1,'Financials Input'!$G$3:$DC$3,0))</f>
        <v>0</v>
      </c>
      <c r="V49" s="211">
        <f>++INDEX('Financials Input'!$G451:$DC451,1,MATCH(V$1,'Financials Input'!$G$3:$DC$3,0))</f>
        <v>0</v>
      </c>
      <c r="W49" s="210">
        <f>++INDEX('Financials Input'!$G255:$DC255,1,MATCH(W$1,'Financials Input'!$G$3:$DC$3,0))</f>
        <v>0</v>
      </c>
      <c r="X49" s="210">
        <f>++INDEX('Financials Input'!$G108:$DC108,1,MATCH(X$1,'Financials Input'!$G$3:$DC$3,0))</f>
        <v>0</v>
      </c>
      <c r="Y49" s="212">
        <f>++INDEX('Financials Input'!$G500:$DC500,1,MATCH(Y$1,'Financials Input'!$G$3:$DC$3,0))</f>
        <v>0</v>
      </c>
      <c r="AC49" s="38"/>
    </row>
    <row r="50" spans="3:29" x14ac:dyDescent="0.3">
      <c r="C50" s="217"/>
      <c r="D50" s="101"/>
      <c r="E50" s="101"/>
      <c r="F50" s="101"/>
      <c r="G50" s="101"/>
      <c r="H50" s="218"/>
      <c r="I50" s="101"/>
      <c r="J50" s="101"/>
      <c r="K50" s="219"/>
      <c r="M50" s="213" t="str">
        <f>++'Financials Input'!C11</f>
        <v>% y/y</v>
      </c>
      <c r="N50" s="203"/>
      <c r="O50" s="214" t="str">
        <f>++INDEX('Financials Input'!$G158:$DC158,1,MATCH(O$1,'Financials Input'!$G$3:$DC$3,0))</f>
        <v>n/a</v>
      </c>
      <c r="P50" s="214" t="str">
        <f>++INDEX('Financials Input'!$G158:$DC158,1,MATCH(P$1,'Financials Input'!$G$3:$DC$3,0))</f>
        <v>n/a</v>
      </c>
      <c r="Q50" s="214" t="str">
        <f>++IF(R$1&lt;EOMONTH(Q$1,12),INDEX('Financials Input'!$G11:$DC11,1,MATCH(Q$1,'Financials Input'!$G$3:$DC$3,0)),INDEX('Financials Input'!$G158:$DC158,1,MATCH(Q$1,'Financials Input'!$G$3:$DC$3,0)))</f>
        <v>n/a</v>
      </c>
      <c r="R50" s="214" t="str">
        <f>++IFERROR(R49/INDEX('Financials Input'!$G157:$DC157,1,MATCH(EOMONTH(R$1,-12),'Financials Input'!$G$3:$DC$3,0))-1,"n/a")</f>
        <v>n/a</v>
      </c>
      <c r="S50" s="215" t="str">
        <f>++IFERROR(S49/Q49-1,"n/a")</f>
        <v>n/a</v>
      </c>
      <c r="T50" s="214" t="str">
        <f>++INDEX('Financials Input'!$G207:$DC207,1,MATCH(T$1,'Financials Input'!$G$3:$DC$3,0))</f>
        <v>n/a</v>
      </c>
      <c r="U50" s="214" t="str">
        <f>++IFERROR(U49/INDEX('Financials Input'!$G206:$DC206,1,MATCH(EOMONTH(U$1,-12),'Financials Input'!$G$3:$DC$3,0))-1,"n/a")</f>
        <v>n/a</v>
      </c>
      <c r="V50" s="215" t="str">
        <f>++IFERROR(V49/T49-1,"n/a")</f>
        <v>n/a</v>
      </c>
      <c r="W50" s="214" t="str">
        <f>++INDEX('Financials Input'!$G256:$DC256,1,MATCH(W$1,'Financials Input'!$G$3:$DC$3,0))</f>
        <v>n/a</v>
      </c>
      <c r="X50" s="214" t="str">
        <f>++IFERROR(X49/INDEX('Financials Input'!$G255:$DC255,1,MATCH(EOMONTH(X$1,-12),'Financials Input'!$G$3:$DC$3,0))-1,"n/a")</f>
        <v>n/a</v>
      </c>
      <c r="Y50" s="216" t="str">
        <f>++IFERROR(Y49/W49-1,"n/a")</f>
        <v>n/a</v>
      </c>
    </row>
    <row r="51" spans="3:29" x14ac:dyDescent="0.3">
      <c r="C51" s="217" t="str">
        <f>++'Financials Input'!C651</f>
        <v>ABL Revolver ($0.0MM)</v>
      </c>
      <c r="D51" s="101"/>
      <c r="E51" s="101"/>
      <c r="F51" s="200">
        <f>++INDEX('Financials Input'!$G597:$DC597,1,MATCH(LTMDate,'Financials Input'!$G$3:$DC$3,0))</f>
        <v>0</v>
      </c>
      <c r="G51" s="255">
        <f>++IFERROR(SUM(-F49,F51)/G$84,0)</f>
        <v>0</v>
      </c>
      <c r="H51" s="263">
        <f t="shared" ref="H51:H58" si="9">++IFERROR(F51/F$82,0)</f>
        <v>0</v>
      </c>
      <c r="I51" s="200">
        <f>++INDEX('Financials Input'!$G651:$DC651,1,MATCH(LTMDate,'Financials Input'!$G$3:$DC$3,0))</f>
        <v>0</v>
      </c>
      <c r="J51" s="255">
        <f>++IFERROR(SUM(-I49,I51)/J$84,0)</f>
        <v>0</v>
      </c>
      <c r="K51" s="264">
        <f t="shared" ref="K51:K58" si="10">++IFERROR(I51/I$82,0)</f>
        <v>0</v>
      </c>
      <c r="M51" s="217"/>
      <c r="N51" s="101"/>
      <c r="O51" s="101"/>
      <c r="P51" s="101"/>
      <c r="Q51" s="101"/>
      <c r="R51" s="101"/>
      <c r="S51" s="218"/>
      <c r="T51" s="101"/>
      <c r="U51" s="101"/>
      <c r="V51" s="218"/>
      <c r="W51" s="101"/>
      <c r="X51" s="101"/>
      <c r="Y51" s="219"/>
    </row>
    <row r="52" spans="3:29" x14ac:dyDescent="0.3">
      <c r="C52" s="217" t="str">
        <f>++'Financials Input'!C652</f>
        <v>Priority Revolver ($0.0MM)</v>
      </c>
      <c r="D52" s="101"/>
      <c r="E52" s="101"/>
      <c r="F52" s="200">
        <f>++INDEX('Financials Input'!$G598:$DC598,1,MATCH(LTMDate,'Financials Input'!$G$3:$DC$3,0))</f>
        <v>0</v>
      </c>
      <c r="G52" s="255">
        <f>++IFERROR(F52/G$84+G51,0)</f>
        <v>0</v>
      </c>
      <c r="H52" s="263">
        <f t="shared" si="9"/>
        <v>0</v>
      </c>
      <c r="I52" s="200">
        <f>++INDEX('Financials Input'!$G652:$DC652,1,MATCH(LTMDate,'Financials Input'!$G$3:$DC$3,0))</f>
        <v>0</v>
      </c>
      <c r="J52" s="255">
        <f>++IFERROR(I52/J$84+J51,0)</f>
        <v>0</v>
      </c>
      <c r="K52" s="264">
        <f t="shared" si="10"/>
        <v>0</v>
      </c>
      <c r="M52" s="220" t="str">
        <f>++'Financials Input'!C13</f>
        <v>Gross Profit</v>
      </c>
      <c r="N52" s="101"/>
      <c r="O52" s="221">
        <f>++INDEX('Financials Input'!$G160:$DC160,1,MATCH(O$1,'Financials Input'!$G$3:$DC$3,0))</f>
        <v>0</v>
      </c>
      <c r="P52" s="221">
        <f>++INDEX('Financials Input'!$G160:$DC160,1,MATCH(P$1,'Financials Input'!$G$3:$DC$3,0))</f>
        <v>0</v>
      </c>
      <c r="Q52" s="221">
        <f>++IF(R$1&lt;EOMONTH(Q$1,12),INDEX('Financials Input'!$G13:$DC13,1,MATCH(Q$1,'Financials Input'!$G$3:$DC$3,0)),INDEX('Financials Input'!$G160:$DC160,1,MATCH(Q$1,'Financials Input'!$G$3:$DC$3,0)))</f>
        <v>0</v>
      </c>
      <c r="R52" s="221">
        <f>++INDEX('Financials Input'!$G13:$DC13,1,MATCH(R$1,'Financials Input'!$G$3:$DC$3,0))</f>
        <v>0</v>
      </c>
      <c r="S52" s="222">
        <f>++INDEX('Financials Input'!$G454:$DC454,1,MATCH(S$1,'Financials Input'!$G$3:$DC$3,0))</f>
        <v>0</v>
      </c>
      <c r="T52" s="221">
        <f>++INDEX('Financials Input'!$G209:$DC209,1,MATCH(T$1,'Financials Input'!$G$3:$DC$3,0))</f>
        <v>0</v>
      </c>
      <c r="U52" s="221">
        <f>++INDEX('Financials Input'!$G62:$DC62,1,MATCH(U$1,'Financials Input'!$G$3:$DC$3,0))</f>
        <v>0</v>
      </c>
      <c r="V52" s="222">
        <f>++INDEX('Financials Input'!$G454:$DC454,1,MATCH(V$1,'Financials Input'!$G$3:$DC$3,0))</f>
        <v>0</v>
      </c>
      <c r="W52" s="221">
        <f>++INDEX('Financials Input'!$G258:$DC258,1,MATCH(W$1,'Financials Input'!$G$3:$DC$3,0))</f>
        <v>0</v>
      </c>
      <c r="X52" s="221">
        <f>++INDEX('Financials Input'!$G111:$DC111,1,MATCH(X$1,'Financials Input'!$G$3:$DC$3,0))</f>
        <v>0</v>
      </c>
      <c r="Y52" s="223">
        <f>++INDEX('Financials Input'!$G503:$DC503,1,MATCH(Y$1,'Financials Input'!$G$3:$DC$3,0))</f>
        <v>0</v>
      </c>
    </row>
    <row r="53" spans="3:29" x14ac:dyDescent="0.3">
      <c r="C53" s="217" t="str">
        <f>++'Financials Input'!C653</f>
        <v>First Lien Term Loan</v>
      </c>
      <c r="D53" s="101"/>
      <c r="E53" s="101"/>
      <c r="F53" s="200">
        <f>++INDEX('Financials Input'!$G599:$DC599,1,MATCH(LTMDate,'Financials Input'!$G$3:$DC$3,0))</f>
        <v>0</v>
      </c>
      <c r="G53" s="255">
        <f>++IFERROR(SUM(F53:F55)/G$84+G52,0)</f>
        <v>0</v>
      </c>
      <c r="H53" s="263">
        <f t="shared" si="9"/>
        <v>0</v>
      </c>
      <c r="I53" s="200">
        <f>++INDEX('Financials Input'!$G653:$DC653,1,MATCH(LTMDate,'Financials Input'!$G$3:$DC$3,0))</f>
        <v>0</v>
      </c>
      <c r="J53" s="255">
        <f>++IFERROR(SUM(I53:I55)/J$84+J52,0)</f>
        <v>0</v>
      </c>
      <c r="K53" s="264">
        <f t="shared" si="10"/>
        <v>0</v>
      </c>
      <c r="M53" s="224" t="str">
        <f>++'Financials Input'!C14</f>
        <v>% margin</v>
      </c>
      <c r="N53" s="101"/>
      <c r="O53" s="225" t="str">
        <f>++INDEX('Financials Input'!$G161:$DC161,1,MATCH(O$1,'Financials Input'!$G$3:$DC$3,0))</f>
        <v>n/a</v>
      </c>
      <c r="P53" s="225" t="str">
        <f>++INDEX('Financials Input'!$G161:$DC161,1,MATCH(P$1,'Financials Input'!$G$3:$DC$3,0))</f>
        <v>n/a</v>
      </c>
      <c r="Q53" s="225" t="str">
        <f>++IF(R$1&lt;EOMONTH(Q$1,12),INDEX('Financials Input'!$G14:$DC14,1,MATCH(Q$1,'Financials Input'!$G$3:$DC$3,0)),INDEX('Financials Input'!$G161:$DC161,1,MATCH(Q$1,'Financials Input'!$G$3:$DC$3,0)))</f>
        <v>n/a</v>
      </c>
      <c r="R53" s="225" t="str">
        <f>++INDEX('Financials Input'!$G14:$DC14,1,MATCH(R$1,'Financials Input'!$G$3:$DC$3,0))</f>
        <v>n/a</v>
      </c>
      <c r="S53" s="226" t="str">
        <f>++INDEX('Financials Input'!$G455:$DC455,1,MATCH(S$1,'Financials Input'!$G$3:$DC$3,0))</f>
        <v>n/a</v>
      </c>
      <c r="T53" s="225" t="str">
        <f>++INDEX('Financials Input'!$G210:$DC210,1,MATCH(T$1,'Financials Input'!$G$3:$DC$3,0))</f>
        <v>n/a</v>
      </c>
      <c r="U53" s="225" t="str">
        <f>++INDEX('Financials Input'!$G63:$DC63,1,MATCH(U$1,'Financials Input'!$G$3:$DC$3,0))</f>
        <v>n/a</v>
      </c>
      <c r="V53" s="226" t="str">
        <f>++INDEX('Financials Input'!$G455:$DC455,1,MATCH(V$1,'Financials Input'!$G$3:$DC$3,0))</f>
        <v>n/a</v>
      </c>
      <c r="W53" s="225" t="str">
        <f>++INDEX('Financials Input'!$G259:$DC259,1,MATCH(W$1,'Financials Input'!$G$3:$DC$3,0))</f>
        <v>n/a</v>
      </c>
      <c r="X53" s="225" t="str">
        <f>++INDEX('Financials Input'!$G112:$DC112,1,MATCH(X$1,'Financials Input'!$G$3:$DC$3,0))</f>
        <v>n/a</v>
      </c>
      <c r="Y53" s="227" t="str">
        <f>++INDEX('Financials Input'!$G504:$DC504,1,MATCH(Y$1,'Financials Input'!$G$3:$DC$3,0))</f>
        <v>n/a</v>
      </c>
    </row>
    <row r="54" spans="3:29" x14ac:dyDescent="0.3">
      <c r="C54" s="217" t="str">
        <f>++'Financials Input'!C654</f>
        <v>First Lien Last-Out Term Loan</v>
      </c>
      <c r="D54" s="101"/>
      <c r="E54" s="101"/>
      <c r="F54" s="200">
        <f>++INDEX('Financials Input'!$G600:$DC600,1,MATCH(LTMDate,'Financials Input'!$G$3:$DC$3,0))</f>
        <v>0</v>
      </c>
      <c r="G54" s="255">
        <f>++G53</f>
        <v>0</v>
      </c>
      <c r="H54" s="263">
        <f t="shared" si="9"/>
        <v>0</v>
      </c>
      <c r="I54" s="200">
        <f>++INDEX('Financials Input'!$G654:$DC654,1,MATCH(LTMDate,'Financials Input'!$G$3:$DC$3,0))</f>
        <v>0</v>
      </c>
      <c r="J54" s="255">
        <f>++J53</f>
        <v>0</v>
      </c>
      <c r="K54" s="264">
        <f t="shared" si="10"/>
        <v>0</v>
      </c>
      <c r="M54" s="224" t="str">
        <f>++'Financials Input'!C15</f>
        <v>% y/y</v>
      </c>
      <c r="N54" s="101"/>
      <c r="O54" s="225" t="str">
        <f>++INDEX('Financials Input'!$G162:$DC162,1,MATCH(O$1,'Financials Input'!$G$3:$DC$3,0))</f>
        <v>n/a</v>
      </c>
      <c r="P54" s="225" t="str">
        <f>++INDEX('Financials Input'!$G162:$DC162,1,MATCH(P$1,'Financials Input'!$G$3:$DC$3,0))</f>
        <v>n/a</v>
      </c>
      <c r="Q54" s="225" t="str">
        <f>++IF(R$1&lt;EOMONTH(Q$1,12),INDEX('Financials Input'!$G15:$DC15,1,MATCH(Q$1,'Financials Input'!$G$3:$DC$3,0)),INDEX('Financials Input'!$G162:$DC162,1,MATCH(Q$1,'Financials Input'!$G$3:$DC$3,0)))</f>
        <v>n/a</v>
      </c>
      <c r="R54" s="225" t="str">
        <f>++IFERROR(R52/INDEX('Financials Input'!$G160:$DC160,1,MATCH(EOMONTH(R$1,-12),'Financials Input'!$G$3:$DC$3,0))-1,"n/a")</f>
        <v>n/a</v>
      </c>
      <c r="S54" s="226" t="str">
        <f>++IFERROR(S52/Q52-1,"n/a")</f>
        <v>n/a</v>
      </c>
      <c r="T54" s="225" t="str">
        <f>++INDEX('Financials Input'!$G211:$DC211,1,MATCH(T$1,'Financials Input'!$G$3:$DC$3,0))</f>
        <v>n/a</v>
      </c>
      <c r="U54" s="225" t="str">
        <f>++IFERROR(U52/INDEX('Financials Input'!$G209:$DC209,1,MATCH(EOMONTH(U$1,-12),'Financials Input'!$G$3:$DC$3,0))-1,"n/a")</f>
        <v>n/a</v>
      </c>
      <c r="V54" s="226" t="str">
        <f>++IFERROR(V52/T52-1,"n/a")</f>
        <v>n/a</v>
      </c>
      <c r="W54" s="225" t="str">
        <f>++INDEX('Financials Input'!$G260:$DC260,1,MATCH(W$1,'Financials Input'!$G$3:$DC$3,0))</f>
        <v>n/a</v>
      </c>
      <c r="X54" s="225" t="str">
        <f>++IFERROR(X52/INDEX('Financials Input'!$G258:$DC258,1,MATCH(EOMONTH(X$1,-12),'Financials Input'!$G$3:$DC$3,0))-1,"n/a")</f>
        <v>n/a</v>
      </c>
      <c r="Y54" s="227" t="str">
        <f>++IFERROR(Y52/W52-1,"n/a")</f>
        <v>n/a</v>
      </c>
    </row>
    <row r="55" spans="3:29" x14ac:dyDescent="0.3">
      <c r="C55" s="217" t="str">
        <f>++'Financials Input'!C655</f>
        <v>First Lien DDTL ($0.0MM)</v>
      </c>
      <c r="D55" s="101"/>
      <c r="E55" s="101"/>
      <c r="F55" s="200">
        <f>++INDEX('Financials Input'!$G601:$DC601,1,MATCH(LTMDate,'Financials Input'!$G$3:$DC$3,0))</f>
        <v>0</v>
      </c>
      <c r="G55" s="255">
        <f>++G54</f>
        <v>0</v>
      </c>
      <c r="H55" s="263">
        <f t="shared" si="9"/>
        <v>0</v>
      </c>
      <c r="I55" s="200">
        <f>++INDEX('Financials Input'!$G655:$DC655,1,MATCH(LTMDate,'Financials Input'!$G$3:$DC$3,0))</f>
        <v>0</v>
      </c>
      <c r="J55" s="255">
        <f>++J54</f>
        <v>0</v>
      </c>
      <c r="K55" s="264">
        <f t="shared" si="10"/>
        <v>0</v>
      </c>
      <c r="M55" s="217"/>
      <c r="N55" s="101"/>
      <c r="O55" s="101"/>
      <c r="P55" s="101"/>
      <c r="Q55" s="101"/>
      <c r="R55" s="101"/>
      <c r="S55" s="218"/>
      <c r="T55" s="101"/>
      <c r="U55" s="101"/>
      <c r="V55" s="218"/>
      <c r="W55" s="101"/>
      <c r="X55" s="101"/>
      <c r="Y55" s="219"/>
    </row>
    <row r="56" spans="3:29" x14ac:dyDescent="0.3">
      <c r="C56" s="217" t="str">
        <f>++'Financials Input'!C656</f>
        <v>Capital Leases</v>
      </c>
      <c r="D56" s="101"/>
      <c r="E56" s="101"/>
      <c r="F56" s="200">
        <f>++INDEX('Financials Input'!$G602:$DC602,1,MATCH(LTMDate,'Financials Input'!$G$3:$DC$3,0))</f>
        <v>0</v>
      </c>
      <c r="G56" s="255">
        <f>++IFERROR(F56/G$84+G55,0)</f>
        <v>0</v>
      </c>
      <c r="H56" s="263">
        <f t="shared" si="9"/>
        <v>0</v>
      </c>
      <c r="I56" s="200">
        <f>++INDEX('Financials Input'!$G656:$DC656,1,MATCH(LTMDate,'Financials Input'!$G$3:$DC$3,0))</f>
        <v>0</v>
      </c>
      <c r="J56" s="255">
        <f>++IFERROR(I56/J$84+J55,0)</f>
        <v>0</v>
      </c>
      <c r="K56" s="264">
        <f t="shared" si="10"/>
        <v>0</v>
      </c>
      <c r="M56" s="217" t="str">
        <f>++'Financials Input'!C17</f>
        <v>[Operating Expense]</v>
      </c>
      <c r="N56" s="101"/>
      <c r="O56" s="200">
        <f>++INDEX('Financials Input'!$G164:$DC164,1,MATCH(O$1,'Financials Input'!$G$3:$DC$3,0))</f>
        <v>0</v>
      </c>
      <c r="P56" s="200">
        <f>++INDEX('Financials Input'!$G164:$DC164,1,MATCH(P$1,'Financials Input'!$G$3:$DC$3,0))</f>
        <v>0</v>
      </c>
      <c r="Q56" s="200">
        <f>++IF(R$1&lt;EOMONTH(Q$1,12),INDEX('Financials Input'!$G17:$DC17,1,MATCH(Q$1,'Financials Input'!$G$3:$DC$3,0)),INDEX('Financials Input'!$G164:$DC164,1,MATCH(Q$1,'Financials Input'!$G$3:$DC$3,0)))</f>
        <v>0</v>
      </c>
      <c r="R56" s="200">
        <f>++INDEX('Financials Input'!$G17:$DC17,1,MATCH(R$1,'Financials Input'!$G$3:$DC$3,0))</f>
        <v>0</v>
      </c>
      <c r="S56" s="228">
        <f>++INDEX('Financials Input'!$G458:$DC458,1,MATCH(S$1,'Financials Input'!$G$3:$DC$3,0))</f>
        <v>0</v>
      </c>
      <c r="T56" s="200">
        <f>++INDEX('Financials Input'!$G213:$DC213,1,MATCH(T$1,'Financials Input'!$G$3:$DC$3,0))</f>
        <v>0</v>
      </c>
      <c r="U56" s="200">
        <f>++INDEX('Financials Input'!$G66:$DC66,1,MATCH(U$1,'Financials Input'!$G$3:$DC$3,0))</f>
        <v>0</v>
      </c>
      <c r="V56" s="228">
        <f>++INDEX('Financials Input'!$G458:$DC458,1,MATCH(V$1,'Financials Input'!$G$3:$DC$3,0))</f>
        <v>0</v>
      </c>
      <c r="W56" s="200">
        <f>++INDEX('Financials Input'!$G262:$DC262,1,MATCH(W$1,'Financials Input'!$G$3:$DC$3,0))</f>
        <v>0</v>
      </c>
      <c r="X56" s="200">
        <f>++INDEX('Financials Input'!$G115:$DC115,1,MATCH(X$1,'Financials Input'!$G$3:$DC$3,0))</f>
        <v>0</v>
      </c>
      <c r="Y56" s="229">
        <f>++INDEX('Financials Input'!$G507:$DC507,1,MATCH(Y$1,'Financials Input'!$G$3:$DC$3,0))</f>
        <v>0</v>
      </c>
    </row>
    <row r="57" spans="3:29" x14ac:dyDescent="0.3">
      <c r="C57" s="217" t="str">
        <f>++'Financials Input'!C657</f>
        <v>Other First Lien Debt</v>
      </c>
      <c r="D57" s="101"/>
      <c r="E57" s="101"/>
      <c r="F57" s="200">
        <f>++INDEX('Financials Input'!$G603:$DC603,1,MATCH(LTMDate,'Financials Input'!$G$3:$DC$3,0))</f>
        <v>0</v>
      </c>
      <c r="G57" s="255">
        <f>++IFERROR(F57/G$84+G56,0)</f>
        <v>0</v>
      </c>
      <c r="H57" s="263">
        <f t="shared" si="9"/>
        <v>0</v>
      </c>
      <c r="I57" s="200">
        <f>++INDEX('Financials Input'!$G657:$DC657,1,MATCH(LTMDate,'Financials Input'!$G$3:$DC$3,0))</f>
        <v>0</v>
      </c>
      <c r="J57" s="255">
        <f>++IFERROR(I57/J$84+J56,0)</f>
        <v>0</v>
      </c>
      <c r="K57" s="264">
        <f t="shared" si="10"/>
        <v>0</v>
      </c>
      <c r="M57" s="217" t="str">
        <f>++'Financials Input'!C18</f>
        <v>[Operating Expense]</v>
      </c>
      <c r="N57" s="101"/>
      <c r="O57" s="200">
        <f>++INDEX('Financials Input'!$G165:$DC165,1,MATCH(O$1,'Financials Input'!$G$3:$DC$3,0))</f>
        <v>0</v>
      </c>
      <c r="P57" s="200">
        <f>++INDEX('Financials Input'!$G165:$DC165,1,MATCH(P$1,'Financials Input'!$G$3:$DC$3,0))</f>
        <v>0</v>
      </c>
      <c r="Q57" s="200">
        <f>++IF(R$1&lt;EOMONTH(Q$1,12),INDEX('Financials Input'!$G18:$DC18,1,MATCH(Q$1,'Financials Input'!$G$3:$DC$3,0)),INDEX('Financials Input'!$G165:$DC165,1,MATCH(Q$1,'Financials Input'!$G$3:$DC$3,0)))</f>
        <v>0</v>
      </c>
      <c r="R57" s="200">
        <f>++INDEX('Financials Input'!$G18:$DC18,1,MATCH(R$1,'Financials Input'!$G$3:$DC$3,0))</f>
        <v>0</v>
      </c>
      <c r="S57" s="228">
        <f>++INDEX('Financials Input'!$G459:$DC459,1,MATCH(S$1,'Financials Input'!$G$3:$DC$3,0))</f>
        <v>0</v>
      </c>
      <c r="T57" s="200">
        <f>++INDEX('Financials Input'!$G214:$DC214,1,MATCH(T$1,'Financials Input'!$G$3:$DC$3,0))</f>
        <v>0</v>
      </c>
      <c r="U57" s="200">
        <f>++INDEX('Financials Input'!$G67:$DC67,1,MATCH(U$1,'Financials Input'!$G$3:$DC$3,0))</f>
        <v>0</v>
      </c>
      <c r="V57" s="228">
        <f>++INDEX('Financials Input'!$G459:$DC459,1,MATCH(V$1,'Financials Input'!$G$3:$DC$3,0))</f>
        <v>0</v>
      </c>
      <c r="W57" s="200">
        <f>++INDEX('Financials Input'!$G263:$DC263,1,MATCH(W$1,'Financials Input'!$G$3:$DC$3,0))</f>
        <v>0</v>
      </c>
      <c r="X57" s="200">
        <f>++INDEX('Financials Input'!$G116:$DC116,1,MATCH(X$1,'Financials Input'!$G$3:$DC$3,0))</f>
        <v>0</v>
      </c>
      <c r="Y57" s="229">
        <f>++INDEX('Financials Input'!$G508:$DC508,1,MATCH(Y$1,'Financials Input'!$G$3:$DC$3,0))</f>
        <v>0</v>
      </c>
    </row>
    <row r="58" spans="3:29" x14ac:dyDescent="0.3">
      <c r="C58" s="238" t="str">
        <f>++'Financials Input'!C658</f>
        <v>First Lien Debt</v>
      </c>
      <c r="D58" s="197"/>
      <c r="E58" s="197"/>
      <c r="F58" s="239">
        <f>++SUM(F51:F57)</f>
        <v>0</v>
      </c>
      <c r="G58" s="265">
        <f>++G57</f>
        <v>0</v>
      </c>
      <c r="H58" s="266">
        <f t="shared" si="9"/>
        <v>0</v>
      </c>
      <c r="I58" s="239">
        <f>++SUM(I51:I57)</f>
        <v>0</v>
      </c>
      <c r="J58" s="265">
        <f>++J57</f>
        <v>0</v>
      </c>
      <c r="K58" s="267">
        <f t="shared" si="10"/>
        <v>0</v>
      </c>
      <c r="M58" s="217" t="str">
        <f>++'Financials Input'!C19</f>
        <v>[Operating Expense]</v>
      </c>
      <c r="N58" s="101"/>
      <c r="O58" s="200">
        <f>++INDEX('Financials Input'!$G166:$DC166,1,MATCH(O$1,'Financials Input'!$G$3:$DC$3,0))</f>
        <v>0</v>
      </c>
      <c r="P58" s="200">
        <f>++INDEX('Financials Input'!$G166:$DC166,1,MATCH(P$1,'Financials Input'!$G$3:$DC$3,0))</f>
        <v>0</v>
      </c>
      <c r="Q58" s="200">
        <f>++IF(R$1&lt;EOMONTH(Q$1,12),INDEX('Financials Input'!$G19:$DC19,1,MATCH(Q$1,'Financials Input'!$G$3:$DC$3,0)),INDEX('Financials Input'!$G166:$DC166,1,MATCH(Q$1,'Financials Input'!$G$3:$DC$3,0)))</f>
        <v>0</v>
      </c>
      <c r="R58" s="200">
        <f>++INDEX('Financials Input'!$G19:$DC19,1,MATCH(R$1,'Financials Input'!$G$3:$DC$3,0))</f>
        <v>0</v>
      </c>
      <c r="S58" s="228">
        <f>++INDEX('Financials Input'!$G460:$DC460,1,MATCH(S$1,'Financials Input'!$G$3:$DC$3,0))</f>
        <v>0</v>
      </c>
      <c r="T58" s="200">
        <f>++INDEX('Financials Input'!$G215:$DC215,1,MATCH(T$1,'Financials Input'!$G$3:$DC$3,0))</f>
        <v>0</v>
      </c>
      <c r="U58" s="200">
        <f>++INDEX('Financials Input'!$G68:$DC68,1,MATCH(U$1,'Financials Input'!$G$3:$DC$3,0))</f>
        <v>0</v>
      </c>
      <c r="V58" s="228">
        <f>++INDEX('Financials Input'!$G460:$DC460,1,MATCH(V$1,'Financials Input'!$G$3:$DC$3,0))</f>
        <v>0</v>
      </c>
      <c r="W58" s="200">
        <f>++INDEX('Financials Input'!$G264:$DC264,1,MATCH(W$1,'Financials Input'!$G$3:$DC$3,0))</f>
        <v>0</v>
      </c>
      <c r="X58" s="200">
        <f>++INDEX('Financials Input'!$G117:$DC117,1,MATCH(X$1,'Financials Input'!$G$3:$DC$3,0))</f>
        <v>0</v>
      </c>
      <c r="Y58" s="229">
        <f>++INDEX('Financials Input'!$G509:$DC509,1,MATCH(Y$1,'Financials Input'!$G$3:$DC$3,0))</f>
        <v>0</v>
      </c>
    </row>
    <row r="59" spans="3:29" x14ac:dyDescent="0.3">
      <c r="C59" s="217"/>
      <c r="D59" s="101"/>
      <c r="E59" s="101"/>
      <c r="F59" s="101"/>
      <c r="G59" s="101"/>
      <c r="H59" s="218"/>
      <c r="I59" s="101"/>
      <c r="J59" s="101"/>
      <c r="K59" s="219"/>
      <c r="M59" s="217" t="str">
        <f>++'Financials Input'!C22</f>
        <v>Other Operating Expense (Income)</v>
      </c>
      <c r="N59" s="101"/>
      <c r="O59" s="200">
        <f>++INDEX('Financials Input'!$G169:$DC169,1,MATCH(O$1,'Financials Input'!$G$3:$DC$3,0))</f>
        <v>0</v>
      </c>
      <c r="P59" s="200">
        <f>++INDEX('Financials Input'!$G169:$DC169,1,MATCH(P$1,'Financials Input'!$G$3:$DC$3,0))</f>
        <v>0</v>
      </c>
      <c r="Q59" s="200">
        <f>++IF(R$1&lt;EOMONTH(Q$1,12),INDEX('Financials Input'!$G22:$DC22,1,MATCH(Q$1,'Financials Input'!$G$3:$DC$3,0)),INDEX('Financials Input'!$G169:$DC169,1,MATCH(Q$1,'Financials Input'!$G$3:$DC$3,0)))</f>
        <v>0</v>
      </c>
      <c r="R59" s="200">
        <f>++INDEX('Financials Input'!$G22:$DC22,1,MATCH(R$1,'Financials Input'!$G$3:$DC$3,0))</f>
        <v>0</v>
      </c>
      <c r="S59" s="228">
        <f>++INDEX('Financials Input'!$G463:$DC463,1,MATCH(S$1,'Financials Input'!$G$3:$DC$3,0))</f>
        <v>0</v>
      </c>
      <c r="T59" s="200">
        <f>++INDEX('Financials Input'!$G218:$DC218,1,MATCH(T$1,'Financials Input'!$G$3:$DC$3,0))</f>
        <v>0</v>
      </c>
      <c r="U59" s="200">
        <f>++INDEX('Financials Input'!$G71:$DC71,1,MATCH(U$1,'Financials Input'!$G$3:$DC$3,0))</f>
        <v>0</v>
      </c>
      <c r="V59" s="228">
        <f>++INDEX('Financials Input'!$G463:$DC463,1,MATCH(V$1,'Financials Input'!$G$3:$DC$3,0))</f>
        <v>0</v>
      </c>
      <c r="W59" s="200">
        <f>++INDEX('Financials Input'!$G267:$DC267,1,MATCH(W$1,'Financials Input'!$G$3:$DC$3,0))</f>
        <v>0</v>
      </c>
      <c r="X59" s="200">
        <f>++INDEX('Financials Input'!$G120:$DC120,1,MATCH(X$1,'Financials Input'!$G$3:$DC$3,0))</f>
        <v>0</v>
      </c>
      <c r="Y59" s="229">
        <f>++INDEX('Financials Input'!$G512:$DC512,1,MATCH(Y$1,'Financials Input'!$G$3:$DC$3,0))</f>
        <v>0</v>
      </c>
    </row>
    <row r="60" spans="3:29" x14ac:dyDescent="0.3">
      <c r="C60" s="217" t="str">
        <f>++'Financials Input'!C660</f>
        <v>Second Lien Term Loan</v>
      </c>
      <c r="D60" s="101"/>
      <c r="E60" s="101"/>
      <c r="F60" s="200">
        <f>++INDEX('Financials Input'!$G606:$DC606,1,MATCH(LTMDate,'Financials Input'!$G$3:$DC$3,0))</f>
        <v>0</v>
      </c>
      <c r="G60" s="255">
        <f>++IFERROR(SUM(F60:F61)/G$84+G58,0)</f>
        <v>0</v>
      </c>
      <c r="H60" s="263">
        <f>++IFERROR(F60/F$82,0)</f>
        <v>0</v>
      </c>
      <c r="I60" s="200">
        <f>++INDEX('Financials Input'!$G660:$DC660,1,MATCH(LTMDate,'Financials Input'!$G$3:$DC$3,0))</f>
        <v>0</v>
      </c>
      <c r="J60" s="255">
        <f>++IFERROR(SUM(I60:I61)/J$84+J58,0)</f>
        <v>0</v>
      </c>
      <c r="K60" s="264">
        <f>++IFERROR(I60/I$82,0)</f>
        <v>0</v>
      </c>
      <c r="M60" s="230" t="str">
        <f>++'Financials Input'!C23</f>
        <v>Operating Income (Loss)</v>
      </c>
      <c r="N60" s="231"/>
      <c r="O60" s="232">
        <f>++INDEX('Financials Input'!$G170:$DC170,1,MATCH(O$1,'Financials Input'!$G$3:$DC$3,0))</f>
        <v>0</v>
      </c>
      <c r="P60" s="232">
        <f>++INDEX('Financials Input'!$G170:$DC170,1,MATCH(P$1,'Financials Input'!$G$3:$DC$3,0))</f>
        <v>0</v>
      </c>
      <c r="Q60" s="232">
        <f>++IF(R$1&lt;EOMONTH(Q$1,12),INDEX('Financials Input'!$G23:$DC23,1,MATCH(Q$1,'Financials Input'!$G$3:$DC$3,0)),INDEX('Financials Input'!$G170:$DC170,1,MATCH(Q$1,'Financials Input'!$G$3:$DC$3,0)))</f>
        <v>0</v>
      </c>
      <c r="R60" s="232">
        <f>++INDEX('Financials Input'!$G23:$DC23,1,MATCH(R$1,'Financials Input'!$G$3:$DC$3,0))</f>
        <v>0</v>
      </c>
      <c r="S60" s="233">
        <f>++INDEX('Financials Input'!$G464:$DC464,1,MATCH(S$1,'Financials Input'!$G$3:$DC$3,0))</f>
        <v>0</v>
      </c>
      <c r="T60" s="232">
        <f>++INDEX('Financials Input'!$G219:$DC219,1,MATCH(T$1,'Financials Input'!$G$3:$DC$3,0))</f>
        <v>0</v>
      </c>
      <c r="U60" s="232">
        <f>++INDEX('Financials Input'!$G72:$DC72,1,MATCH(U$1,'Financials Input'!$G$3:$DC$3,0))</f>
        <v>0</v>
      </c>
      <c r="V60" s="233">
        <f>++INDEX('Financials Input'!$G464:$DC464,1,MATCH(V$1,'Financials Input'!$G$3:$DC$3,0))</f>
        <v>0</v>
      </c>
      <c r="W60" s="232">
        <f>++INDEX('Financials Input'!$G268:$DC268,1,MATCH(W$1,'Financials Input'!$G$3:$DC$3,0))</f>
        <v>0</v>
      </c>
      <c r="X60" s="232">
        <f>++INDEX('Financials Input'!$G121:$DC121,1,MATCH(X$1,'Financials Input'!$G$3:$DC$3,0))</f>
        <v>0</v>
      </c>
      <c r="Y60" s="234">
        <f>++INDEX('Financials Input'!$G513:$DC513,1,MATCH(Y$1,'Financials Input'!$G$3:$DC$3,0))</f>
        <v>0</v>
      </c>
    </row>
    <row r="61" spans="3:29" x14ac:dyDescent="0.3">
      <c r="C61" s="217" t="str">
        <f>++'Financials Input'!C661</f>
        <v>Second Lien DDTL ($0.0MM)</v>
      </c>
      <c r="D61" s="101"/>
      <c r="E61" s="101"/>
      <c r="F61" s="200">
        <f>++INDEX('Financials Input'!$G607:$DC607,1,MATCH(LTMDate,'Financials Input'!$G$3:$DC$3,0))</f>
        <v>0</v>
      </c>
      <c r="G61" s="255">
        <f>++G60</f>
        <v>0</v>
      </c>
      <c r="H61" s="263">
        <f>++IFERROR(F61/F$82,0)</f>
        <v>0</v>
      </c>
      <c r="I61" s="200">
        <f>++INDEX('Financials Input'!$G661:$DC661,1,MATCH(LTMDate,'Financials Input'!$G$3:$DC$3,0))</f>
        <v>0</v>
      </c>
      <c r="J61" s="255">
        <f>++J60</f>
        <v>0</v>
      </c>
      <c r="K61" s="264">
        <f>++IFERROR(I61/I$82,0)</f>
        <v>0</v>
      </c>
      <c r="M61" s="224" t="str">
        <f>++'Financials Input'!C24</f>
        <v>% margin</v>
      </c>
      <c r="N61" s="101"/>
      <c r="O61" s="225" t="str">
        <f>++INDEX('Financials Input'!$G171:$DC171,1,MATCH(O$1,'Financials Input'!$G$3:$DC$3,0))</f>
        <v>n/a</v>
      </c>
      <c r="P61" s="225" t="str">
        <f>++INDEX('Financials Input'!$G171:$DC171,1,MATCH(P$1,'Financials Input'!$G$3:$DC$3,0))</f>
        <v>n/a</v>
      </c>
      <c r="Q61" s="225" t="str">
        <f>++IF(R$1&lt;EOMONTH(Q$1,12),INDEX('Financials Input'!$G24:$DC24,1,MATCH(Q$1,'Financials Input'!$G$3:$DC$3,0)),INDEX('Financials Input'!$G171:$DC171,1,MATCH(Q$1,'Financials Input'!$G$3:$DC$3,0)))</f>
        <v>n/a</v>
      </c>
      <c r="R61" s="225" t="str">
        <f>++INDEX('Financials Input'!$G24:$DC24,1,MATCH(R$1,'Financials Input'!$G$3:$DC$3,0))</f>
        <v>n/a</v>
      </c>
      <c r="S61" s="226" t="str">
        <f>++INDEX('Financials Input'!$G465:$DC465,1,MATCH(S$1,'Financials Input'!$G$3:$DC$3,0))</f>
        <v>n/a</v>
      </c>
      <c r="T61" s="225" t="str">
        <f>++INDEX('Financials Input'!$G220:$DC220,1,MATCH(T$1,'Financials Input'!$G$3:$DC$3,0))</f>
        <v>n/a</v>
      </c>
      <c r="U61" s="225" t="str">
        <f>++INDEX('Financials Input'!$G73:$DC73,1,MATCH(U$1,'Financials Input'!$G$3:$DC$3,0))</f>
        <v>n/a</v>
      </c>
      <c r="V61" s="226" t="str">
        <f>++INDEX('Financials Input'!$G465:$DC465,1,MATCH(V$1,'Financials Input'!$G$3:$DC$3,0))</f>
        <v>n/a</v>
      </c>
      <c r="W61" s="225" t="str">
        <f>++INDEX('Financials Input'!$G269:$DC269,1,MATCH(W$1,'Financials Input'!$G$3:$DC$3,0))</f>
        <v>n/a</v>
      </c>
      <c r="X61" s="225" t="str">
        <f>++INDEX('Financials Input'!$G122:$DC122,1,MATCH(X$1,'Financials Input'!$G$3:$DC$3,0))</f>
        <v>n/a</v>
      </c>
      <c r="Y61" s="227" t="str">
        <f>++INDEX('Financials Input'!$G514:$DC514,1,MATCH(Y$1,'Financials Input'!$G$3:$DC$3,0))</f>
        <v>n/a</v>
      </c>
    </row>
    <row r="62" spans="3:29" x14ac:dyDescent="0.3">
      <c r="C62" s="217" t="str">
        <f>++'Financials Input'!C662</f>
        <v>Other Senior Debt</v>
      </c>
      <c r="D62" s="101"/>
      <c r="E62" s="101"/>
      <c r="F62" s="200">
        <f>++INDEX('Financials Input'!$G608:$DC608,1,MATCH(LTMDate,'Financials Input'!$G$3:$DC$3,0))</f>
        <v>0</v>
      </c>
      <c r="G62" s="255">
        <f>++IFERROR(F62/G$84+G61,0)</f>
        <v>0</v>
      </c>
      <c r="H62" s="263">
        <f>++IFERROR(F62/F$82,0)</f>
        <v>0</v>
      </c>
      <c r="I62" s="200">
        <f>++INDEX('Financials Input'!$G662:$DC662,1,MATCH(LTMDate,'Financials Input'!$G$3:$DC$3,0))</f>
        <v>0</v>
      </c>
      <c r="J62" s="255">
        <f>++IFERROR(I62/J$84+J61,0)</f>
        <v>0</v>
      </c>
      <c r="K62" s="264">
        <f>++IFERROR(I62/I$82,0)</f>
        <v>0</v>
      </c>
      <c r="M62" s="217"/>
      <c r="N62" s="101"/>
      <c r="O62" s="101"/>
      <c r="P62" s="101"/>
      <c r="Q62" s="101"/>
      <c r="R62" s="101"/>
      <c r="S62" s="218"/>
      <c r="T62" s="101"/>
      <c r="U62" s="101"/>
      <c r="V62" s="218"/>
      <c r="W62" s="101"/>
      <c r="X62" s="101"/>
      <c r="Y62" s="219"/>
    </row>
    <row r="63" spans="3:29" x14ac:dyDescent="0.3">
      <c r="C63" s="238" t="str">
        <f>++'Financials Input'!C663</f>
        <v>Senior Debt</v>
      </c>
      <c r="D63" s="197"/>
      <c r="E63" s="197"/>
      <c r="F63" s="239">
        <f>++SUM(F58:F62)</f>
        <v>0</v>
      </c>
      <c r="G63" s="265">
        <f>++G62</f>
        <v>0</v>
      </c>
      <c r="H63" s="266">
        <f>++IFERROR(F63/F$82,0)</f>
        <v>0</v>
      </c>
      <c r="I63" s="239">
        <f>++SUM(I58:I62)</f>
        <v>0</v>
      </c>
      <c r="J63" s="265">
        <f>++J62</f>
        <v>0</v>
      </c>
      <c r="K63" s="267">
        <f>++IFERROR(I63/I$82,0)</f>
        <v>0</v>
      </c>
      <c r="M63" s="220" t="str">
        <f>++'Financials Input'!C44</f>
        <v>Reported EBITDA</v>
      </c>
      <c r="N63" s="101"/>
      <c r="O63" s="221">
        <f>++INDEX('Financials Input'!$G191:$DC191,1,MATCH(O$1,'Financials Input'!$G$3:$DC$3,0))</f>
        <v>0</v>
      </c>
      <c r="P63" s="221">
        <f>++INDEX('Financials Input'!$G191:$DC191,1,MATCH(P$1,'Financials Input'!$G$3:$DC$3,0))</f>
        <v>0</v>
      </c>
      <c r="Q63" s="221">
        <f>++IF(R$1&lt;EOMONTH(Q$1,12),INDEX('Financials Input'!$G44:$DC44,1,MATCH(Q$1,'Financials Input'!$G$3:$DC$3,0)),INDEX('Financials Input'!$G191:$DC191,1,MATCH(Q$1,'Financials Input'!$G$3:$DC$3,0)))</f>
        <v>0</v>
      </c>
      <c r="R63" s="221">
        <f>++INDEX('Financials Input'!$G44:$DC44,1,MATCH(R$1,'Financials Input'!$G$3:$DC$3,0))</f>
        <v>0</v>
      </c>
      <c r="S63" s="222">
        <f>++INDEX('Financials Input'!$G485:$DC485,1,MATCH(S$1,'Financials Input'!$G$3:$DC$3,0))</f>
        <v>0</v>
      </c>
      <c r="T63" s="221">
        <f>++INDEX('Financials Input'!$G240:$DC240,1,MATCH(T$1,'Financials Input'!$G$3:$DC$3,0))</f>
        <v>0</v>
      </c>
      <c r="U63" s="221">
        <f>++INDEX('Financials Input'!$G93:$DC93,1,MATCH(U$1,'Financials Input'!$G$3:$DC$3,0))</f>
        <v>0</v>
      </c>
      <c r="V63" s="222">
        <f>++INDEX('Financials Input'!$G240:$DC240,1,MATCH(V$1,'Financials Input'!$G$3:$DC$3,0))</f>
        <v>0</v>
      </c>
      <c r="W63" s="221">
        <f>++INDEX('Financials Input'!$G289:$DC289,1,MATCH(W$1,'Financials Input'!$G$3:$DC$3,0))</f>
        <v>0</v>
      </c>
      <c r="X63" s="221">
        <f>++INDEX('Financials Input'!$G142:$DC142,1,MATCH(X$1,'Financials Input'!$G$3:$DC$3,0))</f>
        <v>0</v>
      </c>
      <c r="Y63" s="223">
        <f>++INDEX('Financials Input'!$G289:$DC289,1,MATCH(Y$1,'Financials Input'!$G$3:$DC$3,0))</f>
        <v>0</v>
      </c>
    </row>
    <row r="64" spans="3:29" x14ac:dyDescent="0.3">
      <c r="C64" s="217"/>
      <c r="D64" s="101"/>
      <c r="E64" s="101"/>
      <c r="F64" s="101"/>
      <c r="G64" s="101"/>
      <c r="H64" s="218"/>
      <c r="I64" s="101"/>
      <c r="J64" s="101"/>
      <c r="K64" s="219"/>
      <c r="M64" s="224" t="str">
        <f>++'Financials Input'!C45</f>
        <v>% margin</v>
      </c>
      <c r="N64" s="101"/>
      <c r="O64" s="225" t="str">
        <f>++INDEX('Financials Input'!$G192:$DC192,1,MATCH(O$1,'Financials Input'!$G$3:$DC$3,0))</f>
        <v>n/a</v>
      </c>
      <c r="P64" s="225" t="str">
        <f>++INDEX('Financials Input'!$G192:$DC192,1,MATCH(P$1,'Financials Input'!$G$3:$DC$3,0))</f>
        <v>n/a</v>
      </c>
      <c r="Q64" s="225" t="str">
        <f>++IF(R$1&lt;EOMONTH(Q$1,12),INDEX('Financials Input'!$G45:$DC45,1,MATCH(Q$1,'Financials Input'!$G$3:$DC$3,0)),INDEX('Financials Input'!$G192:$DC192,1,MATCH(Q$1,'Financials Input'!$G$3:$DC$3,0)))</f>
        <v>n/a</v>
      </c>
      <c r="R64" s="225" t="str">
        <f>++INDEX('Financials Input'!$G45:$DC45,1,MATCH(R$1,'Financials Input'!$G$3:$DC$3,0))</f>
        <v>n/a</v>
      </c>
      <c r="S64" s="226" t="str">
        <f>++INDEX('Financials Input'!$G486:$DC486,1,MATCH(S$1,'Financials Input'!$G$3:$DC$3,0))</f>
        <v>n/a</v>
      </c>
      <c r="T64" s="225" t="str">
        <f>++INDEX('Financials Input'!$G241:$DC241,1,MATCH(T$1,'Financials Input'!$G$3:$DC$3,0))</f>
        <v>n/a</v>
      </c>
      <c r="U64" s="225" t="str">
        <f>++INDEX('Financials Input'!$G94:$DC94,1,MATCH(U$1,'Financials Input'!$G$3:$DC$3,0))</f>
        <v>n/a</v>
      </c>
      <c r="V64" s="226" t="str">
        <f>++INDEX('Financials Input'!$G241:$DC241,1,MATCH(V$1,'Financials Input'!$G$3:$DC$3,0))</f>
        <v>n/a</v>
      </c>
      <c r="W64" s="225" t="str">
        <f>++INDEX('Financials Input'!$G290:$DC290,1,MATCH(W$1,'Financials Input'!$G$3:$DC$3,0))</f>
        <v>n/a</v>
      </c>
      <c r="X64" s="225" t="str">
        <f>++INDEX('Financials Input'!$G143:$DC143,1,MATCH(X$1,'Financials Input'!$G$3:$DC$3,0))</f>
        <v>n/a</v>
      </c>
      <c r="Y64" s="227" t="str">
        <f>++INDEX('Financials Input'!$G290:$DC290,1,MATCH(Y$1,'Financials Input'!$G$3:$DC$3,0))</f>
        <v>n/a</v>
      </c>
    </row>
    <row r="65" spans="3:25" x14ac:dyDescent="0.3">
      <c r="C65" s="217" t="str">
        <f>++'Financials Input'!C665</f>
        <v>Subordinated Notes</v>
      </c>
      <c r="D65" s="101"/>
      <c r="E65" s="101"/>
      <c r="F65" s="200">
        <f>++INDEX('Financials Input'!$G611:$DC611,1,MATCH(LTMDate,'Financials Input'!$G$3:$DC$3,0))</f>
        <v>0</v>
      </c>
      <c r="G65" s="255">
        <f>++IFERROR(SUM(F65:F66)/G$84+G63,0)</f>
        <v>0</v>
      </c>
      <c r="H65" s="263">
        <f t="shared" ref="H65:H70" si="11">++IFERROR(F65/F$82,0)</f>
        <v>0</v>
      </c>
      <c r="I65" s="200">
        <f>++INDEX('Financials Input'!$G665:$DC665,1,MATCH(LTMDate,'Financials Input'!$G$3:$DC$3,0))</f>
        <v>0</v>
      </c>
      <c r="J65" s="255">
        <f>++IFERROR(SUM(I65:I66)/J$84+J63,0)</f>
        <v>0</v>
      </c>
      <c r="K65" s="264">
        <f t="shared" ref="K65:K70" si="12">++IFERROR(I65/I$82,0)</f>
        <v>0</v>
      </c>
      <c r="M65" s="224" t="str">
        <f>++'Financials Input'!C46</f>
        <v>% y/y</v>
      </c>
      <c r="N65" s="101"/>
      <c r="O65" s="225" t="str">
        <f>++INDEX('Financials Input'!$G193:$DC193,1,MATCH(O$1,'Financials Input'!$G$3:$DC$3,0))</f>
        <v>n/a</v>
      </c>
      <c r="P65" s="225" t="str">
        <f>++INDEX('Financials Input'!$G193:$DC193,1,MATCH(P$1,'Financials Input'!$G$3:$DC$3,0))</f>
        <v>n/a</v>
      </c>
      <c r="Q65" s="225" t="str">
        <f>++IF(R$1&lt;EOMONTH(Q$1,12),INDEX('Financials Input'!$G46:$DC46,1,MATCH(Q$1,'Financials Input'!$G$3:$DC$3,0)),INDEX('Financials Input'!$G193:$DC193,1,MATCH(Q$1,'Financials Input'!$G$3:$DC$3,0)))</f>
        <v>n/a</v>
      </c>
      <c r="R65" s="225" t="str">
        <f>++IFERROR(R63/INDEX('Financials Input'!$G191:$DC191,1,MATCH(EOMONTH(R$1,-12),'Financials Input'!$G$3:$DC$3,0))-1,"n/a")</f>
        <v>n/a</v>
      </c>
      <c r="S65" s="226" t="str">
        <f>++IFERROR(S63/Q63-1,"n/a")</f>
        <v>n/a</v>
      </c>
      <c r="T65" s="225" t="str">
        <f>++INDEX('Financials Input'!$G242:$DC242,1,MATCH(T$1,'Financials Input'!$G$3:$DC$3,0))</f>
        <v>n/a</v>
      </c>
      <c r="U65" s="225" t="str">
        <f>++IFERROR(U63/INDEX('Financials Input'!$G240:$DC240,1,MATCH(EOMONTH(U$1,-12),'Financials Input'!$G$3:$DC$3,0))-1,"n/a")</f>
        <v>n/a</v>
      </c>
      <c r="V65" s="226" t="str">
        <f>++IFERROR(V63/T63-1,"n/a")</f>
        <v>n/a</v>
      </c>
      <c r="W65" s="225" t="str">
        <f>++INDEX('Financials Input'!$G291:$DC291,1,MATCH(W$1,'Financials Input'!$G$3:$DC$3,0))</f>
        <v>n/a</v>
      </c>
      <c r="X65" s="225" t="str">
        <f>++IFERROR(X63/INDEX('Financials Input'!$G289:$DC289,1,MATCH(EOMONTH(X$1,-12),'Financials Input'!$G$3:$DC$3,0))-1,"n/a")</f>
        <v>n/a</v>
      </c>
      <c r="Y65" s="227" t="str">
        <f>++IFERROR(Y63/W63-1,"n/a")</f>
        <v>n/a</v>
      </c>
    </row>
    <row r="66" spans="3:25" x14ac:dyDescent="0.3">
      <c r="C66" s="217" t="str">
        <f>++'Financials Input'!C666</f>
        <v>Subordinated DD Notes ($0.0MM)</v>
      </c>
      <c r="D66" s="101"/>
      <c r="E66" s="101"/>
      <c r="F66" s="200">
        <f>++INDEX('Financials Input'!$G612:$DC612,1,MATCH(LTMDate,'Financials Input'!$G$3:$DC$3,0))</f>
        <v>0</v>
      </c>
      <c r="G66" s="255">
        <f>++G65</f>
        <v>0</v>
      </c>
      <c r="H66" s="263">
        <f t="shared" si="11"/>
        <v>0</v>
      </c>
      <c r="I66" s="200">
        <f>++INDEX('Financials Input'!$G666:$DC666,1,MATCH(LTMDate,'Financials Input'!$G$3:$DC$3,0))</f>
        <v>0</v>
      </c>
      <c r="J66" s="255">
        <f>++J65</f>
        <v>0</v>
      </c>
      <c r="K66" s="264">
        <f t="shared" si="12"/>
        <v>0</v>
      </c>
      <c r="M66" s="217"/>
      <c r="N66" s="101"/>
      <c r="O66" s="101"/>
      <c r="P66" s="101"/>
      <c r="Q66" s="101"/>
      <c r="R66" s="101"/>
      <c r="S66" s="218"/>
      <c r="T66" s="101"/>
      <c r="U66" s="101"/>
      <c r="V66" s="218"/>
      <c r="W66" s="101"/>
      <c r="X66" s="101"/>
      <c r="Y66" s="219"/>
    </row>
    <row r="67" spans="3:25" x14ac:dyDescent="0.3">
      <c r="C67" s="217" t="str">
        <f>++'Financials Input'!C667</f>
        <v>Seller Notes</v>
      </c>
      <c r="D67" s="101"/>
      <c r="E67" s="101"/>
      <c r="F67" s="200">
        <f>++INDEX('Financials Input'!$G613:$DC613,1,MATCH(LTMDate,'Financials Input'!$G$3:$DC$3,0))</f>
        <v>0</v>
      </c>
      <c r="G67" s="255">
        <f t="shared" ref="G67" si="13">++IFERROR(F67/G$84+G66,0)</f>
        <v>0</v>
      </c>
      <c r="H67" s="263">
        <f t="shared" si="11"/>
        <v>0</v>
      </c>
      <c r="I67" s="200">
        <f>++INDEX('Financials Input'!$G667:$DC667,1,MATCH(LTMDate,'Financials Input'!$G$3:$DC$3,0))</f>
        <v>0</v>
      </c>
      <c r="J67" s="255">
        <f t="shared" ref="J67" si="14">++IFERROR(I67/J$84+J66,0)</f>
        <v>0</v>
      </c>
      <c r="K67" s="264">
        <f t="shared" si="12"/>
        <v>0</v>
      </c>
      <c r="M67" s="209" t="str">
        <f>++'Financials Input'!C48</f>
        <v>CA EBITDA</v>
      </c>
      <c r="N67" s="203"/>
      <c r="O67" s="210">
        <f>++INDEX('Financials Input'!$G195:$DC195,1,MATCH(O$1,'Financials Input'!$G$3:$DC$3,0))</f>
        <v>0</v>
      </c>
      <c r="P67" s="210">
        <f>++INDEX('Financials Input'!$G195:$DC195,1,MATCH(P$1,'Financials Input'!$G$3:$DC$3,0))</f>
        <v>0</v>
      </c>
      <c r="Q67" s="210">
        <f>++IF(R$1&lt;EOMONTH(Q$1,12),INDEX('Financials Input'!$G48:$DC48,1,MATCH(Q$1,'Financials Input'!$G$3:$DC$3,0)),INDEX('Financials Input'!$G195:$DC195,1,MATCH(Q$1,'Financials Input'!$G$3:$DC$3,0)))</f>
        <v>0</v>
      </c>
      <c r="R67" s="210">
        <f>++INDEX('Financials Input'!$G48:$DC48,1,MATCH(R$1,'Financials Input'!$G$3:$DC$3,0))</f>
        <v>0</v>
      </c>
      <c r="S67" s="211">
        <f>++INDEX('Financials Input'!$G489:$DC489,1,MATCH(S$1,'Financials Input'!$G$3:$DC$3,0))</f>
        <v>0</v>
      </c>
      <c r="T67" s="210">
        <f>++INDEX('Financials Input'!$G244:$DC244,1,MATCH(T$1,'Financials Input'!$G$3:$DC$3,0))</f>
        <v>0</v>
      </c>
      <c r="U67" s="210">
        <f>++INDEX('Financials Input'!$G97:$DC97,1,MATCH(U$1,'Financials Input'!$G$3:$DC$3,0))</f>
        <v>0</v>
      </c>
      <c r="V67" s="211">
        <f>++INDEX('Financials Input'!$G489:$DC489,1,MATCH(V$1,'Financials Input'!$G$3:$DC$3,0))</f>
        <v>0</v>
      </c>
      <c r="W67" s="210">
        <f>++INDEX('Financials Input'!$G293:$DC293,1,MATCH(W$1,'Financials Input'!$G$3:$DC$3,0))</f>
        <v>0</v>
      </c>
      <c r="X67" s="210">
        <f>++INDEX('Financials Input'!$G146:$DC146,1,MATCH(X$1,'Financials Input'!$G$3:$DC$3,0))</f>
        <v>0</v>
      </c>
      <c r="Y67" s="212">
        <f>++INDEX('Financials Input'!$G538:$DC538,1,MATCH(Y$1,'Financials Input'!$G$3:$DC$3,0))</f>
        <v>0</v>
      </c>
    </row>
    <row r="68" spans="3:25" x14ac:dyDescent="0.3">
      <c r="C68" s="217" t="str">
        <f>++'Financials Input'!C668</f>
        <v>Earn-Outs</v>
      </c>
      <c r="D68" s="101"/>
      <c r="E68" s="101"/>
      <c r="F68" s="200">
        <f>++INDEX('Financials Input'!$G614:$DC614,1,MATCH(LTMDate,'Financials Input'!$G$3:$DC$3,0))</f>
        <v>0</v>
      </c>
      <c r="G68" s="255">
        <f>++IFERROR(F68/G$84+G67,0)</f>
        <v>0</v>
      </c>
      <c r="H68" s="263">
        <f t="shared" si="11"/>
        <v>0</v>
      </c>
      <c r="I68" s="200">
        <f>++INDEX('Financials Input'!$G668:$DC668,1,MATCH(LTMDate,'Financials Input'!$G$3:$DC$3,0))</f>
        <v>0</v>
      </c>
      <c r="J68" s="255">
        <f>++IFERROR(I68/J$84+J67,0)</f>
        <v>0</v>
      </c>
      <c r="K68" s="264">
        <f t="shared" si="12"/>
        <v>0</v>
      </c>
      <c r="M68" s="213" t="str">
        <f>++'Financials Input'!C49</f>
        <v>% margin</v>
      </c>
      <c r="N68" s="203"/>
      <c r="O68" s="214" t="str">
        <f>++INDEX('Financials Input'!$G196:$DC196,1,MATCH(O$1,'Financials Input'!$G$3:$DC$3,0))</f>
        <v>n/a</v>
      </c>
      <c r="P68" s="214" t="str">
        <f>++INDEX('Financials Input'!$G196:$DC196,1,MATCH(P$1,'Financials Input'!$G$3:$DC$3,0))</f>
        <v>n/a</v>
      </c>
      <c r="Q68" s="214" t="str">
        <f>++IF(R$1&lt;EOMONTH(Q$1,12),INDEX('Financials Input'!$G49:$DC49,1,MATCH(Q$1,'Financials Input'!$G$3:$DC$3,0)),INDEX('Financials Input'!$G196:$DC196,1,MATCH(Q$1,'Financials Input'!$G$3:$DC$3,0)))</f>
        <v>n/a</v>
      </c>
      <c r="R68" s="214" t="str">
        <f>++INDEX('Financials Input'!$G49:$DC49,1,MATCH(R$1,'Financials Input'!$G$3:$DC$3,0))</f>
        <v>n/a</v>
      </c>
      <c r="S68" s="215" t="str">
        <f>++INDEX('Financials Input'!$G490:$DC490,1,MATCH(S$1,'Financials Input'!$G$3:$DC$3,0))</f>
        <v>n/a</v>
      </c>
      <c r="T68" s="214" t="str">
        <f>++INDEX('Financials Input'!$G245:$DC245,1,MATCH(T$1,'Financials Input'!$G$3:$DC$3,0))</f>
        <v>n/a</v>
      </c>
      <c r="U68" s="214" t="str">
        <f>++INDEX('Financials Input'!$G98:$DC98,1,MATCH(U$1,'Financials Input'!$G$3:$DC$3,0))</f>
        <v>n/a</v>
      </c>
      <c r="V68" s="215" t="str">
        <f>++INDEX('Financials Input'!$G490:$DC490,1,MATCH(V$1,'Financials Input'!$G$3:$DC$3,0))</f>
        <v>n/a</v>
      </c>
      <c r="W68" s="214" t="str">
        <f>++INDEX('Financials Input'!$G294:$DC294,1,MATCH(W$1,'Financials Input'!$G$3:$DC$3,0))</f>
        <v>n/a</v>
      </c>
      <c r="X68" s="214" t="str">
        <f>++INDEX('Financials Input'!$G147:$DC147,1,MATCH(X$1,'Financials Input'!$G$3:$DC$3,0))</f>
        <v>n/a</v>
      </c>
      <c r="Y68" s="216" t="str">
        <f>++INDEX('Financials Input'!$G539:$DC539,1,MATCH(Y$1,'Financials Input'!$G$3:$DC$3,0))</f>
        <v>n/a</v>
      </c>
    </row>
    <row r="69" spans="3:25" x14ac:dyDescent="0.3">
      <c r="C69" s="217" t="str">
        <f>++'Financials Input'!C669</f>
        <v>Other OpCo Debt</v>
      </c>
      <c r="D69" s="101"/>
      <c r="E69" s="101"/>
      <c r="F69" s="200">
        <f>++INDEX('Financials Input'!$G615:$DC615,1,MATCH(LTMDate,'Financials Input'!$G$3:$DC$3,0))</f>
        <v>0</v>
      </c>
      <c r="G69" s="255">
        <f>++IFERROR(F69/G$84+G68,0)</f>
        <v>0</v>
      </c>
      <c r="H69" s="263">
        <f t="shared" si="11"/>
        <v>0</v>
      </c>
      <c r="I69" s="200">
        <f>++INDEX('Financials Input'!$G669:$DC669,1,MATCH(LTMDate,'Financials Input'!$G$3:$DC$3,0))</f>
        <v>0</v>
      </c>
      <c r="J69" s="255">
        <f>++IFERROR(I69/J$84+J68,0)</f>
        <v>0</v>
      </c>
      <c r="K69" s="264">
        <f t="shared" si="12"/>
        <v>0</v>
      </c>
      <c r="M69" s="213" t="str">
        <f>++'Financials Input'!C50</f>
        <v>% y/y</v>
      </c>
      <c r="N69" s="203"/>
      <c r="O69" s="214" t="str">
        <f>++INDEX('Financials Input'!$G197:$DC197,1,MATCH(O$1,'Financials Input'!$G$3:$DC$3,0))</f>
        <v>n/a</v>
      </c>
      <c r="P69" s="214" t="str">
        <f>++INDEX('Financials Input'!$G197:$DC197,1,MATCH(P$1,'Financials Input'!$G$3:$DC$3,0))</f>
        <v>n/a</v>
      </c>
      <c r="Q69" s="214" t="str">
        <f>++IF(R$1&lt;EOMONTH(Q$1,12),INDEX('Financials Input'!$G50:$DC50,1,MATCH(Q$1,'Financials Input'!$G$3:$DC$3,0)),INDEX('Financials Input'!$G197:$DC197,1,MATCH(Q$1,'Financials Input'!$G$3:$DC$3,0)))</f>
        <v>n/a</v>
      </c>
      <c r="R69" s="214" t="str">
        <f>++IFERROR(R67/INDEX('Financials Input'!$G195:$DC195,1,MATCH(EOMONTH(R$1,-12),'Financials Input'!$G$3:$DC$3,0))-1,"n/a")</f>
        <v>n/a</v>
      </c>
      <c r="S69" s="215" t="str">
        <f>++IFERROR(S67/Q67-1,"n/a")</f>
        <v>n/a</v>
      </c>
      <c r="T69" s="214" t="str">
        <f>++INDEX('Financials Input'!$G246:$DC246,1,MATCH(T$1,'Financials Input'!$G$3:$DC$3,0))</f>
        <v>n/a</v>
      </c>
      <c r="U69" s="214" t="str">
        <f>++IFERROR(U67/INDEX('Financials Input'!$G244:$DC244,1,MATCH(EOMONTH(U$1,-12),'Financials Input'!$G$3:$DC$3,0))-1,"n/a")</f>
        <v>n/a</v>
      </c>
      <c r="V69" s="215" t="str">
        <f>++IFERROR(V67/T67-1,"n/a")</f>
        <v>n/a</v>
      </c>
      <c r="W69" s="214" t="str">
        <f>++INDEX('Financials Input'!$G295:$DC295,1,MATCH(W$1,'Financials Input'!$G$3:$DC$3,0))</f>
        <v>n/a</v>
      </c>
      <c r="X69" s="214" t="str">
        <f>++IFERROR(X67/INDEX('Financials Input'!$G293:$DC293,1,MATCH(EOMONTH(X$1,-12),'Financials Input'!$G$3:$DC$3,0))-1,"n/a")</f>
        <v>n/a</v>
      </c>
      <c r="Y69" s="216" t="str">
        <f>++IFERROR(Y67/W67-1,"n/a")</f>
        <v>n/a</v>
      </c>
    </row>
    <row r="70" spans="3:25" x14ac:dyDescent="0.3">
      <c r="C70" s="238" t="str">
        <f>++'Financials Input'!C670</f>
        <v>Total Debt (OpCo)</v>
      </c>
      <c r="D70" s="197"/>
      <c r="E70" s="197"/>
      <c r="F70" s="239">
        <f>++SUM(F63:F69)</f>
        <v>0</v>
      </c>
      <c r="G70" s="265">
        <f>++G69</f>
        <v>0</v>
      </c>
      <c r="H70" s="266">
        <f t="shared" si="11"/>
        <v>0</v>
      </c>
      <c r="I70" s="239">
        <f>++SUM(I63:I69)</f>
        <v>0</v>
      </c>
      <c r="J70" s="265">
        <f>++J69</f>
        <v>0</v>
      </c>
      <c r="K70" s="267">
        <f t="shared" si="12"/>
        <v>0</v>
      </c>
      <c r="M70" s="217"/>
      <c r="N70" s="101"/>
      <c r="O70" s="101"/>
      <c r="P70" s="101"/>
      <c r="Q70" s="101"/>
      <c r="R70" s="101"/>
      <c r="S70" s="218"/>
      <c r="T70" s="101"/>
      <c r="U70" s="101"/>
      <c r="V70" s="218"/>
      <c r="W70" s="101"/>
      <c r="X70" s="101"/>
      <c r="Y70" s="219"/>
    </row>
    <row r="71" spans="3:25" x14ac:dyDescent="0.3">
      <c r="C71" s="217"/>
      <c r="D71" s="101"/>
      <c r="E71" s="101"/>
      <c r="F71" s="101"/>
      <c r="G71" s="101"/>
      <c r="H71" s="218"/>
      <c r="I71" s="101"/>
      <c r="J71" s="101"/>
      <c r="K71" s="219"/>
      <c r="M71" s="217" t="str">
        <f>++'Financials Input'!C27</f>
        <v>Interest Expense (Income)</v>
      </c>
      <c r="N71" s="101"/>
      <c r="O71" s="199">
        <f>++INDEX('Financials Input'!$G174:$DC174,1,MATCH(O$1,'Financials Input'!$G$3:$DC$3,0))</f>
        <v>0</v>
      </c>
      <c r="P71" s="199">
        <f>++INDEX('Financials Input'!$G174:$DC174,1,MATCH(P$1,'Financials Input'!$G$3:$DC$3,0))</f>
        <v>0</v>
      </c>
      <c r="Q71" s="199">
        <f>++IF(R$1&lt;EOMONTH(Q$1,12),INDEX('Financials Input'!$G27:$DC27,1,MATCH(Q$1,'Financials Input'!$G$3:$DC$3,0)),INDEX('Financials Input'!$G174:$DC174,1,MATCH(Q$1,'Financials Input'!$G$3:$DC$3,0)))</f>
        <v>0</v>
      </c>
      <c r="R71" s="199">
        <f>++INDEX('Financials Input'!$G27:$DC27,1,MATCH(R$1,'Financials Input'!$G$3:$DC$3,0))</f>
        <v>0</v>
      </c>
      <c r="S71" s="240">
        <f>++INDEX('Financials Input'!$G468:$DC468,1,MATCH(S$1,'Financials Input'!$G$3:$DC$3,0))</f>
        <v>0</v>
      </c>
      <c r="T71" s="199">
        <f>++INDEX('Financials Input'!$G223:$DC223,1,MATCH(T$1,'Financials Input'!$G$3:$DC$3,0))</f>
        <v>0</v>
      </c>
      <c r="U71" s="199">
        <f>++INDEX('Financials Input'!$G76:$DC76,1,MATCH(U$1,'Financials Input'!$G$3:$DC$3,0))</f>
        <v>0</v>
      </c>
      <c r="V71" s="240">
        <f>++INDEX('Financials Input'!$G468:$DC468,1,MATCH(V$1,'Financials Input'!$G$3:$DC$3,0))</f>
        <v>0</v>
      </c>
      <c r="W71" s="199">
        <f>++INDEX('Financials Input'!$G272:$DC272,1,MATCH(W$1,'Financials Input'!$G$3:$DC$3,0))</f>
        <v>0</v>
      </c>
      <c r="X71" s="199">
        <f>++INDEX('Financials Input'!$G125:$DC125,1,MATCH(X$1,'Financials Input'!$G$3:$DC$3,0))</f>
        <v>0</v>
      </c>
      <c r="Y71" s="241">
        <f>++INDEX('Financials Input'!$G517:$DC517,1,MATCH(Y$1,'Financials Input'!$G$3:$DC$3,0))</f>
        <v>0</v>
      </c>
    </row>
    <row r="72" spans="3:25" x14ac:dyDescent="0.3">
      <c r="C72" s="217" t="str">
        <f>++'Financials Input'!C672</f>
        <v>HoldCo Notes</v>
      </c>
      <c r="D72" s="101"/>
      <c r="E72" s="101"/>
      <c r="F72" s="200">
        <f>++INDEX('Financials Input'!$G618:$DC618,1,MATCH(LTMDate,'Financials Input'!$G$3:$DC$3,0))</f>
        <v>0</v>
      </c>
      <c r="G72" s="255">
        <f>++IFERROR(SUM(F72:F73)/G$84+G70,0)</f>
        <v>0</v>
      </c>
      <c r="H72" s="263">
        <f>++IFERROR(F72/F$82,0)</f>
        <v>0</v>
      </c>
      <c r="I72" s="200">
        <f>++INDEX('Financials Input'!$G672:$DC672,1,MATCH(LTMDate,'Financials Input'!$G$3:$DC$3,0))</f>
        <v>0</v>
      </c>
      <c r="J72" s="255">
        <f>++IFERROR(SUM(I72:I73)/J$84+J70,0)</f>
        <v>0</v>
      </c>
      <c r="K72" s="264">
        <f>++IFERROR(I72/I$82,0)</f>
        <v>0</v>
      </c>
      <c r="M72" s="217"/>
      <c r="N72" s="101"/>
      <c r="O72" s="101"/>
      <c r="P72" s="101"/>
      <c r="Q72" s="101"/>
      <c r="R72" s="101"/>
      <c r="S72" s="218"/>
      <c r="T72" s="101"/>
      <c r="U72" s="101"/>
      <c r="V72" s="218"/>
      <c r="W72" s="101"/>
      <c r="X72" s="101"/>
      <c r="Y72" s="219"/>
    </row>
    <row r="73" spans="3:25" x14ac:dyDescent="0.3">
      <c r="C73" s="217" t="str">
        <f>++'Financials Input'!C673</f>
        <v>HoldCo DD Notes ($0.0MM)</v>
      </c>
      <c r="D73" s="101"/>
      <c r="E73" s="101"/>
      <c r="F73" s="200">
        <f>++INDEX('Financials Input'!$G619:$DC619,1,MATCH(LTMDate,'Financials Input'!$G$3:$DC$3,0))</f>
        <v>0</v>
      </c>
      <c r="G73" s="255">
        <f>++G72</f>
        <v>0</v>
      </c>
      <c r="H73" s="263">
        <f>++IFERROR(F73/F$82,0)</f>
        <v>0</v>
      </c>
      <c r="I73" s="200">
        <f>++INDEX('Financials Input'!$G673:$DC673,1,MATCH(LTMDate,'Financials Input'!$G$3:$DC$3,0))</f>
        <v>0</v>
      </c>
      <c r="J73" s="255">
        <f>++J72</f>
        <v>0</v>
      </c>
      <c r="K73" s="264">
        <f>++IFERROR(I73/I$82,0)</f>
        <v>0</v>
      </c>
      <c r="M73" s="217" t="str">
        <f>++'Financials Input'!C52</f>
        <v>Capital Expenditures</v>
      </c>
      <c r="N73" s="101"/>
      <c r="O73" s="199">
        <f>++INDEX('Financials Input'!$G199:$DC199,1,MATCH(O$1,'Financials Input'!$G$3:$DC$3,0))</f>
        <v>0</v>
      </c>
      <c r="P73" s="199">
        <f>++INDEX('Financials Input'!$G199:$DC199,1,MATCH(P$1,'Financials Input'!$G$3:$DC$3,0))</f>
        <v>0</v>
      </c>
      <c r="Q73" s="199">
        <f>++IF(R$1&lt;EOMONTH(Q$1,12),INDEX('Financials Input'!$G52:$DC52,1,MATCH(Q$1,'Financials Input'!$G$3:$DC$3,0)),INDEX('Financials Input'!$G199:$DC199,1,MATCH(Q$1,'Financials Input'!$G$3:$DC$3,0)))</f>
        <v>0</v>
      </c>
      <c r="R73" s="199">
        <f>++INDEX('Financials Input'!$G52:$DC52,1,MATCH(R$1,'Financials Input'!$G$3:$DC$3,0))</f>
        <v>0</v>
      </c>
      <c r="S73" s="240">
        <f>++INDEX('Financials Input'!$G493:$DC493,1,MATCH(S$1,'Financials Input'!$G$3:$DC$3,0))</f>
        <v>0</v>
      </c>
      <c r="T73" s="199">
        <f>++INDEX('Financials Input'!$G248:$DC248,1,MATCH(T$1,'Financials Input'!$G$3:$DC$3,0))</f>
        <v>0</v>
      </c>
      <c r="U73" s="199">
        <f>++INDEX('Financials Input'!$G101:$DC101,1,MATCH(U$1,'Financials Input'!$G$3:$DC$3,0))</f>
        <v>0</v>
      </c>
      <c r="V73" s="240">
        <f>++INDEX('Financials Input'!$G493:$DC493,1,MATCH(V$1,'Financials Input'!$G$3:$DC$3,0))</f>
        <v>0</v>
      </c>
      <c r="W73" s="199">
        <f>++INDEX('Financials Input'!$G297:$DC297,1,MATCH(W$1,'Financials Input'!$G$3:$DC$3,0))</f>
        <v>0</v>
      </c>
      <c r="X73" s="199">
        <f>++INDEX('Financials Input'!$G150:$DC150,1,MATCH(X$1,'Financials Input'!$G$3:$DC$3,0))</f>
        <v>0</v>
      </c>
      <c r="Y73" s="241">
        <f>++INDEX('Financials Input'!$G542:$DC542,1,MATCH(Y$1,'Financials Input'!$G$3:$DC$3,0))</f>
        <v>0</v>
      </c>
    </row>
    <row r="74" spans="3:25" x14ac:dyDescent="0.3">
      <c r="C74" s="217" t="str">
        <f>++'Financials Input'!C674</f>
        <v>Other Debt</v>
      </c>
      <c r="D74" s="101"/>
      <c r="E74" s="101"/>
      <c r="F74" s="200">
        <f>++INDEX('Financials Input'!$G620:$DC620,1,MATCH(LTMDate,'Financials Input'!$G$3:$DC$3,0))</f>
        <v>0</v>
      </c>
      <c r="G74" s="255">
        <f>++IFERROR(F74/G$84+G73,0)</f>
        <v>0</v>
      </c>
      <c r="H74" s="263">
        <f>++IFERROR(F74/F$82,0)</f>
        <v>0</v>
      </c>
      <c r="I74" s="200">
        <f>++INDEX('Financials Input'!$G674:$DC674,1,MATCH(LTMDate,'Financials Input'!$G$3:$DC$3,0))</f>
        <v>0</v>
      </c>
      <c r="J74" s="255">
        <f>++IFERROR(I74/J$84+J73,0)</f>
        <v>0</v>
      </c>
      <c r="K74" s="264">
        <f>++IFERROR(I74/I$82,0)</f>
        <v>0</v>
      </c>
      <c r="M74" s="224" t="str">
        <f>++'Financials Input'!C53</f>
        <v>% revenue</v>
      </c>
      <c r="N74" s="101"/>
      <c r="O74" s="225" t="str">
        <f>++INDEX('Financials Input'!$G200:$DC200,1,MATCH(O$1,'Financials Input'!$G$3:$DC$3,0))</f>
        <v>n/a</v>
      </c>
      <c r="P74" s="225" t="str">
        <f>++INDEX('Financials Input'!$G200:$DC200,1,MATCH(P$1,'Financials Input'!$G$3:$DC$3,0))</f>
        <v>n/a</v>
      </c>
      <c r="Q74" s="225" t="str">
        <f>++IF(R$1&lt;EOMONTH(Q$1,12),INDEX('Financials Input'!$G53:$DC53,1,MATCH(Q$1,'Financials Input'!$G$3:$DC$3,0)),INDEX('Financials Input'!$G200:$DC200,1,MATCH(Q$1,'Financials Input'!$G$3:$DC$3,0)))</f>
        <v>n/a</v>
      </c>
      <c r="R74" s="225" t="str">
        <f>++INDEX('Financials Input'!$G53:$DC53,1,MATCH(R$1,'Financials Input'!$G$3:$DC$3,0))</f>
        <v>n/a</v>
      </c>
      <c r="S74" s="226" t="str">
        <f>++INDEX('Financials Input'!$G494:$DC494,1,MATCH(S$1,'Financials Input'!$G$3:$DC$3,0))</f>
        <v>n/a</v>
      </c>
      <c r="T74" s="225" t="str">
        <f>++INDEX('Financials Input'!$G249:$DC249,1,MATCH(T$1,'Financials Input'!$G$3:$DC$3,0))</f>
        <v>n/a</v>
      </c>
      <c r="U74" s="225" t="str">
        <f>++INDEX('Financials Input'!$G102:$DC102,1,MATCH(U$1,'Financials Input'!$G$3:$DC$3,0))</f>
        <v>n/a</v>
      </c>
      <c r="V74" s="226" t="str">
        <f>++INDEX('Financials Input'!$G494:$DC494,1,MATCH(V$1,'Financials Input'!$G$3:$DC$3,0))</f>
        <v>n/a</v>
      </c>
      <c r="W74" s="225" t="str">
        <f>++INDEX('Financials Input'!$G298:$DC298,1,MATCH(W$1,'Financials Input'!$G$3:$DC$3,0))</f>
        <v>n/a</v>
      </c>
      <c r="X74" s="225" t="str">
        <f>++INDEX('Financials Input'!$G151:$DC151,1,MATCH(X$1,'Financials Input'!$G$3:$DC$3,0))</f>
        <v>n/a</v>
      </c>
      <c r="Y74" s="227" t="str">
        <f>++INDEX('Financials Input'!$G543:$DC543,1,MATCH(Y$1,'Financials Input'!$G$3:$DC$3,0))</f>
        <v>n/a</v>
      </c>
    </row>
    <row r="75" spans="3:25" x14ac:dyDescent="0.3">
      <c r="C75" s="238" t="str">
        <f>++'Financials Input'!C675</f>
        <v>Total Debt (HoldCo)</v>
      </c>
      <c r="D75" s="197"/>
      <c r="E75" s="197"/>
      <c r="F75" s="239">
        <f>++SUM(F70:F74)</f>
        <v>0</v>
      </c>
      <c r="G75" s="265">
        <f>++G74</f>
        <v>0</v>
      </c>
      <c r="H75" s="266">
        <f>++IFERROR(F75/F$82,0)</f>
        <v>0</v>
      </c>
      <c r="I75" s="239">
        <f>++SUM(I70:I74)</f>
        <v>0</v>
      </c>
      <c r="J75" s="265">
        <f>++J74</f>
        <v>0</v>
      </c>
      <c r="K75" s="267">
        <f>++IFERROR(I75/I$82,0)</f>
        <v>0</v>
      </c>
      <c r="M75" s="217"/>
      <c r="N75" s="101"/>
      <c r="O75" s="101"/>
      <c r="P75" s="101"/>
      <c r="Q75" s="101"/>
      <c r="R75" s="101"/>
      <c r="S75" s="218"/>
      <c r="T75" s="101"/>
      <c r="U75" s="101"/>
      <c r="V75" s="218"/>
      <c r="W75" s="101"/>
      <c r="X75" s="101"/>
      <c r="Y75" s="219"/>
    </row>
    <row r="76" spans="3:25" x14ac:dyDescent="0.3">
      <c r="C76" s="217"/>
      <c r="D76" s="101"/>
      <c r="E76" s="101"/>
      <c r="F76" s="101"/>
      <c r="G76" s="101"/>
      <c r="H76" s="218"/>
      <c r="I76" s="101"/>
      <c r="J76" s="101"/>
      <c r="K76" s="219"/>
      <c r="M76" s="217" t="s">
        <v>71</v>
      </c>
      <c r="N76" s="101"/>
      <c r="O76" s="199">
        <f>++INDEX('Financials Input'!$G575:$DC575,1,MATCH(O$1,'Financials Input'!$G$3:$DC$3,0))</f>
        <v>0</v>
      </c>
      <c r="P76" s="199">
        <f>++INDEX('Financials Input'!$G575:$DC575,1,MATCH(P$1,'Financials Input'!$G$3:$DC$3,0))</f>
        <v>0</v>
      </c>
      <c r="Q76" s="199">
        <f>++INDEX('Financials Input'!$G575:$DC575,1,MATCH(Q$1,'Financials Input'!$G$3:$DC$3,0))</f>
        <v>0</v>
      </c>
      <c r="R76" s="199">
        <f>++INDEX('Financials Input'!$G575:$DC575,1,MATCH(R$1,'Financials Input'!$G$3:$DC$3,0))</f>
        <v>0</v>
      </c>
      <c r="S76" s="242"/>
      <c r="T76" s="243"/>
      <c r="U76" s="243"/>
      <c r="V76" s="242"/>
      <c r="W76" s="243"/>
      <c r="X76" s="243"/>
      <c r="Y76" s="244"/>
    </row>
    <row r="77" spans="3:25" x14ac:dyDescent="0.3">
      <c r="C77" s="217" t="str">
        <f>++'Financials Input'!C677</f>
        <v>Preferred Equity</v>
      </c>
      <c r="D77" s="101"/>
      <c r="E77" s="101"/>
      <c r="F77" s="200">
        <f>++INDEX('Financials Input'!$G623:$DC623,1,MATCH(LTMDate,'Financials Input'!$G$3:$DC$3,0))</f>
        <v>0</v>
      </c>
      <c r="G77" s="255">
        <f>++IFERROR(F77/G$84+G75,0)</f>
        <v>0</v>
      </c>
      <c r="H77" s="263">
        <f>++IFERROR(F77/F$82,0)</f>
        <v>0</v>
      </c>
      <c r="I77" s="200">
        <f>++INDEX('Financials Input'!$G677:$DC677,1,MATCH(LTMDate,'Financials Input'!$G$3:$DC$3,0))</f>
        <v>0</v>
      </c>
      <c r="J77" s="255">
        <f>++IFERROR(I77/J$84+J75,0)</f>
        <v>0</v>
      </c>
      <c r="K77" s="264">
        <f>++IFERROR(I77/I$82,0)</f>
        <v>0</v>
      </c>
      <c r="M77" s="224" t="s">
        <v>68</v>
      </c>
      <c r="N77" s="101"/>
      <c r="O77" s="225" t="str">
        <f>++INDEX('Financials Input'!$G576:$DC576,1,MATCH(O$1,'Financials Input'!$G$3:$DC$3,0))</f>
        <v>n/a</v>
      </c>
      <c r="P77" s="225" t="str">
        <f>++INDEX('Financials Input'!$G576:$DC576,1,MATCH(P$1,'Financials Input'!$G$3:$DC$3,0))</f>
        <v>n/a</v>
      </c>
      <c r="Q77" s="225" t="str">
        <f>++INDEX('Financials Input'!$G576:$DC576,1,MATCH(Q$1,'Financials Input'!$G$3:$DC$3,0))</f>
        <v>n/a</v>
      </c>
      <c r="R77" s="225" t="str">
        <f>++INDEX('Financials Input'!$G576:$DC576,1,MATCH(R$1,'Financials Input'!$G$3:$DC$3,0))</f>
        <v>n/a</v>
      </c>
      <c r="S77" s="245"/>
      <c r="T77" s="246"/>
      <c r="U77" s="246"/>
      <c r="V77" s="245"/>
      <c r="W77" s="246"/>
      <c r="X77" s="246"/>
      <c r="Y77" s="247"/>
    </row>
    <row r="78" spans="3:25" x14ac:dyDescent="0.3">
      <c r="C78" s="217" t="str">
        <f>++'Financials Input'!C678</f>
        <v>Common Equity (Cash)</v>
      </c>
      <c r="D78" s="101"/>
      <c r="E78" s="101"/>
      <c r="F78" s="200">
        <f>++INDEX('Financials Input'!$G624:$DC624,1,MATCH(LTMDate,'Financials Input'!$G$3:$DC$3,0))</f>
        <v>0</v>
      </c>
      <c r="G78" s="255">
        <f>++IFERROR(SUM(F78:F78)/G$84+G77,0)</f>
        <v>0</v>
      </c>
      <c r="H78" s="263">
        <f>++IFERROR(F78/F$82,0)</f>
        <v>0</v>
      </c>
      <c r="I78" s="200">
        <f>++INDEX('Financials Input'!$G678:$DC678,1,MATCH(LTMDate,'Financials Input'!$G$3:$DC$3,0))</f>
        <v>0</v>
      </c>
      <c r="J78" s="255">
        <f>++IFERROR(SUM(I78:I78)/J$84+J77,0)</f>
        <v>0</v>
      </c>
      <c r="K78" s="264">
        <f>++IFERROR(I78/I$82,0)</f>
        <v>0</v>
      </c>
      <c r="M78" s="217"/>
      <c r="N78" s="101"/>
      <c r="O78" s="101"/>
      <c r="P78" s="101"/>
      <c r="Q78" s="101"/>
      <c r="R78" s="101"/>
      <c r="S78" s="218"/>
      <c r="T78" s="101"/>
      <c r="U78" s="101"/>
      <c r="V78" s="218"/>
      <c r="W78" s="101"/>
      <c r="X78" s="101"/>
      <c r="Y78" s="219"/>
    </row>
    <row r="79" spans="3:25" x14ac:dyDescent="0.3">
      <c r="C79" s="217" t="str">
        <f>++'Financials Input'!C679</f>
        <v>Common Equity (Implied Equity)</v>
      </c>
      <c r="D79" s="101"/>
      <c r="E79" s="101"/>
      <c r="F79" s="200">
        <f>++INDEX('Financials Input'!$G625:$DC625,1,MATCH(LTMDate,'Financials Input'!$G$3:$DC$3,0))</f>
        <v>0</v>
      </c>
      <c r="G79" s="255">
        <f>++IFERROR(SUM(F79:F79)/G$84+G78,0)</f>
        <v>0</v>
      </c>
      <c r="H79" s="263">
        <f>++IFERROR(F79/F$82,0)</f>
        <v>0</v>
      </c>
      <c r="I79" s="200">
        <f>++INDEX('Financials Input'!$G679:$DC679,1,MATCH(LTMDate,'Financials Input'!$G$3:$DC$3,0))</f>
        <v>0</v>
      </c>
      <c r="J79" s="255">
        <f>++IFERROR(SUM(I79:I79)/J$84+J78,0)</f>
        <v>0</v>
      </c>
      <c r="K79" s="264">
        <f>++IFERROR(I79/I$82,0)</f>
        <v>0</v>
      </c>
      <c r="M79" s="217" t="s">
        <v>72</v>
      </c>
      <c r="N79" s="101"/>
      <c r="O79" s="118">
        <f>++INDEX('Financials Input'!$G578:$DC578,1,MATCH(O$1,'Financials Input'!$G$3:$DC$3,0))</f>
        <v>0</v>
      </c>
      <c r="P79" s="118">
        <f>++INDEX('Financials Input'!$G578:$DC578,1,MATCH(P$1,'Financials Input'!$G$3:$DC$3,0))</f>
        <v>0</v>
      </c>
      <c r="Q79" s="118">
        <f>++INDEX('Financials Input'!$G578:$DC578,1,MATCH(Q$1,'Financials Input'!$G$3:$DC$3,0))</f>
        <v>0</v>
      </c>
      <c r="R79" s="118">
        <f>++INDEX('Financials Input'!$G578:$DC578,1,MATCH(R$1,'Financials Input'!$G$3:$DC$3,0))</f>
        <v>0</v>
      </c>
      <c r="S79" s="248"/>
      <c r="T79" s="249"/>
      <c r="U79" s="249"/>
      <c r="V79" s="248"/>
      <c r="W79" s="249"/>
      <c r="X79" s="249"/>
      <c r="Y79" s="250"/>
    </row>
    <row r="80" spans="3:25" x14ac:dyDescent="0.3">
      <c r="C80" s="238" t="str">
        <f>++'Financials Input'!C680</f>
        <v>Total Equity</v>
      </c>
      <c r="D80" s="197"/>
      <c r="E80" s="197"/>
      <c r="F80" s="239">
        <f>++SUM(F77:F79)</f>
        <v>0</v>
      </c>
      <c r="G80" s="265">
        <f>++G79</f>
        <v>0</v>
      </c>
      <c r="H80" s="266">
        <f>++IFERROR(F80/F$82,0)</f>
        <v>0</v>
      </c>
      <c r="I80" s="239">
        <f>++SUM(I77:I79)</f>
        <v>0</v>
      </c>
      <c r="J80" s="265">
        <f>++J79</f>
        <v>0</v>
      </c>
      <c r="K80" s="267">
        <f>++IFERROR(I80/I$82,0)</f>
        <v>0</v>
      </c>
      <c r="M80" s="217" t="s">
        <v>73</v>
      </c>
      <c r="N80" s="101"/>
      <c r="O80" s="118">
        <f>++INDEX('Financials Input'!$G579:$DC579,1,MATCH(O$1,'Financials Input'!$G$3:$DC$3,0))</f>
        <v>0</v>
      </c>
      <c r="P80" s="118">
        <f>++INDEX('Financials Input'!$G579:$DC579,1,MATCH(P$1,'Financials Input'!$G$3:$DC$3,0))</f>
        <v>0</v>
      </c>
      <c r="Q80" s="118">
        <f>++INDEX('Financials Input'!$G579:$DC579,1,MATCH(Q$1,'Financials Input'!$G$3:$DC$3,0))</f>
        <v>0</v>
      </c>
      <c r="R80" s="118">
        <f>++INDEX('Financials Input'!$G579:$DC579,1,MATCH(R$1,'Financials Input'!$G$3:$DC$3,0))</f>
        <v>0</v>
      </c>
      <c r="S80" s="248"/>
      <c r="T80" s="249"/>
      <c r="U80" s="249"/>
      <c r="V80" s="248"/>
      <c r="W80" s="249"/>
      <c r="X80" s="249"/>
      <c r="Y80" s="250"/>
    </row>
    <row r="81" spans="1:25" x14ac:dyDescent="0.3">
      <c r="C81" s="217"/>
      <c r="D81" s="101"/>
      <c r="E81" s="101"/>
      <c r="F81" s="101"/>
      <c r="G81" s="101"/>
      <c r="H81" s="218"/>
      <c r="I81" s="101"/>
      <c r="J81" s="101"/>
      <c r="K81" s="219"/>
      <c r="M81" s="217" t="s">
        <v>74</v>
      </c>
      <c r="N81" s="101"/>
      <c r="O81" s="118">
        <f>++INDEX('Financials Input'!$G580:$DC580,1,MATCH(O$1,'Financials Input'!$G$3:$DC$3,0))</f>
        <v>0</v>
      </c>
      <c r="P81" s="118">
        <f>++INDEX('Financials Input'!$G580:$DC580,1,MATCH(P$1,'Financials Input'!$G$3:$DC$3,0))</f>
        <v>0</v>
      </c>
      <c r="Q81" s="118">
        <f>++INDEX('Financials Input'!$G580:$DC580,1,MATCH(Q$1,'Financials Input'!$G$3:$DC$3,0))</f>
        <v>0</v>
      </c>
      <c r="R81" s="118">
        <f>++INDEX('Financials Input'!$G580:$DC580,1,MATCH(R$1,'Financials Input'!$G$3:$DC$3,0))</f>
        <v>0</v>
      </c>
      <c r="S81" s="248"/>
      <c r="T81" s="249"/>
      <c r="U81" s="249"/>
      <c r="V81" s="248"/>
      <c r="W81" s="249"/>
      <c r="X81" s="249"/>
      <c r="Y81" s="250"/>
    </row>
    <row r="82" spans="1:25" ht="13.5" thickBot="1" x14ac:dyDescent="0.35">
      <c r="C82" s="268" t="str">
        <f>++'Financials Input'!C682</f>
        <v>Total Capitalization</v>
      </c>
      <c r="D82" s="202"/>
      <c r="E82" s="202"/>
      <c r="F82" s="204">
        <f>++SUM(F75,F80)</f>
        <v>0</v>
      </c>
      <c r="G82" s="269">
        <f>++G80</f>
        <v>0</v>
      </c>
      <c r="H82" s="270">
        <f>++SUM(H70,H80)</f>
        <v>0</v>
      </c>
      <c r="I82" s="204">
        <f>++SUM(I75,I80)</f>
        <v>0</v>
      </c>
      <c r="J82" s="269">
        <f>++J80</f>
        <v>0</v>
      </c>
      <c r="K82" s="271">
        <f>++SUM(K70,K80)</f>
        <v>0</v>
      </c>
      <c r="M82" s="230" t="s">
        <v>75</v>
      </c>
      <c r="N82" s="191"/>
      <c r="O82" s="251">
        <f>++INDEX('Financials Input'!$G581:$DC581,1,MATCH(O$1,'Financials Input'!$G$3:$DC$3,0))</f>
        <v>0</v>
      </c>
      <c r="P82" s="251">
        <f>++INDEX('Financials Input'!$G581:$DC581,1,MATCH(P$1,'Financials Input'!$G$3:$DC$3,0))</f>
        <v>0</v>
      </c>
      <c r="Q82" s="251">
        <f>++INDEX('Financials Input'!$G581:$DC581,1,MATCH(Q$1,'Financials Input'!$G$3:$DC$3,0))</f>
        <v>0</v>
      </c>
      <c r="R82" s="251">
        <f>++INDEX('Financials Input'!$G581:$DC581,1,MATCH(R$1,'Financials Input'!$G$3:$DC$3,0))</f>
        <v>0</v>
      </c>
      <c r="S82" s="252"/>
      <c r="T82" s="253"/>
      <c r="U82" s="253"/>
      <c r="V82" s="252"/>
      <c r="W82" s="253"/>
      <c r="X82" s="253"/>
      <c r="Y82" s="254"/>
    </row>
    <row r="83" spans="1:25" ht="13.5" thickTop="1" x14ac:dyDescent="0.3">
      <c r="C83" s="217"/>
      <c r="D83" s="101"/>
      <c r="E83" s="101"/>
      <c r="F83" s="101"/>
      <c r="G83" s="101"/>
      <c r="H83" s="101"/>
      <c r="I83" s="101"/>
      <c r="J83" s="101"/>
      <c r="K83" s="219"/>
      <c r="M83" s="217"/>
      <c r="N83" s="101"/>
      <c r="O83" s="101"/>
      <c r="P83" s="101"/>
      <c r="Q83" s="101"/>
      <c r="R83" s="101"/>
      <c r="S83" s="218"/>
      <c r="T83" s="101"/>
      <c r="U83" s="101"/>
      <c r="V83" s="218"/>
      <c r="W83" s="101"/>
      <c r="X83" s="101"/>
      <c r="Y83" s="219"/>
    </row>
    <row r="84" spans="1:25" x14ac:dyDescent="0.3">
      <c r="C84" s="272" t="s">
        <v>498</v>
      </c>
      <c r="D84" s="273"/>
      <c r="E84" s="273"/>
      <c r="F84" s="273"/>
      <c r="G84" s="274">
        <f>++INDEX('Financials Input'!$G631:$DC631,1,MATCH(LTMDate,'Financials Input'!$G$3:$DC$3,0))</f>
        <v>0</v>
      </c>
      <c r="H84" s="273"/>
      <c r="I84" s="273"/>
      <c r="J84" s="274">
        <f>++INDEX('Financials Input'!$G195:$DC195,1,MATCH(LTMDate,'Financials Input'!$G$3:$DC$3,0))</f>
        <v>0</v>
      </c>
      <c r="K84" s="275"/>
      <c r="M84" s="217" t="str">
        <f>++'Financials Input'!C645</f>
        <v>Cash &amp; Equivalents (Reported)</v>
      </c>
      <c r="N84" s="101"/>
      <c r="O84" s="199" t="str">
        <f>++IF(O$1&lt;MIN('Financials Input'!$G$588:$DC$588),"n/a",INDEX('Financials Input'!$G645:$DC645,1,MATCH(O$1,'Financials Input'!$G$3:$DC$3,0)))</f>
        <v>n/a</v>
      </c>
      <c r="P84" s="199" t="str">
        <f>++IF(P$1&lt;MIN('Financials Input'!$G$588:$DC$588),"n/a",INDEX('Financials Input'!$G645:$DC645,1,MATCH(P$1,'Financials Input'!$G$3:$DC$3,0)))</f>
        <v>n/a</v>
      </c>
      <c r="Q84" s="199">
        <f>++IF(Q$1&lt;MIN('Financials Input'!$G$588:$DC$588),"n/a",INDEX('Financials Input'!$G645:$DC645,1,MATCH(Q$1,'Financials Input'!$G$3:$DC$3,0)))</f>
        <v>0</v>
      </c>
      <c r="R84" s="199">
        <f>++IF(R$1&lt;MIN('Financials Input'!$G$588:$DC$588),"n/a",INDEX('Financials Input'!$G645:$DC645,1,MATCH(R$1,'Financials Input'!$G$3:$DC$3,0)))</f>
        <v>0</v>
      </c>
      <c r="S84" s="242"/>
      <c r="T84" s="243"/>
      <c r="U84" s="243"/>
      <c r="V84" s="242"/>
      <c r="W84" s="243"/>
      <c r="X84" s="243"/>
      <c r="Y84" s="244"/>
    </row>
    <row r="85" spans="1:25" x14ac:dyDescent="0.3">
      <c r="C85" s="276" t="s">
        <v>351</v>
      </c>
      <c r="D85" s="277"/>
      <c r="E85" s="277"/>
      <c r="F85" s="277"/>
      <c r="G85" s="179">
        <f>++H58</f>
        <v>0</v>
      </c>
      <c r="H85" s="277"/>
      <c r="I85" s="277"/>
      <c r="J85" s="179">
        <f>++K58</f>
        <v>0</v>
      </c>
      <c r="K85" s="278"/>
      <c r="M85" s="217" t="str">
        <f>++'Financials Input'!C649</f>
        <v>Cash &amp; Equivalents (CA Definition)</v>
      </c>
      <c r="N85" s="101"/>
      <c r="O85" s="199" t="str">
        <f>++IF(O$1&lt;MIN('Financials Input'!$G$588:$DC$588),"n/a",INDEX('Financials Input'!$G649:$DC649,1,MATCH(O$1,'Financials Input'!$G$3:$DC$3,0)))</f>
        <v>n/a</v>
      </c>
      <c r="P85" s="199" t="str">
        <f>++IF(P$1&lt;MIN('Financials Input'!$G$588:$DC$588),"n/a",INDEX('Financials Input'!$G649:$DC649,1,MATCH(P$1,'Financials Input'!$G$3:$DC$3,0)))</f>
        <v>n/a</v>
      </c>
      <c r="Q85" s="199">
        <f>++IF(Q$1&lt;MIN('Financials Input'!$G$588:$DC$588),"n/a",INDEX('Financials Input'!$G649:$DC649,1,MATCH(Q$1,'Financials Input'!$G$3:$DC$3,0)))</f>
        <v>0</v>
      </c>
      <c r="R85" s="199">
        <f>++IF(R$1&lt;MIN('Financials Input'!$G$588:$DC$588),"n/a",INDEX('Financials Input'!$G649:$DC649,1,MATCH(R$1,'Financials Input'!$G$3:$DC$3,0)))</f>
        <v>0</v>
      </c>
      <c r="S85" s="242"/>
      <c r="T85" s="243"/>
      <c r="U85" s="243"/>
      <c r="V85" s="242"/>
      <c r="W85" s="243"/>
      <c r="X85" s="243"/>
      <c r="Y85" s="244"/>
    </row>
    <row r="86" spans="1:25" x14ac:dyDescent="0.3">
      <c r="C86" s="276" t="s">
        <v>61</v>
      </c>
      <c r="D86" s="277"/>
      <c r="E86" s="277"/>
      <c r="F86" s="277"/>
      <c r="G86" s="180">
        <f>++G58</f>
        <v>0</v>
      </c>
      <c r="H86" s="277"/>
      <c r="I86" s="277"/>
      <c r="J86" s="180">
        <f>++J58</f>
        <v>0</v>
      </c>
      <c r="K86" s="278"/>
      <c r="M86" s="217" t="str">
        <f>++'Financials Input'!C670</f>
        <v>Total Debt (OpCo)</v>
      </c>
      <c r="N86" s="101"/>
      <c r="O86" s="199" t="str">
        <f>++IF(O$1&lt;MIN('Financials Input'!$G$588:$DC$588),"n/a",INDEX('Financials Input'!$G670:$DC670,1,MATCH(O$1,'Financials Input'!$G$3:$DC$3,0)))</f>
        <v>n/a</v>
      </c>
      <c r="P86" s="199" t="str">
        <f>++IF(P$1&lt;MIN('Financials Input'!$G$588:$DC$588),"n/a",INDEX('Financials Input'!$G670:$DC670,1,MATCH(P$1,'Financials Input'!$G$3:$DC$3,0)))</f>
        <v>n/a</v>
      </c>
      <c r="Q86" s="199">
        <f>++IF(Q$1&lt;MIN('Financials Input'!$G$588:$DC$588),"n/a",INDEX('Financials Input'!$G670:$DC670,1,MATCH(Q$1,'Financials Input'!$G$3:$DC$3,0)))</f>
        <v>0</v>
      </c>
      <c r="R86" s="199">
        <f>++IF(R$1&lt;MIN('Financials Input'!$G$588:$DC$588),"n/a",INDEX('Financials Input'!$G670:$DC670,1,MATCH(R$1,'Financials Input'!$G$3:$DC$3,0)))</f>
        <v>0</v>
      </c>
      <c r="S86" s="235"/>
      <c r="T86" s="236"/>
      <c r="U86" s="236"/>
      <c r="V86" s="235"/>
      <c r="W86" s="236"/>
      <c r="X86" s="236"/>
      <c r="Y86" s="237"/>
    </row>
    <row r="87" spans="1:25" x14ac:dyDescent="0.3">
      <c r="C87" s="276" t="s">
        <v>62</v>
      </c>
      <c r="D87" s="277"/>
      <c r="E87" s="277"/>
      <c r="F87" s="277"/>
      <c r="G87" s="180">
        <f>++G63</f>
        <v>0</v>
      </c>
      <c r="H87" s="277"/>
      <c r="I87" s="277"/>
      <c r="J87" s="180">
        <f>++J63</f>
        <v>0</v>
      </c>
      <c r="K87" s="278"/>
      <c r="M87" s="217"/>
      <c r="N87" s="101"/>
      <c r="O87" s="101"/>
      <c r="P87" s="101"/>
      <c r="Q87" s="101"/>
      <c r="R87" s="101"/>
      <c r="S87" s="218"/>
      <c r="T87" s="101"/>
      <c r="U87" s="101"/>
      <c r="V87" s="218"/>
      <c r="W87" s="101"/>
      <c r="X87" s="101"/>
      <c r="Y87" s="219"/>
    </row>
    <row r="88" spans="1:25" x14ac:dyDescent="0.3">
      <c r="C88" s="276" t="s">
        <v>146</v>
      </c>
      <c r="D88" s="277"/>
      <c r="E88" s="277"/>
      <c r="F88" s="277"/>
      <c r="G88" s="180">
        <f>++G70</f>
        <v>0</v>
      </c>
      <c r="H88" s="277"/>
      <c r="I88" s="277"/>
      <c r="J88" s="180">
        <f>++J70</f>
        <v>0</v>
      </c>
      <c r="K88" s="278"/>
      <c r="M88" s="217" t="s">
        <v>514</v>
      </c>
      <c r="N88" s="101"/>
      <c r="O88" s="255" t="str" cm="1">
        <f t="array" ref="O88">++IF(O$1&lt;MIN('Financials Input'!$G$588:$DC$588),"n/a",IFERROR((O86-O84)/INDEX('Financials Input'!$G685:$DC685,0,MATCH(O$1,'Financials Input'!$G$3:$DC$3,0)),0))</f>
        <v>n/a</v>
      </c>
      <c r="P88" s="255" t="str" cm="1">
        <f t="array" ref="P88">++IF(P$1&lt;MIN('Financials Input'!$G$588:$DC$588),"n/a",IFERROR((P86-P84)/INDEX('Financials Input'!$G685:$DC685,0,MATCH(P$1,'Financials Input'!$G$3:$DC$3,0)),0))</f>
        <v>n/a</v>
      </c>
      <c r="Q88" s="255" cm="1">
        <f t="array" ref="Q88">++IF(Q$1&lt;MIN('Financials Input'!$G$588:$DC$588),"n/a",IFERROR((Q86-Q84)/INDEX('Financials Input'!$G685:$DC685,0,MATCH(Q$1,'Financials Input'!$G$3:$DC$3,0)),0))</f>
        <v>0</v>
      </c>
      <c r="R88" s="255" cm="1">
        <f t="array" ref="R88">++IF(R$1&lt;MIN('Financials Input'!$G$588:$DC$588),"n/a",IFERROR((R86-R84)/INDEX('Financials Input'!$G685:$DC685,0,MATCH(R$1,'Financials Input'!$G$3:$DC$3,0)),0))</f>
        <v>0</v>
      </c>
      <c r="S88" s="248"/>
      <c r="T88" s="249"/>
      <c r="U88" s="249"/>
      <c r="V88" s="248"/>
      <c r="W88" s="249"/>
      <c r="X88" s="249"/>
      <c r="Y88" s="250"/>
    </row>
    <row r="89" spans="1:25" x14ac:dyDescent="0.3">
      <c r="C89" s="276" t="s">
        <v>344</v>
      </c>
      <c r="D89" s="277"/>
      <c r="E89" s="277"/>
      <c r="F89" s="277"/>
      <c r="G89" s="180">
        <f>++G75</f>
        <v>0</v>
      </c>
      <c r="H89" s="277"/>
      <c r="I89" s="277"/>
      <c r="J89" s="180">
        <f>++J75</f>
        <v>0</v>
      </c>
      <c r="K89" s="278"/>
      <c r="M89" s="217" t="s">
        <v>515</v>
      </c>
      <c r="N89" s="101"/>
      <c r="O89" s="255" t="str" cm="1">
        <f t="array" ref="O89">++IF(O$1&lt;MIN('Financials Input'!$G$588:$DC$588),"n/a",IFERROR((O86-O85)/INDEX('Financials Input'!$G685:$DC685,0,MATCH(O$1,'Financials Input'!$G$3:$DC$3,0)),0))</f>
        <v>n/a</v>
      </c>
      <c r="P89" s="255" t="str" cm="1">
        <f t="array" ref="P89">++IF(P$1&lt;MIN('Financials Input'!$G$588:$DC$588),"n/a",IFERROR((P86-P85)/INDEX('Financials Input'!$G685:$DC685,0,MATCH(P$1,'Financials Input'!$G$3:$DC$3,0)),0))</f>
        <v>n/a</v>
      </c>
      <c r="Q89" s="255" cm="1">
        <f t="array" ref="Q89">++IF(Q$1&lt;MIN('Financials Input'!$G$588:$DC$588),"n/a",IFERROR((Q86-Q85)/INDEX('Financials Input'!$G685:$DC685,0,MATCH(Q$1,'Financials Input'!$G$3:$DC$3,0)),0))</f>
        <v>0</v>
      </c>
      <c r="R89" s="255" cm="1">
        <f t="array" ref="R89">++IF(R$1&lt;MIN('Financials Input'!$G$588:$DC$588),"n/a",IFERROR((R86-R85)/INDEX('Financials Input'!$G685:$DC685,0,MATCH(R$1,'Financials Input'!$G$3:$DC$3,0)),0))</f>
        <v>0</v>
      </c>
      <c r="S89" s="248"/>
      <c r="T89" s="249"/>
      <c r="U89" s="249"/>
      <c r="V89" s="248"/>
      <c r="W89" s="249"/>
      <c r="X89" s="249"/>
      <c r="Y89" s="250"/>
    </row>
    <row r="90" spans="1:25" x14ac:dyDescent="0.3">
      <c r="C90" s="279" t="s">
        <v>509</v>
      </c>
      <c r="D90" s="280"/>
      <c r="E90" s="280"/>
      <c r="F90" s="280"/>
      <c r="G90" s="281">
        <f>++G82</f>
        <v>0</v>
      </c>
      <c r="H90" s="280"/>
      <c r="I90" s="280"/>
      <c r="J90" s="281">
        <f>++J82</f>
        <v>0</v>
      </c>
      <c r="K90" s="282"/>
      <c r="M90" s="256" t="s">
        <v>76</v>
      </c>
      <c r="N90" s="257"/>
      <c r="O90" s="258" t="str">
        <f>++IF(O$1&lt;MIN('Financials Input'!$G$588:$DC$588),"n/a",IFERROR(O67/O$71,0))</f>
        <v>n/a</v>
      </c>
      <c r="P90" s="258" t="str">
        <f>++IF(P$1&lt;MIN('Financials Input'!$G$588:$DC$588),"n/a",IFERROR(P67/P$71,0))</f>
        <v>n/a</v>
      </c>
      <c r="Q90" s="258">
        <f>++IF(Q$1&lt;MIN('Financials Input'!$G$588:$DC$588),"n/a",IFERROR(Q67/Q$71,0))</f>
        <v>0</v>
      </c>
      <c r="R90" s="258">
        <f>++IF(R$1&lt;MIN('Financials Input'!$G$588:$DC$588),"n/a",IFERROR(R67/R$71,0))</f>
        <v>0</v>
      </c>
      <c r="S90" s="259"/>
      <c r="T90" s="260"/>
      <c r="U90" s="260"/>
      <c r="V90" s="259"/>
      <c r="W90" s="260"/>
      <c r="X90" s="260"/>
      <c r="Y90" s="261"/>
    </row>
    <row r="93" spans="1:25" x14ac:dyDescent="0.3">
      <c r="A93" s="16" t="s">
        <v>0</v>
      </c>
      <c r="B93" s="16" t="s">
        <v>0</v>
      </c>
      <c r="C93" s="141" t="s">
        <v>79</v>
      </c>
      <c r="D93" s="142"/>
      <c r="E93" s="142"/>
      <c r="F93" s="142"/>
      <c r="G93" s="142"/>
      <c r="H93" s="142"/>
      <c r="I93" s="142"/>
      <c r="J93" s="142"/>
      <c r="K93" s="142"/>
      <c r="L93" s="142"/>
      <c r="M93" s="144"/>
      <c r="O93" s="145" t="s">
        <v>82</v>
      </c>
      <c r="P93" s="142"/>
      <c r="Q93" s="142"/>
      <c r="R93" s="142"/>
      <c r="S93" s="142"/>
      <c r="T93" s="142"/>
      <c r="U93" s="142"/>
      <c r="V93" s="142"/>
      <c r="W93" s="142"/>
      <c r="X93" s="142"/>
      <c r="Y93" s="144"/>
    </row>
    <row r="94" spans="1:25" ht="14.5" x14ac:dyDescent="0.45">
      <c r="C94" s="470" t="str">
        <f>++'Financials Input'!C10</f>
        <v>Revenue</v>
      </c>
      <c r="D94" s="471"/>
      <c r="E94" s="472"/>
      <c r="F94" s="461" t="str">
        <f>++INDEX('Financials Input'!$G$549:$DC$549,1,MATCH(LTMDate,'Financials Input'!$G$3:$DC$3,0))</f>
        <v>[X]</v>
      </c>
      <c r="G94" s="462"/>
      <c r="H94" s="462"/>
      <c r="I94" s="462"/>
      <c r="J94" s="462"/>
      <c r="K94" s="462"/>
      <c r="L94" s="462"/>
      <c r="M94" s="463"/>
      <c r="O94" s="62" t="s">
        <v>96</v>
      </c>
      <c r="P94" s="63"/>
      <c r="Q94" s="63"/>
      <c r="R94" s="63"/>
      <c r="S94" s="63"/>
      <c r="T94" s="283" t="s">
        <v>89</v>
      </c>
      <c r="U94" s="283"/>
      <c r="V94" s="283"/>
      <c r="W94" s="284" t="s">
        <v>90</v>
      </c>
      <c r="X94" s="283" t="s">
        <v>158</v>
      </c>
      <c r="Y94" s="285"/>
    </row>
    <row r="95" spans="1:25" ht="14.5" x14ac:dyDescent="0.45">
      <c r="C95" s="473"/>
      <c r="D95" s="474"/>
      <c r="E95" s="475"/>
      <c r="F95" s="464"/>
      <c r="G95" s="465"/>
      <c r="H95" s="465"/>
      <c r="I95" s="465"/>
      <c r="J95" s="465"/>
      <c r="K95" s="465"/>
      <c r="L95" s="465"/>
      <c r="M95" s="466"/>
      <c r="O95" s="67" t="s">
        <v>85</v>
      </c>
      <c r="P95" s="51"/>
      <c r="Q95" s="51"/>
      <c r="R95" s="188" t="s">
        <v>88</v>
      </c>
      <c r="S95" s="188" t="s">
        <v>87</v>
      </c>
      <c r="T95" s="51" t="s">
        <v>64</v>
      </c>
      <c r="U95" s="188" t="s">
        <v>86</v>
      </c>
      <c r="V95" s="188" t="s">
        <v>67</v>
      </c>
      <c r="W95" s="188" t="s">
        <v>91</v>
      </c>
      <c r="X95" s="188" t="s">
        <v>64</v>
      </c>
      <c r="Y95" s="262" t="s">
        <v>86</v>
      </c>
    </row>
    <row r="96" spans="1:25" x14ac:dyDescent="0.3">
      <c r="C96" s="473"/>
      <c r="D96" s="474"/>
      <c r="E96" s="475"/>
      <c r="F96" s="464"/>
      <c r="G96" s="465"/>
      <c r="H96" s="465"/>
      <c r="I96" s="465"/>
      <c r="J96" s="465"/>
      <c r="K96" s="465"/>
      <c r="L96" s="465"/>
      <c r="M96" s="466"/>
      <c r="O96" s="217" t="e">
        <f ca="1">++'Public Comps Input'!C10</f>
        <v>#NAME?</v>
      </c>
      <c r="P96" s="101"/>
      <c r="Q96" s="101"/>
      <c r="R96" s="171" t="e">
        <f ca="1">++'Public Comps Input'!F10</f>
        <v>#NAME?</v>
      </c>
      <c r="S96" s="171" t="e">
        <f ca="1">++'Public Comps Input'!G10</f>
        <v>#NAME?</v>
      </c>
      <c r="T96" s="171" t="e">
        <f ca="1">++'Public Comps Input'!H10</f>
        <v>#NAME?</v>
      </c>
      <c r="U96" s="171" t="e">
        <f ca="1">++'Public Comps Input'!I10</f>
        <v>#NAME?</v>
      </c>
      <c r="V96" s="173" t="str">
        <f ca="1">++'Public Comps Input'!J10</f>
        <v>n/a</v>
      </c>
      <c r="W96" s="173" t="str">
        <f ca="1">++'Public Comps Input'!K10</f>
        <v>n/a</v>
      </c>
      <c r="X96" s="118" t="str">
        <f ca="1">++'Public Comps Input'!L10</f>
        <v>nmf</v>
      </c>
      <c r="Y96" s="286" t="str">
        <f ca="1">++'Public Comps Input'!M10</f>
        <v>nmf</v>
      </c>
    </row>
    <row r="97" spans="3:25" x14ac:dyDescent="0.3">
      <c r="C97" s="473"/>
      <c r="D97" s="474"/>
      <c r="E97" s="475"/>
      <c r="F97" s="464"/>
      <c r="G97" s="465"/>
      <c r="H97" s="465"/>
      <c r="I97" s="465"/>
      <c r="J97" s="465"/>
      <c r="K97" s="465"/>
      <c r="L97" s="465"/>
      <c r="M97" s="466"/>
      <c r="O97" s="217" t="e">
        <f ca="1">++'Public Comps Input'!C11</f>
        <v>#NAME?</v>
      </c>
      <c r="P97" s="101"/>
      <c r="Q97" s="101"/>
      <c r="R97" s="172" t="e">
        <f ca="1">++'Public Comps Input'!F11</f>
        <v>#NAME?</v>
      </c>
      <c r="S97" s="172" t="e">
        <f ca="1">++'Public Comps Input'!G11</f>
        <v>#NAME?</v>
      </c>
      <c r="T97" s="172" t="e">
        <f ca="1">++'Public Comps Input'!H11</f>
        <v>#NAME?</v>
      </c>
      <c r="U97" s="172" t="e">
        <f ca="1">++'Public Comps Input'!I11</f>
        <v>#NAME?</v>
      </c>
      <c r="V97" s="173" t="str">
        <f ca="1">++'Public Comps Input'!J11</f>
        <v>n/a</v>
      </c>
      <c r="W97" s="173" t="str">
        <f ca="1">++'Public Comps Input'!K11</f>
        <v>n/a</v>
      </c>
      <c r="X97" s="118" t="str">
        <f ca="1">++'Public Comps Input'!L11</f>
        <v>nmf</v>
      </c>
      <c r="Y97" s="286" t="str">
        <f ca="1">++'Public Comps Input'!M11</f>
        <v>nmf</v>
      </c>
    </row>
    <row r="98" spans="3:25" x14ac:dyDescent="0.3">
      <c r="C98" s="473"/>
      <c r="D98" s="474"/>
      <c r="E98" s="475"/>
      <c r="F98" s="464"/>
      <c r="G98" s="465"/>
      <c r="H98" s="465"/>
      <c r="I98" s="465"/>
      <c r="J98" s="465"/>
      <c r="K98" s="465"/>
      <c r="L98" s="465"/>
      <c r="M98" s="466"/>
      <c r="O98" s="217" t="e">
        <f ca="1">++'Public Comps Input'!C12</f>
        <v>#NAME?</v>
      </c>
      <c r="P98" s="101"/>
      <c r="Q98" s="101"/>
      <c r="R98" s="172" t="e">
        <f ca="1">++'Public Comps Input'!F12</f>
        <v>#NAME?</v>
      </c>
      <c r="S98" s="172" t="e">
        <f ca="1">++'Public Comps Input'!G12</f>
        <v>#NAME?</v>
      </c>
      <c r="T98" s="172" t="e">
        <f ca="1">++'Public Comps Input'!H12</f>
        <v>#NAME?</v>
      </c>
      <c r="U98" s="172" t="e">
        <f ca="1">++'Public Comps Input'!I12</f>
        <v>#NAME?</v>
      </c>
      <c r="V98" s="173" t="str">
        <f ca="1">++'Public Comps Input'!J12</f>
        <v>n/a</v>
      </c>
      <c r="W98" s="173" t="str">
        <f ca="1">++'Public Comps Input'!K12</f>
        <v>n/a</v>
      </c>
      <c r="X98" s="118" t="str">
        <f ca="1">++'Public Comps Input'!L12</f>
        <v>nmf</v>
      </c>
      <c r="Y98" s="286" t="str">
        <f ca="1">++'Public Comps Input'!M12</f>
        <v>nmf</v>
      </c>
    </row>
    <row r="99" spans="3:25" x14ac:dyDescent="0.3">
      <c r="C99" s="473"/>
      <c r="D99" s="474"/>
      <c r="E99" s="475"/>
      <c r="F99" s="464"/>
      <c r="G99" s="465"/>
      <c r="H99" s="465"/>
      <c r="I99" s="465"/>
      <c r="J99" s="465"/>
      <c r="K99" s="465"/>
      <c r="L99" s="465"/>
      <c r="M99" s="466"/>
      <c r="O99" s="217" t="e">
        <f ca="1">++'Public Comps Input'!C13</f>
        <v>#NAME?</v>
      </c>
      <c r="P99" s="101"/>
      <c r="Q99" s="101"/>
      <c r="R99" s="172" t="e">
        <f ca="1">++'Public Comps Input'!F13</f>
        <v>#NAME?</v>
      </c>
      <c r="S99" s="172" t="e">
        <f ca="1">++'Public Comps Input'!G13</f>
        <v>#NAME?</v>
      </c>
      <c r="T99" s="172" t="e">
        <f ca="1">++'Public Comps Input'!H13</f>
        <v>#NAME?</v>
      </c>
      <c r="U99" s="172" t="e">
        <f ca="1">++'Public Comps Input'!I13</f>
        <v>#NAME?</v>
      </c>
      <c r="V99" s="173" t="str">
        <f ca="1">++'Public Comps Input'!J13</f>
        <v>n/a</v>
      </c>
      <c r="W99" s="173" t="str">
        <f ca="1">++'Public Comps Input'!K13</f>
        <v>n/a</v>
      </c>
      <c r="X99" s="118" t="str">
        <f ca="1">++'Public Comps Input'!L13</f>
        <v>nmf</v>
      </c>
      <c r="Y99" s="286" t="str">
        <f ca="1">++'Public Comps Input'!M13</f>
        <v>nmf</v>
      </c>
    </row>
    <row r="100" spans="3:25" x14ac:dyDescent="0.3">
      <c r="C100" s="476"/>
      <c r="D100" s="477"/>
      <c r="E100" s="478"/>
      <c r="F100" s="467"/>
      <c r="G100" s="468"/>
      <c r="H100" s="468"/>
      <c r="I100" s="468"/>
      <c r="J100" s="468"/>
      <c r="K100" s="468"/>
      <c r="L100" s="468"/>
      <c r="M100" s="469"/>
      <c r="O100" s="217" t="e">
        <f ca="1">++'Public Comps Input'!C14</f>
        <v>#NAME?</v>
      </c>
      <c r="P100" s="101"/>
      <c r="Q100" s="101"/>
      <c r="R100" s="172" t="e">
        <f ca="1">++'Public Comps Input'!F14</f>
        <v>#NAME?</v>
      </c>
      <c r="S100" s="172" t="e">
        <f ca="1">++'Public Comps Input'!G14</f>
        <v>#NAME?</v>
      </c>
      <c r="T100" s="172" t="e">
        <f ca="1">++'Public Comps Input'!H14</f>
        <v>#NAME?</v>
      </c>
      <c r="U100" s="172" t="e">
        <f ca="1">++'Public Comps Input'!I14</f>
        <v>#NAME?</v>
      </c>
      <c r="V100" s="173" t="str">
        <f ca="1">++'Public Comps Input'!J14</f>
        <v>n/a</v>
      </c>
      <c r="W100" s="173" t="str">
        <f ca="1">++'Public Comps Input'!K14</f>
        <v>n/a</v>
      </c>
      <c r="X100" s="118" t="str">
        <f ca="1">++'Public Comps Input'!L14</f>
        <v>nmf</v>
      </c>
      <c r="Y100" s="286" t="str">
        <f ca="1">++'Public Comps Input'!M14</f>
        <v>nmf</v>
      </c>
    </row>
    <row r="101" spans="3:25" x14ac:dyDescent="0.3">
      <c r="C101" s="470" t="str">
        <f>++'Financials Input'!C13</f>
        <v>Gross Profit</v>
      </c>
      <c r="D101" s="471"/>
      <c r="E101" s="472"/>
      <c r="F101" s="461" t="str">
        <f>++INDEX('Financials Input'!$G$550:$DC$550,1,MATCH(LTMDate,'Financials Input'!$G$3:$DC$3,0))</f>
        <v>[X]</v>
      </c>
      <c r="G101" s="462"/>
      <c r="H101" s="462"/>
      <c r="I101" s="462"/>
      <c r="J101" s="462"/>
      <c r="K101" s="462"/>
      <c r="L101" s="462"/>
      <c r="M101" s="463"/>
      <c r="O101" s="217" t="e">
        <f ca="1">++'Public Comps Input'!C15</f>
        <v>#NAME?</v>
      </c>
      <c r="P101" s="101"/>
      <c r="Q101" s="101"/>
      <c r="R101" s="172" t="e">
        <f ca="1">++'Public Comps Input'!F15</f>
        <v>#NAME?</v>
      </c>
      <c r="S101" s="172" t="e">
        <f ca="1">++'Public Comps Input'!G15</f>
        <v>#NAME?</v>
      </c>
      <c r="T101" s="172" t="e">
        <f ca="1">++'Public Comps Input'!H15</f>
        <v>#NAME?</v>
      </c>
      <c r="U101" s="172" t="e">
        <f ca="1">++'Public Comps Input'!I15</f>
        <v>#NAME?</v>
      </c>
      <c r="V101" s="173" t="str">
        <f ca="1">++'Public Comps Input'!J15</f>
        <v>n/a</v>
      </c>
      <c r="W101" s="173" t="str">
        <f ca="1">++'Public Comps Input'!K15</f>
        <v>n/a</v>
      </c>
      <c r="X101" s="118" t="str">
        <f ca="1">++'Public Comps Input'!L15</f>
        <v>nmf</v>
      </c>
      <c r="Y101" s="286" t="str">
        <f ca="1">++'Public Comps Input'!M15</f>
        <v>nmf</v>
      </c>
    </row>
    <row r="102" spans="3:25" x14ac:dyDescent="0.3">
      <c r="C102" s="473"/>
      <c r="D102" s="474"/>
      <c r="E102" s="475"/>
      <c r="F102" s="464"/>
      <c r="G102" s="465"/>
      <c r="H102" s="465"/>
      <c r="I102" s="465"/>
      <c r="J102" s="465"/>
      <c r="K102" s="465"/>
      <c r="L102" s="465"/>
      <c r="M102" s="466"/>
      <c r="O102" s="217" t="e">
        <f ca="1">++'Public Comps Input'!C16</f>
        <v>#NAME?</v>
      </c>
      <c r="P102" s="101"/>
      <c r="Q102" s="101"/>
      <c r="R102" s="172" t="e">
        <f ca="1">++'Public Comps Input'!F16</f>
        <v>#NAME?</v>
      </c>
      <c r="S102" s="172" t="e">
        <f ca="1">++'Public Comps Input'!G16</f>
        <v>#NAME?</v>
      </c>
      <c r="T102" s="172" t="e">
        <f ca="1">++'Public Comps Input'!H16</f>
        <v>#NAME?</v>
      </c>
      <c r="U102" s="172" t="e">
        <f ca="1">++'Public Comps Input'!I16</f>
        <v>#NAME?</v>
      </c>
      <c r="V102" s="173" t="str">
        <f ca="1">++'Public Comps Input'!J16</f>
        <v>n/a</v>
      </c>
      <c r="W102" s="173" t="str">
        <f ca="1">++'Public Comps Input'!K16</f>
        <v>n/a</v>
      </c>
      <c r="X102" s="118" t="str">
        <f ca="1">++'Public Comps Input'!L16</f>
        <v>nmf</v>
      </c>
      <c r="Y102" s="286" t="str">
        <f ca="1">++'Public Comps Input'!M16</f>
        <v>nmf</v>
      </c>
    </row>
    <row r="103" spans="3:25" x14ac:dyDescent="0.3">
      <c r="C103" s="473"/>
      <c r="D103" s="474"/>
      <c r="E103" s="475"/>
      <c r="F103" s="464"/>
      <c r="G103" s="465"/>
      <c r="H103" s="465"/>
      <c r="I103" s="465"/>
      <c r="J103" s="465"/>
      <c r="K103" s="465"/>
      <c r="L103" s="465"/>
      <c r="M103" s="466"/>
      <c r="O103" s="217" t="e">
        <f ca="1">++'Public Comps Input'!C17</f>
        <v>#NAME?</v>
      </c>
      <c r="P103" s="101"/>
      <c r="Q103" s="101"/>
      <c r="R103" s="172" t="e">
        <f ca="1">++'Public Comps Input'!F17</f>
        <v>#NAME?</v>
      </c>
      <c r="S103" s="172" t="e">
        <f ca="1">++'Public Comps Input'!G17</f>
        <v>#NAME?</v>
      </c>
      <c r="T103" s="172" t="e">
        <f ca="1">++'Public Comps Input'!H17</f>
        <v>#NAME?</v>
      </c>
      <c r="U103" s="172" t="e">
        <f ca="1">++'Public Comps Input'!I17</f>
        <v>#NAME?</v>
      </c>
      <c r="V103" s="173" t="str">
        <f ca="1">++'Public Comps Input'!J17</f>
        <v>n/a</v>
      </c>
      <c r="W103" s="173" t="str">
        <f ca="1">++'Public Comps Input'!K17</f>
        <v>n/a</v>
      </c>
      <c r="X103" s="118" t="str">
        <f ca="1">++'Public Comps Input'!L17</f>
        <v>nmf</v>
      </c>
      <c r="Y103" s="286" t="str">
        <f ca="1">++'Public Comps Input'!M17</f>
        <v>nmf</v>
      </c>
    </row>
    <row r="104" spans="3:25" x14ac:dyDescent="0.3">
      <c r="C104" s="473"/>
      <c r="D104" s="474"/>
      <c r="E104" s="475"/>
      <c r="F104" s="464"/>
      <c r="G104" s="465"/>
      <c r="H104" s="465"/>
      <c r="I104" s="465"/>
      <c r="J104" s="465"/>
      <c r="K104" s="465"/>
      <c r="L104" s="465"/>
      <c r="M104" s="466"/>
      <c r="O104" s="217" t="e">
        <f ca="1">++'Public Comps Input'!C18</f>
        <v>#NAME?</v>
      </c>
      <c r="P104" s="101"/>
      <c r="Q104" s="101"/>
      <c r="R104" s="172" t="e">
        <f ca="1">++'Public Comps Input'!F18</f>
        <v>#NAME?</v>
      </c>
      <c r="S104" s="172" t="e">
        <f ca="1">++'Public Comps Input'!G18</f>
        <v>#NAME?</v>
      </c>
      <c r="T104" s="172" t="e">
        <f ca="1">++'Public Comps Input'!H18</f>
        <v>#NAME?</v>
      </c>
      <c r="U104" s="172" t="e">
        <f ca="1">++'Public Comps Input'!I18</f>
        <v>#NAME?</v>
      </c>
      <c r="V104" s="173" t="str">
        <f ca="1">++'Public Comps Input'!J18</f>
        <v>n/a</v>
      </c>
      <c r="W104" s="173" t="str">
        <f ca="1">++'Public Comps Input'!K18</f>
        <v>n/a</v>
      </c>
      <c r="X104" s="118" t="str">
        <f ca="1">++'Public Comps Input'!L18</f>
        <v>nmf</v>
      </c>
      <c r="Y104" s="286" t="str">
        <f ca="1">++'Public Comps Input'!M18</f>
        <v>nmf</v>
      </c>
    </row>
    <row r="105" spans="3:25" x14ac:dyDescent="0.3">
      <c r="C105" s="473"/>
      <c r="D105" s="474"/>
      <c r="E105" s="475"/>
      <c r="F105" s="464"/>
      <c r="G105" s="465"/>
      <c r="H105" s="465"/>
      <c r="I105" s="465"/>
      <c r="J105" s="465"/>
      <c r="K105" s="465"/>
      <c r="L105" s="465"/>
      <c r="M105" s="466"/>
      <c r="O105" s="217" t="e">
        <f ca="1">++'Public Comps Input'!C19</f>
        <v>#NAME?</v>
      </c>
      <c r="P105" s="101"/>
      <c r="Q105" s="101"/>
      <c r="R105" s="172" t="e">
        <f ca="1">++'Public Comps Input'!F19</f>
        <v>#NAME?</v>
      </c>
      <c r="S105" s="172" t="e">
        <f ca="1">++'Public Comps Input'!G19</f>
        <v>#NAME?</v>
      </c>
      <c r="T105" s="172" t="e">
        <f ca="1">++'Public Comps Input'!H19</f>
        <v>#NAME?</v>
      </c>
      <c r="U105" s="172" t="e">
        <f ca="1">++'Public Comps Input'!I19</f>
        <v>#NAME?</v>
      </c>
      <c r="V105" s="173" t="str">
        <f ca="1">++'Public Comps Input'!J19</f>
        <v>n/a</v>
      </c>
      <c r="W105" s="173" t="str">
        <f ca="1">++'Public Comps Input'!K19</f>
        <v>n/a</v>
      </c>
      <c r="X105" s="118" t="str">
        <f ca="1">++'Public Comps Input'!L19</f>
        <v>nmf</v>
      </c>
      <c r="Y105" s="286" t="str">
        <f ca="1">++'Public Comps Input'!M19</f>
        <v>nmf</v>
      </c>
    </row>
    <row r="106" spans="3:25" x14ac:dyDescent="0.3">
      <c r="C106" s="473"/>
      <c r="D106" s="474"/>
      <c r="E106" s="475"/>
      <c r="F106" s="464"/>
      <c r="G106" s="465"/>
      <c r="H106" s="465"/>
      <c r="I106" s="465"/>
      <c r="J106" s="465"/>
      <c r="K106" s="465"/>
      <c r="L106" s="465"/>
      <c r="M106" s="466"/>
      <c r="O106" s="217" t="e">
        <f ca="1">++'Public Comps Input'!C20</f>
        <v>#NAME?</v>
      </c>
      <c r="P106" s="101"/>
      <c r="Q106" s="101"/>
      <c r="R106" s="172" t="e">
        <f ca="1">++'Public Comps Input'!F20</f>
        <v>#NAME?</v>
      </c>
      <c r="S106" s="172" t="e">
        <f ca="1">++'Public Comps Input'!G20</f>
        <v>#NAME?</v>
      </c>
      <c r="T106" s="172" t="e">
        <f ca="1">++'Public Comps Input'!H20</f>
        <v>#NAME?</v>
      </c>
      <c r="U106" s="172" t="e">
        <f ca="1">++'Public Comps Input'!I20</f>
        <v>#NAME?</v>
      </c>
      <c r="V106" s="173" t="str">
        <f ca="1">++'Public Comps Input'!J20</f>
        <v>n/a</v>
      </c>
      <c r="W106" s="173" t="str">
        <f ca="1">++'Public Comps Input'!K20</f>
        <v>n/a</v>
      </c>
      <c r="X106" s="118" t="str">
        <f ca="1">++'Public Comps Input'!L20</f>
        <v>nmf</v>
      </c>
      <c r="Y106" s="286" t="str">
        <f ca="1">++'Public Comps Input'!M20</f>
        <v>nmf</v>
      </c>
    </row>
    <row r="107" spans="3:25" x14ac:dyDescent="0.3">
      <c r="C107" s="476"/>
      <c r="D107" s="477"/>
      <c r="E107" s="478"/>
      <c r="F107" s="467"/>
      <c r="G107" s="468"/>
      <c r="H107" s="468"/>
      <c r="I107" s="468"/>
      <c r="J107" s="468"/>
      <c r="K107" s="468"/>
      <c r="L107" s="468"/>
      <c r="M107" s="469"/>
      <c r="O107" s="217" t="e">
        <f ca="1">++'Public Comps Input'!C21</f>
        <v>#NAME?</v>
      </c>
      <c r="P107" s="101"/>
      <c r="Q107" s="101"/>
      <c r="R107" s="172" t="e">
        <f ca="1">++'Public Comps Input'!F21</f>
        <v>#NAME?</v>
      </c>
      <c r="S107" s="172" t="e">
        <f ca="1">++'Public Comps Input'!G21</f>
        <v>#NAME?</v>
      </c>
      <c r="T107" s="172" t="e">
        <f ca="1">++'Public Comps Input'!H21</f>
        <v>#NAME?</v>
      </c>
      <c r="U107" s="172" t="e">
        <f ca="1">++'Public Comps Input'!I21</f>
        <v>#NAME?</v>
      </c>
      <c r="V107" s="173" t="str">
        <f ca="1">++'Public Comps Input'!J21</f>
        <v>n/a</v>
      </c>
      <c r="W107" s="173" t="str">
        <f ca="1">++'Public Comps Input'!K21</f>
        <v>n/a</v>
      </c>
      <c r="X107" s="118" t="str">
        <f ca="1">++'Public Comps Input'!L21</f>
        <v>nmf</v>
      </c>
      <c r="Y107" s="286" t="str">
        <f ca="1">++'Public Comps Input'!M21</f>
        <v>nmf</v>
      </c>
    </row>
    <row r="108" spans="3:25" x14ac:dyDescent="0.3">
      <c r="C108" s="470" t="str">
        <f>++'Financials Input'!C48</f>
        <v>CA EBITDA</v>
      </c>
      <c r="D108" s="471"/>
      <c r="E108" s="472"/>
      <c r="F108" s="461" t="str">
        <f>++INDEX('Financials Input'!$G$551:$DC$551,1,MATCH(LTMDate,'Financials Input'!$G$3:$DC$3,0))</f>
        <v>[X]</v>
      </c>
      <c r="G108" s="462"/>
      <c r="H108" s="462"/>
      <c r="I108" s="462"/>
      <c r="J108" s="462"/>
      <c r="K108" s="462"/>
      <c r="L108" s="462"/>
      <c r="M108" s="463"/>
      <c r="O108" s="217" t="e">
        <f ca="1">++'Public Comps Input'!C22</f>
        <v>#NAME?</v>
      </c>
      <c r="P108" s="101"/>
      <c r="Q108" s="101"/>
      <c r="R108" s="172" t="e">
        <f ca="1">++'Public Comps Input'!F22</f>
        <v>#NAME?</v>
      </c>
      <c r="S108" s="172" t="e">
        <f ca="1">++'Public Comps Input'!G22</f>
        <v>#NAME?</v>
      </c>
      <c r="T108" s="172" t="e">
        <f ca="1">++'Public Comps Input'!H22</f>
        <v>#NAME?</v>
      </c>
      <c r="U108" s="172" t="e">
        <f ca="1">++'Public Comps Input'!I22</f>
        <v>#NAME?</v>
      </c>
      <c r="V108" s="173" t="str">
        <f ca="1">++'Public Comps Input'!J22</f>
        <v>n/a</v>
      </c>
      <c r="W108" s="173" t="str">
        <f ca="1">++'Public Comps Input'!K22</f>
        <v>n/a</v>
      </c>
      <c r="X108" s="118" t="str">
        <f ca="1">++'Public Comps Input'!L22</f>
        <v>nmf</v>
      </c>
      <c r="Y108" s="286" t="str">
        <f ca="1">++'Public Comps Input'!M22</f>
        <v>nmf</v>
      </c>
    </row>
    <row r="109" spans="3:25" x14ac:dyDescent="0.3">
      <c r="C109" s="473"/>
      <c r="D109" s="474"/>
      <c r="E109" s="475"/>
      <c r="F109" s="464"/>
      <c r="G109" s="465"/>
      <c r="H109" s="465"/>
      <c r="I109" s="465"/>
      <c r="J109" s="465"/>
      <c r="K109" s="465"/>
      <c r="L109" s="465"/>
      <c r="M109" s="466"/>
      <c r="O109" s="217" t="e">
        <f ca="1">++'Public Comps Input'!C23</f>
        <v>#NAME?</v>
      </c>
      <c r="P109" s="101"/>
      <c r="Q109" s="101"/>
      <c r="R109" s="172" t="e">
        <f ca="1">++'Public Comps Input'!F23</f>
        <v>#NAME?</v>
      </c>
      <c r="S109" s="172" t="e">
        <f ca="1">++'Public Comps Input'!G23</f>
        <v>#NAME?</v>
      </c>
      <c r="T109" s="172" t="e">
        <f ca="1">++'Public Comps Input'!H23</f>
        <v>#NAME?</v>
      </c>
      <c r="U109" s="172" t="e">
        <f ca="1">++'Public Comps Input'!I23</f>
        <v>#NAME?</v>
      </c>
      <c r="V109" s="173" t="str">
        <f ca="1">++'Public Comps Input'!J23</f>
        <v>n/a</v>
      </c>
      <c r="W109" s="173" t="str">
        <f ca="1">++'Public Comps Input'!K23</f>
        <v>n/a</v>
      </c>
      <c r="X109" s="118" t="str">
        <f ca="1">++'Public Comps Input'!L23</f>
        <v>nmf</v>
      </c>
      <c r="Y109" s="286" t="str">
        <f ca="1">++'Public Comps Input'!M23</f>
        <v>nmf</v>
      </c>
    </row>
    <row r="110" spans="3:25" x14ac:dyDescent="0.3">
      <c r="C110" s="473"/>
      <c r="D110" s="474"/>
      <c r="E110" s="475"/>
      <c r="F110" s="464"/>
      <c r="G110" s="465"/>
      <c r="H110" s="465"/>
      <c r="I110" s="465"/>
      <c r="J110" s="465"/>
      <c r="K110" s="465"/>
      <c r="L110" s="465"/>
      <c r="M110" s="466"/>
      <c r="O110" s="217"/>
      <c r="P110" s="101"/>
      <c r="Q110" s="101"/>
      <c r="R110" s="172"/>
      <c r="S110" s="172"/>
      <c r="T110" s="172"/>
      <c r="U110" s="172"/>
      <c r="V110" s="173"/>
      <c r="W110" s="173"/>
      <c r="X110" s="118"/>
      <c r="Y110" s="286"/>
    </row>
    <row r="111" spans="3:25" x14ac:dyDescent="0.3">
      <c r="C111" s="473"/>
      <c r="D111" s="474"/>
      <c r="E111" s="475"/>
      <c r="F111" s="464"/>
      <c r="G111" s="465"/>
      <c r="H111" s="465"/>
      <c r="I111" s="465"/>
      <c r="J111" s="465"/>
      <c r="K111" s="465"/>
      <c r="L111" s="465"/>
      <c r="M111" s="466"/>
      <c r="O111" s="217"/>
      <c r="P111" s="101"/>
      <c r="Q111" s="101"/>
      <c r="R111" s="101"/>
      <c r="S111" s="101"/>
      <c r="T111" s="101"/>
      <c r="U111" s="101"/>
      <c r="V111" s="101"/>
      <c r="W111" s="174" t="str">
        <f>++'Public Comps Input'!I25</f>
        <v>High</v>
      </c>
      <c r="X111" s="253">
        <f ca="1">++'Public Comps Input'!L25</f>
        <v>0</v>
      </c>
      <c r="Y111" s="254">
        <f ca="1">++'Public Comps Input'!M25</f>
        <v>0</v>
      </c>
    </row>
    <row r="112" spans="3:25" x14ac:dyDescent="0.3">
      <c r="C112" s="473"/>
      <c r="D112" s="474"/>
      <c r="E112" s="475"/>
      <c r="F112" s="464"/>
      <c r="G112" s="465"/>
      <c r="H112" s="465"/>
      <c r="I112" s="465"/>
      <c r="J112" s="465"/>
      <c r="K112" s="465"/>
      <c r="L112" s="465"/>
      <c r="M112" s="466"/>
      <c r="O112" s="217"/>
      <c r="P112" s="101"/>
      <c r="Q112" s="101"/>
      <c r="R112" s="101"/>
      <c r="S112" s="101"/>
      <c r="T112" s="101"/>
      <c r="U112" s="101"/>
      <c r="V112" s="101"/>
      <c r="W112" s="178" t="str">
        <f>++'Public Comps Input'!I26</f>
        <v>Low</v>
      </c>
      <c r="X112" s="249">
        <f ca="1">++'Public Comps Input'!L26</f>
        <v>0</v>
      </c>
      <c r="Y112" s="250">
        <f ca="1">++'Public Comps Input'!M26</f>
        <v>0</v>
      </c>
    </row>
    <row r="113" spans="2:25" x14ac:dyDescent="0.3">
      <c r="C113" s="476"/>
      <c r="D113" s="477"/>
      <c r="E113" s="478"/>
      <c r="F113" s="467"/>
      <c r="G113" s="468"/>
      <c r="H113" s="468"/>
      <c r="I113" s="468"/>
      <c r="J113" s="468"/>
      <c r="K113" s="468"/>
      <c r="L113" s="468"/>
      <c r="M113" s="469"/>
      <c r="O113" s="217"/>
      <c r="P113" s="101"/>
      <c r="Q113" s="101"/>
      <c r="R113" s="101"/>
      <c r="S113" s="101"/>
      <c r="T113" s="101"/>
      <c r="U113" s="101"/>
      <c r="V113" s="101"/>
      <c r="W113" s="178" t="str">
        <f>++'Public Comps Input'!I27</f>
        <v>Average</v>
      </c>
      <c r="X113" s="249" t="str">
        <f ca="1">++'Public Comps Input'!L27</f>
        <v>n/a</v>
      </c>
      <c r="Y113" s="250" t="str">
        <f ca="1">++'Public Comps Input'!M27</f>
        <v>n/a</v>
      </c>
    </row>
    <row r="114" spans="2:25" x14ac:dyDescent="0.3">
      <c r="C114" s="470" t="s">
        <v>80</v>
      </c>
      <c r="D114" s="471"/>
      <c r="E114" s="472"/>
      <c r="F114" s="461" t="str">
        <f>++INDEX('Financials Input'!$G$552:$DC$552,1,MATCH(LTMDate,'Financials Input'!$G$3:$DC$3,0))</f>
        <v>[X]</v>
      </c>
      <c r="G114" s="462"/>
      <c r="H114" s="462"/>
      <c r="I114" s="462"/>
      <c r="J114" s="462"/>
      <c r="K114" s="462"/>
      <c r="L114" s="462"/>
      <c r="M114" s="463"/>
      <c r="O114" s="287" t="str">
        <f>++'Public Comps Input'!C31</f>
        <v>Note: S&amp;P Capital IQ market data as of 9/30/25.  (1) TEV / LTM Revenue capped at 10.0x and TEV / LTM EBITDA capped at 35.0x.</v>
      </c>
      <c r="P114" s="257"/>
      <c r="Q114" s="257"/>
      <c r="R114" s="257"/>
      <c r="S114" s="257"/>
      <c r="T114" s="257"/>
      <c r="U114" s="257"/>
      <c r="V114" s="257"/>
      <c r="W114" s="288" t="str">
        <f>++'Public Comps Input'!I28</f>
        <v>Median</v>
      </c>
      <c r="X114" s="260" t="str">
        <f ca="1">++'Public Comps Input'!L28</f>
        <v>n/a</v>
      </c>
      <c r="Y114" s="261" t="str">
        <f ca="1">++'Public Comps Input'!M28</f>
        <v>n/a</v>
      </c>
    </row>
    <row r="115" spans="2:25" x14ac:dyDescent="0.3">
      <c r="C115" s="473"/>
      <c r="D115" s="474"/>
      <c r="E115" s="475"/>
      <c r="F115" s="464"/>
      <c r="G115" s="465"/>
      <c r="H115" s="465"/>
      <c r="I115" s="465"/>
      <c r="J115" s="465"/>
      <c r="K115" s="465"/>
      <c r="L115" s="465"/>
      <c r="M115" s="466"/>
    </row>
    <row r="116" spans="2:25" x14ac:dyDescent="0.3">
      <c r="C116" s="473"/>
      <c r="D116" s="474"/>
      <c r="E116" s="475"/>
      <c r="F116" s="464"/>
      <c r="G116" s="465"/>
      <c r="H116" s="465"/>
      <c r="I116" s="465"/>
      <c r="J116" s="465"/>
      <c r="K116" s="465"/>
      <c r="L116" s="465"/>
      <c r="M116" s="466"/>
      <c r="O116" s="141" t="s">
        <v>84</v>
      </c>
      <c r="P116" s="142"/>
      <c r="Q116" s="142"/>
      <c r="R116" s="142"/>
      <c r="S116" s="142"/>
      <c r="T116" s="142"/>
      <c r="U116" s="142"/>
      <c r="V116" s="142"/>
      <c r="W116" s="142"/>
      <c r="X116" s="142"/>
      <c r="Y116" s="144"/>
    </row>
    <row r="117" spans="2:25" ht="14.5" x14ac:dyDescent="0.45">
      <c r="C117" s="476"/>
      <c r="D117" s="477"/>
      <c r="E117" s="478"/>
      <c r="F117" s="467"/>
      <c r="G117" s="468"/>
      <c r="H117" s="468"/>
      <c r="I117" s="468"/>
      <c r="J117" s="468"/>
      <c r="K117" s="468"/>
      <c r="L117" s="468"/>
      <c r="M117" s="469"/>
      <c r="O117" s="62" t="s">
        <v>96</v>
      </c>
      <c r="P117" s="63"/>
      <c r="Q117" s="63"/>
      <c r="R117" s="63"/>
      <c r="S117" s="63"/>
      <c r="T117" s="284" t="s">
        <v>97</v>
      </c>
      <c r="U117" s="283" t="s">
        <v>89</v>
      </c>
      <c r="V117" s="283"/>
      <c r="W117" s="283"/>
      <c r="X117" s="283" t="s">
        <v>158</v>
      </c>
      <c r="Y117" s="285"/>
    </row>
    <row r="118" spans="2:25" ht="14.5" x14ac:dyDescent="0.45">
      <c r="C118" s="470" t="s">
        <v>81</v>
      </c>
      <c r="D118" s="471"/>
      <c r="E118" s="472"/>
      <c r="F118" s="461" t="str">
        <f>++INDEX('Financials Input'!$G$553:$DC$553,1,MATCH(LTMDate,'Financials Input'!$G$3:$DC$3,0))</f>
        <v>[X]</v>
      </c>
      <c r="G118" s="462"/>
      <c r="H118" s="462"/>
      <c r="I118" s="462"/>
      <c r="J118" s="462"/>
      <c r="K118" s="462"/>
      <c r="L118" s="462"/>
      <c r="M118" s="463"/>
      <c r="O118" s="289" t="s">
        <v>98</v>
      </c>
      <c r="P118" s="51" t="s">
        <v>100</v>
      </c>
      <c r="Q118" s="51"/>
      <c r="R118" s="51" t="s">
        <v>101</v>
      </c>
      <c r="S118" s="190"/>
      <c r="T118" s="51" t="s">
        <v>99</v>
      </c>
      <c r="U118" s="51" t="s">
        <v>64</v>
      </c>
      <c r="V118" s="188" t="s">
        <v>86</v>
      </c>
      <c r="W118" s="188" t="s">
        <v>67</v>
      </c>
      <c r="X118" s="188" t="s">
        <v>64</v>
      </c>
      <c r="Y118" s="262" t="s">
        <v>86</v>
      </c>
    </row>
    <row r="119" spans="2:25" x14ac:dyDescent="0.3">
      <c r="C119" s="473"/>
      <c r="D119" s="474"/>
      <c r="E119" s="475"/>
      <c r="F119" s="464"/>
      <c r="G119" s="465"/>
      <c r="H119" s="465"/>
      <c r="I119" s="465"/>
      <c r="J119" s="465"/>
      <c r="K119" s="465"/>
      <c r="L119" s="465"/>
      <c r="M119" s="466"/>
      <c r="O119" s="290" t="str">
        <f>++'Tnx Comps Input'!C10</f>
        <v>[Date]</v>
      </c>
      <c r="P119" s="101" t="str">
        <f>++'Tnx Comps Input'!D10</f>
        <v>[Target]</v>
      </c>
      <c r="Q119" s="101"/>
      <c r="R119" s="101" t="str">
        <f>++'Tnx Comps Input'!F10</f>
        <v>[Buyer]</v>
      </c>
      <c r="S119" s="101"/>
      <c r="T119" s="171">
        <f>++'Tnx Comps Input'!H10</f>
        <v>0</v>
      </c>
      <c r="U119" s="171">
        <f>++'Tnx Comps Input'!I10</f>
        <v>0</v>
      </c>
      <c r="V119" s="171">
        <f>++'Tnx Comps Input'!J10</f>
        <v>0</v>
      </c>
      <c r="W119" s="173" t="str">
        <f>++'Tnx Comps Input'!K10</f>
        <v>n/a</v>
      </c>
      <c r="X119" s="255" t="str">
        <f>++'Tnx Comps Input'!L10</f>
        <v>nmf</v>
      </c>
      <c r="Y119" s="291" t="str">
        <f>++'Tnx Comps Input'!M10</f>
        <v>nmf</v>
      </c>
    </row>
    <row r="120" spans="2:25" x14ac:dyDescent="0.3">
      <c r="C120" s="473"/>
      <c r="D120" s="474"/>
      <c r="E120" s="475"/>
      <c r="F120" s="464"/>
      <c r="G120" s="465"/>
      <c r="H120" s="465"/>
      <c r="I120" s="465"/>
      <c r="J120" s="465"/>
      <c r="K120" s="465"/>
      <c r="L120" s="465"/>
      <c r="M120" s="466"/>
      <c r="O120" s="290" t="str">
        <f>++'Tnx Comps Input'!C11</f>
        <v>[Date]</v>
      </c>
      <c r="P120" s="101" t="str">
        <f>++'Tnx Comps Input'!D11</f>
        <v>[Target]</v>
      </c>
      <c r="Q120" s="101"/>
      <c r="R120" s="101" t="str">
        <f>++'Tnx Comps Input'!F11</f>
        <v>[Buyer]</v>
      </c>
      <c r="S120" s="101"/>
      <c r="T120" s="172">
        <f>++'Tnx Comps Input'!H11</f>
        <v>0</v>
      </c>
      <c r="U120" s="172">
        <f>++'Tnx Comps Input'!I11</f>
        <v>0</v>
      </c>
      <c r="V120" s="172">
        <f>++'Tnx Comps Input'!J11</f>
        <v>0</v>
      </c>
      <c r="W120" s="173" t="str">
        <f>++'Tnx Comps Input'!K11</f>
        <v>n/a</v>
      </c>
      <c r="X120" s="255" t="str">
        <f>++'Tnx Comps Input'!L11</f>
        <v>nmf</v>
      </c>
      <c r="Y120" s="291" t="str">
        <f>++'Tnx Comps Input'!M11</f>
        <v>nmf</v>
      </c>
    </row>
    <row r="121" spans="2:25" x14ac:dyDescent="0.3">
      <c r="C121" s="476"/>
      <c r="D121" s="477"/>
      <c r="E121" s="478"/>
      <c r="F121" s="467"/>
      <c r="G121" s="468"/>
      <c r="H121" s="468"/>
      <c r="I121" s="468"/>
      <c r="J121" s="468"/>
      <c r="K121" s="468"/>
      <c r="L121" s="468"/>
      <c r="M121" s="469"/>
      <c r="O121" s="290" t="str">
        <f>++'Tnx Comps Input'!C12</f>
        <v>[Date]</v>
      </c>
      <c r="P121" s="101" t="str">
        <f>++'Tnx Comps Input'!D12</f>
        <v>[Target]</v>
      </c>
      <c r="Q121" s="101"/>
      <c r="R121" s="101" t="str">
        <f>++'Tnx Comps Input'!F12</f>
        <v>[Buyer]</v>
      </c>
      <c r="S121" s="101"/>
      <c r="T121" s="172">
        <f>++'Tnx Comps Input'!H12</f>
        <v>0</v>
      </c>
      <c r="U121" s="172">
        <f>++'Tnx Comps Input'!I12</f>
        <v>0</v>
      </c>
      <c r="V121" s="172">
        <f>++'Tnx Comps Input'!J12</f>
        <v>0</v>
      </c>
      <c r="W121" s="173" t="str">
        <f>++'Tnx Comps Input'!K12</f>
        <v>n/a</v>
      </c>
      <c r="X121" s="255" t="str">
        <f>++'Tnx Comps Input'!L12</f>
        <v>nmf</v>
      </c>
      <c r="Y121" s="291" t="str">
        <f>++'Tnx Comps Input'!M12</f>
        <v>nmf</v>
      </c>
    </row>
    <row r="122" spans="2:25" x14ac:dyDescent="0.3">
      <c r="O122" s="290" t="str">
        <f>++'Tnx Comps Input'!C13</f>
        <v>[Date]</v>
      </c>
      <c r="P122" s="101" t="str">
        <f>++'Tnx Comps Input'!D13</f>
        <v>[Target]</v>
      </c>
      <c r="Q122" s="101"/>
      <c r="R122" s="101" t="str">
        <f>++'Tnx Comps Input'!F13</f>
        <v>[Buyer]</v>
      </c>
      <c r="S122" s="101"/>
      <c r="T122" s="172">
        <f>++'Tnx Comps Input'!H13</f>
        <v>0</v>
      </c>
      <c r="U122" s="172">
        <f>++'Tnx Comps Input'!I13</f>
        <v>0</v>
      </c>
      <c r="V122" s="172">
        <f>++'Tnx Comps Input'!J13</f>
        <v>0</v>
      </c>
      <c r="W122" s="173" t="str">
        <f>++'Tnx Comps Input'!K13</f>
        <v>n/a</v>
      </c>
      <c r="X122" s="255" t="str">
        <f>++'Tnx Comps Input'!L13</f>
        <v>nmf</v>
      </c>
      <c r="Y122" s="291" t="str">
        <f>++'Tnx Comps Input'!M13</f>
        <v>nmf</v>
      </c>
    </row>
    <row r="123" spans="2:25" x14ac:dyDescent="0.3">
      <c r="B123" s="16" t="s">
        <v>0</v>
      </c>
      <c r="C123" s="141" t="s">
        <v>83</v>
      </c>
      <c r="D123" s="142"/>
      <c r="E123" s="142"/>
      <c r="F123" s="142"/>
      <c r="G123" s="142"/>
      <c r="H123" s="142"/>
      <c r="I123" s="142"/>
      <c r="J123" s="142"/>
      <c r="K123" s="142"/>
      <c r="L123" s="142"/>
      <c r="M123" s="144"/>
      <c r="O123" s="290" t="str">
        <f>++'Tnx Comps Input'!C14</f>
        <v>[Date]</v>
      </c>
      <c r="P123" s="101" t="str">
        <f>++'Tnx Comps Input'!D14</f>
        <v>[Target]</v>
      </c>
      <c r="Q123" s="101"/>
      <c r="R123" s="101" t="str">
        <f>++'Tnx Comps Input'!F14</f>
        <v>[Buyer]</v>
      </c>
      <c r="S123" s="101"/>
      <c r="T123" s="172">
        <f>++'Tnx Comps Input'!H14</f>
        <v>0</v>
      </c>
      <c r="U123" s="172">
        <f>++'Tnx Comps Input'!I14</f>
        <v>0</v>
      </c>
      <c r="V123" s="172">
        <f>++'Tnx Comps Input'!J14</f>
        <v>0</v>
      </c>
      <c r="W123" s="173" t="str">
        <f>++'Tnx Comps Input'!K14</f>
        <v>n/a</v>
      </c>
      <c r="X123" s="255" t="str">
        <f>++'Tnx Comps Input'!L14</f>
        <v>nmf</v>
      </c>
      <c r="Y123" s="291" t="str">
        <f>++'Tnx Comps Input'!M14</f>
        <v>nmf</v>
      </c>
    </row>
    <row r="124" spans="2:25" x14ac:dyDescent="0.3">
      <c r="C124" s="62" t="s">
        <v>1</v>
      </c>
      <c r="D124" s="63"/>
      <c r="E124" s="63"/>
      <c r="F124" s="295">
        <f t="shared" ref="F124:H124" si="15">++EOMONTH(G124,-3)</f>
        <v>45565</v>
      </c>
      <c r="G124" s="295">
        <f t="shared" si="15"/>
        <v>45657</v>
      </c>
      <c r="H124" s="295">
        <f t="shared" si="15"/>
        <v>45747</v>
      </c>
      <c r="I124" s="295">
        <f>++EOMONTH(J124,-3)</f>
        <v>45838</v>
      </c>
      <c r="J124" s="343">
        <f>++EOMONTH(DATE(YEAR(LTMDate),MONTH(LTMDate)-MOD(MONTH(LTMDate),3),1),0)</f>
        <v>45930</v>
      </c>
      <c r="K124" s="295">
        <f t="shared" ref="K124:M124" si="16">++EOMONTH(J124,3)</f>
        <v>46022</v>
      </c>
      <c r="L124" s="295">
        <f t="shared" si="16"/>
        <v>46112</v>
      </c>
      <c r="M124" s="296">
        <f t="shared" si="16"/>
        <v>46203</v>
      </c>
      <c r="O124" s="290" t="str">
        <f>++'Tnx Comps Input'!C15</f>
        <v>[Date]</v>
      </c>
      <c r="P124" s="101" t="str">
        <f>++'Tnx Comps Input'!D15</f>
        <v>[Target]</v>
      </c>
      <c r="Q124" s="101"/>
      <c r="R124" s="101" t="str">
        <f>++'Tnx Comps Input'!F15</f>
        <v>[Buyer]</v>
      </c>
      <c r="S124" s="101"/>
      <c r="T124" s="172">
        <f>++'Tnx Comps Input'!H15</f>
        <v>0</v>
      </c>
      <c r="U124" s="172">
        <f>++'Tnx Comps Input'!I15</f>
        <v>0</v>
      </c>
      <c r="V124" s="172">
        <f>++'Tnx Comps Input'!J15</f>
        <v>0</v>
      </c>
      <c r="W124" s="173" t="str">
        <f>++'Tnx Comps Input'!K15</f>
        <v>n/a</v>
      </c>
      <c r="X124" s="255" t="str">
        <f>++'Tnx Comps Input'!L15</f>
        <v>nmf</v>
      </c>
      <c r="Y124" s="291" t="str">
        <f>++'Tnx Comps Input'!M15</f>
        <v>nmf</v>
      </c>
    </row>
    <row r="125" spans="2:25" ht="14.5" x14ac:dyDescent="0.45">
      <c r="C125" s="67" t="s">
        <v>107</v>
      </c>
      <c r="D125" s="51"/>
      <c r="E125" s="51"/>
      <c r="F125" s="188" t="str">
        <f>++INDEX('Financials Input'!$G$2:$DC$2,1,MATCH(Dashboard!F$124,'Financials Input'!$G$3:$DC$3,0))</f>
        <v>Q3'24</v>
      </c>
      <c r="G125" s="188" t="str">
        <f>++INDEX('Financials Input'!$G$2:$DC$2,1,MATCH(Dashboard!G$124,'Financials Input'!$G$3:$DC$3,0))</f>
        <v>Q4'24</v>
      </c>
      <c r="H125" s="188" t="str">
        <f>++INDEX('Financials Input'!$G$2:$DC$2,1,MATCH(Dashboard!H$124,'Financials Input'!$G$3:$DC$3,0))</f>
        <v>Q1'25</v>
      </c>
      <c r="I125" s="188" t="str">
        <f>++INDEX('Financials Input'!$G$2:$DC$2,1,MATCH(Dashboard!I$124,'Financials Input'!$G$3:$DC$3,0))</f>
        <v>Q2'25</v>
      </c>
      <c r="J125" s="344" t="str">
        <f>++INDEX('Financials Input'!$G$2:$DC$2,1,MATCH(Dashboard!J$124,'Financials Input'!$G$3:$DC$3,0))</f>
        <v>Q3'25</v>
      </c>
      <c r="K125" s="188" t="str">
        <f>++INDEX('Financials Input'!$G$2:$DC$2,1,MATCH(Dashboard!K$124,'Financials Input'!$G$3:$DC$3,0))</f>
        <v>Q4'25</v>
      </c>
      <c r="L125" s="188" t="str">
        <f>++INDEX('Financials Input'!$G$2:$DC$2,1,MATCH(Dashboard!L$124,'Financials Input'!$G$3:$DC$3,0))</f>
        <v>Q1'26</v>
      </c>
      <c r="M125" s="262" t="str">
        <f>++INDEX('Financials Input'!$G$2:$DC$2,1,MATCH(Dashboard!M$124,'Financials Input'!$G$3:$DC$3,0))</f>
        <v>Q2'26</v>
      </c>
      <c r="O125" s="290" t="str">
        <f>++'Tnx Comps Input'!C16</f>
        <v>[Date]</v>
      </c>
      <c r="P125" s="101" t="str">
        <f>++'Tnx Comps Input'!D16</f>
        <v>[Target]</v>
      </c>
      <c r="Q125" s="101"/>
      <c r="R125" s="101" t="str">
        <f>++'Tnx Comps Input'!F16</f>
        <v>[Buyer]</v>
      </c>
      <c r="S125" s="101"/>
      <c r="T125" s="172">
        <f>++'Tnx Comps Input'!H16</f>
        <v>0</v>
      </c>
      <c r="U125" s="172">
        <f>++'Tnx Comps Input'!I16</f>
        <v>0</v>
      </c>
      <c r="V125" s="172">
        <f>++'Tnx Comps Input'!J16</f>
        <v>0</v>
      </c>
      <c r="W125" s="173" t="str">
        <f>++'Tnx Comps Input'!K16</f>
        <v>n/a</v>
      </c>
      <c r="X125" s="255" t="str">
        <f>++'Tnx Comps Input'!L16</f>
        <v>nmf</v>
      </c>
      <c r="Y125" s="291" t="str">
        <f>++'Tnx Comps Input'!M16</f>
        <v>nmf</v>
      </c>
    </row>
    <row r="126" spans="2:25" x14ac:dyDescent="0.3">
      <c r="C126" s="217" t="str">
        <f>++'Covenant Input'!C195</f>
        <v>[Total] [Net] Leverage (Reported)</v>
      </c>
      <c r="D126" s="101"/>
      <c r="E126" s="101"/>
      <c r="F126" s="255" t="str">
        <f>++IF(F$124&lt;MIN('Financials Input'!$G$588:$DC$588),"n/a",INDEX('Covenant Input'!$I195:$AO195,1,MATCH(F$124,'Covenant Input'!$I$3:$AO$3,0)))</f>
        <v>n/a</v>
      </c>
      <c r="G126" s="255">
        <f>++IF(G$124&lt;MIN('Financials Input'!$G$588:$DC$588),"n/a",INDEX('Covenant Input'!$I195:$AO195,1,MATCH(G$124,'Covenant Input'!$I$3:$AO$3,0)))</f>
        <v>0</v>
      </c>
      <c r="H126" s="255">
        <f>++IF(H$124&lt;MIN('Financials Input'!$G$588:$DC$588),"n/a",INDEX('Covenant Input'!$I195:$AO195,1,MATCH(H$124,'Covenant Input'!$I$3:$AO$3,0)))</f>
        <v>0</v>
      </c>
      <c r="I126" s="255">
        <f>++IF(I$124&lt;MIN('Financials Input'!$G$588:$DC$588),"n/a",INDEX('Covenant Input'!$I195:$AO195,1,MATCH(I$124,'Covenant Input'!$I$3:$AO$3,0)))</f>
        <v>0</v>
      </c>
      <c r="J126" s="189">
        <f>++IF(J$124&lt;MIN('Financials Input'!$G$588:$DC$588),"n/a",INDEX('Covenant Input'!$I195:$AO195,1,MATCH(J$124,'Covenant Input'!$I$3:$AO$3,0)))</f>
        <v>0</v>
      </c>
      <c r="K126" s="59">
        <f>++IF(K$124&lt;MIN('Financials Input'!$G$588:$DC$588),"n/a",INDEX('Covenant Input'!$I195:$AO195,1,MATCH(K$124,'Covenant Input'!$I$3:$AO$3,0)))</f>
        <v>0</v>
      </c>
      <c r="L126" s="59">
        <f>++IF(L$124&lt;MIN('Financials Input'!$G$588:$DC$588),"n/a",INDEX('Covenant Input'!$I195:$AO195,1,MATCH(L$124,'Covenant Input'!$I$3:$AO$3,0)))</f>
        <v>0</v>
      </c>
      <c r="M126" s="60">
        <f>++IF(M$124&lt;MIN('Financials Input'!$G$588:$DC$588),"n/a",INDEX('Covenant Input'!$I195:$AO195,1,MATCH(M$124,'Covenant Input'!$I$3:$AO$3,0)))</f>
        <v>0</v>
      </c>
      <c r="O126" s="290" t="str">
        <f>++'Tnx Comps Input'!C17</f>
        <v>[Date]</v>
      </c>
      <c r="P126" s="101" t="str">
        <f>++'Tnx Comps Input'!D17</f>
        <v>[Target]</v>
      </c>
      <c r="Q126" s="101"/>
      <c r="R126" s="101" t="str">
        <f>++'Tnx Comps Input'!F17</f>
        <v>[Buyer]</v>
      </c>
      <c r="S126" s="101"/>
      <c r="T126" s="172">
        <f>++'Tnx Comps Input'!H17</f>
        <v>0</v>
      </c>
      <c r="U126" s="172">
        <f>++'Tnx Comps Input'!I17</f>
        <v>0</v>
      </c>
      <c r="V126" s="172">
        <f>++'Tnx Comps Input'!J17</f>
        <v>0</v>
      </c>
      <c r="W126" s="173" t="str">
        <f>++'Tnx Comps Input'!K17</f>
        <v>n/a</v>
      </c>
      <c r="X126" s="255" t="str">
        <f>++'Tnx Comps Input'!L17</f>
        <v>nmf</v>
      </c>
      <c r="Y126" s="291" t="str">
        <f>++'Tnx Comps Input'!M17</f>
        <v>nmf</v>
      </c>
    </row>
    <row r="127" spans="2:25" x14ac:dyDescent="0.3">
      <c r="C127" s="217" t="str">
        <f>++'Covenant Input'!C196</f>
        <v>[Total] [Net] Leverage (Covenant)</v>
      </c>
      <c r="D127" s="101"/>
      <c r="E127" s="101"/>
      <c r="F127" s="255" t="str">
        <f>++IF(F$124&lt;MIN('Financials Input'!$G$588:$DC$588),"n/a",INDEX('Covenant Input'!$I196:$AO196,1,MATCH(F$124,'Covenant Input'!$I$3:$AO$3,0)))</f>
        <v>n/a</v>
      </c>
      <c r="G127" s="255">
        <f>++IF(G$124&lt;MIN('Financials Input'!$G$588:$DC$588),"n/a",INDEX('Covenant Input'!$I196:$AO196,1,MATCH(G$124,'Covenant Input'!$I$3:$AO$3,0)))</f>
        <v>0</v>
      </c>
      <c r="H127" s="255">
        <f>++IF(H$124&lt;MIN('Financials Input'!$G$588:$DC$588),"n/a",INDEX('Covenant Input'!$I196:$AO196,1,MATCH(H$124,'Covenant Input'!$I$3:$AO$3,0)))</f>
        <v>0</v>
      </c>
      <c r="I127" s="255">
        <f>++IF(I$124&lt;MIN('Financials Input'!$G$588:$DC$588),"n/a",INDEX('Covenant Input'!$I196:$AO196,1,MATCH(I$124,'Covenant Input'!$I$3:$AO$3,0)))</f>
        <v>0</v>
      </c>
      <c r="J127" s="189">
        <f>++IF(J$124&lt;MIN('Financials Input'!$G$588:$DC$588),"n/a",INDEX('Covenant Input'!$I196:$AO196,1,MATCH(J$124,'Covenant Input'!$I$3:$AO$3,0)))</f>
        <v>0</v>
      </c>
      <c r="K127" s="255">
        <f>++IF(K$124&lt;MIN('Financials Input'!$G$588:$DC$588),"n/a",INDEX('Covenant Input'!$I196:$AO196,1,MATCH(K$124,'Covenant Input'!$I$3:$AO$3,0)))</f>
        <v>0</v>
      </c>
      <c r="L127" s="255">
        <f>++IF(L$124&lt;MIN('Financials Input'!$G$588:$DC$588),"n/a",INDEX('Covenant Input'!$I196:$AO196,1,MATCH(L$124,'Covenant Input'!$I$3:$AO$3,0)))</f>
        <v>0</v>
      </c>
      <c r="M127" s="291">
        <f>++IF(M$124&lt;MIN('Financials Input'!$G$588:$DC$588),"n/a",INDEX('Covenant Input'!$I196:$AO196,1,MATCH(M$124,'Covenant Input'!$I$3:$AO$3,0)))</f>
        <v>0</v>
      </c>
      <c r="O127" s="290" t="str">
        <f>++'Tnx Comps Input'!C18</f>
        <v>[Date]</v>
      </c>
      <c r="P127" s="101" t="str">
        <f>++'Tnx Comps Input'!D18</f>
        <v>[Target]</v>
      </c>
      <c r="Q127" s="101"/>
      <c r="R127" s="101" t="str">
        <f>++'Tnx Comps Input'!F18</f>
        <v>[Buyer]</v>
      </c>
      <c r="S127" s="101"/>
      <c r="T127" s="172">
        <f>++'Tnx Comps Input'!H18</f>
        <v>0</v>
      </c>
      <c r="U127" s="172">
        <f>++'Tnx Comps Input'!I18</f>
        <v>0</v>
      </c>
      <c r="V127" s="172">
        <f>++'Tnx Comps Input'!J18</f>
        <v>0</v>
      </c>
      <c r="W127" s="173" t="str">
        <f>++'Tnx Comps Input'!K18</f>
        <v>n/a</v>
      </c>
      <c r="X127" s="255" t="str">
        <f>++'Tnx Comps Input'!L18</f>
        <v>nmf</v>
      </c>
      <c r="Y127" s="291" t="str">
        <f>++'Tnx Comps Input'!M18</f>
        <v>nmf</v>
      </c>
    </row>
    <row r="128" spans="2:25" x14ac:dyDescent="0.3">
      <c r="C128" s="224" t="str">
        <f>++'Covenant Input'!C197</f>
        <v>% cushion</v>
      </c>
      <c r="D128" s="101"/>
      <c r="E128" s="101"/>
      <c r="F128" s="225" t="str">
        <f>++IF(F$124&lt;MIN('Financials Input'!$G$588:$DC$588),"n/a",INDEX('Covenant Input'!$I197:$AO197,1,MATCH(F$124,'Covenant Input'!$I$3:$AO$3,0)))</f>
        <v>n/a</v>
      </c>
      <c r="G128" s="225">
        <f>++IF(G$124&lt;MIN('Financials Input'!$G$588:$DC$588),"n/a",INDEX('Covenant Input'!$I197:$AO197,1,MATCH(G$124,'Covenant Input'!$I$3:$AO$3,0)))</f>
        <v>0</v>
      </c>
      <c r="H128" s="225">
        <f>++IF(H$124&lt;MIN('Financials Input'!$G$588:$DC$588),"n/a",INDEX('Covenant Input'!$I197:$AO197,1,MATCH(H$124,'Covenant Input'!$I$3:$AO$3,0)))</f>
        <v>0</v>
      </c>
      <c r="I128" s="225">
        <f>++IF(I$124&lt;MIN('Financials Input'!$G$588:$DC$588),"n/a",INDEX('Covenant Input'!$I197:$AO197,1,MATCH(I$124,'Covenant Input'!$I$3:$AO$3,0)))</f>
        <v>0</v>
      </c>
      <c r="J128" s="214">
        <f>++IF(J$124&lt;MIN('Financials Input'!$G$588:$DC$588),"n/a",INDEX('Covenant Input'!$I197:$AO197,1,MATCH(J$124,'Covenant Input'!$I$3:$AO$3,0)))</f>
        <v>0</v>
      </c>
      <c r="K128" s="425">
        <f>++IF(K$124&lt;MIN('Financials Input'!$G$588:$DC$588),"n/a",INDEX('Covenant Input'!$I197:$AO197,1,MATCH(K$124,'Covenant Input'!$I$3:$AO$3,0)))</f>
        <v>0</v>
      </c>
      <c r="L128" s="425">
        <f>++IF(L$124&lt;MIN('Financials Input'!$G$588:$DC$588),"n/a",INDEX('Covenant Input'!$I197:$AO197,1,MATCH(L$124,'Covenant Input'!$I$3:$AO$3,0)))</f>
        <v>0</v>
      </c>
      <c r="M128" s="426">
        <f>++IF(M$124&lt;MIN('Financials Input'!$G$588:$DC$588),"n/a",INDEX('Covenant Input'!$I197:$AO197,1,MATCH(M$124,'Covenant Input'!$I$3:$AO$3,0)))</f>
        <v>0</v>
      </c>
      <c r="O128" s="290" t="str">
        <f>++'Tnx Comps Input'!C19</f>
        <v>[Date]</v>
      </c>
      <c r="P128" s="101" t="str">
        <f>++'Tnx Comps Input'!D19</f>
        <v>[Target]</v>
      </c>
      <c r="Q128" s="101"/>
      <c r="R128" s="101" t="str">
        <f>++'Tnx Comps Input'!F19</f>
        <v>[Buyer]</v>
      </c>
      <c r="S128" s="101"/>
      <c r="T128" s="172">
        <f>++'Tnx Comps Input'!H19</f>
        <v>0</v>
      </c>
      <c r="U128" s="172">
        <f>++'Tnx Comps Input'!I19</f>
        <v>0</v>
      </c>
      <c r="V128" s="172">
        <f>++'Tnx Comps Input'!J19</f>
        <v>0</v>
      </c>
      <c r="W128" s="173" t="str">
        <f>++'Tnx Comps Input'!K19</f>
        <v>n/a</v>
      </c>
      <c r="X128" s="255" t="str">
        <f>++'Tnx Comps Input'!L19</f>
        <v>nmf</v>
      </c>
      <c r="Y128" s="291" t="str">
        <f>++'Tnx Comps Input'!M19</f>
        <v>nmf</v>
      </c>
    </row>
    <row r="129" spans="2:25" x14ac:dyDescent="0.3">
      <c r="C129" s="32"/>
      <c r="D129" s="19"/>
      <c r="E129" s="19"/>
      <c r="F129" s="19"/>
      <c r="G129" s="19"/>
      <c r="H129" s="19"/>
      <c r="I129" s="19"/>
      <c r="J129" s="347"/>
      <c r="K129" s="19"/>
      <c r="L129" s="19"/>
      <c r="M129" s="54"/>
      <c r="O129" s="290" t="str">
        <f>++'Tnx Comps Input'!C20</f>
        <v>[Date]</v>
      </c>
      <c r="P129" s="101" t="str">
        <f>++'Tnx Comps Input'!D20</f>
        <v>[Target]</v>
      </c>
      <c r="Q129" s="101"/>
      <c r="R129" s="101" t="str">
        <f>++'Tnx Comps Input'!F20</f>
        <v>[Buyer]</v>
      </c>
      <c r="S129" s="101"/>
      <c r="T129" s="172">
        <f>++'Tnx Comps Input'!H20</f>
        <v>0</v>
      </c>
      <c r="U129" s="172">
        <f>++'Tnx Comps Input'!I20</f>
        <v>0</v>
      </c>
      <c r="V129" s="172">
        <f>++'Tnx Comps Input'!J20</f>
        <v>0</v>
      </c>
      <c r="W129" s="173" t="str">
        <f>++'Tnx Comps Input'!K20</f>
        <v>n/a</v>
      </c>
      <c r="X129" s="255" t="str">
        <f>++'Tnx Comps Input'!L20</f>
        <v>nmf</v>
      </c>
      <c r="Y129" s="291" t="str">
        <f>++'Tnx Comps Input'!M20</f>
        <v>nmf</v>
      </c>
    </row>
    <row r="130" spans="2:25" x14ac:dyDescent="0.3">
      <c r="C130" s="32" t="str">
        <f>++'Covenant Input'!C212</f>
        <v>Fixed Charge Coverage (Reported)</v>
      </c>
      <c r="D130" s="19"/>
      <c r="E130" s="19"/>
      <c r="F130" s="55" t="str">
        <f>++IF(F$124&lt;MIN('Financials Input'!$G$588:$DC$588),"n/a",INDEX('Covenant Input'!$I212:$AO212,1,MATCH(F$124,'Covenant Input'!$I$3:$AO$3,0)))</f>
        <v>n/a</v>
      </c>
      <c r="G130" s="55">
        <f>++IF(G$124&lt;MIN('Financials Input'!$G$588:$DC$588),"n/a",INDEX('Covenant Input'!$I212:$AO212,1,MATCH(G$124,'Covenant Input'!$I$3:$AO$3,0)))</f>
        <v>0</v>
      </c>
      <c r="H130" s="55">
        <f>++IF(H$124&lt;MIN('Financials Input'!$G$588:$DC$588),"n/a",INDEX('Covenant Input'!$I212:$AO212,1,MATCH(H$124,'Covenant Input'!$I$3:$AO$3,0)))</f>
        <v>0</v>
      </c>
      <c r="I130" s="55">
        <f>++IF(I$124&lt;MIN('Financials Input'!$G$588:$DC$588),"n/a",INDEX('Covenant Input'!$I212:$AO212,1,MATCH(I$124,'Covenant Input'!$I$3:$AO$3,0)))</f>
        <v>0</v>
      </c>
      <c r="J130" s="346">
        <f>++IF(J$124&lt;MIN('Financials Input'!$G$588:$DC$588),"n/a",INDEX('Covenant Input'!$I212:$AO212,1,MATCH(J$124,'Covenant Input'!$I$3:$AO$3,0)))</f>
        <v>0</v>
      </c>
      <c r="K130" s="59">
        <f>++IF(K$124&lt;MIN('Financials Input'!$G$588:$DC$588),"n/a",INDEX('Covenant Input'!$I212:$AO212,1,MATCH(K$124,'Covenant Input'!$I$3:$AO$3,0)))</f>
        <v>0</v>
      </c>
      <c r="L130" s="59">
        <f>++IF(L$124&lt;MIN('Financials Input'!$G$588:$DC$588),"n/a",INDEX('Covenant Input'!$I212:$AO212,1,MATCH(L$124,'Covenant Input'!$I$3:$AO$3,0)))</f>
        <v>0</v>
      </c>
      <c r="M130" s="60">
        <f>++IF(M$124&lt;MIN('Financials Input'!$G$588:$DC$588),"n/a",INDEX('Covenant Input'!$I212:$AO212,1,MATCH(M$124,'Covenant Input'!$I$3:$AO$3,0)))</f>
        <v>0</v>
      </c>
      <c r="O130" s="290" t="str">
        <f>++'Tnx Comps Input'!C21</f>
        <v>[Date]</v>
      </c>
      <c r="P130" s="101" t="str">
        <f>++'Tnx Comps Input'!D21</f>
        <v>[Target]</v>
      </c>
      <c r="Q130" s="101"/>
      <c r="R130" s="101" t="str">
        <f>++'Tnx Comps Input'!F21</f>
        <v>[Buyer]</v>
      </c>
      <c r="S130" s="101"/>
      <c r="T130" s="172">
        <f>++'Tnx Comps Input'!H21</f>
        <v>0</v>
      </c>
      <c r="U130" s="172">
        <f>++'Tnx Comps Input'!I21</f>
        <v>0</v>
      </c>
      <c r="V130" s="172">
        <f>++'Tnx Comps Input'!J21</f>
        <v>0</v>
      </c>
      <c r="W130" s="173" t="str">
        <f>++'Tnx Comps Input'!K21</f>
        <v>n/a</v>
      </c>
      <c r="X130" s="255" t="str">
        <f>++'Tnx Comps Input'!L21</f>
        <v>nmf</v>
      </c>
      <c r="Y130" s="291" t="str">
        <f>++'Tnx Comps Input'!M21</f>
        <v>nmf</v>
      </c>
    </row>
    <row r="131" spans="2:25" x14ac:dyDescent="0.3">
      <c r="C131" s="32" t="str">
        <f>++'Covenant Input'!C213</f>
        <v>Fixed Charge Coverage (Covenant)</v>
      </c>
      <c r="D131" s="19"/>
      <c r="E131" s="19"/>
      <c r="F131" s="55" t="str">
        <f>++IF(F$124&lt;MIN('Financials Input'!$G$588:$DC$588),"n/a",INDEX('Covenant Input'!$I213:$AO213,1,MATCH(F$124,'Covenant Input'!$I$3:$AO$3,0)))</f>
        <v>n/a</v>
      </c>
      <c r="G131" s="55">
        <f>++IF(G$124&lt;MIN('Financials Input'!$G$588:$DC$588),"n/a",INDEX('Covenant Input'!$I213:$AO213,1,MATCH(G$124,'Covenant Input'!$I$3:$AO$3,0)))</f>
        <v>0</v>
      </c>
      <c r="H131" s="55">
        <f>++IF(H$124&lt;MIN('Financials Input'!$G$588:$DC$588),"n/a",INDEX('Covenant Input'!$I213:$AO213,1,MATCH(H$124,'Covenant Input'!$I$3:$AO$3,0)))</f>
        <v>0</v>
      </c>
      <c r="I131" s="55">
        <f>++IF(I$124&lt;MIN('Financials Input'!$G$588:$DC$588),"n/a",INDEX('Covenant Input'!$I213:$AO213,1,MATCH(I$124,'Covenant Input'!$I$3:$AO$3,0)))</f>
        <v>0</v>
      </c>
      <c r="J131" s="346">
        <f>++IF(J$124&lt;MIN('Financials Input'!$G$588:$DC$588),"n/a",INDEX('Covenant Input'!$I213:$AO213,1,MATCH(J$124,'Covenant Input'!$I$3:$AO$3,0)))</f>
        <v>0</v>
      </c>
      <c r="K131" s="55">
        <f>++IF(K$124&lt;MIN('Financials Input'!$G$588:$DC$588),"n/a",INDEX('Covenant Input'!$I213:$AO213,1,MATCH(K$124,'Covenant Input'!$I$3:$AO$3,0)))</f>
        <v>0</v>
      </c>
      <c r="L131" s="55">
        <f>++IF(L$124&lt;MIN('Financials Input'!$G$588:$DC$588),"n/a",INDEX('Covenant Input'!$I213:$AO213,1,MATCH(L$124,'Covenant Input'!$I$3:$AO$3,0)))</f>
        <v>0</v>
      </c>
      <c r="M131" s="58">
        <f>++IF(M$124&lt;MIN('Financials Input'!$G$588:$DC$588),"n/a",INDEX('Covenant Input'!$I213:$AO213,1,MATCH(M$124,'Covenant Input'!$I$3:$AO$3,0)))</f>
        <v>0</v>
      </c>
      <c r="O131" s="290" t="str">
        <f>++'Tnx Comps Input'!C22</f>
        <v>[Date]</v>
      </c>
      <c r="P131" s="101" t="str">
        <f>++'Tnx Comps Input'!D22</f>
        <v>[Target]</v>
      </c>
      <c r="Q131" s="101"/>
      <c r="R131" s="101" t="str">
        <f>++'Tnx Comps Input'!F22</f>
        <v>[Buyer]</v>
      </c>
      <c r="S131" s="101"/>
      <c r="T131" s="172">
        <f>++'Tnx Comps Input'!H22</f>
        <v>0</v>
      </c>
      <c r="U131" s="172">
        <f>++'Tnx Comps Input'!I22</f>
        <v>0</v>
      </c>
      <c r="V131" s="172">
        <f>++'Tnx Comps Input'!J22</f>
        <v>0</v>
      </c>
      <c r="W131" s="173" t="str">
        <f>++'Tnx Comps Input'!K22</f>
        <v>n/a</v>
      </c>
      <c r="X131" s="255" t="str">
        <f>++'Tnx Comps Input'!L22</f>
        <v>nmf</v>
      </c>
      <c r="Y131" s="291" t="str">
        <f>++'Tnx Comps Input'!M22</f>
        <v>nmf</v>
      </c>
    </row>
    <row r="132" spans="2:25" x14ac:dyDescent="0.3">
      <c r="C132" s="61" t="s">
        <v>108</v>
      </c>
      <c r="D132" s="19"/>
      <c r="E132" s="19"/>
      <c r="F132" s="427" t="str">
        <f>++IF(F$124&lt;MIN('Financials Input'!$G$588:$DC$588),"n/a",INDEX('Covenant Input'!$I214:$AO214,1,MATCH(F$124,'Covenant Input'!$I$3:$AO$3,0)))</f>
        <v>n/a</v>
      </c>
      <c r="G132" s="427">
        <f>++IF(G$124&lt;MIN('Financials Input'!$G$588:$DC$588),"n/a",INDEX('Covenant Input'!$I214:$AO214,1,MATCH(G$124,'Covenant Input'!$I$3:$AO$3,0)))</f>
        <v>0</v>
      </c>
      <c r="H132" s="427">
        <f>++IF(H$124&lt;MIN('Financials Input'!$G$588:$DC$588),"n/a",INDEX('Covenant Input'!$I214:$AO214,1,MATCH(H$124,'Covenant Input'!$I$3:$AO$3,0)))</f>
        <v>0</v>
      </c>
      <c r="I132" s="427">
        <f>++IF(I$124&lt;MIN('Financials Input'!$G$588:$DC$588),"n/a",INDEX('Covenant Input'!$I214:$AO214,1,MATCH(I$124,'Covenant Input'!$I$3:$AO$3,0)))</f>
        <v>0</v>
      </c>
      <c r="J132" s="428">
        <f>++IF(J$124&lt;MIN('Financials Input'!$G$588:$DC$588),"n/a",INDEX('Covenant Input'!$I214:$AO214,1,MATCH(J$124,'Covenant Input'!$I$3:$AO$3,0)))</f>
        <v>0</v>
      </c>
      <c r="K132" s="425">
        <f>++IF(K$124&lt;MIN('Financials Input'!$G$588:$DC$588),"n/a",INDEX('Covenant Input'!$I214:$AO214,1,MATCH(K$124,'Covenant Input'!$I$3:$AO$3,0)))</f>
        <v>0</v>
      </c>
      <c r="L132" s="425">
        <f>++IF(L$124&lt;MIN('Financials Input'!$G$588:$DC$588),"n/a",INDEX('Covenant Input'!$I214:$AO214,1,MATCH(L$124,'Covenant Input'!$I$3:$AO$3,0)))</f>
        <v>0</v>
      </c>
      <c r="M132" s="426">
        <f>++IF(M$124&lt;MIN('Financials Input'!$G$588:$DC$588),"n/a",INDEX('Covenant Input'!$I214:$AO214,1,MATCH(M$124,'Covenant Input'!$I$3:$AO$3,0)))</f>
        <v>0</v>
      </c>
      <c r="O132" s="290" t="str">
        <f>++'Tnx Comps Input'!C23</f>
        <v>[Date]</v>
      </c>
      <c r="P132" s="101" t="str">
        <f>++'Tnx Comps Input'!D23</f>
        <v>[Target]</v>
      </c>
      <c r="Q132" s="101"/>
      <c r="R132" s="101" t="str">
        <f>++'Tnx Comps Input'!F23</f>
        <v>[Buyer]</v>
      </c>
      <c r="S132" s="101"/>
      <c r="T132" s="172">
        <f>++'Tnx Comps Input'!H23</f>
        <v>0</v>
      </c>
      <c r="U132" s="172">
        <f>++'Tnx Comps Input'!I23</f>
        <v>0</v>
      </c>
      <c r="V132" s="172">
        <f>++'Tnx Comps Input'!J23</f>
        <v>0</v>
      </c>
      <c r="W132" s="173" t="str">
        <f>++'Tnx Comps Input'!K23</f>
        <v>n/a</v>
      </c>
      <c r="X132" s="255" t="str">
        <f>++'Tnx Comps Input'!L23</f>
        <v>nmf</v>
      </c>
      <c r="Y132" s="291" t="str">
        <f>++'Tnx Comps Input'!M23</f>
        <v>nmf</v>
      </c>
    </row>
    <row r="133" spans="2:25" x14ac:dyDescent="0.3">
      <c r="C133" s="32"/>
      <c r="D133" s="19"/>
      <c r="E133" s="19"/>
      <c r="F133" s="19"/>
      <c r="G133" s="19"/>
      <c r="H133" s="19"/>
      <c r="I133" s="19"/>
      <c r="J133" s="347"/>
      <c r="K133" s="19"/>
      <c r="L133" s="19"/>
      <c r="M133" s="54"/>
      <c r="O133" s="290" t="str">
        <f>++'Tnx Comps Input'!C24</f>
        <v>[Date]</v>
      </c>
      <c r="P133" s="101" t="str">
        <f>++'Tnx Comps Input'!D24</f>
        <v>[Target]</v>
      </c>
      <c r="Q133" s="101"/>
      <c r="R133" s="101" t="str">
        <f>++'Tnx Comps Input'!F24</f>
        <v>[Buyer]</v>
      </c>
      <c r="S133" s="101"/>
      <c r="T133" s="172">
        <f>++'Tnx Comps Input'!H24</f>
        <v>0</v>
      </c>
      <c r="U133" s="172">
        <f>++'Tnx Comps Input'!I24</f>
        <v>0</v>
      </c>
      <c r="V133" s="172">
        <f>++'Tnx Comps Input'!J24</f>
        <v>0</v>
      </c>
      <c r="W133" s="173" t="str">
        <f>++'Tnx Comps Input'!K24</f>
        <v>n/a</v>
      </c>
      <c r="X133" s="255" t="str">
        <f>++'Tnx Comps Input'!L24</f>
        <v>nmf</v>
      </c>
      <c r="Y133" s="291" t="str">
        <f>++'Tnx Comps Input'!M24</f>
        <v>nmf</v>
      </c>
    </row>
    <row r="134" spans="2:25" x14ac:dyDescent="0.3">
      <c r="C134" s="32" t="str">
        <f>++'Covenant Input'!C223</f>
        <v>Liquidity (Reported)</v>
      </c>
      <c r="D134" s="19"/>
      <c r="E134" s="19"/>
      <c r="F134" s="37" t="str">
        <f>++IF(F$124&lt;MIN('Financials Input'!$G$588:$DC$588),"n/a",INDEX('Covenant Input'!$I223:$AO223,1,MATCH(F$124,'Covenant Input'!$I$3:$AO$3,0)))</f>
        <v>n/a</v>
      </c>
      <c r="G134" s="37">
        <f>++IF(G$124&lt;MIN('Financials Input'!$G$588:$DC$588),"n/a",INDEX('Covenant Input'!$I223:$AO223,1,MATCH(G$124,'Covenant Input'!$I$3:$AO$3,0)))</f>
        <v>0</v>
      </c>
      <c r="H134" s="37">
        <f>++IF(H$124&lt;MIN('Financials Input'!$G$588:$DC$588),"n/a",INDEX('Covenant Input'!$I223:$AO223,1,MATCH(H$124,'Covenant Input'!$I$3:$AO$3,0)))</f>
        <v>0</v>
      </c>
      <c r="I134" s="37">
        <f>++IF(I$124&lt;MIN('Financials Input'!$G$588:$DC$588),"n/a",INDEX('Covenant Input'!$I223:$AO223,1,MATCH(I$124,'Covenant Input'!$I$3:$AO$3,0)))</f>
        <v>0</v>
      </c>
      <c r="J134" s="163">
        <f>++IF(J$124&lt;MIN('Financials Input'!$G$588:$DC$588),"n/a",INDEX('Covenant Input'!$I223:$AO223,1,MATCH(J$124,'Covenant Input'!$I$3:$AO$3,0)))</f>
        <v>0</v>
      </c>
      <c r="K134" s="397">
        <f>++IF(K$124&lt;MIN('Financials Input'!$G$588:$DC$588),"n/a",INDEX('Covenant Input'!$I223:$AO223,1,MATCH(K$124,'Covenant Input'!$I$3:$AO$3,0)))</f>
        <v>0</v>
      </c>
      <c r="L134" s="397">
        <f>++IF(L$124&lt;MIN('Financials Input'!$G$588:$DC$588),"n/a",INDEX('Covenant Input'!$I223:$AO223,1,MATCH(L$124,'Covenant Input'!$I$3:$AO$3,0)))</f>
        <v>0</v>
      </c>
      <c r="M134" s="398">
        <f>++IF(M$124&lt;MIN('Financials Input'!$G$588:$DC$588),"n/a",INDEX('Covenant Input'!$I223:$AO223,1,MATCH(M$124,'Covenant Input'!$I$3:$AO$3,0)))</f>
        <v>0</v>
      </c>
      <c r="O134" s="290"/>
      <c r="P134" s="101"/>
      <c r="Q134" s="101"/>
      <c r="R134" s="101"/>
      <c r="S134" s="101"/>
      <c r="T134" s="172"/>
      <c r="U134" s="172"/>
      <c r="V134" s="172"/>
      <c r="W134" s="173"/>
      <c r="X134" s="255"/>
      <c r="Y134" s="291"/>
    </row>
    <row r="135" spans="2:25" x14ac:dyDescent="0.3">
      <c r="C135" s="32" t="str">
        <f>++'Covenant Input'!C224</f>
        <v>Minimum Liquidity (Covenant)</v>
      </c>
      <c r="D135" s="19"/>
      <c r="E135" s="19"/>
      <c r="F135" s="37" t="str">
        <f>++IF(F$124&lt;MIN('Financials Input'!$G$588:$DC$588),"n/a",INDEX('Covenant Input'!$I224:$AO224,1,MATCH(F$124,'Covenant Input'!$I$3:$AO$3,0)))</f>
        <v>n/a</v>
      </c>
      <c r="G135" s="37">
        <f>++IF(G$124&lt;MIN('Financials Input'!$G$588:$DC$588),"n/a",INDEX('Covenant Input'!$I224:$AO224,1,MATCH(G$124,'Covenant Input'!$I$3:$AO$3,0)))</f>
        <v>0</v>
      </c>
      <c r="H135" s="37">
        <f>++IF(H$124&lt;MIN('Financials Input'!$G$588:$DC$588),"n/a",INDEX('Covenant Input'!$I224:$AO224,1,MATCH(H$124,'Covenant Input'!$I$3:$AO$3,0)))</f>
        <v>0</v>
      </c>
      <c r="I135" s="37">
        <f>++IF(I$124&lt;MIN('Financials Input'!$G$588:$DC$588),"n/a",INDEX('Covenant Input'!$I224:$AO224,1,MATCH(I$124,'Covenant Input'!$I$3:$AO$3,0)))</f>
        <v>0</v>
      </c>
      <c r="J135" s="163">
        <f>++IF(J$124&lt;MIN('Financials Input'!$G$588:$DC$588),"n/a",INDEX('Covenant Input'!$I224:$AO224,1,MATCH(J$124,'Covenant Input'!$I$3:$AO$3,0)))</f>
        <v>0</v>
      </c>
      <c r="K135" s="37">
        <f>++IF(K$124&lt;MIN('Financials Input'!$G$588:$DC$588),"n/a",INDEX('Covenant Input'!$I224:$AO224,1,MATCH(K$124,'Covenant Input'!$I$3:$AO$3,0)))</f>
        <v>0</v>
      </c>
      <c r="L135" s="37">
        <f>++IF(L$124&lt;MIN('Financials Input'!$G$588:$DC$588),"n/a",INDEX('Covenant Input'!$I224:$AO224,1,MATCH(L$124,'Covenant Input'!$I$3:$AO$3,0)))</f>
        <v>0</v>
      </c>
      <c r="M135" s="399">
        <f>++IF(M$124&lt;MIN('Financials Input'!$G$588:$DC$588),"n/a",INDEX('Covenant Input'!$I224:$AO224,1,MATCH(M$124,'Covenant Input'!$I$3:$AO$3,0)))</f>
        <v>0</v>
      </c>
      <c r="O135" s="217"/>
      <c r="P135" s="101"/>
      <c r="Q135" s="101"/>
      <c r="R135" s="101"/>
      <c r="S135" s="101"/>
      <c r="T135" s="101"/>
      <c r="U135" s="101"/>
      <c r="V135" s="101"/>
      <c r="W135" s="174" t="str">
        <f>++'Tnx Comps Input'!J26</f>
        <v>High</v>
      </c>
      <c r="X135" s="176">
        <f>++'Tnx Comps Input'!L26</f>
        <v>0</v>
      </c>
      <c r="Y135" s="292">
        <f>++'Tnx Comps Input'!M26</f>
        <v>0</v>
      </c>
    </row>
    <row r="136" spans="2:25" x14ac:dyDescent="0.3">
      <c r="C136" s="61" t="s">
        <v>108</v>
      </c>
      <c r="D136" s="19"/>
      <c r="E136" s="19"/>
      <c r="F136" s="427" t="str">
        <f>++IF(F$124&lt;MIN('Financials Input'!$G$588:$DC$588),"n/a",INDEX('Covenant Input'!$I225:$AO225,1,MATCH(F$124,'Covenant Input'!$I$3:$AO$3,0)))</f>
        <v>n/a</v>
      </c>
      <c r="G136" s="427">
        <f>++IF(G$124&lt;MIN('Financials Input'!$G$588:$DC$588),"n/a",INDEX('Covenant Input'!$I225:$AO225,1,MATCH(G$124,'Covenant Input'!$I$3:$AO$3,0)))</f>
        <v>0</v>
      </c>
      <c r="H136" s="427">
        <f>++IF(H$124&lt;MIN('Financials Input'!$G$588:$DC$588),"n/a",INDEX('Covenant Input'!$I225:$AO225,1,MATCH(H$124,'Covenant Input'!$I$3:$AO$3,0)))</f>
        <v>0</v>
      </c>
      <c r="I136" s="427">
        <f>++IF(I$124&lt;MIN('Financials Input'!$G$588:$DC$588),"n/a",INDEX('Covenant Input'!$I225:$AO225,1,MATCH(I$124,'Covenant Input'!$I$3:$AO$3,0)))</f>
        <v>0</v>
      </c>
      <c r="J136" s="428">
        <f>++IF(J$124&lt;MIN('Financials Input'!$G$588:$DC$588),"n/a",INDEX('Covenant Input'!$I225:$AO225,1,MATCH(J$124,'Covenant Input'!$I$3:$AO$3,0)))</f>
        <v>0</v>
      </c>
      <c r="K136" s="425">
        <f>++IF(K$124&lt;MIN('Financials Input'!$G$588:$DC$588),"n/a",INDEX('Covenant Input'!$I225:$AO225,1,MATCH(K$124,'Covenant Input'!$I$3:$AO$3,0)))</f>
        <v>0</v>
      </c>
      <c r="L136" s="425">
        <f>++IF(L$124&lt;MIN('Financials Input'!$G$588:$DC$588),"n/a",INDEX('Covenant Input'!$I225:$AO225,1,MATCH(L$124,'Covenant Input'!$I$3:$AO$3,0)))</f>
        <v>0</v>
      </c>
      <c r="M136" s="426">
        <f>++IF(M$124&lt;MIN('Financials Input'!$G$588:$DC$588),"n/a",INDEX('Covenant Input'!$I225:$AO225,1,MATCH(M$124,'Covenant Input'!$I$3:$AO$3,0)))</f>
        <v>0</v>
      </c>
      <c r="O136" s="217"/>
      <c r="P136" s="101"/>
      <c r="Q136" s="101"/>
      <c r="R136" s="101"/>
      <c r="S136" s="101"/>
      <c r="T136" s="101"/>
      <c r="U136" s="101"/>
      <c r="V136" s="101"/>
      <c r="W136" s="178" t="str">
        <f>++'Tnx Comps Input'!J27</f>
        <v>Low</v>
      </c>
      <c r="X136" s="180">
        <f>++'Tnx Comps Input'!L27</f>
        <v>0</v>
      </c>
      <c r="Y136" s="293">
        <f>++'Tnx Comps Input'!M27</f>
        <v>0</v>
      </c>
    </row>
    <row r="137" spans="2:25" ht="12.75" customHeight="1" x14ac:dyDescent="0.3">
      <c r="C137" s="256"/>
      <c r="D137" s="257"/>
      <c r="E137" s="257"/>
      <c r="F137" s="257"/>
      <c r="G137" s="257"/>
      <c r="H137" s="257"/>
      <c r="I137" s="257"/>
      <c r="J137" s="345"/>
      <c r="K137" s="257"/>
      <c r="L137" s="257"/>
      <c r="M137" s="297"/>
      <c r="O137" s="217"/>
      <c r="P137" s="101"/>
      <c r="Q137" s="101"/>
      <c r="R137" s="101"/>
      <c r="S137" s="101"/>
      <c r="T137" s="101"/>
      <c r="U137" s="101"/>
      <c r="V137" s="101"/>
      <c r="W137" s="178" t="str">
        <f>++'Tnx Comps Input'!J28</f>
        <v>Average</v>
      </c>
      <c r="X137" s="180" t="str">
        <f>++'Tnx Comps Input'!L28</f>
        <v>n/a</v>
      </c>
      <c r="Y137" s="293" t="str">
        <f>++'Tnx Comps Input'!M28</f>
        <v>n/a</v>
      </c>
    </row>
    <row r="138" spans="2:25" x14ac:dyDescent="0.3">
      <c r="O138" s="287" t="str">
        <f>++'Tnx Comps Input'!C32</f>
        <v>(1) TEV / LTM Revenue non-material figure capped at 10.0x and TEV / LTM EBITDA capped at 35.0x</v>
      </c>
      <c r="P138" s="257"/>
      <c r="Q138" s="257"/>
      <c r="R138" s="257"/>
      <c r="S138" s="257"/>
      <c r="T138" s="257"/>
      <c r="U138" s="257"/>
      <c r="V138" s="257"/>
      <c r="W138" s="288" t="str">
        <f>++'Tnx Comps Input'!J29</f>
        <v>Median</v>
      </c>
      <c r="X138" s="281" t="str">
        <f>++'Tnx Comps Input'!L29</f>
        <v>n/a</v>
      </c>
      <c r="Y138" s="294" t="str">
        <f>++'Tnx Comps Input'!M29</f>
        <v>n/a</v>
      </c>
    </row>
    <row r="139" spans="2:25" ht="12.75" customHeight="1" x14ac:dyDescent="0.3">
      <c r="B139" s="16" t="s">
        <v>0</v>
      </c>
      <c r="C139" s="141" t="s">
        <v>109</v>
      </c>
      <c r="D139" s="142"/>
      <c r="E139" s="142"/>
      <c r="F139" s="142"/>
      <c r="G139" s="142"/>
      <c r="H139" s="142"/>
      <c r="I139" s="142"/>
      <c r="J139" s="142"/>
      <c r="K139" s="142"/>
      <c r="L139" s="142"/>
      <c r="M139" s="144"/>
    </row>
    <row r="140" spans="2:25" ht="14.5" x14ac:dyDescent="0.3">
      <c r="C140" s="62" t="s">
        <v>1</v>
      </c>
      <c r="D140" s="63"/>
      <c r="E140" s="64"/>
      <c r="F140" s="65" t="s">
        <v>110</v>
      </c>
      <c r="G140" s="65"/>
      <c r="H140" s="65"/>
      <c r="I140" s="65"/>
      <c r="J140" s="65" t="s">
        <v>89</v>
      </c>
      <c r="K140" s="65"/>
      <c r="L140" s="65" t="s">
        <v>519</v>
      </c>
      <c r="M140" s="66"/>
      <c r="O140" s="141" t="s">
        <v>428</v>
      </c>
      <c r="P140" s="142"/>
      <c r="Q140" s="142"/>
      <c r="R140" s="142"/>
      <c r="S140" s="142"/>
      <c r="T140" s="142"/>
      <c r="U140" s="142"/>
      <c r="V140" s="142"/>
      <c r="W140" s="142"/>
      <c r="X140" s="142"/>
      <c r="Y140" s="144"/>
    </row>
    <row r="141" spans="2:25" ht="14.5" x14ac:dyDescent="0.45">
      <c r="C141" s="67" t="s">
        <v>98</v>
      </c>
      <c r="D141" s="51" t="s">
        <v>100</v>
      </c>
      <c r="E141" s="51"/>
      <c r="F141" s="68" t="s">
        <v>111</v>
      </c>
      <c r="G141" s="68" t="s">
        <v>112</v>
      </c>
      <c r="H141" s="68" t="s">
        <v>113</v>
      </c>
      <c r="I141" s="68" t="s">
        <v>46</v>
      </c>
      <c r="J141" s="68" t="s">
        <v>64</v>
      </c>
      <c r="K141" s="68" t="s">
        <v>86</v>
      </c>
      <c r="L141" s="68" t="s">
        <v>111</v>
      </c>
      <c r="M141" s="69" t="s">
        <v>46</v>
      </c>
      <c r="O141" s="62" t="s">
        <v>1</v>
      </c>
      <c r="P141" s="63"/>
      <c r="Q141" s="63"/>
      <c r="R141" s="63"/>
      <c r="S141" s="63"/>
      <c r="T141" s="63"/>
      <c r="U141" s="63"/>
      <c r="V141" s="63"/>
      <c r="W141" s="63"/>
      <c r="X141" s="63"/>
      <c r="Y141" s="306"/>
    </row>
    <row r="142" spans="2:25" x14ac:dyDescent="0.3">
      <c r="C142" s="413">
        <f>++'Add-On Input'!C10</f>
        <v>0</v>
      </c>
      <c r="D142" s="414" t="str">
        <f>++'Add-On Input'!D10</f>
        <v>[Company] (Platform)</v>
      </c>
      <c r="E142" s="414"/>
      <c r="F142" s="415">
        <f>++'Add-On Input'!F10</f>
        <v>0</v>
      </c>
      <c r="G142" s="415">
        <f>++'Add-On Input'!G10</f>
        <v>0</v>
      </c>
      <c r="H142" s="415">
        <f>++'Add-On Input'!H10</f>
        <v>0</v>
      </c>
      <c r="I142" s="415">
        <f>++'Add-On Input'!I10</f>
        <v>0</v>
      </c>
      <c r="J142" s="415">
        <f>++'Add-On Input'!J10</f>
        <v>0</v>
      </c>
      <c r="K142" s="415">
        <f>++'Add-On Input'!K10</f>
        <v>0</v>
      </c>
      <c r="L142" s="416">
        <f>++'Add-On Input'!M10</f>
        <v>0</v>
      </c>
      <c r="M142" s="417">
        <f>++'Add-On Input'!N10</f>
        <v>0</v>
      </c>
      <c r="O142" s="307" t="s">
        <v>103</v>
      </c>
      <c r="P142" s="159" t="s">
        <v>391</v>
      </c>
      <c r="Q142" s="308"/>
      <c r="R142" s="308"/>
      <c r="S142" s="309"/>
      <c r="T142" s="310" t="s">
        <v>104</v>
      </c>
      <c r="U142" s="160" t="s">
        <v>380</v>
      </c>
      <c r="V142" s="310" t="s">
        <v>105</v>
      </c>
      <c r="W142" s="162">
        <v>0</v>
      </c>
      <c r="X142" s="310" t="s">
        <v>106</v>
      </c>
      <c r="Y142" s="312">
        <v>0</v>
      </c>
    </row>
    <row r="143" spans="2:25" x14ac:dyDescent="0.3">
      <c r="C143" s="298">
        <f>++'Add-On Input'!C11</f>
        <v>0</v>
      </c>
      <c r="D143" s="72" t="str">
        <f>++'Add-On Input'!D11</f>
        <v>[Add-on]</v>
      </c>
      <c r="E143" s="72"/>
      <c r="F143" s="200">
        <f>++'Add-On Input'!F11</f>
        <v>0</v>
      </c>
      <c r="G143" s="200">
        <f>++'Add-On Input'!G11</f>
        <v>0</v>
      </c>
      <c r="H143" s="200">
        <f>++'Add-On Input'!H11</f>
        <v>0</v>
      </c>
      <c r="I143" s="200">
        <f>++'Add-On Input'!I11</f>
        <v>0</v>
      </c>
      <c r="J143" s="200">
        <f>++'Add-On Input'!J11</f>
        <v>0</v>
      </c>
      <c r="K143" s="200">
        <f>++'Add-On Input'!K11</f>
        <v>0</v>
      </c>
      <c r="L143" s="255">
        <f>++'Add-On Input'!M11</f>
        <v>0</v>
      </c>
      <c r="M143" s="299">
        <f>++'Add-On Input'!N11</f>
        <v>0</v>
      </c>
      <c r="O143" s="446" t="s">
        <v>3</v>
      </c>
      <c r="P143" s="447"/>
      <c r="Q143" s="447"/>
      <c r="R143" s="447"/>
      <c r="S143" s="447"/>
      <c r="T143" s="447"/>
      <c r="U143" s="447"/>
      <c r="V143" s="447"/>
      <c r="W143" s="447"/>
      <c r="X143" s="447"/>
      <c r="Y143" s="448"/>
    </row>
    <row r="144" spans="2:25" x14ac:dyDescent="0.3">
      <c r="C144" s="298">
        <f>++'Add-On Input'!C12</f>
        <v>0</v>
      </c>
      <c r="D144" s="72" t="str">
        <f>++'Add-On Input'!D12</f>
        <v>[Add-on]</v>
      </c>
      <c r="E144" s="72"/>
      <c r="F144" s="200">
        <f>++'Add-On Input'!F12</f>
        <v>0</v>
      </c>
      <c r="G144" s="200">
        <f>++'Add-On Input'!G12</f>
        <v>0</v>
      </c>
      <c r="H144" s="200">
        <f>++'Add-On Input'!H12</f>
        <v>0</v>
      </c>
      <c r="I144" s="200">
        <f>++'Add-On Input'!I12</f>
        <v>0</v>
      </c>
      <c r="J144" s="200">
        <f>++'Add-On Input'!J12</f>
        <v>0</v>
      </c>
      <c r="K144" s="200">
        <f>++'Add-On Input'!K12</f>
        <v>0</v>
      </c>
      <c r="L144" s="255">
        <f>++'Add-On Input'!M12</f>
        <v>0</v>
      </c>
      <c r="M144" s="299">
        <f>++'Add-On Input'!N12</f>
        <v>0</v>
      </c>
      <c r="O144" s="449"/>
      <c r="P144" s="450"/>
      <c r="Q144" s="450"/>
      <c r="R144" s="450"/>
      <c r="S144" s="450"/>
      <c r="T144" s="450"/>
      <c r="U144" s="450"/>
      <c r="V144" s="450"/>
      <c r="W144" s="450"/>
      <c r="X144" s="450"/>
      <c r="Y144" s="451"/>
    </row>
    <row r="145" spans="2:25" ht="12.75" customHeight="1" x14ac:dyDescent="0.3">
      <c r="C145" s="298">
        <f>++'Add-On Input'!C13</f>
        <v>0</v>
      </c>
      <c r="D145" s="72" t="str">
        <f>++'Add-On Input'!D13</f>
        <v>[Add-on]</v>
      </c>
      <c r="E145" s="72"/>
      <c r="F145" s="200">
        <f>++'Add-On Input'!F13</f>
        <v>0</v>
      </c>
      <c r="G145" s="200">
        <f>++'Add-On Input'!G13</f>
        <v>0</v>
      </c>
      <c r="H145" s="200">
        <f>++'Add-On Input'!H13</f>
        <v>0</v>
      </c>
      <c r="I145" s="200">
        <f>++'Add-On Input'!I13</f>
        <v>0</v>
      </c>
      <c r="J145" s="200">
        <f>++'Add-On Input'!J13</f>
        <v>0</v>
      </c>
      <c r="K145" s="200">
        <f>++'Add-On Input'!K13</f>
        <v>0</v>
      </c>
      <c r="L145" s="255">
        <f>++'Add-On Input'!M13</f>
        <v>0</v>
      </c>
      <c r="M145" s="299">
        <f>++'Add-On Input'!N13</f>
        <v>0</v>
      </c>
      <c r="O145" s="449"/>
      <c r="P145" s="450"/>
      <c r="Q145" s="450"/>
      <c r="R145" s="450"/>
      <c r="S145" s="450"/>
      <c r="T145" s="450"/>
      <c r="U145" s="450"/>
      <c r="V145" s="450"/>
      <c r="W145" s="450"/>
      <c r="X145" s="450"/>
      <c r="Y145" s="451"/>
    </row>
    <row r="146" spans="2:25" x14ac:dyDescent="0.3">
      <c r="C146" s="298">
        <f>++'Add-On Input'!C14</f>
        <v>0</v>
      </c>
      <c r="D146" s="72" t="str">
        <f>++'Add-On Input'!D14</f>
        <v>[Add-on]</v>
      </c>
      <c r="E146" s="72"/>
      <c r="F146" s="200">
        <f>++'Add-On Input'!F14</f>
        <v>0</v>
      </c>
      <c r="G146" s="200">
        <f>++'Add-On Input'!G14</f>
        <v>0</v>
      </c>
      <c r="H146" s="200">
        <f>++'Add-On Input'!H14</f>
        <v>0</v>
      </c>
      <c r="I146" s="200">
        <f>++'Add-On Input'!I14</f>
        <v>0</v>
      </c>
      <c r="J146" s="200">
        <f>++'Add-On Input'!J14</f>
        <v>0</v>
      </c>
      <c r="K146" s="200">
        <f>++'Add-On Input'!K14</f>
        <v>0</v>
      </c>
      <c r="L146" s="255">
        <f>++'Add-On Input'!M14</f>
        <v>0</v>
      </c>
      <c r="M146" s="299">
        <f>++'Add-On Input'!N14</f>
        <v>0</v>
      </c>
      <c r="O146" s="449"/>
      <c r="P146" s="450"/>
      <c r="Q146" s="450"/>
      <c r="R146" s="450"/>
      <c r="S146" s="450"/>
      <c r="T146" s="450"/>
      <c r="U146" s="450"/>
      <c r="V146" s="450"/>
      <c r="W146" s="450"/>
      <c r="X146" s="450"/>
      <c r="Y146" s="451"/>
    </row>
    <row r="147" spans="2:25" x14ac:dyDescent="0.3">
      <c r="C147" s="298">
        <f>++'Add-On Input'!C15</f>
        <v>0</v>
      </c>
      <c r="D147" s="72" t="str">
        <f>++'Add-On Input'!D15</f>
        <v>[Add-on]</v>
      </c>
      <c r="E147" s="72"/>
      <c r="F147" s="200">
        <f>++'Add-On Input'!F15</f>
        <v>0</v>
      </c>
      <c r="G147" s="200">
        <f>++'Add-On Input'!G15</f>
        <v>0</v>
      </c>
      <c r="H147" s="200">
        <f>++'Add-On Input'!H15</f>
        <v>0</v>
      </c>
      <c r="I147" s="200">
        <f>++'Add-On Input'!I15</f>
        <v>0</v>
      </c>
      <c r="J147" s="200">
        <f>++'Add-On Input'!J15</f>
        <v>0</v>
      </c>
      <c r="K147" s="200">
        <f>++'Add-On Input'!K15</f>
        <v>0</v>
      </c>
      <c r="L147" s="255">
        <f>++'Add-On Input'!M15</f>
        <v>0</v>
      </c>
      <c r="M147" s="299">
        <f>++'Add-On Input'!N15</f>
        <v>0</v>
      </c>
      <c r="O147" s="449"/>
      <c r="P147" s="450"/>
      <c r="Q147" s="450"/>
      <c r="R147" s="450"/>
      <c r="S147" s="450"/>
      <c r="T147" s="450"/>
      <c r="U147" s="450"/>
      <c r="V147" s="450"/>
      <c r="W147" s="450"/>
      <c r="X147" s="450"/>
      <c r="Y147" s="451"/>
    </row>
    <row r="148" spans="2:25" x14ac:dyDescent="0.3">
      <c r="C148" s="298">
        <f>++'Add-On Input'!C16</f>
        <v>0</v>
      </c>
      <c r="D148" s="72" t="str">
        <f>++'Add-On Input'!D16</f>
        <v>[Add-on]</v>
      </c>
      <c r="E148" s="72"/>
      <c r="F148" s="200">
        <f>++'Add-On Input'!F16</f>
        <v>0</v>
      </c>
      <c r="G148" s="200">
        <f>++'Add-On Input'!G16</f>
        <v>0</v>
      </c>
      <c r="H148" s="200">
        <f>++'Add-On Input'!H16</f>
        <v>0</v>
      </c>
      <c r="I148" s="200">
        <f>++'Add-On Input'!I16</f>
        <v>0</v>
      </c>
      <c r="J148" s="200">
        <f>++'Add-On Input'!J16</f>
        <v>0</v>
      </c>
      <c r="K148" s="200">
        <f>++'Add-On Input'!K16</f>
        <v>0</v>
      </c>
      <c r="L148" s="255">
        <f>++'Add-On Input'!M16</f>
        <v>0</v>
      </c>
      <c r="M148" s="299">
        <f>++'Add-On Input'!N16</f>
        <v>0</v>
      </c>
      <c r="O148" s="452"/>
      <c r="P148" s="453"/>
      <c r="Q148" s="453"/>
      <c r="R148" s="453"/>
      <c r="S148" s="453"/>
      <c r="T148" s="453"/>
      <c r="U148" s="453"/>
      <c r="V148" s="453"/>
      <c r="W148" s="453"/>
      <c r="X148" s="453"/>
      <c r="Y148" s="454"/>
    </row>
    <row r="149" spans="2:25" ht="12.75" customHeight="1" x14ac:dyDescent="0.3">
      <c r="C149" s="298">
        <f>++'Add-On Input'!C17</f>
        <v>0</v>
      </c>
      <c r="D149" s="72" t="str">
        <f>++'Add-On Input'!D17</f>
        <v>[Add-on]</v>
      </c>
      <c r="E149" s="72"/>
      <c r="F149" s="200">
        <f>++'Add-On Input'!F17</f>
        <v>0</v>
      </c>
      <c r="G149" s="200">
        <f>++'Add-On Input'!G17</f>
        <v>0</v>
      </c>
      <c r="H149" s="200">
        <f>++'Add-On Input'!H17</f>
        <v>0</v>
      </c>
      <c r="I149" s="200">
        <f>++'Add-On Input'!I17</f>
        <v>0</v>
      </c>
      <c r="J149" s="200">
        <f>++'Add-On Input'!J17</f>
        <v>0</v>
      </c>
      <c r="K149" s="200">
        <f>++'Add-On Input'!K17</f>
        <v>0</v>
      </c>
      <c r="L149" s="255">
        <f>++'Add-On Input'!M17</f>
        <v>0</v>
      </c>
      <c r="M149" s="299">
        <f>++'Add-On Input'!N17</f>
        <v>0</v>
      </c>
      <c r="O149" s="307" t="s">
        <v>103</v>
      </c>
      <c r="P149" s="159" t="s">
        <v>391</v>
      </c>
      <c r="Q149" s="308"/>
      <c r="R149" s="308"/>
      <c r="S149" s="309"/>
      <c r="T149" s="310" t="s">
        <v>104</v>
      </c>
      <c r="U149" s="160" t="s">
        <v>380</v>
      </c>
      <c r="V149" s="310" t="s">
        <v>105</v>
      </c>
      <c r="W149" s="162">
        <v>0</v>
      </c>
      <c r="X149" s="310" t="s">
        <v>106</v>
      </c>
      <c r="Y149" s="161">
        <v>0</v>
      </c>
    </row>
    <row r="150" spans="2:25" x14ac:dyDescent="0.3">
      <c r="C150" s="298">
        <f>++'Add-On Input'!C18</f>
        <v>0</v>
      </c>
      <c r="D150" s="72" t="str">
        <f>++'Add-On Input'!D18</f>
        <v>[Add-on]</v>
      </c>
      <c r="E150" s="72"/>
      <c r="F150" s="200">
        <f>++'Add-On Input'!F18</f>
        <v>0</v>
      </c>
      <c r="G150" s="200">
        <f>++'Add-On Input'!G18</f>
        <v>0</v>
      </c>
      <c r="H150" s="200">
        <f>++'Add-On Input'!H18</f>
        <v>0</v>
      </c>
      <c r="I150" s="200">
        <f>++'Add-On Input'!I18</f>
        <v>0</v>
      </c>
      <c r="J150" s="200">
        <f>++'Add-On Input'!J18</f>
        <v>0</v>
      </c>
      <c r="K150" s="200">
        <f>++'Add-On Input'!K18</f>
        <v>0</v>
      </c>
      <c r="L150" s="255">
        <f>++'Add-On Input'!M18</f>
        <v>0</v>
      </c>
      <c r="M150" s="299">
        <f>++'Add-On Input'!N18</f>
        <v>0</v>
      </c>
      <c r="O150" s="446" t="s">
        <v>3</v>
      </c>
      <c r="P150" s="447"/>
      <c r="Q150" s="447"/>
      <c r="R150" s="447"/>
      <c r="S150" s="447"/>
      <c r="T150" s="447"/>
      <c r="U150" s="447"/>
      <c r="V150" s="447"/>
      <c r="W150" s="447"/>
      <c r="X150" s="447"/>
      <c r="Y150" s="448"/>
    </row>
    <row r="151" spans="2:25" x14ac:dyDescent="0.3">
      <c r="C151" s="298">
        <f>++'Add-On Input'!C19</f>
        <v>0</v>
      </c>
      <c r="D151" s="72" t="str">
        <f>++'Add-On Input'!D19</f>
        <v>[Add-on]</v>
      </c>
      <c r="E151" s="72"/>
      <c r="F151" s="200">
        <f>++'Add-On Input'!F19</f>
        <v>0</v>
      </c>
      <c r="G151" s="200">
        <f>++'Add-On Input'!G19</f>
        <v>0</v>
      </c>
      <c r="H151" s="200">
        <f>++'Add-On Input'!H19</f>
        <v>0</v>
      </c>
      <c r="I151" s="200">
        <f>++'Add-On Input'!I19</f>
        <v>0</v>
      </c>
      <c r="J151" s="200">
        <f>++'Add-On Input'!J19</f>
        <v>0</v>
      </c>
      <c r="K151" s="200">
        <f>++'Add-On Input'!K19</f>
        <v>0</v>
      </c>
      <c r="L151" s="255">
        <f>++'Add-On Input'!M19</f>
        <v>0</v>
      </c>
      <c r="M151" s="299">
        <f>++'Add-On Input'!N19</f>
        <v>0</v>
      </c>
      <c r="O151" s="449"/>
      <c r="P151" s="450"/>
      <c r="Q151" s="450"/>
      <c r="R151" s="450"/>
      <c r="S151" s="450"/>
      <c r="T151" s="450"/>
      <c r="U151" s="450"/>
      <c r="V151" s="450"/>
      <c r="W151" s="450"/>
      <c r="X151" s="450"/>
      <c r="Y151" s="451"/>
    </row>
    <row r="152" spans="2:25" ht="12.75" customHeight="1" x14ac:dyDescent="0.3">
      <c r="C152" s="298">
        <f>++'Add-On Input'!C20</f>
        <v>0</v>
      </c>
      <c r="D152" s="72" t="str">
        <f>++'Add-On Input'!D20</f>
        <v>[Add-on]</v>
      </c>
      <c r="E152" s="72"/>
      <c r="F152" s="200">
        <f>++'Add-On Input'!F20</f>
        <v>0</v>
      </c>
      <c r="G152" s="200">
        <f>++'Add-On Input'!G20</f>
        <v>0</v>
      </c>
      <c r="H152" s="200">
        <f>++'Add-On Input'!H20</f>
        <v>0</v>
      </c>
      <c r="I152" s="200">
        <f>++'Add-On Input'!I20</f>
        <v>0</v>
      </c>
      <c r="J152" s="200">
        <f>++'Add-On Input'!J20</f>
        <v>0</v>
      </c>
      <c r="K152" s="200">
        <f>++'Add-On Input'!K20</f>
        <v>0</v>
      </c>
      <c r="L152" s="255">
        <f>++'Add-On Input'!M20</f>
        <v>0</v>
      </c>
      <c r="M152" s="299">
        <f>++'Add-On Input'!N20</f>
        <v>0</v>
      </c>
      <c r="O152" s="449"/>
      <c r="P152" s="450"/>
      <c r="Q152" s="450"/>
      <c r="R152" s="450"/>
      <c r="S152" s="450"/>
      <c r="T152" s="450"/>
      <c r="U152" s="450"/>
      <c r="V152" s="450"/>
      <c r="W152" s="450"/>
      <c r="X152" s="450"/>
      <c r="Y152" s="451"/>
    </row>
    <row r="153" spans="2:25" x14ac:dyDescent="0.3">
      <c r="C153" s="298">
        <f>++'Add-On Input'!C21</f>
        <v>0</v>
      </c>
      <c r="D153" s="72" t="str">
        <f>++'Add-On Input'!D21</f>
        <v>[Add-on]</v>
      </c>
      <c r="E153" s="72"/>
      <c r="F153" s="200">
        <f>++'Add-On Input'!F21</f>
        <v>0</v>
      </c>
      <c r="G153" s="200">
        <f>++'Add-On Input'!G21</f>
        <v>0</v>
      </c>
      <c r="H153" s="200">
        <f>++'Add-On Input'!H21</f>
        <v>0</v>
      </c>
      <c r="I153" s="200">
        <f>++'Add-On Input'!I21</f>
        <v>0</v>
      </c>
      <c r="J153" s="200">
        <f>++'Add-On Input'!J21</f>
        <v>0</v>
      </c>
      <c r="K153" s="200">
        <f>++'Add-On Input'!K21</f>
        <v>0</v>
      </c>
      <c r="L153" s="255">
        <f>++'Add-On Input'!M21</f>
        <v>0</v>
      </c>
      <c r="M153" s="299">
        <f>++'Add-On Input'!N21</f>
        <v>0</v>
      </c>
      <c r="O153" s="449"/>
      <c r="P153" s="450"/>
      <c r="Q153" s="450"/>
      <c r="R153" s="450"/>
      <c r="S153" s="450"/>
      <c r="T153" s="450"/>
      <c r="U153" s="450"/>
      <c r="V153" s="450"/>
      <c r="W153" s="450"/>
      <c r="X153" s="450"/>
      <c r="Y153" s="451"/>
    </row>
    <row r="154" spans="2:25" x14ac:dyDescent="0.3">
      <c r="C154" s="298">
        <f>++'Add-On Input'!C22</f>
        <v>0</v>
      </c>
      <c r="D154" s="72" t="str">
        <f>++'Add-On Input'!D22</f>
        <v>[Add-on]</v>
      </c>
      <c r="E154" s="72"/>
      <c r="F154" s="200">
        <f>++'Add-On Input'!F22</f>
        <v>0</v>
      </c>
      <c r="G154" s="200">
        <f>++'Add-On Input'!G22</f>
        <v>0</v>
      </c>
      <c r="H154" s="200">
        <f>++'Add-On Input'!H22</f>
        <v>0</v>
      </c>
      <c r="I154" s="200">
        <f>++'Add-On Input'!I22</f>
        <v>0</v>
      </c>
      <c r="J154" s="200">
        <f>++'Add-On Input'!J22</f>
        <v>0</v>
      </c>
      <c r="K154" s="200">
        <f>++'Add-On Input'!K22</f>
        <v>0</v>
      </c>
      <c r="L154" s="255">
        <f>++'Add-On Input'!M22</f>
        <v>0</v>
      </c>
      <c r="M154" s="299">
        <f>++'Add-On Input'!N22</f>
        <v>0</v>
      </c>
      <c r="O154" s="449"/>
      <c r="P154" s="450"/>
      <c r="Q154" s="450"/>
      <c r="R154" s="450"/>
      <c r="S154" s="450"/>
      <c r="T154" s="450"/>
      <c r="U154" s="450"/>
      <c r="V154" s="450"/>
      <c r="W154" s="450"/>
      <c r="X154" s="450"/>
      <c r="Y154" s="451"/>
    </row>
    <row r="155" spans="2:25" x14ac:dyDescent="0.3">
      <c r="C155" s="298">
        <f>++'Add-On Input'!C23</f>
        <v>0</v>
      </c>
      <c r="D155" s="72" t="str">
        <f>++'Add-On Input'!D23</f>
        <v>[Add-on]</v>
      </c>
      <c r="E155" s="72"/>
      <c r="F155" s="200">
        <f>++'Add-On Input'!F23</f>
        <v>0</v>
      </c>
      <c r="G155" s="200">
        <f>++'Add-On Input'!G23</f>
        <v>0</v>
      </c>
      <c r="H155" s="200">
        <f>++'Add-On Input'!H23</f>
        <v>0</v>
      </c>
      <c r="I155" s="200">
        <f>++'Add-On Input'!I23</f>
        <v>0</v>
      </c>
      <c r="J155" s="200">
        <f>++'Add-On Input'!J23</f>
        <v>0</v>
      </c>
      <c r="K155" s="200">
        <f>++'Add-On Input'!K23</f>
        <v>0</v>
      </c>
      <c r="L155" s="255">
        <f>++'Add-On Input'!M23</f>
        <v>0</v>
      </c>
      <c r="M155" s="299">
        <f>++'Add-On Input'!N23</f>
        <v>0</v>
      </c>
      <c r="O155" s="452"/>
      <c r="P155" s="453"/>
      <c r="Q155" s="453"/>
      <c r="R155" s="453"/>
      <c r="S155" s="453"/>
      <c r="T155" s="453"/>
      <c r="U155" s="453"/>
      <c r="V155" s="453"/>
      <c r="W155" s="453"/>
      <c r="X155" s="453"/>
      <c r="Y155" s="454"/>
    </row>
    <row r="156" spans="2:25" x14ac:dyDescent="0.3">
      <c r="C156" s="155" t="s">
        <v>115</v>
      </c>
      <c r="D156" s="156"/>
      <c r="E156" s="156"/>
      <c r="F156" s="300">
        <f>++'Add-On Input'!F25</f>
        <v>0</v>
      </c>
      <c r="G156" s="300">
        <f>++'Add-On Input'!G25</f>
        <v>0</v>
      </c>
      <c r="H156" s="300">
        <f>++'Add-On Input'!H25</f>
        <v>0</v>
      </c>
      <c r="I156" s="300">
        <f>++'Add-On Input'!I25</f>
        <v>0</v>
      </c>
      <c r="J156" s="300">
        <f>++'Add-On Input'!J25</f>
        <v>0</v>
      </c>
      <c r="K156" s="300">
        <f>++'Add-On Input'!K25</f>
        <v>0</v>
      </c>
      <c r="L156" s="301">
        <f>++'Add-On Input'!M25</f>
        <v>0</v>
      </c>
      <c r="M156" s="302">
        <f>++'Add-On Input'!N25</f>
        <v>0</v>
      </c>
      <c r="O156" s="307" t="s">
        <v>103</v>
      </c>
      <c r="P156" s="159" t="s">
        <v>391</v>
      </c>
      <c r="Q156" s="308"/>
      <c r="R156" s="308"/>
      <c r="S156" s="309"/>
      <c r="T156" s="310" t="s">
        <v>104</v>
      </c>
      <c r="U156" s="160" t="s">
        <v>380</v>
      </c>
      <c r="V156" s="310" t="s">
        <v>105</v>
      </c>
      <c r="W156" s="162">
        <v>0</v>
      </c>
      <c r="X156" s="310" t="s">
        <v>106</v>
      </c>
      <c r="Y156" s="161">
        <v>0</v>
      </c>
    </row>
    <row r="157" spans="2:25" x14ac:dyDescent="0.3">
      <c r="C157" s="157" t="s">
        <v>116</v>
      </c>
      <c r="D157" s="158"/>
      <c r="E157" s="158"/>
      <c r="F157" s="303">
        <f>++'Add-On Input'!F26</f>
        <v>0</v>
      </c>
      <c r="G157" s="303">
        <f>++'Add-On Input'!G26</f>
        <v>0</v>
      </c>
      <c r="H157" s="303">
        <f>++'Add-On Input'!H26</f>
        <v>0</v>
      </c>
      <c r="I157" s="303">
        <f>++'Add-On Input'!I26</f>
        <v>0</v>
      </c>
      <c r="J157" s="303">
        <f>++'Add-On Input'!J26</f>
        <v>0</v>
      </c>
      <c r="K157" s="303">
        <f>++'Add-On Input'!K26</f>
        <v>0</v>
      </c>
      <c r="L157" s="304">
        <f>++'Add-On Input'!M26</f>
        <v>0</v>
      </c>
      <c r="M157" s="305">
        <f>++'Add-On Input'!N26</f>
        <v>0</v>
      </c>
      <c r="O157" s="446" t="s">
        <v>3</v>
      </c>
      <c r="P157" s="447"/>
      <c r="Q157" s="447"/>
      <c r="R157" s="447"/>
      <c r="S157" s="447"/>
      <c r="T157" s="447"/>
      <c r="U157" s="447"/>
      <c r="V157" s="447"/>
      <c r="W157" s="447"/>
      <c r="X157" s="447"/>
      <c r="Y157" s="448"/>
    </row>
    <row r="158" spans="2:25" x14ac:dyDescent="0.3">
      <c r="O158" s="449"/>
      <c r="P158" s="450"/>
      <c r="Q158" s="450"/>
      <c r="R158" s="450"/>
      <c r="S158" s="450"/>
      <c r="T158" s="450"/>
      <c r="U158" s="450"/>
      <c r="V158" s="450"/>
      <c r="W158" s="450"/>
      <c r="X158" s="450"/>
      <c r="Y158" s="451"/>
    </row>
    <row r="159" spans="2:25" ht="12.75" customHeight="1" x14ac:dyDescent="0.3">
      <c r="B159" s="16" t="s">
        <v>0</v>
      </c>
      <c r="C159" s="141" t="s">
        <v>102</v>
      </c>
      <c r="D159" s="142"/>
      <c r="E159" s="142"/>
      <c r="F159" s="142"/>
      <c r="G159" s="142"/>
      <c r="H159" s="142"/>
      <c r="I159" s="142"/>
      <c r="J159" s="142"/>
      <c r="K159" s="142"/>
      <c r="L159" s="142"/>
      <c r="M159" s="144"/>
      <c r="O159" s="449"/>
      <c r="P159" s="450"/>
      <c r="Q159" s="450"/>
      <c r="R159" s="450"/>
      <c r="S159" s="450"/>
      <c r="T159" s="450"/>
      <c r="U159" s="450"/>
      <c r="V159" s="450"/>
      <c r="W159" s="450"/>
      <c r="X159" s="450"/>
      <c r="Y159" s="451"/>
    </row>
    <row r="160" spans="2:25" x14ac:dyDescent="0.3">
      <c r="C160" s="458" t="s">
        <v>517</v>
      </c>
      <c r="D160" s="459"/>
      <c r="E160" s="459"/>
      <c r="F160" s="459"/>
      <c r="G160" s="459"/>
      <c r="H160" s="459"/>
      <c r="I160" s="459"/>
      <c r="J160" s="459"/>
      <c r="K160" s="459"/>
      <c r="L160" s="459"/>
      <c r="M160" s="460"/>
      <c r="O160" s="449"/>
      <c r="P160" s="450"/>
      <c r="Q160" s="450"/>
      <c r="R160" s="450"/>
      <c r="S160" s="450"/>
      <c r="T160" s="450"/>
      <c r="U160" s="450"/>
      <c r="V160" s="450"/>
      <c r="W160" s="450"/>
      <c r="X160" s="450"/>
      <c r="Y160" s="451"/>
    </row>
    <row r="161" spans="3:25" x14ac:dyDescent="0.3">
      <c r="C161" s="449"/>
      <c r="D161" s="450"/>
      <c r="E161" s="450"/>
      <c r="F161" s="450"/>
      <c r="G161" s="450"/>
      <c r="H161" s="450"/>
      <c r="I161" s="450"/>
      <c r="J161" s="450"/>
      <c r="K161" s="450"/>
      <c r="L161" s="450"/>
      <c r="M161" s="451"/>
      <c r="O161" s="449"/>
      <c r="P161" s="450"/>
      <c r="Q161" s="450"/>
      <c r="R161" s="450"/>
      <c r="S161" s="450"/>
      <c r="T161" s="450"/>
      <c r="U161" s="450"/>
      <c r="V161" s="450"/>
      <c r="W161" s="450"/>
      <c r="X161" s="450"/>
      <c r="Y161" s="451"/>
    </row>
    <row r="162" spans="3:25" x14ac:dyDescent="0.3">
      <c r="C162" s="449"/>
      <c r="D162" s="450"/>
      <c r="E162" s="450"/>
      <c r="F162" s="450"/>
      <c r="G162" s="450"/>
      <c r="H162" s="450"/>
      <c r="I162" s="450"/>
      <c r="J162" s="450"/>
      <c r="K162" s="450"/>
      <c r="L162" s="450"/>
      <c r="M162" s="451"/>
      <c r="O162" s="452"/>
      <c r="P162" s="453"/>
      <c r="Q162" s="453"/>
      <c r="R162" s="453"/>
      <c r="S162" s="453"/>
      <c r="T162" s="453"/>
      <c r="U162" s="453"/>
      <c r="V162" s="453"/>
      <c r="W162" s="453"/>
      <c r="X162" s="453"/>
      <c r="Y162" s="454"/>
    </row>
    <row r="163" spans="3:25" x14ac:dyDescent="0.3">
      <c r="C163" s="449"/>
      <c r="D163" s="450"/>
      <c r="E163" s="450"/>
      <c r="F163" s="450"/>
      <c r="G163" s="450"/>
      <c r="H163" s="450"/>
      <c r="I163" s="450"/>
      <c r="J163" s="450"/>
      <c r="K163" s="450"/>
      <c r="L163" s="450"/>
      <c r="M163" s="451"/>
      <c r="O163" s="307" t="s">
        <v>103</v>
      </c>
      <c r="P163" s="159" t="s">
        <v>391</v>
      </c>
      <c r="Q163" s="308"/>
      <c r="R163" s="308"/>
      <c r="S163" s="309"/>
      <c r="T163" s="310" t="s">
        <v>104</v>
      </c>
      <c r="U163" s="160" t="s">
        <v>380</v>
      </c>
      <c r="V163" s="310" t="s">
        <v>105</v>
      </c>
      <c r="W163" s="162">
        <v>0</v>
      </c>
      <c r="X163" s="310" t="s">
        <v>106</v>
      </c>
      <c r="Y163" s="161">
        <v>0</v>
      </c>
    </row>
    <row r="164" spans="3:25" x14ac:dyDescent="0.3">
      <c r="C164" s="449"/>
      <c r="D164" s="450"/>
      <c r="E164" s="450"/>
      <c r="F164" s="450"/>
      <c r="G164" s="450"/>
      <c r="H164" s="450"/>
      <c r="I164" s="450"/>
      <c r="J164" s="450"/>
      <c r="K164" s="450"/>
      <c r="L164" s="450"/>
      <c r="M164" s="451"/>
      <c r="O164" s="446" t="s">
        <v>3</v>
      </c>
      <c r="P164" s="447"/>
      <c r="Q164" s="447"/>
      <c r="R164" s="447"/>
      <c r="S164" s="447"/>
      <c r="T164" s="447"/>
      <c r="U164" s="447"/>
      <c r="V164" s="447"/>
      <c r="W164" s="447"/>
      <c r="X164" s="447"/>
      <c r="Y164" s="448"/>
    </row>
    <row r="165" spans="3:25" x14ac:dyDescent="0.3">
      <c r="C165" s="449"/>
      <c r="D165" s="450"/>
      <c r="E165" s="450"/>
      <c r="F165" s="450"/>
      <c r="G165" s="450"/>
      <c r="H165" s="450"/>
      <c r="I165" s="450"/>
      <c r="J165" s="450"/>
      <c r="K165" s="450"/>
      <c r="L165" s="450"/>
      <c r="M165" s="451"/>
      <c r="O165" s="449"/>
      <c r="P165" s="450"/>
      <c r="Q165" s="450"/>
      <c r="R165" s="450"/>
      <c r="S165" s="450"/>
      <c r="T165" s="450"/>
      <c r="U165" s="450"/>
      <c r="V165" s="450"/>
      <c r="W165" s="450"/>
      <c r="X165" s="450"/>
      <c r="Y165" s="451"/>
    </row>
    <row r="166" spans="3:25" ht="12.75" customHeight="1" x14ac:dyDescent="0.3">
      <c r="C166" s="449"/>
      <c r="D166" s="450"/>
      <c r="E166" s="450"/>
      <c r="F166" s="450"/>
      <c r="G166" s="450"/>
      <c r="H166" s="450"/>
      <c r="I166" s="450"/>
      <c r="J166" s="450"/>
      <c r="K166" s="450"/>
      <c r="L166" s="450"/>
      <c r="M166" s="451"/>
      <c r="O166" s="449"/>
      <c r="P166" s="450"/>
      <c r="Q166" s="450"/>
      <c r="R166" s="450"/>
      <c r="S166" s="450"/>
      <c r="T166" s="450"/>
      <c r="U166" s="450"/>
      <c r="V166" s="450"/>
      <c r="W166" s="450"/>
      <c r="X166" s="450"/>
      <c r="Y166" s="451"/>
    </row>
    <row r="167" spans="3:25" x14ac:dyDescent="0.3">
      <c r="C167" s="449"/>
      <c r="D167" s="450"/>
      <c r="E167" s="450"/>
      <c r="F167" s="450"/>
      <c r="G167" s="450"/>
      <c r="H167" s="450"/>
      <c r="I167" s="450"/>
      <c r="J167" s="450"/>
      <c r="K167" s="450"/>
      <c r="L167" s="450"/>
      <c r="M167" s="451"/>
      <c r="O167" s="449"/>
      <c r="P167" s="450"/>
      <c r="Q167" s="450"/>
      <c r="R167" s="450"/>
      <c r="S167" s="450"/>
      <c r="T167" s="450"/>
      <c r="U167" s="450"/>
      <c r="V167" s="450"/>
      <c r="W167" s="450"/>
      <c r="X167" s="450"/>
      <c r="Y167" s="451"/>
    </row>
    <row r="168" spans="3:25" x14ac:dyDescent="0.3">
      <c r="C168" s="449"/>
      <c r="D168" s="450"/>
      <c r="E168" s="450"/>
      <c r="F168" s="450"/>
      <c r="G168" s="450"/>
      <c r="H168" s="450"/>
      <c r="I168" s="450"/>
      <c r="J168" s="450"/>
      <c r="K168" s="450"/>
      <c r="L168" s="450"/>
      <c r="M168" s="451"/>
      <c r="O168" s="449"/>
      <c r="P168" s="450"/>
      <c r="Q168" s="450"/>
      <c r="R168" s="450"/>
      <c r="S168" s="450"/>
      <c r="T168" s="450"/>
      <c r="U168" s="450"/>
      <c r="V168" s="450"/>
      <c r="W168" s="450"/>
      <c r="X168" s="450"/>
      <c r="Y168" s="451"/>
    </row>
    <row r="169" spans="3:25" x14ac:dyDescent="0.3">
      <c r="C169" s="449"/>
      <c r="D169" s="450"/>
      <c r="E169" s="450"/>
      <c r="F169" s="450"/>
      <c r="G169" s="450"/>
      <c r="H169" s="450"/>
      <c r="I169" s="450"/>
      <c r="J169" s="450"/>
      <c r="K169" s="450"/>
      <c r="L169" s="450"/>
      <c r="M169" s="451"/>
      <c r="O169" s="452"/>
      <c r="P169" s="453"/>
      <c r="Q169" s="453"/>
      <c r="R169" s="453"/>
      <c r="S169" s="453"/>
      <c r="T169" s="453"/>
      <c r="U169" s="453"/>
      <c r="V169" s="453"/>
      <c r="W169" s="453"/>
      <c r="X169" s="453"/>
      <c r="Y169" s="454"/>
    </row>
    <row r="170" spans="3:25" x14ac:dyDescent="0.3">
      <c r="C170" s="449"/>
      <c r="D170" s="450"/>
      <c r="E170" s="450"/>
      <c r="F170" s="450"/>
      <c r="G170" s="450"/>
      <c r="H170" s="450"/>
      <c r="I170" s="450"/>
      <c r="J170" s="450"/>
      <c r="K170" s="450"/>
      <c r="L170" s="450"/>
      <c r="M170" s="451"/>
      <c r="O170" s="307" t="s">
        <v>103</v>
      </c>
      <c r="P170" s="159" t="s">
        <v>391</v>
      </c>
      <c r="Q170" s="308"/>
      <c r="R170" s="308"/>
      <c r="S170" s="309"/>
      <c r="T170" s="310" t="s">
        <v>104</v>
      </c>
      <c r="U170" s="311" t="s">
        <v>380</v>
      </c>
      <c r="V170" s="310" t="s">
        <v>105</v>
      </c>
      <c r="W170" s="162">
        <v>0</v>
      </c>
      <c r="X170" s="310" t="s">
        <v>106</v>
      </c>
      <c r="Y170" s="161">
        <v>0</v>
      </c>
    </row>
    <row r="171" spans="3:25" x14ac:dyDescent="0.3">
      <c r="C171" s="449"/>
      <c r="D171" s="450"/>
      <c r="E171" s="450"/>
      <c r="F171" s="450"/>
      <c r="G171" s="450"/>
      <c r="H171" s="450"/>
      <c r="I171" s="450"/>
      <c r="J171" s="450"/>
      <c r="K171" s="450"/>
      <c r="L171" s="450"/>
      <c r="M171" s="451"/>
      <c r="O171" s="446" t="s">
        <v>3</v>
      </c>
      <c r="P171" s="447"/>
      <c r="Q171" s="447"/>
      <c r="R171" s="447"/>
      <c r="S171" s="447"/>
      <c r="T171" s="447"/>
      <c r="U171" s="447"/>
      <c r="V171" s="447"/>
      <c r="W171" s="447"/>
      <c r="X171" s="447"/>
      <c r="Y171" s="448"/>
    </row>
    <row r="172" spans="3:25" x14ac:dyDescent="0.3">
      <c r="C172" s="449"/>
      <c r="D172" s="450"/>
      <c r="E172" s="450"/>
      <c r="F172" s="450"/>
      <c r="G172" s="450"/>
      <c r="H172" s="450"/>
      <c r="I172" s="450"/>
      <c r="J172" s="450"/>
      <c r="K172" s="450"/>
      <c r="L172" s="450"/>
      <c r="M172" s="451"/>
      <c r="O172" s="449"/>
      <c r="P172" s="450"/>
      <c r="Q172" s="450"/>
      <c r="R172" s="450"/>
      <c r="S172" s="450"/>
      <c r="T172" s="450"/>
      <c r="U172" s="450"/>
      <c r="V172" s="450"/>
      <c r="W172" s="450"/>
      <c r="X172" s="450"/>
      <c r="Y172" s="451"/>
    </row>
    <row r="173" spans="3:25" ht="12.75" customHeight="1" x14ac:dyDescent="0.3">
      <c r="C173" s="449"/>
      <c r="D173" s="450"/>
      <c r="E173" s="450"/>
      <c r="F173" s="450"/>
      <c r="G173" s="450"/>
      <c r="H173" s="450"/>
      <c r="I173" s="450"/>
      <c r="J173" s="450"/>
      <c r="K173" s="450"/>
      <c r="L173" s="450"/>
      <c r="M173" s="451"/>
      <c r="O173" s="449"/>
      <c r="P173" s="450"/>
      <c r="Q173" s="450"/>
      <c r="R173" s="450"/>
      <c r="S173" s="450"/>
      <c r="T173" s="450"/>
      <c r="U173" s="450"/>
      <c r="V173" s="450"/>
      <c r="W173" s="450"/>
      <c r="X173" s="450"/>
      <c r="Y173" s="451"/>
    </row>
    <row r="174" spans="3:25" x14ac:dyDescent="0.3">
      <c r="C174" s="449"/>
      <c r="D174" s="450"/>
      <c r="E174" s="450"/>
      <c r="F174" s="450"/>
      <c r="G174" s="450"/>
      <c r="H174" s="450"/>
      <c r="I174" s="450"/>
      <c r="J174" s="450"/>
      <c r="K174" s="450"/>
      <c r="L174" s="450"/>
      <c r="M174" s="451"/>
      <c r="O174" s="449"/>
      <c r="P174" s="450"/>
      <c r="Q174" s="450"/>
      <c r="R174" s="450"/>
      <c r="S174" s="450"/>
      <c r="T174" s="450"/>
      <c r="U174" s="450"/>
      <c r="V174" s="450"/>
      <c r="W174" s="450"/>
      <c r="X174" s="450"/>
      <c r="Y174" s="451"/>
    </row>
    <row r="175" spans="3:25" x14ac:dyDescent="0.3">
      <c r="C175" s="449"/>
      <c r="D175" s="450"/>
      <c r="E175" s="450"/>
      <c r="F175" s="450"/>
      <c r="G175" s="450"/>
      <c r="H175" s="450"/>
      <c r="I175" s="450"/>
      <c r="J175" s="450"/>
      <c r="K175" s="450"/>
      <c r="L175" s="450"/>
      <c r="M175" s="451"/>
      <c r="O175" s="449"/>
      <c r="P175" s="450"/>
      <c r="Q175" s="450"/>
      <c r="R175" s="450"/>
      <c r="S175" s="450"/>
      <c r="T175" s="450"/>
      <c r="U175" s="450"/>
      <c r="V175" s="450"/>
      <c r="W175" s="450"/>
      <c r="X175" s="450"/>
      <c r="Y175" s="451"/>
    </row>
    <row r="176" spans="3:25" x14ac:dyDescent="0.3">
      <c r="C176" s="455"/>
      <c r="D176" s="456"/>
      <c r="E176" s="456"/>
      <c r="F176" s="456"/>
      <c r="G176" s="456"/>
      <c r="H176" s="456"/>
      <c r="I176" s="456"/>
      <c r="J176" s="456"/>
      <c r="K176" s="456"/>
      <c r="L176" s="456"/>
      <c r="M176" s="457"/>
      <c r="O176" s="455"/>
      <c r="P176" s="456"/>
      <c r="Q176" s="456"/>
      <c r="R176" s="456"/>
      <c r="S176" s="456"/>
      <c r="T176" s="456"/>
      <c r="U176" s="456"/>
      <c r="V176" s="456"/>
      <c r="W176" s="456"/>
      <c r="X176" s="456"/>
      <c r="Y176" s="457"/>
    </row>
    <row r="181" spans="1:2" x14ac:dyDescent="0.3">
      <c r="A181" s="16" t="s">
        <v>0</v>
      </c>
      <c r="B181" s="16" t="s">
        <v>0</v>
      </c>
    </row>
  </sheetData>
  <mergeCells count="18">
    <mergeCell ref="C114:E117"/>
    <mergeCell ref="C118:E121"/>
    <mergeCell ref="F114:M117"/>
    <mergeCell ref="F118:M121"/>
    <mergeCell ref="C160:M176"/>
    <mergeCell ref="M37:Y43"/>
    <mergeCell ref="C37:K43"/>
    <mergeCell ref="F94:M100"/>
    <mergeCell ref="F101:M107"/>
    <mergeCell ref="F108:M113"/>
    <mergeCell ref="C94:E100"/>
    <mergeCell ref="C101:E107"/>
    <mergeCell ref="C108:E113"/>
    <mergeCell ref="O143:Y148"/>
    <mergeCell ref="O150:Y155"/>
    <mergeCell ref="O157:Y162"/>
    <mergeCell ref="O164:Y169"/>
    <mergeCell ref="O171:Y176"/>
  </mergeCells>
  <conditionalFormatting sqref="F126:I128 F130:I132 F134:I136">
    <cfRule type="cellIs" dxfId="65" priority="1" operator="equal">
      <formula>"n/a"</formula>
    </cfRule>
  </conditionalFormatting>
  <pageMargins left="0.25" right="0.25" top="0.25" bottom="0.25" header="0.3" footer="0.3"/>
  <pageSetup scale="49" fitToHeight="0" orientation="landscape" horizontalDpi="2400" verticalDpi="2400" r:id="rId1"/>
  <customProperties>
    <customPr name="OrphanNamesChecked" r:id="rId2"/>
  </customProperties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F1589694-608F-478D-9718-DED869834D0C}">
          <x14:formula1>
            <xm:f>'Data Validation'!$N$8:$N$21</xm:f>
          </x14:formula1>
          <xm:sqref>E10</xm:sqref>
        </x14:dataValidation>
        <x14:dataValidation type="list" allowBlank="1" showInputMessage="1" showErrorMessage="1" xr:uid="{93F99C5D-812D-49BB-AA86-0040B938813B}">
          <x14:formula1>
            <xm:f>'Data Validation'!$C$44:$C$55</xm:f>
          </x14:formula1>
          <xm:sqref>E9</xm:sqref>
        </x14:dataValidation>
        <x14:dataValidation type="list" allowBlank="1" showInputMessage="1" showErrorMessage="1" xr:uid="{3E1DD98F-C0D6-4B1F-ACC8-62898E53C0E0}">
          <x14:formula1>
            <xm:f>'Data Validation'!$C$59:$C$62</xm:f>
          </x14:formula1>
          <xm:sqref>Q13</xm:sqref>
        </x14:dataValidation>
        <x14:dataValidation type="list" allowBlank="1" showInputMessage="1" showErrorMessage="1" xr:uid="{2C863DE3-517D-4937-8730-F22E7E7EDAB0}">
          <x14:formula1>
            <xm:f>'Data Validation'!$N$25:$N$48</xm:f>
          </x14:formula1>
          <xm:sqref>Q14</xm:sqref>
        </x14:dataValidation>
        <x14:dataValidation type="list" allowBlank="1" showInputMessage="1" showErrorMessage="1" xr:uid="{D08BA0CD-C760-472F-9B0D-08D3CE11BDF6}">
          <x14:formula1>
            <xm:f>'Data Validation'!$C$38:$C$40</xm:f>
          </x14:formula1>
          <xm:sqref>F20:F32</xm:sqref>
        </x14:dataValidation>
        <x14:dataValidation type="list" allowBlank="1" showInputMessage="1" showErrorMessage="1" xr:uid="{1D567662-B833-4FCF-81D2-D7D9A3A08DDC}">
          <x14:formula1>
            <xm:f>'Financials Input'!$G$3:$DC$3</xm:f>
          </x14:formula1>
          <xm:sqref>AC1</xm:sqref>
        </x14:dataValidation>
        <x14:dataValidation type="list" allowBlank="1" showInputMessage="1" showErrorMessage="1" xr:uid="{0800C778-5808-411A-B5A1-C33D24BCBF84}">
          <x14:formula1>
            <xm:f>'Data Validation'!$C$85:$C$87</xm:f>
          </x14:formula1>
          <xm:sqref>AC2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31DB-BBBC-4B9B-8611-1D673D4C9795}">
  <sheetPr>
    <tabColor theme="7"/>
    <pageSetUpPr fitToPage="1"/>
  </sheetPr>
  <dimension ref="A1:CI197"/>
  <sheetViews>
    <sheetView showGridLines="0" view="pageBreakPreview" zoomScale="85" zoomScaleNormal="100" zoomScaleSheetLayoutView="85" zoomScalePageLayoutView="55" workbookViewId="0"/>
  </sheetViews>
  <sheetFormatPr defaultColWidth="9.296875" defaultRowHeight="13" outlineLevelCol="1" x14ac:dyDescent="0.3"/>
  <cols>
    <col min="1" max="2" width="2.796875" style="101" customWidth="1"/>
    <col min="3" max="7" width="14.796875" style="101" customWidth="1"/>
    <col min="8" max="8" width="2.796875" style="101" customWidth="1"/>
    <col min="9" max="13" width="14.796875" style="101" customWidth="1"/>
    <col min="14" max="15" width="9.296875" style="101"/>
    <col min="16" max="29" width="11.796875" style="101" hidden="1" customWidth="1" outlineLevel="1"/>
    <col min="30" max="30" width="9.296875" style="101" hidden="1" customWidth="1" outlineLevel="1"/>
    <col min="31" max="33" width="11.796875" style="101" hidden="1" customWidth="1" outlineLevel="1"/>
    <col min="34" max="34" width="9.296875" style="101" hidden="1" customWidth="1" outlineLevel="1"/>
    <col min="35" max="37" width="11.796875" style="101" hidden="1" customWidth="1" outlineLevel="1"/>
    <col min="38" max="38" width="9.296875" style="101" hidden="1" customWidth="1" outlineLevel="1"/>
    <col min="39" max="41" width="11.796875" style="101" hidden="1" customWidth="1" outlineLevel="1"/>
    <col min="42" max="42" width="9.296875" style="101" hidden="1" customWidth="1" outlineLevel="1"/>
    <col min="43" max="45" width="11.796875" style="101" hidden="1" customWidth="1" outlineLevel="1"/>
    <col min="46" max="46" width="9.296875" style="101" hidden="1" customWidth="1" outlineLevel="1"/>
    <col min="47" max="49" width="11.796875" style="101" hidden="1" customWidth="1" outlineLevel="1"/>
    <col min="50" max="50" width="9.296875" style="101" hidden="1" customWidth="1" outlineLevel="1"/>
    <col min="51" max="53" width="11.796875" style="101" hidden="1" customWidth="1" outlineLevel="1"/>
    <col min="54" max="54" width="9.296875" style="101" hidden="1" customWidth="1" outlineLevel="1"/>
    <col min="55" max="67" width="11.796875" style="101" hidden="1" customWidth="1" outlineLevel="1"/>
    <col min="68" max="68" width="9.296875" style="101" hidden="1" customWidth="1" outlineLevel="1"/>
    <col min="69" max="72" width="11.796875" style="101" hidden="1" customWidth="1" outlineLevel="1"/>
    <col min="73" max="73" width="9.296875" style="101" hidden="1" customWidth="1" outlineLevel="1"/>
    <col min="74" max="77" width="11.796875" style="101" hidden="1" customWidth="1" outlineLevel="1"/>
    <col min="78" max="78" width="9.296875" style="101" hidden="1" customWidth="1" outlineLevel="1"/>
    <col min="79" max="82" width="11.796875" style="101" hidden="1" customWidth="1" outlineLevel="1"/>
    <col min="83" max="83" width="9.296875" style="101" hidden="1" customWidth="1" outlineLevel="1"/>
    <col min="84" max="86" width="11.796875" style="101" hidden="1" customWidth="1" outlineLevel="1"/>
    <col min="87" max="87" width="9.296875" style="101" collapsed="1"/>
    <col min="88" max="16384" width="9.296875" style="101"/>
  </cols>
  <sheetData>
    <row r="1" spans="1:13" x14ac:dyDescent="0.3">
      <c r="C1" s="174" t="str">
        <f>++Dashboard!$C$1</f>
        <v>[Company Name]</v>
      </c>
      <c r="D1" s="273"/>
      <c r="E1" s="314"/>
      <c r="M1" s="170"/>
    </row>
    <row r="2" spans="1:13" x14ac:dyDescent="0.3">
      <c r="C2" s="178" t="s">
        <v>456</v>
      </c>
      <c r="D2" s="277"/>
      <c r="E2" s="315"/>
    </row>
    <row r="3" spans="1:13" x14ac:dyDescent="0.3">
      <c r="C3" s="316" t="str">
        <f ca="1">++TEXT(TODAY(),"MMMM D, YYYY")</f>
        <v>February 26, 2026</v>
      </c>
      <c r="D3" s="317"/>
      <c r="E3" s="318"/>
    </row>
    <row r="5" spans="1:13" x14ac:dyDescent="0.3">
      <c r="A5" s="319" t="s">
        <v>0</v>
      </c>
      <c r="B5" s="319" t="s">
        <v>0</v>
      </c>
      <c r="C5" s="141" t="str">
        <f>++C2&amp;" ("&amp;FinChartType&amp;")"</f>
        <v>Financial Performance Trends (Reported)</v>
      </c>
      <c r="D5" s="348"/>
      <c r="E5" s="348"/>
      <c r="F5" s="348"/>
      <c r="G5" s="348"/>
      <c r="H5" s="348"/>
      <c r="I5" s="348"/>
      <c r="J5" s="348"/>
      <c r="K5" s="348"/>
      <c r="L5" s="348"/>
      <c r="M5" s="143" t="str">
        <f>++"Financial &amp; Credit KPIs as of "&amp;TEXT(LTMDate,"MMMM D, YYYY")</f>
        <v>Financial &amp; Credit KPIs as of September 30, 2025</v>
      </c>
    </row>
    <row r="6" spans="1:13" x14ac:dyDescent="0.3">
      <c r="C6" s="100" t="str">
        <f>++"FYE "&amp;TEXT(Dashboard!$E$11,"M/D")&amp;" | USD in millions"</f>
        <v>FYE 12/31 | USD in millions</v>
      </c>
    </row>
    <row r="7" spans="1:13" ht="5.15" customHeight="1" x14ac:dyDescent="0.3"/>
    <row r="8" spans="1:13" ht="14.5" x14ac:dyDescent="0.45">
      <c r="C8" s="169" t="s">
        <v>459</v>
      </c>
      <c r="D8" s="341"/>
      <c r="E8" s="341"/>
      <c r="F8" s="341"/>
      <c r="G8" s="341"/>
      <c r="I8" s="169" t="s">
        <v>458</v>
      </c>
      <c r="J8" s="341"/>
      <c r="K8" s="341"/>
      <c r="L8" s="341"/>
      <c r="M8" s="341"/>
    </row>
    <row r="22" spans="3:13" ht="14.5" x14ac:dyDescent="0.45">
      <c r="C22" s="169" t="s">
        <v>457</v>
      </c>
      <c r="D22" s="341"/>
      <c r="E22" s="341"/>
      <c r="F22" s="341"/>
      <c r="G22" s="341"/>
      <c r="I22" s="169" t="s">
        <v>460</v>
      </c>
      <c r="J22" s="341"/>
      <c r="K22" s="341"/>
      <c r="L22" s="341"/>
      <c r="M22" s="341"/>
    </row>
    <row r="36" spans="3:13" ht="14.5" x14ac:dyDescent="0.45">
      <c r="C36" s="169" t="s">
        <v>461</v>
      </c>
      <c r="D36" s="341"/>
      <c r="E36" s="341"/>
      <c r="F36" s="341"/>
      <c r="G36" s="341"/>
      <c r="I36" s="169" t="s">
        <v>462</v>
      </c>
      <c r="J36" s="341"/>
      <c r="K36" s="341"/>
      <c r="L36" s="341"/>
      <c r="M36" s="341"/>
    </row>
    <row r="52" spans="3:13" ht="14.5" x14ac:dyDescent="0.45">
      <c r="C52" s="169" t="s">
        <v>464</v>
      </c>
      <c r="D52" s="341"/>
      <c r="E52" s="341"/>
      <c r="F52" s="341"/>
      <c r="G52" s="341"/>
      <c r="I52" s="169" t="s">
        <v>463</v>
      </c>
      <c r="J52" s="341"/>
      <c r="K52" s="341"/>
      <c r="L52" s="341"/>
      <c r="M52" s="341"/>
    </row>
    <row r="73" spans="3:13" ht="14.5" x14ac:dyDescent="0.45">
      <c r="C73" s="169" t="s">
        <v>465</v>
      </c>
      <c r="D73" s="341"/>
      <c r="E73" s="341"/>
      <c r="F73" s="341"/>
      <c r="G73" s="341"/>
      <c r="I73" s="169" t="s">
        <v>518</v>
      </c>
      <c r="J73" s="341"/>
      <c r="K73" s="341"/>
      <c r="L73" s="341"/>
      <c r="M73" s="341"/>
    </row>
    <row r="96" spans="1:86" ht="14.5" x14ac:dyDescent="0.45">
      <c r="A96" s="319" t="s">
        <v>0</v>
      </c>
      <c r="B96" s="319" t="s">
        <v>0</v>
      </c>
      <c r="P96" s="188" t="s">
        <v>502</v>
      </c>
      <c r="Q96" s="188" t="s">
        <v>503</v>
      </c>
      <c r="R96" s="188" t="s">
        <v>64</v>
      </c>
      <c r="S96" s="188" t="s">
        <v>65</v>
      </c>
      <c r="T96" s="188" t="s">
        <v>66</v>
      </c>
      <c r="U96" s="188" t="s">
        <v>67</v>
      </c>
      <c r="V96" s="188" t="s">
        <v>370</v>
      </c>
      <c r="W96" s="188" t="s">
        <v>67</v>
      </c>
      <c r="X96" s="188" t="s">
        <v>372</v>
      </c>
      <c r="Y96" s="188" t="s">
        <v>68</v>
      </c>
      <c r="Z96" s="188" t="s">
        <v>371</v>
      </c>
      <c r="AA96" s="188" t="s">
        <v>466</v>
      </c>
      <c r="AB96" s="188" t="s">
        <v>71</v>
      </c>
      <c r="AC96" s="188" t="s">
        <v>68</v>
      </c>
      <c r="AE96" s="188" t="str">
        <f>++$Q96</f>
        <v>Date Label</v>
      </c>
      <c r="AF96" s="188" t="str">
        <f>++R96</f>
        <v>Revenue</v>
      </c>
      <c r="AG96" s="188" t="str">
        <f>++S96</f>
        <v>% y/y</v>
      </c>
      <c r="AI96" s="188" t="str">
        <f>++$Q96</f>
        <v>Date Label</v>
      </c>
      <c r="AJ96" s="188" t="str">
        <f>++T96</f>
        <v>Gross Profit</v>
      </c>
      <c r="AK96" s="188" t="str">
        <f t="shared" ref="AK96" si="0">++U96</f>
        <v>% margin</v>
      </c>
      <c r="AM96" s="188" t="str">
        <f>++$Q96</f>
        <v>Date Label</v>
      </c>
      <c r="AN96" s="188" t="str">
        <f>++V96</f>
        <v>CA EBITDA</v>
      </c>
      <c r="AO96" s="188" t="str">
        <f>++W96</f>
        <v>% margin</v>
      </c>
      <c r="AQ96" s="188" t="str">
        <f>++$Q96</f>
        <v>Date Label</v>
      </c>
      <c r="AR96" s="188" t="str">
        <f>++X96</f>
        <v>Capex</v>
      </c>
      <c r="AS96" s="188" t="str">
        <f t="shared" ref="AS96" si="1">++Y96</f>
        <v>% revenue</v>
      </c>
      <c r="AU96" s="188" t="str">
        <f>++$Q96</f>
        <v>Date Label</v>
      </c>
      <c r="AV96" s="188" t="str">
        <f>++Z96</f>
        <v>FCF</v>
      </c>
      <c r="AW96" s="188" t="str">
        <f>++AA96</f>
        <v>% conversion</v>
      </c>
      <c r="AY96" s="188" t="str">
        <f>++$Q96</f>
        <v>Date Label</v>
      </c>
      <c r="AZ96" s="188" t="str">
        <f>++AB96</f>
        <v>NWC</v>
      </c>
      <c r="BA96" s="188" t="str">
        <f t="shared" ref="BA96" si="2">++AC96</f>
        <v>% revenue</v>
      </c>
      <c r="BC96" s="188" t="s">
        <v>502</v>
      </c>
      <c r="BD96" s="188" t="s">
        <v>503</v>
      </c>
      <c r="BE96" s="188" t="s">
        <v>504</v>
      </c>
      <c r="BF96" s="188" t="s">
        <v>107</v>
      </c>
      <c r="BG96" s="188" t="s">
        <v>108</v>
      </c>
      <c r="BH96" s="188" t="s">
        <v>388</v>
      </c>
      <c r="BI96" s="188" t="s">
        <v>107</v>
      </c>
      <c r="BJ96" s="188" t="s">
        <v>108</v>
      </c>
      <c r="BK96" s="188" t="s">
        <v>467</v>
      </c>
      <c r="BL96" s="188" t="s">
        <v>107</v>
      </c>
      <c r="BM96" s="188" t="s">
        <v>108</v>
      </c>
      <c r="BN96" s="188" t="s">
        <v>469</v>
      </c>
      <c r="BO96" s="188" t="s">
        <v>468</v>
      </c>
      <c r="BQ96" s="188" t="str">
        <f>++$BD96</f>
        <v>Date Label</v>
      </c>
      <c r="BR96" s="188" t="str">
        <f>++BE96</f>
        <v>TNL</v>
      </c>
      <c r="BS96" s="188" t="str">
        <f t="shared" ref="BS96:BT96" si="3">++BF96</f>
        <v>Covenant</v>
      </c>
      <c r="BT96" s="188" t="str">
        <f t="shared" si="3"/>
        <v>% cushion</v>
      </c>
      <c r="BV96" s="188" t="str">
        <f>++$BD96</f>
        <v>Date Label</v>
      </c>
      <c r="BW96" s="188" t="str">
        <f>++BH96</f>
        <v>FCCR</v>
      </c>
      <c r="BX96" s="188" t="str">
        <f t="shared" ref="BX96:BY96" si="4">++BI96</f>
        <v>Covenant</v>
      </c>
      <c r="BY96" s="188" t="str">
        <f t="shared" si="4"/>
        <v>% cushion</v>
      </c>
      <c r="CA96" s="188" t="str">
        <f>++$BD96</f>
        <v>Date Label</v>
      </c>
      <c r="CB96" s="188" t="str">
        <f>++BK96</f>
        <v>Liquidity</v>
      </c>
      <c r="CC96" s="188" t="str">
        <f t="shared" ref="CC96:CD96" si="5">++BL96</f>
        <v>Covenant</v>
      </c>
      <c r="CD96" s="188" t="str">
        <f t="shared" si="5"/>
        <v>% cushion</v>
      </c>
      <c r="CF96" s="188" t="str">
        <f>++$BD96</f>
        <v>Date Label</v>
      </c>
      <c r="CG96" s="188" t="str">
        <f>++BN96</f>
        <v>OL RR</v>
      </c>
      <c r="CH96" s="188" t="str">
        <f>++BO96</f>
        <v>OL Mark</v>
      </c>
    </row>
    <row r="97" spans="16:86" x14ac:dyDescent="0.3">
      <c r="P97" s="170" cm="1">
        <f t="array" ref="P97:P114">_xlfn.LET(
  _xlpm._LTM,         N(LTMDate),
  _xlpm._FYE,         N(FYEDate),
  _xlpm._Avail,       'Financials Input'!$G$3:$DC$3,
  _xlpm._FYEM,        MONTH(_xlpm._FYE),
  _xlpm._CandPrev,    EOMONTH(DATE(YEAR(_xlpm._LTM)-1, _xlpm._FYEM, 1), 0),
  _xlpm._CandThis,    EOMONTH(DATE(YEAR(_xlpm._LTM),   _xlpm._FYEM, 1), 0),
  _xlpm._CandNext,    EOMONTH(DATE(YEAR(_xlpm._LTM)+1, _xlpm._FYEM, 1), 0),
  _xlpm._FYE0_raw,    MAX(_xlfn._xlws.FILTER(_xlfn.VSTACK(_xlpm._CandPrev,_xlpm._CandThis,_xlpm._CandNext),
                           _xlfn.VSTACK(_xlpm._CandPrev,_xlpm._CandThis,_xlpm._CandNext)&lt;=_xlpm._LTM)),
  _xlpm._FYE0,        IF(_xlpm._FYE0_raw=_xlpm._LTM, EOMONTH(_xlpm._FYE0_raw,-12), _xlpm._FYE0_raw),
  _xlpm._FYE_1,       EOMONTH(_xlpm._FYE0,-12),
  _xlpm._FYE_2,       EOMONTH(_xlpm._FYE0,-24),
  _xlpm._FY2_Q1,      EOMONTH(_xlpm._FYE_2, 3),
  _xlpm._FY2_Q2,      EOMONTH(_xlpm._FYE_2, 6),
  _xlpm._FY2_Q3,      EOMONTH(_xlpm._FYE_2, 9),
  _xlpm._FY1_Q1,      EOMONTH(_xlpm._FYE_1, 3),
  _xlpm._FY1_Q2,      EOMONTH(_xlpm._FYE_1, 6),
  _xlpm._FY1_Q3,      EOMONTH(_xlpm._FYE_1, 9),
  _xlpm._MonthStart,  EOMONTH(_xlpm._FYE0, 1),
  _xlpm._MonthCount,  MAX(0, (YEAR(_xlpm._LTM)-YEAR(_xlpm._MonthStart))*12 + (MONTH(_xlpm._LTM)-MONTH(_xlpm._MonthStart)) + 1),
  _xlpm._Months,      IF(_xlpm._MonthCount=0, "", EOMONTH(_xlpm._MonthStart, _xlfn.SEQUENCE(_xlpm._MonthCount,1,0,1))),
  _xlpm._Schedule,    _xlfn.VSTACK(
                  _xlpm._FYE_2, _xlpm._FY2_Q1, _xlpm._FY2_Q2, _xlpm._FY2_Q3,
                  _xlpm._FYE_1, _xlpm._FY1_Q1, _xlpm._FY1_Q2, _xlpm._FY1_Q3,
                  _xlpm._FYE0,  _xlpm._Months, _xlpm._LTM
                ),
  _xlpm._Valid,       _xlfn._xlws.FILTER(_xlpm._Schedule, (_xlpm._Schedule&lt;=_xlpm._LTM)*ISNUMBER(MATCH(_xlpm._Schedule,_xlpm._Avail,0)), ""),
  IFERROR(_xlfn._xlws.SORT(_xlfn.UNIQUE(_xlpm._Valid)), "")
)</f>
        <v>44926</v>
      </c>
      <c r="Q97" s="320" t="str" cm="1">
        <f t="array" ref="Q97:Q114">_xlfn.LET(
    _xlpm.LUDate,_xlfn.ANCHORARRAY(        P97),
    _xlpm.FYEMonth,      MONTH(FYEDate),
    _xlpm.LUMonth,       MONTH(_xlpm.LUDate),
    _xlpm.LUYear,        YEAR(_xlpm.LUDate),
    _xlpm.QtrEndMonths,  MOD(_xlpm.FYEMonth - {9,6,3,0} - 1, 12) + 1,
    _xlpm.IsQtrEnd,      ISNUMBER(MATCH(_xlpm.LUMonth, _xlpm.QtrEndMonths, 0)),
    _xlpm.QtrNum,        IFERROR(MATCH(_xlpm.LUMonth, _xlpm.QtrEndMonths, 0), 0),
    _xlpm.FYYear,        IF(_xlpm.LUMonth &gt; _xlpm.FYEMonth, _xlpm.LUYear + 1, _xlpm.LUYear),
    _xlpm.FYLabel,       "Q" &amp; _xlpm.QtrNum &amp; "'" &amp; RIGHT(TEXT(DATE(_xlpm.FYYear, 1, 1), "YY"), 2),
    _xlpm.MonthLabel,    TEXT(_xlpm.LUDate, "MMM'YY"),
    IF(_xlpm.IsQtrEnd, _xlpm.FYLabel, _xlpm.MonthLabel)
)</f>
        <v>Q4'22</v>
      </c>
      <c r="R97" s="171" cm="1">
        <f t="array" ref="R97:R114">++_xlfn.LET(_xlpm.LUDates,_xlfn.ANCHORARRAY($P$97),_xlpm.HeaderRow,'Financials Input'!$G$3:$DD$3,_xlpm.DataRow,CHOOSE(MATCH(FinChartType,{"Reported","Restated","Pro Forma"},0),'Financials Input'!$G$10:$DD$10,'Financials Input'!$G$157:$DD$157,'Financials Input'!$G$304:$DD$304)/1000,IFERROR(INDEX(_xlpm.DataRow,MATCH(_xlpm.LUDates,_xlpm.HeaderRow,0)),""))</f>
        <v>0</v>
      </c>
      <c r="S97" s="173" t="str" cm="1">
        <f t="array" ref="S97:S114">++_xlfn.LET(_xlpm.LUDates,_xlfn.ANCHORARRAY($P$97),_xlpm.HeaderRow,'Financials Input'!$G$3:$DD$3,_xlpm.DataRow,CHOOSE(MATCH(FinChartType,{"Reported","Restated","Pro Forma"},0),'Financials Input'!$G$11:$DD$11,'Financials Input'!$G$158:$DD$158,'Financials Input'!$G$305:$DD$305),IFERROR(INDEX(_xlpm.DataRow,MATCH(_xlpm.LUDates,_xlpm.HeaderRow,0)),""))</f>
        <v>n/a</v>
      </c>
      <c r="T97" s="171" cm="1">
        <f t="array" ref="T97:T114">_xlfn.LET(_xlpm.LUDates,_xlfn.ANCHORARRAY($P$97),_xlpm.HeaderRow,'Financials Input'!$G$3:$DD$3,_xlpm.DataRow,CHOOSE(MATCH(FinChartType,{"Reported","Restated","Pro Forma"},0),'Financials Input'!$G$13:$DD$13,'Financials Input'!$G$160:$DD$160,'Financials Input'!$G$307:$DD$307)/1000,IFERROR(INDEX(_xlpm.DataRow,MATCH(_xlpm.LUDates,_xlpm.HeaderRow,0)),""))</f>
        <v>0</v>
      </c>
      <c r="U97" s="173" t="str" cm="1">
        <f t="array" ref="U97:U114">_xlfn.LET(_xlpm.LUDates,_xlfn.ANCHORARRAY($P$97),_xlpm.HeaderRow,'Financials Input'!$G$3:$DD$3,_xlpm.DataRow,CHOOSE(MATCH(FinChartType,{"Reported","Restated","Pro Forma"},0),'Financials Input'!$G$14:$DD$14,'Financials Input'!$G$161:$DD$161,'Financials Input'!$G$308:$DD$308),IFERROR(INDEX(_xlpm.DataRow,MATCH(_xlpm.LUDates,_xlpm.HeaderRow,0)),""))</f>
        <v>n/a</v>
      </c>
      <c r="V97" s="171" cm="1">
        <f t="array" ref="V97:V114">_xlfn.LET(_xlpm.LUDates,_xlfn.ANCHORARRAY($P$97),_xlpm.HeaderRow,'Financials Input'!$G$3:$DD$3,_xlpm.DataRow,CHOOSE(MATCH(FinChartType,{"Reported","Restated","Pro Forma"},0),'Financials Input'!$G$48:$DD$48,'Financials Input'!$G$195:$DD$195,'Financials Input'!$G$342:$DD$342)/1000,IFERROR(INDEX(_xlpm.DataRow,MATCH(_xlpm.LUDates,_xlpm.HeaderRow,0)),""))</f>
        <v>0</v>
      </c>
      <c r="W97" s="173" t="str" cm="1">
        <f t="array" ref="W97:W114">_xlfn.LET(_xlpm.LUDates,_xlfn.ANCHORARRAY($P$97),_xlpm.HeaderRow,'Financials Input'!$G$3:$DD$3,_xlpm.DataRow,CHOOSE(MATCH(FinChartType,{"Reported","Restated","Pro Forma"},0),'Financials Input'!$G$49:$DD$49,'Financials Input'!$G$196:$DD$196,'Financials Input'!$G$343:$DD$343),IFERROR(INDEX(_xlpm.DataRow,MATCH(_xlpm.LUDates,_xlpm.HeaderRow,0)),""))</f>
        <v>n/a</v>
      </c>
      <c r="X97" s="171" cm="1">
        <f t="array" ref="X97:X114">_xlfn.LET(_xlpm.LUDates,_xlfn.ANCHORARRAY($P$97),_xlpm.HeaderRow,'Financials Input'!$G$3:$DD$3,_xlpm.DataRow,CHOOSE(MATCH(FinChartType,{"Reported","Restated","Pro Forma"},0),'Financials Input'!$G$52:$DD$52,'Financials Input'!$G$199:$DD$199,'Financials Input'!$G$346:$DD$346)/1000,IFERROR(INDEX(_xlpm.DataRow,MATCH(_xlpm.LUDates,_xlpm.HeaderRow,0)),""))</f>
        <v>0</v>
      </c>
      <c r="Y97" s="173" t="str" cm="1">
        <f t="array" ref="Y97:Y114">_xlfn.LET(_xlpm.LUDates,_xlfn.ANCHORARRAY($P$97),_xlpm.HeaderRow,'Financials Input'!$G$3:$DD$3,_xlpm.DataRow,CHOOSE(MATCH(FinChartType,{"Reported","Restated","Pro Forma"},0),'Financials Input'!$G$53:$DD$53,'Financials Input'!$G$200:$DD$200,'Financials Input'!$G$347:$DD$347),IFERROR(INDEX(_xlpm.DataRow,MATCH(_xlpm.LUDates,_xlpm.HeaderRow,0)),""))</f>
        <v>n/a</v>
      </c>
      <c r="Z97" s="171" t="str" cm="1">
        <f t="array" ref="Z97:Z114">IFERROR(_xlfn.ANCHORARRAY($V$97)*_xlfn.ANCHORARRAY($AA$97),"")</f>
        <v/>
      </c>
      <c r="AA97" s="173" t="str" cm="1">
        <f t="array" ref="AA97:AA114">_xlfn.LET(_xlpm.LUDates,_xlfn.ANCHORARRAY($P$97),_xlpm.HeaderRow,'Financials Input'!$G$3:$DD$3,_xlpm.DataRow,CHOOSE(MATCH(FinChartType,{"Reported","Restated","Pro Forma"},0),'Financials Input'!$G$54:$DD$54,'Financials Input'!$G$201:$DD$201,'Financials Input'!$G$348:$DD$348),IFERROR(INDEX(_xlpm.DataRow,MATCH(_xlpm.LUDates,_xlpm.HeaderRow,0)),""))</f>
        <v>n/a</v>
      </c>
      <c r="AB97" s="171" cm="1">
        <f t="array" ref="AB97:AB114">++_xlfn.LET(_xlpm.LUDates,_xlfn.ANCHORARRAY($P$97),_xlpm.HeaderRow,'Financials Input'!$G$3:$DD$3,_xlpm.DataRow,'Financials Input'!$G$575:$DD$575/1000,IFERROR(INDEX(_xlpm.DataRow,MATCH(_xlpm.LUDates,_xlpm.HeaderRow,0)),""))</f>
        <v>0</v>
      </c>
      <c r="AC97" s="173" t="str" cm="1">
        <f t="array" ref="AC97:AC114">++_xlfn.LET(_xlpm.LUDates,_xlfn.ANCHORARRAY($P$97),_xlpm.HeaderRow,'Financials Input'!$G$3:$DD$3,_xlpm.DataRow,'Financials Input'!$G$576:$DD$576,IFERROR(INDEX(_xlpm.DataRow,MATCH(_xlpm.LUDates,_xlpm.HeaderRow,0)),""))</f>
        <v>n/a</v>
      </c>
      <c r="AE97" s="101" t="str" cm="1">
        <f t="array" ref="AE97:AG114">++_xlfn.HSTACK(_xlfn.ANCHORARRAY(Charts!$Q$97),_xlfn.ANCHORARRAY( Charts!$R$97), IF(ISNUMBER(_xlfn.ANCHORARRAY(Charts!$S$97)),_xlfn.ANCHORARRAY(Charts!$S$97),NA()))</f>
        <v>Q4'22</v>
      </c>
      <c r="AF97" s="171">
        <v>0</v>
      </c>
      <c r="AG97" s="173" t="e">
        <v>#N/A</v>
      </c>
      <c r="AI97" s="101" t="str" cm="1">
        <f t="array" ref="AI97:AK114">++_xlfn.HSTACK(_xlfn.ANCHORARRAY(Charts!$Q$97),_xlfn.ANCHORARRAY( Charts!$T$97), IF(ISNUMBER(_xlfn.ANCHORARRAY(Charts!$U$97)),_xlfn.ANCHORARRAY(Charts!$U$97),NA()))</f>
        <v>Q4'22</v>
      </c>
      <c r="AJ97" s="171">
        <v>0</v>
      </c>
      <c r="AK97" s="173" t="e">
        <v>#N/A</v>
      </c>
      <c r="AM97" s="101" t="str" cm="1">
        <f t="array" ref="AM97:AO114">++_xlfn.HSTACK(_xlfn.ANCHORARRAY(Charts!$Q$97),_xlfn.ANCHORARRAY( Charts!$V$97), IF(ISNUMBER(_xlfn.ANCHORARRAY(Charts!$W$97)),_xlfn.ANCHORARRAY(Charts!$W$97),NA()))</f>
        <v>Q4'22</v>
      </c>
      <c r="AN97" s="171">
        <v>0</v>
      </c>
      <c r="AO97" s="173" t="e">
        <v>#N/A</v>
      </c>
      <c r="AQ97" s="101" t="str" cm="1">
        <f t="array" ref="AQ97:AS114">++_xlfn.HSTACK(_xlfn.ANCHORARRAY(Charts!$Q$97),_xlfn.ANCHORARRAY( Charts!$X$97), IF(ISNUMBER(_xlfn.ANCHORARRAY(Charts!$Y$97)),_xlfn.ANCHORARRAY(Charts!$Y$97),NA()))</f>
        <v>Q4'22</v>
      </c>
      <c r="AR97" s="171">
        <v>0</v>
      </c>
      <c r="AS97" s="173" t="e">
        <v>#N/A</v>
      </c>
      <c r="AU97" s="101" t="str" cm="1">
        <f t="array" ref="AU97:AW114">++_xlfn.HSTACK(_xlfn.ANCHORARRAY(Charts!$Q$97),_xlfn.ANCHORARRAY( Charts!$Z$97), IF(ISNUMBER(_xlfn.ANCHORARRAY(Charts!$AA$97)),_xlfn.ANCHORARRAY(Charts!$AA$97),NA()))</f>
        <v>Q4'22</v>
      </c>
      <c r="AV97" s="171" t="str">
        <v/>
      </c>
      <c r="AW97" s="173" t="e">
        <v>#N/A</v>
      </c>
      <c r="AY97" s="101" t="str" cm="1">
        <f t="array" ref="AY97:BA114">++_xlfn.HSTACK(_xlfn.ANCHORARRAY(Charts!$Q$97),_xlfn.ANCHORARRAY( Charts!$AB$97), IF(ISNUMBER(_xlfn.ANCHORARRAY(Charts!$AC$97)),_xlfn.ANCHORARRAY(Charts!$AC$97),NA()))</f>
        <v>Q4'22</v>
      </c>
      <c r="AZ97" s="171">
        <v>0</v>
      </c>
      <c r="BA97" s="173" t="e">
        <v>#N/A</v>
      </c>
      <c r="BC97" s="170" cm="1">
        <f t="array" ref="BC97:BC101">++_xlfn.LET(
_xlpm.qtrs,'Covenant Input'!$I$3:$AO$3,
_xlpm.close,'Financials Input'!$G$588:$DC$588,
_xlpm.q_all,IFERROR(_xlfn.TOCOL(_xlpm.qtrs,1),""),
_xlpm.c_all,IFERROR(_xlfn.TOCOL(_xlpm.close,1),""),
_xlpm.q_dates,_xlfn._xlws.FILTER(_xlpm.q_all,(_xlpm.q_all&lt;&gt;"")*(ISNUMBER(_xlpm.q_all)),""),
_xlpm.c_dates,_xlfn._xlws.FILTER(_xlpm.c_all,(_xlpm.c_all&lt;&gt;"")*(ISNUMBER(_xlpm.c_all)),""),
_xlpm.startClose,MIN(_xlpm.c_dates),
_xlpm.combined,_xlfn.VSTACK(_xlpm.q_dates,_xlpm.c_dates),
_xlpm.window,_xlfn._xlws.FILTER(_xlpm.combined,(_xlpm.combined&gt;=_xlpm.startClose)*(_xlpm.combined&lt;=LTMDate),""),
_xlfn._xlws.SORT(_xlfn.UNIQUE(_xlpm.window))
)</f>
        <v>45611</v>
      </c>
      <c r="BD97" s="320" t="str" cm="1">
        <f t="array" ref="BD97:BD101">++_xlfn.LET(
  _xlpm.d,_xlfn.ANCHORARRAY( $BC$97),
  _xlfn.MAP(_xlpm.d,
    _xlfn.LAMBDA(_xlpm.x,
      IFERROR(
        INDEX('Covenant Input'!$I$2:$AO$2, 1, MATCH(_xlpm.x, 'Covenant Input'!$I$3:$AO$3, 0)) &amp; "A",
        INDEX('Financials Input'!$G$587:$DC$587, 1, MATCH(_xlpm.x, 'Financials Input'!$G$588:$DC$588, 0)) &amp;
          " (" &amp;
          TEXT(
            INDEX('Financials Input'!$G$588:$DC$588, 1, MATCH(_xlpm.x, 'Financials Input'!$G$588:$DC$588, 0)),
            "M/YY"
          ) &amp;
          ")"
      )
    )
  )
)</f>
        <v>LBO (11/24)</v>
      </c>
      <c r="BE97" s="429" cm="1">
        <f t="array" ref="BE97:BE101">++_xlfn.LET(_xlpm.d,_xlfn.ANCHORARRAY($BC$97),_xlfn.MAP(_xlpm.d,_xlfn.LAMBDA(_xlpm.x,IFERROR(INDEX('Covenant Input'!$I$195:$AO$195,0,MATCH(_xlpm.x,'Covenant Input'!$I$3:$AO$3,0)),INDEX('Financials Input'!$G$636:$DC$636,0,MATCH(_xlpm.x,'Financials Input'!$G$588:$DC$588,0))))))</f>
        <v>0</v>
      </c>
      <c r="BF97" s="429" cm="1">
        <f t="array" ref="BF97:BF101">_xlfn.LET(
  _xlpm.d,_xlfn.ANCHORARRAY( $BC$97),
  _xlpm.q_raw, 'Covenant Input'!$I$3:$AO$3,
  _xlpm.v_raw, 'Covenant Input'!$I$196:$AO$196,
  _xlpm.m, ISNUMBER(_xlpm.q_raw),
  _xlpm.q, _xlfn._xlws.FILTER(_xlpm.q_raw, _xlpm.m),
  _xlpm.v, _xlfn._xlws.FILTER(_xlpm.v_raw, _xlpm.m),
  _xlfn.MAP(_xlpm.d,
    _xlfn.LAMBDA(_xlpm.x,
      _xlfn.LET(
        _xlpm.pe, IFERROR(MATCH(_xlpm.x, _xlpm.q, 0), ""),
        _xlpm.pp, IFERROR(MATCH(_xlpm.x, _xlpm.q, 1), 0),
        _xlpm.p, IF(_xlpm.pe&lt;&gt;"", _xlpm.pe, MIN(_xlpm.pp+1, COLUMNS(_xlpm.q))),
        INDEX(_xlpm.v, 1, _xlpm.p)
      )
    )
  )
)</f>
        <v>0</v>
      </c>
      <c r="BG97" s="322" cm="1">
        <f t="array" ref="BG97:BG101">++_xlfn.LET(_xlpm.lev_report,_xlfn.ANCHORARRAY($BE$97),_xlpm.lev_cov,_xlfn.ANCHORARRAY($BF$97),IFERROR(1-_xlpm.lev_report/_xlpm.lev_cov,0))</f>
        <v>0</v>
      </c>
      <c r="BH97" s="429" cm="1">
        <f t="array" ref="BH97:BH101">++_xlfn.LET(_xlpm.d,_xlfn.ANCHORARRAY($BC$97),_xlfn.MAP(_xlpm.d,_xlfn.LAMBDA(_xlpm.x,IFERROR(INDEX('Covenant Input'!$I$212:$AO$212,0,MATCH(_xlpm.x,'Covenant Input'!$I$3:$AO$3,0)),INDEX('Financials Input'!$G$639:$DC$639,0,MATCH(_xlpm.x,'Financials Input'!$G$588:$DC$588,0))))))</f>
        <v>0</v>
      </c>
      <c r="BI97" s="429" cm="1">
        <f t="array" ref="BI97:BI101">_xlfn.LET(
  _xlpm.d,_xlfn.ANCHORARRAY( $BC$97),
  _xlpm.q_raw, 'Covenant Input'!$I$3:$AO$3,
  _xlpm.v_raw, 'Covenant Input'!$I$213:$AO$213,
  _xlpm.m, ISNUMBER(_xlpm.q_raw),
  _xlpm.q, _xlfn._xlws.FILTER(_xlpm.q_raw, _xlpm.m),
  _xlpm.v, _xlfn._xlws.FILTER(_xlpm.v_raw, _xlpm.m),
  _xlfn.MAP(_xlpm.d,
    _xlfn.LAMBDA(_xlpm.x,
      _xlfn.LET(
        _xlpm.pe, IFERROR(MATCH(_xlpm.x, _xlpm.q, 0), ""),
        _xlpm.pp, IFERROR(MATCH(_xlpm.x, _xlpm.q, 1), 0),
        _xlpm.p, IF(_xlpm.pe&lt;&gt;"", _xlpm.pe, MIN(_xlpm.pp+1, COLUMNS(_xlpm.q))),
        INDEX(_xlpm.v, 1, _xlpm.p)
      )
    )
  )
)</f>
        <v>0</v>
      </c>
      <c r="BJ97" s="322" cm="1">
        <f t="array" ref="BJ97:BJ101">++_xlfn.LET(_xlpm.fccr_report,_xlfn.ANCHORARRAY(BH97),_xlpm.fccr_cov,_xlfn.ANCHORARRAY(BI97),IFERROR(1-_xlpm.fccr_cov/_xlpm.fccr_report,0))</f>
        <v>0</v>
      </c>
      <c r="BK97" s="432" cm="1">
        <f t="array" ref="BK97:BK101">++_xlfn.LET(_xlpm.d,_xlfn.ANCHORARRAY($BC$97),_xlfn.MAP(_xlpm.d,_xlfn.LAMBDA(_xlpm.x,IFERROR(INDEX('Covenant Input'!$I$223:$AO$223,0,MATCH(_xlpm.x,'Covenant Input'!$I$3:$AO$3,0)),INDEX('Financials Input'!$G$640:$DC$640,0,MATCH(_xlpm.x,'Financials Input'!$G$588:$DC$588,0)))/1000)))</f>
        <v>0</v>
      </c>
      <c r="BL97" s="432" cm="1">
        <f t="array" ref="BL97:BL101">_xlfn.LET(
  _xlpm.d,_xlfn.ANCHORARRAY( $BC$97),
  _xlpm.q_raw, 'Covenant Input'!$I$3:$AO$3,
  _xlpm.v_raw, 'Covenant Input'!$I$224:$AO$224,
  _xlpm.m, ISNUMBER(_xlpm.q_raw),
  _xlpm.q, _xlfn._xlws.FILTER(_xlpm.q_raw, _xlpm.m),
  _xlpm.v, _xlfn._xlws.FILTER(_xlpm.v_raw, _xlpm.m),
  _xlfn.MAP(_xlpm.d,
    _xlfn.LAMBDA(_xlpm.x,
      _xlfn.LET(
        _xlpm.pe, IFERROR(MATCH(_xlpm.x, _xlpm.q, 0), ""),
        _xlpm.pp, IFERROR(MATCH(_xlpm.x, _xlpm.q, 1), 0),
        _xlpm.p, IF(_xlpm.pe&lt;&gt;"", _xlpm.pe, MIN(_xlpm.pp+1, COLUMNS(_xlpm.q))),
        INDEX(_xlpm.v, 1, _xlpm.p)
      )
    )
  )
)/1000</f>
        <v>0</v>
      </c>
      <c r="BM97" s="322" cm="1">
        <f t="array" ref="BM97:BM101">++_xlfn.LET(_xlpm.liq_report,_xlfn.ANCHORARRAY($BK$97),_xlpm.liq_cov,_xlfn.ANCHORARRAY($BL$97),IFERROR(1-_xlpm.liq_cov/_xlpm.liq_report,0))</f>
        <v>0</v>
      </c>
      <c r="BQ97" s="101" t="str" cm="1">
        <f t="array" ref="BQ97:BT101">++_xlfn.HSTACK(_xlfn.ANCHORARRAY(Charts!$BD$97),_xlfn.ANCHORARRAY( Charts!$BE$97),_xlfn.ANCHORARRAY( Charts!$BF$97),_xlfn.ANCHORARRAY( Charts!$BG$97))</f>
        <v>LBO (11/24)</v>
      </c>
      <c r="BR97" s="101">
        <v>0</v>
      </c>
      <c r="BS97" s="101">
        <v>0</v>
      </c>
      <c r="BT97" s="101">
        <v>0</v>
      </c>
      <c r="BV97" s="101" t="str" cm="1">
        <f t="array" ref="BV97:BY101">++_xlfn.HSTACK(_xlfn.ANCHORARRAY(Charts!$BD$97),_xlfn.ANCHORARRAY( Charts!$BH$97),_xlfn.ANCHORARRAY( Charts!$BI$97),_xlfn.ANCHORARRAY( Charts!$BJ$97))</f>
        <v>LBO (11/24)</v>
      </c>
      <c r="BW97" s="101">
        <v>0</v>
      </c>
      <c r="BX97" s="101">
        <v>0</v>
      </c>
      <c r="BY97" s="101">
        <v>0</v>
      </c>
      <c r="CA97" s="101" t="str" cm="1">
        <f t="array" ref="CA97:CD101">++_xlfn.HSTACK(_xlfn.ANCHORARRAY(Charts!$BD$97),_xlfn.ANCHORARRAY( Charts!$BK$97),_xlfn.ANCHORARRAY( Charts!$BL$97),_xlfn.ANCHORARRAY( Charts!$BM$97))</f>
        <v>LBO (11/24)</v>
      </c>
      <c r="CB97" s="101">
        <v>0</v>
      </c>
      <c r="CC97" s="101">
        <v>0</v>
      </c>
      <c r="CD97" s="101">
        <v>0</v>
      </c>
      <c r="CF97" s="101" t="str" cm="1">
        <f t="array" ref="CF97:CH101">++_xlfn.HSTACK(_xlfn.ANCHORARRAY(Charts!$BD$97),_xlfn.ANCHORARRAY( Charts!$BL$97),_xlfn.ANCHORARRAY( Charts!$BM$97))</f>
        <v>LBO (11/24)</v>
      </c>
      <c r="CG97" s="101">
        <v>0</v>
      </c>
      <c r="CH97" s="101">
        <v>0</v>
      </c>
    </row>
    <row r="98" spans="16:86" x14ac:dyDescent="0.3">
      <c r="P98" s="170">
        <v>45016</v>
      </c>
      <c r="Q98" s="320" t="str">
        <v>Q1'23</v>
      </c>
      <c r="R98" s="171">
        <v>0</v>
      </c>
      <c r="S98" s="173" t="str">
        <v>n/a</v>
      </c>
      <c r="T98" s="171">
        <v>0</v>
      </c>
      <c r="U98" s="173" t="str">
        <v>n/a</v>
      </c>
      <c r="V98" s="171">
        <v>0</v>
      </c>
      <c r="W98" s="173" t="str">
        <v>n/a</v>
      </c>
      <c r="X98" s="171">
        <v>0</v>
      </c>
      <c r="Y98" s="173" t="str">
        <v>n/a</v>
      </c>
      <c r="Z98" s="171" t="str">
        <v/>
      </c>
      <c r="AA98" s="173" t="str">
        <v>n/a</v>
      </c>
      <c r="AB98" s="171">
        <v>0</v>
      </c>
      <c r="AC98" s="173" t="str">
        <v>n/a</v>
      </c>
      <c r="AE98" s="101" t="str">
        <v>Q1'23</v>
      </c>
      <c r="AF98" s="171">
        <v>0</v>
      </c>
      <c r="AG98" s="173" t="e">
        <v>#N/A</v>
      </c>
      <c r="AI98" s="101" t="str">
        <v>Q1'23</v>
      </c>
      <c r="AJ98" s="171">
        <v>0</v>
      </c>
      <c r="AK98" s="173" t="e">
        <v>#N/A</v>
      </c>
      <c r="AM98" s="101" t="str">
        <v>Q1'23</v>
      </c>
      <c r="AN98" s="171">
        <v>0</v>
      </c>
      <c r="AO98" s="173" t="e">
        <v>#N/A</v>
      </c>
      <c r="AQ98" s="101" t="str">
        <v>Q1'23</v>
      </c>
      <c r="AR98" s="171">
        <v>0</v>
      </c>
      <c r="AS98" s="173" t="e">
        <v>#N/A</v>
      </c>
      <c r="AU98" s="101" t="str">
        <v>Q1'23</v>
      </c>
      <c r="AV98" s="171" t="str">
        <v/>
      </c>
      <c r="AW98" s="173" t="e">
        <v>#N/A</v>
      </c>
      <c r="AY98" s="101" t="str">
        <v>Q1'23</v>
      </c>
      <c r="AZ98" s="171">
        <v>0</v>
      </c>
      <c r="BA98" s="173" t="e">
        <v>#N/A</v>
      </c>
      <c r="BC98" s="170">
        <v>45657</v>
      </c>
      <c r="BD98" s="320" t="str">
        <v>Q4'24A</v>
      </c>
      <c r="BE98" s="429">
        <v>0</v>
      </c>
      <c r="BF98" s="429">
        <v>0</v>
      </c>
      <c r="BG98" s="322">
        <v>0</v>
      </c>
      <c r="BH98" s="429">
        <v>0</v>
      </c>
      <c r="BI98" s="429">
        <v>0</v>
      </c>
      <c r="BJ98" s="322">
        <v>0</v>
      </c>
      <c r="BK98" s="432">
        <v>0</v>
      </c>
      <c r="BL98" s="432">
        <v>0</v>
      </c>
      <c r="BM98" s="322">
        <v>0</v>
      </c>
      <c r="BQ98" s="101" t="str">
        <v>Q4'24A</v>
      </c>
      <c r="BR98" s="101">
        <v>0</v>
      </c>
      <c r="BS98" s="101">
        <v>0</v>
      </c>
      <c r="BT98" s="101">
        <v>0</v>
      </c>
      <c r="BV98" s="101" t="str">
        <v>Q4'24A</v>
      </c>
      <c r="BW98" s="101">
        <v>0</v>
      </c>
      <c r="BX98" s="101">
        <v>0</v>
      </c>
      <c r="BY98" s="101">
        <v>0</v>
      </c>
      <c r="CA98" s="101" t="str">
        <v>Q4'24A</v>
      </c>
      <c r="CB98" s="101">
        <v>0</v>
      </c>
      <c r="CC98" s="101">
        <v>0</v>
      </c>
      <c r="CD98" s="101">
        <v>0</v>
      </c>
      <c r="CF98" s="101" t="str">
        <v>Q4'24A</v>
      </c>
      <c r="CG98" s="101">
        <v>0</v>
      </c>
      <c r="CH98" s="101">
        <v>0</v>
      </c>
    </row>
    <row r="99" spans="16:86" x14ac:dyDescent="0.3">
      <c r="P99" s="170">
        <v>45107</v>
      </c>
      <c r="Q99" s="320" t="str">
        <v>Q2'23</v>
      </c>
      <c r="R99" s="171">
        <v>0</v>
      </c>
      <c r="S99" s="173" t="str">
        <v>n/a</v>
      </c>
      <c r="T99" s="171">
        <v>0</v>
      </c>
      <c r="U99" s="173" t="str">
        <v>n/a</v>
      </c>
      <c r="V99" s="171">
        <v>0</v>
      </c>
      <c r="W99" s="173" t="str">
        <v>n/a</v>
      </c>
      <c r="X99" s="171">
        <v>0</v>
      </c>
      <c r="Y99" s="173" t="str">
        <v>n/a</v>
      </c>
      <c r="Z99" s="171" t="str">
        <v/>
      </c>
      <c r="AA99" s="173" t="str">
        <v>n/a</v>
      </c>
      <c r="AB99" s="171">
        <v>0</v>
      </c>
      <c r="AC99" s="173" t="str">
        <v>n/a</v>
      </c>
      <c r="AE99" s="101" t="str">
        <v>Q2'23</v>
      </c>
      <c r="AF99" s="171">
        <v>0</v>
      </c>
      <c r="AG99" s="173" t="e">
        <v>#N/A</v>
      </c>
      <c r="AI99" s="101" t="str">
        <v>Q2'23</v>
      </c>
      <c r="AJ99" s="171">
        <v>0</v>
      </c>
      <c r="AK99" s="173" t="e">
        <v>#N/A</v>
      </c>
      <c r="AM99" s="101" t="str">
        <v>Q2'23</v>
      </c>
      <c r="AN99" s="171">
        <v>0</v>
      </c>
      <c r="AO99" s="173" t="e">
        <v>#N/A</v>
      </c>
      <c r="AQ99" s="101" t="str">
        <v>Q2'23</v>
      </c>
      <c r="AR99" s="171">
        <v>0</v>
      </c>
      <c r="AS99" s="173" t="e">
        <v>#N/A</v>
      </c>
      <c r="AU99" s="101" t="str">
        <v>Q2'23</v>
      </c>
      <c r="AV99" s="171" t="str">
        <v/>
      </c>
      <c r="AW99" s="173" t="e">
        <v>#N/A</v>
      </c>
      <c r="AY99" s="101" t="str">
        <v>Q2'23</v>
      </c>
      <c r="AZ99" s="171">
        <v>0</v>
      </c>
      <c r="BA99" s="173" t="e">
        <v>#N/A</v>
      </c>
      <c r="BC99" s="170">
        <v>45747</v>
      </c>
      <c r="BD99" s="320" t="str">
        <v>Q1'25A</v>
      </c>
      <c r="BE99" s="429">
        <v>0</v>
      </c>
      <c r="BF99" s="429">
        <v>0</v>
      </c>
      <c r="BG99" s="322">
        <v>0</v>
      </c>
      <c r="BH99" s="429">
        <v>0</v>
      </c>
      <c r="BI99" s="429">
        <v>0</v>
      </c>
      <c r="BJ99" s="322">
        <v>0</v>
      </c>
      <c r="BK99" s="432">
        <v>0</v>
      </c>
      <c r="BL99" s="432">
        <v>0</v>
      </c>
      <c r="BM99" s="322">
        <v>0</v>
      </c>
      <c r="BQ99" s="101" t="str">
        <v>Q1'25A</v>
      </c>
      <c r="BR99" s="101">
        <v>0</v>
      </c>
      <c r="BS99" s="101">
        <v>0</v>
      </c>
      <c r="BT99" s="101">
        <v>0</v>
      </c>
      <c r="BV99" s="101" t="str">
        <v>Q1'25A</v>
      </c>
      <c r="BW99" s="101">
        <v>0</v>
      </c>
      <c r="BX99" s="101">
        <v>0</v>
      </c>
      <c r="BY99" s="101">
        <v>0</v>
      </c>
      <c r="CA99" s="101" t="str">
        <v>Q1'25A</v>
      </c>
      <c r="CB99" s="101">
        <v>0</v>
      </c>
      <c r="CC99" s="101">
        <v>0</v>
      </c>
      <c r="CD99" s="101">
        <v>0</v>
      </c>
      <c r="CF99" s="101" t="str">
        <v>Q1'25A</v>
      </c>
      <c r="CG99" s="101">
        <v>0</v>
      </c>
      <c r="CH99" s="101">
        <v>0</v>
      </c>
    </row>
    <row r="100" spans="16:86" x14ac:dyDescent="0.3">
      <c r="P100" s="170">
        <v>45199</v>
      </c>
      <c r="Q100" s="320" t="str">
        <v>Q3'23</v>
      </c>
      <c r="R100" s="171">
        <v>0</v>
      </c>
      <c r="S100" s="173" t="str">
        <v>n/a</v>
      </c>
      <c r="T100" s="171">
        <v>0</v>
      </c>
      <c r="U100" s="173" t="str">
        <v>n/a</v>
      </c>
      <c r="V100" s="171">
        <v>0</v>
      </c>
      <c r="W100" s="173" t="str">
        <v>n/a</v>
      </c>
      <c r="X100" s="171">
        <v>0</v>
      </c>
      <c r="Y100" s="173" t="str">
        <v>n/a</v>
      </c>
      <c r="Z100" s="171" t="str">
        <v/>
      </c>
      <c r="AA100" s="173" t="str">
        <v>n/a</v>
      </c>
      <c r="AB100" s="171">
        <v>0</v>
      </c>
      <c r="AC100" s="173" t="str">
        <v>n/a</v>
      </c>
      <c r="AE100" s="101" t="str">
        <v>Q3'23</v>
      </c>
      <c r="AF100" s="171">
        <v>0</v>
      </c>
      <c r="AG100" s="173" t="e">
        <v>#N/A</v>
      </c>
      <c r="AI100" s="101" t="str">
        <v>Q3'23</v>
      </c>
      <c r="AJ100" s="171">
        <v>0</v>
      </c>
      <c r="AK100" s="173" t="e">
        <v>#N/A</v>
      </c>
      <c r="AM100" s="101" t="str">
        <v>Q3'23</v>
      </c>
      <c r="AN100" s="171">
        <v>0</v>
      </c>
      <c r="AO100" s="173" t="e">
        <v>#N/A</v>
      </c>
      <c r="AQ100" s="101" t="str">
        <v>Q3'23</v>
      </c>
      <c r="AR100" s="171">
        <v>0</v>
      </c>
      <c r="AS100" s="173" t="e">
        <v>#N/A</v>
      </c>
      <c r="AU100" s="101" t="str">
        <v>Q3'23</v>
      </c>
      <c r="AV100" s="171" t="str">
        <v/>
      </c>
      <c r="AW100" s="173" t="e">
        <v>#N/A</v>
      </c>
      <c r="AY100" s="101" t="str">
        <v>Q3'23</v>
      </c>
      <c r="AZ100" s="171">
        <v>0</v>
      </c>
      <c r="BA100" s="173" t="e">
        <v>#N/A</v>
      </c>
      <c r="BC100" s="170">
        <v>45838</v>
      </c>
      <c r="BD100" s="320" t="str">
        <v>Q2'25A</v>
      </c>
      <c r="BE100" s="429">
        <v>0</v>
      </c>
      <c r="BF100" s="429">
        <v>0</v>
      </c>
      <c r="BG100" s="322">
        <v>0</v>
      </c>
      <c r="BH100" s="429">
        <v>0</v>
      </c>
      <c r="BI100" s="429">
        <v>0</v>
      </c>
      <c r="BJ100" s="322">
        <v>0</v>
      </c>
      <c r="BK100" s="432">
        <v>0</v>
      </c>
      <c r="BL100" s="432">
        <v>0</v>
      </c>
      <c r="BM100" s="322">
        <v>0</v>
      </c>
      <c r="BQ100" s="101" t="str">
        <v>Q2'25A</v>
      </c>
      <c r="BR100" s="101">
        <v>0</v>
      </c>
      <c r="BS100" s="101">
        <v>0</v>
      </c>
      <c r="BT100" s="101">
        <v>0</v>
      </c>
      <c r="BV100" s="101" t="str">
        <v>Q2'25A</v>
      </c>
      <c r="BW100" s="101">
        <v>0</v>
      </c>
      <c r="BX100" s="101">
        <v>0</v>
      </c>
      <c r="BY100" s="101">
        <v>0</v>
      </c>
      <c r="CA100" s="101" t="str">
        <v>Q2'25A</v>
      </c>
      <c r="CB100" s="101">
        <v>0</v>
      </c>
      <c r="CC100" s="101">
        <v>0</v>
      </c>
      <c r="CD100" s="101">
        <v>0</v>
      </c>
      <c r="CF100" s="101" t="str">
        <v>Q2'25A</v>
      </c>
      <c r="CG100" s="101">
        <v>0</v>
      </c>
      <c r="CH100" s="101">
        <v>0</v>
      </c>
    </row>
    <row r="101" spans="16:86" x14ac:dyDescent="0.3">
      <c r="P101" s="170">
        <v>45291</v>
      </c>
      <c r="Q101" s="320" t="str">
        <v>Q4'23</v>
      </c>
      <c r="R101" s="171">
        <v>0</v>
      </c>
      <c r="S101" s="173" t="str">
        <v>n/a</v>
      </c>
      <c r="T101" s="171">
        <v>0</v>
      </c>
      <c r="U101" s="173" t="str">
        <v>n/a</v>
      </c>
      <c r="V101" s="171">
        <v>0</v>
      </c>
      <c r="W101" s="173" t="str">
        <v>n/a</v>
      </c>
      <c r="X101" s="171">
        <v>0</v>
      </c>
      <c r="Y101" s="173" t="str">
        <v>n/a</v>
      </c>
      <c r="Z101" s="171" t="str">
        <v/>
      </c>
      <c r="AA101" s="173" t="str">
        <v>n/a</v>
      </c>
      <c r="AB101" s="171">
        <v>0</v>
      </c>
      <c r="AC101" s="173" t="str">
        <v>n/a</v>
      </c>
      <c r="AE101" s="101" t="str">
        <v>Q4'23</v>
      </c>
      <c r="AF101" s="171">
        <v>0</v>
      </c>
      <c r="AG101" s="173" t="e">
        <v>#N/A</v>
      </c>
      <c r="AI101" s="101" t="str">
        <v>Q4'23</v>
      </c>
      <c r="AJ101" s="171">
        <v>0</v>
      </c>
      <c r="AK101" s="173" t="e">
        <v>#N/A</v>
      </c>
      <c r="AM101" s="101" t="str">
        <v>Q4'23</v>
      </c>
      <c r="AN101" s="171">
        <v>0</v>
      </c>
      <c r="AO101" s="173" t="e">
        <v>#N/A</v>
      </c>
      <c r="AQ101" s="101" t="str">
        <v>Q4'23</v>
      </c>
      <c r="AR101" s="171">
        <v>0</v>
      </c>
      <c r="AS101" s="173" t="e">
        <v>#N/A</v>
      </c>
      <c r="AU101" s="101" t="str">
        <v>Q4'23</v>
      </c>
      <c r="AV101" s="171" t="str">
        <v/>
      </c>
      <c r="AW101" s="173" t="e">
        <v>#N/A</v>
      </c>
      <c r="AY101" s="101" t="str">
        <v>Q4'23</v>
      </c>
      <c r="AZ101" s="171">
        <v>0</v>
      </c>
      <c r="BA101" s="173" t="e">
        <v>#N/A</v>
      </c>
      <c r="BC101" s="170">
        <v>45930</v>
      </c>
      <c r="BD101" s="320" t="str">
        <v>Q3'25A</v>
      </c>
      <c r="BE101" s="429">
        <v>0</v>
      </c>
      <c r="BF101" s="429">
        <v>0</v>
      </c>
      <c r="BG101" s="322">
        <v>0</v>
      </c>
      <c r="BH101" s="429">
        <v>0</v>
      </c>
      <c r="BI101" s="429">
        <v>0</v>
      </c>
      <c r="BJ101" s="322">
        <v>0</v>
      </c>
      <c r="BK101" s="432">
        <v>0</v>
      </c>
      <c r="BL101" s="432">
        <v>0</v>
      </c>
      <c r="BM101" s="322">
        <v>0</v>
      </c>
      <c r="BQ101" s="101" t="str">
        <v>Q3'25A</v>
      </c>
      <c r="BR101" s="101">
        <v>0</v>
      </c>
      <c r="BS101" s="101">
        <v>0</v>
      </c>
      <c r="BT101" s="101">
        <v>0</v>
      </c>
      <c r="BV101" s="101" t="str">
        <v>Q3'25A</v>
      </c>
      <c r="BW101" s="101">
        <v>0</v>
      </c>
      <c r="BX101" s="101">
        <v>0</v>
      </c>
      <c r="BY101" s="101">
        <v>0</v>
      </c>
      <c r="CA101" s="101" t="str">
        <v>Q3'25A</v>
      </c>
      <c r="CB101" s="101">
        <v>0</v>
      </c>
      <c r="CC101" s="101">
        <v>0</v>
      </c>
      <c r="CD101" s="101">
        <v>0</v>
      </c>
      <c r="CF101" s="101" t="str">
        <v>Q3'25A</v>
      </c>
      <c r="CG101" s="101">
        <v>0</v>
      </c>
      <c r="CH101" s="101">
        <v>0</v>
      </c>
    </row>
    <row r="102" spans="16:86" x14ac:dyDescent="0.3">
      <c r="P102" s="170">
        <v>45382</v>
      </c>
      <c r="Q102" s="320" t="str">
        <v>Q1'24</v>
      </c>
      <c r="R102" s="171">
        <v>0</v>
      </c>
      <c r="S102" s="173" t="str">
        <v>n/a</v>
      </c>
      <c r="T102" s="171">
        <v>0</v>
      </c>
      <c r="U102" s="173" t="str">
        <v>n/a</v>
      </c>
      <c r="V102" s="171">
        <v>0</v>
      </c>
      <c r="W102" s="173" t="str">
        <v>n/a</v>
      </c>
      <c r="X102" s="171">
        <v>0</v>
      </c>
      <c r="Y102" s="173" t="str">
        <v>n/a</v>
      </c>
      <c r="Z102" s="171" t="str">
        <v/>
      </c>
      <c r="AA102" s="173" t="str">
        <v>n/a</v>
      </c>
      <c r="AB102" s="171">
        <v>0</v>
      </c>
      <c r="AC102" s="173" t="str">
        <v>n/a</v>
      </c>
      <c r="AE102" s="101" t="str">
        <v>Q1'24</v>
      </c>
      <c r="AF102" s="171">
        <v>0</v>
      </c>
      <c r="AG102" s="173" t="e">
        <v>#N/A</v>
      </c>
      <c r="AI102" s="101" t="str">
        <v>Q1'24</v>
      </c>
      <c r="AJ102" s="171">
        <v>0</v>
      </c>
      <c r="AK102" s="173" t="e">
        <v>#N/A</v>
      </c>
      <c r="AM102" s="101" t="str">
        <v>Q1'24</v>
      </c>
      <c r="AN102" s="171">
        <v>0</v>
      </c>
      <c r="AO102" s="173" t="e">
        <v>#N/A</v>
      </c>
      <c r="AQ102" s="101" t="str">
        <v>Q1'24</v>
      </c>
      <c r="AR102" s="171">
        <v>0</v>
      </c>
      <c r="AS102" s="173" t="e">
        <v>#N/A</v>
      </c>
      <c r="AU102" s="101" t="str">
        <v>Q1'24</v>
      </c>
      <c r="AV102" s="171" t="str">
        <v/>
      </c>
      <c r="AW102" s="173" t="e">
        <v>#N/A</v>
      </c>
      <c r="AY102" s="101" t="str">
        <v>Q1'24</v>
      </c>
      <c r="AZ102" s="171">
        <v>0</v>
      </c>
      <c r="BA102" s="173" t="e">
        <v>#N/A</v>
      </c>
      <c r="BC102" s="170"/>
      <c r="BD102" s="320"/>
      <c r="BE102" s="429"/>
      <c r="BF102" s="429"/>
      <c r="BG102" s="322"/>
      <c r="BH102" s="429"/>
      <c r="BI102" s="429"/>
      <c r="BJ102" s="322"/>
      <c r="BK102" s="432"/>
      <c r="BL102" s="432"/>
      <c r="BM102" s="322"/>
    </row>
    <row r="103" spans="16:86" x14ac:dyDescent="0.3">
      <c r="P103" s="170">
        <v>45473</v>
      </c>
      <c r="Q103" s="320" t="str">
        <v>Q2'24</v>
      </c>
      <c r="R103" s="171">
        <v>0</v>
      </c>
      <c r="S103" s="173" t="str">
        <v>n/a</v>
      </c>
      <c r="T103" s="171">
        <v>0</v>
      </c>
      <c r="U103" s="173" t="str">
        <v>n/a</v>
      </c>
      <c r="V103" s="171">
        <v>0</v>
      </c>
      <c r="W103" s="173" t="str">
        <v>n/a</v>
      </c>
      <c r="X103" s="171">
        <v>0</v>
      </c>
      <c r="Y103" s="173" t="str">
        <v>n/a</v>
      </c>
      <c r="Z103" s="171" t="str">
        <v/>
      </c>
      <c r="AA103" s="173" t="str">
        <v>n/a</v>
      </c>
      <c r="AB103" s="171">
        <v>0</v>
      </c>
      <c r="AC103" s="173" t="str">
        <v>n/a</v>
      </c>
      <c r="AE103" s="101" t="str">
        <v>Q2'24</v>
      </c>
      <c r="AF103" s="171">
        <v>0</v>
      </c>
      <c r="AG103" s="173" t="e">
        <v>#N/A</v>
      </c>
      <c r="AI103" s="101" t="str">
        <v>Q2'24</v>
      </c>
      <c r="AJ103" s="171">
        <v>0</v>
      </c>
      <c r="AK103" s="173" t="e">
        <v>#N/A</v>
      </c>
      <c r="AM103" s="101" t="str">
        <v>Q2'24</v>
      </c>
      <c r="AN103" s="171">
        <v>0</v>
      </c>
      <c r="AO103" s="173" t="e">
        <v>#N/A</v>
      </c>
      <c r="AQ103" s="101" t="str">
        <v>Q2'24</v>
      </c>
      <c r="AR103" s="171">
        <v>0</v>
      </c>
      <c r="AS103" s="173" t="e">
        <v>#N/A</v>
      </c>
      <c r="AU103" s="101" t="str">
        <v>Q2'24</v>
      </c>
      <c r="AV103" s="171" t="str">
        <v/>
      </c>
      <c r="AW103" s="173" t="e">
        <v>#N/A</v>
      </c>
      <c r="AY103" s="101" t="str">
        <v>Q2'24</v>
      </c>
      <c r="AZ103" s="171">
        <v>0</v>
      </c>
      <c r="BA103" s="173" t="e">
        <v>#N/A</v>
      </c>
      <c r="BC103" s="170"/>
    </row>
    <row r="104" spans="16:86" x14ac:dyDescent="0.3">
      <c r="P104" s="170">
        <v>45565</v>
      </c>
      <c r="Q104" s="320" t="str">
        <v>Q3'24</v>
      </c>
      <c r="R104" s="171">
        <v>0</v>
      </c>
      <c r="S104" s="173" t="str">
        <v>n/a</v>
      </c>
      <c r="T104" s="171">
        <v>0</v>
      </c>
      <c r="U104" s="173" t="str">
        <v>n/a</v>
      </c>
      <c r="V104" s="171">
        <v>0</v>
      </c>
      <c r="W104" s="173" t="str">
        <v>n/a</v>
      </c>
      <c r="X104" s="171">
        <v>0</v>
      </c>
      <c r="Y104" s="173" t="str">
        <v>n/a</v>
      </c>
      <c r="Z104" s="171" t="str">
        <v/>
      </c>
      <c r="AA104" s="173" t="str">
        <v>n/a</v>
      </c>
      <c r="AB104" s="171">
        <v>0</v>
      </c>
      <c r="AC104" s="173" t="str">
        <v>n/a</v>
      </c>
      <c r="AE104" s="101" t="str">
        <v>Q3'24</v>
      </c>
      <c r="AF104" s="171">
        <v>0</v>
      </c>
      <c r="AG104" s="173" t="e">
        <v>#N/A</v>
      </c>
      <c r="AI104" s="101" t="str">
        <v>Q3'24</v>
      </c>
      <c r="AJ104" s="171">
        <v>0</v>
      </c>
      <c r="AK104" s="173" t="e">
        <v>#N/A</v>
      </c>
      <c r="AM104" s="101" t="str">
        <v>Q3'24</v>
      </c>
      <c r="AN104" s="171">
        <v>0</v>
      </c>
      <c r="AO104" s="173" t="e">
        <v>#N/A</v>
      </c>
      <c r="AQ104" s="101" t="str">
        <v>Q3'24</v>
      </c>
      <c r="AR104" s="171">
        <v>0</v>
      </c>
      <c r="AS104" s="173" t="e">
        <v>#N/A</v>
      </c>
      <c r="AU104" s="101" t="str">
        <v>Q3'24</v>
      </c>
      <c r="AV104" s="171" t="str">
        <v/>
      </c>
      <c r="AW104" s="173" t="e">
        <v>#N/A</v>
      </c>
      <c r="AY104" s="101" t="str">
        <v>Q3'24</v>
      </c>
      <c r="AZ104" s="171">
        <v>0</v>
      </c>
      <c r="BA104" s="173" t="e">
        <v>#N/A</v>
      </c>
      <c r="BC104" s="170"/>
    </row>
    <row r="105" spans="16:86" x14ac:dyDescent="0.3">
      <c r="P105" s="170">
        <v>45657</v>
      </c>
      <c r="Q105" s="320" t="str">
        <v>Q4'24</v>
      </c>
      <c r="R105" s="171">
        <v>0</v>
      </c>
      <c r="S105" s="173" t="str">
        <v>n/a</v>
      </c>
      <c r="T105" s="171">
        <v>0</v>
      </c>
      <c r="U105" s="173" t="str">
        <v>n/a</v>
      </c>
      <c r="V105" s="171">
        <v>0</v>
      </c>
      <c r="W105" s="173" t="str">
        <v>n/a</v>
      </c>
      <c r="X105" s="171">
        <v>0</v>
      </c>
      <c r="Y105" s="173" t="str">
        <v>n/a</v>
      </c>
      <c r="Z105" s="171" t="str">
        <v/>
      </c>
      <c r="AA105" s="173" t="str">
        <v>n/a</v>
      </c>
      <c r="AB105" s="171">
        <v>0</v>
      </c>
      <c r="AC105" s="173" t="str">
        <v>n/a</v>
      </c>
      <c r="AE105" s="101" t="str">
        <v>Q4'24</v>
      </c>
      <c r="AF105" s="171">
        <v>0</v>
      </c>
      <c r="AG105" s="173" t="e">
        <v>#N/A</v>
      </c>
      <c r="AI105" s="101" t="str">
        <v>Q4'24</v>
      </c>
      <c r="AJ105" s="171">
        <v>0</v>
      </c>
      <c r="AK105" s="173" t="e">
        <v>#N/A</v>
      </c>
      <c r="AM105" s="101" t="str">
        <v>Q4'24</v>
      </c>
      <c r="AN105" s="171">
        <v>0</v>
      </c>
      <c r="AO105" s="173" t="e">
        <v>#N/A</v>
      </c>
      <c r="AQ105" s="101" t="str">
        <v>Q4'24</v>
      </c>
      <c r="AR105" s="171">
        <v>0</v>
      </c>
      <c r="AS105" s="173" t="e">
        <v>#N/A</v>
      </c>
      <c r="AU105" s="101" t="str">
        <v>Q4'24</v>
      </c>
      <c r="AV105" s="171" t="str">
        <v/>
      </c>
      <c r="AW105" s="173" t="e">
        <v>#N/A</v>
      </c>
      <c r="AY105" s="101" t="str">
        <v>Q4'24</v>
      </c>
      <c r="AZ105" s="171">
        <v>0</v>
      </c>
      <c r="BA105" s="173" t="e">
        <v>#N/A</v>
      </c>
      <c r="BC105" s="170"/>
    </row>
    <row r="106" spans="16:86" x14ac:dyDescent="0.3">
      <c r="P106" s="170">
        <v>45688</v>
      </c>
      <c r="Q106" s="320" t="str">
        <v>Jan'25</v>
      </c>
      <c r="R106" s="171">
        <v>0</v>
      </c>
      <c r="S106" s="173" t="str">
        <v>n/a</v>
      </c>
      <c r="T106" s="171">
        <v>0</v>
      </c>
      <c r="U106" s="173" t="str">
        <v>n/a</v>
      </c>
      <c r="V106" s="171">
        <v>0</v>
      </c>
      <c r="W106" s="173" t="str">
        <v>n/a</v>
      </c>
      <c r="X106" s="171">
        <v>0</v>
      </c>
      <c r="Y106" s="173" t="str">
        <v>n/a</v>
      </c>
      <c r="Z106" s="171" t="str">
        <v/>
      </c>
      <c r="AA106" s="173" t="str">
        <v>n/a</v>
      </c>
      <c r="AB106" s="171">
        <v>0</v>
      </c>
      <c r="AC106" s="173" t="str">
        <v>n/a</v>
      </c>
      <c r="AE106" s="101" t="str">
        <v>Jan'25</v>
      </c>
      <c r="AF106" s="171">
        <v>0</v>
      </c>
      <c r="AG106" s="173" t="e">
        <v>#N/A</v>
      </c>
      <c r="AI106" s="101" t="str">
        <v>Jan'25</v>
      </c>
      <c r="AJ106" s="171">
        <v>0</v>
      </c>
      <c r="AK106" s="173" t="e">
        <v>#N/A</v>
      </c>
      <c r="AM106" s="101" t="str">
        <v>Jan'25</v>
      </c>
      <c r="AN106" s="171">
        <v>0</v>
      </c>
      <c r="AO106" s="173" t="e">
        <v>#N/A</v>
      </c>
      <c r="AQ106" s="101" t="str">
        <v>Jan'25</v>
      </c>
      <c r="AR106" s="171">
        <v>0</v>
      </c>
      <c r="AS106" s="173" t="e">
        <v>#N/A</v>
      </c>
      <c r="AU106" s="101" t="str">
        <v>Jan'25</v>
      </c>
      <c r="AV106" s="171" t="str">
        <v/>
      </c>
      <c r="AW106" s="173" t="e">
        <v>#N/A</v>
      </c>
      <c r="AY106" s="101" t="str">
        <v>Jan'25</v>
      </c>
      <c r="AZ106" s="171">
        <v>0</v>
      </c>
      <c r="BA106" s="173" t="e">
        <v>#N/A</v>
      </c>
      <c r="BC106" s="170"/>
    </row>
    <row r="107" spans="16:86" x14ac:dyDescent="0.3">
      <c r="P107" s="170">
        <v>45716</v>
      </c>
      <c r="Q107" s="320" t="str">
        <v>Feb'25</v>
      </c>
      <c r="R107" s="171">
        <v>0</v>
      </c>
      <c r="S107" s="173" t="str">
        <v>n/a</v>
      </c>
      <c r="T107" s="171">
        <v>0</v>
      </c>
      <c r="U107" s="173" t="str">
        <v>n/a</v>
      </c>
      <c r="V107" s="171">
        <v>0</v>
      </c>
      <c r="W107" s="173" t="str">
        <v>n/a</v>
      </c>
      <c r="X107" s="171">
        <v>0</v>
      </c>
      <c r="Y107" s="173" t="str">
        <v>n/a</v>
      </c>
      <c r="Z107" s="171" t="str">
        <v/>
      </c>
      <c r="AA107" s="173" t="str">
        <v>n/a</v>
      </c>
      <c r="AB107" s="171">
        <v>0</v>
      </c>
      <c r="AC107" s="173" t="str">
        <v>n/a</v>
      </c>
      <c r="AE107" s="101" t="str">
        <v>Feb'25</v>
      </c>
      <c r="AF107" s="171">
        <v>0</v>
      </c>
      <c r="AG107" s="173" t="e">
        <v>#N/A</v>
      </c>
      <c r="AI107" s="101" t="str">
        <v>Feb'25</v>
      </c>
      <c r="AJ107" s="171">
        <v>0</v>
      </c>
      <c r="AK107" s="173" t="e">
        <v>#N/A</v>
      </c>
      <c r="AM107" s="101" t="str">
        <v>Feb'25</v>
      </c>
      <c r="AN107" s="171">
        <v>0</v>
      </c>
      <c r="AO107" s="173" t="e">
        <v>#N/A</v>
      </c>
      <c r="AQ107" s="101" t="str">
        <v>Feb'25</v>
      </c>
      <c r="AR107" s="171">
        <v>0</v>
      </c>
      <c r="AS107" s="173" t="e">
        <v>#N/A</v>
      </c>
      <c r="AU107" s="101" t="str">
        <v>Feb'25</v>
      </c>
      <c r="AV107" s="171" t="str">
        <v/>
      </c>
      <c r="AW107" s="173" t="e">
        <v>#N/A</v>
      </c>
      <c r="AY107" s="101" t="str">
        <v>Feb'25</v>
      </c>
      <c r="AZ107" s="171">
        <v>0</v>
      </c>
      <c r="BA107" s="173" t="e">
        <v>#N/A</v>
      </c>
      <c r="BC107" s="170"/>
    </row>
    <row r="108" spans="16:86" x14ac:dyDescent="0.3">
      <c r="P108" s="170">
        <v>45747</v>
      </c>
      <c r="Q108" s="320" t="str">
        <v>Q1'25</v>
      </c>
      <c r="R108" s="171">
        <v>0</v>
      </c>
      <c r="S108" s="173" t="str">
        <v>n/a</v>
      </c>
      <c r="T108" s="171">
        <v>0</v>
      </c>
      <c r="U108" s="173" t="str">
        <v>n/a</v>
      </c>
      <c r="V108" s="171">
        <v>0</v>
      </c>
      <c r="W108" s="173" t="str">
        <v>n/a</v>
      </c>
      <c r="X108" s="171">
        <v>0</v>
      </c>
      <c r="Y108" s="173" t="str">
        <v>n/a</v>
      </c>
      <c r="Z108" s="171" t="str">
        <v/>
      </c>
      <c r="AA108" s="173" t="str">
        <v>n/a</v>
      </c>
      <c r="AB108" s="171">
        <v>0</v>
      </c>
      <c r="AC108" s="173" t="str">
        <v>n/a</v>
      </c>
      <c r="AE108" s="101" t="str">
        <v>Q1'25</v>
      </c>
      <c r="AF108" s="171">
        <v>0</v>
      </c>
      <c r="AG108" s="173" t="e">
        <v>#N/A</v>
      </c>
      <c r="AI108" s="101" t="str">
        <v>Q1'25</v>
      </c>
      <c r="AJ108" s="171">
        <v>0</v>
      </c>
      <c r="AK108" s="173" t="e">
        <v>#N/A</v>
      </c>
      <c r="AM108" s="101" t="str">
        <v>Q1'25</v>
      </c>
      <c r="AN108" s="171">
        <v>0</v>
      </c>
      <c r="AO108" s="173" t="e">
        <v>#N/A</v>
      </c>
      <c r="AQ108" s="101" t="str">
        <v>Q1'25</v>
      </c>
      <c r="AR108" s="171">
        <v>0</v>
      </c>
      <c r="AS108" s="173" t="e">
        <v>#N/A</v>
      </c>
      <c r="AU108" s="101" t="str">
        <v>Q1'25</v>
      </c>
      <c r="AV108" s="171" t="str">
        <v/>
      </c>
      <c r="AW108" s="173" t="e">
        <v>#N/A</v>
      </c>
      <c r="AY108" s="101" t="str">
        <v>Q1'25</v>
      </c>
      <c r="AZ108" s="171">
        <v>0</v>
      </c>
      <c r="BA108" s="173" t="e">
        <v>#N/A</v>
      </c>
      <c r="BC108" s="170"/>
    </row>
    <row r="109" spans="16:86" x14ac:dyDescent="0.3">
      <c r="P109" s="170">
        <v>45777</v>
      </c>
      <c r="Q109" s="320" t="str">
        <v>Apr'25</v>
      </c>
      <c r="R109" s="171">
        <v>0</v>
      </c>
      <c r="S109" s="173" t="str">
        <v>n/a</v>
      </c>
      <c r="T109" s="171">
        <v>0</v>
      </c>
      <c r="U109" s="173" t="str">
        <v>n/a</v>
      </c>
      <c r="V109" s="171">
        <v>0</v>
      </c>
      <c r="W109" s="173" t="str">
        <v>n/a</v>
      </c>
      <c r="X109" s="171">
        <v>0</v>
      </c>
      <c r="Y109" s="173" t="str">
        <v>n/a</v>
      </c>
      <c r="Z109" s="171" t="str">
        <v/>
      </c>
      <c r="AA109" s="173" t="str">
        <v>n/a</v>
      </c>
      <c r="AB109" s="171">
        <v>0</v>
      </c>
      <c r="AC109" s="173" t="str">
        <v>n/a</v>
      </c>
      <c r="AE109" s="101" t="str">
        <v>Apr'25</v>
      </c>
      <c r="AF109" s="171">
        <v>0</v>
      </c>
      <c r="AG109" s="173" t="e">
        <v>#N/A</v>
      </c>
      <c r="AI109" s="101" t="str">
        <v>Apr'25</v>
      </c>
      <c r="AJ109" s="171">
        <v>0</v>
      </c>
      <c r="AK109" s="173" t="e">
        <v>#N/A</v>
      </c>
      <c r="AM109" s="101" t="str">
        <v>Apr'25</v>
      </c>
      <c r="AN109" s="171">
        <v>0</v>
      </c>
      <c r="AO109" s="173" t="e">
        <v>#N/A</v>
      </c>
      <c r="AQ109" s="101" t="str">
        <v>Apr'25</v>
      </c>
      <c r="AR109" s="171">
        <v>0</v>
      </c>
      <c r="AS109" s="173" t="e">
        <v>#N/A</v>
      </c>
      <c r="AU109" s="101" t="str">
        <v>Apr'25</v>
      </c>
      <c r="AV109" s="171" t="str">
        <v/>
      </c>
      <c r="AW109" s="173" t="e">
        <v>#N/A</v>
      </c>
      <c r="AY109" s="101" t="str">
        <v>Apr'25</v>
      </c>
      <c r="AZ109" s="171">
        <v>0</v>
      </c>
      <c r="BA109" s="173" t="e">
        <v>#N/A</v>
      </c>
      <c r="BC109" s="170"/>
    </row>
    <row r="110" spans="16:86" x14ac:dyDescent="0.3">
      <c r="P110" s="170">
        <v>45808</v>
      </c>
      <c r="Q110" s="320" t="str">
        <v>May'25</v>
      </c>
      <c r="R110" s="171">
        <v>0</v>
      </c>
      <c r="S110" s="173" t="str">
        <v>n/a</v>
      </c>
      <c r="T110" s="171">
        <v>0</v>
      </c>
      <c r="U110" s="173" t="str">
        <v>n/a</v>
      </c>
      <c r="V110" s="171">
        <v>0</v>
      </c>
      <c r="W110" s="173" t="str">
        <v>n/a</v>
      </c>
      <c r="X110" s="171">
        <v>0</v>
      </c>
      <c r="Y110" s="173" t="str">
        <v>n/a</v>
      </c>
      <c r="Z110" s="171" t="str">
        <v/>
      </c>
      <c r="AA110" s="173" t="str">
        <v>n/a</v>
      </c>
      <c r="AB110" s="171">
        <v>0</v>
      </c>
      <c r="AC110" s="173" t="str">
        <v>n/a</v>
      </c>
      <c r="AE110" s="101" t="str">
        <v>May'25</v>
      </c>
      <c r="AF110" s="171">
        <v>0</v>
      </c>
      <c r="AG110" s="173" t="e">
        <v>#N/A</v>
      </c>
      <c r="AI110" s="101" t="str">
        <v>May'25</v>
      </c>
      <c r="AJ110" s="171">
        <v>0</v>
      </c>
      <c r="AK110" s="173" t="e">
        <v>#N/A</v>
      </c>
      <c r="AM110" s="101" t="str">
        <v>May'25</v>
      </c>
      <c r="AN110" s="171">
        <v>0</v>
      </c>
      <c r="AO110" s="173" t="e">
        <v>#N/A</v>
      </c>
      <c r="AQ110" s="101" t="str">
        <v>May'25</v>
      </c>
      <c r="AR110" s="171">
        <v>0</v>
      </c>
      <c r="AS110" s="173" t="e">
        <v>#N/A</v>
      </c>
      <c r="AU110" s="101" t="str">
        <v>May'25</v>
      </c>
      <c r="AV110" s="171" t="str">
        <v/>
      </c>
      <c r="AW110" s="173" t="e">
        <v>#N/A</v>
      </c>
      <c r="AY110" s="101" t="str">
        <v>May'25</v>
      </c>
      <c r="AZ110" s="171">
        <v>0</v>
      </c>
      <c r="BA110" s="173" t="e">
        <v>#N/A</v>
      </c>
      <c r="BC110" s="170"/>
    </row>
    <row r="111" spans="16:86" x14ac:dyDescent="0.3">
      <c r="P111" s="170">
        <v>45838</v>
      </c>
      <c r="Q111" s="320" t="str">
        <v>Q2'25</v>
      </c>
      <c r="R111" s="171">
        <v>0</v>
      </c>
      <c r="S111" s="173" t="str">
        <v>n/a</v>
      </c>
      <c r="T111" s="171">
        <v>0</v>
      </c>
      <c r="U111" s="173" t="str">
        <v>n/a</v>
      </c>
      <c r="V111" s="171">
        <v>0</v>
      </c>
      <c r="W111" s="173" t="str">
        <v>n/a</v>
      </c>
      <c r="X111" s="171">
        <v>0</v>
      </c>
      <c r="Y111" s="173" t="str">
        <v>n/a</v>
      </c>
      <c r="Z111" s="171" t="str">
        <v/>
      </c>
      <c r="AA111" s="173" t="str">
        <v>n/a</v>
      </c>
      <c r="AB111" s="171">
        <v>0</v>
      </c>
      <c r="AC111" s="173" t="str">
        <v>n/a</v>
      </c>
      <c r="AE111" s="101" t="str">
        <v>Q2'25</v>
      </c>
      <c r="AF111" s="171">
        <v>0</v>
      </c>
      <c r="AG111" s="173" t="e">
        <v>#N/A</v>
      </c>
      <c r="AI111" s="101" t="str">
        <v>Q2'25</v>
      </c>
      <c r="AJ111" s="171">
        <v>0</v>
      </c>
      <c r="AK111" s="173" t="e">
        <v>#N/A</v>
      </c>
      <c r="AM111" s="101" t="str">
        <v>Q2'25</v>
      </c>
      <c r="AN111" s="171">
        <v>0</v>
      </c>
      <c r="AO111" s="173" t="e">
        <v>#N/A</v>
      </c>
      <c r="AQ111" s="101" t="str">
        <v>Q2'25</v>
      </c>
      <c r="AR111" s="171">
        <v>0</v>
      </c>
      <c r="AS111" s="173" t="e">
        <v>#N/A</v>
      </c>
      <c r="AU111" s="101" t="str">
        <v>Q2'25</v>
      </c>
      <c r="AV111" s="171" t="str">
        <v/>
      </c>
      <c r="AW111" s="173" t="e">
        <v>#N/A</v>
      </c>
      <c r="AY111" s="101" t="str">
        <v>Q2'25</v>
      </c>
      <c r="AZ111" s="171">
        <v>0</v>
      </c>
      <c r="BA111" s="173" t="e">
        <v>#N/A</v>
      </c>
      <c r="BC111" s="170"/>
    </row>
    <row r="112" spans="16:86" x14ac:dyDescent="0.3">
      <c r="P112" s="170">
        <v>45869</v>
      </c>
      <c r="Q112" s="320" t="str">
        <v>Jul'25</v>
      </c>
      <c r="R112" s="171">
        <v>0</v>
      </c>
      <c r="S112" s="173" t="str">
        <v>n/a</v>
      </c>
      <c r="T112" s="171">
        <v>0</v>
      </c>
      <c r="U112" s="173" t="str">
        <v>n/a</v>
      </c>
      <c r="V112" s="171">
        <v>0</v>
      </c>
      <c r="W112" s="173" t="str">
        <v>n/a</v>
      </c>
      <c r="X112" s="171">
        <v>0</v>
      </c>
      <c r="Y112" s="173" t="str">
        <v>n/a</v>
      </c>
      <c r="Z112" s="171" t="str">
        <v/>
      </c>
      <c r="AA112" s="173" t="str">
        <v>n/a</v>
      </c>
      <c r="AB112" s="171">
        <v>0</v>
      </c>
      <c r="AC112" s="173" t="str">
        <v>n/a</v>
      </c>
      <c r="AE112" s="101" t="str">
        <v>Jul'25</v>
      </c>
      <c r="AF112" s="171">
        <v>0</v>
      </c>
      <c r="AG112" s="173" t="e">
        <v>#N/A</v>
      </c>
      <c r="AI112" s="101" t="str">
        <v>Jul'25</v>
      </c>
      <c r="AJ112" s="171">
        <v>0</v>
      </c>
      <c r="AK112" s="173" t="e">
        <v>#N/A</v>
      </c>
      <c r="AM112" s="101" t="str">
        <v>Jul'25</v>
      </c>
      <c r="AN112" s="171">
        <v>0</v>
      </c>
      <c r="AO112" s="173" t="e">
        <v>#N/A</v>
      </c>
      <c r="AQ112" s="101" t="str">
        <v>Jul'25</v>
      </c>
      <c r="AR112" s="171">
        <v>0</v>
      </c>
      <c r="AS112" s="173" t="e">
        <v>#N/A</v>
      </c>
      <c r="AU112" s="101" t="str">
        <v>Jul'25</v>
      </c>
      <c r="AV112" s="171" t="str">
        <v/>
      </c>
      <c r="AW112" s="173" t="e">
        <v>#N/A</v>
      </c>
      <c r="AY112" s="101" t="str">
        <v>Jul'25</v>
      </c>
      <c r="AZ112" s="171">
        <v>0</v>
      </c>
      <c r="BA112" s="173" t="e">
        <v>#N/A</v>
      </c>
      <c r="BC112" s="170"/>
    </row>
    <row r="113" spans="16:55" x14ac:dyDescent="0.3">
      <c r="P113" s="170">
        <v>45900</v>
      </c>
      <c r="Q113" s="320" t="str">
        <v>Aug'25</v>
      </c>
      <c r="R113" s="171">
        <v>0</v>
      </c>
      <c r="S113" s="173" t="str">
        <v>n/a</v>
      </c>
      <c r="T113" s="171">
        <v>0</v>
      </c>
      <c r="U113" s="173" t="str">
        <v>n/a</v>
      </c>
      <c r="V113" s="171">
        <v>0</v>
      </c>
      <c r="W113" s="173" t="str">
        <v>n/a</v>
      </c>
      <c r="X113" s="171">
        <v>0</v>
      </c>
      <c r="Y113" s="173" t="str">
        <v>n/a</v>
      </c>
      <c r="Z113" s="171" t="str">
        <v/>
      </c>
      <c r="AA113" s="173" t="str">
        <v>n/a</v>
      </c>
      <c r="AB113" s="171">
        <v>0</v>
      </c>
      <c r="AC113" s="173" t="str">
        <v>n/a</v>
      </c>
      <c r="AE113" s="101" t="str">
        <v>Aug'25</v>
      </c>
      <c r="AF113" s="171">
        <v>0</v>
      </c>
      <c r="AG113" s="173" t="e">
        <v>#N/A</v>
      </c>
      <c r="AI113" s="101" t="str">
        <v>Aug'25</v>
      </c>
      <c r="AJ113" s="171">
        <v>0</v>
      </c>
      <c r="AK113" s="173" t="e">
        <v>#N/A</v>
      </c>
      <c r="AM113" s="101" t="str">
        <v>Aug'25</v>
      </c>
      <c r="AN113" s="171">
        <v>0</v>
      </c>
      <c r="AO113" s="173" t="e">
        <v>#N/A</v>
      </c>
      <c r="AQ113" s="101" t="str">
        <v>Aug'25</v>
      </c>
      <c r="AR113" s="171">
        <v>0</v>
      </c>
      <c r="AS113" s="173" t="e">
        <v>#N/A</v>
      </c>
      <c r="AU113" s="101" t="str">
        <v>Aug'25</v>
      </c>
      <c r="AV113" s="171" t="str">
        <v/>
      </c>
      <c r="AW113" s="173" t="e">
        <v>#N/A</v>
      </c>
      <c r="AY113" s="101" t="str">
        <v>Aug'25</v>
      </c>
      <c r="AZ113" s="171">
        <v>0</v>
      </c>
      <c r="BA113" s="173" t="e">
        <v>#N/A</v>
      </c>
      <c r="BC113" s="170"/>
    </row>
    <row r="114" spans="16:55" x14ac:dyDescent="0.3">
      <c r="P114" s="170">
        <v>45930</v>
      </c>
      <c r="Q114" s="320" t="str">
        <v>Q3'25</v>
      </c>
      <c r="R114" s="171">
        <v>0</v>
      </c>
      <c r="S114" s="173" t="str">
        <v>n/a</v>
      </c>
      <c r="T114" s="171">
        <v>0</v>
      </c>
      <c r="U114" s="173" t="str">
        <v>n/a</v>
      </c>
      <c r="V114" s="171">
        <v>0</v>
      </c>
      <c r="W114" s="173" t="str">
        <v>n/a</v>
      </c>
      <c r="X114" s="171">
        <v>0</v>
      </c>
      <c r="Y114" s="173" t="str">
        <v>n/a</v>
      </c>
      <c r="Z114" s="171" t="str">
        <v/>
      </c>
      <c r="AA114" s="173" t="str">
        <v>n/a</v>
      </c>
      <c r="AB114" s="171">
        <v>0</v>
      </c>
      <c r="AC114" s="173" t="str">
        <v>n/a</v>
      </c>
      <c r="AE114" s="101" t="str">
        <v>Q3'25</v>
      </c>
      <c r="AF114" s="171">
        <v>0</v>
      </c>
      <c r="AG114" s="173" t="e">
        <v>#N/A</v>
      </c>
      <c r="AI114" s="101" t="str">
        <v>Q3'25</v>
      </c>
      <c r="AJ114" s="171">
        <v>0</v>
      </c>
      <c r="AK114" s="173" t="e">
        <v>#N/A</v>
      </c>
      <c r="AM114" s="101" t="str">
        <v>Q3'25</v>
      </c>
      <c r="AN114" s="171">
        <v>0</v>
      </c>
      <c r="AO114" s="173" t="e">
        <v>#N/A</v>
      </c>
      <c r="AQ114" s="101" t="str">
        <v>Q3'25</v>
      </c>
      <c r="AR114" s="171">
        <v>0</v>
      </c>
      <c r="AS114" s="173" t="e">
        <v>#N/A</v>
      </c>
      <c r="AU114" s="101" t="str">
        <v>Q3'25</v>
      </c>
      <c r="AV114" s="171" t="str">
        <v/>
      </c>
      <c r="AW114" s="173" t="e">
        <v>#N/A</v>
      </c>
      <c r="AY114" s="101" t="str">
        <v>Q3'25</v>
      </c>
      <c r="AZ114" s="171">
        <v>0</v>
      </c>
      <c r="BA114" s="173" t="e">
        <v>#N/A</v>
      </c>
      <c r="BC114" s="170"/>
    </row>
    <row r="115" spans="16:55" x14ac:dyDescent="0.3">
      <c r="P115" s="170"/>
      <c r="Q115" s="320"/>
      <c r="BC115" s="170"/>
    </row>
    <row r="116" spans="16:55" x14ac:dyDescent="0.3">
      <c r="P116" s="170"/>
      <c r="Q116" s="320"/>
      <c r="BC116" s="170"/>
    </row>
    <row r="117" spans="16:55" x14ac:dyDescent="0.3">
      <c r="P117" s="170"/>
      <c r="Q117" s="320"/>
      <c r="BC117" s="170"/>
    </row>
    <row r="118" spans="16:55" x14ac:dyDescent="0.3">
      <c r="P118" s="170"/>
      <c r="Q118" s="320"/>
      <c r="BC118" s="170"/>
    </row>
    <row r="119" spans="16:55" x14ac:dyDescent="0.3">
      <c r="P119" s="170"/>
      <c r="Q119" s="320"/>
      <c r="BC119" s="170"/>
    </row>
    <row r="120" spans="16:55" x14ac:dyDescent="0.3">
      <c r="P120" s="170"/>
      <c r="Q120" s="320"/>
      <c r="BC120" s="170"/>
    </row>
    <row r="121" spans="16:55" x14ac:dyDescent="0.3">
      <c r="P121" s="170"/>
      <c r="Q121" s="320"/>
      <c r="BC121" s="170"/>
    </row>
    <row r="122" spans="16:55" x14ac:dyDescent="0.3">
      <c r="P122" s="170"/>
      <c r="Q122" s="320"/>
      <c r="BC122" s="170"/>
    </row>
    <row r="123" spans="16:55" x14ac:dyDescent="0.3">
      <c r="P123" s="170"/>
      <c r="Q123" s="320"/>
      <c r="BC123" s="170"/>
    </row>
    <row r="124" spans="16:55" x14ac:dyDescent="0.3">
      <c r="P124" s="170"/>
    </row>
    <row r="125" spans="16:55" x14ac:dyDescent="0.3">
      <c r="P125" s="170"/>
    </row>
    <row r="126" spans="16:55" x14ac:dyDescent="0.3">
      <c r="P126" s="170"/>
    </row>
    <row r="127" spans="16:55" x14ac:dyDescent="0.3">
      <c r="P127" s="170"/>
    </row>
    <row r="128" spans="16:55" x14ac:dyDescent="0.3">
      <c r="P128" s="170"/>
    </row>
    <row r="129" spans="16:16" x14ac:dyDescent="0.3">
      <c r="P129" s="170"/>
    </row>
    <row r="130" spans="16:16" x14ac:dyDescent="0.3">
      <c r="P130" s="170"/>
    </row>
    <row r="131" spans="16:16" x14ac:dyDescent="0.3">
      <c r="P131" s="170"/>
    </row>
    <row r="132" spans="16:16" x14ac:dyDescent="0.3">
      <c r="P132" s="170"/>
    </row>
    <row r="133" spans="16:16" x14ac:dyDescent="0.3">
      <c r="P133" s="170"/>
    </row>
    <row r="134" spans="16:16" x14ac:dyDescent="0.3">
      <c r="P134" s="170"/>
    </row>
    <row r="135" spans="16:16" x14ac:dyDescent="0.3">
      <c r="P135" s="170"/>
    </row>
    <row r="136" spans="16:16" x14ac:dyDescent="0.3">
      <c r="P136" s="170"/>
    </row>
    <row r="137" spans="16:16" x14ac:dyDescent="0.3">
      <c r="P137" s="170"/>
    </row>
    <row r="138" spans="16:16" x14ac:dyDescent="0.3">
      <c r="P138" s="170"/>
    </row>
    <row r="139" spans="16:16" x14ac:dyDescent="0.3">
      <c r="P139" s="170"/>
    </row>
    <row r="140" spans="16:16" x14ac:dyDescent="0.3">
      <c r="P140" s="170"/>
    </row>
    <row r="141" spans="16:16" x14ac:dyDescent="0.3">
      <c r="P141" s="170"/>
    </row>
    <row r="142" spans="16:16" x14ac:dyDescent="0.3">
      <c r="P142" s="170"/>
    </row>
    <row r="143" spans="16:16" x14ac:dyDescent="0.3">
      <c r="P143" s="170"/>
    </row>
    <row r="144" spans="16:16" x14ac:dyDescent="0.3">
      <c r="P144" s="170"/>
    </row>
    <row r="145" spans="16:16" x14ac:dyDescent="0.3">
      <c r="P145" s="170"/>
    </row>
    <row r="146" spans="16:16" x14ac:dyDescent="0.3">
      <c r="P146" s="170"/>
    </row>
    <row r="147" spans="16:16" x14ac:dyDescent="0.3">
      <c r="P147" s="170"/>
    </row>
    <row r="148" spans="16:16" x14ac:dyDescent="0.3">
      <c r="P148" s="170"/>
    </row>
    <row r="149" spans="16:16" x14ac:dyDescent="0.3">
      <c r="P149" s="170"/>
    </row>
    <row r="150" spans="16:16" x14ac:dyDescent="0.3">
      <c r="P150" s="170"/>
    </row>
    <row r="151" spans="16:16" x14ac:dyDescent="0.3">
      <c r="P151" s="170"/>
    </row>
    <row r="152" spans="16:16" x14ac:dyDescent="0.3">
      <c r="P152" s="170"/>
    </row>
    <row r="153" spans="16:16" x14ac:dyDescent="0.3">
      <c r="P153" s="170"/>
    </row>
    <row r="154" spans="16:16" x14ac:dyDescent="0.3">
      <c r="P154" s="170"/>
    </row>
    <row r="155" spans="16:16" x14ac:dyDescent="0.3">
      <c r="P155" s="170"/>
    </row>
    <row r="156" spans="16:16" x14ac:dyDescent="0.3">
      <c r="P156" s="170"/>
    </row>
    <row r="157" spans="16:16" x14ac:dyDescent="0.3">
      <c r="P157" s="170"/>
    </row>
    <row r="158" spans="16:16" x14ac:dyDescent="0.3">
      <c r="P158" s="170"/>
    </row>
    <row r="159" spans="16:16" x14ac:dyDescent="0.3">
      <c r="P159" s="170"/>
    </row>
    <row r="160" spans="16:16" x14ac:dyDescent="0.3">
      <c r="P160" s="170"/>
    </row>
    <row r="161" spans="16:16" x14ac:dyDescent="0.3">
      <c r="P161" s="170"/>
    </row>
    <row r="162" spans="16:16" x14ac:dyDescent="0.3">
      <c r="P162" s="170"/>
    </row>
    <row r="163" spans="16:16" x14ac:dyDescent="0.3">
      <c r="P163" s="170"/>
    </row>
    <row r="164" spans="16:16" x14ac:dyDescent="0.3">
      <c r="P164" s="170"/>
    </row>
    <row r="165" spans="16:16" x14ac:dyDescent="0.3">
      <c r="P165" s="170"/>
    </row>
    <row r="166" spans="16:16" x14ac:dyDescent="0.3">
      <c r="P166" s="170"/>
    </row>
    <row r="167" spans="16:16" x14ac:dyDescent="0.3">
      <c r="P167" s="170"/>
    </row>
    <row r="168" spans="16:16" x14ac:dyDescent="0.3">
      <c r="P168" s="170"/>
    </row>
    <row r="169" spans="16:16" x14ac:dyDescent="0.3">
      <c r="P169" s="170"/>
    </row>
    <row r="170" spans="16:16" x14ac:dyDescent="0.3">
      <c r="P170" s="170"/>
    </row>
    <row r="171" spans="16:16" x14ac:dyDescent="0.3">
      <c r="P171" s="170"/>
    </row>
    <row r="172" spans="16:16" x14ac:dyDescent="0.3">
      <c r="P172" s="170"/>
    </row>
    <row r="173" spans="16:16" x14ac:dyDescent="0.3">
      <c r="P173" s="170"/>
    </row>
    <row r="174" spans="16:16" x14ac:dyDescent="0.3">
      <c r="P174" s="170"/>
    </row>
    <row r="175" spans="16:16" x14ac:dyDescent="0.3">
      <c r="P175" s="170"/>
    </row>
    <row r="176" spans="16:16" x14ac:dyDescent="0.3">
      <c r="P176" s="170"/>
    </row>
    <row r="177" spans="16:16" x14ac:dyDescent="0.3">
      <c r="P177" s="170"/>
    </row>
    <row r="178" spans="16:16" x14ac:dyDescent="0.3">
      <c r="P178" s="170"/>
    </row>
    <row r="179" spans="16:16" x14ac:dyDescent="0.3">
      <c r="P179" s="170"/>
    </row>
    <row r="180" spans="16:16" x14ac:dyDescent="0.3">
      <c r="P180" s="170"/>
    </row>
    <row r="181" spans="16:16" x14ac:dyDescent="0.3">
      <c r="P181" s="170"/>
    </row>
    <row r="182" spans="16:16" x14ac:dyDescent="0.3">
      <c r="P182" s="170"/>
    </row>
    <row r="183" spans="16:16" x14ac:dyDescent="0.3">
      <c r="P183" s="170"/>
    </row>
    <row r="184" spans="16:16" x14ac:dyDescent="0.3">
      <c r="P184" s="170"/>
    </row>
    <row r="185" spans="16:16" x14ac:dyDescent="0.3">
      <c r="P185" s="170"/>
    </row>
    <row r="186" spans="16:16" x14ac:dyDescent="0.3">
      <c r="P186" s="170"/>
    </row>
    <row r="187" spans="16:16" x14ac:dyDescent="0.3">
      <c r="P187" s="170"/>
    </row>
    <row r="188" spans="16:16" x14ac:dyDescent="0.3">
      <c r="P188" s="170"/>
    </row>
    <row r="189" spans="16:16" x14ac:dyDescent="0.3">
      <c r="P189" s="170"/>
    </row>
    <row r="190" spans="16:16" x14ac:dyDescent="0.3">
      <c r="P190" s="170"/>
    </row>
    <row r="191" spans="16:16" x14ac:dyDescent="0.3">
      <c r="P191" s="170"/>
    </row>
    <row r="192" spans="16:16" x14ac:dyDescent="0.3">
      <c r="P192" s="170"/>
    </row>
    <row r="193" spans="16:16" x14ac:dyDescent="0.3">
      <c r="P193" s="170"/>
    </row>
    <row r="194" spans="16:16" x14ac:dyDescent="0.3">
      <c r="P194" s="170"/>
    </row>
    <row r="195" spans="16:16" x14ac:dyDescent="0.3">
      <c r="P195" s="170"/>
    </row>
    <row r="196" spans="16:16" x14ac:dyDescent="0.3">
      <c r="P196" s="170"/>
    </row>
    <row r="197" spans="16:16" x14ac:dyDescent="0.3">
      <c r="P197" s="170"/>
    </row>
  </sheetData>
  <pageMargins left="0.25" right="0.25" top="0.25" bottom="0.25" header="0.3" footer="0.3"/>
  <pageSetup scale="99" fitToHeight="0" orientation="landscape" horizontalDpi="2400" verticalDpi="2400" r:id="rId1"/>
  <customProperties>
    <customPr name="OrphanNamesChecked" r:id="rId2"/>
  </customPropertie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3168613-0380-4B59-924E-79406C1A014A}">
            <xm:f>P$3:EL$3=Dashboard!$AC$1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P97:P197</xm:sqref>
        </x14:conditionalFormatting>
        <x14:conditionalFormatting xmlns:xm="http://schemas.microsoft.com/office/excel/2006/main">
          <x14:cfRule type="expression" priority="1" id="{120B6B9C-B1BC-4D6C-9E35-0EFB3885A949}">
            <xm:f>BC$3:FA$3=Dashboard!$AC$1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BC97:BC123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D2F1-24E9-4D76-A530-7417164298CF}">
  <sheetPr codeName="Sheet24">
    <tabColor theme="5"/>
  </sheetPr>
  <dimension ref="A1"/>
  <sheetViews>
    <sheetView showGridLines="0" zoomScale="85" zoomScaleNormal="85" workbookViewId="0"/>
  </sheetViews>
  <sheetFormatPr defaultColWidth="9.296875" defaultRowHeight="13" x14ac:dyDescent="0.3"/>
  <cols>
    <col min="1" max="16384" width="9.296875" style="1"/>
  </cols>
  <sheetData/>
  <pageMargins left="0.7" right="0.7" top="0.75" bottom="0.75" header="0.3" footer="0.3"/>
  <pageSetup orientation="portrait" horizontalDpi="1200" verticalDpi="1200" r:id="rId1"/>
  <customProperties>
    <customPr name="OrphanNamesChecke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8411-EBC0-45A9-9FDE-405082C504ED}">
  <sheetPr codeName="Sheet14">
    <tabColor theme="5" tint="0.79998168889431442"/>
  </sheetPr>
  <dimension ref="A1:DC694"/>
  <sheetViews>
    <sheetView showGridLines="0" zoomScale="85" zoomScaleNormal="85" workbookViewId="0">
      <pane xSplit="6" ySplit="7" topLeftCell="G8" activePane="bottomRight" state="frozen"/>
      <selection activeCell="G8" sqref="G8"/>
      <selection pane="topRight" activeCell="G8" sqref="G8"/>
      <selection pane="bottomLeft" activeCell="G8" sqref="G8"/>
      <selection pane="bottomRight" activeCell="G8" sqref="G8"/>
    </sheetView>
  </sheetViews>
  <sheetFormatPr defaultColWidth="9.296875" defaultRowHeight="13" outlineLevelCol="2" x14ac:dyDescent="0.3"/>
  <cols>
    <col min="1" max="2" width="2.796875" style="101" customWidth="1"/>
    <col min="3" max="5" width="13.296875" style="101" customWidth="1"/>
    <col min="6" max="6" width="2.796875" style="101" customWidth="1"/>
    <col min="7" max="7" width="13.296875" style="101" customWidth="1"/>
    <col min="8" max="10" width="13.296875" style="101" customWidth="1" outlineLevel="1"/>
    <col min="11" max="11" width="13.296875" style="101" customWidth="1"/>
    <col min="12" max="13" width="13.296875" style="101" customWidth="1" outlineLevel="2"/>
    <col min="14" max="14" width="13.296875" style="101" customWidth="1" outlineLevel="1"/>
    <col min="15" max="16" width="13.296875" style="101" customWidth="1" outlineLevel="2"/>
    <col min="17" max="17" width="13.296875" style="101" customWidth="1" outlineLevel="1"/>
    <col min="18" max="19" width="13.296875" style="101" customWidth="1" outlineLevel="2"/>
    <col min="20" max="20" width="13.296875" style="101" customWidth="1" outlineLevel="1"/>
    <col min="21" max="22" width="13.296875" style="101" customWidth="1" outlineLevel="2"/>
    <col min="23" max="23" width="13.296875" style="101" customWidth="1"/>
    <col min="24" max="25" width="13.296875" style="101" customWidth="1" outlineLevel="2"/>
    <col min="26" max="26" width="13.296875" style="101" customWidth="1" outlineLevel="1"/>
    <col min="27" max="28" width="13.296875" style="101" customWidth="1" outlineLevel="2"/>
    <col min="29" max="29" width="13.296875" style="101" customWidth="1" outlineLevel="1"/>
    <col min="30" max="31" width="13.296875" style="101" customWidth="1" outlineLevel="2"/>
    <col min="32" max="32" width="13.296875" style="101" customWidth="1" outlineLevel="1"/>
    <col min="33" max="34" width="13.296875" style="101" customWidth="1" outlineLevel="2"/>
    <col min="35" max="35" width="13.296875" style="101" customWidth="1"/>
    <col min="36" max="37" width="13.296875" style="101" customWidth="1" outlineLevel="2"/>
    <col min="38" max="38" width="13.296875" style="101" customWidth="1" outlineLevel="1"/>
    <col min="39" max="40" width="13.296875" style="101" customWidth="1" outlineLevel="2"/>
    <col min="41" max="41" width="13.296875" style="101" customWidth="1" outlineLevel="1"/>
    <col min="42" max="43" width="13.296875" style="101" customWidth="1" outlineLevel="2"/>
    <col min="44" max="44" width="13.296875" style="101" customWidth="1" outlineLevel="1"/>
    <col min="45" max="46" width="13.296875" style="101" customWidth="1" outlineLevel="2"/>
    <col min="47" max="47" width="13.296875" style="101" customWidth="1"/>
    <col min="48" max="49" width="13.296875" style="101" customWidth="1" outlineLevel="2"/>
    <col min="50" max="50" width="13.296875" style="101" customWidth="1" outlineLevel="1"/>
    <col min="51" max="52" width="13.296875" style="101" customWidth="1" outlineLevel="2"/>
    <col min="53" max="53" width="13.296875" style="101" customWidth="1" outlineLevel="1"/>
    <col min="54" max="55" width="13.296875" style="101" customWidth="1" outlineLevel="2"/>
    <col min="56" max="56" width="13.296875" style="101" customWidth="1" outlineLevel="1"/>
    <col min="57" max="58" width="13.296875" style="101" customWidth="1" outlineLevel="2"/>
    <col min="59" max="59" width="13.296875" style="101" customWidth="1"/>
    <col min="60" max="61" width="13.296875" style="101" customWidth="1" outlineLevel="2"/>
    <col min="62" max="62" width="13.296875" style="101" customWidth="1" outlineLevel="1"/>
    <col min="63" max="64" width="13.296875" style="101" customWidth="1" outlineLevel="2"/>
    <col min="65" max="65" width="13.296875" style="101" customWidth="1" outlineLevel="1"/>
    <col min="66" max="67" width="13.296875" style="101" customWidth="1" outlineLevel="2"/>
    <col min="68" max="68" width="13.296875" style="101" customWidth="1" outlineLevel="1"/>
    <col min="69" max="70" width="13.296875" style="101" customWidth="1" outlineLevel="2"/>
    <col min="71" max="71" width="13.296875" style="101" customWidth="1"/>
    <col min="72" max="73" width="13.296875" style="101" customWidth="1" outlineLevel="2"/>
    <col min="74" max="74" width="13.296875" style="101" customWidth="1" outlineLevel="1"/>
    <col min="75" max="76" width="13.296875" style="101" customWidth="1" outlineLevel="2"/>
    <col min="77" max="77" width="13.296875" style="101" customWidth="1" outlineLevel="1"/>
    <col min="78" max="79" width="13.296875" style="101" customWidth="1" outlineLevel="2"/>
    <col min="80" max="80" width="13.296875" style="101" customWidth="1" outlineLevel="1"/>
    <col min="81" max="82" width="13.296875" style="101" customWidth="1" outlineLevel="2"/>
    <col min="83" max="83" width="13.296875" style="101" customWidth="1"/>
    <col min="84" max="85" width="13.296875" style="101" customWidth="1" outlineLevel="2"/>
    <col min="86" max="86" width="13.296875" style="101" customWidth="1" outlineLevel="1"/>
    <col min="87" max="88" width="13.296875" style="101" customWidth="1" outlineLevel="2"/>
    <col min="89" max="89" width="13.296875" style="101" customWidth="1" outlineLevel="1"/>
    <col min="90" max="91" width="13.296875" style="101" customWidth="1" outlineLevel="2"/>
    <col min="92" max="92" width="13.296875" style="101" customWidth="1" outlineLevel="1"/>
    <col min="93" max="94" width="13.296875" style="101" customWidth="1" outlineLevel="2"/>
    <col min="95" max="95" width="13.296875" style="101" customWidth="1"/>
    <col min="96" max="97" width="13.296875" style="101" customWidth="1" outlineLevel="2"/>
    <col min="98" max="98" width="13.296875" style="101" customWidth="1" outlineLevel="1"/>
    <col min="99" max="100" width="13.296875" style="101" customWidth="1" outlineLevel="2"/>
    <col min="101" max="101" width="13.296875" style="101" customWidth="1" outlineLevel="1"/>
    <col min="102" max="103" width="13.296875" style="101" customWidth="1" outlineLevel="2"/>
    <col min="104" max="104" width="13.296875" style="101" customWidth="1" outlineLevel="1"/>
    <col min="105" max="106" width="13.296875" style="101" customWidth="1" outlineLevel="2"/>
    <col min="107" max="107" width="13.296875" style="101" customWidth="1"/>
    <col min="108" max="16384" width="9.296875" style="101"/>
  </cols>
  <sheetData>
    <row r="1" spans="1:107" x14ac:dyDescent="0.3">
      <c r="C1" s="174" t="str">
        <f>++Dashboard!$C$1</f>
        <v>[Company Name]</v>
      </c>
      <c r="D1" s="273"/>
      <c r="E1" s="314"/>
      <c r="G1" s="349" t="str">
        <f>++"FY'"&amp;RIGHT(YEAR(G3),2)</f>
        <v>FY'22</v>
      </c>
      <c r="H1" s="167" t="str">
        <f>++"FY'"&amp;RIGHT(YEAR(K3),2)</f>
        <v>FY'23</v>
      </c>
      <c r="I1" s="354"/>
      <c r="J1" s="354"/>
      <c r="K1" s="355"/>
      <c r="L1" s="167" t="str">
        <f>++"FY'"&amp;RIGHT(YEAR(W3),2)</f>
        <v>FY'24</v>
      </c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5"/>
      <c r="X1" s="167" t="str">
        <f>++"FY'"&amp;RIGHT(YEAR(AI3),2)</f>
        <v>FY'25</v>
      </c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5"/>
      <c r="AJ1" s="168" t="str">
        <f>++"FY'"&amp;RIGHT(YEAR(AU3),2)</f>
        <v>FY'26</v>
      </c>
      <c r="AK1" s="356"/>
      <c r="AL1" s="356"/>
      <c r="AM1" s="356"/>
      <c r="AN1" s="356"/>
      <c r="AO1" s="356"/>
      <c r="AP1" s="356"/>
      <c r="AQ1" s="356"/>
      <c r="AR1" s="356"/>
      <c r="AS1" s="356"/>
      <c r="AT1" s="356"/>
      <c r="AU1" s="357"/>
      <c r="AV1" s="168" t="str">
        <f>++"FY'"&amp;RIGHT(YEAR(BG3),2)</f>
        <v>FY'27</v>
      </c>
      <c r="AW1" s="356"/>
      <c r="AX1" s="356"/>
      <c r="AY1" s="356"/>
      <c r="AZ1" s="356"/>
      <c r="BA1" s="356"/>
      <c r="BB1" s="356"/>
      <c r="BC1" s="356"/>
      <c r="BD1" s="356"/>
      <c r="BE1" s="356"/>
      <c r="BF1" s="356"/>
      <c r="BG1" s="357"/>
      <c r="BH1" s="168" t="str">
        <f>++"FY'"&amp;RIGHT(YEAR(BS3),2)</f>
        <v>FY'28</v>
      </c>
      <c r="BI1" s="356"/>
      <c r="BJ1" s="356"/>
      <c r="BK1" s="356"/>
      <c r="BL1" s="356"/>
      <c r="BM1" s="356"/>
      <c r="BN1" s="356"/>
      <c r="BO1" s="356"/>
      <c r="BP1" s="356"/>
      <c r="BQ1" s="356"/>
      <c r="BR1" s="356"/>
      <c r="BS1" s="357"/>
      <c r="BT1" s="168" t="str">
        <f>++"FY'"&amp;RIGHT(YEAR(CE3),2)</f>
        <v>FY'29</v>
      </c>
      <c r="BU1" s="356"/>
      <c r="BV1" s="356"/>
      <c r="BW1" s="356"/>
      <c r="BX1" s="356"/>
      <c r="BY1" s="356"/>
      <c r="BZ1" s="356"/>
      <c r="CA1" s="356"/>
      <c r="CB1" s="356"/>
      <c r="CC1" s="356"/>
      <c r="CD1" s="356"/>
      <c r="CE1" s="357"/>
      <c r="CF1" s="168" t="str">
        <f>++"FY'"&amp;RIGHT(YEAR(CQ3),2)</f>
        <v>FY'30</v>
      </c>
      <c r="CG1" s="356"/>
      <c r="CH1" s="356"/>
      <c r="CI1" s="356"/>
      <c r="CJ1" s="356"/>
      <c r="CK1" s="356"/>
      <c r="CL1" s="356"/>
      <c r="CM1" s="356"/>
      <c r="CN1" s="356"/>
      <c r="CO1" s="356"/>
      <c r="CP1" s="356"/>
      <c r="CQ1" s="357"/>
      <c r="CR1" s="168" t="str">
        <f>++"FY'"&amp;RIGHT(YEAR(DC3),2)</f>
        <v>FY'31</v>
      </c>
      <c r="CS1" s="356"/>
      <c r="CT1" s="356"/>
      <c r="CU1" s="356"/>
      <c r="CV1" s="356"/>
      <c r="CW1" s="356"/>
      <c r="CX1" s="356"/>
      <c r="CY1" s="356"/>
      <c r="CZ1" s="356"/>
      <c r="DA1" s="356"/>
      <c r="DB1" s="356"/>
      <c r="DC1" s="411"/>
    </row>
    <row r="2" spans="1:107" x14ac:dyDescent="0.3">
      <c r="C2" s="178" t="s">
        <v>117</v>
      </c>
      <c r="D2" s="277"/>
      <c r="E2" s="315"/>
      <c r="G2" s="358" t="str">
        <f>++"Q4'"&amp;RIGHT(YEAR(G3),2)</f>
        <v>Q4'22</v>
      </c>
      <c r="H2" s="359" t="str">
        <f>++"Q1'"&amp;RIGHT(YEAR(H3),2)</f>
        <v>Q1'23</v>
      </c>
      <c r="I2" s="360" t="str">
        <f>++"Q2'"&amp;RIGHT(YEAR(I3),2)</f>
        <v>Q2'23</v>
      </c>
      <c r="J2" s="360" t="str">
        <f>++"Q3'"&amp;RIGHT(YEAR(J3),2)</f>
        <v>Q3'23</v>
      </c>
      <c r="K2" s="361" t="str">
        <f>++"Q4'"&amp;RIGHT(YEAR(K3),2)</f>
        <v>Q4'23</v>
      </c>
      <c r="L2" s="359" t="str">
        <f>++"Q1'"&amp;RIGHT(YEAR(W3),2)</f>
        <v>Q1'24</v>
      </c>
      <c r="M2" s="360" t="str">
        <f>++"Q1'"&amp;RIGHT(YEAR(W3),2)</f>
        <v>Q1'24</v>
      </c>
      <c r="N2" s="360" t="str">
        <f>++"Q1'"&amp;RIGHT(YEAR(W3),2)</f>
        <v>Q1'24</v>
      </c>
      <c r="O2" s="360" t="str">
        <f>++"Q2'"&amp;RIGHT(YEAR(W3),2)</f>
        <v>Q2'24</v>
      </c>
      <c r="P2" s="360" t="str">
        <f>++"Q2'"&amp;RIGHT(YEAR(W3),2)</f>
        <v>Q2'24</v>
      </c>
      <c r="Q2" s="360" t="str">
        <f>++"Q2'"&amp;RIGHT(YEAR(W3),2)</f>
        <v>Q2'24</v>
      </c>
      <c r="R2" s="360" t="str">
        <f>++"Q3'"&amp;RIGHT(YEAR(W3),2)</f>
        <v>Q3'24</v>
      </c>
      <c r="S2" s="360" t="str">
        <f>++"Q3'"&amp;RIGHT(YEAR(W3),2)</f>
        <v>Q3'24</v>
      </c>
      <c r="T2" s="360" t="str">
        <f>++"Q3'"&amp;RIGHT(YEAR(W3),2)</f>
        <v>Q3'24</v>
      </c>
      <c r="U2" s="360" t="str">
        <f>++"Q4'"&amp;RIGHT(YEAR(W3),2)</f>
        <v>Q4'24</v>
      </c>
      <c r="V2" s="360" t="str">
        <f>++"Q4'"&amp;RIGHT(YEAR(W3),2)</f>
        <v>Q4'24</v>
      </c>
      <c r="W2" s="361" t="str">
        <f>++"Q4'"&amp;RIGHT(YEAR(W3),2)</f>
        <v>Q4'24</v>
      </c>
      <c r="X2" s="359" t="str">
        <f>++"Q1'"&amp;RIGHT(YEAR(AI3),2)</f>
        <v>Q1'25</v>
      </c>
      <c r="Y2" s="360" t="str">
        <f>++"Q1'"&amp;RIGHT(YEAR(AI3),2)</f>
        <v>Q1'25</v>
      </c>
      <c r="Z2" s="360" t="str">
        <f>++"Q1'"&amp;RIGHT(YEAR(AI3),2)</f>
        <v>Q1'25</v>
      </c>
      <c r="AA2" s="360" t="str">
        <f>++"Q2'"&amp;RIGHT(YEAR(AI3),2)</f>
        <v>Q2'25</v>
      </c>
      <c r="AB2" s="360" t="str">
        <f>++"Q2'"&amp;RIGHT(YEAR(AI3),2)</f>
        <v>Q2'25</v>
      </c>
      <c r="AC2" s="360" t="str">
        <f>++"Q2'"&amp;RIGHT(YEAR(AI3),2)</f>
        <v>Q2'25</v>
      </c>
      <c r="AD2" s="360" t="str">
        <f>++"Q3'"&amp;RIGHT(YEAR(AI3),2)</f>
        <v>Q3'25</v>
      </c>
      <c r="AE2" s="360" t="str">
        <f>++"Q3'"&amp;RIGHT(YEAR(AI3),2)</f>
        <v>Q3'25</v>
      </c>
      <c r="AF2" s="360" t="str">
        <f>++"Q3'"&amp;RIGHT(YEAR(AI3),2)</f>
        <v>Q3'25</v>
      </c>
      <c r="AG2" s="360" t="str">
        <f>++"Q4'"&amp;RIGHT(YEAR(AI3),2)</f>
        <v>Q4'25</v>
      </c>
      <c r="AH2" s="360" t="str">
        <f>++"Q4'"&amp;RIGHT(YEAR(AI3),2)</f>
        <v>Q4'25</v>
      </c>
      <c r="AI2" s="361" t="str">
        <f>++"Q4'"&amp;RIGHT(YEAR(AI3),2)</f>
        <v>Q4'25</v>
      </c>
      <c r="AJ2" s="359" t="str">
        <f>++"Q1'"&amp;RIGHT(YEAR(AU3),2)</f>
        <v>Q1'26</v>
      </c>
      <c r="AK2" s="360" t="str">
        <f>++"Q1'"&amp;RIGHT(YEAR(AU3),2)</f>
        <v>Q1'26</v>
      </c>
      <c r="AL2" s="360" t="str">
        <f>++"Q1'"&amp;RIGHT(YEAR(AU3),2)</f>
        <v>Q1'26</v>
      </c>
      <c r="AM2" s="360" t="str">
        <f>++"Q2'"&amp;RIGHT(YEAR(AU3),2)</f>
        <v>Q2'26</v>
      </c>
      <c r="AN2" s="360" t="str">
        <f>++"Q2'"&amp;RIGHT(YEAR(AU3),2)</f>
        <v>Q2'26</v>
      </c>
      <c r="AO2" s="360" t="str">
        <f>++"Q2'"&amp;RIGHT(YEAR(AU3),2)</f>
        <v>Q2'26</v>
      </c>
      <c r="AP2" s="360" t="str">
        <f>++"Q3'"&amp;RIGHT(YEAR(AU3),2)</f>
        <v>Q3'26</v>
      </c>
      <c r="AQ2" s="360" t="str">
        <f>++"Q3'"&amp;RIGHT(YEAR(AU3),2)</f>
        <v>Q3'26</v>
      </c>
      <c r="AR2" s="360" t="str">
        <f>++"Q3'"&amp;RIGHT(YEAR(AU3),2)</f>
        <v>Q3'26</v>
      </c>
      <c r="AS2" s="360" t="str">
        <f>++"Q4'"&amp;RIGHT(YEAR(AU3),2)</f>
        <v>Q4'26</v>
      </c>
      <c r="AT2" s="360" t="str">
        <f>++"Q4'"&amp;RIGHT(YEAR(AU3),2)</f>
        <v>Q4'26</v>
      </c>
      <c r="AU2" s="361" t="str">
        <f>++"Q4'"&amp;RIGHT(YEAR(AU3),2)</f>
        <v>Q4'26</v>
      </c>
      <c r="AV2" s="359" t="str">
        <f>++"Q1'"&amp;RIGHT(YEAR(BG3),2)</f>
        <v>Q1'27</v>
      </c>
      <c r="AW2" s="360" t="str">
        <f>++"Q1'"&amp;RIGHT(YEAR(BG3),2)</f>
        <v>Q1'27</v>
      </c>
      <c r="AX2" s="360" t="str">
        <f>++"Q1'"&amp;RIGHT(YEAR(BG3),2)</f>
        <v>Q1'27</v>
      </c>
      <c r="AY2" s="360" t="str">
        <f>++"Q2'"&amp;RIGHT(YEAR(BG3),2)</f>
        <v>Q2'27</v>
      </c>
      <c r="AZ2" s="360" t="str">
        <f>++"Q2'"&amp;RIGHT(YEAR(BG3),2)</f>
        <v>Q2'27</v>
      </c>
      <c r="BA2" s="360" t="str">
        <f>++"Q2'"&amp;RIGHT(YEAR(BG3),2)</f>
        <v>Q2'27</v>
      </c>
      <c r="BB2" s="360" t="str">
        <f>++"Q3'"&amp;RIGHT(YEAR(BG3),2)</f>
        <v>Q3'27</v>
      </c>
      <c r="BC2" s="360" t="str">
        <f>++"Q3'"&amp;RIGHT(YEAR(BG3),2)</f>
        <v>Q3'27</v>
      </c>
      <c r="BD2" s="360" t="str">
        <f>++"Q3'"&amp;RIGHT(YEAR(BG3),2)</f>
        <v>Q3'27</v>
      </c>
      <c r="BE2" s="360" t="str">
        <f>++"Q4'"&amp;RIGHT(YEAR(BG3),2)</f>
        <v>Q4'27</v>
      </c>
      <c r="BF2" s="360" t="str">
        <f>++"Q4'"&amp;RIGHT(YEAR(BG3),2)</f>
        <v>Q4'27</v>
      </c>
      <c r="BG2" s="361" t="str">
        <f>++"Q4'"&amp;RIGHT(YEAR(BG3),2)</f>
        <v>Q4'27</v>
      </c>
      <c r="BH2" s="359" t="str">
        <f>++"Q1'"&amp;RIGHT(YEAR(BS3),2)</f>
        <v>Q1'28</v>
      </c>
      <c r="BI2" s="360" t="str">
        <f>++"Q1'"&amp;RIGHT(YEAR(BS3),2)</f>
        <v>Q1'28</v>
      </c>
      <c r="BJ2" s="360" t="str">
        <f>++"Q1'"&amp;RIGHT(YEAR(BS3),2)</f>
        <v>Q1'28</v>
      </c>
      <c r="BK2" s="360" t="str">
        <f>++"Q2'"&amp;RIGHT(YEAR(BS3),2)</f>
        <v>Q2'28</v>
      </c>
      <c r="BL2" s="360" t="str">
        <f>++"Q2'"&amp;RIGHT(YEAR(BS3),2)</f>
        <v>Q2'28</v>
      </c>
      <c r="BM2" s="360" t="str">
        <f>++"Q2'"&amp;RIGHT(YEAR(BS3),2)</f>
        <v>Q2'28</v>
      </c>
      <c r="BN2" s="360" t="str">
        <f>++"Q3'"&amp;RIGHT(YEAR(BS3),2)</f>
        <v>Q3'28</v>
      </c>
      <c r="BO2" s="360" t="str">
        <f>++"Q3'"&amp;RIGHT(YEAR(BS3),2)</f>
        <v>Q3'28</v>
      </c>
      <c r="BP2" s="360" t="str">
        <f>++"Q3'"&amp;RIGHT(YEAR(BS3),2)</f>
        <v>Q3'28</v>
      </c>
      <c r="BQ2" s="360" t="str">
        <f>++"Q4'"&amp;RIGHT(YEAR(BS3),2)</f>
        <v>Q4'28</v>
      </c>
      <c r="BR2" s="360" t="str">
        <f>++"Q4'"&amp;RIGHT(YEAR(BS3),2)</f>
        <v>Q4'28</v>
      </c>
      <c r="BS2" s="361" t="str">
        <f>++"Q4'"&amp;RIGHT(YEAR(BS3),2)</f>
        <v>Q4'28</v>
      </c>
      <c r="BT2" s="359" t="str">
        <f>++"Q1'"&amp;RIGHT(YEAR(CE3),2)</f>
        <v>Q1'29</v>
      </c>
      <c r="BU2" s="360" t="str">
        <f>++"Q1'"&amp;RIGHT(YEAR(CE3),2)</f>
        <v>Q1'29</v>
      </c>
      <c r="BV2" s="360" t="str">
        <f>++"Q1'"&amp;RIGHT(YEAR(CE3),2)</f>
        <v>Q1'29</v>
      </c>
      <c r="BW2" s="360" t="str">
        <f>++"Q2'"&amp;RIGHT(YEAR(CE3),2)</f>
        <v>Q2'29</v>
      </c>
      <c r="BX2" s="360" t="str">
        <f>++"Q2'"&amp;RIGHT(YEAR(CE3),2)</f>
        <v>Q2'29</v>
      </c>
      <c r="BY2" s="360" t="str">
        <f>++"Q2'"&amp;RIGHT(YEAR(CE3),2)</f>
        <v>Q2'29</v>
      </c>
      <c r="BZ2" s="360" t="str">
        <f>++"Q3'"&amp;RIGHT(YEAR(CE3),2)</f>
        <v>Q3'29</v>
      </c>
      <c r="CA2" s="360" t="str">
        <f>++"Q3'"&amp;RIGHT(YEAR(CE3),2)</f>
        <v>Q3'29</v>
      </c>
      <c r="CB2" s="360" t="str">
        <f>++"Q3'"&amp;RIGHT(YEAR(CE3),2)</f>
        <v>Q3'29</v>
      </c>
      <c r="CC2" s="360" t="str">
        <f>++"Q4'"&amp;RIGHT(YEAR(CE3),2)</f>
        <v>Q4'29</v>
      </c>
      <c r="CD2" s="360" t="str">
        <f>++"Q4'"&amp;RIGHT(YEAR(CE3),2)</f>
        <v>Q4'29</v>
      </c>
      <c r="CE2" s="361" t="str">
        <f>++"Q4'"&amp;RIGHT(YEAR(CE3),2)</f>
        <v>Q4'29</v>
      </c>
      <c r="CF2" s="359" t="str">
        <f>++"Q1'"&amp;RIGHT(YEAR(CQ3),2)</f>
        <v>Q1'30</v>
      </c>
      <c r="CG2" s="360" t="str">
        <f>++"Q1'"&amp;RIGHT(YEAR(CQ3),2)</f>
        <v>Q1'30</v>
      </c>
      <c r="CH2" s="360" t="str">
        <f>++"Q1'"&amp;RIGHT(YEAR(CQ3),2)</f>
        <v>Q1'30</v>
      </c>
      <c r="CI2" s="360" t="str">
        <f>++"Q2'"&amp;RIGHT(YEAR(CQ3),2)</f>
        <v>Q2'30</v>
      </c>
      <c r="CJ2" s="360" t="str">
        <f>++"Q2'"&amp;RIGHT(YEAR(CQ3),2)</f>
        <v>Q2'30</v>
      </c>
      <c r="CK2" s="360" t="str">
        <f>++"Q2'"&amp;RIGHT(YEAR(CQ3),2)</f>
        <v>Q2'30</v>
      </c>
      <c r="CL2" s="360" t="str">
        <f>++"Q3'"&amp;RIGHT(YEAR(CQ3),2)</f>
        <v>Q3'30</v>
      </c>
      <c r="CM2" s="360" t="str">
        <f>++"Q3'"&amp;RIGHT(YEAR(CQ3),2)</f>
        <v>Q3'30</v>
      </c>
      <c r="CN2" s="360" t="str">
        <f>++"Q3'"&amp;RIGHT(YEAR(CQ3),2)</f>
        <v>Q3'30</v>
      </c>
      <c r="CO2" s="360" t="str">
        <f>++"Q4'"&amp;RIGHT(YEAR(CQ3),2)</f>
        <v>Q4'30</v>
      </c>
      <c r="CP2" s="360" t="str">
        <f>++"Q4'"&amp;RIGHT(YEAR(CQ3),2)</f>
        <v>Q4'30</v>
      </c>
      <c r="CQ2" s="361" t="str">
        <f>++"Q4'"&amp;RIGHT(YEAR(CQ3),2)</f>
        <v>Q4'30</v>
      </c>
      <c r="CR2" s="359" t="str">
        <f>++"Q1'"&amp;RIGHT(YEAR(DC3),2)</f>
        <v>Q1'31</v>
      </c>
      <c r="CS2" s="360" t="str">
        <f>++"Q1'"&amp;RIGHT(YEAR(DC3),2)</f>
        <v>Q1'31</v>
      </c>
      <c r="CT2" s="360" t="str">
        <f>++"Q1'"&amp;RIGHT(YEAR(DC3),2)</f>
        <v>Q1'31</v>
      </c>
      <c r="CU2" s="360" t="str">
        <f>++"Q2'"&amp;RIGHT(YEAR(DC3),2)</f>
        <v>Q2'31</v>
      </c>
      <c r="CV2" s="360" t="str">
        <f>++"Q2'"&amp;RIGHT(YEAR(DC3),2)</f>
        <v>Q2'31</v>
      </c>
      <c r="CW2" s="360" t="str">
        <f>++"Q2'"&amp;RIGHT(YEAR(DC3),2)</f>
        <v>Q2'31</v>
      </c>
      <c r="CX2" s="360" t="str">
        <f>++"Q3'"&amp;RIGHT(YEAR(DC3),2)</f>
        <v>Q3'31</v>
      </c>
      <c r="CY2" s="360" t="str">
        <f>++"Q3'"&amp;RIGHT(YEAR(DC3),2)</f>
        <v>Q3'31</v>
      </c>
      <c r="CZ2" s="360" t="str">
        <f>++"Q3'"&amp;RIGHT(YEAR(DC3),2)</f>
        <v>Q3'31</v>
      </c>
      <c r="DA2" s="360" t="str">
        <f>++"Q4'"&amp;RIGHT(YEAR(DC3),2)</f>
        <v>Q4'31</v>
      </c>
      <c r="DB2" s="360" t="str">
        <f>++"Q4'"&amp;RIGHT(YEAR(DC3),2)</f>
        <v>Q4'31</v>
      </c>
      <c r="DC2" s="361" t="str">
        <f>++"Q4'"&amp;RIGHT(YEAR(DC3),2)</f>
        <v>Q4'31</v>
      </c>
    </row>
    <row r="3" spans="1:107" x14ac:dyDescent="0.3">
      <c r="C3" s="316" t="str">
        <f ca="1">++TEXT(TODAY(),"MMMM D, YYYY")</f>
        <v>February 26, 2026</v>
      </c>
      <c r="D3" s="317"/>
      <c r="E3" s="318"/>
      <c r="G3" s="165">
        <f>++EOMONTH(FYEDate,-24)</f>
        <v>44926</v>
      </c>
      <c r="H3" s="362">
        <f>++EOMONTH(G3,3)</f>
        <v>45016</v>
      </c>
      <c r="I3" s="363">
        <f>++EOMONTH(H3,3)</f>
        <v>45107</v>
      </c>
      <c r="J3" s="363">
        <f>++EOMONTH(I3,3)</f>
        <v>45199</v>
      </c>
      <c r="K3" s="364">
        <f>++EOMONTH(J3,3)</f>
        <v>45291</v>
      </c>
      <c r="L3" s="362">
        <f>++EOMONTH(K3,1)</f>
        <v>45322</v>
      </c>
      <c r="M3" s="363">
        <f t="shared" ref="M3:X3" si="0">++EOMONTH(L3,1)</f>
        <v>45351</v>
      </c>
      <c r="N3" s="363">
        <f t="shared" si="0"/>
        <v>45382</v>
      </c>
      <c r="O3" s="363">
        <f t="shared" si="0"/>
        <v>45412</v>
      </c>
      <c r="P3" s="363">
        <f t="shared" si="0"/>
        <v>45443</v>
      </c>
      <c r="Q3" s="363">
        <f t="shared" si="0"/>
        <v>45473</v>
      </c>
      <c r="R3" s="363">
        <f t="shared" si="0"/>
        <v>45504</v>
      </c>
      <c r="S3" s="363">
        <f t="shared" si="0"/>
        <v>45535</v>
      </c>
      <c r="T3" s="363">
        <f t="shared" si="0"/>
        <v>45565</v>
      </c>
      <c r="U3" s="363">
        <f t="shared" si="0"/>
        <v>45596</v>
      </c>
      <c r="V3" s="363">
        <f t="shared" si="0"/>
        <v>45626</v>
      </c>
      <c r="W3" s="364">
        <f t="shared" si="0"/>
        <v>45657</v>
      </c>
      <c r="X3" s="362">
        <f t="shared" si="0"/>
        <v>45688</v>
      </c>
      <c r="Y3" s="363">
        <f t="shared" ref="Y3:CE3" si="1">++EOMONTH(X3,1)</f>
        <v>45716</v>
      </c>
      <c r="Z3" s="363">
        <f t="shared" si="1"/>
        <v>45747</v>
      </c>
      <c r="AA3" s="363">
        <f t="shared" si="1"/>
        <v>45777</v>
      </c>
      <c r="AB3" s="363">
        <f t="shared" si="1"/>
        <v>45808</v>
      </c>
      <c r="AC3" s="363">
        <f t="shared" si="1"/>
        <v>45838</v>
      </c>
      <c r="AD3" s="363">
        <f t="shared" si="1"/>
        <v>45869</v>
      </c>
      <c r="AE3" s="363">
        <f t="shared" si="1"/>
        <v>45900</v>
      </c>
      <c r="AF3" s="363">
        <f t="shared" si="1"/>
        <v>45930</v>
      </c>
      <c r="AG3" s="363">
        <f t="shared" si="1"/>
        <v>45961</v>
      </c>
      <c r="AH3" s="363">
        <f t="shared" si="1"/>
        <v>45991</v>
      </c>
      <c r="AI3" s="364">
        <f t="shared" si="1"/>
        <v>46022</v>
      </c>
      <c r="AJ3" s="362">
        <f t="shared" si="1"/>
        <v>46053</v>
      </c>
      <c r="AK3" s="363">
        <f t="shared" si="1"/>
        <v>46081</v>
      </c>
      <c r="AL3" s="363">
        <f t="shared" si="1"/>
        <v>46112</v>
      </c>
      <c r="AM3" s="363">
        <f t="shared" si="1"/>
        <v>46142</v>
      </c>
      <c r="AN3" s="363">
        <f t="shared" si="1"/>
        <v>46173</v>
      </c>
      <c r="AO3" s="363">
        <f t="shared" si="1"/>
        <v>46203</v>
      </c>
      <c r="AP3" s="363">
        <f t="shared" si="1"/>
        <v>46234</v>
      </c>
      <c r="AQ3" s="363">
        <f t="shared" si="1"/>
        <v>46265</v>
      </c>
      <c r="AR3" s="363">
        <f t="shared" si="1"/>
        <v>46295</v>
      </c>
      <c r="AS3" s="363">
        <f t="shared" si="1"/>
        <v>46326</v>
      </c>
      <c r="AT3" s="363">
        <f t="shared" si="1"/>
        <v>46356</v>
      </c>
      <c r="AU3" s="364">
        <f t="shared" si="1"/>
        <v>46387</v>
      </c>
      <c r="AV3" s="362">
        <f t="shared" si="1"/>
        <v>46418</v>
      </c>
      <c r="AW3" s="363">
        <f t="shared" si="1"/>
        <v>46446</v>
      </c>
      <c r="AX3" s="363">
        <f t="shared" si="1"/>
        <v>46477</v>
      </c>
      <c r="AY3" s="363">
        <f t="shared" si="1"/>
        <v>46507</v>
      </c>
      <c r="AZ3" s="363">
        <f t="shared" si="1"/>
        <v>46538</v>
      </c>
      <c r="BA3" s="363">
        <f t="shared" si="1"/>
        <v>46568</v>
      </c>
      <c r="BB3" s="363">
        <f t="shared" si="1"/>
        <v>46599</v>
      </c>
      <c r="BC3" s="363">
        <f t="shared" si="1"/>
        <v>46630</v>
      </c>
      <c r="BD3" s="363">
        <f t="shared" si="1"/>
        <v>46660</v>
      </c>
      <c r="BE3" s="363">
        <f t="shared" si="1"/>
        <v>46691</v>
      </c>
      <c r="BF3" s="363">
        <f t="shared" si="1"/>
        <v>46721</v>
      </c>
      <c r="BG3" s="364">
        <f t="shared" si="1"/>
        <v>46752</v>
      </c>
      <c r="BH3" s="362">
        <f t="shared" si="1"/>
        <v>46783</v>
      </c>
      <c r="BI3" s="363">
        <f t="shared" si="1"/>
        <v>46812</v>
      </c>
      <c r="BJ3" s="363">
        <f t="shared" si="1"/>
        <v>46843</v>
      </c>
      <c r="BK3" s="363">
        <f t="shared" si="1"/>
        <v>46873</v>
      </c>
      <c r="BL3" s="363">
        <f t="shared" si="1"/>
        <v>46904</v>
      </c>
      <c r="BM3" s="363">
        <f t="shared" si="1"/>
        <v>46934</v>
      </c>
      <c r="BN3" s="363">
        <f t="shared" si="1"/>
        <v>46965</v>
      </c>
      <c r="BO3" s="363">
        <f t="shared" si="1"/>
        <v>46996</v>
      </c>
      <c r="BP3" s="363">
        <f t="shared" si="1"/>
        <v>47026</v>
      </c>
      <c r="BQ3" s="363">
        <f t="shared" si="1"/>
        <v>47057</v>
      </c>
      <c r="BR3" s="363">
        <f t="shared" si="1"/>
        <v>47087</v>
      </c>
      <c r="BS3" s="364">
        <f t="shared" si="1"/>
        <v>47118</v>
      </c>
      <c r="BT3" s="362">
        <f t="shared" si="1"/>
        <v>47149</v>
      </c>
      <c r="BU3" s="363">
        <f t="shared" si="1"/>
        <v>47177</v>
      </c>
      <c r="BV3" s="363">
        <f t="shared" si="1"/>
        <v>47208</v>
      </c>
      <c r="BW3" s="363">
        <f t="shared" si="1"/>
        <v>47238</v>
      </c>
      <c r="BX3" s="363">
        <f t="shared" si="1"/>
        <v>47269</v>
      </c>
      <c r="BY3" s="363">
        <f t="shared" si="1"/>
        <v>47299</v>
      </c>
      <c r="BZ3" s="363">
        <f t="shared" si="1"/>
        <v>47330</v>
      </c>
      <c r="CA3" s="363">
        <f t="shared" si="1"/>
        <v>47361</v>
      </c>
      <c r="CB3" s="363">
        <f t="shared" si="1"/>
        <v>47391</v>
      </c>
      <c r="CC3" s="363">
        <f t="shared" si="1"/>
        <v>47422</v>
      </c>
      <c r="CD3" s="363">
        <f t="shared" si="1"/>
        <v>47452</v>
      </c>
      <c r="CE3" s="364">
        <f t="shared" si="1"/>
        <v>47483</v>
      </c>
      <c r="CF3" s="362">
        <f t="shared" ref="CF3" si="2">++EOMONTH(CE3,1)</f>
        <v>47514</v>
      </c>
      <c r="CG3" s="363">
        <f t="shared" ref="CG3" si="3">++EOMONTH(CF3,1)</f>
        <v>47542</v>
      </c>
      <c r="CH3" s="363">
        <f t="shared" ref="CH3" si="4">++EOMONTH(CG3,1)</f>
        <v>47573</v>
      </c>
      <c r="CI3" s="363">
        <f t="shared" ref="CI3" si="5">++EOMONTH(CH3,1)</f>
        <v>47603</v>
      </c>
      <c r="CJ3" s="363">
        <f t="shared" ref="CJ3" si="6">++EOMONTH(CI3,1)</f>
        <v>47634</v>
      </c>
      <c r="CK3" s="363">
        <f t="shared" ref="CK3" si="7">++EOMONTH(CJ3,1)</f>
        <v>47664</v>
      </c>
      <c r="CL3" s="363">
        <f t="shared" ref="CL3" si="8">++EOMONTH(CK3,1)</f>
        <v>47695</v>
      </c>
      <c r="CM3" s="363">
        <f t="shared" ref="CM3" si="9">++EOMONTH(CL3,1)</f>
        <v>47726</v>
      </c>
      <c r="CN3" s="363">
        <f t="shared" ref="CN3" si="10">++EOMONTH(CM3,1)</f>
        <v>47756</v>
      </c>
      <c r="CO3" s="363">
        <f t="shared" ref="CO3" si="11">++EOMONTH(CN3,1)</f>
        <v>47787</v>
      </c>
      <c r="CP3" s="363">
        <f t="shared" ref="CP3" si="12">++EOMONTH(CO3,1)</f>
        <v>47817</v>
      </c>
      <c r="CQ3" s="364">
        <f t="shared" ref="CQ3" si="13">++EOMONTH(CP3,1)</f>
        <v>47848</v>
      </c>
      <c r="CR3" s="362">
        <f t="shared" ref="CR3" si="14">++EOMONTH(CQ3,1)</f>
        <v>47879</v>
      </c>
      <c r="CS3" s="363">
        <f t="shared" ref="CS3" si="15">++EOMONTH(CR3,1)</f>
        <v>47907</v>
      </c>
      <c r="CT3" s="363">
        <f t="shared" ref="CT3" si="16">++EOMONTH(CS3,1)</f>
        <v>47938</v>
      </c>
      <c r="CU3" s="363">
        <f t="shared" ref="CU3" si="17">++EOMONTH(CT3,1)</f>
        <v>47968</v>
      </c>
      <c r="CV3" s="363">
        <f t="shared" ref="CV3" si="18">++EOMONTH(CU3,1)</f>
        <v>47999</v>
      </c>
      <c r="CW3" s="363">
        <f t="shared" ref="CW3" si="19">++EOMONTH(CV3,1)</f>
        <v>48029</v>
      </c>
      <c r="CX3" s="363">
        <f t="shared" ref="CX3" si="20">++EOMONTH(CW3,1)</f>
        <v>48060</v>
      </c>
      <c r="CY3" s="363">
        <f t="shared" ref="CY3" si="21">++EOMONTH(CX3,1)</f>
        <v>48091</v>
      </c>
      <c r="CZ3" s="363">
        <f t="shared" ref="CZ3" si="22">++EOMONTH(CY3,1)</f>
        <v>48121</v>
      </c>
      <c r="DA3" s="363">
        <f t="shared" ref="DA3" si="23">++EOMONTH(CZ3,1)</f>
        <v>48152</v>
      </c>
      <c r="DB3" s="363">
        <f t="shared" ref="DB3" si="24">++EOMONTH(DA3,1)</f>
        <v>48182</v>
      </c>
      <c r="DC3" s="364">
        <f t="shared" ref="DC3" si="25">++EOMONTH(DB3,1)</f>
        <v>48213</v>
      </c>
    </row>
    <row r="4" spans="1:107" x14ac:dyDescent="0.3">
      <c r="G4" s="203"/>
      <c r="K4" s="203"/>
      <c r="W4" s="203"/>
      <c r="AI4" s="203"/>
      <c r="AU4" s="203"/>
      <c r="BG4" s="203"/>
      <c r="BS4" s="203"/>
      <c r="CE4" s="203"/>
      <c r="CQ4" s="203"/>
      <c r="DC4" s="203"/>
    </row>
    <row r="5" spans="1:107" x14ac:dyDescent="0.3">
      <c r="A5" s="319" t="s">
        <v>0</v>
      </c>
      <c r="B5" s="319" t="s">
        <v>0</v>
      </c>
      <c r="C5" s="166" t="str">
        <f>++C2</f>
        <v>Historical Financials Input</v>
      </c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  <c r="AA5" s="365"/>
      <c r="AB5" s="365"/>
      <c r="AC5" s="365"/>
      <c r="AD5" s="365"/>
      <c r="AE5" s="365"/>
      <c r="AF5" s="365"/>
      <c r="AG5" s="365"/>
      <c r="AH5" s="365"/>
      <c r="AI5" s="365"/>
      <c r="AJ5" s="365"/>
      <c r="AK5" s="365"/>
      <c r="AL5" s="365"/>
      <c r="AM5" s="365"/>
      <c r="AN5" s="365"/>
      <c r="AO5" s="365"/>
      <c r="AP5" s="365"/>
      <c r="AQ5" s="365"/>
      <c r="AR5" s="365"/>
      <c r="AS5" s="365"/>
      <c r="AT5" s="365"/>
      <c r="AU5" s="365"/>
      <c r="AV5" s="365"/>
      <c r="AW5" s="365"/>
      <c r="AX5" s="365"/>
      <c r="AY5" s="365"/>
      <c r="AZ5" s="365"/>
      <c r="BA5" s="365"/>
      <c r="BB5" s="365"/>
      <c r="BC5" s="365"/>
      <c r="BD5" s="365"/>
      <c r="BE5" s="365"/>
      <c r="BF5" s="365"/>
      <c r="BG5" s="365"/>
      <c r="BH5" s="365"/>
      <c r="BI5" s="365"/>
      <c r="BJ5" s="365"/>
      <c r="BK5" s="365"/>
      <c r="BL5" s="365"/>
      <c r="BM5" s="365"/>
      <c r="BN5" s="365"/>
      <c r="BO5" s="365"/>
      <c r="BP5" s="365"/>
      <c r="BQ5" s="365"/>
      <c r="BR5" s="365"/>
      <c r="BS5" s="365"/>
      <c r="BT5" s="365"/>
      <c r="BU5" s="365"/>
      <c r="BV5" s="365"/>
      <c r="BW5" s="365"/>
      <c r="BX5" s="365"/>
      <c r="BY5" s="365"/>
      <c r="BZ5" s="365"/>
      <c r="CA5" s="365"/>
      <c r="CB5" s="365"/>
      <c r="CC5" s="365"/>
      <c r="CD5" s="365"/>
      <c r="CE5" s="365"/>
      <c r="CF5" s="365"/>
      <c r="CG5" s="365"/>
      <c r="CH5" s="365"/>
      <c r="CI5" s="365"/>
      <c r="CJ5" s="365"/>
      <c r="CK5" s="365"/>
      <c r="CL5" s="365"/>
      <c r="CM5" s="365"/>
      <c r="CN5" s="365"/>
      <c r="CO5" s="365"/>
      <c r="CP5" s="365"/>
      <c r="CQ5" s="365"/>
      <c r="CR5" s="365"/>
      <c r="CS5" s="365"/>
      <c r="CT5" s="365"/>
      <c r="CU5" s="365"/>
      <c r="CV5" s="365"/>
      <c r="CW5" s="365"/>
      <c r="CX5" s="365"/>
      <c r="CY5" s="365"/>
      <c r="CZ5" s="365"/>
      <c r="DA5" s="365"/>
      <c r="DB5" s="365"/>
      <c r="DC5" s="366"/>
    </row>
    <row r="6" spans="1:107" x14ac:dyDescent="0.3">
      <c r="C6" s="186" t="s">
        <v>1</v>
      </c>
      <c r="G6" s="203"/>
      <c r="K6" s="203"/>
      <c r="W6" s="203"/>
      <c r="AI6" s="203"/>
      <c r="AU6" s="203"/>
      <c r="BG6" s="203"/>
      <c r="BS6" s="203"/>
      <c r="CE6" s="203"/>
      <c r="CQ6" s="203"/>
      <c r="DC6" s="203"/>
    </row>
    <row r="7" spans="1:107" ht="5.15" customHeight="1" x14ac:dyDescent="0.3">
      <c r="G7" s="203"/>
      <c r="K7" s="203"/>
      <c r="W7" s="203"/>
      <c r="AI7" s="203"/>
      <c r="AU7" s="203"/>
      <c r="BG7" s="203"/>
      <c r="BS7" s="203"/>
      <c r="CE7" s="203"/>
      <c r="CQ7" s="203"/>
      <c r="DC7" s="203"/>
    </row>
    <row r="8" spans="1:107" x14ac:dyDescent="0.3">
      <c r="A8" s="319" t="s">
        <v>0</v>
      </c>
      <c r="B8" s="319" t="s">
        <v>0</v>
      </c>
      <c r="C8" s="166" t="s">
        <v>471</v>
      </c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5"/>
      <c r="AC8" s="365"/>
      <c r="AD8" s="365"/>
      <c r="AE8" s="365"/>
      <c r="AF8" s="365"/>
      <c r="AG8" s="365"/>
      <c r="AH8" s="365"/>
      <c r="AI8" s="365"/>
      <c r="AJ8" s="365"/>
      <c r="AK8" s="365"/>
      <c r="AL8" s="365"/>
      <c r="AM8" s="365"/>
      <c r="AN8" s="365"/>
      <c r="AO8" s="365"/>
      <c r="AP8" s="365"/>
      <c r="AQ8" s="365"/>
      <c r="AR8" s="365"/>
      <c r="AS8" s="365"/>
      <c r="AT8" s="365"/>
      <c r="AU8" s="365"/>
      <c r="AV8" s="365"/>
      <c r="AW8" s="365"/>
      <c r="AX8" s="365"/>
      <c r="AY8" s="365"/>
      <c r="AZ8" s="365"/>
      <c r="BA8" s="365"/>
      <c r="BB8" s="365"/>
      <c r="BC8" s="365"/>
      <c r="BD8" s="365"/>
      <c r="BE8" s="365"/>
      <c r="BF8" s="365"/>
      <c r="BG8" s="365"/>
      <c r="BH8" s="365"/>
      <c r="BI8" s="365"/>
      <c r="BJ8" s="365"/>
      <c r="BK8" s="365"/>
      <c r="BL8" s="365"/>
      <c r="BM8" s="365"/>
      <c r="BN8" s="365"/>
      <c r="BO8" s="365"/>
      <c r="BP8" s="365"/>
      <c r="BQ8" s="365"/>
      <c r="BR8" s="365"/>
      <c r="BS8" s="365"/>
      <c r="BT8" s="365"/>
      <c r="BU8" s="365"/>
      <c r="BV8" s="365"/>
      <c r="BW8" s="365"/>
      <c r="BX8" s="365"/>
      <c r="BY8" s="365"/>
      <c r="BZ8" s="365"/>
      <c r="CA8" s="365"/>
      <c r="CB8" s="365"/>
      <c r="CC8" s="365"/>
      <c r="CD8" s="365"/>
      <c r="CE8" s="365"/>
      <c r="CF8" s="365"/>
      <c r="CG8" s="365"/>
      <c r="CH8" s="365"/>
      <c r="CI8" s="365"/>
      <c r="CJ8" s="365"/>
      <c r="CK8" s="365"/>
      <c r="CL8" s="365"/>
      <c r="CM8" s="365"/>
      <c r="CN8" s="365"/>
      <c r="CO8" s="365"/>
      <c r="CP8" s="365"/>
      <c r="CQ8" s="365"/>
      <c r="CR8" s="365"/>
      <c r="CS8" s="365"/>
      <c r="CT8" s="365"/>
      <c r="CU8" s="365"/>
      <c r="CV8" s="365"/>
      <c r="CW8" s="365"/>
      <c r="CX8" s="365"/>
      <c r="CY8" s="365"/>
      <c r="CZ8" s="365"/>
      <c r="DA8" s="365"/>
      <c r="DB8" s="365"/>
      <c r="DC8" s="366"/>
    </row>
    <row r="9" spans="1:107" ht="5.15" customHeight="1" x14ac:dyDescent="0.3">
      <c r="G9" s="203"/>
      <c r="K9" s="203"/>
      <c r="W9" s="203"/>
      <c r="AI9" s="203"/>
      <c r="AU9" s="203"/>
      <c r="BG9" s="203"/>
      <c r="BS9" s="203"/>
      <c r="CE9" s="203"/>
      <c r="CQ9" s="203"/>
      <c r="DC9" s="203"/>
    </row>
    <row r="10" spans="1:107" x14ac:dyDescent="0.3">
      <c r="C10" s="193" t="s">
        <v>64</v>
      </c>
      <c r="G10" s="400">
        <v>0</v>
      </c>
      <c r="H10" s="400">
        <v>0</v>
      </c>
      <c r="I10" s="400">
        <v>0</v>
      </c>
      <c r="J10" s="400">
        <v>0</v>
      </c>
      <c r="K10" s="400">
        <v>0</v>
      </c>
      <c r="L10" s="400">
        <v>0</v>
      </c>
      <c r="M10" s="400">
        <v>0</v>
      </c>
      <c r="N10" s="400">
        <v>0</v>
      </c>
      <c r="O10" s="400">
        <v>0</v>
      </c>
      <c r="P10" s="400">
        <v>0</v>
      </c>
      <c r="Q10" s="400">
        <v>0</v>
      </c>
      <c r="R10" s="400">
        <v>0</v>
      </c>
      <c r="S10" s="400">
        <v>0</v>
      </c>
      <c r="T10" s="400">
        <v>0</v>
      </c>
      <c r="U10" s="400">
        <v>0</v>
      </c>
      <c r="V10" s="400">
        <v>0</v>
      </c>
      <c r="W10" s="400">
        <v>0</v>
      </c>
      <c r="X10" s="400">
        <v>0</v>
      </c>
      <c r="Y10" s="400">
        <v>0</v>
      </c>
      <c r="Z10" s="400">
        <v>0</v>
      </c>
      <c r="AA10" s="400">
        <v>0</v>
      </c>
      <c r="AB10" s="400">
        <v>0</v>
      </c>
      <c r="AC10" s="400">
        <v>0</v>
      </c>
      <c r="AD10" s="400">
        <v>0</v>
      </c>
      <c r="AE10" s="400">
        <v>0</v>
      </c>
      <c r="AF10" s="400">
        <v>0</v>
      </c>
      <c r="AG10" s="400">
        <v>0</v>
      </c>
      <c r="AH10" s="400">
        <v>0</v>
      </c>
      <c r="AI10" s="400">
        <v>0</v>
      </c>
      <c r="AJ10" s="400">
        <v>0</v>
      </c>
      <c r="AK10" s="400">
        <v>0</v>
      </c>
      <c r="AL10" s="400">
        <v>0</v>
      </c>
      <c r="AM10" s="400">
        <v>0</v>
      </c>
      <c r="AN10" s="400">
        <v>0</v>
      </c>
      <c r="AO10" s="400">
        <v>0</v>
      </c>
      <c r="AP10" s="400">
        <v>0</v>
      </c>
      <c r="AQ10" s="400">
        <v>0</v>
      </c>
      <c r="AR10" s="400">
        <v>0</v>
      </c>
      <c r="AS10" s="400">
        <v>0</v>
      </c>
      <c r="AT10" s="400">
        <v>0</v>
      </c>
      <c r="AU10" s="400">
        <v>0</v>
      </c>
      <c r="AV10" s="400">
        <v>0</v>
      </c>
      <c r="AW10" s="400">
        <v>0</v>
      </c>
      <c r="AX10" s="400">
        <v>0</v>
      </c>
      <c r="AY10" s="400">
        <v>0</v>
      </c>
      <c r="AZ10" s="400">
        <v>0</v>
      </c>
      <c r="BA10" s="400">
        <v>0</v>
      </c>
      <c r="BB10" s="400">
        <v>0</v>
      </c>
      <c r="BC10" s="400">
        <v>0</v>
      </c>
      <c r="BD10" s="400">
        <v>0</v>
      </c>
      <c r="BE10" s="400">
        <v>0</v>
      </c>
      <c r="BF10" s="400">
        <v>0</v>
      </c>
      <c r="BG10" s="400">
        <v>0</v>
      </c>
      <c r="BH10" s="400">
        <v>0</v>
      </c>
      <c r="BI10" s="400">
        <v>0</v>
      </c>
      <c r="BJ10" s="400">
        <v>0</v>
      </c>
      <c r="BK10" s="400">
        <v>0</v>
      </c>
      <c r="BL10" s="400">
        <v>0</v>
      </c>
      <c r="BM10" s="400">
        <v>0</v>
      </c>
      <c r="BN10" s="400">
        <v>0</v>
      </c>
      <c r="BO10" s="400">
        <v>0</v>
      </c>
      <c r="BP10" s="400">
        <v>0</v>
      </c>
      <c r="BQ10" s="400">
        <v>0</v>
      </c>
      <c r="BR10" s="400">
        <v>0</v>
      </c>
      <c r="BS10" s="400">
        <v>0</v>
      </c>
      <c r="BT10" s="400">
        <v>0</v>
      </c>
      <c r="BU10" s="400">
        <v>0</v>
      </c>
      <c r="BV10" s="400">
        <v>0</v>
      </c>
      <c r="BW10" s="400">
        <v>0</v>
      </c>
      <c r="BX10" s="400">
        <v>0</v>
      </c>
      <c r="BY10" s="400">
        <v>0</v>
      </c>
      <c r="BZ10" s="400">
        <v>0</v>
      </c>
      <c r="CA10" s="400">
        <v>0</v>
      </c>
      <c r="CB10" s="400">
        <v>0</v>
      </c>
      <c r="CC10" s="400">
        <v>0</v>
      </c>
      <c r="CD10" s="400">
        <v>0</v>
      </c>
      <c r="CE10" s="400">
        <v>0</v>
      </c>
      <c r="CF10" s="400">
        <v>0</v>
      </c>
      <c r="CG10" s="400">
        <v>0</v>
      </c>
      <c r="CH10" s="400">
        <v>0</v>
      </c>
      <c r="CI10" s="400">
        <v>0</v>
      </c>
      <c r="CJ10" s="400">
        <v>0</v>
      </c>
      <c r="CK10" s="400">
        <v>0</v>
      </c>
      <c r="CL10" s="400">
        <v>0</v>
      </c>
      <c r="CM10" s="400">
        <v>0</v>
      </c>
      <c r="CN10" s="400">
        <v>0</v>
      </c>
      <c r="CO10" s="400">
        <v>0</v>
      </c>
      <c r="CP10" s="400">
        <v>0</v>
      </c>
      <c r="CQ10" s="400">
        <v>0</v>
      </c>
      <c r="CR10" s="400">
        <v>0</v>
      </c>
      <c r="CS10" s="400">
        <v>0</v>
      </c>
      <c r="CT10" s="400">
        <v>0</v>
      </c>
      <c r="CU10" s="400">
        <v>0</v>
      </c>
      <c r="CV10" s="400">
        <v>0</v>
      </c>
      <c r="CW10" s="400">
        <v>0</v>
      </c>
      <c r="CX10" s="400">
        <v>0</v>
      </c>
      <c r="CY10" s="400">
        <v>0</v>
      </c>
      <c r="CZ10" s="400">
        <v>0</v>
      </c>
      <c r="DA10" s="400">
        <v>0</v>
      </c>
      <c r="DB10" s="400">
        <v>0</v>
      </c>
      <c r="DC10" s="400">
        <v>0</v>
      </c>
    </row>
    <row r="11" spans="1:107" x14ac:dyDescent="0.3">
      <c r="C11" s="321" t="s">
        <v>65</v>
      </c>
      <c r="G11" s="122" t="s">
        <v>47</v>
      </c>
      <c r="H11" s="122" t="s">
        <v>47</v>
      </c>
      <c r="I11" s="122" t="s">
        <v>47</v>
      </c>
      <c r="J11" s="122" t="s">
        <v>47</v>
      </c>
      <c r="K11" s="214" t="str">
        <f>++IFERROR(K10/G10-1,"n/a")</f>
        <v>n/a</v>
      </c>
      <c r="L11" s="122" t="s">
        <v>47</v>
      </c>
      <c r="M11" s="122" t="s">
        <v>47</v>
      </c>
      <c r="N11" s="225" t="str">
        <f>++IFERROR(N10/H10-1,"n/a")</f>
        <v>n/a</v>
      </c>
      <c r="O11" s="122" t="s">
        <v>47</v>
      </c>
      <c r="P11" s="122" t="s">
        <v>47</v>
      </c>
      <c r="Q11" s="225" t="str">
        <f>++IFERROR(Q10/I10-1,"n/a")</f>
        <v>n/a</v>
      </c>
      <c r="R11" s="122" t="s">
        <v>47</v>
      </c>
      <c r="S11" s="122" t="s">
        <v>47</v>
      </c>
      <c r="T11" s="225" t="str">
        <f>++IFERROR(T10/J10-1,"n/a")</f>
        <v>n/a</v>
      </c>
      <c r="U11" s="122" t="s">
        <v>47</v>
      </c>
      <c r="V11" s="122" t="s">
        <v>47</v>
      </c>
      <c r="W11" s="214" t="str">
        <f t="shared" ref="W11:BB11" si="26">++IFERROR(W10/K10-1,"n/a")</f>
        <v>n/a</v>
      </c>
      <c r="X11" s="225" t="str">
        <f t="shared" si="26"/>
        <v>n/a</v>
      </c>
      <c r="Y11" s="225" t="str">
        <f t="shared" si="26"/>
        <v>n/a</v>
      </c>
      <c r="Z11" s="225" t="str">
        <f t="shared" si="26"/>
        <v>n/a</v>
      </c>
      <c r="AA11" s="225" t="str">
        <f t="shared" si="26"/>
        <v>n/a</v>
      </c>
      <c r="AB11" s="225" t="str">
        <f t="shared" si="26"/>
        <v>n/a</v>
      </c>
      <c r="AC11" s="225" t="str">
        <f t="shared" si="26"/>
        <v>n/a</v>
      </c>
      <c r="AD11" s="225" t="str">
        <f t="shared" si="26"/>
        <v>n/a</v>
      </c>
      <c r="AE11" s="225" t="str">
        <f t="shared" si="26"/>
        <v>n/a</v>
      </c>
      <c r="AF11" s="225" t="str">
        <f t="shared" si="26"/>
        <v>n/a</v>
      </c>
      <c r="AG11" s="225" t="str">
        <f t="shared" si="26"/>
        <v>n/a</v>
      </c>
      <c r="AH11" s="225" t="str">
        <f t="shared" si="26"/>
        <v>n/a</v>
      </c>
      <c r="AI11" s="214" t="str">
        <f t="shared" si="26"/>
        <v>n/a</v>
      </c>
      <c r="AJ11" s="225" t="str">
        <f t="shared" si="26"/>
        <v>n/a</v>
      </c>
      <c r="AK11" s="225" t="str">
        <f t="shared" si="26"/>
        <v>n/a</v>
      </c>
      <c r="AL11" s="225" t="str">
        <f t="shared" si="26"/>
        <v>n/a</v>
      </c>
      <c r="AM11" s="225" t="str">
        <f t="shared" si="26"/>
        <v>n/a</v>
      </c>
      <c r="AN11" s="225" t="str">
        <f t="shared" si="26"/>
        <v>n/a</v>
      </c>
      <c r="AO11" s="225" t="str">
        <f t="shared" si="26"/>
        <v>n/a</v>
      </c>
      <c r="AP11" s="225" t="str">
        <f t="shared" si="26"/>
        <v>n/a</v>
      </c>
      <c r="AQ11" s="225" t="str">
        <f t="shared" si="26"/>
        <v>n/a</v>
      </c>
      <c r="AR11" s="225" t="str">
        <f t="shared" si="26"/>
        <v>n/a</v>
      </c>
      <c r="AS11" s="225" t="str">
        <f t="shared" si="26"/>
        <v>n/a</v>
      </c>
      <c r="AT11" s="225" t="str">
        <f t="shared" si="26"/>
        <v>n/a</v>
      </c>
      <c r="AU11" s="214" t="str">
        <f t="shared" si="26"/>
        <v>n/a</v>
      </c>
      <c r="AV11" s="225" t="str">
        <f t="shared" si="26"/>
        <v>n/a</v>
      </c>
      <c r="AW11" s="225" t="str">
        <f t="shared" si="26"/>
        <v>n/a</v>
      </c>
      <c r="AX11" s="225" t="str">
        <f t="shared" si="26"/>
        <v>n/a</v>
      </c>
      <c r="AY11" s="225" t="str">
        <f t="shared" si="26"/>
        <v>n/a</v>
      </c>
      <c r="AZ11" s="225" t="str">
        <f t="shared" si="26"/>
        <v>n/a</v>
      </c>
      <c r="BA11" s="225" t="str">
        <f t="shared" si="26"/>
        <v>n/a</v>
      </c>
      <c r="BB11" s="225" t="str">
        <f t="shared" si="26"/>
        <v>n/a</v>
      </c>
      <c r="BC11" s="225" t="str">
        <f t="shared" ref="BC11:CH11" si="27">++IFERROR(BC10/AQ10-1,"n/a")</f>
        <v>n/a</v>
      </c>
      <c r="BD11" s="225" t="str">
        <f t="shared" si="27"/>
        <v>n/a</v>
      </c>
      <c r="BE11" s="225" t="str">
        <f t="shared" si="27"/>
        <v>n/a</v>
      </c>
      <c r="BF11" s="225" t="str">
        <f t="shared" si="27"/>
        <v>n/a</v>
      </c>
      <c r="BG11" s="214" t="str">
        <f t="shared" si="27"/>
        <v>n/a</v>
      </c>
      <c r="BH11" s="225" t="str">
        <f t="shared" si="27"/>
        <v>n/a</v>
      </c>
      <c r="BI11" s="225" t="str">
        <f t="shared" si="27"/>
        <v>n/a</v>
      </c>
      <c r="BJ11" s="225" t="str">
        <f t="shared" si="27"/>
        <v>n/a</v>
      </c>
      <c r="BK11" s="225" t="str">
        <f t="shared" si="27"/>
        <v>n/a</v>
      </c>
      <c r="BL11" s="225" t="str">
        <f t="shared" si="27"/>
        <v>n/a</v>
      </c>
      <c r="BM11" s="225" t="str">
        <f t="shared" si="27"/>
        <v>n/a</v>
      </c>
      <c r="BN11" s="225" t="str">
        <f t="shared" si="27"/>
        <v>n/a</v>
      </c>
      <c r="BO11" s="225" t="str">
        <f t="shared" si="27"/>
        <v>n/a</v>
      </c>
      <c r="BP11" s="225" t="str">
        <f t="shared" si="27"/>
        <v>n/a</v>
      </c>
      <c r="BQ11" s="225" t="str">
        <f t="shared" si="27"/>
        <v>n/a</v>
      </c>
      <c r="BR11" s="225" t="str">
        <f t="shared" si="27"/>
        <v>n/a</v>
      </c>
      <c r="BS11" s="214" t="str">
        <f t="shared" si="27"/>
        <v>n/a</v>
      </c>
      <c r="BT11" s="225" t="str">
        <f t="shared" si="27"/>
        <v>n/a</v>
      </c>
      <c r="BU11" s="225" t="str">
        <f t="shared" si="27"/>
        <v>n/a</v>
      </c>
      <c r="BV11" s="225" t="str">
        <f t="shared" si="27"/>
        <v>n/a</v>
      </c>
      <c r="BW11" s="225" t="str">
        <f t="shared" si="27"/>
        <v>n/a</v>
      </c>
      <c r="BX11" s="225" t="str">
        <f t="shared" si="27"/>
        <v>n/a</v>
      </c>
      <c r="BY11" s="225" t="str">
        <f t="shared" si="27"/>
        <v>n/a</v>
      </c>
      <c r="BZ11" s="225" t="str">
        <f t="shared" si="27"/>
        <v>n/a</v>
      </c>
      <c r="CA11" s="225" t="str">
        <f t="shared" si="27"/>
        <v>n/a</v>
      </c>
      <c r="CB11" s="225" t="str">
        <f t="shared" si="27"/>
        <v>n/a</v>
      </c>
      <c r="CC11" s="225" t="str">
        <f t="shared" si="27"/>
        <v>n/a</v>
      </c>
      <c r="CD11" s="225" t="str">
        <f t="shared" si="27"/>
        <v>n/a</v>
      </c>
      <c r="CE11" s="214" t="str">
        <f t="shared" si="27"/>
        <v>n/a</v>
      </c>
      <c r="CF11" s="225" t="str">
        <f t="shared" si="27"/>
        <v>n/a</v>
      </c>
      <c r="CG11" s="225" t="str">
        <f t="shared" si="27"/>
        <v>n/a</v>
      </c>
      <c r="CH11" s="225" t="str">
        <f t="shared" si="27"/>
        <v>n/a</v>
      </c>
      <c r="CI11" s="225" t="str">
        <f t="shared" ref="CI11:DN11" si="28">++IFERROR(CI10/BW10-1,"n/a")</f>
        <v>n/a</v>
      </c>
      <c r="CJ11" s="225" t="str">
        <f t="shared" si="28"/>
        <v>n/a</v>
      </c>
      <c r="CK11" s="225" t="str">
        <f t="shared" si="28"/>
        <v>n/a</v>
      </c>
      <c r="CL11" s="225" t="str">
        <f t="shared" si="28"/>
        <v>n/a</v>
      </c>
      <c r="CM11" s="225" t="str">
        <f t="shared" si="28"/>
        <v>n/a</v>
      </c>
      <c r="CN11" s="225" t="str">
        <f t="shared" si="28"/>
        <v>n/a</v>
      </c>
      <c r="CO11" s="225" t="str">
        <f t="shared" si="28"/>
        <v>n/a</v>
      </c>
      <c r="CP11" s="225" t="str">
        <f t="shared" si="28"/>
        <v>n/a</v>
      </c>
      <c r="CQ11" s="214" t="str">
        <f t="shared" si="28"/>
        <v>n/a</v>
      </c>
      <c r="CR11" s="225" t="str">
        <f t="shared" si="28"/>
        <v>n/a</v>
      </c>
      <c r="CS11" s="225" t="str">
        <f t="shared" si="28"/>
        <v>n/a</v>
      </c>
      <c r="CT11" s="225" t="str">
        <f t="shared" si="28"/>
        <v>n/a</v>
      </c>
      <c r="CU11" s="225" t="str">
        <f t="shared" si="28"/>
        <v>n/a</v>
      </c>
      <c r="CV11" s="225" t="str">
        <f t="shared" si="28"/>
        <v>n/a</v>
      </c>
      <c r="CW11" s="225" t="str">
        <f t="shared" si="28"/>
        <v>n/a</v>
      </c>
      <c r="CX11" s="225" t="str">
        <f t="shared" si="28"/>
        <v>n/a</v>
      </c>
      <c r="CY11" s="225" t="str">
        <f t="shared" si="28"/>
        <v>n/a</v>
      </c>
      <c r="CZ11" s="225" t="str">
        <f t="shared" si="28"/>
        <v>n/a</v>
      </c>
      <c r="DA11" s="225" t="str">
        <f t="shared" si="28"/>
        <v>n/a</v>
      </c>
      <c r="DB11" s="225" t="str">
        <f t="shared" si="28"/>
        <v>n/a</v>
      </c>
      <c r="DC11" s="214" t="str">
        <f t="shared" si="28"/>
        <v>n/a</v>
      </c>
    </row>
    <row r="12" spans="1:107" x14ac:dyDescent="0.3">
      <c r="G12" s="203"/>
      <c r="K12" s="203"/>
      <c r="W12" s="203"/>
      <c r="AI12" s="203"/>
      <c r="AU12" s="203"/>
      <c r="BG12" s="203"/>
      <c r="BS12" s="203"/>
      <c r="CE12" s="203"/>
      <c r="CQ12" s="203"/>
      <c r="DC12" s="203"/>
    </row>
    <row r="13" spans="1:107" x14ac:dyDescent="0.3">
      <c r="C13" s="193" t="s">
        <v>66</v>
      </c>
      <c r="G13" s="400">
        <v>0</v>
      </c>
      <c r="H13" s="400">
        <v>0</v>
      </c>
      <c r="I13" s="400">
        <v>0</v>
      </c>
      <c r="J13" s="400">
        <v>0</v>
      </c>
      <c r="K13" s="400">
        <v>0</v>
      </c>
      <c r="L13" s="400">
        <v>0</v>
      </c>
      <c r="M13" s="400">
        <v>0</v>
      </c>
      <c r="N13" s="400">
        <v>0</v>
      </c>
      <c r="O13" s="400">
        <v>0</v>
      </c>
      <c r="P13" s="400">
        <v>0</v>
      </c>
      <c r="Q13" s="400">
        <v>0</v>
      </c>
      <c r="R13" s="400">
        <v>0</v>
      </c>
      <c r="S13" s="400">
        <v>0</v>
      </c>
      <c r="T13" s="400">
        <v>0</v>
      </c>
      <c r="U13" s="400">
        <v>0</v>
      </c>
      <c r="V13" s="400">
        <v>0</v>
      </c>
      <c r="W13" s="400">
        <v>0</v>
      </c>
      <c r="X13" s="400">
        <v>0</v>
      </c>
      <c r="Y13" s="400">
        <v>0</v>
      </c>
      <c r="Z13" s="400">
        <v>0</v>
      </c>
      <c r="AA13" s="400">
        <v>0</v>
      </c>
      <c r="AB13" s="400">
        <v>0</v>
      </c>
      <c r="AC13" s="400">
        <v>0</v>
      </c>
      <c r="AD13" s="400">
        <v>0</v>
      </c>
      <c r="AE13" s="400">
        <v>0</v>
      </c>
      <c r="AF13" s="400">
        <v>0</v>
      </c>
      <c r="AG13" s="400">
        <v>0</v>
      </c>
      <c r="AH13" s="400">
        <v>0</v>
      </c>
      <c r="AI13" s="400">
        <v>0</v>
      </c>
      <c r="AJ13" s="400">
        <v>0</v>
      </c>
      <c r="AK13" s="400">
        <v>0</v>
      </c>
      <c r="AL13" s="400">
        <v>0</v>
      </c>
      <c r="AM13" s="400">
        <v>0</v>
      </c>
      <c r="AN13" s="400">
        <v>0</v>
      </c>
      <c r="AO13" s="400">
        <v>0</v>
      </c>
      <c r="AP13" s="400">
        <v>0</v>
      </c>
      <c r="AQ13" s="400">
        <v>0</v>
      </c>
      <c r="AR13" s="400">
        <v>0</v>
      </c>
      <c r="AS13" s="400">
        <v>0</v>
      </c>
      <c r="AT13" s="400">
        <v>0</v>
      </c>
      <c r="AU13" s="400">
        <v>0</v>
      </c>
      <c r="AV13" s="400">
        <v>0</v>
      </c>
      <c r="AW13" s="400">
        <v>0</v>
      </c>
      <c r="AX13" s="400">
        <v>0</v>
      </c>
      <c r="AY13" s="400">
        <v>0</v>
      </c>
      <c r="AZ13" s="400">
        <v>0</v>
      </c>
      <c r="BA13" s="400">
        <v>0</v>
      </c>
      <c r="BB13" s="400">
        <v>0</v>
      </c>
      <c r="BC13" s="400">
        <v>0</v>
      </c>
      <c r="BD13" s="400">
        <v>0</v>
      </c>
      <c r="BE13" s="400">
        <v>0</v>
      </c>
      <c r="BF13" s="400">
        <v>0</v>
      </c>
      <c r="BG13" s="400">
        <v>0</v>
      </c>
      <c r="BH13" s="400">
        <v>0</v>
      </c>
      <c r="BI13" s="400">
        <v>0</v>
      </c>
      <c r="BJ13" s="400">
        <v>0</v>
      </c>
      <c r="BK13" s="400">
        <v>0</v>
      </c>
      <c r="BL13" s="400">
        <v>0</v>
      </c>
      <c r="BM13" s="400">
        <v>0</v>
      </c>
      <c r="BN13" s="400">
        <v>0</v>
      </c>
      <c r="BO13" s="400">
        <v>0</v>
      </c>
      <c r="BP13" s="400">
        <v>0</v>
      </c>
      <c r="BQ13" s="400">
        <v>0</v>
      </c>
      <c r="BR13" s="400">
        <v>0</v>
      </c>
      <c r="BS13" s="400">
        <v>0</v>
      </c>
      <c r="BT13" s="400">
        <v>0</v>
      </c>
      <c r="BU13" s="400">
        <v>0</v>
      </c>
      <c r="BV13" s="400">
        <v>0</v>
      </c>
      <c r="BW13" s="400">
        <v>0</v>
      </c>
      <c r="BX13" s="400">
        <v>0</v>
      </c>
      <c r="BY13" s="400">
        <v>0</v>
      </c>
      <c r="BZ13" s="400">
        <v>0</v>
      </c>
      <c r="CA13" s="400">
        <v>0</v>
      </c>
      <c r="CB13" s="400">
        <v>0</v>
      </c>
      <c r="CC13" s="400">
        <v>0</v>
      </c>
      <c r="CD13" s="400">
        <v>0</v>
      </c>
      <c r="CE13" s="400">
        <v>0</v>
      </c>
      <c r="CF13" s="400">
        <v>0</v>
      </c>
      <c r="CG13" s="400">
        <v>0</v>
      </c>
      <c r="CH13" s="400">
        <v>0</v>
      </c>
      <c r="CI13" s="400">
        <v>0</v>
      </c>
      <c r="CJ13" s="400">
        <v>0</v>
      </c>
      <c r="CK13" s="400">
        <v>0</v>
      </c>
      <c r="CL13" s="400">
        <v>0</v>
      </c>
      <c r="CM13" s="400">
        <v>0</v>
      </c>
      <c r="CN13" s="400">
        <v>0</v>
      </c>
      <c r="CO13" s="400">
        <v>0</v>
      </c>
      <c r="CP13" s="400">
        <v>0</v>
      </c>
      <c r="CQ13" s="400">
        <v>0</v>
      </c>
      <c r="CR13" s="400">
        <v>0</v>
      </c>
      <c r="CS13" s="400">
        <v>0</v>
      </c>
      <c r="CT13" s="400">
        <v>0</v>
      </c>
      <c r="CU13" s="400">
        <v>0</v>
      </c>
      <c r="CV13" s="400">
        <v>0</v>
      </c>
      <c r="CW13" s="400">
        <v>0</v>
      </c>
      <c r="CX13" s="400">
        <v>0</v>
      </c>
      <c r="CY13" s="400">
        <v>0</v>
      </c>
      <c r="CZ13" s="400">
        <v>0</v>
      </c>
      <c r="DA13" s="400">
        <v>0</v>
      </c>
      <c r="DB13" s="400">
        <v>0</v>
      </c>
      <c r="DC13" s="400">
        <v>0</v>
      </c>
    </row>
    <row r="14" spans="1:107" x14ac:dyDescent="0.3">
      <c r="C14" s="321" t="s">
        <v>67</v>
      </c>
      <c r="G14" s="214" t="str">
        <f>++IFERROR(G13/G10,"n/a")</f>
        <v>n/a</v>
      </c>
      <c r="H14" s="225" t="str">
        <f t="shared" ref="H14:BS14" si="29">++IFERROR(H13/H10,"n/a")</f>
        <v>n/a</v>
      </c>
      <c r="I14" s="225" t="str">
        <f t="shared" si="29"/>
        <v>n/a</v>
      </c>
      <c r="J14" s="225" t="str">
        <f t="shared" si="29"/>
        <v>n/a</v>
      </c>
      <c r="K14" s="214" t="str">
        <f t="shared" si="29"/>
        <v>n/a</v>
      </c>
      <c r="L14" s="225" t="str">
        <f t="shared" si="29"/>
        <v>n/a</v>
      </c>
      <c r="M14" s="225" t="str">
        <f t="shared" si="29"/>
        <v>n/a</v>
      </c>
      <c r="N14" s="225" t="str">
        <f t="shared" si="29"/>
        <v>n/a</v>
      </c>
      <c r="O14" s="225" t="str">
        <f t="shared" si="29"/>
        <v>n/a</v>
      </c>
      <c r="P14" s="225" t="str">
        <f t="shared" si="29"/>
        <v>n/a</v>
      </c>
      <c r="Q14" s="225" t="str">
        <f t="shared" si="29"/>
        <v>n/a</v>
      </c>
      <c r="R14" s="225" t="str">
        <f t="shared" si="29"/>
        <v>n/a</v>
      </c>
      <c r="S14" s="225" t="str">
        <f t="shared" si="29"/>
        <v>n/a</v>
      </c>
      <c r="T14" s="225" t="str">
        <f t="shared" si="29"/>
        <v>n/a</v>
      </c>
      <c r="U14" s="225" t="str">
        <f t="shared" si="29"/>
        <v>n/a</v>
      </c>
      <c r="V14" s="225" t="str">
        <f t="shared" si="29"/>
        <v>n/a</v>
      </c>
      <c r="W14" s="214" t="str">
        <f t="shared" si="29"/>
        <v>n/a</v>
      </c>
      <c r="X14" s="225" t="str">
        <f t="shared" si="29"/>
        <v>n/a</v>
      </c>
      <c r="Y14" s="225" t="str">
        <f t="shared" si="29"/>
        <v>n/a</v>
      </c>
      <c r="Z14" s="225" t="str">
        <f t="shared" si="29"/>
        <v>n/a</v>
      </c>
      <c r="AA14" s="225" t="str">
        <f t="shared" si="29"/>
        <v>n/a</v>
      </c>
      <c r="AB14" s="225" t="str">
        <f t="shared" si="29"/>
        <v>n/a</v>
      </c>
      <c r="AC14" s="225" t="str">
        <f t="shared" si="29"/>
        <v>n/a</v>
      </c>
      <c r="AD14" s="225" t="str">
        <f t="shared" si="29"/>
        <v>n/a</v>
      </c>
      <c r="AE14" s="225" t="str">
        <f t="shared" si="29"/>
        <v>n/a</v>
      </c>
      <c r="AF14" s="225" t="str">
        <f t="shared" si="29"/>
        <v>n/a</v>
      </c>
      <c r="AG14" s="225" t="str">
        <f t="shared" si="29"/>
        <v>n/a</v>
      </c>
      <c r="AH14" s="225" t="str">
        <f t="shared" si="29"/>
        <v>n/a</v>
      </c>
      <c r="AI14" s="214" t="str">
        <f t="shared" si="29"/>
        <v>n/a</v>
      </c>
      <c r="AJ14" s="225" t="str">
        <f t="shared" si="29"/>
        <v>n/a</v>
      </c>
      <c r="AK14" s="225" t="str">
        <f t="shared" si="29"/>
        <v>n/a</v>
      </c>
      <c r="AL14" s="225" t="str">
        <f t="shared" si="29"/>
        <v>n/a</v>
      </c>
      <c r="AM14" s="225" t="str">
        <f t="shared" si="29"/>
        <v>n/a</v>
      </c>
      <c r="AN14" s="225" t="str">
        <f t="shared" si="29"/>
        <v>n/a</v>
      </c>
      <c r="AO14" s="225" t="str">
        <f t="shared" si="29"/>
        <v>n/a</v>
      </c>
      <c r="AP14" s="225" t="str">
        <f t="shared" si="29"/>
        <v>n/a</v>
      </c>
      <c r="AQ14" s="225" t="str">
        <f t="shared" si="29"/>
        <v>n/a</v>
      </c>
      <c r="AR14" s="225" t="str">
        <f t="shared" si="29"/>
        <v>n/a</v>
      </c>
      <c r="AS14" s="225" t="str">
        <f t="shared" si="29"/>
        <v>n/a</v>
      </c>
      <c r="AT14" s="225" t="str">
        <f t="shared" si="29"/>
        <v>n/a</v>
      </c>
      <c r="AU14" s="214" t="str">
        <f t="shared" si="29"/>
        <v>n/a</v>
      </c>
      <c r="AV14" s="225" t="str">
        <f t="shared" si="29"/>
        <v>n/a</v>
      </c>
      <c r="AW14" s="225" t="str">
        <f t="shared" si="29"/>
        <v>n/a</v>
      </c>
      <c r="AX14" s="225" t="str">
        <f t="shared" si="29"/>
        <v>n/a</v>
      </c>
      <c r="AY14" s="225" t="str">
        <f t="shared" si="29"/>
        <v>n/a</v>
      </c>
      <c r="AZ14" s="225" t="str">
        <f t="shared" si="29"/>
        <v>n/a</v>
      </c>
      <c r="BA14" s="225" t="str">
        <f t="shared" si="29"/>
        <v>n/a</v>
      </c>
      <c r="BB14" s="225" t="str">
        <f t="shared" si="29"/>
        <v>n/a</v>
      </c>
      <c r="BC14" s="225" t="str">
        <f t="shared" si="29"/>
        <v>n/a</v>
      </c>
      <c r="BD14" s="225" t="str">
        <f t="shared" si="29"/>
        <v>n/a</v>
      </c>
      <c r="BE14" s="225" t="str">
        <f t="shared" si="29"/>
        <v>n/a</v>
      </c>
      <c r="BF14" s="225" t="str">
        <f t="shared" si="29"/>
        <v>n/a</v>
      </c>
      <c r="BG14" s="214" t="str">
        <f t="shared" si="29"/>
        <v>n/a</v>
      </c>
      <c r="BH14" s="225" t="str">
        <f t="shared" si="29"/>
        <v>n/a</v>
      </c>
      <c r="BI14" s="225" t="str">
        <f t="shared" si="29"/>
        <v>n/a</v>
      </c>
      <c r="BJ14" s="225" t="str">
        <f t="shared" si="29"/>
        <v>n/a</v>
      </c>
      <c r="BK14" s="225" t="str">
        <f t="shared" si="29"/>
        <v>n/a</v>
      </c>
      <c r="BL14" s="225" t="str">
        <f t="shared" si="29"/>
        <v>n/a</v>
      </c>
      <c r="BM14" s="225" t="str">
        <f t="shared" si="29"/>
        <v>n/a</v>
      </c>
      <c r="BN14" s="225" t="str">
        <f t="shared" si="29"/>
        <v>n/a</v>
      </c>
      <c r="BO14" s="225" t="str">
        <f t="shared" si="29"/>
        <v>n/a</v>
      </c>
      <c r="BP14" s="225" t="str">
        <f t="shared" si="29"/>
        <v>n/a</v>
      </c>
      <c r="BQ14" s="225" t="str">
        <f t="shared" si="29"/>
        <v>n/a</v>
      </c>
      <c r="BR14" s="225" t="str">
        <f t="shared" si="29"/>
        <v>n/a</v>
      </c>
      <c r="BS14" s="214" t="str">
        <f t="shared" si="29"/>
        <v>n/a</v>
      </c>
      <c r="BT14" s="225" t="str">
        <f t="shared" ref="BT14:DC14" si="30">++IFERROR(BT13/BT10,"n/a")</f>
        <v>n/a</v>
      </c>
      <c r="BU14" s="225" t="str">
        <f t="shared" si="30"/>
        <v>n/a</v>
      </c>
      <c r="BV14" s="225" t="str">
        <f t="shared" si="30"/>
        <v>n/a</v>
      </c>
      <c r="BW14" s="225" t="str">
        <f t="shared" si="30"/>
        <v>n/a</v>
      </c>
      <c r="BX14" s="225" t="str">
        <f t="shared" si="30"/>
        <v>n/a</v>
      </c>
      <c r="BY14" s="225" t="str">
        <f t="shared" si="30"/>
        <v>n/a</v>
      </c>
      <c r="BZ14" s="225" t="str">
        <f t="shared" si="30"/>
        <v>n/a</v>
      </c>
      <c r="CA14" s="225" t="str">
        <f t="shared" si="30"/>
        <v>n/a</v>
      </c>
      <c r="CB14" s="225" t="str">
        <f t="shared" si="30"/>
        <v>n/a</v>
      </c>
      <c r="CC14" s="225" t="str">
        <f t="shared" si="30"/>
        <v>n/a</v>
      </c>
      <c r="CD14" s="225" t="str">
        <f t="shared" si="30"/>
        <v>n/a</v>
      </c>
      <c r="CE14" s="214" t="str">
        <f t="shared" si="30"/>
        <v>n/a</v>
      </c>
      <c r="CF14" s="225" t="str">
        <f t="shared" si="30"/>
        <v>n/a</v>
      </c>
      <c r="CG14" s="225" t="str">
        <f t="shared" si="30"/>
        <v>n/a</v>
      </c>
      <c r="CH14" s="225" t="str">
        <f t="shared" si="30"/>
        <v>n/a</v>
      </c>
      <c r="CI14" s="225" t="str">
        <f t="shared" si="30"/>
        <v>n/a</v>
      </c>
      <c r="CJ14" s="225" t="str">
        <f t="shared" si="30"/>
        <v>n/a</v>
      </c>
      <c r="CK14" s="225" t="str">
        <f t="shared" si="30"/>
        <v>n/a</v>
      </c>
      <c r="CL14" s="225" t="str">
        <f t="shared" si="30"/>
        <v>n/a</v>
      </c>
      <c r="CM14" s="225" t="str">
        <f t="shared" si="30"/>
        <v>n/a</v>
      </c>
      <c r="CN14" s="225" t="str">
        <f t="shared" si="30"/>
        <v>n/a</v>
      </c>
      <c r="CO14" s="225" t="str">
        <f t="shared" si="30"/>
        <v>n/a</v>
      </c>
      <c r="CP14" s="225" t="str">
        <f t="shared" si="30"/>
        <v>n/a</v>
      </c>
      <c r="CQ14" s="214" t="str">
        <f t="shared" si="30"/>
        <v>n/a</v>
      </c>
      <c r="CR14" s="225" t="str">
        <f t="shared" si="30"/>
        <v>n/a</v>
      </c>
      <c r="CS14" s="225" t="str">
        <f t="shared" si="30"/>
        <v>n/a</v>
      </c>
      <c r="CT14" s="225" t="str">
        <f t="shared" si="30"/>
        <v>n/a</v>
      </c>
      <c r="CU14" s="225" t="str">
        <f t="shared" si="30"/>
        <v>n/a</v>
      </c>
      <c r="CV14" s="225" t="str">
        <f t="shared" si="30"/>
        <v>n/a</v>
      </c>
      <c r="CW14" s="225" t="str">
        <f t="shared" si="30"/>
        <v>n/a</v>
      </c>
      <c r="CX14" s="225" t="str">
        <f t="shared" si="30"/>
        <v>n/a</v>
      </c>
      <c r="CY14" s="225" t="str">
        <f t="shared" si="30"/>
        <v>n/a</v>
      </c>
      <c r="CZ14" s="225" t="str">
        <f t="shared" si="30"/>
        <v>n/a</v>
      </c>
      <c r="DA14" s="225" t="str">
        <f t="shared" si="30"/>
        <v>n/a</v>
      </c>
      <c r="DB14" s="225" t="str">
        <f t="shared" si="30"/>
        <v>n/a</v>
      </c>
      <c r="DC14" s="214" t="str">
        <f t="shared" si="30"/>
        <v>n/a</v>
      </c>
    </row>
    <row r="15" spans="1:107" x14ac:dyDescent="0.3">
      <c r="C15" s="321" t="s">
        <v>65</v>
      </c>
      <c r="G15" s="122" t="s">
        <v>47</v>
      </c>
      <c r="H15" s="122" t="s">
        <v>47</v>
      </c>
      <c r="I15" s="122" t="s">
        <v>47</v>
      </c>
      <c r="J15" s="122" t="s">
        <v>47</v>
      </c>
      <c r="K15" s="214" t="str">
        <f>++IFERROR(K13/G13-1,"n/a")</f>
        <v>n/a</v>
      </c>
      <c r="L15" s="122" t="s">
        <v>47</v>
      </c>
      <c r="M15" s="122" t="s">
        <v>47</v>
      </c>
      <c r="N15" s="225" t="str">
        <f>++IFERROR(N13/H13-1,"n/a")</f>
        <v>n/a</v>
      </c>
      <c r="O15" s="122" t="s">
        <v>47</v>
      </c>
      <c r="P15" s="122" t="s">
        <v>47</v>
      </c>
      <c r="Q15" s="225" t="str">
        <f>++IFERROR(Q13/I13-1,"n/a")</f>
        <v>n/a</v>
      </c>
      <c r="R15" s="122" t="s">
        <v>47</v>
      </c>
      <c r="S15" s="122" t="s">
        <v>47</v>
      </c>
      <c r="T15" s="225" t="str">
        <f>++IFERROR(T13/J13-1,"n/a")</f>
        <v>n/a</v>
      </c>
      <c r="U15" s="122" t="s">
        <v>47</v>
      </c>
      <c r="V15" s="122" t="s">
        <v>47</v>
      </c>
      <c r="W15" s="214" t="str">
        <f t="shared" ref="W15:BB15" si="31">++IFERROR(W13/K13-1,"n/a")</f>
        <v>n/a</v>
      </c>
      <c r="X15" s="225" t="str">
        <f t="shared" si="31"/>
        <v>n/a</v>
      </c>
      <c r="Y15" s="225" t="str">
        <f t="shared" si="31"/>
        <v>n/a</v>
      </c>
      <c r="Z15" s="225" t="str">
        <f t="shared" si="31"/>
        <v>n/a</v>
      </c>
      <c r="AA15" s="225" t="str">
        <f t="shared" si="31"/>
        <v>n/a</v>
      </c>
      <c r="AB15" s="225" t="str">
        <f t="shared" si="31"/>
        <v>n/a</v>
      </c>
      <c r="AC15" s="225" t="str">
        <f t="shared" si="31"/>
        <v>n/a</v>
      </c>
      <c r="AD15" s="225" t="str">
        <f t="shared" si="31"/>
        <v>n/a</v>
      </c>
      <c r="AE15" s="225" t="str">
        <f t="shared" si="31"/>
        <v>n/a</v>
      </c>
      <c r="AF15" s="225" t="str">
        <f t="shared" si="31"/>
        <v>n/a</v>
      </c>
      <c r="AG15" s="225" t="str">
        <f t="shared" si="31"/>
        <v>n/a</v>
      </c>
      <c r="AH15" s="225" t="str">
        <f t="shared" si="31"/>
        <v>n/a</v>
      </c>
      <c r="AI15" s="214" t="str">
        <f t="shared" si="31"/>
        <v>n/a</v>
      </c>
      <c r="AJ15" s="225" t="str">
        <f t="shared" si="31"/>
        <v>n/a</v>
      </c>
      <c r="AK15" s="225" t="str">
        <f t="shared" si="31"/>
        <v>n/a</v>
      </c>
      <c r="AL15" s="225" t="str">
        <f t="shared" si="31"/>
        <v>n/a</v>
      </c>
      <c r="AM15" s="225" t="str">
        <f t="shared" si="31"/>
        <v>n/a</v>
      </c>
      <c r="AN15" s="225" t="str">
        <f t="shared" si="31"/>
        <v>n/a</v>
      </c>
      <c r="AO15" s="225" t="str">
        <f t="shared" si="31"/>
        <v>n/a</v>
      </c>
      <c r="AP15" s="225" t="str">
        <f t="shared" si="31"/>
        <v>n/a</v>
      </c>
      <c r="AQ15" s="225" t="str">
        <f t="shared" si="31"/>
        <v>n/a</v>
      </c>
      <c r="AR15" s="225" t="str">
        <f t="shared" si="31"/>
        <v>n/a</v>
      </c>
      <c r="AS15" s="225" t="str">
        <f t="shared" si="31"/>
        <v>n/a</v>
      </c>
      <c r="AT15" s="225" t="str">
        <f t="shared" si="31"/>
        <v>n/a</v>
      </c>
      <c r="AU15" s="214" t="str">
        <f t="shared" si="31"/>
        <v>n/a</v>
      </c>
      <c r="AV15" s="225" t="str">
        <f t="shared" si="31"/>
        <v>n/a</v>
      </c>
      <c r="AW15" s="225" t="str">
        <f t="shared" si="31"/>
        <v>n/a</v>
      </c>
      <c r="AX15" s="225" t="str">
        <f t="shared" si="31"/>
        <v>n/a</v>
      </c>
      <c r="AY15" s="225" t="str">
        <f t="shared" si="31"/>
        <v>n/a</v>
      </c>
      <c r="AZ15" s="225" t="str">
        <f t="shared" si="31"/>
        <v>n/a</v>
      </c>
      <c r="BA15" s="225" t="str">
        <f t="shared" si="31"/>
        <v>n/a</v>
      </c>
      <c r="BB15" s="225" t="str">
        <f t="shared" si="31"/>
        <v>n/a</v>
      </c>
      <c r="BC15" s="225" t="str">
        <f t="shared" ref="BC15:CH15" si="32">++IFERROR(BC13/AQ13-1,"n/a")</f>
        <v>n/a</v>
      </c>
      <c r="BD15" s="225" t="str">
        <f t="shared" si="32"/>
        <v>n/a</v>
      </c>
      <c r="BE15" s="225" t="str">
        <f t="shared" si="32"/>
        <v>n/a</v>
      </c>
      <c r="BF15" s="225" t="str">
        <f t="shared" si="32"/>
        <v>n/a</v>
      </c>
      <c r="BG15" s="214" t="str">
        <f t="shared" si="32"/>
        <v>n/a</v>
      </c>
      <c r="BH15" s="225" t="str">
        <f t="shared" si="32"/>
        <v>n/a</v>
      </c>
      <c r="BI15" s="225" t="str">
        <f t="shared" si="32"/>
        <v>n/a</v>
      </c>
      <c r="BJ15" s="225" t="str">
        <f t="shared" si="32"/>
        <v>n/a</v>
      </c>
      <c r="BK15" s="225" t="str">
        <f t="shared" si="32"/>
        <v>n/a</v>
      </c>
      <c r="BL15" s="225" t="str">
        <f t="shared" si="32"/>
        <v>n/a</v>
      </c>
      <c r="BM15" s="225" t="str">
        <f t="shared" si="32"/>
        <v>n/a</v>
      </c>
      <c r="BN15" s="225" t="str">
        <f t="shared" si="32"/>
        <v>n/a</v>
      </c>
      <c r="BO15" s="225" t="str">
        <f t="shared" si="32"/>
        <v>n/a</v>
      </c>
      <c r="BP15" s="225" t="str">
        <f t="shared" si="32"/>
        <v>n/a</v>
      </c>
      <c r="BQ15" s="225" t="str">
        <f t="shared" si="32"/>
        <v>n/a</v>
      </c>
      <c r="BR15" s="225" t="str">
        <f t="shared" si="32"/>
        <v>n/a</v>
      </c>
      <c r="BS15" s="214" t="str">
        <f t="shared" si="32"/>
        <v>n/a</v>
      </c>
      <c r="BT15" s="225" t="str">
        <f t="shared" si="32"/>
        <v>n/a</v>
      </c>
      <c r="BU15" s="225" t="str">
        <f t="shared" si="32"/>
        <v>n/a</v>
      </c>
      <c r="BV15" s="225" t="str">
        <f t="shared" si="32"/>
        <v>n/a</v>
      </c>
      <c r="BW15" s="225" t="str">
        <f t="shared" si="32"/>
        <v>n/a</v>
      </c>
      <c r="BX15" s="225" t="str">
        <f t="shared" si="32"/>
        <v>n/a</v>
      </c>
      <c r="BY15" s="225" t="str">
        <f t="shared" si="32"/>
        <v>n/a</v>
      </c>
      <c r="BZ15" s="225" t="str">
        <f t="shared" si="32"/>
        <v>n/a</v>
      </c>
      <c r="CA15" s="225" t="str">
        <f t="shared" si="32"/>
        <v>n/a</v>
      </c>
      <c r="CB15" s="225" t="str">
        <f t="shared" si="32"/>
        <v>n/a</v>
      </c>
      <c r="CC15" s="225" t="str">
        <f t="shared" si="32"/>
        <v>n/a</v>
      </c>
      <c r="CD15" s="225" t="str">
        <f t="shared" si="32"/>
        <v>n/a</v>
      </c>
      <c r="CE15" s="214" t="str">
        <f t="shared" si="32"/>
        <v>n/a</v>
      </c>
      <c r="CF15" s="225" t="str">
        <f t="shared" si="32"/>
        <v>n/a</v>
      </c>
      <c r="CG15" s="225" t="str">
        <f t="shared" si="32"/>
        <v>n/a</v>
      </c>
      <c r="CH15" s="225" t="str">
        <f t="shared" si="32"/>
        <v>n/a</v>
      </c>
      <c r="CI15" s="225" t="str">
        <f t="shared" ref="CI15:DN15" si="33">++IFERROR(CI13/BW13-1,"n/a")</f>
        <v>n/a</v>
      </c>
      <c r="CJ15" s="225" t="str">
        <f t="shared" si="33"/>
        <v>n/a</v>
      </c>
      <c r="CK15" s="225" t="str">
        <f t="shared" si="33"/>
        <v>n/a</v>
      </c>
      <c r="CL15" s="225" t="str">
        <f t="shared" si="33"/>
        <v>n/a</v>
      </c>
      <c r="CM15" s="225" t="str">
        <f t="shared" si="33"/>
        <v>n/a</v>
      </c>
      <c r="CN15" s="225" t="str">
        <f t="shared" si="33"/>
        <v>n/a</v>
      </c>
      <c r="CO15" s="225" t="str">
        <f t="shared" si="33"/>
        <v>n/a</v>
      </c>
      <c r="CP15" s="225" t="str">
        <f t="shared" si="33"/>
        <v>n/a</v>
      </c>
      <c r="CQ15" s="214" t="str">
        <f t="shared" si="33"/>
        <v>n/a</v>
      </c>
      <c r="CR15" s="225" t="str">
        <f t="shared" si="33"/>
        <v>n/a</v>
      </c>
      <c r="CS15" s="225" t="str">
        <f t="shared" si="33"/>
        <v>n/a</v>
      </c>
      <c r="CT15" s="225" t="str">
        <f t="shared" si="33"/>
        <v>n/a</v>
      </c>
      <c r="CU15" s="225" t="str">
        <f t="shared" si="33"/>
        <v>n/a</v>
      </c>
      <c r="CV15" s="225" t="str">
        <f t="shared" si="33"/>
        <v>n/a</v>
      </c>
      <c r="CW15" s="225" t="str">
        <f t="shared" si="33"/>
        <v>n/a</v>
      </c>
      <c r="CX15" s="225" t="str">
        <f t="shared" si="33"/>
        <v>n/a</v>
      </c>
      <c r="CY15" s="225" t="str">
        <f t="shared" si="33"/>
        <v>n/a</v>
      </c>
      <c r="CZ15" s="225" t="str">
        <f t="shared" si="33"/>
        <v>n/a</v>
      </c>
      <c r="DA15" s="225" t="str">
        <f t="shared" si="33"/>
        <v>n/a</v>
      </c>
      <c r="DB15" s="225" t="str">
        <f t="shared" si="33"/>
        <v>n/a</v>
      </c>
      <c r="DC15" s="214" t="str">
        <f t="shared" si="33"/>
        <v>n/a</v>
      </c>
    </row>
    <row r="16" spans="1:107" x14ac:dyDescent="0.3">
      <c r="G16" s="203"/>
      <c r="K16" s="203"/>
      <c r="W16" s="203"/>
      <c r="AI16" s="203"/>
      <c r="AU16" s="203"/>
      <c r="BG16" s="203"/>
      <c r="BS16" s="203"/>
      <c r="CE16" s="203"/>
      <c r="CQ16" s="203"/>
      <c r="DC16" s="203"/>
    </row>
    <row r="17" spans="3:107" x14ac:dyDescent="0.3">
      <c r="C17" s="123" t="s">
        <v>501</v>
      </c>
      <c r="D17" s="323"/>
      <c r="E17" s="323"/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  <c r="AR17" s="45">
        <v>0</v>
      </c>
      <c r="AS17" s="45">
        <v>0</v>
      </c>
      <c r="AT17" s="45">
        <v>0</v>
      </c>
      <c r="AU17" s="45">
        <v>0</v>
      </c>
      <c r="AV17" s="45">
        <v>0</v>
      </c>
      <c r="AW17" s="45">
        <v>0</v>
      </c>
      <c r="AX17" s="45">
        <v>0</v>
      </c>
      <c r="AY17" s="45">
        <v>0</v>
      </c>
      <c r="AZ17" s="45">
        <v>0</v>
      </c>
      <c r="BA17" s="45">
        <v>0</v>
      </c>
      <c r="BB17" s="45">
        <v>0</v>
      </c>
      <c r="BC17" s="45">
        <v>0</v>
      </c>
      <c r="BD17" s="45">
        <v>0</v>
      </c>
      <c r="BE17" s="45"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0</v>
      </c>
      <c r="BK17" s="45">
        <v>0</v>
      </c>
      <c r="BL17" s="45">
        <v>0</v>
      </c>
      <c r="BM17" s="45">
        <v>0</v>
      </c>
      <c r="BN17" s="45">
        <v>0</v>
      </c>
      <c r="BO17" s="45">
        <v>0</v>
      </c>
      <c r="BP17" s="45">
        <v>0</v>
      </c>
      <c r="BQ17" s="45">
        <v>0</v>
      </c>
      <c r="BR17" s="45">
        <v>0</v>
      </c>
      <c r="BS17" s="45">
        <v>0</v>
      </c>
      <c r="BT17" s="45">
        <v>0</v>
      </c>
      <c r="BU17" s="45">
        <v>0</v>
      </c>
      <c r="BV17" s="45">
        <v>0</v>
      </c>
      <c r="BW17" s="45">
        <v>0</v>
      </c>
      <c r="BX17" s="45">
        <v>0</v>
      </c>
      <c r="BY17" s="45">
        <v>0</v>
      </c>
      <c r="BZ17" s="45">
        <v>0</v>
      </c>
      <c r="CA17" s="45">
        <v>0</v>
      </c>
      <c r="CB17" s="45">
        <v>0</v>
      </c>
      <c r="CC17" s="45">
        <v>0</v>
      </c>
      <c r="CD17" s="45">
        <v>0</v>
      </c>
      <c r="CE17" s="45">
        <v>0</v>
      </c>
      <c r="CF17" s="45">
        <v>0</v>
      </c>
      <c r="CG17" s="45">
        <v>0</v>
      </c>
      <c r="CH17" s="45">
        <v>0</v>
      </c>
      <c r="CI17" s="45">
        <v>0</v>
      </c>
      <c r="CJ17" s="45">
        <v>0</v>
      </c>
      <c r="CK17" s="45">
        <v>0</v>
      </c>
      <c r="CL17" s="45">
        <v>0</v>
      </c>
      <c r="CM17" s="45">
        <v>0</v>
      </c>
      <c r="CN17" s="45">
        <v>0</v>
      </c>
      <c r="CO17" s="45">
        <v>0</v>
      </c>
      <c r="CP17" s="45">
        <v>0</v>
      </c>
      <c r="CQ17" s="45">
        <v>0</v>
      </c>
      <c r="CR17" s="45">
        <v>0</v>
      </c>
      <c r="CS17" s="45">
        <v>0</v>
      </c>
      <c r="CT17" s="45">
        <v>0</v>
      </c>
      <c r="CU17" s="45">
        <v>0</v>
      </c>
      <c r="CV17" s="45">
        <v>0</v>
      </c>
      <c r="CW17" s="45">
        <v>0</v>
      </c>
      <c r="CX17" s="45">
        <v>0</v>
      </c>
      <c r="CY17" s="45">
        <v>0</v>
      </c>
      <c r="CZ17" s="45">
        <v>0</v>
      </c>
      <c r="DA17" s="45">
        <v>0</v>
      </c>
      <c r="DB17" s="45">
        <v>0</v>
      </c>
      <c r="DC17" s="45">
        <v>0</v>
      </c>
    </row>
    <row r="18" spans="3:107" x14ac:dyDescent="0.3">
      <c r="C18" s="123" t="s">
        <v>501</v>
      </c>
      <c r="D18" s="323"/>
      <c r="E18" s="323"/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  <c r="AR18" s="45">
        <v>0</v>
      </c>
      <c r="AS18" s="45">
        <v>0</v>
      </c>
      <c r="AT18" s="45">
        <v>0</v>
      </c>
      <c r="AU18" s="45">
        <v>0</v>
      </c>
      <c r="AV18" s="45">
        <v>0</v>
      </c>
      <c r="AW18" s="45">
        <v>0</v>
      </c>
      <c r="AX18" s="45">
        <v>0</v>
      </c>
      <c r="AY18" s="45">
        <v>0</v>
      </c>
      <c r="AZ18" s="45">
        <v>0</v>
      </c>
      <c r="BA18" s="45">
        <v>0</v>
      </c>
      <c r="BB18" s="45">
        <v>0</v>
      </c>
      <c r="BC18" s="45">
        <v>0</v>
      </c>
      <c r="BD18" s="45">
        <v>0</v>
      </c>
      <c r="BE18" s="45"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0</v>
      </c>
      <c r="BK18" s="45">
        <v>0</v>
      </c>
      <c r="BL18" s="45">
        <v>0</v>
      </c>
      <c r="BM18" s="45">
        <v>0</v>
      </c>
      <c r="BN18" s="45">
        <v>0</v>
      </c>
      <c r="BO18" s="45">
        <v>0</v>
      </c>
      <c r="BP18" s="45">
        <v>0</v>
      </c>
      <c r="BQ18" s="45">
        <v>0</v>
      </c>
      <c r="BR18" s="45">
        <v>0</v>
      </c>
      <c r="BS18" s="45">
        <v>0</v>
      </c>
      <c r="BT18" s="45">
        <v>0</v>
      </c>
      <c r="BU18" s="45">
        <v>0</v>
      </c>
      <c r="BV18" s="45">
        <v>0</v>
      </c>
      <c r="BW18" s="45">
        <v>0</v>
      </c>
      <c r="BX18" s="45">
        <v>0</v>
      </c>
      <c r="BY18" s="45">
        <v>0</v>
      </c>
      <c r="BZ18" s="45">
        <v>0</v>
      </c>
      <c r="CA18" s="45">
        <v>0</v>
      </c>
      <c r="CB18" s="45">
        <v>0</v>
      </c>
      <c r="CC18" s="45">
        <v>0</v>
      </c>
      <c r="CD18" s="45">
        <v>0</v>
      </c>
      <c r="CE18" s="45">
        <v>0</v>
      </c>
      <c r="CF18" s="45">
        <v>0</v>
      </c>
      <c r="CG18" s="45">
        <v>0</v>
      </c>
      <c r="CH18" s="45">
        <v>0</v>
      </c>
      <c r="CI18" s="45">
        <v>0</v>
      </c>
      <c r="CJ18" s="45">
        <v>0</v>
      </c>
      <c r="CK18" s="45">
        <v>0</v>
      </c>
      <c r="CL18" s="45">
        <v>0</v>
      </c>
      <c r="CM18" s="45">
        <v>0</v>
      </c>
      <c r="CN18" s="45">
        <v>0</v>
      </c>
      <c r="CO18" s="45">
        <v>0</v>
      </c>
      <c r="CP18" s="45">
        <v>0</v>
      </c>
      <c r="CQ18" s="45">
        <v>0</v>
      </c>
      <c r="CR18" s="45">
        <v>0</v>
      </c>
      <c r="CS18" s="45">
        <v>0</v>
      </c>
      <c r="CT18" s="45">
        <v>0</v>
      </c>
      <c r="CU18" s="45">
        <v>0</v>
      </c>
      <c r="CV18" s="45">
        <v>0</v>
      </c>
      <c r="CW18" s="45">
        <v>0</v>
      </c>
      <c r="CX18" s="45">
        <v>0</v>
      </c>
      <c r="CY18" s="45">
        <v>0</v>
      </c>
      <c r="CZ18" s="45">
        <v>0</v>
      </c>
      <c r="DA18" s="45">
        <v>0</v>
      </c>
      <c r="DB18" s="45">
        <v>0</v>
      </c>
      <c r="DC18" s="45">
        <v>0</v>
      </c>
    </row>
    <row r="19" spans="3:107" x14ac:dyDescent="0.3">
      <c r="C19" s="123" t="s">
        <v>501</v>
      </c>
      <c r="D19" s="323"/>
      <c r="E19" s="323"/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  <c r="AR19" s="45">
        <v>0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45">
        <v>0</v>
      </c>
      <c r="AY19" s="45">
        <v>0</v>
      </c>
      <c r="AZ19" s="45">
        <v>0</v>
      </c>
      <c r="BA19" s="45">
        <v>0</v>
      </c>
      <c r="BB19" s="45">
        <v>0</v>
      </c>
      <c r="BC19" s="45">
        <v>0</v>
      </c>
      <c r="BD19" s="45">
        <v>0</v>
      </c>
      <c r="BE19" s="45"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0</v>
      </c>
      <c r="BK19" s="45">
        <v>0</v>
      </c>
      <c r="BL19" s="45">
        <v>0</v>
      </c>
      <c r="BM19" s="45">
        <v>0</v>
      </c>
      <c r="BN19" s="45">
        <v>0</v>
      </c>
      <c r="BO19" s="45">
        <v>0</v>
      </c>
      <c r="BP19" s="45">
        <v>0</v>
      </c>
      <c r="BQ19" s="45">
        <v>0</v>
      </c>
      <c r="BR19" s="45">
        <v>0</v>
      </c>
      <c r="BS19" s="45">
        <v>0</v>
      </c>
      <c r="BT19" s="45">
        <v>0</v>
      </c>
      <c r="BU19" s="45">
        <v>0</v>
      </c>
      <c r="BV19" s="45">
        <v>0</v>
      </c>
      <c r="BW19" s="45">
        <v>0</v>
      </c>
      <c r="BX19" s="45">
        <v>0</v>
      </c>
      <c r="BY19" s="45">
        <v>0</v>
      </c>
      <c r="BZ19" s="45">
        <v>0</v>
      </c>
      <c r="CA19" s="45">
        <v>0</v>
      </c>
      <c r="CB19" s="45">
        <v>0</v>
      </c>
      <c r="CC19" s="45">
        <v>0</v>
      </c>
      <c r="CD19" s="45">
        <v>0</v>
      </c>
      <c r="CE19" s="45">
        <v>0</v>
      </c>
      <c r="CF19" s="45">
        <v>0</v>
      </c>
      <c r="CG19" s="45">
        <v>0</v>
      </c>
      <c r="CH19" s="45">
        <v>0</v>
      </c>
      <c r="CI19" s="45">
        <v>0</v>
      </c>
      <c r="CJ19" s="45">
        <v>0</v>
      </c>
      <c r="CK19" s="45">
        <v>0</v>
      </c>
      <c r="CL19" s="45">
        <v>0</v>
      </c>
      <c r="CM19" s="45">
        <v>0</v>
      </c>
      <c r="CN19" s="45">
        <v>0</v>
      </c>
      <c r="CO19" s="45">
        <v>0</v>
      </c>
      <c r="CP19" s="45">
        <v>0</v>
      </c>
      <c r="CQ19" s="45">
        <v>0</v>
      </c>
      <c r="CR19" s="45">
        <v>0</v>
      </c>
      <c r="CS19" s="45">
        <v>0</v>
      </c>
      <c r="CT19" s="45">
        <v>0</v>
      </c>
      <c r="CU19" s="45">
        <v>0</v>
      </c>
      <c r="CV19" s="45">
        <v>0</v>
      </c>
      <c r="CW19" s="45">
        <v>0</v>
      </c>
      <c r="CX19" s="45">
        <v>0</v>
      </c>
      <c r="CY19" s="45">
        <v>0</v>
      </c>
      <c r="CZ19" s="45">
        <v>0</v>
      </c>
      <c r="DA19" s="45">
        <v>0</v>
      </c>
      <c r="DB19" s="45">
        <v>0</v>
      </c>
      <c r="DC19" s="45">
        <v>0</v>
      </c>
    </row>
    <row r="20" spans="3:107" x14ac:dyDescent="0.3">
      <c r="C20" s="101" t="s">
        <v>376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  <c r="AR20" s="45">
        <v>0</v>
      </c>
      <c r="AS20" s="45">
        <v>0</v>
      </c>
      <c r="AT20" s="45">
        <v>0</v>
      </c>
      <c r="AU20" s="45">
        <v>0</v>
      </c>
      <c r="AV20" s="45">
        <v>0</v>
      </c>
      <c r="AW20" s="45">
        <v>0</v>
      </c>
      <c r="AX20" s="45">
        <v>0</v>
      </c>
      <c r="AY20" s="45">
        <v>0</v>
      </c>
      <c r="AZ20" s="45">
        <v>0</v>
      </c>
      <c r="BA20" s="45">
        <v>0</v>
      </c>
      <c r="BB20" s="45">
        <v>0</v>
      </c>
      <c r="BC20" s="45">
        <v>0</v>
      </c>
      <c r="BD20" s="45">
        <v>0</v>
      </c>
      <c r="BE20" s="45"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0</v>
      </c>
      <c r="BK20" s="45">
        <v>0</v>
      </c>
      <c r="BL20" s="45">
        <v>0</v>
      </c>
      <c r="BM20" s="45">
        <v>0</v>
      </c>
      <c r="BN20" s="45">
        <v>0</v>
      </c>
      <c r="BO20" s="45">
        <v>0</v>
      </c>
      <c r="BP20" s="45">
        <v>0</v>
      </c>
      <c r="BQ20" s="45">
        <v>0</v>
      </c>
      <c r="BR20" s="45">
        <v>0</v>
      </c>
      <c r="BS20" s="45">
        <v>0</v>
      </c>
      <c r="BT20" s="45">
        <v>0</v>
      </c>
      <c r="BU20" s="45">
        <v>0</v>
      </c>
      <c r="BV20" s="45">
        <v>0</v>
      </c>
      <c r="BW20" s="45">
        <v>0</v>
      </c>
      <c r="BX20" s="45">
        <v>0</v>
      </c>
      <c r="BY20" s="45">
        <v>0</v>
      </c>
      <c r="BZ20" s="45">
        <v>0</v>
      </c>
      <c r="CA20" s="45">
        <v>0</v>
      </c>
      <c r="CB20" s="45">
        <v>0</v>
      </c>
      <c r="CC20" s="45">
        <v>0</v>
      </c>
      <c r="CD20" s="45">
        <v>0</v>
      </c>
      <c r="CE20" s="45">
        <v>0</v>
      </c>
      <c r="CF20" s="45">
        <v>0</v>
      </c>
      <c r="CG20" s="45">
        <v>0</v>
      </c>
      <c r="CH20" s="45">
        <v>0</v>
      </c>
      <c r="CI20" s="45">
        <v>0</v>
      </c>
      <c r="CJ20" s="45">
        <v>0</v>
      </c>
      <c r="CK20" s="45">
        <v>0</v>
      </c>
      <c r="CL20" s="45">
        <v>0</v>
      </c>
      <c r="CM20" s="45">
        <v>0</v>
      </c>
      <c r="CN20" s="45">
        <v>0</v>
      </c>
      <c r="CO20" s="45">
        <v>0</v>
      </c>
      <c r="CP20" s="45">
        <v>0</v>
      </c>
      <c r="CQ20" s="45">
        <v>0</v>
      </c>
      <c r="CR20" s="45">
        <v>0</v>
      </c>
      <c r="CS20" s="45">
        <v>0</v>
      </c>
      <c r="CT20" s="45">
        <v>0</v>
      </c>
      <c r="CU20" s="45">
        <v>0</v>
      </c>
      <c r="CV20" s="45">
        <v>0</v>
      </c>
      <c r="CW20" s="45">
        <v>0</v>
      </c>
      <c r="CX20" s="45">
        <v>0</v>
      </c>
      <c r="CY20" s="45">
        <v>0</v>
      </c>
      <c r="CZ20" s="45">
        <v>0</v>
      </c>
      <c r="DA20" s="45">
        <v>0</v>
      </c>
      <c r="DB20" s="45">
        <v>0</v>
      </c>
      <c r="DC20" s="45">
        <v>0</v>
      </c>
    </row>
    <row r="21" spans="3:107" x14ac:dyDescent="0.3">
      <c r="C21" s="101" t="s">
        <v>521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  <c r="AR21" s="45">
        <v>0</v>
      </c>
      <c r="AS21" s="45">
        <v>0</v>
      </c>
      <c r="AT21" s="45">
        <v>0</v>
      </c>
      <c r="AU21" s="45">
        <v>0</v>
      </c>
      <c r="AV21" s="45">
        <v>0</v>
      </c>
      <c r="AW21" s="45">
        <v>0</v>
      </c>
      <c r="AX21" s="45">
        <v>0</v>
      </c>
      <c r="AY21" s="45">
        <v>0</v>
      </c>
      <c r="AZ21" s="45">
        <v>0</v>
      </c>
      <c r="BA21" s="45">
        <v>0</v>
      </c>
      <c r="BB21" s="45">
        <v>0</v>
      </c>
      <c r="BC21" s="45">
        <v>0</v>
      </c>
      <c r="BD21" s="45">
        <v>0</v>
      </c>
      <c r="BE21" s="45"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0</v>
      </c>
      <c r="BK21" s="45">
        <v>0</v>
      </c>
      <c r="BL21" s="45">
        <v>0</v>
      </c>
      <c r="BM21" s="45">
        <v>0</v>
      </c>
      <c r="BN21" s="45">
        <v>0</v>
      </c>
      <c r="BO21" s="45">
        <v>0</v>
      </c>
      <c r="BP21" s="45">
        <v>0</v>
      </c>
      <c r="BQ21" s="45">
        <v>0</v>
      </c>
      <c r="BR21" s="45">
        <v>0</v>
      </c>
      <c r="BS21" s="45">
        <v>0</v>
      </c>
      <c r="BT21" s="45">
        <v>0</v>
      </c>
      <c r="BU21" s="45">
        <v>0</v>
      </c>
      <c r="BV21" s="45">
        <v>0</v>
      </c>
      <c r="BW21" s="45">
        <v>0</v>
      </c>
      <c r="BX21" s="45">
        <v>0</v>
      </c>
      <c r="BY21" s="45">
        <v>0</v>
      </c>
      <c r="BZ21" s="45">
        <v>0</v>
      </c>
      <c r="CA21" s="45">
        <v>0</v>
      </c>
      <c r="CB21" s="45">
        <v>0</v>
      </c>
      <c r="CC21" s="45">
        <v>0</v>
      </c>
      <c r="CD21" s="45">
        <v>0</v>
      </c>
      <c r="CE21" s="45">
        <v>0</v>
      </c>
      <c r="CF21" s="45">
        <v>0</v>
      </c>
      <c r="CG21" s="45">
        <v>0</v>
      </c>
      <c r="CH21" s="45">
        <v>0</v>
      </c>
      <c r="CI21" s="45">
        <v>0</v>
      </c>
      <c r="CJ21" s="45">
        <v>0</v>
      </c>
      <c r="CK21" s="45">
        <v>0</v>
      </c>
      <c r="CL21" s="45">
        <v>0</v>
      </c>
      <c r="CM21" s="45">
        <v>0</v>
      </c>
      <c r="CN21" s="45">
        <v>0</v>
      </c>
      <c r="CO21" s="45">
        <v>0</v>
      </c>
      <c r="CP21" s="45">
        <v>0</v>
      </c>
      <c r="CQ21" s="45">
        <v>0</v>
      </c>
      <c r="CR21" s="45">
        <v>0</v>
      </c>
      <c r="CS21" s="45">
        <v>0</v>
      </c>
      <c r="CT21" s="45">
        <v>0</v>
      </c>
      <c r="CU21" s="45">
        <v>0</v>
      </c>
      <c r="CV21" s="45">
        <v>0</v>
      </c>
      <c r="CW21" s="45">
        <v>0</v>
      </c>
      <c r="CX21" s="45">
        <v>0</v>
      </c>
      <c r="CY21" s="45">
        <v>0</v>
      </c>
      <c r="CZ21" s="45">
        <v>0</v>
      </c>
      <c r="DA21" s="45">
        <v>0</v>
      </c>
      <c r="DB21" s="45">
        <v>0</v>
      </c>
      <c r="DC21" s="45">
        <v>0</v>
      </c>
    </row>
    <row r="22" spans="3:107" x14ac:dyDescent="0.3">
      <c r="C22" s="101" t="s">
        <v>522</v>
      </c>
      <c r="G22" s="374">
        <f>++(G13-G23)-SUM(G17:G21)</f>
        <v>0</v>
      </c>
      <c r="H22" s="200">
        <f t="shared" ref="H22:BS22" si="34">++(H13-H23)-SUM(H17:H21)</f>
        <v>0</v>
      </c>
      <c r="I22" s="200">
        <f t="shared" si="34"/>
        <v>0</v>
      </c>
      <c r="J22" s="200">
        <f t="shared" si="34"/>
        <v>0</v>
      </c>
      <c r="K22" s="374">
        <f t="shared" si="34"/>
        <v>0</v>
      </c>
      <c r="L22" s="200">
        <f t="shared" si="34"/>
        <v>0</v>
      </c>
      <c r="M22" s="200">
        <f t="shared" si="34"/>
        <v>0</v>
      </c>
      <c r="N22" s="200">
        <f t="shared" si="34"/>
        <v>0</v>
      </c>
      <c r="O22" s="200">
        <f t="shared" si="34"/>
        <v>0</v>
      </c>
      <c r="P22" s="200">
        <f t="shared" si="34"/>
        <v>0</v>
      </c>
      <c r="Q22" s="200">
        <f t="shared" si="34"/>
        <v>0</v>
      </c>
      <c r="R22" s="200">
        <f t="shared" si="34"/>
        <v>0</v>
      </c>
      <c r="S22" s="200">
        <f t="shared" si="34"/>
        <v>0</v>
      </c>
      <c r="T22" s="200">
        <f t="shared" si="34"/>
        <v>0</v>
      </c>
      <c r="U22" s="200">
        <f t="shared" si="34"/>
        <v>0</v>
      </c>
      <c r="V22" s="200">
        <f t="shared" si="34"/>
        <v>0</v>
      </c>
      <c r="W22" s="374">
        <f t="shared" si="34"/>
        <v>0</v>
      </c>
      <c r="X22" s="200">
        <f t="shared" si="34"/>
        <v>0</v>
      </c>
      <c r="Y22" s="200">
        <f t="shared" si="34"/>
        <v>0</v>
      </c>
      <c r="Z22" s="200">
        <f t="shared" si="34"/>
        <v>0</v>
      </c>
      <c r="AA22" s="200">
        <f t="shared" si="34"/>
        <v>0</v>
      </c>
      <c r="AB22" s="200">
        <f t="shared" si="34"/>
        <v>0</v>
      </c>
      <c r="AC22" s="200">
        <f t="shared" si="34"/>
        <v>0</v>
      </c>
      <c r="AD22" s="200">
        <f t="shared" si="34"/>
        <v>0</v>
      </c>
      <c r="AE22" s="200">
        <f t="shared" si="34"/>
        <v>0</v>
      </c>
      <c r="AF22" s="200">
        <f t="shared" si="34"/>
        <v>0</v>
      </c>
      <c r="AG22" s="200">
        <f t="shared" si="34"/>
        <v>0</v>
      </c>
      <c r="AH22" s="200">
        <f t="shared" si="34"/>
        <v>0</v>
      </c>
      <c r="AI22" s="374">
        <f t="shared" si="34"/>
        <v>0</v>
      </c>
      <c r="AJ22" s="200">
        <f t="shared" si="34"/>
        <v>0</v>
      </c>
      <c r="AK22" s="200">
        <f t="shared" si="34"/>
        <v>0</v>
      </c>
      <c r="AL22" s="200">
        <f t="shared" si="34"/>
        <v>0</v>
      </c>
      <c r="AM22" s="200">
        <f t="shared" si="34"/>
        <v>0</v>
      </c>
      <c r="AN22" s="200">
        <f t="shared" si="34"/>
        <v>0</v>
      </c>
      <c r="AO22" s="200">
        <f t="shared" si="34"/>
        <v>0</v>
      </c>
      <c r="AP22" s="200">
        <f t="shared" si="34"/>
        <v>0</v>
      </c>
      <c r="AQ22" s="200">
        <f t="shared" si="34"/>
        <v>0</v>
      </c>
      <c r="AR22" s="200">
        <f t="shared" si="34"/>
        <v>0</v>
      </c>
      <c r="AS22" s="200">
        <f t="shared" si="34"/>
        <v>0</v>
      </c>
      <c r="AT22" s="200">
        <f t="shared" si="34"/>
        <v>0</v>
      </c>
      <c r="AU22" s="374">
        <f t="shared" si="34"/>
        <v>0</v>
      </c>
      <c r="AV22" s="200">
        <f t="shared" si="34"/>
        <v>0</v>
      </c>
      <c r="AW22" s="200">
        <f t="shared" si="34"/>
        <v>0</v>
      </c>
      <c r="AX22" s="200">
        <f t="shared" si="34"/>
        <v>0</v>
      </c>
      <c r="AY22" s="200">
        <f t="shared" si="34"/>
        <v>0</v>
      </c>
      <c r="AZ22" s="200">
        <f t="shared" si="34"/>
        <v>0</v>
      </c>
      <c r="BA22" s="200">
        <f t="shared" si="34"/>
        <v>0</v>
      </c>
      <c r="BB22" s="200">
        <f t="shared" si="34"/>
        <v>0</v>
      </c>
      <c r="BC22" s="200">
        <f t="shared" si="34"/>
        <v>0</v>
      </c>
      <c r="BD22" s="200">
        <f t="shared" si="34"/>
        <v>0</v>
      </c>
      <c r="BE22" s="200">
        <f t="shared" si="34"/>
        <v>0</v>
      </c>
      <c r="BF22" s="200">
        <f t="shared" si="34"/>
        <v>0</v>
      </c>
      <c r="BG22" s="374">
        <f t="shared" si="34"/>
        <v>0</v>
      </c>
      <c r="BH22" s="200">
        <f t="shared" si="34"/>
        <v>0</v>
      </c>
      <c r="BI22" s="200">
        <f t="shared" si="34"/>
        <v>0</v>
      </c>
      <c r="BJ22" s="200">
        <f t="shared" si="34"/>
        <v>0</v>
      </c>
      <c r="BK22" s="200">
        <f t="shared" si="34"/>
        <v>0</v>
      </c>
      <c r="BL22" s="200">
        <f t="shared" si="34"/>
        <v>0</v>
      </c>
      <c r="BM22" s="200">
        <f t="shared" si="34"/>
        <v>0</v>
      </c>
      <c r="BN22" s="200">
        <f t="shared" si="34"/>
        <v>0</v>
      </c>
      <c r="BO22" s="200">
        <f t="shared" si="34"/>
        <v>0</v>
      </c>
      <c r="BP22" s="200">
        <f t="shared" si="34"/>
        <v>0</v>
      </c>
      <c r="BQ22" s="200">
        <f t="shared" si="34"/>
        <v>0</v>
      </c>
      <c r="BR22" s="200">
        <f t="shared" si="34"/>
        <v>0</v>
      </c>
      <c r="BS22" s="374">
        <f t="shared" si="34"/>
        <v>0</v>
      </c>
      <c r="BT22" s="200">
        <f t="shared" ref="BT22:DC22" si="35">++(BT13-BT23)-SUM(BT17:BT21)</f>
        <v>0</v>
      </c>
      <c r="BU22" s="200">
        <f t="shared" si="35"/>
        <v>0</v>
      </c>
      <c r="BV22" s="200">
        <f t="shared" si="35"/>
        <v>0</v>
      </c>
      <c r="BW22" s="200">
        <f t="shared" si="35"/>
        <v>0</v>
      </c>
      <c r="BX22" s="200">
        <f t="shared" si="35"/>
        <v>0</v>
      </c>
      <c r="BY22" s="200">
        <f t="shared" si="35"/>
        <v>0</v>
      </c>
      <c r="BZ22" s="200">
        <f t="shared" si="35"/>
        <v>0</v>
      </c>
      <c r="CA22" s="200">
        <f t="shared" si="35"/>
        <v>0</v>
      </c>
      <c r="CB22" s="200">
        <f t="shared" si="35"/>
        <v>0</v>
      </c>
      <c r="CC22" s="200">
        <f t="shared" si="35"/>
        <v>0</v>
      </c>
      <c r="CD22" s="200">
        <f t="shared" si="35"/>
        <v>0</v>
      </c>
      <c r="CE22" s="374">
        <f t="shared" si="35"/>
        <v>0</v>
      </c>
      <c r="CF22" s="200">
        <f t="shared" si="35"/>
        <v>0</v>
      </c>
      <c r="CG22" s="200">
        <f t="shared" si="35"/>
        <v>0</v>
      </c>
      <c r="CH22" s="200">
        <f t="shared" si="35"/>
        <v>0</v>
      </c>
      <c r="CI22" s="200">
        <f t="shared" si="35"/>
        <v>0</v>
      </c>
      <c r="CJ22" s="200">
        <f t="shared" si="35"/>
        <v>0</v>
      </c>
      <c r="CK22" s="200">
        <f t="shared" si="35"/>
        <v>0</v>
      </c>
      <c r="CL22" s="200">
        <f t="shared" si="35"/>
        <v>0</v>
      </c>
      <c r="CM22" s="200">
        <f t="shared" si="35"/>
        <v>0</v>
      </c>
      <c r="CN22" s="200">
        <f t="shared" si="35"/>
        <v>0</v>
      </c>
      <c r="CO22" s="200">
        <f t="shared" si="35"/>
        <v>0</v>
      </c>
      <c r="CP22" s="200">
        <f t="shared" si="35"/>
        <v>0</v>
      </c>
      <c r="CQ22" s="374">
        <f t="shared" si="35"/>
        <v>0</v>
      </c>
      <c r="CR22" s="200">
        <f t="shared" si="35"/>
        <v>0</v>
      </c>
      <c r="CS22" s="200">
        <f t="shared" si="35"/>
        <v>0</v>
      </c>
      <c r="CT22" s="200">
        <f t="shared" si="35"/>
        <v>0</v>
      </c>
      <c r="CU22" s="200">
        <f t="shared" si="35"/>
        <v>0</v>
      </c>
      <c r="CV22" s="200">
        <f t="shared" si="35"/>
        <v>0</v>
      </c>
      <c r="CW22" s="200">
        <f t="shared" si="35"/>
        <v>0</v>
      </c>
      <c r="CX22" s="200">
        <f t="shared" si="35"/>
        <v>0</v>
      </c>
      <c r="CY22" s="200">
        <f t="shared" si="35"/>
        <v>0</v>
      </c>
      <c r="CZ22" s="200">
        <f t="shared" si="35"/>
        <v>0</v>
      </c>
      <c r="DA22" s="200">
        <f t="shared" si="35"/>
        <v>0</v>
      </c>
      <c r="DB22" s="200">
        <f t="shared" si="35"/>
        <v>0</v>
      </c>
      <c r="DC22" s="374">
        <f t="shared" si="35"/>
        <v>0</v>
      </c>
    </row>
    <row r="23" spans="3:107" x14ac:dyDescent="0.3">
      <c r="C23" s="231" t="s">
        <v>520</v>
      </c>
      <c r="D23" s="191"/>
      <c r="E23" s="191"/>
      <c r="G23" s="239">
        <f>++SUM(G27:G29)</f>
        <v>0</v>
      </c>
      <c r="H23" s="232">
        <f t="shared" ref="H23:BS23" si="36">++SUM(H27:H29)</f>
        <v>0</v>
      </c>
      <c r="I23" s="232">
        <f t="shared" si="36"/>
        <v>0</v>
      </c>
      <c r="J23" s="232">
        <f t="shared" si="36"/>
        <v>0</v>
      </c>
      <c r="K23" s="239">
        <f t="shared" si="36"/>
        <v>0</v>
      </c>
      <c r="L23" s="232">
        <f t="shared" si="36"/>
        <v>0</v>
      </c>
      <c r="M23" s="232">
        <f t="shared" si="36"/>
        <v>0</v>
      </c>
      <c r="N23" s="232">
        <f t="shared" si="36"/>
        <v>0</v>
      </c>
      <c r="O23" s="232">
        <f t="shared" si="36"/>
        <v>0</v>
      </c>
      <c r="P23" s="232">
        <f t="shared" si="36"/>
        <v>0</v>
      </c>
      <c r="Q23" s="232">
        <f t="shared" si="36"/>
        <v>0</v>
      </c>
      <c r="R23" s="232">
        <f t="shared" si="36"/>
        <v>0</v>
      </c>
      <c r="S23" s="232">
        <f t="shared" si="36"/>
        <v>0</v>
      </c>
      <c r="T23" s="232">
        <f t="shared" si="36"/>
        <v>0</v>
      </c>
      <c r="U23" s="232">
        <f t="shared" si="36"/>
        <v>0</v>
      </c>
      <c r="V23" s="232">
        <f t="shared" si="36"/>
        <v>0</v>
      </c>
      <c r="W23" s="239">
        <f t="shared" si="36"/>
        <v>0</v>
      </c>
      <c r="X23" s="232">
        <f t="shared" si="36"/>
        <v>0</v>
      </c>
      <c r="Y23" s="232">
        <f t="shared" si="36"/>
        <v>0</v>
      </c>
      <c r="Z23" s="232">
        <f t="shared" si="36"/>
        <v>0</v>
      </c>
      <c r="AA23" s="232">
        <f t="shared" si="36"/>
        <v>0</v>
      </c>
      <c r="AB23" s="232">
        <f t="shared" si="36"/>
        <v>0</v>
      </c>
      <c r="AC23" s="232">
        <f t="shared" si="36"/>
        <v>0</v>
      </c>
      <c r="AD23" s="232">
        <f t="shared" si="36"/>
        <v>0</v>
      </c>
      <c r="AE23" s="232">
        <f t="shared" si="36"/>
        <v>0</v>
      </c>
      <c r="AF23" s="232">
        <f t="shared" si="36"/>
        <v>0</v>
      </c>
      <c r="AG23" s="232">
        <f t="shared" si="36"/>
        <v>0</v>
      </c>
      <c r="AH23" s="232">
        <f t="shared" si="36"/>
        <v>0</v>
      </c>
      <c r="AI23" s="239">
        <f t="shared" si="36"/>
        <v>0</v>
      </c>
      <c r="AJ23" s="232">
        <f t="shared" si="36"/>
        <v>0</v>
      </c>
      <c r="AK23" s="232">
        <f t="shared" si="36"/>
        <v>0</v>
      </c>
      <c r="AL23" s="232">
        <f t="shared" si="36"/>
        <v>0</v>
      </c>
      <c r="AM23" s="232">
        <f t="shared" si="36"/>
        <v>0</v>
      </c>
      <c r="AN23" s="232">
        <f t="shared" si="36"/>
        <v>0</v>
      </c>
      <c r="AO23" s="232">
        <f t="shared" si="36"/>
        <v>0</v>
      </c>
      <c r="AP23" s="232">
        <f t="shared" si="36"/>
        <v>0</v>
      </c>
      <c r="AQ23" s="232">
        <f t="shared" si="36"/>
        <v>0</v>
      </c>
      <c r="AR23" s="232">
        <f t="shared" si="36"/>
        <v>0</v>
      </c>
      <c r="AS23" s="232">
        <f t="shared" si="36"/>
        <v>0</v>
      </c>
      <c r="AT23" s="232">
        <f t="shared" si="36"/>
        <v>0</v>
      </c>
      <c r="AU23" s="239">
        <f t="shared" si="36"/>
        <v>0</v>
      </c>
      <c r="AV23" s="232">
        <f t="shared" si="36"/>
        <v>0</v>
      </c>
      <c r="AW23" s="232">
        <f t="shared" si="36"/>
        <v>0</v>
      </c>
      <c r="AX23" s="232">
        <f t="shared" si="36"/>
        <v>0</v>
      </c>
      <c r="AY23" s="232">
        <f t="shared" si="36"/>
        <v>0</v>
      </c>
      <c r="AZ23" s="232">
        <f t="shared" si="36"/>
        <v>0</v>
      </c>
      <c r="BA23" s="232">
        <f t="shared" si="36"/>
        <v>0</v>
      </c>
      <c r="BB23" s="232">
        <f t="shared" si="36"/>
        <v>0</v>
      </c>
      <c r="BC23" s="232">
        <f t="shared" si="36"/>
        <v>0</v>
      </c>
      <c r="BD23" s="232">
        <f t="shared" si="36"/>
        <v>0</v>
      </c>
      <c r="BE23" s="232">
        <f t="shared" si="36"/>
        <v>0</v>
      </c>
      <c r="BF23" s="232">
        <f t="shared" si="36"/>
        <v>0</v>
      </c>
      <c r="BG23" s="239">
        <f t="shared" si="36"/>
        <v>0</v>
      </c>
      <c r="BH23" s="232">
        <f t="shared" si="36"/>
        <v>0</v>
      </c>
      <c r="BI23" s="232">
        <f t="shared" si="36"/>
        <v>0</v>
      </c>
      <c r="BJ23" s="232">
        <f t="shared" si="36"/>
        <v>0</v>
      </c>
      <c r="BK23" s="232">
        <f t="shared" si="36"/>
        <v>0</v>
      </c>
      <c r="BL23" s="232">
        <f t="shared" si="36"/>
        <v>0</v>
      </c>
      <c r="BM23" s="232">
        <f t="shared" si="36"/>
        <v>0</v>
      </c>
      <c r="BN23" s="232">
        <f t="shared" si="36"/>
        <v>0</v>
      </c>
      <c r="BO23" s="232">
        <f t="shared" si="36"/>
        <v>0</v>
      </c>
      <c r="BP23" s="232">
        <f t="shared" si="36"/>
        <v>0</v>
      </c>
      <c r="BQ23" s="232">
        <f t="shared" si="36"/>
        <v>0</v>
      </c>
      <c r="BR23" s="232">
        <f t="shared" si="36"/>
        <v>0</v>
      </c>
      <c r="BS23" s="239">
        <f t="shared" si="36"/>
        <v>0</v>
      </c>
      <c r="BT23" s="232">
        <f t="shared" ref="BT23:DC23" si="37">++SUM(BT27:BT29)</f>
        <v>0</v>
      </c>
      <c r="BU23" s="232">
        <f t="shared" si="37"/>
        <v>0</v>
      </c>
      <c r="BV23" s="232">
        <f t="shared" si="37"/>
        <v>0</v>
      </c>
      <c r="BW23" s="232">
        <f t="shared" si="37"/>
        <v>0</v>
      </c>
      <c r="BX23" s="232">
        <f t="shared" si="37"/>
        <v>0</v>
      </c>
      <c r="BY23" s="232">
        <f t="shared" si="37"/>
        <v>0</v>
      </c>
      <c r="BZ23" s="232">
        <f t="shared" si="37"/>
        <v>0</v>
      </c>
      <c r="CA23" s="232">
        <f t="shared" si="37"/>
        <v>0</v>
      </c>
      <c r="CB23" s="232">
        <f t="shared" si="37"/>
        <v>0</v>
      </c>
      <c r="CC23" s="232">
        <f t="shared" si="37"/>
        <v>0</v>
      </c>
      <c r="CD23" s="232">
        <f t="shared" si="37"/>
        <v>0</v>
      </c>
      <c r="CE23" s="239">
        <f t="shared" si="37"/>
        <v>0</v>
      </c>
      <c r="CF23" s="232">
        <f t="shared" si="37"/>
        <v>0</v>
      </c>
      <c r="CG23" s="232">
        <f t="shared" si="37"/>
        <v>0</v>
      </c>
      <c r="CH23" s="232">
        <f t="shared" si="37"/>
        <v>0</v>
      </c>
      <c r="CI23" s="232">
        <f t="shared" si="37"/>
        <v>0</v>
      </c>
      <c r="CJ23" s="232">
        <f t="shared" si="37"/>
        <v>0</v>
      </c>
      <c r="CK23" s="232">
        <f t="shared" si="37"/>
        <v>0</v>
      </c>
      <c r="CL23" s="232">
        <f t="shared" si="37"/>
        <v>0</v>
      </c>
      <c r="CM23" s="232">
        <f t="shared" si="37"/>
        <v>0</v>
      </c>
      <c r="CN23" s="232">
        <f t="shared" si="37"/>
        <v>0</v>
      </c>
      <c r="CO23" s="232">
        <f t="shared" si="37"/>
        <v>0</v>
      </c>
      <c r="CP23" s="232">
        <f t="shared" si="37"/>
        <v>0</v>
      </c>
      <c r="CQ23" s="239">
        <f t="shared" si="37"/>
        <v>0</v>
      </c>
      <c r="CR23" s="232">
        <f t="shared" si="37"/>
        <v>0</v>
      </c>
      <c r="CS23" s="232">
        <f t="shared" si="37"/>
        <v>0</v>
      </c>
      <c r="CT23" s="232">
        <f t="shared" si="37"/>
        <v>0</v>
      </c>
      <c r="CU23" s="232">
        <f t="shared" si="37"/>
        <v>0</v>
      </c>
      <c r="CV23" s="232">
        <f t="shared" si="37"/>
        <v>0</v>
      </c>
      <c r="CW23" s="232">
        <f t="shared" si="37"/>
        <v>0</v>
      </c>
      <c r="CX23" s="232">
        <f t="shared" si="37"/>
        <v>0</v>
      </c>
      <c r="CY23" s="232">
        <f t="shared" si="37"/>
        <v>0</v>
      </c>
      <c r="CZ23" s="232">
        <f t="shared" si="37"/>
        <v>0</v>
      </c>
      <c r="DA23" s="232">
        <f t="shared" si="37"/>
        <v>0</v>
      </c>
      <c r="DB23" s="232">
        <f t="shared" si="37"/>
        <v>0</v>
      </c>
      <c r="DC23" s="239">
        <f t="shared" si="37"/>
        <v>0</v>
      </c>
    </row>
    <row r="24" spans="3:107" x14ac:dyDescent="0.3">
      <c r="C24" s="321" t="s">
        <v>67</v>
      </c>
      <c r="G24" s="214" t="str">
        <f>++IFERROR(G23/G10,"n/a")</f>
        <v>n/a</v>
      </c>
      <c r="H24" s="225" t="str">
        <f t="shared" ref="H24:BS24" si="38">++IFERROR(H23/H10,"n/a")</f>
        <v>n/a</v>
      </c>
      <c r="I24" s="225" t="str">
        <f t="shared" si="38"/>
        <v>n/a</v>
      </c>
      <c r="J24" s="225" t="str">
        <f t="shared" si="38"/>
        <v>n/a</v>
      </c>
      <c r="K24" s="214" t="str">
        <f t="shared" si="38"/>
        <v>n/a</v>
      </c>
      <c r="L24" s="225" t="str">
        <f t="shared" si="38"/>
        <v>n/a</v>
      </c>
      <c r="M24" s="225" t="str">
        <f t="shared" si="38"/>
        <v>n/a</v>
      </c>
      <c r="N24" s="225" t="str">
        <f t="shared" si="38"/>
        <v>n/a</v>
      </c>
      <c r="O24" s="225" t="str">
        <f t="shared" si="38"/>
        <v>n/a</v>
      </c>
      <c r="P24" s="225" t="str">
        <f t="shared" si="38"/>
        <v>n/a</v>
      </c>
      <c r="Q24" s="225" t="str">
        <f t="shared" si="38"/>
        <v>n/a</v>
      </c>
      <c r="R24" s="225" t="str">
        <f t="shared" si="38"/>
        <v>n/a</v>
      </c>
      <c r="S24" s="225" t="str">
        <f t="shared" si="38"/>
        <v>n/a</v>
      </c>
      <c r="T24" s="225" t="str">
        <f t="shared" si="38"/>
        <v>n/a</v>
      </c>
      <c r="U24" s="225" t="str">
        <f t="shared" si="38"/>
        <v>n/a</v>
      </c>
      <c r="V24" s="225" t="str">
        <f t="shared" si="38"/>
        <v>n/a</v>
      </c>
      <c r="W24" s="214" t="str">
        <f t="shared" si="38"/>
        <v>n/a</v>
      </c>
      <c r="X24" s="225" t="str">
        <f t="shared" si="38"/>
        <v>n/a</v>
      </c>
      <c r="Y24" s="225" t="str">
        <f t="shared" si="38"/>
        <v>n/a</v>
      </c>
      <c r="Z24" s="225" t="str">
        <f t="shared" si="38"/>
        <v>n/a</v>
      </c>
      <c r="AA24" s="225" t="str">
        <f t="shared" si="38"/>
        <v>n/a</v>
      </c>
      <c r="AB24" s="225" t="str">
        <f t="shared" si="38"/>
        <v>n/a</v>
      </c>
      <c r="AC24" s="225" t="str">
        <f t="shared" si="38"/>
        <v>n/a</v>
      </c>
      <c r="AD24" s="225" t="str">
        <f t="shared" si="38"/>
        <v>n/a</v>
      </c>
      <c r="AE24" s="225" t="str">
        <f t="shared" si="38"/>
        <v>n/a</v>
      </c>
      <c r="AF24" s="225" t="str">
        <f t="shared" si="38"/>
        <v>n/a</v>
      </c>
      <c r="AG24" s="225" t="str">
        <f t="shared" si="38"/>
        <v>n/a</v>
      </c>
      <c r="AH24" s="225" t="str">
        <f t="shared" si="38"/>
        <v>n/a</v>
      </c>
      <c r="AI24" s="214" t="str">
        <f t="shared" si="38"/>
        <v>n/a</v>
      </c>
      <c r="AJ24" s="225" t="str">
        <f t="shared" si="38"/>
        <v>n/a</v>
      </c>
      <c r="AK24" s="225" t="str">
        <f t="shared" si="38"/>
        <v>n/a</v>
      </c>
      <c r="AL24" s="225" t="str">
        <f t="shared" si="38"/>
        <v>n/a</v>
      </c>
      <c r="AM24" s="225" t="str">
        <f t="shared" si="38"/>
        <v>n/a</v>
      </c>
      <c r="AN24" s="225" t="str">
        <f t="shared" si="38"/>
        <v>n/a</v>
      </c>
      <c r="AO24" s="225" t="str">
        <f t="shared" si="38"/>
        <v>n/a</v>
      </c>
      <c r="AP24" s="225" t="str">
        <f t="shared" si="38"/>
        <v>n/a</v>
      </c>
      <c r="AQ24" s="225" t="str">
        <f t="shared" si="38"/>
        <v>n/a</v>
      </c>
      <c r="AR24" s="225" t="str">
        <f t="shared" si="38"/>
        <v>n/a</v>
      </c>
      <c r="AS24" s="225" t="str">
        <f t="shared" si="38"/>
        <v>n/a</v>
      </c>
      <c r="AT24" s="225" t="str">
        <f t="shared" si="38"/>
        <v>n/a</v>
      </c>
      <c r="AU24" s="214" t="str">
        <f t="shared" si="38"/>
        <v>n/a</v>
      </c>
      <c r="AV24" s="225" t="str">
        <f t="shared" si="38"/>
        <v>n/a</v>
      </c>
      <c r="AW24" s="225" t="str">
        <f t="shared" si="38"/>
        <v>n/a</v>
      </c>
      <c r="AX24" s="225" t="str">
        <f t="shared" si="38"/>
        <v>n/a</v>
      </c>
      <c r="AY24" s="225" t="str">
        <f t="shared" si="38"/>
        <v>n/a</v>
      </c>
      <c r="AZ24" s="225" t="str">
        <f t="shared" si="38"/>
        <v>n/a</v>
      </c>
      <c r="BA24" s="225" t="str">
        <f t="shared" si="38"/>
        <v>n/a</v>
      </c>
      <c r="BB24" s="225" t="str">
        <f t="shared" si="38"/>
        <v>n/a</v>
      </c>
      <c r="BC24" s="225" t="str">
        <f t="shared" si="38"/>
        <v>n/a</v>
      </c>
      <c r="BD24" s="225" t="str">
        <f t="shared" si="38"/>
        <v>n/a</v>
      </c>
      <c r="BE24" s="225" t="str">
        <f t="shared" si="38"/>
        <v>n/a</v>
      </c>
      <c r="BF24" s="225" t="str">
        <f t="shared" si="38"/>
        <v>n/a</v>
      </c>
      <c r="BG24" s="214" t="str">
        <f t="shared" si="38"/>
        <v>n/a</v>
      </c>
      <c r="BH24" s="225" t="str">
        <f t="shared" si="38"/>
        <v>n/a</v>
      </c>
      <c r="BI24" s="225" t="str">
        <f t="shared" si="38"/>
        <v>n/a</v>
      </c>
      <c r="BJ24" s="225" t="str">
        <f t="shared" si="38"/>
        <v>n/a</v>
      </c>
      <c r="BK24" s="225" t="str">
        <f t="shared" si="38"/>
        <v>n/a</v>
      </c>
      <c r="BL24" s="225" t="str">
        <f t="shared" si="38"/>
        <v>n/a</v>
      </c>
      <c r="BM24" s="225" t="str">
        <f t="shared" si="38"/>
        <v>n/a</v>
      </c>
      <c r="BN24" s="225" t="str">
        <f t="shared" si="38"/>
        <v>n/a</v>
      </c>
      <c r="BO24" s="225" t="str">
        <f t="shared" si="38"/>
        <v>n/a</v>
      </c>
      <c r="BP24" s="225" t="str">
        <f t="shared" si="38"/>
        <v>n/a</v>
      </c>
      <c r="BQ24" s="225" t="str">
        <f t="shared" si="38"/>
        <v>n/a</v>
      </c>
      <c r="BR24" s="225" t="str">
        <f t="shared" si="38"/>
        <v>n/a</v>
      </c>
      <c r="BS24" s="214" t="str">
        <f t="shared" si="38"/>
        <v>n/a</v>
      </c>
      <c r="BT24" s="225" t="str">
        <f t="shared" ref="BT24:DC24" si="39">++IFERROR(BT23/BT10,"n/a")</f>
        <v>n/a</v>
      </c>
      <c r="BU24" s="225" t="str">
        <f t="shared" si="39"/>
        <v>n/a</v>
      </c>
      <c r="BV24" s="225" t="str">
        <f t="shared" si="39"/>
        <v>n/a</v>
      </c>
      <c r="BW24" s="225" t="str">
        <f t="shared" si="39"/>
        <v>n/a</v>
      </c>
      <c r="BX24" s="225" t="str">
        <f t="shared" si="39"/>
        <v>n/a</v>
      </c>
      <c r="BY24" s="225" t="str">
        <f t="shared" si="39"/>
        <v>n/a</v>
      </c>
      <c r="BZ24" s="225" t="str">
        <f t="shared" si="39"/>
        <v>n/a</v>
      </c>
      <c r="CA24" s="225" t="str">
        <f t="shared" si="39"/>
        <v>n/a</v>
      </c>
      <c r="CB24" s="225" t="str">
        <f t="shared" si="39"/>
        <v>n/a</v>
      </c>
      <c r="CC24" s="225" t="str">
        <f t="shared" si="39"/>
        <v>n/a</v>
      </c>
      <c r="CD24" s="225" t="str">
        <f t="shared" si="39"/>
        <v>n/a</v>
      </c>
      <c r="CE24" s="214" t="str">
        <f t="shared" si="39"/>
        <v>n/a</v>
      </c>
      <c r="CF24" s="225" t="str">
        <f t="shared" si="39"/>
        <v>n/a</v>
      </c>
      <c r="CG24" s="225" t="str">
        <f t="shared" si="39"/>
        <v>n/a</v>
      </c>
      <c r="CH24" s="225" t="str">
        <f t="shared" si="39"/>
        <v>n/a</v>
      </c>
      <c r="CI24" s="225" t="str">
        <f t="shared" si="39"/>
        <v>n/a</v>
      </c>
      <c r="CJ24" s="225" t="str">
        <f t="shared" si="39"/>
        <v>n/a</v>
      </c>
      <c r="CK24" s="225" t="str">
        <f t="shared" si="39"/>
        <v>n/a</v>
      </c>
      <c r="CL24" s="225" t="str">
        <f t="shared" si="39"/>
        <v>n/a</v>
      </c>
      <c r="CM24" s="225" t="str">
        <f t="shared" si="39"/>
        <v>n/a</v>
      </c>
      <c r="CN24" s="225" t="str">
        <f t="shared" si="39"/>
        <v>n/a</v>
      </c>
      <c r="CO24" s="225" t="str">
        <f t="shared" si="39"/>
        <v>n/a</v>
      </c>
      <c r="CP24" s="225" t="str">
        <f t="shared" si="39"/>
        <v>n/a</v>
      </c>
      <c r="CQ24" s="214" t="str">
        <f t="shared" si="39"/>
        <v>n/a</v>
      </c>
      <c r="CR24" s="225" t="str">
        <f t="shared" si="39"/>
        <v>n/a</v>
      </c>
      <c r="CS24" s="225" t="str">
        <f t="shared" si="39"/>
        <v>n/a</v>
      </c>
      <c r="CT24" s="225" t="str">
        <f t="shared" si="39"/>
        <v>n/a</v>
      </c>
      <c r="CU24" s="225" t="str">
        <f t="shared" si="39"/>
        <v>n/a</v>
      </c>
      <c r="CV24" s="225" t="str">
        <f t="shared" si="39"/>
        <v>n/a</v>
      </c>
      <c r="CW24" s="225" t="str">
        <f t="shared" si="39"/>
        <v>n/a</v>
      </c>
      <c r="CX24" s="225" t="str">
        <f t="shared" si="39"/>
        <v>n/a</v>
      </c>
      <c r="CY24" s="225" t="str">
        <f t="shared" si="39"/>
        <v>n/a</v>
      </c>
      <c r="CZ24" s="225" t="str">
        <f t="shared" si="39"/>
        <v>n/a</v>
      </c>
      <c r="DA24" s="225" t="str">
        <f t="shared" si="39"/>
        <v>n/a</v>
      </c>
      <c r="DB24" s="225" t="str">
        <f t="shared" si="39"/>
        <v>n/a</v>
      </c>
      <c r="DC24" s="214" t="str">
        <f t="shared" si="39"/>
        <v>n/a</v>
      </c>
    </row>
    <row r="25" spans="3:107" x14ac:dyDescent="0.3">
      <c r="C25" s="321" t="s">
        <v>65</v>
      </c>
      <c r="G25" s="122" t="s">
        <v>47</v>
      </c>
      <c r="H25" s="122" t="s">
        <v>47</v>
      </c>
      <c r="I25" s="122" t="s">
        <v>47</v>
      </c>
      <c r="J25" s="122" t="s">
        <v>47</v>
      </c>
      <c r="K25" s="214" t="str">
        <f>++IFERROR(K23/G23-1,"n/a")</f>
        <v>n/a</v>
      </c>
      <c r="L25" s="122" t="s">
        <v>47</v>
      </c>
      <c r="M25" s="122" t="s">
        <v>47</v>
      </c>
      <c r="N25" s="225" t="str">
        <f>++IFERROR(N23/H23-1,"n/a")</f>
        <v>n/a</v>
      </c>
      <c r="O25" s="122" t="s">
        <v>47</v>
      </c>
      <c r="P25" s="122" t="s">
        <v>47</v>
      </c>
      <c r="Q25" s="225" t="str">
        <f>++IFERROR(Q23/I23-1,"n/a")</f>
        <v>n/a</v>
      </c>
      <c r="R25" s="122" t="s">
        <v>47</v>
      </c>
      <c r="S25" s="122" t="s">
        <v>47</v>
      </c>
      <c r="T25" s="225" t="str">
        <f>++IFERROR(T23/J23-1,"n/a")</f>
        <v>n/a</v>
      </c>
      <c r="U25" s="122" t="s">
        <v>47</v>
      </c>
      <c r="V25" s="122" t="s">
        <v>47</v>
      </c>
      <c r="W25" s="214" t="str">
        <f t="shared" ref="W25:BB25" si="40">++IFERROR(W23/K23-1,"n/a")</f>
        <v>n/a</v>
      </c>
      <c r="X25" s="225" t="str">
        <f t="shared" si="40"/>
        <v>n/a</v>
      </c>
      <c r="Y25" s="225" t="str">
        <f t="shared" si="40"/>
        <v>n/a</v>
      </c>
      <c r="Z25" s="225" t="str">
        <f t="shared" si="40"/>
        <v>n/a</v>
      </c>
      <c r="AA25" s="225" t="str">
        <f t="shared" si="40"/>
        <v>n/a</v>
      </c>
      <c r="AB25" s="225" t="str">
        <f t="shared" si="40"/>
        <v>n/a</v>
      </c>
      <c r="AC25" s="225" t="str">
        <f t="shared" si="40"/>
        <v>n/a</v>
      </c>
      <c r="AD25" s="225" t="str">
        <f t="shared" si="40"/>
        <v>n/a</v>
      </c>
      <c r="AE25" s="225" t="str">
        <f t="shared" si="40"/>
        <v>n/a</v>
      </c>
      <c r="AF25" s="225" t="str">
        <f t="shared" si="40"/>
        <v>n/a</v>
      </c>
      <c r="AG25" s="225" t="str">
        <f t="shared" si="40"/>
        <v>n/a</v>
      </c>
      <c r="AH25" s="225" t="str">
        <f t="shared" si="40"/>
        <v>n/a</v>
      </c>
      <c r="AI25" s="214" t="str">
        <f t="shared" si="40"/>
        <v>n/a</v>
      </c>
      <c r="AJ25" s="225" t="str">
        <f t="shared" si="40"/>
        <v>n/a</v>
      </c>
      <c r="AK25" s="225" t="str">
        <f t="shared" si="40"/>
        <v>n/a</v>
      </c>
      <c r="AL25" s="225" t="str">
        <f t="shared" si="40"/>
        <v>n/a</v>
      </c>
      <c r="AM25" s="225" t="str">
        <f t="shared" si="40"/>
        <v>n/a</v>
      </c>
      <c r="AN25" s="225" t="str">
        <f t="shared" si="40"/>
        <v>n/a</v>
      </c>
      <c r="AO25" s="225" t="str">
        <f t="shared" si="40"/>
        <v>n/a</v>
      </c>
      <c r="AP25" s="225" t="str">
        <f t="shared" si="40"/>
        <v>n/a</v>
      </c>
      <c r="AQ25" s="225" t="str">
        <f t="shared" si="40"/>
        <v>n/a</v>
      </c>
      <c r="AR25" s="225" t="str">
        <f t="shared" si="40"/>
        <v>n/a</v>
      </c>
      <c r="AS25" s="225" t="str">
        <f t="shared" si="40"/>
        <v>n/a</v>
      </c>
      <c r="AT25" s="225" t="str">
        <f t="shared" si="40"/>
        <v>n/a</v>
      </c>
      <c r="AU25" s="214" t="str">
        <f t="shared" si="40"/>
        <v>n/a</v>
      </c>
      <c r="AV25" s="225" t="str">
        <f t="shared" si="40"/>
        <v>n/a</v>
      </c>
      <c r="AW25" s="225" t="str">
        <f t="shared" si="40"/>
        <v>n/a</v>
      </c>
      <c r="AX25" s="225" t="str">
        <f t="shared" si="40"/>
        <v>n/a</v>
      </c>
      <c r="AY25" s="225" t="str">
        <f t="shared" si="40"/>
        <v>n/a</v>
      </c>
      <c r="AZ25" s="225" t="str">
        <f t="shared" si="40"/>
        <v>n/a</v>
      </c>
      <c r="BA25" s="225" t="str">
        <f t="shared" si="40"/>
        <v>n/a</v>
      </c>
      <c r="BB25" s="225" t="str">
        <f t="shared" si="40"/>
        <v>n/a</v>
      </c>
      <c r="BC25" s="225" t="str">
        <f t="shared" ref="BC25:CH25" si="41">++IFERROR(BC23/AQ23-1,"n/a")</f>
        <v>n/a</v>
      </c>
      <c r="BD25" s="225" t="str">
        <f t="shared" si="41"/>
        <v>n/a</v>
      </c>
      <c r="BE25" s="225" t="str">
        <f t="shared" si="41"/>
        <v>n/a</v>
      </c>
      <c r="BF25" s="225" t="str">
        <f t="shared" si="41"/>
        <v>n/a</v>
      </c>
      <c r="BG25" s="214" t="str">
        <f t="shared" si="41"/>
        <v>n/a</v>
      </c>
      <c r="BH25" s="225" t="str">
        <f t="shared" si="41"/>
        <v>n/a</v>
      </c>
      <c r="BI25" s="225" t="str">
        <f t="shared" si="41"/>
        <v>n/a</v>
      </c>
      <c r="BJ25" s="225" t="str">
        <f t="shared" si="41"/>
        <v>n/a</v>
      </c>
      <c r="BK25" s="225" t="str">
        <f t="shared" si="41"/>
        <v>n/a</v>
      </c>
      <c r="BL25" s="225" t="str">
        <f t="shared" si="41"/>
        <v>n/a</v>
      </c>
      <c r="BM25" s="225" t="str">
        <f t="shared" si="41"/>
        <v>n/a</v>
      </c>
      <c r="BN25" s="225" t="str">
        <f t="shared" si="41"/>
        <v>n/a</v>
      </c>
      <c r="BO25" s="225" t="str">
        <f t="shared" si="41"/>
        <v>n/a</v>
      </c>
      <c r="BP25" s="225" t="str">
        <f t="shared" si="41"/>
        <v>n/a</v>
      </c>
      <c r="BQ25" s="225" t="str">
        <f t="shared" si="41"/>
        <v>n/a</v>
      </c>
      <c r="BR25" s="225" t="str">
        <f t="shared" si="41"/>
        <v>n/a</v>
      </c>
      <c r="BS25" s="214" t="str">
        <f t="shared" si="41"/>
        <v>n/a</v>
      </c>
      <c r="BT25" s="225" t="str">
        <f t="shared" si="41"/>
        <v>n/a</v>
      </c>
      <c r="BU25" s="225" t="str">
        <f t="shared" si="41"/>
        <v>n/a</v>
      </c>
      <c r="BV25" s="225" t="str">
        <f t="shared" si="41"/>
        <v>n/a</v>
      </c>
      <c r="BW25" s="225" t="str">
        <f t="shared" si="41"/>
        <v>n/a</v>
      </c>
      <c r="BX25" s="225" t="str">
        <f t="shared" si="41"/>
        <v>n/a</v>
      </c>
      <c r="BY25" s="225" t="str">
        <f t="shared" si="41"/>
        <v>n/a</v>
      </c>
      <c r="BZ25" s="225" t="str">
        <f t="shared" si="41"/>
        <v>n/a</v>
      </c>
      <c r="CA25" s="225" t="str">
        <f t="shared" si="41"/>
        <v>n/a</v>
      </c>
      <c r="CB25" s="225" t="str">
        <f t="shared" si="41"/>
        <v>n/a</v>
      </c>
      <c r="CC25" s="225" t="str">
        <f t="shared" si="41"/>
        <v>n/a</v>
      </c>
      <c r="CD25" s="225" t="str">
        <f t="shared" si="41"/>
        <v>n/a</v>
      </c>
      <c r="CE25" s="214" t="str">
        <f t="shared" si="41"/>
        <v>n/a</v>
      </c>
      <c r="CF25" s="225" t="str">
        <f t="shared" si="41"/>
        <v>n/a</v>
      </c>
      <c r="CG25" s="225" t="str">
        <f t="shared" si="41"/>
        <v>n/a</v>
      </c>
      <c r="CH25" s="225" t="str">
        <f t="shared" si="41"/>
        <v>n/a</v>
      </c>
      <c r="CI25" s="225" t="str">
        <f t="shared" ref="CI25:DN25" si="42">++IFERROR(CI23/BW23-1,"n/a")</f>
        <v>n/a</v>
      </c>
      <c r="CJ25" s="225" t="str">
        <f t="shared" si="42"/>
        <v>n/a</v>
      </c>
      <c r="CK25" s="225" t="str">
        <f t="shared" si="42"/>
        <v>n/a</v>
      </c>
      <c r="CL25" s="225" t="str">
        <f t="shared" si="42"/>
        <v>n/a</v>
      </c>
      <c r="CM25" s="225" t="str">
        <f t="shared" si="42"/>
        <v>n/a</v>
      </c>
      <c r="CN25" s="225" t="str">
        <f t="shared" si="42"/>
        <v>n/a</v>
      </c>
      <c r="CO25" s="225" t="str">
        <f t="shared" si="42"/>
        <v>n/a</v>
      </c>
      <c r="CP25" s="225" t="str">
        <f t="shared" si="42"/>
        <v>n/a</v>
      </c>
      <c r="CQ25" s="214" t="str">
        <f t="shared" si="42"/>
        <v>n/a</v>
      </c>
      <c r="CR25" s="225" t="str">
        <f t="shared" si="42"/>
        <v>n/a</v>
      </c>
      <c r="CS25" s="225" t="str">
        <f t="shared" si="42"/>
        <v>n/a</v>
      </c>
      <c r="CT25" s="225" t="str">
        <f t="shared" si="42"/>
        <v>n/a</v>
      </c>
      <c r="CU25" s="225" t="str">
        <f t="shared" si="42"/>
        <v>n/a</v>
      </c>
      <c r="CV25" s="225" t="str">
        <f t="shared" si="42"/>
        <v>n/a</v>
      </c>
      <c r="CW25" s="225" t="str">
        <f t="shared" si="42"/>
        <v>n/a</v>
      </c>
      <c r="CX25" s="225" t="str">
        <f t="shared" si="42"/>
        <v>n/a</v>
      </c>
      <c r="CY25" s="225" t="str">
        <f t="shared" si="42"/>
        <v>n/a</v>
      </c>
      <c r="CZ25" s="225" t="str">
        <f t="shared" si="42"/>
        <v>n/a</v>
      </c>
      <c r="DA25" s="225" t="str">
        <f t="shared" si="42"/>
        <v>n/a</v>
      </c>
      <c r="DB25" s="225" t="str">
        <f t="shared" si="42"/>
        <v>n/a</v>
      </c>
      <c r="DC25" s="214" t="str">
        <f t="shared" si="42"/>
        <v>n/a</v>
      </c>
    </row>
    <row r="26" spans="3:107" x14ac:dyDescent="0.3">
      <c r="G26" s="203"/>
      <c r="K26" s="203"/>
      <c r="W26" s="203"/>
      <c r="AI26" s="203"/>
      <c r="AU26" s="203"/>
      <c r="BG26" s="203"/>
      <c r="BS26" s="203"/>
      <c r="CE26" s="203"/>
      <c r="CQ26" s="203"/>
      <c r="DC26" s="203"/>
    </row>
    <row r="27" spans="3:107" x14ac:dyDescent="0.3">
      <c r="C27" s="101" t="s">
        <v>69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  <c r="AR27" s="45">
        <v>0</v>
      </c>
      <c r="AS27" s="45">
        <v>0</v>
      </c>
      <c r="AT27" s="45">
        <v>0</v>
      </c>
      <c r="AU27" s="45">
        <v>0</v>
      </c>
      <c r="AV27" s="45">
        <v>0</v>
      </c>
      <c r="AW27" s="45">
        <v>0</v>
      </c>
      <c r="AX27" s="45">
        <v>0</v>
      </c>
      <c r="AY27" s="45">
        <v>0</v>
      </c>
      <c r="AZ27" s="45">
        <v>0</v>
      </c>
      <c r="BA27" s="45">
        <v>0</v>
      </c>
      <c r="BB27" s="45">
        <v>0</v>
      </c>
      <c r="BC27" s="45">
        <v>0</v>
      </c>
      <c r="BD27" s="45">
        <v>0</v>
      </c>
      <c r="BE27" s="45">
        <v>0</v>
      </c>
      <c r="BF27" s="45">
        <v>0</v>
      </c>
      <c r="BG27" s="45">
        <v>0</v>
      </c>
      <c r="BH27" s="45">
        <v>0</v>
      </c>
      <c r="BI27" s="45">
        <v>0</v>
      </c>
      <c r="BJ27" s="45">
        <v>0</v>
      </c>
      <c r="BK27" s="45">
        <v>0</v>
      </c>
      <c r="BL27" s="45">
        <v>0</v>
      </c>
      <c r="BM27" s="45">
        <v>0</v>
      </c>
      <c r="BN27" s="45">
        <v>0</v>
      </c>
      <c r="BO27" s="45">
        <v>0</v>
      </c>
      <c r="BP27" s="45">
        <v>0</v>
      </c>
      <c r="BQ27" s="45">
        <v>0</v>
      </c>
      <c r="BR27" s="45">
        <v>0</v>
      </c>
      <c r="BS27" s="45">
        <v>0</v>
      </c>
      <c r="BT27" s="45">
        <v>0</v>
      </c>
      <c r="BU27" s="45">
        <v>0</v>
      </c>
      <c r="BV27" s="45">
        <v>0</v>
      </c>
      <c r="BW27" s="45">
        <v>0</v>
      </c>
      <c r="BX27" s="45">
        <v>0</v>
      </c>
      <c r="BY27" s="45">
        <v>0</v>
      </c>
      <c r="BZ27" s="45">
        <v>0</v>
      </c>
      <c r="CA27" s="45">
        <v>0</v>
      </c>
      <c r="CB27" s="45">
        <v>0</v>
      </c>
      <c r="CC27" s="45">
        <v>0</v>
      </c>
      <c r="CD27" s="45">
        <v>0</v>
      </c>
      <c r="CE27" s="45">
        <v>0</v>
      </c>
      <c r="CF27" s="45">
        <v>0</v>
      </c>
      <c r="CG27" s="45">
        <v>0</v>
      </c>
      <c r="CH27" s="45">
        <v>0</v>
      </c>
      <c r="CI27" s="45">
        <v>0</v>
      </c>
      <c r="CJ27" s="45">
        <v>0</v>
      </c>
      <c r="CK27" s="45">
        <v>0</v>
      </c>
      <c r="CL27" s="45">
        <v>0</v>
      </c>
      <c r="CM27" s="45">
        <v>0</v>
      </c>
      <c r="CN27" s="45">
        <v>0</v>
      </c>
      <c r="CO27" s="45">
        <v>0</v>
      </c>
      <c r="CP27" s="45">
        <v>0</v>
      </c>
      <c r="CQ27" s="45">
        <v>0</v>
      </c>
      <c r="CR27" s="45">
        <v>0</v>
      </c>
      <c r="CS27" s="45">
        <v>0</v>
      </c>
      <c r="CT27" s="45">
        <v>0</v>
      </c>
      <c r="CU27" s="45">
        <v>0</v>
      </c>
      <c r="CV27" s="45">
        <v>0</v>
      </c>
      <c r="CW27" s="45">
        <v>0</v>
      </c>
      <c r="CX27" s="45">
        <v>0</v>
      </c>
      <c r="CY27" s="45">
        <v>0</v>
      </c>
      <c r="CZ27" s="45">
        <v>0</v>
      </c>
      <c r="DA27" s="45">
        <v>0</v>
      </c>
      <c r="DB27" s="45">
        <v>0</v>
      </c>
      <c r="DC27" s="45">
        <v>0</v>
      </c>
    </row>
    <row r="28" spans="3:107" x14ac:dyDescent="0.3">
      <c r="C28" s="101" t="s">
        <v>523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  <c r="AR28" s="45">
        <v>0</v>
      </c>
      <c r="AS28" s="45">
        <v>0</v>
      </c>
      <c r="AT28" s="45">
        <v>0</v>
      </c>
      <c r="AU28" s="45">
        <v>0</v>
      </c>
      <c r="AV28" s="45">
        <v>0</v>
      </c>
      <c r="AW28" s="45">
        <v>0</v>
      </c>
      <c r="AX28" s="45">
        <v>0</v>
      </c>
      <c r="AY28" s="45">
        <v>0</v>
      </c>
      <c r="AZ28" s="45">
        <v>0</v>
      </c>
      <c r="BA28" s="45">
        <v>0</v>
      </c>
      <c r="BB28" s="45">
        <v>0</v>
      </c>
      <c r="BC28" s="45">
        <v>0</v>
      </c>
      <c r="BD28" s="45">
        <v>0</v>
      </c>
      <c r="BE28" s="45">
        <v>0</v>
      </c>
      <c r="BF28" s="45">
        <v>0</v>
      </c>
      <c r="BG28" s="45">
        <v>0</v>
      </c>
      <c r="BH28" s="45">
        <v>0</v>
      </c>
      <c r="BI28" s="45">
        <v>0</v>
      </c>
      <c r="BJ28" s="45">
        <v>0</v>
      </c>
      <c r="BK28" s="45">
        <v>0</v>
      </c>
      <c r="BL28" s="45">
        <v>0</v>
      </c>
      <c r="BM28" s="45">
        <v>0</v>
      </c>
      <c r="BN28" s="45">
        <v>0</v>
      </c>
      <c r="BO28" s="45">
        <v>0</v>
      </c>
      <c r="BP28" s="45">
        <v>0</v>
      </c>
      <c r="BQ28" s="45">
        <v>0</v>
      </c>
      <c r="BR28" s="45">
        <v>0</v>
      </c>
      <c r="BS28" s="45">
        <v>0</v>
      </c>
      <c r="BT28" s="45">
        <v>0</v>
      </c>
      <c r="BU28" s="45">
        <v>0</v>
      </c>
      <c r="BV28" s="45">
        <v>0</v>
      </c>
      <c r="BW28" s="45">
        <v>0</v>
      </c>
      <c r="BX28" s="45">
        <v>0</v>
      </c>
      <c r="BY28" s="45">
        <v>0</v>
      </c>
      <c r="BZ28" s="45">
        <v>0</v>
      </c>
      <c r="CA28" s="45">
        <v>0</v>
      </c>
      <c r="CB28" s="45">
        <v>0</v>
      </c>
      <c r="CC28" s="45">
        <v>0</v>
      </c>
      <c r="CD28" s="45">
        <v>0</v>
      </c>
      <c r="CE28" s="45">
        <v>0</v>
      </c>
      <c r="CF28" s="45">
        <v>0</v>
      </c>
      <c r="CG28" s="45">
        <v>0</v>
      </c>
      <c r="CH28" s="45">
        <v>0</v>
      </c>
      <c r="CI28" s="45">
        <v>0</v>
      </c>
      <c r="CJ28" s="45">
        <v>0</v>
      </c>
      <c r="CK28" s="45">
        <v>0</v>
      </c>
      <c r="CL28" s="45">
        <v>0</v>
      </c>
      <c r="CM28" s="45">
        <v>0</v>
      </c>
      <c r="CN28" s="45">
        <v>0</v>
      </c>
      <c r="CO28" s="45">
        <v>0</v>
      </c>
      <c r="CP28" s="45">
        <v>0</v>
      </c>
      <c r="CQ28" s="45">
        <v>0</v>
      </c>
      <c r="CR28" s="45">
        <v>0</v>
      </c>
      <c r="CS28" s="45">
        <v>0</v>
      </c>
      <c r="CT28" s="45">
        <v>0</v>
      </c>
      <c r="CU28" s="45">
        <v>0</v>
      </c>
      <c r="CV28" s="45">
        <v>0</v>
      </c>
      <c r="CW28" s="45">
        <v>0</v>
      </c>
      <c r="CX28" s="45">
        <v>0</v>
      </c>
      <c r="CY28" s="45">
        <v>0</v>
      </c>
      <c r="CZ28" s="45">
        <v>0</v>
      </c>
      <c r="DA28" s="45">
        <v>0</v>
      </c>
      <c r="DB28" s="45">
        <v>0</v>
      </c>
      <c r="DC28" s="45">
        <v>0</v>
      </c>
    </row>
    <row r="29" spans="3:107" x14ac:dyDescent="0.3">
      <c r="C29" s="231" t="s">
        <v>373</v>
      </c>
      <c r="D29" s="191"/>
      <c r="E29" s="191"/>
      <c r="G29" s="239">
        <f>++SUM(G33,G36)</f>
        <v>0</v>
      </c>
      <c r="H29" s="232">
        <f t="shared" ref="H29:BS29" si="43">++SUM(H33,H36)</f>
        <v>0</v>
      </c>
      <c r="I29" s="232">
        <f t="shared" si="43"/>
        <v>0</v>
      </c>
      <c r="J29" s="232">
        <f t="shared" si="43"/>
        <v>0</v>
      </c>
      <c r="K29" s="239">
        <f t="shared" si="43"/>
        <v>0</v>
      </c>
      <c r="L29" s="232">
        <f t="shared" si="43"/>
        <v>0</v>
      </c>
      <c r="M29" s="232">
        <f t="shared" si="43"/>
        <v>0</v>
      </c>
      <c r="N29" s="232">
        <f t="shared" si="43"/>
        <v>0</v>
      </c>
      <c r="O29" s="232">
        <f t="shared" si="43"/>
        <v>0</v>
      </c>
      <c r="P29" s="232">
        <f t="shared" si="43"/>
        <v>0</v>
      </c>
      <c r="Q29" s="232">
        <f t="shared" si="43"/>
        <v>0</v>
      </c>
      <c r="R29" s="232">
        <f t="shared" si="43"/>
        <v>0</v>
      </c>
      <c r="S29" s="232">
        <f t="shared" si="43"/>
        <v>0</v>
      </c>
      <c r="T29" s="232">
        <f t="shared" si="43"/>
        <v>0</v>
      </c>
      <c r="U29" s="232">
        <f t="shared" si="43"/>
        <v>0</v>
      </c>
      <c r="V29" s="232">
        <f t="shared" si="43"/>
        <v>0</v>
      </c>
      <c r="W29" s="239">
        <f t="shared" si="43"/>
        <v>0</v>
      </c>
      <c r="X29" s="232">
        <f t="shared" si="43"/>
        <v>0</v>
      </c>
      <c r="Y29" s="232">
        <f t="shared" si="43"/>
        <v>0</v>
      </c>
      <c r="Z29" s="232">
        <f t="shared" si="43"/>
        <v>0</v>
      </c>
      <c r="AA29" s="232">
        <f t="shared" si="43"/>
        <v>0</v>
      </c>
      <c r="AB29" s="232">
        <f t="shared" si="43"/>
        <v>0</v>
      </c>
      <c r="AC29" s="232">
        <f t="shared" si="43"/>
        <v>0</v>
      </c>
      <c r="AD29" s="232">
        <f t="shared" si="43"/>
        <v>0</v>
      </c>
      <c r="AE29" s="232">
        <f t="shared" si="43"/>
        <v>0</v>
      </c>
      <c r="AF29" s="232">
        <f t="shared" si="43"/>
        <v>0</v>
      </c>
      <c r="AG29" s="232">
        <f t="shared" si="43"/>
        <v>0</v>
      </c>
      <c r="AH29" s="232">
        <f t="shared" si="43"/>
        <v>0</v>
      </c>
      <c r="AI29" s="239">
        <f t="shared" si="43"/>
        <v>0</v>
      </c>
      <c r="AJ29" s="232">
        <f t="shared" si="43"/>
        <v>0</v>
      </c>
      <c r="AK29" s="232">
        <f t="shared" si="43"/>
        <v>0</v>
      </c>
      <c r="AL29" s="232">
        <f t="shared" si="43"/>
        <v>0</v>
      </c>
      <c r="AM29" s="232">
        <f t="shared" si="43"/>
        <v>0</v>
      </c>
      <c r="AN29" s="232">
        <f t="shared" si="43"/>
        <v>0</v>
      </c>
      <c r="AO29" s="232">
        <f t="shared" si="43"/>
        <v>0</v>
      </c>
      <c r="AP29" s="232">
        <f t="shared" si="43"/>
        <v>0</v>
      </c>
      <c r="AQ29" s="232">
        <f t="shared" si="43"/>
        <v>0</v>
      </c>
      <c r="AR29" s="232">
        <f t="shared" si="43"/>
        <v>0</v>
      </c>
      <c r="AS29" s="232">
        <f t="shared" si="43"/>
        <v>0</v>
      </c>
      <c r="AT29" s="232">
        <f t="shared" si="43"/>
        <v>0</v>
      </c>
      <c r="AU29" s="239">
        <f t="shared" si="43"/>
        <v>0</v>
      </c>
      <c r="AV29" s="232">
        <f t="shared" si="43"/>
        <v>0</v>
      </c>
      <c r="AW29" s="232">
        <f t="shared" si="43"/>
        <v>0</v>
      </c>
      <c r="AX29" s="232">
        <f t="shared" si="43"/>
        <v>0</v>
      </c>
      <c r="AY29" s="232">
        <f t="shared" si="43"/>
        <v>0</v>
      </c>
      <c r="AZ29" s="232">
        <f t="shared" si="43"/>
        <v>0</v>
      </c>
      <c r="BA29" s="232">
        <f t="shared" si="43"/>
        <v>0</v>
      </c>
      <c r="BB29" s="232">
        <f t="shared" si="43"/>
        <v>0</v>
      </c>
      <c r="BC29" s="232">
        <f t="shared" si="43"/>
        <v>0</v>
      </c>
      <c r="BD29" s="232">
        <f t="shared" si="43"/>
        <v>0</v>
      </c>
      <c r="BE29" s="232">
        <f t="shared" si="43"/>
        <v>0</v>
      </c>
      <c r="BF29" s="232">
        <f t="shared" si="43"/>
        <v>0</v>
      </c>
      <c r="BG29" s="239">
        <f t="shared" si="43"/>
        <v>0</v>
      </c>
      <c r="BH29" s="232">
        <f t="shared" si="43"/>
        <v>0</v>
      </c>
      <c r="BI29" s="232">
        <f t="shared" si="43"/>
        <v>0</v>
      </c>
      <c r="BJ29" s="232">
        <f t="shared" si="43"/>
        <v>0</v>
      </c>
      <c r="BK29" s="232">
        <f t="shared" si="43"/>
        <v>0</v>
      </c>
      <c r="BL29" s="232">
        <f t="shared" si="43"/>
        <v>0</v>
      </c>
      <c r="BM29" s="232">
        <f t="shared" si="43"/>
        <v>0</v>
      </c>
      <c r="BN29" s="232">
        <f t="shared" si="43"/>
        <v>0</v>
      </c>
      <c r="BO29" s="232">
        <f t="shared" si="43"/>
        <v>0</v>
      </c>
      <c r="BP29" s="232">
        <f t="shared" si="43"/>
        <v>0</v>
      </c>
      <c r="BQ29" s="232">
        <f t="shared" si="43"/>
        <v>0</v>
      </c>
      <c r="BR29" s="232">
        <f t="shared" si="43"/>
        <v>0</v>
      </c>
      <c r="BS29" s="239">
        <f t="shared" si="43"/>
        <v>0</v>
      </c>
      <c r="BT29" s="232">
        <f t="shared" ref="BT29:DC29" si="44">++SUM(BT33,BT36)</f>
        <v>0</v>
      </c>
      <c r="BU29" s="232">
        <f t="shared" si="44"/>
        <v>0</v>
      </c>
      <c r="BV29" s="232">
        <f t="shared" si="44"/>
        <v>0</v>
      </c>
      <c r="BW29" s="232">
        <f t="shared" si="44"/>
        <v>0</v>
      </c>
      <c r="BX29" s="232">
        <f t="shared" si="44"/>
        <v>0</v>
      </c>
      <c r="BY29" s="232">
        <f t="shared" si="44"/>
        <v>0</v>
      </c>
      <c r="BZ29" s="232">
        <f t="shared" si="44"/>
        <v>0</v>
      </c>
      <c r="CA29" s="232">
        <f t="shared" si="44"/>
        <v>0</v>
      </c>
      <c r="CB29" s="232">
        <f t="shared" si="44"/>
        <v>0</v>
      </c>
      <c r="CC29" s="232">
        <f t="shared" si="44"/>
        <v>0</v>
      </c>
      <c r="CD29" s="232">
        <f t="shared" si="44"/>
        <v>0</v>
      </c>
      <c r="CE29" s="239">
        <f t="shared" si="44"/>
        <v>0</v>
      </c>
      <c r="CF29" s="232">
        <f t="shared" si="44"/>
        <v>0</v>
      </c>
      <c r="CG29" s="232">
        <f t="shared" si="44"/>
        <v>0</v>
      </c>
      <c r="CH29" s="232">
        <f t="shared" si="44"/>
        <v>0</v>
      </c>
      <c r="CI29" s="232">
        <f t="shared" si="44"/>
        <v>0</v>
      </c>
      <c r="CJ29" s="232">
        <f t="shared" si="44"/>
        <v>0</v>
      </c>
      <c r="CK29" s="232">
        <f t="shared" si="44"/>
        <v>0</v>
      </c>
      <c r="CL29" s="232">
        <f t="shared" si="44"/>
        <v>0</v>
      </c>
      <c r="CM29" s="232">
        <f t="shared" si="44"/>
        <v>0</v>
      </c>
      <c r="CN29" s="232">
        <f t="shared" si="44"/>
        <v>0</v>
      </c>
      <c r="CO29" s="232">
        <f t="shared" si="44"/>
        <v>0</v>
      </c>
      <c r="CP29" s="232">
        <f t="shared" si="44"/>
        <v>0</v>
      </c>
      <c r="CQ29" s="239">
        <f t="shared" si="44"/>
        <v>0</v>
      </c>
      <c r="CR29" s="232">
        <f t="shared" si="44"/>
        <v>0</v>
      </c>
      <c r="CS29" s="232">
        <f t="shared" si="44"/>
        <v>0</v>
      </c>
      <c r="CT29" s="232">
        <f t="shared" si="44"/>
        <v>0</v>
      </c>
      <c r="CU29" s="232">
        <f t="shared" si="44"/>
        <v>0</v>
      </c>
      <c r="CV29" s="232">
        <f t="shared" si="44"/>
        <v>0</v>
      </c>
      <c r="CW29" s="232">
        <f t="shared" si="44"/>
        <v>0</v>
      </c>
      <c r="CX29" s="232">
        <f t="shared" si="44"/>
        <v>0</v>
      </c>
      <c r="CY29" s="232">
        <f t="shared" si="44"/>
        <v>0</v>
      </c>
      <c r="CZ29" s="232">
        <f t="shared" si="44"/>
        <v>0</v>
      </c>
      <c r="DA29" s="232">
        <f t="shared" si="44"/>
        <v>0</v>
      </c>
      <c r="DB29" s="232">
        <f t="shared" si="44"/>
        <v>0</v>
      </c>
      <c r="DC29" s="239">
        <f t="shared" si="44"/>
        <v>0</v>
      </c>
    </row>
    <row r="30" spans="3:107" x14ac:dyDescent="0.3">
      <c r="C30" s="321" t="s">
        <v>67</v>
      </c>
      <c r="G30" s="214" t="str">
        <f>++IFERROR(G29/G10,"n/a")</f>
        <v>n/a</v>
      </c>
      <c r="H30" s="225" t="str">
        <f t="shared" ref="H30:BS30" si="45">++IFERROR(H29/H10,"n/a")</f>
        <v>n/a</v>
      </c>
      <c r="I30" s="225" t="str">
        <f t="shared" si="45"/>
        <v>n/a</v>
      </c>
      <c r="J30" s="225" t="str">
        <f t="shared" si="45"/>
        <v>n/a</v>
      </c>
      <c r="K30" s="214" t="str">
        <f t="shared" si="45"/>
        <v>n/a</v>
      </c>
      <c r="L30" s="225" t="str">
        <f t="shared" si="45"/>
        <v>n/a</v>
      </c>
      <c r="M30" s="225" t="str">
        <f t="shared" si="45"/>
        <v>n/a</v>
      </c>
      <c r="N30" s="225" t="str">
        <f t="shared" si="45"/>
        <v>n/a</v>
      </c>
      <c r="O30" s="225" t="str">
        <f t="shared" si="45"/>
        <v>n/a</v>
      </c>
      <c r="P30" s="225" t="str">
        <f t="shared" si="45"/>
        <v>n/a</v>
      </c>
      <c r="Q30" s="225" t="str">
        <f t="shared" si="45"/>
        <v>n/a</v>
      </c>
      <c r="R30" s="225" t="str">
        <f t="shared" si="45"/>
        <v>n/a</v>
      </c>
      <c r="S30" s="225" t="str">
        <f t="shared" si="45"/>
        <v>n/a</v>
      </c>
      <c r="T30" s="225" t="str">
        <f t="shared" si="45"/>
        <v>n/a</v>
      </c>
      <c r="U30" s="225" t="str">
        <f t="shared" si="45"/>
        <v>n/a</v>
      </c>
      <c r="V30" s="225" t="str">
        <f t="shared" si="45"/>
        <v>n/a</v>
      </c>
      <c r="W30" s="214" t="str">
        <f t="shared" si="45"/>
        <v>n/a</v>
      </c>
      <c r="X30" s="225" t="str">
        <f t="shared" si="45"/>
        <v>n/a</v>
      </c>
      <c r="Y30" s="225" t="str">
        <f t="shared" si="45"/>
        <v>n/a</v>
      </c>
      <c r="Z30" s="225" t="str">
        <f t="shared" si="45"/>
        <v>n/a</v>
      </c>
      <c r="AA30" s="225" t="str">
        <f t="shared" si="45"/>
        <v>n/a</v>
      </c>
      <c r="AB30" s="225" t="str">
        <f t="shared" si="45"/>
        <v>n/a</v>
      </c>
      <c r="AC30" s="225" t="str">
        <f t="shared" si="45"/>
        <v>n/a</v>
      </c>
      <c r="AD30" s="225" t="str">
        <f t="shared" si="45"/>
        <v>n/a</v>
      </c>
      <c r="AE30" s="225" t="str">
        <f t="shared" si="45"/>
        <v>n/a</v>
      </c>
      <c r="AF30" s="225" t="str">
        <f t="shared" si="45"/>
        <v>n/a</v>
      </c>
      <c r="AG30" s="225" t="str">
        <f t="shared" si="45"/>
        <v>n/a</v>
      </c>
      <c r="AH30" s="225" t="str">
        <f t="shared" si="45"/>
        <v>n/a</v>
      </c>
      <c r="AI30" s="214" t="str">
        <f t="shared" si="45"/>
        <v>n/a</v>
      </c>
      <c r="AJ30" s="225" t="str">
        <f t="shared" si="45"/>
        <v>n/a</v>
      </c>
      <c r="AK30" s="225" t="str">
        <f t="shared" si="45"/>
        <v>n/a</v>
      </c>
      <c r="AL30" s="225" t="str">
        <f t="shared" si="45"/>
        <v>n/a</v>
      </c>
      <c r="AM30" s="225" t="str">
        <f t="shared" si="45"/>
        <v>n/a</v>
      </c>
      <c r="AN30" s="225" t="str">
        <f t="shared" si="45"/>
        <v>n/a</v>
      </c>
      <c r="AO30" s="225" t="str">
        <f t="shared" si="45"/>
        <v>n/a</v>
      </c>
      <c r="AP30" s="225" t="str">
        <f t="shared" si="45"/>
        <v>n/a</v>
      </c>
      <c r="AQ30" s="225" t="str">
        <f t="shared" si="45"/>
        <v>n/a</v>
      </c>
      <c r="AR30" s="225" t="str">
        <f t="shared" si="45"/>
        <v>n/a</v>
      </c>
      <c r="AS30" s="225" t="str">
        <f t="shared" si="45"/>
        <v>n/a</v>
      </c>
      <c r="AT30" s="225" t="str">
        <f t="shared" si="45"/>
        <v>n/a</v>
      </c>
      <c r="AU30" s="214" t="str">
        <f t="shared" si="45"/>
        <v>n/a</v>
      </c>
      <c r="AV30" s="225" t="str">
        <f t="shared" si="45"/>
        <v>n/a</v>
      </c>
      <c r="AW30" s="225" t="str">
        <f t="shared" si="45"/>
        <v>n/a</v>
      </c>
      <c r="AX30" s="225" t="str">
        <f t="shared" si="45"/>
        <v>n/a</v>
      </c>
      <c r="AY30" s="225" t="str">
        <f t="shared" si="45"/>
        <v>n/a</v>
      </c>
      <c r="AZ30" s="225" t="str">
        <f t="shared" si="45"/>
        <v>n/a</v>
      </c>
      <c r="BA30" s="225" t="str">
        <f t="shared" si="45"/>
        <v>n/a</v>
      </c>
      <c r="BB30" s="225" t="str">
        <f t="shared" si="45"/>
        <v>n/a</v>
      </c>
      <c r="BC30" s="225" t="str">
        <f t="shared" si="45"/>
        <v>n/a</v>
      </c>
      <c r="BD30" s="225" t="str">
        <f t="shared" si="45"/>
        <v>n/a</v>
      </c>
      <c r="BE30" s="225" t="str">
        <f t="shared" si="45"/>
        <v>n/a</v>
      </c>
      <c r="BF30" s="225" t="str">
        <f t="shared" si="45"/>
        <v>n/a</v>
      </c>
      <c r="BG30" s="214" t="str">
        <f t="shared" si="45"/>
        <v>n/a</v>
      </c>
      <c r="BH30" s="225" t="str">
        <f t="shared" si="45"/>
        <v>n/a</v>
      </c>
      <c r="BI30" s="225" t="str">
        <f t="shared" si="45"/>
        <v>n/a</v>
      </c>
      <c r="BJ30" s="225" t="str">
        <f t="shared" si="45"/>
        <v>n/a</v>
      </c>
      <c r="BK30" s="225" t="str">
        <f t="shared" si="45"/>
        <v>n/a</v>
      </c>
      <c r="BL30" s="225" t="str">
        <f t="shared" si="45"/>
        <v>n/a</v>
      </c>
      <c r="BM30" s="225" t="str">
        <f t="shared" si="45"/>
        <v>n/a</v>
      </c>
      <c r="BN30" s="225" t="str">
        <f t="shared" si="45"/>
        <v>n/a</v>
      </c>
      <c r="BO30" s="225" t="str">
        <f t="shared" si="45"/>
        <v>n/a</v>
      </c>
      <c r="BP30" s="225" t="str">
        <f t="shared" si="45"/>
        <v>n/a</v>
      </c>
      <c r="BQ30" s="225" t="str">
        <f t="shared" si="45"/>
        <v>n/a</v>
      </c>
      <c r="BR30" s="225" t="str">
        <f t="shared" si="45"/>
        <v>n/a</v>
      </c>
      <c r="BS30" s="214" t="str">
        <f t="shared" si="45"/>
        <v>n/a</v>
      </c>
      <c r="BT30" s="225" t="str">
        <f t="shared" ref="BT30:DC30" si="46">++IFERROR(BT29/BT10,"n/a")</f>
        <v>n/a</v>
      </c>
      <c r="BU30" s="225" t="str">
        <f t="shared" si="46"/>
        <v>n/a</v>
      </c>
      <c r="BV30" s="225" t="str">
        <f t="shared" si="46"/>
        <v>n/a</v>
      </c>
      <c r="BW30" s="225" t="str">
        <f t="shared" si="46"/>
        <v>n/a</v>
      </c>
      <c r="BX30" s="225" t="str">
        <f t="shared" si="46"/>
        <v>n/a</v>
      </c>
      <c r="BY30" s="225" t="str">
        <f t="shared" si="46"/>
        <v>n/a</v>
      </c>
      <c r="BZ30" s="225" t="str">
        <f t="shared" si="46"/>
        <v>n/a</v>
      </c>
      <c r="CA30" s="225" t="str">
        <f t="shared" si="46"/>
        <v>n/a</v>
      </c>
      <c r="CB30" s="225" t="str">
        <f t="shared" si="46"/>
        <v>n/a</v>
      </c>
      <c r="CC30" s="225" t="str">
        <f t="shared" si="46"/>
        <v>n/a</v>
      </c>
      <c r="CD30" s="225" t="str">
        <f t="shared" si="46"/>
        <v>n/a</v>
      </c>
      <c r="CE30" s="214" t="str">
        <f t="shared" si="46"/>
        <v>n/a</v>
      </c>
      <c r="CF30" s="225" t="str">
        <f t="shared" si="46"/>
        <v>n/a</v>
      </c>
      <c r="CG30" s="225" t="str">
        <f t="shared" si="46"/>
        <v>n/a</v>
      </c>
      <c r="CH30" s="225" t="str">
        <f t="shared" si="46"/>
        <v>n/a</v>
      </c>
      <c r="CI30" s="225" t="str">
        <f t="shared" si="46"/>
        <v>n/a</v>
      </c>
      <c r="CJ30" s="225" t="str">
        <f t="shared" si="46"/>
        <v>n/a</v>
      </c>
      <c r="CK30" s="225" t="str">
        <f t="shared" si="46"/>
        <v>n/a</v>
      </c>
      <c r="CL30" s="225" t="str">
        <f t="shared" si="46"/>
        <v>n/a</v>
      </c>
      <c r="CM30" s="225" t="str">
        <f t="shared" si="46"/>
        <v>n/a</v>
      </c>
      <c r="CN30" s="225" t="str">
        <f t="shared" si="46"/>
        <v>n/a</v>
      </c>
      <c r="CO30" s="225" t="str">
        <f t="shared" si="46"/>
        <v>n/a</v>
      </c>
      <c r="CP30" s="225" t="str">
        <f t="shared" si="46"/>
        <v>n/a</v>
      </c>
      <c r="CQ30" s="214" t="str">
        <f t="shared" si="46"/>
        <v>n/a</v>
      </c>
      <c r="CR30" s="225" t="str">
        <f t="shared" si="46"/>
        <v>n/a</v>
      </c>
      <c r="CS30" s="225" t="str">
        <f t="shared" si="46"/>
        <v>n/a</v>
      </c>
      <c r="CT30" s="225" t="str">
        <f t="shared" si="46"/>
        <v>n/a</v>
      </c>
      <c r="CU30" s="225" t="str">
        <f t="shared" si="46"/>
        <v>n/a</v>
      </c>
      <c r="CV30" s="225" t="str">
        <f t="shared" si="46"/>
        <v>n/a</v>
      </c>
      <c r="CW30" s="225" t="str">
        <f t="shared" si="46"/>
        <v>n/a</v>
      </c>
      <c r="CX30" s="225" t="str">
        <f t="shared" si="46"/>
        <v>n/a</v>
      </c>
      <c r="CY30" s="225" t="str">
        <f t="shared" si="46"/>
        <v>n/a</v>
      </c>
      <c r="CZ30" s="225" t="str">
        <f t="shared" si="46"/>
        <v>n/a</v>
      </c>
      <c r="DA30" s="225" t="str">
        <f t="shared" si="46"/>
        <v>n/a</v>
      </c>
      <c r="DB30" s="225" t="str">
        <f t="shared" si="46"/>
        <v>n/a</v>
      </c>
      <c r="DC30" s="214" t="str">
        <f t="shared" si="46"/>
        <v>n/a</v>
      </c>
    </row>
    <row r="31" spans="3:107" x14ac:dyDescent="0.3">
      <c r="C31" s="321" t="s">
        <v>65</v>
      </c>
      <c r="G31" s="122" t="s">
        <v>47</v>
      </c>
      <c r="H31" s="122" t="s">
        <v>47</v>
      </c>
      <c r="I31" s="122" t="s">
        <v>47</v>
      </c>
      <c r="J31" s="122" t="s">
        <v>47</v>
      </c>
      <c r="K31" s="214" t="str">
        <f>++IFERROR(K29/G29-1,"n/a")</f>
        <v>n/a</v>
      </c>
      <c r="L31" s="122" t="s">
        <v>47</v>
      </c>
      <c r="M31" s="122" t="s">
        <v>47</v>
      </c>
      <c r="N31" s="225" t="str">
        <f>++IFERROR(N29/H29-1,"n/a")</f>
        <v>n/a</v>
      </c>
      <c r="O31" s="122" t="s">
        <v>47</v>
      </c>
      <c r="P31" s="122" t="s">
        <v>47</v>
      </c>
      <c r="Q31" s="225" t="str">
        <f>++IFERROR(Q29/I29-1,"n/a")</f>
        <v>n/a</v>
      </c>
      <c r="R31" s="122" t="s">
        <v>47</v>
      </c>
      <c r="S31" s="122" t="s">
        <v>47</v>
      </c>
      <c r="T31" s="225" t="str">
        <f>++IFERROR(T29/J29-1,"n/a")</f>
        <v>n/a</v>
      </c>
      <c r="U31" s="122" t="s">
        <v>47</v>
      </c>
      <c r="V31" s="122" t="s">
        <v>47</v>
      </c>
      <c r="W31" s="214" t="str">
        <f t="shared" ref="W31:BB31" si="47">++IFERROR(W29/K29-1,"n/a")</f>
        <v>n/a</v>
      </c>
      <c r="X31" s="225" t="str">
        <f t="shared" si="47"/>
        <v>n/a</v>
      </c>
      <c r="Y31" s="225" t="str">
        <f t="shared" si="47"/>
        <v>n/a</v>
      </c>
      <c r="Z31" s="225" t="str">
        <f t="shared" si="47"/>
        <v>n/a</v>
      </c>
      <c r="AA31" s="225" t="str">
        <f t="shared" si="47"/>
        <v>n/a</v>
      </c>
      <c r="AB31" s="225" t="str">
        <f t="shared" si="47"/>
        <v>n/a</v>
      </c>
      <c r="AC31" s="225" t="str">
        <f t="shared" si="47"/>
        <v>n/a</v>
      </c>
      <c r="AD31" s="225" t="str">
        <f t="shared" si="47"/>
        <v>n/a</v>
      </c>
      <c r="AE31" s="225" t="str">
        <f t="shared" si="47"/>
        <v>n/a</v>
      </c>
      <c r="AF31" s="225" t="str">
        <f t="shared" si="47"/>
        <v>n/a</v>
      </c>
      <c r="AG31" s="225" t="str">
        <f t="shared" si="47"/>
        <v>n/a</v>
      </c>
      <c r="AH31" s="225" t="str">
        <f t="shared" si="47"/>
        <v>n/a</v>
      </c>
      <c r="AI31" s="214" t="str">
        <f t="shared" si="47"/>
        <v>n/a</v>
      </c>
      <c r="AJ31" s="225" t="str">
        <f t="shared" si="47"/>
        <v>n/a</v>
      </c>
      <c r="AK31" s="225" t="str">
        <f t="shared" si="47"/>
        <v>n/a</v>
      </c>
      <c r="AL31" s="225" t="str">
        <f t="shared" si="47"/>
        <v>n/a</v>
      </c>
      <c r="AM31" s="225" t="str">
        <f t="shared" si="47"/>
        <v>n/a</v>
      </c>
      <c r="AN31" s="225" t="str">
        <f t="shared" si="47"/>
        <v>n/a</v>
      </c>
      <c r="AO31" s="225" t="str">
        <f t="shared" si="47"/>
        <v>n/a</v>
      </c>
      <c r="AP31" s="225" t="str">
        <f t="shared" si="47"/>
        <v>n/a</v>
      </c>
      <c r="AQ31" s="225" t="str">
        <f t="shared" si="47"/>
        <v>n/a</v>
      </c>
      <c r="AR31" s="225" t="str">
        <f t="shared" si="47"/>
        <v>n/a</v>
      </c>
      <c r="AS31" s="225" t="str">
        <f t="shared" si="47"/>
        <v>n/a</v>
      </c>
      <c r="AT31" s="225" t="str">
        <f t="shared" si="47"/>
        <v>n/a</v>
      </c>
      <c r="AU31" s="214" t="str">
        <f t="shared" si="47"/>
        <v>n/a</v>
      </c>
      <c r="AV31" s="225" t="str">
        <f t="shared" si="47"/>
        <v>n/a</v>
      </c>
      <c r="AW31" s="225" t="str">
        <f t="shared" si="47"/>
        <v>n/a</v>
      </c>
      <c r="AX31" s="225" t="str">
        <f t="shared" si="47"/>
        <v>n/a</v>
      </c>
      <c r="AY31" s="225" t="str">
        <f t="shared" si="47"/>
        <v>n/a</v>
      </c>
      <c r="AZ31" s="225" t="str">
        <f t="shared" si="47"/>
        <v>n/a</v>
      </c>
      <c r="BA31" s="225" t="str">
        <f t="shared" si="47"/>
        <v>n/a</v>
      </c>
      <c r="BB31" s="225" t="str">
        <f t="shared" si="47"/>
        <v>n/a</v>
      </c>
      <c r="BC31" s="225" t="str">
        <f t="shared" ref="BC31:CH31" si="48">++IFERROR(BC29/AQ29-1,"n/a")</f>
        <v>n/a</v>
      </c>
      <c r="BD31" s="225" t="str">
        <f t="shared" si="48"/>
        <v>n/a</v>
      </c>
      <c r="BE31" s="225" t="str">
        <f t="shared" si="48"/>
        <v>n/a</v>
      </c>
      <c r="BF31" s="225" t="str">
        <f t="shared" si="48"/>
        <v>n/a</v>
      </c>
      <c r="BG31" s="214" t="str">
        <f t="shared" si="48"/>
        <v>n/a</v>
      </c>
      <c r="BH31" s="225" t="str">
        <f t="shared" si="48"/>
        <v>n/a</v>
      </c>
      <c r="BI31" s="225" t="str">
        <f t="shared" si="48"/>
        <v>n/a</v>
      </c>
      <c r="BJ31" s="225" t="str">
        <f t="shared" si="48"/>
        <v>n/a</v>
      </c>
      <c r="BK31" s="225" t="str">
        <f t="shared" si="48"/>
        <v>n/a</v>
      </c>
      <c r="BL31" s="225" t="str">
        <f t="shared" si="48"/>
        <v>n/a</v>
      </c>
      <c r="BM31" s="225" t="str">
        <f t="shared" si="48"/>
        <v>n/a</v>
      </c>
      <c r="BN31" s="225" t="str">
        <f t="shared" si="48"/>
        <v>n/a</v>
      </c>
      <c r="BO31" s="225" t="str">
        <f t="shared" si="48"/>
        <v>n/a</v>
      </c>
      <c r="BP31" s="225" t="str">
        <f t="shared" si="48"/>
        <v>n/a</v>
      </c>
      <c r="BQ31" s="225" t="str">
        <f t="shared" si="48"/>
        <v>n/a</v>
      </c>
      <c r="BR31" s="225" t="str">
        <f t="shared" si="48"/>
        <v>n/a</v>
      </c>
      <c r="BS31" s="214" t="str">
        <f t="shared" si="48"/>
        <v>n/a</v>
      </c>
      <c r="BT31" s="225" t="str">
        <f t="shared" si="48"/>
        <v>n/a</v>
      </c>
      <c r="BU31" s="225" t="str">
        <f t="shared" si="48"/>
        <v>n/a</v>
      </c>
      <c r="BV31" s="225" t="str">
        <f t="shared" si="48"/>
        <v>n/a</v>
      </c>
      <c r="BW31" s="225" t="str">
        <f t="shared" si="48"/>
        <v>n/a</v>
      </c>
      <c r="BX31" s="225" t="str">
        <f t="shared" si="48"/>
        <v>n/a</v>
      </c>
      <c r="BY31" s="225" t="str">
        <f t="shared" si="48"/>
        <v>n/a</v>
      </c>
      <c r="BZ31" s="225" t="str">
        <f t="shared" si="48"/>
        <v>n/a</v>
      </c>
      <c r="CA31" s="225" t="str">
        <f t="shared" si="48"/>
        <v>n/a</v>
      </c>
      <c r="CB31" s="225" t="str">
        <f t="shared" si="48"/>
        <v>n/a</v>
      </c>
      <c r="CC31" s="225" t="str">
        <f t="shared" si="48"/>
        <v>n/a</v>
      </c>
      <c r="CD31" s="225" t="str">
        <f t="shared" si="48"/>
        <v>n/a</v>
      </c>
      <c r="CE31" s="214" t="str">
        <f t="shared" si="48"/>
        <v>n/a</v>
      </c>
      <c r="CF31" s="225" t="str">
        <f t="shared" si="48"/>
        <v>n/a</v>
      </c>
      <c r="CG31" s="225" t="str">
        <f t="shared" si="48"/>
        <v>n/a</v>
      </c>
      <c r="CH31" s="225" t="str">
        <f t="shared" si="48"/>
        <v>n/a</v>
      </c>
      <c r="CI31" s="225" t="str">
        <f t="shared" ref="CI31:DN31" si="49">++IFERROR(CI29/BW29-1,"n/a")</f>
        <v>n/a</v>
      </c>
      <c r="CJ31" s="225" t="str">
        <f t="shared" si="49"/>
        <v>n/a</v>
      </c>
      <c r="CK31" s="225" t="str">
        <f t="shared" si="49"/>
        <v>n/a</v>
      </c>
      <c r="CL31" s="225" t="str">
        <f t="shared" si="49"/>
        <v>n/a</v>
      </c>
      <c r="CM31" s="225" t="str">
        <f t="shared" si="49"/>
        <v>n/a</v>
      </c>
      <c r="CN31" s="225" t="str">
        <f t="shared" si="49"/>
        <v>n/a</v>
      </c>
      <c r="CO31" s="225" t="str">
        <f t="shared" si="49"/>
        <v>n/a</v>
      </c>
      <c r="CP31" s="225" t="str">
        <f t="shared" si="49"/>
        <v>n/a</v>
      </c>
      <c r="CQ31" s="214" t="str">
        <f t="shared" si="49"/>
        <v>n/a</v>
      </c>
      <c r="CR31" s="225" t="str">
        <f t="shared" si="49"/>
        <v>n/a</v>
      </c>
      <c r="CS31" s="225" t="str">
        <f t="shared" si="49"/>
        <v>n/a</v>
      </c>
      <c r="CT31" s="225" t="str">
        <f t="shared" si="49"/>
        <v>n/a</v>
      </c>
      <c r="CU31" s="225" t="str">
        <f t="shared" si="49"/>
        <v>n/a</v>
      </c>
      <c r="CV31" s="225" t="str">
        <f t="shared" si="49"/>
        <v>n/a</v>
      </c>
      <c r="CW31" s="225" t="str">
        <f t="shared" si="49"/>
        <v>n/a</v>
      </c>
      <c r="CX31" s="225" t="str">
        <f t="shared" si="49"/>
        <v>n/a</v>
      </c>
      <c r="CY31" s="225" t="str">
        <f t="shared" si="49"/>
        <v>n/a</v>
      </c>
      <c r="CZ31" s="225" t="str">
        <f t="shared" si="49"/>
        <v>n/a</v>
      </c>
      <c r="DA31" s="225" t="str">
        <f t="shared" si="49"/>
        <v>n/a</v>
      </c>
      <c r="DB31" s="225" t="str">
        <f t="shared" si="49"/>
        <v>n/a</v>
      </c>
      <c r="DC31" s="214" t="str">
        <f t="shared" si="49"/>
        <v>n/a</v>
      </c>
    </row>
    <row r="32" spans="3:107" x14ac:dyDescent="0.3">
      <c r="G32" s="203"/>
      <c r="K32" s="203"/>
      <c r="W32" s="203"/>
      <c r="AI32" s="203"/>
      <c r="AU32" s="203"/>
      <c r="BG32" s="203"/>
      <c r="BS32" s="203"/>
      <c r="CE32" s="203"/>
      <c r="CQ32" s="203"/>
      <c r="DC32" s="203"/>
    </row>
    <row r="33" spans="3:107" x14ac:dyDescent="0.3">
      <c r="C33" s="101" t="s">
        <v>525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  <c r="AR33" s="45">
        <v>0</v>
      </c>
      <c r="AS33" s="45">
        <v>0</v>
      </c>
      <c r="AT33" s="45">
        <v>0</v>
      </c>
      <c r="AU33" s="45">
        <v>0</v>
      </c>
      <c r="AV33" s="45">
        <v>0</v>
      </c>
      <c r="AW33" s="45">
        <v>0</v>
      </c>
      <c r="AX33" s="45">
        <v>0</v>
      </c>
      <c r="AY33" s="45">
        <v>0</v>
      </c>
      <c r="AZ33" s="45">
        <v>0</v>
      </c>
      <c r="BA33" s="45">
        <v>0</v>
      </c>
      <c r="BB33" s="45">
        <v>0</v>
      </c>
      <c r="BC33" s="45">
        <v>0</v>
      </c>
      <c r="BD33" s="45">
        <v>0</v>
      </c>
      <c r="BE33" s="45"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0</v>
      </c>
      <c r="BK33" s="45">
        <v>0</v>
      </c>
      <c r="BL33" s="45">
        <v>0</v>
      </c>
      <c r="BM33" s="45">
        <v>0</v>
      </c>
      <c r="BN33" s="45">
        <v>0</v>
      </c>
      <c r="BO33" s="45">
        <v>0</v>
      </c>
      <c r="BP33" s="45">
        <v>0</v>
      </c>
      <c r="BQ33" s="45">
        <v>0</v>
      </c>
      <c r="BR33" s="45">
        <v>0</v>
      </c>
      <c r="BS33" s="45">
        <v>0</v>
      </c>
      <c r="BT33" s="45">
        <v>0</v>
      </c>
      <c r="BU33" s="45">
        <v>0</v>
      </c>
      <c r="BV33" s="45">
        <v>0</v>
      </c>
      <c r="BW33" s="45">
        <v>0</v>
      </c>
      <c r="BX33" s="45">
        <v>0</v>
      </c>
      <c r="BY33" s="45">
        <v>0</v>
      </c>
      <c r="BZ33" s="45">
        <v>0</v>
      </c>
      <c r="CA33" s="45">
        <v>0</v>
      </c>
      <c r="CB33" s="45">
        <v>0</v>
      </c>
      <c r="CC33" s="45">
        <v>0</v>
      </c>
      <c r="CD33" s="45">
        <v>0</v>
      </c>
      <c r="CE33" s="45">
        <v>0</v>
      </c>
      <c r="CF33" s="45">
        <v>0</v>
      </c>
      <c r="CG33" s="45">
        <v>0</v>
      </c>
      <c r="CH33" s="45">
        <v>0</v>
      </c>
      <c r="CI33" s="45">
        <v>0</v>
      </c>
      <c r="CJ33" s="45">
        <v>0</v>
      </c>
      <c r="CK33" s="45">
        <v>0</v>
      </c>
      <c r="CL33" s="45">
        <v>0</v>
      </c>
      <c r="CM33" s="45">
        <v>0</v>
      </c>
      <c r="CN33" s="45">
        <v>0</v>
      </c>
      <c r="CO33" s="45">
        <v>0</v>
      </c>
      <c r="CP33" s="45">
        <v>0</v>
      </c>
      <c r="CQ33" s="45">
        <v>0</v>
      </c>
      <c r="CR33" s="45">
        <v>0</v>
      </c>
      <c r="CS33" s="45">
        <v>0</v>
      </c>
      <c r="CT33" s="45">
        <v>0</v>
      </c>
      <c r="CU33" s="45">
        <v>0</v>
      </c>
      <c r="CV33" s="45">
        <v>0</v>
      </c>
      <c r="CW33" s="45">
        <v>0</v>
      </c>
      <c r="CX33" s="45">
        <v>0</v>
      </c>
      <c r="CY33" s="45">
        <v>0</v>
      </c>
      <c r="CZ33" s="45">
        <v>0</v>
      </c>
      <c r="DA33" s="45">
        <v>0</v>
      </c>
      <c r="DB33" s="45">
        <v>0</v>
      </c>
      <c r="DC33" s="45">
        <v>0</v>
      </c>
    </row>
    <row r="34" spans="3:107" x14ac:dyDescent="0.3">
      <c r="C34" s="321" t="s">
        <v>524</v>
      </c>
      <c r="G34" s="214" t="str">
        <f>++IFERROR(G33/G29,"n/a")</f>
        <v>n/a</v>
      </c>
      <c r="H34" s="225" t="str">
        <f t="shared" ref="H34:BS34" si="50">++IFERROR(H33/H29,"n/a")</f>
        <v>n/a</v>
      </c>
      <c r="I34" s="225" t="str">
        <f t="shared" si="50"/>
        <v>n/a</v>
      </c>
      <c r="J34" s="225" t="str">
        <f t="shared" si="50"/>
        <v>n/a</v>
      </c>
      <c r="K34" s="214" t="str">
        <f t="shared" si="50"/>
        <v>n/a</v>
      </c>
      <c r="L34" s="225" t="str">
        <f t="shared" si="50"/>
        <v>n/a</v>
      </c>
      <c r="M34" s="225" t="str">
        <f t="shared" si="50"/>
        <v>n/a</v>
      </c>
      <c r="N34" s="225" t="str">
        <f t="shared" si="50"/>
        <v>n/a</v>
      </c>
      <c r="O34" s="225" t="str">
        <f t="shared" si="50"/>
        <v>n/a</v>
      </c>
      <c r="P34" s="225" t="str">
        <f t="shared" si="50"/>
        <v>n/a</v>
      </c>
      <c r="Q34" s="225" t="str">
        <f t="shared" si="50"/>
        <v>n/a</v>
      </c>
      <c r="R34" s="225" t="str">
        <f t="shared" si="50"/>
        <v>n/a</v>
      </c>
      <c r="S34" s="225" t="str">
        <f t="shared" si="50"/>
        <v>n/a</v>
      </c>
      <c r="T34" s="225" t="str">
        <f t="shared" si="50"/>
        <v>n/a</v>
      </c>
      <c r="U34" s="225" t="str">
        <f t="shared" si="50"/>
        <v>n/a</v>
      </c>
      <c r="V34" s="225" t="str">
        <f t="shared" si="50"/>
        <v>n/a</v>
      </c>
      <c r="W34" s="214" t="str">
        <f t="shared" si="50"/>
        <v>n/a</v>
      </c>
      <c r="X34" s="225" t="str">
        <f t="shared" si="50"/>
        <v>n/a</v>
      </c>
      <c r="Y34" s="225" t="str">
        <f t="shared" si="50"/>
        <v>n/a</v>
      </c>
      <c r="Z34" s="225" t="str">
        <f t="shared" si="50"/>
        <v>n/a</v>
      </c>
      <c r="AA34" s="225" t="str">
        <f t="shared" si="50"/>
        <v>n/a</v>
      </c>
      <c r="AB34" s="225" t="str">
        <f t="shared" si="50"/>
        <v>n/a</v>
      </c>
      <c r="AC34" s="225" t="str">
        <f t="shared" si="50"/>
        <v>n/a</v>
      </c>
      <c r="AD34" s="225" t="str">
        <f t="shared" si="50"/>
        <v>n/a</v>
      </c>
      <c r="AE34" s="225" t="str">
        <f t="shared" si="50"/>
        <v>n/a</v>
      </c>
      <c r="AF34" s="225" t="str">
        <f t="shared" si="50"/>
        <v>n/a</v>
      </c>
      <c r="AG34" s="225" t="str">
        <f t="shared" si="50"/>
        <v>n/a</v>
      </c>
      <c r="AH34" s="225" t="str">
        <f t="shared" si="50"/>
        <v>n/a</v>
      </c>
      <c r="AI34" s="214" t="str">
        <f t="shared" si="50"/>
        <v>n/a</v>
      </c>
      <c r="AJ34" s="225" t="str">
        <f t="shared" si="50"/>
        <v>n/a</v>
      </c>
      <c r="AK34" s="225" t="str">
        <f t="shared" si="50"/>
        <v>n/a</v>
      </c>
      <c r="AL34" s="225" t="str">
        <f t="shared" si="50"/>
        <v>n/a</v>
      </c>
      <c r="AM34" s="225" t="str">
        <f t="shared" si="50"/>
        <v>n/a</v>
      </c>
      <c r="AN34" s="225" t="str">
        <f t="shared" si="50"/>
        <v>n/a</v>
      </c>
      <c r="AO34" s="225" t="str">
        <f t="shared" si="50"/>
        <v>n/a</v>
      </c>
      <c r="AP34" s="225" t="str">
        <f t="shared" si="50"/>
        <v>n/a</v>
      </c>
      <c r="AQ34" s="225" t="str">
        <f t="shared" si="50"/>
        <v>n/a</v>
      </c>
      <c r="AR34" s="225" t="str">
        <f t="shared" si="50"/>
        <v>n/a</v>
      </c>
      <c r="AS34" s="225" t="str">
        <f t="shared" si="50"/>
        <v>n/a</v>
      </c>
      <c r="AT34" s="225" t="str">
        <f t="shared" si="50"/>
        <v>n/a</v>
      </c>
      <c r="AU34" s="214" t="str">
        <f t="shared" si="50"/>
        <v>n/a</v>
      </c>
      <c r="AV34" s="225" t="str">
        <f t="shared" si="50"/>
        <v>n/a</v>
      </c>
      <c r="AW34" s="225" t="str">
        <f t="shared" si="50"/>
        <v>n/a</v>
      </c>
      <c r="AX34" s="225" t="str">
        <f t="shared" si="50"/>
        <v>n/a</v>
      </c>
      <c r="AY34" s="225" t="str">
        <f t="shared" si="50"/>
        <v>n/a</v>
      </c>
      <c r="AZ34" s="225" t="str">
        <f t="shared" si="50"/>
        <v>n/a</v>
      </c>
      <c r="BA34" s="225" t="str">
        <f t="shared" si="50"/>
        <v>n/a</v>
      </c>
      <c r="BB34" s="225" t="str">
        <f t="shared" si="50"/>
        <v>n/a</v>
      </c>
      <c r="BC34" s="225" t="str">
        <f t="shared" si="50"/>
        <v>n/a</v>
      </c>
      <c r="BD34" s="225" t="str">
        <f t="shared" si="50"/>
        <v>n/a</v>
      </c>
      <c r="BE34" s="225" t="str">
        <f t="shared" si="50"/>
        <v>n/a</v>
      </c>
      <c r="BF34" s="225" t="str">
        <f t="shared" si="50"/>
        <v>n/a</v>
      </c>
      <c r="BG34" s="214" t="str">
        <f t="shared" si="50"/>
        <v>n/a</v>
      </c>
      <c r="BH34" s="225" t="str">
        <f t="shared" si="50"/>
        <v>n/a</v>
      </c>
      <c r="BI34" s="225" t="str">
        <f t="shared" si="50"/>
        <v>n/a</v>
      </c>
      <c r="BJ34" s="225" t="str">
        <f t="shared" si="50"/>
        <v>n/a</v>
      </c>
      <c r="BK34" s="225" t="str">
        <f t="shared" si="50"/>
        <v>n/a</v>
      </c>
      <c r="BL34" s="225" t="str">
        <f t="shared" si="50"/>
        <v>n/a</v>
      </c>
      <c r="BM34" s="225" t="str">
        <f t="shared" si="50"/>
        <v>n/a</v>
      </c>
      <c r="BN34" s="225" t="str">
        <f t="shared" si="50"/>
        <v>n/a</v>
      </c>
      <c r="BO34" s="225" t="str">
        <f t="shared" si="50"/>
        <v>n/a</v>
      </c>
      <c r="BP34" s="225" t="str">
        <f t="shared" si="50"/>
        <v>n/a</v>
      </c>
      <c r="BQ34" s="225" t="str">
        <f t="shared" si="50"/>
        <v>n/a</v>
      </c>
      <c r="BR34" s="225" t="str">
        <f t="shared" si="50"/>
        <v>n/a</v>
      </c>
      <c r="BS34" s="214" t="str">
        <f t="shared" si="50"/>
        <v>n/a</v>
      </c>
      <c r="BT34" s="225" t="str">
        <f t="shared" ref="BT34:DC34" si="51">++IFERROR(BT33/BT29,"n/a")</f>
        <v>n/a</v>
      </c>
      <c r="BU34" s="225" t="str">
        <f t="shared" si="51"/>
        <v>n/a</v>
      </c>
      <c r="BV34" s="225" t="str">
        <f t="shared" si="51"/>
        <v>n/a</v>
      </c>
      <c r="BW34" s="225" t="str">
        <f t="shared" si="51"/>
        <v>n/a</v>
      </c>
      <c r="BX34" s="225" t="str">
        <f t="shared" si="51"/>
        <v>n/a</v>
      </c>
      <c r="BY34" s="225" t="str">
        <f t="shared" si="51"/>
        <v>n/a</v>
      </c>
      <c r="BZ34" s="225" t="str">
        <f t="shared" si="51"/>
        <v>n/a</v>
      </c>
      <c r="CA34" s="225" t="str">
        <f t="shared" si="51"/>
        <v>n/a</v>
      </c>
      <c r="CB34" s="225" t="str">
        <f t="shared" si="51"/>
        <v>n/a</v>
      </c>
      <c r="CC34" s="225" t="str">
        <f t="shared" si="51"/>
        <v>n/a</v>
      </c>
      <c r="CD34" s="225" t="str">
        <f t="shared" si="51"/>
        <v>n/a</v>
      </c>
      <c r="CE34" s="214" t="str">
        <f t="shared" si="51"/>
        <v>n/a</v>
      </c>
      <c r="CF34" s="225" t="str">
        <f t="shared" si="51"/>
        <v>n/a</v>
      </c>
      <c r="CG34" s="225" t="str">
        <f t="shared" si="51"/>
        <v>n/a</v>
      </c>
      <c r="CH34" s="225" t="str">
        <f t="shared" si="51"/>
        <v>n/a</v>
      </c>
      <c r="CI34" s="225" t="str">
        <f t="shared" si="51"/>
        <v>n/a</v>
      </c>
      <c r="CJ34" s="225" t="str">
        <f t="shared" si="51"/>
        <v>n/a</v>
      </c>
      <c r="CK34" s="225" t="str">
        <f t="shared" si="51"/>
        <v>n/a</v>
      </c>
      <c r="CL34" s="225" t="str">
        <f t="shared" si="51"/>
        <v>n/a</v>
      </c>
      <c r="CM34" s="225" t="str">
        <f t="shared" si="51"/>
        <v>n/a</v>
      </c>
      <c r="CN34" s="225" t="str">
        <f t="shared" si="51"/>
        <v>n/a</v>
      </c>
      <c r="CO34" s="225" t="str">
        <f t="shared" si="51"/>
        <v>n/a</v>
      </c>
      <c r="CP34" s="225" t="str">
        <f t="shared" si="51"/>
        <v>n/a</v>
      </c>
      <c r="CQ34" s="214" t="str">
        <f t="shared" si="51"/>
        <v>n/a</v>
      </c>
      <c r="CR34" s="225" t="str">
        <f t="shared" si="51"/>
        <v>n/a</v>
      </c>
      <c r="CS34" s="225" t="str">
        <f t="shared" si="51"/>
        <v>n/a</v>
      </c>
      <c r="CT34" s="225" t="str">
        <f t="shared" si="51"/>
        <v>n/a</v>
      </c>
      <c r="CU34" s="225" t="str">
        <f t="shared" si="51"/>
        <v>n/a</v>
      </c>
      <c r="CV34" s="225" t="str">
        <f t="shared" si="51"/>
        <v>n/a</v>
      </c>
      <c r="CW34" s="225" t="str">
        <f t="shared" si="51"/>
        <v>n/a</v>
      </c>
      <c r="CX34" s="225" t="str">
        <f t="shared" si="51"/>
        <v>n/a</v>
      </c>
      <c r="CY34" s="225" t="str">
        <f t="shared" si="51"/>
        <v>n/a</v>
      </c>
      <c r="CZ34" s="225" t="str">
        <f t="shared" si="51"/>
        <v>n/a</v>
      </c>
      <c r="DA34" s="225" t="str">
        <f t="shared" si="51"/>
        <v>n/a</v>
      </c>
      <c r="DB34" s="225" t="str">
        <f t="shared" si="51"/>
        <v>n/a</v>
      </c>
      <c r="DC34" s="214" t="str">
        <f t="shared" si="51"/>
        <v>n/a</v>
      </c>
    </row>
    <row r="35" spans="3:107" x14ac:dyDescent="0.3">
      <c r="G35" s="203"/>
      <c r="K35" s="203"/>
      <c r="W35" s="203"/>
      <c r="AI35" s="203"/>
      <c r="AU35" s="203"/>
      <c r="BG35" s="203"/>
      <c r="BS35" s="203"/>
      <c r="CE35" s="203"/>
      <c r="CQ35" s="203"/>
      <c r="DC35" s="203"/>
    </row>
    <row r="36" spans="3:107" ht="13.5" thickBot="1" x14ac:dyDescent="0.35">
      <c r="C36" s="369" t="s">
        <v>374</v>
      </c>
      <c r="D36" s="370"/>
      <c r="E36" s="370"/>
      <c r="G36" s="435">
        <v>0</v>
      </c>
      <c r="H36" s="435">
        <v>0</v>
      </c>
      <c r="I36" s="435">
        <v>0</v>
      </c>
      <c r="J36" s="435">
        <v>0</v>
      </c>
      <c r="K36" s="435">
        <v>0</v>
      </c>
      <c r="L36" s="435">
        <v>0</v>
      </c>
      <c r="M36" s="435">
        <v>0</v>
      </c>
      <c r="N36" s="435">
        <v>0</v>
      </c>
      <c r="O36" s="435">
        <v>0</v>
      </c>
      <c r="P36" s="435">
        <v>0</v>
      </c>
      <c r="Q36" s="435">
        <v>0</v>
      </c>
      <c r="R36" s="435">
        <v>0</v>
      </c>
      <c r="S36" s="435">
        <v>0</v>
      </c>
      <c r="T36" s="435">
        <v>0</v>
      </c>
      <c r="U36" s="435">
        <v>0</v>
      </c>
      <c r="V36" s="435">
        <v>0</v>
      </c>
      <c r="W36" s="435">
        <v>0</v>
      </c>
      <c r="X36" s="435">
        <v>0</v>
      </c>
      <c r="Y36" s="435">
        <v>0</v>
      </c>
      <c r="Z36" s="435">
        <v>0</v>
      </c>
      <c r="AA36" s="435">
        <v>0</v>
      </c>
      <c r="AB36" s="435">
        <v>0</v>
      </c>
      <c r="AC36" s="435">
        <v>0</v>
      </c>
      <c r="AD36" s="435">
        <v>0</v>
      </c>
      <c r="AE36" s="435">
        <v>0</v>
      </c>
      <c r="AF36" s="435">
        <v>0</v>
      </c>
      <c r="AG36" s="435">
        <v>0</v>
      </c>
      <c r="AH36" s="435">
        <v>0</v>
      </c>
      <c r="AI36" s="435">
        <v>0</v>
      </c>
      <c r="AJ36" s="435">
        <v>0</v>
      </c>
      <c r="AK36" s="435">
        <v>0</v>
      </c>
      <c r="AL36" s="435">
        <v>0</v>
      </c>
      <c r="AM36" s="435">
        <v>0</v>
      </c>
      <c r="AN36" s="435">
        <v>0</v>
      </c>
      <c r="AO36" s="435">
        <v>0</v>
      </c>
      <c r="AP36" s="435">
        <v>0</v>
      </c>
      <c r="AQ36" s="435">
        <v>0</v>
      </c>
      <c r="AR36" s="435">
        <v>0</v>
      </c>
      <c r="AS36" s="435">
        <v>0</v>
      </c>
      <c r="AT36" s="435">
        <v>0</v>
      </c>
      <c r="AU36" s="435">
        <v>0</v>
      </c>
      <c r="AV36" s="435">
        <v>0</v>
      </c>
      <c r="AW36" s="435">
        <v>0</v>
      </c>
      <c r="AX36" s="435">
        <v>0</v>
      </c>
      <c r="AY36" s="435">
        <v>0</v>
      </c>
      <c r="AZ36" s="435">
        <v>0</v>
      </c>
      <c r="BA36" s="435">
        <v>0</v>
      </c>
      <c r="BB36" s="435">
        <v>0</v>
      </c>
      <c r="BC36" s="435">
        <v>0</v>
      </c>
      <c r="BD36" s="435">
        <v>0</v>
      </c>
      <c r="BE36" s="435">
        <v>0</v>
      </c>
      <c r="BF36" s="435">
        <v>0</v>
      </c>
      <c r="BG36" s="435">
        <v>0</v>
      </c>
      <c r="BH36" s="435">
        <v>0</v>
      </c>
      <c r="BI36" s="435">
        <v>0</v>
      </c>
      <c r="BJ36" s="435">
        <v>0</v>
      </c>
      <c r="BK36" s="435">
        <v>0</v>
      </c>
      <c r="BL36" s="435">
        <v>0</v>
      </c>
      <c r="BM36" s="435">
        <v>0</v>
      </c>
      <c r="BN36" s="435">
        <v>0</v>
      </c>
      <c r="BO36" s="435">
        <v>0</v>
      </c>
      <c r="BP36" s="435">
        <v>0</v>
      </c>
      <c r="BQ36" s="435">
        <v>0</v>
      </c>
      <c r="BR36" s="435">
        <v>0</v>
      </c>
      <c r="BS36" s="435">
        <v>0</v>
      </c>
      <c r="BT36" s="435">
        <v>0</v>
      </c>
      <c r="BU36" s="435">
        <v>0</v>
      </c>
      <c r="BV36" s="435">
        <v>0</v>
      </c>
      <c r="BW36" s="435">
        <v>0</v>
      </c>
      <c r="BX36" s="435">
        <v>0</v>
      </c>
      <c r="BY36" s="435">
        <v>0</v>
      </c>
      <c r="BZ36" s="435">
        <v>0</v>
      </c>
      <c r="CA36" s="435">
        <v>0</v>
      </c>
      <c r="CB36" s="435">
        <v>0</v>
      </c>
      <c r="CC36" s="435">
        <v>0</v>
      </c>
      <c r="CD36" s="435">
        <v>0</v>
      </c>
      <c r="CE36" s="435">
        <v>0</v>
      </c>
      <c r="CF36" s="435">
        <v>0</v>
      </c>
      <c r="CG36" s="435">
        <v>0</v>
      </c>
      <c r="CH36" s="435">
        <v>0</v>
      </c>
      <c r="CI36" s="435">
        <v>0</v>
      </c>
      <c r="CJ36" s="435">
        <v>0</v>
      </c>
      <c r="CK36" s="435">
        <v>0</v>
      </c>
      <c r="CL36" s="435">
        <v>0</v>
      </c>
      <c r="CM36" s="435">
        <v>0</v>
      </c>
      <c r="CN36" s="435">
        <v>0</v>
      </c>
      <c r="CO36" s="435">
        <v>0</v>
      </c>
      <c r="CP36" s="435">
        <v>0</v>
      </c>
      <c r="CQ36" s="435">
        <v>0</v>
      </c>
      <c r="CR36" s="435">
        <v>0</v>
      </c>
      <c r="CS36" s="435">
        <v>0</v>
      </c>
      <c r="CT36" s="435">
        <v>0</v>
      </c>
      <c r="CU36" s="435">
        <v>0</v>
      </c>
      <c r="CV36" s="435">
        <v>0</v>
      </c>
      <c r="CW36" s="435">
        <v>0</v>
      </c>
      <c r="CX36" s="435">
        <v>0</v>
      </c>
      <c r="CY36" s="435">
        <v>0</v>
      </c>
      <c r="CZ36" s="435">
        <v>0</v>
      </c>
      <c r="DA36" s="435">
        <v>0</v>
      </c>
      <c r="DB36" s="435">
        <v>0</v>
      </c>
      <c r="DC36" s="435">
        <v>0</v>
      </c>
    </row>
    <row r="37" spans="3:107" ht="13.5" thickTop="1" x14ac:dyDescent="0.3">
      <c r="C37" s="321" t="s">
        <v>67</v>
      </c>
      <c r="G37" s="214" t="str">
        <f>++IFERROR(G36/G10,"n/a")</f>
        <v>n/a</v>
      </c>
      <c r="H37" s="225" t="str">
        <f t="shared" ref="H37:BS37" si="52">++IFERROR(H36/H10,"n/a")</f>
        <v>n/a</v>
      </c>
      <c r="I37" s="225" t="str">
        <f t="shared" si="52"/>
        <v>n/a</v>
      </c>
      <c r="J37" s="225" t="str">
        <f t="shared" si="52"/>
        <v>n/a</v>
      </c>
      <c r="K37" s="214" t="str">
        <f t="shared" si="52"/>
        <v>n/a</v>
      </c>
      <c r="L37" s="225" t="str">
        <f t="shared" si="52"/>
        <v>n/a</v>
      </c>
      <c r="M37" s="225" t="str">
        <f t="shared" si="52"/>
        <v>n/a</v>
      </c>
      <c r="N37" s="225" t="str">
        <f t="shared" si="52"/>
        <v>n/a</v>
      </c>
      <c r="O37" s="225" t="str">
        <f t="shared" si="52"/>
        <v>n/a</v>
      </c>
      <c r="P37" s="225" t="str">
        <f t="shared" si="52"/>
        <v>n/a</v>
      </c>
      <c r="Q37" s="225" t="str">
        <f t="shared" si="52"/>
        <v>n/a</v>
      </c>
      <c r="R37" s="225" t="str">
        <f t="shared" si="52"/>
        <v>n/a</v>
      </c>
      <c r="S37" s="225" t="str">
        <f t="shared" si="52"/>
        <v>n/a</v>
      </c>
      <c r="T37" s="225" t="str">
        <f t="shared" si="52"/>
        <v>n/a</v>
      </c>
      <c r="U37" s="225" t="str">
        <f t="shared" si="52"/>
        <v>n/a</v>
      </c>
      <c r="V37" s="225" t="str">
        <f t="shared" si="52"/>
        <v>n/a</v>
      </c>
      <c r="W37" s="214" t="str">
        <f t="shared" si="52"/>
        <v>n/a</v>
      </c>
      <c r="X37" s="225" t="str">
        <f t="shared" si="52"/>
        <v>n/a</v>
      </c>
      <c r="Y37" s="225" t="str">
        <f t="shared" si="52"/>
        <v>n/a</v>
      </c>
      <c r="Z37" s="225" t="str">
        <f t="shared" si="52"/>
        <v>n/a</v>
      </c>
      <c r="AA37" s="225" t="str">
        <f t="shared" si="52"/>
        <v>n/a</v>
      </c>
      <c r="AB37" s="225" t="str">
        <f t="shared" si="52"/>
        <v>n/a</v>
      </c>
      <c r="AC37" s="225" t="str">
        <f t="shared" si="52"/>
        <v>n/a</v>
      </c>
      <c r="AD37" s="225" t="str">
        <f t="shared" si="52"/>
        <v>n/a</v>
      </c>
      <c r="AE37" s="225" t="str">
        <f t="shared" si="52"/>
        <v>n/a</v>
      </c>
      <c r="AF37" s="225" t="str">
        <f t="shared" si="52"/>
        <v>n/a</v>
      </c>
      <c r="AG37" s="225" t="str">
        <f t="shared" si="52"/>
        <v>n/a</v>
      </c>
      <c r="AH37" s="225" t="str">
        <f t="shared" si="52"/>
        <v>n/a</v>
      </c>
      <c r="AI37" s="214" t="str">
        <f t="shared" si="52"/>
        <v>n/a</v>
      </c>
      <c r="AJ37" s="225" t="str">
        <f t="shared" si="52"/>
        <v>n/a</v>
      </c>
      <c r="AK37" s="225" t="str">
        <f t="shared" si="52"/>
        <v>n/a</v>
      </c>
      <c r="AL37" s="225" t="str">
        <f t="shared" si="52"/>
        <v>n/a</v>
      </c>
      <c r="AM37" s="225" t="str">
        <f t="shared" si="52"/>
        <v>n/a</v>
      </c>
      <c r="AN37" s="225" t="str">
        <f t="shared" si="52"/>
        <v>n/a</v>
      </c>
      <c r="AO37" s="225" t="str">
        <f t="shared" si="52"/>
        <v>n/a</v>
      </c>
      <c r="AP37" s="225" t="str">
        <f t="shared" si="52"/>
        <v>n/a</v>
      </c>
      <c r="AQ37" s="225" t="str">
        <f t="shared" si="52"/>
        <v>n/a</v>
      </c>
      <c r="AR37" s="225" t="str">
        <f t="shared" si="52"/>
        <v>n/a</v>
      </c>
      <c r="AS37" s="225" t="str">
        <f t="shared" si="52"/>
        <v>n/a</v>
      </c>
      <c r="AT37" s="225" t="str">
        <f t="shared" si="52"/>
        <v>n/a</v>
      </c>
      <c r="AU37" s="214" t="str">
        <f t="shared" si="52"/>
        <v>n/a</v>
      </c>
      <c r="AV37" s="225" t="str">
        <f t="shared" si="52"/>
        <v>n/a</v>
      </c>
      <c r="AW37" s="225" t="str">
        <f t="shared" si="52"/>
        <v>n/a</v>
      </c>
      <c r="AX37" s="225" t="str">
        <f t="shared" si="52"/>
        <v>n/a</v>
      </c>
      <c r="AY37" s="225" t="str">
        <f t="shared" si="52"/>
        <v>n/a</v>
      </c>
      <c r="AZ37" s="225" t="str">
        <f t="shared" si="52"/>
        <v>n/a</v>
      </c>
      <c r="BA37" s="225" t="str">
        <f t="shared" si="52"/>
        <v>n/a</v>
      </c>
      <c r="BB37" s="225" t="str">
        <f t="shared" si="52"/>
        <v>n/a</v>
      </c>
      <c r="BC37" s="225" t="str">
        <f t="shared" si="52"/>
        <v>n/a</v>
      </c>
      <c r="BD37" s="225" t="str">
        <f t="shared" si="52"/>
        <v>n/a</v>
      </c>
      <c r="BE37" s="225" t="str">
        <f t="shared" si="52"/>
        <v>n/a</v>
      </c>
      <c r="BF37" s="225" t="str">
        <f t="shared" si="52"/>
        <v>n/a</v>
      </c>
      <c r="BG37" s="214" t="str">
        <f t="shared" si="52"/>
        <v>n/a</v>
      </c>
      <c r="BH37" s="225" t="str">
        <f t="shared" si="52"/>
        <v>n/a</v>
      </c>
      <c r="BI37" s="225" t="str">
        <f t="shared" si="52"/>
        <v>n/a</v>
      </c>
      <c r="BJ37" s="225" t="str">
        <f t="shared" si="52"/>
        <v>n/a</v>
      </c>
      <c r="BK37" s="225" t="str">
        <f t="shared" si="52"/>
        <v>n/a</v>
      </c>
      <c r="BL37" s="225" t="str">
        <f t="shared" si="52"/>
        <v>n/a</v>
      </c>
      <c r="BM37" s="225" t="str">
        <f t="shared" si="52"/>
        <v>n/a</v>
      </c>
      <c r="BN37" s="225" t="str">
        <f t="shared" si="52"/>
        <v>n/a</v>
      </c>
      <c r="BO37" s="225" t="str">
        <f t="shared" si="52"/>
        <v>n/a</v>
      </c>
      <c r="BP37" s="225" t="str">
        <f t="shared" si="52"/>
        <v>n/a</v>
      </c>
      <c r="BQ37" s="225" t="str">
        <f t="shared" si="52"/>
        <v>n/a</v>
      </c>
      <c r="BR37" s="225" t="str">
        <f t="shared" si="52"/>
        <v>n/a</v>
      </c>
      <c r="BS37" s="214" t="str">
        <f t="shared" si="52"/>
        <v>n/a</v>
      </c>
      <c r="BT37" s="225" t="str">
        <f t="shared" ref="BT37:DC37" si="53">++IFERROR(BT36/BT10,"n/a")</f>
        <v>n/a</v>
      </c>
      <c r="BU37" s="225" t="str">
        <f t="shared" si="53"/>
        <v>n/a</v>
      </c>
      <c r="BV37" s="225" t="str">
        <f t="shared" si="53"/>
        <v>n/a</v>
      </c>
      <c r="BW37" s="225" t="str">
        <f t="shared" si="53"/>
        <v>n/a</v>
      </c>
      <c r="BX37" s="225" t="str">
        <f t="shared" si="53"/>
        <v>n/a</v>
      </c>
      <c r="BY37" s="225" t="str">
        <f t="shared" si="53"/>
        <v>n/a</v>
      </c>
      <c r="BZ37" s="225" t="str">
        <f t="shared" si="53"/>
        <v>n/a</v>
      </c>
      <c r="CA37" s="225" t="str">
        <f t="shared" si="53"/>
        <v>n/a</v>
      </c>
      <c r="CB37" s="225" t="str">
        <f t="shared" si="53"/>
        <v>n/a</v>
      </c>
      <c r="CC37" s="225" t="str">
        <f t="shared" si="53"/>
        <v>n/a</v>
      </c>
      <c r="CD37" s="225" t="str">
        <f t="shared" si="53"/>
        <v>n/a</v>
      </c>
      <c r="CE37" s="214" t="str">
        <f t="shared" si="53"/>
        <v>n/a</v>
      </c>
      <c r="CF37" s="225" t="str">
        <f t="shared" si="53"/>
        <v>n/a</v>
      </c>
      <c r="CG37" s="225" t="str">
        <f t="shared" si="53"/>
        <v>n/a</v>
      </c>
      <c r="CH37" s="225" t="str">
        <f t="shared" si="53"/>
        <v>n/a</v>
      </c>
      <c r="CI37" s="225" t="str">
        <f t="shared" si="53"/>
        <v>n/a</v>
      </c>
      <c r="CJ37" s="225" t="str">
        <f t="shared" si="53"/>
        <v>n/a</v>
      </c>
      <c r="CK37" s="225" t="str">
        <f t="shared" si="53"/>
        <v>n/a</v>
      </c>
      <c r="CL37" s="225" t="str">
        <f t="shared" si="53"/>
        <v>n/a</v>
      </c>
      <c r="CM37" s="225" t="str">
        <f t="shared" si="53"/>
        <v>n/a</v>
      </c>
      <c r="CN37" s="225" t="str">
        <f t="shared" si="53"/>
        <v>n/a</v>
      </c>
      <c r="CO37" s="225" t="str">
        <f t="shared" si="53"/>
        <v>n/a</v>
      </c>
      <c r="CP37" s="225" t="str">
        <f t="shared" si="53"/>
        <v>n/a</v>
      </c>
      <c r="CQ37" s="214" t="str">
        <f t="shared" si="53"/>
        <v>n/a</v>
      </c>
      <c r="CR37" s="225" t="str">
        <f t="shared" si="53"/>
        <v>n/a</v>
      </c>
      <c r="CS37" s="225" t="str">
        <f t="shared" si="53"/>
        <v>n/a</v>
      </c>
      <c r="CT37" s="225" t="str">
        <f t="shared" si="53"/>
        <v>n/a</v>
      </c>
      <c r="CU37" s="225" t="str">
        <f t="shared" si="53"/>
        <v>n/a</v>
      </c>
      <c r="CV37" s="225" t="str">
        <f t="shared" si="53"/>
        <v>n/a</v>
      </c>
      <c r="CW37" s="225" t="str">
        <f t="shared" si="53"/>
        <v>n/a</v>
      </c>
      <c r="CX37" s="225" t="str">
        <f t="shared" si="53"/>
        <v>n/a</v>
      </c>
      <c r="CY37" s="225" t="str">
        <f t="shared" si="53"/>
        <v>n/a</v>
      </c>
      <c r="CZ37" s="225" t="str">
        <f t="shared" si="53"/>
        <v>n/a</v>
      </c>
      <c r="DA37" s="225" t="str">
        <f t="shared" si="53"/>
        <v>n/a</v>
      </c>
      <c r="DB37" s="225" t="str">
        <f t="shared" si="53"/>
        <v>n/a</v>
      </c>
      <c r="DC37" s="214" t="str">
        <f t="shared" si="53"/>
        <v>n/a</v>
      </c>
    </row>
    <row r="38" spans="3:107" x14ac:dyDescent="0.3">
      <c r="C38" s="321" t="s">
        <v>65</v>
      </c>
      <c r="G38" s="122" t="s">
        <v>47</v>
      </c>
      <c r="H38" s="122" t="s">
        <v>47</v>
      </c>
      <c r="I38" s="122" t="s">
        <v>47</v>
      </c>
      <c r="J38" s="122" t="s">
        <v>47</v>
      </c>
      <c r="K38" s="214" t="str">
        <f>++IFERROR(K36/G36-1,"n/a")</f>
        <v>n/a</v>
      </c>
      <c r="L38" s="122" t="s">
        <v>47</v>
      </c>
      <c r="M38" s="122" t="s">
        <v>47</v>
      </c>
      <c r="N38" s="225" t="str">
        <f>++IFERROR(N36/H36-1,"n/a")</f>
        <v>n/a</v>
      </c>
      <c r="O38" s="122" t="s">
        <v>47</v>
      </c>
      <c r="P38" s="122" t="s">
        <v>47</v>
      </c>
      <c r="Q38" s="225" t="str">
        <f>++IFERROR(Q36/I36-1,"n/a")</f>
        <v>n/a</v>
      </c>
      <c r="R38" s="122" t="s">
        <v>47</v>
      </c>
      <c r="S38" s="122" t="s">
        <v>47</v>
      </c>
      <c r="T38" s="225" t="str">
        <f>++IFERROR(T36/J36-1,"n/a")</f>
        <v>n/a</v>
      </c>
      <c r="U38" s="122" t="s">
        <v>47</v>
      </c>
      <c r="V38" s="122" t="s">
        <v>47</v>
      </c>
      <c r="W38" s="214" t="str">
        <f t="shared" ref="W38:BB38" si="54">++IFERROR(W36/K36-1,"n/a")</f>
        <v>n/a</v>
      </c>
      <c r="X38" s="225" t="str">
        <f t="shared" si="54"/>
        <v>n/a</v>
      </c>
      <c r="Y38" s="225" t="str">
        <f t="shared" si="54"/>
        <v>n/a</v>
      </c>
      <c r="Z38" s="225" t="str">
        <f t="shared" si="54"/>
        <v>n/a</v>
      </c>
      <c r="AA38" s="225" t="str">
        <f t="shared" si="54"/>
        <v>n/a</v>
      </c>
      <c r="AB38" s="225" t="str">
        <f t="shared" si="54"/>
        <v>n/a</v>
      </c>
      <c r="AC38" s="225" t="str">
        <f t="shared" si="54"/>
        <v>n/a</v>
      </c>
      <c r="AD38" s="225" t="str">
        <f t="shared" si="54"/>
        <v>n/a</v>
      </c>
      <c r="AE38" s="225" t="str">
        <f t="shared" si="54"/>
        <v>n/a</v>
      </c>
      <c r="AF38" s="225" t="str">
        <f t="shared" si="54"/>
        <v>n/a</v>
      </c>
      <c r="AG38" s="225" t="str">
        <f t="shared" si="54"/>
        <v>n/a</v>
      </c>
      <c r="AH38" s="225" t="str">
        <f t="shared" si="54"/>
        <v>n/a</v>
      </c>
      <c r="AI38" s="214" t="str">
        <f t="shared" si="54"/>
        <v>n/a</v>
      </c>
      <c r="AJ38" s="225" t="str">
        <f t="shared" si="54"/>
        <v>n/a</v>
      </c>
      <c r="AK38" s="225" t="str">
        <f t="shared" si="54"/>
        <v>n/a</v>
      </c>
      <c r="AL38" s="225" t="str">
        <f t="shared" si="54"/>
        <v>n/a</v>
      </c>
      <c r="AM38" s="225" t="str">
        <f t="shared" si="54"/>
        <v>n/a</v>
      </c>
      <c r="AN38" s="225" t="str">
        <f t="shared" si="54"/>
        <v>n/a</v>
      </c>
      <c r="AO38" s="225" t="str">
        <f t="shared" si="54"/>
        <v>n/a</v>
      </c>
      <c r="AP38" s="225" t="str">
        <f t="shared" si="54"/>
        <v>n/a</v>
      </c>
      <c r="AQ38" s="225" t="str">
        <f t="shared" si="54"/>
        <v>n/a</v>
      </c>
      <c r="AR38" s="225" t="str">
        <f t="shared" si="54"/>
        <v>n/a</v>
      </c>
      <c r="AS38" s="225" t="str">
        <f t="shared" si="54"/>
        <v>n/a</v>
      </c>
      <c r="AT38" s="225" t="str">
        <f t="shared" si="54"/>
        <v>n/a</v>
      </c>
      <c r="AU38" s="214" t="str">
        <f t="shared" si="54"/>
        <v>n/a</v>
      </c>
      <c r="AV38" s="225" t="str">
        <f t="shared" si="54"/>
        <v>n/a</v>
      </c>
      <c r="AW38" s="225" t="str">
        <f t="shared" si="54"/>
        <v>n/a</v>
      </c>
      <c r="AX38" s="225" t="str">
        <f t="shared" si="54"/>
        <v>n/a</v>
      </c>
      <c r="AY38" s="225" t="str">
        <f t="shared" si="54"/>
        <v>n/a</v>
      </c>
      <c r="AZ38" s="225" t="str">
        <f t="shared" si="54"/>
        <v>n/a</v>
      </c>
      <c r="BA38" s="225" t="str">
        <f t="shared" si="54"/>
        <v>n/a</v>
      </c>
      <c r="BB38" s="225" t="str">
        <f t="shared" si="54"/>
        <v>n/a</v>
      </c>
      <c r="BC38" s="225" t="str">
        <f t="shared" ref="BC38:CH38" si="55">++IFERROR(BC36/AQ36-1,"n/a")</f>
        <v>n/a</v>
      </c>
      <c r="BD38" s="225" t="str">
        <f t="shared" si="55"/>
        <v>n/a</v>
      </c>
      <c r="BE38" s="225" t="str">
        <f t="shared" si="55"/>
        <v>n/a</v>
      </c>
      <c r="BF38" s="225" t="str">
        <f t="shared" si="55"/>
        <v>n/a</v>
      </c>
      <c r="BG38" s="214" t="str">
        <f t="shared" si="55"/>
        <v>n/a</v>
      </c>
      <c r="BH38" s="225" t="str">
        <f t="shared" si="55"/>
        <v>n/a</v>
      </c>
      <c r="BI38" s="225" t="str">
        <f t="shared" si="55"/>
        <v>n/a</v>
      </c>
      <c r="BJ38" s="225" t="str">
        <f t="shared" si="55"/>
        <v>n/a</v>
      </c>
      <c r="BK38" s="225" t="str">
        <f t="shared" si="55"/>
        <v>n/a</v>
      </c>
      <c r="BL38" s="225" t="str">
        <f t="shared" si="55"/>
        <v>n/a</v>
      </c>
      <c r="BM38" s="225" t="str">
        <f t="shared" si="55"/>
        <v>n/a</v>
      </c>
      <c r="BN38" s="225" t="str">
        <f t="shared" si="55"/>
        <v>n/a</v>
      </c>
      <c r="BO38" s="225" t="str">
        <f t="shared" si="55"/>
        <v>n/a</v>
      </c>
      <c r="BP38" s="225" t="str">
        <f t="shared" si="55"/>
        <v>n/a</v>
      </c>
      <c r="BQ38" s="225" t="str">
        <f t="shared" si="55"/>
        <v>n/a</v>
      </c>
      <c r="BR38" s="225" t="str">
        <f t="shared" si="55"/>
        <v>n/a</v>
      </c>
      <c r="BS38" s="214" t="str">
        <f t="shared" si="55"/>
        <v>n/a</v>
      </c>
      <c r="BT38" s="225" t="str">
        <f t="shared" si="55"/>
        <v>n/a</v>
      </c>
      <c r="BU38" s="225" t="str">
        <f t="shared" si="55"/>
        <v>n/a</v>
      </c>
      <c r="BV38" s="225" t="str">
        <f t="shared" si="55"/>
        <v>n/a</v>
      </c>
      <c r="BW38" s="225" t="str">
        <f t="shared" si="55"/>
        <v>n/a</v>
      </c>
      <c r="BX38" s="225" t="str">
        <f t="shared" si="55"/>
        <v>n/a</v>
      </c>
      <c r="BY38" s="225" t="str">
        <f t="shared" si="55"/>
        <v>n/a</v>
      </c>
      <c r="BZ38" s="225" t="str">
        <f t="shared" si="55"/>
        <v>n/a</v>
      </c>
      <c r="CA38" s="225" t="str">
        <f t="shared" si="55"/>
        <v>n/a</v>
      </c>
      <c r="CB38" s="225" t="str">
        <f t="shared" si="55"/>
        <v>n/a</v>
      </c>
      <c r="CC38" s="225" t="str">
        <f t="shared" si="55"/>
        <v>n/a</v>
      </c>
      <c r="CD38" s="225" t="str">
        <f t="shared" si="55"/>
        <v>n/a</v>
      </c>
      <c r="CE38" s="214" t="str">
        <f t="shared" si="55"/>
        <v>n/a</v>
      </c>
      <c r="CF38" s="225" t="str">
        <f t="shared" si="55"/>
        <v>n/a</v>
      </c>
      <c r="CG38" s="225" t="str">
        <f t="shared" si="55"/>
        <v>n/a</v>
      </c>
      <c r="CH38" s="225" t="str">
        <f t="shared" si="55"/>
        <v>n/a</v>
      </c>
      <c r="CI38" s="225" t="str">
        <f t="shared" ref="CI38:DN38" si="56">++IFERROR(CI36/BW36-1,"n/a")</f>
        <v>n/a</v>
      </c>
      <c r="CJ38" s="225" t="str">
        <f t="shared" si="56"/>
        <v>n/a</v>
      </c>
      <c r="CK38" s="225" t="str">
        <f t="shared" si="56"/>
        <v>n/a</v>
      </c>
      <c r="CL38" s="225" t="str">
        <f t="shared" si="56"/>
        <v>n/a</v>
      </c>
      <c r="CM38" s="225" t="str">
        <f t="shared" si="56"/>
        <v>n/a</v>
      </c>
      <c r="CN38" s="225" t="str">
        <f t="shared" si="56"/>
        <v>n/a</v>
      </c>
      <c r="CO38" s="225" t="str">
        <f t="shared" si="56"/>
        <v>n/a</v>
      </c>
      <c r="CP38" s="225" t="str">
        <f t="shared" si="56"/>
        <v>n/a</v>
      </c>
      <c r="CQ38" s="214" t="str">
        <f t="shared" si="56"/>
        <v>n/a</v>
      </c>
      <c r="CR38" s="225" t="str">
        <f t="shared" si="56"/>
        <v>n/a</v>
      </c>
      <c r="CS38" s="225" t="str">
        <f t="shared" si="56"/>
        <v>n/a</v>
      </c>
      <c r="CT38" s="225" t="str">
        <f t="shared" si="56"/>
        <v>n/a</v>
      </c>
      <c r="CU38" s="225" t="str">
        <f t="shared" si="56"/>
        <v>n/a</v>
      </c>
      <c r="CV38" s="225" t="str">
        <f t="shared" si="56"/>
        <v>n/a</v>
      </c>
      <c r="CW38" s="225" t="str">
        <f t="shared" si="56"/>
        <v>n/a</v>
      </c>
      <c r="CX38" s="225" t="str">
        <f t="shared" si="56"/>
        <v>n/a</v>
      </c>
      <c r="CY38" s="225" t="str">
        <f t="shared" si="56"/>
        <v>n/a</v>
      </c>
      <c r="CZ38" s="225" t="str">
        <f t="shared" si="56"/>
        <v>n/a</v>
      </c>
      <c r="DA38" s="225" t="str">
        <f t="shared" si="56"/>
        <v>n/a</v>
      </c>
      <c r="DB38" s="225" t="str">
        <f t="shared" si="56"/>
        <v>n/a</v>
      </c>
      <c r="DC38" s="214" t="str">
        <f t="shared" si="56"/>
        <v>n/a</v>
      </c>
    </row>
    <row r="39" spans="3:107" x14ac:dyDescent="0.3">
      <c r="G39" s="203"/>
      <c r="K39" s="203"/>
      <c r="W39" s="203"/>
      <c r="AI39" s="203"/>
      <c r="AU39" s="203"/>
      <c r="BG39" s="203"/>
      <c r="BS39" s="203"/>
      <c r="CE39" s="203"/>
      <c r="CQ39" s="203"/>
      <c r="DC39" s="203"/>
    </row>
    <row r="40" spans="3:107" x14ac:dyDescent="0.3">
      <c r="C40" s="101" t="str">
        <f>++C27</f>
        <v>Interest Expense (Income)</v>
      </c>
      <c r="G40" s="374">
        <f>++G27</f>
        <v>0</v>
      </c>
      <c r="H40" s="200">
        <f t="shared" ref="H40:BS40" si="57">++H27</f>
        <v>0</v>
      </c>
      <c r="I40" s="200">
        <f t="shared" si="57"/>
        <v>0</v>
      </c>
      <c r="J40" s="200">
        <f t="shared" si="57"/>
        <v>0</v>
      </c>
      <c r="K40" s="374">
        <f t="shared" si="57"/>
        <v>0</v>
      </c>
      <c r="L40" s="200">
        <f t="shared" si="57"/>
        <v>0</v>
      </c>
      <c r="M40" s="200">
        <f t="shared" si="57"/>
        <v>0</v>
      </c>
      <c r="N40" s="200">
        <f t="shared" si="57"/>
        <v>0</v>
      </c>
      <c r="O40" s="200">
        <f t="shared" si="57"/>
        <v>0</v>
      </c>
      <c r="P40" s="200">
        <f t="shared" si="57"/>
        <v>0</v>
      </c>
      <c r="Q40" s="200">
        <f t="shared" si="57"/>
        <v>0</v>
      </c>
      <c r="R40" s="200">
        <f t="shared" si="57"/>
        <v>0</v>
      </c>
      <c r="S40" s="200">
        <f t="shared" si="57"/>
        <v>0</v>
      </c>
      <c r="T40" s="200">
        <f t="shared" si="57"/>
        <v>0</v>
      </c>
      <c r="U40" s="200">
        <f t="shared" si="57"/>
        <v>0</v>
      </c>
      <c r="V40" s="200">
        <f t="shared" si="57"/>
        <v>0</v>
      </c>
      <c r="W40" s="374">
        <f t="shared" si="57"/>
        <v>0</v>
      </c>
      <c r="X40" s="200">
        <f t="shared" si="57"/>
        <v>0</v>
      </c>
      <c r="Y40" s="200">
        <f t="shared" si="57"/>
        <v>0</v>
      </c>
      <c r="Z40" s="200">
        <f t="shared" si="57"/>
        <v>0</v>
      </c>
      <c r="AA40" s="200">
        <f t="shared" si="57"/>
        <v>0</v>
      </c>
      <c r="AB40" s="200">
        <f t="shared" si="57"/>
        <v>0</v>
      </c>
      <c r="AC40" s="200">
        <f t="shared" si="57"/>
        <v>0</v>
      </c>
      <c r="AD40" s="200">
        <f t="shared" si="57"/>
        <v>0</v>
      </c>
      <c r="AE40" s="200">
        <f t="shared" si="57"/>
        <v>0</v>
      </c>
      <c r="AF40" s="200">
        <f t="shared" si="57"/>
        <v>0</v>
      </c>
      <c r="AG40" s="200">
        <f t="shared" si="57"/>
        <v>0</v>
      </c>
      <c r="AH40" s="200">
        <f t="shared" si="57"/>
        <v>0</v>
      </c>
      <c r="AI40" s="374">
        <f t="shared" si="57"/>
        <v>0</v>
      </c>
      <c r="AJ40" s="200">
        <f t="shared" si="57"/>
        <v>0</v>
      </c>
      <c r="AK40" s="200">
        <f t="shared" si="57"/>
        <v>0</v>
      </c>
      <c r="AL40" s="200">
        <f t="shared" si="57"/>
        <v>0</v>
      </c>
      <c r="AM40" s="200">
        <f t="shared" si="57"/>
        <v>0</v>
      </c>
      <c r="AN40" s="200">
        <f t="shared" si="57"/>
        <v>0</v>
      </c>
      <c r="AO40" s="200">
        <f t="shared" si="57"/>
        <v>0</v>
      </c>
      <c r="AP40" s="200">
        <f t="shared" si="57"/>
        <v>0</v>
      </c>
      <c r="AQ40" s="200">
        <f t="shared" si="57"/>
        <v>0</v>
      </c>
      <c r="AR40" s="200">
        <f t="shared" si="57"/>
        <v>0</v>
      </c>
      <c r="AS40" s="200">
        <f t="shared" si="57"/>
        <v>0</v>
      </c>
      <c r="AT40" s="200">
        <f t="shared" si="57"/>
        <v>0</v>
      </c>
      <c r="AU40" s="374">
        <f t="shared" si="57"/>
        <v>0</v>
      </c>
      <c r="AV40" s="200">
        <f t="shared" si="57"/>
        <v>0</v>
      </c>
      <c r="AW40" s="200">
        <f t="shared" si="57"/>
        <v>0</v>
      </c>
      <c r="AX40" s="200">
        <f t="shared" si="57"/>
        <v>0</v>
      </c>
      <c r="AY40" s="200">
        <f t="shared" si="57"/>
        <v>0</v>
      </c>
      <c r="AZ40" s="200">
        <f t="shared" si="57"/>
        <v>0</v>
      </c>
      <c r="BA40" s="200">
        <f t="shared" si="57"/>
        <v>0</v>
      </c>
      <c r="BB40" s="200">
        <f t="shared" si="57"/>
        <v>0</v>
      </c>
      <c r="BC40" s="200">
        <f t="shared" si="57"/>
        <v>0</v>
      </c>
      <c r="BD40" s="200">
        <f t="shared" si="57"/>
        <v>0</v>
      </c>
      <c r="BE40" s="200">
        <f t="shared" si="57"/>
        <v>0</v>
      </c>
      <c r="BF40" s="200">
        <f t="shared" si="57"/>
        <v>0</v>
      </c>
      <c r="BG40" s="374">
        <f t="shared" si="57"/>
        <v>0</v>
      </c>
      <c r="BH40" s="200">
        <f t="shared" si="57"/>
        <v>0</v>
      </c>
      <c r="BI40" s="200">
        <f t="shared" si="57"/>
        <v>0</v>
      </c>
      <c r="BJ40" s="200">
        <f t="shared" si="57"/>
        <v>0</v>
      </c>
      <c r="BK40" s="200">
        <f t="shared" si="57"/>
        <v>0</v>
      </c>
      <c r="BL40" s="200">
        <f t="shared" si="57"/>
        <v>0</v>
      </c>
      <c r="BM40" s="200">
        <f t="shared" si="57"/>
        <v>0</v>
      </c>
      <c r="BN40" s="200">
        <f t="shared" si="57"/>
        <v>0</v>
      </c>
      <c r="BO40" s="200">
        <f t="shared" si="57"/>
        <v>0</v>
      </c>
      <c r="BP40" s="200">
        <f t="shared" si="57"/>
        <v>0</v>
      </c>
      <c r="BQ40" s="200">
        <f t="shared" si="57"/>
        <v>0</v>
      </c>
      <c r="BR40" s="200">
        <f t="shared" si="57"/>
        <v>0</v>
      </c>
      <c r="BS40" s="374">
        <f t="shared" si="57"/>
        <v>0</v>
      </c>
      <c r="BT40" s="200">
        <f t="shared" ref="BT40:DC40" si="58">++BT27</f>
        <v>0</v>
      </c>
      <c r="BU40" s="200">
        <f t="shared" si="58"/>
        <v>0</v>
      </c>
      <c r="BV40" s="200">
        <f t="shared" si="58"/>
        <v>0</v>
      </c>
      <c r="BW40" s="200">
        <f t="shared" si="58"/>
        <v>0</v>
      </c>
      <c r="BX40" s="200">
        <f t="shared" si="58"/>
        <v>0</v>
      </c>
      <c r="BY40" s="200">
        <f t="shared" si="58"/>
        <v>0</v>
      </c>
      <c r="BZ40" s="200">
        <f t="shared" si="58"/>
        <v>0</v>
      </c>
      <c r="CA40" s="200">
        <f t="shared" si="58"/>
        <v>0</v>
      </c>
      <c r="CB40" s="200">
        <f t="shared" si="58"/>
        <v>0</v>
      </c>
      <c r="CC40" s="200">
        <f t="shared" si="58"/>
        <v>0</v>
      </c>
      <c r="CD40" s="200">
        <f t="shared" si="58"/>
        <v>0</v>
      </c>
      <c r="CE40" s="374">
        <f t="shared" si="58"/>
        <v>0</v>
      </c>
      <c r="CF40" s="200">
        <f t="shared" si="58"/>
        <v>0</v>
      </c>
      <c r="CG40" s="200">
        <f t="shared" si="58"/>
        <v>0</v>
      </c>
      <c r="CH40" s="200">
        <f t="shared" si="58"/>
        <v>0</v>
      </c>
      <c r="CI40" s="200">
        <f t="shared" si="58"/>
        <v>0</v>
      </c>
      <c r="CJ40" s="200">
        <f t="shared" si="58"/>
        <v>0</v>
      </c>
      <c r="CK40" s="200">
        <f t="shared" si="58"/>
        <v>0</v>
      </c>
      <c r="CL40" s="200">
        <f t="shared" si="58"/>
        <v>0</v>
      </c>
      <c r="CM40" s="200">
        <f t="shared" si="58"/>
        <v>0</v>
      </c>
      <c r="CN40" s="200">
        <f t="shared" si="58"/>
        <v>0</v>
      </c>
      <c r="CO40" s="200">
        <f t="shared" si="58"/>
        <v>0</v>
      </c>
      <c r="CP40" s="200">
        <f t="shared" si="58"/>
        <v>0</v>
      </c>
      <c r="CQ40" s="374">
        <f t="shared" si="58"/>
        <v>0</v>
      </c>
      <c r="CR40" s="200">
        <f t="shared" si="58"/>
        <v>0</v>
      </c>
      <c r="CS40" s="200">
        <f t="shared" si="58"/>
        <v>0</v>
      </c>
      <c r="CT40" s="200">
        <f t="shared" si="58"/>
        <v>0</v>
      </c>
      <c r="CU40" s="200">
        <f t="shared" si="58"/>
        <v>0</v>
      </c>
      <c r="CV40" s="200">
        <f t="shared" si="58"/>
        <v>0</v>
      </c>
      <c r="CW40" s="200">
        <f t="shared" si="58"/>
        <v>0</v>
      </c>
      <c r="CX40" s="200">
        <f t="shared" si="58"/>
        <v>0</v>
      </c>
      <c r="CY40" s="200">
        <f t="shared" si="58"/>
        <v>0</v>
      </c>
      <c r="CZ40" s="200">
        <f t="shared" si="58"/>
        <v>0</v>
      </c>
      <c r="DA40" s="200">
        <f t="shared" si="58"/>
        <v>0</v>
      </c>
      <c r="DB40" s="200">
        <f t="shared" si="58"/>
        <v>0</v>
      </c>
      <c r="DC40" s="374">
        <f t="shared" si="58"/>
        <v>0</v>
      </c>
    </row>
    <row r="41" spans="3:107" x14ac:dyDescent="0.3">
      <c r="C41" s="101" t="str">
        <f>++C33</f>
        <v>Tax Expense (Benefit)</v>
      </c>
      <c r="G41" s="374">
        <f>++G33</f>
        <v>0</v>
      </c>
      <c r="H41" s="200">
        <f t="shared" ref="H41:BS41" si="59">++H33</f>
        <v>0</v>
      </c>
      <c r="I41" s="200">
        <f t="shared" si="59"/>
        <v>0</v>
      </c>
      <c r="J41" s="200">
        <f t="shared" si="59"/>
        <v>0</v>
      </c>
      <c r="K41" s="374">
        <f t="shared" si="59"/>
        <v>0</v>
      </c>
      <c r="L41" s="200">
        <f t="shared" si="59"/>
        <v>0</v>
      </c>
      <c r="M41" s="200">
        <f t="shared" si="59"/>
        <v>0</v>
      </c>
      <c r="N41" s="200">
        <f t="shared" si="59"/>
        <v>0</v>
      </c>
      <c r="O41" s="200">
        <f t="shared" si="59"/>
        <v>0</v>
      </c>
      <c r="P41" s="200">
        <f t="shared" si="59"/>
        <v>0</v>
      </c>
      <c r="Q41" s="200">
        <f t="shared" si="59"/>
        <v>0</v>
      </c>
      <c r="R41" s="200">
        <f t="shared" si="59"/>
        <v>0</v>
      </c>
      <c r="S41" s="200">
        <f t="shared" si="59"/>
        <v>0</v>
      </c>
      <c r="T41" s="200">
        <f t="shared" si="59"/>
        <v>0</v>
      </c>
      <c r="U41" s="200">
        <f t="shared" si="59"/>
        <v>0</v>
      </c>
      <c r="V41" s="200">
        <f t="shared" si="59"/>
        <v>0</v>
      </c>
      <c r="W41" s="374">
        <f t="shared" si="59"/>
        <v>0</v>
      </c>
      <c r="X41" s="200">
        <f t="shared" si="59"/>
        <v>0</v>
      </c>
      <c r="Y41" s="200">
        <f t="shared" si="59"/>
        <v>0</v>
      </c>
      <c r="Z41" s="200">
        <f t="shared" si="59"/>
        <v>0</v>
      </c>
      <c r="AA41" s="200">
        <f t="shared" si="59"/>
        <v>0</v>
      </c>
      <c r="AB41" s="200">
        <f t="shared" si="59"/>
        <v>0</v>
      </c>
      <c r="AC41" s="200">
        <f t="shared" si="59"/>
        <v>0</v>
      </c>
      <c r="AD41" s="200">
        <f t="shared" si="59"/>
        <v>0</v>
      </c>
      <c r="AE41" s="200">
        <f t="shared" si="59"/>
        <v>0</v>
      </c>
      <c r="AF41" s="200">
        <f t="shared" si="59"/>
        <v>0</v>
      </c>
      <c r="AG41" s="200">
        <f t="shared" si="59"/>
        <v>0</v>
      </c>
      <c r="AH41" s="200">
        <f t="shared" si="59"/>
        <v>0</v>
      </c>
      <c r="AI41" s="374">
        <f t="shared" si="59"/>
        <v>0</v>
      </c>
      <c r="AJ41" s="200">
        <f t="shared" si="59"/>
        <v>0</v>
      </c>
      <c r="AK41" s="200">
        <f t="shared" si="59"/>
        <v>0</v>
      </c>
      <c r="AL41" s="200">
        <f t="shared" si="59"/>
        <v>0</v>
      </c>
      <c r="AM41" s="200">
        <f t="shared" si="59"/>
        <v>0</v>
      </c>
      <c r="AN41" s="200">
        <f t="shared" si="59"/>
        <v>0</v>
      </c>
      <c r="AO41" s="200">
        <f t="shared" si="59"/>
        <v>0</v>
      </c>
      <c r="AP41" s="200">
        <f t="shared" si="59"/>
        <v>0</v>
      </c>
      <c r="AQ41" s="200">
        <f t="shared" si="59"/>
        <v>0</v>
      </c>
      <c r="AR41" s="200">
        <f t="shared" si="59"/>
        <v>0</v>
      </c>
      <c r="AS41" s="200">
        <f t="shared" si="59"/>
        <v>0</v>
      </c>
      <c r="AT41" s="200">
        <f t="shared" si="59"/>
        <v>0</v>
      </c>
      <c r="AU41" s="374">
        <f t="shared" si="59"/>
        <v>0</v>
      </c>
      <c r="AV41" s="200">
        <f t="shared" si="59"/>
        <v>0</v>
      </c>
      <c r="AW41" s="200">
        <f t="shared" si="59"/>
        <v>0</v>
      </c>
      <c r="AX41" s="200">
        <f t="shared" si="59"/>
        <v>0</v>
      </c>
      <c r="AY41" s="200">
        <f t="shared" si="59"/>
        <v>0</v>
      </c>
      <c r="AZ41" s="200">
        <f t="shared" si="59"/>
        <v>0</v>
      </c>
      <c r="BA41" s="200">
        <f t="shared" si="59"/>
        <v>0</v>
      </c>
      <c r="BB41" s="200">
        <f t="shared" si="59"/>
        <v>0</v>
      </c>
      <c r="BC41" s="200">
        <f t="shared" si="59"/>
        <v>0</v>
      </c>
      <c r="BD41" s="200">
        <f t="shared" si="59"/>
        <v>0</v>
      </c>
      <c r="BE41" s="200">
        <f t="shared" si="59"/>
        <v>0</v>
      </c>
      <c r="BF41" s="200">
        <f t="shared" si="59"/>
        <v>0</v>
      </c>
      <c r="BG41" s="374">
        <f t="shared" si="59"/>
        <v>0</v>
      </c>
      <c r="BH41" s="200">
        <f t="shared" si="59"/>
        <v>0</v>
      </c>
      <c r="BI41" s="200">
        <f t="shared" si="59"/>
        <v>0</v>
      </c>
      <c r="BJ41" s="200">
        <f t="shared" si="59"/>
        <v>0</v>
      </c>
      <c r="BK41" s="200">
        <f t="shared" si="59"/>
        <v>0</v>
      </c>
      <c r="BL41" s="200">
        <f t="shared" si="59"/>
        <v>0</v>
      </c>
      <c r="BM41" s="200">
        <f t="shared" si="59"/>
        <v>0</v>
      </c>
      <c r="BN41" s="200">
        <f t="shared" si="59"/>
        <v>0</v>
      </c>
      <c r="BO41" s="200">
        <f t="shared" si="59"/>
        <v>0</v>
      </c>
      <c r="BP41" s="200">
        <f t="shared" si="59"/>
        <v>0</v>
      </c>
      <c r="BQ41" s="200">
        <f t="shared" si="59"/>
        <v>0</v>
      </c>
      <c r="BR41" s="200">
        <f t="shared" si="59"/>
        <v>0</v>
      </c>
      <c r="BS41" s="374">
        <f t="shared" si="59"/>
        <v>0</v>
      </c>
      <c r="BT41" s="200">
        <f t="shared" ref="BT41:DC41" si="60">++BT33</f>
        <v>0</v>
      </c>
      <c r="BU41" s="200">
        <f t="shared" si="60"/>
        <v>0</v>
      </c>
      <c r="BV41" s="200">
        <f t="shared" si="60"/>
        <v>0</v>
      </c>
      <c r="BW41" s="200">
        <f t="shared" si="60"/>
        <v>0</v>
      </c>
      <c r="BX41" s="200">
        <f t="shared" si="60"/>
        <v>0</v>
      </c>
      <c r="BY41" s="200">
        <f t="shared" si="60"/>
        <v>0</v>
      </c>
      <c r="BZ41" s="200">
        <f t="shared" si="60"/>
        <v>0</v>
      </c>
      <c r="CA41" s="200">
        <f t="shared" si="60"/>
        <v>0</v>
      </c>
      <c r="CB41" s="200">
        <f t="shared" si="60"/>
        <v>0</v>
      </c>
      <c r="CC41" s="200">
        <f t="shared" si="60"/>
        <v>0</v>
      </c>
      <c r="CD41" s="200">
        <f t="shared" si="60"/>
        <v>0</v>
      </c>
      <c r="CE41" s="374">
        <f t="shared" si="60"/>
        <v>0</v>
      </c>
      <c r="CF41" s="200">
        <f t="shared" si="60"/>
        <v>0</v>
      </c>
      <c r="CG41" s="200">
        <f t="shared" si="60"/>
        <v>0</v>
      </c>
      <c r="CH41" s="200">
        <f t="shared" si="60"/>
        <v>0</v>
      </c>
      <c r="CI41" s="200">
        <f t="shared" si="60"/>
        <v>0</v>
      </c>
      <c r="CJ41" s="200">
        <f t="shared" si="60"/>
        <v>0</v>
      </c>
      <c r="CK41" s="200">
        <f t="shared" si="60"/>
        <v>0</v>
      </c>
      <c r="CL41" s="200">
        <f t="shared" si="60"/>
        <v>0</v>
      </c>
      <c r="CM41" s="200">
        <f t="shared" si="60"/>
        <v>0</v>
      </c>
      <c r="CN41" s="200">
        <f t="shared" si="60"/>
        <v>0</v>
      </c>
      <c r="CO41" s="200">
        <f t="shared" si="60"/>
        <v>0</v>
      </c>
      <c r="CP41" s="200">
        <f t="shared" si="60"/>
        <v>0</v>
      </c>
      <c r="CQ41" s="374">
        <f t="shared" si="60"/>
        <v>0</v>
      </c>
      <c r="CR41" s="200">
        <f t="shared" si="60"/>
        <v>0</v>
      </c>
      <c r="CS41" s="200">
        <f t="shared" si="60"/>
        <v>0</v>
      </c>
      <c r="CT41" s="200">
        <f t="shared" si="60"/>
        <v>0</v>
      </c>
      <c r="CU41" s="200">
        <f t="shared" si="60"/>
        <v>0</v>
      </c>
      <c r="CV41" s="200">
        <f t="shared" si="60"/>
        <v>0</v>
      </c>
      <c r="CW41" s="200">
        <f t="shared" si="60"/>
        <v>0</v>
      </c>
      <c r="CX41" s="200">
        <f t="shared" si="60"/>
        <v>0</v>
      </c>
      <c r="CY41" s="200">
        <f t="shared" si="60"/>
        <v>0</v>
      </c>
      <c r="CZ41" s="200">
        <f t="shared" si="60"/>
        <v>0</v>
      </c>
      <c r="DA41" s="200">
        <f t="shared" si="60"/>
        <v>0</v>
      </c>
      <c r="DB41" s="200">
        <f t="shared" si="60"/>
        <v>0</v>
      </c>
      <c r="DC41" s="374">
        <f t="shared" si="60"/>
        <v>0</v>
      </c>
    </row>
    <row r="42" spans="3:107" x14ac:dyDescent="0.3">
      <c r="C42" s="101" t="str">
        <f>++C20</f>
        <v>Depreciation</v>
      </c>
      <c r="G42" s="374">
        <f>++G20</f>
        <v>0</v>
      </c>
      <c r="H42" s="200">
        <f t="shared" ref="H42:BS43" si="61">++H20</f>
        <v>0</v>
      </c>
      <c r="I42" s="200">
        <f t="shared" si="61"/>
        <v>0</v>
      </c>
      <c r="J42" s="200">
        <f t="shared" si="61"/>
        <v>0</v>
      </c>
      <c r="K42" s="374">
        <f t="shared" si="61"/>
        <v>0</v>
      </c>
      <c r="L42" s="200">
        <f t="shared" si="61"/>
        <v>0</v>
      </c>
      <c r="M42" s="200">
        <f t="shared" si="61"/>
        <v>0</v>
      </c>
      <c r="N42" s="200">
        <f t="shared" si="61"/>
        <v>0</v>
      </c>
      <c r="O42" s="200">
        <f t="shared" si="61"/>
        <v>0</v>
      </c>
      <c r="P42" s="200">
        <f t="shared" si="61"/>
        <v>0</v>
      </c>
      <c r="Q42" s="200">
        <f t="shared" si="61"/>
        <v>0</v>
      </c>
      <c r="R42" s="200">
        <f t="shared" si="61"/>
        <v>0</v>
      </c>
      <c r="S42" s="200">
        <f t="shared" si="61"/>
        <v>0</v>
      </c>
      <c r="T42" s="200">
        <f t="shared" si="61"/>
        <v>0</v>
      </c>
      <c r="U42" s="200">
        <f t="shared" si="61"/>
        <v>0</v>
      </c>
      <c r="V42" s="200">
        <f t="shared" si="61"/>
        <v>0</v>
      </c>
      <c r="W42" s="374">
        <f t="shared" si="61"/>
        <v>0</v>
      </c>
      <c r="X42" s="200">
        <f t="shared" si="61"/>
        <v>0</v>
      </c>
      <c r="Y42" s="200">
        <f t="shared" si="61"/>
        <v>0</v>
      </c>
      <c r="Z42" s="200">
        <f t="shared" si="61"/>
        <v>0</v>
      </c>
      <c r="AA42" s="200">
        <f t="shared" si="61"/>
        <v>0</v>
      </c>
      <c r="AB42" s="200">
        <f t="shared" si="61"/>
        <v>0</v>
      </c>
      <c r="AC42" s="200">
        <f t="shared" si="61"/>
        <v>0</v>
      </c>
      <c r="AD42" s="200">
        <f t="shared" si="61"/>
        <v>0</v>
      </c>
      <c r="AE42" s="200">
        <f t="shared" si="61"/>
        <v>0</v>
      </c>
      <c r="AF42" s="200">
        <f t="shared" si="61"/>
        <v>0</v>
      </c>
      <c r="AG42" s="200">
        <f t="shared" si="61"/>
        <v>0</v>
      </c>
      <c r="AH42" s="200">
        <f t="shared" si="61"/>
        <v>0</v>
      </c>
      <c r="AI42" s="374">
        <f t="shared" si="61"/>
        <v>0</v>
      </c>
      <c r="AJ42" s="200">
        <f t="shared" si="61"/>
        <v>0</v>
      </c>
      <c r="AK42" s="200">
        <f t="shared" si="61"/>
        <v>0</v>
      </c>
      <c r="AL42" s="200">
        <f t="shared" si="61"/>
        <v>0</v>
      </c>
      <c r="AM42" s="200">
        <f t="shared" si="61"/>
        <v>0</v>
      </c>
      <c r="AN42" s="200">
        <f t="shared" si="61"/>
        <v>0</v>
      </c>
      <c r="AO42" s="200">
        <f t="shared" si="61"/>
        <v>0</v>
      </c>
      <c r="AP42" s="200">
        <f t="shared" si="61"/>
        <v>0</v>
      </c>
      <c r="AQ42" s="200">
        <f t="shared" si="61"/>
        <v>0</v>
      </c>
      <c r="AR42" s="200">
        <f t="shared" si="61"/>
        <v>0</v>
      </c>
      <c r="AS42" s="200">
        <f t="shared" si="61"/>
        <v>0</v>
      </c>
      <c r="AT42" s="200">
        <f t="shared" si="61"/>
        <v>0</v>
      </c>
      <c r="AU42" s="374">
        <f t="shared" si="61"/>
        <v>0</v>
      </c>
      <c r="AV42" s="200">
        <f t="shared" si="61"/>
        <v>0</v>
      </c>
      <c r="AW42" s="200">
        <f t="shared" si="61"/>
        <v>0</v>
      </c>
      <c r="AX42" s="200">
        <f t="shared" si="61"/>
        <v>0</v>
      </c>
      <c r="AY42" s="200">
        <f t="shared" si="61"/>
        <v>0</v>
      </c>
      <c r="AZ42" s="200">
        <f t="shared" si="61"/>
        <v>0</v>
      </c>
      <c r="BA42" s="200">
        <f t="shared" si="61"/>
        <v>0</v>
      </c>
      <c r="BB42" s="200">
        <f t="shared" si="61"/>
        <v>0</v>
      </c>
      <c r="BC42" s="200">
        <f t="shared" si="61"/>
        <v>0</v>
      </c>
      <c r="BD42" s="200">
        <f t="shared" si="61"/>
        <v>0</v>
      </c>
      <c r="BE42" s="200">
        <f t="shared" si="61"/>
        <v>0</v>
      </c>
      <c r="BF42" s="200">
        <f t="shared" si="61"/>
        <v>0</v>
      </c>
      <c r="BG42" s="374">
        <f t="shared" si="61"/>
        <v>0</v>
      </c>
      <c r="BH42" s="200">
        <f t="shared" si="61"/>
        <v>0</v>
      </c>
      <c r="BI42" s="200">
        <f t="shared" si="61"/>
        <v>0</v>
      </c>
      <c r="BJ42" s="200">
        <f t="shared" si="61"/>
        <v>0</v>
      </c>
      <c r="BK42" s="200">
        <f t="shared" si="61"/>
        <v>0</v>
      </c>
      <c r="BL42" s="200">
        <f t="shared" si="61"/>
        <v>0</v>
      </c>
      <c r="BM42" s="200">
        <f t="shared" si="61"/>
        <v>0</v>
      </c>
      <c r="BN42" s="200">
        <f t="shared" si="61"/>
        <v>0</v>
      </c>
      <c r="BO42" s="200">
        <f t="shared" si="61"/>
        <v>0</v>
      </c>
      <c r="BP42" s="200">
        <f t="shared" si="61"/>
        <v>0</v>
      </c>
      <c r="BQ42" s="200">
        <f t="shared" si="61"/>
        <v>0</v>
      </c>
      <c r="BR42" s="200">
        <f t="shared" si="61"/>
        <v>0</v>
      </c>
      <c r="BS42" s="374">
        <f t="shared" si="61"/>
        <v>0</v>
      </c>
      <c r="BT42" s="200">
        <f t="shared" ref="BT42:DC43" si="62">++BT20</f>
        <v>0</v>
      </c>
      <c r="BU42" s="200">
        <f t="shared" si="62"/>
        <v>0</v>
      </c>
      <c r="BV42" s="200">
        <f t="shared" si="62"/>
        <v>0</v>
      </c>
      <c r="BW42" s="200">
        <f t="shared" si="62"/>
        <v>0</v>
      </c>
      <c r="BX42" s="200">
        <f t="shared" si="62"/>
        <v>0</v>
      </c>
      <c r="BY42" s="200">
        <f t="shared" si="62"/>
        <v>0</v>
      </c>
      <c r="BZ42" s="200">
        <f t="shared" si="62"/>
        <v>0</v>
      </c>
      <c r="CA42" s="200">
        <f t="shared" si="62"/>
        <v>0</v>
      </c>
      <c r="CB42" s="200">
        <f t="shared" si="62"/>
        <v>0</v>
      </c>
      <c r="CC42" s="200">
        <f t="shared" si="62"/>
        <v>0</v>
      </c>
      <c r="CD42" s="200">
        <f t="shared" si="62"/>
        <v>0</v>
      </c>
      <c r="CE42" s="374">
        <f t="shared" si="62"/>
        <v>0</v>
      </c>
      <c r="CF42" s="200">
        <f t="shared" si="62"/>
        <v>0</v>
      </c>
      <c r="CG42" s="200">
        <f t="shared" si="62"/>
        <v>0</v>
      </c>
      <c r="CH42" s="200">
        <f t="shared" si="62"/>
        <v>0</v>
      </c>
      <c r="CI42" s="200">
        <f t="shared" si="62"/>
        <v>0</v>
      </c>
      <c r="CJ42" s="200">
        <f t="shared" si="62"/>
        <v>0</v>
      </c>
      <c r="CK42" s="200">
        <f t="shared" si="62"/>
        <v>0</v>
      </c>
      <c r="CL42" s="200">
        <f t="shared" si="62"/>
        <v>0</v>
      </c>
      <c r="CM42" s="200">
        <f t="shared" si="62"/>
        <v>0</v>
      </c>
      <c r="CN42" s="200">
        <f t="shared" si="62"/>
        <v>0</v>
      </c>
      <c r="CO42" s="200">
        <f t="shared" si="62"/>
        <v>0</v>
      </c>
      <c r="CP42" s="200">
        <f t="shared" si="62"/>
        <v>0</v>
      </c>
      <c r="CQ42" s="374">
        <f t="shared" si="62"/>
        <v>0</v>
      </c>
      <c r="CR42" s="200">
        <f t="shared" si="62"/>
        <v>0</v>
      </c>
      <c r="CS42" s="200">
        <f t="shared" si="62"/>
        <v>0</v>
      </c>
      <c r="CT42" s="200">
        <f t="shared" si="62"/>
        <v>0</v>
      </c>
      <c r="CU42" s="200">
        <f t="shared" si="62"/>
        <v>0</v>
      </c>
      <c r="CV42" s="200">
        <f t="shared" si="62"/>
        <v>0</v>
      </c>
      <c r="CW42" s="200">
        <f t="shared" si="62"/>
        <v>0</v>
      </c>
      <c r="CX42" s="200">
        <f t="shared" si="62"/>
        <v>0</v>
      </c>
      <c r="CY42" s="200">
        <f t="shared" si="62"/>
        <v>0</v>
      </c>
      <c r="CZ42" s="200">
        <f t="shared" si="62"/>
        <v>0</v>
      </c>
      <c r="DA42" s="200">
        <f t="shared" si="62"/>
        <v>0</v>
      </c>
      <c r="DB42" s="200">
        <f t="shared" si="62"/>
        <v>0</v>
      </c>
      <c r="DC42" s="374">
        <f t="shared" si="62"/>
        <v>0</v>
      </c>
    </row>
    <row r="43" spans="3:107" x14ac:dyDescent="0.3">
      <c r="C43" s="101" t="str">
        <f t="shared" ref="C43" si="63">++C21</f>
        <v>Amortization</v>
      </c>
      <c r="G43" s="374">
        <f t="shared" ref="G43:BR43" si="64">++G21</f>
        <v>0</v>
      </c>
      <c r="H43" s="200">
        <f t="shared" si="64"/>
        <v>0</v>
      </c>
      <c r="I43" s="200">
        <f t="shared" si="64"/>
        <v>0</v>
      </c>
      <c r="J43" s="200">
        <f t="shared" si="64"/>
        <v>0</v>
      </c>
      <c r="K43" s="374">
        <f t="shared" si="64"/>
        <v>0</v>
      </c>
      <c r="L43" s="200">
        <f t="shared" si="64"/>
        <v>0</v>
      </c>
      <c r="M43" s="200">
        <f t="shared" si="64"/>
        <v>0</v>
      </c>
      <c r="N43" s="200">
        <f t="shared" si="64"/>
        <v>0</v>
      </c>
      <c r="O43" s="200">
        <f t="shared" si="64"/>
        <v>0</v>
      </c>
      <c r="P43" s="200">
        <f t="shared" si="64"/>
        <v>0</v>
      </c>
      <c r="Q43" s="200">
        <f t="shared" si="64"/>
        <v>0</v>
      </c>
      <c r="R43" s="200">
        <f t="shared" si="64"/>
        <v>0</v>
      </c>
      <c r="S43" s="200">
        <f t="shared" si="64"/>
        <v>0</v>
      </c>
      <c r="T43" s="200">
        <f t="shared" si="64"/>
        <v>0</v>
      </c>
      <c r="U43" s="200">
        <f t="shared" si="64"/>
        <v>0</v>
      </c>
      <c r="V43" s="200">
        <f t="shared" si="64"/>
        <v>0</v>
      </c>
      <c r="W43" s="374">
        <f t="shared" si="64"/>
        <v>0</v>
      </c>
      <c r="X43" s="200">
        <f t="shared" si="64"/>
        <v>0</v>
      </c>
      <c r="Y43" s="200">
        <f t="shared" si="64"/>
        <v>0</v>
      </c>
      <c r="Z43" s="200">
        <f t="shared" si="64"/>
        <v>0</v>
      </c>
      <c r="AA43" s="200">
        <f t="shared" si="64"/>
        <v>0</v>
      </c>
      <c r="AB43" s="200">
        <f t="shared" si="64"/>
        <v>0</v>
      </c>
      <c r="AC43" s="200">
        <f t="shared" si="64"/>
        <v>0</v>
      </c>
      <c r="AD43" s="200">
        <f t="shared" si="64"/>
        <v>0</v>
      </c>
      <c r="AE43" s="200">
        <f t="shared" si="64"/>
        <v>0</v>
      </c>
      <c r="AF43" s="200">
        <f t="shared" si="64"/>
        <v>0</v>
      </c>
      <c r="AG43" s="200">
        <f t="shared" si="64"/>
        <v>0</v>
      </c>
      <c r="AH43" s="200">
        <f t="shared" si="64"/>
        <v>0</v>
      </c>
      <c r="AI43" s="374">
        <f t="shared" si="64"/>
        <v>0</v>
      </c>
      <c r="AJ43" s="200">
        <f t="shared" si="64"/>
        <v>0</v>
      </c>
      <c r="AK43" s="200">
        <f t="shared" si="64"/>
        <v>0</v>
      </c>
      <c r="AL43" s="200">
        <f t="shared" si="64"/>
        <v>0</v>
      </c>
      <c r="AM43" s="200">
        <f t="shared" si="64"/>
        <v>0</v>
      </c>
      <c r="AN43" s="200">
        <f t="shared" si="64"/>
        <v>0</v>
      </c>
      <c r="AO43" s="200">
        <f t="shared" si="64"/>
        <v>0</v>
      </c>
      <c r="AP43" s="200">
        <f t="shared" si="64"/>
        <v>0</v>
      </c>
      <c r="AQ43" s="200">
        <f t="shared" si="64"/>
        <v>0</v>
      </c>
      <c r="AR43" s="200">
        <f t="shared" si="64"/>
        <v>0</v>
      </c>
      <c r="AS43" s="200">
        <f t="shared" si="64"/>
        <v>0</v>
      </c>
      <c r="AT43" s="200">
        <f t="shared" si="64"/>
        <v>0</v>
      </c>
      <c r="AU43" s="374">
        <f t="shared" si="64"/>
        <v>0</v>
      </c>
      <c r="AV43" s="200">
        <f t="shared" si="64"/>
        <v>0</v>
      </c>
      <c r="AW43" s="200">
        <f t="shared" si="64"/>
        <v>0</v>
      </c>
      <c r="AX43" s="200">
        <f t="shared" si="64"/>
        <v>0</v>
      </c>
      <c r="AY43" s="200">
        <f t="shared" si="64"/>
        <v>0</v>
      </c>
      <c r="AZ43" s="200">
        <f t="shared" si="64"/>
        <v>0</v>
      </c>
      <c r="BA43" s="200">
        <f t="shared" si="64"/>
        <v>0</v>
      </c>
      <c r="BB43" s="200">
        <f t="shared" si="64"/>
        <v>0</v>
      </c>
      <c r="BC43" s="200">
        <f t="shared" si="64"/>
        <v>0</v>
      </c>
      <c r="BD43" s="200">
        <f t="shared" si="64"/>
        <v>0</v>
      </c>
      <c r="BE43" s="200">
        <f t="shared" si="64"/>
        <v>0</v>
      </c>
      <c r="BF43" s="200">
        <f t="shared" si="64"/>
        <v>0</v>
      </c>
      <c r="BG43" s="374">
        <f t="shared" si="64"/>
        <v>0</v>
      </c>
      <c r="BH43" s="200">
        <f t="shared" si="64"/>
        <v>0</v>
      </c>
      <c r="BI43" s="200">
        <f t="shared" si="64"/>
        <v>0</v>
      </c>
      <c r="BJ43" s="200">
        <f t="shared" si="64"/>
        <v>0</v>
      </c>
      <c r="BK43" s="200">
        <f t="shared" si="64"/>
        <v>0</v>
      </c>
      <c r="BL43" s="200">
        <f t="shared" si="64"/>
        <v>0</v>
      </c>
      <c r="BM43" s="200">
        <f t="shared" si="64"/>
        <v>0</v>
      </c>
      <c r="BN43" s="200">
        <f t="shared" si="64"/>
        <v>0</v>
      </c>
      <c r="BO43" s="200">
        <f t="shared" si="64"/>
        <v>0</v>
      </c>
      <c r="BP43" s="200">
        <f t="shared" si="64"/>
        <v>0</v>
      </c>
      <c r="BQ43" s="200">
        <f t="shared" si="64"/>
        <v>0</v>
      </c>
      <c r="BR43" s="200">
        <f t="shared" si="64"/>
        <v>0</v>
      </c>
      <c r="BS43" s="374">
        <f t="shared" si="61"/>
        <v>0</v>
      </c>
      <c r="BT43" s="200">
        <f t="shared" si="62"/>
        <v>0</v>
      </c>
      <c r="BU43" s="200">
        <f t="shared" si="62"/>
        <v>0</v>
      </c>
      <c r="BV43" s="200">
        <f t="shared" si="62"/>
        <v>0</v>
      </c>
      <c r="BW43" s="200">
        <f t="shared" si="62"/>
        <v>0</v>
      </c>
      <c r="BX43" s="200">
        <f t="shared" si="62"/>
        <v>0</v>
      </c>
      <c r="BY43" s="200">
        <f t="shared" si="62"/>
        <v>0</v>
      </c>
      <c r="BZ43" s="200">
        <f t="shared" si="62"/>
        <v>0</v>
      </c>
      <c r="CA43" s="200">
        <f t="shared" si="62"/>
        <v>0</v>
      </c>
      <c r="CB43" s="200">
        <f t="shared" si="62"/>
        <v>0</v>
      </c>
      <c r="CC43" s="200">
        <f t="shared" si="62"/>
        <v>0</v>
      </c>
      <c r="CD43" s="200">
        <f t="shared" si="62"/>
        <v>0</v>
      </c>
      <c r="CE43" s="374">
        <f t="shared" si="62"/>
        <v>0</v>
      </c>
      <c r="CF43" s="200">
        <f t="shared" si="62"/>
        <v>0</v>
      </c>
      <c r="CG43" s="200">
        <f t="shared" si="62"/>
        <v>0</v>
      </c>
      <c r="CH43" s="200">
        <f t="shared" si="62"/>
        <v>0</v>
      </c>
      <c r="CI43" s="200">
        <f t="shared" si="62"/>
        <v>0</v>
      </c>
      <c r="CJ43" s="200">
        <f t="shared" si="62"/>
        <v>0</v>
      </c>
      <c r="CK43" s="200">
        <f t="shared" si="62"/>
        <v>0</v>
      </c>
      <c r="CL43" s="200">
        <f t="shared" si="62"/>
        <v>0</v>
      </c>
      <c r="CM43" s="200">
        <f t="shared" si="62"/>
        <v>0</v>
      </c>
      <c r="CN43" s="200">
        <f t="shared" si="62"/>
        <v>0</v>
      </c>
      <c r="CO43" s="200">
        <f t="shared" si="62"/>
        <v>0</v>
      </c>
      <c r="CP43" s="200">
        <f t="shared" si="62"/>
        <v>0</v>
      </c>
      <c r="CQ43" s="374">
        <f t="shared" si="62"/>
        <v>0</v>
      </c>
      <c r="CR43" s="200">
        <f t="shared" si="62"/>
        <v>0</v>
      </c>
      <c r="CS43" s="200">
        <f t="shared" si="62"/>
        <v>0</v>
      </c>
      <c r="CT43" s="200">
        <f t="shared" si="62"/>
        <v>0</v>
      </c>
      <c r="CU43" s="200">
        <f t="shared" si="62"/>
        <v>0</v>
      </c>
      <c r="CV43" s="200">
        <f t="shared" si="62"/>
        <v>0</v>
      </c>
      <c r="CW43" s="200">
        <f t="shared" si="62"/>
        <v>0</v>
      </c>
      <c r="CX43" s="200">
        <f t="shared" si="62"/>
        <v>0</v>
      </c>
      <c r="CY43" s="200">
        <f t="shared" si="62"/>
        <v>0</v>
      </c>
      <c r="CZ43" s="200">
        <f t="shared" si="62"/>
        <v>0</v>
      </c>
      <c r="DA43" s="200">
        <f t="shared" si="62"/>
        <v>0</v>
      </c>
      <c r="DB43" s="200">
        <f t="shared" si="62"/>
        <v>0</v>
      </c>
      <c r="DC43" s="374">
        <f t="shared" si="62"/>
        <v>0</v>
      </c>
    </row>
    <row r="44" spans="3:107" x14ac:dyDescent="0.3">
      <c r="C44" s="231" t="s">
        <v>378</v>
      </c>
      <c r="D44" s="191"/>
      <c r="E44" s="191"/>
      <c r="G44" s="239">
        <f>++SUM(G40:G43)</f>
        <v>0</v>
      </c>
      <c r="H44" s="232">
        <f t="shared" ref="H44:BS44" si="65">++SUM(H40:H43)</f>
        <v>0</v>
      </c>
      <c r="I44" s="232">
        <f t="shared" si="65"/>
        <v>0</v>
      </c>
      <c r="J44" s="232">
        <f t="shared" si="65"/>
        <v>0</v>
      </c>
      <c r="K44" s="239">
        <f t="shared" si="65"/>
        <v>0</v>
      </c>
      <c r="L44" s="232">
        <f t="shared" si="65"/>
        <v>0</v>
      </c>
      <c r="M44" s="232">
        <f t="shared" si="65"/>
        <v>0</v>
      </c>
      <c r="N44" s="232">
        <f t="shared" si="65"/>
        <v>0</v>
      </c>
      <c r="O44" s="232">
        <f t="shared" si="65"/>
        <v>0</v>
      </c>
      <c r="P44" s="232">
        <f t="shared" si="65"/>
        <v>0</v>
      </c>
      <c r="Q44" s="232">
        <f t="shared" si="65"/>
        <v>0</v>
      </c>
      <c r="R44" s="232">
        <f t="shared" si="65"/>
        <v>0</v>
      </c>
      <c r="S44" s="232">
        <f t="shared" si="65"/>
        <v>0</v>
      </c>
      <c r="T44" s="232">
        <f t="shared" si="65"/>
        <v>0</v>
      </c>
      <c r="U44" s="232">
        <f t="shared" si="65"/>
        <v>0</v>
      </c>
      <c r="V44" s="232">
        <f t="shared" si="65"/>
        <v>0</v>
      </c>
      <c r="W44" s="239">
        <f t="shared" si="65"/>
        <v>0</v>
      </c>
      <c r="X44" s="232">
        <f t="shared" si="65"/>
        <v>0</v>
      </c>
      <c r="Y44" s="232">
        <f t="shared" si="65"/>
        <v>0</v>
      </c>
      <c r="Z44" s="232">
        <f t="shared" si="65"/>
        <v>0</v>
      </c>
      <c r="AA44" s="232">
        <f t="shared" si="65"/>
        <v>0</v>
      </c>
      <c r="AB44" s="232">
        <f t="shared" si="65"/>
        <v>0</v>
      </c>
      <c r="AC44" s="232">
        <f t="shared" si="65"/>
        <v>0</v>
      </c>
      <c r="AD44" s="232">
        <f t="shared" si="65"/>
        <v>0</v>
      </c>
      <c r="AE44" s="232">
        <f t="shared" si="65"/>
        <v>0</v>
      </c>
      <c r="AF44" s="232">
        <f t="shared" si="65"/>
        <v>0</v>
      </c>
      <c r="AG44" s="232">
        <f t="shared" si="65"/>
        <v>0</v>
      </c>
      <c r="AH44" s="232">
        <f t="shared" si="65"/>
        <v>0</v>
      </c>
      <c r="AI44" s="239">
        <f t="shared" si="65"/>
        <v>0</v>
      </c>
      <c r="AJ44" s="232">
        <f t="shared" si="65"/>
        <v>0</v>
      </c>
      <c r="AK44" s="232">
        <f t="shared" si="65"/>
        <v>0</v>
      </c>
      <c r="AL44" s="232">
        <f t="shared" si="65"/>
        <v>0</v>
      </c>
      <c r="AM44" s="232">
        <f t="shared" si="65"/>
        <v>0</v>
      </c>
      <c r="AN44" s="232">
        <f t="shared" si="65"/>
        <v>0</v>
      </c>
      <c r="AO44" s="232">
        <f t="shared" si="65"/>
        <v>0</v>
      </c>
      <c r="AP44" s="232">
        <f t="shared" si="65"/>
        <v>0</v>
      </c>
      <c r="AQ44" s="232">
        <f t="shared" si="65"/>
        <v>0</v>
      </c>
      <c r="AR44" s="232">
        <f t="shared" si="65"/>
        <v>0</v>
      </c>
      <c r="AS44" s="232">
        <f t="shared" si="65"/>
        <v>0</v>
      </c>
      <c r="AT44" s="232">
        <f t="shared" si="65"/>
        <v>0</v>
      </c>
      <c r="AU44" s="239">
        <f t="shared" si="65"/>
        <v>0</v>
      </c>
      <c r="AV44" s="232">
        <f t="shared" si="65"/>
        <v>0</v>
      </c>
      <c r="AW44" s="232">
        <f t="shared" si="65"/>
        <v>0</v>
      </c>
      <c r="AX44" s="232">
        <f t="shared" si="65"/>
        <v>0</v>
      </c>
      <c r="AY44" s="232">
        <f t="shared" si="65"/>
        <v>0</v>
      </c>
      <c r="AZ44" s="232">
        <f t="shared" si="65"/>
        <v>0</v>
      </c>
      <c r="BA44" s="232">
        <f t="shared" si="65"/>
        <v>0</v>
      </c>
      <c r="BB44" s="232">
        <f t="shared" si="65"/>
        <v>0</v>
      </c>
      <c r="BC44" s="232">
        <f t="shared" si="65"/>
        <v>0</v>
      </c>
      <c r="BD44" s="232">
        <f t="shared" si="65"/>
        <v>0</v>
      </c>
      <c r="BE44" s="232">
        <f t="shared" si="65"/>
        <v>0</v>
      </c>
      <c r="BF44" s="232">
        <f t="shared" si="65"/>
        <v>0</v>
      </c>
      <c r="BG44" s="239">
        <f t="shared" si="65"/>
        <v>0</v>
      </c>
      <c r="BH44" s="232">
        <f t="shared" si="65"/>
        <v>0</v>
      </c>
      <c r="BI44" s="232">
        <f t="shared" si="65"/>
        <v>0</v>
      </c>
      <c r="BJ44" s="232">
        <f t="shared" si="65"/>
        <v>0</v>
      </c>
      <c r="BK44" s="232">
        <f t="shared" si="65"/>
        <v>0</v>
      </c>
      <c r="BL44" s="232">
        <f t="shared" si="65"/>
        <v>0</v>
      </c>
      <c r="BM44" s="232">
        <f t="shared" si="65"/>
        <v>0</v>
      </c>
      <c r="BN44" s="232">
        <f t="shared" si="65"/>
        <v>0</v>
      </c>
      <c r="BO44" s="232">
        <f t="shared" si="65"/>
        <v>0</v>
      </c>
      <c r="BP44" s="232">
        <f t="shared" si="65"/>
        <v>0</v>
      </c>
      <c r="BQ44" s="232">
        <f t="shared" si="65"/>
        <v>0</v>
      </c>
      <c r="BR44" s="232">
        <f t="shared" si="65"/>
        <v>0</v>
      </c>
      <c r="BS44" s="239">
        <f t="shared" si="65"/>
        <v>0</v>
      </c>
      <c r="BT44" s="232">
        <f t="shared" ref="BT44:DC44" si="66">++SUM(BT40:BT43)</f>
        <v>0</v>
      </c>
      <c r="BU44" s="232">
        <f t="shared" si="66"/>
        <v>0</v>
      </c>
      <c r="BV44" s="232">
        <f t="shared" si="66"/>
        <v>0</v>
      </c>
      <c r="BW44" s="232">
        <f t="shared" si="66"/>
        <v>0</v>
      </c>
      <c r="BX44" s="232">
        <f t="shared" si="66"/>
        <v>0</v>
      </c>
      <c r="BY44" s="232">
        <f t="shared" si="66"/>
        <v>0</v>
      </c>
      <c r="BZ44" s="232">
        <f t="shared" si="66"/>
        <v>0</v>
      </c>
      <c r="CA44" s="232">
        <f t="shared" si="66"/>
        <v>0</v>
      </c>
      <c r="CB44" s="232">
        <f t="shared" si="66"/>
        <v>0</v>
      </c>
      <c r="CC44" s="232">
        <f t="shared" si="66"/>
        <v>0</v>
      </c>
      <c r="CD44" s="232">
        <f t="shared" si="66"/>
        <v>0</v>
      </c>
      <c r="CE44" s="239">
        <f t="shared" si="66"/>
        <v>0</v>
      </c>
      <c r="CF44" s="232">
        <f t="shared" si="66"/>
        <v>0</v>
      </c>
      <c r="CG44" s="232">
        <f t="shared" si="66"/>
        <v>0</v>
      </c>
      <c r="CH44" s="232">
        <f t="shared" si="66"/>
        <v>0</v>
      </c>
      <c r="CI44" s="232">
        <f t="shared" si="66"/>
        <v>0</v>
      </c>
      <c r="CJ44" s="232">
        <f t="shared" si="66"/>
        <v>0</v>
      </c>
      <c r="CK44" s="232">
        <f t="shared" si="66"/>
        <v>0</v>
      </c>
      <c r="CL44" s="232">
        <f t="shared" si="66"/>
        <v>0</v>
      </c>
      <c r="CM44" s="232">
        <f t="shared" si="66"/>
        <v>0</v>
      </c>
      <c r="CN44" s="232">
        <f t="shared" si="66"/>
        <v>0</v>
      </c>
      <c r="CO44" s="232">
        <f t="shared" si="66"/>
        <v>0</v>
      </c>
      <c r="CP44" s="232">
        <f t="shared" si="66"/>
        <v>0</v>
      </c>
      <c r="CQ44" s="239">
        <f t="shared" si="66"/>
        <v>0</v>
      </c>
      <c r="CR44" s="232">
        <f t="shared" si="66"/>
        <v>0</v>
      </c>
      <c r="CS44" s="232">
        <f t="shared" si="66"/>
        <v>0</v>
      </c>
      <c r="CT44" s="232">
        <f t="shared" si="66"/>
        <v>0</v>
      </c>
      <c r="CU44" s="232">
        <f t="shared" si="66"/>
        <v>0</v>
      </c>
      <c r="CV44" s="232">
        <f t="shared" si="66"/>
        <v>0</v>
      </c>
      <c r="CW44" s="232">
        <f t="shared" si="66"/>
        <v>0</v>
      </c>
      <c r="CX44" s="232">
        <f t="shared" si="66"/>
        <v>0</v>
      </c>
      <c r="CY44" s="232">
        <f t="shared" si="66"/>
        <v>0</v>
      </c>
      <c r="CZ44" s="232">
        <f t="shared" si="66"/>
        <v>0</v>
      </c>
      <c r="DA44" s="232">
        <f t="shared" si="66"/>
        <v>0</v>
      </c>
      <c r="DB44" s="232">
        <f t="shared" si="66"/>
        <v>0</v>
      </c>
      <c r="DC44" s="239">
        <f t="shared" si="66"/>
        <v>0</v>
      </c>
    </row>
    <row r="45" spans="3:107" x14ac:dyDescent="0.3">
      <c r="C45" s="321" t="s">
        <v>67</v>
      </c>
      <c r="G45" s="214" t="str">
        <f>++IFERROR(G44/G10,"n/a")</f>
        <v>n/a</v>
      </c>
      <c r="H45" s="225" t="str">
        <f t="shared" ref="H45:BS45" si="67">++IFERROR(H44/H10,"n/a")</f>
        <v>n/a</v>
      </c>
      <c r="I45" s="225" t="str">
        <f t="shared" si="67"/>
        <v>n/a</v>
      </c>
      <c r="J45" s="225" t="str">
        <f t="shared" si="67"/>
        <v>n/a</v>
      </c>
      <c r="K45" s="214" t="str">
        <f t="shared" si="67"/>
        <v>n/a</v>
      </c>
      <c r="L45" s="225" t="str">
        <f t="shared" si="67"/>
        <v>n/a</v>
      </c>
      <c r="M45" s="225" t="str">
        <f t="shared" si="67"/>
        <v>n/a</v>
      </c>
      <c r="N45" s="225" t="str">
        <f t="shared" si="67"/>
        <v>n/a</v>
      </c>
      <c r="O45" s="225" t="str">
        <f t="shared" si="67"/>
        <v>n/a</v>
      </c>
      <c r="P45" s="225" t="str">
        <f t="shared" si="67"/>
        <v>n/a</v>
      </c>
      <c r="Q45" s="225" t="str">
        <f t="shared" si="67"/>
        <v>n/a</v>
      </c>
      <c r="R45" s="225" t="str">
        <f t="shared" si="67"/>
        <v>n/a</v>
      </c>
      <c r="S45" s="225" t="str">
        <f t="shared" si="67"/>
        <v>n/a</v>
      </c>
      <c r="T45" s="225" t="str">
        <f t="shared" si="67"/>
        <v>n/a</v>
      </c>
      <c r="U45" s="225" t="str">
        <f t="shared" si="67"/>
        <v>n/a</v>
      </c>
      <c r="V45" s="225" t="str">
        <f t="shared" si="67"/>
        <v>n/a</v>
      </c>
      <c r="W45" s="214" t="str">
        <f t="shared" si="67"/>
        <v>n/a</v>
      </c>
      <c r="X45" s="225" t="str">
        <f t="shared" si="67"/>
        <v>n/a</v>
      </c>
      <c r="Y45" s="225" t="str">
        <f t="shared" si="67"/>
        <v>n/a</v>
      </c>
      <c r="Z45" s="225" t="str">
        <f t="shared" si="67"/>
        <v>n/a</v>
      </c>
      <c r="AA45" s="225" t="str">
        <f t="shared" si="67"/>
        <v>n/a</v>
      </c>
      <c r="AB45" s="225" t="str">
        <f t="shared" si="67"/>
        <v>n/a</v>
      </c>
      <c r="AC45" s="225" t="str">
        <f t="shared" si="67"/>
        <v>n/a</v>
      </c>
      <c r="AD45" s="225" t="str">
        <f t="shared" si="67"/>
        <v>n/a</v>
      </c>
      <c r="AE45" s="225" t="str">
        <f t="shared" si="67"/>
        <v>n/a</v>
      </c>
      <c r="AF45" s="225" t="str">
        <f t="shared" si="67"/>
        <v>n/a</v>
      </c>
      <c r="AG45" s="225" t="str">
        <f t="shared" si="67"/>
        <v>n/a</v>
      </c>
      <c r="AH45" s="225" t="str">
        <f t="shared" si="67"/>
        <v>n/a</v>
      </c>
      <c r="AI45" s="214" t="str">
        <f t="shared" si="67"/>
        <v>n/a</v>
      </c>
      <c r="AJ45" s="225" t="str">
        <f t="shared" si="67"/>
        <v>n/a</v>
      </c>
      <c r="AK45" s="225" t="str">
        <f t="shared" si="67"/>
        <v>n/a</v>
      </c>
      <c r="AL45" s="225" t="str">
        <f t="shared" si="67"/>
        <v>n/a</v>
      </c>
      <c r="AM45" s="225" t="str">
        <f t="shared" si="67"/>
        <v>n/a</v>
      </c>
      <c r="AN45" s="225" t="str">
        <f t="shared" si="67"/>
        <v>n/a</v>
      </c>
      <c r="AO45" s="225" t="str">
        <f t="shared" si="67"/>
        <v>n/a</v>
      </c>
      <c r="AP45" s="225" t="str">
        <f t="shared" si="67"/>
        <v>n/a</v>
      </c>
      <c r="AQ45" s="225" t="str">
        <f t="shared" si="67"/>
        <v>n/a</v>
      </c>
      <c r="AR45" s="225" t="str">
        <f t="shared" si="67"/>
        <v>n/a</v>
      </c>
      <c r="AS45" s="225" t="str">
        <f t="shared" si="67"/>
        <v>n/a</v>
      </c>
      <c r="AT45" s="225" t="str">
        <f t="shared" si="67"/>
        <v>n/a</v>
      </c>
      <c r="AU45" s="214" t="str">
        <f t="shared" si="67"/>
        <v>n/a</v>
      </c>
      <c r="AV45" s="225" t="str">
        <f t="shared" si="67"/>
        <v>n/a</v>
      </c>
      <c r="AW45" s="225" t="str">
        <f t="shared" si="67"/>
        <v>n/a</v>
      </c>
      <c r="AX45" s="225" t="str">
        <f t="shared" si="67"/>
        <v>n/a</v>
      </c>
      <c r="AY45" s="225" t="str">
        <f t="shared" si="67"/>
        <v>n/a</v>
      </c>
      <c r="AZ45" s="225" t="str">
        <f t="shared" si="67"/>
        <v>n/a</v>
      </c>
      <c r="BA45" s="225" t="str">
        <f t="shared" si="67"/>
        <v>n/a</v>
      </c>
      <c r="BB45" s="225" t="str">
        <f t="shared" si="67"/>
        <v>n/a</v>
      </c>
      <c r="BC45" s="225" t="str">
        <f t="shared" si="67"/>
        <v>n/a</v>
      </c>
      <c r="BD45" s="225" t="str">
        <f t="shared" si="67"/>
        <v>n/a</v>
      </c>
      <c r="BE45" s="225" t="str">
        <f t="shared" si="67"/>
        <v>n/a</v>
      </c>
      <c r="BF45" s="225" t="str">
        <f t="shared" si="67"/>
        <v>n/a</v>
      </c>
      <c r="BG45" s="214" t="str">
        <f t="shared" si="67"/>
        <v>n/a</v>
      </c>
      <c r="BH45" s="225" t="str">
        <f t="shared" si="67"/>
        <v>n/a</v>
      </c>
      <c r="BI45" s="225" t="str">
        <f t="shared" si="67"/>
        <v>n/a</v>
      </c>
      <c r="BJ45" s="225" t="str">
        <f t="shared" si="67"/>
        <v>n/a</v>
      </c>
      <c r="BK45" s="225" t="str">
        <f t="shared" si="67"/>
        <v>n/a</v>
      </c>
      <c r="BL45" s="225" t="str">
        <f t="shared" si="67"/>
        <v>n/a</v>
      </c>
      <c r="BM45" s="225" t="str">
        <f t="shared" si="67"/>
        <v>n/a</v>
      </c>
      <c r="BN45" s="225" t="str">
        <f t="shared" si="67"/>
        <v>n/a</v>
      </c>
      <c r="BO45" s="225" t="str">
        <f t="shared" si="67"/>
        <v>n/a</v>
      </c>
      <c r="BP45" s="225" t="str">
        <f t="shared" si="67"/>
        <v>n/a</v>
      </c>
      <c r="BQ45" s="225" t="str">
        <f t="shared" si="67"/>
        <v>n/a</v>
      </c>
      <c r="BR45" s="225" t="str">
        <f t="shared" si="67"/>
        <v>n/a</v>
      </c>
      <c r="BS45" s="214" t="str">
        <f t="shared" si="67"/>
        <v>n/a</v>
      </c>
      <c r="BT45" s="225" t="str">
        <f t="shared" ref="BT45:DC45" si="68">++IFERROR(BT44/BT10,"n/a")</f>
        <v>n/a</v>
      </c>
      <c r="BU45" s="225" t="str">
        <f t="shared" si="68"/>
        <v>n/a</v>
      </c>
      <c r="BV45" s="225" t="str">
        <f t="shared" si="68"/>
        <v>n/a</v>
      </c>
      <c r="BW45" s="225" t="str">
        <f t="shared" si="68"/>
        <v>n/a</v>
      </c>
      <c r="BX45" s="225" t="str">
        <f t="shared" si="68"/>
        <v>n/a</v>
      </c>
      <c r="BY45" s="225" t="str">
        <f t="shared" si="68"/>
        <v>n/a</v>
      </c>
      <c r="BZ45" s="225" t="str">
        <f t="shared" si="68"/>
        <v>n/a</v>
      </c>
      <c r="CA45" s="225" t="str">
        <f t="shared" si="68"/>
        <v>n/a</v>
      </c>
      <c r="CB45" s="225" t="str">
        <f t="shared" si="68"/>
        <v>n/a</v>
      </c>
      <c r="CC45" s="225" t="str">
        <f t="shared" si="68"/>
        <v>n/a</v>
      </c>
      <c r="CD45" s="225" t="str">
        <f t="shared" si="68"/>
        <v>n/a</v>
      </c>
      <c r="CE45" s="214" t="str">
        <f t="shared" si="68"/>
        <v>n/a</v>
      </c>
      <c r="CF45" s="225" t="str">
        <f t="shared" si="68"/>
        <v>n/a</v>
      </c>
      <c r="CG45" s="225" t="str">
        <f t="shared" si="68"/>
        <v>n/a</v>
      </c>
      <c r="CH45" s="225" t="str">
        <f t="shared" si="68"/>
        <v>n/a</v>
      </c>
      <c r="CI45" s="225" t="str">
        <f t="shared" si="68"/>
        <v>n/a</v>
      </c>
      <c r="CJ45" s="225" t="str">
        <f t="shared" si="68"/>
        <v>n/a</v>
      </c>
      <c r="CK45" s="225" t="str">
        <f t="shared" si="68"/>
        <v>n/a</v>
      </c>
      <c r="CL45" s="225" t="str">
        <f t="shared" si="68"/>
        <v>n/a</v>
      </c>
      <c r="CM45" s="225" t="str">
        <f t="shared" si="68"/>
        <v>n/a</v>
      </c>
      <c r="CN45" s="225" t="str">
        <f t="shared" si="68"/>
        <v>n/a</v>
      </c>
      <c r="CO45" s="225" t="str">
        <f t="shared" si="68"/>
        <v>n/a</v>
      </c>
      <c r="CP45" s="225" t="str">
        <f t="shared" si="68"/>
        <v>n/a</v>
      </c>
      <c r="CQ45" s="214" t="str">
        <f t="shared" si="68"/>
        <v>n/a</v>
      </c>
      <c r="CR45" s="225" t="str">
        <f t="shared" si="68"/>
        <v>n/a</v>
      </c>
      <c r="CS45" s="225" t="str">
        <f t="shared" si="68"/>
        <v>n/a</v>
      </c>
      <c r="CT45" s="225" t="str">
        <f t="shared" si="68"/>
        <v>n/a</v>
      </c>
      <c r="CU45" s="225" t="str">
        <f t="shared" si="68"/>
        <v>n/a</v>
      </c>
      <c r="CV45" s="225" t="str">
        <f t="shared" si="68"/>
        <v>n/a</v>
      </c>
      <c r="CW45" s="225" t="str">
        <f t="shared" si="68"/>
        <v>n/a</v>
      </c>
      <c r="CX45" s="225" t="str">
        <f t="shared" si="68"/>
        <v>n/a</v>
      </c>
      <c r="CY45" s="225" t="str">
        <f t="shared" si="68"/>
        <v>n/a</v>
      </c>
      <c r="CZ45" s="225" t="str">
        <f t="shared" si="68"/>
        <v>n/a</v>
      </c>
      <c r="DA45" s="225" t="str">
        <f t="shared" si="68"/>
        <v>n/a</v>
      </c>
      <c r="DB45" s="225" t="str">
        <f t="shared" si="68"/>
        <v>n/a</v>
      </c>
      <c r="DC45" s="214" t="str">
        <f t="shared" si="68"/>
        <v>n/a</v>
      </c>
    </row>
    <row r="46" spans="3:107" x14ac:dyDescent="0.3">
      <c r="C46" s="321" t="s">
        <v>65</v>
      </c>
      <c r="G46" s="122" t="s">
        <v>47</v>
      </c>
      <c r="H46" s="122" t="s">
        <v>47</v>
      </c>
      <c r="I46" s="122" t="s">
        <v>47</v>
      </c>
      <c r="J46" s="122" t="s">
        <v>47</v>
      </c>
      <c r="K46" s="214" t="str">
        <f>++IFERROR(K44/G44-1,"n/a")</f>
        <v>n/a</v>
      </c>
      <c r="L46" s="122" t="s">
        <v>47</v>
      </c>
      <c r="M46" s="122" t="s">
        <v>47</v>
      </c>
      <c r="N46" s="225" t="str">
        <f>++IFERROR(N44/H44-1,"n/a")</f>
        <v>n/a</v>
      </c>
      <c r="O46" s="122" t="s">
        <v>47</v>
      </c>
      <c r="P46" s="122" t="s">
        <v>47</v>
      </c>
      <c r="Q46" s="225" t="str">
        <f>++IFERROR(Q44/I44-1,"n/a")</f>
        <v>n/a</v>
      </c>
      <c r="R46" s="122" t="s">
        <v>47</v>
      </c>
      <c r="S46" s="122" t="s">
        <v>47</v>
      </c>
      <c r="T46" s="225" t="str">
        <f>++IFERROR(T44/J44-1,"n/a")</f>
        <v>n/a</v>
      </c>
      <c r="U46" s="122" t="s">
        <v>47</v>
      </c>
      <c r="V46" s="122" t="s">
        <v>47</v>
      </c>
      <c r="W46" s="214" t="str">
        <f t="shared" ref="W46:BB46" si="69">++IFERROR(W44/K44-1,"n/a")</f>
        <v>n/a</v>
      </c>
      <c r="X46" s="225" t="str">
        <f t="shared" si="69"/>
        <v>n/a</v>
      </c>
      <c r="Y46" s="225" t="str">
        <f t="shared" si="69"/>
        <v>n/a</v>
      </c>
      <c r="Z46" s="225" t="str">
        <f t="shared" si="69"/>
        <v>n/a</v>
      </c>
      <c r="AA46" s="225" t="str">
        <f t="shared" si="69"/>
        <v>n/a</v>
      </c>
      <c r="AB46" s="225" t="str">
        <f t="shared" si="69"/>
        <v>n/a</v>
      </c>
      <c r="AC46" s="225" t="str">
        <f t="shared" si="69"/>
        <v>n/a</v>
      </c>
      <c r="AD46" s="225" t="str">
        <f t="shared" si="69"/>
        <v>n/a</v>
      </c>
      <c r="AE46" s="225" t="str">
        <f t="shared" si="69"/>
        <v>n/a</v>
      </c>
      <c r="AF46" s="225" t="str">
        <f t="shared" si="69"/>
        <v>n/a</v>
      </c>
      <c r="AG46" s="225" t="str">
        <f t="shared" si="69"/>
        <v>n/a</v>
      </c>
      <c r="AH46" s="225" t="str">
        <f t="shared" si="69"/>
        <v>n/a</v>
      </c>
      <c r="AI46" s="214" t="str">
        <f t="shared" si="69"/>
        <v>n/a</v>
      </c>
      <c r="AJ46" s="225" t="str">
        <f t="shared" si="69"/>
        <v>n/a</v>
      </c>
      <c r="AK46" s="225" t="str">
        <f t="shared" si="69"/>
        <v>n/a</v>
      </c>
      <c r="AL46" s="225" t="str">
        <f t="shared" si="69"/>
        <v>n/a</v>
      </c>
      <c r="AM46" s="225" t="str">
        <f t="shared" si="69"/>
        <v>n/a</v>
      </c>
      <c r="AN46" s="225" t="str">
        <f t="shared" si="69"/>
        <v>n/a</v>
      </c>
      <c r="AO46" s="225" t="str">
        <f t="shared" si="69"/>
        <v>n/a</v>
      </c>
      <c r="AP46" s="225" t="str">
        <f t="shared" si="69"/>
        <v>n/a</v>
      </c>
      <c r="AQ46" s="225" t="str">
        <f t="shared" si="69"/>
        <v>n/a</v>
      </c>
      <c r="AR46" s="225" t="str">
        <f t="shared" si="69"/>
        <v>n/a</v>
      </c>
      <c r="AS46" s="225" t="str">
        <f t="shared" si="69"/>
        <v>n/a</v>
      </c>
      <c r="AT46" s="225" t="str">
        <f t="shared" si="69"/>
        <v>n/a</v>
      </c>
      <c r="AU46" s="214" t="str">
        <f t="shared" si="69"/>
        <v>n/a</v>
      </c>
      <c r="AV46" s="225" t="str">
        <f t="shared" si="69"/>
        <v>n/a</v>
      </c>
      <c r="AW46" s="225" t="str">
        <f t="shared" si="69"/>
        <v>n/a</v>
      </c>
      <c r="AX46" s="225" t="str">
        <f t="shared" si="69"/>
        <v>n/a</v>
      </c>
      <c r="AY46" s="225" t="str">
        <f t="shared" si="69"/>
        <v>n/a</v>
      </c>
      <c r="AZ46" s="225" t="str">
        <f t="shared" si="69"/>
        <v>n/a</v>
      </c>
      <c r="BA46" s="225" t="str">
        <f t="shared" si="69"/>
        <v>n/a</v>
      </c>
      <c r="BB46" s="225" t="str">
        <f t="shared" si="69"/>
        <v>n/a</v>
      </c>
      <c r="BC46" s="225" t="str">
        <f t="shared" ref="BC46:CH46" si="70">++IFERROR(BC44/AQ44-1,"n/a")</f>
        <v>n/a</v>
      </c>
      <c r="BD46" s="225" t="str">
        <f t="shared" si="70"/>
        <v>n/a</v>
      </c>
      <c r="BE46" s="225" t="str">
        <f t="shared" si="70"/>
        <v>n/a</v>
      </c>
      <c r="BF46" s="225" t="str">
        <f t="shared" si="70"/>
        <v>n/a</v>
      </c>
      <c r="BG46" s="214" t="str">
        <f t="shared" si="70"/>
        <v>n/a</v>
      </c>
      <c r="BH46" s="225" t="str">
        <f t="shared" si="70"/>
        <v>n/a</v>
      </c>
      <c r="BI46" s="225" t="str">
        <f t="shared" si="70"/>
        <v>n/a</v>
      </c>
      <c r="BJ46" s="225" t="str">
        <f t="shared" si="70"/>
        <v>n/a</v>
      </c>
      <c r="BK46" s="225" t="str">
        <f t="shared" si="70"/>
        <v>n/a</v>
      </c>
      <c r="BL46" s="225" t="str">
        <f t="shared" si="70"/>
        <v>n/a</v>
      </c>
      <c r="BM46" s="225" t="str">
        <f t="shared" si="70"/>
        <v>n/a</v>
      </c>
      <c r="BN46" s="225" t="str">
        <f t="shared" si="70"/>
        <v>n/a</v>
      </c>
      <c r="BO46" s="225" t="str">
        <f t="shared" si="70"/>
        <v>n/a</v>
      </c>
      <c r="BP46" s="225" t="str">
        <f t="shared" si="70"/>
        <v>n/a</v>
      </c>
      <c r="BQ46" s="225" t="str">
        <f t="shared" si="70"/>
        <v>n/a</v>
      </c>
      <c r="BR46" s="225" t="str">
        <f t="shared" si="70"/>
        <v>n/a</v>
      </c>
      <c r="BS46" s="214" t="str">
        <f t="shared" si="70"/>
        <v>n/a</v>
      </c>
      <c r="BT46" s="225" t="str">
        <f t="shared" si="70"/>
        <v>n/a</v>
      </c>
      <c r="BU46" s="225" t="str">
        <f t="shared" si="70"/>
        <v>n/a</v>
      </c>
      <c r="BV46" s="225" t="str">
        <f t="shared" si="70"/>
        <v>n/a</v>
      </c>
      <c r="BW46" s="225" t="str">
        <f t="shared" si="70"/>
        <v>n/a</v>
      </c>
      <c r="BX46" s="225" t="str">
        <f t="shared" si="70"/>
        <v>n/a</v>
      </c>
      <c r="BY46" s="225" t="str">
        <f t="shared" si="70"/>
        <v>n/a</v>
      </c>
      <c r="BZ46" s="225" t="str">
        <f t="shared" si="70"/>
        <v>n/a</v>
      </c>
      <c r="CA46" s="225" t="str">
        <f t="shared" si="70"/>
        <v>n/a</v>
      </c>
      <c r="CB46" s="225" t="str">
        <f t="shared" si="70"/>
        <v>n/a</v>
      </c>
      <c r="CC46" s="225" t="str">
        <f t="shared" si="70"/>
        <v>n/a</v>
      </c>
      <c r="CD46" s="225" t="str">
        <f t="shared" si="70"/>
        <v>n/a</v>
      </c>
      <c r="CE46" s="214" t="str">
        <f t="shared" si="70"/>
        <v>n/a</v>
      </c>
      <c r="CF46" s="225" t="str">
        <f t="shared" si="70"/>
        <v>n/a</v>
      </c>
      <c r="CG46" s="225" t="str">
        <f t="shared" si="70"/>
        <v>n/a</v>
      </c>
      <c r="CH46" s="225" t="str">
        <f t="shared" si="70"/>
        <v>n/a</v>
      </c>
      <c r="CI46" s="225" t="str">
        <f t="shared" ref="CI46:DN46" si="71">++IFERROR(CI44/BW44-1,"n/a")</f>
        <v>n/a</v>
      </c>
      <c r="CJ46" s="225" t="str">
        <f t="shared" si="71"/>
        <v>n/a</v>
      </c>
      <c r="CK46" s="225" t="str">
        <f t="shared" si="71"/>
        <v>n/a</v>
      </c>
      <c r="CL46" s="225" t="str">
        <f t="shared" si="71"/>
        <v>n/a</v>
      </c>
      <c r="CM46" s="225" t="str">
        <f t="shared" si="71"/>
        <v>n/a</v>
      </c>
      <c r="CN46" s="225" t="str">
        <f t="shared" si="71"/>
        <v>n/a</v>
      </c>
      <c r="CO46" s="225" t="str">
        <f t="shared" si="71"/>
        <v>n/a</v>
      </c>
      <c r="CP46" s="225" t="str">
        <f t="shared" si="71"/>
        <v>n/a</v>
      </c>
      <c r="CQ46" s="214" t="str">
        <f t="shared" si="71"/>
        <v>n/a</v>
      </c>
      <c r="CR46" s="225" t="str">
        <f t="shared" si="71"/>
        <v>n/a</v>
      </c>
      <c r="CS46" s="225" t="str">
        <f t="shared" si="71"/>
        <v>n/a</v>
      </c>
      <c r="CT46" s="225" t="str">
        <f t="shared" si="71"/>
        <v>n/a</v>
      </c>
      <c r="CU46" s="225" t="str">
        <f t="shared" si="71"/>
        <v>n/a</v>
      </c>
      <c r="CV46" s="225" t="str">
        <f t="shared" si="71"/>
        <v>n/a</v>
      </c>
      <c r="CW46" s="225" t="str">
        <f t="shared" si="71"/>
        <v>n/a</v>
      </c>
      <c r="CX46" s="225" t="str">
        <f t="shared" si="71"/>
        <v>n/a</v>
      </c>
      <c r="CY46" s="225" t="str">
        <f t="shared" si="71"/>
        <v>n/a</v>
      </c>
      <c r="CZ46" s="225" t="str">
        <f t="shared" si="71"/>
        <v>n/a</v>
      </c>
      <c r="DA46" s="225" t="str">
        <f t="shared" si="71"/>
        <v>n/a</v>
      </c>
      <c r="DB46" s="225" t="str">
        <f t="shared" si="71"/>
        <v>n/a</v>
      </c>
      <c r="DC46" s="214" t="str">
        <f t="shared" si="71"/>
        <v>n/a</v>
      </c>
    </row>
    <row r="47" spans="3:107" x14ac:dyDescent="0.3">
      <c r="G47" s="203"/>
      <c r="K47" s="203"/>
      <c r="W47" s="203"/>
      <c r="AI47" s="203"/>
      <c r="AU47" s="203"/>
      <c r="BG47" s="203"/>
      <c r="BS47" s="203"/>
      <c r="CE47" s="203"/>
      <c r="CQ47" s="203"/>
      <c r="DC47" s="203"/>
    </row>
    <row r="48" spans="3:107" x14ac:dyDescent="0.3">
      <c r="C48" s="441" t="s">
        <v>370</v>
      </c>
      <c r="D48" s="323"/>
      <c r="E48" s="323"/>
      <c r="G48" s="400">
        <v>0</v>
      </c>
      <c r="H48" s="400">
        <v>0</v>
      </c>
      <c r="I48" s="400">
        <v>0</v>
      </c>
      <c r="J48" s="400">
        <v>0</v>
      </c>
      <c r="K48" s="400">
        <v>0</v>
      </c>
      <c r="L48" s="400">
        <v>0</v>
      </c>
      <c r="M48" s="400">
        <v>0</v>
      </c>
      <c r="N48" s="400">
        <v>0</v>
      </c>
      <c r="O48" s="400">
        <v>0</v>
      </c>
      <c r="P48" s="400">
        <v>0</v>
      </c>
      <c r="Q48" s="400">
        <v>0</v>
      </c>
      <c r="R48" s="400">
        <v>0</v>
      </c>
      <c r="S48" s="400">
        <v>0</v>
      </c>
      <c r="T48" s="400">
        <v>0</v>
      </c>
      <c r="U48" s="400">
        <v>0</v>
      </c>
      <c r="V48" s="400">
        <v>0</v>
      </c>
      <c r="W48" s="400">
        <v>0</v>
      </c>
      <c r="X48" s="400">
        <v>0</v>
      </c>
      <c r="Y48" s="400">
        <v>0</v>
      </c>
      <c r="Z48" s="400">
        <v>0</v>
      </c>
      <c r="AA48" s="400">
        <v>0</v>
      </c>
      <c r="AB48" s="400">
        <v>0</v>
      </c>
      <c r="AC48" s="400">
        <v>0</v>
      </c>
      <c r="AD48" s="400">
        <v>0</v>
      </c>
      <c r="AE48" s="400">
        <v>0</v>
      </c>
      <c r="AF48" s="400">
        <v>0</v>
      </c>
      <c r="AG48" s="400">
        <v>0</v>
      </c>
      <c r="AH48" s="400">
        <v>0</v>
      </c>
      <c r="AI48" s="400">
        <v>0</v>
      </c>
      <c r="AJ48" s="400">
        <v>0</v>
      </c>
      <c r="AK48" s="400">
        <v>0</v>
      </c>
      <c r="AL48" s="400">
        <v>0</v>
      </c>
      <c r="AM48" s="400">
        <v>0</v>
      </c>
      <c r="AN48" s="400">
        <v>0</v>
      </c>
      <c r="AO48" s="400">
        <v>0</v>
      </c>
      <c r="AP48" s="400">
        <v>0</v>
      </c>
      <c r="AQ48" s="400">
        <v>0</v>
      </c>
      <c r="AR48" s="400">
        <v>0</v>
      </c>
      <c r="AS48" s="400">
        <v>0</v>
      </c>
      <c r="AT48" s="400">
        <v>0</v>
      </c>
      <c r="AU48" s="400">
        <v>0</v>
      </c>
      <c r="AV48" s="400">
        <v>0</v>
      </c>
      <c r="AW48" s="400">
        <v>0</v>
      </c>
      <c r="AX48" s="400">
        <v>0</v>
      </c>
      <c r="AY48" s="400">
        <v>0</v>
      </c>
      <c r="AZ48" s="400">
        <v>0</v>
      </c>
      <c r="BA48" s="400">
        <v>0</v>
      </c>
      <c r="BB48" s="400">
        <v>0</v>
      </c>
      <c r="BC48" s="400">
        <v>0</v>
      </c>
      <c r="BD48" s="400">
        <v>0</v>
      </c>
      <c r="BE48" s="400">
        <v>0</v>
      </c>
      <c r="BF48" s="400">
        <v>0</v>
      </c>
      <c r="BG48" s="400">
        <v>0</v>
      </c>
      <c r="BH48" s="400">
        <v>0</v>
      </c>
      <c r="BI48" s="400">
        <v>0</v>
      </c>
      <c r="BJ48" s="400">
        <v>0</v>
      </c>
      <c r="BK48" s="400">
        <v>0</v>
      </c>
      <c r="BL48" s="400">
        <v>0</v>
      </c>
      <c r="BM48" s="400">
        <v>0</v>
      </c>
      <c r="BN48" s="400">
        <v>0</v>
      </c>
      <c r="BO48" s="400">
        <v>0</v>
      </c>
      <c r="BP48" s="400">
        <v>0</v>
      </c>
      <c r="BQ48" s="400">
        <v>0</v>
      </c>
      <c r="BR48" s="400">
        <v>0</v>
      </c>
      <c r="BS48" s="400">
        <v>0</v>
      </c>
      <c r="BT48" s="400">
        <v>0</v>
      </c>
      <c r="BU48" s="400">
        <v>0</v>
      </c>
      <c r="BV48" s="400">
        <v>0</v>
      </c>
      <c r="BW48" s="400">
        <v>0</v>
      </c>
      <c r="BX48" s="400">
        <v>0</v>
      </c>
      <c r="BY48" s="400">
        <v>0</v>
      </c>
      <c r="BZ48" s="400">
        <v>0</v>
      </c>
      <c r="CA48" s="400">
        <v>0</v>
      </c>
      <c r="CB48" s="400">
        <v>0</v>
      </c>
      <c r="CC48" s="400">
        <v>0</v>
      </c>
      <c r="CD48" s="400">
        <v>0</v>
      </c>
      <c r="CE48" s="400">
        <v>0</v>
      </c>
      <c r="CF48" s="400">
        <v>0</v>
      </c>
      <c r="CG48" s="400">
        <v>0</v>
      </c>
      <c r="CH48" s="400">
        <v>0</v>
      </c>
      <c r="CI48" s="400">
        <v>0</v>
      </c>
      <c r="CJ48" s="400">
        <v>0</v>
      </c>
      <c r="CK48" s="400">
        <v>0</v>
      </c>
      <c r="CL48" s="400">
        <v>0</v>
      </c>
      <c r="CM48" s="400">
        <v>0</v>
      </c>
      <c r="CN48" s="400">
        <v>0</v>
      </c>
      <c r="CO48" s="400">
        <v>0</v>
      </c>
      <c r="CP48" s="400">
        <v>0</v>
      </c>
      <c r="CQ48" s="400">
        <v>0</v>
      </c>
      <c r="CR48" s="400">
        <v>0</v>
      </c>
      <c r="CS48" s="400">
        <v>0</v>
      </c>
      <c r="CT48" s="400">
        <v>0</v>
      </c>
      <c r="CU48" s="400">
        <v>0</v>
      </c>
      <c r="CV48" s="400">
        <v>0</v>
      </c>
      <c r="CW48" s="400">
        <v>0</v>
      </c>
      <c r="CX48" s="400">
        <v>0</v>
      </c>
      <c r="CY48" s="400">
        <v>0</v>
      </c>
      <c r="CZ48" s="400">
        <v>0</v>
      </c>
      <c r="DA48" s="400">
        <v>0</v>
      </c>
      <c r="DB48" s="400">
        <v>0</v>
      </c>
      <c r="DC48" s="400">
        <v>0</v>
      </c>
    </row>
    <row r="49" spans="1:107" x14ac:dyDescent="0.3">
      <c r="C49" s="321" t="s">
        <v>67</v>
      </c>
      <c r="G49" s="214" t="str">
        <f>++IFERROR(G48/G10,"n/a")</f>
        <v>n/a</v>
      </c>
      <c r="H49" s="225" t="str">
        <f t="shared" ref="H49:BS49" si="72">++IFERROR(H48/H10,"n/a")</f>
        <v>n/a</v>
      </c>
      <c r="I49" s="225" t="str">
        <f t="shared" si="72"/>
        <v>n/a</v>
      </c>
      <c r="J49" s="225" t="str">
        <f t="shared" si="72"/>
        <v>n/a</v>
      </c>
      <c r="K49" s="214" t="str">
        <f t="shared" si="72"/>
        <v>n/a</v>
      </c>
      <c r="L49" s="225" t="str">
        <f t="shared" si="72"/>
        <v>n/a</v>
      </c>
      <c r="M49" s="225" t="str">
        <f t="shared" si="72"/>
        <v>n/a</v>
      </c>
      <c r="N49" s="225" t="str">
        <f t="shared" si="72"/>
        <v>n/a</v>
      </c>
      <c r="O49" s="225" t="str">
        <f t="shared" si="72"/>
        <v>n/a</v>
      </c>
      <c r="P49" s="225" t="str">
        <f t="shared" si="72"/>
        <v>n/a</v>
      </c>
      <c r="Q49" s="225" t="str">
        <f t="shared" si="72"/>
        <v>n/a</v>
      </c>
      <c r="R49" s="225" t="str">
        <f t="shared" si="72"/>
        <v>n/a</v>
      </c>
      <c r="S49" s="225" t="str">
        <f t="shared" si="72"/>
        <v>n/a</v>
      </c>
      <c r="T49" s="225" t="str">
        <f t="shared" si="72"/>
        <v>n/a</v>
      </c>
      <c r="U49" s="225" t="str">
        <f t="shared" si="72"/>
        <v>n/a</v>
      </c>
      <c r="V49" s="225" t="str">
        <f t="shared" si="72"/>
        <v>n/a</v>
      </c>
      <c r="W49" s="214" t="str">
        <f t="shared" si="72"/>
        <v>n/a</v>
      </c>
      <c r="X49" s="225" t="str">
        <f t="shared" si="72"/>
        <v>n/a</v>
      </c>
      <c r="Y49" s="225" t="str">
        <f t="shared" si="72"/>
        <v>n/a</v>
      </c>
      <c r="Z49" s="225" t="str">
        <f t="shared" si="72"/>
        <v>n/a</v>
      </c>
      <c r="AA49" s="225" t="str">
        <f t="shared" si="72"/>
        <v>n/a</v>
      </c>
      <c r="AB49" s="225" t="str">
        <f t="shared" si="72"/>
        <v>n/a</v>
      </c>
      <c r="AC49" s="225" t="str">
        <f t="shared" si="72"/>
        <v>n/a</v>
      </c>
      <c r="AD49" s="225" t="str">
        <f t="shared" si="72"/>
        <v>n/a</v>
      </c>
      <c r="AE49" s="225" t="str">
        <f t="shared" si="72"/>
        <v>n/a</v>
      </c>
      <c r="AF49" s="225" t="str">
        <f t="shared" si="72"/>
        <v>n/a</v>
      </c>
      <c r="AG49" s="225" t="str">
        <f t="shared" si="72"/>
        <v>n/a</v>
      </c>
      <c r="AH49" s="225" t="str">
        <f t="shared" si="72"/>
        <v>n/a</v>
      </c>
      <c r="AI49" s="214" t="str">
        <f t="shared" si="72"/>
        <v>n/a</v>
      </c>
      <c r="AJ49" s="225" t="str">
        <f t="shared" si="72"/>
        <v>n/a</v>
      </c>
      <c r="AK49" s="225" t="str">
        <f t="shared" si="72"/>
        <v>n/a</v>
      </c>
      <c r="AL49" s="225" t="str">
        <f t="shared" si="72"/>
        <v>n/a</v>
      </c>
      <c r="AM49" s="225" t="str">
        <f t="shared" si="72"/>
        <v>n/a</v>
      </c>
      <c r="AN49" s="225" t="str">
        <f t="shared" si="72"/>
        <v>n/a</v>
      </c>
      <c r="AO49" s="225" t="str">
        <f t="shared" si="72"/>
        <v>n/a</v>
      </c>
      <c r="AP49" s="225" t="str">
        <f t="shared" si="72"/>
        <v>n/a</v>
      </c>
      <c r="AQ49" s="225" t="str">
        <f t="shared" si="72"/>
        <v>n/a</v>
      </c>
      <c r="AR49" s="225" t="str">
        <f t="shared" si="72"/>
        <v>n/a</v>
      </c>
      <c r="AS49" s="225" t="str">
        <f t="shared" si="72"/>
        <v>n/a</v>
      </c>
      <c r="AT49" s="225" t="str">
        <f t="shared" si="72"/>
        <v>n/a</v>
      </c>
      <c r="AU49" s="214" t="str">
        <f t="shared" si="72"/>
        <v>n/a</v>
      </c>
      <c r="AV49" s="225" t="str">
        <f t="shared" si="72"/>
        <v>n/a</v>
      </c>
      <c r="AW49" s="225" t="str">
        <f t="shared" si="72"/>
        <v>n/a</v>
      </c>
      <c r="AX49" s="225" t="str">
        <f t="shared" si="72"/>
        <v>n/a</v>
      </c>
      <c r="AY49" s="225" t="str">
        <f t="shared" si="72"/>
        <v>n/a</v>
      </c>
      <c r="AZ49" s="225" t="str">
        <f t="shared" si="72"/>
        <v>n/a</v>
      </c>
      <c r="BA49" s="225" t="str">
        <f t="shared" si="72"/>
        <v>n/a</v>
      </c>
      <c r="BB49" s="225" t="str">
        <f t="shared" si="72"/>
        <v>n/a</v>
      </c>
      <c r="BC49" s="225" t="str">
        <f t="shared" si="72"/>
        <v>n/a</v>
      </c>
      <c r="BD49" s="225" t="str">
        <f t="shared" si="72"/>
        <v>n/a</v>
      </c>
      <c r="BE49" s="225" t="str">
        <f t="shared" si="72"/>
        <v>n/a</v>
      </c>
      <c r="BF49" s="225" t="str">
        <f t="shared" si="72"/>
        <v>n/a</v>
      </c>
      <c r="BG49" s="214" t="str">
        <f t="shared" si="72"/>
        <v>n/a</v>
      </c>
      <c r="BH49" s="225" t="str">
        <f t="shared" si="72"/>
        <v>n/a</v>
      </c>
      <c r="BI49" s="225" t="str">
        <f t="shared" si="72"/>
        <v>n/a</v>
      </c>
      <c r="BJ49" s="225" t="str">
        <f t="shared" si="72"/>
        <v>n/a</v>
      </c>
      <c r="BK49" s="225" t="str">
        <f t="shared" si="72"/>
        <v>n/a</v>
      </c>
      <c r="BL49" s="225" t="str">
        <f t="shared" si="72"/>
        <v>n/a</v>
      </c>
      <c r="BM49" s="225" t="str">
        <f t="shared" si="72"/>
        <v>n/a</v>
      </c>
      <c r="BN49" s="225" t="str">
        <f t="shared" si="72"/>
        <v>n/a</v>
      </c>
      <c r="BO49" s="225" t="str">
        <f t="shared" si="72"/>
        <v>n/a</v>
      </c>
      <c r="BP49" s="225" t="str">
        <f t="shared" si="72"/>
        <v>n/a</v>
      </c>
      <c r="BQ49" s="225" t="str">
        <f t="shared" si="72"/>
        <v>n/a</v>
      </c>
      <c r="BR49" s="225" t="str">
        <f t="shared" si="72"/>
        <v>n/a</v>
      </c>
      <c r="BS49" s="214" t="str">
        <f t="shared" si="72"/>
        <v>n/a</v>
      </c>
      <c r="BT49" s="225" t="str">
        <f t="shared" ref="BT49:DC49" si="73">++IFERROR(BT48/BT10,"n/a")</f>
        <v>n/a</v>
      </c>
      <c r="BU49" s="225" t="str">
        <f t="shared" si="73"/>
        <v>n/a</v>
      </c>
      <c r="BV49" s="225" t="str">
        <f t="shared" si="73"/>
        <v>n/a</v>
      </c>
      <c r="BW49" s="225" t="str">
        <f t="shared" si="73"/>
        <v>n/a</v>
      </c>
      <c r="BX49" s="225" t="str">
        <f t="shared" si="73"/>
        <v>n/a</v>
      </c>
      <c r="BY49" s="225" t="str">
        <f t="shared" si="73"/>
        <v>n/a</v>
      </c>
      <c r="BZ49" s="225" t="str">
        <f t="shared" si="73"/>
        <v>n/a</v>
      </c>
      <c r="CA49" s="225" t="str">
        <f t="shared" si="73"/>
        <v>n/a</v>
      </c>
      <c r="CB49" s="225" t="str">
        <f t="shared" si="73"/>
        <v>n/a</v>
      </c>
      <c r="CC49" s="225" t="str">
        <f t="shared" si="73"/>
        <v>n/a</v>
      </c>
      <c r="CD49" s="225" t="str">
        <f t="shared" si="73"/>
        <v>n/a</v>
      </c>
      <c r="CE49" s="214" t="str">
        <f t="shared" si="73"/>
        <v>n/a</v>
      </c>
      <c r="CF49" s="225" t="str">
        <f t="shared" si="73"/>
        <v>n/a</v>
      </c>
      <c r="CG49" s="225" t="str">
        <f t="shared" si="73"/>
        <v>n/a</v>
      </c>
      <c r="CH49" s="225" t="str">
        <f t="shared" si="73"/>
        <v>n/a</v>
      </c>
      <c r="CI49" s="225" t="str">
        <f t="shared" si="73"/>
        <v>n/a</v>
      </c>
      <c r="CJ49" s="225" t="str">
        <f t="shared" si="73"/>
        <v>n/a</v>
      </c>
      <c r="CK49" s="225" t="str">
        <f t="shared" si="73"/>
        <v>n/a</v>
      </c>
      <c r="CL49" s="225" t="str">
        <f t="shared" si="73"/>
        <v>n/a</v>
      </c>
      <c r="CM49" s="225" t="str">
        <f t="shared" si="73"/>
        <v>n/a</v>
      </c>
      <c r="CN49" s="225" t="str">
        <f t="shared" si="73"/>
        <v>n/a</v>
      </c>
      <c r="CO49" s="225" t="str">
        <f t="shared" si="73"/>
        <v>n/a</v>
      </c>
      <c r="CP49" s="225" t="str">
        <f t="shared" si="73"/>
        <v>n/a</v>
      </c>
      <c r="CQ49" s="214" t="str">
        <f t="shared" si="73"/>
        <v>n/a</v>
      </c>
      <c r="CR49" s="225" t="str">
        <f t="shared" si="73"/>
        <v>n/a</v>
      </c>
      <c r="CS49" s="225" t="str">
        <f t="shared" si="73"/>
        <v>n/a</v>
      </c>
      <c r="CT49" s="225" t="str">
        <f t="shared" si="73"/>
        <v>n/a</v>
      </c>
      <c r="CU49" s="225" t="str">
        <f t="shared" si="73"/>
        <v>n/a</v>
      </c>
      <c r="CV49" s="225" t="str">
        <f t="shared" si="73"/>
        <v>n/a</v>
      </c>
      <c r="CW49" s="225" t="str">
        <f t="shared" si="73"/>
        <v>n/a</v>
      </c>
      <c r="CX49" s="225" t="str">
        <f t="shared" si="73"/>
        <v>n/a</v>
      </c>
      <c r="CY49" s="225" t="str">
        <f t="shared" si="73"/>
        <v>n/a</v>
      </c>
      <c r="CZ49" s="225" t="str">
        <f t="shared" si="73"/>
        <v>n/a</v>
      </c>
      <c r="DA49" s="225" t="str">
        <f t="shared" si="73"/>
        <v>n/a</v>
      </c>
      <c r="DB49" s="225" t="str">
        <f t="shared" si="73"/>
        <v>n/a</v>
      </c>
      <c r="DC49" s="214" t="str">
        <f t="shared" si="73"/>
        <v>n/a</v>
      </c>
    </row>
    <row r="50" spans="1:107" x14ac:dyDescent="0.3">
      <c r="C50" s="321" t="s">
        <v>65</v>
      </c>
      <c r="G50" s="122" t="s">
        <v>47</v>
      </c>
      <c r="H50" s="122" t="s">
        <v>47</v>
      </c>
      <c r="I50" s="122" t="s">
        <v>47</v>
      </c>
      <c r="J50" s="122" t="s">
        <v>47</v>
      </c>
      <c r="K50" s="214" t="str">
        <f>++IFERROR(K48/G48-1,"n/a")</f>
        <v>n/a</v>
      </c>
      <c r="L50" s="122" t="s">
        <v>47</v>
      </c>
      <c r="M50" s="122" t="s">
        <v>47</v>
      </c>
      <c r="N50" s="225" t="str">
        <f>++IFERROR(N48/H48-1,"n/a")</f>
        <v>n/a</v>
      </c>
      <c r="O50" s="122" t="s">
        <v>47</v>
      </c>
      <c r="P50" s="122" t="s">
        <v>47</v>
      </c>
      <c r="Q50" s="225" t="str">
        <f>++IFERROR(Q48/I48-1,"n/a")</f>
        <v>n/a</v>
      </c>
      <c r="R50" s="122" t="s">
        <v>47</v>
      </c>
      <c r="S50" s="122" t="s">
        <v>47</v>
      </c>
      <c r="T50" s="225" t="str">
        <f>++IFERROR(T48/J48-1,"n/a")</f>
        <v>n/a</v>
      </c>
      <c r="U50" s="122" t="s">
        <v>47</v>
      </c>
      <c r="V50" s="122" t="s">
        <v>47</v>
      </c>
      <c r="W50" s="214" t="str">
        <f t="shared" ref="W50:BB50" si="74">++IFERROR(W48/K48-1,"n/a")</f>
        <v>n/a</v>
      </c>
      <c r="X50" s="225" t="str">
        <f t="shared" si="74"/>
        <v>n/a</v>
      </c>
      <c r="Y50" s="225" t="str">
        <f t="shared" si="74"/>
        <v>n/a</v>
      </c>
      <c r="Z50" s="225" t="str">
        <f t="shared" si="74"/>
        <v>n/a</v>
      </c>
      <c r="AA50" s="225" t="str">
        <f t="shared" si="74"/>
        <v>n/a</v>
      </c>
      <c r="AB50" s="225" t="str">
        <f t="shared" si="74"/>
        <v>n/a</v>
      </c>
      <c r="AC50" s="225" t="str">
        <f t="shared" si="74"/>
        <v>n/a</v>
      </c>
      <c r="AD50" s="225" t="str">
        <f t="shared" si="74"/>
        <v>n/a</v>
      </c>
      <c r="AE50" s="225" t="str">
        <f t="shared" si="74"/>
        <v>n/a</v>
      </c>
      <c r="AF50" s="225" t="str">
        <f t="shared" si="74"/>
        <v>n/a</v>
      </c>
      <c r="AG50" s="225" t="str">
        <f t="shared" si="74"/>
        <v>n/a</v>
      </c>
      <c r="AH50" s="225" t="str">
        <f t="shared" si="74"/>
        <v>n/a</v>
      </c>
      <c r="AI50" s="214" t="str">
        <f t="shared" si="74"/>
        <v>n/a</v>
      </c>
      <c r="AJ50" s="225" t="str">
        <f t="shared" si="74"/>
        <v>n/a</v>
      </c>
      <c r="AK50" s="225" t="str">
        <f t="shared" si="74"/>
        <v>n/a</v>
      </c>
      <c r="AL50" s="225" t="str">
        <f t="shared" si="74"/>
        <v>n/a</v>
      </c>
      <c r="AM50" s="225" t="str">
        <f t="shared" si="74"/>
        <v>n/a</v>
      </c>
      <c r="AN50" s="225" t="str">
        <f t="shared" si="74"/>
        <v>n/a</v>
      </c>
      <c r="AO50" s="225" t="str">
        <f t="shared" si="74"/>
        <v>n/a</v>
      </c>
      <c r="AP50" s="225" t="str">
        <f t="shared" si="74"/>
        <v>n/a</v>
      </c>
      <c r="AQ50" s="225" t="str">
        <f t="shared" si="74"/>
        <v>n/a</v>
      </c>
      <c r="AR50" s="225" t="str">
        <f t="shared" si="74"/>
        <v>n/a</v>
      </c>
      <c r="AS50" s="225" t="str">
        <f t="shared" si="74"/>
        <v>n/a</v>
      </c>
      <c r="AT50" s="225" t="str">
        <f t="shared" si="74"/>
        <v>n/a</v>
      </c>
      <c r="AU50" s="214" t="str">
        <f t="shared" si="74"/>
        <v>n/a</v>
      </c>
      <c r="AV50" s="225" t="str">
        <f t="shared" si="74"/>
        <v>n/a</v>
      </c>
      <c r="AW50" s="225" t="str">
        <f t="shared" si="74"/>
        <v>n/a</v>
      </c>
      <c r="AX50" s="225" t="str">
        <f t="shared" si="74"/>
        <v>n/a</v>
      </c>
      <c r="AY50" s="225" t="str">
        <f t="shared" si="74"/>
        <v>n/a</v>
      </c>
      <c r="AZ50" s="225" t="str">
        <f t="shared" si="74"/>
        <v>n/a</v>
      </c>
      <c r="BA50" s="225" t="str">
        <f t="shared" si="74"/>
        <v>n/a</v>
      </c>
      <c r="BB50" s="225" t="str">
        <f t="shared" si="74"/>
        <v>n/a</v>
      </c>
      <c r="BC50" s="225" t="str">
        <f t="shared" ref="BC50:CH50" si="75">++IFERROR(BC48/AQ48-1,"n/a")</f>
        <v>n/a</v>
      </c>
      <c r="BD50" s="225" t="str">
        <f t="shared" si="75"/>
        <v>n/a</v>
      </c>
      <c r="BE50" s="225" t="str">
        <f t="shared" si="75"/>
        <v>n/a</v>
      </c>
      <c r="BF50" s="225" t="str">
        <f t="shared" si="75"/>
        <v>n/a</v>
      </c>
      <c r="BG50" s="214" t="str">
        <f t="shared" si="75"/>
        <v>n/a</v>
      </c>
      <c r="BH50" s="225" t="str">
        <f t="shared" si="75"/>
        <v>n/a</v>
      </c>
      <c r="BI50" s="225" t="str">
        <f t="shared" si="75"/>
        <v>n/a</v>
      </c>
      <c r="BJ50" s="225" t="str">
        <f t="shared" si="75"/>
        <v>n/a</v>
      </c>
      <c r="BK50" s="225" t="str">
        <f t="shared" si="75"/>
        <v>n/a</v>
      </c>
      <c r="BL50" s="225" t="str">
        <f t="shared" si="75"/>
        <v>n/a</v>
      </c>
      <c r="BM50" s="225" t="str">
        <f t="shared" si="75"/>
        <v>n/a</v>
      </c>
      <c r="BN50" s="225" t="str">
        <f t="shared" si="75"/>
        <v>n/a</v>
      </c>
      <c r="BO50" s="225" t="str">
        <f t="shared" si="75"/>
        <v>n/a</v>
      </c>
      <c r="BP50" s="225" t="str">
        <f t="shared" si="75"/>
        <v>n/a</v>
      </c>
      <c r="BQ50" s="225" t="str">
        <f t="shared" si="75"/>
        <v>n/a</v>
      </c>
      <c r="BR50" s="225" t="str">
        <f t="shared" si="75"/>
        <v>n/a</v>
      </c>
      <c r="BS50" s="214" t="str">
        <f t="shared" si="75"/>
        <v>n/a</v>
      </c>
      <c r="BT50" s="225" t="str">
        <f t="shared" si="75"/>
        <v>n/a</v>
      </c>
      <c r="BU50" s="225" t="str">
        <f t="shared" si="75"/>
        <v>n/a</v>
      </c>
      <c r="BV50" s="225" t="str">
        <f t="shared" si="75"/>
        <v>n/a</v>
      </c>
      <c r="BW50" s="225" t="str">
        <f t="shared" si="75"/>
        <v>n/a</v>
      </c>
      <c r="BX50" s="225" t="str">
        <f t="shared" si="75"/>
        <v>n/a</v>
      </c>
      <c r="BY50" s="225" t="str">
        <f t="shared" si="75"/>
        <v>n/a</v>
      </c>
      <c r="BZ50" s="225" t="str">
        <f t="shared" si="75"/>
        <v>n/a</v>
      </c>
      <c r="CA50" s="225" t="str">
        <f t="shared" si="75"/>
        <v>n/a</v>
      </c>
      <c r="CB50" s="225" t="str">
        <f t="shared" si="75"/>
        <v>n/a</v>
      </c>
      <c r="CC50" s="225" t="str">
        <f t="shared" si="75"/>
        <v>n/a</v>
      </c>
      <c r="CD50" s="225" t="str">
        <f t="shared" si="75"/>
        <v>n/a</v>
      </c>
      <c r="CE50" s="214" t="str">
        <f t="shared" si="75"/>
        <v>n/a</v>
      </c>
      <c r="CF50" s="225" t="str">
        <f t="shared" si="75"/>
        <v>n/a</v>
      </c>
      <c r="CG50" s="225" t="str">
        <f t="shared" si="75"/>
        <v>n/a</v>
      </c>
      <c r="CH50" s="225" t="str">
        <f t="shared" si="75"/>
        <v>n/a</v>
      </c>
      <c r="CI50" s="225" t="str">
        <f t="shared" ref="CI50:DN50" si="76">++IFERROR(CI48/BW48-1,"n/a")</f>
        <v>n/a</v>
      </c>
      <c r="CJ50" s="225" t="str">
        <f t="shared" si="76"/>
        <v>n/a</v>
      </c>
      <c r="CK50" s="225" t="str">
        <f t="shared" si="76"/>
        <v>n/a</v>
      </c>
      <c r="CL50" s="225" t="str">
        <f t="shared" si="76"/>
        <v>n/a</v>
      </c>
      <c r="CM50" s="225" t="str">
        <f t="shared" si="76"/>
        <v>n/a</v>
      </c>
      <c r="CN50" s="225" t="str">
        <f t="shared" si="76"/>
        <v>n/a</v>
      </c>
      <c r="CO50" s="225" t="str">
        <f t="shared" si="76"/>
        <v>n/a</v>
      </c>
      <c r="CP50" s="225" t="str">
        <f t="shared" si="76"/>
        <v>n/a</v>
      </c>
      <c r="CQ50" s="214" t="str">
        <f t="shared" si="76"/>
        <v>n/a</v>
      </c>
      <c r="CR50" s="225" t="str">
        <f t="shared" si="76"/>
        <v>n/a</v>
      </c>
      <c r="CS50" s="225" t="str">
        <f t="shared" si="76"/>
        <v>n/a</v>
      </c>
      <c r="CT50" s="225" t="str">
        <f t="shared" si="76"/>
        <v>n/a</v>
      </c>
      <c r="CU50" s="225" t="str">
        <f t="shared" si="76"/>
        <v>n/a</v>
      </c>
      <c r="CV50" s="225" t="str">
        <f t="shared" si="76"/>
        <v>n/a</v>
      </c>
      <c r="CW50" s="225" t="str">
        <f t="shared" si="76"/>
        <v>n/a</v>
      </c>
      <c r="CX50" s="225" t="str">
        <f t="shared" si="76"/>
        <v>n/a</v>
      </c>
      <c r="CY50" s="225" t="str">
        <f t="shared" si="76"/>
        <v>n/a</v>
      </c>
      <c r="CZ50" s="225" t="str">
        <f t="shared" si="76"/>
        <v>n/a</v>
      </c>
      <c r="DA50" s="225" t="str">
        <f t="shared" si="76"/>
        <v>n/a</v>
      </c>
      <c r="DB50" s="225" t="str">
        <f t="shared" si="76"/>
        <v>n/a</v>
      </c>
      <c r="DC50" s="214" t="str">
        <f t="shared" si="76"/>
        <v>n/a</v>
      </c>
    </row>
    <row r="51" spans="1:107" x14ac:dyDescent="0.3">
      <c r="G51" s="203"/>
      <c r="K51" s="203"/>
      <c r="W51" s="203"/>
      <c r="AI51" s="203"/>
      <c r="AU51" s="203"/>
      <c r="BG51" s="203"/>
      <c r="BS51" s="203"/>
      <c r="CE51" s="203"/>
      <c r="CQ51" s="203"/>
      <c r="DC51" s="203"/>
    </row>
    <row r="52" spans="1:107" x14ac:dyDescent="0.3">
      <c r="C52" s="193" t="s">
        <v>70</v>
      </c>
      <c r="G52" s="400">
        <v>0</v>
      </c>
      <c r="H52" s="400">
        <v>0</v>
      </c>
      <c r="I52" s="400">
        <v>0</v>
      </c>
      <c r="J52" s="400">
        <v>0</v>
      </c>
      <c r="K52" s="400">
        <v>0</v>
      </c>
      <c r="L52" s="400">
        <v>0</v>
      </c>
      <c r="M52" s="400">
        <v>0</v>
      </c>
      <c r="N52" s="400">
        <v>0</v>
      </c>
      <c r="O52" s="400">
        <v>0</v>
      </c>
      <c r="P52" s="400">
        <v>0</v>
      </c>
      <c r="Q52" s="400">
        <v>0</v>
      </c>
      <c r="R52" s="400">
        <v>0</v>
      </c>
      <c r="S52" s="400">
        <v>0</v>
      </c>
      <c r="T52" s="400">
        <v>0</v>
      </c>
      <c r="U52" s="400">
        <v>0</v>
      </c>
      <c r="V52" s="400">
        <v>0</v>
      </c>
      <c r="W52" s="400">
        <v>0</v>
      </c>
      <c r="X52" s="400">
        <v>0</v>
      </c>
      <c r="Y52" s="400">
        <v>0</v>
      </c>
      <c r="Z52" s="400">
        <v>0</v>
      </c>
      <c r="AA52" s="400">
        <v>0</v>
      </c>
      <c r="AB52" s="400">
        <v>0</v>
      </c>
      <c r="AC52" s="400">
        <v>0</v>
      </c>
      <c r="AD52" s="400">
        <v>0</v>
      </c>
      <c r="AE52" s="400">
        <v>0</v>
      </c>
      <c r="AF52" s="400">
        <v>0</v>
      </c>
      <c r="AG52" s="400">
        <v>0</v>
      </c>
      <c r="AH52" s="400">
        <v>0</v>
      </c>
      <c r="AI52" s="400">
        <v>0</v>
      </c>
      <c r="AJ52" s="400">
        <v>0</v>
      </c>
      <c r="AK52" s="400">
        <v>0</v>
      </c>
      <c r="AL52" s="400">
        <v>0</v>
      </c>
      <c r="AM52" s="400">
        <v>0</v>
      </c>
      <c r="AN52" s="400">
        <v>0</v>
      </c>
      <c r="AO52" s="400">
        <v>0</v>
      </c>
      <c r="AP52" s="400">
        <v>0</v>
      </c>
      <c r="AQ52" s="400">
        <v>0</v>
      </c>
      <c r="AR52" s="400">
        <v>0</v>
      </c>
      <c r="AS52" s="400">
        <v>0</v>
      </c>
      <c r="AT52" s="400">
        <v>0</v>
      </c>
      <c r="AU52" s="400">
        <v>0</v>
      </c>
      <c r="AV52" s="400">
        <v>0</v>
      </c>
      <c r="AW52" s="400">
        <v>0</v>
      </c>
      <c r="AX52" s="400">
        <v>0</v>
      </c>
      <c r="AY52" s="400">
        <v>0</v>
      </c>
      <c r="AZ52" s="400">
        <v>0</v>
      </c>
      <c r="BA52" s="400">
        <v>0</v>
      </c>
      <c r="BB52" s="400">
        <v>0</v>
      </c>
      <c r="BC52" s="400">
        <v>0</v>
      </c>
      <c r="BD52" s="400">
        <v>0</v>
      </c>
      <c r="BE52" s="400">
        <v>0</v>
      </c>
      <c r="BF52" s="400">
        <v>0</v>
      </c>
      <c r="BG52" s="400">
        <v>0</v>
      </c>
      <c r="BH52" s="400">
        <v>0</v>
      </c>
      <c r="BI52" s="400">
        <v>0</v>
      </c>
      <c r="BJ52" s="400">
        <v>0</v>
      </c>
      <c r="BK52" s="400">
        <v>0</v>
      </c>
      <c r="BL52" s="400">
        <v>0</v>
      </c>
      <c r="BM52" s="400">
        <v>0</v>
      </c>
      <c r="BN52" s="400">
        <v>0</v>
      </c>
      <c r="BO52" s="400">
        <v>0</v>
      </c>
      <c r="BP52" s="400">
        <v>0</v>
      </c>
      <c r="BQ52" s="400">
        <v>0</v>
      </c>
      <c r="BR52" s="400">
        <v>0</v>
      </c>
      <c r="BS52" s="400">
        <v>0</v>
      </c>
      <c r="BT52" s="400">
        <v>0</v>
      </c>
      <c r="BU52" s="400">
        <v>0</v>
      </c>
      <c r="BV52" s="400">
        <v>0</v>
      </c>
      <c r="BW52" s="400">
        <v>0</v>
      </c>
      <c r="BX52" s="400">
        <v>0</v>
      </c>
      <c r="BY52" s="400">
        <v>0</v>
      </c>
      <c r="BZ52" s="400">
        <v>0</v>
      </c>
      <c r="CA52" s="400">
        <v>0</v>
      </c>
      <c r="CB52" s="400">
        <v>0</v>
      </c>
      <c r="CC52" s="400">
        <v>0</v>
      </c>
      <c r="CD52" s="400">
        <v>0</v>
      </c>
      <c r="CE52" s="400">
        <v>0</v>
      </c>
      <c r="CF52" s="400">
        <v>0</v>
      </c>
      <c r="CG52" s="400">
        <v>0</v>
      </c>
      <c r="CH52" s="400">
        <v>0</v>
      </c>
      <c r="CI52" s="400">
        <v>0</v>
      </c>
      <c r="CJ52" s="400">
        <v>0</v>
      </c>
      <c r="CK52" s="400">
        <v>0</v>
      </c>
      <c r="CL52" s="400">
        <v>0</v>
      </c>
      <c r="CM52" s="400">
        <v>0</v>
      </c>
      <c r="CN52" s="400">
        <v>0</v>
      </c>
      <c r="CO52" s="400">
        <v>0</v>
      </c>
      <c r="CP52" s="400">
        <v>0</v>
      </c>
      <c r="CQ52" s="400">
        <v>0</v>
      </c>
      <c r="CR52" s="400">
        <v>0</v>
      </c>
      <c r="CS52" s="400">
        <v>0</v>
      </c>
      <c r="CT52" s="400">
        <v>0</v>
      </c>
      <c r="CU52" s="400">
        <v>0</v>
      </c>
      <c r="CV52" s="400">
        <v>0</v>
      </c>
      <c r="CW52" s="400">
        <v>0</v>
      </c>
      <c r="CX52" s="400">
        <v>0</v>
      </c>
      <c r="CY52" s="400">
        <v>0</v>
      </c>
      <c r="CZ52" s="400">
        <v>0</v>
      </c>
      <c r="DA52" s="400">
        <v>0</v>
      </c>
      <c r="DB52" s="400">
        <v>0</v>
      </c>
      <c r="DC52" s="400">
        <v>0</v>
      </c>
    </row>
    <row r="53" spans="1:107" x14ac:dyDescent="0.3">
      <c r="C53" s="321" t="s">
        <v>68</v>
      </c>
      <c r="G53" s="214" t="str">
        <f>++IFERROR(G52/G10,"n/a")</f>
        <v>n/a</v>
      </c>
      <c r="H53" s="225" t="str">
        <f t="shared" ref="H53:BS53" si="77">++IFERROR(H52/H10,"n/a")</f>
        <v>n/a</v>
      </c>
      <c r="I53" s="225" t="str">
        <f t="shared" si="77"/>
        <v>n/a</v>
      </c>
      <c r="J53" s="225" t="str">
        <f t="shared" si="77"/>
        <v>n/a</v>
      </c>
      <c r="K53" s="214" t="str">
        <f t="shared" si="77"/>
        <v>n/a</v>
      </c>
      <c r="L53" s="225" t="str">
        <f t="shared" si="77"/>
        <v>n/a</v>
      </c>
      <c r="M53" s="225" t="str">
        <f t="shared" si="77"/>
        <v>n/a</v>
      </c>
      <c r="N53" s="225" t="str">
        <f t="shared" si="77"/>
        <v>n/a</v>
      </c>
      <c r="O53" s="225" t="str">
        <f t="shared" si="77"/>
        <v>n/a</v>
      </c>
      <c r="P53" s="225" t="str">
        <f t="shared" si="77"/>
        <v>n/a</v>
      </c>
      <c r="Q53" s="225" t="str">
        <f t="shared" si="77"/>
        <v>n/a</v>
      </c>
      <c r="R53" s="225" t="str">
        <f t="shared" si="77"/>
        <v>n/a</v>
      </c>
      <c r="S53" s="225" t="str">
        <f t="shared" si="77"/>
        <v>n/a</v>
      </c>
      <c r="T53" s="225" t="str">
        <f t="shared" si="77"/>
        <v>n/a</v>
      </c>
      <c r="U53" s="225" t="str">
        <f t="shared" si="77"/>
        <v>n/a</v>
      </c>
      <c r="V53" s="225" t="str">
        <f t="shared" si="77"/>
        <v>n/a</v>
      </c>
      <c r="W53" s="214" t="str">
        <f t="shared" si="77"/>
        <v>n/a</v>
      </c>
      <c r="X53" s="225" t="str">
        <f t="shared" si="77"/>
        <v>n/a</v>
      </c>
      <c r="Y53" s="225" t="str">
        <f t="shared" si="77"/>
        <v>n/a</v>
      </c>
      <c r="Z53" s="225" t="str">
        <f t="shared" si="77"/>
        <v>n/a</v>
      </c>
      <c r="AA53" s="225" t="str">
        <f t="shared" si="77"/>
        <v>n/a</v>
      </c>
      <c r="AB53" s="225" t="str">
        <f t="shared" si="77"/>
        <v>n/a</v>
      </c>
      <c r="AC53" s="225" t="str">
        <f t="shared" si="77"/>
        <v>n/a</v>
      </c>
      <c r="AD53" s="225" t="str">
        <f t="shared" si="77"/>
        <v>n/a</v>
      </c>
      <c r="AE53" s="225" t="str">
        <f t="shared" si="77"/>
        <v>n/a</v>
      </c>
      <c r="AF53" s="225" t="str">
        <f t="shared" si="77"/>
        <v>n/a</v>
      </c>
      <c r="AG53" s="225" t="str">
        <f t="shared" si="77"/>
        <v>n/a</v>
      </c>
      <c r="AH53" s="225" t="str">
        <f t="shared" si="77"/>
        <v>n/a</v>
      </c>
      <c r="AI53" s="214" t="str">
        <f t="shared" si="77"/>
        <v>n/a</v>
      </c>
      <c r="AJ53" s="225" t="str">
        <f t="shared" si="77"/>
        <v>n/a</v>
      </c>
      <c r="AK53" s="225" t="str">
        <f t="shared" si="77"/>
        <v>n/a</v>
      </c>
      <c r="AL53" s="225" t="str">
        <f t="shared" si="77"/>
        <v>n/a</v>
      </c>
      <c r="AM53" s="225" t="str">
        <f t="shared" si="77"/>
        <v>n/a</v>
      </c>
      <c r="AN53" s="225" t="str">
        <f t="shared" si="77"/>
        <v>n/a</v>
      </c>
      <c r="AO53" s="225" t="str">
        <f t="shared" si="77"/>
        <v>n/a</v>
      </c>
      <c r="AP53" s="225" t="str">
        <f t="shared" si="77"/>
        <v>n/a</v>
      </c>
      <c r="AQ53" s="225" t="str">
        <f t="shared" si="77"/>
        <v>n/a</v>
      </c>
      <c r="AR53" s="225" t="str">
        <f t="shared" si="77"/>
        <v>n/a</v>
      </c>
      <c r="AS53" s="225" t="str">
        <f t="shared" si="77"/>
        <v>n/a</v>
      </c>
      <c r="AT53" s="225" t="str">
        <f t="shared" si="77"/>
        <v>n/a</v>
      </c>
      <c r="AU53" s="214" t="str">
        <f t="shared" si="77"/>
        <v>n/a</v>
      </c>
      <c r="AV53" s="225" t="str">
        <f t="shared" si="77"/>
        <v>n/a</v>
      </c>
      <c r="AW53" s="225" t="str">
        <f t="shared" si="77"/>
        <v>n/a</v>
      </c>
      <c r="AX53" s="225" t="str">
        <f t="shared" si="77"/>
        <v>n/a</v>
      </c>
      <c r="AY53" s="225" t="str">
        <f t="shared" si="77"/>
        <v>n/a</v>
      </c>
      <c r="AZ53" s="225" t="str">
        <f t="shared" si="77"/>
        <v>n/a</v>
      </c>
      <c r="BA53" s="225" t="str">
        <f t="shared" si="77"/>
        <v>n/a</v>
      </c>
      <c r="BB53" s="225" t="str">
        <f t="shared" si="77"/>
        <v>n/a</v>
      </c>
      <c r="BC53" s="225" t="str">
        <f t="shared" si="77"/>
        <v>n/a</v>
      </c>
      <c r="BD53" s="225" t="str">
        <f t="shared" si="77"/>
        <v>n/a</v>
      </c>
      <c r="BE53" s="225" t="str">
        <f t="shared" si="77"/>
        <v>n/a</v>
      </c>
      <c r="BF53" s="225" t="str">
        <f t="shared" si="77"/>
        <v>n/a</v>
      </c>
      <c r="BG53" s="214" t="str">
        <f t="shared" si="77"/>
        <v>n/a</v>
      </c>
      <c r="BH53" s="225" t="str">
        <f t="shared" si="77"/>
        <v>n/a</v>
      </c>
      <c r="BI53" s="225" t="str">
        <f t="shared" si="77"/>
        <v>n/a</v>
      </c>
      <c r="BJ53" s="225" t="str">
        <f t="shared" si="77"/>
        <v>n/a</v>
      </c>
      <c r="BK53" s="225" t="str">
        <f t="shared" si="77"/>
        <v>n/a</v>
      </c>
      <c r="BL53" s="225" t="str">
        <f t="shared" si="77"/>
        <v>n/a</v>
      </c>
      <c r="BM53" s="225" t="str">
        <f t="shared" si="77"/>
        <v>n/a</v>
      </c>
      <c r="BN53" s="225" t="str">
        <f t="shared" si="77"/>
        <v>n/a</v>
      </c>
      <c r="BO53" s="225" t="str">
        <f t="shared" si="77"/>
        <v>n/a</v>
      </c>
      <c r="BP53" s="225" t="str">
        <f t="shared" si="77"/>
        <v>n/a</v>
      </c>
      <c r="BQ53" s="225" t="str">
        <f t="shared" si="77"/>
        <v>n/a</v>
      </c>
      <c r="BR53" s="225" t="str">
        <f t="shared" si="77"/>
        <v>n/a</v>
      </c>
      <c r="BS53" s="214" t="str">
        <f t="shared" si="77"/>
        <v>n/a</v>
      </c>
      <c r="BT53" s="225" t="str">
        <f t="shared" ref="BT53:DC53" si="78">++IFERROR(BT52/BT10,"n/a")</f>
        <v>n/a</v>
      </c>
      <c r="BU53" s="225" t="str">
        <f t="shared" si="78"/>
        <v>n/a</v>
      </c>
      <c r="BV53" s="225" t="str">
        <f t="shared" si="78"/>
        <v>n/a</v>
      </c>
      <c r="BW53" s="225" t="str">
        <f t="shared" si="78"/>
        <v>n/a</v>
      </c>
      <c r="BX53" s="225" t="str">
        <f t="shared" si="78"/>
        <v>n/a</v>
      </c>
      <c r="BY53" s="225" t="str">
        <f t="shared" si="78"/>
        <v>n/a</v>
      </c>
      <c r="BZ53" s="225" t="str">
        <f t="shared" si="78"/>
        <v>n/a</v>
      </c>
      <c r="CA53" s="225" t="str">
        <f t="shared" si="78"/>
        <v>n/a</v>
      </c>
      <c r="CB53" s="225" t="str">
        <f t="shared" si="78"/>
        <v>n/a</v>
      </c>
      <c r="CC53" s="225" t="str">
        <f t="shared" si="78"/>
        <v>n/a</v>
      </c>
      <c r="CD53" s="225" t="str">
        <f t="shared" si="78"/>
        <v>n/a</v>
      </c>
      <c r="CE53" s="214" t="str">
        <f t="shared" si="78"/>
        <v>n/a</v>
      </c>
      <c r="CF53" s="225" t="str">
        <f t="shared" si="78"/>
        <v>n/a</v>
      </c>
      <c r="CG53" s="225" t="str">
        <f t="shared" si="78"/>
        <v>n/a</v>
      </c>
      <c r="CH53" s="225" t="str">
        <f t="shared" si="78"/>
        <v>n/a</v>
      </c>
      <c r="CI53" s="225" t="str">
        <f t="shared" si="78"/>
        <v>n/a</v>
      </c>
      <c r="CJ53" s="225" t="str">
        <f t="shared" si="78"/>
        <v>n/a</v>
      </c>
      <c r="CK53" s="225" t="str">
        <f t="shared" si="78"/>
        <v>n/a</v>
      </c>
      <c r="CL53" s="225" t="str">
        <f t="shared" si="78"/>
        <v>n/a</v>
      </c>
      <c r="CM53" s="225" t="str">
        <f t="shared" si="78"/>
        <v>n/a</v>
      </c>
      <c r="CN53" s="225" t="str">
        <f t="shared" si="78"/>
        <v>n/a</v>
      </c>
      <c r="CO53" s="225" t="str">
        <f t="shared" si="78"/>
        <v>n/a</v>
      </c>
      <c r="CP53" s="225" t="str">
        <f t="shared" si="78"/>
        <v>n/a</v>
      </c>
      <c r="CQ53" s="214" t="str">
        <f t="shared" si="78"/>
        <v>n/a</v>
      </c>
      <c r="CR53" s="225" t="str">
        <f t="shared" si="78"/>
        <v>n/a</v>
      </c>
      <c r="CS53" s="225" t="str">
        <f t="shared" si="78"/>
        <v>n/a</v>
      </c>
      <c r="CT53" s="225" t="str">
        <f t="shared" si="78"/>
        <v>n/a</v>
      </c>
      <c r="CU53" s="225" t="str">
        <f t="shared" si="78"/>
        <v>n/a</v>
      </c>
      <c r="CV53" s="225" t="str">
        <f t="shared" si="78"/>
        <v>n/a</v>
      </c>
      <c r="CW53" s="225" t="str">
        <f t="shared" si="78"/>
        <v>n/a</v>
      </c>
      <c r="CX53" s="225" t="str">
        <f t="shared" si="78"/>
        <v>n/a</v>
      </c>
      <c r="CY53" s="225" t="str">
        <f t="shared" si="78"/>
        <v>n/a</v>
      </c>
      <c r="CZ53" s="225" t="str">
        <f t="shared" si="78"/>
        <v>n/a</v>
      </c>
      <c r="DA53" s="225" t="str">
        <f t="shared" si="78"/>
        <v>n/a</v>
      </c>
      <c r="DB53" s="225" t="str">
        <f t="shared" si="78"/>
        <v>n/a</v>
      </c>
      <c r="DC53" s="214" t="str">
        <f t="shared" si="78"/>
        <v>n/a</v>
      </c>
    </row>
    <row r="54" spans="1:107" x14ac:dyDescent="0.3">
      <c r="C54" s="321" t="s">
        <v>147</v>
      </c>
      <c r="G54" s="214" t="str">
        <f>++IFERROR((G48-G52)/G48,"n/a")</f>
        <v>n/a</v>
      </c>
      <c r="H54" s="225" t="str">
        <f t="shared" ref="H54:BS54" si="79">++IFERROR((H48-H52)/H48,"n/a")</f>
        <v>n/a</v>
      </c>
      <c r="I54" s="225" t="str">
        <f t="shared" si="79"/>
        <v>n/a</v>
      </c>
      <c r="J54" s="225" t="str">
        <f t="shared" si="79"/>
        <v>n/a</v>
      </c>
      <c r="K54" s="214" t="str">
        <f t="shared" si="79"/>
        <v>n/a</v>
      </c>
      <c r="L54" s="225" t="str">
        <f t="shared" si="79"/>
        <v>n/a</v>
      </c>
      <c r="M54" s="225" t="str">
        <f t="shared" si="79"/>
        <v>n/a</v>
      </c>
      <c r="N54" s="225" t="str">
        <f t="shared" si="79"/>
        <v>n/a</v>
      </c>
      <c r="O54" s="225" t="str">
        <f t="shared" si="79"/>
        <v>n/a</v>
      </c>
      <c r="P54" s="225" t="str">
        <f t="shared" si="79"/>
        <v>n/a</v>
      </c>
      <c r="Q54" s="225" t="str">
        <f t="shared" si="79"/>
        <v>n/a</v>
      </c>
      <c r="R54" s="225" t="str">
        <f t="shared" si="79"/>
        <v>n/a</v>
      </c>
      <c r="S54" s="225" t="str">
        <f t="shared" si="79"/>
        <v>n/a</v>
      </c>
      <c r="T54" s="225" t="str">
        <f t="shared" si="79"/>
        <v>n/a</v>
      </c>
      <c r="U54" s="225" t="str">
        <f t="shared" si="79"/>
        <v>n/a</v>
      </c>
      <c r="V54" s="225" t="str">
        <f t="shared" si="79"/>
        <v>n/a</v>
      </c>
      <c r="W54" s="214" t="str">
        <f t="shared" si="79"/>
        <v>n/a</v>
      </c>
      <c r="X54" s="225" t="str">
        <f t="shared" si="79"/>
        <v>n/a</v>
      </c>
      <c r="Y54" s="225" t="str">
        <f t="shared" si="79"/>
        <v>n/a</v>
      </c>
      <c r="Z54" s="225" t="str">
        <f t="shared" si="79"/>
        <v>n/a</v>
      </c>
      <c r="AA54" s="225" t="str">
        <f t="shared" si="79"/>
        <v>n/a</v>
      </c>
      <c r="AB54" s="225" t="str">
        <f t="shared" si="79"/>
        <v>n/a</v>
      </c>
      <c r="AC54" s="225" t="str">
        <f t="shared" si="79"/>
        <v>n/a</v>
      </c>
      <c r="AD54" s="225" t="str">
        <f t="shared" si="79"/>
        <v>n/a</v>
      </c>
      <c r="AE54" s="225" t="str">
        <f t="shared" si="79"/>
        <v>n/a</v>
      </c>
      <c r="AF54" s="225" t="str">
        <f t="shared" si="79"/>
        <v>n/a</v>
      </c>
      <c r="AG54" s="225" t="str">
        <f t="shared" si="79"/>
        <v>n/a</v>
      </c>
      <c r="AH54" s="225" t="str">
        <f t="shared" si="79"/>
        <v>n/a</v>
      </c>
      <c r="AI54" s="214" t="str">
        <f t="shared" si="79"/>
        <v>n/a</v>
      </c>
      <c r="AJ54" s="225" t="str">
        <f t="shared" si="79"/>
        <v>n/a</v>
      </c>
      <c r="AK54" s="225" t="str">
        <f t="shared" si="79"/>
        <v>n/a</v>
      </c>
      <c r="AL54" s="225" t="str">
        <f t="shared" si="79"/>
        <v>n/a</v>
      </c>
      <c r="AM54" s="225" t="str">
        <f t="shared" si="79"/>
        <v>n/a</v>
      </c>
      <c r="AN54" s="225" t="str">
        <f t="shared" si="79"/>
        <v>n/a</v>
      </c>
      <c r="AO54" s="225" t="str">
        <f t="shared" si="79"/>
        <v>n/a</v>
      </c>
      <c r="AP54" s="225" t="str">
        <f t="shared" si="79"/>
        <v>n/a</v>
      </c>
      <c r="AQ54" s="225" t="str">
        <f t="shared" si="79"/>
        <v>n/a</v>
      </c>
      <c r="AR54" s="225" t="str">
        <f t="shared" si="79"/>
        <v>n/a</v>
      </c>
      <c r="AS54" s="225" t="str">
        <f t="shared" si="79"/>
        <v>n/a</v>
      </c>
      <c r="AT54" s="225" t="str">
        <f t="shared" si="79"/>
        <v>n/a</v>
      </c>
      <c r="AU54" s="214" t="str">
        <f t="shared" si="79"/>
        <v>n/a</v>
      </c>
      <c r="AV54" s="225" t="str">
        <f t="shared" si="79"/>
        <v>n/a</v>
      </c>
      <c r="AW54" s="225" t="str">
        <f t="shared" si="79"/>
        <v>n/a</v>
      </c>
      <c r="AX54" s="225" t="str">
        <f t="shared" si="79"/>
        <v>n/a</v>
      </c>
      <c r="AY54" s="225" t="str">
        <f t="shared" si="79"/>
        <v>n/a</v>
      </c>
      <c r="AZ54" s="225" t="str">
        <f t="shared" si="79"/>
        <v>n/a</v>
      </c>
      <c r="BA54" s="225" t="str">
        <f t="shared" si="79"/>
        <v>n/a</v>
      </c>
      <c r="BB54" s="225" t="str">
        <f t="shared" si="79"/>
        <v>n/a</v>
      </c>
      <c r="BC54" s="225" t="str">
        <f t="shared" si="79"/>
        <v>n/a</v>
      </c>
      <c r="BD54" s="225" t="str">
        <f t="shared" si="79"/>
        <v>n/a</v>
      </c>
      <c r="BE54" s="225" t="str">
        <f t="shared" si="79"/>
        <v>n/a</v>
      </c>
      <c r="BF54" s="225" t="str">
        <f t="shared" si="79"/>
        <v>n/a</v>
      </c>
      <c r="BG54" s="214" t="str">
        <f t="shared" si="79"/>
        <v>n/a</v>
      </c>
      <c r="BH54" s="225" t="str">
        <f t="shared" si="79"/>
        <v>n/a</v>
      </c>
      <c r="BI54" s="225" t="str">
        <f t="shared" si="79"/>
        <v>n/a</v>
      </c>
      <c r="BJ54" s="225" t="str">
        <f t="shared" si="79"/>
        <v>n/a</v>
      </c>
      <c r="BK54" s="225" t="str">
        <f t="shared" si="79"/>
        <v>n/a</v>
      </c>
      <c r="BL54" s="225" t="str">
        <f t="shared" si="79"/>
        <v>n/a</v>
      </c>
      <c r="BM54" s="225" t="str">
        <f t="shared" si="79"/>
        <v>n/a</v>
      </c>
      <c r="BN54" s="225" t="str">
        <f t="shared" si="79"/>
        <v>n/a</v>
      </c>
      <c r="BO54" s="225" t="str">
        <f t="shared" si="79"/>
        <v>n/a</v>
      </c>
      <c r="BP54" s="225" t="str">
        <f t="shared" si="79"/>
        <v>n/a</v>
      </c>
      <c r="BQ54" s="225" t="str">
        <f t="shared" si="79"/>
        <v>n/a</v>
      </c>
      <c r="BR54" s="225" t="str">
        <f t="shared" si="79"/>
        <v>n/a</v>
      </c>
      <c r="BS54" s="214" t="str">
        <f t="shared" si="79"/>
        <v>n/a</v>
      </c>
      <c r="BT54" s="225" t="str">
        <f t="shared" ref="BT54:DC54" si="80">++IFERROR((BT48-BT52)/BT48,"n/a")</f>
        <v>n/a</v>
      </c>
      <c r="BU54" s="225" t="str">
        <f t="shared" si="80"/>
        <v>n/a</v>
      </c>
      <c r="BV54" s="225" t="str">
        <f t="shared" si="80"/>
        <v>n/a</v>
      </c>
      <c r="BW54" s="225" t="str">
        <f t="shared" si="80"/>
        <v>n/a</v>
      </c>
      <c r="BX54" s="225" t="str">
        <f t="shared" si="80"/>
        <v>n/a</v>
      </c>
      <c r="BY54" s="225" t="str">
        <f t="shared" si="80"/>
        <v>n/a</v>
      </c>
      <c r="BZ54" s="225" t="str">
        <f t="shared" si="80"/>
        <v>n/a</v>
      </c>
      <c r="CA54" s="225" t="str">
        <f t="shared" si="80"/>
        <v>n/a</v>
      </c>
      <c r="CB54" s="225" t="str">
        <f t="shared" si="80"/>
        <v>n/a</v>
      </c>
      <c r="CC54" s="225" t="str">
        <f t="shared" si="80"/>
        <v>n/a</v>
      </c>
      <c r="CD54" s="225" t="str">
        <f t="shared" si="80"/>
        <v>n/a</v>
      </c>
      <c r="CE54" s="214" t="str">
        <f t="shared" si="80"/>
        <v>n/a</v>
      </c>
      <c r="CF54" s="225" t="str">
        <f t="shared" si="80"/>
        <v>n/a</v>
      </c>
      <c r="CG54" s="225" t="str">
        <f t="shared" si="80"/>
        <v>n/a</v>
      </c>
      <c r="CH54" s="225" t="str">
        <f t="shared" si="80"/>
        <v>n/a</v>
      </c>
      <c r="CI54" s="225" t="str">
        <f t="shared" si="80"/>
        <v>n/a</v>
      </c>
      <c r="CJ54" s="225" t="str">
        <f t="shared" si="80"/>
        <v>n/a</v>
      </c>
      <c r="CK54" s="225" t="str">
        <f t="shared" si="80"/>
        <v>n/a</v>
      </c>
      <c r="CL54" s="225" t="str">
        <f t="shared" si="80"/>
        <v>n/a</v>
      </c>
      <c r="CM54" s="225" t="str">
        <f t="shared" si="80"/>
        <v>n/a</v>
      </c>
      <c r="CN54" s="225" t="str">
        <f t="shared" si="80"/>
        <v>n/a</v>
      </c>
      <c r="CO54" s="225" t="str">
        <f t="shared" si="80"/>
        <v>n/a</v>
      </c>
      <c r="CP54" s="225" t="str">
        <f t="shared" si="80"/>
        <v>n/a</v>
      </c>
      <c r="CQ54" s="214" t="str">
        <f t="shared" si="80"/>
        <v>n/a</v>
      </c>
      <c r="CR54" s="225" t="str">
        <f t="shared" si="80"/>
        <v>n/a</v>
      </c>
      <c r="CS54" s="225" t="str">
        <f t="shared" si="80"/>
        <v>n/a</v>
      </c>
      <c r="CT54" s="225" t="str">
        <f t="shared" si="80"/>
        <v>n/a</v>
      </c>
      <c r="CU54" s="225" t="str">
        <f t="shared" si="80"/>
        <v>n/a</v>
      </c>
      <c r="CV54" s="225" t="str">
        <f t="shared" si="80"/>
        <v>n/a</v>
      </c>
      <c r="CW54" s="225" t="str">
        <f t="shared" si="80"/>
        <v>n/a</v>
      </c>
      <c r="CX54" s="225" t="str">
        <f t="shared" si="80"/>
        <v>n/a</v>
      </c>
      <c r="CY54" s="225" t="str">
        <f t="shared" si="80"/>
        <v>n/a</v>
      </c>
      <c r="CZ54" s="225" t="str">
        <f t="shared" si="80"/>
        <v>n/a</v>
      </c>
      <c r="DA54" s="225" t="str">
        <f t="shared" si="80"/>
        <v>n/a</v>
      </c>
      <c r="DB54" s="225" t="str">
        <f t="shared" si="80"/>
        <v>n/a</v>
      </c>
      <c r="DC54" s="214" t="str">
        <f t="shared" si="80"/>
        <v>n/a</v>
      </c>
    </row>
    <row r="55" spans="1:107" x14ac:dyDescent="0.3">
      <c r="G55" s="203"/>
      <c r="K55" s="203"/>
      <c r="W55" s="203"/>
      <c r="AI55" s="203"/>
      <c r="AU55" s="203"/>
      <c r="BG55" s="203"/>
      <c r="BS55" s="203"/>
      <c r="CE55" s="203"/>
      <c r="CQ55" s="203"/>
      <c r="DC55" s="203"/>
    </row>
    <row r="56" spans="1:107" x14ac:dyDescent="0.3">
      <c r="G56" s="203"/>
      <c r="K56" s="203"/>
      <c r="W56" s="203"/>
      <c r="AI56" s="203"/>
      <c r="AU56" s="203"/>
      <c r="BG56" s="203"/>
      <c r="BS56" s="203"/>
      <c r="CE56" s="203"/>
      <c r="CQ56" s="203"/>
      <c r="DC56" s="203"/>
    </row>
    <row r="57" spans="1:107" x14ac:dyDescent="0.3">
      <c r="A57" s="319"/>
      <c r="B57" s="319" t="s">
        <v>0</v>
      </c>
      <c r="C57" s="166" t="s">
        <v>472</v>
      </c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65"/>
      <c r="AY57" s="365"/>
      <c r="AZ57" s="365"/>
      <c r="BA57" s="365"/>
      <c r="BB57" s="365"/>
      <c r="BC57" s="365"/>
      <c r="BD57" s="365"/>
      <c r="BE57" s="365"/>
      <c r="BF57" s="365"/>
      <c r="BG57" s="365"/>
      <c r="BH57" s="365"/>
      <c r="BI57" s="365"/>
      <c r="BJ57" s="365"/>
      <c r="BK57" s="365"/>
      <c r="BL57" s="365"/>
      <c r="BM57" s="365"/>
      <c r="BN57" s="365"/>
      <c r="BO57" s="365"/>
      <c r="BP57" s="365"/>
      <c r="BQ57" s="365"/>
      <c r="BR57" s="365"/>
      <c r="BS57" s="365"/>
      <c r="BT57" s="365"/>
      <c r="BU57" s="365"/>
      <c r="BV57" s="365"/>
      <c r="BW57" s="365"/>
      <c r="BX57" s="365"/>
      <c r="BY57" s="365"/>
      <c r="BZ57" s="365"/>
      <c r="CA57" s="365"/>
      <c r="CB57" s="365"/>
      <c r="CC57" s="365"/>
      <c r="CD57" s="365"/>
      <c r="CE57" s="365"/>
      <c r="CF57" s="365"/>
      <c r="CG57" s="365"/>
      <c r="CH57" s="365"/>
      <c r="CI57" s="365"/>
      <c r="CJ57" s="365"/>
      <c r="CK57" s="365"/>
      <c r="CL57" s="365"/>
      <c r="CM57" s="365"/>
      <c r="CN57" s="365"/>
      <c r="CO57" s="365"/>
      <c r="CP57" s="365"/>
      <c r="CQ57" s="365"/>
      <c r="CR57" s="365"/>
      <c r="CS57" s="365"/>
      <c r="CT57" s="365"/>
      <c r="CU57" s="365"/>
      <c r="CV57" s="365"/>
      <c r="CW57" s="365"/>
      <c r="CX57" s="365"/>
      <c r="CY57" s="365"/>
      <c r="CZ57" s="365"/>
      <c r="DA57" s="365"/>
      <c r="DB57" s="365"/>
      <c r="DC57" s="366"/>
    </row>
    <row r="58" spans="1:107" ht="5.15" customHeight="1" x14ac:dyDescent="0.3">
      <c r="G58" s="203"/>
      <c r="K58" s="203"/>
      <c r="W58" s="203"/>
      <c r="AI58" s="203"/>
      <c r="AU58" s="203"/>
      <c r="BG58" s="203"/>
      <c r="BS58" s="203"/>
      <c r="CE58" s="203"/>
      <c r="CQ58" s="203"/>
      <c r="DC58" s="203"/>
    </row>
    <row r="59" spans="1:107" x14ac:dyDescent="0.3">
      <c r="C59" s="193" t="str">
        <f>++C$10</f>
        <v>Revenue</v>
      </c>
      <c r="G59" s="400">
        <v>0</v>
      </c>
      <c r="H59" s="400">
        <v>0</v>
      </c>
      <c r="I59" s="400">
        <v>0</v>
      </c>
      <c r="J59" s="400">
        <v>0</v>
      </c>
      <c r="K59" s="400">
        <v>0</v>
      </c>
      <c r="L59" s="400">
        <v>0</v>
      </c>
      <c r="M59" s="400">
        <v>0</v>
      </c>
      <c r="N59" s="400">
        <v>0</v>
      </c>
      <c r="O59" s="400">
        <v>0</v>
      </c>
      <c r="P59" s="400">
        <v>0</v>
      </c>
      <c r="Q59" s="400">
        <v>0</v>
      </c>
      <c r="R59" s="400">
        <v>0</v>
      </c>
      <c r="S59" s="400">
        <v>0</v>
      </c>
      <c r="T59" s="400">
        <v>0</v>
      </c>
      <c r="U59" s="400">
        <v>0</v>
      </c>
      <c r="V59" s="400">
        <v>0</v>
      </c>
      <c r="W59" s="400">
        <v>0</v>
      </c>
      <c r="X59" s="400">
        <v>0</v>
      </c>
      <c r="Y59" s="400">
        <v>0</v>
      </c>
      <c r="Z59" s="400">
        <v>0</v>
      </c>
      <c r="AA59" s="400">
        <v>0</v>
      </c>
      <c r="AB59" s="400">
        <v>0</v>
      </c>
      <c r="AC59" s="400">
        <v>0</v>
      </c>
      <c r="AD59" s="400">
        <v>0</v>
      </c>
      <c r="AE59" s="400">
        <v>0</v>
      </c>
      <c r="AF59" s="400">
        <v>0</v>
      </c>
      <c r="AG59" s="400">
        <v>0</v>
      </c>
      <c r="AH59" s="400">
        <v>0</v>
      </c>
      <c r="AI59" s="400">
        <v>0</v>
      </c>
      <c r="AJ59" s="400">
        <v>0</v>
      </c>
      <c r="AK59" s="400">
        <v>0</v>
      </c>
      <c r="AL59" s="400">
        <v>0</v>
      </c>
      <c r="AM59" s="400">
        <v>0</v>
      </c>
      <c r="AN59" s="400">
        <v>0</v>
      </c>
      <c r="AO59" s="400">
        <v>0</v>
      </c>
      <c r="AP59" s="400">
        <v>0</v>
      </c>
      <c r="AQ59" s="400">
        <v>0</v>
      </c>
      <c r="AR59" s="400">
        <v>0</v>
      </c>
      <c r="AS59" s="400">
        <v>0</v>
      </c>
      <c r="AT59" s="400">
        <v>0</v>
      </c>
      <c r="AU59" s="400">
        <v>0</v>
      </c>
      <c r="AV59" s="400">
        <v>0</v>
      </c>
      <c r="AW59" s="400">
        <v>0</v>
      </c>
      <c r="AX59" s="400">
        <v>0</v>
      </c>
      <c r="AY59" s="400">
        <v>0</v>
      </c>
      <c r="AZ59" s="400">
        <v>0</v>
      </c>
      <c r="BA59" s="400">
        <v>0</v>
      </c>
      <c r="BB59" s="400">
        <v>0</v>
      </c>
      <c r="BC59" s="400">
        <v>0</v>
      </c>
      <c r="BD59" s="400">
        <v>0</v>
      </c>
      <c r="BE59" s="400">
        <v>0</v>
      </c>
      <c r="BF59" s="400">
        <v>0</v>
      </c>
      <c r="BG59" s="400">
        <v>0</v>
      </c>
      <c r="BH59" s="400">
        <v>0</v>
      </c>
      <c r="BI59" s="400">
        <v>0</v>
      </c>
      <c r="BJ59" s="400">
        <v>0</v>
      </c>
      <c r="BK59" s="400">
        <v>0</v>
      </c>
      <c r="BL59" s="400">
        <v>0</v>
      </c>
      <c r="BM59" s="400">
        <v>0</v>
      </c>
      <c r="BN59" s="400">
        <v>0</v>
      </c>
      <c r="BO59" s="400">
        <v>0</v>
      </c>
      <c r="BP59" s="400">
        <v>0</v>
      </c>
      <c r="BQ59" s="400">
        <v>0</v>
      </c>
      <c r="BR59" s="400">
        <v>0</v>
      </c>
      <c r="BS59" s="400">
        <v>0</v>
      </c>
      <c r="BT59" s="400">
        <v>0</v>
      </c>
      <c r="BU59" s="400">
        <v>0</v>
      </c>
      <c r="BV59" s="400">
        <v>0</v>
      </c>
      <c r="BW59" s="400">
        <v>0</v>
      </c>
      <c r="BX59" s="400">
        <v>0</v>
      </c>
      <c r="BY59" s="400">
        <v>0</v>
      </c>
      <c r="BZ59" s="400">
        <v>0</v>
      </c>
      <c r="CA59" s="400">
        <v>0</v>
      </c>
      <c r="CB59" s="400">
        <v>0</v>
      </c>
      <c r="CC59" s="400">
        <v>0</v>
      </c>
      <c r="CD59" s="400">
        <v>0</v>
      </c>
      <c r="CE59" s="400">
        <v>0</v>
      </c>
      <c r="CF59" s="400">
        <v>0</v>
      </c>
      <c r="CG59" s="400">
        <v>0</v>
      </c>
      <c r="CH59" s="400">
        <v>0</v>
      </c>
      <c r="CI59" s="400">
        <v>0</v>
      </c>
      <c r="CJ59" s="400">
        <v>0</v>
      </c>
      <c r="CK59" s="400">
        <v>0</v>
      </c>
      <c r="CL59" s="400">
        <v>0</v>
      </c>
      <c r="CM59" s="400">
        <v>0</v>
      </c>
      <c r="CN59" s="400">
        <v>0</v>
      </c>
      <c r="CO59" s="400">
        <v>0</v>
      </c>
      <c r="CP59" s="400">
        <v>0</v>
      </c>
      <c r="CQ59" s="400">
        <v>0</v>
      </c>
      <c r="CR59" s="400">
        <v>0</v>
      </c>
      <c r="CS59" s="400">
        <v>0</v>
      </c>
      <c r="CT59" s="400">
        <v>0</v>
      </c>
      <c r="CU59" s="400">
        <v>0</v>
      </c>
      <c r="CV59" s="400">
        <v>0</v>
      </c>
      <c r="CW59" s="400">
        <v>0</v>
      </c>
      <c r="CX59" s="400">
        <v>0</v>
      </c>
      <c r="CY59" s="400">
        <v>0</v>
      </c>
      <c r="CZ59" s="400">
        <v>0</v>
      </c>
      <c r="DA59" s="400">
        <v>0</v>
      </c>
      <c r="DB59" s="400">
        <v>0</v>
      </c>
      <c r="DC59" s="400">
        <v>0</v>
      </c>
    </row>
    <row r="60" spans="1:107" x14ac:dyDescent="0.3">
      <c r="C60" s="321" t="str">
        <f>++C$11</f>
        <v>% y/y</v>
      </c>
      <c r="G60" s="122" t="s">
        <v>47</v>
      </c>
      <c r="H60" s="122" t="s">
        <v>47</v>
      </c>
      <c r="I60" s="122" t="s">
        <v>47</v>
      </c>
      <c r="J60" s="122" t="s">
        <v>47</v>
      </c>
      <c r="K60" s="214" t="str">
        <f>++IFERROR(K59/G59-1,"n/a")</f>
        <v>n/a</v>
      </c>
      <c r="L60" s="122" t="s">
        <v>47</v>
      </c>
      <c r="M60" s="122" t="s">
        <v>47</v>
      </c>
      <c r="N60" s="225" t="str">
        <f>++IFERROR(N59/H59-1,"n/a")</f>
        <v>n/a</v>
      </c>
      <c r="O60" s="122" t="s">
        <v>47</v>
      </c>
      <c r="P60" s="122" t="s">
        <v>47</v>
      </c>
      <c r="Q60" s="225" t="str">
        <f>++IFERROR(Q59/I59-1,"n/a")</f>
        <v>n/a</v>
      </c>
      <c r="R60" s="122" t="s">
        <v>47</v>
      </c>
      <c r="S60" s="122" t="s">
        <v>47</v>
      </c>
      <c r="T60" s="225" t="str">
        <f>++IFERROR(T59/J59-1,"n/a")</f>
        <v>n/a</v>
      </c>
      <c r="U60" s="122" t="s">
        <v>47</v>
      </c>
      <c r="V60" s="122" t="s">
        <v>47</v>
      </c>
      <c r="W60" s="214" t="str">
        <f t="shared" ref="W60:BB60" si="81">++IFERROR(W59/K59-1,"n/a")</f>
        <v>n/a</v>
      </c>
      <c r="X60" s="225" t="str">
        <f t="shared" si="81"/>
        <v>n/a</v>
      </c>
      <c r="Y60" s="225" t="str">
        <f t="shared" si="81"/>
        <v>n/a</v>
      </c>
      <c r="Z60" s="225" t="str">
        <f t="shared" si="81"/>
        <v>n/a</v>
      </c>
      <c r="AA60" s="225" t="str">
        <f t="shared" si="81"/>
        <v>n/a</v>
      </c>
      <c r="AB60" s="225" t="str">
        <f t="shared" si="81"/>
        <v>n/a</v>
      </c>
      <c r="AC60" s="225" t="str">
        <f t="shared" si="81"/>
        <v>n/a</v>
      </c>
      <c r="AD60" s="225" t="str">
        <f t="shared" si="81"/>
        <v>n/a</v>
      </c>
      <c r="AE60" s="225" t="str">
        <f t="shared" si="81"/>
        <v>n/a</v>
      </c>
      <c r="AF60" s="225" t="str">
        <f t="shared" si="81"/>
        <v>n/a</v>
      </c>
      <c r="AG60" s="225" t="str">
        <f t="shared" si="81"/>
        <v>n/a</v>
      </c>
      <c r="AH60" s="225" t="str">
        <f t="shared" si="81"/>
        <v>n/a</v>
      </c>
      <c r="AI60" s="214" t="str">
        <f t="shared" si="81"/>
        <v>n/a</v>
      </c>
      <c r="AJ60" s="225" t="str">
        <f t="shared" si="81"/>
        <v>n/a</v>
      </c>
      <c r="AK60" s="225" t="str">
        <f t="shared" si="81"/>
        <v>n/a</v>
      </c>
      <c r="AL60" s="225" t="str">
        <f t="shared" si="81"/>
        <v>n/a</v>
      </c>
      <c r="AM60" s="225" t="str">
        <f t="shared" si="81"/>
        <v>n/a</v>
      </c>
      <c r="AN60" s="225" t="str">
        <f t="shared" si="81"/>
        <v>n/a</v>
      </c>
      <c r="AO60" s="225" t="str">
        <f t="shared" si="81"/>
        <v>n/a</v>
      </c>
      <c r="AP60" s="225" t="str">
        <f t="shared" si="81"/>
        <v>n/a</v>
      </c>
      <c r="AQ60" s="225" t="str">
        <f t="shared" si="81"/>
        <v>n/a</v>
      </c>
      <c r="AR60" s="225" t="str">
        <f t="shared" si="81"/>
        <v>n/a</v>
      </c>
      <c r="AS60" s="225" t="str">
        <f t="shared" si="81"/>
        <v>n/a</v>
      </c>
      <c r="AT60" s="225" t="str">
        <f t="shared" si="81"/>
        <v>n/a</v>
      </c>
      <c r="AU60" s="214" t="str">
        <f t="shared" si="81"/>
        <v>n/a</v>
      </c>
      <c r="AV60" s="225" t="str">
        <f t="shared" si="81"/>
        <v>n/a</v>
      </c>
      <c r="AW60" s="225" t="str">
        <f t="shared" si="81"/>
        <v>n/a</v>
      </c>
      <c r="AX60" s="225" t="str">
        <f t="shared" si="81"/>
        <v>n/a</v>
      </c>
      <c r="AY60" s="225" t="str">
        <f t="shared" si="81"/>
        <v>n/a</v>
      </c>
      <c r="AZ60" s="225" t="str">
        <f t="shared" si="81"/>
        <v>n/a</v>
      </c>
      <c r="BA60" s="225" t="str">
        <f t="shared" si="81"/>
        <v>n/a</v>
      </c>
      <c r="BB60" s="225" t="str">
        <f t="shared" si="81"/>
        <v>n/a</v>
      </c>
      <c r="BC60" s="225" t="str">
        <f t="shared" ref="BC60:CH60" si="82">++IFERROR(BC59/AQ59-1,"n/a")</f>
        <v>n/a</v>
      </c>
      <c r="BD60" s="225" t="str">
        <f t="shared" si="82"/>
        <v>n/a</v>
      </c>
      <c r="BE60" s="225" t="str">
        <f t="shared" si="82"/>
        <v>n/a</v>
      </c>
      <c r="BF60" s="225" t="str">
        <f t="shared" si="82"/>
        <v>n/a</v>
      </c>
      <c r="BG60" s="214" t="str">
        <f t="shared" si="82"/>
        <v>n/a</v>
      </c>
      <c r="BH60" s="225" t="str">
        <f t="shared" si="82"/>
        <v>n/a</v>
      </c>
      <c r="BI60" s="225" t="str">
        <f t="shared" si="82"/>
        <v>n/a</v>
      </c>
      <c r="BJ60" s="225" t="str">
        <f t="shared" si="82"/>
        <v>n/a</v>
      </c>
      <c r="BK60" s="225" t="str">
        <f t="shared" si="82"/>
        <v>n/a</v>
      </c>
      <c r="BL60" s="225" t="str">
        <f t="shared" si="82"/>
        <v>n/a</v>
      </c>
      <c r="BM60" s="225" t="str">
        <f t="shared" si="82"/>
        <v>n/a</v>
      </c>
      <c r="BN60" s="225" t="str">
        <f t="shared" si="82"/>
        <v>n/a</v>
      </c>
      <c r="BO60" s="225" t="str">
        <f t="shared" si="82"/>
        <v>n/a</v>
      </c>
      <c r="BP60" s="225" t="str">
        <f t="shared" si="82"/>
        <v>n/a</v>
      </c>
      <c r="BQ60" s="225" t="str">
        <f t="shared" si="82"/>
        <v>n/a</v>
      </c>
      <c r="BR60" s="225" t="str">
        <f t="shared" si="82"/>
        <v>n/a</v>
      </c>
      <c r="BS60" s="214" t="str">
        <f t="shared" si="82"/>
        <v>n/a</v>
      </c>
      <c r="BT60" s="225" t="str">
        <f t="shared" si="82"/>
        <v>n/a</v>
      </c>
      <c r="BU60" s="225" t="str">
        <f t="shared" si="82"/>
        <v>n/a</v>
      </c>
      <c r="BV60" s="225" t="str">
        <f t="shared" si="82"/>
        <v>n/a</v>
      </c>
      <c r="BW60" s="225" t="str">
        <f t="shared" si="82"/>
        <v>n/a</v>
      </c>
      <c r="BX60" s="225" t="str">
        <f t="shared" si="82"/>
        <v>n/a</v>
      </c>
      <c r="BY60" s="225" t="str">
        <f t="shared" si="82"/>
        <v>n/a</v>
      </c>
      <c r="BZ60" s="225" t="str">
        <f t="shared" si="82"/>
        <v>n/a</v>
      </c>
      <c r="CA60" s="225" t="str">
        <f t="shared" si="82"/>
        <v>n/a</v>
      </c>
      <c r="CB60" s="225" t="str">
        <f t="shared" si="82"/>
        <v>n/a</v>
      </c>
      <c r="CC60" s="225" t="str">
        <f t="shared" si="82"/>
        <v>n/a</v>
      </c>
      <c r="CD60" s="225" t="str">
        <f t="shared" si="82"/>
        <v>n/a</v>
      </c>
      <c r="CE60" s="214" t="str">
        <f t="shared" si="82"/>
        <v>n/a</v>
      </c>
      <c r="CF60" s="225" t="str">
        <f t="shared" si="82"/>
        <v>n/a</v>
      </c>
      <c r="CG60" s="225" t="str">
        <f t="shared" si="82"/>
        <v>n/a</v>
      </c>
      <c r="CH60" s="225" t="str">
        <f t="shared" si="82"/>
        <v>n/a</v>
      </c>
      <c r="CI60" s="225" t="str">
        <f t="shared" ref="CI60:DN60" si="83">++IFERROR(CI59/BW59-1,"n/a")</f>
        <v>n/a</v>
      </c>
      <c r="CJ60" s="225" t="str">
        <f t="shared" si="83"/>
        <v>n/a</v>
      </c>
      <c r="CK60" s="225" t="str">
        <f t="shared" si="83"/>
        <v>n/a</v>
      </c>
      <c r="CL60" s="225" t="str">
        <f t="shared" si="83"/>
        <v>n/a</v>
      </c>
      <c r="CM60" s="225" t="str">
        <f t="shared" si="83"/>
        <v>n/a</v>
      </c>
      <c r="CN60" s="225" t="str">
        <f t="shared" si="83"/>
        <v>n/a</v>
      </c>
      <c r="CO60" s="225" t="str">
        <f t="shared" si="83"/>
        <v>n/a</v>
      </c>
      <c r="CP60" s="225" t="str">
        <f t="shared" si="83"/>
        <v>n/a</v>
      </c>
      <c r="CQ60" s="214" t="str">
        <f t="shared" si="83"/>
        <v>n/a</v>
      </c>
      <c r="CR60" s="225" t="str">
        <f t="shared" si="83"/>
        <v>n/a</v>
      </c>
      <c r="CS60" s="225" t="str">
        <f t="shared" si="83"/>
        <v>n/a</v>
      </c>
      <c r="CT60" s="225" t="str">
        <f t="shared" si="83"/>
        <v>n/a</v>
      </c>
      <c r="CU60" s="225" t="str">
        <f t="shared" si="83"/>
        <v>n/a</v>
      </c>
      <c r="CV60" s="225" t="str">
        <f t="shared" si="83"/>
        <v>n/a</v>
      </c>
      <c r="CW60" s="225" t="str">
        <f t="shared" si="83"/>
        <v>n/a</v>
      </c>
      <c r="CX60" s="225" t="str">
        <f t="shared" si="83"/>
        <v>n/a</v>
      </c>
      <c r="CY60" s="225" t="str">
        <f t="shared" si="83"/>
        <v>n/a</v>
      </c>
      <c r="CZ60" s="225" t="str">
        <f t="shared" si="83"/>
        <v>n/a</v>
      </c>
      <c r="DA60" s="225" t="str">
        <f t="shared" si="83"/>
        <v>n/a</v>
      </c>
      <c r="DB60" s="225" t="str">
        <f t="shared" si="83"/>
        <v>n/a</v>
      </c>
      <c r="DC60" s="214" t="str">
        <f t="shared" si="83"/>
        <v>n/a</v>
      </c>
    </row>
    <row r="61" spans="1:107" x14ac:dyDescent="0.3">
      <c r="G61" s="203"/>
      <c r="K61" s="203"/>
      <c r="W61" s="203"/>
      <c r="AI61" s="203"/>
      <c r="AU61" s="203"/>
      <c r="BG61" s="203"/>
      <c r="BS61" s="203"/>
      <c r="CE61" s="203"/>
      <c r="CQ61" s="203"/>
      <c r="DC61" s="203"/>
    </row>
    <row r="62" spans="1:107" x14ac:dyDescent="0.3">
      <c r="C62" s="193" t="str">
        <f>++C$13</f>
        <v>Gross Profit</v>
      </c>
      <c r="G62" s="400">
        <v>0</v>
      </c>
      <c r="H62" s="400">
        <v>0</v>
      </c>
      <c r="I62" s="400">
        <v>0</v>
      </c>
      <c r="J62" s="400">
        <v>0</v>
      </c>
      <c r="K62" s="400">
        <v>0</v>
      </c>
      <c r="L62" s="400">
        <v>0</v>
      </c>
      <c r="M62" s="400">
        <v>0</v>
      </c>
      <c r="N62" s="400">
        <v>0</v>
      </c>
      <c r="O62" s="400">
        <v>0</v>
      </c>
      <c r="P62" s="400">
        <v>0</v>
      </c>
      <c r="Q62" s="400">
        <v>0</v>
      </c>
      <c r="R62" s="400">
        <v>0</v>
      </c>
      <c r="S62" s="400">
        <v>0</v>
      </c>
      <c r="T62" s="400">
        <v>0</v>
      </c>
      <c r="U62" s="400">
        <v>0</v>
      </c>
      <c r="V62" s="400">
        <v>0</v>
      </c>
      <c r="W62" s="400">
        <v>0</v>
      </c>
      <c r="X62" s="400">
        <v>0</v>
      </c>
      <c r="Y62" s="400">
        <v>0</v>
      </c>
      <c r="Z62" s="400">
        <v>0</v>
      </c>
      <c r="AA62" s="400">
        <v>0</v>
      </c>
      <c r="AB62" s="400">
        <v>0</v>
      </c>
      <c r="AC62" s="400">
        <v>0</v>
      </c>
      <c r="AD62" s="400">
        <v>0</v>
      </c>
      <c r="AE62" s="400">
        <v>0</v>
      </c>
      <c r="AF62" s="400">
        <v>0</v>
      </c>
      <c r="AG62" s="400">
        <v>0</v>
      </c>
      <c r="AH62" s="400">
        <v>0</v>
      </c>
      <c r="AI62" s="400">
        <v>0</v>
      </c>
      <c r="AJ62" s="400">
        <v>0</v>
      </c>
      <c r="AK62" s="400">
        <v>0</v>
      </c>
      <c r="AL62" s="400">
        <v>0</v>
      </c>
      <c r="AM62" s="400">
        <v>0</v>
      </c>
      <c r="AN62" s="400">
        <v>0</v>
      </c>
      <c r="AO62" s="400">
        <v>0</v>
      </c>
      <c r="AP62" s="400">
        <v>0</v>
      </c>
      <c r="AQ62" s="400">
        <v>0</v>
      </c>
      <c r="AR62" s="400">
        <v>0</v>
      </c>
      <c r="AS62" s="400">
        <v>0</v>
      </c>
      <c r="AT62" s="400">
        <v>0</v>
      </c>
      <c r="AU62" s="400">
        <v>0</v>
      </c>
      <c r="AV62" s="400">
        <v>0</v>
      </c>
      <c r="AW62" s="400">
        <v>0</v>
      </c>
      <c r="AX62" s="400">
        <v>0</v>
      </c>
      <c r="AY62" s="400">
        <v>0</v>
      </c>
      <c r="AZ62" s="400">
        <v>0</v>
      </c>
      <c r="BA62" s="400">
        <v>0</v>
      </c>
      <c r="BB62" s="400">
        <v>0</v>
      </c>
      <c r="BC62" s="400">
        <v>0</v>
      </c>
      <c r="BD62" s="400">
        <v>0</v>
      </c>
      <c r="BE62" s="400">
        <v>0</v>
      </c>
      <c r="BF62" s="400">
        <v>0</v>
      </c>
      <c r="BG62" s="400">
        <v>0</v>
      </c>
      <c r="BH62" s="400">
        <v>0</v>
      </c>
      <c r="BI62" s="400">
        <v>0</v>
      </c>
      <c r="BJ62" s="400">
        <v>0</v>
      </c>
      <c r="BK62" s="400">
        <v>0</v>
      </c>
      <c r="BL62" s="400">
        <v>0</v>
      </c>
      <c r="BM62" s="400">
        <v>0</v>
      </c>
      <c r="BN62" s="400">
        <v>0</v>
      </c>
      <c r="BO62" s="400">
        <v>0</v>
      </c>
      <c r="BP62" s="400">
        <v>0</v>
      </c>
      <c r="BQ62" s="400">
        <v>0</v>
      </c>
      <c r="BR62" s="400">
        <v>0</v>
      </c>
      <c r="BS62" s="400">
        <v>0</v>
      </c>
      <c r="BT62" s="400">
        <v>0</v>
      </c>
      <c r="BU62" s="400">
        <v>0</v>
      </c>
      <c r="BV62" s="400">
        <v>0</v>
      </c>
      <c r="BW62" s="400">
        <v>0</v>
      </c>
      <c r="BX62" s="400">
        <v>0</v>
      </c>
      <c r="BY62" s="400">
        <v>0</v>
      </c>
      <c r="BZ62" s="400">
        <v>0</v>
      </c>
      <c r="CA62" s="400">
        <v>0</v>
      </c>
      <c r="CB62" s="400">
        <v>0</v>
      </c>
      <c r="CC62" s="400">
        <v>0</v>
      </c>
      <c r="CD62" s="400">
        <v>0</v>
      </c>
      <c r="CE62" s="400">
        <v>0</v>
      </c>
      <c r="CF62" s="400">
        <v>0</v>
      </c>
      <c r="CG62" s="400">
        <v>0</v>
      </c>
      <c r="CH62" s="400">
        <v>0</v>
      </c>
      <c r="CI62" s="400">
        <v>0</v>
      </c>
      <c r="CJ62" s="400">
        <v>0</v>
      </c>
      <c r="CK62" s="400">
        <v>0</v>
      </c>
      <c r="CL62" s="400">
        <v>0</v>
      </c>
      <c r="CM62" s="400">
        <v>0</v>
      </c>
      <c r="CN62" s="400">
        <v>0</v>
      </c>
      <c r="CO62" s="400">
        <v>0</v>
      </c>
      <c r="CP62" s="400">
        <v>0</v>
      </c>
      <c r="CQ62" s="400">
        <v>0</v>
      </c>
      <c r="CR62" s="400">
        <v>0</v>
      </c>
      <c r="CS62" s="400">
        <v>0</v>
      </c>
      <c r="CT62" s="400">
        <v>0</v>
      </c>
      <c r="CU62" s="400">
        <v>0</v>
      </c>
      <c r="CV62" s="400">
        <v>0</v>
      </c>
      <c r="CW62" s="400">
        <v>0</v>
      </c>
      <c r="CX62" s="400">
        <v>0</v>
      </c>
      <c r="CY62" s="400">
        <v>0</v>
      </c>
      <c r="CZ62" s="400">
        <v>0</v>
      </c>
      <c r="DA62" s="400">
        <v>0</v>
      </c>
      <c r="DB62" s="400">
        <v>0</v>
      </c>
      <c r="DC62" s="400">
        <v>0</v>
      </c>
    </row>
    <row r="63" spans="1:107" x14ac:dyDescent="0.3">
      <c r="C63" s="321" t="str">
        <f>++C$14</f>
        <v>% margin</v>
      </c>
      <c r="G63" s="214" t="str">
        <f>++IFERROR(G62/G59,"n/a")</f>
        <v>n/a</v>
      </c>
      <c r="H63" s="225" t="str">
        <f t="shared" ref="H63" si="84">++IFERROR(H62/H59,"n/a")</f>
        <v>n/a</v>
      </c>
      <c r="I63" s="225" t="str">
        <f t="shared" ref="I63" si="85">++IFERROR(I62/I59,"n/a")</f>
        <v>n/a</v>
      </c>
      <c r="J63" s="225" t="str">
        <f t="shared" ref="J63" si="86">++IFERROR(J62/J59,"n/a")</f>
        <v>n/a</v>
      </c>
      <c r="K63" s="214" t="str">
        <f t="shared" ref="K63" si="87">++IFERROR(K62/K59,"n/a")</f>
        <v>n/a</v>
      </c>
      <c r="L63" s="225" t="str">
        <f t="shared" ref="L63" si="88">++IFERROR(L62/L59,"n/a")</f>
        <v>n/a</v>
      </c>
      <c r="M63" s="225" t="str">
        <f t="shared" ref="M63" si="89">++IFERROR(M62/M59,"n/a")</f>
        <v>n/a</v>
      </c>
      <c r="N63" s="225" t="str">
        <f t="shared" ref="N63" si="90">++IFERROR(N62/N59,"n/a")</f>
        <v>n/a</v>
      </c>
      <c r="O63" s="225" t="str">
        <f t="shared" ref="O63" si="91">++IFERROR(O62/O59,"n/a")</f>
        <v>n/a</v>
      </c>
      <c r="P63" s="225" t="str">
        <f t="shared" ref="P63" si="92">++IFERROR(P62/P59,"n/a")</f>
        <v>n/a</v>
      </c>
      <c r="Q63" s="225" t="str">
        <f t="shared" ref="Q63" si="93">++IFERROR(Q62/Q59,"n/a")</f>
        <v>n/a</v>
      </c>
      <c r="R63" s="225" t="str">
        <f t="shared" ref="R63" si="94">++IFERROR(R62/R59,"n/a")</f>
        <v>n/a</v>
      </c>
      <c r="S63" s="225" t="str">
        <f t="shared" ref="S63" si="95">++IFERROR(S62/S59,"n/a")</f>
        <v>n/a</v>
      </c>
      <c r="T63" s="225" t="str">
        <f t="shared" ref="T63" si="96">++IFERROR(T62/T59,"n/a")</f>
        <v>n/a</v>
      </c>
      <c r="U63" s="225" t="str">
        <f t="shared" ref="U63" si="97">++IFERROR(U62/U59,"n/a")</f>
        <v>n/a</v>
      </c>
      <c r="V63" s="225" t="str">
        <f t="shared" ref="V63" si="98">++IFERROR(V62/V59,"n/a")</f>
        <v>n/a</v>
      </c>
      <c r="W63" s="214" t="str">
        <f t="shared" ref="W63" si="99">++IFERROR(W62/W59,"n/a")</f>
        <v>n/a</v>
      </c>
      <c r="X63" s="225" t="str">
        <f t="shared" ref="X63" si="100">++IFERROR(X62/X59,"n/a")</f>
        <v>n/a</v>
      </c>
      <c r="Y63" s="225" t="str">
        <f t="shared" ref="Y63" si="101">++IFERROR(Y62/Y59,"n/a")</f>
        <v>n/a</v>
      </c>
      <c r="Z63" s="225" t="str">
        <f t="shared" ref="Z63" si="102">++IFERROR(Z62/Z59,"n/a")</f>
        <v>n/a</v>
      </c>
      <c r="AA63" s="225" t="str">
        <f t="shared" ref="AA63" si="103">++IFERROR(AA62/AA59,"n/a")</f>
        <v>n/a</v>
      </c>
      <c r="AB63" s="225" t="str">
        <f t="shared" ref="AB63" si="104">++IFERROR(AB62/AB59,"n/a")</f>
        <v>n/a</v>
      </c>
      <c r="AC63" s="225" t="str">
        <f t="shared" ref="AC63" si="105">++IFERROR(AC62/AC59,"n/a")</f>
        <v>n/a</v>
      </c>
      <c r="AD63" s="225" t="str">
        <f t="shared" ref="AD63" si="106">++IFERROR(AD62/AD59,"n/a")</f>
        <v>n/a</v>
      </c>
      <c r="AE63" s="225" t="str">
        <f t="shared" ref="AE63" si="107">++IFERROR(AE62/AE59,"n/a")</f>
        <v>n/a</v>
      </c>
      <c r="AF63" s="225" t="str">
        <f t="shared" ref="AF63" si="108">++IFERROR(AF62/AF59,"n/a")</f>
        <v>n/a</v>
      </c>
      <c r="AG63" s="225" t="str">
        <f t="shared" ref="AG63" si="109">++IFERROR(AG62/AG59,"n/a")</f>
        <v>n/a</v>
      </c>
      <c r="AH63" s="225" t="str">
        <f t="shared" ref="AH63" si="110">++IFERROR(AH62/AH59,"n/a")</f>
        <v>n/a</v>
      </c>
      <c r="AI63" s="214" t="str">
        <f t="shared" ref="AI63" si="111">++IFERROR(AI62/AI59,"n/a")</f>
        <v>n/a</v>
      </c>
      <c r="AJ63" s="225" t="str">
        <f t="shared" ref="AJ63" si="112">++IFERROR(AJ62/AJ59,"n/a")</f>
        <v>n/a</v>
      </c>
      <c r="AK63" s="225" t="str">
        <f t="shared" ref="AK63" si="113">++IFERROR(AK62/AK59,"n/a")</f>
        <v>n/a</v>
      </c>
      <c r="AL63" s="225" t="str">
        <f t="shared" ref="AL63" si="114">++IFERROR(AL62/AL59,"n/a")</f>
        <v>n/a</v>
      </c>
      <c r="AM63" s="225" t="str">
        <f t="shared" ref="AM63" si="115">++IFERROR(AM62/AM59,"n/a")</f>
        <v>n/a</v>
      </c>
      <c r="AN63" s="225" t="str">
        <f t="shared" ref="AN63" si="116">++IFERROR(AN62/AN59,"n/a")</f>
        <v>n/a</v>
      </c>
      <c r="AO63" s="225" t="str">
        <f t="shared" ref="AO63" si="117">++IFERROR(AO62/AO59,"n/a")</f>
        <v>n/a</v>
      </c>
      <c r="AP63" s="225" t="str">
        <f t="shared" ref="AP63" si="118">++IFERROR(AP62/AP59,"n/a")</f>
        <v>n/a</v>
      </c>
      <c r="AQ63" s="225" t="str">
        <f t="shared" ref="AQ63" si="119">++IFERROR(AQ62/AQ59,"n/a")</f>
        <v>n/a</v>
      </c>
      <c r="AR63" s="225" t="str">
        <f t="shared" ref="AR63" si="120">++IFERROR(AR62/AR59,"n/a")</f>
        <v>n/a</v>
      </c>
      <c r="AS63" s="225" t="str">
        <f t="shared" ref="AS63" si="121">++IFERROR(AS62/AS59,"n/a")</f>
        <v>n/a</v>
      </c>
      <c r="AT63" s="225" t="str">
        <f t="shared" ref="AT63" si="122">++IFERROR(AT62/AT59,"n/a")</f>
        <v>n/a</v>
      </c>
      <c r="AU63" s="214" t="str">
        <f t="shared" ref="AU63" si="123">++IFERROR(AU62/AU59,"n/a")</f>
        <v>n/a</v>
      </c>
      <c r="AV63" s="225" t="str">
        <f t="shared" ref="AV63" si="124">++IFERROR(AV62/AV59,"n/a")</f>
        <v>n/a</v>
      </c>
      <c r="AW63" s="225" t="str">
        <f t="shared" ref="AW63" si="125">++IFERROR(AW62/AW59,"n/a")</f>
        <v>n/a</v>
      </c>
      <c r="AX63" s="225" t="str">
        <f t="shared" ref="AX63" si="126">++IFERROR(AX62/AX59,"n/a")</f>
        <v>n/a</v>
      </c>
      <c r="AY63" s="225" t="str">
        <f t="shared" ref="AY63" si="127">++IFERROR(AY62/AY59,"n/a")</f>
        <v>n/a</v>
      </c>
      <c r="AZ63" s="225" t="str">
        <f t="shared" ref="AZ63" si="128">++IFERROR(AZ62/AZ59,"n/a")</f>
        <v>n/a</v>
      </c>
      <c r="BA63" s="225" t="str">
        <f t="shared" ref="BA63" si="129">++IFERROR(BA62/BA59,"n/a")</f>
        <v>n/a</v>
      </c>
      <c r="BB63" s="225" t="str">
        <f t="shared" ref="BB63" si="130">++IFERROR(BB62/BB59,"n/a")</f>
        <v>n/a</v>
      </c>
      <c r="BC63" s="225" t="str">
        <f t="shared" ref="BC63" si="131">++IFERROR(BC62/BC59,"n/a")</f>
        <v>n/a</v>
      </c>
      <c r="BD63" s="225" t="str">
        <f t="shared" ref="BD63" si="132">++IFERROR(BD62/BD59,"n/a")</f>
        <v>n/a</v>
      </c>
      <c r="BE63" s="225" t="str">
        <f t="shared" ref="BE63" si="133">++IFERROR(BE62/BE59,"n/a")</f>
        <v>n/a</v>
      </c>
      <c r="BF63" s="225" t="str">
        <f t="shared" ref="BF63" si="134">++IFERROR(BF62/BF59,"n/a")</f>
        <v>n/a</v>
      </c>
      <c r="BG63" s="214" t="str">
        <f t="shared" ref="BG63" si="135">++IFERROR(BG62/BG59,"n/a")</f>
        <v>n/a</v>
      </c>
      <c r="BH63" s="225" t="str">
        <f t="shared" ref="BH63" si="136">++IFERROR(BH62/BH59,"n/a")</f>
        <v>n/a</v>
      </c>
      <c r="BI63" s="225" t="str">
        <f t="shared" ref="BI63" si="137">++IFERROR(BI62/BI59,"n/a")</f>
        <v>n/a</v>
      </c>
      <c r="BJ63" s="225" t="str">
        <f t="shared" ref="BJ63" si="138">++IFERROR(BJ62/BJ59,"n/a")</f>
        <v>n/a</v>
      </c>
      <c r="BK63" s="225" t="str">
        <f t="shared" ref="BK63" si="139">++IFERROR(BK62/BK59,"n/a")</f>
        <v>n/a</v>
      </c>
      <c r="BL63" s="225" t="str">
        <f t="shared" ref="BL63" si="140">++IFERROR(BL62/BL59,"n/a")</f>
        <v>n/a</v>
      </c>
      <c r="BM63" s="225" t="str">
        <f t="shared" ref="BM63" si="141">++IFERROR(BM62/BM59,"n/a")</f>
        <v>n/a</v>
      </c>
      <c r="BN63" s="225" t="str">
        <f t="shared" ref="BN63" si="142">++IFERROR(BN62/BN59,"n/a")</f>
        <v>n/a</v>
      </c>
      <c r="BO63" s="225" t="str">
        <f t="shared" ref="BO63" si="143">++IFERROR(BO62/BO59,"n/a")</f>
        <v>n/a</v>
      </c>
      <c r="BP63" s="225" t="str">
        <f t="shared" ref="BP63" si="144">++IFERROR(BP62/BP59,"n/a")</f>
        <v>n/a</v>
      </c>
      <c r="BQ63" s="225" t="str">
        <f t="shared" ref="BQ63" si="145">++IFERROR(BQ62/BQ59,"n/a")</f>
        <v>n/a</v>
      </c>
      <c r="BR63" s="225" t="str">
        <f t="shared" ref="BR63" si="146">++IFERROR(BR62/BR59,"n/a")</f>
        <v>n/a</v>
      </c>
      <c r="BS63" s="214" t="str">
        <f t="shared" ref="BS63" si="147">++IFERROR(BS62/BS59,"n/a")</f>
        <v>n/a</v>
      </c>
      <c r="BT63" s="225" t="str">
        <f t="shared" ref="BT63" si="148">++IFERROR(BT62/BT59,"n/a")</f>
        <v>n/a</v>
      </c>
      <c r="BU63" s="225" t="str">
        <f t="shared" ref="BU63" si="149">++IFERROR(BU62/BU59,"n/a")</f>
        <v>n/a</v>
      </c>
      <c r="BV63" s="225" t="str">
        <f t="shared" ref="BV63" si="150">++IFERROR(BV62/BV59,"n/a")</f>
        <v>n/a</v>
      </c>
      <c r="BW63" s="225" t="str">
        <f t="shared" ref="BW63" si="151">++IFERROR(BW62/BW59,"n/a")</f>
        <v>n/a</v>
      </c>
      <c r="BX63" s="225" t="str">
        <f t="shared" ref="BX63" si="152">++IFERROR(BX62/BX59,"n/a")</f>
        <v>n/a</v>
      </c>
      <c r="BY63" s="225" t="str">
        <f t="shared" ref="BY63" si="153">++IFERROR(BY62/BY59,"n/a")</f>
        <v>n/a</v>
      </c>
      <c r="BZ63" s="225" t="str">
        <f t="shared" ref="BZ63" si="154">++IFERROR(BZ62/BZ59,"n/a")</f>
        <v>n/a</v>
      </c>
      <c r="CA63" s="225" t="str">
        <f t="shared" ref="CA63" si="155">++IFERROR(CA62/CA59,"n/a")</f>
        <v>n/a</v>
      </c>
      <c r="CB63" s="225" t="str">
        <f t="shared" ref="CB63" si="156">++IFERROR(CB62/CB59,"n/a")</f>
        <v>n/a</v>
      </c>
      <c r="CC63" s="225" t="str">
        <f t="shared" ref="CC63" si="157">++IFERROR(CC62/CC59,"n/a")</f>
        <v>n/a</v>
      </c>
      <c r="CD63" s="225" t="str">
        <f t="shared" ref="CD63" si="158">++IFERROR(CD62/CD59,"n/a")</f>
        <v>n/a</v>
      </c>
      <c r="CE63" s="214" t="str">
        <f t="shared" ref="CE63" si="159">++IFERROR(CE62/CE59,"n/a")</f>
        <v>n/a</v>
      </c>
      <c r="CF63" s="225" t="str">
        <f t="shared" ref="CF63" si="160">++IFERROR(CF62/CF59,"n/a")</f>
        <v>n/a</v>
      </c>
      <c r="CG63" s="225" t="str">
        <f t="shared" ref="CG63" si="161">++IFERROR(CG62/CG59,"n/a")</f>
        <v>n/a</v>
      </c>
      <c r="CH63" s="225" t="str">
        <f t="shared" ref="CH63" si="162">++IFERROR(CH62/CH59,"n/a")</f>
        <v>n/a</v>
      </c>
      <c r="CI63" s="225" t="str">
        <f t="shared" ref="CI63" si="163">++IFERROR(CI62/CI59,"n/a")</f>
        <v>n/a</v>
      </c>
      <c r="CJ63" s="225" t="str">
        <f t="shared" ref="CJ63" si="164">++IFERROR(CJ62/CJ59,"n/a")</f>
        <v>n/a</v>
      </c>
      <c r="CK63" s="225" t="str">
        <f t="shared" ref="CK63" si="165">++IFERROR(CK62/CK59,"n/a")</f>
        <v>n/a</v>
      </c>
      <c r="CL63" s="225" t="str">
        <f t="shared" ref="CL63" si="166">++IFERROR(CL62/CL59,"n/a")</f>
        <v>n/a</v>
      </c>
      <c r="CM63" s="225" t="str">
        <f t="shared" ref="CM63" si="167">++IFERROR(CM62/CM59,"n/a")</f>
        <v>n/a</v>
      </c>
      <c r="CN63" s="225" t="str">
        <f t="shared" ref="CN63" si="168">++IFERROR(CN62/CN59,"n/a")</f>
        <v>n/a</v>
      </c>
      <c r="CO63" s="225" t="str">
        <f t="shared" ref="CO63" si="169">++IFERROR(CO62/CO59,"n/a")</f>
        <v>n/a</v>
      </c>
      <c r="CP63" s="225" t="str">
        <f t="shared" ref="CP63" si="170">++IFERROR(CP62/CP59,"n/a")</f>
        <v>n/a</v>
      </c>
      <c r="CQ63" s="214" t="str">
        <f t="shared" ref="CQ63" si="171">++IFERROR(CQ62/CQ59,"n/a")</f>
        <v>n/a</v>
      </c>
      <c r="CR63" s="225" t="str">
        <f t="shared" ref="CR63" si="172">++IFERROR(CR62/CR59,"n/a")</f>
        <v>n/a</v>
      </c>
      <c r="CS63" s="225" t="str">
        <f t="shared" ref="CS63" si="173">++IFERROR(CS62/CS59,"n/a")</f>
        <v>n/a</v>
      </c>
      <c r="CT63" s="225" t="str">
        <f t="shared" ref="CT63" si="174">++IFERROR(CT62/CT59,"n/a")</f>
        <v>n/a</v>
      </c>
      <c r="CU63" s="225" t="str">
        <f t="shared" ref="CU63" si="175">++IFERROR(CU62/CU59,"n/a")</f>
        <v>n/a</v>
      </c>
      <c r="CV63" s="225" t="str">
        <f t="shared" ref="CV63" si="176">++IFERROR(CV62/CV59,"n/a")</f>
        <v>n/a</v>
      </c>
      <c r="CW63" s="225" t="str">
        <f t="shared" ref="CW63" si="177">++IFERROR(CW62/CW59,"n/a")</f>
        <v>n/a</v>
      </c>
      <c r="CX63" s="225" t="str">
        <f t="shared" ref="CX63" si="178">++IFERROR(CX62/CX59,"n/a")</f>
        <v>n/a</v>
      </c>
      <c r="CY63" s="225" t="str">
        <f t="shared" ref="CY63" si="179">++IFERROR(CY62/CY59,"n/a")</f>
        <v>n/a</v>
      </c>
      <c r="CZ63" s="225" t="str">
        <f t="shared" ref="CZ63" si="180">++IFERROR(CZ62/CZ59,"n/a")</f>
        <v>n/a</v>
      </c>
      <c r="DA63" s="225" t="str">
        <f t="shared" ref="DA63" si="181">++IFERROR(DA62/DA59,"n/a")</f>
        <v>n/a</v>
      </c>
      <c r="DB63" s="225" t="str">
        <f t="shared" ref="DB63" si="182">++IFERROR(DB62/DB59,"n/a")</f>
        <v>n/a</v>
      </c>
      <c r="DC63" s="214" t="str">
        <f t="shared" ref="DC63" si="183">++IFERROR(DC62/DC59,"n/a")</f>
        <v>n/a</v>
      </c>
    </row>
    <row r="64" spans="1:107" x14ac:dyDescent="0.3">
      <c r="C64" s="321" t="str">
        <f>++C$15</f>
        <v>% y/y</v>
      </c>
      <c r="G64" s="122" t="s">
        <v>47</v>
      </c>
      <c r="H64" s="122" t="s">
        <v>47</v>
      </c>
      <c r="I64" s="122" t="s">
        <v>47</v>
      </c>
      <c r="J64" s="122" t="s">
        <v>47</v>
      </c>
      <c r="K64" s="214" t="str">
        <f>++IFERROR(K62/G62-1,"n/a")</f>
        <v>n/a</v>
      </c>
      <c r="L64" s="122" t="s">
        <v>47</v>
      </c>
      <c r="M64" s="122" t="s">
        <v>47</v>
      </c>
      <c r="N64" s="225" t="str">
        <f>++IFERROR(N62/H62-1,"n/a")</f>
        <v>n/a</v>
      </c>
      <c r="O64" s="122" t="s">
        <v>47</v>
      </c>
      <c r="P64" s="122" t="s">
        <v>47</v>
      </c>
      <c r="Q64" s="225" t="str">
        <f>++IFERROR(Q62/I62-1,"n/a")</f>
        <v>n/a</v>
      </c>
      <c r="R64" s="122" t="s">
        <v>47</v>
      </c>
      <c r="S64" s="122" t="s">
        <v>47</v>
      </c>
      <c r="T64" s="225" t="str">
        <f>++IFERROR(T62/J62-1,"n/a")</f>
        <v>n/a</v>
      </c>
      <c r="U64" s="122" t="s">
        <v>47</v>
      </c>
      <c r="V64" s="122" t="s">
        <v>47</v>
      </c>
      <c r="W64" s="214" t="str">
        <f t="shared" ref="W64:BB64" si="184">++IFERROR(W62/K62-1,"n/a")</f>
        <v>n/a</v>
      </c>
      <c r="X64" s="225" t="str">
        <f t="shared" si="184"/>
        <v>n/a</v>
      </c>
      <c r="Y64" s="225" t="str">
        <f t="shared" si="184"/>
        <v>n/a</v>
      </c>
      <c r="Z64" s="225" t="str">
        <f t="shared" si="184"/>
        <v>n/a</v>
      </c>
      <c r="AA64" s="225" t="str">
        <f t="shared" si="184"/>
        <v>n/a</v>
      </c>
      <c r="AB64" s="225" t="str">
        <f t="shared" si="184"/>
        <v>n/a</v>
      </c>
      <c r="AC64" s="225" t="str">
        <f t="shared" si="184"/>
        <v>n/a</v>
      </c>
      <c r="AD64" s="225" t="str">
        <f t="shared" si="184"/>
        <v>n/a</v>
      </c>
      <c r="AE64" s="225" t="str">
        <f t="shared" si="184"/>
        <v>n/a</v>
      </c>
      <c r="AF64" s="225" t="str">
        <f t="shared" si="184"/>
        <v>n/a</v>
      </c>
      <c r="AG64" s="225" t="str">
        <f t="shared" si="184"/>
        <v>n/a</v>
      </c>
      <c r="AH64" s="225" t="str">
        <f t="shared" si="184"/>
        <v>n/a</v>
      </c>
      <c r="AI64" s="214" t="str">
        <f t="shared" si="184"/>
        <v>n/a</v>
      </c>
      <c r="AJ64" s="225" t="str">
        <f t="shared" si="184"/>
        <v>n/a</v>
      </c>
      <c r="AK64" s="225" t="str">
        <f t="shared" si="184"/>
        <v>n/a</v>
      </c>
      <c r="AL64" s="225" t="str">
        <f t="shared" si="184"/>
        <v>n/a</v>
      </c>
      <c r="AM64" s="225" t="str">
        <f t="shared" si="184"/>
        <v>n/a</v>
      </c>
      <c r="AN64" s="225" t="str">
        <f t="shared" si="184"/>
        <v>n/a</v>
      </c>
      <c r="AO64" s="225" t="str">
        <f t="shared" si="184"/>
        <v>n/a</v>
      </c>
      <c r="AP64" s="225" t="str">
        <f t="shared" si="184"/>
        <v>n/a</v>
      </c>
      <c r="AQ64" s="225" t="str">
        <f t="shared" si="184"/>
        <v>n/a</v>
      </c>
      <c r="AR64" s="225" t="str">
        <f t="shared" si="184"/>
        <v>n/a</v>
      </c>
      <c r="AS64" s="225" t="str">
        <f t="shared" si="184"/>
        <v>n/a</v>
      </c>
      <c r="AT64" s="225" t="str">
        <f t="shared" si="184"/>
        <v>n/a</v>
      </c>
      <c r="AU64" s="214" t="str">
        <f t="shared" si="184"/>
        <v>n/a</v>
      </c>
      <c r="AV64" s="225" t="str">
        <f t="shared" si="184"/>
        <v>n/a</v>
      </c>
      <c r="AW64" s="225" t="str">
        <f t="shared" si="184"/>
        <v>n/a</v>
      </c>
      <c r="AX64" s="225" t="str">
        <f t="shared" si="184"/>
        <v>n/a</v>
      </c>
      <c r="AY64" s="225" t="str">
        <f t="shared" si="184"/>
        <v>n/a</v>
      </c>
      <c r="AZ64" s="225" t="str">
        <f t="shared" si="184"/>
        <v>n/a</v>
      </c>
      <c r="BA64" s="225" t="str">
        <f t="shared" si="184"/>
        <v>n/a</v>
      </c>
      <c r="BB64" s="225" t="str">
        <f t="shared" si="184"/>
        <v>n/a</v>
      </c>
      <c r="BC64" s="225" t="str">
        <f t="shared" ref="BC64:CH64" si="185">++IFERROR(BC62/AQ62-1,"n/a")</f>
        <v>n/a</v>
      </c>
      <c r="BD64" s="225" t="str">
        <f t="shared" si="185"/>
        <v>n/a</v>
      </c>
      <c r="BE64" s="225" t="str">
        <f t="shared" si="185"/>
        <v>n/a</v>
      </c>
      <c r="BF64" s="225" t="str">
        <f t="shared" si="185"/>
        <v>n/a</v>
      </c>
      <c r="BG64" s="214" t="str">
        <f t="shared" si="185"/>
        <v>n/a</v>
      </c>
      <c r="BH64" s="225" t="str">
        <f t="shared" si="185"/>
        <v>n/a</v>
      </c>
      <c r="BI64" s="225" t="str">
        <f t="shared" si="185"/>
        <v>n/a</v>
      </c>
      <c r="BJ64" s="225" t="str">
        <f t="shared" si="185"/>
        <v>n/a</v>
      </c>
      <c r="BK64" s="225" t="str">
        <f t="shared" si="185"/>
        <v>n/a</v>
      </c>
      <c r="BL64" s="225" t="str">
        <f t="shared" si="185"/>
        <v>n/a</v>
      </c>
      <c r="BM64" s="225" t="str">
        <f t="shared" si="185"/>
        <v>n/a</v>
      </c>
      <c r="BN64" s="225" t="str">
        <f t="shared" si="185"/>
        <v>n/a</v>
      </c>
      <c r="BO64" s="225" t="str">
        <f t="shared" si="185"/>
        <v>n/a</v>
      </c>
      <c r="BP64" s="225" t="str">
        <f t="shared" si="185"/>
        <v>n/a</v>
      </c>
      <c r="BQ64" s="225" t="str">
        <f t="shared" si="185"/>
        <v>n/a</v>
      </c>
      <c r="BR64" s="225" t="str">
        <f t="shared" si="185"/>
        <v>n/a</v>
      </c>
      <c r="BS64" s="214" t="str">
        <f t="shared" si="185"/>
        <v>n/a</v>
      </c>
      <c r="BT64" s="225" t="str">
        <f t="shared" si="185"/>
        <v>n/a</v>
      </c>
      <c r="BU64" s="225" t="str">
        <f t="shared" si="185"/>
        <v>n/a</v>
      </c>
      <c r="BV64" s="225" t="str">
        <f t="shared" si="185"/>
        <v>n/a</v>
      </c>
      <c r="BW64" s="225" t="str">
        <f t="shared" si="185"/>
        <v>n/a</v>
      </c>
      <c r="BX64" s="225" t="str">
        <f t="shared" si="185"/>
        <v>n/a</v>
      </c>
      <c r="BY64" s="225" t="str">
        <f t="shared" si="185"/>
        <v>n/a</v>
      </c>
      <c r="BZ64" s="225" t="str">
        <f t="shared" si="185"/>
        <v>n/a</v>
      </c>
      <c r="CA64" s="225" t="str">
        <f t="shared" si="185"/>
        <v>n/a</v>
      </c>
      <c r="CB64" s="225" t="str">
        <f t="shared" si="185"/>
        <v>n/a</v>
      </c>
      <c r="CC64" s="225" t="str">
        <f t="shared" si="185"/>
        <v>n/a</v>
      </c>
      <c r="CD64" s="225" t="str">
        <f t="shared" si="185"/>
        <v>n/a</v>
      </c>
      <c r="CE64" s="214" t="str">
        <f t="shared" si="185"/>
        <v>n/a</v>
      </c>
      <c r="CF64" s="225" t="str">
        <f t="shared" si="185"/>
        <v>n/a</v>
      </c>
      <c r="CG64" s="225" t="str">
        <f t="shared" si="185"/>
        <v>n/a</v>
      </c>
      <c r="CH64" s="225" t="str">
        <f t="shared" si="185"/>
        <v>n/a</v>
      </c>
      <c r="CI64" s="225" t="str">
        <f t="shared" ref="CI64:DN64" si="186">++IFERROR(CI62/BW62-1,"n/a")</f>
        <v>n/a</v>
      </c>
      <c r="CJ64" s="225" t="str">
        <f t="shared" si="186"/>
        <v>n/a</v>
      </c>
      <c r="CK64" s="225" t="str">
        <f t="shared" si="186"/>
        <v>n/a</v>
      </c>
      <c r="CL64" s="225" t="str">
        <f t="shared" si="186"/>
        <v>n/a</v>
      </c>
      <c r="CM64" s="225" t="str">
        <f t="shared" si="186"/>
        <v>n/a</v>
      </c>
      <c r="CN64" s="225" t="str">
        <f t="shared" si="186"/>
        <v>n/a</v>
      </c>
      <c r="CO64" s="225" t="str">
        <f t="shared" si="186"/>
        <v>n/a</v>
      </c>
      <c r="CP64" s="225" t="str">
        <f t="shared" si="186"/>
        <v>n/a</v>
      </c>
      <c r="CQ64" s="214" t="str">
        <f t="shared" si="186"/>
        <v>n/a</v>
      </c>
      <c r="CR64" s="225" t="str">
        <f t="shared" si="186"/>
        <v>n/a</v>
      </c>
      <c r="CS64" s="225" t="str">
        <f t="shared" si="186"/>
        <v>n/a</v>
      </c>
      <c r="CT64" s="225" t="str">
        <f t="shared" si="186"/>
        <v>n/a</v>
      </c>
      <c r="CU64" s="225" t="str">
        <f t="shared" si="186"/>
        <v>n/a</v>
      </c>
      <c r="CV64" s="225" t="str">
        <f t="shared" si="186"/>
        <v>n/a</v>
      </c>
      <c r="CW64" s="225" t="str">
        <f t="shared" si="186"/>
        <v>n/a</v>
      </c>
      <c r="CX64" s="225" t="str">
        <f t="shared" si="186"/>
        <v>n/a</v>
      </c>
      <c r="CY64" s="225" t="str">
        <f t="shared" si="186"/>
        <v>n/a</v>
      </c>
      <c r="CZ64" s="225" t="str">
        <f t="shared" si="186"/>
        <v>n/a</v>
      </c>
      <c r="DA64" s="225" t="str">
        <f t="shared" si="186"/>
        <v>n/a</v>
      </c>
      <c r="DB64" s="225" t="str">
        <f t="shared" si="186"/>
        <v>n/a</v>
      </c>
      <c r="DC64" s="214" t="str">
        <f t="shared" si="186"/>
        <v>n/a</v>
      </c>
    </row>
    <row r="65" spans="3:107" x14ac:dyDescent="0.3">
      <c r="G65" s="203"/>
      <c r="K65" s="203"/>
      <c r="W65" s="203"/>
      <c r="AI65" s="203"/>
      <c r="AU65" s="203"/>
      <c r="BG65" s="203"/>
      <c r="BS65" s="203"/>
      <c r="CE65" s="203"/>
      <c r="CQ65" s="203"/>
      <c r="DC65" s="203"/>
    </row>
    <row r="66" spans="3:107" x14ac:dyDescent="0.3">
      <c r="C66" s="101" t="str">
        <f>++C$17</f>
        <v>[Operating Expense]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45">
        <v>0</v>
      </c>
      <c r="AH66" s="45">
        <v>0</v>
      </c>
      <c r="AI66" s="45">
        <v>0</v>
      </c>
      <c r="AJ66" s="45">
        <v>0</v>
      </c>
      <c r="AK66" s="45">
        <v>0</v>
      </c>
      <c r="AL66" s="45">
        <v>0</v>
      </c>
      <c r="AM66" s="45">
        <v>0</v>
      </c>
      <c r="AN66" s="45">
        <v>0</v>
      </c>
      <c r="AO66" s="45">
        <v>0</v>
      </c>
      <c r="AP66" s="45">
        <v>0</v>
      </c>
      <c r="AQ66" s="45">
        <v>0</v>
      </c>
      <c r="AR66" s="45">
        <v>0</v>
      </c>
      <c r="AS66" s="45">
        <v>0</v>
      </c>
      <c r="AT66" s="45">
        <v>0</v>
      </c>
      <c r="AU66" s="45">
        <v>0</v>
      </c>
      <c r="AV66" s="45">
        <v>0</v>
      </c>
      <c r="AW66" s="45">
        <v>0</v>
      </c>
      <c r="AX66" s="45">
        <v>0</v>
      </c>
      <c r="AY66" s="45">
        <v>0</v>
      </c>
      <c r="AZ66" s="45">
        <v>0</v>
      </c>
      <c r="BA66" s="45">
        <v>0</v>
      </c>
      <c r="BB66" s="45">
        <v>0</v>
      </c>
      <c r="BC66" s="45">
        <v>0</v>
      </c>
      <c r="BD66" s="45">
        <v>0</v>
      </c>
      <c r="BE66" s="45">
        <v>0</v>
      </c>
      <c r="BF66" s="45">
        <v>0</v>
      </c>
      <c r="BG66" s="45">
        <v>0</v>
      </c>
      <c r="BH66" s="45">
        <v>0</v>
      </c>
      <c r="BI66" s="45">
        <v>0</v>
      </c>
      <c r="BJ66" s="45">
        <v>0</v>
      </c>
      <c r="BK66" s="45">
        <v>0</v>
      </c>
      <c r="BL66" s="45">
        <v>0</v>
      </c>
      <c r="BM66" s="45">
        <v>0</v>
      </c>
      <c r="BN66" s="45">
        <v>0</v>
      </c>
      <c r="BO66" s="45">
        <v>0</v>
      </c>
      <c r="BP66" s="45">
        <v>0</v>
      </c>
      <c r="BQ66" s="45">
        <v>0</v>
      </c>
      <c r="BR66" s="45">
        <v>0</v>
      </c>
      <c r="BS66" s="45">
        <v>0</v>
      </c>
      <c r="BT66" s="45">
        <v>0</v>
      </c>
      <c r="BU66" s="45">
        <v>0</v>
      </c>
      <c r="BV66" s="45">
        <v>0</v>
      </c>
      <c r="BW66" s="45">
        <v>0</v>
      </c>
      <c r="BX66" s="45">
        <v>0</v>
      </c>
      <c r="BY66" s="45">
        <v>0</v>
      </c>
      <c r="BZ66" s="45">
        <v>0</v>
      </c>
      <c r="CA66" s="45">
        <v>0</v>
      </c>
      <c r="CB66" s="45">
        <v>0</v>
      </c>
      <c r="CC66" s="45">
        <v>0</v>
      </c>
      <c r="CD66" s="45">
        <v>0</v>
      </c>
      <c r="CE66" s="45">
        <v>0</v>
      </c>
      <c r="CF66" s="45">
        <v>0</v>
      </c>
      <c r="CG66" s="45">
        <v>0</v>
      </c>
      <c r="CH66" s="45">
        <v>0</v>
      </c>
      <c r="CI66" s="45">
        <v>0</v>
      </c>
      <c r="CJ66" s="45">
        <v>0</v>
      </c>
      <c r="CK66" s="45">
        <v>0</v>
      </c>
      <c r="CL66" s="45">
        <v>0</v>
      </c>
      <c r="CM66" s="45">
        <v>0</v>
      </c>
      <c r="CN66" s="45">
        <v>0</v>
      </c>
      <c r="CO66" s="45">
        <v>0</v>
      </c>
      <c r="CP66" s="45">
        <v>0</v>
      </c>
      <c r="CQ66" s="45">
        <v>0</v>
      </c>
      <c r="CR66" s="45">
        <v>0</v>
      </c>
      <c r="CS66" s="45">
        <v>0</v>
      </c>
      <c r="CT66" s="45">
        <v>0</v>
      </c>
      <c r="CU66" s="45">
        <v>0</v>
      </c>
      <c r="CV66" s="45">
        <v>0</v>
      </c>
      <c r="CW66" s="45">
        <v>0</v>
      </c>
      <c r="CX66" s="45">
        <v>0</v>
      </c>
      <c r="CY66" s="45">
        <v>0</v>
      </c>
      <c r="CZ66" s="45">
        <v>0</v>
      </c>
      <c r="DA66" s="45">
        <v>0</v>
      </c>
      <c r="DB66" s="45">
        <v>0</v>
      </c>
      <c r="DC66" s="45">
        <v>0</v>
      </c>
    </row>
    <row r="67" spans="3:107" x14ac:dyDescent="0.3">
      <c r="C67" s="101" t="str">
        <f>++C$18</f>
        <v>[Operating Expense]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45">
        <v>0</v>
      </c>
      <c r="AH67" s="45">
        <v>0</v>
      </c>
      <c r="AI67" s="45">
        <v>0</v>
      </c>
      <c r="AJ67" s="45">
        <v>0</v>
      </c>
      <c r="AK67" s="45">
        <v>0</v>
      </c>
      <c r="AL67" s="45">
        <v>0</v>
      </c>
      <c r="AM67" s="45">
        <v>0</v>
      </c>
      <c r="AN67" s="45">
        <v>0</v>
      </c>
      <c r="AO67" s="45">
        <v>0</v>
      </c>
      <c r="AP67" s="45">
        <v>0</v>
      </c>
      <c r="AQ67" s="45">
        <v>0</v>
      </c>
      <c r="AR67" s="45">
        <v>0</v>
      </c>
      <c r="AS67" s="45">
        <v>0</v>
      </c>
      <c r="AT67" s="45">
        <v>0</v>
      </c>
      <c r="AU67" s="45">
        <v>0</v>
      </c>
      <c r="AV67" s="45">
        <v>0</v>
      </c>
      <c r="AW67" s="45">
        <v>0</v>
      </c>
      <c r="AX67" s="45">
        <v>0</v>
      </c>
      <c r="AY67" s="45">
        <v>0</v>
      </c>
      <c r="AZ67" s="45">
        <v>0</v>
      </c>
      <c r="BA67" s="45">
        <v>0</v>
      </c>
      <c r="BB67" s="45">
        <v>0</v>
      </c>
      <c r="BC67" s="45">
        <v>0</v>
      </c>
      <c r="BD67" s="45">
        <v>0</v>
      </c>
      <c r="BE67" s="45">
        <v>0</v>
      </c>
      <c r="BF67" s="45">
        <v>0</v>
      </c>
      <c r="BG67" s="45">
        <v>0</v>
      </c>
      <c r="BH67" s="45">
        <v>0</v>
      </c>
      <c r="BI67" s="45">
        <v>0</v>
      </c>
      <c r="BJ67" s="45">
        <v>0</v>
      </c>
      <c r="BK67" s="45">
        <v>0</v>
      </c>
      <c r="BL67" s="45">
        <v>0</v>
      </c>
      <c r="BM67" s="45">
        <v>0</v>
      </c>
      <c r="BN67" s="45">
        <v>0</v>
      </c>
      <c r="BO67" s="45">
        <v>0</v>
      </c>
      <c r="BP67" s="45">
        <v>0</v>
      </c>
      <c r="BQ67" s="45">
        <v>0</v>
      </c>
      <c r="BR67" s="45">
        <v>0</v>
      </c>
      <c r="BS67" s="45">
        <v>0</v>
      </c>
      <c r="BT67" s="45">
        <v>0</v>
      </c>
      <c r="BU67" s="45">
        <v>0</v>
      </c>
      <c r="BV67" s="45">
        <v>0</v>
      </c>
      <c r="BW67" s="45">
        <v>0</v>
      </c>
      <c r="BX67" s="45">
        <v>0</v>
      </c>
      <c r="BY67" s="45">
        <v>0</v>
      </c>
      <c r="BZ67" s="45">
        <v>0</v>
      </c>
      <c r="CA67" s="45">
        <v>0</v>
      </c>
      <c r="CB67" s="45">
        <v>0</v>
      </c>
      <c r="CC67" s="45">
        <v>0</v>
      </c>
      <c r="CD67" s="45">
        <v>0</v>
      </c>
      <c r="CE67" s="45">
        <v>0</v>
      </c>
      <c r="CF67" s="45">
        <v>0</v>
      </c>
      <c r="CG67" s="45">
        <v>0</v>
      </c>
      <c r="CH67" s="45">
        <v>0</v>
      </c>
      <c r="CI67" s="45">
        <v>0</v>
      </c>
      <c r="CJ67" s="45">
        <v>0</v>
      </c>
      <c r="CK67" s="45">
        <v>0</v>
      </c>
      <c r="CL67" s="45">
        <v>0</v>
      </c>
      <c r="CM67" s="45">
        <v>0</v>
      </c>
      <c r="CN67" s="45">
        <v>0</v>
      </c>
      <c r="CO67" s="45">
        <v>0</v>
      </c>
      <c r="CP67" s="45">
        <v>0</v>
      </c>
      <c r="CQ67" s="45">
        <v>0</v>
      </c>
      <c r="CR67" s="45">
        <v>0</v>
      </c>
      <c r="CS67" s="45">
        <v>0</v>
      </c>
      <c r="CT67" s="45">
        <v>0</v>
      </c>
      <c r="CU67" s="45">
        <v>0</v>
      </c>
      <c r="CV67" s="45">
        <v>0</v>
      </c>
      <c r="CW67" s="45">
        <v>0</v>
      </c>
      <c r="CX67" s="45">
        <v>0</v>
      </c>
      <c r="CY67" s="45">
        <v>0</v>
      </c>
      <c r="CZ67" s="45">
        <v>0</v>
      </c>
      <c r="DA67" s="45">
        <v>0</v>
      </c>
      <c r="DB67" s="45">
        <v>0</v>
      </c>
      <c r="DC67" s="45">
        <v>0</v>
      </c>
    </row>
    <row r="68" spans="3:107" x14ac:dyDescent="0.3">
      <c r="C68" s="101" t="str">
        <f>++C$19</f>
        <v>[Operating Expense]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0</v>
      </c>
      <c r="T68" s="45">
        <v>0</v>
      </c>
      <c r="U68" s="45">
        <v>0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45">
        <v>0</v>
      </c>
      <c r="AH68" s="45">
        <v>0</v>
      </c>
      <c r="AI68" s="45">
        <v>0</v>
      </c>
      <c r="AJ68" s="45">
        <v>0</v>
      </c>
      <c r="AK68" s="45">
        <v>0</v>
      </c>
      <c r="AL68" s="45">
        <v>0</v>
      </c>
      <c r="AM68" s="45">
        <v>0</v>
      </c>
      <c r="AN68" s="45">
        <v>0</v>
      </c>
      <c r="AO68" s="45">
        <v>0</v>
      </c>
      <c r="AP68" s="45">
        <v>0</v>
      </c>
      <c r="AQ68" s="45">
        <v>0</v>
      </c>
      <c r="AR68" s="45">
        <v>0</v>
      </c>
      <c r="AS68" s="45">
        <v>0</v>
      </c>
      <c r="AT68" s="45">
        <v>0</v>
      </c>
      <c r="AU68" s="45">
        <v>0</v>
      </c>
      <c r="AV68" s="45">
        <v>0</v>
      </c>
      <c r="AW68" s="45">
        <v>0</v>
      </c>
      <c r="AX68" s="45">
        <v>0</v>
      </c>
      <c r="AY68" s="45">
        <v>0</v>
      </c>
      <c r="AZ68" s="45">
        <v>0</v>
      </c>
      <c r="BA68" s="45">
        <v>0</v>
      </c>
      <c r="BB68" s="45">
        <v>0</v>
      </c>
      <c r="BC68" s="45">
        <v>0</v>
      </c>
      <c r="BD68" s="45">
        <v>0</v>
      </c>
      <c r="BE68" s="45">
        <v>0</v>
      </c>
      <c r="BF68" s="45">
        <v>0</v>
      </c>
      <c r="BG68" s="45">
        <v>0</v>
      </c>
      <c r="BH68" s="45">
        <v>0</v>
      </c>
      <c r="BI68" s="45">
        <v>0</v>
      </c>
      <c r="BJ68" s="45">
        <v>0</v>
      </c>
      <c r="BK68" s="45">
        <v>0</v>
      </c>
      <c r="BL68" s="45">
        <v>0</v>
      </c>
      <c r="BM68" s="45">
        <v>0</v>
      </c>
      <c r="BN68" s="45">
        <v>0</v>
      </c>
      <c r="BO68" s="45">
        <v>0</v>
      </c>
      <c r="BP68" s="45">
        <v>0</v>
      </c>
      <c r="BQ68" s="45">
        <v>0</v>
      </c>
      <c r="BR68" s="45">
        <v>0</v>
      </c>
      <c r="BS68" s="45">
        <v>0</v>
      </c>
      <c r="BT68" s="45">
        <v>0</v>
      </c>
      <c r="BU68" s="45">
        <v>0</v>
      </c>
      <c r="BV68" s="45">
        <v>0</v>
      </c>
      <c r="BW68" s="45">
        <v>0</v>
      </c>
      <c r="BX68" s="45">
        <v>0</v>
      </c>
      <c r="BY68" s="45">
        <v>0</v>
      </c>
      <c r="BZ68" s="45">
        <v>0</v>
      </c>
      <c r="CA68" s="45">
        <v>0</v>
      </c>
      <c r="CB68" s="45">
        <v>0</v>
      </c>
      <c r="CC68" s="45">
        <v>0</v>
      </c>
      <c r="CD68" s="45">
        <v>0</v>
      </c>
      <c r="CE68" s="45">
        <v>0</v>
      </c>
      <c r="CF68" s="45">
        <v>0</v>
      </c>
      <c r="CG68" s="45">
        <v>0</v>
      </c>
      <c r="CH68" s="45">
        <v>0</v>
      </c>
      <c r="CI68" s="45">
        <v>0</v>
      </c>
      <c r="CJ68" s="45">
        <v>0</v>
      </c>
      <c r="CK68" s="45">
        <v>0</v>
      </c>
      <c r="CL68" s="45">
        <v>0</v>
      </c>
      <c r="CM68" s="45">
        <v>0</v>
      </c>
      <c r="CN68" s="45">
        <v>0</v>
      </c>
      <c r="CO68" s="45">
        <v>0</v>
      </c>
      <c r="CP68" s="45">
        <v>0</v>
      </c>
      <c r="CQ68" s="45">
        <v>0</v>
      </c>
      <c r="CR68" s="45">
        <v>0</v>
      </c>
      <c r="CS68" s="45">
        <v>0</v>
      </c>
      <c r="CT68" s="45">
        <v>0</v>
      </c>
      <c r="CU68" s="45">
        <v>0</v>
      </c>
      <c r="CV68" s="45">
        <v>0</v>
      </c>
      <c r="CW68" s="45">
        <v>0</v>
      </c>
      <c r="CX68" s="45">
        <v>0</v>
      </c>
      <c r="CY68" s="45">
        <v>0</v>
      </c>
      <c r="CZ68" s="45">
        <v>0</v>
      </c>
      <c r="DA68" s="45">
        <v>0</v>
      </c>
      <c r="DB68" s="45">
        <v>0</v>
      </c>
      <c r="DC68" s="45">
        <v>0</v>
      </c>
    </row>
    <row r="69" spans="3:107" x14ac:dyDescent="0.3">
      <c r="C69" s="101" t="str">
        <f>++C$20</f>
        <v>Depreciation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45">
        <v>0</v>
      </c>
      <c r="AI69" s="45">
        <v>0</v>
      </c>
      <c r="AJ69" s="45">
        <v>0</v>
      </c>
      <c r="AK69" s="45">
        <v>0</v>
      </c>
      <c r="AL69" s="45">
        <v>0</v>
      </c>
      <c r="AM69" s="45">
        <v>0</v>
      </c>
      <c r="AN69" s="45">
        <v>0</v>
      </c>
      <c r="AO69" s="45">
        <v>0</v>
      </c>
      <c r="AP69" s="45">
        <v>0</v>
      </c>
      <c r="AQ69" s="45">
        <v>0</v>
      </c>
      <c r="AR69" s="45">
        <v>0</v>
      </c>
      <c r="AS69" s="45">
        <v>0</v>
      </c>
      <c r="AT69" s="45">
        <v>0</v>
      </c>
      <c r="AU69" s="45">
        <v>0</v>
      </c>
      <c r="AV69" s="45">
        <v>0</v>
      </c>
      <c r="AW69" s="45">
        <v>0</v>
      </c>
      <c r="AX69" s="45">
        <v>0</v>
      </c>
      <c r="AY69" s="45">
        <v>0</v>
      </c>
      <c r="AZ69" s="45">
        <v>0</v>
      </c>
      <c r="BA69" s="45">
        <v>0</v>
      </c>
      <c r="BB69" s="45">
        <v>0</v>
      </c>
      <c r="BC69" s="45">
        <v>0</v>
      </c>
      <c r="BD69" s="45">
        <v>0</v>
      </c>
      <c r="BE69" s="45">
        <v>0</v>
      </c>
      <c r="BF69" s="45">
        <v>0</v>
      </c>
      <c r="BG69" s="45">
        <v>0</v>
      </c>
      <c r="BH69" s="45">
        <v>0</v>
      </c>
      <c r="BI69" s="45">
        <v>0</v>
      </c>
      <c r="BJ69" s="45">
        <v>0</v>
      </c>
      <c r="BK69" s="45">
        <v>0</v>
      </c>
      <c r="BL69" s="45">
        <v>0</v>
      </c>
      <c r="BM69" s="45">
        <v>0</v>
      </c>
      <c r="BN69" s="45">
        <v>0</v>
      </c>
      <c r="BO69" s="45">
        <v>0</v>
      </c>
      <c r="BP69" s="45">
        <v>0</v>
      </c>
      <c r="BQ69" s="45">
        <v>0</v>
      </c>
      <c r="BR69" s="45">
        <v>0</v>
      </c>
      <c r="BS69" s="45">
        <v>0</v>
      </c>
      <c r="BT69" s="45">
        <v>0</v>
      </c>
      <c r="BU69" s="45">
        <v>0</v>
      </c>
      <c r="BV69" s="45">
        <v>0</v>
      </c>
      <c r="BW69" s="45">
        <v>0</v>
      </c>
      <c r="BX69" s="45">
        <v>0</v>
      </c>
      <c r="BY69" s="45">
        <v>0</v>
      </c>
      <c r="BZ69" s="45">
        <v>0</v>
      </c>
      <c r="CA69" s="45">
        <v>0</v>
      </c>
      <c r="CB69" s="45">
        <v>0</v>
      </c>
      <c r="CC69" s="45">
        <v>0</v>
      </c>
      <c r="CD69" s="45">
        <v>0</v>
      </c>
      <c r="CE69" s="45">
        <v>0</v>
      </c>
      <c r="CF69" s="45">
        <v>0</v>
      </c>
      <c r="CG69" s="45">
        <v>0</v>
      </c>
      <c r="CH69" s="45">
        <v>0</v>
      </c>
      <c r="CI69" s="45">
        <v>0</v>
      </c>
      <c r="CJ69" s="45">
        <v>0</v>
      </c>
      <c r="CK69" s="45">
        <v>0</v>
      </c>
      <c r="CL69" s="45">
        <v>0</v>
      </c>
      <c r="CM69" s="45">
        <v>0</v>
      </c>
      <c r="CN69" s="45">
        <v>0</v>
      </c>
      <c r="CO69" s="45">
        <v>0</v>
      </c>
      <c r="CP69" s="45">
        <v>0</v>
      </c>
      <c r="CQ69" s="45">
        <v>0</v>
      </c>
      <c r="CR69" s="45">
        <v>0</v>
      </c>
      <c r="CS69" s="45">
        <v>0</v>
      </c>
      <c r="CT69" s="45">
        <v>0</v>
      </c>
      <c r="CU69" s="45">
        <v>0</v>
      </c>
      <c r="CV69" s="45">
        <v>0</v>
      </c>
      <c r="CW69" s="45">
        <v>0</v>
      </c>
      <c r="CX69" s="45">
        <v>0</v>
      </c>
      <c r="CY69" s="45">
        <v>0</v>
      </c>
      <c r="CZ69" s="45">
        <v>0</v>
      </c>
      <c r="DA69" s="45">
        <v>0</v>
      </c>
      <c r="DB69" s="45">
        <v>0</v>
      </c>
      <c r="DC69" s="45">
        <v>0</v>
      </c>
    </row>
    <row r="70" spans="3:107" x14ac:dyDescent="0.3">
      <c r="C70" s="101" t="str">
        <f>++C$21</f>
        <v>Amortization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0</v>
      </c>
      <c r="AJ70" s="45">
        <v>0</v>
      </c>
      <c r="AK70" s="45">
        <v>0</v>
      </c>
      <c r="AL70" s="45">
        <v>0</v>
      </c>
      <c r="AM70" s="45">
        <v>0</v>
      </c>
      <c r="AN70" s="45">
        <v>0</v>
      </c>
      <c r="AO70" s="45">
        <v>0</v>
      </c>
      <c r="AP70" s="45">
        <v>0</v>
      </c>
      <c r="AQ70" s="45">
        <v>0</v>
      </c>
      <c r="AR70" s="45">
        <v>0</v>
      </c>
      <c r="AS70" s="45">
        <v>0</v>
      </c>
      <c r="AT70" s="45">
        <v>0</v>
      </c>
      <c r="AU70" s="45">
        <v>0</v>
      </c>
      <c r="AV70" s="45">
        <v>0</v>
      </c>
      <c r="AW70" s="45">
        <v>0</v>
      </c>
      <c r="AX70" s="45">
        <v>0</v>
      </c>
      <c r="AY70" s="45">
        <v>0</v>
      </c>
      <c r="AZ70" s="45">
        <v>0</v>
      </c>
      <c r="BA70" s="45">
        <v>0</v>
      </c>
      <c r="BB70" s="45">
        <v>0</v>
      </c>
      <c r="BC70" s="45">
        <v>0</v>
      </c>
      <c r="BD70" s="45">
        <v>0</v>
      </c>
      <c r="BE70" s="45">
        <v>0</v>
      </c>
      <c r="BF70" s="45">
        <v>0</v>
      </c>
      <c r="BG70" s="45">
        <v>0</v>
      </c>
      <c r="BH70" s="45">
        <v>0</v>
      </c>
      <c r="BI70" s="45">
        <v>0</v>
      </c>
      <c r="BJ70" s="45">
        <v>0</v>
      </c>
      <c r="BK70" s="45">
        <v>0</v>
      </c>
      <c r="BL70" s="45">
        <v>0</v>
      </c>
      <c r="BM70" s="45">
        <v>0</v>
      </c>
      <c r="BN70" s="45">
        <v>0</v>
      </c>
      <c r="BO70" s="45">
        <v>0</v>
      </c>
      <c r="BP70" s="45">
        <v>0</v>
      </c>
      <c r="BQ70" s="45">
        <v>0</v>
      </c>
      <c r="BR70" s="45">
        <v>0</v>
      </c>
      <c r="BS70" s="45">
        <v>0</v>
      </c>
      <c r="BT70" s="45">
        <v>0</v>
      </c>
      <c r="BU70" s="45">
        <v>0</v>
      </c>
      <c r="BV70" s="45">
        <v>0</v>
      </c>
      <c r="BW70" s="45">
        <v>0</v>
      </c>
      <c r="BX70" s="45">
        <v>0</v>
      </c>
      <c r="BY70" s="45">
        <v>0</v>
      </c>
      <c r="BZ70" s="45">
        <v>0</v>
      </c>
      <c r="CA70" s="45">
        <v>0</v>
      </c>
      <c r="CB70" s="45">
        <v>0</v>
      </c>
      <c r="CC70" s="45">
        <v>0</v>
      </c>
      <c r="CD70" s="45">
        <v>0</v>
      </c>
      <c r="CE70" s="45">
        <v>0</v>
      </c>
      <c r="CF70" s="45">
        <v>0</v>
      </c>
      <c r="CG70" s="45">
        <v>0</v>
      </c>
      <c r="CH70" s="45">
        <v>0</v>
      </c>
      <c r="CI70" s="45">
        <v>0</v>
      </c>
      <c r="CJ70" s="45">
        <v>0</v>
      </c>
      <c r="CK70" s="45">
        <v>0</v>
      </c>
      <c r="CL70" s="45">
        <v>0</v>
      </c>
      <c r="CM70" s="45">
        <v>0</v>
      </c>
      <c r="CN70" s="45">
        <v>0</v>
      </c>
      <c r="CO70" s="45">
        <v>0</v>
      </c>
      <c r="CP70" s="45">
        <v>0</v>
      </c>
      <c r="CQ70" s="45">
        <v>0</v>
      </c>
      <c r="CR70" s="45">
        <v>0</v>
      </c>
      <c r="CS70" s="45">
        <v>0</v>
      </c>
      <c r="CT70" s="45">
        <v>0</v>
      </c>
      <c r="CU70" s="45">
        <v>0</v>
      </c>
      <c r="CV70" s="45">
        <v>0</v>
      </c>
      <c r="CW70" s="45">
        <v>0</v>
      </c>
      <c r="CX70" s="45">
        <v>0</v>
      </c>
      <c r="CY70" s="45">
        <v>0</v>
      </c>
      <c r="CZ70" s="45">
        <v>0</v>
      </c>
      <c r="DA70" s="45">
        <v>0</v>
      </c>
      <c r="DB70" s="45">
        <v>0</v>
      </c>
      <c r="DC70" s="45">
        <v>0</v>
      </c>
    </row>
    <row r="71" spans="3:107" x14ac:dyDescent="0.3">
      <c r="C71" s="101" t="str">
        <f>++C$22</f>
        <v>Other Operating Expense (Income)</v>
      </c>
      <c r="G71" s="374">
        <f>++(G62-G72)-SUM(G66:G70)</f>
        <v>0</v>
      </c>
      <c r="H71" s="200">
        <f t="shared" ref="H71:BS71" si="187">++(H62-H72)-SUM(H66:H70)</f>
        <v>0</v>
      </c>
      <c r="I71" s="200">
        <f t="shared" si="187"/>
        <v>0</v>
      </c>
      <c r="J71" s="200">
        <f t="shared" si="187"/>
        <v>0</v>
      </c>
      <c r="K71" s="374">
        <f t="shared" si="187"/>
        <v>0</v>
      </c>
      <c r="L71" s="200">
        <f t="shared" si="187"/>
        <v>0</v>
      </c>
      <c r="M71" s="200">
        <f t="shared" si="187"/>
        <v>0</v>
      </c>
      <c r="N71" s="200">
        <f t="shared" si="187"/>
        <v>0</v>
      </c>
      <c r="O71" s="200">
        <f t="shared" si="187"/>
        <v>0</v>
      </c>
      <c r="P71" s="200">
        <f t="shared" si="187"/>
        <v>0</v>
      </c>
      <c r="Q71" s="200">
        <f t="shared" si="187"/>
        <v>0</v>
      </c>
      <c r="R71" s="200">
        <f t="shared" si="187"/>
        <v>0</v>
      </c>
      <c r="S71" s="200">
        <f t="shared" si="187"/>
        <v>0</v>
      </c>
      <c r="T71" s="200">
        <f t="shared" si="187"/>
        <v>0</v>
      </c>
      <c r="U71" s="200">
        <f t="shared" si="187"/>
        <v>0</v>
      </c>
      <c r="V71" s="200">
        <f t="shared" si="187"/>
        <v>0</v>
      </c>
      <c r="W71" s="374">
        <f t="shared" si="187"/>
        <v>0</v>
      </c>
      <c r="X71" s="200">
        <f t="shared" si="187"/>
        <v>0</v>
      </c>
      <c r="Y71" s="200">
        <f t="shared" si="187"/>
        <v>0</v>
      </c>
      <c r="Z71" s="200">
        <f t="shared" si="187"/>
        <v>0</v>
      </c>
      <c r="AA71" s="200">
        <f t="shared" si="187"/>
        <v>0</v>
      </c>
      <c r="AB71" s="200">
        <f t="shared" si="187"/>
        <v>0</v>
      </c>
      <c r="AC71" s="200">
        <f t="shared" si="187"/>
        <v>0</v>
      </c>
      <c r="AD71" s="200">
        <f t="shared" si="187"/>
        <v>0</v>
      </c>
      <c r="AE71" s="200">
        <f t="shared" si="187"/>
        <v>0</v>
      </c>
      <c r="AF71" s="200">
        <f t="shared" si="187"/>
        <v>0</v>
      </c>
      <c r="AG71" s="200">
        <f t="shared" si="187"/>
        <v>0</v>
      </c>
      <c r="AH71" s="200">
        <f t="shared" si="187"/>
        <v>0</v>
      </c>
      <c r="AI71" s="374">
        <f t="shared" si="187"/>
        <v>0</v>
      </c>
      <c r="AJ71" s="200">
        <f t="shared" si="187"/>
        <v>0</v>
      </c>
      <c r="AK71" s="200">
        <f t="shared" si="187"/>
        <v>0</v>
      </c>
      <c r="AL71" s="200">
        <f t="shared" si="187"/>
        <v>0</v>
      </c>
      <c r="AM71" s="200">
        <f t="shared" si="187"/>
        <v>0</v>
      </c>
      <c r="AN71" s="200">
        <f t="shared" si="187"/>
        <v>0</v>
      </c>
      <c r="AO71" s="200">
        <f t="shared" si="187"/>
        <v>0</v>
      </c>
      <c r="AP71" s="200">
        <f t="shared" si="187"/>
        <v>0</v>
      </c>
      <c r="AQ71" s="200">
        <f t="shared" si="187"/>
        <v>0</v>
      </c>
      <c r="AR71" s="200">
        <f t="shared" si="187"/>
        <v>0</v>
      </c>
      <c r="AS71" s="200">
        <f t="shared" si="187"/>
        <v>0</v>
      </c>
      <c r="AT71" s="200">
        <f t="shared" si="187"/>
        <v>0</v>
      </c>
      <c r="AU71" s="374">
        <f t="shared" si="187"/>
        <v>0</v>
      </c>
      <c r="AV71" s="200">
        <f t="shared" si="187"/>
        <v>0</v>
      </c>
      <c r="AW71" s="200">
        <f t="shared" si="187"/>
        <v>0</v>
      </c>
      <c r="AX71" s="200">
        <f t="shared" si="187"/>
        <v>0</v>
      </c>
      <c r="AY71" s="200">
        <f t="shared" si="187"/>
        <v>0</v>
      </c>
      <c r="AZ71" s="200">
        <f t="shared" si="187"/>
        <v>0</v>
      </c>
      <c r="BA71" s="200">
        <f t="shared" si="187"/>
        <v>0</v>
      </c>
      <c r="BB71" s="200">
        <f t="shared" si="187"/>
        <v>0</v>
      </c>
      <c r="BC71" s="200">
        <f t="shared" si="187"/>
        <v>0</v>
      </c>
      <c r="BD71" s="200">
        <f t="shared" si="187"/>
        <v>0</v>
      </c>
      <c r="BE71" s="200">
        <f t="shared" si="187"/>
        <v>0</v>
      </c>
      <c r="BF71" s="200">
        <f t="shared" si="187"/>
        <v>0</v>
      </c>
      <c r="BG71" s="374">
        <f t="shared" si="187"/>
        <v>0</v>
      </c>
      <c r="BH71" s="200">
        <f t="shared" si="187"/>
        <v>0</v>
      </c>
      <c r="BI71" s="200">
        <f t="shared" si="187"/>
        <v>0</v>
      </c>
      <c r="BJ71" s="200">
        <f t="shared" si="187"/>
        <v>0</v>
      </c>
      <c r="BK71" s="200">
        <f t="shared" si="187"/>
        <v>0</v>
      </c>
      <c r="BL71" s="200">
        <f t="shared" si="187"/>
        <v>0</v>
      </c>
      <c r="BM71" s="200">
        <f t="shared" si="187"/>
        <v>0</v>
      </c>
      <c r="BN71" s="200">
        <f t="shared" si="187"/>
        <v>0</v>
      </c>
      <c r="BO71" s="200">
        <f t="shared" si="187"/>
        <v>0</v>
      </c>
      <c r="BP71" s="200">
        <f t="shared" si="187"/>
        <v>0</v>
      </c>
      <c r="BQ71" s="200">
        <f t="shared" si="187"/>
        <v>0</v>
      </c>
      <c r="BR71" s="200">
        <f t="shared" si="187"/>
        <v>0</v>
      </c>
      <c r="BS71" s="374">
        <f t="shared" si="187"/>
        <v>0</v>
      </c>
      <c r="BT71" s="200">
        <f t="shared" ref="BT71:DC71" si="188">++(BT62-BT72)-SUM(BT66:BT70)</f>
        <v>0</v>
      </c>
      <c r="BU71" s="200">
        <f t="shared" si="188"/>
        <v>0</v>
      </c>
      <c r="BV71" s="200">
        <f t="shared" si="188"/>
        <v>0</v>
      </c>
      <c r="BW71" s="200">
        <f t="shared" si="188"/>
        <v>0</v>
      </c>
      <c r="BX71" s="200">
        <f t="shared" si="188"/>
        <v>0</v>
      </c>
      <c r="BY71" s="200">
        <f t="shared" si="188"/>
        <v>0</v>
      </c>
      <c r="BZ71" s="200">
        <f t="shared" si="188"/>
        <v>0</v>
      </c>
      <c r="CA71" s="200">
        <f t="shared" si="188"/>
        <v>0</v>
      </c>
      <c r="CB71" s="200">
        <f t="shared" si="188"/>
        <v>0</v>
      </c>
      <c r="CC71" s="200">
        <f t="shared" si="188"/>
        <v>0</v>
      </c>
      <c r="CD71" s="200">
        <f t="shared" si="188"/>
        <v>0</v>
      </c>
      <c r="CE71" s="374">
        <f t="shared" si="188"/>
        <v>0</v>
      </c>
      <c r="CF71" s="200">
        <f t="shared" si="188"/>
        <v>0</v>
      </c>
      <c r="CG71" s="200">
        <f t="shared" si="188"/>
        <v>0</v>
      </c>
      <c r="CH71" s="200">
        <f t="shared" si="188"/>
        <v>0</v>
      </c>
      <c r="CI71" s="200">
        <f t="shared" si="188"/>
        <v>0</v>
      </c>
      <c r="CJ71" s="200">
        <f t="shared" si="188"/>
        <v>0</v>
      </c>
      <c r="CK71" s="200">
        <f t="shared" si="188"/>
        <v>0</v>
      </c>
      <c r="CL71" s="200">
        <f t="shared" si="188"/>
        <v>0</v>
      </c>
      <c r="CM71" s="200">
        <f t="shared" si="188"/>
        <v>0</v>
      </c>
      <c r="CN71" s="200">
        <f t="shared" si="188"/>
        <v>0</v>
      </c>
      <c r="CO71" s="200">
        <f t="shared" si="188"/>
        <v>0</v>
      </c>
      <c r="CP71" s="200">
        <f t="shared" si="188"/>
        <v>0</v>
      </c>
      <c r="CQ71" s="374">
        <f t="shared" si="188"/>
        <v>0</v>
      </c>
      <c r="CR71" s="200">
        <f t="shared" si="188"/>
        <v>0</v>
      </c>
      <c r="CS71" s="200">
        <f t="shared" si="188"/>
        <v>0</v>
      </c>
      <c r="CT71" s="200">
        <f t="shared" si="188"/>
        <v>0</v>
      </c>
      <c r="CU71" s="200">
        <f t="shared" si="188"/>
        <v>0</v>
      </c>
      <c r="CV71" s="200">
        <f t="shared" si="188"/>
        <v>0</v>
      </c>
      <c r="CW71" s="200">
        <f t="shared" si="188"/>
        <v>0</v>
      </c>
      <c r="CX71" s="200">
        <f t="shared" si="188"/>
        <v>0</v>
      </c>
      <c r="CY71" s="200">
        <f t="shared" si="188"/>
        <v>0</v>
      </c>
      <c r="CZ71" s="200">
        <f t="shared" si="188"/>
        <v>0</v>
      </c>
      <c r="DA71" s="200">
        <f t="shared" si="188"/>
        <v>0</v>
      </c>
      <c r="DB71" s="200">
        <f t="shared" si="188"/>
        <v>0</v>
      </c>
      <c r="DC71" s="374">
        <f t="shared" si="188"/>
        <v>0</v>
      </c>
    </row>
    <row r="72" spans="3:107" x14ac:dyDescent="0.3">
      <c r="C72" s="231" t="str">
        <f>++C$23</f>
        <v>Operating Income (Loss)</v>
      </c>
      <c r="D72" s="191"/>
      <c r="E72" s="191"/>
      <c r="G72" s="239">
        <f>++SUM(G76:G78)</f>
        <v>0</v>
      </c>
      <c r="H72" s="232">
        <f t="shared" ref="H72:BS72" si="189">++SUM(H76:H78)</f>
        <v>0</v>
      </c>
      <c r="I72" s="232">
        <f t="shared" si="189"/>
        <v>0</v>
      </c>
      <c r="J72" s="232">
        <f t="shared" si="189"/>
        <v>0</v>
      </c>
      <c r="K72" s="239">
        <f t="shared" si="189"/>
        <v>0</v>
      </c>
      <c r="L72" s="232">
        <f t="shared" si="189"/>
        <v>0</v>
      </c>
      <c r="M72" s="232">
        <f t="shared" si="189"/>
        <v>0</v>
      </c>
      <c r="N72" s="232">
        <f t="shared" si="189"/>
        <v>0</v>
      </c>
      <c r="O72" s="232">
        <f t="shared" si="189"/>
        <v>0</v>
      </c>
      <c r="P72" s="232">
        <f t="shared" si="189"/>
        <v>0</v>
      </c>
      <c r="Q72" s="232">
        <f t="shared" si="189"/>
        <v>0</v>
      </c>
      <c r="R72" s="232">
        <f t="shared" si="189"/>
        <v>0</v>
      </c>
      <c r="S72" s="232">
        <f t="shared" si="189"/>
        <v>0</v>
      </c>
      <c r="T72" s="232">
        <f t="shared" si="189"/>
        <v>0</v>
      </c>
      <c r="U72" s="232">
        <f t="shared" si="189"/>
        <v>0</v>
      </c>
      <c r="V72" s="232">
        <f t="shared" si="189"/>
        <v>0</v>
      </c>
      <c r="W72" s="239">
        <f t="shared" si="189"/>
        <v>0</v>
      </c>
      <c r="X72" s="232">
        <f t="shared" si="189"/>
        <v>0</v>
      </c>
      <c r="Y72" s="232">
        <f t="shared" si="189"/>
        <v>0</v>
      </c>
      <c r="Z72" s="232">
        <f t="shared" si="189"/>
        <v>0</v>
      </c>
      <c r="AA72" s="232">
        <f t="shared" si="189"/>
        <v>0</v>
      </c>
      <c r="AB72" s="232">
        <f t="shared" si="189"/>
        <v>0</v>
      </c>
      <c r="AC72" s="232">
        <f t="shared" si="189"/>
        <v>0</v>
      </c>
      <c r="AD72" s="232">
        <f t="shared" si="189"/>
        <v>0</v>
      </c>
      <c r="AE72" s="232">
        <f t="shared" si="189"/>
        <v>0</v>
      </c>
      <c r="AF72" s="232">
        <f t="shared" si="189"/>
        <v>0</v>
      </c>
      <c r="AG72" s="232">
        <f t="shared" si="189"/>
        <v>0</v>
      </c>
      <c r="AH72" s="232">
        <f t="shared" si="189"/>
        <v>0</v>
      </c>
      <c r="AI72" s="239">
        <f t="shared" si="189"/>
        <v>0</v>
      </c>
      <c r="AJ72" s="232">
        <f t="shared" si="189"/>
        <v>0</v>
      </c>
      <c r="AK72" s="232">
        <f t="shared" si="189"/>
        <v>0</v>
      </c>
      <c r="AL72" s="232">
        <f t="shared" si="189"/>
        <v>0</v>
      </c>
      <c r="AM72" s="232">
        <f t="shared" si="189"/>
        <v>0</v>
      </c>
      <c r="AN72" s="232">
        <f t="shared" si="189"/>
        <v>0</v>
      </c>
      <c r="AO72" s="232">
        <f t="shared" si="189"/>
        <v>0</v>
      </c>
      <c r="AP72" s="232">
        <f t="shared" si="189"/>
        <v>0</v>
      </c>
      <c r="AQ72" s="232">
        <f t="shared" si="189"/>
        <v>0</v>
      </c>
      <c r="AR72" s="232">
        <f t="shared" si="189"/>
        <v>0</v>
      </c>
      <c r="AS72" s="232">
        <f t="shared" si="189"/>
        <v>0</v>
      </c>
      <c r="AT72" s="232">
        <f t="shared" si="189"/>
        <v>0</v>
      </c>
      <c r="AU72" s="239">
        <f t="shared" si="189"/>
        <v>0</v>
      </c>
      <c r="AV72" s="232">
        <f t="shared" si="189"/>
        <v>0</v>
      </c>
      <c r="AW72" s="232">
        <f t="shared" si="189"/>
        <v>0</v>
      </c>
      <c r="AX72" s="232">
        <f t="shared" si="189"/>
        <v>0</v>
      </c>
      <c r="AY72" s="232">
        <f t="shared" si="189"/>
        <v>0</v>
      </c>
      <c r="AZ72" s="232">
        <f t="shared" si="189"/>
        <v>0</v>
      </c>
      <c r="BA72" s="232">
        <f t="shared" si="189"/>
        <v>0</v>
      </c>
      <c r="BB72" s="232">
        <f t="shared" si="189"/>
        <v>0</v>
      </c>
      <c r="BC72" s="232">
        <f t="shared" si="189"/>
        <v>0</v>
      </c>
      <c r="BD72" s="232">
        <f t="shared" si="189"/>
        <v>0</v>
      </c>
      <c r="BE72" s="232">
        <f t="shared" si="189"/>
        <v>0</v>
      </c>
      <c r="BF72" s="232">
        <f t="shared" si="189"/>
        <v>0</v>
      </c>
      <c r="BG72" s="239">
        <f t="shared" si="189"/>
        <v>0</v>
      </c>
      <c r="BH72" s="232">
        <f t="shared" si="189"/>
        <v>0</v>
      </c>
      <c r="BI72" s="232">
        <f t="shared" si="189"/>
        <v>0</v>
      </c>
      <c r="BJ72" s="232">
        <f t="shared" si="189"/>
        <v>0</v>
      </c>
      <c r="BK72" s="232">
        <f t="shared" si="189"/>
        <v>0</v>
      </c>
      <c r="BL72" s="232">
        <f t="shared" si="189"/>
        <v>0</v>
      </c>
      <c r="BM72" s="232">
        <f t="shared" si="189"/>
        <v>0</v>
      </c>
      <c r="BN72" s="232">
        <f t="shared" si="189"/>
        <v>0</v>
      </c>
      <c r="BO72" s="232">
        <f t="shared" si="189"/>
        <v>0</v>
      </c>
      <c r="BP72" s="232">
        <f t="shared" si="189"/>
        <v>0</v>
      </c>
      <c r="BQ72" s="232">
        <f t="shared" si="189"/>
        <v>0</v>
      </c>
      <c r="BR72" s="232">
        <f t="shared" si="189"/>
        <v>0</v>
      </c>
      <c r="BS72" s="239">
        <f t="shared" si="189"/>
        <v>0</v>
      </c>
      <c r="BT72" s="232">
        <f t="shared" ref="BT72:DC72" si="190">++SUM(BT76:BT78)</f>
        <v>0</v>
      </c>
      <c r="BU72" s="232">
        <f t="shared" si="190"/>
        <v>0</v>
      </c>
      <c r="BV72" s="232">
        <f t="shared" si="190"/>
        <v>0</v>
      </c>
      <c r="BW72" s="232">
        <f t="shared" si="190"/>
        <v>0</v>
      </c>
      <c r="BX72" s="232">
        <f t="shared" si="190"/>
        <v>0</v>
      </c>
      <c r="BY72" s="232">
        <f t="shared" si="190"/>
        <v>0</v>
      </c>
      <c r="BZ72" s="232">
        <f t="shared" si="190"/>
        <v>0</v>
      </c>
      <c r="CA72" s="232">
        <f t="shared" si="190"/>
        <v>0</v>
      </c>
      <c r="CB72" s="232">
        <f t="shared" si="190"/>
        <v>0</v>
      </c>
      <c r="CC72" s="232">
        <f t="shared" si="190"/>
        <v>0</v>
      </c>
      <c r="CD72" s="232">
        <f t="shared" si="190"/>
        <v>0</v>
      </c>
      <c r="CE72" s="239">
        <f t="shared" si="190"/>
        <v>0</v>
      </c>
      <c r="CF72" s="232">
        <f t="shared" si="190"/>
        <v>0</v>
      </c>
      <c r="CG72" s="232">
        <f t="shared" si="190"/>
        <v>0</v>
      </c>
      <c r="CH72" s="232">
        <f t="shared" si="190"/>
        <v>0</v>
      </c>
      <c r="CI72" s="232">
        <f t="shared" si="190"/>
        <v>0</v>
      </c>
      <c r="CJ72" s="232">
        <f t="shared" si="190"/>
        <v>0</v>
      </c>
      <c r="CK72" s="232">
        <f t="shared" si="190"/>
        <v>0</v>
      </c>
      <c r="CL72" s="232">
        <f t="shared" si="190"/>
        <v>0</v>
      </c>
      <c r="CM72" s="232">
        <f t="shared" si="190"/>
        <v>0</v>
      </c>
      <c r="CN72" s="232">
        <f t="shared" si="190"/>
        <v>0</v>
      </c>
      <c r="CO72" s="232">
        <f t="shared" si="190"/>
        <v>0</v>
      </c>
      <c r="CP72" s="232">
        <f t="shared" si="190"/>
        <v>0</v>
      </c>
      <c r="CQ72" s="239">
        <f t="shared" si="190"/>
        <v>0</v>
      </c>
      <c r="CR72" s="232">
        <f t="shared" si="190"/>
        <v>0</v>
      </c>
      <c r="CS72" s="232">
        <f t="shared" si="190"/>
        <v>0</v>
      </c>
      <c r="CT72" s="232">
        <f t="shared" si="190"/>
        <v>0</v>
      </c>
      <c r="CU72" s="232">
        <f t="shared" si="190"/>
        <v>0</v>
      </c>
      <c r="CV72" s="232">
        <f t="shared" si="190"/>
        <v>0</v>
      </c>
      <c r="CW72" s="232">
        <f t="shared" si="190"/>
        <v>0</v>
      </c>
      <c r="CX72" s="232">
        <f t="shared" si="190"/>
        <v>0</v>
      </c>
      <c r="CY72" s="232">
        <f t="shared" si="190"/>
        <v>0</v>
      </c>
      <c r="CZ72" s="232">
        <f t="shared" si="190"/>
        <v>0</v>
      </c>
      <c r="DA72" s="232">
        <f t="shared" si="190"/>
        <v>0</v>
      </c>
      <c r="DB72" s="232">
        <f t="shared" si="190"/>
        <v>0</v>
      </c>
      <c r="DC72" s="239">
        <f t="shared" si="190"/>
        <v>0</v>
      </c>
    </row>
    <row r="73" spans="3:107" x14ac:dyDescent="0.3">
      <c r="C73" s="321" t="str">
        <f>++C$24</f>
        <v>% margin</v>
      </c>
      <c r="G73" s="214" t="str">
        <f>++IFERROR(G72/G59,"n/a")</f>
        <v>n/a</v>
      </c>
      <c r="H73" s="225" t="str">
        <f t="shared" ref="H73" si="191">++IFERROR(H72/H59,"n/a")</f>
        <v>n/a</v>
      </c>
      <c r="I73" s="225" t="str">
        <f t="shared" ref="I73" si="192">++IFERROR(I72/I59,"n/a")</f>
        <v>n/a</v>
      </c>
      <c r="J73" s="225" t="str">
        <f t="shared" ref="J73" si="193">++IFERROR(J72/J59,"n/a")</f>
        <v>n/a</v>
      </c>
      <c r="K73" s="214" t="str">
        <f t="shared" ref="K73" si="194">++IFERROR(K72/K59,"n/a")</f>
        <v>n/a</v>
      </c>
      <c r="L73" s="225" t="str">
        <f t="shared" ref="L73" si="195">++IFERROR(L72/L59,"n/a")</f>
        <v>n/a</v>
      </c>
      <c r="M73" s="225" t="str">
        <f t="shared" ref="M73" si="196">++IFERROR(M72/M59,"n/a")</f>
        <v>n/a</v>
      </c>
      <c r="N73" s="225" t="str">
        <f t="shared" ref="N73" si="197">++IFERROR(N72/N59,"n/a")</f>
        <v>n/a</v>
      </c>
      <c r="O73" s="225" t="str">
        <f t="shared" ref="O73" si="198">++IFERROR(O72/O59,"n/a")</f>
        <v>n/a</v>
      </c>
      <c r="P73" s="225" t="str">
        <f t="shared" ref="P73" si="199">++IFERROR(P72/P59,"n/a")</f>
        <v>n/a</v>
      </c>
      <c r="Q73" s="225" t="str">
        <f t="shared" ref="Q73" si="200">++IFERROR(Q72/Q59,"n/a")</f>
        <v>n/a</v>
      </c>
      <c r="R73" s="225" t="str">
        <f t="shared" ref="R73" si="201">++IFERROR(R72/R59,"n/a")</f>
        <v>n/a</v>
      </c>
      <c r="S73" s="225" t="str">
        <f t="shared" ref="S73" si="202">++IFERROR(S72/S59,"n/a")</f>
        <v>n/a</v>
      </c>
      <c r="T73" s="225" t="str">
        <f t="shared" ref="T73" si="203">++IFERROR(T72/T59,"n/a")</f>
        <v>n/a</v>
      </c>
      <c r="U73" s="225" t="str">
        <f t="shared" ref="U73" si="204">++IFERROR(U72/U59,"n/a")</f>
        <v>n/a</v>
      </c>
      <c r="V73" s="225" t="str">
        <f t="shared" ref="V73" si="205">++IFERROR(V72/V59,"n/a")</f>
        <v>n/a</v>
      </c>
      <c r="W73" s="214" t="str">
        <f t="shared" ref="W73" si="206">++IFERROR(W72/W59,"n/a")</f>
        <v>n/a</v>
      </c>
      <c r="X73" s="225" t="str">
        <f t="shared" ref="X73" si="207">++IFERROR(X72/X59,"n/a")</f>
        <v>n/a</v>
      </c>
      <c r="Y73" s="225" t="str">
        <f t="shared" ref="Y73" si="208">++IFERROR(Y72/Y59,"n/a")</f>
        <v>n/a</v>
      </c>
      <c r="Z73" s="225" t="str">
        <f t="shared" ref="Z73" si="209">++IFERROR(Z72/Z59,"n/a")</f>
        <v>n/a</v>
      </c>
      <c r="AA73" s="225" t="str">
        <f t="shared" ref="AA73" si="210">++IFERROR(AA72/AA59,"n/a")</f>
        <v>n/a</v>
      </c>
      <c r="AB73" s="225" t="str">
        <f t="shared" ref="AB73" si="211">++IFERROR(AB72/AB59,"n/a")</f>
        <v>n/a</v>
      </c>
      <c r="AC73" s="225" t="str">
        <f t="shared" ref="AC73" si="212">++IFERROR(AC72/AC59,"n/a")</f>
        <v>n/a</v>
      </c>
      <c r="AD73" s="225" t="str">
        <f t="shared" ref="AD73" si="213">++IFERROR(AD72/AD59,"n/a")</f>
        <v>n/a</v>
      </c>
      <c r="AE73" s="225" t="str">
        <f t="shared" ref="AE73" si="214">++IFERROR(AE72/AE59,"n/a")</f>
        <v>n/a</v>
      </c>
      <c r="AF73" s="225" t="str">
        <f t="shared" ref="AF73" si="215">++IFERROR(AF72/AF59,"n/a")</f>
        <v>n/a</v>
      </c>
      <c r="AG73" s="225" t="str">
        <f t="shared" ref="AG73" si="216">++IFERROR(AG72/AG59,"n/a")</f>
        <v>n/a</v>
      </c>
      <c r="AH73" s="225" t="str">
        <f t="shared" ref="AH73" si="217">++IFERROR(AH72/AH59,"n/a")</f>
        <v>n/a</v>
      </c>
      <c r="AI73" s="214" t="str">
        <f t="shared" ref="AI73" si="218">++IFERROR(AI72/AI59,"n/a")</f>
        <v>n/a</v>
      </c>
      <c r="AJ73" s="225" t="str">
        <f t="shared" ref="AJ73" si="219">++IFERROR(AJ72/AJ59,"n/a")</f>
        <v>n/a</v>
      </c>
      <c r="AK73" s="225" t="str">
        <f t="shared" ref="AK73" si="220">++IFERROR(AK72/AK59,"n/a")</f>
        <v>n/a</v>
      </c>
      <c r="AL73" s="225" t="str">
        <f t="shared" ref="AL73" si="221">++IFERROR(AL72/AL59,"n/a")</f>
        <v>n/a</v>
      </c>
      <c r="AM73" s="225" t="str">
        <f t="shared" ref="AM73" si="222">++IFERROR(AM72/AM59,"n/a")</f>
        <v>n/a</v>
      </c>
      <c r="AN73" s="225" t="str">
        <f t="shared" ref="AN73" si="223">++IFERROR(AN72/AN59,"n/a")</f>
        <v>n/a</v>
      </c>
      <c r="AO73" s="225" t="str">
        <f t="shared" ref="AO73" si="224">++IFERROR(AO72/AO59,"n/a")</f>
        <v>n/a</v>
      </c>
      <c r="AP73" s="225" t="str">
        <f t="shared" ref="AP73" si="225">++IFERROR(AP72/AP59,"n/a")</f>
        <v>n/a</v>
      </c>
      <c r="AQ73" s="225" t="str">
        <f t="shared" ref="AQ73" si="226">++IFERROR(AQ72/AQ59,"n/a")</f>
        <v>n/a</v>
      </c>
      <c r="AR73" s="225" t="str">
        <f t="shared" ref="AR73" si="227">++IFERROR(AR72/AR59,"n/a")</f>
        <v>n/a</v>
      </c>
      <c r="AS73" s="225" t="str">
        <f t="shared" ref="AS73" si="228">++IFERROR(AS72/AS59,"n/a")</f>
        <v>n/a</v>
      </c>
      <c r="AT73" s="225" t="str">
        <f t="shared" ref="AT73" si="229">++IFERROR(AT72/AT59,"n/a")</f>
        <v>n/a</v>
      </c>
      <c r="AU73" s="214" t="str">
        <f t="shared" ref="AU73" si="230">++IFERROR(AU72/AU59,"n/a")</f>
        <v>n/a</v>
      </c>
      <c r="AV73" s="225" t="str">
        <f t="shared" ref="AV73" si="231">++IFERROR(AV72/AV59,"n/a")</f>
        <v>n/a</v>
      </c>
      <c r="AW73" s="225" t="str">
        <f t="shared" ref="AW73" si="232">++IFERROR(AW72/AW59,"n/a")</f>
        <v>n/a</v>
      </c>
      <c r="AX73" s="225" t="str">
        <f t="shared" ref="AX73" si="233">++IFERROR(AX72/AX59,"n/a")</f>
        <v>n/a</v>
      </c>
      <c r="AY73" s="225" t="str">
        <f t="shared" ref="AY73" si="234">++IFERROR(AY72/AY59,"n/a")</f>
        <v>n/a</v>
      </c>
      <c r="AZ73" s="225" t="str">
        <f t="shared" ref="AZ73" si="235">++IFERROR(AZ72/AZ59,"n/a")</f>
        <v>n/a</v>
      </c>
      <c r="BA73" s="225" t="str">
        <f t="shared" ref="BA73" si="236">++IFERROR(BA72/BA59,"n/a")</f>
        <v>n/a</v>
      </c>
      <c r="BB73" s="225" t="str">
        <f t="shared" ref="BB73" si="237">++IFERROR(BB72/BB59,"n/a")</f>
        <v>n/a</v>
      </c>
      <c r="BC73" s="225" t="str">
        <f t="shared" ref="BC73" si="238">++IFERROR(BC72/BC59,"n/a")</f>
        <v>n/a</v>
      </c>
      <c r="BD73" s="225" t="str">
        <f t="shared" ref="BD73" si="239">++IFERROR(BD72/BD59,"n/a")</f>
        <v>n/a</v>
      </c>
      <c r="BE73" s="225" t="str">
        <f t="shared" ref="BE73" si="240">++IFERROR(BE72/BE59,"n/a")</f>
        <v>n/a</v>
      </c>
      <c r="BF73" s="225" t="str">
        <f t="shared" ref="BF73" si="241">++IFERROR(BF72/BF59,"n/a")</f>
        <v>n/a</v>
      </c>
      <c r="BG73" s="214" t="str">
        <f t="shared" ref="BG73" si="242">++IFERROR(BG72/BG59,"n/a")</f>
        <v>n/a</v>
      </c>
      <c r="BH73" s="225" t="str">
        <f t="shared" ref="BH73" si="243">++IFERROR(BH72/BH59,"n/a")</f>
        <v>n/a</v>
      </c>
      <c r="BI73" s="225" t="str">
        <f t="shared" ref="BI73" si="244">++IFERROR(BI72/BI59,"n/a")</f>
        <v>n/a</v>
      </c>
      <c r="BJ73" s="225" t="str">
        <f t="shared" ref="BJ73" si="245">++IFERROR(BJ72/BJ59,"n/a")</f>
        <v>n/a</v>
      </c>
      <c r="BK73" s="225" t="str">
        <f t="shared" ref="BK73" si="246">++IFERROR(BK72/BK59,"n/a")</f>
        <v>n/a</v>
      </c>
      <c r="BL73" s="225" t="str">
        <f t="shared" ref="BL73" si="247">++IFERROR(BL72/BL59,"n/a")</f>
        <v>n/a</v>
      </c>
      <c r="BM73" s="225" t="str">
        <f t="shared" ref="BM73" si="248">++IFERROR(BM72/BM59,"n/a")</f>
        <v>n/a</v>
      </c>
      <c r="BN73" s="225" t="str">
        <f t="shared" ref="BN73" si="249">++IFERROR(BN72/BN59,"n/a")</f>
        <v>n/a</v>
      </c>
      <c r="BO73" s="225" t="str">
        <f t="shared" ref="BO73" si="250">++IFERROR(BO72/BO59,"n/a")</f>
        <v>n/a</v>
      </c>
      <c r="BP73" s="225" t="str">
        <f t="shared" ref="BP73" si="251">++IFERROR(BP72/BP59,"n/a")</f>
        <v>n/a</v>
      </c>
      <c r="BQ73" s="225" t="str">
        <f t="shared" ref="BQ73" si="252">++IFERROR(BQ72/BQ59,"n/a")</f>
        <v>n/a</v>
      </c>
      <c r="BR73" s="225" t="str">
        <f t="shared" ref="BR73" si="253">++IFERROR(BR72/BR59,"n/a")</f>
        <v>n/a</v>
      </c>
      <c r="BS73" s="214" t="str">
        <f t="shared" ref="BS73" si="254">++IFERROR(BS72/BS59,"n/a")</f>
        <v>n/a</v>
      </c>
      <c r="BT73" s="225" t="str">
        <f t="shared" ref="BT73" si="255">++IFERROR(BT72/BT59,"n/a")</f>
        <v>n/a</v>
      </c>
      <c r="BU73" s="225" t="str">
        <f t="shared" ref="BU73" si="256">++IFERROR(BU72/BU59,"n/a")</f>
        <v>n/a</v>
      </c>
      <c r="BV73" s="225" t="str">
        <f t="shared" ref="BV73" si="257">++IFERROR(BV72/BV59,"n/a")</f>
        <v>n/a</v>
      </c>
      <c r="BW73" s="225" t="str">
        <f t="shared" ref="BW73" si="258">++IFERROR(BW72/BW59,"n/a")</f>
        <v>n/a</v>
      </c>
      <c r="BX73" s="225" t="str">
        <f t="shared" ref="BX73" si="259">++IFERROR(BX72/BX59,"n/a")</f>
        <v>n/a</v>
      </c>
      <c r="BY73" s="225" t="str">
        <f t="shared" ref="BY73" si="260">++IFERROR(BY72/BY59,"n/a")</f>
        <v>n/a</v>
      </c>
      <c r="BZ73" s="225" t="str">
        <f t="shared" ref="BZ73" si="261">++IFERROR(BZ72/BZ59,"n/a")</f>
        <v>n/a</v>
      </c>
      <c r="CA73" s="225" t="str">
        <f t="shared" ref="CA73" si="262">++IFERROR(CA72/CA59,"n/a")</f>
        <v>n/a</v>
      </c>
      <c r="CB73" s="225" t="str">
        <f t="shared" ref="CB73" si="263">++IFERROR(CB72/CB59,"n/a")</f>
        <v>n/a</v>
      </c>
      <c r="CC73" s="225" t="str">
        <f t="shared" ref="CC73" si="264">++IFERROR(CC72/CC59,"n/a")</f>
        <v>n/a</v>
      </c>
      <c r="CD73" s="225" t="str">
        <f t="shared" ref="CD73" si="265">++IFERROR(CD72/CD59,"n/a")</f>
        <v>n/a</v>
      </c>
      <c r="CE73" s="214" t="str">
        <f t="shared" ref="CE73" si="266">++IFERROR(CE72/CE59,"n/a")</f>
        <v>n/a</v>
      </c>
      <c r="CF73" s="225" t="str">
        <f t="shared" ref="CF73" si="267">++IFERROR(CF72/CF59,"n/a")</f>
        <v>n/a</v>
      </c>
      <c r="CG73" s="225" t="str">
        <f t="shared" ref="CG73" si="268">++IFERROR(CG72/CG59,"n/a")</f>
        <v>n/a</v>
      </c>
      <c r="CH73" s="225" t="str">
        <f t="shared" ref="CH73" si="269">++IFERROR(CH72/CH59,"n/a")</f>
        <v>n/a</v>
      </c>
      <c r="CI73" s="225" t="str">
        <f t="shared" ref="CI73" si="270">++IFERROR(CI72/CI59,"n/a")</f>
        <v>n/a</v>
      </c>
      <c r="CJ73" s="225" t="str">
        <f t="shared" ref="CJ73" si="271">++IFERROR(CJ72/CJ59,"n/a")</f>
        <v>n/a</v>
      </c>
      <c r="CK73" s="225" t="str">
        <f t="shared" ref="CK73" si="272">++IFERROR(CK72/CK59,"n/a")</f>
        <v>n/a</v>
      </c>
      <c r="CL73" s="225" t="str">
        <f t="shared" ref="CL73" si="273">++IFERROR(CL72/CL59,"n/a")</f>
        <v>n/a</v>
      </c>
      <c r="CM73" s="225" t="str">
        <f t="shared" ref="CM73" si="274">++IFERROR(CM72/CM59,"n/a")</f>
        <v>n/a</v>
      </c>
      <c r="CN73" s="225" t="str">
        <f t="shared" ref="CN73" si="275">++IFERROR(CN72/CN59,"n/a")</f>
        <v>n/a</v>
      </c>
      <c r="CO73" s="225" t="str">
        <f t="shared" ref="CO73" si="276">++IFERROR(CO72/CO59,"n/a")</f>
        <v>n/a</v>
      </c>
      <c r="CP73" s="225" t="str">
        <f t="shared" ref="CP73" si="277">++IFERROR(CP72/CP59,"n/a")</f>
        <v>n/a</v>
      </c>
      <c r="CQ73" s="214" t="str">
        <f t="shared" ref="CQ73" si="278">++IFERROR(CQ72/CQ59,"n/a")</f>
        <v>n/a</v>
      </c>
      <c r="CR73" s="225" t="str">
        <f t="shared" ref="CR73" si="279">++IFERROR(CR72/CR59,"n/a")</f>
        <v>n/a</v>
      </c>
      <c r="CS73" s="225" t="str">
        <f t="shared" ref="CS73" si="280">++IFERROR(CS72/CS59,"n/a")</f>
        <v>n/a</v>
      </c>
      <c r="CT73" s="225" t="str">
        <f t="shared" ref="CT73" si="281">++IFERROR(CT72/CT59,"n/a")</f>
        <v>n/a</v>
      </c>
      <c r="CU73" s="225" t="str">
        <f t="shared" ref="CU73" si="282">++IFERROR(CU72/CU59,"n/a")</f>
        <v>n/a</v>
      </c>
      <c r="CV73" s="225" t="str">
        <f t="shared" ref="CV73" si="283">++IFERROR(CV72/CV59,"n/a")</f>
        <v>n/a</v>
      </c>
      <c r="CW73" s="225" t="str">
        <f t="shared" ref="CW73" si="284">++IFERROR(CW72/CW59,"n/a")</f>
        <v>n/a</v>
      </c>
      <c r="CX73" s="225" t="str">
        <f t="shared" ref="CX73" si="285">++IFERROR(CX72/CX59,"n/a")</f>
        <v>n/a</v>
      </c>
      <c r="CY73" s="225" t="str">
        <f t="shared" ref="CY73" si="286">++IFERROR(CY72/CY59,"n/a")</f>
        <v>n/a</v>
      </c>
      <c r="CZ73" s="225" t="str">
        <f t="shared" ref="CZ73" si="287">++IFERROR(CZ72/CZ59,"n/a")</f>
        <v>n/a</v>
      </c>
      <c r="DA73" s="225" t="str">
        <f t="shared" ref="DA73" si="288">++IFERROR(DA72/DA59,"n/a")</f>
        <v>n/a</v>
      </c>
      <c r="DB73" s="225" t="str">
        <f t="shared" ref="DB73" si="289">++IFERROR(DB72/DB59,"n/a")</f>
        <v>n/a</v>
      </c>
      <c r="DC73" s="214" t="str">
        <f t="shared" ref="DC73" si="290">++IFERROR(DC72/DC59,"n/a")</f>
        <v>n/a</v>
      </c>
    </row>
    <row r="74" spans="3:107" x14ac:dyDescent="0.3">
      <c r="C74" s="321" t="str">
        <f>++C$25</f>
        <v>% y/y</v>
      </c>
      <c r="G74" s="122" t="s">
        <v>47</v>
      </c>
      <c r="H74" s="122" t="s">
        <v>47</v>
      </c>
      <c r="I74" s="122" t="s">
        <v>47</v>
      </c>
      <c r="J74" s="122" t="s">
        <v>47</v>
      </c>
      <c r="K74" s="214" t="str">
        <f>++IFERROR(K72/G72-1,"n/a")</f>
        <v>n/a</v>
      </c>
      <c r="L74" s="122" t="s">
        <v>47</v>
      </c>
      <c r="M74" s="122" t="s">
        <v>47</v>
      </c>
      <c r="N74" s="225" t="str">
        <f>++IFERROR(N72/H72-1,"n/a")</f>
        <v>n/a</v>
      </c>
      <c r="O74" s="122" t="s">
        <v>47</v>
      </c>
      <c r="P74" s="122" t="s">
        <v>47</v>
      </c>
      <c r="Q74" s="225" t="str">
        <f>++IFERROR(Q72/I72-1,"n/a")</f>
        <v>n/a</v>
      </c>
      <c r="R74" s="122" t="s">
        <v>47</v>
      </c>
      <c r="S74" s="122" t="s">
        <v>47</v>
      </c>
      <c r="T74" s="225" t="str">
        <f>++IFERROR(T72/J72-1,"n/a")</f>
        <v>n/a</v>
      </c>
      <c r="U74" s="122" t="s">
        <v>47</v>
      </c>
      <c r="V74" s="122" t="s">
        <v>47</v>
      </c>
      <c r="W74" s="214" t="str">
        <f t="shared" ref="W74:BB74" si="291">++IFERROR(W72/K72-1,"n/a")</f>
        <v>n/a</v>
      </c>
      <c r="X74" s="225" t="str">
        <f t="shared" si="291"/>
        <v>n/a</v>
      </c>
      <c r="Y74" s="225" t="str">
        <f t="shared" si="291"/>
        <v>n/a</v>
      </c>
      <c r="Z74" s="225" t="str">
        <f t="shared" si="291"/>
        <v>n/a</v>
      </c>
      <c r="AA74" s="225" t="str">
        <f t="shared" si="291"/>
        <v>n/a</v>
      </c>
      <c r="AB74" s="225" t="str">
        <f t="shared" si="291"/>
        <v>n/a</v>
      </c>
      <c r="AC74" s="225" t="str">
        <f t="shared" si="291"/>
        <v>n/a</v>
      </c>
      <c r="AD74" s="225" t="str">
        <f t="shared" si="291"/>
        <v>n/a</v>
      </c>
      <c r="AE74" s="225" t="str">
        <f t="shared" si="291"/>
        <v>n/a</v>
      </c>
      <c r="AF74" s="225" t="str">
        <f t="shared" si="291"/>
        <v>n/a</v>
      </c>
      <c r="AG74" s="225" t="str">
        <f t="shared" si="291"/>
        <v>n/a</v>
      </c>
      <c r="AH74" s="225" t="str">
        <f t="shared" si="291"/>
        <v>n/a</v>
      </c>
      <c r="AI74" s="214" t="str">
        <f t="shared" si="291"/>
        <v>n/a</v>
      </c>
      <c r="AJ74" s="225" t="str">
        <f t="shared" si="291"/>
        <v>n/a</v>
      </c>
      <c r="AK74" s="225" t="str">
        <f t="shared" si="291"/>
        <v>n/a</v>
      </c>
      <c r="AL74" s="225" t="str">
        <f t="shared" si="291"/>
        <v>n/a</v>
      </c>
      <c r="AM74" s="225" t="str">
        <f t="shared" si="291"/>
        <v>n/a</v>
      </c>
      <c r="AN74" s="225" t="str">
        <f t="shared" si="291"/>
        <v>n/a</v>
      </c>
      <c r="AO74" s="225" t="str">
        <f t="shared" si="291"/>
        <v>n/a</v>
      </c>
      <c r="AP74" s="225" t="str">
        <f t="shared" si="291"/>
        <v>n/a</v>
      </c>
      <c r="AQ74" s="225" t="str">
        <f t="shared" si="291"/>
        <v>n/a</v>
      </c>
      <c r="AR74" s="225" t="str">
        <f t="shared" si="291"/>
        <v>n/a</v>
      </c>
      <c r="AS74" s="225" t="str">
        <f t="shared" si="291"/>
        <v>n/a</v>
      </c>
      <c r="AT74" s="225" t="str">
        <f t="shared" si="291"/>
        <v>n/a</v>
      </c>
      <c r="AU74" s="214" t="str">
        <f t="shared" si="291"/>
        <v>n/a</v>
      </c>
      <c r="AV74" s="225" t="str">
        <f t="shared" si="291"/>
        <v>n/a</v>
      </c>
      <c r="AW74" s="225" t="str">
        <f t="shared" si="291"/>
        <v>n/a</v>
      </c>
      <c r="AX74" s="225" t="str">
        <f t="shared" si="291"/>
        <v>n/a</v>
      </c>
      <c r="AY74" s="225" t="str">
        <f t="shared" si="291"/>
        <v>n/a</v>
      </c>
      <c r="AZ74" s="225" t="str">
        <f t="shared" si="291"/>
        <v>n/a</v>
      </c>
      <c r="BA74" s="225" t="str">
        <f t="shared" si="291"/>
        <v>n/a</v>
      </c>
      <c r="BB74" s="225" t="str">
        <f t="shared" si="291"/>
        <v>n/a</v>
      </c>
      <c r="BC74" s="225" t="str">
        <f t="shared" ref="BC74:CH74" si="292">++IFERROR(BC72/AQ72-1,"n/a")</f>
        <v>n/a</v>
      </c>
      <c r="BD74" s="225" t="str">
        <f t="shared" si="292"/>
        <v>n/a</v>
      </c>
      <c r="BE74" s="225" t="str">
        <f t="shared" si="292"/>
        <v>n/a</v>
      </c>
      <c r="BF74" s="225" t="str">
        <f t="shared" si="292"/>
        <v>n/a</v>
      </c>
      <c r="BG74" s="214" t="str">
        <f t="shared" si="292"/>
        <v>n/a</v>
      </c>
      <c r="BH74" s="225" t="str">
        <f t="shared" si="292"/>
        <v>n/a</v>
      </c>
      <c r="BI74" s="225" t="str">
        <f t="shared" si="292"/>
        <v>n/a</v>
      </c>
      <c r="BJ74" s="225" t="str">
        <f t="shared" si="292"/>
        <v>n/a</v>
      </c>
      <c r="BK74" s="225" t="str">
        <f t="shared" si="292"/>
        <v>n/a</v>
      </c>
      <c r="BL74" s="225" t="str">
        <f t="shared" si="292"/>
        <v>n/a</v>
      </c>
      <c r="BM74" s="225" t="str">
        <f t="shared" si="292"/>
        <v>n/a</v>
      </c>
      <c r="BN74" s="225" t="str">
        <f t="shared" si="292"/>
        <v>n/a</v>
      </c>
      <c r="BO74" s="225" t="str">
        <f t="shared" si="292"/>
        <v>n/a</v>
      </c>
      <c r="BP74" s="225" t="str">
        <f t="shared" si="292"/>
        <v>n/a</v>
      </c>
      <c r="BQ74" s="225" t="str">
        <f t="shared" si="292"/>
        <v>n/a</v>
      </c>
      <c r="BR74" s="225" t="str">
        <f t="shared" si="292"/>
        <v>n/a</v>
      </c>
      <c r="BS74" s="214" t="str">
        <f t="shared" si="292"/>
        <v>n/a</v>
      </c>
      <c r="BT74" s="225" t="str">
        <f t="shared" si="292"/>
        <v>n/a</v>
      </c>
      <c r="BU74" s="225" t="str">
        <f t="shared" si="292"/>
        <v>n/a</v>
      </c>
      <c r="BV74" s="225" t="str">
        <f t="shared" si="292"/>
        <v>n/a</v>
      </c>
      <c r="BW74" s="225" t="str">
        <f t="shared" si="292"/>
        <v>n/a</v>
      </c>
      <c r="BX74" s="225" t="str">
        <f t="shared" si="292"/>
        <v>n/a</v>
      </c>
      <c r="BY74" s="225" t="str">
        <f t="shared" si="292"/>
        <v>n/a</v>
      </c>
      <c r="BZ74" s="225" t="str">
        <f t="shared" si="292"/>
        <v>n/a</v>
      </c>
      <c r="CA74" s="225" t="str">
        <f t="shared" si="292"/>
        <v>n/a</v>
      </c>
      <c r="CB74" s="225" t="str">
        <f t="shared" si="292"/>
        <v>n/a</v>
      </c>
      <c r="CC74" s="225" t="str">
        <f t="shared" si="292"/>
        <v>n/a</v>
      </c>
      <c r="CD74" s="225" t="str">
        <f t="shared" si="292"/>
        <v>n/a</v>
      </c>
      <c r="CE74" s="214" t="str">
        <f t="shared" si="292"/>
        <v>n/a</v>
      </c>
      <c r="CF74" s="225" t="str">
        <f t="shared" si="292"/>
        <v>n/a</v>
      </c>
      <c r="CG74" s="225" t="str">
        <f t="shared" si="292"/>
        <v>n/a</v>
      </c>
      <c r="CH74" s="225" t="str">
        <f t="shared" si="292"/>
        <v>n/a</v>
      </c>
      <c r="CI74" s="225" t="str">
        <f t="shared" ref="CI74:DN74" si="293">++IFERROR(CI72/BW72-1,"n/a")</f>
        <v>n/a</v>
      </c>
      <c r="CJ74" s="225" t="str">
        <f t="shared" si="293"/>
        <v>n/a</v>
      </c>
      <c r="CK74" s="225" t="str">
        <f t="shared" si="293"/>
        <v>n/a</v>
      </c>
      <c r="CL74" s="225" t="str">
        <f t="shared" si="293"/>
        <v>n/a</v>
      </c>
      <c r="CM74" s="225" t="str">
        <f t="shared" si="293"/>
        <v>n/a</v>
      </c>
      <c r="CN74" s="225" t="str">
        <f t="shared" si="293"/>
        <v>n/a</v>
      </c>
      <c r="CO74" s="225" t="str">
        <f t="shared" si="293"/>
        <v>n/a</v>
      </c>
      <c r="CP74" s="225" t="str">
        <f t="shared" si="293"/>
        <v>n/a</v>
      </c>
      <c r="CQ74" s="214" t="str">
        <f t="shared" si="293"/>
        <v>n/a</v>
      </c>
      <c r="CR74" s="225" t="str">
        <f t="shared" si="293"/>
        <v>n/a</v>
      </c>
      <c r="CS74" s="225" t="str">
        <f t="shared" si="293"/>
        <v>n/a</v>
      </c>
      <c r="CT74" s="225" t="str">
        <f t="shared" si="293"/>
        <v>n/a</v>
      </c>
      <c r="CU74" s="225" t="str">
        <f t="shared" si="293"/>
        <v>n/a</v>
      </c>
      <c r="CV74" s="225" t="str">
        <f t="shared" si="293"/>
        <v>n/a</v>
      </c>
      <c r="CW74" s="225" t="str">
        <f t="shared" si="293"/>
        <v>n/a</v>
      </c>
      <c r="CX74" s="225" t="str">
        <f t="shared" si="293"/>
        <v>n/a</v>
      </c>
      <c r="CY74" s="225" t="str">
        <f t="shared" si="293"/>
        <v>n/a</v>
      </c>
      <c r="CZ74" s="225" t="str">
        <f t="shared" si="293"/>
        <v>n/a</v>
      </c>
      <c r="DA74" s="225" t="str">
        <f t="shared" si="293"/>
        <v>n/a</v>
      </c>
      <c r="DB74" s="225" t="str">
        <f t="shared" si="293"/>
        <v>n/a</v>
      </c>
      <c r="DC74" s="214" t="str">
        <f t="shared" si="293"/>
        <v>n/a</v>
      </c>
    </row>
    <row r="75" spans="3:107" x14ac:dyDescent="0.3">
      <c r="G75" s="203"/>
      <c r="K75" s="203"/>
      <c r="W75" s="203"/>
      <c r="AI75" s="203"/>
      <c r="AU75" s="203"/>
      <c r="BG75" s="203"/>
      <c r="BS75" s="203"/>
      <c r="CE75" s="203"/>
      <c r="CQ75" s="203"/>
      <c r="DC75" s="203"/>
    </row>
    <row r="76" spans="3:107" x14ac:dyDescent="0.3">
      <c r="C76" s="101" t="str">
        <f>++C$27</f>
        <v>Interest Expense (Income)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v>0</v>
      </c>
      <c r="Q76" s="45">
        <v>0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5">
        <v>0</v>
      </c>
      <c r="X76" s="45">
        <v>0</v>
      </c>
      <c r="Y76" s="45">
        <v>0</v>
      </c>
      <c r="Z76" s="45">
        <v>0</v>
      </c>
      <c r="AA76" s="45">
        <v>0</v>
      </c>
      <c r="AB76" s="45">
        <v>0</v>
      </c>
      <c r="AC76" s="45">
        <v>0</v>
      </c>
      <c r="AD76" s="45">
        <v>0</v>
      </c>
      <c r="AE76" s="45">
        <v>0</v>
      </c>
      <c r="AF76" s="45">
        <v>0</v>
      </c>
      <c r="AG76" s="45">
        <v>0</v>
      </c>
      <c r="AH76" s="45">
        <v>0</v>
      </c>
      <c r="AI76" s="45">
        <v>0</v>
      </c>
      <c r="AJ76" s="45">
        <v>0</v>
      </c>
      <c r="AK76" s="45">
        <v>0</v>
      </c>
      <c r="AL76" s="45">
        <v>0</v>
      </c>
      <c r="AM76" s="45">
        <v>0</v>
      </c>
      <c r="AN76" s="45">
        <v>0</v>
      </c>
      <c r="AO76" s="45">
        <v>0</v>
      </c>
      <c r="AP76" s="45">
        <v>0</v>
      </c>
      <c r="AQ76" s="45">
        <v>0</v>
      </c>
      <c r="AR76" s="45">
        <v>0</v>
      </c>
      <c r="AS76" s="45">
        <v>0</v>
      </c>
      <c r="AT76" s="45">
        <v>0</v>
      </c>
      <c r="AU76" s="45">
        <v>0</v>
      </c>
      <c r="AV76" s="45">
        <v>0</v>
      </c>
      <c r="AW76" s="45">
        <v>0</v>
      </c>
      <c r="AX76" s="45">
        <v>0</v>
      </c>
      <c r="AY76" s="45">
        <v>0</v>
      </c>
      <c r="AZ76" s="45">
        <v>0</v>
      </c>
      <c r="BA76" s="45">
        <v>0</v>
      </c>
      <c r="BB76" s="45">
        <v>0</v>
      </c>
      <c r="BC76" s="45">
        <v>0</v>
      </c>
      <c r="BD76" s="45">
        <v>0</v>
      </c>
      <c r="BE76" s="45">
        <v>0</v>
      </c>
      <c r="BF76" s="45">
        <v>0</v>
      </c>
      <c r="BG76" s="45">
        <v>0</v>
      </c>
      <c r="BH76" s="45">
        <v>0</v>
      </c>
      <c r="BI76" s="45">
        <v>0</v>
      </c>
      <c r="BJ76" s="45">
        <v>0</v>
      </c>
      <c r="BK76" s="45">
        <v>0</v>
      </c>
      <c r="BL76" s="45">
        <v>0</v>
      </c>
      <c r="BM76" s="45">
        <v>0</v>
      </c>
      <c r="BN76" s="45">
        <v>0</v>
      </c>
      <c r="BO76" s="45">
        <v>0</v>
      </c>
      <c r="BP76" s="45">
        <v>0</v>
      </c>
      <c r="BQ76" s="45">
        <v>0</v>
      </c>
      <c r="BR76" s="45">
        <v>0</v>
      </c>
      <c r="BS76" s="45">
        <v>0</v>
      </c>
      <c r="BT76" s="45">
        <v>0</v>
      </c>
      <c r="BU76" s="45">
        <v>0</v>
      </c>
      <c r="BV76" s="45">
        <v>0</v>
      </c>
      <c r="BW76" s="45">
        <v>0</v>
      </c>
      <c r="BX76" s="45">
        <v>0</v>
      </c>
      <c r="BY76" s="45">
        <v>0</v>
      </c>
      <c r="BZ76" s="45">
        <v>0</v>
      </c>
      <c r="CA76" s="45">
        <v>0</v>
      </c>
      <c r="CB76" s="45">
        <v>0</v>
      </c>
      <c r="CC76" s="45">
        <v>0</v>
      </c>
      <c r="CD76" s="45">
        <v>0</v>
      </c>
      <c r="CE76" s="45">
        <v>0</v>
      </c>
      <c r="CF76" s="45">
        <v>0</v>
      </c>
      <c r="CG76" s="45">
        <v>0</v>
      </c>
      <c r="CH76" s="45">
        <v>0</v>
      </c>
      <c r="CI76" s="45">
        <v>0</v>
      </c>
      <c r="CJ76" s="45">
        <v>0</v>
      </c>
      <c r="CK76" s="45">
        <v>0</v>
      </c>
      <c r="CL76" s="45">
        <v>0</v>
      </c>
      <c r="CM76" s="45">
        <v>0</v>
      </c>
      <c r="CN76" s="45">
        <v>0</v>
      </c>
      <c r="CO76" s="45">
        <v>0</v>
      </c>
      <c r="CP76" s="45">
        <v>0</v>
      </c>
      <c r="CQ76" s="45">
        <v>0</v>
      </c>
      <c r="CR76" s="45">
        <v>0</v>
      </c>
      <c r="CS76" s="45">
        <v>0</v>
      </c>
      <c r="CT76" s="45">
        <v>0</v>
      </c>
      <c r="CU76" s="45">
        <v>0</v>
      </c>
      <c r="CV76" s="45">
        <v>0</v>
      </c>
      <c r="CW76" s="45">
        <v>0</v>
      </c>
      <c r="CX76" s="45">
        <v>0</v>
      </c>
      <c r="CY76" s="45">
        <v>0</v>
      </c>
      <c r="CZ76" s="45">
        <v>0</v>
      </c>
      <c r="DA76" s="45">
        <v>0</v>
      </c>
      <c r="DB76" s="45">
        <v>0</v>
      </c>
      <c r="DC76" s="45">
        <v>0</v>
      </c>
    </row>
    <row r="77" spans="3:107" x14ac:dyDescent="0.3">
      <c r="C77" s="101" t="str">
        <f>++C$28</f>
        <v>Other Expense (Income)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5">
        <v>0</v>
      </c>
      <c r="AK77" s="45">
        <v>0</v>
      </c>
      <c r="AL77" s="45">
        <v>0</v>
      </c>
      <c r="AM77" s="45">
        <v>0</v>
      </c>
      <c r="AN77" s="45">
        <v>0</v>
      </c>
      <c r="AO77" s="45">
        <v>0</v>
      </c>
      <c r="AP77" s="45">
        <v>0</v>
      </c>
      <c r="AQ77" s="45">
        <v>0</v>
      </c>
      <c r="AR77" s="45">
        <v>0</v>
      </c>
      <c r="AS77" s="45">
        <v>0</v>
      </c>
      <c r="AT77" s="45">
        <v>0</v>
      </c>
      <c r="AU77" s="45">
        <v>0</v>
      </c>
      <c r="AV77" s="45">
        <v>0</v>
      </c>
      <c r="AW77" s="45">
        <v>0</v>
      </c>
      <c r="AX77" s="45">
        <v>0</v>
      </c>
      <c r="AY77" s="45">
        <v>0</v>
      </c>
      <c r="AZ77" s="45">
        <v>0</v>
      </c>
      <c r="BA77" s="45">
        <v>0</v>
      </c>
      <c r="BB77" s="45">
        <v>0</v>
      </c>
      <c r="BC77" s="45">
        <v>0</v>
      </c>
      <c r="BD77" s="45">
        <v>0</v>
      </c>
      <c r="BE77" s="45">
        <v>0</v>
      </c>
      <c r="BF77" s="45">
        <v>0</v>
      </c>
      <c r="BG77" s="45">
        <v>0</v>
      </c>
      <c r="BH77" s="45">
        <v>0</v>
      </c>
      <c r="BI77" s="45">
        <v>0</v>
      </c>
      <c r="BJ77" s="45">
        <v>0</v>
      </c>
      <c r="BK77" s="45">
        <v>0</v>
      </c>
      <c r="BL77" s="45">
        <v>0</v>
      </c>
      <c r="BM77" s="45">
        <v>0</v>
      </c>
      <c r="BN77" s="45">
        <v>0</v>
      </c>
      <c r="BO77" s="45">
        <v>0</v>
      </c>
      <c r="BP77" s="45">
        <v>0</v>
      </c>
      <c r="BQ77" s="45">
        <v>0</v>
      </c>
      <c r="BR77" s="45">
        <v>0</v>
      </c>
      <c r="BS77" s="45">
        <v>0</v>
      </c>
      <c r="BT77" s="45">
        <v>0</v>
      </c>
      <c r="BU77" s="45">
        <v>0</v>
      </c>
      <c r="BV77" s="45">
        <v>0</v>
      </c>
      <c r="BW77" s="45">
        <v>0</v>
      </c>
      <c r="BX77" s="45">
        <v>0</v>
      </c>
      <c r="BY77" s="45">
        <v>0</v>
      </c>
      <c r="BZ77" s="45">
        <v>0</v>
      </c>
      <c r="CA77" s="45">
        <v>0</v>
      </c>
      <c r="CB77" s="45">
        <v>0</v>
      </c>
      <c r="CC77" s="45">
        <v>0</v>
      </c>
      <c r="CD77" s="45">
        <v>0</v>
      </c>
      <c r="CE77" s="45">
        <v>0</v>
      </c>
      <c r="CF77" s="45">
        <v>0</v>
      </c>
      <c r="CG77" s="45">
        <v>0</v>
      </c>
      <c r="CH77" s="45">
        <v>0</v>
      </c>
      <c r="CI77" s="45">
        <v>0</v>
      </c>
      <c r="CJ77" s="45">
        <v>0</v>
      </c>
      <c r="CK77" s="45">
        <v>0</v>
      </c>
      <c r="CL77" s="45">
        <v>0</v>
      </c>
      <c r="CM77" s="45">
        <v>0</v>
      </c>
      <c r="CN77" s="45">
        <v>0</v>
      </c>
      <c r="CO77" s="45">
        <v>0</v>
      </c>
      <c r="CP77" s="45">
        <v>0</v>
      </c>
      <c r="CQ77" s="45">
        <v>0</v>
      </c>
      <c r="CR77" s="45">
        <v>0</v>
      </c>
      <c r="CS77" s="45">
        <v>0</v>
      </c>
      <c r="CT77" s="45">
        <v>0</v>
      </c>
      <c r="CU77" s="45">
        <v>0</v>
      </c>
      <c r="CV77" s="45">
        <v>0</v>
      </c>
      <c r="CW77" s="45">
        <v>0</v>
      </c>
      <c r="CX77" s="45">
        <v>0</v>
      </c>
      <c r="CY77" s="45">
        <v>0</v>
      </c>
      <c r="CZ77" s="45">
        <v>0</v>
      </c>
      <c r="DA77" s="45">
        <v>0</v>
      </c>
      <c r="DB77" s="45">
        <v>0</v>
      </c>
      <c r="DC77" s="45">
        <v>0</v>
      </c>
    </row>
    <row r="78" spans="3:107" x14ac:dyDescent="0.3">
      <c r="C78" s="231" t="str">
        <f>++C$29</f>
        <v>Pre-Tax Income (Loss)</v>
      </c>
      <c r="D78" s="191"/>
      <c r="E78" s="191"/>
      <c r="G78" s="239">
        <f>++SUM(G82,G85)</f>
        <v>0</v>
      </c>
      <c r="H78" s="232">
        <f t="shared" ref="H78:BS78" si="294">++SUM(H82,H85)</f>
        <v>0</v>
      </c>
      <c r="I78" s="232">
        <f t="shared" si="294"/>
        <v>0</v>
      </c>
      <c r="J78" s="232">
        <f t="shared" si="294"/>
        <v>0</v>
      </c>
      <c r="K78" s="239">
        <f t="shared" si="294"/>
        <v>0</v>
      </c>
      <c r="L78" s="232">
        <f t="shared" si="294"/>
        <v>0</v>
      </c>
      <c r="M78" s="232">
        <f t="shared" si="294"/>
        <v>0</v>
      </c>
      <c r="N78" s="232">
        <f t="shared" si="294"/>
        <v>0</v>
      </c>
      <c r="O78" s="232">
        <f t="shared" si="294"/>
        <v>0</v>
      </c>
      <c r="P78" s="232">
        <f t="shared" si="294"/>
        <v>0</v>
      </c>
      <c r="Q78" s="232">
        <f t="shared" si="294"/>
        <v>0</v>
      </c>
      <c r="R78" s="232">
        <f t="shared" si="294"/>
        <v>0</v>
      </c>
      <c r="S78" s="232">
        <f t="shared" si="294"/>
        <v>0</v>
      </c>
      <c r="T78" s="232">
        <f t="shared" si="294"/>
        <v>0</v>
      </c>
      <c r="U78" s="232">
        <f t="shared" si="294"/>
        <v>0</v>
      </c>
      <c r="V78" s="232">
        <f t="shared" si="294"/>
        <v>0</v>
      </c>
      <c r="W78" s="239">
        <f t="shared" si="294"/>
        <v>0</v>
      </c>
      <c r="X78" s="232">
        <f t="shared" si="294"/>
        <v>0</v>
      </c>
      <c r="Y78" s="232">
        <f t="shared" si="294"/>
        <v>0</v>
      </c>
      <c r="Z78" s="232">
        <f t="shared" si="294"/>
        <v>0</v>
      </c>
      <c r="AA78" s="232">
        <f t="shared" si="294"/>
        <v>0</v>
      </c>
      <c r="AB78" s="232">
        <f t="shared" si="294"/>
        <v>0</v>
      </c>
      <c r="AC78" s="232">
        <f t="shared" si="294"/>
        <v>0</v>
      </c>
      <c r="AD78" s="232">
        <f t="shared" si="294"/>
        <v>0</v>
      </c>
      <c r="AE78" s="232">
        <f t="shared" si="294"/>
        <v>0</v>
      </c>
      <c r="AF78" s="232">
        <f t="shared" si="294"/>
        <v>0</v>
      </c>
      <c r="AG78" s="232">
        <f t="shared" si="294"/>
        <v>0</v>
      </c>
      <c r="AH78" s="232">
        <f t="shared" si="294"/>
        <v>0</v>
      </c>
      <c r="AI78" s="239">
        <f t="shared" si="294"/>
        <v>0</v>
      </c>
      <c r="AJ78" s="232">
        <f t="shared" si="294"/>
        <v>0</v>
      </c>
      <c r="AK78" s="232">
        <f t="shared" si="294"/>
        <v>0</v>
      </c>
      <c r="AL78" s="232">
        <f t="shared" si="294"/>
        <v>0</v>
      </c>
      <c r="AM78" s="232">
        <f t="shared" si="294"/>
        <v>0</v>
      </c>
      <c r="AN78" s="232">
        <f t="shared" si="294"/>
        <v>0</v>
      </c>
      <c r="AO78" s="232">
        <f t="shared" si="294"/>
        <v>0</v>
      </c>
      <c r="AP78" s="232">
        <f t="shared" si="294"/>
        <v>0</v>
      </c>
      <c r="AQ78" s="232">
        <f t="shared" si="294"/>
        <v>0</v>
      </c>
      <c r="AR78" s="232">
        <f t="shared" si="294"/>
        <v>0</v>
      </c>
      <c r="AS78" s="232">
        <f t="shared" si="294"/>
        <v>0</v>
      </c>
      <c r="AT78" s="232">
        <f t="shared" si="294"/>
        <v>0</v>
      </c>
      <c r="AU78" s="239">
        <f t="shared" si="294"/>
        <v>0</v>
      </c>
      <c r="AV78" s="232">
        <f t="shared" si="294"/>
        <v>0</v>
      </c>
      <c r="AW78" s="232">
        <f t="shared" si="294"/>
        <v>0</v>
      </c>
      <c r="AX78" s="232">
        <f t="shared" si="294"/>
        <v>0</v>
      </c>
      <c r="AY78" s="232">
        <f t="shared" si="294"/>
        <v>0</v>
      </c>
      <c r="AZ78" s="232">
        <f t="shared" si="294"/>
        <v>0</v>
      </c>
      <c r="BA78" s="232">
        <f t="shared" si="294"/>
        <v>0</v>
      </c>
      <c r="BB78" s="232">
        <f t="shared" si="294"/>
        <v>0</v>
      </c>
      <c r="BC78" s="232">
        <f t="shared" si="294"/>
        <v>0</v>
      </c>
      <c r="BD78" s="232">
        <f t="shared" si="294"/>
        <v>0</v>
      </c>
      <c r="BE78" s="232">
        <f t="shared" si="294"/>
        <v>0</v>
      </c>
      <c r="BF78" s="232">
        <f t="shared" si="294"/>
        <v>0</v>
      </c>
      <c r="BG78" s="239">
        <f t="shared" si="294"/>
        <v>0</v>
      </c>
      <c r="BH78" s="232">
        <f t="shared" si="294"/>
        <v>0</v>
      </c>
      <c r="BI78" s="232">
        <f t="shared" si="294"/>
        <v>0</v>
      </c>
      <c r="BJ78" s="232">
        <f t="shared" si="294"/>
        <v>0</v>
      </c>
      <c r="BK78" s="232">
        <f t="shared" si="294"/>
        <v>0</v>
      </c>
      <c r="BL78" s="232">
        <f t="shared" si="294"/>
        <v>0</v>
      </c>
      <c r="BM78" s="232">
        <f t="shared" si="294"/>
        <v>0</v>
      </c>
      <c r="BN78" s="232">
        <f t="shared" si="294"/>
        <v>0</v>
      </c>
      <c r="BO78" s="232">
        <f t="shared" si="294"/>
        <v>0</v>
      </c>
      <c r="BP78" s="232">
        <f t="shared" si="294"/>
        <v>0</v>
      </c>
      <c r="BQ78" s="232">
        <f t="shared" si="294"/>
        <v>0</v>
      </c>
      <c r="BR78" s="232">
        <f t="shared" si="294"/>
        <v>0</v>
      </c>
      <c r="BS78" s="239">
        <f t="shared" si="294"/>
        <v>0</v>
      </c>
      <c r="BT78" s="232">
        <f t="shared" ref="BT78:DC78" si="295">++SUM(BT82,BT85)</f>
        <v>0</v>
      </c>
      <c r="BU78" s="232">
        <f t="shared" si="295"/>
        <v>0</v>
      </c>
      <c r="BV78" s="232">
        <f t="shared" si="295"/>
        <v>0</v>
      </c>
      <c r="BW78" s="232">
        <f t="shared" si="295"/>
        <v>0</v>
      </c>
      <c r="BX78" s="232">
        <f t="shared" si="295"/>
        <v>0</v>
      </c>
      <c r="BY78" s="232">
        <f t="shared" si="295"/>
        <v>0</v>
      </c>
      <c r="BZ78" s="232">
        <f t="shared" si="295"/>
        <v>0</v>
      </c>
      <c r="CA78" s="232">
        <f t="shared" si="295"/>
        <v>0</v>
      </c>
      <c r="CB78" s="232">
        <f t="shared" si="295"/>
        <v>0</v>
      </c>
      <c r="CC78" s="232">
        <f t="shared" si="295"/>
        <v>0</v>
      </c>
      <c r="CD78" s="232">
        <f t="shared" si="295"/>
        <v>0</v>
      </c>
      <c r="CE78" s="239">
        <f t="shared" si="295"/>
        <v>0</v>
      </c>
      <c r="CF78" s="232">
        <f t="shared" si="295"/>
        <v>0</v>
      </c>
      <c r="CG78" s="232">
        <f t="shared" si="295"/>
        <v>0</v>
      </c>
      <c r="CH78" s="232">
        <f t="shared" si="295"/>
        <v>0</v>
      </c>
      <c r="CI78" s="232">
        <f t="shared" si="295"/>
        <v>0</v>
      </c>
      <c r="CJ78" s="232">
        <f t="shared" si="295"/>
        <v>0</v>
      </c>
      <c r="CK78" s="232">
        <f t="shared" si="295"/>
        <v>0</v>
      </c>
      <c r="CL78" s="232">
        <f t="shared" si="295"/>
        <v>0</v>
      </c>
      <c r="CM78" s="232">
        <f t="shared" si="295"/>
        <v>0</v>
      </c>
      <c r="CN78" s="232">
        <f t="shared" si="295"/>
        <v>0</v>
      </c>
      <c r="CO78" s="232">
        <f t="shared" si="295"/>
        <v>0</v>
      </c>
      <c r="CP78" s="232">
        <f t="shared" si="295"/>
        <v>0</v>
      </c>
      <c r="CQ78" s="239">
        <f t="shared" si="295"/>
        <v>0</v>
      </c>
      <c r="CR78" s="232">
        <f t="shared" si="295"/>
        <v>0</v>
      </c>
      <c r="CS78" s="232">
        <f t="shared" si="295"/>
        <v>0</v>
      </c>
      <c r="CT78" s="232">
        <f t="shared" si="295"/>
        <v>0</v>
      </c>
      <c r="CU78" s="232">
        <f t="shared" si="295"/>
        <v>0</v>
      </c>
      <c r="CV78" s="232">
        <f t="shared" si="295"/>
        <v>0</v>
      </c>
      <c r="CW78" s="232">
        <f t="shared" si="295"/>
        <v>0</v>
      </c>
      <c r="CX78" s="232">
        <f t="shared" si="295"/>
        <v>0</v>
      </c>
      <c r="CY78" s="232">
        <f t="shared" si="295"/>
        <v>0</v>
      </c>
      <c r="CZ78" s="232">
        <f t="shared" si="295"/>
        <v>0</v>
      </c>
      <c r="DA78" s="232">
        <f t="shared" si="295"/>
        <v>0</v>
      </c>
      <c r="DB78" s="232">
        <f t="shared" si="295"/>
        <v>0</v>
      </c>
      <c r="DC78" s="239">
        <f t="shared" si="295"/>
        <v>0</v>
      </c>
    </row>
    <row r="79" spans="3:107" x14ac:dyDescent="0.3">
      <c r="C79" s="321" t="str">
        <f>++C$30</f>
        <v>% margin</v>
      </c>
      <c r="G79" s="214" t="str">
        <f>++IFERROR(G78/G59,"n/a")</f>
        <v>n/a</v>
      </c>
      <c r="H79" s="225" t="str">
        <f t="shared" ref="H79" si="296">++IFERROR(H78/H59,"n/a")</f>
        <v>n/a</v>
      </c>
      <c r="I79" s="225" t="str">
        <f t="shared" ref="I79" si="297">++IFERROR(I78/I59,"n/a")</f>
        <v>n/a</v>
      </c>
      <c r="J79" s="225" t="str">
        <f t="shared" ref="J79" si="298">++IFERROR(J78/J59,"n/a")</f>
        <v>n/a</v>
      </c>
      <c r="K79" s="214" t="str">
        <f t="shared" ref="K79" si="299">++IFERROR(K78/K59,"n/a")</f>
        <v>n/a</v>
      </c>
      <c r="L79" s="225" t="str">
        <f t="shared" ref="L79" si="300">++IFERROR(L78/L59,"n/a")</f>
        <v>n/a</v>
      </c>
      <c r="M79" s="225" t="str">
        <f t="shared" ref="M79" si="301">++IFERROR(M78/M59,"n/a")</f>
        <v>n/a</v>
      </c>
      <c r="N79" s="225" t="str">
        <f t="shared" ref="N79" si="302">++IFERROR(N78/N59,"n/a")</f>
        <v>n/a</v>
      </c>
      <c r="O79" s="225" t="str">
        <f t="shared" ref="O79" si="303">++IFERROR(O78/O59,"n/a")</f>
        <v>n/a</v>
      </c>
      <c r="P79" s="225" t="str">
        <f t="shared" ref="P79" si="304">++IFERROR(P78/P59,"n/a")</f>
        <v>n/a</v>
      </c>
      <c r="Q79" s="225" t="str">
        <f t="shared" ref="Q79" si="305">++IFERROR(Q78/Q59,"n/a")</f>
        <v>n/a</v>
      </c>
      <c r="R79" s="225" t="str">
        <f t="shared" ref="R79" si="306">++IFERROR(R78/R59,"n/a")</f>
        <v>n/a</v>
      </c>
      <c r="S79" s="225" t="str">
        <f t="shared" ref="S79" si="307">++IFERROR(S78/S59,"n/a")</f>
        <v>n/a</v>
      </c>
      <c r="T79" s="225" t="str">
        <f t="shared" ref="T79" si="308">++IFERROR(T78/T59,"n/a")</f>
        <v>n/a</v>
      </c>
      <c r="U79" s="225" t="str">
        <f t="shared" ref="U79" si="309">++IFERROR(U78/U59,"n/a")</f>
        <v>n/a</v>
      </c>
      <c r="V79" s="225" t="str">
        <f t="shared" ref="V79" si="310">++IFERROR(V78/V59,"n/a")</f>
        <v>n/a</v>
      </c>
      <c r="W79" s="214" t="str">
        <f t="shared" ref="W79" si="311">++IFERROR(W78/W59,"n/a")</f>
        <v>n/a</v>
      </c>
      <c r="X79" s="225" t="str">
        <f t="shared" ref="X79" si="312">++IFERROR(X78/X59,"n/a")</f>
        <v>n/a</v>
      </c>
      <c r="Y79" s="225" t="str">
        <f t="shared" ref="Y79" si="313">++IFERROR(Y78/Y59,"n/a")</f>
        <v>n/a</v>
      </c>
      <c r="Z79" s="225" t="str">
        <f t="shared" ref="Z79" si="314">++IFERROR(Z78/Z59,"n/a")</f>
        <v>n/a</v>
      </c>
      <c r="AA79" s="225" t="str">
        <f t="shared" ref="AA79" si="315">++IFERROR(AA78/AA59,"n/a")</f>
        <v>n/a</v>
      </c>
      <c r="AB79" s="225" t="str">
        <f t="shared" ref="AB79" si="316">++IFERROR(AB78/AB59,"n/a")</f>
        <v>n/a</v>
      </c>
      <c r="AC79" s="225" t="str">
        <f t="shared" ref="AC79" si="317">++IFERROR(AC78/AC59,"n/a")</f>
        <v>n/a</v>
      </c>
      <c r="AD79" s="225" t="str">
        <f t="shared" ref="AD79" si="318">++IFERROR(AD78/AD59,"n/a")</f>
        <v>n/a</v>
      </c>
      <c r="AE79" s="225" t="str">
        <f t="shared" ref="AE79" si="319">++IFERROR(AE78/AE59,"n/a")</f>
        <v>n/a</v>
      </c>
      <c r="AF79" s="225" t="str">
        <f t="shared" ref="AF79" si="320">++IFERROR(AF78/AF59,"n/a")</f>
        <v>n/a</v>
      </c>
      <c r="AG79" s="225" t="str">
        <f t="shared" ref="AG79" si="321">++IFERROR(AG78/AG59,"n/a")</f>
        <v>n/a</v>
      </c>
      <c r="AH79" s="225" t="str">
        <f t="shared" ref="AH79" si="322">++IFERROR(AH78/AH59,"n/a")</f>
        <v>n/a</v>
      </c>
      <c r="AI79" s="214" t="str">
        <f t="shared" ref="AI79" si="323">++IFERROR(AI78/AI59,"n/a")</f>
        <v>n/a</v>
      </c>
      <c r="AJ79" s="225" t="str">
        <f t="shared" ref="AJ79" si="324">++IFERROR(AJ78/AJ59,"n/a")</f>
        <v>n/a</v>
      </c>
      <c r="AK79" s="225" t="str">
        <f t="shared" ref="AK79" si="325">++IFERROR(AK78/AK59,"n/a")</f>
        <v>n/a</v>
      </c>
      <c r="AL79" s="225" t="str">
        <f t="shared" ref="AL79" si="326">++IFERROR(AL78/AL59,"n/a")</f>
        <v>n/a</v>
      </c>
      <c r="AM79" s="225" t="str">
        <f t="shared" ref="AM79" si="327">++IFERROR(AM78/AM59,"n/a")</f>
        <v>n/a</v>
      </c>
      <c r="AN79" s="225" t="str">
        <f t="shared" ref="AN79" si="328">++IFERROR(AN78/AN59,"n/a")</f>
        <v>n/a</v>
      </c>
      <c r="AO79" s="225" t="str">
        <f t="shared" ref="AO79" si="329">++IFERROR(AO78/AO59,"n/a")</f>
        <v>n/a</v>
      </c>
      <c r="AP79" s="225" t="str">
        <f t="shared" ref="AP79" si="330">++IFERROR(AP78/AP59,"n/a")</f>
        <v>n/a</v>
      </c>
      <c r="AQ79" s="225" t="str">
        <f t="shared" ref="AQ79" si="331">++IFERROR(AQ78/AQ59,"n/a")</f>
        <v>n/a</v>
      </c>
      <c r="AR79" s="225" t="str">
        <f t="shared" ref="AR79" si="332">++IFERROR(AR78/AR59,"n/a")</f>
        <v>n/a</v>
      </c>
      <c r="AS79" s="225" t="str">
        <f t="shared" ref="AS79" si="333">++IFERROR(AS78/AS59,"n/a")</f>
        <v>n/a</v>
      </c>
      <c r="AT79" s="225" t="str">
        <f t="shared" ref="AT79" si="334">++IFERROR(AT78/AT59,"n/a")</f>
        <v>n/a</v>
      </c>
      <c r="AU79" s="214" t="str">
        <f t="shared" ref="AU79" si="335">++IFERROR(AU78/AU59,"n/a")</f>
        <v>n/a</v>
      </c>
      <c r="AV79" s="225" t="str">
        <f t="shared" ref="AV79" si="336">++IFERROR(AV78/AV59,"n/a")</f>
        <v>n/a</v>
      </c>
      <c r="AW79" s="225" t="str">
        <f t="shared" ref="AW79" si="337">++IFERROR(AW78/AW59,"n/a")</f>
        <v>n/a</v>
      </c>
      <c r="AX79" s="225" t="str">
        <f t="shared" ref="AX79" si="338">++IFERROR(AX78/AX59,"n/a")</f>
        <v>n/a</v>
      </c>
      <c r="AY79" s="225" t="str">
        <f t="shared" ref="AY79" si="339">++IFERROR(AY78/AY59,"n/a")</f>
        <v>n/a</v>
      </c>
      <c r="AZ79" s="225" t="str">
        <f t="shared" ref="AZ79" si="340">++IFERROR(AZ78/AZ59,"n/a")</f>
        <v>n/a</v>
      </c>
      <c r="BA79" s="225" t="str">
        <f t="shared" ref="BA79" si="341">++IFERROR(BA78/BA59,"n/a")</f>
        <v>n/a</v>
      </c>
      <c r="BB79" s="225" t="str">
        <f t="shared" ref="BB79" si="342">++IFERROR(BB78/BB59,"n/a")</f>
        <v>n/a</v>
      </c>
      <c r="BC79" s="225" t="str">
        <f t="shared" ref="BC79" si="343">++IFERROR(BC78/BC59,"n/a")</f>
        <v>n/a</v>
      </c>
      <c r="BD79" s="225" t="str">
        <f t="shared" ref="BD79" si="344">++IFERROR(BD78/BD59,"n/a")</f>
        <v>n/a</v>
      </c>
      <c r="BE79" s="225" t="str">
        <f t="shared" ref="BE79" si="345">++IFERROR(BE78/BE59,"n/a")</f>
        <v>n/a</v>
      </c>
      <c r="BF79" s="225" t="str">
        <f t="shared" ref="BF79" si="346">++IFERROR(BF78/BF59,"n/a")</f>
        <v>n/a</v>
      </c>
      <c r="BG79" s="214" t="str">
        <f t="shared" ref="BG79" si="347">++IFERROR(BG78/BG59,"n/a")</f>
        <v>n/a</v>
      </c>
      <c r="BH79" s="225" t="str">
        <f t="shared" ref="BH79" si="348">++IFERROR(BH78/BH59,"n/a")</f>
        <v>n/a</v>
      </c>
      <c r="BI79" s="225" t="str">
        <f t="shared" ref="BI79" si="349">++IFERROR(BI78/BI59,"n/a")</f>
        <v>n/a</v>
      </c>
      <c r="BJ79" s="225" t="str">
        <f t="shared" ref="BJ79" si="350">++IFERROR(BJ78/BJ59,"n/a")</f>
        <v>n/a</v>
      </c>
      <c r="BK79" s="225" t="str">
        <f t="shared" ref="BK79" si="351">++IFERROR(BK78/BK59,"n/a")</f>
        <v>n/a</v>
      </c>
      <c r="BL79" s="225" t="str">
        <f t="shared" ref="BL79" si="352">++IFERROR(BL78/BL59,"n/a")</f>
        <v>n/a</v>
      </c>
      <c r="BM79" s="225" t="str">
        <f t="shared" ref="BM79" si="353">++IFERROR(BM78/BM59,"n/a")</f>
        <v>n/a</v>
      </c>
      <c r="BN79" s="225" t="str">
        <f t="shared" ref="BN79" si="354">++IFERROR(BN78/BN59,"n/a")</f>
        <v>n/a</v>
      </c>
      <c r="BO79" s="225" t="str">
        <f t="shared" ref="BO79" si="355">++IFERROR(BO78/BO59,"n/a")</f>
        <v>n/a</v>
      </c>
      <c r="BP79" s="225" t="str">
        <f t="shared" ref="BP79" si="356">++IFERROR(BP78/BP59,"n/a")</f>
        <v>n/a</v>
      </c>
      <c r="BQ79" s="225" t="str">
        <f t="shared" ref="BQ79" si="357">++IFERROR(BQ78/BQ59,"n/a")</f>
        <v>n/a</v>
      </c>
      <c r="BR79" s="225" t="str">
        <f t="shared" ref="BR79" si="358">++IFERROR(BR78/BR59,"n/a")</f>
        <v>n/a</v>
      </c>
      <c r="BS79" s="214" t="str">
        <f t="shared" ref="BS79" si="359">++IFERROR(BS78/BS59,"n/a")</f>
        <v>n/a</v>
      </c>
      <c r="BT79" s="225" t="str">
        <f t="shared" ref="BT79" si="360">++IFERROR(BT78/BT59,"n/a")</f>
        <v>n/a</v>
      </c>
      <c r="BU79" s="225" t="str">
        <f t="shared" ref="BU79" si="361">++IFERROR(BU78/BU59,"n/a")</f>
        <v>n/a</v>
      </c>
      <c r="BV79" s="225" t="str">
        <f t="shared" ref="BV79" si="362">++IFERROR(BV78/BV59,"n/a")</f>
        <v>n/a</v>
      </c>
      <c r="BW79" s="225" t="str">
        <f t="shared" ref="BW79" si="363">++IFERROR(BW78/BW59,"n/a")</f>
        <v>n/a</v>
      </c>
      <c r="BX79" s="225" t="str">
        <f t="shared" ref="BX79" si="364">++IFERROR(BX78/BX59,"n/a")</f>
        <v>n/a</v>
      </c>
      <c r="BY79" s="225" t="str">
        <f t="shared" ref="BY79" si="365">++IFERROR(BY78/BY59,"n/a")</f>
        <v>n/a</v>
      </c>
      <c r="BZ79" s="225" t="str">
        <f t="shared" ref="BZ79" si="366">++IFERROR(BZ78/BZ59,"n/a")</f>
        <v>n/a</v>
      </c>
      <c r="CA79" s="225" t="str">
        <f t="shared" ref="CA79" si="367">++IFERROR(CA78/CA59,"n/a")</f>
        <v>n/a</v>
      </c>
      <c r="CB79" s="225" t="str">
        <f t="shared" ref="CB79" si="368">++IFERROR(CB78/CB59,"n/a")</f>
        <v>n/a</v>
      </c>
      <c r="CC79" s="225" t="str">
        <f t="shared" ref="CC79" si="369">++IFERROR(CC78/CC59,"n/a")</f>
        <v>n/a</v>
      </c>
      <c r="CD79" s="225" t="str">
        <f t="shared" ref="CD79" si="370">++IFERROR(CD78/CD59,"n/a")</f>
        <v>n/a</v>
      </c>
      <c r="CE79" s="214" t="str">
        <f t="shared" ref="CE79" si="371">++IFERROR(CE78/CE59,"n/a")</f>
        <v>n/a</v>
      </c>
      <c r="CF79" s="225" t="str">
        <f t="shared" ref="CF79" si="372">++IFERROR(CF78/CF59,"n/a")</f>
        <v>n/a</v>
      </c>
      <c r="CG79" s="225" t="str">
        <f t="shared" ref="CG79" si="373">++IFERROR(CG78/CG59,"n/a")</f>
        <v>n/a</v>
      </c>
      <c r="CH79" s="225" t="str">
        <f t="shared" ref="CH79" si="374">++IFERROR(CH78/CH59,"n/a")</f>
        <v>n/a</v>
      </c>
      <c r="CI79" s="225" t="str">
        <f t="shared" ref="CI79" si="375">++IFERROR(CI78/CI59,"n/a")</f>
        <v>n/a</v>
      </c>
      <c r="CJ79" s="225" t="str">
        <f t="shared" ref="CJ79" si="376">++IFERROR(CJ78/CJ59,"n/a")</f>
        <v>n/a</v>
      </c>
      <c r="CK79" s="225" t="str">
        <f t="shared" ref="CK79" si="377">++IFERROR(CK78/CK59,"n/a")</f>
        <v>n/a</v>
      </c>
      <c r="CL79" s="225" t="str">
        <f t="shared" ref="CL79" si="378">++IFERROR(CL78/CL59,"n/a")</f>
        <v>n/a</v>
      </c>
      <c r="CM79" s="225" t="str">
        <f t="shared" ref="CM79" si="379">++IFERROR(CM78/CM59,"n/a")</f>
        <v>n/a</v>
      </c>
      <c r="CN79" s="225" t="str">
        <f t="shared" ref="CN79" si="380">++IFERROR(CN78/CN59,"n/a")</f>
        <v>n/a</v>
      </c>
      <c r="CO79" s="225" t="str">
        <f t="shared" ref="CO79" si="381">++IFERROR(CO78/CO59,"n/a")</f>
        <v>n/a</v>
      </c>
      <c r="CP79" s="225" t="str">
        <f t="shared" ref="CP79" si="382">++IFERROR(CP78/CP59,"n/a")</f>
        <v>n/a</v>
      </c>
      <c r="CQ79" s="214" t="str">
        <f t="shared" ref="CQ79" si="383">++IFERROR(CQ78/CQ59,"n/a")</f>
        <v>n/a</v>
      </c>
      <c r="CR79" s="225" t="str">
        <f t="shared" ref="CR79" si="384">++IFERROR(CR78/CR59,"n/a")</f>
        <v>n/a</v>
      </c>
      <c r="CS79" s="225" t="str">
        <f t="shared" ref="CS79" si="385">++IFERROR(CS78/CS59,"n/a")</f>
        <v>n/a</v>
      </c>
      <c r="CT79" s="225" t="str">
        <f t="shared" ref="CT79" si="386">++IFERROR(CT78/CT59,"n/a")</f>
        <v>n/a</v>
      </c>
      <c r="CU79" s="225" t="str">
        <f t="shared" ref="CU79" si="387">++IFERROR(CU78/CU59,"n/a")</f>
        <v>n/a</v>
      </c>
      <c r="CV79" s="225" t="str">
        <f t="shared" ref="CV79" si="388">++IFERROR(CV78/CV59,"n/a")</f>
        <v>n/a</v>
      </c>
      <c r="CW79" s="225" t="str">
        <f t="shared" ref="CW79" si="389">++IFERROR(CW78/CW59,"n/a")</f>
        <v>n/a</v>
      </c>
      <c r="CX79" s="225" t="str">
        <f t="shared" ref="CX79" si="390">++IFERROR(CX78/CX59,"n/a")</f>
        <v>n/a</v>
      </c>
      <c r="CY79" s="225" t="str">
        <f t="shared" ref="CY79" si="391">++IFERROR(CY78/CY59,"n/a")</f>
        <v>n/a</v>
      </c>
      <c r="CZ79" s="225" t="str">
        <f t="shared" ref="CZ79" si="392">++IFERROR(CZ78/CZ59,"n/a")</f>
        <v>n/a</v>
      </c>
      <c r="DA79" s="225" t="str">
        <f t="shared" ref="DA79" si="393">++IFERROR(DA78/DA59,"n/a")</f>
        <v>n/a</v>
      </c>
      <c r="DB79" s="225" t="str">
        <f t="shared" ref="DB79" si="394">++IFERROR(DB78/DB59,"n/a")</f>
        <v>n/a</v>
      </c>
      <c r="DC79" s="214" t="str">
        <f t="shared" ref="DC79" si="395">++IFERROR(DC78/DC59,"n/a")</f>
        <v>n/a</v>
      </c>
    </row>
    <row r="80" spans="3:107" x14ac:dyDescent="0.3">
      <c r="C80" s="321" t="str">
        <f>++C$31</f>
        <v>% y/y</v>
      </c>
      <c r="G80" s="122" t="s">
        <v>47</v>
      </c>
      <c r="H80" s="122" t="s">
        <v>47</v>
      </c>
      <c r="I80" s="122" t="s">
        <v>47</v>
      </c>
      <c r="J80" s="122" t="s">
        <v>47</v>
      </c>
      <c r="K80" s="214" t="str">
        <f>++IFERROR(K78/G78-1,"n/a")</f>
        <v>n/a</v>
      </c>
      <c r="L80" s="122" t="s">
        <v>47</v>
      </c>
      <c r="M80" s="122" t="s">
        <v>47</v>
      </c>
      <c r="N80" s="225" t="str">
        <f>++IFERROR(N78/H78-1,"n/a")</f>
        <v>n/a</v>
      </c>
      <c r="O80" s="122" t="s">
        <v>47</v>
      </c>
      <c r="P80" s="122" t="s">
        <v>47</v>
      </c>
      <c r="Q80" s="225" t="str">
        <f>++IFERROR(Q78/I78-1,"n/a")</f>
        <v>n/a</v>
      </c>
      <c r="R80" s="122" t="s">
        <v>47</v>
      </c>
      <c r="S80" s="122" t="s">
        <v>47</v>
      </c>
      <c r="T80" s="225" t="str">
        <f>++IFERROR(T78/J78-1,"n/a")</f>
        <v>n/a</v>
      </c>
      <c r="U80" s="122" t="s">
        <v>47</v>
      </c>
      <c r="V80" s="122" t="s">
        <v>47</v>
      </c>
      <c r="W80" s="214" t="str">
        <f t="shared" ref="W80:BB80" si="396">++IFERROR(W78/K78-1,"n/a")</f>
        <v>n/a</v>
      </c>
      <c r="X80" s="225" t="str">
        <f t="shared" si="396"/>
        <v>n/a</v>
      </c>
      <c r="Y80" s="225" t="str">
        <f t="shared" si="396"/>
        <v>n/a</v>
      </c>
      <c r="Z80" s="225" t="str">
        <f t="shared" si="396"/>
        <v>n/a</v>
      </c>
      <c r="AA80" s="225" t="str">
        <f t="shared" si="396"/>
        <v>n/a</v>
      </c>
      <c r="AB80" s="225" t="str">
        <f t="shared" si="396"/>
        <v>n/a</v>
      </c>
      <c r="AC80" s="225" t="str">
        <f t="shared" si="396"/>
        <v>n/a</v>
      </c>
      <c r="AD80" s="225" t="str">
        <f t="shared" si="396"/>
        <v>n/a</v>
      </c>
      <c r="AE80" s="225" t="str">
        <f t="shared" si="396"/>
        <v>n/a</v>
      </c>
      <c r="AF80" s="225" t="str">
        <f t="shared" si="396"/>
        <v>n/a</v>
      </c>
      <c r="AG80" s="225" t="str">
        <f t="shared" si="396"/>
        <v>n/a</v>
      </c>
      <c r="AH80" s="225" t="str">
        <f t="shared" si="396"/>
        <v>n/a</v>
      </c>
      <c r="AI80" s="214" t="str">
        <f t="shared" si="396"/>
        <v>n/a</v>
      </c>
      <c r="AJ80" s="225" t="str">
        <f t="shared" si="396"/>
        <v>n/a</v>
      </c>
      <c r="AK80" s="225" t="str">
        <f t="shared" si="396"/>
        <v>n/a</v>
      </c>
      <c r="AL80" s="225" t="str">
        <f t="shared" si="396"/>
        <v>n/a</v>
      </c>
      <c r="AM80" s="225" t="str">
        <f t="shared" si="396"/>
        <v>n/a</v>
      </c>
      <c r="AN80" s="225" t="str">
        <f t="shared" si="396"/>
        <v>n/a</v>
      </c>
      <c r="AO80" s="225" t="str">
        <f t="shared" si="396"/>
        <v>n/a</v>
      </c>
      <c r="AP80" s="225" t="str">
        <f t="shared" si="396"/>
        <v>n/a</v>
      </c>
      <c r="AQ80" s="225" t="str">
        <f t="shared" si="396"/>
        <v>n/a</v>
      </c>
      <c r="AR80" s="225" t="str">
        <f t="shared" si="396"/>
        <v>n/a</v>
      </c>
      <c r="AS80" s="225" t="str">
        <f t="shared" si="396"/>
        <v>n/a</v>
      </c>
      <c r="AT80" s="225" t="str">
        <f t="shared" si="396"/>
        <v>n/a</v>
      </c>
      <c r="AU80" s="214" t="str">
        <f t="shared" si="396"/>
        <v>n/a</v>
      </c>
      <c r="AV80" s="225" t="str">
        <f t="shared" si="396"/>
        <v>n/a</v>
      </c>
      <c r="AW80" s="225" t="str">
        <f t="shared" si="396"/>
        <v>n/a</v>
      </c>
      <c r="AX80" s="225" t="str">
        <f t="shared" si="396"/>
        <v>n/a</v>
      </c>
      <c r="AY80" s="225" t="str">
        <f t="shared" si="396"/>
        <v>n/a</v>
      </c>
      <c r="AZ80" s="225" t="str">
        <f t="shared" si="396"/>
        <v>n/a</v>
      </c>
      <c r="BA80" s="225" t="str">
        <f t="shared" si="396"/>
        <v>n/a</v>
      </c>
      <c r="BB80" s="225" t="str">
        <f t="shared" si="396"/>
        <v>n/a</v>
      </c>
      <c r="BC80" s="225" t="str">
        <f t="shared" ref="BC80:CH80" si="397">++IFERROR(BC78/AQ78-1,"n/a")</f>
        <v>n/a</v>
      </c>
      <c r="BD80" s="225" t="str">
        <f t="shared" si="397"/>
        <v>n/a</v>
      </c>
      <c r="BE80" s="225" t="str">
        <f t="shared" si="397"/>
        <v>n/a</v>
      </c>
      <c r="BF80" s="225" t="str">
        <f t="shared" si="397"/>
        <v>n/a</v>
      </c>
      <c r="BG80" s="214" t="str">
        <f t="shared" si="397"/>
        <v>n/a</v>
      </c>
      <c r="BH80" s="225" t="str">
        <f t="shared" si="397"/>
        <v>n/a</v>
      </c>
      <c r="BI80" s="225" t="str">
        <f t="shared" si="397"/>
        <v>n/a</v>
      </c>
      <c r="BJ80" s="225" t="str">
        <f t="shared" si="397"/>
        <v>n/a</v>
      </c>
      <c r="BK80" s="225" t="str">
        <f t="shared" si="397"/>
        <v>n/a</v>
      </c>
      <c r="BL80" s="225" t="str">
        <f t="shared" si="397"/>
        <v>n/a</v>
      </c>
      <c r="BM80" s="225" t="str">
        <f t="shared" si="397"/>
        <v>n/a</v>
      </c>
      <c r="BN80" s="225" t="str">
        <f t="shared" si="397"/>
        <v>n/a</v>
      </c>
      <c r="BO80" s="225" t="str">
        <f t="shared" si="397"/>
        <v>n/a</v>
      </c>
      <c r="BP80" s="225" t="str">
        <f t="shared" si="397"/>
        <v>n/a</v>
      </c>
      <c r="BQ80" s="225" t="str">
        <f t="shared" si="397"/>
        <v>n/a</v>
      </c>
      <c r="BR80" s="225" t="str">
        <f t="shared" si="397"/>
        <v>n/a</v>
      </c>
      <c r="BS80" s="214" t="str">
        <f t="shared" si="397"/>
        <v>n/a</v>
      </c>
      <c r="BT80" s="225" t="str">
        <f t="shared" si="397"/>
        <v>n/a</v>
      </c>
      <c r="BU80" s="225" t="str">
        <f t="shared" si="397"/>
        <v>n/a</v>
      </c>
      <c r="BV80" s="225" t="str">
        <f t="shared" si="397"/>
        <v>n/a</v>
      </c>
      <c r="BW80" s="225" t="str">
        <f t="shared" si="397"/>
        <v>n/a</v>
      </c>
      <c r="BX80" s="225" t="str">
        <f t="shared" si="397"/>
        <v>n/a</v>
      </c>
      <c r="BY80" s="225" t="str">
        <f t="shared" si="397"/>
        <v>n/a</v>
      </c>
      <c r="BZ80" s="225" t="str">
        <f t="shared" si="397"/>
        <v>n/a</v>
      </c>
      <c r="CA80" s="225" t="str">
        <f t="shared" si="397"/>
        <v>n/a</v>
      </c>
      <c r="CB80" s="225" t="str">
        <f t="shared" si="397"/>
        <v>n/a</v>
      </c>
      <c r="CC80" s="225" t="str">
        <f t="shared" si="397"/>
        <v>n/a</v>
      </c>
      <c r="CD80" s="225" t="str">
        <f t="shared" si="397"/>
        <v>n/a</v>
      </c>
      <c r="CE80" s="214" t="str">
        <f t="shared" si="397"/>
        <v>n/a</v>
      </c>
      <c r="CF80" s="225" t="str">
        <f t="shared" si="397"/>
        <v>n/a</v>
      </c>
      <c r="CG80" s="225" t="str">
        <f t="shared" si="397"/>
        <v>n/a</v>
      </c>
      <c r="CH80" s="225" t="str">
        <f t="shared" si="397"/>
        <v>n/a</v>
      </c>
      <c r="CI80" s="225" t="str">
        <f t="shared" ref="CI80:DN80" si="398">++IFERROR(CI78/BW78-1,"n/a")</f>
        <v>n/a</v>
      </c>
      <c r="CJ80" s="225" t="str">
        <f t="shared" si="398"/>
        <v>n/a</v>
      </c>
      <c r="CK80" s="225" t="str">
        <f t="shared" si="398"/>
        <v>n/a</v>
      </c>
      <c r="CL80" s="225" t="str">
        <f t="shared" si="398"/>
        <v>n/a</v>
      </c>
      <c r="CM80" s="225" t="str">
        <f t="shared" si="398"/>
        <v>n/a</v>
      </c>
      <c r="CN80" s="225" t="str">
        <f t="shared" si="398"/>
        <v>n/a</v>
      </c>
      <c r="CO80" s="225" t="str">
        <f t="shared" si="398"/>
        <v>n/a</v>
      </c>
      <c r="CP80" s="225" t="str">
        <f t="shared" si="398"/>
        <v>n/a</v>
      </c>
      <c r="CQ80" s="214" t="str">
        <f t="shared" si="398"/>
        <v>n/a</v>
      </c>
      <c r="CR80" s="225" t="str">
        <f t="shared" si="398"/>
        <v>n/a</v>
      </c>
      <c r="CS80" s="225" t="str">
        <f t="shared" si="398"/>
        <v>n/a</v>
      </c>
      <c r="CT80" s="225" t="str">
        <f t="shared" si="398"/>
        <v>n/a</v>
      </c>
      <c r="CU80" s="225" t="str">
        <f t="shared" si="398"/>
        <v>n/a</v>
      </c>
      <c r="CV80" s="225" t="str">
        <f t="shared" si="398"/>
        <v>n/a</v>
      </c>
      <c r="CW80" s="225" t="str">
        <f t="shared" si="398"/>
        <v>n/a</v>
      </c>
      <c r="CX80" s="225" t="str">
        <f t="shared" si="398"/>
        <v>n/a</v>
      </c>
      <c r="CY80" s="225" t="str">
        <f t="shared" si="398"/>
        <v>n/a</v>
      </c>
      <c r="CZ80" s="225" t="str">
        <f t="shared" si="398"/>
        <v>n/a</v>
      </c>
      <c r="DA80" s="225" t="str">
        <f t="shared" si="398"/>
        <v>n/a</v>
      </c>
      <c r="DB80" s="225" t="str">
        <f t="shared" si="398"/>
        <v>n/a</v>
      </c>
      <c r="DC80" s="214" t="str">
        <f t="shared" si="398"/>
        <v>n/a</v>
      </c>
    </row>
    <row r="81" spans="3:107" x14ac:dyDescent="0.3">
      <c r="G81" s="203"/>
      <c r="K81" s="203"/>
      <c r="W81" s="203"/>
      <c r="AI81" s="203"/>
      <c r="AU81" s="203"/>
      <c r="BG81" s="203"/>
      <c r="BS81" s="203"/>
      <c r="CE81" s="203"/>
      <c r="CQ81" s="203"/>
      <c r="DC81" s="203"/>
    </row>
    <row r="82" spans="3:107" x14ac:dyDescent="0.3">
      <c r="C82" s="101" t="str">
        <f>++C$33</f>
        <v>Tax Expense (Benefit)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  <c r="AJ82" s="45">
        <v>0</v>
      </c>
      <c r="AK82" s="45">
        <v>0</v>
      </c>
      <c r="AL82" s="45">
        <v>0</v>
      </c>
      <c r="AM82" s="45">
        <v>0</v>
      </c>
      <c r="AN82" s="45">
        <v>0</v>
      </c>
      <c r="AO82" s="45">
        <v>0</v>
      </c>
      <c r="AP82" s="45">
        <v>0</v>
      </c>
      <c r="AQ82" s="45">
        <v>0</v>
      </c>
      <c r="AR82" s="45">
        <v>0</v>
      </c>
      <c r="AS82" s="45">
        <v>0</v>
      </c>
      <c r="AT82" s="45">
        <v>0</v>
      </c>
      <c r="AU82" s="45">
        <v>0</v>
      </c>
      <c r="AV82" s="45">
        <v>0</v>
      </c>
      <c r="AW82" s="45">
        <v>0</v>
      </c>
      <c r="AX82" s="45">
        <v>0</v>
      </c>
      <c r="AY82" s="45">
        <v>0</v>
      </c>
      <c r="AZ82" s="45">
        <v>0</v>
      </c>
      <c r="BA82" s="45">
        <v>0</v>
      </c>
      <c r="BB82" s="45">
        <v>0</v>
      </c>
      <c r="BC82" s="45">
        <v>0</v>
      </c>
      <c r="BD82" s="45">
        <v>0</v>
      </c>
      <c r="BE82" s="45">
        <v>0</v>
      </c>
      <c r="BF82" s="45">
        <v>0</v>
      </c>
      <c r="BG82" s="45">
        <v>0</v>
      </c>
      <c r="BH82" s="45">
        <v>0</v>
      </c>
      <c r="BI82" s="45">
        <v>0</v>
      </c>
      <c r="BJ82" s="45">
        <v>0</v>
      </c>
      <c r="BK82" s="45">
        <v>0</v>
      </c>
      <c r="BL82" s="45">
        <v>0</v>
      </c>
      <c r="BM82" s="45">
        <v>0</v>
      </c>
      <c r="BN82" s="45">
        <v>0</v>
      </c>
      <c r="BO82" s="45">
        <v>0</v>
      </c>
      <c r="BP82" s="45">
        <v>0</v>
      </c>
      <c r="BQ82" s="45">
        <v>0</v>
      </c>
      <c r="BR82" s="45">
        <v>0</v>
      </c>
      <c r="BS82" s="45">
        <v>0</v>
      </c>
      <c r="BT82" s="45">
        <v>0</v>
      </c>
      <c r="BU82" s="45">
        <v>0</v>
      </c>
      <c r="BV82" s="45">
        <v>0</v>
      </c>
      <c r="BW82" s="45">
        <v>0</v>
      </c>
      <c r="BX82" s="45">
        <v>0</v>
      </c>
      <c r="BY82" s="45">
        <v>0</v>
      </c>
      <c r="BZ82" s="45">
        <v>0</v>
      </c>
      <c r="CA82" s="45">
        <v>0</v>
      </c>
      <c r="CB82" s="45">
        <v>0</v>
      </c>
      <c r="CC82" s="45">
        <v>0</v>
      </c>
      <c r="CD82" s="45">
        <v>0</v>
      </c>
      <c r="CE82" s="45">
        <v>0</v>
      </c>
      <c r="CF82" s="45">
        <v>0</v>
      </c>
      <c r="CG82" s="45">
        <v>0</v>
      </c>
      <c r="CH82" s="45">
        <v>0</v>
      </c>
      <c r="CI82" s="45">
        <v>0</v>
      </c>
      <c r="CJ82" s="45">
        <v>0</v>
      </c>
      <c r="CK82" s="45">
        <v>0</v>
      </c>
      <c r="CL82" s="45">
        <v>0</v>
      </c>
      <c r="CM82" s="45">
        <v>0</v>
      </c>
      <c r="CN82" s="45">
        <v>0</v>
      </c>
      <c r="CO82" s="45">
        <v>0</v>
      </c>
      <c r="CP82" s="45">
        <v>0</v>
      </c>
      <c r="CQ82" s="45">
        <v>0</v>
      </c>
      <c r="CR82" s="45">
        <v>0</v>
      </c>
      <c r="CS82" s="45">
        <v>0</v>
      </c>
      <c r="CT82" s="45">
        <v>0</v>
      </c>
      <c r="CU82" s="45">
        <v>0</v>
      </c>
      <c r="CV82" s="45">
        <v>0</v>
      </c>
      <c r="CW82" s="45">
        <v>0</v>
      </c>
      <c r="CX82" s="45">
        <v>0</v>
      </c>
      <c r="CY82" s="45">
        <v>0</v>
      </c>
      <c r="CZ82" s="45">
        <v>0</v>
      </c>
      <c r="DA82" s="45">
        <v>0</v>
      </c>
      <c r="DB82" s="45">
        <v>0</v>
      </c>
      <c r="DC82" s="45">
        <v>0</v>
      </c>
    </row>
    <row r="83" spans="3:107" x14ac:dyDescent="0.3">
      <c r="C83" s="321" t="str">
        <f>++C$34</f>
        <v>% effective rate</v>
      </c>
      <c r="G83" s="214" t="str">
        <f>++IFERROR(G82/G78,"n/a")</f>
        <v>n/a</v>
      </c>
      <c r="H83" s="225" t="str">
        <f t="shared" ref="H83" si="399">++IFERROR(H82/H78,"n/a")</f>
        <v>n/a</v>
      </c>
      <c r="I83" s="225" t="str">
        <f t="shared" ref="I83" si="400">++IFERROR(I82/I78,"n/a")</f>
        <v>n/a</v>
      </c>
      <c r="J83" s="225" t="str">
        <f t="shared" ref="J83" si="401">++IFERROR(J82/J78,"n/a")</f>
        <v>n/a</v>
      </c>
      <c r="K83" s="214" t="str">
        <f t="shared" ref="K83" si="402">++IFERROR(K82/K78,"n/a")</f>
        <v>n/a</v>
      </c>
      <c r="L83" s="225" t="str">
        <f t="shared" ref="L83" si="403">++IFERROR(L82/L78,"n/a")</f>
        <v>n/a</v>
      </c>
      <c r="M83" s="225" t="str">
        <f t="shared" ref="M83" si="404">++IFERROR(M82/M78,"n/a")</f>
        <v>n/a</v>
      </c>
      <c r="N83" s="225" t="str">
        <f t="shared" ref="N83" si="405">++IFERROR(N82/N78,"n/a")</f>
        <v>n/a</v>
      </c>
      <c r="O83" s="225" t="str">
        <f t="shared" ref="O83" si="406">++IFERROR(O82/O78,"n/a")</f>
        <v>n/a</v>
      </c>
      <c r="P83" s="225" t="str">
        <f t="shared" ref="P83" si="407">++IFERROR(P82/P78,"n/a")</f>
        <v>n/a</v>
      </c>
      <c r="Q83" s="225" t="str">
        <f t="shared" ref="Q83" si="408">++IFERROR(Q82/Q78,"n/a")</f>
        <v>n/a</v>
      </c>
      <c r="R83" s="225" t="str">
        <f t="shared" ref="R83" si="409">++IFERROR(R82/R78,"n/a")</f>
        <v>n/a</v>
      </c>
      <c r="S83" s="225" t="str">
        <f t="shared" ref="S83" si="410">++IFERROR(S82/S78,"n/a")</f>
        <v>n/a</v>
      </c>
      <c r="T83" s="225" t="str">
        <f t="shared" ref="T83" si="411">++IFERROR(T82/T78,"n/a")</f>
        <v>n/a</v>
      </c>
      <c r="U83" s="225" t="str">
        <f t="shared" ref="U83" si="412">++IFERROR(U82/U78,"n/a")</f>
        <v>n/a</v>
      </c>
      <c r="V83" s="225" t="str">
        <f t="shared" ref="V83" si="413">++IFERROR(V82/V78,"n/a")</f>
        <v>n/a</v>
      </c>
      <c r="W83" s="214" t="str">
        <f t="shared" ref="W83" si="414">++IFERROR(W82/W78,"n/a")</f>
        <v>n/a</v>
      </c>
      <c r="X83" s="225" t="str">
        <f t="shared" ref="X83" si="415">++IFERROR(X82/X78,"n/a")</f>
        <v>n/a</v>
      </c>
      <c r="Y83" s="225" t="str">
        <f t="shared" ref="Y83" si="416">++IFERROR(Y82/Y78,"n/a")</f>
        <v>n/a</v>
      </c>
      <c r="Z83" s="225" t="str">
        <f t="shared" ref="Z83" si="417">++IFERROR(Z82/Z78,"n/a")</f>
        <v>n/a</v>
      </c>
      <c r="AA83" s="225" t="str">
        <f t="shared" ref="AA83" si="418">++IFERROR(AA82/AA78,"n/a")</f>
        <v>n/a</v>
      </c>
      <c r="AB83" s="225" t="str">
        <f t="shared" ref="AB83" si="419">++IFERROR(AB82/AB78,"n/a")</f>
        <v>n/a</v>
      </c>
      <c r="AC83" s="225" t="str">
        <f t="shared" ref="AC83" si="420">++IFERROR(AC82/AC78,"n/a")</f>
        <v>n/a</v>
      </c>
      <c r="AD83" s="225" t="str">
        <f t="shared" ref="AD83" si="421">++IFERROR(AD82/AD78,"n/a")</f>
        <v>n/a</v>
      </c>
      <c r="AE83" s="225" t="str">
        <f t="shared" ref="AE83" si="422">++IFERROR(AE82/AE78,"n/a")</f>
        <v>n/a</v>
      </c>
      <c r="AF83" s="225" t="str">
        <f t="shared" ref="AF83" si="423">++IFERROR(AF82/AF78,"n/a")</f>
        <v>n/a</v>
      </c>
      <c r="AG83" s="225" t="str">
        <f t="shared" ref="AG83" si="424">++IFERROR(AG82/AG78,"n/a")</f>
        <v>n/a</v>
      </c>
      <c r="AH83" s="225" t="str">
        <f t="shared" ref="AH83" si="425">++IFERROR(AH82/AH78,"n/a")</f>
        <v>n/a</v>
      </c>
      <c r="AI83" s="214" t="str">
        <f t="shared" ref="AI83" si="426">++IFERROR(AI82/AI78,"n/a")</f>
        <v>n/a</v>
      </c>
      <c r="AJ83" s="225" t="str">
        <f t="shared" ref="AJ83" si="427">++IFERROR(AJ82/AJ78,"n/a")</f>
        <v>n/a</v>
      </c>
      <c r="AK83" s="225" t="str">
        <f t="shared" ref="AK83" si="428">++IFERROR(AK82/AK78,"n/a")</f>
        <v>n/a</v>
      </c>
      <c r="AL83" s="225" t="str">
        <f t="shared" ref="AL83" si="429">++IFERROR(AL82/AL78,"n/a")</f>
        <v>n/a</v>
      </c>
      <c r="AM83" s="225" t="str">
        <f t="shared" ref="AM83" si="430">++IFERROR(AM82/AM78,"n/a")</f>
        <v>n/a</v>
      </c>
      <c r="AN83" s="225" t="str">
        <f t="shared" ref="AN83" si="431">++IFERROR(AN82/AN78,"n/a")</f>
        <v>n/a</v>
      </c>
      <c r="AO83" s="225" t="str">
        <f t="shared" ref="AO83" si="432">++IFERROR(AO82/AO78,"n/a")</f>
        <v>n/a</v>
      </c>
      <c r="AP83" s="225" t="str">
        <f t="shared" ref="AP83" si="433">++IFERROR(AP82/AP78,"n/a")</f>
        <v>n/a</v>
      </c>
      <c r="AQ83" s="225" t="str">
        <f t="shared" ref="AQ83" si="434">++IFERROR(AQ82/AQ78,"n/a")</f>
        <v>n/a</v>
      </c>
      <c r="AR83" s="225" t="str">
        <f t="shared" ref="AR83" si="435">++IFERROR(AR82/AR78,"n/a")</f>
        <v>n/a</v>
      </c>
      <c r="AS83" s="225" t="str">
        <f t="shared" ref="AS83" si="436">++IFERROR(AS82/AS78,"n/a")</f>
        <v>n/a</v>
      </c>
      <c r="AT83" s="225" t="str">
        <f t="shared" ref="AT83" si="437">++IFERROR(AT82/AT78,"n/a")</f>
        <v>n/a</v>
      </c>
      <c r="AU83" s="214" t="str">
        <f t="shared" ref="AU83" si="438">++IFERROR(AU82/AU78,"n/a")</f>
        <v>n/a</v>
      </c>
      <c r="AV83" s="225" t="str">
        <f t="shared" ref="AV83" si="439">++IFERROR(AV82/AV78,"n/a")</f>
        <v>n/a</v>
      </c>
      <c r="AW83" s="225" t="str">
        <f t="shared" ref="AW83" si="440">++IFERROR(AW82/AW78,"n/a")</f>
        <v>n/a</v>
      </c>
      <c r="AX83" s="225" t="str">
        <f t="shared" ref="AX83" si="441">++IFERROR(AX82/AX78,"n/a")</f>
        <v>n/a</v>
      </c>
      <c r="AY83" s="225" t="str">
        <f t="shared" ref="AY83" si="442">++IFERROR(AY82/AY78,"n/a")</f>
        <v>n/a</v>
      </c>
      <c r="AZ83" s="225" t="str">
        <f t="shared" ref="AZ83" si="443">++IFERROR(AZ82/AZ78,"n/a")</f>
        <v>n/a</v>
      </c>
      <c r="BA83" s="225" t="str">
        <f t="shared" ref="BA83" si="444">++IFERROR(BA82/BA78,"n/a")</f>
        <v>n/a</v>
      </c>
      <c r="BB83" s="225" t="str">
        <f t="shared" ref="BB83" si="445">++IFERROR(BB82/BB78,"n/a")</f>
        <v>n/a</v>
      </c>
      <c r="BC83" s="225" t="str">
        <f t="shared" ref="BC83" si="446">++IFERROR(BC82/BC78,"n/a")</f>
        <v>n/a</v>
      </c>
      <c r="BD83" s="225" t="str">
        <f t="shared" ref="BD83" si="447">++IFERROR(BD82/BD78,"n/a")</f>
        <v>n/a</v>
      </c>
      <c r="BE83" s="225" t="str">
        <f t="shared" ref="BE83" si="448">++IFERROR(BE82/BE78,"n/a")</f>
        <v>n/a</v>
      </c>
      <c r="BF83" s="225" t="str">
        <f t="shared" ref="BF83" si="449">++IFERROR(BF82/BF78,"n/a")</f>
        <v>n/a</v>
      </c>
      <c r="BG83" s="214" t="str">
        <f t="shared" ref="BG83" si="450">++IFERROR(BG82/BG78,"n/a")</f>
        <v>n/a</v>
      </c>
      <c r="BH83" s="225" t="str">
        <f t="shared" ref="BH83" si="451">++IFERROR(BH82/BH78,"n/a")</f>
        <v>n/a</v>
      </c>
      <c r="BI83" s="225" t="str">
        <f t="shared" ref="BI83" si="452">++IFERROR(BI82/BI78,"n/a")</f>
        <v>n/a</v>
      </c>
      <c r="BJ83" s="225" t="str">
        <f t="shared" ref="BJ83" si="453">++IFERROR(BJ82/BJ78,"n/a")</f>
        <v>n/a</v>
      </c>
      <c r="BK83" s="225" t="str">
        <f t="shared" ref="BK83" si="454">++IFERROR(BK82/BK78,"n/a")</f>
        <v>n/a</v>
      </c>
      <c r="BL83" s="225" t="str">
        <f t="shared" ref="BL83" si="455">++IFERROR(BL82/BL78,"n/a")</f>
        <v>n/a</v>
      </c>
      <c r="BM83" s="225" t="str">
        <f t="shared" ref="BM83" si="456">++IFERROR(BM82/BM78,"n/a")</f>
        <v>n/a</v>
      </c>
      <c r="BN83" s="225" t="str">
        <f t="shared" ref="BN83" si="457">++IFERROR(BN82/BN78,"n/a")</f>
        <v>n/a</v>
      </c>
      <c r="BO83" s="225" t="str">
        <f t="shared" ref="BO83" si="458">++IFERROR(BO82/BO78,"n/a")</f>
        <v>n/a</v>
      </c>
      <c r="BP83" s="225" t="str">
        <f t="shared" ref="BP83" si="459">++IFERROR(BP82/BP78,"n/a")</f>
        <v>n/a</v>
      </c>
      <c r="BQ83" s="225" t="str">
        <f t="shared" ref="BQ83" si="460">++IFERROR(BQ82/BQ78,"n/a")</f>
        <v>n/a</v>
      </c>
      <c r="BR83" s="225" t="str">
        <f t="shared" ref="BR83" si="461">++IFERROR(BR82/BR78,"n/a")</f>
        <v>n/a</v>
      </c>
      <c r="BS83" s="214" t="str">
        <f t="shared" ref="BS83" si="462">++IFERROR(BS82/BS78,"n/a")</f>
        <v>n/a</v>
      </c>
      <c r="BT83" s="225" t="str">
        <f t="shared" ref="BT83" si="463">++IFERROR(BT82/BT78,"n/a")</f>
        <v>n/a</v>
      </c>
      <c r="BU83" s="225" t="str">
        <f t="shared" ref="BU83" si="464">++IFERROR(BU82/BU78,"n/a")</f>
        <v>n/a</v>
      </c>
      <c r="BV83" s="225" t="str">
        <f t="shared" ref="BV83" si="465">++IFERROR(BV82/BV78,"n/a")</f>
        <v>n/a</v>
      </c>
      <c r="BW83" s="225" t="str">
        <f t="shared" ref="BW83" si="466">++IFERROR(BW82/BW78,"n/a")</f>
        <v>n/a</v>
      </c>
      <c r="BX83" s="225" t="str">
        <f t="shared" ref="BX83" si="467">++IFERROR(BX82/BX78,"n/a")</f>
        <v>n/a</v>
      </c>
      <c r="BY83" s="225" t="str">
        <f t="shared" ref="BY83" si="468">++IFERROR(BY82/BY78,"n/a")</f>
        <v>n/a</v>
      </c>
      <c r="BZ83" s="225" t="str">
        <f t="shared" ref="BZ83" si="469">++IFERROR(BZ82/BZ78,"n/a")</f>
        <v>n/a</v>
      </c>
      <c r="CA83" s="225" t="str">
        <f t="shared" ref="CA83" si="470">++IFERROR(CA82/CA78,"n/a")</f>
        <v>n/a</v>
      </c>
      <c r="CB83" s="225" t="str">
        <f t="shared" ref="CB83" si="471">++IFERROR(CB82/CB78,"n/a")</f>
        <v>n/a</v>
      </c>
      <c r="CC83" s="225" t="str">
        <f t="shared" ref="CC83" si="472">++IFERROR(CC82/CC78,"n/a")</f>
        <v>n/a</v>
      </c>
      <c r="CD83" s="225" t="str">
        <f t="shared" ref="CD83" si="473">++IFERROR(CD82/CD78,"n/a")</f>
        <v>n/a</v>
      </c>
      <c r="CE83" s="214" t="str">
        <f t="shared" ref="CE83" si="474">++IFERROR(CE82/CE78,"n/a")</f>
        <v>n/a</v>
      </c>
      <c r="CF83" s="225" t="str">
        <f t="shared" ref="CF83" si="475">++IFERROR(CF82/CF78,"n/a")</f>
        <v>n/a</v>
      </c>
      <c r="CG83" s="225" t="str">
        <f t="shared" ref="CG83" si="476">++IFERROR(CG82/CG78,"n/a")</f>
        <v>n/a</v>
      </c>
      <c r="CH83" s="225" t="str">
        <f t="shared" ref="CH83" si="477">++IFERROR(CH82/CH78,"n/a")</f>
        <v>n/a</v>
      </c>
      <c r="CI83" s="225" t="str">
        <f t="shared" ref="CI83" si="478">++IFERROR(CI82/CI78,"n/a")</f>
        <v>n/a</v>
      </c>
      <c r="CJ83" s="225" t="str">
        <f t="shared" ref="CJ83" si="479">++IFERROR(CJ82/CJ78,"n/a")</f>
        <v>n/a</v>
      </c>
      <c r="CK83" s="225" t="str">
        <f t="shared" ref="CK83" si="480">++IFERROR(CK82/CK78,"n/a")</f>
        <v>n/a</v>
      </c>
      <c r="CL83" s="225" t="str">
        <f t="shared" ref="CL83" si="481">++IFERROR(CL82/CL78,"n/a")</f>
        <v>n/a</v>
      </c>
      <c r="CM83" s="225" t="str">
        <f t="shared" ref="CM83" si="482">++IFERROR(CM82/CM78,"n/a")</f>
        <v>n/a</v>
      </c>
      <c r="CN83" s="225" t="str">
        <f t="shared" ref="CN83" si="483">++IFERROR(CN82/CN78,"n/a")</f>
        <v>n/a</v>
      </c>
      <c r="CO83" s="225" t="str">
        <f t="shared" ref="CO83" si="484">++IFERROR(CO82/CO78,"n/a")</f>
        <v>n/a</v>
      </c>
      <c r="CP83" s="225" t="str">
        <f t="shared" ref="CP83" si="485">++IFERROR(CP82/CP78,"n/a")</f>
        <v>n/a</v>
      </c>
      <c r="CQ83" s="214" t="str">
        <f t="shared" ref="CQ83" si="486">++IFERROR(CQ82/CQ78,"n/a")</f>
        <v>n/a</v>
      </c>
      <c r="CR83" s="225" t="str">
        <f t="shared" ref="CR83" si="487">++IFERROR(CR82/CR78,"n/a")</f>
        <v>n/a</v>
      </c>
      <c r="CS83" s="225" t="str">
        <f t="shared" ref="CS83" si="488">++IFERROR(CS82/CS78,"n/a")</f>
        <v>n/a</v>
      </c>
      <c r="CT83" s="225" t="str">
        <f t="shared" ref="CT83" si="489">++IFERROR(CT82/CT78,"n/a")</f>
        <v>n/a</v>
      </c>
      <c r="CU83" s="225" t="str">
        <f t="shared" ref="CU83" si="490">++IFERROR(CU82/CU78,"n/a")</f>
        <v>n/a</v>
      </c>
      <c r="CV83" s="225" t="str">
        <f t="shared" ref="CV83" si="491">++IFERROR(CV82/CV78,"n/a")</f>
        <v>n/a</v>
      </c>
      <c r="CW83" s="225" t="str">
        <f t="shared" ref="CW83" si="492">++IFERROR(CW82/CW78,"n/a")</f>
        <v>n/a</v>
      </c>
      <c r="CX83" s="225" t="str">
        <f t="shared" ref="CX83" si="493">++IFERROR(CX82/CX78,"n/a")</f>
        <v>n/a</v>
      </c>
      <c r="CY83" s="225" t="str">
        <f t="shared" ref="CY83" si="494">++IFERROR(CY82/CY78,"n/a")</f>
        <v>n/a</v>
      </c>
      <c r="CZ83" s="225" t="str">
        <f t="shared" ref="CZ83" si="495">++IFERROR(CZ82/CZ78,"n/a")</f>
        <v>n/a</v>
      </c>
      <c r="DA83" s="225" t="str">
        <f t="shared" ref="DA83" si="496">++IFERROR(DA82/DA78,"n/a")</f>
        <v>n/a</v>
      </c>
      <c r="DB83" s="225" t="str">
        <f t="shared" ref="DB83" si="497">++IFERROR(DB82/DB78,"n/a")</f>
        <v>n/a</v>
      </c>
      <c r="DC83" s="214" t="str">
        <f t="shared" ref="DC83" si="498">++IFERROR(DC82/DC78,"n/a")</f>
        <v>n/a</v>
      </c>
    </row>
    <row r="84" spans="3:107" x14ac:dyDescent="0.3">
      <c r="G84" s="203"/>
      <c r="K84" s="203"/>
      <c r="W84" s="203"/>
      <c r="AI84" s="203"/>
      <c r="AU84" s="203"/>
      <c r="BG84" s="203"/>
      <c r="BS84" s="203"/>
      <c r="CE84" s="203"/>
      <c r="CQ84" s="203"/>
      <c r="DC84" s="203"/>
    </row>
    <row r="85" spans="3:107" ht="13.5" thickBot="1" x14ac:dyDescent="0.35">
      <c r="C85" s="369" t="str">
        <f>++C$36</f>
        <v>Net Income</v>
      </c>
      <c r="D85" s="370"/>
      <c r="E85" s="370"/>
      <c r="G85" s="435">
        <v>0</v>
      </c>
      <c r="H85" s="435">
        <v>0</v>
      </c>
      <c r="I85" s="435">
        <v>0</v>
      </c>
      <c r="J85" s="435">
        <v>0</v>
      </c>
      <c r="K85" s="435">
        <v>0</v>
      </c>
      <c r="L85" s="435">
        <v>0</v>
      </c>
      <c r="M85" s="435">
        <v>0</v>
      </c>
      <c r="N85" s="435">
        <v>0</v>
      </c>
      <c r="O85" s="435">
        <v>0</v>
      </c>
      <c r="P85" s="435">
        <v>0</v>
      </c>
      <c r="Q85" s="435">
        <v>0</v>
      </c>
      <c r="R85" s="435">
        <v>0</v>
      </c>
      <c r="S85" s="435">
        <v>0</v>
      </c>
      <c r="T85" s="435">
        <v>0</v>
      </c>
      <c r="U85" s="435">
        <v>0</v>
      </c>
      <c r="V85" s="435">
        <v>0</v>
      </c>
      <c r="W85" s="435">
        <v>0</v>
      </c>
      <c r="X85" s="435">
        <v>0</v>
      </c>
      <c r="Y85" s="435">
        <v>0</v>
      </c>
      <c r="Z85" s="435">
        <v>0</v>
      </c>
      <c r="AA85" s="435">
        <v>0</v>
      </c>
      <c r="AB85" s="435">
        <v>0</v>
      </c>
      <c r="AC85" s="435">
        <v>0</v>
      </c>
      <c r="AD85" s="435">
        <v>0</v>
      </c>
      <c r="AE85" s="435">
        <v>0</v>
      </c>
      <c r="AF85" s="435">
        <v>0</v>
      </c>
      <c r="AG85" s="435">
        <v>0</v>
      </c>
      <c r="AH85" s="435">
        <v>0</v>
      </c>
      <c r="AI85" s="435">
        <v>0</v>
      </c>
      <c r="AJ85" s="435">
        <v>0</v>
      </c>
      <c r="AK85" s="435">
        <v>0</v>
      </c>
      <c r="AL85" s="435">
        <v>0</v>
      </c>
      <c r="AM85" s="435">
        <v>0</v>
      </c>
      <c r="AN85" s="435">
        <v>0</v>
      </c>
      <c r="AO85" s="435">
        <v>0</v>
      </c>
      <c r="AP85" s="435">
        <v>0</v>
      </c>
      <c r="AQ85" s="435">
        <v>0</v>
      </c>
      <c r="AR85" s="435">
        <v>0</v>
      </c>
      <c r="AS85" s="435">
        <v>0</v>
      </c>
      <c r="AT85" s="435">
        <v>0</v>
      </c>
      <c r="AU85" s="435">
        <v>0</v>
      </c>
      <c r="AV85" s="435">
        <v>0</v>
      </c>
      <c r="AW85" s="435">
        <v>0</v>
      </c>
      <c r="AX85" s="435">
        <v>0</v>
      </c>
      <c r="AY85" s="435">
        <v>0</v>
      </c>
      <c r="AZ85" s="435">
        <v>0</v>
      </c>
      <c r="BA85" s="435">
        <v>0</v>
      </c>
      <c r="BB85" s="435">
        <v>0</v>
      </c>
      <c r="BC85" s="435">
        <v>0</v>
      </c>
      <c r="BD85" s="435">
        <v>0</v>
      </c>
      <c r="BE85" s="435">
        <v>0</v>
      </c>
      <c r="BF85" s="435">
        <v>0</v>
      </c>
      <c r="BG85" s="435">
        <v>0</v>
      </c>
      <c r="BH85" s="435">
        <v>0</v>
      </c>
      <c r="BI85" s="435">
        <v>0</v>
      </c>
      <c r="BJ85" s="435">
        <v>0</v>
      </c>
      <c r="BK85" s="435">
        <v>0</v>
      </c>
      <c r="BL85" s="435">
        <v>0</v>
      </c>
      <c r="BM85" s="435">
        <v>0</v>
      </c>
      <c r="BN85" s="435">
        <v>0</v>
      </c>
      <c r="BO85" s="435">
        <v>0</v>
      </c>
      <c r="BP85" s="435">
        <v>0</v>
      </c>
      <c r="BQ85" s="435">
        <v>0</v>
      </c>
      <c r="BR85" s="435">
        <v>0</v>
      </c>
      <c r="BS85" s="435">
        <v>0</v>
      </c>
      <c r="BT85" s="435">
        <v>0</v>
      </c>
      <c r="BU85" s="435">
        <v>0</v>
      </c>
      <c r="BV85" s="435">
        <v>0</v>
      </c>
      <c r="BW85" s="435">
        <v>0</v>
      </c>
      <c r="BX85" s="435">
        <v>0</v>
      </c>
      <c r="BY85" s="435">
        <v>0</v>
      </c>
      <c r="BZ85" s="435">
        <v>0</v>
      </c>
      <c r="CA85" s="435">
        <v>0</v>
      </c>
      <c r="CB85" s="435">
        <v>0</v>
      </c>
      <c r="CC85" s="435">
        <v>0</v>
      </c>
      <c r="CD85" s="435">
        <v>0</v>
      </c>
      <c r="CE85" s="435">
        <v>0</v>
      </c>
      <c r="CF85" s="435">
        <v>0</v>
      </c>
      <c r="CG85" s="435">
        <v>0</v>
      </c>
      <c r="CH85" s="435">
        <v>0</v>
      </c>
      <c r="CI85" s="435">
        <v>0</v>
      </c>
      <c r="CJ85" s="435">
        <v>0</v>
      </c>
      <c r="CK85" s="435">
        <v>0</v>
      </c>
      <c r="CL85" s="435">
        <v>0</v>
      </c>
      <c r="CM85" s="435">
        <v>0</v>
      </c>
      <c r="CN85" s="435">
        <v>0</v>
      </c>
      <c r="CO85" s="435">
        <v>0</v>
      </c>
      <c r="CP85" s="435">
        <v>0</v>
      </c>
      <c r="CQ85" s="435">
        <v>0</v>
      </c>
      <c r="CR85" s="435">
        <v>0</v>
      </c>
      <c r="CS85" s="435">
        <v>0</v>
      </c>
      <c r="CT85" s="435">
        <v>0</v>
      </c>
      <c r="CU85" s="435">
        <v>0</v>
      </c>
      <c r="CV85" s="435">
        <v>0</v>
      </c>
      <c r="CW85" s="435">
        <v>0</v>
      </c>
      <c r="CX85" s="435">
        <v>0</v>
      </c>
      <c r="CY85" s="435">
        <v>0</v>
      </c>
      <c r="CZ85" s="435">
        <v>0</v>
      </c>
      <c r="DA85" s="435">
        <v>0</v>
      </c>
      <c r="DB85" s="435">
        <v>0</v>
      </c>
      <c r="DC85" s="435">
        <v>0</v>
      </c>
    </row>
    <row r="86" spans="3:107" ht="13.5" thickTop="1" x14ac:dyDescent="0.3">
      <c r="C86" s="321" t="str">
        <f>++C$37</f>
        <v>% margin</v>
      </c>
      <c r="G86" s="214" t="str">
        <f>++IFERROR(G85/G59,"n/a")</f>
        <v>n/a</v>
      </c>
      <c r="H86" s="225" t="str">
        <f t="shared" ref="H86" si="499">++IFERROR(H85/H59,"n/a")</f>
        <v>n/a</v>
      </c>
      <c r="I86" s="225" t="str">
        <f t="shared" ref="I86" si="500">++IFERROR(I85/I59,"n/a")</f>
        <v>n/a</v>
      </c>
      <c r="J86" s="225" t="str">
        <f t="shared" ref="J86" si="501">++IFERROR(J85/J59,"n/a")</f>
        <v>n/a</v>
      </c>
      <c r="K86" s="214" t="str">
        <f t="shared" ref="K86" si="502">++IFERROR(K85/K59,"n/a")</f>
        <v>n/a</v>
      </c>
      <c r="L86" s="225" t="str">
        <f t="shared" ref="L86" si="503">++IFERROR(L85/L59,"n/a")</f>
        <v>n/a</v>
      </c>
      <c r="M86" s="225" t="str">
        <f t="shared" ref="M86" si="504">++IFERROR(M85/M59,"n/a")</f>
        <v>n/a</v>
      </c>
      <c r="N86" s="225" t="str">
        <f t="shared" ref="N86" si="505">++IFERROR(N85/N59,"n/a")</f>
        <v>n/a</v>
      </c>
      <c r="O86" s="225" t="str">
        <f t="shared" ref="O86" si="506">++IFERROR(O85/O59,"n/a")</f>
        <v>n/a</v>
      </c>
      <c r="P86" s="225" t="str">
        <f t="shared" ref="P86" si="507">++IFERROR(P85/P59,"n/a")</f>
        <v>n/a</v>
      </c>
      <c r="Q86" s="225" t="str">
        <f t="shared" ref="Q86" si="508">++IFERROR(Q85/Q59,"n/a")</f>
        <v>n/a</v>
      </c>
      <c r="R86" s="225" t="str">
        <f t="shared" ref="R86" si="509">++IFERROR(R85/R59,"n/a")</f>
        <v>n/a</v>
      </c>
      <c r="S86" s="225" t="str">
        <f t="shared" ref="S86" si="510">++IFERROR(S85/S59,"n/a")</f>
        <v>n/a</v>
      </c>
      <c r="T86" s="225" t="str">
        <f t="shared" ref="T86" si="511">++IFERROR(T85/T59,"n/a")</f>
        <v>n/a</v>
      </c>
      <c r="U86" s="225" t="str">
        <f t="shared" ref="U86" si="512">++IFERROR(U85/U59,"n/a")</f>
        <v>n/a</v>
      </c>
      <c r="V86" s="225" t="str">
        <f t="shared" ref="V86" si="513">++IFERROR(V85/V59,"n/a")</f>
        <v>n/a</v>
      </c>
      <c r="W86" s="214" t="str">
        <f t="shared" ref="W86" si="514">++IFERROR(W85/W59,"n/a")</f>
        <v>n/a</v>
      </c>
      <c r="X86" s="225" t="str">
        <f t="shared" ref="X86" si="515">++IFERROR(X85/X59,"n/a")</f>
        <v>n/a</v>
      </c>
      <c r="Y86" s="225" t="str">
        <f t="shared" ref="Y86" si="516">++IFERROR(Y85/Y59,"n/a")</f>
        <v>n/a</v>
      </c>
      <c r="Z86" s="225" t="str">
        <f t="shared" ref="Z86" si="517">++IFERROR(Z85/Z59,"n/a")</f>
        <v>n/a</v>
      </c>
      <c r="AA86" s="225" t="str">
        <f t="shared" ref="AA86" si="518">++IFERROR(AA85/AA59,"n/a")</f>
        <v>n/a</v>
      </c>
      <c r="AB86" s="225" t="str">
        <f t="shared" ref="AB86" si="519">++IFERROR(AB85/AB59,"n/a")</f>
        <v>n/a</v>
      </c>
      <c r="AC86" s="225" t="str">
        <f t="shared" ref="AC86" si="520">++IFERROR(AC85/AC59,"n/a")</f>
        <v>n/a</v>
      </c>
      <c r="AD86" s="225" t="str">
        <f t="shared" ref="AD86" si="521">++IFERROR(AD85/AD59,"n/a")</f>
        <v>n/a</v>
      </c>
      <c r="AE86" s="225" t="str">
        <f t="shared" ref="AE86" si="522">++IFERROR(AE85/AE59,"n/a")</f>
        <v>n/a</v>
      </c>
      <c r="AF86" s="225" t="str">
        <f t="shared" ref="AF86" si="523">++IFERROR(AF85/AF59,"n/a")</f>
        <v>n/a</v>
      </c>
      <c r="AG86" s="225" t="str">
        <f t="shared" ref="AG86" si="524">++IFERROR(AG85/AG59,"n/a")</f>
        <v>n/a</v>
      </c>
      <c r="AH86" s="225" t="str">
        <f t="shared" ref="AH86" si="525">++IFERROR(AH85/AH59,"n/a")</f>
        <v>n/a</v>
      </c>
      <c r="AI86" s="214" t="str">
        <f t="shared" ref="AI86" si="526">++IFERROR(AI85/AI59,"n/a")</f>
        <v>n/a</v>
      </c>
      <c r="AJ86" s="225" t="str">
        <f t="shared" ref="AJ86" si="527">++IFERROR(AJ85/AJ59,"n/a")</f>
        <v>n/a</v>
      </c>
      <c r="AK86" s="225" t="str">
        <f t="shared" ref="AK86" si="528">++IFERROR(AK85/AK59,"n/a")</f>
        <v>n/a</v>
      </c>
      <c r="AL86" s="225" t="str">
        <f t="shared" ref="AL86" si="529">++IFERROR(AL85/AL59,"n/a")</f>
        <v>n/a</v>
      </c>
      <c r="AM86" s="225" t="str">
        <f t="shared" ref="AM86" si="530">++IFERROR(AM85/AM59,"n/a")</f>
        <v>n/a</v>
      </c>
      <c r="AN86" s="225" t="str">
        <f t="shared" ref="AN86" si="531">++IFERROR(AN85/AN59,"n/a")</f>
        <v>n/a</v>
      </c>
      <c r="AO86" s="225" t="str">
        <f t="shared" ref="AO86" si="532">++IFERROR(AO85/AO59,"n/a")</f>
        <v>n/a</v>
      </c>
      <c r="AP86" s="225" t="str">
        <f t="shared" ref="AP86" si="533">++IFERROR(AP85/AP59,"n/a")</f>
        <v>n/a</v>
      </c>
      <c r="AQ86" s="225" t="str">
        <f t="shared" ref="AQ86" si="534">++IFERROR(AQ85/AQ59,"n/a")</f>
        <v>n/a</v>
      </c>
      <c r="AR86" s="225" t="str">
        <f t="shared" ref="AR86" si="535">++IFERROR(AR85/AR59,"n/a")</f>
        <v>n/a</v>
      </c>
      <c r="AS86" s="225" t="str">
        <f t="shared" ref="AS86" si="536">++IFERROR(AS85/AS59,"n/a")</f>
        <v>n/a</v>
      </c>
      <c r="AT86" s="225" t="str">
        <f t="shared" ref="AT86" si="537">++IFERROR(AT85/AT59,"n/a")</f>
        <v>n/a</v>
      </c>
      <c r="AU86" s="214" t="str">
        <f t="shared" ref="AU86" si="538">++IFERROR(AU85/AU59,"n/a")</f>
        <v>n/a</v>
      </c>
      <c r="AV86" s="225" t="str">
        <f t="shared" ref="AV86" si="539">++IFERROR(AV85/AV59,"n/a")</f>
        <v>n/a</v>
      </c>
      <c r="AW86" s="225" t="str">
        <f t="shared" ref="AW86" si="540">++IFERROR(AW85/AW59,"n/a")</f>
        <v>n/a</v>
      </c>
      <c r="AX86" s="225" t="str">
        <f t="shared" ref="AX86" si="541">++IFERROR(AX85/AX59,"n/a")</f>
        <v>n/a</v>
      </c>
      <c r="AY86" s="225" t="str">
        <f t="shared" ref="AY86" si="542">++IFERROR(AY85/AY59,"n/a")</f>
        <v>n/a</v>
      </c>
      <c r="AZ86" s="225" t="str">
        <f t="shared" ref="AZ86" si="543">++IFERROR(AZ85/AZ59,"n/a")</f>
        <v>n/a</v>
      </c>
      <c r="BA86" s="225" t="str">
        <f t="shared" ref="BA86" si="544">++IFERROR(BA85/BA59,"n/a")</f>
        <v>n/a</v>
      </c>
      <c r="BB86" s="225" t="str">
        <f t="shared" ref="BB86" si="545">++IFERROR(BB85/BB59,"n/a")</f>
        <v>n/a</v>
      </c>
      <c r="BC86" s="225" t="str">
        <f t="shared" ref="BC86" si="546">++IFERROR(BC85/BC59,"n/a")</f>
        <v>n/a</v>
      </c>
      <c r="BD86" s="225" t="str">
        <f t="shared" ref="BD86" si="547">++IFERROR(BD85/BD59,"n/a")</f>
        <v>n/a</v>
      </c>
      <c r="BE86" s="225" t="str">
        <f t="shared" ref="BE86" si="548">++IFERROR(BE85/BE59,"n/a")</f>
        <v>n/a</v>
      </c>
      <c r="BF86" s="225" t="str">
        <f t="shared" ref="BF86" si="549">++IFERROR(BF85/BF59,"n/a")</f>
        <v>n/a</v>
      </c>
      <c r="BG86" s="214" t="str">
        <f t="shared" ref="BG86" si="550">++IFERROR(BG85/BG59,"n/a")</f>
        <v>n/a</v>
      </c>
      <c r="BH86" s="225" t="str">
        <f t="shared" ref="BH86" si="551">++IFERROR(BH85/BH59,"n/a")</f>
        <v>n/a</v>
      </c>
      <c r="BI86" s="225" t="str">
        <f t="shared" ref="BI86" si="552">++IFERROR(BI85/BI59,"n/a")</f>
        <v>n/a</v>
      </c>
      <c r="BJ86" s="225" t="str">
        <f t="shared" ref="BJ86" si="553">++IFERROR(BJ85/BJ59,"n/a")</f>
        <v>n/a</v>
      </c>
      <c r="BK86" s="225" t="str">
        <f t="shared" ref="BK86" si="554">++IFERROR(BK85/BK59,"n/a")</f>
        <v>n/a</v>
      </c>
      <c r="BL86" s="225" t="str">
        <f t="shared" ref="BL86" si="555">++IFERROR(BL85/BL59,"n/a")</f>
        <v>n/a</v>
      </c>
      <c r="BM86" s="225" t="str">
        <f t="shared" ref="BM86" si="556">++IFERROR(BM85/BM59,"n/a")</f>
        <v>n/a</v>
      </c>
      <c r="BN86" s="225" t="str">
        <f t="shared" ref="BN86" si="557">++IFERROR(BN85/BN59,"n/a")</f>
        <v>n/a</v>
      </c>
      <c r="BO86" s="225" t="str">
        <f t="shared" ref="BO86" si="558">++IFERROR(BO85/BO59,"n/a")</f>
        <v>n/a</v>
      </c>
      <c r="BP86" s="225" t="str">
        <f t="shared" ref="BP86" si="559">++IFERROR(BP85/BP59,"n/a")</f>
        <v>n/a</v>
      </c>
      <c r="BQ86" s="225" t="str">
        <f t="shared" ref="BQ86" si="560">++IFERROR(BQ85/BQ59,"n/a")</f>
        <v>n/a</v>
      </c>
      <c r="BR86" s="225" t="str">
        <f t="shared" ref="BR86" si="561">++IFERROR(BR85/BR59,"n/a")</f>
        <v>n/a</v>
      </c>
      <c r="BS86" s="214" t="str">
        <f t="shared" ref="BS86" si="562">++IFERROR(BS85/BS59,"n/a")</f>
        <v>n/a</v>
      </c>
      <c r="BT86" s="225" t="str">
        <f t="shared" ref="BT86" si="563">++IFERROR(BT85/BT59,"n/a")</f>
        <v>n/a</v>
      </c>
      <c r="BU86" s="225" t="str">
        <f t="shared" ref="BU86" si="564">++IFERROR(BU85/BU59,"n/a")</f>
        <v>n/a</v>
      </c>
      <c r="BV86" s="225" t="str">
        <f t="shared" ref="BV86" si="565">++IFERROR(BV85/BV59,"n/a")</f>
        <v>n/a</v>
      </c>
      <c r="BW86" s="225" t="str">
        <f t="shared" ref="BW86" si="566">++IFERROR(BW85/BW59,"n/a")</f>
        <v>n/a</v>
      </c>
      <c r="BX86" s="225" t="str">
        <f t="shared" ref="BX86" si="567">++IFERROR(BX85/BX59,"n/a")</f>
        <v>n/a</v>
      </c>
      <c r="BY86" s="225" t="str">
        <f t="shared" ref="BY86" si="568">++IFERROR(BY85/BY59,"n/a")</f>
        <v>n/a</v>
      </c>
      <c r="BZ86" s="225" t="str">
        <f t="shared" ref="BZ86" si="569">++IFERROR(BZ85/BZ59,"n/a")</f>
        <v>n/a</v>
      </c>
      <c r="CA86" s="225" t="str">
        <f t="shared" ref="CA86" si="570">++IFERROR(CA85/CA59,"n/a")</f>
        <v>n/a</v>
      </c>
      <c r="CB86" s="225" t="str">
        <f t="shared" ref="CB86" si="571">++IFERROR(CB85/CB59,"n/a")</f>
        <v>n/a</v>
      </c>
      <c r="CC86" s="225" t="str">
        <f t="shared" ref="CC86" si="572">++IFERROR(CC85/CC59,"n/a")</f>
        <v>n/a</v>
      </c>
      <c r="CD86" s="225" t="str">
        <f t="shared" ref="CD86" si="573">++IFERROR(CD85/CD59,"n/a")</f>
        <v>n/a</v>
      </c>
      <c r="CE86" s="214" t="str">
        <f t="shared" ref="CE86" si="574">++IFERROR(CE85/CE59,"n/a")</f>
        <v>n/a</v>
      </c>
      <c r="CF86" s="225" t="str">
        <f t="shared" ref="CF86" si="575">++IFERROR(CF85/CF59,"n/a")</f>
        <v>n/a</v>
      </c>
      <c r="CG86" s="225" t="str">
        <f t="shared" ref="CG86" si="576">++IFERROR(CG85/CG59,"n/a")</f>
        <v>n/a</v>
      </c>
      <c r="CH86" s="225" t="str">
        <f t="shared" ref="CH86" si="577">++IFERROR(CH85/CH59,"n/a")</f>
        <v>n/a</v>
      </c>
      <c r="CI86" s="225" t="str">
        <f t="shared" ref="CI86" si="578">++IFERROR(CI85/CI59,"n/a")</f>
        <v>n/a</v>
      </c>
      <c r="CJ86" s="225" t="str">
        <f t="shared" ref="CJ86" si="579">++IFERROR(CJ85/CJ59,"n/a")</f>
        <v>n/a</v>
      </c>
      <c r="CK86" s="225" t="str">
        <f t="shared" ref="CK86" si="580">++IFERROR(CK85/CK59,"n/a")</f>
        <v>n/a</v>
      </c>
      <c r="CL86" s="225" t="str">
        <f t="shared" ref="CL86" si="581">++IFERROR(CL85/CL59,"n/a")</f>
        <v>n/a</v>
      </c>
      <c r="CM86" s="225" t="str">
        <f t="shared" ref="CM86" si="582">++IFERROR(CM85/CM59,"n/a")</f>
        <v>n/a</v>
      </c>
      <c r="CN86" s="225" t="str">
        <f t="shared" ref="CN86" si="583">++IFERROR(CN85/CN59,"n/a")</f>
        <v>n/a</v>
      </c>
      <c r="CO86" s="225" t="str">
        <f t="shared" ref="CO86" si="584">++IFERROR(CO85/CO59,"n/a")</f>
        <v>n/a</v>
      </c>
      <c r="CP86" s="225" t="str">
        <f t="shared" ref="CP86" si="585">++IFERROR(CP85/CP59,"n/a")</f>
        <v>n/a</v>
      </c>
      <c r="CQ86" s="214" t="str">
        <f t="shared" ref="CQ86" si="586">++IFERROR(CQ85/CQ59,"n/a")</f>
        <v>n/a</v>
      </c>
      <c r="CR86" s="225" t="str">
        <f t="shared" ref="CR86" si="587">++IFERROR(CR85/CR59,"n/a")</f>
        <v>n/a</v>
      </c>
      <c r="CS86" s="225" t="str">
        <f t="shared" ref="CS86" si="588">++IFERROR(CS85/CS59,"n/a")</f>
        <v>n/a</v>
      </c>
      <c r="CT86" s="225" t="str">
        <f t="shared" ref="CT86" si="589">++IFERROR(CT85/CT59,"n/a")</f>
        <v>n/a</v>
      </c>
      <c r="CU86" s="225" t="str">
        <f t="shared" ref="CU86" si="590">++IFERROR(CU85/CU59,"n/a")</f>
        <v>n/a</v>
      </c>
      <c r="CV86" s="225" t="str">
        <f t="shared" ref="CV86" si="591">++IFERROR(CV85/CV59,"n/a")</f>
        <v>n/a</v>
      </c>
      <c r="CW86" s="225" t="str">
        <f t="shared" ref="CW86" si="592">++IFERROR(CW85/CW59,"n/a")</f>
        <v>n/a</v>
      </c>
      <c r="CX86" s="225" t="str">
        <f t="shared" ref="CX86" si="593">++IFERROR(CX85/CX59,"n/a")</f>
        <v>n/a</v>
      </c>
      <c r="CY86" s="225" t="str">
        <f t="shared" ref="CY86" si="594">++IFERROR(CY85/CY59,"n/a")</f>
        <v>n/a</v>
      </c>
      <c r="CZ86" s="225" t="str">
        <f t="shared" ref="CZ86" si="595">++IFERROR(CZ85/CZ59,"n/a")</f>
        <v>n/a</v>
      </c>
      <c r="DA86" s="225" t="str">
        <f t="shared" ref="DA86" si="596">++IFERROR(DA85/DA59,"n/a")</f>
        <v>n/a</v>
      </c>
      <c r="DB86" s="225" t="str">
        <f t="shared" ref="DB86" si="597">++IFERROR(DB85/DB59,"n/a")</f>
        <v>n/a</v>
      </c>
      <c r="DC86" s="214" t="str">
        <f t="shared" ref="DC86" si="598">++IFERROR(DC85/DC59,"n/a")</f>
        <v>n/a</v>
      </c>
    </row>
    <row r="87" spans="3:107" x14ac:dyDescent="0.3">
      <c r="C87" s="321" t="str">
        <f>++C$38</f>
        <v>% y/y</v>
      </c>
      <c r="G87" s="122" t="s">
        <v>47</v>
      </c>
      <c r="H87" s="122" t="s">
        <v>47</v>
      </c>
      <c r="I87" s="122" t="s">
        <v>47</v>
      </c>
      <c r="J87" s="122" t="s">
        <v>47</v>
      </c>
      <c r="K87" s="214" t="str">
        <f>++IFERROR(K85/G85-1,"n/a")</f>
        <v>n/a</v>
      </c>
      <c r="L87" s="122" t="s">
        <v>47</v>
      </c>
      <c r="M87" s="122" t="s">
        <v>47</v>
      </c>
      <c r="N87" s="225" t="str">
        <f>++IFERROR(N85/H85-1,"n/a")</f>
        <v>n/a</v>
      </c>
      <c r="O87" s="122" t="s">
        <v>47</v>
      </c>
      <c r="P87" s="122" t="s">
        <v>47</v>
      </c>
      <c r="Q87" s="225" t="str">
        <f>++IFERROR(Q85/I85-1,"n/a")</f>
        <v>n/a</v>
      </c>
      <c r="R87" s="122" t="s">
        <v>47</v>
      </c>
      <c r="S87" s="122" t="s">
        <v>47</v>
      </c>
      <c r="T87" s="225" t="str">
        <f>++IFERROR(T85/J85-1,"n/a")</f>
        <v>n/a</v>
      </c>
      <c r="U87" s="122" t="s">
        <v>47</v>
      </c>
      <c r="V87" s="122" t="s">
        <v>47</v>
      </c>
      <c r="W87" s="214" t="str">
        <f t="shared" ref="W87:BB87" si="599">++IFERROR(W85/K85-1,"n/a")</f>
        <v>n/a</v>
      </c>
      <c r="X87" s="225" t="str">
        <f t="shared" si="599"/>
        <v>n/a</v>
      </c>
      <c r="Y87" s="225" t="str">
        <f t="shared" si="599"/>
        <v>n/a</v>
      </c>
      <c r="Z87" s="225" t="str">
        <f t="shared" si="599"/>
        <v>n/a</v>
      </c>
      <c r="AA87" s="225" t="str">
        <f t="shared" si="599"/>
        <v>n/a</v>
      </c>
      <c r="AB87" s="225" t="str">
        <f t="shared" si="599"/>
        <v>n/a</v>
      </c>
      <c r="AC87" s="225" t="str">
        <f t="shared" si="599"/>
        <v>n/a</v>
      </c>
      <c r="AD87" s="225" t="str">
        <f t="shared" si="599"/>
        <v>n/a</v>
      </c>
      <c r="AE87" s="225" t="str">
        <f t="shared" si="599"/>
        <v>n/a</v>
      </c>
      <c r="AF87" s="225" t="str">
        <f t="shared" si="599"/>
        <v>n/a</v>
      </c>
      <c r="AG87" s="225" t="str">
        <f t="shared" si="599"/>
        <v>n/a</v>
      </c>
      <c r="AH87" s="225" t="str">
        <f t="shared" si="599"/>
        <v>n/a</v>
      </c>
      <c r="AI87" s="214" t="str">
        <f t="shared" si="599"/>
        <v>n/a</v>
      </c>
      <c r="AJ87" s="225" t="str">
        <f t="shared" si="599"/>
        <v>n/a</v>
      </c>
      <c r="AK87" s="225" t="str">
        <f t="shared" si="599"/>
        <v>n/a</v>
      </c>
      <c r="AL87" s="225" t="str">
        <f t="shared" si="599"/>
        <v>n/a</v>
      </c>
      <c r="AM87" s="225" t="str">
        <f t="shared" si="599"/>
        <v>n/a</v>
      </c>
      <c r="AN87" s="225" t="str">
        <f t="shared" si="599"/>
        <v>n/a</v>
      </c>
      <c r="AO87" s="225" t="str">
        <f t="shared" si="599"/>
        <v>n/a</v>
      </c>
      <c r="AP87" s="225" t="str">
        <f t="shared" si="599"/>
        <v>n/a</v>
      </c>
      <c r="AQ87" s="225" t="str">
        <f t="shared" si="599"/>
        <v>n/a</v>
      </c>
      <c r="AR87" s="225" t="str">
        <f t="shared" si="599"/>
        <v>n/a</v>
      </c>
      <c r="AS87" s="225" t="str">
        <f t="shared" si="599"/>
        <v>n/a</v>
      </c>
      <c r="AT87" s="225" t="str">
        <f t="shared" si="599"/>
        <v>n/a</v>
      </c>
      <c r="AU87" s="214" t="str">
        <f t="shared" si="599"/>
        <v>n/a</v>
      </c>
      <c r="AV87" s="225" t="str">
        <f t="shared" si="599"/>
        <v>n/a</v>
      </c>
      <c r="AW87" s="225" t="str">
        <f t="shared" si="599"/>
        <v>n/a</v>
      </c>
      <c r="AX87" s="225" t="str">
        <f t="shared" si="599"/>
        <v>n/a</v>
      </c>
      <c r="AY87" s="225" t="str">
        <f t="shared" si="599"/>
        <v>n/a</v>
      </c>
      <c r="AZ87" s="225" t="str">
        <f t="shared" si="599"/>
        <v>n/a</v>
      </c>
      <c r="BA87" s="225" t="str">
        <f t="shared" si="599"/>
        <v>n/a</v>
      </c>
      <c r="BB87" s="225" t="str">
        <f t="shared" si="599"/>
        <v>n/a</v>
      </c>
      <c r="BC87" s="225" t="str">
        <f t="shared" ref="BC87:CH87" si="600">++IFERROR(BC85/AQ85-1,"n/a")</f>
        <v>n/a</v>
      </c>
      <c r="BD87" s="225" t="str">
        <f t="shared" si="600"/>
        <v>n/a</v>
      </c>
      <c r="BE87" s="225" t="str">
        <f t="shared" si="600"/>
        <v>n/a</v>
      </c>
      <c r="BF87" s="225" t="str">
        <f t="shared" si="600"/>
        <v>n/a</v>
      </c>
      <c r="BG87" s="214" t="str">
        <f t="shared" si="600"/>
        <v>n/a</v>
      </c>
      <c r="BH87" s="225" t="str">
        <f t="shared" si="600"/>
        <v>n/a</v>
      </c>
      <c r="BI87" s="225" t="str">
        <f t="shared" si="600"/>
        <v>n/a</v>
      </c>
      <c r="BJ87" s="225" t="str">
        <f t="shared" si="600"/>
        <v>n/a</v>
      </c>
      <c r="BK87" s="225" t="str">
        <f t="shared" si="600"/>
        <v>n/a</v>
      </c>
      <c r="BL87" s="225" t="str">
        <f t="shared" si="600"/>
        <v>n/a</v>
      </c>
      <c r="BM87" s="225" t="str">
        <f t="shared" si="600"/>
        <v>n/a</v>
      </c>
      <c r="BN87" s="225" t="str">
        <f t="shared" si="600"/>
        <v>n/a</v>
      </c>
      <c r="BO87" s="225" t="str">
        <f t="shared" si="600"/>
        <v>n/a</v>
      </c>
      <c r="BP87" s="225" t="str">
        <f t="shared" si="600"/>
        <v>n/a</v>
      </c>
      <c r="BQ87" s="225" t="str">
        <f t="shared" si="600"/>
        <v>n/a</v>
      </c>
      <c r="BR87" s="225" t="str">
        <f t="shared" si="600"/>
        <v>n/a</v>
      </c>
      <c r="BS87" s="214" t="str">
        <f t="shared" si="600"/>
        <v>n/a</v>
      </c>
      <c r="BT87" s="225" t="str">
        <f t="shared" si="600"/>
        <v>n/a</v>
      </c>
      <c r="BU87" s="225" t="str">
        <f t="shared" si="600"/>
        <v>n/a</v>
      </c>
      <c r="BV87" s="225" t="str">
        <f t="shared" si="600"/>
        <v>n/a</v>
      </c>
      <c r="BW87" s="225" t="str">
        <f t="shared" si="600"/>
        <v>n/a</v>
      </c>
      <c r="BX87" s="225" t="str">
        <f t="shared" si="600"/>
        <v>n/a</v>
      </c>
      <c r="BY87" s="225" t="str">
        <f t="shared" si="600"/>
        <v>n/a</v>
      </c>
      <c r="BZ87" s="225" t="str">
        <f t="shared" si="600"/>
        <v>n/a</v>
      </c>
      <c r="CA87" s="225" t="str">
        <f t="shared" si="600"/>
        <v>n/a</v>
      </c>
      <c r="CB87" s="225" t="str">
        <f t="shared" si="600"/>
        <v>n/a</v>
      </c>
      <c r="CC87" s="225" t="str">
        <f t="shared" si="600"/>
        <v>n/a</v>
      </c>
      <c r="CD87" s="225" t="str">
        <f t="shared" si="600"/>
        <v>n/a</v>
      </c>
      <c r="CE87" s="214" t="str">
        <f t="shared" si="600"/>
        <v>n/a</v>
      </c>
      <c r="CF87" s="225" t="str">
        <f t="shared" si="600"/>
        <v>n/a</v>
      </c>
      <c r="CG87" s="225" t="str">
        <f t="shared" si="600"/>
        <v>n/a</v>
      </c>
      <c r="CH87" s="225" t="str">
        <f t="shared" si="600"/>
        <v>n/a</v>
      </c>
      <c r="CI87" s="225" t="str">
        <f t="shared" ref="CI87:DN87" si="601">++IFERROR(CI85/BW85-1,"n/a")</f>
        <v>n/a</v>
      </c>
      <c r="CJ87" s="225" t="str">
        <f t="shared" si="601"/>
        <v>n/a</v>
      </c>
      <c r="CK87" s="225" t="str">
        <f t="shared" si="601"/>
        <v>n/a</v>
      </c>
      <c r="CL87" s="225" t="str">
        <f t="shared" si="601"/>
        <v>n/a</v>
      </c>
      <c r="CM87" s="225" t="str">
        <f t="shared" si="601"/>
        <v>n/a</v>
      </c>
      <c r="CN87" s="225" t="str">
        <f t="shared" si="601"/>
        <v>n/a</v>
      </c>
      <c r="CO87" s="225" t="str">
        <f t="shared" si="601"/>
        <v>n/a</v>
      </c>
      <c r="CP87" s="225" t="str">
        <f t="shared" si="601"/>
        <v>n/a</v>
      </c>
      <c r="CQ87" s="214" t="str">
        <f t="shared" si="601"/>
        <v>n/a</v>
      </c>
      <c r="CR87" s="225" t="str">
        <f t="shared" si="601"/>
        <v>n/a</v>
      </c>
      <c r="CS87" s="225" t="str">
        <f t="shared" si="601"/>
        <v>n/a</v>
      </c>
      <c r="CT87" s="225" t="str">
        <f t="shared" si="601"/>
        <v>n/a</v>
      </c>
      <c r="CU87" s="225" t="str">
        <f t="shared" si="601"/>
        <v>n/a</v>
      </c>
      <c r="CV87" s="225" t="str">
        <f t="shared" si="601"/>
        <v>n/a</v>
      </c>
      <c r="CW87" s="225" t="str">
        <f t="shared" si="601"/>
        <v>n/a</v>
      </c>
      <c r="CX87" s="225" t="str">
        <f t="shared" si="601"/>
        <v>n/a</v>
      </c>
      <c r="CY87" s="225" t="str">
        <f t="shared" si="601"/>
        <v>n/a</v>
      </c>
      <c r="CZ87" s="225" t="str">
        <f t="shared" si="601"/>
        <v>n/a</v>
      </c>
      <c r="DA87" s="225" t="str">
        <f t="shared" si="601"/>
        <v>n/a</v>
      </c>
      <c r="DB87" s="225" t="str">
        <f t="shared" si="601"/>
        <v>n/a</v>
      </c>
      <c r="DC87" s="214" t="str">
        <f t="shared" si="601"/>
        <v>n/a</v>
      </c>
    </row>
    <row r="88" spans="3:107" x14ac:dyDescent="0.3">
      <c r="G88" s="203"/>
      <c r="K88" s="203"/>
      <c r="W88" s="203"/>
      <c r="AI88" s="203"/>
      <c r="AU88" s="203"/>
      <c r="BG88" s="203"/>
      <c r="BS88" s="203"/>
      <c r="CE88" s="203"/>
      <c r="CQ88" s="203"/>
      <c r="DC88" s="203"/>
    </row>
    <row r="89" spans="3:107" x14ac:dyDescent="0.3">
      <c r="C89" s="101" t="str">
        <f>++C$40</f>
        <v>Interest Expense (Income)</v>
      </c>
      <c r="G89" s="374">
        <f>++G76</f>
        <v>0</v>
      </c>
      <c r="H89" s="200">
        <f t="shared" ref="H89:BS89" si="602">++H76</f>
        <v>0</v>
      </c>
      <c r="I89" s="200">
        <f t="shared" si="602"/>
        <v>0</v>
      </c>
      <c r="J89" s="200">
        <f t="shared" si="602"/>
        <v>0</v>
      </c>
      <c r="K89" s="374">
        <f t="shared" si="602"/>
        <v>0</v>
      </c>
      <c r="L89" s="200">
        <f t="shared" si="602"/>
        <v>0</v>
      </c>
      <c r="M89" s="200">
        <f t="shared" si="602"/>
        <v>0</v>
      </c>
      <c r="N89" s="200">
        <f t="shared" si="602"/>
        <v>0</v>
      </c>
      <c r="O89" s="200">
        <f t="shared" si="602"/>
        <v>0</v>
      </c>
      <c r="P89" s="200">
        <f t="shared" si="602"/>
        <v>0</v>
      </c>
      <c r="Q89" s="200">
        <f t="shared" si="602"/>
        <v>0</v>
      </c>
      <c r="R89" s="200">
        <f t="shared" si="602"/>
        <v>0</v>
      </c>
      <c r="S89" s="200">
        <f t="shared" si="602"/>
        <v>0</v>
      </c>
      <c r="T89" s="200">
        <f t="shared" si="602"/>
        <v>0</v>
      </c>
      <c r="U89" s="200">
        <f t="shared" si="602"/>
        <v>0</v>
      </c>
      <c r="V89" s="200">
        <f t="shared" si="602"/>
        <v>0</v>
      </c>
      <c r="W89" s="374">
        <f t="shared" si="602"/>
        <v>0</v>
      </c>
      <c r="X89" s="200">
        <f t="shared" si="602"/>
        <v>0</v>
      </c>
      <c r="Y89" s="200">
        <f t="shared" si="602"/>
        <v>0</v>
      </c>
      <c r="Z89" s="200">
        <f t="shared" si="602"/>
        <v>0</v>
      </c>
      <c r="AA89" s="200">
        <f t="shared" si="602"/>
        <v>0</v>
      </c>
      <c r="AB89" s="200">
        <f t="shared" si="602"/>
        <v>0</v>
      </c>
      <c r="AC89" s="200">
        <f t="shared" si="602"/>
        <v>0</v>
      </c>
      <c r="AD89" s="200">
        <f t="shared" si="602"/>
        <v>0</v>
      </c>
      <c r="AE89" s="200">
        <f t="shared" si="602"/>
        <v>0</v>
      </c>
      <c r="AF89" s="200">
        <f t="shared" si="602"/>
        <v>0</v>
      </c>
      <c r="AG89" s="200">
        <f t="shared" si="602"/>
        <v>0</v>
      </c>
      <c r="AH89" s="200">
        <f t="shared" si="602"/>
        <v>0</v>
      </c>
      <c r="AI89" s="374">
        <f t="shared" si="602"/>
        <v>0</v>
      </c>
      <c r="AJ89" s="200">
        <f t="shared" si="602"/>
        <v>0</v>
      </c>
      <c r="AK89" s="200">
        <f t="shared" si="602"/>
        <v>0</v>
      </c>
      <c r="AL89" s="200">
        <f t="shared" si="602"/>
        <v>0</v>
      </c>
      <c r="AM89" s="200">
        <f t="shared" si="602"/>
        <v>0</v>
      </c>
      <c r="AN89" s="200">
        <f t="shared" si="602"/>
        <v>0</v>
      </c>
      <c r="AO89" s="200">
        <f t="shared" si="602"/>
        <v>0</v>
      </c>
      <c r="AP89" s="200">
        <f t="shared" si="602"/>
        <v>0</v>
      </c>
      <c r="AQ89" s="200">
        <f t="shared" si="602"/>
        <v>0</v>
      </c>
      <c r="AR89" s="200">
        <f t="shared" si="602"/>
        <v>0</v>
      </c>
      <c r="AS89" s="200">
        <f t="shared" si="602"/>
        <v>0</v>
      </c>
      <c r="AT89" s="200">
        <f t="shared" si="602"/>
        <v>0</v>
      </c>
      <c r="AU89" s="374">
        <f t="shared" si="602"/>
        <v>0</v>
      </c>
      <c r="AV89" s="200">
        <f t="shared" si="602"/>
        <v>0</v>
      </c>
      <c r="AW89" s="200">
        <f t="shared" si="602"/>
        <v>0</v>
      </c>
      <c r="AX89" s="200">
        <f t="shared" si="602"/>
        <v>0</v>
      </c>
      <c r="AY89" s="200">
        <f t="shared" si="602"/>
        <v>0</v>
      </c>
      <c r="AZ89" s="200">
        <f t="shared" si="602"/>
        <v>0</v>
      </c>
      <c r="BA89" s="200">
        <f t="shared" si="602"/>
        <v>0</v>
      </c>
      <c r="BB89" s="200">
        <f t="shared" si="602"/>
        <v>0</v>
      </c>
      <c r="BC89" s="200">
        <f t="shared" si="602"/>
        <v>0</v>
      </c>
      <c r="BD89" s="200">
        <f t="shared" si="602"/>
        <v>0</v>
      </c>
      <c r="BE89" s="200">
        <f t="shared" si="602"/>
        <v>0</v>
      </c>
      <c r="BF89" s="200">
        <f t="shared" si="602"/>
        <v>0</v>
      </c>
      <c r="BG89" s="374">
        <f t="shared" si="602"/>
        <v>0</v>
      </c>
      <c r="BH89" s="200">
        <f t="shared" si="602"/>
        <v>0</v>
      </c>
      <c r="BI89" s="200">
        <f t="shared" si="602"/>
        <v>0</v>
      </c>
      <c r="BJ89" s="200">
        <f t="shared" si="602"/>
        <v>0</v>
      </c>
      <c r="BK89" s="200">
        <f t="shared" si="602"/>
        <v>0</v>
      </c>
      <c r="BL89" s="200">
        <f t="shared" si="602"/>
        <v>0</v>
      </c>
      <c r="BM89" s="200">
        <f t="shared" si="602"/>
        <v>0</v>
      </c>
      <c r="BN89" s="200">
        <f t="shared" si="602"/>
        <v>0</v>
      </c>
      <c r="BO89" s="200">
        <f t="shared" si="602"/>
        <v>0</v>
      </c>
      <c r="BP89" s="200">
        <f t="shared" si="602"/>
        <v>0</v>
      </c>
      <c r="BQ89" s="200">
        <f t="shared" si="602"/>
        <v>0</v>
      </c>
      <c r="BR89" s="200">
        <f t="shared" si="602"/>
        <v>0</v>
      </c>
      <c r="BS89" s="374">
        <f t="shared" si="602"/>
        <v>0</v>
      </c>
      <c r="BT89" s="200">
        <f t="shared" ref="BT89:DC89" si="603">++BT76</f>
        <v>0</v>
      </c>
      <c r="BU89" s="200">
        <f t="shared" si="603"/>
        <v>0</v>
      </c>
      <c r="BV89" s="200">
        <f t="shared" si="603"/>
        <v>0</v>
      </c>
      <c r="BW89" s="200">
        <f t="shared" si="603"/>
        <v>0</v>
      </c>
      <c r="BX89" s="200">
        <f t="shared" si="603"/>
        <v>0</v>
      </c>
      <c r="BY89" s="200">
        <f t="shared" si="603"/>
        <v>0</v>
      </c>
      <c r="BZ89" s="200">
        <f t="shared" si="603"/>
        <v>0</v>
      </c>
      <c r="CA89" s="200">
        <f t="shared" si="603"/>
        <v>0</v>
      </c>
      <c r="CB89" s="200">
        <f t="shared" si="603"/>
        <v>0</v>
      </c>
      <c r="CC89" s="200">
        <f t="shared" si="603"/>
        <v>0</v>
      </c>
      <c r="CD89" s="200">
        <f t="shared" si="603"/>
        <v>0</v>
      </c>
      <c r="CE89" s="374">
        <f t="shared" si="603"/>
        <v>0</v>
      </c>
      <c r="CF89" s="200">
        <f t="shared" si="603"/>
        <v>0</v>
      </c>
      <c r="CG89" s="200">
        <f t="shared" si="603"/>
        <v>0</v>
      </c>
      <c r="CH89" s="200">
        <f t="shared" si="603"/>
        <v>0</v>
      </c>
      <c r="CI89" s="200">
        <f t="shared" si="603"/>
        <v>0</v>
      </c>
      <c r="CJ89" s="200">
        <f t="shared" si="603"/>
        <v>0</v>
      </c>
      <c r="CK89" s="200">
        <f t="shared" si="603"/>
        <v>0</v>
      </c>
      <c r="CL89" s="200">
        <f t="shared" si="603"/>
        <v>0</v>
      </c>
      <c r="CM89" s="200">
        <f t="shared" si="603"/>
        <v>0</v>
      </c>
      <c r="CN89" s="200">
        <f t="shared" si="603"/>
        <v>0</v>
      </c>
      <c r="CO89" s="200">
        <f t="shared" si="603"/>
        <v>0</v>
      </c>
      <c r="CP89" s="200">
        <f t="shared" si="603"/>
        <v>0</v>
      </c>
      <c r="CQ89" s="374">
        <f t="shared" si="603"/>
        <v>0</v>
      </c>
      <c r="CR89" s="200">
        <f t="shared" si="603"/>
        <v>0</v>
      </c>
      <c r="CS89" s="200">
        <f t="shared" si="603"/>
        <v>0</v>
      </c>
      <c r="CT89" s="200">
        <f t="shared" si="603"/>
        <v>0</v>
      </c>
      <c r="CU89" s="200">
        <f t="shared" si="603"/>
        <v>0</v>
      </c>
      <c r="CV89" s="200">
        <f t="shared" si="603"/>
        <v>0</v>
      </c>
      <c r="CW89" s="200">
        <f t="shared" si="603"/>
        <v>0</v>
      </c>
      <c r="CX89" s="200">
        <f t="shared" si="603"/>
        <v>0</v>
      </c>
      <c r="CY89" s="200">
        <f t="shared" si="603"/>
        <v>0</v>
      </c>
      <c r="CZ89" s="200">
        <f t="shared" si="603"/>
        <v>0</v>
      </c>
      <c r="DA89" s="200">
        <f t="shared" si="603"/>
        <v>0</v>
      </c>
      <c r="DB89" s="200">
        <f t="shared" si="603"/>
        <v>0</v>
      </c>
      <c r="DC89" s="374">
        <f t="shared" si="603"/>
        <v>0</v>
      </c>
    </row>
    <row r="90" spans="3:107" x14ac:dyDescent="0.3">
      <c r="C90" s="101" t="str">
        <f>++C$41</f>
        <v>Tax Expense (Benefit)</v>
      </c>
      <c r="G90" s="374">
        <f>++G82</f>
        <v>0</v>
      </c>
      <c r="H90" s="200">
        <f t="shared" ref="H90:BS90" si="604">++H82</f>
        <v>0</v>
      </c>
      <c r="I90" s="200">
        <f t="shared" si="604"/>
        <v>0</v>
      </c>
      <c r="J90" s="200">
        <f t="shared" si="604"/>
        <v>0</v>
      </c>
      <c r="K90" s="374">
        <f t="shared" si="604"/>
        <v>0</v>
      </c>
      <c r="L90" s="200">
        <f t="shared" si="604"/>
        <v>0</v>
      </c>
      <c r="M90" s="200">
        <f t="shared" si="604"/>
        <v>0</v>
      </c>
      <c r="N90" s="200">
        <f t="shared" si="604"/>
        <v>0</v>
      </c>
      <c r="O90" s="200">
        <f t="shared" si="604"/>
        <v>0</v>
      </c>
      <c r="P90" s="200">
        <f t="shared" si="604"/>
        <v>0</v>
      </c>
      <c r="Q90" s="200">
        <f t="shared" si="604"/>
        <v>0</v>
      </c>
      <c r="R90" s="200">
        <f t="shared" si="604"/>
        <v>0</v>
      </c>
      <c r="S90" s="200">
        <f t="shared" si="604"/>
        <v>0</v>
      </c>
      <c r="T90" s="200">
        <f t="shared" si="604"/>
        <v>0</v>
      </c>
      <c r="U90" s="200">
        <f t="shared" si="604"/>
        <v>0</v>
      </c>
      <c r="V90" s="200">
        <f t="shared" si="604"/>
        <v>0</v>
      </c>
      <c r="W90" s="374">
        <f t="shared" si="604"/>
        <v>0</v>
      </c>
      <c r="X90" s="200">
        <f t="shared" si="604"/>
        <v>0</v>
      </c>
      <c r="Y90" s="200">
        <f t="shared" si="604"/>
        <v>0</v>
      </c>
      <c r="Z90" s="200">
        <f t="shared" si="604"/>
        <v>0</v>
      </c>
      <c r="AA90" s="200">
        <f t="shared" si="604"/>
        <v>0</v>
      </c>
      <c r="AB90" s="200">
        <f t="shared" si="604"/>
        <v>0</v>
      </c>
      <c r="AC90" s="200">
        <f t="shared" si="604"/>
        <v>0</v>
      </c>
      <c r="AD90" s="200">
        <f t="shared" si="604"/>
        <v>0</v>
      </c>
      <c r="AE90" s="200">
        <f t="shared" si="604"/>
        <v>0</v>
      </c>
      <c r="AF90" s="200">
        <f t="shared" si="604"/>
        <v>0</v>
      </c>
      <c r="AG90" s="200">
        <f t="shared" si="604"/>
        <v>0</v>
      </c>
      <c r="AH90" s="200">
        <f t="shared" si="604"/>
        <v>0</v>
      </c>
      <c r="AI90" s="374">
        <f t="shared" si="604"/>
        <v>0</v>
      </c>
      <c r="AJ90" s="200">
        <f t="shared" si="604"/>
        <v>0</v>
      </c>
      <c r="AK90" s="200">
        <f t="shared" si="604"/>
        <v>0</v>
      </c>
      <c r="AL90" s="200">
        <f t="shared" si="604"/>
        <v>0</v>
      </c>
      <c r="AM90" s="200">
        <f t="shared" si="604"/>
        <v>0</v>
      </c>
      <c r="AN90" s="200">
        <f t="shared" si="604"/>
        <v>0</v>
      </c>
      <c r="AO90" s="200">
        <f t="shared" si="604"/>
        <v>0</v>
      </c>
      <c r="AP90" s="200">
        <f t="shared" si="604"/>
        <v>0</v>
      </c>
      <c r="AQ90" s="200">
        <f t="shared" si="604"/>
        <v>0</v>
      </c>
      <c r="AR90" s="200">
        <f t="shared" si="604"/>
        <v>0</v>
      </c>
      <c r="AS90" s="200">
        <f t="shared" si="604"/>
        <v>0</v>
      </c>
      <c r="AT90" s="200">
        <f t="shared" si="604"/>
        <v>0</v>
      </c>
      <c r="AU90" s="374">
        <f t="shared" si="604"/>
        <v>0</v>
      </c>
      <c r="AV90" s="200">
        <f t="shared" si="604"/>
        <v>0</v>
      </c>
      <c r="AW90" s="200">
        <f t="shared" si="604"/>
        <v>0</v>
      </c>
      <c r="AX90" s="200">
        <f t="shared" si="604"/>
        <v>0</v>
      </c>
      <c r="AY90" s="200">
        <f t="shared" si="604"/>
        <v>0</v>
      </c>
      <c r="AZ90" s="200">
        <f t="shared" si="604"/>
        <v>0</v>
      </c>
      <c r="BA90" s="200">
        <f t="shared" si="604"/>
        <v>0</v>
      </c>
      <c r="BB90" s="200">
        <f t="shared" si="604"/>
        <v>0</v>
      </c>
      <c r="BC90" s="200">
        <f t="shared" si="604"/>
        <v>0</v>
      </c>
      <c r="BD90" s="200">
        <f t="shared" si="604"/>
        <v>0</v>
      </c>
      <c r="BE90" s="200">
        <f t="shared" si="604"/>
        <v>0</v>
      </c>
      <c r="BF90" s="200">
        <f t="shared" si="604"/>
        <v>0</v>
      </c>
      <c r="BG90" s="374">
        <f t="shared" si="604"/>
        <v>0</v>
      </c>
      <c r="BH90" s="200">
        <f t="shared" si="604"/>
        <v>0</v>
      </c>
      <c r="BI90" s="200">
        <f t="shared" si="604"/>
        <v>0</v>
      </c>
      <c r="BJ90" s="200">
        <f t="shared" si="604"/>
        <v>0</v>
      </c>
      <c r="BK90" s="200">
        <f t="shared" si="604"/>
        <v>0</v>
      </c>
      <c r="BL90" s="200">
        <f t="shared" si="604"/>
        <v>0</v>
      </c>
      <c r="BM90" s="200">
        <f t="shared" si="604"/>
        <v>0</v>
      </c>
      <c r="BN90" s="200">
        <f t="shared" si="604"/>
        <v>0</v>
      </c>
      <c r="BO90" s="200">
        <f t="shared" si="604"/>
        <v>0</v>
      </c>
      <c r="BP90" s="200">
        <f t="shared" si="604"/>
        <v>0</v>
      </c>
      <c r="BQ90" s="200">
        <f t="shared" si="604"/>
        <v>0</v>
      </c>
      <c r="BR90" s="200">
        <f t="shared" si="604"/>
        <v>0</v>
      </c>
      <c r="BS90" s="374">
        <f t="shared" si="604"/>
        <v>0</v>
      </c>
      <c r="BT90" s="200">
        <f t="shared" ref="BT90:DC90" si="605">++BT82</f>
        <v>0</v>
      </c>
      <c r="BU90" s="200">
        <f t="shared" si="605"/>
        <v>0</v>
      </c>
      <c r="BV90" s="200">
        <f t="shared" si="605"/>
        <v>0</v>
      </c>
      <c r="BW90" s="200">
        <f t="shared" si="605"/>
        <v>0</v>
      </c>
      <c r="BX90" s="200">
        <f t="shared" si="605"/>
        <v>0</v>
      </c>
      <c r="BY90" s="200">
        <f t="shared" si="605"/>
        <v>0</v>
      </c>
      <c r="BZ90" s="200">
        <f t="shared" si="605"/>
        <v>0</v>
      </c>
      <c r="CA90" s="200">
        <f t="shared" si="605"/>
        <v>0</v>
      </c>
      <c r="CB90" s="200">
        <f t="shared" si="605"/>
        <v>0</v>
      </c>
      <c r="CC90" s="200">
        <f t="shared" si="605"/>
        <v>0</v>
      </c>
      <c r="CD90" s="200">
        <f t="shared" si="605"/>
        <v>0</v>
      </c>
      <c r="CE90" s="374">
        <f t="shared" si="605"/>
        <v>0</v>
      </c>
      <c r="CF90" s="200">
        <f t="shared" si="605"/>
        <v>0</v>
      </c>
      <c r="CG90" s="200">
        <f t="shared" si="605"/>
        <v>0</v>
      </c>
      <c r="CH90" s="200">
        <f t="shared" si="605"/>
        <v>0</v>
      </c>
      <c r="CI90" s="200">
        <f t="shared" si="605"/>
        <v>0</v>
      </c>
      <c r="CJ90" s="200">
        <f t="shared" si="605"/>
        <v>0</v>
      </c>
      <c r="CK90" s="200">
        <f t="shared" si="605"/>
        <v>0</v>
      </c>
      <c r="CL90" s="200">
        <f t="shared" si="605"/>
        <v>0</v>
      </c>
      <c r="CM90" s="200">
        <f t="shared" si="605"/>
        <v>0</v>
      </c>
      <c r="CN90" s="200">
        <f t="shared" si="605"/>
        <v>0</v>
      </c>
      <c r="CO90" s="200">
        <f t="shared" si="605"/>
        <v>0</v>
      </c>
      <c r="CP90" s="200">
        <f t="shared" si="605"/>
        <v>0</v>
      </c>
      <c r="CQ90" s="374">
        <f t="shared" si="605"/>
        <v>0</v>
      </c>
      <c r="CR90" s="200">
        <f t="shared" si="605"/>
        <v>0</v>
      </c>
      <c r="CS90" s="200">
        <f t="shared" si="605"/>
        <v>0</v>
      </c>
      <c r="CT90" s="200">
        <f t="shared" si="605"/>
        <v>0</v>
      </c>
      <c r="CU90" s="200">
        <f t="shared" si="605"/>
        <v>0</v>
      </c>
      <c r="CV90" s="200">
        <f t="shared" si="605"/>
        <v>0</v>
      </c>
      <c r="CW90" s="200">
        <f t="shared" si="605"/>
        <v>0</v>
      </c>
      <c r="CX90" s="200">
        <f t="shared" si="605"/>
        <v>0</v>
      </c>
      <c r="CY90" s="200">
        <f t="shared" si="605"/>
        <v>0</v>
      </c>
      <c r="CZ90" s="200">
        <f t="shared" si="605"/>
        <v>0</v>
      </c>
      <c r="DA90" s="200">
        <f t="shared" si="605"/>
        <v>0</v>
      </c>
      <c r="DB90" s="200">
        <f t="shared" si="605"/>
        <v>0</v>
      </c>
      <c r="DC90" s="374">
        <f t="shared" si="605"/>
        <v>0</v>
      </c>
    </row>
    <row r="91" spans="3:107" x14ac:dyDescent="0.3">
      <c r="C91" s="101" t="str">
        <f>++C$42</f>
        <v>Depreciation</v>
      </c>
      <c r="G91" s="374">
        <f>++G69</f>
        <v>0</v>
      </c>
      <c r="H91" s="200">
        <f t="shared" ref="H91:BS91" si="606">++H69</f>
        <v>0</v>
      </c>
      <c r="I91" s="200">
        <f t="shared" si="606"/>
        <v>0</v>
      </c>
      <c r="J91" s="200">
        <f t="shared" si="606"/>
        <v>0</v>
      </c>
      <c r="K91" s="374">
        <f t="shared" si="606"/>
        <v>0</v>
      </c>
      <c r="L91" s="200">
        <f t="shared" si="606"/>
        <v>0</v>
      </c>
      <c r="M91" s="200">
        <f t="shared" si="606"/>
        <v>0</v>
      </c>
      <c r="N91" s="200">
        <f t="shared" si="606"/>
        <v>0</v>
      </c>
      <c r="O91" s="200">
        <f t="shared" si="606"/>
        <v>0</v>
      </c>
      <c r="P91" s="200">
        <f t="shared" si="606"/>
        <v>0</v>
      </c>
      <c r="Q91" s="200">
        <f t="shared" si="606"/>
        <v>0</v>
      </c>
      <c r="R91" s="200">
        <f t="shared" si="606"/>
        <v>0</v>
      </c>
      <c r="S91" s="200">
        <f t="shared" si="606"/>
        <v>0</v>
      </c>
      <c r="T91" s="200">
        <f t="shared" si="606"/>
        <v>0</v>
      </c>
      <c r="U91" s="200">
        <f t="shared" si="606"/>
        <v>0</v>
      </c>
      <c r="V91" s="200">
        <f t="shared" si="606"/>
        <v>0</v>
      </c>
      <c r="W91" s="374">
        <f t="shared" si="606"/>
        <v>0</v>
      </c>
      <c r="X91" s="200">
        <f t="shared" si="606"/>
        <v>0</v>
      </c>
      <c r="Y91" s="200">
        <f t="shared" si="606"/>
        <v>0</v>
      </c>
      <c r="Z91" s="200">
        <f t="shared" si="606"/>
        <v>0</v>
      </c>
      <c r="AA91" s="200">
        <f t="shared" si="606"/>
        <v>0</v>
      </c>
      <c r="AB91" s="200">
        <f t="shared" si="606"/>
        <v>0</v>
      </c>
      <c r="AC91" s="200">
        <f t="shared" si="606"/>
        <v>0</v>
      </c>
      <c r="AD91" s="200">
        <f t="shared" si="606"/>
        <v>0</v>
      </c>
      <c r="AE91" s="200">
        <f t="shared" si="606"/>
        <v>0</v>
      </c>
      <c r="AF91" s="200">
        <f t="shared" si="606"/>
        <v>0</v>
      </c>
      <c r="AG91" s="200">
        <f t="shared" si="606"/>
        <v>0</v>
      </c>
      <c r="AH91" s="200">
        <f t="shared" si="606"/>
        <v>0</v>
      </c>
      <c r="AI91" s="374">
        <f t="shared" si="606"/>
        <v>0</v>
      </c>
      <c r="AJ91" s="200">
        <f t="shared" si="606"/>
        <v>0</v>
      </c>
      <c r="AK91" s="200">
        <f t="shared" si="606"/>
        <v>0</v>
      </c>
      <c r="AL91" s="200">
        <f t="shared" si="606"/>
        <v>0</v>
      </c>
      <c r="AM91" s="200">
        <f t="shared" si="606"/>
        <v>0</v>
      </c>
      <c r="AN91" s="200">
        <f t="shared" si="606"/>
        <v>0</v>
      </c>
      <c r="AO91" s="200">
        <f t="shared" si="606"/>
        <v>0</v>
      </c>
      <c r="AP91" s="200">
        <f t="shared" si="606"/>
        <v>0</v>
      </c>
      <c r="AQ91" s="200">
        <f t="shared" si="606"/>
        <v>0</v>
      </c>
      <c r="AR91" s="200">
        <f t="shared" si="606"/>
        <v>0</v>
      </c>
      <c r="AS91" s="200">
        <f t="shared" si="606"/>
        <v>0</v>
      </c>
      <c r="AT91" s="200">
        <f t="shared" si="606"/>
        <v>0</v>
      </c>
      <c r="AU91" s="374">
        <f t="shared" si="606"/>
        <v>0</v>
      </c>
      <c r="AV91" s="200">
        <f t="shared" si="606"/>
        <v>0</v>
      </c>
      <c r="AW91" s="200">
        <f t="shared" si="606"/>
        <v>0</v>
      </c>
      <c r="AX91" s="200">
        <f t="shared" si="606"/>
        <v>0</v>
      </c>
      <c r="AY91" s="200">
        <f t="shared" si="606"/>
        <v>0</v>
      </c>
      <c r="AZ91" s="200">
        <f t="shared" si="606"/>
        <v>0</v>
      </c>
      <c r="BA91" s="200">
        <f t="shared" si="606"/>
        <v>0</v>
      </c>
      <c r="BB91" s="200">
        <f t="shared" si="606"/>
        <v>0</v>
      </c>
      <c r="BC91" s="200">
        <f t="shared" si="606"/>
        <v>0</v>
      </c>
      <c r="BD91" s="200">
        <f t="shared" si="606"/>
        <v>0</v>
      </c>
      <c r="BE91" s="200">
        <f t="shared" si="606"/>
        <v>0</v>
      </c>
      <c r="BF91" s="200">
        <f t="shared" si="606"/>
        <v>0</v>
      </c>
      <c r="BG91" s="374">
        <f t="shared" si="606"/>
        <v>0</v>
      </c>
      <c r="BH91" s="200">
        <f t="shared" si="606"/>
        <v>0</v>
      </c>
      <c r="BI91" s="200">
        <f t="shared" si="606"/>
        <v>0</v>
      </c>
      <c r="BJ91" s="200">
        <f t="shared" si="606"/>
        <v>0</v>
      </c>
      <c r="BK91" s="200">
        <f t="shared" si="606"/>
        <v>0</v>
      </c>
      <c r="BL91" s="200">
        <f t="shared" si="606"/>
        <v>0</v>
      </c>
      <c r="BM91" s="200">
        <f t="shared" si="606"/>
        <v>0</v>
      </c>
      <c r="BN91" s="200">
        <f t="shared" si="606"/>
        <v>0</v>
      </c>
      <c r="BO91" s="200">
        <f t="shared" si="606"/>
        <v>0</v>
      </c>
      <c r="BP91" s="200">
        <f t="shared" si="606"/>
        <v>0</v>
      </c>
      <c r="BQ91" s="200">
        <f t="shared" si="606"/>
        <v>0</v>
      </c>
      <c r="BR91" s="200">
        <f t="shared" si="606"/>
        <v>0</v>
      </c>
      <c r="BS91" s="374">
        <f t="shared" si="606"/>
        <v>0</v>
      </c>
      <c r="BT91" s="200">
        <f t="shared" ref="BT91:DC91" si="607">++BT69</f>
        <v>0</v>
      </c>
      <c r="BU91" s="200">
        <f t="shared" si="607"/>
        <v>0</v>
      </c>
      <c r="BV91" s="200">
        <f t="shared" si="607"/>
        <v>0</v>
      </c>
      <c r="BW91" s="200">
        <f t="shared" si="607"/>
        <v>0</v>
      </c>
      <c r="BX91" s="200">
        <f t="shared" si="607"/>
        <v>0</v>
      </c>
      <c r="BY91" s="200">
        <f t="shared" si="607"/>
        <v>0</v>
      </c>
      <c r="BZ91" s="200">
        <f t="shared" si="607"/>
        <v>0</v>
      </c>
      <c r="CA91" s="200">
        <f t="shared" si="607"/>
        <v>0</v>
      </c>
      <c r="CB91" s="200">
        <f t="shared" si="607"/>
        <v>0</v>
      </c>
      <c r="CC91" s="200">
        <f t="shared" si="607"/>
        <v>0</v>
      </c>
      <c r="CD91" s="200">
        <f t="shared" si="607"/>
        <v>0</v>
      </c>
      <c r="CE91" s="374">
        <f t="shared" si="607"/>
        <v>0</v>
      </c>
      <c r="CF91" s="200">
        <f t="shared" si="607"/>
        <v>0</v>
      </c>
      <c r="CG91" s="200">
        <f t="shared" si="607"/>
        <v>0</v>
      </c>
      <c r="CH91" s="200">
        <f t="shared" si="607"/>
        <v>0</v>
      </c>
      <c r="CI91" s="200">
        <f t="shared" si="607"/>
        <v>0</v>
      </c>
      <c r="CJ91" s="200">
        <f t="shared" si="607"/>
        <v>0</v>
      </c>
      <c r="CK91" s="200">
        <f t="shared" si="607"/>
        <v>0</v>
      </c>
      <c r="CL91" s="200">
        <f t="shared" si="607"/>
        <v>0</v>
      </c>
      <c r="CM91" s="200">
        <f t="shared" si="607"/>
        <v>0</v>
      </c>
      <c r="CN91" s="200">
        <f t="shared" si="607"/>
        <v>0</v>
      </c>
      <c r="CO91" s="200">
        <f t="shared" si="607"/>
        <v>0</v>
      </c>
      <c r="CP91" s="200">
        <f t="shared" si="607"/>
        <v>0</v>
      </c>
      <c r="CQ91" s="374">
        <f t="shared" si="607"/>
        <v>0</v>
      </c>
      <c r="CR91" s="200">
        <f t="shared" si="607"/>
        <v>0</v>
      </c>
      <c r="CS91" s="200">
        <f t="shared" si="607"/>
        <v>0</v>
      </c>
      <c r="CT91" s="200">
        <f t="shared" si="607"/>
        <v>0</v>
      </c>
      <c r="CU91" s="200">
        <f t="shared" si="607"/>
        <v>0</v>
      </c>
      <c r="CV91" s="200">
        <f t="shared" si="607"/>
        <v>0</v>
      </c>
      <c r="CW91" s="200">
        <f t="shared" si="607"/>
        <v>0</v>
      </c>
      <c r="CX91" s="200">
        <f t="shared" si="607"/>
        <v>0</v>
      </c>
      <c r="CY91" s="200">
        <f t="shared" si="607"/>
        <v>0</v>
      </c>
      <c r="CZ91" s="200">
        <f t="shared" si="607"/>
        <v>0</v>
      </c>
      <c r="DA91" s="200">
        <f t="shared" si="607"/>
        <v>0</v>
      </c>
      <c r="DB91" s="200">
        <f t="shared" si="607"/>
        <v>0</v>
      </c>
      <c r="DC91" s="374">
        <f t="shared" si="607"/>
        <v>0</v>
      </c>
    </row>
    <row r="92" spans="3:107" x14ac:dyDescent="0.3">
      <c r="C92" s="101" t="str">
        <f>++C$43</f>
        <v>Amortization</v>
      </c>
      <c r="G92" s="374">
        <f t="shared" ref="G92:BR92" si="608">++G70</f>
        <v>0</v>
      </c>
      <c r="H92" s="200">
        <f t="shared" si="608"/>
        <v>0</v>
      </c>
      <c r="I92" s="200">
        <f t="shared" si="608"/>
        <v>0</v>
      </c>
      <c r="J92" s="200">
        <f t="shared" si="608"/>
        <v>0</v>
      </c>
      <c r="K92" s="374">
        <f t="shared" si="608"/>
        <v>0</v>
      </c>
      <c r="L92" s="200">
        <f t="shared" si="608"/>
        <v>0</v>
      </c>
      <c r="M92" s="200">
        <f t="shared" si="608"/>
        <v>0</v>
      </c>
      <c r="N92" s="200">
        <f t="shared" si="608"/>
        <v>0</v>
      </c>
      <c r="O92" s="200">
        <f t="shared" si="608"/>
        <v>0</v>
      </c>
      <c r="P92" s="200">
        <f t="shared" si="608"/>
        <v>0</v>
      </c>
      <c r="Q92" s="200">
        <f t="shared" si="608"/>
        <v>0</v>
      </c>
      <c r="R92" s="200">
        <f t="shared" si="608"/>
        <v>0</v>
      </c>
      <c r="S92" s="200">
        <f t="shared" si="608"/>
        <v>0</v>
      </c>
      <c r="T92" s="200">
        <f t="shared" si="608"/>
        <v>0</v>
      </c>
      <c r="U92" s="200">
        <f t="shared" si="608"/>
        <v>0</v>
      </c>
      <c r="V92" s="200">
        <f t="shared" si="608"/>
        <v>0</v>
      </c>
      <c r="W92" s="374">
        <f t="shared" si="608"/>
        <v>0</v>
      </c>
      <c r="X92" s="200">
        <f t="shared" si="608"/>
        <v>0</v>
      </c>
      <c r="Y92" s="200">
        <f t="shared" si="608"/>
        <v>0</v>
      </c>
      <c r="Z92" s="200">
        <f t="shared" si="608"/>
        <v>0</v>
      </c>
      <c r="AA92" s="200">
        <f t="shared" si="608"/>
        <v>0</v>
      </c>
      <c r="AB92" s="200">
        <f t="shared" si="608"/>
        <v>0</v>
      </c>
      <c r="AC92" s="200">
        <f t="shared" si="608"/>
        <v>0</v>
      </c>
      <c r="AD92" s="200">
        <f t="shared" si="608"/>
        <v>0</v>
      </c>
      <c r="AE92" s="200">
        <f t="shared" si="608"/>
        <v>0</v>
      </c>
      <c r="AF92" s="200">
        <f t="shared" si="608"/>
        <v>0</v>
      </c>
      <c r="AG92" s="200">
        <f t="shared" si="608"/>
        <v>0</v>
      </c>
      <c r="AH92" s="200">
        <f t="shared" si="608"/>
        <v>0</v>
      </c>
      <c r="AI92" s="374">
        <f t="shared" si="608"/>
        <v>0</v>
      </c>
      <c r="AJ92" s="200">
        <f t="shared" si="608"/>
        <v>0</v>
      </c>
      <c r="AK92" s="200">
        <f t="shared" si="608"/>
        <v>0</v>
      </c>
      <c r="AL92" s="200">
        <f t="shared" si="608"/>
        <v>0</v>
      </c>
      <c r="AM92" s="200">
        <f t="shared" si="608"/>
        <v>0</v>
      </c>
      <c r="AN92" s="200">
        <f t="shared" si="608"/>
        <v>0</v>
      </c>
      <c r="AO92" s="200">
        <f t="shared" si="608"/>
        <v>0</v>
      </c>
      <c r="AP92" s="200">
        <f t="shared" si="608"/>
        <v>0</v>
      </c>
      <c r="AQ92" s="200">
        <f t="shared" si="608"/>
        <v>0</v>
      </c>
      <c r="AR92" s="200">
        <f t="shared" si="608"/>
        <v>0</v>
      </c>
      <c r="AS92" s="200">
        <f t="shared" si="608"/>
        <v>0</v>
      </c>
      <c r="AT92" s="200">
        <f t="shared" si="608"/>
        <v>0</v>
      </c>
      <c r="AU92" s="374">
        <f t="shared" si="608"/>
        <v>0</v>
      </c>
      <c r="AV92" s="200">
        <f t="shared" si="608"/>
        <v>0</v>
      </c>
      <c r="AW92" s="200">
        <f t="shared" si="608"/>
        <v>0</v>
      </c>
      <c r="AX92" s="200">
        <f t="shared" si="608"/>
        <v>0</v>
      </c>
      <c r="AY92" s="200">
        <f t="shared" si="608"/>
        <v>0</v>
      </c>
      <c r="AZ92" s="200">
        <f t="shared" si="608"/>
        <v>0</v>
      </c>
      <c r="BA92" s="200">
        <f t="shared" si="608"/>
        <v>0</v>
      </c>
      <c r="BB92" s="200">
        <f t="shared" si="608"/>
        <v>0</v>
      </c>
      <c r="BC92" s="200">
        <f t="shared" si="608"/>
        <v>0</v>
      </c>
      <c r="BD92" s="200">
        <f t="shared" si="608"/>
        <v>0</v>
      </c>
      <c r="BE92" s="200">
        <f t="shared" si="608"/>
        <v>0</v>
      </c>
      <c r="BF92" s="200">
        <f t="shared" si="608"/>
        <v>0</v>
      </c>
      <c r="BG92" s="374">
        <f t="shared" si="608"/>
        <v>0</v>
      </c>
      <c r="BH92" s="200">
        <f t="shared" si="608"/>
        <v>0</v>
      </c>
      <c r="BI92" s="200">
        <f t="shared" si="608"/>
        <v>0</v>
      </c>
      <c r="BJ92" s="200">
        <f t="shared" si="608"/>
        <v>0</v>
      </c>
      <c r="BK92" s="200">
        <f t="shared" si="608"/>
        <v>0</v>
      </c>
      <c r="BL92" s="200">
        <f t="shared" si="608"/>
        <v>0</v>
      </c>
      <c r="BM92" s="200">
        <f t="shared" si="608"/>
        <v>0</v>
      </c>
      <c r="BN92" s="200">
        <f t="shared" si="608"/>
        <v>0</v>
      </c>
      <c r="BO92" s="200">
        <f t="shared" si="608"/>
        <v>0</v>
      </c>
      <c r="BP92" s="200">
        <f t="shared" si="608"/>
        <v>0</v>
      </c>
      <c r="BQ92" s="200">
        <f t="shared" si="608"/>
        <v>0</v>
      </c>
      <c r="BR92" s="200">
        <f t="shared" si="608"/>
        <v>0</v>
      </c>
      <c r="BS92" s="374">
        <f t="shared" ref="BS92:DC92" si="609">++BS70</f>
        <v>0</v>
      </c>
      <c r="BT92" s="200">
        <f t="shared" si="609"/>
        <v>0</v>
      </c>
      <c r="BU92" s="200">
        <f t="shared" si="609"/>
        <v>0</v>
      </c>
      <c r="BV92" s="200">
        <f t="shared" si="609"/>
        <v>0</v>
      </c>
      <c r="BW92" s="200">
        <f t="shared" si="609"/>
        <v>0</v>
      </c>
      <c r="BX92" s="200">
        <f t="shared" si="609"/>
        <v>0</v>
      </c>
      <c r="BY92" s="200">
        <f t="shared" si="609"/>
        <v>0</v>
      </c>
      <c r="BZ92" s="200">
        <f t="shared" si="609"/>
        <v>0</v>
      </c>
      <c r="CA92" s="200">
        <f t="shared" si="609"/>
        <v>0</v>
      </c>
      <c r="CB92" s="200">
        <f t="shared" si="609"/>
        <v>0</v>
      </c>
      <c r="CC92" s="200">
        <f t="shared" si="609"/>
        <v>0</v>
      </c>
      <c r="CD92" s="200">
        <f t="shared" si="609"/>
        <v>0</v>
      </c>
      <c r="CE92" s="374">
        <f t="shared" si="609"/>
        <v>0</v>
      </c>
      <c r="CF92" s="200">
        <f t="shared" si="609"/>
        <v>0</v>
      </c>
      <c r="CG92" s="200">
        <f t="shared" si="609"/>
        <v>0</v>
      </c>
      <c r="CH92" s="200">
        <f t="shared" si="609"/>
        <v>0</v>
      </c>
      <c r="CI92" s="200">
        <f t="shared" si="609"/>
        <v>0</v>
      </c>
      <c r="CJ92" s="200">
        <f t="shared" si="609"/>
        <v>0</v>
      </c>
      <c r="CK92" s="200">
        <f t="shared" si="609"/>
        <v>0</v>
      </c>
      <c r="CL92" s="200">
        <f t="shared" si="609"/>
        <v>0</v>
      </c>
      <c r="CM92" s="200">
        <f t="shared" si="609"/>
        <v>0</v>
      </c>
      <c r="CN92" s="200">
        <f t="shared" si="609"/>
        <v>0</v>
      </c>
      <c r="CO92" s="200">
        <f t="shared" si="609"/>
        <v>0</v>
      </c>
      <c r="CP92" s="200">
        <f t="shared" si="609"/>
        <v>0</v>
      </c>
      <c r="CQ92" s="374">
        <f t="shared" si="609"/>
        <v>0</v>
      </c>
      <c r="CR92" s="200">
        <f t="shared" si="609"/>
        <v>0</v>
      </c>
      <c r="CS92" s="200">
        <f t="shared" si="609"/>
        <v>0</v>
      </c>
      <c r="CT92" s="200">
        <f t="shared" si="609"/>
        <v>0</v>
      </c>
      <c r="CU92" s="200">
        <f t="shared" si="609"/>
        <v>0</v>
      </c>
      <c r="CV92" s="200">
        <f t="shared" si="609"/>
        <v>0</v>
      </c>
      <c r="CW92" s="200">
        <f t="shared" si="609"/>
        <v>0</v>
      </c>
      <c r="CX92" s="200">
        <f t="shared" si="609"/>
        <v>0</v>
      </c>
      <c r="CY92" s="200">
        <f t="shared" si="609"/>
        <v>0</v>
      </c>
      <c r="CZ92" s="200">
        <f t="shared" si="609"/>
        <v>0</v>
      </c>
      <c r="DA92" s="200">
        <f t="shared" si="609"/>
        <v>0</v>
      </c>
      <c r="DB92" s="200">
        <f t="shared" si="609"/>
        <v>0</v>
      </c>
      <c r="DC92" s="374">
        <f t="shared" si="609"/>
        <v>0</v>
      </c>
    </row>
    <row r="93" spans="3:107" x14ac:dyDescent="0.3">
      <c r="C93" s="231" t="str">
        <f>++C$44</f>
        <v>Reported EBITDA</v>
      </c>
      <c r="D93" s="191"/>
      <c r="E93" s="191"/>
      <c r="G93" s="239">
        <f>++SUM(G89:G92)</f>
        <v>0</v>
      </c>
      <c r="H93" s="232">
        <f t="shared" ref="H93:BS93" si="610">++SUM(H89:H92)</f>
        <v>0</v>
      </c>
      <c r="I93" s="232">
        <f t="shared" si="610"/>
        <v>0</v>
      </c>
      <c r="J93" s="232">
        <f t="shared" si="610"/>
        <v>0</v>
      </c>
      <c r="K93" s="239">
        <f t="shared" si="610"/>
        <v>0</v>
      </c>
      <c r="L93" s="232">
        <f t="shared" si="610"/>
        <v>0</v>
      </c>
      <c r="M93" s="232">
        <f t="shared" si="610"/>
        <v>0</v>
      </c>
      <c r="N93" s="232">
        <f t="shared" si="610"/>
        <v>0</v>
      </c>
      <c r="O93" s="232">
        <f t="shared" si="610"/>
        <v>0</v>
      </c>
      <c r="P93" s="232">
        <f t="shared" si="610"/>
        <v>0</v>
      </c>
      <c r="Q93" s="232">
        <f t="shared" si="610"/>
        <v>0</v>
      </c>
      <c r="R93" s="232">
        <f t="shared" si="610"/>
        <v>0</v>
      </c>
      <c r="S93" s="232">
        <f t="shared" si="610"/>
        <v>0</v>
      </c>
      <c r="T93" s="232">
        <f t="shared" si="610"/>
        <v>0</v>
      </c>
      <c r="U93" s="232">
        <f t="shared" si="610"/>
        <v>0</v>
      </c>
      <c r="V93" s="232">
        <f t="shared" si="610"/>
        <v>0</v>
      </c>
      <c r="W93" s="239">
        <f t="shared" si="610"/>
        <v>0</v>
      </c>
      <c r="X93" s="232">
        <f t="shared" si="610"/>
        <v>0</v>
      </c>
      <c r="Y93" s="232">
        <f t="shared" si="610"/>
        <v>0</v>
      </c>
      <c r="Z93" s="232">
        <f t="shared" si="610"/>
        <v>0</v>
      </c>
      <c r="AA93" s="232">
        <f t="shared" si="610"/>
        <v>0</v>
      </c>
      <c r="AB93" s="232">
        <f t="shared" si="610"/>
        <v>0</v>
      </c>
      <c r="AC93" s="232">
        <f t="shared" si="610"/>
        <v>0</v>
      </c>
      <c r="AD93" s="232">
        <f t="shared" si="610"/>
        <v>0</v>
      </c>
      <c r="AE93" s="232">
        <f t="shared" si="610"/>
        <v>0</v>
      </c>
      <c r="AF93" s="232">
        <f t="shared" si="610"/>
        <v>0</v>
      </c>
      <c r="AG93" s="232">
        <f t="shared" si="610"/>
        <v>0</v>
      </c>
      <c r="AH93" s="232">
        <f t="shared" si="610"/>
        <v>0</v>
      </c>
      <c r="AI93" s="239">
        <f t="shared" si="610"/>
        <v>0</v>
      </c>
      <c r="AJ93" s="232">
        <f t="shared" si="610"/>
        <v>0</v>
      </c>
      <c r="AK93" s="232">
        <f t="shared" si="610"/>
        <v>0</v>
      </c>
      <c r="AL93" s="232">
        <f t="shared" si="610"/>
        <v>0</v>
      </c>
      <c r="AM93" s="232">
        <f t="shared" si="610"/>
        <v>0</v>
      </c>
      <c r="AN93" s="232">
        <f t="shared" si="610"/>
        <v>0</v>
      </c>
      <c r="AO93" s="232">
        <f t="shared" si="610"/>
        <v>0</v>
      </c>
      <c r="AP93" s="232">
        <f t="shared" si="610"/>
        <v>0</v>
      </c>
      <c r="AQ93" s="232">
        <f t="shared" si="610"/>
        <v>0</v>
      </c>
      <c r="AR93" s="232">
        <f t="shared" si="610"/>
        <v>0</v>
      </c>
      <c r="AS93" s="232">
        <f t="shared" si="610"/>
        <v>0</v>
      </c>
      <c r="AT93" s="232">
        <f t="shared" si="610"/>
        <v>0</v>
      </c>
      <c r="AU93" s="239">
        <f t="shared" si="610"/>
        <v>0</v>
      </c>
      <c r="AV93" s="232">
        <f t="shared" si="610"/>
        <v>0</v>
      </c>
      <c r="AW93" s="232">
        <f t="shared" si="610"/>
        <v>0</v>
      </c>
      <c r="AX93" s="232">
        <f t="shared" si="610"/>
        <v>0</v>
      </c>
      <c r="AY93" s="232">
        <f t="shared" si="610"/>
        <v>0</v>
      </c>
      <c r="AZ93" s="232">
        <f t="shared" si="610"/>
        <v>0</v>
      </c>
      <c r="BA93" s="232">
        <f t="shared" si="610"/>
        <v>0</v>
      </c>
      <c r="BB93" s="232">
        <f t="shared" si="610"/>
        <v>0</v>
      </c>
      <c r="BC93" s="232">
        <f t="shared" si="610"/>
        <v>0</v>
      </c>
      <c r="BD93" s="232">
        <f t="shared" si="610"/>
        <v>0</v>
      </c>
      <c r="BE93" s="232">
        <f t="shared" si="610"/>
        <v>0</v>
      </c>
      <c r="BF93" s="232">
        <f t="shared" si="610"/>
        <v>0</v>
      </c>
      <c r="BG93" s="239">
        <f t="shared" si="610"/>
        <v>0</v>
      </c>
      <c r="BH93" s="232">
        <f t="shared" si="610"/>
        <v>0</v>
      </c>
      <c r="BI93" s="232">
        <f t="shared" si="610"/>
        <v>0</v>
      </c>
      <c r="BJ93" s="232">
        <f t="shared" si="610"/>
        <v>0</v>
      </c>
      <c r="BK93" s="232">
        <f t="shared" si="610"/>
        <v>0</v>
      </c>
      <c r="BL93" s="232">
        <f t="shared" si="610"/>
        <v>0</v>
      </c>
      <c r="BM93" s="232">
        <f t="shared" si="610"/>
        <v>0</v>
      </c>
      <c r="BN93" s="232">
        <f t="shared" si="610"/>
        <v>0</v>
      </c>
      <c r="BO93" s="232">
        <f t="shared" si="610"/>
        <v>0</v>
      </c>
      <c r="BP93" s="232">
        <f t="shared" si="610"/>
        <v>0</v>
      </c>
      <c r="BQ93" s="232">
        <f t="shared" si="610"/>
        <v>0</v>
      </c>
      <c r="BR93" s="232">
        <f t="shared" si="610"/>
        <v>0</v>
      </c>
      <c r="BS93" s="239">
        <f t="shared" si="610"/>
        <v>0</v>
      </c>
      <c r="BT93" s="232">
        <f t="shared" ref="BT93:DC93" si="611">++SUM(BT89:BT92)</f>
        <v>0</v>
      </c>
      <c r="BU93" s="232">
        <f t="shared" si="611"/>
        <v>0</v>
      </c>
      <c r="BV93" s="232">
        <f t="shared" si="611"/>
        <v>0</v>
      </c>
      <c r="BW93" s="232">
        <f t="shared" si="611"/>
        <v>0</v>
      </c>
      <c r="BX93" s="232">
        <f t="shared" si="611"/>
        <v>0</v>
      </c>
      <c r="BY93" s="232">
        <f t="shared" si="611"/>
        <v>0</v>
      </c>
      <c r="BZ93" s="232">
        <f t="shared" si="611"/>
        <v>0</v>
      </c>
      <c r="CA93" s="232">
        <f t="shared" si="611"/>
        <v>0</v>
      </c>
      <c r="CB93" s="232">
        <f t="shared" si="611"/>
        <v>0</v>
      </c>
      <c r="CC93" s="232">
        <f t="shared" si="611"/>
        <v>0</v>
      </c>
      <c r="CD93" s="232">
        <f t="shared" si="611"/>
        <v>0</v>
      </c>
      <c r="CE93" s="239">
        <f t="shared" si="611"/>
        <v>0</v>
      </c>
      <c r="CF93" s="232">
        <f t="shared" si="611"/>
        <v>0</v>
      </c>
      <c r="CG93" s="232">
        <f t="shared" si="611"/>
        <v>0</v>
      </c>
      <c r="CH93" s="232">
        <f t="shared" si="611"/>
        <v>0</v>
      </c>
      <c r="CI93" s="232">
        <f t="shared" si="611"/>
        <v>0</v>
      </c>
      <c r="CJ93" s="232">
        <f t="shared" si="611"/>
        <v>0</v>
      </c>
      <c r="CK93" s="232">
        <f t="shared" si="611"/>
        <v>0</v>
      </c>
      <c r="CL93" s="232">
        <f t="shared" si="611"/>
        <v>0</v>
      </c>
      <c r="CM93" s="232">
        <f t="shared" si="611"/>
        <v>0</v>
      </c>
      <c r="CN93" s="232">
        <f t="shared" si="611"/>
        <v>0</v>
      </c>
      <c r="CO93" s="232">
        <f t="shared" si="611"/>
        <v>0</v>
      </c>
      <c r="CP93" s="232">
        <f t="shared" si="611"/>
        <v>0</v>
      </c>
      <c r="CQ93" s="239">
        <f t="shared" si="611"/>
        <v>0</v>
      </c>
      <c r="CR93" s="232">
        <f t="shared" si="611"/>
        <v>0</v>
      </c>
      <c r="CS93" s="232">
        <f t="shared" si="611"/>
        <v>0</v>
      </c>
      <c r="CT93" s="232">
        <f t="shared" si="611"/>
        <v>0</v>
      </c>
      <c r="CU93" s="232">
        <f t="shared" si="611"/>
        <v>0</v>
      </c>
      <c r="CV93" s="232">
        <f t="shared" si="611"/>
        <v>0</v>
      </c>
      <c r="CW93" s="232">
        <f t="shared" si="611"/>
        <v>0</v>
      </c>
      <c r="CX93" s="232">
        <f t="shared" si="611"/>
        <v>0</v>
      </c>
      <c r="CY93" s="232">
        <f t="shared" si="611"/>
        <v>0</v>
      </c>
      <c r="CZ93" s="232">
        <f t="shared" si="611"/>
        <v>0</v>
      </c>
      <c r="DA93" s="232">
        <f t="shared" si="611"/>
        <v>0</v>
      </c>
      <c r="DB93" s="232">
        <f t="shared" si="611"/>
        <v>0</v>
      </c>
      <c r="DC93" s="239">
        <f t="shared" si="611"/>
        <v>0</v>
      </c>
    </row>
    <row r="94" spans="3:107" x14ac:dyDescent="0.3">
      <c r="C94" s="321" t="str">
        <f>++C$45</f>
        <v>% margin</v>
      </c>
      <c r="G94" s="214" t="str">
        <f>++IFERROR(G93/G59,"n/a")</f>
        <v>n/a</v>
      </c>
      <c r="H94" s="225" t="str">
        <f t="shared" ref="H94" si="612">++IFERROR(H93/H59,"n/a")</f>
        <v>n/a</v>
      </c>
      <c r="I94" s="225" t="str">
        <f t="shared" ref="I94" si="613">++IFERROR(I93/I59,"n/a")</f>
        <v>n/a</v>
      </c>
      <c r="J94" s="225" t="str">
        <f t="shared" ref="J94" si="614">++IFERROR(J93/J59,"n/a")</f>
        <v>n/a</v>
      </c>
      <c r="K94" s="214" t="str">
        <f t="shared" ref="K94" si="615">++IFERROR(K93/K59,"n/a")</f>
        <v>n/a</v>
      </c>
      <c r="L94" s="225" t="str">
        <f t="shared" ref="L94" si="616">++IFERROR(L93/L59,"n/a")</f>
        <v>n/a</v>
      </c>
      <c r="M94" s="225" t="str">
        <f t="shared" ref="M94" si="617">++IFERROR(M93/M59,"n/a")</f>
        <v>n/a</v>
      </c>
      <c r="N94" s="225" t="str">
        <f t="shared" ref="N94" si="618">++IFERROR(N93/N59,"n/a")</f>
        <v>n/a</v>
      </c>
      <c r="O94" s="225" t="str">
        <f t="shared" ref="O94" si="619">++IFERROR(O93/O59,"n/a")</f>
        <v>n/a</v>
      </c>
      <c r="P94" s="225" t="str">
        <f t="shared" ref="P94" si="620">++IFERROR(P93/P59,"n/a")</f>
        <v>n/a</v>
      </c>
      <c r="Q94" s="225" t="str">
        <f t="shared" ref="Q94" si="621">++IFERROR(Q93/Q59,"n/a")</f>
        <v>n/a</v>
      </c>
      <c r="R94" s="225" t="str">
        <f t="shared" ref="R94" si="622">++IFERROR(R93/R59,"n/a")</f>
        <v>n/a</v>
      </c>
      <c r="S94" s="225" t="str">
        <f t="shared" ref="S94" si="623">++IFERROR(S93/S59,"n/a")</f>
        <v>n/a</v>
      </c>
      <c r="T94" s="225" t="str">
        <f t="shared" ref="T94" si="624">++IFERROR(T93/T59,"n/a")</f>
        <v>n/a</v>
      </c>
      <c r="U94" s="225" t="str">
        <f t="shared" ref="U94" si="625">++IFERROR(U93/U59,"n/a")</f>
        <v>n/a</v>
      </c>
      <c r="V94" s="225" t="str">
        <f t="shared" ref="V94" si="626">++IFERROR(V93/V59,"n/a")</f>
        <v>n/a</v>
      </c>
      <c r="W94" s="214" t="str">
        <f t="shared" ref="W94" si="627">++IFERROR(W93/W59,"n/a")</f>
        <v>n/a</v>
      </c>
      <c r="X94" s="225" t="str">
        <f t="shared" ref="X94" si="628">++IFERROR(X93/X59,"n/a")</f>
        <v>n/a</v>
      </c>
      <c r="Y94" s="225" t="str">
        <f t="shared" ref="Y94" si="629">++IFERROR(Y93/Y59,"n/a")</f>
        <v>n/a</v>
      </c>
      <c r="Z94" s="225" t="str">
        <f t="shared" ref="Z94" si="630">++IFERROR(Z93/Z59,"n/a")</f>
        <v>n/a</v>
      </c>
      <c r="AA94" s="225" t="str">
        <f t="shared" ref="AA94" si="631">++IFERROR(AA93/AA59,"n/a")</f>
        <v>n/a</v>
      </c>
      <c r="AB94" s="225" t="str">
        <f t="shared" ref="AB94" si="632">++IFERROR(AB93/AB59,"n/a")</f>
        <v>n/a</v>
      </c>
      <c r="AC94" s="225" t="str">
        <f t="shared" ref="AC94" si="633">++IFERROR(AC93/AC59,"n/a")</f>
        <v>n/a</v>
      </c>
      <c r="AD94" s="225" t="str">
        <f t="shared" ref="AD94" si="634">++IFERROR(AD93/AD59,"n/a")</f>
        <v>n/a</v>
      </c>
      <c r="AE94" s="225" t="str">
        <f t="shared" ref="AE94" si="635">++IFERROR(AE93/AE59,"n/a")</f>
        <v>n/a</v>
      </c>
      <c r="AF94" s="225" t="str">
        <f t="shared" ref="AF94" si="636">++IFERROR(AF93/AF59,"n/a")</f>
        <v>n/a</v>
      </c>
      <c r="AG94" s="225" t="str">
        <f t="shared" ref="AG94" si="637">++IFERROR(AG93/AG59,"n/a")</f>
        <v>n/a</v>
      </c>
      <c r="AH94" s="225" t="str">
        <f t="shared" ref="AH94" si="638">++IFERROR(AH93/AH59,"n/a")</f>
        <v>n/a</v>
      </c>
      <c r="AI94" s="214" t="str">
        <f t="shared" ref="AI94" si="639">++IFERROR(AI93/AI59,"n/a")</f>
        <v>n/a</v>
      </c>
      <c r="AJ94" s="225" t="str">
        <f t="shared" ref="AJ94" si="640">++IFERROR(AJ93/AJ59,"n/a")</f>
        <v>n/a</v>
      </c>
      <c r="AK94" s="225" t="str">
        <f t="shared" ref="AK94" si="641">++IFERROR(AK93/AK59,"n/a")</f>
        <v>n/a</v>
      </c>
      <c r="AL94" s="225" t="str">
        <f t="shared" ref="AL94" si="642">++IFERROR(AL93/AL59,"n/a")</f>
        <v>n/a</v>
      </c>
      <c r="AM94" s="225" t="str">
        <f t="shared" ref="AM94" si="643">++IFERROR(AM93/AM59,"n/a")</f>
        <v>n/a</v>
      </c>
      <c r="AN94" s="225" t="str">
        <f t="shared" ref="AN94" si="644">++IFERROR(AN93/AN59,"n/a")</f>
        <v>n/a</v>
      </c>
      <c r="AO94" s="225" t="str">
        <f t="shared" ref="AO94" si="645">++IFERROR(AO93/AO59,"n/a")</f>
        <v>n/a</v>
      </c>
      <c r="AP94" s="225" t="str">
        <f t="shared" ref="AP94" si="646">++IFERROR(AP93/AP59,"n/a")</f>
        <v>n/a</v>
      </c>
      <c r="AQ94" s="225" t="str">
        <f t="shared" ref="AQ94" si="647">++IFERROR(AQ93/AQ59,"n/a")</f>
        <v>n/a</v>
      </c>
      <c r="AR94" s="225" t="str">
        <f t="shared" ref="AR94" si="648">++IFERROR(AR93/AR59,"n/a")</f>
        <v>n/a</v>
      </c>
      <c r="AS94" s="225" t="str">
        <f t="shared" ref="AS94" si="649">++IFERROR(AS93/AS59,"n/a")</f>
        <v>n/a</v>
      </c>
      <c r="AT94" s="225" t="str">
        <f t="shared" ref="AT94" si="650">++IFERROR(AT93/AT59,"n/a")</f>
        <v>n/a</v>
      </c>
      <c r="AU94" s="214" t="str">
        <f t="shared" ref="AU94" si="651">++IFERROR(AU93/AU59,"n/a")</f>
        <v>n/a</v>
      </c>
      <c r="AV94" s="225" t="str">
        <f t="shared" ref="AV94" si="652">++IFERROR(AV93/AV59,"n/a")</f>
        <v>n/a</v>
      </c>
      <c r="AW94" s="225" t="str">
        <f t="shared" ref="AW94" si="653">++IFERROR(AW93/AW59,"n/a")</f>
        <v>n/a</v>
      </c>
      <c r="AX94" s="225" t="str">
        <f t="shared" ref="AX94" si="654">++IFERROR(AX93/AX59,"n/a")</f>
        <v>n/a</v>
      </c>
      <c r="AY94" s="225" t="str">
        <f t="shared" ref="AY94" si="655">++IFERROR(AY93/AY59,"n/a")</f>
        <v>n/a</v>
      </c>
      <c r="AZ94" s="225" t="str">
        <f t="shared" ref="AZ94" si="656">++IFERROR(AZ93/AZ59,"n/a")</f>
        <v>n/a</v>
      </c>
      <c r="BA94" s="225" t="str">
        <f t="shared" ref="BA94" si="657">++IFERROR(BA93/BA59,"n/a")</f>
        <v>n/a</v>
      </c>
      <c r="BB94" s="225" t="str">
        <f t="shared" ref="BB94" si="658">++IFERROR(BB93/BB59,"n/a")</f>
        <v>n/a</v>
      </c>
      <c r="BC94" s="225" t="str">
        <f t="shared" ref="BC94" si="659">++IFERROR(BC93/BC59,"n/a")</f>
        <v>n/a</v>
      </c>
      <c r="BD94" s="225" t="str">
        <f t="shared" ref="BD94" si="660">++IFERROR(BD93/BD59,"n/a")</f>
        <v>n/a</v>
      </c>
      <c r="BE94" s="225" t="str">
        <f t="shared" ref="BE94" si="661">++IFERROR(BE93/BE59,"n/a")</f>
        <v>n/a</v>
      </c>
      <c r="BF94" s="225" t="str">
        <f t="shared" ref="BF94" si="662">++IFERROR(BF93/BF59,"n/a")</f>
        <v>n/a</v>
      </c>
      <c r="BG94" s="214" t="str">
        <f t="shared" ref="BG94" si="663">++IFERROR(BG93/BG59,"n/a")</f>
        <v>n/a</v>
      </c>
      <c r="BH94" s="225" t="str">
        <f t="shared" ref="BH94" si="664">++IFERROR(BH93/BH59,"n/a")</f>
        <v>n/a</v>
      </c>
      <c r="BI94" s="225" t="str">
        <f t="shared" ref="BI94" si="665">++IFERROR(BI93/BI59,"n/a")</f>
        <v>n/a</v>
      </c>
      <c r="BJ94" s="225" t="str">
        <f t="shared" ref="BJ94" si="666">++IFERROR(BJ93/BJ59,"n/a")</f>
        <v>n/a</v>
      </c>
      <c r="BK94" s="225" t="str">
        <f t="shared" ref="BK94" si="667">++IFERROR(BK93/BK59,"n/a")</f>
        <v>n/a</v>
      </c>
      <c r="BL94" s="225" t="str">
        <f t="shared" ref="BL94" si="668">++IFERROR(BL93/BL59,"n/a")</f>
        <v>n/a</v>
      </c>
      <c r="BM94" s="225" t="str">
        <f t="shared" ref="BM94" si="669">++IFERROR(BM93/BM59,"n/a")</f>
        <v>n/a</v>
      </c>
      <c r="BN94" s="225" t="str">
        <f t="shared" ref="BN94" si="670">++IFERROR(BN93/BN59,"n/a")</f>
        <v>n/a</v>
      </c>
      <c r="BO94" s="225" t="str">
        <f t="shared" ref="BO94" si="671">++IFERROR(BO93/BO59,"n/a")</f>
        <v>n/a</v>
      </c>
      <c r="BP94" s="225" t="str">
        <f t="shared" ref="BP94" si="672">++IFERROR(BP93/BP59,"n/a")</f>
        <v>n/a</v>
      </c>
      <c r="BQ94" s="225" t="str">
        <f t="shared" ref="BQ94" si="673">++IFERROR(BQ93/BQ59,"n/a")</f>
        <v>n/a</v>
      </c>
      <c r="BR94" s="225" t="str">
        <f t="shared" ref="BR94" si="674">++IFERROR(BR93/BR59,"n/a")</f>
        <v>n/a</v>
      </c>
      <c r="BS94" s="214" t="str">
        <f t="shared" ref="BS94" si="675">++IFERROR(BS93/BS59,"n/a")</f>
        <v>n/a</v>
      </c>
      <c r="BT94" s="225" t="str">
        <f t="shared" ref="BT94" si="676">++IFERROR(BT93/BT59,"n/a")</f>
        <v>n/a</v>
      </c>
      <c r="BU94" s="225" t="str">
        <f t="shared" ref="BU94" si="677">++IFERROR(BU93/BU59,"n/a")</f>
        <v>n/a</v>
      </c>
      <c r="BV94" s="225" t="str">
        <f t="shared" ref="BV94" si="678">++IFERROR(BV93/BV59,"n/a")</f>
        <v>n/a</v>
      </c>
      <c r="BW94" s="225" t="str">
        <f t="shared" ref="BW94" si="679">++IFERROR(BW93/BW59,"n/a")</f>
        <v>n/a</v>
      </c>
      <c r="BX94" s="225" t="str">
        <f t="shared" ref="BX94" si="680">++IFERROR(BX93/BX59,"n/a")</f>
        <v>n/a</v>
      </c>
      <c r="BY94" s="225" t="str">
        <f t="shared" ref="BY94" si="681">++IFERROR(BY93/BY59,"n/a")</f>
        <v>n/a</v>
      </c>
      <c r="BZ94" s="225" t="str">
        <f t="shared" ref="BZ94" si="682">++IFERROR(BZ93/BZ59,"n/a")</f>
        <v>n/a</v>
      </c>
      <c r="CA94" s="225" t="str">
        <f t="shared" ref="CA94" si="683">++IFERROR(CA93/CA59,"n/a")</f>
        <v>n/a</v>
      </c>
      <c r="CB94" s="225" t="str">
        <f t="shared" ref="CB94" si="684">++IFERROR(CB93/CB59,"n/a")</f>
        <v>n/a</v>
      </c>
      <c r="CC94" s="225" t="str">
        <f t="shared" ref="CC94" si="685">++IFERROR(CC93/CC59,"n/a")</f>
        <v>n/a</v>
      </c>
      <c r="CD94" s="225" t="str">
        <f t="shared" ref="CD94" si="686">++IFERROR(CD93/CD59,"n/a")</f>
        <v>n/a</v>
      </c>
      <c r="CE94" s="214" t="str">
        <f t="shared" ref="CE94" si="687">++IFERROR(CE93/CE59,"n/a")</f>
        <v>n/a</v>
      </c>
      <c r="CF94" s="225" t="str">
        <f t="shared" ref="CF94" si="688">++IFERROR(CF93/CF59,"n/a")</f>
        <v>n/a</v>
      </c>
      <c r="CG94" s="225" t="str">
        <f t="shared" ref="CG94" si="689">++IFERROR(CG93/CG59,"n/a")</f>
        <v>n/a</v>
      </c>
      <c r="CH94" s="225" t="str">
        <f t="shared" ref="CH94" si="690">++IFERROR(CH93/CH59,"n/a")</f>
        <v>n/a</v>
      </c>
      <c r="CI94" s="225" t="str">
        <f t="shared" ref="CI94" si="691">++IFERROR(CI93/CI59,"n/a")</f>
        <v>n/a</v>
      </c>
      <c r="CJ94" s="225" t="str">
        <f t="shared" ref="CJ94" si="692">++IFERROR(CJ93/CJ59,"n/a")</f>
        <v>n/a</v>
      </c>
      <c r="CK94" s="225" t="str">
        <f t="shared" ref="CK94" si="693">++IFERROR(CK93/CK59,"n/a")</f>
        <v>n/a</v>
      </c>
      <c r="CL94" s="225" t="str">
        <f t="shared" ref="CL94" si="694">++IFERROR(CL93/CL59,"n/a")</f>
        <v>n/a</v>
      </c>
      <c r="CM94" s="225" t="str">
        <f t="shared" ref="CM94" si="695">++IFERROR(CM93/CM59,"n/a")</f>
        <v>n/a</v>
      </c>
      <c r="CN94" s="225" t="str">
        <f t="shared" ref="CN94" si="696">++IFERROR(CN93/CN59,"n/a")</f>
        <v>n/a</v>
      </c>
      <c r="CO94" s="225" t="str">
        <f t="shared" ref="CO94" si="697">++IFERROR(CO93/CO59,"n/a")</f>
        <v>n/a</v>
      </c>
      <c r="CP94" s="225" t="str">
        <f t="shared" ref="CP94" si="698">++IFERROR(CP93/CP59,"n/a")</f>
        <v>n/a</v>
      </c>
      <c r="CQ94" s="214" t="str">
        <f t="shared" ref="CQ94" si="699">++IFERROR(CQ93/CQ59,"n/a")</f>
        <v>n/a</v>
      </c>
      <c r="CR94" s="225" t="str">
        <f t="shared" ref="CR94" si="700">++IFERROR(CR93/CR59,"n/a")</f>
        <v>n/a</v>
      </c>
      <c r="CS94" s="225" t="str">
        <f t="shared" ref="CS94" si="701">++IFERROR(CS93/CS59,"n/a")</f>
        <v>n/a</v>
      </c>
      <c r="CT94" s="225" t="str">
        <f t="shared" ref="CT94" si="702">++IFERROR(CT93/CT59,"n/a")</f>
        <v>n/a</v>
      </c>
      <c r="CU94" s="225" t="str">
        <f t="shared" ref="CU94" si="703">++IFERROR(CU93/CU59,"n/a")</f>
        <v>n/a</v>
      </c>
      <c r="CV94" s="225" t="str">
        <f t="shared" ref="CV94" si="704">++IFERROR(CV93/CV59,"n/a")</f>
        <v>n/a</v>
      </c>
      <c r="CW94" s="225" t="str">
        <f t="shared" ref="CW94" si="705">++IFERROR(CW93/CW59,"n/a")</f>
        <v>n/a</v>
      </c>
      <c r="CX94" s="225" t="str">
        <f t="shared" ref="CX94" si="706">++IFERROR(CX93/CX59,"n/a")</f>
        <v>n/a</v>
      </c>
      <c r="CY94" s="225" t="str">
        <f t="shared" ref="CY94" si="707">++IFERROR(CY93/CY59,"n/a")</f>
        <v>n/a</v>
      </c>
      <c r="CZ94" s="225" t="str">
        <f t="shared" ref="CZ94" si="708">++IFERROR(CZ93/CZ59,"n/a")</f>
        <v>n/a</v>
      </c>
      <c r="DA94" s="225" t="str">
        <f t="shared" ref="DA94" si="709">++IFERROR(DA93/DA59,"n/a")</f>
        <v>n/a</v>
      </c>
      <c r="DB94" s="225" t="str">
        <f t="shared" ref="DB94" si="710">++IFERROR(DB93/DB59,"n/a")</f>
        <v>n/a</v>
      </c>
      <c r="DC94" s="214" t="str">
        <f t="shared" ref="DC94" si="711">++IFERROR(DC93/DC59,"n/a")</f>
        <v>n/a</v>
      </c>
    </row>
    <row r="95" spans="3:107" x14ac:dyDescent="0.3">
      <c r="C95" s="321" t="str">
        <f>++C$46</f>
        <v>% y/y</v>
      </c>
      <c r="G95" s="122" t="s">
        <v>47</v>
      </c>
      <c r="H95" s="122" t="s">
        <v>47</v>
      </c>
      <c r="I95" s="122" t="s">
        <v>47</v>
      </c>
      <c r="J95" s="122" t="s">
        <v>47</v>
      </c>
      <c r="K95" s="214" t="str">
        <f>++IFERROR(K93/G93-1,"n/a")</f>
        <v>n/a</v>
      </c>
      <c r="L95" s="122" t="s">
        <v>47</v>
      </c>
      <c r="M95" s="122" t="s">
        <v>47</v>
      </c>
      <c r="N95" s="225" t="str">
        <f>++IFERROR(N93/H93-1,"n/a")</f>
        <v>n/a</v>
      </c>
      <c r="O95" s="122" t="s">
        <v>47</v>
      </c>
      <c r="P95" s="122" t="s">
        <v>47</v>
      </c>
      <c r="Q95" s="225" t="str">
        <f>++IFERROR(Q93/I93-1,"n/a")</f>
        <v>n/a</v>
      </c>
      <c r="R95" s="122" t="s">
        <v>47</v>
      </c>
      <c r="S95" s="122" t="s">
        <v>47</v>
      </c>
      <c r="T95" s="225" t="str">
        <f>++IFERROR(T93/J93-1,"n/a")</f>
        <v>n/a</v>
      </c>
      <c r="U95" s="122" t="s">
        <v>47</v>
      </c>
      <c r="V95" s="122" t="s">
        <v>47</v>
      </c>
      <c r="W95" s="214" t="str">
        <f t="shared" ref="W95:BB95" si="712">++IFERROR(W93/K93-1,"n/a")</f>
        <v>n/a</v>
      </c>
      <c r="X95" s="225" t="str">
        <f t="shared" si="712"/>
        <v>n/a</v>
      </c>
      <c r="Y95" s="225" t="str">
        <f t="shared" si="712"/>
        <v>n/a</v>
      </c>
      <c r="Z95" s="225" t="str">
        <f t="shared" si="712"/>
        <v>n/a</v>
      </c>
      <c r="AA95" s="225" t="str">
        <f t="shared" si="712"/>
        <v>n/a</v>
      </c>
      <c r="AB95" s="225" t="str">
        <f t="shared" si="712"/>
        <v>n/a</v>
      </c>
      <c r="AC95" s="225" t="str">
        <f t="shared" si="712"/>
        <v>n/a</v>
      </c>
      <c r="AD95" s="225" t="str">
        <f t="shared" si="712"/>
        <v>n/a</v>
      </c>
      <c r="AE95" s="225" t="str">
        <f t="shared" si="712"/>
        <v>n/a</v>
      </c>
      <c r="AF95" s="225" t="str">
        <f t="shared" si="712"/>
        <v>n/a</v>
      </c>
      <c r="AG95" s="225" t="str">
        <f t="shared" si="712"/>
        <v>n/a</v>
      </c>
      <c r="AH95" s="225" t="str">
        <f t="shared" si="712"/>
        <v>n/a</v>
      </c>
      <c r="AI95" s="214" t="str">
        <f t="shared" si="712"/>
        <v>n/a</v>
      </c>
      <c r="AJ95" s="225" t="str">
        <f t="shared" si="712"/>
        <v>n/a</v>
      </c>
      <c r="AK95" s="225" t="str">
        <f t="shared" si="712"/>
        <v>n/a</v>
      </c>
      <c r="AL95" s="225" t="str">
        <f t="shared" si="712"/>
        <v>n/a</v>
      </c>
      <c r="AM95" s="225" t="str">
        <f t="shared" si="712"/>
        <v>n/a</v>
      </c>
      <c r="AN95" s="225" t="str">
        <f t="shared" si="712"/>
        <v>n/a</v>
      </c>
      <c r="AO95" s="225" t="str">
        <f t="shared" si="712"/>
        <v>n/a</v>
      </c>
      <c r="AP95" s="225" t="str">
        <f t="shared" si="712"/>
        <v>n/a</v>
      </c>
      <c r="AQ95" s="225" t="str">
        <f t="shared" si="712"/>
        <v>n/a</v>
      </c>
      <c r="AR95" s="225" t="str">
        <f t="shared" si="712"/>
        <v>n/a</v>
      </c>
      <c r="AS95" s="225" t="str">
        <f t="shared" si="712"/>
        <v>n/a</v>
      </c>
      <c r="AT95" s="225" t="str">
        <f t="shared" si="712"/>
        <v>n/a</v>
      </c>
      <c r="AU95" s="214" t="str">
        <f t="shared" si="712"/>
        <v>n/a</v>
      </c>
      <c r="AV95" s="225" t="str">
        <f t="shared" si="712"/>
        <v>n/a</v>
      </c>
      <c r="AW95" s="225" t="str">
        <f t="shared" si="712"/>
        <v>n/a</v>
      </c>
      <c r="AX95" s="225" t="str">
        <f t="shared" si="712"/>
        <v>n/a</v>
      </c>
      <c r="AY95" s="225" t="str">
        <f t="shared" si="712"/>
        <v>n/a</v>
      </c>
      <c r="AZ95" s="225" t="str">
        <f t="shared" si="712"/>
        <v>n/a</v>
      </c>
      <c r="BA95" s="225" t="str">
        <f t="shared" si="712"/>
        <v>n/a</v>
      </c>
      <c r="BB95" s="225" t="str">
        <f t="shared" si="712"/>
        <v>n/a</v>
      </c>
      <c r="BC95" s="225" t="str">
        <f t="shared" ref="BC95:CH95" si="713">++IFERROR(BC93/AQ93-1,"n/a")</f>
        <v>n/a</v>
      </c>
      <c r="BD95" s="225" t="str">
        <f t="shared" si="713"/>
        <v>n/a</v>
      </c>
      <c r="BE95" s="225" t="str">
        <f t="shared" si="713"/>
        <v>n/a</v>
      </c>
      <c r="BF95" s="225" t="str">
        <f t="shared" si="713"/>
        <v>n/a</v>
      </c>
      <c r="BG95" s="214" t="str">
        <f t="shared" si="713"/>
        <v>n/a</v>
      </c>
      <c r="BH95" s="225" t="str">
        <f t="shared" si="713"/>
        <v>n/a</v>
      </c>
      <c r="BI95" s="225" t="str">
        <f t="shared" si="713"/>
        <v>n/a</v>
      </c>
      <c r="BJ95" s="225" t="str">
        <f t="shared" si="713"/>
        <v>n/a</v>
      </c>
      <c r="BK95" s="225" t="str">
        <f t="shared" si="713"/>
        <v>n/a</v>
      </c>
      <c r="BL95" s="225" t="str">
        <f t="shared" si="713"/>
        <v>n/a</v>
      </c>
      <c r="BM95" s="225" t="str">
        <f t="shared" si="713"/>
        <v>n/a</v>
      </c>
      <c r="BN95" s="225" t="str">
        <f t="shared" si="713"/>
        <v>n/a</v>
      </c>
      <c r="BO95" s="225" t="str">
        <f t="shared" si="713"/>
        <v>n/a</v>
      </c>
      <c r="BP95" s="225" t="str">
        <f t="shared" si="713"/>
        <v>n/a</v>
      </c>
      <c r="BQ95" s="225" t="str">
        <f t="shared" si="713"/>
        <v>n/a</v>
      </c>
      <c r="BR95" s="225" t="str">
        <f t="shared" si="713"/>
        <v>n/a</v>
      </c>
      <c r="BS95" s="214" t="str">
        <f t="shared" si="713"/>
        <v>n/a</v>
      </c>
      <c r="BT95" s="225" t="str">
        <f t="shared" si="713"/>
        <v>n/a</v>
      </c>
      <c r="BU95" s="225" t="str">
        <f t="shared" si="713"/>
        <v>n/a</v>
      </c>
      <c r="BV95" s="225" t="str">
        <f t="shared" si="713"/>
        <v>n/a</v>
      </c>
      <c r="BW95" s="225" t="str">
        <f t="shared" si="713"/>
        <v>n/a</v>
      </c>
      <c r="BX95" s="225" t="str">
        <f t="shared" si="713"/>
        <v>n/a</v>
      </c>
      <c r="BY95" s="225" t="str">
        <f t="shared" si="713"/>
        <v>n/a</v>
      </c>
      <c r="BZ95" s="225" t="str">
        <f t="shared" si="713"/>
        <v>n/a</v>
      </c>
      <c r="CA95" s="225" t="str">
        <f t="shared" si="713"/>
        <v>n/a</v>
      </c>
      <c r="CB95" s="225" t="str">
        <f t="shared" si="713"/>
        <v>n/a</v>
      </c>
      <c r="CC95" s="225" t="str">
        <f t="shared" si="713"/>
        <v>n/a</v>
      </c>
      <c r="CD95" s="225" t="str">
        <f t="shared" si="713"/>
        <v>n/a</v>
      </c>
      <c r="CE95" s="214" t="str">
        <f t="shared" si="713"/>
        <v>n/a</v>
      </c>
      <c r="CF95" s="225" t="str">
        <f t="shared" si="713"/>
        <v>n/a</v>
      </c>
      <c r="CG95" s="225" t="str">
        <f t="shared" si="713"/>
        <v>n/a</v>
      </c>
      <c r="CH95" s="225" t="str">
        <f t="shared" si="713"/>
        <v>n/a</v>
      </c>
      <c r="CI95" s="225" t="str">
        <f t="shared" ref="CI95:DN95" si="714">++IFERROR(CI93/BW93-1,"n/a")</f>
        <v>n/a</v>
      </c>
      <c r="CJ95" s="225" t="str">
        <f t="shared" si="714"/>
        <v>n/a</v>
      </c>
      <c r="CK95" s="225" t="str">
        <f t="shared" si="714"/>
        <v>n/a</v>
      </c>
      <c r="CL95" s="225" t="str">
        <f t="shared" si="714"/>
        <v>n/a</v>
      </c>
      <c r="CM95" s="225" t="str">
        <f t="shared" si="714"/>
        <v>n/a</v>
      </c>
      <c r="CN95" s="225" t="str">
        <f t="shared" si="714"/>
        <v>n/a</v>
      </c>
      <c r="CO95" s="225" t="str">
        <f t="shared" si="714"/>
        <v>n/a</v>
      </c>
      <c r="CP95" s="225" t="str">
        <f t="shared" si="714"/>
        <v>n/a</v>
      </c>
      <c r="CQ95" s="214" t="str">
        <f t="shared" si="714"/>
        <v>n/a</v>
      </c>
      <c r="CR95" s="225" t="str">
        <f t="shared" si="714"/>
        <v>n/a</v>
      </c>
      <c r="CS95" s="225" t="str">
        <f t="shared" si="714"/>
        <v>n/a</v>
      </c>
      <c r="CT95" s="225" t="str">
        <f t="shared" si="714"/>
        <v>n/a</v>
      </c>
      <c r="CU95" s="225" t="str">
        <f t="shared" si="714"/>
        <v>n/a</v>
      </c>
      <c r="CV95" s="225" t="str">
        <f t="shared" si="714"/>
        <v>n/a</v>
      </c>
      <c r="CW95" s="225" t="str">
        <f t="shared" si="714"/>
        <v>n/a</v>
      </c>
      <c r="CX95" s="225" t="str">
        <f t="shared" si="714"/>
        <v>n/a</v>
      </c>
      <c r="CY95" s="225" t="str">
        <f t="shared" si="714"/>
        <v>n/a</v>
      </c>
      <c r="CZ95" s="225" t="str">
        <f t="shared" si="714"/>
        <v>n/a</v>
      </c>
      <c r="DA95" s="225" t="str">
        <f t="shared" si="714"/>
        <v>n/a</v>
      </c>
      <c r="DB95" s="225" t="str">
        <f t="shared" si="714"/>
        <v>n/a</v>
      </c>
      <c r="DC95" s="214" t="str">
        <f t="shared" si="714"/>
        <v>n/a</v>
      </c>
    </row>
    <row r="96" spans="3:107" x14ac:dyDescent="0.3">
      <c r="G96" s="203"/>
      <c r="K96" s="203"/>
      <c r="W96" s="203"/>
      <c r="AI96" s="203"/>
      <c r="AU96" s="203"/>
      <c r="BG96" s="203"/>
      <c r="BS96" s="203"/>
      <c r="CE96" s="203"/>
      <c r="CQ96" s="203"/>
      <c r="DC96" s="203"/>
    </row>
    <row r="97" spans="1:107" x14ac:dyDescent="0.3">
      <c r="C97" s="193" t="str">
        <f>++C$48</f>
        <v>CA EBITDA</v>
      </c>
      <c r="G97" s="400">
        <v>0</v>
      </c>
      <c r="H97" s="400">
        <v>0</v>
      </c>
      <c r="I97" s="400">
        <v>0</v>
      </c>
      <c r="J97" s="400">
        <v>0</v>
      </c>
      <c r="K97" s="400">
        <v>0</v>
      </c>
      <c r="L97" s="400">
        <v>0</v>
      </c>
      <c r="M97" s="400">
        <v>0</v>
      </c>
      <c r="N97" s="400">
        <v>0</v>
      </c>
      <c r="O97" s="400">
        <v>0</v>
      </c>
      <c r="P97" s="400">
        <v>0</v>
      </c>
      <c r="Q97" s="400">
        <v>0</v>
      </c>
      <c r="R97" s="400">
        <v>0</v>
      </c>
      <c r="S97" s="400">
        <v>0</v>
      </c>
      <c r="T97" s="400">
        <v>0</v>
      </c>
      <c r="U97" s="400">
        <v>0</v>
      </c>
      <c r="V97" s="400">
        <v>0</v>
      </c>
      <c r="W97" s="400">
        <v>0</v>
      </c>
      <c r="X97" s="400">
        <v>0</v>
      </c>
      <c r="Y97" s="400">
        <v>0</v>
      </c>
      <c r="Z97" s="400">
        <v>0</v>
      </c>
      <c r="AA97" s="400">
        <v>0</v>
      </c>
      <c r="AB97" s="400">
        <v>0</v>
      </c>
      <c r="AC97" s="400">
        <v>0</v>
      </c>
      <c r="AD97" s="400">
        <v>0</v>
      </c>
      <c r="AE97" s="400">
        <v>0</v>
      </c>
      <c r="AF97" s="400">
        <v>0</v>
      </c>
      <c r="AG97" s="400">
        <v>0</v>
      </c>
      <c r="AH97" s="400">
        <v>0</v>
      </c>
      <c r="AI97" s="400">
        <v>0</v>
      </c>
      <c r="AJ97" s="400">
        <v>0</v>
      </c>
      <c r="AK97" s="400">
        <v>0</v>
      </c>
      <c r="AL97" s="400">
        <v>0</v>
      </c>
      <c r="AM97" s="400">
        <v>0</v>
      </c>
      <c r="AN97" s="400">
        <v>0</v>
      </c>
      <c r="AO97" s="400">
        <v>0</v>
      </c>
      <c r="AP97" s="400">
        <v>0</v>
      </c>
      <c r="AQ97" s="400">
        <v>0</v>
      </c>
      <c r="AR97" s="400">
        <v>0</v>
      </c>
      <c r="AS97" s="400">
        <v>0</v>
      </c>
      <c r="AT97" s="400">
        <v>0</v>
      </c>
      <c r="AU97" s="400">
        <v>0</v>
      </c>
      <c r="AV97" s="400">
        <v>0</v>
      </c>
      <c r="AW97" s="400">
        <v>0</v>
      </c>
      <c r="AX97" s="400">
        <v>0</v>
      </c>
      <c r="AY97" s="400">
        <v>0</v>
      </c>
      <c r="AZ97" s="400">
        <v>0</v>
      </c>
      <c r="BA97" s="400">
        <v>0</v>
      </c>
      <c r="BB97" s="400">
        <v>0</v>
      </c>
      <c r="BC97" s="400">
        <v>0</v>
      </c>
      <c r="BD97" s="400">
        <v>0</v>
      </c>
      <c r="BE97" s="400">
        <v>0</v>
      </c>
      <c r="BF97" s="400">
        <v>0</v>
      </c>
      <c r="BG97" s="400">
        <v>0</v>
      </c>
      <c r="BH97" s="400">
        <v>0</v>
      </c>
      <c r="BI97" s="400">
        <v>0</v>
      </c>
      <c r="BJ97" s="400">
        <v>0</v>
      </c>
      <c r="BK97" s="400">
        <v>0</v>
      </c>
      <c r="BL97" s="400">
        <v>0</v>
      </c>
      <c r="BM97" s="400">
        <v>0</v>
      </c>
      <c r="BN97" s="400">
        <v>0</v>
      </c>
      <c r="BO97" s="400">
        <v>0</v>
      </c>
      <c r="BP97" s="400">
        <v>0</v>
      </c>
      <c r="BQ97" s="400">
        <v>0</v>
      </c>
      <c r="BR97" s="400">
        <v>0</v>
      </c>
      <c r="BS97" s="400">
        <v>0</v>
      </c>
      <c r="BT97" s="400">
        <v>0</v>
      </c>
      <c r="BU97" s="400">
        <v>0</v>
      </c>
      <c r="BV97" s="400">
        <v>0</v>
      </c>
      <c r="BW97" s="400">
        <v>0</v>
      </c>
      <c r="BX97" s="400">
        <v>0</v>
      </c>
      <c r="BY97" s="400">
        <v>0</v>
      </c>
      <c r="BZ97" s="400">
        <v>0</v>
      </c>
      <c r="CA97" s="400">
        <v>0</v>
      </c>
      <c r="CB97" s="400">
        <v>0</v>
      </c>
      <c r="CC97" s="400">
        <v>0</v>
      </c>
      <c r="CD97" s="400">
        <v>0</v>
      </c>
      <c r="CE97" s="400">
        <v>0</v>
      </c>
      <c r="CF97" s="400">
        <v>0</v>
      </c>
      <c r="CG97" s="400">
        <v>0</v>
      </c>
      <c r="CH97" s="400">
        <v>0</v>
      </c>
      <c r="CI97" s="400">
        <v>0</v>
      </c>
      <c r="CJ97" s="400">
        <v>0</v>
      </c>
      <c r="CK97" s="400">
        <v>0</v>
      </c>
      <c r="CL97" s="400">
        <v>0</v>
      </c>
      <c r="CM97" s="400">
        <v>0</v>
      </c>
      <c r="CN97" s="400">
        <v>0</v>
      </c>
      <c r="CO97" s="400">
        <v>0</v>
      </c>
      <c r="CP97" s="400">
        <v>0</v>
      </c>
      <c r="CQ97" s="400">
        <v>0</v>
      </c>
      <c r="CR97" s="400">
        <v>0</v>
      </c>
      <c r="CS97" s="400">
        <v>0</v>
      </c>
      <c r="CT97" s="400">
        <v>0</v>
      </c>
      <c r="CU97" s="400">
        <v>0</v>
      </c>
      <c r="CV97" s="400">
        <v>0</v>
      </c>
      <c r="CW97" s="400">
        <v>0</v>
      </c>
      <c r="CX97" s="400">
        <v>0</v>
      </c>
      <c r="CY97" s="400">
        <v>0</v>
      </c>
      <c r="CZ97" s="400">
        <v>0</v>
      </c>
      <c r="DA97" s="400">
        <v>0</v>
      </c>
      <c r="DB97" s="400">
        <v>0</v>
      </c>
      <c r="DC97" s="400">
        <v>0</v>
      </c>
    </row>
    <row r="98" spans="1:107" x14ac:dyDescent="0.3">
      <c r="C98" s="321" t="str">
        <f>++C$49</f>
        <v>% margin</v>
      </c>
      <c r="G98" s="214" t="str">
        <f>++IFERROR(G97/G59,"n/a")</f>
        <v>n/a</v>
      </c>
      <c r="H98" s="225" t="str">
        <f t="shared" ref="H98" si="715">++IFERROR(H97/H59,"n/a")</f>
        <v>n/a</v>
      </c>
      <c r="I98" s="225" t="str">
        <f t="shared" ref="I98" si="716">++IFERROR(I97/I59,"n/a")</f>
        <v>n/a</v>
      </c>
      <c r="J98" s="225" t="str">
        <f t="shared" ref="J98" si="717">++IFERROR(J97/J59,"n/a")</f>
        <v>n/a</v>
      </c>
      <c r="K98" s="214" t="str">
        <f t="shared" ref="K98" si="718">++IFERROR(K97/K59,"n/a")</f>
        <v>n/a</v>
      </c>
      <c r="L98" s="225" t="str">
        <f t="shared" ref="L98" si="719">++IFERROR(L97/L59,"n/a")</f>
        <v>n/a</v>
      </c>
      <c r="M98" s="225" t="str">
        <f t="shared" ref="M98" si="720">++IFERROR(M97/M59,"n/a")</f>
        <v>n/a</v>
      </c>
      <c r="N98" s="225" t="str">
        <f t="shared" ref="N98" si="721">++IFERROR(N97/N59,"n/a")</f>
        <v>n/a</v>
      </c>
      <c r="O98" s="225" t="str">
        <f t="shared" ref="O98" si="722">++IFERROR(O97/O59,"n/a")</f>
        <v>n/a</v>
      </c>
      <c r="P98" s="225" t="str">
        <f t="shared" ref="P98" si="723">++IFERROR(P97/P59,"n/a")</f>
        <v>n/a</v>
      </c>
      <c r="Q98" s="225" t="str">
        <f t="shared" ref="Q98" si="724">++IFERROR(Q97/Q59,"n/a")</f>
        <v>n/a</v>
      </c>
      <c r="R98" s="225" t="str">
        <f t="shared" ref="R98" si="725">++IFERROR(R97/R59,"n/a")</f>
        <v>n/a</v>
      </c>
      <c r="S98" s="225" t="str">
        <f t="shared" ref="S98" si="726">++IFERROR(S97/S59,"n/a")</f>
        <v>n/a</v>
      </c>
      <c r="T98" s="225" t="str">
        <f t="shared" ref="T98" si="727">++IFERROR(T97/T59,"n/a")</f>
        <v>n/a</v>
      </c>
      <c r="U98" s="225" t="str">
        <f t="shared" ref="U98" si="728">++IFERROR(U97/U59,"n/a")</f>
        <v>n/a</v>
      </c>
      <c r="V98" s="225" t="str">
        <f t="shared" ref="V98" si="729">++IFERROR(V97/V59,"n/a")</f>
        <v>n/a</v>
      </c>
      <c r="W98" s="214" t="str">
        <f t="shared" ref="W98" si="730">++IFERROR(W97/W59,"n/a")</f>
        <v>n/a</v>
      </c>
      <c r="X98" s="225" t="str">
        <f t="shared" ref="X98" si="731">++IFERROR(X97/X59,"n/a")</f>
        <v>n/a</v>
      </c>
      <c r="Y98" s="225" t="str">
        <f t="shared" ref="Y98" si="732">++IFERROR(Y97/Y59,"n/a")</f>
        <v>n/a</v>
      </c>
      <c r="Z98" s="225" t="str">
        <f t="shared" ref="Z98" si="733">++IFERROR(Z97/Z59,"n/a")</f>
        <v>n/a</v>
      </c>
      <c r="AA98" s="225" t="str">
        <f t="shared" ref="AA98" si="734">++IFERROR(AA97/AA59,"n/a")</f>
        <v>n/a</v>
      </c>
      <c r="AB98" s="225" t="str">
        <f t="shared" ref="AB98" si="735">++IFERROR(AB97/AB59,"n/a")</f>
        <v>n/a</v>
      </c>
      <c r="AC98" s="225" t="str">
        <f t="shared" ref="AC98" si="736">++IFERROR(AC97/AC59,"n/a")</f>
        <v>n/a</v>
      </c>
      <c r="AD98" s="225" t="str">
        <f t="shared" ref="AD98" si="737">++IFERROR(AD97/AD59,"n/a")</f>
        <v>n/a</v>
      </c>
      <c r="AE98" s="225" t="str">
        <f t="shared" ref="AE98" si="738">++IFERROR(AE97/AE59,"n/a")</f>
        <v>n/a</v>
      </c>
      <c r="AF98" s="225" t="str">
        <f t="shared" ref="AF98" si="739">++IFERROR(AF97/AF59,"n/a")</f>
        <v>n/a</v>
      </c>
      <c r="AG98" s="225" t="str">
        <f t="shared" ref="AG98" si="740">++IFERROR(AG97/AG59,"n/a")</f>
        <v>n/a</v>
      </c>
      <c r="AH98" s="225" t="str">
        <f t="shared" ref="AH98" si="741">++IFERROR(AH97/AH59,"n/a")</f>
        <v>n/a</v>
      </c>
      <c r="AI98" s="214" t="str">
        <f t="shared" ref="AI98" si="742">++IFERROR(AI97/AI59,"n/a")</f>
        <v>n/a</v>
      </c>
      <c r="AJ98" s="225" t="str">
        <f t="shared" ref="AJ98" si="743">++IFERROR(AJ97/AJ59,"n/a")</f>
        <v>n/a</v>
      </c>
      <c r="AK98" s="225" t="str">
        <f t="shared" ref="AK98" si="744">++IFERROR(AK97/AK59,"n/a")</f>
        <v>n/a</v>
      </c>
      <c r="AL98" s="225" t="str">
        <f t="shared" ref="AL98" si="745">++IFERROR(AL97/AL59,"n/a")</f>
        <v>n/a</v>
      </c>
      <c r="AM98" s="225" t="str">
        <f t="shared" ref="AM98" si="746">++IFERROR(AM97/AM59,"n/a")</f>
        <v>n/a</v>
      </c>
      <c r="AN98" s="225" t="str">
        <f t="shared" ref="AN98" si="747">++IFERROR(AN97/AN59,"n/a")</f>
        <v>n/a</v>
      </c>
      <c r="AO98" s="225" t="str">
        <f t="shared" ref="AO98" si="748">++IFERROR(AO97/AO59,"n/a")</f>
        <v>n/a</v>
      </c>
      <c r="AP98" s="225" t="str">
        <f t="shared" ref="AP98" si="749">++IFERROR(AP97/AP59,"n/a")</f>
        <v>n/a</v>
      </c>
      <c r="AQ98" s="225" t="str">
        <f t="shared" ref="AQ98" si="750">++IFERROR(AQ97/AQ59,"n/a")</f>
        <v>n/a</v>
      </c>
      <c r="AR98" s="225" t="str">
        <f t="shared" ref="AR98" si="751">++IFERROR(AR97/AR59,"n/a")</f>
        <v>n/a</v>
      </c>
      <c r="AS98" s="225" t="str">
        <f t="shared" ref="AS98" si="752">++IFERROR(AS97/AS59,"n/a")</f>
        <v>n/a</v>
      </c>
      <c r="AT98" s="225" t="str">
        <f t="shared" ref="AT98" si="753">++IFERROR(AT97/AT59,"n/a")</f>
        <v>n/a</v>
      </c>
      <c r="AU98" s="214" t="str">
        <f t="shared" ref="AU98" si="754">++IFERROR(AU97/AU59,"n/a")</f>
        <v>n/a</v>
      </c>
      <c r="AV98" s="225" t="str">
        <f t="shared" ref="AV98" si="755">++IFERROR(AV97/AV59,"n/a")</f>
        <v>n/a</v>
      </c>
      <c r="AW98" s="225" t="str">
        <f t="shared" ref="AW98" si="756">++IFERROR(AW97/AW59,"n/a")</f>
        <v>n/a</v>
      </c>
      <c r="AX98" s="225" t="str">
        <f t="shared" ref="AX98" si="757">++IFERROR(AX97/AX59,"n/a")</f>
        <v>n/a</v>
      </c>
      <c r="AY98" s="225" t="str">
        <f t="shared" ref="AY98" si="758">++IFERROR(AY97/AY59,"n/a")</f>
        <v>n/a</v>
      </c>
      <c r="AZ98" s="225" t="str">
        <f t="shared" ref="AZ98" si="759">++IFERROR(AZ97/AZ59,"n/a")</f>
        <v>n/a</v>
      </c>
      <c r="BA98" s="225" t="str">
        <f t="shared" ref="BA98" si="760">++IFERROR(BA97/BA59,"n/a")</f>
        <v>n/a</v>
      </c>
      <c r="BB98" s="225" t="str">
        <f t="shared" ref="BB98" si="761">++IFERROR(BB97/BB59,"n/a")</f>
        <v>n/a</v>
      </c>
      <c r="BC98" s="225" t="str">
        <f t="shared" ref="BC98" si="762">++IFERROR(BC97/BC59,"n/a")</f>
        <v>n/a</v>
      </c>
      <c r="BD98" s="225" t="str">
        <f t="shared" ref="BD98" si="763">++IFERROR(BD97/BD59,"n/a")</f>
        <v>n/a</v>
      </c>
      <c r="BE98" s="225" t="str">
        <f t="shared" ref="BE98" si="764">++IFERROR(BE97/BE59,"n/a")</f>
        <v>n/a</v>
      </c>
      <c r="BF98" s="225" t="str">
        <f t="shared" ref="BF98" si="765">++IFERROR(BF97/BF59,"n/a")</f>
        <v>n/a</v>
      </c>
      <c r="BG98" s="214" t="str">
        <f t="shared" ref="BG98" si="766">++IFERROR(BG97/BG59,"n/a")</f>
        <v>n/a</v>
      </c>
      <c r="BH98" s="225" t="str">
        <f t="shared" ref="BH98" si="767">++IFERROR(BH97/BH59,"n/a")</f>
        <v>n/a</v>
      </c>
      <c r="BI98" s="225" t="str">
        <f t="shared" ref="BI98" si="768">++IFERROR(BI97/BI59,"n/a")</f>
        <v>n/a</v>
      </c>
      <c r="BJ98" s="225" t="str">
        <f t="shared" ref="BJ98" si="769">++IFERROR(BJ97/BJ59,"n/a")</f>
        <v>n/a</v>
      </c>
      <c r="BK98" s="225" t="str">
        <f t="shared" ref="BK98" si="770">++IFERROR(BK97/BK59,"n/a")</f>
        <v>n/a</v>
      </c>
      <c r="BL98" s="225" t="str">
        <f t="shared" ref="BL98" si="771">++IFERROR(BL97/BL59,"n/a")</f>
        <v>n/a</v>
      </c>
      <c r="BM98" s="225" t="str">
        <f t="shared" ref="BM98" si="772">++IFERROR(BM97/BM59,"n/a")</f>
        <v>n/a</v>
      </c>
      <c r="BN98" s="225" t="str">
        <f t="shared" ref="BN98" si="773">++IFERROR(BN97/BN59,"n/a")</f>
        <v>n/a</v>
      </c>
      <c r="BO98" s="225" t="str">
        <f t="shared" ref="BO98" si="774">++IFERROR(BO97/BO59,"n/a")</f>
        <v>n/a</v>
      </c>
      <c r="BP98" s="225" t="str">
        <f t="shared" ref="BP98" si="775">++IFERROR(BP97/BP59,"n/a")</f>
        <v>n/a</v>
      </c>
      <c r="BQ98" s="225" t="str">
        <f t="shared" ref="BQ98" si="776">++IFERROR(BQ97/BQ59,"n/a")</f>
        <v>n/a</v>
      </c>
      <c r="BR98" s="225" t="str">
        <f t="shared" ref="BR98" si="777">++IFERROR(BR97/BR59,"n/a")</f>
        <v>n/a</v>
      </c>
      <c r="BS98" s="214" t="str">
        <f t="shared" ref="BS98" si="778">++IFERROR(BS97/BS59,"n/a")</f>
        <v>n/a</v>
      </c>
      <c r="BT98" s="225" t="str">
        <f t="shared" ref="BT98" si="779">++IFERROR(BT97/BT59,"n/a")</f>
        <v>n/a</v>
      </c>
      <c r="BU98" s="225" t="str">
        <f t="shared" ref="BU98" si="780">++IFERROR(BU97/BU59,"n/a")</f>
        <v>n/a</v>
      </c>
      <c r="BV98" s="225" t="str">
        <f t="shared" ref="BV98" si="781">++IFERROR(BV97/BV59,"n/a")</f>
        <v>n/a</v>
      </c>
      <c r="BW98" s="225" t="str">
        <f t="shared" ref="BW98" si="782">++IFERROR(BW97/BW59,"n/a")</f>
        <v>n/a</v>
      </c>
      <c r="BX98" s="225" t="str">
        <f t="shared" ref="BX98" si="783">++IFERROR(BX97/BX59,"n/a")</f>
        <v>n/a</v>
      </c>
      <c r="BY98" s="225" t="str">
        <f t="shared" ref="BY98" si="784">++IFERROR(BY97/BY59,"n/a")</f>
        <v>n/a</v>
      </c>
      <c r="BZ98" s="225" t="str">
        <f t="shared" ref="BZ98" si="785">++IFERROR(BZ97/BZ59,"n/a")</f>
        <v>n/a</v>
      </c>
      <c r="CA98" s="225" t="str">
        <f t="shared" ref="CA98" si="786">++IFERROR(CA97/CA59,"n/a")</f>
        <v>n/a</v>
      </c>
      <c r="CB98" s="225" t="str">
        <f t="shared" ref="CB98" si="787">++IFERROR(CB97/CB59,"n/a")</f>
        <v>n/a</v>
      </c>
      <c r="CC98" s="225" t="str">
        <f t="shared" ref="CC98" si="788">++IFERROR(CC97/CC59,"n/a")</f>
        <v>n/a</v>
      </c>
      <c r="CD98" s="225" t="str">
        <f t="shared" ref="CD98" si="789">++IFERROR(CD97/CD59,"n/a")</f>
        <v>n/a</v>
      </c>
      <c r="CE98" s="214" t="str">
        <f t="shared" ref="CE98" si="790">++IFERROR(CE97/CE59,"n/a")</f>
        <v>n/a</v>
      </c>
      <c r="CF98" s="225" t="str">
        <f t="shared" ref="CF98" si="791">++IFERROR(CF97/CF59,"n/a")</f>
        <v>n/a</v>
      </c>
      <c r="CG98" s="225" t="str">
        <f t="shared" ref="CG98" si="792">++IFERROR(CG97/CG59,"n/a")</f>
        <v>n/a</v>
      </c>
      <c r="CH98" s="225" t="str">
        <f t="shared" ref="CH98" si="793">++IFERROR(CH97/CH59,"n/a")</f>
        <v>n/a</v>
      </c>
      <c r="CI98" s="225" t="str">
        <f t="shared" ref="CI98" si="794">++IFERROR(CI97/CI59,"n/a")</f>
        <v>n/a</v>
      </c>
      <c r="CJ98" s="225" t="str">
        <f t="shared" ref="CJ98" si="795">++IFERROR(CJ97/CJ59,"n/a")</f>
        <v>n/a</v>
      </c>
      <c r="CK98" s="225" t="str">
        <f t="shared" ref="CK98" si="796">++IFERROR(CK97/CK59,"n/a")</f>
        <v>n/a</v>
      </c>
      <c r="CL98" s="225" t="str">
        <f t="shared" ref="CL98" si="797">++IFERROR(CL97/CL59,"n/a")</f>
        <v>n/a</v>
      </c>
      <c r="CM98" s="225" t="str">
        <f t="shared" ref="CM98" si="798">++IFERROR(CM97/CM59,"n/a")</f>
        <v>n/a</v>
      </c>
      <c r="CN98" s="225" t="str">
        <f t="shared" ref="CN98" si="799">++IFERROR(CN97/CN59,"n/a")</f>
        <v>n/a</v>
      </c>
      <c r="CO98" s="225" t="str">
        <f t="shared" ref="CO98" si="800">++IFERROR(CO97/CO59,"n/a")</f>
        <v>n/a</v>
      </c>
      <c r="CP98" s="225" t="str">
        <f t="shared" ref="CP98" si="801">++IFERROR(CP97/CP59,"n/a")</f>
        <v>n/a</v>
      </c>
      <c r="CQ98" s="214" t="str">
        <f t="shared" ref="CQ98" si="802">++IFERROR(CQ97/CQ59,"n/a")</f>
        <v>n/a</v>
      </c>
      <c r="CR98" s="225" t="str">
        <f t="shared" ref="CR98" si="803">++IFERROR(CR97/CR59,"n/a")</f>
        <v>n/a</v>
      </c>
      <c r="CS98" s="225" t="str">
        <f t="shared" ref="CS98" si="804">++IFERROR(CS97/CS59,"n/a")</f>
        <v>n/a</v>
      </c>
      <c r="CT98" s="225" t="str">
        <f t="shared" ref="CT98" si="805">++IFERROR(CT97/CT59,"n/a")</f>
        <v>n/a</v>
      </c>
      <c r="CU98" s="225" t="str">
        <f t="shared" ref="CU98" si="806">++IFERROR(CU97/CU59,"n/a")</f>
        <v>n/a</v>
      </c>
      <c r="CV98" s="225" t="str">
        <f t="shared" ref="CV98" si="807">++IFERROR(CV97/CV59,"n/a")</f>
        <v>n/a</v>
      </c>
      <c r="CW98" s="225" t="str">
        <f t="shared" ref="CW98" si="808">++IFERROR(CW97/CW59,"n/a")</f>
        <v>n/a</v>
      </c>
      <c r="CX98" s="225" t="str">
        <f t="shared" ref="CX98" si="809">++IFERROR(CX97/CX59,"n/a")</f>
        <v>n/a</v>
      </c>
      <c r="CY98" s="225" t="str">
        <f t="shared" ref="CY98" si="810">++IFERROR(CY97/CY59,"n/a")</f>
        <v>n/a</v>
      </c>
      <c r="CZ98" s="225" t="str">
        <f t="shared" ref="CZ98" si="811">++IFERROR(CZ97/CZ59,"n/a")</f>
        <v>n/a</v>
      </c>
      <c r="DA98" s="225" t="str">
        <f t="shared" ref="DA98" si="812">++IFERROR(DA97/DA59,"n/a")</f>
        <v>n/a</v>
      </c>
      <c r="DB98" s="225" t="str">
        <f t="shared" ref="DB98" si="813">++IFERROR(DB97/DB59,"n/a")</f>
        <v>n/a</v>
      </c>
      <c r="DC98" s="214" t="str">
        <f t="shared" ref="DC98" si="814">++IFERROR(DC97/DC59,"n/a")</f>
        <v>n/a</v>
      </c>
    </row>
    <row r="99" spans="1:107" x14ac:dyDescent="0.3">
      <c r="C99" s="321" t="str">
        <f>++C$50</f>
        <v>% y/y</v>
      </c>
      <c r="G99" s="122" t="s">
        <v>47</v>
      </c>
      <c r="H99" s="122" t="s">
        <v>47</v>
      </c>
      <c r="I99" s="122" t="s">
        <v>47</v>
      </c>
      <c r="J99" s="122" t="s">
        <v>47</v>
      </c>
      <c r="K99" s="214" t="str">
        <f>++IFERROR(K97/G97-1,"n/a")</f>
        <v>n/a</v>
      </c>
      <c r="L99" s="122" t="s">
        <v>47</v>
      </c>
      <c r="M99" s="122" t="s">
        <v>47</v>
      </c>
      <c r="N99" s="225" t="str">
        <f>++IFERROR(N97/H97-1,"n/a")</f>
        <v>n/a</v>
      </c>
      <c r="O99" s="122" t="s">
        <v>47</v>
      </c>
      <c r="P99" s="122" t="s">
        <v>47</v>
      </c>
      <c r="Q99" s="225" t="str">
        <f>++IFERROR(Q97/I97-1,"n/a")</f>
        <v>n/a</v>
      </c>
      <c r="R99" s="122" t="s">
        <v>47</v>
      </c>
      <c r="S99" s="122" t="s">
        <v>47</v>
      </c>
      <c r="T99" s="225" t="str">
        <f>++IFERROR(T97/J97-1,"n/a")</f>
        <v>n/a</v>
      </c>
      <c r="U99" s="122" t="s">
        <v>47</v>
      </c>
      <c r="V99" s="122" t="s">
        <v>47</v>
      </c>
      <c r="W99" s="214" t="str">
        <f t="shared" ref="W99:BB99" si="815">++IFERROR(W97/K97-1,"n/a")</f>
        <v>n/a</v>
      </c>
      <c r="X99" s="225" t="str">
        <f t="shared" si="815"/>
        <v>n/a</v>
      </c>
      <c r="Y99" s="225" t="str">
        <f t="shared" si="815"/>
        <v>n/a</v>
      </c>
      <c r="Z99" s="225" t="str">
        <f t="shared" si="815"/>
        <v>n/a</v>
      </c>
      <c r="AA99" s="225" t="str">
        <f t="shared" si="815"/>
        <v>n/a</v>
      </c>
      <c r="AB99" s="225" t="str">
        <f t="shared" si="815"/>
        <v>n/a</v>
      </c>
      <c r="AC99" s="225" t="str">
        <f t="shared" si="815"/>
        <v>n/a</v>
      </c>
      <c r="AD99" s="225" t="str">
        <f t="shared" si="815"/>
        <v>n/a</v>
      </c>
      <c r="AE99" s="225" t="str">
        <f t="shared" si="815"/>
        <v>n/a</v>
      </c>
      <c r="AF99" s="225" t="str">
        <f t="shared" si="815"/>
        <v>n/a</v>
      </c>
      <c r="AG99" s="225" t="str">
        <f t="shared" si="815"/>
        <v>n/a</v>
      </c>
      <c r="AH99" s="225" t="str">
        <f t="shared" si="815"/>
        <v>n/a</v>
      </c>
      <c r="AI99" s="214" t="str">
        <f t="shared" si="815"/>
        <v>n/a</v>
      </c>
      <c r="AJ99" s="225" t="str">
        <f t="shared" si="815"/>
        <v>n/a</v>
      </c>
      <c r="AK99" s="225" t="str">
        <f t="shared" si="815"/>
        <v>n/a</v>
      </c>
      <c r="AL99" s="225" t="str">
        <f t="shared" si="815"/>
        <v>n/a</v>
      </c>
      <c r="AM99" s="225" t="str">
        <f t="shared" si="815"/>
        <v>n/a</v>
      </c>
      <c r="AN99" s="225" t="str">
        <f t="shared" si="815"/>
        <v>n/a</v>
      </c>
      <c r="AO99" s="225" t="str">
        <f t="shared" si="815"/>
        <v>n/a</v>
      </c>
      <c r="AP99" s="225" t="str">
        <f t="shared" si="815"/>
        <v>n/a</v>
      </c>
      <c r="AQ99" s="225" t="str">
        <f t="shared" si="815"/>
        <v>n/a</v>
      </c>
      <c r="AR99" s="225" t="str">
        <f t="shared" si="815"/>
        <v>n/a</v>
      </c>
      <c r="AS99" s="225" t="str">
        <f t="shared" si="815"/>
        <v>n/a</v>
      </c>
      <c r="AT99" s="225" t="str">
        <f t="shared" si="815"/>
        <v>n/a</v>
      </c>
      <c r="AU99" s="214" t="str">
        <f t="shared" si="815"/>
        <v>n/a</v>
      </c>
      <c r="AV99" s="225" t="str">
        <f t="shared" si="815"/>
        <v>n/a</v>
      </c>
      <c r="AW99" s="225" t="str">
        <f t="shared" si="815"/>
        <v>n/a</v>
      </c>
      <c r="AX99" s="225" t="str">
        <f t="shared" si="815"/>
        <v>n/a</v>
      </c>
      <c r="AY99" s="225" t="str">
        <f t="shared" si="815"/>
        <v>n/a</v>
      </c>
      <c r="AZ99" s="225" t="str">
        <f t="shared" si="815"/>
        <v>n/a</v>
      </c>
      <c r="BA99" s="225" t="str">
        <f t="shared" si="815"/>
        <v>n/a</v>
      </c>
      <c r="BB99" s="225" t="str">
        <f t="shared" si="815"/>
        <v>n/a</v>
      </c>
      <c r="BC99" s="225" t="str">
        <f t="shared" ref="BC99:CH99" si="816">++IFERROR(BC97/AQ97-1,"n/a")</f>
        <v>n/a</v>
      </c>
      <c r="BD99" s="225" t="str">
        <f t="shared" si="816"/>
        <v>n/a</v>
      </c>
      <c r="BE99" s="225" t="str">
        <f t="shared" si="816"/>
        <v>n/a</v>
      </c>
      <c r="BF99" s="225" t="str">
        <f t="shared" si="816"/>
        <v>n/a</v>
      </c>
      <c r="BG99" s="214" t="str">
        <f t="shared" si="816"/>
        <v>n/a</v>
      </c>
      <c r="BH99" s="225" t="str">
        <f t="shared" si="816"/>
        <v>n/a</v>
      </c>
      <c r="BI99" s="225" t="str">
        <f t="shared" si="816"/>
        <v>n/a</v>
      </c>
      <c r="BJ99" s="225" t="str">
        <f t="shared" si="816"/>
        <v>n/a</v>
      </c>
      <c r="BK99" s="225" t="str">
        <f t="shared" si="816"/>
        <v>n/a</v>
      </c>
      <c r="BL99" s="225" t="str">
        <f t="shared" si="816"/>
        <v>n/a</v>
      </c>
      <c r="BM99" s="225" t="str">
        <f t="shared" si="816"/>
        <v>n/a</v>
      </c>
      <c r="BN99" s="225" t="str">
        <f t="shared" si="816"/>
        <v>n/a</v>
      </c>
      <c r="BO99" s="225" t="str">
        <f t="shared" si="816"/>
        <v>n/a</v>
      </c>
      <c r="BP99" s="225" t="str">
        <f t="shared" si="816"/>
        <v>n/a</v>
      </c>
      <c r="BQ99" s="225" t="str">
        <f t="shared" si="816"/>
        <v>n/a</v>
      </c>
      <c r="BR99" s="225" t="str">
        <f t="shared" si="816"/>
        <v>n/a</v>
      </c>
      <c r="BS99" s="214" t="str">
        <f t="shared" si="816"/>
        <v>n/a</v>
      </c>
      <c r="BT99" s="225" t="str">
        <f t="shared" si="816"/>
        <v>n/a</v>
      </c>
      <c r="BU99" s="225" t="str">
        <f t="shared" si="816"/>
        <v>n/a</v>
      </c>
      <c r="BV99" s="225" t="str">
        <f t="shared" si="816"/>
        <v>n/a</v>
      </c>
      <c r="BW99" s="225" t="str">
        <f t="shared" si="816"/>
        <v>n/a</v>
      </c>
      <c r="BX99" s="225" t="str">
        <f t="shared" si="816"/>
        <v>n/a</v>
      </c>
      <c r="BY99" s="225" t="str">
        <f t="shared" si="816"/>
        <v>n/a</v>
      </c>
      <c r="BZ99" s="225" t="str">
        <f t="shared" si="816"/>
        <v>n/a</v>
      </c>
      <c r="CA99" s="225" t="str">
        <f t="shared" si="816"/>
        <v>n/a</v>
      </c>
      <c r="CB99" s="225" t="str">
        <f t="shared" si="816"/>
        <v>n/a</v>
      </c>
      <c r="CC99" s="225" t="str">
        <f t="shared" si="816"/>
        <v>n/a</v>
      </c>
      <c r="CD99" s="225" t="str">
        <f t="shared" si="816"/>
        <v>n/a</v>
      </c>
      <c r="CE99" s="214" t="str">
        <f t="shared" si="816"/>
        <v>n/a</v>
      </c>
      <c r="CF99" s="225" t="str">
        <f t="shared" si="816"/>
        <v>n/a</v>
      </c>
      <c r="CG99" s="225" t="str">
        <f t="shared" si="816"/>
        <v>n/a</v>
      </c>
      <c r="CH99" s="225" t="str">
        <f t="shared" si="816"/>
        <v>n/a</v>
      </c>
      <c r="CI99" s="225" t="str">
        <f t="shared" ref="CI99:DN99" si="817">++IFERROR(CI97/BW97-1,"n/a")</f>
        <v>n/a</v>
      </c>
      <c r="CJ99" s="225" t="str">
        <f t="shared" si="817"/>
        <v>n/a</v>
      </c>
      <c r="CK99" s="225" t="str">
        <f t="shared" si="817"/>
        <v>n/a</v>
      </c>
      <c r="CL99" s="225" t="str">
        <f t="shared" si="817"/>
        <v>n/a</v>
      </c>
      <c r="CM99" s="225" t="str">
        <f t="shared" si="817"/>
        <v>n/a</v>
      </c>
      <c r="CN99" s="225" t="str">
        <f t="shared" si="817"/>
        <v>n/a</v>
      </c>
      <c r="CO99" s="225" t="str">
        <f t="shared" si="817"/>
        <v>n/a</v>
      </c>
      <c r="CP99" s="225" t="str">
        <f t="shared" si="817"/>
        <v>n/a</v>
      </c>
      <c r="CQ99" s="214" t="str">
        <f t="shared" si="817"/>
        <v>n/a</v>
      </c>
      <c r="CR99" s="225" t="str">
        <f t="shared" si="817"/>
        <v>n/a</v>
      </c>
      <c r="CS99" s="225" t="str">
        <f t="shared" si="817"/>
        <v>n/a</v>
      </c>
      <c r="CT99" s="225" t="str">
        <f t="shared" si="817"/>
        <v>n/a</v>
      </c>
      <c r="CU99" s="225" t="str">
        <f t="shared" si="817"/>
        <v>n/a</v>
      </c>
      <c r="CV99" s="225" t="str">
        <f t="shared" si="817"/>
        <v>n/a</v>
      </c>
      <c r="CW99" s="225" t="str">
        <f t="shared" si="817"/>
        <v>n/a</v>
      </c>
      <c r="CX99" s="225" t="str">
        <f t="shared" si="817"/>
        <v>n/a</v>
      </c>
      <c r="CY99" s="225" t="str">
        <f t="shared" si="817"/>
        <v>n/a</v>
      </c>
      <c r="CZ99" s="225" t="str">
        <f t="shared" si="817"/>
        <v>n/a</v>
      </c>
      <c r="DA99" s="225" t="str">
        <f t="shared" si="817"/>
        <v>n/a</v>
      </c>
      <c r="DB99" s="225" t="str">
        <f t="shared" si="817"/>
        <v>n/a</v>
      </c>
      <c r="DC99" s="214" t="str">
        <f t="shared" si="817"/>
        <v>n/a</v>
      </c>
    </row>
    <row r="100" spans="1:107" x14ac:dyDescent="0.3">
      <c r="G100" s="203"/>
      <c r="K100" s="203"/>
      <c r="W100" s="203"/>
      <c r="AI100" s="203"/>
      <c r="AU100" s="203"/>
      <c r="BG100" s="203"/>
      <c r="BS100" s="203"/>
      <c r="CE100" s="203"/>
      <c r="CQ100" s="203"/>
      <c r="DC100" s="203"/>
    </row>
    <row r="101" spans="1:107" x14ac:dyDescent="0.3">
      <c r="C101" s="193" t="str">
        <f>++C$52</f>
        <v>Capital Expenditures</v>
      </c>
      <c r="G101" s="400">
        <v>0</v>
      </c>
      <c r="H101" s="400">
        <v>0</v>
      </c>
      <c r="I101" s="400">
        <v>0</v>
      </c>
      <c r="J101" s="400">
        <v>0</v>
      </c>
      <c r="K101" s="400">
        <v>0</v>
      </c>
      <c r="L101" s="400">
        <v>0</v>
      </c>
      <c r="M101" s="400">
        <v>0</v>
      </c>
      <c r="N101" s="400">
        <v>0</v>
      </c>
      <c r="O101" s="400">
        <v>0</v>
      </c>
      <c r="P101" s="400">
        <v>0</v>
      </c>
      <c r="Q101" s="400">
        <v>0</v>
      </c>
      <c r="R101" s="400">
        <v>0</v>
      </c>
      <c r="S101" s="400">
        <v>0</v>
      </c>
      <c r="T101" s="400">
        <v>0</v>
      </c>
      <c r="U101" s="400">
        <v>0</v>
      </c>
      <c r="V101" s="400">
        <v>0</v>
      </c>
      <c r="W101" s="400">
        <v>0</v>
      </c>
      <c r="X101" s="400">
        <v>0</v>
      </c>
      <c r="Y101" s="400">
        <v>0</v>
      </c>
      <c r="Z101" s="400">
        <v>0</v>
      </c>
      <c r="AA101" s="400">
        <v>0</v>
      </c>
      <c r="AB101" s="400">
        <v>0</v>
      </c>
      <c r="AC101" s="400">
        <v>0</v>
      </c>
      <c r="AD101" s="400">
        <v>0</v>
      </c>
      <c r="AE101" s="400">
        <v>0</v>
      </c>
      <c r="AF101" s="400">
        <v>0</v>
      </c>
      <c r="AG101" s="400">
        <v>0</v>
      </c>
      <c r="AH101" s="400">
        <v>0</v>
      </c>
      <c r="AI101" s="400">
        <v>0</v>
      </c>
      <c r="AJ101" s="400">
        <v>0</v>
      </c>
      <c r="AK101" s="400">
        <v>0</v>
      </c>
      <c r="AL101" s="400">
        <v>0</v>
      </c>
      <c r="AM101" s="400">
        <v>0</v>
      </c>
      <c r="AN101" s="400">
        <v>0</v>
      </c>
      <c r="AO101" s="400">
        <v>0</v>
      </c>
      <c r="AP101" s="400">
        <v>0</v>
      </c>
      <c r="AQ101" s="400">
        <v>0</v>
      </c>
      <c r="AR101" s="400">
        <v>0</v>
      </c>
      <c r="AS101" s="400">
        <v>0</v>
      </c>
      <c r="AT101" s="400">
        <v>0</v>
      </c>
      <c r="AU101" s="400">
        <v>0</v>
      </c>
      <c r="AV101" s="400">
        <v>0</v>
      </c>
      <c r="AW101" s="400">
        <v>0</v>
      </c>
      <c r="AX101" s="400">
        <v>0</v>
      </c>
      <c r="AY101" s="400">
        <v>0</v>
      </c>
      <c r="AZ101" s="400">
        <v>0</v>
      </c>
      <c r="BA101" s="400">
        <v>0</v>
      </c>
      <c r="BB101" s="400">
        <v>0</v>
      </c>
      <c r="BC101" s="400">
        <v>0</v>
      </c>
      <c r="BD101" s="400">
        <v>0</v>
      </c>
      <c r="BE101" s="400">
        <v>0</v>
      </c>
      <c r="BF101" s="400">
        <v>0</v>
      </c>
      <c r="BG101" s="400">
        <v>0</v>
      </c>
      <c r="BH101" s="400">
        <v>0</v>
      </c>
      <c r="BI101" s="400">
        <v>0</v>
      </c>
      <c r="BJ101" s="400">
        <v>0</v>
      </c>
      <c r="BK101" s="400">
        <v>0</v>
      </c>
      <c r="BL101" s="400">
        <v>0</v>
      </c>
      <c r="BM101" s="400">
        <v>0</v>
      </c>
      <c r="BN101" s="400">
        <v>0</v>
      </c>
      <c r="BO101" s="400">
        <v>0</v>
      </c>
      <c r="BP101" s="400">
        <v>0</v>
      </c>
      <c r="BQ101" s="400">
        <v>0</v>
      </c>
      <c r="BR101" s="400">
        <v>0</v>
      </c>
      <c r="BS101" s="400">
        <v>0</v>
      </c>
      <c r="BT101" s="400">
        <v>0</v>
      </c>
      <c r="BU101" s="400">
        <v>0</v>
      </c>
      <c r="BV101" s="400">
        <v>0</v>
      </c>
      <c r="BW101" s="400">
        <v>0</v>
      </c>
      <c r="BX101" s="400">
        <v>0</v>
      </c>
      <c r="BY101" s="400">
        <v>0</v>
      </c>
      <c r="BZ101" s="400">
        <v>0</v>
      </c>
      <c r="CA101" s="400">
        <v>0</v>
      </c>
      <c r="CB101" s="400">
        <v>0</v>
      </c>
      <c r="CC101" s="400">
        <v>0</v>
      </c>
      <c r="CD101" s="400">
        <v>0</v>
      </c>
      <c r="CE101" s="400">
        <v>0</v>
      </c>
      <c r="CF101" s="400">
        <v>0</v>
      </c>
      <c r="CG101" s="400">
        <v>0</v>
      </c>
      <c r="CH101" s="400">
        <v>0</v>
      </c>
      <c r="CI101" s="400">
        <v>0</v>
      </c>
      <c r="CJ101" s="400">
        <v>0</v>
      </c>
      <c r="CK101" s="400">
        <v>0</v>
      </c>
      <c r="CL101" s="400">
        <v>0</v>
      </c>
      <c r="CM101" s="400">
        <v>0</v>
      </c>
      <c r="CN101" s="400">
        <v>0</v>
      </c>
      <c r="CO101" s="400">
        <v>0</v>
      </c>
      <c r="CP101" s="400">
        <v>0</v>
      </c>
      <c r="CQ101" s="400">
        <v>0</v>
      </c>
      <c r="CR101" s="400">
        <v>0</v>
      </c>
      <c r="CS101" s="400">
        <v>0</v>
      </c>
      <c r="CT101" s="400">
        <v>0</v>
      </c>
      <c r="CU101" s="400">
        <v>0</v>
      </c>
      <c r="CV101" s="400">
        <v>0</v>
      </c>
      <c r="CW101" s="400">
        <v>0</v>
      </c>
      <c r="CX101" s="400">
        <v>0</v>
      </c>
      <c r="CY101" s="400">
        <v>0</v>
      </c>
      <c r="CZ101" s="400">
        <v>0</v>
      </c>
      <c r="DA101" s="400">
        <v>0</v>
      </c>
      <c r="DB101" s="400">
        <v>0</v>
      </c>
      <c r="DC101" s="400">
        <v>0</v>
      </c>
    </row>
    <row r="102" spans="1:107" x14ac:dyDescent="0.3">
      <c r="C102" s="321" t="str">
        <f>++C$53</f>
        <v>% revenue</v>
      </c>
      <c r="G102" s="214" t="str">
        <f>++IFERROR(G101/G59,"n/a")</f>
        <v>n/a</v>
      </c>
      <c r="H102" s="225" t="str">
        <f t="shared" ref="H102" si="818">++IFERROR(H101/H59,"n/a")</f>
        <v>n/a</v>
      </c>
      <c r="I102" s="225" t="str">
        <f t="shared" ref="I102" si="819">++IFERROR(I101/I59,"n/a")</f>
        <v>n/a</v>
      </c>
      <c r="J102" s="225" t="str">
        <f t="shared" ref="J102" si="820">++IFERROR(J101/J59,"n/a")</f>
        <v>n/a</v>
      </c>
      <c r="K102" s="214" t="str">
        <f t="shared" ref="K102" si="821">++IFERROR(K101/K59,"n/a")</f>
        <v>n/a</v>
      </c>
      <c r="L102" s="225" t="str">
        <f t="shared" ref="L102" si="822">++IFERROR(L101/L59,"n/a")</f>
        <v>n/a</v>
      </c>
      <c r="M102" s="225" t="str">
        <f t="shared" ref="M102" si="823">++IFERROR(M101/M59,"n/a")</f>
        <v>n/a</v>
      </c>
      <c r="N102" s="225" t="str">
        <f t="shared" ref="N102" si="824">++IFERROR(N101/N59,"n/a")</f>
        <v>n/a</v>
      </c>
      <c r="O102" s="225" t="str">
        <f t="shared" ref="O102" si="825">++IFERROR(O101/O59,"n/a")</f>
        <v>n/a</v>
      </c>
      <c r="P102" s="225" t="str">
        <f t="shared" ref="P102" si="826">++IFERROR(P101/P59,"n/a")</f>
        <v>n/a</v>
      </c>
      <c r="Q102" s="225" t="str">
        <f t="shared" ref="Q102" si="827">++IFERROR(Q101/Q59,"n/a")</f>
        <v>n/a</v>
      </c>
      <c r="R102" s="225" t="str">
        <f t="shared" ref="R102" si="828">++IFERROR(R101/R59,"n/a")</f>
        <v>n/a</v>
      </c>
      <c r="S102" s="225" t="str">
        <f t="shared" ref="S102" si="829">++IFERROR(S101/S59,"n/a")</f>
        <v>n/a</v>
      </c>
      <c r="T102" s="225" t="str">
        <f t="shared" ref="T102" si="830">++IFERROR(T101/T59,"n/a")</f>
        <v>n/a</v>
      </c>
      <c r="U102" s="225" t="str">
        <f t="shared" ref="U102" si="831">++IFERROR(U101/U59,"n/a")</f>
        <v>n/a</v>
      </c>
      <c r="V102" s="225" t="str">
        <f t="shared" ref="V102" si="832">++IFERROR(V101/V59,"n/a")</f>
        <v>n/a</v>
      </c>
      <c r="W102" s="214" t="str">
        <f t="shared" ref="W102" si="833">++IFERROR(W101/W59,"n/a")</f>
        <v>n/a</v>
      </c>
      <c r="X102" s="225" t="str">
        <f t="shared" ref="X102" si="834">++IFERROR(X101/X59,"n/a")</f>
        <v>n/a</v>
      </c>
      <c r="Y102" s="225" t="str">
        <f t="shared" ref="Y102" si="835">++IFERROR(Y101/Y59,"n/a")</f>
        <v>n/a</v>
      </c>
      <c r="Z102" s="225" t="str">
        <f t="shared" ref="Z102" si="836">++IFERROR(Z101/Z59,"n/a")</f>
        <v>n/a</v>
      </c>
      <c r="AA102" s="225" t="str">
        <f t="shared" ref="AA102" si="837">++IFERROR(AA101/AA59,"n/a")</f>
        <v>n/a</v>
      </c>
      <c r="AB102" s="225" t="str">
        <f t="shared" ref="AB102" si="838">++IFERROR(AB101/AB59,"n/a")</f>
        <v>n/a</v>
      </c>
      <c r="AC102" s="225" t="str">
        <f t="shared" ref="AC102" si="839">++IFERROR(AC101/AC59,"n/a")</f>
        <v>n/a</v>
      </c>
      <c r="AD102" s="225" t="str">
        <f t="shared" ref="AD102" si="840">++IFERROR(AD101/AD59,"n/a")</f>
        <v>n/a</v>
      </c>
      <c r="AE102" s="225" t="str">
        <f t="shared" ref="AE102" si="841">++IFERROR(AE101/AE59,"n/a")</f>
        <v>n/a</v>
      </c>
      <c r="AF102" s="225" t="str">
        <f t="shared" ref="AF102" si="842">++IFERROR(AF101/AF59,"n/a")</f>
        <v>n/a</v>
      </c>
      <c r="AG102" s="225" t="str">
        <f t="shared" ref="AG102" si="843">++IFERROR(AG101/AG59,"n/a")</f>
        <v>n/a</v>
      </c>
      <c r="AH102" s="225" t="str">
        <f t="shared" ref="AH102" si="844">++IFERROR(AH101/AH59,"n/a")</f>
        <v>n/a</v>
      </c>
      <c r="AI102" s="214" t="str">
        <f t="shared" ref="AI102" si="845">++IFERROR(AI101/AI59,"n/a")</f>
        <v>n/a</v>
      </c>
      <c r="AJ102" s="225" t="str">
        <f t="shared" ref="AJ102" si="846">++IFERROR(AJ101/AJ59,"n/a")</f>
        <v>n/a</v>
      </c>
      <c r="AK102" s="225" t="str">
        <f t="shared" ref="AK102" si="847">++IFERROR(AK101/AK59,"n/a")</f>
        <v>n/a</v>
      </c>
      <c r="AL102" s="225" t="str">
        <f t="shared" ref="AL102" si="848">++IFERROR(AL101/AL59,"n/a")</f>
        <v>n/a</v>
      </c>
      <c r="AM102" s="225" t="str">
        <f t="shared" ref="AM102" si="849">++IFERROR(AM101/AM59,"n/a")</f>
        <v>n/a</v>
      </c>
      <c r="AN102" s="225" t="str">
        <f t="shared" ref="AN102" si="850">++IFERROR(AN101/AN59,"n/a")</f>
        <v>n/a</v>
      </c>
      <c r="AO102" s="225" t="str">
        <f t="shared" ref="AO102" si="851">++IFERROR(AO101/AO59,"n/a")</f>
        <v>n/a</v>
      </c>
      <c r="AP102" s="225" t="str">
        <f t="shared" ref="AP102" si="852">++IFERROR(AP101/AP59,"n/a")</f>
        <v>n/a</v>
      </c>
      <c r="AQ102" s="225" t="str">
        <f t="shared" ref="AQ102" si="853">++IFERROR(AQ101/AQ59,"n/a")</f>
        <v>n/a</v>
      </c>
      <c r="AR102" s="225" t="str">
        <f t="shared" ref="AR102" si="854">++IFERROR(AR101/AR59,"n/a")</f>
        <v>n/a</v>
      </c>
      <c r="AS102" s="225" t="str">
        <f t="shared" ref="AS102" si="855">++IFERROR(AS101/AS59,"n/a")</f>
        <v>n/a</v>
      </c>
      <c r="AT102" s="225" t="str">
        <f t="shared" ref="AT102" si="856">++IFERROR(AT101/AT59,"n/a")</f>
        <v>n/a</v>
      </c>
      <c r="AU102" s="214" t="str">
        <f t="shared" ref="AU102" si="857">++IFERROR(AU101/AU59,"n/a")</f>
        <v>n/a</v>
      </c>
      <c r="AV102" s="225" t="str">
        <f t="shared" ref="AV102" si="858">++IFERROR(AV101/AV59,"n/a")</f>
        <v>n/a</v>
      </c>
      <c r="AW102" s="225" t="str">
        <f t="shared" ref="AW102" si="859">++IFERROR(AW101/AW59,"n/a")</f>
        <v>n/a</v>
      </c>
      <c r="AX102" s="225" t="str">
        <f t="shared" ref="AX102" si="860">++IFERROR(AX101/AX59,"n/a")</f>
        <v>n/a</v>
      </c>
      <c r="AY102" s="225" t="str">
        <f t="shared" ref="AY102" si="861">++IFERROR(AY101/AY59,"n/a")</f>
        <v>n/a</v>
      </c>
      <c r="AZ102" s="225" t="str">
        <f t="shared" ref="AZ102" si="862">++IFERROR(AZ101/AZ59,"n/a")</f>
        <v>n/a</v>
      </c>
      <c r="BA102" s="225" t="str">
        <f t="shared" ref="BA102" si="863">++IFERROR(BA101/BA59,"n/a")</f>
        <v>n/a</v>
      </c>
      <c r="BB102" s="225" t="str">
        <f t="shared" ref="BB102" si="864">++IFERROR(BB101/BB59,"n/a")</f>
        <v>n/a</v>
      </c>
      <c r="BC102" s="225" t="str">
        <f t="shared" ref="BC102" si="865">++IFERROR(BC101/BC59,"n/a")</f>
        <v>n/a</v>
      </c>
      <c r="BD102" s="225" t="str">
        <f t="shared" ref="BD102" si="866">++IFERROR(BD101/BD59,"n/a")</f>
        <v>n/a</v>
      </c>
      <c r="BE102" s="225" t="str">
        <f t="shared" ref="BE102" si="867">++IFERROR(BE101/BE59,"n/a")</f>
        <v>n/a</v>
      </c>
      <c r="BF102" s="225" t="str">
        <f t="shared" ref="BF102" si="868">++IFERROR(BF101/BF59,"n/a")</f>
        <v>n/a</v>
      </c>
      <c r="BG102" s="214" t="str">
        <f t="shared" ref="BG102" si="869">++IFERROR(BG101/BG59,"n/a")</f>
        <v>n/a</v>
      </c>
      <c r="BH102" s="225" t="str">
        <f t="shared" ref="BH102" si="870">++IFERROR(BH101/BH59,"n/a")</f>
        <v>n/a</v>
      </c>
      <c r="BI102" s="225" t="str">
        <f t="shared" ref="BI102" si="871">++IFERROR(BI101/BI59,"n/a")</f>
        <v>n/a</v>
      </c>
      <c r="BJ102" s="225" t="str">
        <f t="shared" ref="BJ102" si="872">++IFERROR(BJ101/BJ59,"n/a")</f>
        <v>n/a</v>
      </c>
      <c r="BK102" s="225" t="str">
        <f t="shared" ref="BK102" si="873">++IFERROR(BK101/BK59,"n/a")</f>
        <v>n/a</v>
      </c>
      <c r="BL102" s="225" t="str">
        <f t="shared" ref="BL102" si="874">++IFERROR(BL101/BL59,"n/a")</f>
        <v>n/a</v>
      </c>
      <c r="BM102" s="225" t="str">
        <f t="shared" ref="BM102" si="875">++IFERROR(BM101/BM59,"n/a")</f>
        <v>n/a</v>
      </c>
      <c r="BN102" s="225" t="str">
        <f t="shared" ref="BN102" si="876">++IFERROR(BN101/BN59,"n/a")</f>
        <v>n/a</v>
      </c>
      <c r="BO102" s="225" t="str">
        <f t="shared" ref="BO102" si="877">++IFERROR(BO101/BO59,"n/a")</f>
        <v>n/a</v>
      </c>
      <c r="BP102" s="225" t="str">
        <f t="shared" ref="BP102" si="878">++IFERROR(BP101/BP59,"n/a")</f>
        <v>n/a</v>
      </c>
      <c r="BQ102" s="225" t="str">
        <f t="shared" ref="BQ102" si="879">++IFERROR(BQ101/BQ59,"n/a")</f>
        <v>n/a</v>
      </c>
      <c r="BR102" s="225" t="str">
        <f t="shared" ref="BR102" si="880">++IFERROR(BR101/BR59,"n/a")</f>
        <v>n/a</v>
      </c>
      <c r="BS102" s="214" t="str">
        <f t="shared" ref="BS102" si="881">++IFERROR(BS101/BS59,"n/a")</f>
        <v>n/a</v>
      </c>
      <c r="BT102" s="225" t="str">
        <f t="shared" ref="BT102" si="882">++IFERROR(BT101/BT59,"n/a")</f>
        <v>n/a</v>
      </c>
      <c r="BU102" s="225" t="str">
        <f t="shared" ref="BU102" si="883">++IFERROR(BU101/BU59,"n/a")</f>
        <v>n/a</v>
      </c>
      <c r="BV102" s="225" t="str">
        <f t="shared" ref="BV102" si="884">++IFERROR(BV101/BV59,"n/a")</f>
        <v>n/a</v>
      </c>
      <c r="BW102" s="225" t="str">
        <f t="shared" ref="BW102" si="885">++IFERROR(BW101/BW59,"n/a")</f>
        <v>n/a</v>
      </c>
      <c r="BX102" s="225" t="str">
        <f t="shared" ref="BX102" si="886">++IFERROR(BX101/BX59,"n/a")</f>
        <v>n/a</v>
      </c>
      <c r="BY102" s="225" t="str">
        <f t="shared" ref="BY102" si="887">++IFERROR(BY101/BY59,"n/a")</f>
        <v>n/a</v>
      </c>
      <c r="BZ102" s="225" t="str">
        <f t="shared" ref="BZ102" si="888">++IFERROR(BZ101/BZ59,"n/a")</f>
        <v>n/a</v>
      </c>
      <c r="CA102" s="225" t="str">
        <f t="shared" ref="CA102" si="889">++IFERROR(CA101/CA59,"n/a")</f>
        <v>n/a</v>
      </c>
      <c r="CB102" s="225" t="str">
        <f t="shared" ref="CB102" si="890">++IFERROR(CB101/CB59,"n/a")</f>
        <v>n/a</v>
      </c>
      <c r="CC102" s="225" t="str">
        <f t="shared" ref="CC102" si="891">++IFERROR(CC101/CC59,"n/a")</f>
        <v>n/a</v>
      </c>
      <c r="CD102" s="225" t="str">
        <f t="shared" ref="CD102" si="892">++IFERROR(CD101/CD59,"n/a")</f>
        <v>n/a</v>
      </c>
      <c r="CE102" s="214" t="str">
        <f t="shared" ref="CE102" si="893">++IFERROR(CE101/CE59,"n/a")</f>
        <v>n/a</v>
      </c>
      <c r="CF102" s="225" t="str">
        <f t="shared" ref="CF102" si="894">++IFERROR(CF101/CF59,"n/a")</f>
        <v>n/a</v>
      </c>
      <c r="CG102" s="225" t="str">
        <f t="shared" ref="CG102" si="895">++IFERROR(CG101/CG59,"n/a")</f>
        <v>n/a</v>
      </c>
      <c r="CH102" s="225" t="str">
        <f t="shared" ref="CH102" si="896">++IFERROR(CH101/CH59,"n/a")</f>
        <v>n/a</v>
      </c>
      <c r="CI102" s="225" t="str">
        <f t="shared" ref="CI102" si="897">++IFERROR(CI101/CI59,"n/a")</f>
        <v>n/a</v>
      </c>
      <c r="CJ102" s="225" t="str">
        <f t="shared" ref="CJ102" si="898">++IFERROR(CJ101/CJ59,"n/a")</f>
        <v>n/a</v>
      </c>
      <c r="CK102" s="225" t="str">
        <f t="shared" ref="CK102" si="899">++IFERROR(CK101/CK59,"n/a")</f>
        <v>n/a</v>
      </c>
      <c r="CL102" s="225" t="str">
        <f t="shared" ref="CL102" si="900">++IFERROR(CL101/CL59,"n/a")</f>
        <v>n/a</v>
      </c>
      <c r="CM102" s="225" t="str">
        <f t="shared" ref="CM102" si="901">++IFERROR(CM101/CM59,"n/a")</f>
        <v>n/a</v>
      </c>
      <c r="CN102" s="225" t="str">
        <f t="shared" ref="CN102" si="902">++IFERROR(CN101/CN59,"n/a")</f>
        <v>n/a</v>
      </c>
      <c r="CO102" s="225" t="str">
        <f t="shared" ref="CO102" si="903">++IFERROR(CO101/CO59,"n/a")</f>
        <v>n/a</v>
      </c>
      <c r="CP102" s="225" t="str">
        <f t="shared" ref="CP102" si="904">++IFERROR(CP101/CP59,"n/a")</f>
        <v>n/a</v>
      </c>
      <c r="CQ102" s="214" t="str">
        <f t="shared" ref="CQ102" si="905">++IFERROR(CQ101/CQ59,"n/a")</f>
        <v>n/a</v>
      </c>
      <c r="CR102" s="225" t="str">
        <f t="shared" ref="CR102" si="906">++IFERROR(CR101/CR59,"n/a")</f>
        <v>n/a</v>
      </c>
      <c r="CS102" s="225" t="str">
        <f t="shared" ref="CS102" si="907">++IFERROR(CS101/CS59,"n/a")</f>
        <v>n/a</v>
      </c>
      <c r="CT102" s="225" t="str">
        <f t="shared" ref="CT102" si="908">++IFERROR(CT101/CT59,"n/a")</f>
        <v>n/a</v>
      </c>
      <c r="CU102" s="225" t="str">
        <f t="shared" ref="CU102" si="909">++IFERROR(CU101/CU59,"n/a")</f>
        <v>n/a</v>
      </c>
      <c r="CV102" s="225" t="str">
        <f t="shared" ref="CV102" si="910">++IFERROR(CV101/CV59,"n/a")</f>
        <v>n/a</v>
      </c>
      <c r="CW102" s="225" t="str">
        <f t="shared" ref="CW102" si="911">++IFERROR(CW101/CW59,"n/a")</f>
        <v>n/a</v>
      </c>
      <c r="CX102" s="225" t="str">
        <f t="shared" ref="CX102" si="912">++IFERROR(CX101/CX59,"n/a")</f>
        <v>n/a</v>
      </c>
      <c r="CY102" s="225" t="str">
        <f t="shared" ref="CY102" si="913">++IFERROR(CY101/CY59,"n/a")</f>
        <v>n/a</v>
      </c>
      <c r="CZ102" s="225" t="str">
        <f t="shared" ref="CZ102" si="914">++IFERROR(CZ101/CZ59,"n/a")</f>
        <v>n/a</v>
      </c>
      <c r="DA102" s="225" t="str">
        <f t="shared" ref="DA102" si="915">++IFERROR(DA101/DA59,"n/a")</f>
        <v>n/a</v>
      </c>
      <c r="DB102" s="225" t="str">
        <f t="shared" ref="DB102" si="916">++IFERROR(DB101/DB59,"n/a")</f>
        <v>n/a</v>
      </c>
      <c r="DC102" s="214" t="str">
        <f t="shared" ref="DC102" si="917">++IFERROR(DC101/DC59,"n/a")</f>
        <v>n/a</v>
      </c>
    </row>
    <row r="103" spans="1:107" x14ac:dyDescent="0.3">
      <c r="C103" s="321" t="str">
        <f>++C$54</f>
        <v>% FCF conversion</v>
      </c>
      <c r="G103" s="214" t="str">
        <f>++IFERROR((G97-G101)/G97,"n/a")</f>
        <v>n/a</v>
      </c>
      <c r="H103" s="225" t="str">
        <f t="shared" ref="H103:BS103" si="918">++IFERROR((H97-H101)/H97,"n/a")</f>
        <v>n/a</v>
      </c>
      <c r="I103" s="225" t="str">
        <f t="shared" si="918"/>
        <v>n/a</v>
      </c>
      <c r="J103" s="225" t="str">
        <f t="shared" si="918"/>
        <v>n/a</v>
      </c>
      <c r="K103" s="214" t="str">
        <f t="shared" si="918"/>
        <v>n/a</v>
      </c>
      <c r="L103" s="225" t="str">
        <f t="shared" si="918"/>
        <v>n/a</v>
      </c>
      <c r="M103" s="225" t="str">
        <f t="shared" si="918"/>
        <v>n/a</v>
      </c>
      <c r="N103" s="225" t="str">
        <f t="shared" si="918"/>
        <v>n/a</v>
      </c>
      <c r="O103" s="225" t="str">
        <f t="shared" si="918"/>
        <v>n/a</v>
      </c>
      <c r="P103" s="225" t="str">
        <f t="shared" si="918"/>
        <v>n/a</v>
      </c>
      <c r="Q103" s="225" t="str">
        <f t="shared" si="918"/>
        <v>n/a</v>
      </c>
      <c r="R103" s="225" t="str">
        <f t="shared" si="918"/>
        <v>n/a</v>
      </c>
      <c r="S103" s="225" t="str">
        <f t="shared" si="918"/>
        <v>n/a</v>
      </c>
      <c r="T103" s="225" t="str">
        <f t="shared" si="918"/>
        <v>n/a</v>
      </c>
      <c r="U103" s="225" t="str">
        <f t="shared" si="918"/>
        <v>n/a</v>
      </c>
      <c r="V103" s="225" t="str">
        <f t="shared" si="918"/>
        <v>n/a</v>
      </c>
      <c r="W103" s="214" t="str">
        <f t="shared" si="918"/>
        <v>n/a</v>
      </c>
      <c r="X103" s="225" t="str">
        <f t="shared" si="918"/>
        <v>n/a</v>
      </c>
      <c r="Y103" s="225" t="str">
        <f t="shared" si="918"/>
        <v>n/a</v>
      </c>
      <c r="Z103" s="225" t="str">
        <f t="shared" si="918"/>
        <v>n/a</v>
      </c>
      <c r="AA103" s="225" t="str">
        <f t="shared" si="918"/>
        <v>n/a</v>
      </c>
      <c r="AB103" s="225" t="str">
        <f t="shared" si="918"/>
        <v>n/a</v>
      </c>
      <c r="AC103" s="225" t="str">
        <f t="shared" si="918"/>
        <v>n/a</v>
      </c>
      <c r="AD103" s="225" t="str">
        <f t="shared" si="918"/>
        <v>n/a</v>
      </c>
      <c r="AE103" s="225" t="str">
        <f t="shared" si="918"/>
        <v>n/a</v>
      </c>
      <c r="AF103" s="225" t="str">
        <f t="shared" si="918"/>
        <v>n/a</v>
      </c>
      <c r="AG103" s="225" t="str">
        <f t="shared" si="918"/>
        <v>n/a</v>
      </c>
      <c r="AH103" s="225" t="str">
        <f t="shared" si="918"/>
        <v>n/a</v>
      </c>
      <c r="AI103" s="214" t="str">
        <f t="shared" si="918"/>
        <v>n/a</v>
      </c>
      <c r="AJ103" s="225" t="str">
        <f t="shared" si="918"/>
        <v>n/a</v>
      </c>
      <c r="AK103" s="225" t="str">
        <f t="shared" si="918"/>
        <v>n/a</v>
      </c>
      <c r="AL103" s="225" t="str">
        <f t="shared" si="918"/>
        <v>n/a</v>
      </c>
      <c r="AM103" s="225" t="str">
        <f t="shared" si="918"/>
        <v>n/a</v>
      </c>
      <c r="AN103" s="225" t="str">
        <f t="shared" si="918"/>
        <v>n/a</v>
      </c>
      <c r="AO103" s="225" t="str">
        <f t="shared" si="918"/>
        <v>n/a</v>
      </c>
      <c r="AP103" s="225" t="str">
        <f t="shared" si="918"/>
        <v>n/a</v>
      </c>
      <c r="AQ103" s="225" t="str">
        <f t="shared" si="918"/>
        <v>n/a</v>
      </c>
      <c r="AR103" s="225" t="str">
        <f t="shared" si="918"/>
        <v>n/a</v>
      </c>
      <c r="AS103" s="225" t="str">
        <f t="shared" si="918"/>
        <v>n/a</v>
      </c>
      <c r="AT103" s="225" t="str">
        <f t="shared" si="918"/>
        <v>n/a</v>
      </c>
      <c r="AU103" s="214" t="str">
        <f t="shared" si="918"/>
        <v>n/a</v>
      </c>
      <c r="AV103" s="225" t="str">
        <f t="shared" si="918"/>
        <v>n/a</v>
      </c>
      <c r="AW103" s="225" t="str">
        <f t="shared" si="918"/>
        <v>n/a</v>
      </c>
      <c r="AX103" s="225" t="str">
        <f t="shared" si="918"/>
        <v>n/a</v>
      </c>
      <c r="AY103" s="225" t="str">
        <f t="shared" si="918"/>
        <v>n/a</v>
      </c>
      <c r="AZ103" s="225" t="str">
        <f t="shared" si="918"/>
        <v>n/a</v>
      </c>
      <c r="BA103" s="225" t="str">
        <f t="shared" si="918"/>
        <v>n/a</v>
      </c>
      <c r="BB103" s="225" t="str">
        <f t="shared" si="918"/>
        <v>n/a</v>
      </c>
      <c r="BC103" s="225" t="str">
        <f t="shared" si="918"/>
        <v>n/a</v>
      </c>
      <c r="BD103" s="225" t="str">
        <f t="shared" si="918"/>
        <v>n/a</v>
      </c>
      <c r="BE103" s="225" t="str">
        <f t="shared" si="918"/>
        <v>n/a</v>
      </c>
      <c r="BF103" s="225" t="str">
        <f t="shared" si="918"/>
        <v>n/a</v>
      </c>
      <c r="BG103" s="214" t="str">
        <f t="shared" si="918"/>
        <v>n/a</v>
      </c>
      <c r="BH103" s="225" t="str">
        <f t="shared" si="918"/>
        <v>n/a</v>
      </c>
      <c r="BI103" s="225" t="str">
        <f t="shared" si="918"/>
        <v>n/a</v>
      </c>
      <c r="BJ103" s="225" t="str">
        <f t="shared" si="918"/>
        <v>n/a</v>
      </c>
      <c r="BK103" s="225" t="str">
        <f t="shared" si="918"/>
        <v>n/a</v>
      </c>
      <c r="BL103" s="225" t="str">
        <f t="shared" si="918"/>
        <v>n/a</v>
      </c>
      <c r="BM103" s="225" t="str">
        <f t="shared" si="918"/>
        <v>n/a</v>
      </c>
      <c r="BN103" s="225" t="str">
        <f t="shared" si="918"/>
        <v>n/a</v>
      </c>
      <c r="BO103" s="225" t="str">
        <f t="shared" si="918"/>
        <v>n/a</v>
      </c>
      <c r="BP103" s="225" t="str">
        <f t="shared" si="918"/>
        <v>n/a</v>
      </c>
      <c r="BQ103" s="225" t="str">
        <f t="shared" si="918"/>
        <v>n/a</v>
      </c>
      <c r="BR103" s="225" t="str">
        <f t="shared" si="918"/>
        <v>n/a</v>
      </c>
      <c r="BS103" s="214" t="str">
        <f t="shared" si="918"/>
        <v>n/a</v>
      </c>
      <c r="BT103" s="225" t="str">
        <f t="shared" ref="BT103:DC103" si="919">++IFERROR((BT97-BT101)/BT97,"n/a")</f>
        <v>n/a</v>
      </c>
      <c r="BU103" s="225" t="str">
        <f t="shared" si="919"/>
        <v>n/a</v>
      </c>
      <c r="BV103" s="225" t="str">
        <f t="shared" si="919"/>
        <v>n/a</v>
      </c>
      <c r="BW103" s="225" t="str">
        <f t="shared" si="919"/>
        <v>n/a</v>
      </c>
      <c r="BX103" s="225" t="str">
        <f t="shared" si="919"/>
        <v>n/a</v>
      </c>
      <c r="BY103" s="225" t="str">
        <f t="shared" si="919"/>
        <v>n/a</v>
      </c>
      <c r="BZ103" s="225" t="str">
        <f t="shared" si="919"/>
        <v>n/a</v>
      </c>
      <c r="CA103" s="225" t="str">
        <f t="shared" si="919"/>
        <v>n/a</v>
      </c>
      <c r="CB103" s="225" t="str">
        <f t="shared" si="919"/>
        <v>n/a</v>
      </c>
      <c r="CC103" s="225" t="str">
        <f t="shared" si="919"/>
        <v>n/a</v>
      </c>
      <c r="CD103" s="225" t="str">
        <f t="shared" si="919"/>
        <v>n/a</v>
      </c>
      <c r="CE103" s="214" t="str">
        <f t="shared" si="919"/>
        <v>n/a</v>
      </c>
      <c r="CF103" s="225" t="str">
        <f t="shared" si="919"/>
        <v>n/a</v>
      </c>
      <c r="CG103" s="225" t="str">
        <f t="shared" si="919"/>
        <v>n/a</v>
      </c>
      <c r="CH103" s="225" t="str">
        <f t="shared" si="919"/>
        <v>n/a</v>
      </c>
      <c r="CI103" s="225" t="str">
        <f t="shared" si="919"/>
        <v>n/a</v>
      </c>
      <c r="CJ103" s="225" t="str">
        <f t="shared" si="919"/>
        <v>n/a</v>
      </c>
      <c r="CK103" s="225" t="str">
        <f t="shared" si="919"/>
        <v>n/a</v>
      </c>
      <c r="CL103" s="225" t="str">
        <f t="shared" si="919"/>
        <v>n/a</v>
      </c>
      <c r="CM103" s="225" t="str">
        <f t="shared" si="919"/>
        <v>n/a</v>
      </c>
      <c r="CN103" s="225" t="str">
        <f t="shared" si="919"/>
        <v>n/a</v>
      </c>
      <c r="CO103" s="225" t="str">
        <f t="shared" si="919"/>
        <v>n/a</v>
      </c>
      <c r="CP103" s="225" t="str">
        <f t="shared" si="919"/>
        <v>n/a</v>
      </c>
      <c r="CQ103" s="214" t="str">
        <f t="shared" si="919"/>
        <v>n/a</v>
      </c>
      <c r="CR103" s="225" t="str">
        <f t="shared" si="919"/>
        <v>n/a</v>
      </c>
      <c r="CS103" s="225" t="str">
        <f t="shared" si="919"/>
        <v>n/a</v>
      </c>
      <c r="CT103" s="225" t="str">
        <f t="shared" si="919"/>
        <v>n/a</v>
      </c>
      <c r="CU103" s="225" t="str">
        <f t="shared" si="919"/>
        <v>n/a</v>
      </c>
      <c r="CV103" s="225" t="str">
        <f t="shared" si="919"/>
        <v>n/a</v>
      </c>
      <c r="CW103" s="225" t="str">
        <f t="shared" si="919"/>
        <v>n/a</v>
      </c>
      <c r="CX103" s="225" t="str">
        <f t="shared" si="919"/>
        <v>n/a</v>
      </c>
      <c r="CY103" s="225" t="str">
        <f t="shared" si="919"/>
        <v>n/a</v>
      </c>
      <c r="CZ103" s="225" t="str">
        <f t="shared" si="919"/>
        <v>n/a</v>
      </c>
      <c r="DA103" s="225" t="str">
        <f t="shared" si="919"/>
        <v>n/a</v>
      </c>
      <c r="DB103" s="225" t="str">
        <f t="shared" si="919"/>
        <v>n/a</v>
      </c>
      <c r="DC103" s="214" t="str">
        <f t="shared" si="919"/>
        <v>n/a</v>
      </c>
    </row>
    <row r="104" spans="1:107" x14ac:dyDescent="0.3">
      <c r="G104" s="203"/>
      <c r="K104" s="203"/>
      <c r="W104" s="203"/>
      <c r="AI104" s="203"/>
      <c r="AU104" s="203"/>
      <c r="BG104" s="203"/>
      <c r="BS104" s="203"/>
      <c r="CE104" s="203"/>
      <c r="CQ104" s="203"/>
      <c r="DC104" s="203"/>
    </row>
    <row r="105" spans="1:107" x14ac:dyDescent="0.3">
      <c r="G105" s="203"/>
      <c r="K105" s="203"/>
      <c r="W105" s="203"/>
      <c r="AI105" s="203"/>
      <c r="AU105" s="203"/>
      <c r="BG105" s="203"/>
      <c r="BS105" s="203"/>
      <c r="CE105" s="203"/>
      <c r="CQ105" s="203"/>
      <c r="DC105" s="203"/>
    </row>
    <row r="106" spans="1:107" x14ac:dyDescent="0.3">
      <c r="A106" s="319"/>
      <c r="B106" s="319" t="s">
        <v>0</v>
      </c>
      <c r="C106" s="166" t="s">
        <v>473</v>
      </c>
      <c r="D106" s="365"/>
      <c r="E106" s="365"/>
      <c r="F106" s="365"/>
      <c r="G106" s="365"/>
      <c r="H106" s="365"/>
      <c r="I106" s="365"/>
      <c r="J106" s="365"/>
      <c r="K106" s="365"/>
      <c r="L106" s="365"/>
      <c r="M106" s="365"/>
      <c r="N106" s="365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65"/>
      <c r="AK106" s="365"/>
      <c r="AL106" s="365"/>
      <c r="AM106" s="365"/>
      <c r="AN106" s="365"/>
      <c r="AO106" s="365"/>
      <c r="AP106" s="365"/>
      <c r="AQ106" s="365"/>
      <c r="AR106" s="365"/>
      <c r="AS106" s="365"/>
      <c r="AT106" s="365"/>
      <c r="AU106" s="365"/>
      <c r="AV106" s="365"/>
      <c r="AW106" s="365"/>
      <c r="AX106" s="365"/>
      <c r="AY106" s="365"/>
      <c r="AZ106" s="365"/>
      <c r="BA106" s="365"/>
      <c r="BB106" s="365"/>
      <c r="BC106" s="365"/>
      <c r="BD106" s="365"/>
      <c r="BE106" s="365"/>
      <c r="BF106" s="365"/>
      <c r="BG106" s="365"/>
      <c r="BH106" s="365"/>
      <c r="BI106" s="365"/>
      <c r="BJ106" s="365"/>
      <c r="BK106" s="365"/>
      <c r="BL106" s="365"/>
      <c r="BM106" s="365"/>
      <c r="BN106" s="365"/>
      <c r="BO106" s="365"/>
      <c r="BP106" s="365"/>
      <c r="BQ106" s="365"/>
      <c r="BR106" s="365"/>
      <c r="BS106" s="365"/>
      <c r="BT106" s="365"/>
      <c r="BU106" s="365"/>
      <c r="BV106" s="365"/>
      <c r="BW106" s="365"/>
      <c r="BX106" s="365"/>
      <c r="BY106" s="365"/>
      <c r="BZ106" s="365"/>
      <c r="CA106" s="365"/>
      <c r="CB106" s="365"/>
      <c r="CC106" s="365"/>
      <c r="CD106" s="365"/>
      <c r="CE106" s="365"/>
      <c r="CF106" s="365"/>
      <c r="CG106" s="365"/>
      <c r="CH106" s="365"/>
      <c r="CI106" s="365"/>
      <c r="CJ106" s="365"/>
      <c r="CK106" s="365"/>
      <c r="CL106" s="365"/>
      <c r="CM106" s="365"/>
      <c r="CN106" s="365"/>
      <c r="CO106" s="365"/>
      <c r="CP106" s="365"/>
      <c r="CQ106" s="365"/>
      <c r="CR106" s="365"/>
      <c r="CS106" s="365"/>
      <c r="CT106" s="365"/>
      <c r="CU106" s="365"/>
      <c r="CV106" s="365"/>
      <c r="CW106" s="365"/>
      <c r="CX106" s="365"/>
      <c r="CY106" s="365"/>
      <c r="CZ106" s="365"/>
      <c r="DA106" s="365"/>
      <c r="DB106" s="365"/>
      <c r="DC106" s="366"/>
    </row>
    <row r="107" spans="1:107" ht="5.15" customHeight="1" x14ac:dyDescent="0.3">
      <c r="G107" s="203"/>
      <c r="K107" s="203"/>
      <c r="W107" s="203"/>
      <c r="AI107" s="203"/>
      <c r="AU107" s="203"/>
      <c r="BG107" s="203"/>
      <c r="BS107" s="203"/>
      <c r="CE107" s="203"/>
      <c r="CQ107" s="203"/>
      <c r="DC107" s="203"/>
    </row>
    <row r="108" spans="1:107" x14ac:dyDescent="0.3">
      <c r="C108" s="193" t="str">
        <f>++C$10</f>
        <v>Revenue</v>
      </c>
      <c r="G108" s="400">
        <v>0</v>
      </c>
      <c r="H108" s="400">
        <v>0</v>
      </c>
      <c r="I108" s="400">
        <v>0</v>
      </c>
      <c r="J108" s="400">
        <v>0</v>
      </c>
      <c r="K108" s="400">
        <v>0</v>
      </c>
      <c r="L108" s="400">
        <v>0</v>
      </c>
      <c r="M108" s="400">
        <v>0</v>
      </c>
      <c r="N108" s="400">
        <v>0</v>
      </c>
      <c r="O108" s="400">
        <v>0</v>
      </c>
      <c r="P108" s="400">
        <v>0</v>
      </c>
      <c r="Q108" s="400">
        <v>0</v>
      </c>
      <c r="R108" s="400">
        <v>0</v>
      </c>
      <c r="S108" s="400">
        <v>0</v>
      </c>
      <c r="T108" s="400">
        <v>0</v>
      </c>
      <c r="U108" s="400">
        <v>0</v>
      </c>
      <c r="V108" s="400">
        <v>0</v>
      </c>
      <c r="W108" s="400">
        <v>0</v>
      </c>
      <c r="X108" s="400">
        <v>0</v>
      </c>
      <c r="Y108" s="400">
        <v>0</v>
      </c>
      <c r="Z108" s="400">
        <v>0</v>
      </c>
      <c r="AA108" s="400">
        <v>0</v>
      </c>
      <c r="AB108" s="400">
        <v>0</v>
      </c>
      <c r="AC108" s="400">
        <v>0</v>
      </c>
      <c r="AD108" s="400">
        <v>0</v>
      </c>
      <c r="AE108" s="400">
        <v>0</v>
      </c>
      <c r="AF108" s="400">
        <v>0</v>
      </c>
      <c r="AG108" s="400">
        <v>0</v>
      </c>
      <c r="AH108" s="400">
        <v>0</v>
      </c>
      <c r="AI108" s="400">
        <v>0</v>
      </c>
      <c r="AJ108" s="400">
        <v>0</v>
      </c>
      <c r="AK108" s="400">
        <v>0</v>
      </c>
      <c r="AL108" s="400">
        <v>0</v>
      </c>
      <c r="AM108" s="400">
        <v>0</v>
      </c>
      <c r="AN108" s="400">
        <v>0</v>
      </c>
      <c r="AO108" s="400">
        <v>0</v>
      </c>
      <c r="AP108" s="400">
        <v>0</v>
      </c>
      <c r="AQ108" s="400">
        <v>0</v>
      </c>
      <c r="AR108" s="400">
        <v>0</v>
      </c>
      <c r="AS108" s="400">
        <v>0</v>
      </c>
      <c r="AT108" s="400">
        <v>0</v>
      </c>
      <c r="AU108" s="400">
        <v>0</v>
      </c>
      <c r="AV108" s="400">
        <v>0</v>
      </c>
      <c r="AW108" s="400">
        <v>0</v>
      </c>
      <c r="AX108" s="400">
        <v>0</v>
      </c>
      <c r="AY108" s="400">
        <v>0</v>
      </c>
      <c r="AZ108" s="400">
        <v>0</v>
      </c>
      <c r="BA108" s="400">
        <v>0</v>
      </c>
      <c r="BB108" s="400">
        <v>0</v>
      </c>
      <c r="BC108" s="400">
        <v>0</v>
      </c>
      <c r="BD108" s="400">
        <v>0</v>
      </c>
      <c r="BE108" s="400">
        <v>0</v>
      </c>
      <c r="BF108" s="400">
        <v>0</v>
      </c>
      <c r="BG108" s="400">
        <v>0</v>
      </c>
      <c r="BH108" s="400">
        <v>0</v>
      </c>
      <c r="BI108" s="400">
        <v>0</v>
      </c>
      <c r="BJ108" s="400">
        <v>0</v>
      </c>
      <c r="BK108" s="400">
        <v>0</v>
      </c>
      <c r="BL108" s="400">
        <v>0</v>
      </c>
      <c r="BM108" s="400">
        <v>0</v>
      </c>
      <c r="BN108" s="400">
        <v>0</v>
      </c>
      <c r="BO108" s="400">
        <v>0</v>
      </c>
      <c r="BP108" s="400">
        <v>0</v>
      </c>
      <c r="BQ108" s="400">
        <v>0</v>
      </c>
      <c r="BR108" s="400">
        <v>0</v>
      </c>
      <c r="BS108" s="400">
        <v>0</v>
      </c>
      <c r="BT108" s="400">
        <v>0</v>
      </c>
      <c r="BU108" s="400">
        <v>0</v>
      </c>
      <c r="BV108" s="400">
        <v>0</v>
      </c>
      <c r="BW108" s="400">
        <v>0</v>
      </c>
      <c r="BX108" s="400">
        <v>0</v>
      </c>
      <c r="BY108" s="400">
        <v>0</v>
      </c>
      <c r="BZ108" s="400">
        <v>0</v>
      </c>
      <c r="CA108" s="400">
        <v>0</v>
      </c>
      <c r="CB108" s="400">
        <v>0</v>
      </c>
      <c r="CC108" s="400">
        <v>0</v>
      </c>
      <c r="CD108" s="400">
        <v>0</v>
      </c>
      <c r="CE108" s="400">
        <v>0</v>
      </c>
      <c r="CF108" s="400">
        <v>0</v>
      </c>
      <c r="CG108" s="400">
        <v>0</v>
      </c>
      <c r="CH108" s="400">
        <v>0</v>
      </c>
      <c r="CI108" s="400">
        <v>0</v>
      </c>
      <c r="CJ108" s="400">
        <v>0</v>
      </c>
      <c r="CK108" s="400">
        <v>0</v>
      </c>
      <c r="CL108" s="400">
        <v>0</v>
      </c>
      <c r="CM108" s="400">
        <v>0</v>
      </c>
      <c r="CN108" s="400">
        <v>0</v>
      </c>
      <c r="CO108" s="400">
        <v>0</v>
      </c>
      <c r="CP108" s="400">
        <v>0</v>
      </c>
      <c r="CQ108" s="400">
        <v>0</v>
      </c>
      <c r="CR108" s="400">
        <v>0</v>
      </c>
      <c r="CS108" s="400">
        <v>0</v>
      </c>
      <c r="CT108" s="400">
        <v>0</v>
      </c>
      <c r="CU108" s="400">
        <v>0</v>
      </c>
      <c r="CV108" s="400">
        <v>0</v>
      </c>
      <c r="CW108" s="400">
        <v>0</v>
      </c>
      <c r="CX108" s="400">
        <v>0</v>
      </c>
      <c r="CY108" s="400">
        <v>0</v>
      </c>
      <c r="CZ108" s="400">
        <v>0</v>
      </c>
      <c r="DA108" s="400">
        <v>0</v>
      </c>
      <c r="DB108" s="400">
        <v>0</v>
      </c>
      <c r="DC108" s="400">
        <v>0</v>
      </c>
    </row>
    <row r="109" spans="1:107" x14ac:dyDescent="0.3">
      <c r="C109" s="321" t="str">
        <f>++C$11</f>
        <v>% y/y</v>
      </c>
      <c r="G109" s="122" t="s">
        <v>47</v>
      </c>
      <c r="H109" s="122" t="s">
        <v>47</v>
      </c>
      <c r="I109" s="122" t="s">
        <v>47</v>
      </c>
      <c r="J109" s="122" t="s">
        <v>47</v>
      </c>
      <c r="K109" s="214" t="str">
        <f>++IFERROR(K108/G108-1,"n/a")</f>
        <v>n/a</v>
      </c>
      <c r="L109" s="122" t="s">
        <v>47</v>
      </c>
      <c r="M109" s="122" t="s">
        <v>47</v>
      </c>
      <c r="N109" s="225" t="str">
        <f>++IFERROR(N108/H108-1,"n/a")</f>
        <v>n/a</v>
      </c>
      <c r="O109" s="122" t="s">
        <v>47</v>
      </c>
      <c r="P109" s="122" t="s">
        <v>47</v>
      </c>
      <c r="Q109" s="225" t="str">
        <f>++IFERROR(Q108/I108-1,"n/a")</f>
        <v>n/a</v>
      </c>
      <c r="R109" s="122" t="s">
        <v>47</v>
      </c>
      <c r="S109" s="122" t="s">
        <v>47</v>
      </c>
      <c r="T109" s="225" t="str">
        <f>++IFERROR(T108/J108-1,"n/a")</f>
        <v>n/a</v>
      </c>
      <c r="U109" s="122" t="s">
        <v>47</v>
      </c>
      <c r="V109" s="122" t="s">
        <v>47</v>
      </c>
      <c r="W109" s="214" t="str">
        <f t="shared" ref="W109:BB109" si="920">++IFERROR(W108/K108-1,"n/a")</f>
        <v>n/a</v>
      </c>
      <c r="X109" s="225" t="str">
        <f t="shared" si="920"/>
        <v>n/a</v>
      </c>
      <c r="Y109" s="225" t="str">
        <f t="shared" si="920"/>
        <v>n/a</v>
      </c>
      <c r="Z109" s="225" t="str">
        <f t="shared" si="920"/>
        <v>n/a</v>
      </c>
      <c r="AA109" s="225" t="str">
        <f t="shared" si="920"/>
        <v>n/a</v>
      </c>
      <c r="AB109" s="225" t="str">
        <f t="shared" si="920"/>
        <v>n/a</v>
      </c>
      <c r="AC109" s="225" t="str">
        <f t="shared" si="920"/>
        <v>n/a</v>
      </c>
      <c r="AD109" s="225" t="str">
        <f t="shared" si="920"/>
        <v>n/a</v>
      </c>
      <c r="AE109" s="225" t="str">
        <f t="shared" si="920"/>
        <v>n/a</v>
      </c>
      <c r="AF109" s="225" t="str">
        <f t="shared" si="920"/>
        <v>n/a</v>
      </c>
      <c r="AG109" s="225" t="str">
        <f t="shared" si="920"/>
        <v>n/a</v>
      </c>
      <c r="AH109" s="225" t="str">
        <f t="shared" si="920"/>
        <v>n/a</v>
      </c>
      <c r="AI109" s="214" t="str">
        <f t="shared" si="920"/>
        <v>n/a</v>
      </c>
      <c r="AJ109" s="225" t="str">
        <f t="shared" si="920"/>
        <v>n/a</v>
      </c>
      <c r="AK109" s="225" t="str">
        <f t="shared" si="920"/>
        <v>n/a</v>
      </c>
      <c r="AL109" s="225" t="str">
        <f t="shared" si="920"/>
        <v>n/a</v>
      </c>
      <c r="AM109" s="225" t="str">
        <f t="shared" si="920"/>
        <v>n/a</v>
      </c>
      <c r="AN109" s="225" t="str">
        <f t="shared" si="920"/>
        <v>n/a</v>
      </c>
      <c r="AO109" s="225" t="str">
        <f t="shared" si="920"/>
        <v>n/a</v>
      </c>
      <c r="AP109" s="225" t="str">
        <f t="shared" si="920"/>
        <v>n/a</v>
      </c>
      <c r="AQ109" s="225" t="str">
        <f t="shared" si="920"/>
        <v>n/a</v>
      </c>
      <c r="AR109" s="225" t="str">
        <f t="shared" si="920"/>
        <v>n/a</v>
      </c>
      <c r="AS109" s="225" t="str">
        <f t="shared" si="920"/>
        <v>n/a</v>
      </c>
      <c r="AT109" s="225" t="str">
        <f t="shared" si="920"/>
        <v>n/a</v>
      </c>
      <c r="AU109" s="214" t="str">
        <f t="shared" si="920"/>
        <v>n/a</v>
      </c>
      <c r="AV109" s="225" t="str">
        <f t="shared" si="920"/>
        <v>n/a</v>
      </c>
      <c r="AW109" s="225" t="str">
        <f t="shared" si="920"/>
        <v>n/a</v>
      </c>
      <c r="AX109" s="225" t="str">
        <f t="shared" si="920"/>
        <v>n/a</v>
      </c>
      <c r="AY109" s="225" t="str">
        <f t="shared" si="920"/>
        <v>n/a</v>
      </c>
      <c r="AZ109" s="225" t="str">
        <f t="shared" si="920"/>
        <v>n/a</v>
      </c>
      <c r="BA109" s="225" t="str">
        <f t="shared" si="920"/>
        <v>n/a</v>
      </c>
      <c r="BB109" s="225" t="str">
        <f t="shared" si="920"/>
        <v>n/a</v>
      </c>
      <c r="BC109" s="225" t="str">
        <f t="shared" ref="BC109:CH109" si="921">++IFERROR(BC108/AQ108-1,"n/a")</f>
        <v>n/a</v>
      </c>
      <c r="BD109" s="225" t="str">
        <f t="shared" si="921"/>
        <v>n/a</v>
      </c>
      <c r="BE109" s="225" t="str">
        <f t="shared" si="921"/>
        <v>n/a</v>
      </c>
      <c r="BF109" s="225" t="str">
        <f t="shared" si="921"/>
        <v>n/a</v>
      </c>
      <c r="BG109" s="214" t="str">
        <f t="shared" si="921"/>
        <v>n/a</v>
      </c>
      <c r="BH109" s="225" t="str">
        <f t="shared" si="921"/>
        <v>n/a</v>
      </c>
      <c r="BI109" s="225" t="str">
        <f t="shared" si="921"/>
        <v>n/a</v>
      </c>
      <c r="BJ109" s="225" t="str">
        <f t="shared" si="921"/>
        <v>n/a</v>
      </c>
      <c r="BK109" s="225" t="str">
        <f t="shared" si="921"/>
        <v>n/a</v>
      </c>
      <c r="BL109" s="225" t="str">
        <f t="shared" si="921"/>
        <v>n/a</v>
      </c>
      <c r="BM109" s="225" t="str">
        <f t="shared" si="921"/>
        <v>n/a</v>
      </c>
      <c r="BN109" s="225" t="str">
        <f t="shared" si="921"/>
        <v>n/a</v>
      </c>
      <c r="BO109" s="225" t="str">
        <f t="shared" si="921"/>
        <v>n/a</v>
      </c>
      <c r="BP109" s="225" t="str">
        <f t="shared" si="921"/>
        <v>n/a</v>
      </c>
      <c r="BQ109" s="225" t="str">
        <f t="shared" si="921"/>
        <v>n/a</v>
      </c>
      <c r="BR109" s="225" t="str">
        <f t="shared" si="921"/>
        <v>n/a</v>
      </c>
      <c r="BS109" s="214" t="str">
        <f t="shared" si="921"/>
        <v>n/a</v>
      </c>
      <c r="BT109" s="225" t="str">
        <f t="shared" si="921"/>
        <v>n/a</v>
      </c>
      <c r="BU109" s="225" t="str">
        <f t="shared" si="921"/>
        <v>n/a</v>
      </c>
      <c r="BV109" s="225" t="str">
        <f t="shared" si="921"/>
        <v>n/a</v>
      </c>
      <c r="BW109" s="225" t="str">
        <f t="shared" si="921"/>
        <v>n/a</v>
      </c>
      <c r="BX109" s="225" t="str">
        <f t="shared" si="921"/>
        <v>n/a</v>
      </c>
      <c r="BY109" s="225" t="str">
        <f t="shared" si="921"/>
        <v>n/a</v>
      </c>
      <c r="BZ109" s="225" t="str">
        <f t="shared" si="921"/>
        <v>n/a</v>
      </c>
      <c r="CA109" s="225" t="str">
        <f t="shared" si="921"/>
        <v>n/a</v>
      </c>
      <c r="CB109" s="225" t="str">
        <f t="shared" si="921"/>
        <v>n/a</v>
      </c>
      <c r="CC109" s="225" t="str">
        <f t="shared" si="921"/>
        <v>n/a</v>
      </c>
      <c r="CD109" s="225" t="str">
        <f t="shared" si="921"/>
        <v>n/a</v>
      </c>
      <c r="CE109" s="214" t="str">
        <f t="shared" si="921"/>
        <v>n/a</v>
      </c>
      <c r="CF109" s="225" t="str">
        <f t="shared" si="921"/>
        <v>n/a</v>
      </c>
      <c r="CG109" s="225" t="str">
        <f t="shared" si="921"/>
        <v>n/a</v>
      </c>
      <c r="CH109" s="225" t="str">
        <f t="shared" si="921"/>
        <v>n/a</v>
      </c>
      <c r="CI109" s="225" t="str">
        <f t="shared" ref="CI109:DN109" si="922">++IFERROR(CI108/BW108-1,"n/a")</f>
        <v>n/a</v>
      </c>
      <c r="CJ109" s="225" t="str">
        <f t="shared" si="922"/>
        <v>n/a</v>
      </c>
      <c r="CK109" s="225" t="str">
        <f t="shared" si="922"/>
        <v>n/a</v>
      </c>
      <c r="CL109" s="225" t="str">
        <f t="shared" si="922"/>
        <v>n/a</v>
      </c>
      <c r="CM109" s="225" t="str">
        <f t="shared" si="922"/>
        <v>n/a</v>
      </c>
      <c r="CN109" s="225" t="str">
        <f t="shared" si="922"/>
        <v>n/a</v>
      </c>
      <c r="CO109" s="225" t="str">
        <f t="shared" si="922"/>
        <v>n/a</v>
      </c>
      <c r="CP109" s="225" t="str">
        <f t="shared" si="922"/>
        <v>n/a</v>
      </c>
      <c r="CQ109" s="214" t="str">
        <f t="shared" si="922"/>
        <v>n/a</v>
      </c>
      <c r="CR109" s="225" t="str">
        <f t="shared" si="922"/>
        <v>n/a</v>
      </c>
      <c r="CS109" s="225" t="str">
        <f t="shared" si="922"/>
        <v>n/a</v>
      </c>
      <c r="CT109" s="225" t="str">
        <f t="shared" si="922"/>
        <v>n/a</v>
      </c>
      <c r="CU109" s="225" t="str">
        <f t="shared" si="922"/>
        <v>n/a</v>
      </c>
      <c r="CV109" s="225" t="str">
        <f t="shared" si="922"/>
        <v>n/a</v>
      </c>
      <c r="CW109" s="225" t="str">
        <f t="shared" si="922"/>
        <v>n/a</v>
      </c>
      <c r="CX109" s="225" t="str">
        <f t="shared" si="922"/>
        <v>n/a</v>
      </c>
      <c r="CY109" s="225" t="str">
        <f t="shared" si="922"/>
        <v>n/a</v>
      </c>
      <c r="CZ109" s="225" t="str">
        <f t="shared" si="922"/>
        <v>n/a</v>
      </c>
      <c r="DA109" s="225" t="str">
        <f t="shared" si="922"/>
        <v>n/a</v>
      </c>
      <c r="DB109" s="225" t="str">
        <f t="shared" si="922"/>
        <v>n/a</v>
      </c>
      <c r="DC109" s="214" t="str">
        <f t="shared" si="922"/>
        <v>n/a</v>
      </c>
    </row>
    <row r="110" spans="1:107" x14ac:dyDescent="0.3">
      <c r="G110" s="203"/>
      <c r="K110" s="203"/>
      <c r="W110" s="203"/>
      <c r="AI110" s="203"/>
      <c r="AU110" s="203"/>
      <c r="BG110" s="203"/>
      <c r="BS110" s="203"/>
      <c r="CE110" s="203"/>
      <c r="CQ110" s="203"/>
      <c r="DC110" s="203"/>
    </row>
    <row r="111" spans="1:107" x14ac:dyDescent="0.3">
      <c r="C111" s="193" t="str">
        <f>++C$13</f>
        <v>Gross Profit</v>
      </c>
      <c r="G111" s="400">
        <v>0</v>
      </c>
      <c r="H111" s="400">
        <v>0</v>
      </c>
      <c r="I111" s="400">
        <v>0</v>
      </c>
      <c r="J111" s="400">
        <v>0</v>
      </c>
      <c r="K111" s="400">
        <v>0</v>
      </c>
      <c r="L111" s="400">
        <v>0</v>
      </c>
      <c r="M111" s="400">
        <v>0</v>
      </c>
      <c r="N111" s="400">
        <v>0</v>
      </c>
      <c r="O111" s="400">
        <v>0</v>
      </c>
      <c r="P111" s="400">
        <v>0</v>
      </c>
      <c r="Q111" s="400">
        <v>0</v>
      </c>
      <c r="R111" s="400">
        <v>0</v>
      </c>
      <c r="S111" s="400">
        <v>0</v>
      </c>
      <c r="T111" s="400">
        <v>0</v>
      </c>
      <c r="U111" s="400">
        <v>0</v>
      </c>
      <c r="V111" s="400">
        <v>0</v>
      </c>
      <c r="W111" s="400">
        <v>0</v>
      </c>
      <c r="X111" s="400">
        <v>0</v>
      </c>
      <c r="Y111" s="400">
        <v>0</v>
      </c>
      <c r="Z111" s="400">
        <v>0</v>
      </c>
      <c r="AA111" s="400">
        <v>0</v>
      </c>
      <c r="AB111" s="400">
        <v>0</v>
      </c>
      <c r="AC111" s="400">
        <v>0</v>
      </c>
      <c r="AD111" s="400">
        <v>0</v>
      </c>
      <c r="AE111" s="400">
        <v>0</v>
      </c>
      <c r="AF111" s="400">
        <v>0</v>
      </c>
      <c r="AG111" s="400">
        <v>0</v>
      </c>
      <c r="AH111" s="400">
        <v>0</v>
      </c>
      <c r="AI111" s="400">
        <v>0</v>
      </c>
      <c r="AJ111" s="400">
        <v>0</v>
      </c>
      <c r="AK111" s="400">
        <v>0</v>
      </c>
      <c r="AL111" s="400">
        <v>0</v>
      </c>
      <c r="AM111" s="400">
        <v>0</v>
      </c>
      <c r="AN111" s="400">
        <v>0</v>
      </c>
      <c r="AO111" s="400">
        <v>0</v>
      </c>
      <c r="AP111" s="400">
        <v>0</v>
      </c>
      <c r="AQ111" s="400">
        <v>0</v>
      </c>
      <c r="AR111" s="400">
        <v>0</v>
      </c>
      <c r="AS111" s="400">
        <v>0</v>
      </c>
      <c r="AT111" s="400">
        <v>0</v>
      </c>
      <c r="AU111" s="400">
        <v>0</v>
      </c>
      <c r="AV111" s="400">
        <v>0</v>
      </c>
      <c r="AW111" s="400">
        <v>0</v>
      </c>
      <c r="AX111" s="400">
        <v>0</v>
      </c>
      <c r="AY111" s="400">
        <v>0</v>
      </c>
      <c r="AZ111" s="400">
        <v>0</v>
      </c>
      <c r="BA111" s="400">
        <v>0</v>
      </c>
      <c r="BB111" s="400">
        <v>0</v>
      </c>
      <c r="BC111" s="400">
        <v>0</v>
      </c>
      <c r="BD111" s="400">
        <v>0</v>
      </c>
      <c r="BE111" s="400">
        <v>0</v>
      </c>
      <c r="BF111" s="400">
        <v>0</v>
      </c>
      <c r="BG111" s="400">
        <v>0</v>
      </c>
      <c r="BH111" s="400">
        <v>0</v>
      </c>
      <c r="BI111" s="400">
        <v>0</v>
      </c>
      <c r="BJ111" s="400">
        <v>0</v>
      </c>
      <c r="BK111" s="400">
        <v>0</v>
      </c>
      <c r="BL111" s="400">
        <v>0</v>
      </c>
      <c r="BM111" s="400">
        <v>0</v>
      </c>
      <c r="BN111" s="400">
        <v>0</v>
      </c>
      <c r="BO111" s="400">
        <v>0</v>
      </c>
      <c r="BP111" s="400">
        <v>0</v>
      </c>
      <c r="BQ111" s="400">
        <v>0</v>
      </c>
      <c r="BR111" s="400">
        <v>0</v>
      </c>
      <c r="BS111" s="400">
        <v>0</v>
      </c>
      <c r="BT111" s="400">
        <v>0</v>
      </c>
      <c r="BU111" s="400">
        <v>0</v>
      </c>
      <c r="BV111" s="400">
        <v>0</v>
      </c>
      <c r="BW111" s="400">
        <v>0</v>
      </c>
      <c r="BX111" s="400">
        <v>0</v>
      </c>
      <c r="BY111" s="400">
        <v>0</v>
      </c>
      <c r="BZ111" s="400">
        <v>0</v>
      </c>
      <c r="CA111" s="400">
        <v>0</v>
      </c>
      <c r="CB111" s="400">
        <v>0</v>
      </c>
      <c r="CC111" s="400">
        <v>0</v>
      </c>
      <c r="CD111" s="400">
        <v>0</v>
      </c>
      <c r="CE111" s="400">
        <v>0</v>
      </c>
      <c r="CF111" s="400">
        <v>0</v>
      </c>
      <c r="CG111" s="400">
        <v>0</v>
      </c>
      <c r="CH111" s="400">
        <v>0</v>
      </c>
      <c r="CI111" s="400">
        <v>0</v>
      </c>
      <c r="CJ111" s="400">
        <v>0</v>
      </c>
      <c r="CK111" s="400">
        <v>0</v>
      </c>
      <c r="CL111" s="400">
        <v>0</v>
      </c>
      <c r="CM111" s="400">
        <v>0</v>
      </c>
      <c r="CN111" s="400">
        <v>0</v>
      </c>
      <c r="CO111" s="400">
        <v>0</v>
      </c>
      <c r="CP111" s="400">
        <v>0</v>
      </c>
      <c r="CQ111" s="400">
        <v>0</v>
      </c>
      <c r="CR111" s="400">
        <v>0</v>
      </c>
      <c r="CS111" s="400">
        <v>0</v>
      </c>
      <c r="CT111" s="400">
        <v>0</v>
      </c>
      <c r="CU111" s="400">
        <v>0</v>
      </c>
      <c r="CV111" s="400">
        <v>0</v>
      </c>
      <c r="CW111" s="400">
        <v>0</v>
      </c>
      <c r="CX111" s="400">
        <v>0</v>
      </c>
      <c r="CY111" s="400">
        <v>0</v>
      </c>
      <c r="CZ111" s="400">
        <v>0</v>
      </c>
      <c r="DA111" s="400">
        <v>0</v>
      </c>
      <c r="DB111" s="400">
        <v>0</v>
      </c>
      <c r="DC111" s="400">
        <v>0</v>
      </c>
    </row>
    <row r="112" spans="1:107" x14ac:dyDescent="0.3">
      <c r="C112" s="321" t="str">
        <f>++C$14</f>
        <v>% margin</v>
      </c>
      <c r="G112" s="214" t="str">
        <f>++IFERROR(G111/G108,"n/a")</f>
        <v>n/a</v>
      </c>
      <c r="H112" s="225" t="str">
        <f t="shared" ref="H112" si="923">++IFERROR(H111/H108,"n/a")</f>
        <v>n/a</v>
      </c>
      <c r="I112" s="225" t="str">
        <f t="shared" ref="I112" si="924">++IFERROR(I111/I108,"n/a")</f>
        <v>n/a</v>
      </c>
      <c r="J112" s="225" t="str">
        <f t="shared" ref="J112" si="925">++IFERROR(J111/J108,"n/a")</f>
        <v>n/a</v>
      </c>
      <c r="K112" s="214" t="str">
        <f t="shared" ref="K112" si="926">++IFERROR(K111/K108,"n/a")</f>
        <v>n/a</v>
      </c>
      <c r="L112" s="225" t="str">
        <f t="shared" ref="L112" si="927">++IFERROR(L111/L108,"n/a")</f>
        <v>n/a</v>
      </c>
      <c r="M112" s="225" t="str">
        <f t="shared" ref="M112" si="928">++IFERROR(M111/M108,"n/a")</f>
        <v>n/a</v>
      </c>
      <c r="N112" s="225" t="str">
        <f t="shared" ref="N112" si="929">++IFERROR(N111/N108,"n/a")</f>
        <v>n/a</v>
      </c>
      <c r="O112" s="225" t="str">
        <f t="shared" ref="O112" si="930">++IFERROR(O111/O108,"n/a")</f>
        <v>n/a</v>
      </c>
      <c r="P112" s="225" t="str">
        <f t="shared" ref="P112" si="931">++IFERROR(P111/P108,"n/a")</f>
        <v>n/a</v>
      </c>
      <c r="Q112" s="225" t="str">
        <f t="shared" ref="Q112" si="932">++IFERROR(Q111/Q108,"n/a")</f>
        <v>n/a</v>
      </c>
      <c r="R112" s="225" t="str">
        <f t="shared" ref="R112" si="933">++IFERROR(R111/R108,"n/a")</f>
        <v>n/a</v>
      </c>
      <c r="S112" s="225" t="str">
        <f t="shared" ref="S112" si="934">++IFERROR(S111/S108,"n/a")</f>
        <v>n/a</v>
      </c>
      <c r="T112" s="225" t="str">
        <f t="shared" ref="T112" si="935">++IFERROR(T111/T108,"n/a")</f>
        <v>n/a</v>
      </c>
      <c r="U112" s="225" t="str">
        <f t="shared" ref="U112" si="936">++IFERROR(U111/U108,"n/a")</f>
        <v>n/a</v>
      </c>
      <c r="V112" s="225" t="str">
        <f t="shared" ref="V112" si="937">++IFERROR(V111/V108,"n/a")</f>
        <v>n/a</v>
      </c>
      <c r="W112" s="214" t="str">
        <f t="shared" ref="W112" si="938">++IFERROR(W111/W108,"n/a")</f>
        <v>n/a</v>
      </c>
      <c r="X112" s="225" t="str">
        <f t="shared" ref="X112" si="939">++IFERROR(X111/X108,"n/a")</f>
        <v>n/a</v>
      </c>
      <c r="Y112" s="225" t="str">
        <f t="shared" ref="Y112" si="940">++IFERROR(Y111/Y108,"n/a")</f>
        <v>n/a</v>
      </c>
      <c r="Z112" s="225" t="str">
        <f t="shared" ref="Z112" si="941">++IFERROR(Z111/Z108,"n/a")</f>
        <v>n/a</v>
      </c>
      <c r="AA112" s="225" t="str">
        <f t="shared" ref="AA112" si="942">++IFERROR(AA111/AA108,"n/a")</f>
        <v>n/a</v>
      </c>
      <c r="AB112" s="225" t="str">
        <f t="shared" ref="AB112" si="943">++IFERROR(AB111/AB108,"n/a")</f>
        <v>n/a</v>
      </c>
      <c r="AC112" s="225" t="str">
        <f t="shared" ref="AC112" si="944">++IFERROR(AC111/AC108,"n/a")</f>
        <v>n/a</v>
      </c>
      <c r="AD112" s="225" t="str">
        <f t="shared" ref="AD112" si="945">++IFERROR(AD111/AD108,"n/a")</f>
        <v>n/a</v>
      </c>
      <c r="AE112" s="225" t="str">
        <f t="shared" ref="AE112" si="946">++IFERROR(AE111/AE108,"n/a")</f>
        <v>n/a</v>
      </c>
      <c r="AF112" s="225" t="str">
        <f t="shared" ref="AF112" si="947">++IFERROR(AF111/AF108,"n/a")</f>
        <v>n/a</v>
      </c>
      <c r="AG112" s="225" t="str">
        <f t="shared" ref="AG112" si="948">++IFERROR(AG111/AG108,"n/a")</f>
        <v>n/a</v>
      </c>
      <c r="AH112" s="225" t="str">
        <f t="shared" ref="AH112" si="949">++IFERROR(AH111/AH108,"n/a")</f>
        <v>n/a</v>
      </c>
      <c r="AI112" s="214" t="str">
        <f t="shared" ref="AI112" si="950">++IFERROR(AI111/AI108,"n/a")</f>
        <v>n/a</v>
      </c>
      <c r="AJ112" s="225" t="str">
        <f t="shared" ref="AJ112" si="951">++IFERROR(AJ111/AJ108,"n/a")</f>
        <v>n/a</v>
      </c>
      <c r="AK112" s="225" t="str">
        <f t="shared" ref="AK112" si="952">++IFERROR(AK111/AK108,"n/a")</f>
        <v>n/a</v>
      </c>
      <c r="AL112" s="225" t="str">
        <f t="shared" ref="AL112" si="953">++IFERROR(AL111/AL108,"n/a")</f>
        <v>n/a</v>
      </c>
      <c r="AM112" s="225" t="str">
        <f t="shared" ref="AM112" si="954">++IFERROR(AM111/AM108,"n/a")</f>
        <v>n/a</v>
      </c>
      <c r="AN112" s="225" t="str">
        <f t="shared" ref="AN112" si="955">++IFERROR(AN111/AN108,"n/a")</f>
        <v>n/a</v>
      </c>
      <c r="AO112" s="225" t="str">
        <f t="shared" ref="AO112" si="956">++IFERROR(AO111/AO108,"n/a")</f>
        <v>n/a</v>
      </c>
      <c r="AP112" s="225" t="str">
        <f t="shared" ref="AP112" si="957">++IFERROR(AP111/AP108,"n/a")</f>
        <v>n/a</v>
      </c>
      <c r="AQ112" s="225" t="str">
        <f t="shared" ref="AQ112" si="958">++IFERROR(AQ111/AQ108,"n/a")</f>
        <v>n/a</v>
      </c>
      <c r="AR112" s="225" t="str">
        <f t="shared" ref="AR112" si="959">++IFERROR(AR111/AR108,"n/a")</f>
        <v>n/a</v>
      </c>
      <c r="AS112" s="225" t="str">
        <f t="shared" ref="AS112" si="960">++IFERROR(AS111/AS108,"n/a")</f>
        <v>n/a</v>
      </c>
      <c r="AT112" s="225" t="str">
        <f t="shared" ref="AT112" si="961">++IFERROR(AT111/AT108,"n/a")</f>
        <v>n/a</v>
      </c>
      <c r="AU112" s="214" t="str">
        <f t="shared" ref="AU112" si="962">++IFERROR(AU111/AU108,"n/a")</f>
        <v>n/a</v>
      </c>
      <c r="AV112" s="225" t="str">
        <f t="shared" ref="AV112" si="963">++IFERROR(AV111/AV108,"n/a")</f>
        <v>n/a</v>
      </c>
      <c r="AW112" s="225" t="str">
        <f t="shared" ref="AW112" si="964">++IFERROR(AW111/AW108,"n/a")</f>
        <v>n/a</v>
      </c>
      <c r="AX112" s="225" t="str">
        <f t="shared" ref="AX112" si="965">++IFERROR(AX111/AX108,"n/a")</f>
        <v>n/a</v>
      </c>
      <c r="AY112" s="225" t="str">
        <f t="shared" ref="AY112" si="966">++IFERROR(AY111/AY108,"n/a")</f>
        <v>n/a</v>
      </c>
      <c r="AZ112" s="225" t="str">
        <f t="shared" ref="AZ112" si="967">++IFERROR(AZ111/AZ108,"n/a")</f>
        <v>n/a</v>
      </c>
      <c r="BA112" s="225" t="str">
        <f t="shared" ref="BA112" si="968">++IFERROR(BA111/BA108,"n/a")</f>
        <v>n/a</v>
      </c>
      <c r="BB112" s="225" t="str">
        <f t="shared" ref="BB112" si="969">++IFERROR(BB111/BB108,"n/a")</f>
        <v>n/a</v>
      </c>
      <c r="BC112" s="225" t="str">
        <f t="shared" ref="BC112" si="970">++IFERROR(BC111/BC108,"n/a")</f>
        <v>n/a</v>
      </c>
      <c r="BD112" s="225" t="str">
        <f t="shared" ref="BD112" si="971">++IFERROR(BD111/BD108,"n/a")</f>
        <v>n/a</v>
      </c>
      <c r="BE112" s="225" t="str">
        <f t="shared" ref="BE112" si="972">++IFERROR(BE111/BE108,"n/a")</f>
        <v>n/a</v>
      </c>
      <c r="BF112" s="225" t="str">
        <f t="shared" ref="BF112" si="973">++IFERROR(BF111/BF108,"n/a")</f>
        <v>n/a</v>
      </c>
      <c r="BG112" s="214" t="str">
        <f t="shared" ref="BG112" si="974">++IFERROR(BG111/BG108,"n/a")</f>
        <v>n/a</v>
      </c>
      <c r="BH112" s="225" t="str">
        <f t="shared" ref="BH112" si="975">++IFERROR(BH111/BH108,"n/a")</f>
        <v>n/a</v>
      </c>
      <c r="BI112" s="225" t="str">
        <f t="shared" ref="BI112" si="976">++IFERROR(BI111/BI108,"n/a")</f>
        <v>n/a</v>
      </c>
      <c r="BJ112" s="225" t="str">
        <f t="shared" ref="BJ112" si="977">++IFERROR(BJ111/BJ108,"n/a")</f>
        <v>n/a</v>
      </c>
      <c r="BK112" s="225" t="str">
        <f t="shared" ref="BK112" si="978">++IFERROR(BK111/BK108,"n/a")</f>
        <v>n/a</v>
      </c>
      <c r="BL112" s="225" t="str">
        <f t="shared" ref="BL112" si="979">++IFERROR(BL111/BL108,"n/a")</f>
        <v>n/a</v>
      </c>
      <c r="BM112" s="225" t="str">
        <f t="shared" ref="BM112" si="980">++IFERROR(BM111/BM108,"n/a")</f>
        <v>n/a</v>
      </c>
      <c r="BN112" s="225" t="str">
        <f t="shared" ref="BN112" si="981">++IFERROR(BN111/BN108,"n/a")</f>
        <v>n/a</v>
      </c>
      <c r="BO112" s="225" t="str">
        <f t="shared" ref="BO112" si="982">++IFERROR(BO111/BO108,"n/a")</f>
        <v>n/a</v>
      </c>
      <c r="BP112" s="225" t="str">
        <f t="shared" ref="BP112" si="983">++IFERROR(BP111/BP108,"n/a")</f>
        <v>n/a</v>
      </c>
      <c r="BQ112" s="225" t="str">
        <f t="shared" ref="BQ112" si="984">++IFERROR(BQ111/BQ108,"n/a")</f>
        <v>n/a</v>
      </c>
      <c r="BR112" s="225" t="str">
        <f t="shared" ref="BR112" si="985">++IFERROR(BR111/BR108,"n/a")</f>
        <v>n/a</v>
      </c>
      <c r="BS112" s="214" t="str">
        <f t="shared" ref="BS112" si="986">++IFERROR(BS111/BS108,"n/a")</f>
        <v>n/a</v>
      </c>
      <c r="BT112" s="225" t="str">
        <f t="shared" ref="BT112" si="987">++IFERROR(BT111/BT108,"n/a")</f>
        <v>n/a</v>
      </c>
      <c r="BU112" s="225" t="str">
        <f t="shared" ref="BU112" si="988">++IFERROR(BU111/BU108,"n/a")</f>
        <v>n/a</v>
      </c>
      <c r="BV112" s="225" t="str">
        <f t="shared" ref="BV112" si="989">++IFERROR(BV111/BV108,"n/a")</f>
        <v>n/a</v>
      </c>
      <c r="BW112" s="225" t="str">
        <f t="shared" ref="BW112" si="990">++IFERROR(BW111/BW108,"n/a")</f>
        <v>n/a</v>
      </c>
      <c r="BX112" s="225" t="str">
        <f t="shared" ref="BX112" si="991">++IFERROR(BX111/BX108,"n/a")</f>
        <v>n/a</v>
      </c>
      <c r="BY112" s="225" t="str">
        <f t="shared" ref="BY112" si="992">++IFERROR(BY111/BY108,"n/a")</f>
        <v>n/a</v>
      </c>
      <c r="BZ112" s="225" t="str">
        <f t="shared" ref="BZ112" si="993">++IFERROR(BZ111/BZ108,"n/a")</f>
        <v>n/a</v>
      </c>
      <c r="CA112" s="225" t="str">
        <f t="shared" ref="CA112" si="994">++IFERROR(CA111/CA108,"n/a")</f>
        <v>n/a</v>
      </c>
      <c r="CB112" s="225" t="str">
        <f t="shared" ref="CB112" si="995">++IFERROR(CB111/CB108,"n/a")</f>
        <v>n/a</v>
      </c>
      <c r="CC112" s="225" t="str">
        <f t="shared" ref="CC112" si="996">++IFERROR(CC111/CC108,"n/a")</f>
        <v>n/a</v>
      </c>
      <c r="CD112" s="225" t="str">
        <f t="shared" ref="CD112" si="997">++IFERROR(CD111/CD108,"n/a")</f>
        <v>n/a</v>
      </c>
      <c r="CE112" s="214" t="str">
        <f t="shared" ref="CE112" si="998">++IFERROR(CE111/CE108,"n/a")</f>
        <v>n/a</v>
      </c>
      <c r="CF112" s="225" t="str">
        <f t="shared" ref="CF112" si="999">++IFERROR(CF111/CF108,"n/a")</f>
        <v>n/a</v>
      </c>
      <c r="CG112" s="225" t="str">
        <f t="shared" ref="CG112" si="1000">++IFERROR(CG111/CG108,"n/a")</f>
        <v>n/a</v>
      </c>
      <c r="CH112" s="225" t="str">
        <f t="shared" ref="CH112" si="1001">++IFERROR(CH111/CH108,"n/a")</f>
        <v>n/a</v>
      </c>
      <c r="CI112" s="225" t="str">
        <f t="shared" ref="CI112" si="1002">++IFERROR(CI111/CI108,"n/a")</f>
        <v>n/a</v>
      </c>
      <c r="CJ112" s="225" t="str">
        <f t="shared" ref="CJ112" si="1003">++IFERROR(CJ111/CJ108,"n/a")</f>
        <v>n/a</v>
      </c>
      <c r="CK112" s="225" t="str">
        <f t="shared" ref="CK112" si="1004">++IFERROR(CK111/CK108,"n/a")</f>
        <v>n/a</v>
      </c>
      <c r="CL112" s="225" t="str">
        <f t="shared" ref="CL112" si="1005">++IFERROR(CL111/CL108,"n/a")</f>
        <v>n/a</v>
      </c>
      <c r="CM112" s="225" t="str">
        <f t="shared" ref="CM112" si="1006">++IFERROR(CM111/CM108,"n/a")</f>
        <v>n/a</v>
      </c>
      <c r="CN112" s="225" t="str">
        <f t="shared" ref="CN112" si="1007">++IFERROR(CN111/CN108,"n/a")</f>
        <v>n/a</v>
      </c>
      <c r="CO112" s="225" t="str">
        <f t="shared" ref="CO112" si="1008">++IFERROR(CO111/CO108,"n/a")</f>
        <v>n/a</v>
      </c>
      <c r="CP112" s="225" t="str">
        <f t="shared" ref="CP112" si="1009">++IFERROR(CP111/CP108,"n/a")</f>
        <v>n/a</v>
      </c>
      <c r="CQ112" s="214" t="str">
        <f t="shared" ref="CQ112" si="1010">++IFERROR(CQ111/CQ108,"n/a")</f>
        <v>n/a</v>
      </c>
      <c r="CR112" s="225" t="str">
        <f t="shared" ref="CR112" si="1011">++IFERROR(CR111/CR108,"n/a")</f>
        <v>n/a</v>
      </c>
      <c r="CS112" s="225" t="str">
        <f t="shared" ref="CS112" si="1012">++IFERROR(CS111/CS108,"n/a")</f>
        <v>n/a</v>
      </c>
      <c r="CT112" s="225" t="str">
        <f t="shared" ref="CT112" si="1013">++IFERROR(CT111/CT108,"n/a")</f>
        <v>n/a</v>
      </c>
      <c r="CU112" s="225" t="str">
        <f t="shared" ref="CU112" si="1014">++IFERROR(CU111/CU108,"n/a")</f>
        <v>n/a</v>
      </c>
      <c r="CV112" s="225" t="str">
        <f t="shared" ref="CV112" si="1015">++IFERROR(CV111/CV108,"n/a")</f>
        <v>n/a</v>
      </c>
      <c r="CW112" s="225" t="str">
        <f t="shared" ref="CW112" si="1016">++IFERROR(CW111/CW108,"n/a")</f>
        <v>n/a</v>
      </c>
      <c r="CX112" s="225" t="str">
        <f t="shared" ref="CX112" si="1017">++IFERROR(CX111/CX108,"n/a")</f>
        <v>n/a</v>
      </c>
      <c r="CY112" s="225" t="str">
        <f t="shared" ref="CY112" si="1018">++IFERROR(CY111/CY108,"n/a")</f>
        <v>n/a</v>
      </c>
      <c r="CZ112" s="225" t="str">
        <f t="shared" ref="CZ112" si="1019">++IFERROR(CZ111/CZ108,"n/a")</f>
        <v>n/a</v>
      </c>
      <c r="DA112" s="225" t="str">
        <f t="shared" ref="DA112" si="1020">++IFERROR(DA111/DA108,"n/a")</f>
        <v>n/a</v>
      </c>
      <c r="DB112" s="225" t="str">
        <f t="shared" ref="DB112" si="1021">++IFERROR(DB111/DB108,"n/a")</f>
        <v>n/a</v>
      </c>
      <c r="DC112" s="214" t="str">
        <f t="shared" ref="DC112" si="1022">++IFERROR(DC111/DC108,"n/a")</f>
        <v>n/a</v>
      </c>
    </row>
    <row r="113" spans="3:107" x14ac:dyDescent="0.3">
      <c r="C113" s="321" t="str">
        <f>++C$15</f>
        <v>% y/y</v>
      </c>
      <c r="G113" s="122" t="s">
        <v>47</v>
      </c>
      <c r="H113" s="122" t="s">
        <v>47</v>
      </c>
      <c r="I113" s="122" t="s">
        <v>47</v>
      </c>
      <c r="J113" s="122" t="s">
        <v>47</v>
      </c>
      <c r="K113" s="214" t="str">
        <f>++IFERROR(K111/G111-1,"n/a")</f>
        <v>n/a</v>
      </c>
      <c r="L113" s="122" t="s">
        <v>47</v>
      </c>
      <c r="M113" s="122" t="s">
        <v>47</v>
      </c>
      <c r="N113" s="225" t="str">
        <f>++IFERROR(N111/H111-1,"n/a")</f>
        <v>n/a</v>
      </c>
      <c r="O113" s="122" t="s">
        <v>47</v>
      </c>
      <c r="P113" s="122" t="s">
        <v>47</v>
      </c>
      <c r="Q113" s="225" t="str">
        <f>++IFERROR(Q111/I111-1,"n/a")</f>
        <v>n/a</v>
      </c>
      <c r="R113" s="122" t="s">
        <v>47</v>
      </c>
      <c r="S113" s="122" t="s">
        <v>47</v>
      </c>
      <c r="T113" s="225" t="str">
        <f>++IFERROR(T111/J111-1,"n/a")</f>
        <v>n/a</v>
      </c>
      <c r="U113" s="122" t="s">
        <v>47</v>
      </c>
      <c r="V113" s="122" t="s">
        <v>47</v>
      </c>
      <c r="W113" s="214" t="str">
        <f t="shared" ref="W113:BB113" si="1023">++IFERROR(W111/K111-1,"n/a")</f>
        <v>n/a</v>
      </c>
      <c r="X113" s="225" t="str">
        <f t="shared" si="1023"/>
        <v>n/a</v>
      </c>
      <c r="Y113" s="225" t="str">
        <f t="shared" si="1023"/>
        <v>n/a</v>
      </c>
      <c r="Z113" s="225" t="str">
        <f t="shared" si="1023"/>
        <v>n/a</v>
      </c>
      <c r="AA113" s="225" t="str">
        <f t="shared" si="1023"/>
        <v>n/a</v>
      </c>
      <c r="AB113" s="225" t="str">
        <f t="shared" si="1023"/>
        <v>n/a</v>
      </c>
      <c r="AC113" s="225" t="str">
        <f t="shared" si="1023"/>
        <v>n/a</v>
      </c>
      <c r="AD113" s="225" t="str">
        <f t="shared" si="1023"/>
        <v>n/a</v>
      </c>
      <c r="AE113" s="225" t="str">
        <f t="shared" si="1023"/>
        <v>n/a</v>
      </c>
      <c r="AF113" s="225" t="str">
        <f t="shared" si="1023"/>
        <v>n/a</v>
      </c>
      <c r="AG113" s="225" t="str">
        <f t="shared" si="1023"/>
        <v>n/a</v>
      </c>
      <c r="AH113" s="225" t="str">
        <f t="shared" si="1023"/>
        <v>n/a</v>
      </c>
      <c r="AI113" s="214" t="str">
        <f t="shared" si="1023"/>
        <v>n/a</v>
      </c>
      <c r="AJ113" s="225" t="str">
        <f t="shared" si="1023"/>
        <v>n/a</v>
      </c>
      <c r="AK113" s="225" t="str">
        <f t="shared" si="1023"/>
        <v>n/a</v>
      </c>
      <c r="AL113" s="225" t="str">
        <f t="shared" si="1023"/>
        <v>n/a</v>
      </c>
      <c r="AM113" s="225" t="str">
        <f t="shared" si="1023"/>
        <v>n/a</v>
      </c>
      <c r="AN113" s="225" t="str">
        <f t="shared" si="1023"/>
        <v>n/a</v>
      </c>
      <c r="AO113" s="225" t="str">
        <f t="shared" si="1023"/>
        <v>n/a</v>
      </c>
      <c r="AP113" s="225" t="str">
        <f t="shared" si="1023"/>
        <v>n/a</v>
      </c>
      <c r="AQ113" s="225" t="str">
        <f t="shared" si="1023"/>
        <v>n/a</v>
      </c>
      <c r="AR113" s="225" t="str">
        <f t="shared" si="1023"/>
        <v>n/a</v>
      </c>
      <c r="AS113" s="225" t="str">
        <f t="shared" si="1023"/>
        <v>n/a</v>
      </c>
      <c r="AT113" s="225" t="str">
        <f t="shared" si="1023"/>
        <v>n/a</v>
      </c>
      <c r="AU113" s="214" t="str">
        <f t="shared" si="1023"/>
        <v>n/a</v>
      </c>
      <c r="AV113" s="225" t="str">
        <f t="shared" si="1023"/>
        <v>n/a</v>
      </c>
      <c r="AW113" s="225" t="str">
        <f t="shared" si="1023"/>
        <v>n/a</v>
      </c>
      <c r="AX113" s="225" t="str">
        <f t="shared" si="1023"/>
        <v>n/a</v>
      </c>
      <c r="AY113" s="225" t="str">
        <f t="shared" si="1023"/>
        <v>n/a</v>
      </c>
      <c r="AZ113" s="225" t="str">
        <f t="shared" si="1023"/>
        <v>n/a</v>
      </c>
      <c r="BA113" s="225" t="str">
        <f t="shared" si="1023"/>
        <v>n/a</v>
      </c>
      <c r="BB113" s="225" t="str">
        <f t="shared" si="1023"/>
        <v>n/a</v>
      </c>
      <c r="BC113" s="225" t="str">
        <f t="shared" ref="BC113:CH113" si="1024">++IFERROR(BC111/AQ111-1,"n/a")</f>
        <v>n/a</v>
      </c>
      <c r="BD113" s="225" t="str">
        <f t="shared" si="1024"/>
        <v>n/a</v>
      </c>
      <c r="BE113" s="225" t="str">
        <f t="shared" si="1024"/>
        <v>n/a</v>
      </c>
      <c r="BF113" s="225" t="str">
        <f t="shared" si="1024"/>
        <v>n/a</v>
      </c>
      <c r="BG113" s="214" t="str">
        <f t="shared" si="1024"/>
        <v>n/a</v>
      </c>
      <c r="BH113" s="225" t="str">
        <f t="shared" si="1024"/>
        <v>n/a</v>
      </c>
      <c r="BI113" s="225" t="str">
        <f t="shared" si="1024"/>
        <v>n/a</v>
      </c>
      <c r="BJ113" s="225" t="str">
        <f t="shared" si="1024"/>
        <v>n/a</v>
      </c>
      <c r="BK113" s="225" t="str">
        <f t="shared" si="1024"/>
        <v>n/a</v>
      </c>
      <c r="BL113" s="225" t="str">
        <f t="shared" si="1024"/>
        <v>n/a</v>
      </c>
      <c r="BM113" s="225" t="str">
        <f t="shared" si="1024"/>
        <v>n/a</v>
      </c>
      <c r="BN113" s="225" t="str">
        <f t="shared" si="1024"/>
        <v>n/a</v>
      </c>
      <c r="BO113" s="225" t="str">
        <f t="shared" si="1024"/>
        <v>n/a</v>
      </c>
      <c r="BP113" s="225" t="str">
        <f t="shared" si="1024"/>
        <v>n/a</v>
      </c>
      <c r="BQ113" s="225" t="str">
        <f t="shared" si="1024"/>
        <v>n/a</v>
      </c>
      <c r="BR113" s="225" t="str">
        <f t="shared" si="1024"/>
        <v>n/a</v>
      </c>
      <c r="BS113" s="214" t="str">
        <f t="shared" si="1024"/>
        <v>n/a</v>
      </c>
      <c r="BT113" s="225" t="str">
        <f t="shared" si="1024"/>
        <v>n/a</v>
      </c>
      <c r="BU113" s="225" t="str">
        <f t="shared" si="1024"/>
        <v>n/a</v>
      </c>
      <c r="BV113" s="225" t="str">
        <f t="shared" si="1024"/>
        <v>n/a</v>
      </c>
      <c r="BW113" s="225" t="str">
        <f t="shared" si="1024"/>
        <v>n/a</v>
      </c>
      <c r="BX113" s="225" t="str">
        <f t="shared" si="1024"/>
        <v>n/a</v>
      </c>
      <c r="BY113" s="225" t="str">
        <f t="shared" si="1024"/>
        <v>n/a</v>
      </c>
      <c r="BZ113" s="225" t="str">
        <f t="shared" si="1024"/>
        <v>n/a</v>
      </c>
      <c r="CA113" s="225" t="str">
        <f t="shared" si="1024"/>
        <v>n/a</v>
      </c>
      <c r="CB113" s="225" t="str">
        <f t="shared" si="1024"/>
        <v>n/a</v>
      </c>
      <c r="CC113" s="225" t="str">
        <f t="shared" si="1024"/>
        <v>n/a</v>
      </c>
      <c r="CD113" s="225" t="str">
        <f t="shared" si="1024"/>
        <v>n/a</v>
      </c>
      <c r="CE113" s="214" t="str">
        <f t="shared" si="1024"/>
        <v>n/a</v>
      </c>
      <c r="CF113" s="225" t="str">
        <f t="shared" si="1024"/>
        <v>n/a</v>
      </c>
      <c r="CG113" s="225" t="str">
        <f t="shared" si="1024"/>
        <v>n/a</v>
      </c>
      <c r="CH113" s="225" t="str">
        <f t="shared" si="1024"/>
        <v>n/a</v>
      </c>
      <c r="CI113" s="225" t="str">
        <f t="shared" ref="CI113:DN113" si="1025">++IFERROR(CI111/BW111-1,"n/a")</f>
        <v>n/a</v>
      </c>
      <c r="CJ113" s="225" t="str">
        <f t="shared" si="1025"/>
        <v>n/a</v>
      </c>
      <c r="CK113" s="225" t="str">
        <f t="shared" si="1025"/>
        <v>n/a</v>
      </c>
      <c r="CL113" s="225" t="str">
        <f t="shared" si="1025"/>
        <v>n/a</v>
      </c>
      <c r="CM113" s="225" t="str">
        <f t="shared" si="1025"/>
        <v>n/a</v>
      </c>
      <c r="CN113" s="225" t="str">
        <f t="shared" si="1025"/>
        <v>n/a</v>
      </c>
      <c r="CO113" s="225" t="str">
        <f t="shared" si="1025"/>
        <v>n/a</v>
      </c>
      <c r="CP113" s="225" t="str">
        <f t="shared" si="1025"/>
        <v>n/a</v>
      </c>
      <c r="CQ113" s="214" t="str">
        <f t="shared" si="1025"/>
        <v>n/a</v>
      </c>
      <c r="CR113" s="225" t="str">
        <f t="shared" si="1025"/>
        <v>n/a</v>
      </c>
      <c r="CS113" s="225" t="str">
        <f t="shared" si="1025"/>
        <v>n/a</v>
      </c>
      <c r="CT113" s="225" t="str">
        <f t="shared" si="1025"/>
        <v>n/a</v>
      </c>
      <c r="CU113" s="225" t="str">
        <f t="shared" si="1025"/>
        <v>n/a</v>
      </c>
      <c r="CV113" s="225" t="str">
        <f t="shared" si="1025"/>
        <v>n/a</v>
      </c>
      <c r="CW113" s="225" t="str">
        <f t="shared" si="1025"/>
        <v>n/a</v>
      </c>
      <c r="CX113" s="225" t="str">
        <f t="shared" si="1025"/>
        <v>n/a</v>
      </c>
      <c r="CY113" s="225" t="str">
        <f t="shared" si="1025"/>
        <v>n/a</v>
      </c>
      <c r="CZ113" s="225" t="str">
        <f t="shared" si="1025"/>
        <v>n/a</v>
      </c>
      <c r="DA113" s="225" t="str">
        <f t="shared" si="1025"/>
        <v>n/a</v>
      </c>
      <c r="DB113" s="225" t="str">
        <f t="shared" si="1025"/>
        <v>n/a</v>
      </c>
      <c r="DC113" s="214" t="str">
        <f t="shared" si="1025"/>
        <v>n/a</v>
      </c>
    </row>
    <row r="114" spans="3:107" x14ac:dyDescent="0.3">
      <c r="G114" s="203"/>
      <c r="K114" s="203"/>
      <c r="W114" s="203"/>
      <c r="AI114" s="203"/>
      <c r="AU114" s="203"/>
      <c r="BG114" s="203"/>
      <c r="BS114" s="203"/>
      <c r="CE114" s="203"/>
      <c r="CQ114" s="203"/>
      <c r="DC114" s="203"/>
    </row>
    <row r="115" spans="3:107" x14ac:dyDescent="0.3">
      <c r="C115" s="101" t="str">
        <f>++C$17</f>
        <v>[Operating Expense]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v>0</v>
      </c>
      <c r="Q115" s="45">
        <v>0</v>
      </c>
      <c r="R115" s="45">
        <v>0</v>
      </c>
      <c r="S115" s="45">
        <v>0</v>
      </c>
      <c r="T115" s="45">
        <v>0</v>
      </c>
      <c r="U115" s="45">
        <v>0</v>
      </c>
      <c r="V115" s="45">
        <v>0</v>
      </c>
      <c r="W115" s="45">
        <v>0</v>
      </c>
      <c r="X115" s="45">
        <v>0</v>
      </c>
      <c r="Y115" s="45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0</v>
      </c>
      <c r="AH115" s="45">
        <v>0</v>
      </c>
      <c r="AI115" s="45">
        <v>0</v>
      </c>
      <c r="AJ115" s="45">
        <v>0</v>
      </c>
      <c r="AK115" s="45">
        <v>0</v>
      </c>
      <c r="AL115" s="45">
        <v>0</v>
      </c>
      <c r="AM115" s="45">
        <v>0</v>
      </c>
      <c r="AN115" s="45">
        <v>0</v>
      </c>
      <c r="AO115" s="45">
        <v>0</v>
      </c>
      <c r="AP115" s="45">
        <v>0</v>
      </c>
      <c r="AQ115" s="45">
        <v>0</v>
      </c>
      <c r="AR115" s="45">
        <v>0</v>
      </c>
      <c r="AS115" s="45">
        <v>0</v>
      </c>
      <c r="AT115" s="45">
        <v>0</v>
      </c>
      <c r="AU115" s="45">
        <v>0</v>
      </c>
      <c r="AV115" s="45">
        <v>0</v>
      </c>
      <c r="AW115" s="45">
        <v>0</v>
      </c>
      <c r="AX115" s="45">
        <v>0</v>
      </c>
      <c r="AY115" s="45">
        <v>0</v>
      </c>
      <c r="AZ115" s="45">
        <v>0</v>
      </c>
      <c r="BA115" s="45">
        <v>0</v>
      </c>
      <c r="BB115" s="45">
        <v>0</v>
      </c>
      <c r="BC115" s="45">
        <v>0</v>
      </c>
      <c r="BD115" s="45">
        <v>0</v>
      </c>
      <c r="BE115" s="45">
        <v>0</v>
      </c>
      <c r="BF115" s="45">
        <v>0</v>
      </c>
      <c r="BG115" s="45">
        <v>0</v>
      </c>
      <c r="BH115" s="45">
        <v>0</v>
      </c>
      <c r="BI115" s="45">
        <v>0</v>
      </c>
      <c r="BJ115" s="45">
        <v>0</v>
      </c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</row>
    <row r="116" spans="3:107" x14ac:dyDescent="0.3">
      <c r="C116" s="101" t="str">
        <f>++C$18</f>
        <v>[Operating Expense]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0</v>
      </c>
      <c r="P116" s="45">
        <v>0</v>
      </c>
      <c r="Q116" s="45">
        <v>0</v>
      </c>
      <c r="R116" s="45">
        <v>0</v>
      </c>
      <c r="S116" s="45">
        <v>0</v>
      </c>
      <c r="T116" s="45">
        <v>0</v>
      </c>
      <c r="U116" s="45">
        <v>0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0</v>
      </c>
      <c r="AG116" s="45">
        <v>0</v>
      </c>
      <c r="AH116" s="45">
        <v>0</v>
      </c>
      <c r="AI116" s="45">
        <v>0</v>
      </c>
      <c r="AJ116" s="45">
        <v>0</v>
      </c>
      <c r="AK116" s="45">
        <v>0</v>
      </c>
      <c r="AL116" s="45">
        <v>0</v>
      </c>
      <c r="AM116" s="45">
        <v>0</v>
      </c>
      <c r="AN116" s="45">
        <v>0</v>
      </c>
      <c r="AO116" s="45">
        <v>0</v>
      </c>
      <c r="AP116" s="45">
        <v>0</v>
      </c>
      <c r="AQ116" s="45">
        <v>0</v>
      </c>
      <c r="AR116" s="45">
        <v>0</v>
      </c>
      <c r="AS116" s="45">
        <v>0</v>
      </c>
      <c r="AT116" s="45">
        <v>0</v>
      </c>
      <c r="AU116" s="45">
        <v>0</v>
      </c>
      <c r="AV116" s="45">
        <v>0</v>
      </c>
      <c r="AW116" s="45">
        <v>0</v>
      </c>
      <c r="AX116" s="45">
        <v>0</v>
      </c>
      <c r="AY116" s="45">
        <v>0</v>
      </c>
      <c r="AZ116" s="45">
        <v>0</v>
      </c>
      <c r="BA116" s="45">
        <v>0</v>
      </c>
      <c r="BB116" s="45">
        <v>0</v>
      </c>
      <c r="BC116" s="45">
        <v>0</v>
      </c>
      <c r="BD116" s="45">
        <v>0</v>
      </c>
      <c r="BE116" s="45">
        <v>0</v>
      </c>
      <c r="BF116" s="45">
        <v>0</v>
      </c>
      <c r="BG116" s="45">
        <v>0</v>
      </c>
      <c r="BH116" s="45">
        <v>0</v>
      </c>
      <c r="BI116" s="45">
        <v>0</v>
      </c>
      <c r="BJ116" s="45">
        <v>0</v>
      </c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</row>
    <row r="117" spans="3:107" x14ac:dyDescent="0.3">
      <c r="C117" s="101" t="str">
        <f>++C$19</f>
        <v>[Operating Expense]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0</v>
      </c>
      <c r="P117" s="45">
        <v>0</v>
      </c>
      <c r="Q117" s="45">
        <v>0</v>
      </c>
      <c r="R117" s="45">
        <v>0</v>
      </c>
      <c r="S117" s="45">
        <v>0</v>
      </c>
      <c r="T117" s="45">
        <v>0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0</v>
      </c>
      <c r="AG117" s="45">
        <v>0</v>
      </c>
      <c r="AH117" s="45">
        <v>0</v>
      </c>
      <c r="AI117" s="45">
        <v>0</v>
      </c>
      <c r="AJ117" s="45">
        <v>0</v>
      </c>
      <c r="AK117" s="45">
        <v>0</v>
      </c>
      <c r="AL117" s="45">
        <v>0</v>
      </c>
      <c r="AM117" s="45">
        <v>0</v>
      </c>
      <c r="AN117" s="45">
        <v>0</v>
      </c>
      <c r="AO117" s="45">
        <v>0</v>
      </c>
      <c r="AP117" s="45">
        <v>0</v>
      </c>
      <c r="AQ117" s="45">
        <v>0</v>
      </c>
      <c r="AR117" s="45">
        <v>0</v>
      </c>
      <c r="AS117" s="45">
        <v>0</v>
      </c>
      <c r="AT117" s="45">
        <v>0</v>
      </c>
      <c r="AU117" s="45">
        <v>0</v>
      </c>
      <c r="AV117" s="45">
        <v>0</v>
      </c>
      <c r="AW117" s="45">
        <v>0</v>
      </c>
      <c r="AX117" s="45">
        <v>0</v>
      </c>
      <c r="AY117" s="45">
        <v>0</v>
      </c>
      <c r="AZ117" s="45">
        <v>0</v>
      </c>
      <c r="BA117" s="45">
        <v>0</v>
      </c>
      <c r="BB117" s="45">
        <v>0</v>
      </c>
      <c r="BC117" s="45">
        <v>0</v>
      </c>
      <c r="BD117" s="45">
        <v>0</v>
      </c>
      <c r="BE117" s="45">
        <v>0</v>
      </c>
      <c r="BF117" s="45">
        <v>0</v>
      </c>
      <c r="BG117" s="45">
        <v>0</v>
      </c>
      <c r="BH117" s="45">
        <v>0</v>
      </c>
      <c r="BI117" s="45">
        <v>0</v>
      </c>
      <c r="BJ117" s="45">
        <v>0</v>
      </c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</row>
    <row r="118" spans="3:107" x14ac:dyDescent="0.3">
      <c r="C118" s="101" t="str">
        <f>++C$20</f>
        <v>Depreciation</v>
      </c>
      <c r="G118" s="45">
        <v>0</v>
      </c>
      <c r="H118" s="45">
        <v>0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>
        <v>0</v>
      </c>
      <c r="P118" s="45">
        <v>0</v>
      </c>
      <c r="Q118" s="45">
        <v>0</v>
      </c>
      <c r="R118" s="45">
        <v>0</v>
      </c>
      <c r="S118" s="45">
        <v>0</v>
      </c>
      <c r="T118" s="45">
        <v>0</v>
      </c>
      <c r="U118" s="45">
        <v>0</v>
      </c>
      <c r="V118" s="45">
        <v>0</v>
      </c>
      <c r="W118" s="45">
        <v>0</v>
      </c>
      <c r="X118" s="45">
        <v>0</v>
      </c>
      <c r="Y118" s="45">
        <v>0</v>
      </c>
      <c r="Z118" s="45">
        <v>0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0</v>
      </c>
      <c r="AG118" s="45">
        <v>0</v>
      </c>
      <c r="AH118" s="45">
        <v>0</v>
      </c>
      <c r="AI118" s="45">
        <v>0</v>
      </c>
      <c r="AJ118" s="45">
        <v>0</v>
      </c>
      <c r="AK118" s="45">
        <v>0</v>
      </c>
      <c r="AL118" s="45">
        <v>0</v>
      </c>
      <c r="AM118" s="45">
        <v>0</v>
      </c>
      <c r="AN118" s="45">
        <v>0</v>
      </c>
      <c r="AO118" s="45">
        <v>0</v>
      </c>
      <c r="AP118" s="45">
        <v>0</v>
      </c>
      <c r="AQ118" s="45">
        <v>0</v>
      </c>
      <c r="AR118" s="45">
        <v>0</v>
      </c>
      <c r="AS118" s="45">
        <v>0</v>
      </c>
      <c r="AT118" s="45">
        <v>0</v>
      </c>
      <c r="AU118" s="45">
        <v>0</v>
      </c>
      <c r="AV118" s="45">
        <v>0</v>
      </c>
      <c r="AW118" s="45">
        <v>0</v>
      </c>
      <c r="AX118" s="45">
        <v>0</v>
      </c>
      <c r="AY118" s="45">
        <v>0</v>
      </c>
      <c r="AZ118" s="45">
        <v>0</v>
      </c>
      <c r="BA118" s="45">
        <v>0</v>
      </c>
      <c r="BB118" s="45">
        <v>0</v>
      </c>
      <c r="BC118" s="45">
        <v>0</v>
      </c>
      <c r="BD118" s="45">
        <v>0</v>
      </c>
      <c r="BE118" s="45">
        <v>0</v>
      </c>
      <c r="BF118" s="45">
        <v>0</v>
      </c>
      <c r="BG118" s="45">
        <v>0</v>
      </c>
      <c r="BH118" s="45">
        <v>0</v>
      </c>
      <c r="BI118" s="45">
        <v>0</v>
      </c>
      <c r="BJ118" s="45">
        <v>0</v>
      </c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</row>
    <row r="119" spans="3:107" x14ac:dyDescent="0.3">
      <c r="C119" s="101" t="str">
        <f>++C$21</f>
        <v>Amortization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v>0</v>
      </c>
      <c r="O119" s="45">
        <v>0</v>
      </c>
      <c r="P119" s="45">
        <v>0</v>
      </c>
      <c r="Q119" s="45">
        <v>0</v>
      </c>
      <c r="R119" s="45">
        <v>0</v>
      </c>
      <c r="S119" s="45">
        <v>0</v>
      </c>
      <c r="T119" s="45">
        <v>0</v>
      </c>
      <c r="U119" s="45">
        <v>0</v>
      </c>
      <c r="V119" s="45">
        <v>0</v>
      </c>
      <c r="W119" s="45">
        <v>0</v>
      </c>
      <c r="X119" s="45">
        <v>0</v>
      </c>
      <c r="Y119" s="45">
        <v>0</v>
      </c>
      <c r="Z119" s="45">
        <v>0</v>
      </c>
      <c r="AA119" s="45">
        <v>0</v>
      </c>
      <c r="AB119" s="45">
        <v>0</v>
      </c>
      <c r="AC119" s="45">
        <v>0</v>
      </c>
      <c r="AD119" s="45">
        <v>0</v>
      </c>
      <c r="AE119" s="45">
        <v>0</v>
      </c>
      <c r="AF119" s="45">
        <v>0</v>
      </c>
      <c r="AG119" s="45">
        <v>0</v>
      </c>
      <c r="AH119" s="45">
        <v>0</v>
      </c>
      <c r="AI119" s="45">
        <v>0</v>
      </c>
      <c r="AJ119" s="45">
        <v>0</v>
      </c>
      <c r="AK119" s="45">
        <v>0</v>
      </c>
      <c r="AL119" s="45">
        <v>0</v>
      </c>
      <c r="AM119" s="45">
        <v>0</v>
      </c>
      <c r="AN119" s="45">
        <v>0</v>
      </c>
      <c r="AO119" s="45">
        <v>0</v>
      </c>
      <c r="AP119" s="45">
        <v>0</v>
      </c>
      <c r="AQ119" s="45">
        <v>0</v>
      </c>
      <c r="AR119" s="45">
        <v>0</v>
      </c>
      <c r="AS119" s="45">
        <v>0</v>
      </c>
      <c r="AT119" s="45">
        <v>0</v>
      </c>
      <c r="AU119" s="45">
        <v>0</v>
      </c>
      <c r="AV119" s="45">
        <v>0</v>
      </c>
      <c r="AW119" s="45">
        <v>0</v>
      </c>
      <c r="AX119" s="45">
        <v>0</v>
      </c>
      <c r="AY119" s="45">
        <v>0</v>
      </c>
      <c r="AZ119" s="45">
        <v>0</v>
      </c>
      <c r="BA119" s="45">
        <v>0</v>
      </c>
      <c r="BB119" s="45">
        <v>0</v>
      </c>
      <c r="BC119" s="45">
        <v>0</v>
      </c>
      <c r="BD119" s="45">
        <v>0</v>
      </c>
      <c r="BE119" s="45">
        <v>0</v>
      </c>
      <c r="BF119" s="45">
        <v>0</v>
      </c>
      <c r="BG119" s="45">
        <v>0</v>
      </c>
      <c r="BH119" s="45">
        <v>0</v>
      </c>
      <c r="BI119" s="45">
        <v>0</v>
      </c>
      <c r="BJ119" s="45">
        <v>0</v>
      </c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</row>
    <row r="120" spans="3:107" x14ac:dyDescent="0.3">
      <c r="C120" s="101" t="str">
        <f>++C$22</f>
        <v>Other Operating Expense (Income)</v>
      </c>
      <c r="G120" s="374">
        <f>++(G111-G121)-SUM(G115:G119)</f>
        <v>0</v>
      </c>
      <c r="H120" s="200">
        <f t="shared" ref="H120:BS120" si="1026">++(H111-H121)-SUM(H115:H119)</f>
        <v>0</v>
      </c>
      <c r="I120" s="200">
        <f t="shared" si="1026"/>
        <v>0</v>
      </c>
      <c r="J120" s="200">
        <f t="shared" si="1026"/>
        <v>0</v>
      </c>
      <c r="K120" s="374">
        <f t="shared" si="1026"/>
        <v>0</v>
      </c>
      <c r="L120" s="200">
        <f t="shared" si="1026"/>
        <v>0</v>
      </c>
      <c r="M120" s="200">
        <f t="shared" si="1026"/>
        <v>0</v>
      </c>
      <c r="N120" s="200">
        <f t="shared" si="1026"/>
        <v>0</v>
      </c>
      <c r="O120" s="200">
        <f t="shared" si="1026"/>
        <v>0</v>
      </c>
      <c r="P120" s="200">
        <f t="shared" si="1026"/>
        <v>0</v>
      </c>
      <c r="Q120" s="200">
        <f t="shared" si="1026"/>
        <v>0</v>
      </c>
      <c r="R120" s="200">
        <f t="shared" si="1026"/>
        <v>0</v>
      </c>
      <c r="S120" s="200">
        <f t="shared" si="1026"/>
        <v>0</v>
      </c>
      <c r="T120" s="200">
        <f t="shared" si="1026"/>
        <v>0</v>
      </c>
      <c r="U120" s="200">
        <f t="shared" si="1026"/>
        <v>0</v>
      </c>
      <c r="V120" s="200">
        <f t="shared" si="1026"/>
        <v>0</v>
      </c>
      <c r="W120" s="374">
        <f t="shared" si="1026"/>
        <v>0</v>
      </c>
      <c r="X120" s="200">
        <f t="shared" si="1026"/>
        <v>0</v>
      </c>
      <c r="Y120" s="200">
        <f t="shared" si="1026"/>
        <v>0</v>
      </c>
      <c r="Z120" s="200">
        <f t="shared" si="1026"/>
        <v>0</v>
      </c>
      <c r="AA120" s="200">
        <f t="shared" si="1026"/>
        <v>0</v>
      </c>
      <c r="AB120" s="200">
        <f t="shared" si="1026"/>
        <v>0</v>
      </c>
      <c r="AC120" s="200">
        <f t="shared" si="1026"/>
        <v>0</v>
      </c>
      <c r="AD120" s="200">
        <f t="shared" si="1026"/>
        <v>0</v>
      </c>
      <c r="AE120" s="200">
        <f t="shared" si="1026"/>
        <v>0</v>
      </c>
      <c r="AF120" s="200">
        <f t="shared" si="1026"/>
        <v>0</v>
      </c>
      <c r="AG120" s="200">
        <f t="shared" si="1026"/>
        <v>0</v>
      </c>
      <c r="AH120" s="200">
        <f t="shared" si="1026"/>
        <v>0</v>
      </c>
      <c r="AI120" s="374">
        <f t="shared" si="1026"/>
        <v>0</v>
      </c>
      <c r="AJ120" s="200">
        <f t="shared" si="1026"/>
        <v>0</v>
      </c>
      <c r="AK120" s="200">
        <f t="shared" si="1026"/>
        <v>0</v>
      </c>
      <c r="AL120" s="200">
        <f t="shared" si="1026"/>
        <v>0</v>
      </c>
      <c r="AM120" s="200">
        <f t="shared" si="1026"/>
        <v>0</v>
      </c>
      <c r="AN120" s="200">
        <f t="shared" si="1026"/>
        <v>0</v>
      </c>
      <c r="AO120" s="200">
        <f t="shared" si="1026"/>
        <v>0</v>
      </c>
      <c r="AP120" s="200">
        <f t="shared" si="1026"/>
        <v>0</v>
      </c>
      <c r="AQ120" s="200">
        <f t="shared" si="1026"/>
        <v>0</v>
      </c>
      <c r="AR120" s="200">
        <f t="shared" si="1026"/>
        <v>0</v>
      </c>
      <c r="AS120" s="200">
        <f t="shared" si="1026"/>
        <v>0</v>
      </c>
      <c r="AT120" s="200">
        <f t="shared" si="1026"/>
        <v>0</v>
      </c>
      <c r="AU120" s="374">
        <f t="shared" si="1026"/>
        <v>0</v>
      </c>
      <c r="AV120" s="200">
        <f t="shared" si="1026"/>
        <v>0</v>
      </c>
      <c r="AW120" s="200">
        <f t="shared" si="1026"/>
        <v>0</v>
      </c>
      <c r="AX120" s="200">
        <f t="shared" si="1026"/>
        <v>0</v>
      </c>
      <c r="AY120" s="200">
        <f t="shared" si="1026"/>
        <v>0</v>
      </c>
      <c r="AZ120" s="200">
        <f t="shared" si="1026"/>
        <v>0</v>
      </c>
      <c r="BA120" s="200">
        <f t="shared" si="1026"/>
        <v>0</v>
      </c>
      <c r="BB120" s="200">
        <f t="shared" si="1026"/>
        <v>0</v>
      </c>
      <c r="BC120" s="200">
        <f t="shared" si="1026"/>
        <v>0</v>
      </c>
      <c r="BD120" s="200">
        <f t="shared" si="1026"/>
        <v>0</v>
      </c>
      <c r="BE120" s="200">
        <f t="shared" si="1026"/>
        <v>0</v>
      </c>
      <c r="BF120" s="200">
        <f t="shared" si="1026"/>
        <v>0</v>
      </c>
      <c r="BG120" s="374">
        <f t="shared" si="1026"/>
        <v>0</v>
      </c>
      <c r="BH120" s="200">
        <f t="shared" si="1026"/>
        <v>0</v>
      </c>
      <c r="BI120" s="200">
        <f t="shared" si="1026"/>
        <v>0</v>
      </c>
      <c r="BJ120" s="200">
        <f t="shared" si="1026"/>
        <v>0</v>
      </c>
      <c r="BK120" s="200">
        <f t="shared" si="1026"/>
        <v>0</v>
      </c>
      <c r="BL120" s="200">
        <f t="shared" si="1026"/>
        <v>0</v>
      </c>
      <c r="BM120" s="200">
        <f t="shared" si="1026"/>
        <v>0</v>
      </c>
      <c r="BN120" s="200">
        <f t="shared" si="1026"/>
        <v>0</v>
      </c>
      <c r="BO120" s="200">
        <f t="shared" si="1026"/>
        <v>0</v>
      </c>
      <c r="BP120" s="200">
        <f t="shared" si="1026"/>
        <v>0</v>
      </c>
      <c r="BQ120" s="200">
        <f t="shared" si="1026"/>
        <v>0</v>
      </c>
      <c r="BR120" s="200">
        <f t="shared" si="1026"/>
        <v>0</v>
      </c>
      <c r="BS120" s="374">
        <f t="shared" si="1026"/>
        <v>0</v>
      </c>
      <c r="BT120" s="200">
        <f t="shared" ref="BT120:DC120" si="1027">++(BT111-BT121)-SUM(BT115:BT119)</f>
        <v>0</v>
      </c>
      <c r="BU120" s="200">
        <f t="shared" si="1027"/>
        <v>0</v>
      </c>
      <c r="BV120" s="200">
        <f t="shared" si="1027"/>
        <v>0</v>
      </c>
      <c r="BW120" s="200">
        <f t="shared" si="1027"/>
        <v>0</v>
      </c>
      <c r="BX120" s="200">
        <f t="shared" si="1027"/>
        <v>0</v>
      </c>
      <c r="BY120" s="200">
        <f t="shared" si="1027"/>
        <v>0</v>
      </c>
      <c r="BZ120" s="200">
        <f t="shared" si="1027"/>
        <v>0</v>
      </c>
      <c r="CA120" s="200">
        <f t="shared" si="1027"/>
        <v>0</v>
      </c>
      <c r="CB120" s="200">
        <f t="shared" si="1027"/>
        <v>0</v>
      </c>
      <c r="CC120" s="200">
        <f t="shared" si="1027"/>
        <v>0</v>
      </c>
      <c r="CD120" s="200">
        <f t="shared" si="1027"/>
        <v>0</v>
      </c>
      <c r="CE120" s="374">
        <f t="shared" si="1027"/>
        <v>0</v>
      </c>
      <c r="CF120" s="200">
        <f t="shared" si="1027"/>
        <v>0</v>
      </c>
      <c r="CG120" s="200">
        <f t="shared" si="1027"/>
        <v>0</v>
      </c>
      <c r="CH120" s="200">
        <f t="shared" si="1027"/>
        <v>0</v>
      </c>
      <c r="CI120" s="200">
        <f t="shared" si="1027"/>
        <v>0</v>
      </c>
      <c r="CJ120" s="200">
        <f t="shared" si="1027"/>
        <v>0</v>
      </c>
      <c r="CK120" s="200">
        <f t="shared" si="1027"/>
        <v>0</v>
      </c>
      <c r="CL120" s="200">
        <f t="shared" si="1027"/>
        <v>0</v>
      </c>
      <c r="CM120" s="200">
        <f t="shared" si="1027"/>
        <v>0</v>
      </c>
      <c r="CN120" s="200">
        <f t="shared" si="1027"/>
        <v>0</v>
      </c>
      <c r="CO120" s="200">
        <f t="shared" si="1027"/>
        <v>0</v>
      </c>
      <c r="CP120" s="200">
        <f t="shared" si="1027"/>
        <v>0</v>
      </c>
      <c r="CQ120" s="374">
        <f t="shared" si="1027"/>
        <v>0</v>
      </c>
      <c r="CR120" s="200">
        <f t="shared" si="1027"/>
        <v>0</v>
      </c>
      <c r="CS120" s="200">
        <f t="shared" si="1027"/>
        <v>0</v>
      </c>
      <c r="CT120" s="200">
        <f t="shared" si="1027"/>
        <v>0</v>
      </c>
      <c r="CU120" s="200">
        <f t="shared" si="1027"/>
        <v>0</v>
      </c>
      <c r="CV120" s="200">
        <f t="shared" si="1027"/>
        <v>0</v>
      </c>
      <c r="CW120" s="200">
        <f t="shared" si="1027"/>
        <v>0</v>
      </c>
      <c r="CX120" s="200">
        <f t="shared" si="1027"/>
        <v>0</v>
      </c>
      <c r="CY120" s="200">
        <f t="shared" si="1027"/>
        <v>0</v>
      </c>
      <c r="CZ120" s="200">
        <f t="shared" si="1027"/>
        <v>0</v>
      </c>
      <c r="DA120" s="200">
        <f t="shared" si="1027"/>
        <v>0</v>
      </c>
      <c r="DB120" s="200">
        <f t="shared" si="1027"/>
        <v>0</v>
      </c>
      <c r="DC120" s="374">
        <f t="shared" si="1027"/>
        <v>0</v>
      </c>
    </row>
    <row r="121" spans="3:107" x14ac:dyDescent="0.3">
      <c r="C121" s="231" t="str">
        <f>++C$23</f>
        <v>Operating Income (Loss)</v>
      </c>
      <c r="D121" s="191"/>
      <c r="E121" s="191"/>
      <c r="G121" s="239">
        <f>++SUM(G125:G127)</f>
        <v>0</v>
      </c>
      <c r="H121" s="232">
        <f t="shared" ref="H121:BS121" si="1028">++SUM(H125:H127)</f>
        <v>0</v>
      </c>
      <c r="I121" s="232">
        <f t="shared" si="1028"/>
        <v>0</v>
      </c>
      <c r="J121" s="232">
        <f t="shared" si="1028"/>
        <v>0</v>
      </c>
      <c r="K121" s="239">
        <f t="shared" si="1028"/>
        <v>0</v>
      </c>
      <c r="L121" s="232">
        <f t="shared" si="1028"/>
        <v>0</v>
      </c>
      <c r="M121" s="232">
        <f t="shared" si="1028"/>
        <v>0</v>
      </c>
      <c r="N121" s="232">
        <f t="shared" si="1028"/>
        <v>0</v>
      </c>
      <c r="O121" s="232">
        <f t="shared" si="1028"/>
        <v>0</v>
      </c>
      <c r="P121" s="232">
        <f t="shared" si="1028"/>
        <v>0</v>
      </c>
      <c r="Q121" s="232">
        <f t="shared" si="1028"/>
        <v>0</v>
      </c>
      <c r="R121" s="232">
        <f t="shared" si="1028"/>
        <v>0</v>
      </c>
      <c r="S121" s="232">
        <f t="shared" si="1028"/>
        <v>0</v>
      </c>
      <c r="T121" s="232">
        <f t="shared" si="1028"/>
        <v>0</v>
      </c>
      <c r="U121" s="232">
        <f t="shared" si="1028"/>
        <v>0</v>
      </c>
      <c r="V121" s="232">
        <f t="shared" si="1028"/>
        <v>0</v>
      </c>
      <c r="W121" s="239">
        <f t="shared" si="1028"/>
        <v>0</v>
      </c>
      <c r="X121" s="232">
        <f t="shared" si="1028"/>
        <v>0</v>
      </c>
      <c r="Y121" s="232">
        <f t="shared" si="1028"/>
        <v>0</v>
      </c>
      <c r="Z121" s="232">
        <f t="shared" si="1028"/>
        <v>0</v>
      </c>
      <c r="AA121" s="232">
        <f t="shared" si="1028"/>
        <v>0</v>
      </c>
      <c r="AB121" s="232">
        <f t="shared" si="1028"/>
        <v>0</v>
      </c>
      <c r="AC121" s="232">
        <f t="shared" si="1028"/>
        <v>0</v>
      </c>
      <c r="AD121" s="232">
        <f t="shared" si="1028"/>
        <v>0</v>
      </c>
      <c r="AE121" s="232">
        <f t="shared" si="1028"/>
        <v>0</v>
      </c>
      <c r="AF121" s="232">
        <f t="shared" si="1028"/>
        <v>0</v>
      </c>
      <c r="AG121" s="232">
        <f t="shared" si="1028"/>
        <v>0</v>
      </c>
      <c r="AH121" s="232">
        <f t="shared" si="1028"/>
        <v>0</v>
      </c>
      <c r="AI121" s="239">
        <f t="shared" si="1028"/>
        <v>0</v>
      </c>
      <c r="AJ121" s="232">
        <f t="shared" si="1028"/>
        <v>0</v>
      </c>
      <c r="AK121" s="232">
        <f t="shared" si="1028"/>
        <v>0</v>
      </c>
      <c r="AL121" s="232">
        <f t="shared" si="1028"/>
        <v>0</v>
      </c>
      <c r="AM121" s="232">
        <f t="shared" si="1028"/>
        <v>0</v>
      </c>
      <c r="AN121" s="232">
        <f t="shared" si="1028"/>
        <v>0</v>
      </c>
      <c r="AO121" s="232">
        <f t="shared" si="1028"/>
        <v>0</v>
      </c>
      <c r="AP121" s="232">
        <f t="shared" si="1028"/>
        <v>0</v>
      </c>
      <c r="AQ121" s="232">
        <f t="shared" si="1028"/>
        <v>0</v>
      </c>
      <c r="AR121" s="232">
        <f t="shared" si="1028"/>
        <v>0</v>
      </c>
      <c r="AS121" s="232">
        <f t="shared" si="1028"/>
        <v>0</v>
      </c>
      <c r="AT121" s="232">
        <f t="shared" si="1028"/>
        <v>0</v>
      </c>
      <c r="AU121" s="239">
        <f t="shared" si="1028"/>
        <v>0</v>
      </c>
      <c r="AV121" s="232">
        <f t="shared" si="1028"/>
        <v>0</v>
      </c>
      <c r="AW121" s="232">
        <f t="shared" si="1028"/>
        <v>0</v>
      </c>
      <c r="AX121" s="232">
        <f t="shared" si="1028"/>
        <v>0</v>
      </c>
      <c r="AY121" s="232">
        <f t="shared" si="1028"/>
        <v>0</v>
      </c>
      <c r="AZ121" s="232">
        <f t="shared" si="1028"/>
        <v>0</v>
      </c>
      <c r="BA121" s="232">
        <f t="shared" si="1028"/>
        <v>0</v>
      </c>
      <c r="BB121" s="232">
        <f t="shared" si="1028"/>
        <v>0</v>
      </c>
      <c r="BC121" s="232">
        <f t="shared" si="1028"/>
        <v>0</v>
      </c>
      <c r="BD121" s="232">
        <f t="shared" si="1028"/>
        <v>0</v>
      </c>
      <c r="BE121" s="232">
        <f t="shared" si="1028"/>
        <v>0</v>
      </c>
      <c r="BF121" s="232">
        <f t="shared" si="1028"/>
        <v>0</v>
      </c>
      <c r="BG121" s="239">
        <f t="shared" si="1028"/>
        <v>0</v>
      </c>
      <c r="BH121" s="232">
        <f t="shared" si="1028"/>
        <v>0</v>
      </c>
      <c r="BI121" s="232">
        <f t="shared" si="1028"/>
        <v>0</v>
      </c>
      <c r="BJ121" s="232">
        <f t="shared" si="1028"/>
        <v>0</v>
      </c>
      <c r="BK121" s="232">
        <f t="shared" si="1028"/>
        <v>0</v>
      </c>
      <c r="BL121" s="232">
        <f t="shared" si="1028"/>
        <v>0</v>
      </c>
      <c r="BM121" s="232">
        <f t="shared" si="1028"/>
        <v>0</v>
      </c>
      <c r="BN121" s="232">
        <f t="shared" si="1028"/>
        <v>0</v>
      </c>
      <c r="BO121" s="232">
        <f t="shared" si="1028"/>
        <v>0</v>
      </c>
      <c r="BP121" s="232">
        <f t="shared" si="1028"/>
        <v>0</v>
      </c>
      <c r="BQ121" s="232">
        <f t="shared" si="1028"/>
        <v>0</v>
      </c>
      <c r="BR121" s="232">
        <f t="shared" si="1028"/>
        <v>0</v>
      </c>
      <c r="BS121" s="239">
        <f t="shared" si="1028"/>
        <v>0</v>
      </c>
      <c r="BT121" s="232">
        <f t="shared" ref="BT121:DC121" si="1029">++SUM(BT125:BT127)</f>
        <v>0</v>
      </c>
      <c r="BU121" s="232">
        <f t="shared" si="1029"/>
        <v>0</v>
      </c>
      <c r="BV121" s="232">
        <f t="shared" si="1029"/>
        <v>0</v>
      </c>
      <c r="BW121" s="232">
        <f t="shared" si="1029"/>
        <v>0</v>
      </c>
      <c r="BX121" s="232">
        <f t="shared" si="1029"/>
        <v>0</v>
      </c>
      <c r="BY121" s="232">
        <f t="shared" si="1029"/>
        <v>0</v>
      </c>
      <c r="BZ121" s="232">
        <f t="shared" si="1029"/>
        <v>0</v>
      </c>
      <c r="CA121" s="232">
        <f t="shared" si="1029"/>
        <v>0</v>
      </c>
      <c r="CB121" s="232">
        <f t="shared" si="1029"/>
        <v>0</v>
      </c>
      <c r="CC121" s="232">
        <f t="shared" si="1029"/>
        <v>0</v>
      </c>
      <c r="CD121" s="232">
        <f t="shared" si="1029"/>
        <v>0</v>
      </c>
      <c r="CE121" s="239">
        <f t="shared" si="1029"/>
        <v>0</v>
      </c>
      <c r="CF121" s="232">
        <f t="shared" si="1029"/>
        <v>0</v>
      </c>
      <c r="CG121" s="232">
        <f t="shared" si="1029"/>
        <v>0</v>
      </c>
      <c r="CH121" s="232">
        <f t="shared" si="1029"/>
        <v>0</v>
      </c>
      <c r="CI121" s="232">
        <f t="shared" si="1029"/>
        <v>0</v>
      </c>
      <c r="CJ121" s="232">
        <f t="shared" si="1029"/>
        <v>0</v>
      </c>
      <c r="CK121" s="232">
        <f t="shared" si="1029"/>
        <v>0</v>
      </c>
      <c r="CL121" s="232">
        <f t="shared" si="1029"/>
        <v>0</v>
      </c>
      <c r="CM121" s="232">
        <f t="shared" si="1029"/>
        <v>0</v>
      </c>
      <c r="CN121" s="232">
        <f t="shared" si="1029"/>
        <v>0</v>
      </c>
      <c r="CO121" s="232">
        <f t="shared" si="1029"/>
        <v>0</v>
      </c>
      <c r="CP121" s="232">
        <f t="shared" si="1029"/>
        <v>0</v>
      </c>
      <c r="CQ121" s="239">
        <f t="shared" si="1029"/>
        <v>0</v>
      </c>
      <c r="CR121" s="232">
        <f t="shared" si="1029"/>
        <v>0</v>
      </c>
      <c r="CS121" s="232">
        <f t="shared" si="1029"/>
        <v>0</v>
      </c>
      <c r="CT121" s="232">
        <f t="shared" si="1029"/>
        <v>0</v>
      </c>
      <c r="CU121" s="232">
        <f t="shared" si="1029"/>
        <v>0</v>
      </c>
      <c r="CV121" s="232">
        <f t="shared" si="1029"/>
        <v>0</v>
      </c>
      <c r="CW121" s="232">
        <f t="shared" si="1029"/>
        <v>0</v>
      </c>
      <c r="CX121" s="232">
        <f t="shared" si="1029"/>
        <v>0</v>
      </c>
      <c r="CY121" s="232">
        <f t="shared" si="1029"/>
        <v>0</v>
      </c>
      <c r="CZ121" s="232">
        <f t="shared" si="1029"/>
        <v>0</v>
      </c>
      <c r="DA121" s="232">
        <f t="shared" si="1029"/>
        <v>0</v>
      </c>
      <c r="DB121" s="232">
        <f t="shared" si="1029"/>
        <v>0</v>
      </c>
      <c r="DC121" s="239">
        <f t="shared" si="1029"/>
        <v>0</v>
      </c>
    </row>
    <row r="122" spans="3:107" x14ac:dyDescent="0.3">
      <c r="C122" s="321" t="str">
        <f>++C$24</f>
        <v>% margin</v>
      </c>
      <c r="G122" s="214" t="str">
        <f>++IFERROR(G121/G108,"n/a")</f>
        <v>n/a</v>
      </c>
      <c r="H122" s="225" t="str">
        <f t="shared" ref="H122" si="1030">++IFERROR(H121/H108,"n/a")</f>
        <v>n/a</v>
      </c>
      <c r="I122" s="225" t="str">
        <f t="shared" ref="I122" si="1031">++IFERROR(I121/I108,"n/a")</f>
        <v>n/a</v>
      </c>
      <c r="J122" s="225" t="str">
        <f t="shared" ref="J122" si="1032">++IFERROR(J121/J108,"n/a")</f>
        <v>n/a</v>
      </c>
      <c r="K122" s="214" t="str">
        <f t="shared" ref="K122" si="1033">++IFERROR(K121/K108,"n/a")</f>
        <v>n/a</v>
      </c>
      <c r="L122" s="225" t="str">
        <f t="shared" ref="L122" si="1034">++IFERROR(L121/L108,"n/a")</f>
        <v>n/a</v>
      </c>
      <c r="M122" s="225" t="str">
        <f t="shared" ref="M122" si="1035">++IFERROR(M121/M108,"n/a")</f>
        <v>n/a</v>
      </c>
      <c r="N122" s="225" t="str">
        <f t="shared" ref="N122" si="1036">++IFERROR(N121/N108,"n/a")</f>
        <v>n/a</v>
      </c>
      <c r="O122" s="225" t="str">
        <f t="shared" ref="O122" si="1037">++IFERROR(O121/O108,"n/a")</f>
        <v>n/a</v>
      </c>
      <c r="P122" s="225" t="str">
        <f t="shared" ref="P122" si="1038">++IFERROR(P121/P108,"n/a")</f>
        <v>n/a</v>
      </c>
      <c r="Q122" s="225" t="str">
        <f t="shared" ref="Q122" si="1039">++IFERROR(Q121/Q108,"n/a")</f>
        <v>n/a</v>
      </c>
      <c r="R122" s="225" t="str">
        <f t="shared" ref="R122" si="1040">++IFERROR(R121/R108,"n/a")</f>
        <v>n/a</v>
      </c>
      <c r="S122" s="225" t="str">
        <f t="shared" ref="S122" si="1041">++IFERROR(S121/S108,"n/a")</f>
        <v>n/a</v>
      </c>
      <c r="T122" s="225" t="str">
        <f t="shared" ref="T122" si="1042">++IFERROR(T121/T108,"n/a")</f>
        <v>n/a</v>
      </c>
      <c r="U122" s="225" t="str">
        <f t="shared" ref="U122" si="1043">++IFERROR(U121/U108,"n/a")</f>
        <v>n/a</v>
      </c>
      <c r="V122" s="225" t="str">
        <f t="shared" ref="V122" si="1044">++IFERROR(V121/V108,"n/a")</f>
        <v>n/a</v>
      </c>
      <c r="W122" s="214" t="str">
        <f t="shared" ref="W122" si="1045">++IFERROR(W121/W108,"n/a")</f>
        <v>n/a</v>
      </c>
      <c r="X122" s="225" t="str">
        <f t="shared" ref="X122" si="1046">++IFERROR(X121/X108,"n/a")</f>
        <v>n/a</v>
      </c>
      <c r="Y122" s="225" t="str">
        <f t="shared" ref="Y122" si="1047">++IFERROR(Y121/Y108,"n/a")</f>
        <v>n/a</v>
      </c>
      <c r="Z122" s="225" t="str">
        <f t="shared" ref="Z122" si="1048">++IFERROR(Z121/Z108,"n/a")</f>
        <v>n/a</v>
      </c>
      <c r="AA122" s="225" t="str">
        <f t="shared" ref="AA122" si="1049">++IFERROR(AA121/AA108,"n/a")</f>
        <v>n/a</v>
      </c>
      <c r="AB122" s="225" t="str">
        <f t="shared" ref="AB122" si="1050">++IFERROR(AB121/AB108,"n/a")</f>
        <v>n/a</v>
      </c>
      <c r="AC122" s="225" t="str">
        <f t="shared" ref="AC122" si="1051">++IFERROR(AC121/AC108,"n/a")</f>
        <v>n/a</v>
      </c>
      <c r="AD122" s="225" t="str">
        <f t="shared" ref="AD122" si="1052">++IFERROR(AD121/AD108,"n/a")</f>
        <v>n/a</v>
      </c>
      <c r="AE122" s="225" t="str">
        <f t="shared" ref="AE122" si="1053">++IFERROR(AE121/AE108,"n/a")</f>
        <v>n/a</v>
      </c>
      <c r="AF122" s="225" t="str">
        <f t="shared" ref="AF122" si="1054">++IFERROR(AF121/AF108,"n/a")</f>
        <v>n/a</v>
      </c>
      <c r="AG122" s="225" t="str">
        <f t="shared" ref="AG122" si="1055">++IFERROR(AG121/AG108,"n/a")</f>
        <v>n/a</v>
      </c>
      <c r="AH122" s="225" t="str">
        <f t="shared" ref="AH122" si="1056">++IFERROR(AH121/AH108,"n/a")</f>
        <v>n/a</v>
      </c>
      <c r="AI122" s="214" t="str">
        <f t="shared" ref="AI122" si="1057">++IFERROR(AI121/AI108,"n/a")</f>
        <v>n/a</v>
      </c>
      <c r="AJ122" s="225" t="str">
        <f t="shared" ref="AJ122" si="1058">++IFERROR(AJ121/AJ108,"n/a")</f>
        <v>n/a</v>
      </c>
      <c r="AK122" s="225" t="str">
        <f t="shared" ref="AK122" si="1059">++IFERROR(AK121/AK108,"n/a")</f>
        <v>n/a</v>
      </c>
      <c r="AL122" s="225" t="str">
        <f t="shared" ref="AL122" si="1060">++IFERROR(AL121/AL108,"n/a")</f>
        <v>n/a</v>
      </c>
      <c r="AM122" s="225" t="str">
        <f t="shared" ref="AM122" si="1061">++IFERROR(AM121/AM108,"n/a")</f>
        <v>n/a</v>
      </c>
      <c r="AN122" s="225" t="str">
        <f t="shared" ref="AN122" si="1062">++IFERROR(AN121/AN108,"n/a")</f>
        <v>n/a</v>
      </c>
      <c r="AO122" s="225" t="str">
        <f t="shared" ref="AO122" si="1063">++IFERROR(AO121/AO108,"n/a")</f>
        <v>n/a</v>
      </c>
      <c r="AP122" s="225" t="str">
        <f t="shared" ref="AP122" si="1064">++IFERROR(AP121/AP108,"n/a")</f>
        <v>n/a</v>
      </c>
      <c r="AQ122" s="225" t="str">
        <f t="shared" ref="AQ122" si="1065">++IFERROR(AQ121/AQ108,"n/a")</f>
        <v>n/a</v>
      </c>
      <c r="AR122" s="225" t="str">
        <f t="shared" ref="AR122" si="1066">++IFERROR(AR121/AR108,"n/a")</f>
        <v>n/a</v>
      </c>
      <c r="AS122" s="225" t="str">
        <f t="shared" ref="AS122" si="1067">++IFERROR(AS121/AS108,"n/a")</f>
        <v>n/a</v>
      </c>
      <c r="AT122" s="225" t="str">
        <f t="shared" ref="AT122" si="1068">++IFERROR(AT121/AT108,"n/a")</f>
        <v>n/a</v>
      </c>
      <c r="AU122" s="214" t="str">
        <f t="shared" ref="AU122" si="1069">++IFERROR(AU121/AU108,"n/a")</f>
        <v>n/a</v>
      </c>
      <c r="AV122" s="225" t="str">
        <f t="shared" ref="AV122" si="1070">++IFERROR(AV121/AV108,"n/a")</f>
        <v>n/a</v>
      </c>
      <c r="AW122" s="225" t="str">
        <f t="shared" ref="AW122" si="1071">++IFERROR(AW121/AW108,"n/a")</f>
        <v>n/a</v>
      </c>
      <c r="AX122" s="225" t="str">
        <f t="shared" ref="AX122" si="1072">++IFERROR(AX121/AX108,"n/a")</f>
        <v>n/a</v>
      </c>
      <c r="AY122" s="225" t="str">
        <f t="shared" ref="AY122" si="1073">++IFERROR(AY121/AY108,"n/a")</f>
        <v>n/a</v>
      </c>
      <c r="AZ122" s="225" t="str">
        <f t="shared" ref="AZ122" si="1074">++IFERROR(AZ121/AZ108,"n/a")</f>
        <v>n/a</v>
      </c>
      <c r="BA122" s="225" t="str">
        <f t="shared" ref="BA122" si="1075">++IFERROR(BA121/BA108,"n/a")</f>
        <v>n/a</v>
      </c>
      <c r="BB122" s="225" t="str">
        <f t="shared" ref="BB122" si="1076">++IFERROR(BB121/BB108,"n/a")</f>
        <v>n/a</v>
      </c>
      <c r="BC122" s="225" t="str">
        <f t="shared" ref="BC122" si="1077">++IFERROR(BC121/BC108,"n/a")</f>
        <v>n/a</v>
      </c>
      <c r="BD122" s="225" t="str">
        <f t="shared" ref="BD122" si="1078">++IFERROR(BD121/BD108,"n/a")</f>
        <v>n/a</v>
      </c>
      <c r="BE122" s="225" t="str">
        <f t="shared" ref="BE122" si="1079">++IFERROR(BE121/BE108,"n/a")</f>
        <v>n/a</v>
      </c>
      <c r="BF122" s="225" t="str">
        <f t="shared" ref="BF122" si="1080">++IFERROR(BF121/BF108,"n/a")</f>
        <v>n/a</v>
      </c>
      <c r="BG122" s="214" t="str">
        <f t="shared" ref="BG122" si="1081">++IFERROR(BG121/BG108,"n/a")</f>
        <v>n/a</v>
      </c>
      <c r="BH122" s="225" t="str">
        <f t="shared" ref="BH122" si="1082">++IFERROR(BH121/BH108,"n/a")</f>
        <v>n/a</v>
      </c>
      <c r="BI122" s="225" t="str">
        <f t="shared" ref="BI122" si="1083">++IFERROR(BI121/BI108,"n/a")</f>
        <v>n/a</v>
      </c>
      <c r="BJ122" s="225" t="str">
        <f t="shared" ref="BJ122" si="1084">++IFERROR(BJ121/BJ108,"n/a")</f>
        <v>n/a</v>
      </c>
      <c r="BK122" s="225" t="str">
        <f t="shared" ref="BK122" si="1085">++IFERROR(BK121/BK108,"n/a")</f>
        <v>n/a</v>
      </c>
      <c r="BL122" s="225" t="str">
        <f t="shared" ref="BL122" si="1086">++IFERROR(BL121/BL108,"n/a")</f>
        <v>n/a</v>
      </c>
      <c r="BM122" s="225" t="str">
        <f t="shared" ref="BM122" si="1087">++IFERROR(BM121/BM108,"n/a")</f>
        <v>n/a</v>
      </c>
      <c r="BN122" s="225" t="str">
        <f t="shared" ref="BN122" si="1088">++IFERROR(BN121/BN108,"n/a")</f>
        <v>n/a</v>
      </c>
      <c r="BO122" s="225" t="str">
        <f t="shared" ref="BO122" si="1089">++IFERROR(BO121/BO108,"n/a")</f>
        <v>n/a</v>
      </c>
      <c r="BP122" s="225" t="str">
        <f t="shared" ref="BP122" si="1090">++IFERROR(BP121/BP108,"n/a")</f>
        <v>n/a</v>
      </c>
      <c r="BQ122" s="225" t="str">
        <f t="shared" ref="BQ122" si="1091">++IFERROR(BQ121/BQ108,"n/a")</f>
        <v>n/a</v>
      </c>
      <c r="BR122" s="225" t="str">
        <f t="shared" ref="BR122" si="1092">++IFERROR(BR121/BR108,"n/a")</f>
        <v>n/a</v>
      </c>
      <c r="BS122" s="214" t="str">
        <f t="shared" ref="BS122" si="1093">++IFERROR(BS121/BS108,"n/a")</f>
        <v>n/a</v>
      </c>
      <c r="BT122" s="225" t="str">
        <f t="shared" ref="BT122" si="1094">++IFERROR(BT121/BT108,"n/a")</f>
        <v>n/a</v>
      </c>
      <c r="BU122" s="225" t="str">
        <f t="shared" ref="BU122" si="1095">++IFERROR(BU121/BU108,"n/a")</f>
        <v>n/a</v>
      </c>
      <c r="BV122" s="225" t="str">
        <f t="shared" ref="BV122" si="1096">++IFERROR(BV121/BV108,"n/a")</f>
        <v>n/a</v>
      </c>
      <c r="BW122" s="225" t="str">
        <f t="shared" ref="BW122" si="1097">++IFERROR(BW121/BW108,"n/a")</f>
        <v>n/a</v>
      </c>
      <c r="BX122" s="225" t="str">
        <f t="shared" ref="BX122" si="1098">++IFERROR(BX121/BX108,"n/a")</f>
        <v>n/a</v>
      </c>
      <c r="BY122" s="225" t="str">
        <f t="shared" ref="BY122" si="1099">++IFERROR(BY121/BY108,"n/a")</f>
        <v>n/a</v>
      </c>
      <c r="BZ122" s="225" t="str">
        <f t="shared" ref="BZ122" si="1100">++IFERROR(BZ121/BZ108,"n/a")</f>
        <v>n/a</v>
      </c>
      <c r="CA122" s="225" t="str">
        <f t="shared" ref="CA122" si="1101">++IFERROR(CA121/CA108,"n/a")</f>
        <v>n/a</v>
      </c>
      <c r="CB122" s="225" t="str">
        <f t="shared" ref="CB122" si="1102">++IFERROR(CB121/CB108,"n/a")</f>
        <v>n/a</v>
      </c>
      <c r="CC122" s="225" t="str">
        <f t="shared" ref="CC122" si="1103">++IFERROR(CC121/CC108,"n/a")</f>
        <v>n/a</v>
      </c>
      <c r="CD122" s="225" t="str">
        <f t="shared" ref="CD122" si="1104">++IFERROR(CD121/CD108,"n/a")</f>
        <v>n/a</v>
      </c>
      <c r="CE122" s="214" t="str">
        <f t="shared" ref="CE122" si="1105">++IFERROR(CE121/CE108,"n/a")</f>
        <v>n/a</v>
      </c>
      <c r="CF122" s="225" t="str">
        <f t="shared" ref="CF122" si="1106">++IFERROR(CF121/CF108,"n/a")</f>
        <v>n/a</v>
      </c>
      <c r="CG122" s="225" t="str">
        <f t="shared" ref="CG122" si="1107">++IFERROR(CG121/CG108,"n/a")</f>
        <v>n/a</v>
      </c>
      <c r="CH122" s="225" t="str">
        <f t="shared" ref="CH122" si="1108">++IFERROR(CH121/CH108,"n/a")</f>
        <v>n/a</v>
      </c>
      <c r="CI122" s="225" t="str">
        <f t="shared" ref="CI122" si="1109">++IFERROR(CI121/CI108,"n/a")</f>
        <v>n/a</v>
      </c>
      <c r="CJ122" s="225" t="str">
        <f t="shared" ref="CJ122" si="1110">++IFERROR(CJ121/CJ108,"n/a")</f>
        <v>n/a</v>
      </c>
      <c r="CK122" s="225" t="str">
        <f t="shared" ref="CK122" si="1111">++IFERROR(CK121/CK108,"n/a")</f>
        <v>n/a</v>
      </c>
      <c r="CL122" s="225" t="str">
        <f t="shared" ref="CL122" si="1112">++IFERROR(CL121/CL108,"n/a")</f>
        <v>n/a</v>
      </c>
      <c r="CM122" s="225" t="str">
        <f t="shared" ref="CM122" si="1113">++IFERROR(CM121/CM108,"n/a")</f>
        <v>n/a</v>
      </c>
      <c r="CN122" s="225" t="str">
        <f t="shared" ref="CN122" si="1114">++IFERROR(CN121/CN108,"n/a")</f>
        <v>n/a</v>
      </c>
      <c r="CO122" s="225" t="str">
        <f t="shared" ref="CO122" si="1115">++IFERROR(CO121/CO108,"n/a")</f>
        <v>n/a</v>
      </c>
      <c r="CP122" s="225" t="str">
        <f t="shared" ref="CP122" si="1116">++IFERROR(CP121/CP108,"n/a")</f>
        <v>n/a</v>
      </c>
      <c r="CQ122" s="214" t="str">
        <f t="shared" ref="CQ122" si="1117">++IFERROR(CQ121/CQ108,"n/a")</f>
        <v>n/a</v>
      </c>
      <c r="CR122" s="225" t="str">
        <f t="shared" ref="CR122" si="1118">++IFERROR(CR121/CR108,"n/a")</f>
        <v>n/a</v>
      </c>
      <c r="CS122" s="225" t="str">
        <f t="shared" ref="CS122" si="1119">++IFERROR(CS121/CS108,"n/a")</f>
        <v>n/a</v>
      </c>
      <c r="CT122" s="225" t="str">
        <f t="shared" ref="CT122" si="1120">++IFERROR(CT121/CT108,"n/a")</f>
        <v>n/a</v>
      </c>
      <c r="CU122" s="225" t="str">
        <f t="shared" ref="CU122" si="1121">++IFERROR(CU121/CU108,"n/a")</f>
        <v>n/a</v>
      </c>
      <c r="CV122" s="225" t="str">
        <f t="shared" ref="CV122" si="1122">++IFERROR(CV121/CV108,"n/a")</f>
        <v>n/a</v>
      </c>
      <c r="CW122" s="225" t="str">
        <f t="shared" ref="CW122" si="1123">++IFERROR(CW121/CW108,"n/a")</f>
        <v>n/a</v>
      </c>
      <c r="CX122" s="225" t="str">
        <f t="shared" ref="CX122" si="1124">++IFERROR(CX121/CX108,"n/a")</f>
        <v>n/a</v>
      </c>
      <c r="CY122" s="225" t="str">
        <f t="shared" ref="CY122" si="1125">++IFERROR(CY121/CY108,"n/a")</f>
        <v>n/a</v>
      </c>
      <c r="CZ122" s="225" t="str">
        <f t="shared" ref="CZ122" si="1126">++IFERROR(CZ121/CZ108,"n/a")</f>
        <v>n/a</v>
      </c>
      <c r="DA122" s="225" t="str">
        <f t="shared" ref="DA122" si="1127">++IFERROR(DA121/DA108,"n/a")</f>
        <v>n/a</v>
      </c>
      <c r="DB122" s="225" t="str">
        <f t="shared" ref="DB122" si="1128">++IFERROR(DB121/DB108,"n/a")</f>
        <v>n/a</v>
      </c>
      <c r="DC122" s="214" t="str">
        <f t="shared" ref="DC122" si="1129">++IFERROR(DC121/DC108,"n/a")</f>
        <v>n/a</v>
      </c>
    </row>
    <row r="123" spans="3:107" x14ac:dyDescent="0.3">
      <c r="C123" s="321" t="str">
        <f>++C$25</f>
        <v>% y/y</v>
      </c>
      <c r="G123" s="122" t="s">
        <v>47</v>
      </c>
      <c r="H123" s="122" t="s">
        <v>47</v>
      </c>
      <c r="I123" s="122" t="s">
        <v>47</v>
      </c>
      <c r="J123" s="122" t="s">
        <v>47</v>
      </c>
      <c r="K123" s="214" t="str">
        <f>++IFERROR(K121/G121-1,"n/a")</f>
        <v>n/a</v>
      </c>
      <c r="L123" s="122" t="s">
        <v>47</v>
      </c>
      <c r="M123" s="122" t="s">
        <v>47</v>
      </c>
      <c r="N123" s="225" t="str">
        <f>++IFERROR(N121/H121-1,"n/a")</f>
        <v>n/a</v>
      </c>
      <c r="O123" s="122" t="s">
        <v>47</v>
      </c>
      <c r="P123" s="122" t="s">
        <v>47</v>
      </c>
      <c r="Q123" s="225" t="str">
        <f>++IFERROR(Q121/I121-1,"n/a")</f>
        <v>n/a</v>
      </c>
      <c r="R123" s="122" t="s">
        <v>47</v>
      </c>
      <c r="S123" s="122" t="s">
        <v>47</v>
      </c>
      <c r="T123" s="225" t="str">
        <f>++IFERROR(T121/J121-1,"n/a")</f>
        <v>n/a</v>
      </c>
      <c r="U123" s="122" t="s">
        <v>47</v>
      </c>
      <c r="V123" s="122" t="s">
        <v>47</v>
      </c>
      <c r="W123" s="214" t="str">
        <f t="shared" ref="W123:BB123" si="1130">++IFERROR(W121/K121-1,"n/a")</f>
        <v>n/a</v>
      </c>
      <c r="X123" s="225" t="str">
        <f t="shared" si="1130"/>
        <v>n/a</v>
      </c>
      <c r="Y123" s="225" t="str">
        <f t="shared" si="1130"/>
        <v>n/a</v>
      </c>
      <c r="Z123" s="225" t="str">
        <f t="shared" si="1130"/>
        <v>n/a</v>
      </c>
      <c r="AA123" s="225" t="str">
        <f t="shared" si="1130"/>
        <v>n/a</v>
      </c>
      <c r="AB123" s="225" t="str">
        <f t="shared" si="1130"/>
        <v>n/a</v>
      </c>
      <c r="AC123" s="225" t="str">
        <f t="shared" si="1130"/>
        <v>n/a</v>
      </c>
      <c r="AD123" s="225" t="str">
        <f t="shared" si="1130"/>
        <v>n/a</v>
      </c>
      <c r="AE123" s="225" t="str">
        <f t="shared" si="1130"/>
        <v>n/a</v>
      </c>
      <c r="AF123" s="225" t="str">
        <f t="shared" si="1130"/>
        <v>n/a</v>
      </c>
      <c r="AG123" s="225" t="str">
        <f t="shared" si="1130"/>
        <v>n/a</v>
      </c>
      <c r="AH123" s="225" t="str">
        <f t="shared" si="1130"/>
        <v>n/a</v>
      </c>
      <c r="AI123" s="214" t="str">
        <f t="shared" si="1130"/>
        <v>n/a</v>
      </c>
      <c r="AJ123" s="225" t="str">
        <f t="shared" si="1130"/>
        <v>n/a</v>
      </c>
      <c r="AK123" s="225" t="str">
        <f t="shared" si="1130"/>
        <v>n/a</v>
      </c>
      <c r="AL123" s="225" t="str">
        <f t="shared" si="1130"/>
        <v>n/a</v>
      </c>
      <c r="AM123" s="225" t="str">
        <f t="shared" si="1130"/>
        <v>n/a</v>
      </c>
      <c r="AN123" s="225" t="str">
        <f t="shared" si="1130"/>
        <v>n/a</v>
      </c>
      <c r="AO123" s="225" t="str">
        <f t="shared" si="1130"/>
        <v>n/a</v>
      </c>
      <c r="AP123" s="225" t="str">
        <f t="shared" si="1130"/>
        <v>n/a</v>
      </c>
      <c r="AQ123" s="225" t="str">
        <f t="shared" si="1130"/>
        <v>n/a</v>
      </c>
      <c r="AR123" s="225" t="str">
        <f t="shared" si="1130"/>
        <v>n/a</v>
      </c>
      <c r="AS123" s="225" t="str">
        <f t="shared" si="1130"/>
        <v>n/a</v>
      </c>
      <c r="AT123" s="225" t="str">
        <f t="shared" si="1130"/>
        <v>n/a</v>
      </c>
      <c r="AU123" s="214" t="str">
        <f t="shared" si="1130"/>
        <v>n/a</v>
      </c>
      <c r="AV123" s="225" t="str">
        <f t="shared" si="1130"/>
        <v>n/a</v>
      </c>
      <c r="AW123" s="225" t="str">
        <f t="shared" si="1130"/>
        <v>n/a</v>
      </c>
      <c r="AX123" s="225" t="str">
        <f t="shared" si="1130"/>
        <v>n/a</v>
      </c>
      <c r="AY123" s="225" t="str">
        <f t="shared" si="1130"/>
        <v>n/a</v>
      </c>
      <c r="AZ123" s="225" t="str">
        <f t="shared" si="1130"/>
        <v>n/a</v>
      </c>
      <c r="BA123" s="225" t="str">
        <f t="shared" si="1130"/>
        <v>n/a</v>
      </c>
      <c r="BB123" s="225" t="str">
        <f t="shared" si="1130"/>
        <v>n/a</v>
      </c>
      <c r="BC123" s="225" t="str">
        <f t="shared" ref="BC123:CH123" si="1131">++IFERROR(BC121/AQ121-1,"n/a")</f>
        <v>n/a</v>
      </c>
      <c r="BD123" s="225" t="str">
        <f t="shared" si="1131"/>
        <v>n/a</v>
      </c>
      <c r="BE123" s="225" t="str">
        <f t="shared" si="1131"/>
        <v>n/a</v>
      </c>
      <c r="BF123" s="225" t="str">
        <f t="shared" si="1131"/>
        <v>n/a</v>
      </c>
      <c r="BG123" s="214" t="str">
        <f t="shared" si="1131"/>
        <v>n/a</v>
      </c>
      <c r="BH123" s="225" t="str">
        <f t="shared" si="1131"/>
        <v>n/a</v>
      </c>
      <c r="BI123" s="225" t="str">
        <f t="shared" si="1131"/>
        <v>n/a</v>
      </c>
      <c r="BJ123" s="225" t="str">
        <f t="shared" si="1131"/>
        <v>n/a</v>
      </c>
      <c r="BK123" s="225" t="str">
        <f t="shared" si="1131"/>
        <v>n/a</v>
      </c>
      <c r="BL123" s="225" t="str">
        <f t="shared" si="1131"/>
        <v>n/a</v>
      </c>
      <c r="BM123" s="225" t="str">
        <f t="shared" si="1131"/>
        <v>n/a</v>
      </c>
      <c r="BN123" s="225" t="str">
        <f t="shared" si="1131"/>
        <v>n/a</v>
      </c>
      <c r="BO123" s="225" t="str">
        <f t="shared" si="1131"/>
        <v>n/a</v>
      </c>
      <c r="BP123" s="225" t="str">
        <f t="shared" si="1131"/>
        <v>n/a</v>
      </c>
      <c r="BQ123" s="225" t="str">
        <f t="shared" si="1131"/>
        <v>n/a</v>
      </c>
      <c r="BR123" s="225" t="str">
        <f t="shared" si="1131"/>
        <v>n/a</v>
      </c>
      <c r="BS123" s="214" t="str">
        <f t="shared" si="1131"/>
        <v>n/a</v>
      </c>
      <c r="BT123" s="225" t="str">
        <f t="shared" si="1131"/>
        <v>n/a</v>
      </c>
      <c r="BU123" s="225" t="str">
        <f t="shared" si="1131"/>
        <v>n/a</v>
      </c>
      <c r="BV123" s="225" t="str">
        <f t="shared" si="1131"/>
        <v>n/a</v>
      </c>
      <c r="BW123" s="225" t="str">
        <f t="shared" si="1131"/>
        <v>n/a</v>
      </c>
      <c r="BX123" s="225" t="str">
        <f t="shared" si="1131"/>
        <v>n/a</v>
      </c>
      <c r="BY123" s="225" t="str">
        <f t="shared" si="1131"/>
        <v>n/a</v>
      </c>
      <c r="BZ123" s="225" t="str">
        <f t="shared" si="1131"/>
        <v>n/a</v>
      </c>
      <c r="CA123" s="225" t="str">
        <f t="shared" si="1131"/>
        <v>n/a</v>
      </c>
      <c r="CB123" s="225" t="str">
        <f t="shared" si="1131"/>
        <v>n/a</v>
      </c>
      <c r="CC123" s="225" t="str">
        <f t="shared" si="1131"/>
        <v>n/a</v>
      </c>
      <c r="CD123" s="225" t="str">
        <f t="shared" si="1131"/>
        <v>n/a</v>
      </c>
      <c r="CE123" s="214" t="str">
        <f t="shared" si="1131"/>
        <v>n/a</v>
      </c>
      <c r="CF123" s="225" t="str">
        <f t="shared" si="1131"/>
        <v>n/a</v>
      </c>
      <c r="CG123" s="225" t="str">
        <f t="shared" si="1131"/>
        <v>n/a</v>
      </c>
      <c r="CH123" s="225" t="str">
        <f t="shared" si="1131"/>
        <v>n/a</v>
      </c>
      <c r="CI123" s="225" t="str">
        <f t="shared" ref="CI123:DN123" si="1132">++IFERROR(CI121/BW121-1,"n/a")</f>
        <v>n/a</v>
      </c>
      <c r="CJ123" s="225" t="str">
        <f t="shared" si="1132"/>
        <v>n/a</v>
      </c>
      <c r="CK123" s="225" t="str">
        <f t="shared" si="1132"/>
        <v>n/a</v>
      </c>
      <c r="CL123" s="225" t="str">
        <f t="shared" si="1132"/>
        <v>n/a</v>
      </c>
      <c r="CM123" s="225" t="str">
        <f t="shared" si="1132"/>
        <v>n/a</v>
      </c>
      <c r="CN123" s="225" t="str">
        <f t="shared" si="1132"/>
        <v>n/a</v>
      </c>
      <c r="CO123" s="225" t="str">
        <f t="shared" si="1132"/>
        <v>n/a</v>
      </c>
      <c r="CP123" s="225" t="str">
        <f t="shared" si="1132"/>
        <v>n/a</v>
      </c>
      <c r="CQ123" s="214" t="str">
        <f t="shared" si="1132"/>
        <v>n/a</v>
      </c>
      <c r="CR123" s="225" t="str">
        <f t="shared" si="1132"/>
        <v>n/a</v>
      </c>
      <c r="CS123" s="225" t="str">
        <f t="shared" si="1132"/>
        <v>n/a</v>
      </c>
      <c r="CT123" s="225" t="str">
        <f t="shared" si="1132"/>
        <v>n/a</v>
      </c>
      <c r="CU123" s="225" t="str">
        <f t="shared" si="1132"/>
        <v>n/a</v>
      </c>
      <c r="CV123" s="225" t="str">
        <f t="shared" si="1132"/>
        <v>n/a</v>
      </c>
      <c r="CW123" s="225" t="str">
        <f t="shared" si="1132"/>
        <v>n/a</v>
      </c>
      <c r="CX123" s="225" t="str">
        <f t="shared" si="1132"/>
        <v>n/a</v>
      </c>
      <c r="CY123" s="225" t="str">
        <f t="shared" si="1132"/>
        <v>n/a</v>
      </c>
      <c r="CZ123" s="225" t="str">
        <f t="shared" si="1132"/>
        <v>n/a</v>
      </c>
      <c r="DA123" s="225" t="str">
        <f t="shared" si="1132"/>
        <v>n/a</v>
      </c>
      <c r="DB123" s="225" t="str">
        <f t="shared" si="1132"/>
        <v>n/a</v>
      </c>
      <c r="DC123" s="214" t="str">
        <f t="shared" si="1132"/>
        <v>n/a</v>
      </c>
    </row>
    <row r="124" spans="3:107" x14ac:dyDescent="0.3">
      <c r="G124" s="203"/>
      <c r="K124" s="203"/>
      <c r="W124" s="203"/>
      <c r="AI124" s="203"/>
      <c r="AU124" s="203"/>
      <c r="BG124" s="203"/>
      <c r="BS124" s="203"/>
      <c r="CE124" s="203"/>
      <c r="CQ124" s="203"/>
      <c r="DC124" s="203"/>
    </row>
    <row r="125" spans="3:107" x14ac:dyDescent="0.3">
      <c r="C125" s="101" t="str">
        <f>++C$27</f>
        <v>Interest Expense (Income)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v>0</v>
      </c>
      <c r="Q125" s="45">
        <v>0</v>
      </c>
      <c r="R125" s="45">
        <v>0</v>
      </c>
      <c r="S125" s="45">
        <v>0</v>
      </c>
      <c r="T125" s="45">
        <v>0</v>
      </c>
      <c r="U125" s="45">
        <v>0</v>
      </c>
      <c r="V125" s="45">
        <v>0</v>
      </c>
      <c r="W125" s="45">
        <v>0</v>
      </c>
      <c r="X125" s="45">
        <v>0</v>
      </c>
      <c r="Y125" s="45">
        <v>0</v>
      </c>
      <c r="Z125" s="45">
        <v>0</v>
      </c>
      <c r="AA125" s="45">
        <v>0</v>
      </c>
      <c r="AB125" s="45">
        <v>0</v>
      </c>
      <c r="AC125" s="45">
        <v>0</v>
      </c>
      <c r="AD125" s="45">
        <v>0</v>
      </c>
      <c r="AE125" s="45">
        <v>0</v>
      </c>
      <c r="AF125" s="45">
        <v>0</v>
      </c>
      <c r="AG125" s="45">
        <v>0</v>
      </c>
      <c r="AH125" s="45">
        <v>0</v>
      </c>
      <c r="AI125" s="45">
        <v>0</v>
      </c>
      <c r="AJ125" s="45">
        <v>0</v>
      </c>
      <c r="AK125" s="45">
        <v>0</v>
      </c>
      <c r="AL125" s="45">
        <v>0</v>
      </c>
      <c r="AM125" s="45">
        <v>0</v>
      </c>
      <c r="AN125" s="45">
        <v>0</v>
      </c>
      <c r="AO125" s="45">
        <v>0</v>
      </c>
      <c r="AP125" s="45">
        <v>0</v>
      </c>
      <c r="AQ125" s="45">
        <v>0</v>
      </c>
      <c r="AR125" s="45">
        <v>0</v>
      </c>
      <c r="AS125" s="45">
        <v>0</v>
      </c>
      <c r="AT125" s="45">
        <v>0</v>
      </c>
      <c r="AU125" s="45">
        <v>0</v>
      </c>
      <c r="AV125" s="45">
        <v>0</v>
      </c>
      <c r="AW125" s="45">
        <v>0</v>
      </c>
      <c r="AX125" s="45">
        <v>0</v>
      </c>
      <c r="AY125" s="45">
        <v>0</v>
      </c>
      <c r="AZ125" s="45">
        <v>0</v>
      </c>
      <c r="BA125" s="45">
        <v>0</v>
      </c>
      <c r="BB125" s="45">
        <v>0</v>
      </c>
      <c r="BC125" s="45">
        <v>0</v>
      </c>
      <c r="BD125" s="45">
        <v>0</v>
      </c>
      <c r="BE125" s="45">
        <v>0</v>
      </c>
      <c r="BF125" s="45">
        <v>0</v>
      </c>
      <c r="BG125" s="45">
        <v>0</v>
      </c>
      <c r="BH125" s="45">
        <v>0</v>
      </c>
      <c r="BI125" s="45">
        <v>0</v>
      </c>
      <c r="BJ125" s="45">
        <v>0</v>
      </c>
      <c r="BK125" s="45">
        <v>0</v>
      </c>
      <c r="BL125" s="45">
        <v>0</v>
      </c>
      <c r="BM125" s="45">
        <v>0</v>
      </c>
      <c r="BN125" s="45">
        <v>0</v>
      </c>
      <c r="BO125" s="45">
        <v>0</v>
      </c>
      <c r="BP125" s="45">
        <v>0</v>
      </c>
      <c r="BQ125" s="45">
        <v>0</v>
      </c>
      <c r="BR125" s="45">
        <v>0</v>
      </c>
      <c r="BS125" s="45">
        <v>0</v>
      </c>
      <c r="BT125" s="45">
        <v>0</v>
      </c>
      <c r="BU125" s="45">
        <v>0</v>
      </c>
      <c r="BV125" s="45">
        <v>0</v>
      </c>
      <c r="BW125" s="45">
        <v>0</v>
      </c>
      <c r="BX125" s="45">
        <v>0</v>
      </c>
      <c r="BY125" s="45">
        <v>0</v>
      </c>
      <c r="BZ125" s="45">
        <v>0</v>
      </c>
      <c r="CA125" s="45">
        <v>0</v>
      </c>
      <c r="CB125" s="45">
        <v>0</v>
      </c>
      <c r="CC125" s="45">
        <v>0</v>
      </c>
      <c r="CD125" s="45">
        <v>0</v>
      </c>
      <c r="CE125" s="45">
        <v>0</v>
      </c>
      <c r="CF125" s="45">
        <v>0</v>
      </c>
      <c r="CG125" s="45">
        <v>0</v>
      </c>
      <c r="CH125" s="45">
        <v>0</v>
      </c>
      <c r="CI125" s="45">
        <v>0</v>
      </c>
      <c r="CJ125" s="45">
        <v>0</v>
      </c>
      <c r="CK125" s="45">
        <v>0</v>
      </c>
      <c r="CL125" s="45">
        <v>0</v>
      </c>
      <c r="CM125" s="45">
        <v>0</v>
      </c>
      <c r="CN125" s="45">
        <v>0</v>
      </c>
      <c r="CO125" s="45">
        <v>0</v>
      </c>
      <c r="CP125" s="45">
        <v>0</v>
      </c>
      <c r="CQ125" s="45">
        <v>0</v>
      </c>
      <c r="CR125" s="45">
        <v>0</v>
      </c>
      <c r="CS125" s="45">
        <v>0</v>
      </c>
      <c r="CT125" s="45">
        <v>0</v>
      </c>
      <c r="CU125" s="45">
        <v>0</v>
      </c>
      <c r="CV125" s="45">
        <v>0</v>
      </c>
      <c r="CW125" s="45">
        <v>0</v>
      </c>
      <c r="CX125" s="45">
        <v>0</v>
      </c>
      <c r="CY125" s="45">
        <v>0</v>
      </c>
      <c r="CZ125" s="45">
        <v>0</v>
      </c>
      <c r="DA125" s="45">
        <v>0</v>
      </c>
      <c r="DB125" s="45">
        <v>0</v>
      </c>
      <c r="DC125" s="45">
        <v>0</v>
      </c>
    </row>
    <row r="126" spans="3:107" x14ac:dyDescent="0.3">
      <c r="C126" s="101" t="str">
        <f>++C$28</f>
        <v>Other Expense (Income)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v>0</v>
      </c>
      <c r="Q126" s="45">
        <v>0</v>
      </c>
      <c r="R126" s="45">
        <v>0</v>
      </c>
      <c r="S126" s="45">
        <v>0</v>
      </c>
      <c r="T126" s="45">
        <v>0</v>
      </c>
      <c r="U126" s="45">
        <v>0</v>
      </c>
      <c r="V126" s="45">
        <v>0</v>
      </c>
      <c r="W126" s="45">
        <v>0</v>
      </c>
      <c r="X126" s="45">
        <v>0</v>
      </c>
      <c r="Y126" s="45">
        <v>0</v>
      </c>
      <c r="Z126" s="45">
        <v>0</v>
      </c>
      <c r="AA126" s="45">
        <v>0</v>
      </c>
      <c r="AB126" s="45">
        <v>0</v>
      </c>
      <c r="AC126" s="45">
        <v>0</v>
      </c>
      <c r="AD126" s="45">
        <v>0</v>
      </c>
      <c r="AE126" s="45">
        <v>0</v>
      </c>
      <c r="AF126" s="45">
        <v>0</v>
      </c>
      <c r="AG126" s="45">
        <v>0</v>
      </c>
      <c r="AH126" s="45">
        <v>0</v>
      </c>
      <c r="AI126" s="45">
        <v>0</v>
      </c>
      <c r="AJ126" s="45">
        <v>0</v>
      </c>
      <c r="AK126" s="45">
        <v>0</v>
      </c>
      <c r="AL126" s="45">
        <v>0</v>
      </c>
      <c r="AM126" s="45">
        <v>0</v>
      </c>
      <c r="AN126" s="45">
        <v>0</v>
      </c>
      <c r="AO126" s="45">
        <v>0</v>
      </c>
      <c r="AP126" s="45">
        <v>0</v>
      </c>
      <c r="AQ126" s="45">
        <v>0</v>
      </c>
      <c r="AR126" s="45">
        <v>0</v>
      </c>
      <c r="AS126" s="45">
        <v>0</v>
      </c>
      <c r="AT126" s="45">
        <v>0</v>
      </c>
      <c r="AU126" s="45">
        <v>0</v>
      </c>
      <c r="AV126" s="45">
        <v>0</v>
      </c>
      <c r="AW126" s="45">
        <v>0</v>
      </c>
      <c r="AX126" s="45">
        <v>0</v>
      </c>
      <c r="AY126" s="45">
        <v>0</v>
      </c>
      <c r="AZ126" s="45">
        <v>0</v>
      </c>
      <c r="BA126" s="45">
        <v>0</v>
      </c>
      <c r="BB126" s="45">
        <v>0</v>
      </c>
      <c r="BC126" s="45">
        <v>0</v>
      </c>
      <c r="BD126" s="45">
        <v>0</v>
      </c>
      <c r="BE126" s="45">
        <v>0</v>
      </c>
      <c r="BF126" s="45">
        <v>0</v>
      </c>
      <c r="BG126" s="45">
        <v>0</v>
      </c>
      <c r="BH126" s="45">
        <v>0</v>
      </c>
      <c r="BI126" s="45">
        <v>0</v>
      </c>
      <c r="BJ126" s="45">
        <v>0</v>
      </c>
      <c r="BK126" s="45">
        <v>0</v>
      </c>
      <c r="BL126" s="45">
        <v>0</v>
      </c>
      <c r="BM126" s="45">
        <v>0</v>
      </c>
      <c r="BN126" s="45">
        <v>0</v>
      </c>
      <c r="BO126" s="45">
        <v>0</v>
      </c>
      <c r="BP126" s="45">
        <v>0</v>
      </c>
      <c r="BQ126" s="45">
        <v>0</v>
      </c>
      <c r="BR126" s="45">
        <v>0</v>
      </c>
      <c r="BS126" s="45">
        <v>0</v>
      </c>
      <c r="BT126" s="45">
        <v>0</v>
      </c>
      <c r="BU126" s="45">
        <v>0</v>
      </c>
      <c r="BV126" s="45">
        <v>0</v>
      </c>
      <c r="BW126" s="45">
        <v>0</v>
      </c>
      <c r="BX126" s="45">
        <v>0</v>
      </c>
      <c r="BY126" s="45">
        <v>0</v>
      </c>
      <c r="BZ126" s="45">
        <v>0</v>
      </c>
      <c r="CA126" s="45">
        <v>0</v>
      </c>
      <c r="CB126" s="45">
        <v>0</v>
      </c>
      <c r="CC126" s="45">
        <v>0</v>
      </c>
      <c r="CD126" s="45">
        <v>0</v>
      </c>
      <c r="CE126" s="45">
        <v>0</v>
      </c>
      <c r="CF126" s="45">
        <v>0</v>
      </c>
      <c r="CG126" s="45">
        <v>0</v>
      </c>
      <c r="CH126" s="45">
        <v>0</v>
      </c>
      <c r="CI126" s="45">
        <v>0</v>
      </c>
      <c r="CJ126" s="45">
        <v>0</v>
      </c>
      <c r="CK126" s="45">
        <v>0</v>
      </c>
      <c r="CL126" s="45">
        <v>0</v>
      </c>
      <c r="CM126" s="45">
        <v>0</v>
      </c>
      <c r="CN126" s="45">
        <v>0</v>
      </c>
      <c r="CO126" s="45">
        <v>0</v>
      </c>
      <c r="CP126" s="45">
        <v>0</v>
      </c>
      <c r="CQ126" s="45">
        <v>0</v>
      </c>
      <c r="CR126" s="45">
        <v>0</v>
      </c>
      <c r="CS126" s="45">
        <v>0</v>
      </c>
      <c r="CT126" s="45">
        <v>0</v>
      </c>
      <c r="CU126" s="45">
        <v>0</v>
      </c>
      <c r="CV126" s="45">
        <v>0</v>
      </c>
      <c r="CW126" s="45">
        <v>0</v>
      </c>
      <c r="CX126" s="45">
        <v>0</v>
      </c>
      <c r="CY126" s="45">
        <v>0</v>
      </c>
      <c r="CZ126" s="45">
        <v>0</v>
      </c>
      <c r="DA126" s="45">
        <v>0</v>
      </c>
      <c r="DB126" s="45">
        <v>0</v>
      </c>
      <c r="DC126" s="45">
        <v>0</v>
      </c>
    </row>
    <row r="127" spans="3:107" x14ac:dyDescent="0.3">
      <c r="C127" s="231" t="str">
        <f>++C$29</f>
        <v>Pre-Tax Income (Loss)</v>
      </c>
      <c r="D127" s="191"/>
      <c r="E127" s="191"/>
      <c r="G127" s="239">
        <f>++SUM(G131,G134)</f>
        <v>0</v>
      </c>
      <c r="H127" s="232">
        <f t="shared" ref="H127:BS127" si="1133">++SUM(H131,H134)</f>
        <v>0</v>
      </c>
      <c r="I127" s="232">
        <f t="shared" si="1133"/>
        <v>0</v>
      </c>
      <c r="J127" s="232">
        <f t="shared" si="1133"/>
        <v>0</v>
      </c>
      <c r="K127" s="239">
        <f t="shared" si="1133"/>
        <v>0</v>
      </c>
      <c r="L127" s="232">
        <f t="shared" si="1133"/>
        <v>0</v>
      </c>
      <c r="M127" s="232">
        <f t="shared" si="1133"/>
        <v>0</v>
      </c>
      <c r="N127" s="232">
        <f t="shared" si="1133"/>
        <v>0</v>
      </c>
      <c r="O127" s="232">
        <f t="shared" si="1133"/>
        <v>0</v>
      </c>
      <c r="P127" s="232">
        <f t="shared" si="1133"/>
        <v>0</v>
      </c>
      <c r="Q127" s="232">
        <f t="shared" si="1133"/>
        <v>0</v>
      </c>
      <c r="R127" s="232">
        <f t="shared" si="1133"/>
        <v>0</v>
      </c>
      <c r="S127" s="232">
        <f t="shared" si="1133"/>
        <v>0</v>
      </c>
      <c r="T127" s="232">
        <f t="shared" si="1133"/>
        <v>0</v>
      </c>
      <c r="U127" s="232">
        <f t="shared" si="1133"/>
        <v>0</v>
      </c>
      <c r="V127" s="232">
        <f t="shared" si="1133"/>
        <v>0</v>
      </c>
      <c r="W127" s="239">
        <f t="shared" si="1133"/>
        <v>0</v>
      </c>
      <c r="X127" s="232">
        <f t="shared" si="1133"/>
        <v>0</v>
      </c>
      <c r="Y127" s="232">
        <f t="shared" si="1133"/>
        <v>0</v>
      </c>
      <c r="Z127" s="232">
        <f t="shared" si="1133"/>
        <v>0</v>
      </c>
      <c r="AA127" s="232">
        <f t="shared" si="1133"/>
        <v>0</v>
      </c>
      <c r="AB127" s="232">
        <f t="shared" si="1133"/>
        <v>0</v>
      </c>
      <c r="AC127" s="232">
        <f t="shared" si="1133"/>
        <v>0</v>
      </c>
      <c r="AD127" s="232">
        <f t="shared" si="1133"/>
        <v>0</v>
      </c>
      <c r="AE127" s="232">
        <f t="shared" si="1133"/>
        <v>0</v>
      </c>
      <c r="AF127" s="232">
        <f t="shared" si="1133"/>
        <v>0</v>
      </c>
      <c r="AG127" s="232">
        <f t="shared" si="1133"/>
        <v>0</v>
      </c>
      <c r="AH127" s="232">
        <f t="shared" si="1133"/>
        <v>0</v>
      </c>
      <c r="AI127" s="239">
        <f t="shared" si="1133"/>
        <v>0</v>
      </c>
      <c r="AJ127" s="232">
        <f t="shared" si="1133"/>
        <v>0</v>
      </c>
      <c r="AK127" s="232">
        <f t="shared" si="1133"/>
        <v>0</v>
      </c>
      <c r="AL127" s="232">
        <f t="shared" si="1133"/>
        <v>0</v>
      </c>
      <c r="AM127" s="232">
        <f t="shared" si="1133"/>
        <v>0</v>
      </c>
      <c r="AN127" s="232">
        <f t="shared" si="1133"/>
        <v>0</v>
      </c>
      <c r="AO127" s="232">
        <f t="shared" si="1133"/>
        <v>0</v>
      </c>
      <c r="AP127" s="232">
        <f t="shared" si="1133"/>
        <v>0</v>
      </c>
      <c r="AQ127" s="232">
        <f t="shared" si="1133"/>
        <v>0</v>
      </c>
      <c r="AR127" s="232">
        <f t="shared" si="1133"/>
        <v>0</v>
      </c>
      <c r="AS127" s="232">
        <f t="shared" si="1133"/>
        <v>0</v>
      </c>
      <c r="AT127" s="232">
        <f t="shared" si="1133"/>
        <v>0</v>
      </c>
      <c r="AU127" s="239">
        <f t="shared" si="1133"/>
        <v>0</v>
      </c>
      <c r="AV127" s="232">
        <f t="shared" si="1133"/>
        <v>0</v>
      </c>
      <c r="AW127" s="232">
        <f t="shared" si="1133"/>
        <v>0</v>
      </c>
      <c r="AX127" s="232">
        <f t="shared" si="1133"/>
        <v>0</v>
      </c>
      <c r="AY127" s="232">
        <f t="shared" si="1133"/>
        <v>0</v>
      </c>
      <c r="AZ127" s="232">
        <f t="shared" si="1133"/>
        <v>0</v>
      </c>
      <c r="BA127" s="232">
        <f t="shared" si="1133"/>
        <v>0</v>
      </c>
      <c r="BB127" s="232">
        <f t="shared" si="1133"/>
        <v>0</v>
      </c>
      <c r="BC127" s="232">
        <f t="shared" si="1133"/>
        <v>0</v>
      </c>
      <c r="BD127" s="232">
        <f t="shared" si="1133"/>
        <v>0</v>
      </c>
      <c r="BE127" s="232">
        <f t="shared" si="1133"/>
        <v>0</v>
      </c>
      <c r="BF127" s="232">
        <f t="shared" si="1133"/>
        <v>0</v>
      </c>
      <c r="BG127" s="239">
        <f t="shared" si="1133"/>
        <v>0</v>
      </c>
      <c r="BH127" s="232">
        <f t="shared" si="1133"/>
        <v>0</v>
      </c>
      <c r="BI127" s="232">
        <f t="shared" si="1133"/>
        <v>0</v>
      </c>
      <c r="BJ127" s="232">
        <f t="shared" si="1133"/>
        <v>0</v>
      </c>
      <c r="BK127" s="232">
        <f t="shared" si="1133"/>
        <v>0</v>
      </c>
      <c r="BL127" s="232">
        <f t="shared" si="1133"/>
        <v>0</v>
      </c>
      <c r="BM127" s="232">
        <f t="shared" si="1133"/>
        <v>0</v>
      </c>
      <c r="BN127" s="232">
        <f t="shared" si="1133"/>
        <v>0</v>
      </c>
      <c r="BO127" s="232">
        <f t="shared" si="1133"/>
        <v>0</v>
      </c>
      <c r="BP127" s="232">
        <f t="shared" si="1133"/>
        <v>0</v>
      </c>
      <c r="BQ127" s="232">
        <f t="shared" si="1133"/>
        <v>0</v>
      </c>
      <c r="BR127" s="232">
        <f t="shared" si="1133"/>
        <v>0</v>
      </c>
      <c r="BS127" s="239">
        <f t="shared" si="1133"/>
        <v>0</v>
      </c>
      <c r="BT127" s="232">
        <f t="shared" ref="BT127:DC127" si="1134">++SUM(BT131,BT134)</f>
        <v>0</v>
      </c>
      <c r="BU127" s="232">
        <f t="shared" si="1134"/>
        <v>0</v>
      </c>
      <c r="BV127" s="232">
        <f t="shared" si="1134"/>
        <v>0</v>
      </c>
      <c r="BW127" s="232">
        <f t="shared" si="1134"/>
        <v>0</v>
      </c>
      <c r="BX127" s="232">
        <f t="shared" si="1134"/>
        <v>0</v>
      </c>
      <c r="BY127" s="232">
        <f t="shared" si="1134"/>
        <v>0</v>
      </c>
      <c r="BZ127" s="232">
        <f t="shared" si="1134"/>
        <v>0</v>
      </c>
      <c r="CA127" s="232">
        <f t="shared" si="1134"/>
        <v>0</v>
      </c>
      <c r="CB127" s="232">
        <f t="shared" si="1134"/>
        <v>0</v>
      </c>
      <c r="CC127" s="232">
        <f t="shared" si="1134"/>
        <v>0</v>
      </c>
      <c r="CD127" s="232">
        <f t="shared" si="1134"/>
        <v>0</v>
      </c>
      <c r="CE127" s="239">
        <f t="shared" si="1134"/>
        <v>0</v>
      </c>
      <c r="CF127" s="232">
        <f t="shared" si="1134"/>
        <v>0</v>
      </c>
      <c r="CG127" s="232">
        <f t="shared" si="1134"/>
        <v>0</v>
      </c>
      <c r="CH127" s="232">
        <f t="shared" si="1134"/>
        <v>0</v>
      </c>
      <c r="CI127" s="232">
        <f t="shared" si="1134"/>
        <v>0</v>
      </c>
      <c r="CJ127" s="232">
        <f t="shared" si="1134"/>
        <v>0</v>
      </c>
      <c r="CK127" s="232">
        <f t="shared" si="1134"/>
        <v>0</v>
      </c>
      <c r="CL127" s="232">
        <f t="shared" si="1134"/>
        <v>0</v>
      </c>
      <c r="CM127" s="232">
        <f t="shared" si="1134"/>
        <v>0</v>
      </c>
      <c r="CN127" s="232">
        <f t="shared" si="1134"/>
        <v>0</v>
      </c>
      <c r="CO127" s="232">
        <f t="shared" si="1134"/>
        <v>0</v>
      </c>
      <c r="CP127" s="232">
        <f t="shared" si="1134"/>
        <v>0</v>
      </c>
      <c r="CQ127" s="239">
        <f t="shared" si="1134"/>
        <v>0</v>
      </c>
      <c r="CR127" s="232">
        <f t="shared" si="1134"/>
        <v>0</v>
      </c>
      <c r="CS127" s="232">
        <f t="shared" si="1134"/>
        <v>0</v>
      </c>
      <c r="CT127" s="232">
        <f t="shared" si="1134"/>
        <v>0</v>
      </c>
      <c r="CU127" s="232">
        <f t="shared" si="1134"/>
        <v>0</v>
      </c>
      <c r="CV127" s="232">
        <f t="shared" si="1134"/>
        <v>0</v>
      </c>
      <c r="CW127" s="232">
        <f t="shared" si="1134"/>
        <v>0</v>
      </c>
      <c r="CX127" s="232">
        <f t="shared" si="1134"/>
        <v>0</v>
      </c>
      <c r="CY127" s="232">
        <f t="shared" si="1134"/>
        <v>0</v>
      </c>
      <c r="CZ127" s="232">
        <f t="shared" si="1134"/>
        <v>0</v>
      </c>
      <c r="DA127" s="232">
        <f t="shared" si="1134"/>
        <v>0</v>
      </c>
      <c r="DB127" s="232">
        <f t="shared" si="1134"/>
        <v>0</v>
      </c>
      <c r="DC127" s="239">
        <f t="shared" si="1134"/>
        <v>0</v>
      </c>
    </row>
    <row r="128" spans="3:107" x14ac:dyDescent="0.3">
      <c r="C128" s="321" t="str">
        <f>++C$30</f>
        <v>% margin</v>
      </c>
      <c r="G128" s="214" t="str">
        <f>++IFERROR(G127/G108,"n/a")</f>
        <v>n/a</v>
      </c>
      <c r="H128" s="225" t="str">
        <f t="shared" ref="H128" si="1135">++IFERROR(H127/H108,"n/a")</f>
        <v>n/a</v>
      </c>
      <c r="I128" s="225" t="str">
        <f t="shared" ref="I128" si="1136">++IFERROR(I127/I108,"n/a")</f>
        <v>n/a</v>
      </c>
      <c r="J128" s="225" t="str">
        <f t="shared" ref="J128" si="1137">++IFERROR(J127/J108,"n/a")</f>
        <v>n/a</v>
      </c>
      <c r="K128" s="214" t="str">
        <f t="shared" ref="K128" si="1138">++IFERROR(K127/K108,"n/a")</f>
        <v>n/a</v>
      </c>
      <c r="L128" s="225" t="str">
        <f t="shared" ref="L128" si="1139">++IFERROR(L127/L108,"n/a")</f>
        <v>n/a</v>
      </c>
      <c r="M128" s="225" t="str">
        <f t="shared" ref="M128" si="1140">++IFERROR(M127/M108,"n/a")</f>
        <v>n/a</v>
      </c>
      <c r="N128" s="225" t="str">
        <f t="shared" ref="N128" si="1141">++IFERROR(N127/N108,"n/a")</f>
        <v>n/a</v>
      </c>
      <c r="O128" s="225" t="str">
        <f t="shared" ref="O128" si="1142">++IFERROR(O127/O108,"n/a")</f>
        <v>n/a</v>
      </c>
      <c r="P128" s="225" t="str">
        <f t="shared" ref="P128" si="1143">++IFERROR(P127/P108,"n/a")</f>
        <v>n/a</v>
      </c>
      <c r="Q128" s="225" t="str">
        <f t="shared" ref="Q128" si="1144">++IFERROR(Q127/Q108,"n/a")</f>
        <v>n/a</v>
      </c>
      <c r="R128" s="225" t="str">
        <f t="shared" ref="R128" si="1145">++IFERROR(R127/R108,"n/a")</f>
        <v>n/a</v>
      </c>
      <c r="S128" s="225" t="str">
        <f t="shared" ref="S128" si="1146">++IFERROR(S127/S108,"n/a")</f>
        <v>n/a</v>
      </c>
      <c r="T128" s="225" t="str">
        <f t="shared" ref="T128" si="1147">++IFERROR(T127/T108,"n/a")</f>
        <v>n/a</v>
      </c>
      <c r="U128" s="225" t="str">
        <f t="shared" ref="U128" si="1148">++IFERROR(U127/U108,"n/a")</f>
        <v>n/a</v>
      </c>
      <c r="V128" s="225" t="str">
        <f t="shared" ref="V128" si="1149">++IFERROR(V127/V108,"n/a")</f>
        <v>n/a</v>
      </c>
      <c r="W128" s="214" t="str">
        <f t="shared" ref="W128" si="1150">++IFERROR(W127/W108,"n/a")</f>
        <v>n/a</v>
      </c>
      <c r="X128" s="225" t="str">
        <f t="shared" ref="X128" si="1151">++IFERROR(X127/X108,"n/a")</f>
        <v>n/a</v>
      </c>
      <c r="Y128" s="225" t="str">
        <f t="shared" ref="Y128" si="1152">++IFERROR(Y127/Y108,"n/a")</f>
        <v>n/a</v>
      </c>
      <c r="Z128" s="225" t="str">
        <f t="shared" ref="Z128" si="1153">++IFERROR(Z127/Z108,"n/a")</f>
        <v>n/a</v>
      </c>
      <c r="AA128" s="225" t="str">
        <f t="shared" ref="AA128" si="1154">++IFERROR(AA127/AA108,"n/a")</f>
        <v>n/a</v>
      </c>
      <c r="AB128" s="225" t="str">
        <f t="shared" ref="AB128" si="1155">++IFERROR(AB127/AB108,"n/a")</f>
        <v>n/a</v>
      </c>
      <c r="AC128" s="225" t="str">
        <f t="shared" ref="AC128" si="1156">++IFERROR(AC127/AC108,"n/a")</f>
        <v>n/a</v>
      </c>
      <c r="AD128" s="225" t="str">
        <f t="shared" ref="AD128" si="1157">++IFERROR(AD127/AD108,"n/a")</f>
        <v>n/a</v>
      </c>
      <c r="AE128" s="225" t="str">
        <f t="shared" ref="AE128" si="1158">++IFERROR(AE127/AE108,"n/a")</f>
        <v>n/a</v>
      </c>
      <c r="AF128" s="225" t="str">
        <f t="shared" ref="AF128" si="1159">++IFERROR(AF127/AF108,"n/a")</f>
        <v>n/a</v>
      </c>
      <c r="AG128" s="225" t="str">
        <f t="shared" ref="AG128" si="1160">++IFERROR(AG127/AG108,"n/a")</f>
        <v>n/a</v>
      </c>
      <c r="AH128" s="225" t="str">
        <f t="shared" ref="AH128" si="1161">++IFERROR(AH127/AH108,"n/a")</f>
        <v>n/a</v>
      </c>
      <c r="AI128" s="214" t="str">
        <f t="shared" ref="AI128" si="1162">++IFERROR(AI127/AI108,"n/a")</f>
        <v>n/a</v>
      </c>
      <c r="AJ128" s="225" t="str">
        <f t="shared" ref="AJ128" si="1163">++IFERROR(AJ127/AJ108,"n/a")</f>
        <v>n/a</v>
      </c>
      <c r="AK128" s="225" t="str">
        <f t="shared" ref="AK128" si="1164">++IFERROR(AK127/AK108,"n/a")</f>
        <v>n/a</v>
      </c>
      <c r="AL128" s="225" t="str">
        <f t="shared" ref="AL128" si="1165">++IFERROR(AL127/AL108,"n/a")</f>
        <v>n/a</v>
      </c>
      <c r="AM128" s="225" t="str">
        <f t="shared" ref="AM128" si="1166">++IFERROR(AM127/AM108,"n/a")</f>
        <v>n/a</v>
      </c>
      <c r="AN128" s="225" t="str">
        <f t="shared" ref="AN128" si="1167">++IFERROR(AN127/AN108,"n/a")</f>
        <v>n/a</v>
      </c>
      <c r="AO128" s="225" t="str">
        <f t="shared" ref="AO128" si="1168">++IFERROR(AO127/AO108,"n/a")</f>
        <v>n/a</v>
      </c>
      <c r="AP128" s="225" t="str">
        <f t="shared" ref="AP128" si="1169">++IFERROR(AP127/AP108,"n/a")</f>
        <v>n/a</v>
      </c>
      <c r="AQ128" s="225" t="str">
        <f t="shared" ref="AQ128" si="1170">++IFERROR(AQ127/AQ108,"n/a")</f>
        <v>n/a</v>
      </c>
      <c r="AR128" s="225" t="str">
        <f t="shared" ref="AR128" si="1171">++IFERROR(AR127/AR108,"n/a")</f>
        <v>n/a</v>
      </c>
      <c r="AS128" s="225" t="str">
        <f t="shared" ref="AS128" si="1172">++IFERROR(AS127/AS108,"n/a")</f>
        <v>n/a</v>
      </c>
      <c r="AT128" s="225" t="str">
        <f t="shared" ref="AT128" si="1173">++IFERROR(AT127/AT108,"n/a")</f>
        <v>n/a</v>
      </c>
      <c r="AU128" s="214" t="str">
        <f t="shared" ref="AU128" si="1174">++IFERROR(AU127/AU108,"n/a")</f>
        <v>n/a</v>
      </c>
      <c r="AV128" s="225" t="str">
        <f t="shared" ref="AV128" si="1175">++IFERROR(AV127/AV108,"n/a")</f>
        <v>n/a</v>
      </c>
      <c r="AW128" s="225" t="str">
        <f t="shared" ref="AW128" si="1176">++IFERROR(AW127/AW108,"n/a")</f>
        <v>n/a</v>
      </c>
      <c r="AX128" s="225" t="str">
        <f t="shared" ref="AX128" si="1177">++IFERROR(AX127/AX108,"n/a")</f>
        <v>n/a</v>
      </c>
      <c r="AY128" s="225" t="str">
        <f t="shared" ref="AY128" si="1178">++IFERROR(AY127/AY108,"n/a")</f>
        <v>n/a</v>
      </c>
      <c r="AZ128" s="225" t="str">
        <f t="shared" ref="AZ128" si="1179">++IFERROR(AZ127/AZ108,"n/a")</f>
        <v>n/a</v>
      </c>
      <c r="BA128" s="225" t="str">
        <f t="shared" ref="BA128" si="1180">++IFERROR(BA127/BA108,"n/a")</f>
        <v>n/a</v>
      </c>
      <c r="BB128" s="225" t="str">
        <f t="shared" ref="BB128" si="1181">++IFERROR(BB127/BB108,"n/a")</f>
        <v>n/a</v>
      </c>
      <c r="BC128" s="225" t="str">
        <f t="shared" ref="BC128" si="1182">++IFERROR(BC127/BC108,"n/a")</f>
        <v>n/a</v>
      </c>
      <c r="BD128" s="225" t="str">
        <f t="shared" ref="BD128" si="1183">++IFERROR(BD127/BD108,"n/a")</f>
        <v>n/a</v>
      </c>
      <c r="BE128" s="225" t="str">
        <f t="shared" ref="BE128" si="1184">++IFERROR(BE127/BE108,"n/a")</f>
        <v>n/a</v>
      </c>
      <c r="BF128" s="225" t="str">
        <f t="shared" ref="BF128" si="1185">++IFERROR(BF127/BF108,"n/a")</f>
        <v>n/a</v>
      </c>
      <c r="BG128" s="214" t="str">
        <f t="shared" ref="BG128" si="1186">++IFERROR(BG127/BG108,"n/a")</f>
        <v>n/a</v>
      </c>
      <c r="BH128" s="225" t="str">
        <f t="shared" ref="BH128" si="1187">++IFERROR(BH127/BH108,"n/a")</f>
        <v>n/a</v>
      </c>
      <c r="BI128" s="225" t="str">
        <f t="shared" ref="BI128" si="1188">++IFERROR(BI127/BI108,"n/a")</f>
        <v>n/a</v>
      </c>
      <c r="BJ128" s="225" t="str">
        <f t="shared" ref="BJ128" si="1189">++IFERROR(BJ127/BJ108,"n/a")</f>
        <v>n/a</v>
      </c>
      <c r="BK128" s="225" t="str">
        <f t="shared" ref="BK128" si="1190">++IFERROR(BK127/BK108,"n/a")</f>
        <v>n/a</v>
      </c>
      <c r="BL128" s="225" t="str">
        <f t="shared" ref="BL128" si="1191">++IFERROR(BL127/BL108,"n/a")</f>
        <v>n/a</v>
      </c>
      <c r="BM128" s="225" t="str">
        <f t="shared" ref="BM128" si="1192">++IFERROR(BM127/BM108,"n/a")</f>
        <v>n/a</v>
      </c>
      <c r="BN128" s="225" t="str">
        <f t="shared" ref="BN128" si="1193">++IFERROR(BN127/BN108,"n/a")</f>
        <v>n/a</v>
      </c>
      <c r="BO128" s="225" t="str">
        <f t="shared" ref="BO128" si="1194">++IFERROR(BO127/BO108,"n/a")</f>
        <v>n/a</v>
      </c>
      <c r="BP128" s="225" t="str">
        <f t="shared" ref="BP128" si="1195">++IFERROR(BP127/BP108,"n/a")</f>
        <v>n/a</v>
      </c>
      <c r="BQ128" s="225" t="str">
        <f t="shared" ref="BQ128" si="1196">++IFERROR(BQ127/BQ108,"n/a")</f>
        <v>n/a</v>
      </c>
      <c r="BR128" s="225" t="str">
        <f t="shared" ref="BR128" si="1197">++IFERROR(BR127/BR108,"n/a")</f>
        <v>n/a</v>
      </c>
      <c r="BS128" s="214" t="str">
        <f t="shared" ref="BS128" si="1198">++IFERROR(BS127/BS108,"n/a")</f>
        <v>n/a</v>
      </c>
      <c r="BT128" s="225" t="str">
        <f t="shared" ref="BT128" si="1199">++IFERROR(BT127/BT108,"n/a")</f>
        <v>n/a</v>
      </c>
      <c r="BU128" s="225" t="str">
        <f t="shared" ref="BU128" si="1200">++IFERROR(BU127/BU108,"n/a")</f>
        <v>n/a</v>
      </c>
      <c r="BV128" s="225" t="str">
        <f t="shared" ref="BV128" si="1201">++IFERROR(BV127/BV108,"n/a")</f>
        <v>n/a</v>
      </c>
      <c r="BW128" s="225" t="str">
        <f t="shared" ref="BW128" si="1202">++IFERROR(BW127/BW108,"n/a")</f>
        <v>n/a</v>
      </c>
      <c r="BX128" s="225" t="str">
        <f t="shared" ref="BX128" si="1203">++IFERROR(BX127/BX108,"n/a")</f>
        <v>n/a</v>
      </c>
      <c r="BY128" s="225" t="str">
        <f t="shared" ref="BY128" si="1204">++IFERROR(BY127/BY108,"n/a")</f>
        <v>n/a</v>
      </c>
      <c r="BZ128" s="225" t="str">
        <f t="shared" ref="BZ128" si="1205">++IFERROR(BZ127/BZ108,"n/a")</f>
        <v>n/a</v>
      </c>
      <c r="CA128" s="225" t="str">
        <f t="shared" ref="CA128" si="1206">++IFERROR(CA127/CA108,"n/a")</f>
        <v>n/a</v>
      </c>
      <c r="CB128" s="225" t="str">
        <f t="shared" ref="CB128" si="1207">++IFERROR(CB127/CB108,"n/a")</f>
        <v>n/a</v>
      </c>
      <c r="CC128" s="225" t="str">
        <f t="shared" ref="CC128" si="1208">++IFERROR(CC127/CC108,"n/a")</f>
        <v>n/a</v>
      </c>
      <c r="CD128" s="225" t="str">
        <f t="shared" ref="CD128" si="1209">++IFERROR(CD127/CD108,"n/a")</f>
        <v>n/a</v>
      </c>
      <c r="CE128" s="214" t="str">
        <f t="shared" ref="CE128" si="1210">++IFERROR(CE127/CE108,"n/a")</f>
        <v>n/a</v>
      </c>
      <c r="CF128" s="225" t="str">
        <f t="shared" ref="CF128" si="1211">++IFERROR(CF127/CF108,"n/a")</f>
        <v>n/a</v>
      </c>
      <c r="CG128" s="225" t="str">
        <f t="shared" ref="CG128" si="1212">++IFERROR(CG127/CG108,"n/a")</f>
        <v>n/a</v>
      </c>
      <c r="CH128" s="225" t="str">
        <f t="shared" ref="CH128" si="1213">++IFERROR(CH127/CH108,"n/a")</f>
        <v>n/a</v>
      </c>
      <c r="CI128" s="225" t="str">
        <f t="shared" ref="CI128" si="1214">++IFERROR(CI127/CI108,"n/a")</f>
        <v>n/a</v>
      </c>
      <c r="CJ128" s="225" t="str">
        <f t="shared" ref="CJ128" si="1215">++IFERROR(CJ127/CJ108,"n/a")</f>
        <v>n/a</v>
      </c>
      <c r="CK128" s="225" t="str">
        <f t="shared" ref="CK128" si="1216">++IFERROR(CK127/CK108,"n/a")</f>
        <v>n/a</v>
      </c>
      <c r="CL128" s="225" t="str">
        <f t="shared" ref="CL128" si="1217">++IFERROR(CL127/CL108,"n/a")</f>
        <v>n/a</v>
      </c>
      <c r="CM128" s="225" t="str">
        <f t="shared" ref="CM128" si="1218">++IFERROR(CM127/CM108,"n/a")</f>
        <v>n/a</v>
      </c>
      <c r="CN128" s="225" t="str">
        <f t="shared" ref="CN128" si="1219">++IFERROR(CN127/CN108,"n/a")</f>
        <v>n/a</v>
      </c>
      <c r="CO128" s="225" t="str">
        <f t="shared" ref="CO128" si="1220">++IFERROR(CO127/CO108,"n/a")</f>
        <v>n/a</v>
      </c>
      <c r="CP128" s="225" t="str">
        <f t="shared" ref="CP128" si="1221">++IFERROR(CP127/CP108,"n/a")</f>
        <v>n/a</v>
      </c>
      <c r="CQ128" s="214" t="str">
        <f t="shared" ref="CQ128" si="1222">++IFERROR(CQ127/CQ108,"n/a")</f>
        <v>n/a</v>
      </c>
      <c r="CR128" s="225" t="str">
        <f t="shared" ref="CR128" si="1223">++IFERROR(CR127/CR108,"n/a")</f>
        <v>n/a</v>
      </c>
      <c r="CS128" s="225" t="str">
        <f t="shared" ref="CS128" si="1224">++IFERROR(CS127/CS108,"n/a")</f>
        <v>n/a</v>
      </c>
      <c r="CT128" s="225" t="str">
        <f t="shared" ref="CT128" si="1225">++IFERROR(CT127/CT108,"n/a")</f>
        <v>n/a</v>
      </c>
      <c r="CU128" s="225" t="str">
        <f t="shared" ref="CU128" si="1226">++IFERROR(CU127/CU108,"n/a")</f>
        <v>n/a</v>
      </c>
      <c r="CV128" s="225" t="str">
        <f t="shared" ref="CV128" si="1227">++IFERROR(CV127/CV108,"n/a")</f>
        <v>n/a</v>
      </c>
      <c r="CW128" s="225" t="str">
        <f t="shared" ref="CW128" si="1228">++IFERROR(CW127/CW108,"n/a")</f>
        <v>n/a</v>
      </c>
      <c r="CX128" s="225" t="str">
        <f t="shared" ref="CX128" si="1229">++IFERROR(CX127/CX108,"n/a")</f>
        <v>n/a</v>
      </c>
      <c r="CY128" s="225" t="str">
        <f t="shared" ref="CY128" si="1230">++IFERROR(CY127/CY108,"n/a")</f>
        <v>n/a</v>
      </c>
      <c r="CZ128" s="225" t="str">
        <f t="shared" ref="CZ128" si="1231">++IFERROR(CZ127/CZ108,"n/a")</f>
        <v>n/a</v>
      </c>
      <c r="DA128" s="225" t="str">
        <f t="shared" ref="DA128" si="1232">++IFERROR(DA127/DA108,"n/a")</f>
        <v>n/a</v>
      </c>
      <c r="DB128" s="225" t="str">
        <f t="shared" ref="DB128" si="1233">++IFERROR(DB127/DB108,"n/a")</f>
        <v>n/a</v>
      </c>
      <c r="DC128" s="214" t="str">
        <f t="shared" ref="DC128" si="1234">++IFERROR(DC127/DC108,"n/a")</f>
        <v>n/a</v>
      </c>
    </row>
    <row r="129" spans="3:107" x14ac:dyDescent="0.3">
      <c r="C129" s="321" t="str">
        <f>++C$31</f>
        <v>% y/y</v>
      </c>
      <c r="G129" s="122" t="s">
        <v>47</v>
      </c>
      <c r="H129" s="122" t="s">
        <v>47</v>
      </c>
      <c r="I129" s="122" t="s">
        <v>47</v>
      </c>
      <c r="J129" s="122" t="s">
        <v>47</v>
      </c>
      <c r="K129" s="214" t="str">
        <f>++IFERROR(K127/G127-1,"n/a")</f>
        <v>n/a</v>
      </c>
      <c r="L129" s="122" t="s">
        <v>47</v>
      </c>
      <c r="M129" s="122" t="s">
        <v>47</v>
      </c>
      <c r="N129" s="225" t="str">
        <f>++IFERROR(N127/H127-1,"n/a")</f>
        <v>n/a</v>
      </c>
      <c r="O129" s="122" t="s">
        <v>47</v>
      </c>
      <c r="P129" s="122" t="s">
        <v>47</v>
      </c>
      <c r="Q129" s="225" t="str">
        <f>++IFERROR(Q127/I127-1,"n/a")</f>
        <v>n/a</v>
      </c>
      <c r="R129" s="122" t="s">
        <v>47</v>
      </c>
      <c r="S129" s="122" t="s">
        <v>47</v>
      </c>
      <c r="T129" s="225" t="str">
        <f>++IFERROR(T127/J127-1,"n/a")</f>
        <v>n/a</v>
      </c>
      <c r="U129" s="122" t="s">
        <v>47</v>
      </c>
      <c r="V129" s="122" t="s">
        <v>47</v>
      </c>
      <c r="W129" s="214" t="str">
        <f t="shared" ref="W129:BB129" si="1235">++IFERROR(W127/K127-1,"n/a")</f>
        <v>n/a</v>
      </c>
      <c r="X129" s="225" t="str">
        <f t="shared" si="1235"/>
        <v>n/a</v>
      </c>
      <c r="Y129" s="225" t="str">
        <f t="shared" si="1235"/>
        <v>n/a</v>
      </c>
      <c r="Z129" s="225" t="str">
        <f t="shared" si="1235"/>
        <v>n/a</v>
      </c>
      <c r="AA129" s="225" t="str">
        <f t="shared" si="1235"/>
        <v>n/a</v>
      </c>
      <c r="AB129" s="225" t="str">
        <f t="shared" si="1235"/>
        <v>n/a</v>
      </c>
      <c r="AC129" s="225" t="str">
        <f t="shared" si="1235"/>
        <v>n/a</v>
      </c>
      <c r="AD129" s="225" t="str">
        <f t="shared" si="1235"/>
        <v>n/a</v>
      </c>
      <c r="AE129" s="225" t="str">
        <f t="shared" si="1235"/>
        <v>n/a</v>
      </c>
      <c r="AF129" s="225" t="str">
        <f t="shared" si="1235"/>
        <v>n/a</v>
      </c>
      <c r="AG129" s="225" t="str">
        <f t="shared" si="1235"/>
        <v>n/a</v>
      </c>
      <c r="AH129" s="225" t="str">
        <f t="shared" si="1235"/>
        <v>n/a</v>
      </c>
      <c r="AI129" s="214" t="str">
        <f t="shared" si="1235"/>
        <v>n/a</v>
      </c>
      <c r="AJ129" s="225" t="str">
        <f t="shared" si="1235"/>
        <v>n/a</v>
      </c>
      <c r="AK129" s="225" t="str">
        <f t="shared" si="1235"/>
        <v>n/a</v>
      </c>
      <c r="AL129" s="225" t="str">
        <f t="shared" si="1235"/>
        <v>n/a</v>
      </c>
      <c r="AM129" s="225" t="str">
        <f t="shared" si="1235"/>
        <v>n/a</v>
      </c>
      <c r="AN129" s="225" t="str">
        <f t="shared" si="1235"/>
        <v>n/a</v>
      </c>
      <c r="AO129" s="225" t="str">
        <f t="shared" si="1235"/>
        <v>n/a</v>
      </c>
      <c r="AP129" s="225" t="str">
        <f t="shared" si="1235"/>
        <v>n/a</v>
      </c>
      <c r="AQ129" s="225" t="str">
        <f t="shared" si="1235"/>
        <v>n/a</v>
      </c>
      <c r="AR129" s="225" t="str">
        <f t="shared" si="1235"/>
        <v>n/a</v>
      </c>
      <c r="AS129" s="225" t="str">
        <f t="shared" si="1235"/>
        <v>n/a</v>
      </c>
      <c r="AT129" s="225" t="str">
        <f t="shared" si="1235"/>
        <v>n/a</v>
      </c>
      <c r="AU129" s="214" t="str">
        <f t="shared" si="1235"/>
        <v>n/a</v>
      </c>
      <c r="AV129" s="225" t="str">
        <f t="shared" si="1235"/>
        <v>n/a</v>
      </c>
      <c r="AW129" s="225" t="str">
        <f t="shared" si="1235"/>
        <v>n/a</v>
      </c>
      <c r="AX129" s="225" t="str">
        <f t="shared" si="1235"/>
        <v>n/a</v>
      </c>
      <c r="AY129" s="225" t="str">
        <f t="shared" si="1235"/>
        <v>n/a</v>
      </c>
      <c r="AZ129" s="225" t="str">
        <f t="shared" si="1235"/>
        <v>n/a</v>
      </c>
      <c r="BA129" s="225" t="str">
        <f t="shared" si="1235"/>
        <v>n/a</v>
      </c>
      <c r="BB129" s="225" t="str">
        <f t="shared" si="1235"/>
        <v>n/a</v>
      </c>
      <c r="BC129" s="225" t="str">
        <f t="shared" ref="BC129:CH129" si="1236">++IFERROR(BC127/AQ127-1,"n/a")</f>
        <v>n/a</v>
      </c>
      <c r="BD129" s="225" t="str">
        <f t="shared" si="1236"/>
        <v>n/a</v>
      </c>
      <c r="BE129" s="225" t="str">
        <f t="shared" si="1236"/>
        <v>n/a</v>
      </c>
      <c r="BF129" s="225" t="str">
        <f t="shared" si="1236"/>
        <v>n/a</v>
      </c>
      <c r="BG129" s="214" t="str">
        <f t="shared" si="1236"/>
        <v>n/a</v>
      </c>
      <c r="BH129" s="225" t="str">
        <f t="shared" si="1236"/>
        <v>n/a</v>
      </c>
      <c r="BI129" s="225" t="str">
        <f t="shared" si="1236"/>
        <v>n/a</v>
      </c>
      <c r="BJ129" s="225" t="str">
        <f t="shared" si="1236"/>
        <v>n/a</v>
      </c>
      <c r="BK129" s="225" t="str">
        <f t="shared" si="1236"/>
        <v>n/a</v>
      </c>
      <c r="BL129" s="225" t="str">
        <f t="shared" si="1236"/>
        <v>n/a</v>
      </c>
      <c r="BM129" s="225" t="str">
        <f t="shared" si="1236"/>
        <v>n/a</v>
      </c>
      <c r="BN129" s="225" t="str">
        <f t="shared" si="1236"/>
        <v>n/a</v>
      </c>
      <c r="BO129" s="225" t="str">
        <f t="shared" si="1236"/>
        <v>n/a</v>
      </c>
      <c r="BP129" s="225" t="str">
        <f t="shared" si="1236"/>
        <v>n/a</v>
      </c>
      <c r="BQ129" s="225" t="str">
        <f t="shared" si="1236"/>
        <v>n/a</v>
      </c>
      <c r="BR129" s="225" t="str">
        <f t="shared" si="1236"/>
        <v>n/a</v>
      </c>
      <c r="BS129" s="214" t="str">
        <f t="shared" si="1236"/>
        <v>n/a</v>
      </c>
      <c r="BT129" s="225" t="str">
        <f t="shared" si="1236"/>
        <v>n/a</v>
      </c>
      <c r="BU129" s="225" t="str">
        <f t="shared" si="1236"/>
        <v>n/a</v>
      </c>
      <c r="BV129" s="225" t="str">
        <f t="shared" si="1236"/>
        <v>n/a</v>
      </c>
      <c r="BW129" s="225" t="str">
        <f t="shared" si="1236"/>
        <v>n/a</v>
      </c>
      <c r="BX129" s="225" t="str">
        <f t="shared" si="1236"/>
        <v>n/a</v>
      </c>
      <c r="BY129" s="225" t="str">
        <f t="shared" si="1236"/>
        <v>n/a</v>
      </c>
      <c r="BZ129" s="225" t="str">
        <f t="shared" si="1236"/>
        <v>n/a</v>
      </c>
      <c r="CA129" s="225" t="str">
        <f t="shared" si="1236"/>
        <v>n/a</v>
      </c>
      <c r="CB129" s="225" t="str">
        <f t="shared" si="1236"/>
        <v>n/a</v>
      </c>
      <c r="CC129" s="225" t="str">
        <f t="shared" si="1236"/>
        <v>n/a</v>
      </c>
      <c r="CD129" s="225" t="str">
        <f t="shared" si="1236"/>
        <v>n/a</v>
      </c>
      <c r="CE129" s="214" t="str">
        <f t="shared" si="1236"/>
        <v>n/a</v>
      </c>
      <c r="CF129" s="225" t="str">
        <f t="shared" si="1236"/>
        <v>n/a</v>
      </c>
      <c r="CG129" s="225" t="str">
        <f t="shared" si="1236"/>
        <v>n/a</v>
      </c>
      <c r="CH129" s="225" t="str">
        <f t="shared" si="1236"/>
        <v>n/a</v>
      </c>
      <c r="CI129" s="225" t="str">
        <f t="shared" ref="CI129:DN129" si="1237">++IFERROR(CI127/BW127-1,"n/a")</f>
        <v>n/a</v>
      </c>
      <c r="CJ129" s="225" t="str">
        <f t="shared" si="1237"/>
        <v>n/a</v>
      </c>
      <c r="CK129" s="225" t="str">
        <f t="shared" si="1237"/>
        <v>n/a</v>
      </c>
      <c r="CL129" s="225" t="str">
        <f t="shared" si="1237"/>
        <v>n/a</v>
      </c>
      <c r="CM129" s="225" t="str">
        <f t="shared" si="1237"/>
        <v>n/a</v>
      </c>
      <c r="CN129" s="225" t="str">
        <f t="shared" si="1237"/>
        <v>n/a</v>
      </c>
      <c r="CO129" s="225" t="str">
        <f t="shared" si="1237"/>
        <v>n/a</v>
      </c>
      <c r="CP129" s="225" t="str">
        <f t="shared" si="1237"/>
        <v>n/a</v>
      </c>
      <c r="CQ129" s="214" t="str">
        <f t="shared" si="1237"/>
        <v>n/a</v>
      </c>
      <c r="CR129" s="225" t="str">
        <f t="shared" si="1237"/>
        <v>n/a</v>
      </c>
      <c r="CS129" s="225" t="str">
        <f t="shared" si="1237"/>
        <v>n/a</v>
      </c>
      <c r="CT129" s="225" t="str">
        <f t="shared" si="1237"/>
        <v>n/a</v>
      </c>
      <c r="CU129" s="225" t="str">
        <f t="shared" si="1237"/>
        <v>n/a</v>
      </c>
      <c r="CV129" s="225" t="str">
        <f t="shared" si="1237"/>
        <v>n/a</v>
      </c>
      <c r="CW129" s="225" t="str">
        <f t="shared" si="1237"/>
        <v>n/a</v>
      </c>
      <c r="CX129" s="225" t="str">
        <f t="shared" si="1237"/>
        <v>n/a</v>
      </c>
      <c r="CY129" s="225" t="str">
        <f t="shared" si="1237"/>
        <v>n/a</v>
      </c>
      <c r="CZ129" s="225" t="str">
        <f t="shared" si="1237"/>
        <v>n/a</v>
      </c>
      <c r="DA129" s="225" t="str">
        <f t="shared" si="1237"/>
        <v>n/a</v>
      </c>
      <c r="DB129" s="225" t="str">
        <f t="shared" si="1237"/>
        <v>n/a</v>
      </c>
      <c r="DC129" s="214" t="str">
        <f t="shared" si="1237"/>
        <v>n/a</v>
      </c>
    </row>
    <row r="130" spans="3:107" x14ac:dyDescent="0.3">
      <c r="G130" s="203"/>
      <c r="K130" s="203"/>
      <c r="W130" s="203"/>
      <c r="AI130" s="203"/>
      <c r="AU130" s="203"/>
      <c r="BG130" s="203"/>
      <c r="BS130" s="203"/>
      <c r="CE130" s="203"/>
      <c r="CQ130" s="203"/>
      <c r="DC130" s="203"/>
    </row>
    <row r="131" spans="3:107" x14ac:dyDescent="0.3">
      <c r="C131" s="101" t="str">
        <f>++C$33</f>
        <v>Tax Expense (Benefit)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v>0</v>
      </c>
      <c r="Q131" s="45">
        <v>0</v>
      </c>
      <c r="R131" s="45">
        <v>0</v>
      </c>
      <c r="S131" s="45">
        <v>0</v>
      </c>
      <c r="T131" s="45">
        <v>0</v>
      </c>
      <c r="U131" s="45">
        <v>0</v>
      </c>
      <c r="V131" s="45">
        <v>0</v>
      </c>
      <c r="W131" s="45">
        <v>0</v>
      </c>
      <c r="X131" s="45">
        <v>0</v>
      </c>
      <c r="Y131" s="45">
        <v>0</v>
      </c>
      <c r="Z131" s="45">
        <v>0</v>
      </c>
      <c r="AA131" s="45">
        <v>0</v>
      </c>
      <c r="AB131" s="45">
        <v>0</v>
      </c>
      <c r="AC131" s="45">
        <v>0</v>
      </c>
      <c r="AD131" s="45">
        <v>0</v>
      </c>
      <c r="AE131" s="45">
        <v>0</v>
      </c>
      <c r="AF131" s="45">
        <v>0</v>
      </c>
      <c r="AG131" s="45">
        <v>0</v>
      </c>
      <c r="AH131" s="45">
        <v>0</v>
      </c>
      <c r="AI131" s="45">
        <v>0</v>
      </c>
      <c r="AJ131" s="45">
        <v>0</v>
      </c>
      <c r="AK131" s="45">
        <v>0</v>
      </c>
      <c r="AL131" s="45">
        <v>0</v>
      </c>
      <c r="AM131" s="45">
        <v>0</v>
      </c>
      <c r="AN131" s="45">
        <v>0</v>
      </c>
      <c r="AO131" s="45">
        <v>0</v>
      </c>
      <c r="AP131" s="45">
        <v>0</v>
      </c>
      <c r="AQ131" s="45">
        <v>0</v>
      </c>
      <c r="AR131" s="45">
        <v>0</v>
      </c>
      <c r="AS131" s="45">
        <v>0</v>
      </c>
      <c r="AT131" s="45">
        <v>0</v>
      </c>
      <c r="AU131" s="45">
        <v>0</v>
      </c>
      <c r="AV131" s="45">
        <v>0</v>
      </c>
      <c r="AW131" s="45">
        <v>0</v>
      </c>
      <c r="AX131" s="45">
        <v>0</v>
      </c>
      <c r="AY131" s="45">
        <v>0</v>
      </c>
      <c r="AZ131" s="45">
        <v>0</v>
      </c>
      <c r="BA131" s="45">
        <v>0</v>
      </c>
      <c r="BB131" s="45">
        <v>0</v>
      </c>
      <c r="BC131" s="45">
        <v>0</v>
      </c>
      <c r="BD131" s="45">
        <v>0</v>
      </c>
      <c r="BE131" s="45">
        <v>0</v>
      </c>
      <c r="BF131" s="45">
        <v>0</v>
      </c>
      <c r="BG131" s="45">
        <v>0</v>
      </c>
      <c r="BH131" s="45">
        <v>0</v>
      </c>
      <c r="BI131" s="45">
        <v>0</v>
      </c>
      <c r="BJ131" s="45">
        <v>0</v>
      </c>
      <c r="BK131" s="45">
        <v>0</v>
      </c>
      <c r="BL131" s="45">
        <v>0</v>
      </c>
      <c r="BM131" s="45">
        <v>0</v>
      </c>
      <c r="BN131" s="45">
        <v>0</v>
      </c>
      <c r="BO131" s="45">
        <v>0</v>
      </c>
      <c r="BP131" s="45">
        <v>0</v>
      </c>
      <c r="BQ131" s="45">
        <v>0</v>
      </c>
      <c r="BR131" s="45">
        <v>0</v>
      </c>
      <c r="BS131" s="45">
        <v>0</v>
      </c>
      <c r="BT131" s="45">
        <v>0</v>
      </c>
      <c r="BU131" s="45">
        <v>0</v>
      </c>
      <c r="BV131" s="45">
        <v>0</v>
      </c>
      <c r="BW131" s="45">
        <v>0</v>
      </c>
      <c r="BX131" s="45">
        <v>0</v>
      </c>
      <c r="BY131" s="45">
        <v>0</v>
      </c>
      <c r="BZ131" s="45">
        <v>0</v>
      </c>
      <c r="CA131" s="45">
        <v>0</v>
      </c>
      <c r="CB131" s="45">
        <v>0</v>
      </c>
      <c r="CC131" s="45">
        <v>0</v>
      </c>
      <c r="CD131" s="45">
        <v>0</v>
      </c>
      <c r="CE131" s="45">
        <v>0</v>
      </c>
      <c r="CF131" s="45">
        <v>0</v>
      </c>
      <c r="CG131" s="45">
        <v>0</v>
      </c>
      <c r="CH131" s="45">
        <v>0</v>
      </c>
      <c r="CI131" s="45">
        <v>0</v>
      </c>
      <c r="CJ131" s="45">
        <v>0</v>
      </c>
      <c r="CK131" s="45">
        <v>0</v>
      </c>
      <c r="CL131" s="45">
        <v>0</v>
      </c>
      <c r="CM131" s="45">
        <v>0</v>
      </c>
      <c r="CN131" s="45">
        <v>0</v>
      </c>
      <c r="CO131" s="45">
        <v>0</v>
      </c>
      <c r="CP131" s="45">
        <v>0</v>
      </c>
      <c r="CQ131" s="45">
        <v>0</v>
      </c>
      <c r="CR131" s="45">
        <v>0</v>
      </c>
      <c r="CS131" s="45">
        <v>0</v>
      </c>
      <c r="CT131" s="45">
        <v>0</v>
      </c>
      <c r="CU131" s="45">
        <v>0</v>
      </c>
      <c r="CV131" s="45">
        <v>0</v>
      </c>
      <c r="CW131" s="45">
        <v>0</v>
      </c>
      <c r="CX131" s="45">
        <v>0</v>
      </c>
      <c r="CY131" s="45">
        <v>0</v>
      </c>
      <c r="CZ131" s="45">
        <v>0</v>
      </c>
      <c r="DA131" s="45">
        <v>0</v>
      </c>
      <c r="DB131" s="45">
        <v>0</v>
      </c>
      <c r="DC131" s="45">
        <v>0</v>
      </c>
    </row>
    <row r="132" spans="3:107" x14ac:dyDescent="0.3">
      <c r="C132" s="321" t="str">
        <f>++C$34</f>
        <v>% effective rate</v>
      </c>
      <c r="G132" s="214" t="str">
        <f>++IFERROR(G131/G127,"n/a")</f>
        <v>n/a</v>
      </c>
      <c r="H132" s="225" t="str">
        <f t="shared" ref="H132" si="1238">++IFERROR(H131/H127,"n/a")</f>
        <v>n/a</v>
      </c>
      <c r="I132" s="225" t="str">
        <f t="shared" ref="I132" si="1239">++IFERROR(I131/I127,"n/a")</f>
        <v>n/a</v>
      </c>
      <c r="J132" s="225" t="str">
        <f t="shared" ref="J132" si="1240">++IFERROR(J131/J127,"n/a")</f>
        <v>n/a</v>
      </c>
      <c r="K132" s="214" t="str">
        <f t="shared" ref="K132" si="1241">++IFERROR(K131/K127,"n/a")</f>
        <v>n/a</v>
      </c>
      <c r="L132" s="225" t="str">
        <f t="shared" ref="L132" si="1242">++IFERROR(L131/L127,"n/a")</f>
        <v>n/a</v>
      </c>
      <c r="M132" s="225" t="str">
        <f t="shared" ref="M132" si="1243">++IFERROR(M131/M127,"n/a")</f>
        <v>n/a</v>
      </c>
      <c r="N132" s="225" t="str">
        <f t="shared" ref="N132" si="1244">++IFERROR(N131/N127,"n/a")</f>
        <v>n/a</v>
      </c>
      <c r="O132" s="225" t="str">
        <f t="shared" ref="O132" si="1245">++IFERROR(O131/O127,"n/a")</f>
        <v>n/a</v>
      </c>
      <c r="P132" s="225" t="str">
        <f t="shared" ref="P132" si="1246">++IFERROR(P131/P127,"n/a")</f>
        <v>n/a</v>
      </c>
      <c r="Q132" s="225" t="str">
        <f t="shared" ref="Q132" si="1247">++IFERROR(Q131/Q127,"n/a")</f>
        <v>n/a</v>
      </c>
      <c r="R132" s="225" t="str">
        <f t="shared" ref="R132" si="1248">++IFERROR(R131/R127,"n/a")</f>
        <v>n/a</v>
      </c>
      <c r="S132" s="225" t="str">
        <f t="shared" ref="S132" si="1249">++IFERROR(S131/S127,"n/a")</f>
        <v>n/a</v>
      </c>
      <c r="T132" s="225" t="str">
        <f t="shared" ref="T132" si="1250">++IFERROR(T131/T127,"n/a")</f>
        <v>n/a</v>
      </c>
      <c r="U132" s="225" t="str">
        <f t="shared" ref="U132" si="1251">++IFERROR(U131/U127,"n/a")</f>
        <v>n/a</v>
      </c>
      <c r="V132" s="225" t="str">
        <f t="shared" ref="V132" si="1252">++IFERROR(V131/V127,"n/a")</f>
        <v>n/a</v>
      </c>
      <c r="W132" s="214" t="str">
        <f t="shared" ref="W132" si="1253">++IFERROR(W131/W127,"n/a")</f>
        <v>n/a</v>
      </c>
      <c r="X132" s="225" t="str">
        <f t="shared" ref="X132" si="1254">++IFERROR(X131/X127,"n/a")</f>
        <v>n/a</v>
      </c>
      <c r="Y132" s="225" t="str">
        <f t="shared" ref="Y132" si="1255">++IFERROR(Y131/Y127,"n/a")</f>
        <v>n/a</v>
      </c>
      <c r="Z132" s="225" t="str">
        <f t="shared" ref="Z132" si="1256">++IFERROR(Z131/Z127,"n/a")</f>
        <v>n/a</v>
      </c>
      <c r="AA132" s="225" t="str">
        <f t="shared" ref="AA132" si="1257">++IFERROR(AA131/AA127,"n/a")</f>
        <v>n/a</v>
      </c>
      <c r="AB132" s="225" t="str">
        <f t="shared" ref="AB132" si="1258">++IFERROR(AB131/AB127,"n/a")</f>
        <v>n/a</v>
      </c>
      <c r="AC132" s="225" t="str">
        <f t="shared" ref="AC132" si="1259">++IFERROR(AC131/AC127,"n/a")</f>
        <v>n/a</v>
      </c>
      <c r="AD132" s="225" t="str">
        <f t="shared" ref="AD132" si="1260">++IFERROR(AD131/AD127,"n/a")</f>
        <v>n/a</v>
      </c>
      <c r="AE132" s="225" t="str">
        <f t="shared" ref="AE132" si="1261">++IFERROR(AE131/AE127,"n/a")</f>
        <v>n/a</v>
      </c>
      <c r="AF132" s="225" t="str">
        <f t="shared" ref="AF132" si="1262">++IFERROR(AF131/AF127,"n/a")</f>
        <v>n/a</v>
      </c>
      <c r="AG132" s="225" t="str">
        <f t="shared" ref="AG132" si="1263">++IFERROR(AG131/AG127,"n/a")</f>
        <v>n/a</v>
      </c>
      <c r="AH132" s="225" t="str">
        <f t="shared" ref="AH132" si="1264">++IFERROR(AH131/AH127,"n/a")</f>
        <v>n/a</v>
      </c>
      <c r="AI132" s="214" t="str">
        <f t="shared" ref="AI132" si="1265">++IFERROR(AI131/AI127,"n/a")</f>
        <v>n/a</v>
      </c>
      <c r="AJ132" s="225" t="str">
        <f t="shared" ref="AJ132" si="1266">++IFERROR(AJ131/AJ127,"n/a")</f>
        <v>n/a</v>
      </c>
      <c r="AK132" s="225" t="str">
        <f t="shared" ref="AK132" si="1267">++IFERROR(AK131/AK127,"n/a")</f>
        <v>n/a</v>
      </c>
      <c r="AL132" s="225" t="str">
        <f t="shared" ref="AL132" si="1268">++IFERROR(AL131/AL127,"n/a")</f>
        <v>n/a</v>
      </c>
      <c r="AM132" s="225" t="str">
        <f t="shared" ref="AM132" si="1269">++IFERROR(AM131/AM127,"n/a")</f>
        <v>n/a</v>
      </c>
      <c r="AN132" s="225" t="str">
        <f t="shared" ref="AN132" si="1270">++IFERROR(AN131/AN127,"n/a")</f>
        <v>n/a</v>
      </c>
      <c r="AO132" s="225" t="str">
        <f t="shared" ref="AO132" si="1271">++IFERROR(AO131/AO127,"n/a")</f>
        <v>n/a</v>
      </c>
      <c r="AP132" s="225" t="str">
        <f t="shared" ref="AP132" si="1272">++IFERROR(AP131/AP127,"n/a")</f>
        <v>n/a</v>
      </c>
      <c r="AQ132" s="225" t="str">
        <f t="shared" ref="AQ132" si="1273">++IFERROR(AQ131/AQ127,"n/a")</f>
        <v>n/a</v>
      </c>
      <c r="AR132" s="225" t="str">
        <f t="shared" ref="AR132" si="1274">++IFERROR(AR131/AR127,"n/a")</f>
        <v>n/a</v>
      </c>
      <c r="AS132" s="225" t="str">
        <f t="shared" ref="AS132" si="1275">++IFERROR(AS131/AS127,"n/a")</f>
        <v>n/a</v>
      </c>
      <c r="AT132" s="225" t="str">
        <f t="shared" ref="AT132" si="1276">++IFERROR(AT131/AT127,"n/a")</f>
        <v>n/a</v>
      </c>
      <c r="AU132" s="214" t="str">
        <f t="shared" ref="AU132" si="1277">++IFERROR(AU131/AU127,"n/a")</f>
        <v>n/a</v>
      </c>
      <c r="AV132" s="225" t="str">
        <f t="shared" ref="AV132" si="1278">++IFERROR(AV131/AV127,"n/a")</f>
        <v>n/a</v>
      </c>
      <c r="AW132" s="225" t="str">
        <f t="shared" ref="AW132" si="1279">++IFERROR(AW131/AW127,"n/a")</f>
        <v>n/a</v>
      </c>
      <c r="AX132" s="225" t="str">
        <f t="shared" ref="AX132" si="1280">++IFERROR(AX131/AX127,"n/a")</f>
        <v>n/a</v>
      </c>
      <c r="AY132" s="225" t="str">
        <f t="shared" ref="AY132" si="1281">++IFERROR(AY131/AY127,"n/a")</f>
        <v>n/a</v>
      </c>
      <c r="AZ132" s="225" t="str">
        <f t="shared" ref="AZ132" si="1282">++IFERROR(AZ131/AZ127,"n/a")</f>
        <v>n/a</v>
      </c>
      <c r="BA132" s="225" t="str">
        <f t="shared" ref="BA132" si="1283">++IFERROR(BA131/BA127,"n/a")</f>
        <v>n/a</v>
      </c>
      <c r="BB132" s="225" t="str">
        <f t="shared" ref="BB132" si="1284">++IFERROR(BB131/BB127,"n/a")</f>
        <v>n/a</v>
      </c>
      <c r="BC132" s="225" t="str">
        <f t="shared" ref="BC132" si="1285">++IFERROR(BC131/BC127,"n/a")</f>
        <v>n/a</v>
      </c>
      <c r="BD132" s="225" t="str">
        <f t="shared" ref="BD132" si="1286">++IFERROR(BD131/BD127,"n/a")</f>
        <v>n/a</v>
      </c>
      <c r="BE132" s="225" t="str">
        <f t="shared" ref="BE132" si="1287">++IFERROR(BE131/BE127,"n/a")</f>
        <v>n/a</v>
      </c>
      <c r="BF132" s="225" t="str">
        <f t="shared" ref="BF132" si="1288">++IFERROR(BF131/BF127,"n/a")</f>
        <v>n/a</v>
      </c>
      <c r="BG132" s="214" t="str">
        <f t="shared" ref="BG132" si="1289">++IFERROR(BG131/BG127,"n/a")</f>
        <v>n/a</v>
      </c>
      <c r="BH132" s="225" t="str">
        <f t="shared" ref="BH132" si="1290">++IFERROR(BH131/BH127,"n/a")</f>
        <v>n/a</v>
      </c>
      <c r="BI132" s="225" t="str">
        <f t="shared" ref="BI132" si="1291">++IFERROR(BI131/BI127,"n/a")</f>
        <v>n/a</v>
      </c>
      <c r="BJ132" s="225" t="str">
        <f t="shared" ref="BJ132" si="1292">++IFERROR(BJ131/BJ127,"n/a")</f>
        <v>n/a</v>
      </c>
      <c r="BK132" s="225" t="str">
        <f t="shared" ref="BK132" si="1293">++IFERROR(BK131/BK127,"n/a")</f>
        <v>n/a</v>
      </c>
      <c r="BL132" s="225" t="str">
        <f t="shared" ref="BL132" si="1294">++IFERROR(BL131/BL127,"n/a")</f>
        <v>n/a</v>
      </c>
      <c r="BM132" s="225" t="str">
        <f t="shared" ref="BM132" si="1295">++IFERROR(BM131/BM127,"n/a")</f>
        <v>n/a</v>
      </c>
      <c r="BN132" s="225" t="str">
        <f t="shared" ref="BN132" si="1296">++IFERROR(BN131/BN127,"n/a")</f>
        <v>n/a</v>
      </c>
      <c r="BO132" s="225" t="str">
        <f t="shared" ref="BO132" si="1297">++IFERROR(BO131/BO127,"n/a")</f>
        <v>n/a</v>
      </c>
      <c r="BP132" s="225" t="str">
        <f t="shared" ref="BP132" si="1298">++IFERROR(BP131/BP127,"n/a")</f>
        <v>n/a</v>
      </c>
      <c r="BQ132" s="225" t="str">
        <f t="shared" ref="BQ132" si="1299">++IFERROR(BQ131/BQ127,"n/a")</f>
        <v>n/a</v>
      </c>
      <c r="BR132" s="225" t="str">
        <f t="shared" ref="BR132" si="1300">++IFERROR(BR131/BR127,"n/a")</f>
        <v>n/a</v>
      </c>
      <c r="BS132" s="214" t="str">
        <f t="shared" ref="BS132" si="1301">++IFERROR(BS131/BS127,"n/a")</f>
        <v>n/a</v>
      </c>
      <c r="BT132" s="225" t="str">
        <f t="shared" ref="BT132" si="1302">++IFERROR(BT131/BT127,"n/a")</f>
        <v>n/a</v>
      </c>
      <c r="BU132" s="225" t="str">
        <f t="shared" ref="BU132" si="1303">++IFERROR(BU131/BU127,"n/a")</f>
        <v>n/a</v>
      </c>
      <c r="BV132" s="225" t="str">
        <f t="shared" ref="BV132" si="1304">++IFERROR(BV131/BV127,"n/a")</f>
        <v>n/a</v>
      </c>
      <c r="BW132" s="225" t="str">
        <f t="shared" ref="BW132" si="1305">++IFERROR(BW131/BW127,"n/a")</f>
        <v>n/a</v>
      </c>
      <c r="BX132" s="225" t="str">
        <f t="shared" ref="BX132" si="1306">++IFERROR(BX131/BX127,"n/a")</f>
        <v>n/a</v>
      </c>
      <c r="BY132" s="225" t="str">
        <f t="shared" ref="BY132" si="1307">++IFERROR(BY131/BY127,"n/a")</f>
        <v>n/a</v>
      </c>
      <c r="BZ132" s="225" t="str">
        <f t="shared" ref="BZ132" si="1308">++IFERROR(BZ131/BZ127,"n/a")</f>
        <v>n/a</v>
      </c>
      <c r="CA132" s="225" t="str">
        <f t="shared" ref="CA132" si="1309">++IFERROR(CA131/CA127,"n/a")</f>
        <v>n/a</v>
      </c>
      <c r="CB132" s="225" t="str">
        <f t="shared" ref="CB132" si="1310">++IFERROR(CB131/CB127,"n/a")</f>
        <v>n/a</v>
      </c>
      <c r="CC132" s="225" t="str">
        <f t="shared" ref="CC132" si="1311">++IFERROR(CC131/CC127,"n/a")</f>
        <v>n/a</v>
      </c>
      <c r="CD132" s="225" t="str">
        <f t="shared" ref="CD132" si="1312">++IFERROR(CD131/CD127,"n/a")</f>
        <v>n/a</v>
      </c>
      <c r="CE132" s="214" t="str">
        <f t="shared" ref="CE132" si="1313">++IFERROR(CE131/CE127,"n/a")</f>
        <v>n/a</v>
      </c>
      <c r="CF132" s="225" t="str">
        <f t="shared" ref="CF132" si="1314">++IFERROR(CF131/CF127,"n/a")</f>
        <v>n/a</v>
      </c>
      <c r="CG132" s="225" t="str">
        <f t="shared" ref="CG132" si="1315">++IFERROR(CG131/CG127,"n/a")</f>
        <v>n/a</v>
      </c>
      <c r="CH132" s="225" t="str">
        <f t="shared" ref="CH132" si="1316">++IFERROR(CH131/CH127,"n/a")</f>
        <v>n/a</v>
      </c>
      <c r="CI132" s="225" t="str">
        <f t="shared" ref="CI132" si="1317">++IFERROR(CI131/CI127,"n/a")</f>
        <v>n/a</v>
      </c>
      <c r="CJ132" s="225" t="str">
        <f t="shared" ref="CJ132" si="1318">++IFERROR(CJ131/CJ127,"n/a")</f>
        <v>n/a</v>
      </c>
      <c r="CK132" s="225" t="str">
        <f t="shared" ref="CK132" si="1319">++IFERROR(CK131/CK127,"n/a")</f>
        <v>n/a</v>
      </c>
      <c r="CL132" s="225" t="str">
        <f t="shared" ref="CL132" si="1320">++IFERROR(CL131/CL127,"n/a")</f>
        <v>n/a</v>
      </c>
      <c r="CM132" s="225" t="str">
        <f t="shared" ref="CM132" si="1321">++IFERROR(CM131/CM127,"n/a")</f>
        <v>n/a</v>
      </c>
      <c r="CN132" s="225" t="str">
        <f t="shared" ref="CN132" si="1322">++IFERROR(CN131/CN127,"n/a")</f>
        <v>n/a</v>
      </c>
      <c r="CO132" s="225" t="str">
        <f t="shared" ref="CO132" si="1323">++IFERROR(CO131/CO127,"n/a")</f>
        <v>n/a</v>
      </c>
      <c r="CP132" s="225" t="str">
        <f t="shared" ref="CP132" si="1324">++IFERROR(CP131/CP127,"n/a")</f>
        <v>n/a</v>
      </c>
      <c r="CQ132" s="214" t="str">
        <f t="shared" ref="CQ132" si="1325">++IFERROR(CQ131/CQ127,"n/a")</f>
        <v>n/a</v>
      </c>
      <c r="CR132" s="225" t="str">
        <f t="shared" ref="CR132" si="1326">++IFERROR(CR131/CR127,"n/a")</f>
        <v>n/a</v>
      </c>
      <c r="CS132" s="225" t="str">
        <f t="shared" ref="CS132" si="1327">++IFERROR(CS131/CS127,"n/a")</f>
        <v>n/a</v>
      </c>
      <c r="CT132" s="225" t="str">
        <f t="shared" ref="CT132" si="1328">++IFERROR(CT131/CT127,"n/a")</f>
        <v>n/a</v>
      </c>
      <c r="CU132" s="225" t="str">
        <f t="shared" ref="CU132" si="1329">++IFERROR(CU131/CU127,"n/a")</f>
        <v>n/a</v>
      </c>
      <c r="CV132" s="225" t="str">
        <f t="shared" ref="CV132" si="1330">++IFERROR(CV131/CV127,"n/a")</f>
        <v>n/a</v>
      </c>
      <c r="CW132" s="225" t="str">
        <f t="shared" ref="CW132" si="1331">++IFERROR(CW131/CW127,"n/a")</f>
        <v>n/a</v>
      </c>
      <c r="CX132" s="225" t="str">
        <f t="shared" ref="CX132" si="1332">++IFERROR(CX131/CX127,"n/a")</f>
        <v>n/a</v>
      </c>
      <c r="CY132" s="225" t="str">
        <f t="shared" ref="CY132" si="1333">++IFERROR(CY131/CY127,"n/a")</f>
        <v>n/a</v>
      </c>
      <c r="CZ132" s="225" t="str">
        <f t="shared" ref="CZ132" si="1334">++IFERROR(CZ131/CZ127,"n/a")</f>
        <v>n/a</v>
      </c>
      <c r="DA132" s="225" t="str">
        <f t="shared" ref="DA132" si="1335">++IFERROR(DA131/DA127,"n/a")</f>
        <v>n/a</v>
      </c>
      <c r="DB132" s="225" t="str">
        <f t="shared" ref="DB132" si="1336">++IFERROR(DB131/DB127,"n/a")</f>
        <v>n/a</v>
      </c>
      <c r="DC132" s="214" t="str">
        <f t="shared" ref="DC132" si="1337">++IFERROR(DC131/DC127,"n/a")</f>
        <v>n/a</v>
      </c>
    </row>
    <row r="133" spans="3:107" x14ac:dyDescent="0.3">
      <c r="G133" s="203"/>
      <c r="K133" s="203"/>
      <c r="W133" s="203"/>
      <c r="AI133" s="203"/>
      <c r="AU133" s="203"/>
      <c r="BG133" s="203"/>
      <c r="BS133" s="203"/>
      <c r="CE133" s="203"/>
      <c r="CQ133" s="203"/>
      <c r="DC133" s="203"/>
    </row>
    <row r="134" spans="3:107" ht="13.5" thickBot="1" x14ac:dyDescent="0.35">
      <c r="C134" s="369" t="str">
        <f>++C$36</f>
        <v>Net Income</v>
      </c>
      <c r="D134" s="370"/>
      <c r="E134" s="370"/>
      <c r="G134" s="435">
        <v>0</v>
      </c>
      <c r="H134" s="435">
        <v>0</v>
      </c>
      <c r="I134" s="435">
        <v>0</v>
      </c>
      <c r="J134" s="435">
        <v>0</v>
      </c>
      <c r="K134" s="435">
        <v>0</v>
      </c>
      <c r="L134" s="435">
        <v>0</v>
      </c>
      <c r="M134" s="435">
        <v>0</v>
      </c>
      <c r="N134" s="435">
        <v>0</v>
      </c>
      <c r="O134" s="435">
        <v>0</v>
      </c>
      <c r="P134" s="435">
        <v>0</v>
      </c>
      <c r="Q134" s="435">
        <v>0</v>
      </c>
      <c r="R134" s="435">
        <v>0</v>
      </c>
      <c r="S134" s="435">
        <v>0</v>
      </c>
      <c r="T134" s="435">
        <v>0</v>
      </c>
      <c r="U134" s="435">
        <v>0</v>
      </c>
      <c r="V134" s="435">
        <v>0</v>
      </c>
      <c r="W134" s="435">
        <v>0</v>
      </c>
      <c r="X134" s="435">
        <v>0</v>
      </c>
      <c r="Y134" s="435">
        <v>0</v>
      </c>
      <c r="Z134" s="435">
        <v>0</v>
      </c>
      <c r="AA134" s="435">
        <v>0</v>
      </c>
      <c r="AB134" s="435">
        <v>0</v>
      </c>
      <c r="AC134" s="435">
        <v>0</v>
      </c>
      <c r="AD134" s="435">
        <v>0</v>
      </c>
      <c r="AE134" s="435">
        <v>0</v>
      </c>
      <c r="AF134" s="435">
        <v>0</v>
      </c>
      <c r="AG134" s="435">
        <v>0</v>
      </c>
      <c r="AH134" s="435">
        <v>0</v>
      </c>
      <c r="AI134" s="435">
        <v>0</v>
      </c>
      <c r="AJ134" s="435">
        <v>0</v>
      </c>
      <c r="AK134" s="435">
        <v>0</v>
      </c>
      <c r="AL134" s="435">
        <v>0</v>
      </c>
      <c r="AM134" s="435">
        <v>0</v>
      </c>
      <c r="AN134" s="435">
        <v>0</v>
      </c>
      <c r="AO134" s="435">
        <v>0</v>
      </c>
      <c r="AP134" s="435">
        <v>0</v>
      </c>
      <c r="AQ134" s="435">
        <v>0</v>
      </c>
      <c r="AR134" s="435">
        <v>0</v>
      </c>
      <c r="AS134" s="435">
        <v>0</v>
      </c>
      <c r="AT134" s="435">
        <v>0</v>
      </c>
      <c r="AU134" s="435">
        <v>0</v>
      </c>
      <c r="AV134" s="435">
        <v>0</v>
      </c>
      <c r="AW134" s="435">
        <v>0</v>
      </c>
      <c r="AX134" s="435">
        <v>0</v>
      </c>
      <c r="AY134" s="435">
        <v>0</v>
      </c>
      <c r="AZ134" s="435">
        <v>0</v>
      </c>
      <c r="BA134" s="435">
        <v>0</v>
      </c>
      <c r="BB134" s="435">
        <v>0</v>
      </c>
      <c r="BC134" s="435">
        <v>0</v>
      </c>
      <c r="BD134" s="435">
        <v>0</v>
      </c>
      <c r="BE134" s="435">
        <v>0</v>
      </c>
      <c r="BF134" s="435">
        <v>0</v>
      </c>
      <c r="BG134" s="435">
        <v>0</v>
      </c>
      <c r="BH134" s="435">
        <v>0</v>
      </c>
      <c r="BI134" s="435">
        <v>0</v>
      </c>
      <c r="BJ134" s="435">
        <v>0</v>
      </c>
      <c r="BK134" s="435">
        <v>0</v>
      </c>
      <c r="BL134" s="435">
        <v>0</v>
      </c>
      <c r="BM134" s="435">
        <v>0</v>
      </c>
      <c r="BN134" s="435">
        <v>0</v>
      </c>
      <c r="BO134" s="435">
        <v>0</v>
      </c>
      <c r="BP134" s="435">
        <v>0</v>
      </c>
      <c r="BQ134" s="435">
        <v>0</v>
      </c>
      <c r="BR134" s="435">
        <v>0</v>
      </c>
      <c r="BS134" s="435">
        <v>0</v>
      </c>
      <c r="BT134" s="435">
        <v>0</v>
      </c>
      <c r="BU134" s="435">
        <v>0</v>
      </c>
      <c r="BV134" s="435">
        <v>0</v>
      </c>
      <c r="BW134" s="435">
        <v>0</v>
      </c>
      <c r="BX134" s="435">
        <v>0</v>
      </c>
      <c r="BY134" s="435">
        <v>0</v>
      </c>
      <c r="BZ134" s="435">
        <v>0</v>
      </c>
      <c r="CA134" s="435">
        <v>0</v>
      </c>
      <c r="CB134" s="435">
        <v>0</v>
      </c>
      <c r="CC134" s="435">
        <v>0</v>
      </c>
      <c r="CD134" s="435">
        <v>0</v>
      </c>
      <c r="CE134" s="435">
        <v>0</v>
      </c>
      <c r="CF134" s="435">
        <v>0</v>
      </c>
      <c r="CG134" s="435">
        <v>0</v>
      </c>
      <c r="CH134" s="435">
        <v>0</v>
      </c>
      <c r="CI134" s="435">
        <v>0</v>
      </c>
      <c r="CJ134" s="435">
        <v>0</v>
      </c>
      <c r="CK134" s="435">
        <v>0</v>
      </c>
      <c r="CL134" s="435">
        <v>0</v>
      </c>
      <c r="CM134" s="435">
        <v>0</v>
      </c>
      <c r="CN134" s="435">
        <v>0</v>
      </c>
      <c r="CO134" s="435">
        <v>0</v>
      </c>
      <c r="CP134" s="435">
        <v>0</v>
      </c>
      <c r="CQ134" s="435">
        <v>0</v>
      </c>
      <c r="CR134" s="435">
        <v>0</v>
      </c>
      <c r="CS134" s="435">
        <v>0</v>
      </c>
      <c r="CT134" s="435">
        <v>0</v>
      </c>
      <c r="CU134" s="435">
        <v>0</v>
      </c>
      <c r="CV134" s="435">
        <v>0</v>
      </c>
      <c r="CW134" s="435">
        <v>0</v>
      </c>
      <c r="CX134" s="435">
        <v>0</v>
      </c>
      <c r="CY134" s="435">
        <v>0</v>
      </c>
      <c r="CZ134" s="435">
        <v>0</v>
      </c>
      <c r="DA134" s="435">
        <v>0</v>
      </c>
      <c r="DB134" s="435">
        <v>0</v>
      </c>
      <c r="DC134" s="435">
        <v>0</v>
      </c>
    </row>
    <row r="135" spans="3:107" ht="13.5" thickTop="1" x14ac:dyDescent="0.3">
      <c r="C135" s="321" t="str">
        <f>++C$37</f>
        <v>% margin</v>
      </c>
      <c r="G135" s="214" t="str">
        <f>++IFERROR(G134/G108,"n/a")</f>
        <v>n/a</v>
      </c>
      <c r="H135" s="225" t="str">
        <f t="shared" ref="H135" si="1338">++IFERROR(H134/H108,"n/a")</f>
        <v>n/a</v>
      </c>
      <c r="I135" s="225" t="str">
        <f t="shared" ref="I135" si="1339">++IFERROR(I134/I108,"n/a")</f>
        <v>n/a</v>
      </c>
      <c r="J135" s="225" t="str">
        <f t="shared" ref="J135" si="1340">++IFERROR(J134/J108,"n/a")</f>
        <v>n/a</v>
      </c>
      <c r="K135" s="214" t="str">
        <f t="shared" ref="K135" si="1341">++IFERROR(K134/K108,"n/a")</f>
        <v>n/a</v>
      </c>
      <c r="L135" s="225" t="str">
        <f t="shared" ref="L135" si="1342">++IFERROR(L134/L108,"n/a")</f>
        <v>n/a</v>
      </c>
      <c r="M135" s="225" t="str">
        <f t="shared" ref="M135" si="1343">++IFERROR(M134/M108,"n/a")</f>
        <v>n/a</v>
      </c>
      <c r="N135" s="225" t="str">
        <f t="shared" ref="N135" si="1344">++IFERROR(N134/N108,"n/a")</f>
        <v>n/a</v>
      </c>
      <c r="O135" s="225" t="str">
        <f t="shared" ref="O135" si="1345">++IFERROR(O134/O108,"n/a")</f>
        <v>n/a</v>
      </c>
      <c r="P135" s="225" t="str">
        <f t="shared" ref="P135" si="1346">++IFERROR(P134/P108,"n/a")</f>
        <v>n/a</v>
      </c>
      <c r="Q135" s="225" t="str">
        <f t="shared" ref="Q135" si="1347">++IFERROR(Q134/Q108,"n/a")</f>
        <v>n/a</v>
      </c>
      <c r="R135" s="225" t="str">
        <f t="shared" ref="R135" si="1348">++IFERROR(R134/R108,"n/a")</f>
        <v>n/a</v>
      </c>
      <c r="S135" s="225" t="str">
        <f t="shared" ref="S135" si="1349">++IFERROR(S134/S108,"n/a")</f>
        <v>n/a</v>
      </c>
      <c r="T135" s="225" t="str">
        <f t="shared" ref="T135" si="1350">++IFERROR(T134/T108,"n/a")</f>
        <v>n/a</v>
      </c>
      <c r="U135" s="225" t="str">
        <f t="shared" ref="U135" si="1351">++IFERROR(U134/U108,"n/a")</f>
        <v>n/a</v>
      </c>
      <c r="V135" s="225" t="str">
        <f t="shared" ref="V135" si="1352">++IFERROR(V134/V108,"n/a")</f>
        <v>n/a</v>
      </c>
      <c r="W135" s="214" t="str">
        <f t="shared" ref="W135" si="1353">++IFERROR(W134/W108,"n/a")</f>
        <v>n/a</v>
      </c>
      <c r="X135" s="225" t="str">
        <f t="shared" ref="X135" si="1354">++IFERROR(X134/X108,"n/a")</f>
        <v>n/a</v>
      </c>
      <c r="Y135" s="225" t="str">
        <f t="shared" ref="Y135" si="1355">++IFERROR(Y134/Y108,"n/a")</f>
        <v>n/a</v>
      </c>
      <c r="Z135" s="225" t="str">
        <f t="shared" ref="Z135" si="1356">++IFERROR(Z134/Z108,"n/a")</f>
        <v>n/a</v>
      </c>
      <c r="AA135" s="225" t="str">
        <f t="shared" ref="AA135" si="1357">++IFERROR(AA134/AA108,"n/a")</f>
        <v>n/a</v>
      </c>
      <c r="AB135" s="225" t="str">
        <f t="shared" ref="AB135" si="1358">++IFERROR(AB134/AB108,"n/a")</f>
        <v>n/a</v>
      </c>
      <c r="AC135" s="225" t="str">
        <f t="shared" ref="AC135" si="1359">++IFERROR(AC134/AC108,"n/a")</f>
        <v>n/a</v>
      </c>
      <c r="AD135" s="225" t="str">
        <f t="shared" ref="AD135" si="1360">++IFERROR(AD134/AD108,"n/a")</f>
        <v>n/a</v>
      </c>
      <c r="AE135" s="225" t="str">
        <f t="shared" ref="AE135" si="1361">++IFERROR(AE134/AE108,"n/a")</f>
        <v>n/a</v>
      </c>
      <c r="AF135" s="225" t="str">
        <f t="shared" ref="AF135" si="1362">++IFERROR(AF134/AF108,"n/a")</f>
        <v>n/a</v>
      </c>
      <c r="AG135" s="225" t="str">
        <f t="shared" ref="AG135" si="1363">++IFERROR(AG134/AG108,"n/a")</f>
        <v>n/a</v>
      </c>
      <c r="AH135" s="225" t="str">
        <f t="shared" ref="AH135" si="1364">++IFERROR(AH134/AH108,"n/a")</f>
        <v>n/a</v>
      </c>
      <c r="AI135" s="214" t="str">
        <f t="shared" ref="AI135" si="1365">++IFERROR(AI134/AI108,"n/a")</f>
        <v>n/a</v>
      </c>
      <c r="AJ135" s="225" t="str">
        <f t="shared" ref="AJ135" si="1366">++IFERROR(AJ134/AJ108,"n/a")</f>
        <v>n/a</v>
      </c>
      <c r="AK135" s="225" t="str">
        <f t="shared" ref="AK135" si="1367">++IFERROR(AK134/AK108,"n/a")</f>
        <v>n/a</v>
      </c>
      <c r="AL135" s="225" t="str">
        <f t="shared" ref="AL135" si="1368">++IFERROR(AL134/AL108,"n/a")</f>
        <v>n/a</v>
      </c>
      <c r="AM135" s="225" t="str">
        <f t="shared" ref="AM135" si="1369">++IFERROR(AM134/AM108,"n/a")</f>
        <v>n/a</v>
      </c>
      <c r="AN135" s="225" t="str">
        <f t="shared" ref="AN135" si="1370">++IFERROR(AN134/AN108,"n/a")</f>
        <v>n/a</v>
      </c>
      <c r="AO135" s="225" t="str">
        <f t="shared" ref="AO135" si="1371">++IFERROR(AO134/AO108,"n/a")</f>
        <v>n/a</v>
      </c>
      <c r="AP135" s="225" t="str">
        <f t="shared" ref="AP135" si="1372">++IFERROR(AP134/AP108,"n/a")</f>
        <v>n/a</v>
      </c>
      <c r="AQ135" s="225" t="str">
        <f t="shared" ref="AQ135" si="1373">++IFERROR(AQ134/AQ108,"n/a")</f>
        <v>n/a</v>
      </c>
      <c r="AR135" s="225" t="str">
        <f t="shared" ref="AR135" si="1374">++IFERROR(AR134/AR108,"n/a")</f>
        <v>n/a</v>
      </c>
      <c r="AS135" s="225" t="str">
        <f t="shared" ref="AS135" si="1375">++IFERROR(AS134/AS108,"n/a")</f>
        <v>n/a</v>
      </c>
      <c r="AT135" s="225" t="str">
        <f t="shared" ref="AT135" si="1376">++IFERROR(AT134/AT108,"n/a")</f>
        <v>n/a</v>
      </c>
      <c r="AU135" s="214" t="str">
        <f t="shared" ref="AU135" si="1377">++IFERROR(AU134/AU108,"n/a")</f>
        <v>n/a</v>
      </c>
      <c r="AV135" s="225" t="str">
        <f t="shared" ref="AV135" si="1378">++IFERROR(AV134/AV108,"n/a")</f>
        <v>n/a</v>
      </c>
      <c r="AW135" s="225" t="str">
        <f t="shared" ref="AW135" si="1379">++IFERROR(AW134/AW108,"n/a")</f>
        <v>n/a</v>
      </c>
      <c r="AX135" s="225" t="str">
        <f t="shared" ref="AX135" si="1380">++IFERROR(AX134/AX108,"n/a")</f>
        <v>n/a</v>
      </c>
      <c r="AY135" s="225" t="str">
        <f t="shared" ref="AY135" si="1381">++IFERROR(AY134/AY108,"n/a")</f>
        <v>n/a</v>
      </c>
      <c r="AZ135" s="225" t="str">
        <f t="shared" ref="AZ135" si="1382">++IFERROR(AZ134/AZ108,"n/a")</f>
        <v>n/a</v>
      </c>
      <c r="BA135" s="225" t="str">
        <f t="shared" ref="BA135" si="1383">++IFERROR(BA134/BA108,"n/a")</f>
        <v>n/a</v>
      </c>
      <c r="BB135" s="225" t="str">
        <f t="shared" ref="BB135" si="1384">++IFERROR(BB134/BB108,"n/a")</f>
        <v>n/a</v>
      </c>
      <c r="BC135" s="225" t="str">
        <f t="shared" ref="BC135" si="1385">++IFERROR(BC134/BC108,"n/a")</f>
        <v>n/a</v>
      </c>
      <c r="BD135" s="225" t="str">
        <f t="shared" ref="BD135" si="1386">++IFERROR(BD134/BD108,"n/a")</f>
        <v>n/a</v>
      </c>
      <c r="BE135" s="225" t="str">
        <f t="shared" ref="BE135" si="1387">++IFERROR(BE134/BE108,"n/a")</f>
        <v>n/a</v>
      </c>
      <c r="BF135" s="225" t="str">
        <f t="shared" ref="BF135" si="1388">++IFERROR(BF134/BF108,"n/a")</f>
        <v>n/a</v>
      </c>
      <c r="BG135" s="214" t="str">
        <f t="shared" ref="BG135" si="1389">++IFERROR(BG134/BG108,"n/a")</f>
        <v>n/a</v>
      </c>
      <c r="BH135" s="225" t="str">
        <f t="shared" ref="BH135" si="1390">++IFERROR(BH134/BH108,"n/a")</f>
        <v>n/a</v>
      </c>
      <c r="BI135" s="225" t="str">
        <f t="shared" ref="BI135" si="1391">++IFERROR(BI134/BI108,"n/a")</f>
        <v>n/a</v>
      </c>
      <c r="BJ135" s="225" t="str">
        <f t="shared" ref="BJ135" si="1392">++IFERROR(BJ134/BJ108,"n/a")</f>
        <v>n/a</v>
      </c>
      <c r="BK135" s="225" t="str">
        <f t="shared" ref="BK135" si="1393">++IFERROR(BK134/BK108,"n/a")</f>
        <v>n/a</v>
      </c>
      <c r="BL135" s="225" t="str">
        <f t="shared" ref="BL135" si="1394">++IFERROR(BL134/BL108,"n/a")</f>
        <v>n/a</v>
      </c>
      <c r="BM135" s="225" t="str">
        <f t="shared" ref="BM135" si="1395">++IFERROR(BM134/BM108,"n/a")</f>
        <v>n/a</v>
      </c>
      <c r="BN135" s="225" t="str">
        <f t="shared" ref="BN135" si="1396">++IFERROR(BN134/BN108,"n/a")</f>
        <v>n/a</v>
      </c>
      <c r="BO135" s="225" t="str">
        <f t="shared" ref="BO135" si="1397">++IFERROR(BO134/BO108,"n/a")</f>
        <v>n/a</v>
      </c>
      <c r="BP135" s="225" t="str">
        <f t="shared" ref="BP135" si="1398">++IFERROR(BP134/BP108,"n/a")</f>
        <v>n/a</v>
      </c>
      <c r="BQ135" s="225" t="str">
        <f t="shared" ref="BQ135" si="1399">++IFERROR(BQ134/BQ108,"n/a")</f>
        <v>n/a</v>
      </c>
      <c r="BR135" s="225" t="str">
        <f t="shared" ref="BR135" si="1400">++IFERROR(BR134/BR108,"n/a")</f>
        <v>n/a</v>
      </c>
      <c r="BS135" s="214" t="str">
        <f t="shared" ref="BS135" si="1401">++IFERROR(BS134/BS108,"n/a")</f>
        <v>n/a</v>
      </c>
      <c r="BT135" s="225" t="str">
        <f t="shared" ref="BT135" si="1402">++IFERROR(BT134/BT108,"n/a")</f>
        <v>n/a</v>
      </c>
      <c r="BU135" s="225" t="str">
        <f t="shared" ref="BU135" si="1403">++IFERROR(BU134/BU108,"n/a")</f>
        <v>n/a</v>
      </c>
      <c r="BV135" s="225" t="str">
        <f t="shared" ref="BV135" si="1404">++IFERROR(BV134/BV108,"n/a")</f>
        <v>n/a</v>
      </c>
      <c r="BW135" s="225" t="str">
        <f t="shared" ref="BW135" si="1405">++IFERROR(BW134/BW108,"n/a")</f>
        <v>n/a</v>
      </c>
      <c r="BX135" s="225" t="str">
        <f t="shared" ref="BX135" si="1406">++IFERROR(BX134/BX108,"n/a")</f>
        <v>n/a</v>
      </c>
      <c r="BY135" s="225" t="str">
        <f t="shared" ref="BY135" si="1407">++IFERROR(BY134/BY108,"n/a")</f>
        <v>n/a</v>
      </c>
      <c r="BZ135" s="225" t="str">
        <f t="shared" ref="BZ135" si="1408">++IFERROR(BZ134/BZ108,"n/a")</f>
        <v>n/a</v>
      </c>
      <c r="CA135" s="225" t="str">
        <f t="shared" ref="CA135" si="1409">++IFERROR(CA134/CA108,"n/a")</f>
        <v>n/a</v>
      </c>
      <c r="CB135" s="225" t="str">
        <f t="shared" ref="CB135" si="1410">++IFERROR(CB134/CB108,"n/a")</f>
        <v>n/a</v>
      </c>
      <c r="CC135" s="225" t="str">
        <f t="shared" ref="CC135" si="1411">++IFERROR(CC134/CC108,"n/a")</f>
        <v>n/a</v>
      </c>
      <c r="CD135" s="225" t="str">
        <f t="shared" ref="CD135" si="1412">++IFERROR(CD134/CD108,"n/a")</f>
        <v>n/a</v>
      </c>
      <c r="CE135" s="214" t="str">
        <f t="shared" ref="CE135" si="1413">++IFERROR(CE134/CE108,"n/a")</f>
        <v>n/a</v>
      </c>
      <c r="CF135" s="225" t="str">
        <f t="shared" ref="CF135" si="1414">++IFERROR(CF134/CF108,"n/a")</f>
        <v>n/a</v>
      </c>
      <c r="CG135" s="225" t="str">
        <f t="shared" ref="CG135" si="1415">++IFERROR(CG134/CG108,"n/a")</f>
        <v>n/a</v>
      </c>
      <c r="CH135" s="225" t="str">
        <f t="shared" ref="CH135" si="1416">++IFERROR(CH134/CH108,"n/a")</f>
        <v>n/a</v>
      </c>
      <c r="CI135" s="225" t="str">
        <f t="shared" ref="CI135" si="1417">++IFERROR(CI134/CI108,"n/a")</f>
        <v>n/a</v>
      </c>
      <c r="CJ135" s="225" t="str">
        <f t="shared" ref="CJ135" si="1418">++IFERROR(CJ134/CJ108,"n/a")</f>
        <v>n/a</v>
      </c>
      <c r="CK135" s="225" t="str">
        <f t="shared" ref="CK135" si="1419">++IFERROR(CK134/CK108,"n/a")</f>
        <v>n/a</v>
      </c>
      <c r="CL135" s="225" t="str">
        <f t="shared" ref="CL135" si="1420">++IFERROR(CL134/CL108,"n/a")</f>
        <v>n/a</v>
      </c>
      <c r="CM135" s="225" t="str">
        <f t="shared" ref="CM135" si="1421">++IFERROR(CM134/CM108,"n/a")</f>
        <v>n/a</v>
      </c>
      <c r="CN135" s="225" t="str">
        <f t="shared" ref="CN135" si="1422">++IFERROR(CN134/CN108,"n/a")</f>
        <v>n/a</v>
      </c>
      <c r="CO135" s="225" t="str">
        <f t="shared" ref="CO135" si="1423">++IFERROR(CO134/CO108,"n/a")</f>
        <v>n/a</v>
      </c>
      <c r="CP135" s="225" t="str">
        <f t="shared" ref="CP135" si="1424">++IFERROR(CP134/CP108,"n/a")</f>
        <v>n/a</v>
      </c>
      <c r="CQ135" s="214" t="str">
        <f t="shared" ref="CQ135" si="1425">++IFERROR(CQ134/CQ108,"n/a")</f>
        <v>n/a</v>
      </c>
      <c r="CR135" s="225" t="str">
        <f t="shared" ref="CR135" si="1426">++IFERROR(CR134/CR108,"n/a")</f>
        <v>n/a</v>
      </c>
      <c r="CS135" s="225" t="str">
        <f t="shared" ref="CS135" si="1427">++IFERROR(CS134/CS108,"n/a")</f>
        <v>n/a</v>
      </c>
      <c r="CT135" s="225" t="str">
        <f t="shared" ref="CT135" si="1428">++IFERROR(CT134/CT108,"n/a")</f>
        <v>n/a</v>
      </c>
      <c r="CU135" s="225" t="str">
        <f t="shared" ref="CU135" si="1429">++IFERROR(CU134/CU108,"n/a")</f>
        <v>n/a</v>
      </c>
      <c r="CV135" s="225" t="str">
        <f t="shared" ref="CV135" si="1430">++IFERROR(CV134/CV108,"n/a")</f>
        <v>n/a</v>
      </c>
      <c r="CW135" s="225" t="str">
        <f t="shared" ref="CW135" si="1431">++IFERROR(CW134/CW108,"n/a")</f>
        <v>n/a</v>
      </c>
      <c r="CX135" s="225" t="str">
        <f t="shared" ref="CX135" si="1432">++IFERROR(CX134/CX108,"n/a")</f>
        <v>n/a</v>
      </c>
      <c r="CY135" s="225" t="str">
        <f t="shared" ref="CY135" si="1433">++IFERROR(CY134/CY108,"n/a")</f>
        <v>n/a</v>
      </c>
      <c r="CZ135" s="225" t="str">
        <f t="shared" ref="CZ135" si="1434">++IFERROR(CZ134/CZ108,"n/a")</f>
        <v>n/a</v>
      </c>
      <c r="DA135" s="225" t="str">
        <f t="shared" ref="DA135" si="1435">++IFERROR(DA134/DA108,"n/a")</f>
        <v>n/a</v>
      </c>
      <c r="DB135" s="225" t="str">
        <f t="shared" ref="DB135" si="1436">++IFERROR(DB134/DB108,"n/a")</f>
        <v>n/a</v>
      </c>
      <c r="DC135" s="214" t="str">
        <f t="shared" ref="DC135" si="1437">++IFERROR(DC134/DC108,"n/a")</f>
        <v>n/a</v>
      </c>
    </row>
    <row r="136" spans="3:107" x14ac:dyDescent="0.3">
      <c r="C136" s="321" t="str">
        <f>++C$38</f>
        <v>% y/y</v>
      </c>
      <c r="G136" s="122" t="s">
        <v>47</v>
      </c>
      <c r="H136" s="122" t="s">
        <v>47</v>
      </c>
      <c r="I136" s="122" t="s">
        <v>47</v>
      </c>
      <c r="J136" s="122" t="s">
        <v>47</v>
      </c>
      <c r="K136" s="214" t="str">
        <f>++IFERROR(K134/G134-1,"n/a")</f>
        <v>n/a</v>
      </c>
      <c r="L136" s="122" t="s">
        <v>47</v>
      </c>
      <c r="M136" s="122" t="s">
        <v>47</v>
      </c>
      <c r="N136" s="225" t="str">
        <f>++IFERROR(N134/H134-1,"n/a")</f>
        <v>n/a</v>
      </c>
      <c r="O136" s="122" t="s">
        <v>47</v>
      </c>
      <c r="P136" s="122" t="s">
        <v>47</v>
      </c>
      <c r="Q136" s="225" t="str">
        <f>++IFERROR(Q134/I134-1,"n/a")</f>
        <v>n/a</v>
      </c>
      <c r="R136" s="122" t="s">
        <v>47</v>
      </c>
      <c r="S136" s="122" t="s">
        <v>47</v>
      </c>
      <c r="T136" s="225" t="str">
        <f>++IFERROR(T134/J134-1,"n/a")</f>
        <v>n/a</v>
      </c>
      <c r="U136" s="122" t="s">
        <v>47</v>
      </c>
      <c r="V136" s="122" t="s">
        <v>47</v>
      </c>
      <c r="W136" s="214" t="str">
        <f t="shared" ref="W136:BB136" si="1438">++IFERROR(W134/K134-1,"n/a")</f>
        <v>n/a</v>
      </c>
      <c r="X136" s="225" t="str">
        <f t="shared" si="1438"/>
        <v>n/a</v>
      </c>
      <c r="Y136" s="225" t="str">
        <f t="shared" si="1438"/>
        <v>n/a</v>
      </c>
      <c r="Z136" s="225" t="str">
        <f t="shared" si="1438"/>
        <v>n/a</v>
      </c>
      <c r="AA136" s="225" t="str">
        <f t="shared" si="1438"/>
        <v>n/a</v>
      </c>
      <c r="AB136" s="225" t="str">
        <f t="shared" si="1438"/>
        <v>n/a</v>
      </c>
      <c r="AC136" s="225" t="str">
        <f t="shared" si="1438"/>
        <v>n/a</v>
      </c>
      <c r="AD136" s="225" t="str">
        <f t="shared" si="1438"/>
        <v>n/a</v>
      </c>
      <c r="AE136" s="225" t="str">
        <f t="shared" si="1438"/>
        <v>n/a</v>
      </c>
      <c r="AF136" s="225" t="str">
        <f t="shared" si="1438"/>
        <v>n/a</v>
      </c>
      <c r="AG136" s="225" t="str">
        <f t="shared" si="1438"/>
        <v>n/a</v>
      </c>
      <c r="AH136" s="225" t="str">
        <f t="shared" si="1438"/>
        <v>n/a</v>
      </c>
      <c r="AI136" s="214" t="str">
        <f t="shared" si="1438"/>
        <v>n/a</v>
      </c>
      <c r="AJ136" s="225" t="str">
        <f t="shared" si="1438"/>
        <v>n/a</v>
      </c>
      <c r="AK136" s="225" t="str">
        <f t="shared" si="1438"/>
        <v>n/a</v>
      </c>
      <c r="AL136" s="225" t="str">
        <f t="shared" si="1438"/>
        <v>n/a</v>
      </c>
      <c r="AM136" s="225" t="str">
        <f t="shared" si="1438"/>
        <v>n/a</v>
      </c>
      <c r="AN136" s="225" t="str">
        <f t="shared" si="1438"/>
        <v>n/a</v>
      </c>
      <c r="AO136" s="225" t="str">
        <f t="shared" si="1438"/>
        <v>n/a</v>
      </c>
      <c r="AP136" s="225" t="str">
        <f t="shared" si="1438"/>
        <v>n/a</v>
      </c>
      <c r="AQ136" s="225" t="str">
        <f t="shared" si="1438"/>
        <v>n/a</v>
      </c>
      <c r="AR136" s="225" t="str">
        <f t="shared" si="1438"/>
        <v>n/a</v>
      </c>
      <c r="AS136" s="225" t="str">
        <f t="shared" si="1438"/>
        <v>n/a</v>
      </c>
      <c r="AT136" s="225" t="str">
        <f t="shared" si="1438"/>
        <v>n/a</v>
      </c>
      <c r="AU136" s="214" t="str">
        <f t="shared" si="1438"/>
        <v>n/a</v>
      </c>
      <c r="AV136" s="225" t="str">
        <f t="shared" si="1438"/>
        <v>n/a</v>
      </c>
      <c r="AW136" s="225" t="str">
        <f t="shared" si="1438"/>
        <v>n/a</v>
      </c>
      <c r="AX136" s="225" t="str">
        <f t="shared" si="1438"/>
        <v>n/a</v>
      </c>
      <c r="AY136" s="225" t="str">
        <f t="shared" si="1438"/>
        <v>n/a</v>
      </c>
      <c r="AZ136" s="225" t="str">
        <f t="shared" si="1438"/>
        <v>n/a</v>
      </c>
      <c r="BA136" s="225" t="str">
        <f t="shared" si="1438"/>
        <v>n/a</v>
      </c>
      <c r="BB136" s="225" t="str">
        <f t="shared" si="1438"/>
        <v>n/a</v>
      </c>
      <c r="BC136" s="225" t="str">
        <f t="shared" ref="BC136:CH136" si="1439">++IFERROR(BC134/AQ134-1,"n/a")</f>
        <v>n/a</v>
      </c>
      <c r="BD136" s="225" t="str">
        <f t="shared" si="1439"/>
        <v>n/a</v>
      </c>
      <c r="BE136" s="225" t="str">
        <f t="shared" si="1439"/>
        <v>n/a</v>
      </c>
      <c r="BF136" s="225" t="str">
        <f t="shared" si="1439"/>
        <v>n/a</v>
      </c>
      <c r="BG136" s="214" t="str">
        <f t="shared" si="1439"/>
        <v>n/a</v>
      </c>
      <c r="BH136" s="225" t="str">
        <f t="shared" si="1439"/>
        <v>n/a</v>
      </c>
      <c r="BI136" s="225" t="str">
        <f t="shared" si="1439"/>
        <v>n/a</v>
      </c>
      <c r="BJ136" s="225" t="str">
        <f t="shared" si="1439"/>
        <v>n/a</v>
      </c>
      <c r="BK136" s="225" t="str">
        <f t="shared" si="1439"/>
        <v>n/a</v>
      </c>
      <c r="BL136" s="225" t="str">
        <f t="shared" si="1439"/>
        <v>n/a</v>
      </c>
      <c r="BM136" s="225" t="str">
        <f t="shared" si="1439"/>
        <v>n/a</v>
      </c>
      <c r="BN136" s="225" t="str">
        <f t="shared" si="1439"/>
        <v>n/a</v>
      </c>
      <c r="BO136" s="225" t="str">
        <f t="shared" si="1439"/>
        <v>n/a</v>
      </c>
      <c r="BP136" s="225" t="str">
        <f t="shared" si="1439"/>
        <v>n/a</v>
      </c>
      <c r="BQ136" s="225" t="str">
        <f t="shared" si="1439"/>
        <v>n/a</v>
      </c>
      <c r="BR136" s="225" t="str">
        <f t="shared" si="1439"/>
        <v>n/a</v>
      </c>
      <c r="BS136" s="214" t="str">
        <f t="shared" si="1439"/>
        <v>n/a</v>
      </c>
      <c r="BT136" s="225" t="str">
        <f t="shared" si="1439"/>
        <v>n/a</v>
      </c>
      <c r="BU136" s="225" t="str">
        <f t="shared" si="1439"/>
        <v>n/a</v>
      </c>
      <c r="BV136" s="225" t="str">
        <f t="shared" si="1439"/>
        <v>n/a</v>
      </c>
      <c r="BW136" s="225" t="str">
        <f t="shared" si="1439"/>
        <v>n/a</v>
      </c>
      <c r="BX136" s="225" t="str">
        <f t="shared" si="1439"/>
        <v>n/a</v>
      </c>
      <c r="BY136" s="225" t="str">
        <f t="shared" si="1439"/>
        <v>n/a</v>
      </c>
      <c r="BZ136" s="225" t="str">
        <f t="shared" si="1439"/>
        <v>n/a</v>
      </c>
      <c r="CA136" s="225" t="str">
        <f t="shared" si="1439"/>
        <v>n/a</v>
      </c>
      <c r="CB136" s="225" t="str">
        <f t="shared" si="1439"/>
        <v>n/a</v>
      </c>
      <c r="CC136" s="225" t="str">
        <f t="shared" si="1439"/>
        <v>n/a</v>
      </c>
      <c r="CD136" s="225" t="str">
        <f t="shared" si="1439"/>
        <v>n/a</v>
      </c>
      <c r="CE136" s="214" t="str">
        <f t="shared" si="1439"/>
        <v>n/a</v>
      </c>
      <c r="CF136" s="225" t="str">
        <f t="shared" si="1439"/>
        <v>n/a</v>
      </c>
      <c r="CG136" s="225" t="str">
        <f t="shared" si="1439"/>
        <v>n/a</v>
      </c>
      <c r="CH136" s="225" t="str">
        <f t="shared" si="1439"/>
        <v>n/a</v>
      </c>
      <c r="CI136" s="225" t="str">
        <f t="shared" ref="CI136:DN136" si="1440">++IFERROR(CI134/BW134-1,"n/a")</f>
        <v>n/a</v>
      </c>
      <c r="CJ136" s="225" t="str">
        <f t="shared" si="1440"/>
        <v>n/a</v>
      </c>
      <c r="CK136" s="225" t="str">
        <f t="shared" si="1440"/>
        <v>n/a</v>
      </c>
      <c r="CL136" s="225" t="str">
        <f t="shared" si="1440"/>
        <v>n/a</v>
      </c>
      <c r="CM136" s="225" t="str">
        <f t="shared" si="1440"/>
        <v>n/a</v>
      </c>
      <c r="CN136" s="225" t="str">
        <f t="shared" si="1440"/>
        <v>n/a</v>
      </c>
      <c r="CO136" s="225" t="str">
        <f t="shared" si="1440"/>
        <v>n/a</v>
      </c>
      <c r="CP136" s="225" t="str">
        <f t="shared" si="1440"/>
        <v>n/a</v>
      </c>
      <c r="CQ136" s="214" t="str">
        <f t="shared" si="1440"/>
        <v>n/a</v>
      </c>
      <c r="CR136" s="225" t="str">
        <f t="shared" si="1440"/>
        <v>n/a</v>
      </c>
      <c r="CS136" s="225" t="str">
        <f t="shared" si="1440"/>
        <v>n/a</v>
      </c>
      <c r="CT136" s="225" t="str">
        <f t="shared" si="1440"/>
        <v>n/a</v>
      </c>
      <c r="CU136" s="225" t="str">
        <f t="shared" si="1440"/>
        <v>n/a</v>
      </c>
      <c r="CV136" s="225" t="str">
        <f t="shared" si="1440"/>
        <v>n/a</v>
      </c>
      <c r="CW136" s="225" t="str">
        <f t="shared" si="1440"/>
        <v>n/a</v>
      </c>
      <c r="CX136" s="225" t="str">
        <f t="shared" si="1440"/>
        <v>n/a</v>
      </c>
      <c r="CY136" s="225" t="str">
        <f t="shared" si="1440"/>
        <v>n/a</v>
      </c>
      <c r="CZ136" s="225" t="str">
        <f t="shared" si="1440"/>
        <v>n/a</v>
      </c>
      <c r="DA136" s="225" t="str">
        <f t="shared" si="1440"/>
        <v>n/a</v>
      </c>
      <c r="DB136" s="225" t="str">
        <f t="shared" si="1440"/>
        <v>n/a</v>
      </c>
      <c r="DC136" s="214" t="str">
        <f t="shared" si="1440"/>
        <v>n/a</v>
      </c>
    </row>
    <row r="137" spans="3:107" x14ac:dyDescent="0.3">
      <c r="G137" s="203"/>
      <c r="K137" s="203"/>
      <c r="W137" s="203"/>
      <c r="AI137" s="203"/>
      <c r="AU137" s="203"/>
      <c r="BG137" s="203"/>
      <c r="BS137" s="203"/>
      <c r="CE137" s="203"/>
      <c r="CQ137" s="203"/>
      <c r="DC137" s="203"/>
    </row>
    <row r="138" spans="3:107" x14ac:dyDescent="0.3">
      <c r="C138" s="101" t="str">
        <f>++C$40</f>
        <v>Interest Expense (Income)</v>
      </c>
      <c r="G138" s="374">
        <f>++G125</f>
        <v>0</v>
      </c>
      <c r="H138" s="200">
        <f t="shared" ref="H138:BS138" si="1441">++H125</f>
        <v>0</v>
      </c>
      <c r="I138" s="200">
        <f t="shared" si="1441"/>
        <v>0</v>
      </c>
      <c r="J138" s="200">
        <f t="shared" si="1441"/>
        <v>0</v>
      </c>
      <c r="K138" s="374">
        <f t="shared" si="1441"/>
        <v>0</v>
      </c>
      <c r="L138" s="200">
        <f t="shared" si="1441"/>
        <v>0</v>
      </c>
      <c r="M138" s="200">
        <f t="shared" si="1441"/>
        <v>0</v>
      </c>
      <c r="N138" s="200">
        <f t="shared" si="1441"/>
        <v>0</v>
      </c>
      <c r="O138" s="200">
        <f t="shared" si="1441"/>
        <v>0</v>
      </c>
      <c r="P138" s="200">
        <f t="shared" si="1441"/>
        <v>0</v>
      </c>
      <c r="Q138" s="200">
        <f t="shared" si="1441"/>
        <v>0</v>
      </c>
      <c r="R138" s="200">
        <f t="shared" si="1441"/>
        <v>0</v>
      </c>
      <c r="S138" s="200">
        <f t="shared" si="1441"/>
        <v>0</v>
      </c>
      <c r="T138" s="200">
        <f t="shared" si="1441"/>
        <v>0</v>
      </c>
      <c r="U138" s="200">
        <f t="shared" si="1441"/>
        <v>0</v>
      </c>
      <c r="V138" s="200">
        <f t="shared" si="1441"/>
        <v>0</v>
      </c>
      <c r="W138" s="374">
        <f t="shared" si="1441"/>
        <v>0</v>
      </c>
      <c r="X138" s="200">
        <f t="shared" si="1441"/>
        <v>0</v>
      </c>
      <c r="Y138" s="200">
        <f t="shared" si="1441"/>
        <v>0</v>
      </c>
      <c r="Z138" s="200">
        <f t="shared" si="1441"/>
        <v>0</v>
      </c>
      <c r="AA138" s="200">
        <f t="shared" si="1441"/>
        <v>0</v>
      </c>
      <c r="AB138" s="200">
        <f t="shared" si="1441"/>
        <v>0</v>
      </c>
      <c r="AC138" s="200">
        <f t="shared" si="1441"/>
        <v>0</v>
      </c>
      <c r="AD138" s="200">
        <f t="shared" si="1441"/>
        <v>0</v>
      </c>
      <c r="AE138" s="200">
        <f t="shared" si="1441"/>
        <v>0</v>
      </c>
      <c r="AF138" s="200">
        <f t="shared" si="1441"/>
        <v>0</v>
      </c>
      <c r="AG138" s="200">
        <f t="shared" si="1441"/>
        <v>0</v>
      </c>
      <c r="AH138" s="200">
        <f t="shared" si="1441"/>
        <v>0</v>
      </c>
      <c r="AI138" s="374">
        <f t="shared" si="1441"/>
        <v>0</v>
      </c>
      <c r="AJ138" s="200">
        <f t="shared" si="1441"/>
        <v>0</v>
      </c>
      <c r="AK138" s="200">
        <f t="shared" si="1441"/>
        <v>0</v>
      </c>
      <c r="AL138" s="200">
        <f t="shared" si="1441"/>
        <v>0</v>
      </c>
      <c r="AM138" s="200">
        <f t="shared" si="1441"/>
        <v>0</v>
      </c>
      <c r="AN138" s="200">
        <f t="shared" si="1441"/>
        <v>0</v>
      </c>
      <c r="AO138" s="200">
        <f t="shared" si="1441"/>
        <v>0</v>
      </c>
      <c r="AP138" s="200">
        <f t="shared" si="1441"/>
        <v>0</v>
      </c>
      <c r="AQ138" s="200">
        <f t="shared" si="1441"/>
        <v>0</v>
      </c>
      <c r="AR138" s="200">
        <f t="shared" si="1441"/>
        <v>0</v>
      </c>
      <c r="AS138" s="200">
        <f t="shared" si="1441"/>
        <v>0</v>
      </c>
      <c r="AT138" s="200">
        <f t="shared" si="1441"/>
        <v>0</v>
      </c>
      <c r="AU138" s="374">
        <f t="shared" si="1441"/>
        <v>0</v>
      </c>
      <c r="AV138" s="200">
        <f t="shared" si="1441"/>
        <v>0</v>
      </c>
      <c r="AW138" s="200">
        <f t="shared" si="1441"/>
        <v>0</v>
      </c>
      <c r="AX138" s="200">
        <f t="shared" si="1441"/>
        <v>0</v>
      </c>
      <c r="AY138" s="200">
        <f t="shared" si="1441"/>
        <v>0</v>
      </c>
      <c r="AZ138" s="200">
        <f t="shared" si="1441"/>
        <v>0</v>
      </c>
      <c r="BA138" s="200">
        <f t="shared" si="1441"/>
        <v>0</v>
      </c>
      <c r="BB138" s="200">
        <f t="shared" si="1441"/>
        <v>0</v>
      </c>
      <c r="BC138" s="200">
        <f t="shared" si="1441"/>
        <v>0</v>
      </c>
      <c r="BD138" s="200">
        <f t="shared" si="1441"/>
        <v>0</v>
      </c>
      <c r="BE138" s="200">
        <f t="shared" si="1441"/>
        <v>0</v>
      </c>
      <c r="BF138" s="200">
        <f t="shared" si="1441"/>
        <v>0</v>
      </c>
      <c r="BG138" s="374">
        <f t="shared" si="1441"/>
        <v>0</v>
      </c>
      <c r="BH138" s="200">
        <f t="shared" si="1441"/>
        <v>0</v>
      </c>
      <c r="BI138" s="200">
        <f t="shared" si="1441"/>
        <v>0</v>
      </c>
      <c r="BJ138" s="200">
        <f t="shared" si="1441"/>
        <v>0</v>
      </c>
      <c r="BK138" s="200">
        <f t="shared" si="1441"/>
        <v>0</v>
      </c>
      <c r="BL138" s="200">
        <f t="shared" si="1441"/>
        <v>0</v>
      </c>
      <c r="BM138" s="200">
        <f t="shared" si="1441"/>
        <v>0</v>
      </c>
      <c r="BN138" s="200">
        <f t="shared" si="1441"/>
        <v>0</v>
      </c>
      <c r="BO138" s="200">
        <f t="shared" si="1441"/>
        <v>0</v>
      </c>
      <c r="BP138" s="200">
        <f t="shared" si="1441"/>
        <v>0</v>
      </c>
      <c r="BQ138" s="200">
        <f t="shared" si="1441"/>
        <v>0</v>
      </c>
      <c r="BR138" s="200">
        <f t="shared" si="1441"/>
        <v>0</v>
      </c>
      <c r="BS138" s="374">
        <f t="shared" si="1441"/>
        <v>0</v>
      </c>
      <c r="BT138" s="200">
        <f t="shared" ref="BT138:DC138" si="1442">++BT125</f>
        <v>0</v>
      </c>
      <c r="BU138" s="200">
        <f t="shared" si="1442"/>
        <v>0</v>
      </c>
      <c r="BV138" s="200">
        <f t="shared" si="1442"/>
        <v>0</v>
      </c>
      <c r="BW138" s="200">
        <f t="shared" si="1442"/>
        <v>0</v>
      </c>
      <c r="BX138" s="200">
        <f t="shared" si="1442"/>
        <v>0</v>
      </c>
      <c r="BY138" s="200">
        <f t="shared" si="1442"/>
        <v>0</v>
      </c>
      <c r="BZ138" s="200">
        <f t="shared" si="1442"/>
        <v>0</v>
      </c>
      <c r="CA138" s="200">
        <f t="shared" si="1442"/>
        <v>0</v>
      </c>
      <c r="CB138" s="200">
        <f t="shared" si="1442"/>
        <v>0</v>
      </c>
      <c r="CC138" s="200">
        <f t="shared" si="1442"/>
        <v>0</v>
      </c>
      <c r="CD138" s="200">
        <f t="shared" si="1442"/>
        <v>0</v>
      </c>
      <c r="CE138" s="374">
        <f t="shared" si="1442"/>
        <v>0</v>
      </c>
      <c r="CF138" s="200">
        <f t="shared" si="1442"/>
        <v>0</v>
      </c>
      <c r="CG138" s="200">
        <f t="shared" si="1442"/>
        <v>0</v>
      </c>
      <c r="CH138" s="200">
        <f t="shared" si="1442"/>
        <v>0</v>
      </c>
      <c r="CI138" s="200">
        <f t="shared" si="1442"/>
        <v>0</v>
      </c>
      <c r="CJ138" s="200">
        <f t="shared" si="1442"/>
        <v>0</v>
      </c>
      <c r="CK138" s="200">
        <f t="shared" si="1442"/>
        <v>0</v>
      </c>
      <c r="CL138" s="200">
        <f t="shared" si="1442"/>
        <v>0</v>
      </c>
      <c r="CM138" s="200">
        <f t="shared" si="1442"/>
        <v>0</v>
      </c>
      <c r="CN138" s="200">
        <f t="shared" si="1442"/>
        <v>0</v>
      </c>
      <c r="CO138" s="200">
        <f t="shared" si="1442"/>
        <v>0</v>
      </c>
      <c r="CP138" s="200">
        <f t="shared" si="1442"/>
        <v>0</v>
      </c>
      <c r="CQ138" s="374">
        <f t="shared" si="1442"/>
        <v>0</v>
      </c>
      <c r="CR138" s="200">
        <f t="shared" si="1442"/>
        <v>0</v>
      </c>
      <c r="CS138" s="200">
        <f t="shared" si="1442"/>
        <v>0</v>
      </c>
      <c r="CT138" s="200">
        <f t="shared" si="1442"/>
        <v>0</v>
      </c>
      <c r="CU138" s="200">
        <f t="shared" si="1442"/>
        <v>0</v>
      </c>
      <c r="CV138" s="200">
        <f t="shared" si="1442"/>
        <v>0</v>
      </c>
      <c r="CW138" s="200">
        <f t="shared" si="1442"/>
        <v>0</v>
      </c>
      <c r="CX138" s="200">
        <f t="shared" si="1442"/>
        <v>0</v>
      </c>
      <c r="CY138" s="200">
        <f t="shared" si="1442"/>
        <v>0</v>
      </c>
      <c r="CZ138" s="200">
        <f t="shared" si="1442"/>
        <v>0</v>
      </c>
      <c r="DA138" s="200">
        <f t="shared" si="1442"/>
        <v>0</v>
      </c>
      <c r="DB138" s="200">
        <f t="shared" si="1442"/>
        <v>0</v>
      </c>
      <c r="DC138" s="374">
        <f t="shared" si="1442"/>
        <v>0</v>
      </c>
    </row>
    <row r="139" spans="3:107" x14ac:dyDescent="0.3">
      <c r="C139" s="101" t="str">
        <f>++C$41</f>
        <v>Tax Expense (Benefit)</v>
      </c>
      <c r="G139" s="374">
        <f>++G131</f>
        <v>0</v>
      </c>
      <c r="H139" s="200">
        <f t="shared" ref="H139:BS139" si="1443">++H131</f>
        <v>0</v>
      </c>
      <c r="I139" s="200">
        <f t="shared" si="1443"/>
        <v>0</v>
      </c>
      <c r="J139" s="200">
        <f t="shared" si="1443"/>
        <v>0</v>
      </c>
      <c r="K139" s="374">
        <f t="shared" si="1443"/>
        <v>0</v>
      </c>
      <c r="L139" s="200">
        <f t="shared" si="1443"/>
        <v>0</v>
      </c>
      <c r="M139" s="200">
        <f t="shared" si="1443"/>
        <v>0</v>
      </c>
      <c r="N139" s="200">
        <f t="shared" si="1443"/>
        <v>0</v>
      </c>
      <c r="O139" s="200">
        <f t="shared" si="1443"/>
        <v>0</v>
      </c>
      <c r="P139" s="200">
        <f t="shared" si="1443"/>
        <v>0</v>
      </c>
      <c r="Q139" s="200">
        <f t="shared" si="1443"/>
        <v>0</v>
      </c>
      <c r="R139" s="200">
        <f t="shared" si="1443"/>
        <v>0</v>
      </c>
      <c r="S139" s="200">
        <f t="shared" si="1443"/>
        <v>0</v>
      </c>
      <c r="T139" s="200">
        <f t="shared" si="1443"/>
        <v>0</v>
      </c>
      <c r="U139" s="200">
        <f t="shared" si="1443"/>
        <v>0</v>
      </c>
      <c r="V139" s="200">
        <f t="shared" si="1443"/>
        <v>0</v>
      </c>
      <c r="W139" s="374">
        <f t="shared" si="1443"/>
        <v>0</v>
      </c>
      <c r="X139" s="200">
        <f t="shared" si="1443"/>
        <v>0</v>
      </c>
      <c r="Y139" s="200">
        <f t="shared" si="1443"/>
        <v>0</v>
      </c>
      <c r="Z139" s="200">
        <f t="shared" si="1443"/>
        <v>0</v>
      </c>
      <c r="AA139" s="200">
        <f t="shared" si="1443"/>
        <v>0</v>
      </c>
      <c r="AB139" s="200">
        <f t="shared" si="1443"/>
        <v>0</v>
      </c>
      <c r="AC139" s="200">
        <f t="shared" si="1443"/>
        <v>0</v>
      </c>
      <c r="AD139" s="200">
        <f t="shared" si="1443"/>
        <v>0</v>
      </c>
      <c r="AE139" s="200">
        <f t="shared" si="1443"/>
        <v>0</v>
      </c>
      <c r="AF139" s="200">
        <f t="shared" si="1443"/>
        <v>0</v>
      </c>
      <c r="AG139" s="200">
        <f t="shared" si="1443"/>
        <v>0</v>
      </c>
      <c r="AH139" s="200">
        <f t="shared" si="1443"/>
        <v>0</v>
      </c>
      <c r="AI139" s="374">
        <f t="shared" si="1443"/>
        <v>0</v>
      </c>
      <c r="AJ139" s="200">
        <f t="shared" si="1443"/>
        <v>0</v>
      </c>
      <c r="AK139" s="200">
        <f t="shared" si="1443"/>
        <v>0</v>
      </c>
      <c r="AL139" s="200">
        <f t="shared" si="1443"/>
        <v>0</v>
      </c>
      <c r="AM139" s="200">
        <f t="shared" si="1443"/>
        <v>0</v>
      </c>
      <c r="AN139" s="200">
        <f t="shared" si="1443"/>
        <v>0</v>
      </c>
      <c r="AO139" s="200">
        <f t="shared" si="1443"/>
        <v>0</v>
      </c>
      <c r="AP139" s="200">
        <f t="shared" si="1443"/>
        <v>0</v>
      </c>
      <c r="AQ139" s="200">
        <f t="shared" si="1443"/>
        <v>0</v>
      </c>
      <c r="AR139" s="200">
        <f t="shared" si="1443"/>
        <v>0</v>
      </c>
      <c r="AS139" s="200">
        <f t="shared" si="1443"/>
        <v>0</v>
      </c>
      <c r="AT139" s="200">
        <f t="shared" si="1443"/>
        <v>0</v>
      </c>
      <c r="AU139" s="374">
        <f t="shared" si="1443"/>
        <v>0</v>
      </c>
      <c r="AV139" s="200">
        <f t="shared" si="1443"/>
        <v>0</v>
      </c>
      <c r="AW139" s="200">
        <f t="shared" si="1443"/>
        <v>0</v>
      </c>
      <c r="AX139" s="200">
        <f t="shared" si="1443"/>
        <v>0</v>
      </c>
      <c r="AY139" s="200">
        <f t="shared" si="1443"/>
        <v>0</v>
      </c>
      <c r="AZ139" s="200">
        <f t="shared" si="1443"/>
        <v>0</v>
      </c>
      <c r="BA139" s="200">
        <f t="shared" si="1443"/>
        <v>0</v>
      </c>
      <c r="BB139" s="200">
        <f t="shared" si="1443"/>
        <v>0</v>
      </c>
      <c r="BC139" s="200">
        <f t="shared" si="1443"/>
        <v>0</v>
      </c>
      <c r="BD139" s="200">
        <f t="shared" si="1443"/>
        <v>0</v>
      </c>
      <c r="BE139" s="200">
        <f t="shared" si="1443"/>
        <v>0</v>
      </c>
      <c r="BF139" s="200">
        <f t="shared" si="1443"/>
        <v>0</v>
      </c>
      <c r="BG139" s="374">
        <f t="shared" si="1443"/>
        <v>0</v>
      </c>
      <c r="BH139" s="200">
        <f t="shared" si="1443"/>
        <v>0</v>
      </c>
      <c r="BI139" s="200">
        <f t="shared" si="1443"/>
        <v>0</v>
      </c>
      <c r="BJ139" s="200">
        <f t="shared" si="1443"/>
        <v>0</v>
      </c>
      <c r="BK139" s="200">
        <f t="shared" si="1443"/>
        <v>0</v>
      </c>
      <c r="BL139" s="200">
        <f t="shared" si="1443"/>
        <v>0</v>
      </c>
      <c r="BM139" s="200">
        <f t="shared" si="1443"/>
        <v>0</v>
      </c>
      <c r="BN139" s="200">
        <f t="shared" si="1443"/>
        <v>0</v>
      </c>
      <c r="BO139" s="200">
        <f t="shared" si="1443"/>
        <v>0</v>
      </c>
      <c r="BP139" s="200">
        <f t="shared" si="1443"/>
        <v>0</v>
      </c>
      <c r="BQ139" s="200">
        <f t="shared" si="1443"/>
        <v>0</v>
      </c>
      <c r="BR139" s="200">
        <f t="shared" si="1443"/>
        <v>0</v>
      </c>
      <c r="BS139" s="374">
        <f t="shared" si="1443"/>
        <v>0</v>
      </c>
      <c r="BT139" s="200">
        <f t="shared" ref="BT139:DC139" si="1444">++BT131</f>
        <v>0</v>
      </c>
      <c r="BU139" s="200">
        <f t="shared" si="1444"/>
        <v>0</v>
      </c>
      <c r="BV139" s="200">
        <f t="shared" si="1444"/>
        <v>0</v>
      </c>
      <c r="BW139" s="200">
        <f t="shared" si="1444"/>
        <v>0</v>
      </c>
      <c r="BX139" s="200">
        <f t="shared" si="1444"/>
        <v>0</v>
      </c>
      <c r="BY139" s="200">
        <f t="shared" si="1444"/>
        <v>0</v>
      </c>
      <c r="BZ139" s="200">
        <f t="shared" si="1444"/>
        <v>0</v>
      </c>
      <c r="CA139" s="200">
        <f t="shared" si="1444"/>
        <v>0</v>
      </c>
      <c r="CB139" s="200">
        <f t="shared" si="1444"/>
        <v>0</v>
      </c>
      <c r="CC139" s="200">
        <f t="shared" si="1444"/>
        <v>0</v>
      </c>
      <c r="CD139" s="200">
        <f t="shared" si="1444"/>
        <v>0</v>
      </c>
      <c r="CE139" s="374">
        <f t="shared" si="1444"/>
        <v>0</v>
      </c>
      <c r="CF139" s="200">
        <f t="shared" si="1444"/>
        <v>0</v>
      </c>
      <c r="CG139" s="200">
        <f t="shared" si="1444"/>
        <v>0</v>
      </c>
      <c r="CH139" s="200">
        <f t="shared" si="1444"/>
        <v>0</v>
      </c>
      <c r="CI139" s="200">
        <f t="shared" si="1444"/>
        <v>0</v>
      </c>
      <c r="CJ139" s="200">
        <f t="shared" si="1444"/>
        <v>0</v>
      </c>
      <c r="CK139" s="200">
        <f t="shared" si="1444"/>
        <v>0</v>
      </c>
      <c r="CL139" s="200">
        <f t="shared" si="1444"/>
        <v>0</v>
      </c>
      <c r="CM139" s="200">
        <f t="shared" si="1444"/>
        <v>0</v>
      </c>
      <c r="CN139" s="200">
        <f t="shared" si="1444"/>
        <v>0</v>
      </c>
      <c r="CO139" s="200">
        <f t="shared" si="1444"/>
        <v>0</v>
      </c>
      <c r="CP139" s="200">
        <f t="shared" si="1444"/>
        <v>0</v>
      </c>
      <c r="CQ139" s="374">
        <f t="shared" si="1444"/>
        <v>0</v>
      </c>
      <c r="CR139" s="200">
        <f t="shared" si="1444"/>
        <v>0</v>
      </c>
      <c r="CS139" s="200">
        <f t="shared" si="1444"/>
        <v>0</v>
      </c>
      <c r="CT139" s="200">
        <f t="shared" si="1444"/>
        <v>0</v>
      </c>
      <c r="CU139" s="200">
        <f t="shared" si="1444"/>
        <v>0</v>
      </c>
      <c r="CV139" s="200">
        <f t="shared" si="1444"/>
        <v>0</v>
      </c>
      <c r="CW139" s="200">
        <f t="shared" si="1444"/>
        <v>0</v>
      </c>
      <c r="CX139" s="200">
        <f t="shared" si="1444"/>
        <v>0</v>
      </c>
      <c r="CY139" s="200">
        <f t="shared" si="1444"/>
        <v>0</v>
      </c>
      <c r="CZ139" s="200">
        <f t="shared" si="1444"/>
        <v>0</v>
      </c>
      <c r="DA139" s="200">
        <f t="shared" si="1444"/>
        <v>0</v>
      </c>
      <c r="DB139" s="200">
        <f t="shared" si="1444"/>
        <v>0</v>
      </c>
      <c r="DC139" s="374">
        <f t="shared" si="1444"/>
        <v>0</v>
      </c>
    </row>
    <row r="140" spans="3:107" x14ac:dyDescent="0.3">
      <c r="C140" s="101" t="str">
        <f>++C$42</f>
        <v>Depreciation</v>
      </c>
      <c r="G140" s="374">
        <f>++G118</f>
        <v>0</v>
      </c>
      <c r="H140" s="200">
        <f t="shared" ref="H140:BS140" si="1445">++H118</f>
        <v>0</v>
      </c>
      <c r="I140" s="200">
        <f t="shared" si="1445"/>
        <v>0</v>
      </c>
      <c r="J140" s="200">
        <f t="shared" si="1445"/>
        <v>0</v>
      </c>
      <c r="K140" s="374">
        <f t="shared" si="1445"/>
        <v>0</v>
      </c>
      <c r="L140" s="200">
        <f t="shared" si="1445"/>
        <v>0</v>
      </c>
      <c r="M140" s="200">
        <f t="shared" si="1445"/>
        <v>0</v>
      </c>
      <c r="N140" s="200">
        <f t="shared" si="1445"/>
        <v>0</v>
      </c>
      <c r="O140" s="200">
        <f t="shared" si="1445"/>
        <v>0</v>
      </c>
      <c r="P140" s="200">
        <f t="shared" si="1445"/>
        <v>0</v>
      </c>
      <c r="Q140" s="200">
        <f t="shared" si="1445"/>
        <v>0</v>
      </c>
      <c r="R140" s="200">
        <f t="shared" si="1445"/>
        <v>0</v>
      </c>
      <c r="S140" s="200">
        <f t="shared" si="1445"/>
        <v>0</v>
      </c>
      <c r="T140" s="200">
        <f t="shared" si="1445"/>
        <v>0</v>
      </c>
      <c r="U140" s="200">
        <f t="shared" si="1445"/>
        <v>0</v>
      </c>
      <c r="V140" s="200">
        <f t="shared" si="1445"/>
        <v>0</v>
      </c>
      <c r="W140" s="374">
        <f t="shared" si="1445"/>
        <v>0</v>
      </c>
      <c r="X140" s="200">
        <f t="shared" si="1445"/>
        <v>0</v>
      </c>
      <c r="Y140" s="200">
        <f t="shared" si="1445"/>
        <v>0</v>
      </c>
      <c r="Z140" s="200">
        <f t="shared" si="1445"/>
        <v>0</v>
      </c>
      <c r="AA140" s="200">
        <f t="shared" si="1445"/>
        <v>0</v>
      </c>
      <c r="AB140" s="200">
        <f t="shared" si="1445"/>
        <v>0</v>
      </c>
      <c r="AC140" s="200">
        <f t="shared" si="1445"/>
        <v>0</v>
      </c>
      <c r="AD140" s="200">
        <f t="shared" si="1445"/>
        <v>0</v>
      </c>
      <c r="AE140" s="200">
        <f t="shared" si="1445"/>
        <v>0</v>
      </c>
      <c r="AF140" s="200">
        <f t="shared" si="1445"/>
        <v>0</v>
      </c>
      <c r="AG140" s="200">
        <f t="shared" si="1445"/>
        <v>0</v>
      </c>
      <c r="AH140" s="200">
        <f t="shared" si="1445"/>
        <v>0</v>
      </c>
      <c r="AI140" s="374">
        <f t="shared" si="1445"/>
        <v>0</v>
      </c>
      <c r="AJ140" s="200">
        <f t="shared" si="1445"/>
        <v>0</v>
      </c>
      <c r="AK140" s="200">
        <f t="shared" si="1445"/>
        <v>0</v>
      </c>
      <c r="AL140" s="200">
        <f t="shared" si="1445"/>
        <v>0</v>
      </c>
      <c r="AM140" s="200">
        <f t="shared" si="1445"/>
        <v>0</v>
      </c>
      <c r="AN140" s="200">
        <f t="shared" si="1445"/>
        <v>0</v>
      </c>
      <c r="AO140" s="200">
        <f t="shared" si="1445"/>
        <v>0</v>
      </c>
      <c r="AP140" s="200">
        <f t="shared" si="1445"/>
        <v>0</v>
      </c>
      <c r="AQ140" s="200">
        <f t="shared" si="1445"/>
        <v>0</v>
      </c>
      <c r="AR140" s="200">
        <f t="shared" si="1445"/>
        <v>0</v>
      </c>
      <c r="AS140" s="200">
        <f t="shared" si="1445"/>
        <v>0</v>
      </c>
      <c r="AT140" s="200">
        <f t="shared" si="1445"/>
        <v>0</v>
      </c>
      <c r="AU140" s="374">
        <f t="shared" si="1445"/>
        <v>0</v>
      </c>
      <c r="AV140" s="200">
        <f t="shared" si="1445"/>
        <v>0</v>
      </c>
      <c r="AW140" s="200">
        <f t="shared" si="1445"/>
        <v>0</v>
      </c>
      <c r="AX140" s="200">
        <f t="shared" si="1445"/>
        <v>0</v>
      </c>
      <c r="AY140" s="200">
        <f t="shared" si="1445"/>
        <v>0</v>
      </c>
      <c r="AZ140" s="200">
        <f t="shared" si="1445"/>
        <v>0</v>
      </c>
      <c r="BA140" s="200">
        <f t="shared" si="1445"/>
        <v>0</v>
      </c>
      <c r="BB140" s="200">
        <f t="shared" si="1445"/>
        <v>0</v>
      </c>
      <c r="BC140" s="200">
        <f t="shared" si="1445"/>
        <v>0</v>
      </c>
      <c r="BD140" s="200">
        <f t="shared" si="1445"/>
        <v>0</v>
      </c>
      <c r="BE140" s="200">
        <f t="shared" si="1445"/>
        <v>0</v>
      </c>
      <c r="BF140" s="200">
        <f t="shared" si="1445"/>
        <v>0</v>
      </c>
      <c r="BG140" s="374">
        <f t="shared" si="1445"/>
        <v>0</v>
      </c>
      <c r="BH140" s="200">
        <f t="shared" si="1445"/>
        <v>0</v>
      </c>
      <c r="BI140" s="200">
        <f t="shared" si="1445"/>
        <v>0</v>
      </c>
      <c r="BJ140" s="200">
        <f t="shared" si="1445"/>
        <v>0</v>
      </c>
      <c r="BK140" s="200">
        <f t="shared" si="1445"/>
        <v>0</v>
      </c>
      <c r="BL140" s="200">
        <f t="shared" si="1445"/>
        <v>0</v>
      </c>
      <c r="BM140" s="200">
        <f t="shared" si="1445"/>
        <v>0</v>
      </c>
      <c r="BN140" s="200">
        <f t="shared" si="1445"/>
        <v>0</v>
      </c>
      <c r="BO140" s="200">
        <f t="shared" si="1445"/>
        <v>0</v>
      </c>
      <c r="BP140" s="200">
        <f t="shared" si="1445"/>
        <v>0</v>
      </c>
      <c r="BQ140" s="200">
        <f t="shared" si="1445"/>
        <v>0</v>
      </c>
      <c r="BR140" s="200">
        <f t="shared" si="1445"/>
        <v>0</v>
      </c>
      <c r="BS140" s="374">
        <f t="shared" si="1445"/>
        <v>0</v>
      </c>
      <c r="BT140" s="200">
        <f t="shared" ref="BT140:DC140" si="1446">++BT118</f>
        <v>0</v>
      </c>
      <c r="BU140" s="200">
        <f t="shared" si="1446"/>
        <v>0</v>
      </c>
      <c r="BV140" s="200">
        <f t="shared" si="1446"/>
        <v>0</v>
      </c>
      <c r="BW140" s="200">
        <f t="shared" si="1446"/>
        <v>0</v>
      </c>
      <c r="BX140" s="200">
        <f t="shared" si="1446"/>
        <v>0</v>
      </c>
      <c r="BY140" s="200">
        <f t="shared" si="1446"/>
        <v>0</v>
      </c>
      <c r="BZ140" s="200">
        <f t="shared" si="1446"/>
        <v>0</v>
      </c>
      <c r="CA140" s="200">
        <f t="shared" si="1446"/>
        <v>0</v>
      </c>
      <c r="CB140" s="200">
        <f t="shared" si="1446"/>
        <v>0</v>
      </c>
      <c r="CC140" s="200">
        <f t="shared" si="1446"/>
        <v>0</v>
      </c>
      <c r="CD140" s="200">
        <f t="shared" si="1446"/>
        <v>0</v>
      </c>
      <c r="CE140" s="374">
        <f t="shared" si="1446"/>
        <v>0</v>
      </c>
      <c r="CF140" s="200">
        <f t="shared" si="1446"/>
        <v>0</v>
      </c>
      <c r="CG140" s="200">
        <f t="shared" si="1446"/>
        <v>0</v>
      </c>
      <c r="CH140" s="200">
        <f t="shared" si="1446"/>
        <v>0</v>
      </c>
      <c r="CI140" s="200">
        <f t="shared" si="1446"/>
        <v>0</v>
      </c>
      <c r="CJ140" s="200">
        <f t="shared" si="1446"/>
        <v>0</v>
      </c>
      <c r="CK140" s="200">
        <f t="shared" si="1446"/>
        <v>0</v>
      </c>
      <c r="CL140" s="200">
        <f t="shared" si="1446"/>
        <v>0</v>
      </c>
      <c r="CM140" s="200">
        <f t="shared" si="1446"/>
        <v>0</v>
      </c>
      <c r="CN140" s="200">
        <f t="shared" si="1446"/>
        <v>0</v>
      </c>
      <c r="CO140" s="200">
        <f t="shared" si="1446"/>
        <v>0</v>
      </c>
      <c r="CP140" s="200">
        <f t="shared" si="1446"/>
        <v>0</v>
      </c>
      <c r="CQ140" s="374">
        <f t="shared" si="1446"/>
        <v>0</v>
      </c>
      <c r="CR140" s="200">
        <f t="shared" si="1446"/>
        <v>0</v>
      </c>
      <c r="CS140" s="200">
        <f t="shared" si="1446"/>
        <v>0</v>
      </c>
      <c r="CT140" s="200">
        <f t="shared" si="1446"/>
        <v>0</v>
      </c>
      <c r="CU140" s="200">
        <f t="shared" si="1446"/>
        <v>0</v>
      </c>
      <c r="CV140" s="200">
        <f t="shared" si="1446"/>
        <v>0</v>
      </c>
      <c r="CW140" s="200">
        <f t="shared" si="1446"/>
        <v>0</v>
      </c>
      <c r="CX140" s="200">
        <f t="shared" si="1446"/>
        <v>0</v>
      </c>
      <c r="CY140" s="200">
        <f t="shared" si="1446"/>
        <v>0</v>
      </c>
      <c r="CZ140" s="200">
        <f t="shared" si="1446"/>
        <v>0</v>
      </c>
      <c r="DA140" s="200">
        <f t="shared" si="1446"/>
        <v>0</v>
      </c>
      <c r="DB140" s="200">
        <f t="shared" si="1446"/>
        <v>0</v>
      </c>
      <c r="DC140" s="374">
        <f t="shared" si="1446"/>
        <v>0</v>
      </c>
    </row>
    <row r="141" spans="3:107" x14ac:dyDescent="0.3">
      <c r="C141" s="101" t="str">
        <f>++C$43</f>
        <v>Amortization</v>
      </c>
      <c r="G141" s="374">
        <f t="shared" ref="G141:BR141" si="1447">++G119</f>
        <v>0</v>
      </c>
      <c r="H141" s="200">
        <f t="shared" si="1447"/>
        <v>0</v>
      </c>
      <c r="I141" s="200">
        <f t="shared" si="1447"/>
        <v>0</v>
      </c>
      <c r="J141" s="200">
        <f t="shared" si="1447"/>
        <v>0</v>
      </c>
      <c r="K141" s="374">
        <f t="shared" si="1447"/>
        <v>0</v>
      </c>
      <c r="L141" s="200">
        <f t="shared" si="1447"/>
        <v>0</v>
      </c>
      <c r="M141" s="200">
        <f t="shared" si="1447"/>
        <v>0</v>
      </c>
      <c r="N141" s="200">
        <f t="shared" si="1447"/>
        <v>0</v>
      </c>
      <c r="O141" s="200">
        <f t="shared" si="1447"/>
        <v>0</v>
      </c>
      <c r="P141" s="200">
        <f t="shared" si="1447"/>
        <v>0</v>
      </c>
      <c r="Q141" s="200">
        <f t="shared" si="1447"/>
        <v>0</v>
      </c>
      <c r="R141" s="200">
        <f t="shared" si="1447"/>
        <v>0</v>
      </c>
      <c r="S141" s="200">
        <f t="shared" si="1447"/>
        <v>0</v>
      </c>
      <c r="T141" s="200">
        <f t="shared" si="1447"/>
        <v>0</v>
      </c>
      <c r="U141" s="200">
        <f t="shared" si="1447"/>
        <v>0</v>
      </c>
      <c r="V141" s="200">
        <f t="shared" si="1447"/>
        <v>0</v>
      </c>
      <c r="W141" s="374">
        <f t="shared" si="1447"/>
        <v>0</v>
      </c>
      <c r="X141" s="200">
        <f t="shared" si="1447"/>
        <v>0</v>
      </c>
      <c r="Y141" s="200">
        <f t="shared" si="1447"/>
        <v>0</v>
      </c>
      <c r="Z141" s="200">
        <f t="shared" si="1447"/>
        <v>0</v>
      </c>
      <c r="AA141" s="200">
        <f t="shared" si="1447"/>
        <v>0</v>
      </c>
      <c r="AB141" s="200">
        <f t="shared" si="1447"/>
        <v>0</v>
      </c>
      <c r="AC141" s="200">
        <f t="shared" si="1447"/>
        <v>0</v>
      </c>
      <c r="AD141" s="200">
        <f t="shared" si="1447"/>
        <v>0</v>
      </c>
      <c r="AE141" s="200">
        <f t="shared" si="1447"/>
        <v>0</v>
      </c>
      <c r="AF141" s="200">
        <f t="shared" si="1447"/>
        <v>0</v>
      </c>
      <c r="AG141" s="200">
        <f t="shared" si="1447"/>
        <v>0</v>
      </c>
      <c r="AH141" s="200">
        <f t="shared" si="1447"/>
        <v>0</v>
      </c>
      <c r="AI141" s="374">
        <f t="shared" si="1447"/>
        <v>0</v>
      </c>
      <c r="AJ141" s="200">
        <f t="shared" si="1447"/>
        <v>0</v>
      </c>
      <c r="AK141" s="200">
        <f t="shared" si="1447"/>
        <v>0</v>
      </c>
      <c r="AL141" s="200">
        <f t="shared" si="1447"/>
        <v>0</v>
      </c>
      <c r="AM141" s="200">
        <f t="shared" si="1447"/>
        <v>0</v>
      </c>
      <c r="AN141" s="200">
        <f t="shared" si="1447"/>
        <v>0</v>
      </c>
      <c r="AO141" s="200">
        <f t="shared" si="1447"/>
        <v>0</v>
      </c>
      <c r="AP141" s="200">
        <f t="shared" si="1447"/>
        <v>0</v>
      </c>
      <c r="AQ141" s="200">
        <f t="shared" si="1447"/>
        <v>0</v>
      </c>
      <c r="AR141" s="200">
        <f t="shared" si="1447"/>
        <v>0</v>
      </c>
      <c r="AS141" s="200">
        <f t="shared" si="1447"/>
        <v>0</v>
      </c>
      <c r="AT141" s="200">
        <f t="shared" si="1447"/>
        <v>0</v>
      </c>
      <c r="AU141" s="374">
        <f t="shared" si="1447"/>
        <v>0</v>
      </c>
      <c r="AV141" s="200">
        <f t="shared" si="1447"/>
        <v>0</v>
      </c>
      <c r="AW141" s="200">
        <f t="shared" si="1447"/>
        <v>0</v>
      </c>
      <c r="AX141" s="200">
        <f t="shared" si="1447"/>
        <v>0</v>
      </c>
      <c r="AY141" s="200">
        <f t="shared" si="1447"/>
        <v>0</v>
      </c>
      <c r="AZ141" s="200">
        <f t="shared" si="1447"/>
        <v>0</v>
      </c>
      <c r="BA141" s="200">
        <f t="shared" si="1447"/>
        <v>0</v>
      </c>
      <c r="BB141" s="200">
        <f t="shared" si="1447"/>
        <v>0</v>
      </c>
      <c r="BC141" s="200">
        <f t="shared" si="1447"/>
        <v>0</v>
      </c>
      <c r="BD141" s="200">
        <f t="shared" si="1447"/>
        <v>0</v>
      </c>
      <c r="BE141" s="200">
        <f t="shared" si="1447"/>
        <v>0</v>
      </c>
      <c r="BF141" s="200">
        <f t="shared" si="1447"/>
        <v>0</v>
      </c>
      <c r="BG141" s="374">
        <f t="shared" si="1447"/>
        <v>0</v>
      </c>
      <c r="BH141" s="200">
        <f t="shared" si="1447"/>
        <v>0</v>
      </c>
      <c r="BI141" s="200">
        <f t="shared" si="1447"/>
        <v>0</v>
      </c>
      <c r="BJ141" s="200">
        <f t="shared" si="1447"/>
        <v>0</v>
      </c>
      <c r="BK141" s="200">
        <f t="shared" si="1447"/>
        <v>0</v>
      </c>
      <c r="BL141" s="200">
        <f t="shared" si="1447"/>
        <v>0</v>
      </c>
      <c r="BM141" s="200">
        <f t="shared" si="1447"/>
        <v>0</v>
      </c>
      <c r="BN141" s="200">
        <f t="shared" si="1447"/>
        <v>0</v>
      </c>
      <c r="BO141" s="200">
        <f t="shared" si="1447"/>
        <v>0</v>
      </c>
      <c r="BP141" s="200">
        <f t="shared" si="1447"/>
        <v>0</v>
      </c>
      <c r="BQ141" s="200">
        <f t="shared" si="1447"/>
        <v>0</v>
      </c>
      <c r="BR141" s="200">
        <f t="shared" si="1447"/>
        <v>0</v>
      </c>
      <c r="BS141" s="374">
        <f t="shared" ref="BS141:DC141" si="1448">++BS119</f>
        <v>0</v>
      </c>
      <c r="BT141" s="200">
        <f t="shared" si="1448"/>
        <v>0</v>
      </c>
      <c r="BU141" s="200">
        <f t="shared" si="1448"/>
        <v>0</v>
      </c>
      <c r="BV141" s="200">
        <f t="shared" si="1448"/>
        <v>0</v>
      </c>
      <c r="BW141" s="200">
        <f t="shared" si="1448"/>
        <v>0</v>
      </c>
      <c r="BX141" s="200">
        <f t="shared" si="1448"/>
        <v>0</v>
      </c>
      <c r="BY141" s="200">
        <f t="shared" si="1448"/>
        <v>0</v>
      </c>
      <c r="BZ141" s="200">
        <f t="shared" si="1448"/>
        <v>0</v>
      </c>
      <c r="CA141" s="200">
        <f t="shared" si="1448"/>
        <v>0</v>
      </c>
      <c r="CB141" s="200">
        <f t="shared" si="1448"/>
        <v>0</v>
      </c>
      <c r="CC141" s="200">
        <f t="shared" si="1448"/>
        <v>0</v>
      </c>
      <c r="CD141" s="200">
        <f t="shared" si="1448"/>
        <v>0</v>
      </c>
      <c r="CE141" s="374">
        <f t="shared" si="1448"/>
        <v>0</v>
      </c>
      <c r="CF141" s="200">
        <f t="shared" si="1448"/>
        <v>0</v>
      </c>
      <c r="CG141" s="200">
        <f t="shared" si="1448"/>
        <v>0</v>
      </c>
      <c r="CH141" s="200">
        <f t="shared" si="1448"/>
        <v>0</v>
      </c>
      <c r="CI141" s="200">
        <f t="shared" si="1448"/>
        <v>0</v>
      </c>
      <c r="CJ141" s="200">
        <f t="shared" si="1448"/>
        <v>0</v>
      </c>
      <c r="CK141" s="200">
        <f t="shared" si="1448"/>
        <v>0</v>
      </c>
      <c r="CL141" s="200">
        <f t="shared" si="1448"/>
        <v>0</v>
      </c>
      <c r="CM141" s="200">
        <f t="shared" si="1448"/>
        <v>0</v>
      </c>
      <c r="CN141" s="200">
        <f t="shared" si="1448"/>
        <v>0</v>
      </c>
      <c r="CO141" s="200">
        <f t="shared" si="1448"/>
        <v>0</v>
      </c>
      <c r="CP141" s="200">
        <f t="shared" si="1448"/>
        <v>0</v>
      </c>
      <c r="CQ141" s="374">
        <f t="shared" si="1448"/>
        <v>0</v>
      </c>
      <c r="CR141" s="200">
        <f t="shared" si="1448"/>
        <v>0</v>
      </c>
      <c r="CS141" s="200">
        <f t="shared" si="1448"/>
        <v>0</v>
      </c>
      <c r="CT141" s="200">
        <f t="shared" si="1448"/>
        <v>0</v>
      </c>
      <c r="CU141" s="200">
        <f t="shared" si="1448"/>
        <v>0</v>
      </c>
      <c r="CV141" s="200">
        <f t="shared" si="1448"/>
        <v>0</v>
      </c>
      <c r="CW141" s="200">
        <f t="shared" si="1448"/>
        <v>0</v>
      </c>
      <c r="CX141" s="200">
        <f t="shared" si="1448"/>
        <v>0</v>
      </c>
      <c r="CY141" s="200">
        <f t="shared" si="1448"/>
        <v>0</v>
      </c>
      <c r="CZ141" s="200">
        <f t="shared" si="1448"/>
        <v>0</v>
      </c>
      <c r="DA141" s="200">
        <f t="shared" si="1448"/>
        <v>0</v>
      </c>
      <c r="DB141" s="200">
        <f t="shared" si="1448"/>
        <v>0</v>
      </c>
      <c r="DC141" s="374">
        <f t="shared" si="1448"/>
        <v>0</v>
      </c>
    </row>
    <row r="142" spans="3:107" x14ac:dyDescent="0.3">
      <c r="C142" s="231" t="str">
        <f>++C$44</f>
        <v>Reported EBITDA</v>
      </c>
      <c r="D142" s="191"/>
      <c r="E142" s="191"/>
      <c r="G142" s="239">
        <f>++SUM(G138:G141)</f>
        <v>0</v>
      </c>
      <c r="H142" s="232">
        <f t="shared" ref="H142:BS142" si="1449">++SUM(H138:H141)</f>
        <v>0</v>
      </c>
      <c r="I142" s="232">
        <f t="shared" si="1449"/>
        <v>0</v>
      </c>
      <c r="J142" s="232">
        <f t="shared" si="1449"/>
        <v>0</v>
      </c>
      <c r="K142" s="239">
        <f t="shared" si="1449"/>
        <v>0</v>
      </c>
      <c r="L142" s="232">
        <f t="shared" si="1449"/>
        <v>0</v>
      </c>
      <c r="M142" s="232">
        <f t="shared" si="1449"/>
        <v>0</v>
      </c>
      <c r="N142" s="232">
        <f t="shared" si="1449"/>
        <v>0</v>
      </c>
      <c r="O142" s="232">
        <f t="shared" si="1449"/>
        <v>0</v>
      </c>
      <c r="P142" s="232">
        <f t="shared" si="1449"/>
        <v>0</v>
      </c>
      <c r="Q142" s="232">
        <f t="shared" si="1449"/>
        <v>0</v>
      </c>
      <c r="R142" s="232">
        <f t="shared" si="1449"/>
        <v>0</v>
      </c>
      <c r="S142" s="232">
        <f t="shared" si="1449"/>
        <v>0</v>
      </c>
      <c r="T142" s="232">
        <f t="shared" si="1449"/>
        <v>0</v>
      </c>
      <c r="U142" s="232">
        <f t="shared" si="1449"/>
        <v>0</v>
      </c>
      <c r="V142" s="232">
        <f t="shared" si="1449"/>
        <v>0</v>
      </c>
      <c r="W142" s="239">
        <f t="shared" si="1449"/>
        <v>0</v>
      </c>
      <c r="X142" s="232">
        <f t="shared" si="1449"/>
        <v>0</v>
      </c>
      <c r="Y142" s="232">
        <f t="shared" si="1449"/>
        <v>0</v>
      </c>
      <c r="Z142" s="232">
        <f t="shared" si="1449"/>
        <v>0</v>
      </c>
      <c r="AA142" s="232">
        <f t="shared" si="1449"/>
        <v>0</v>
      </c>
      <c r="AB142" s="232">
        <f t="shared" si="1449"/>
        <v>0</v>
      </c>
      <c r="AC142" s="232">
        <f t="shared" si="1449"/>
        <v>0</v>
      </c>
      <c r="AD142" s="232">
        <f t="shared" si="1449"/>
        <v>0</v>
      </c>
      <c r="AE142" s="232">
        <f t="shared" si="1449"/>
        <v>0</v>
      </c>
      <c r="AF142" s="232">
        <f t="shared" si="1449"/>
        <v>0</v>
      </c>
      <c r="AG142" s="232">
        <f t="shared" si="1449"/>
        <v>0</v>
      </c>
      <c r="AH142" s="232">
        <f t="shared" si="1449"/>
        <v>0</v>
      </c>
      <c r="AI142" s="239">
        <f t="shared" si="1449"/>
        <v>0</v>
      </c>
      <c r="AJ142" s="232">
        <f t="shared" si="1449"/>
        <v>0</v>
      </c>
      <c r="AK142" s="232">
        <f t="shared" si="1449"/>
        <v>0</v>
      </c>
      <c r="AL142" s="232">
        <f t="shared" si="1449"/>
        <v>0</v>
      </c>
      <c r="AM142" s="232">
        <f t="shared" si="1449"/>
        <v>0</v>
      </c>
      <c r="AN142" s="232">
        <f t="shared" si="1449"/>
        <v>0</v>
      </c>
      <c r="AO142" s="232">
        <f t="shared" si="1449"/>
        <v>0</v>
      </c>
      <c r="AP142" s="232">
        <f t="shared" si="1449"/>
        <v>0</v>
      </c>
      <c r="AQ142" s="232">
        <f t="shared" si="1449"/>
        <v>0</v>
      </c>
      <c r="AR142" s="232">
        <f t="shared" si="1449"/>
        <v>0</v>
      </c>
      <c r="AS142" s="232">
        <f t="shared" si="1449"/>
        <v>0</v>
      </c>
      <c r="AT142" s="232">
        <f t="shared" si="1449"/>
        <v>0</v>
      </c>
      <c r="AU142" s="239">
        <f t="shared" si="1449"/>
        <v>0</v>
      </c>
      <c r="AV142" s="232">
        <f t="shared" si="1449"/>
        <v>0</v>
      </c>
      <c r="AW142" s="232">
        <f t="shared" si="1449"/>
        <v>0</v>
      </c>
      <c r="AX142" s="232">
        <f t="shared" si="1449"/>
        <v>0</v>
      </c>
      <c r="AY142" s="232">
        <f t="shared" si="1449"/>
        <v>0</v>
      </c>
      <c r="AZ142" s="232">
        <f t="shared" si="1449"/>
        <v>0</v>
      </c>
      <c r="BA142" s="232">
        <f t="shared" si="1449"/>
        <v>0</v>
      </c>
      <c r="BB142" s="232">
        <f t="shared" si="1449"/>
        <v>0</v>
      </c>
      <c r="BC142" s="232">
        <f t="shared" si="1449"/>
        <v>0</v>
      </c>
      <c r="BD142" s="232">
        <f t="shared" si="1449"/>
        <v>0</v>
      </c>
      <c r="BE142" s="232">
        <f t="shared" si="1449"/>
        <v>0</v>
      </c>
      <c r="BF142" s="232">
        <f t="shared" si="1449"/>
        <v>0</v>
      </c>
      <c r="BG142" s="239">
        <f t="shared" si="1449"/>
        <v>0</v>
      </c>
      <c r="BH142" s="232">
        <f t="shared" si="1449"/>
        <v>0</v>
      </c>
      <c r="BI142" s="232">
        <f t="shared" si="1449"/>
        <v>0</v>
      </c>
      <c r="BJ142" s="232">
        <f t="shared" si="1449"/>
        <v>0</v>
      </c>
      <c r="BK142" s="232">
        <f t="shared" si="1449"/>
        <v>0</v>
      </c>
      <c r="BL142" s="232">
        <f t="shared" si="1449"/>
        <v>0</v>
      </c>
      <c r="BM142" s="232">
        <f t="shared" si="1449"/>
        <v>0</v>
      </c>
      <c r="BN142" s="232">
        <f t="shared" si="1449"/>
        <v>0</v>
      </c>
      <c r="BO142" s="232">
        <f t="shared" si="1449"/>
        <v>0</v>
      </c>
      <c r="BP142" s="232">
        <f t="shared" si="1449"/>
        <v>0</v>
      </c>
      <c r="BQ142" s="232">
        <f t="shared" si="1449"/>
        <v>0</v>
      </c>
      <c r="BR142" s="232">
        <f t="shared" si="1449"/>
        <v>0</v>
      </c>
      <c r="BS142" s="239">
        <f t="shared" si="1449"/>
        <v>0</v>
      </c>
      <c r="BT142" s="232">
        <f t="shared" ref="BT142:DC142" si="1450">++SUM(BT138:BT141)</f>
        <v>0</v>
      </c>
      <c r="BU142" s="232">
        <f t="shared" si="1450"/>
        <v>0</v>
      </c>
      <c r="BV142" s="232">
        <f t="shared" si="1450"/>
        <v>0</v>
      </c>
      <c r="BW142" s="232">
        <f t="shared" si="1450"/>
        <v>0</v>
      </c>
      <c r="BX142" s="232">
        <f t="shared" si="1450"/>
        <v>0</v>
      </c>
      <c r="BY142" s="232">
        <f t="shared" si="1450"/>
        <v>0</v>
      </c>
      <c r="BZ142" s="232">
        <f t="shared" si="1450"/>
        <v>0</v>
      </c>
      <c r="CA142" s="232">
        <f t="shared" si="1450"/>
        <v>0</v>
      </c>
      <c r="CB142" s="232">
        <f t="shared" si="1450"/>
        <v>0</v>
      </c>
      <c r="CC142" s="232">
        <f t="shared" si="1450"/>
        <v>0</v>
      </c>
      <c r="CD142" s="232">
        <f t="shared" si="1450"/>
        <v>0</v>
      </c>
      <c r="CE142" s="239">
        <f t="shared" si="1450"/>
        <v>0</v>
      </c>
      <c r="CF142" s="232">
        <f t="shared" si="1450"/>
        <v>0</v>
      </c>
      <c r="CG142" s="232">
        <f t="shared" si="1450"/>
        <v>0</v>
      </c>
      <c r="CH142" s="232">
        <f t="shared" si="1450"/>
        <v>0</v>
      </c>
      <c r="CI142" s="232">
        <f t="shared" si="1450"/>
        <v>0</v>
      </c>
      <c r="CJ142" s="232">
        <f t="shared" si="1450"/>
        <v>0</v>
      </c>
      <c r="CK142" s="232">
        <f t="shared" si="1450"/>
        <v>0</v>
      </c>
      <c r="CL142" s="232">
        <f t="shared" si="1450"/>
        <v>0</v>
      </c>
      <c r="CM142" s="232">
        <f t="shared" si="1450"/>
        <v>0</v>
      </c>
      <c r="CN142" s="232">
        <f t="shared" si="1450"/>
        <v>0</v>
      </c>
      <c r="CO142" s="232">
        <f t="shared" si="1450"/>
        <v>0</v>
      </c>
      <c r="CP142" s="232">
        <f t="shared" si="1450"/>
        <v>0</v>
      </c>
      <c r="CQ142" s="239">
        <f t="shared" si="1450"/>
        <v>0</v>
      </c>
      <c r="CR142" s="232">
        <f t="shared" si="1450"/>
        <v>0</v>
      </c>
      <c r="CS142" s="232">
        <f t="shared" si="1450"/>
        <v>0</v>
      </c>
      <c r="CT142" s="232">
        <f t="shared" si="1450"/>
        <v>0</v>
      </c>
      <c r="CU142" s="232">
        <f t="shared" si="1450"/>
        <v>0</v>
      </c>
      <c r="CV142" s="232">
        <f t="shared" si="1450"/>
        <v>0</v>
      </c>
      <c r="CW142" s="232">
        <f t="shared" si="1450"/>
        <v>0</v>
      </c>
      <c r="CX142" s="232">
        <f t="shared" si="1450"/>
        <v>0</v>
      </c>
      <c r="CY142" s="232">
        <f t="shared" si="1450"/>
        <v>0</v>
      </c>
      <c r="CZ142" s="232">
        <f t="shared" si="1450"/>
        <v>0</v>
      </c>
      <c r="DA142" s="232">
        <f t="shared" si="1450"/>
        <v>0</v>
      </c>
      <c r="DB142" s="232">
        <f t="shared" si="1450"/>
        <v>0</v>
      </c>
      <c r="DC142" s="239">
        <f t="shared" si="1450"/>
        <v>0</v>
      </c>
    </row>
    <row r="143" spans="3:107" x14ac:dyDescent="0.3">
      <c r="C143" s="321" t="str">
        <f>++C$45</f>
        <v>% margin</v>
      </c>
      <c r="G143" s="214" t="str">
        <f>++IFERROR(G142/G108,"n/a")</f>
        <v>n/a</v>
      </c>
      <c r="H143" s="225" t="str">
        <f t="shared" ref="H143" si="1451">++IFERROR(H142/H108,"n/a")</f>
        <v>n/a</v>
      </c>
      <c r="I143" s="225" t="str">
        <f t="shared" ref="I143" si="1452">++IFERROR(I142/I108,"n/a")</f>
        <v>n/a</v>
      </c>
      <c r="J143" s="225" t="str">
        <f t="shared" ref="J143" si="1453">++IFERROR(J142/J108,"n/a")</f>
        <v>n/a</v>
      </c>
      <c r="K143" s="214" t="str">
        <f t="shared" ref="K143" si="1454">++IFERROR(K142/K108,"n/a")</f>
        <v>n/a</v>
      </c>
      <c r="L143" s="225" t="str">
        <f t="shared" ref="L143" si="1455">++IFERROR(L142/L108,"n/a")</f>
        <v>n/a</v>
      </c>
      <c r="M143" s="225" t="str">
        <f t="shared" ref="M143" si="1456">++IFERROR(M142/M108,"n/a")</f>
        <v>n/a</v>
      </c>
      <c r="N143" s="225" t="str">
        <f t="shared" ref="N143" si="1457">++IFERROR(N142/N108,"n/a")</f>
        <v>n/a</v>
      </c>
      <c r="O143" s="225" t="str">
        <f t="shared" ref="O143" si="1458">++IFERROR(O142/O108,"n/a")</f>
        <v>n/a</v>
      </c>
      <c r="P143" s="225" t="str">
        <f t="shared" ref="P143" si="1459">++IFERROR(P142/P108,"n/a")</f>
        <v>n/a</v>
      </c>
      <c r="Q143" s="225" t="str">
        <f t="shared" ref="Q143" si="1460">++IFERROR(Q142/Q108,"n/a")</f>
        <v>n/a</v>
      </c>
      <c r="R143" s="225" t="str">
        <f t="shared" ref="R143" si="1461">++IFERROR(R142/R108,"n/a")</f>
        <v>n/a</v>
      </c>
      <c r="S143" s="225" t="str">
        <f t="shared" ref="S143" si="1462">++IFERROR(S142/S108,"n/a")</f>
        <v>n/a</v>
      </c>
      <c r="T143" s="225" t="str">
        <f t="shared" ref="T143" si="1463">++IFERROR(T142/T108,"n/a")</f>
        <v>n/a</v>
      </c>
      <c r="U143" s="225" t="str">
        <f t="shared" ref="U143" si="1464">++IFERROR(U142/U108,"n/a")</f>
        <v>n/a</v>
      </c>
      <c r="V143" s="225" t="str">
        <f t="shared" ref="V143" si="1465">++IFERROR(V142/V108,"n/a")</f>
        <v>n/a</v>
      </c>
      <c r="W143" s="214" t="str">
        <f t="shared" ref="W143" si="1466">++IFERROR(W142/W108,"n/a")</f>
        <v>n/a</v>
      </c>
      <c r="X143" s="225" t="str">
        <f t="shared" ref="X143" si="1467">++IFERROR(X142/X108,"n/a")</f>
        <v>n/a</v>
      </c>
      <c r="Y143" s="225" t="str">
        <f t="shared" ref="Y143" si="1468">++IFERROR(Y142/Y108,"n/a")</f>
        <v>n/a</v>
      </c>
      <c r="Z143" s="225" t="str">
        <f t="shared" ref="Z143" si="1469">++IFERROR(Z142/Z108,"n/a")</f>
        <v>n/a</v>
      </c>
      <c r="AA143" s="225" t="str">
        <f t="shared" ref="AA143" si="1470">++IFERROR(AA142/AA108,"n/a")</f>
        <v>n/a</v>
      </c>
      <c r="AB143" s="225" t="str">
        <f t="shared" ref="AB143" si="1471">++IFERROR(AB142/AB108,"n/a")</f>
        <v>n/a</v>
      </c>
      <c r="AC143" s="225" t="str">
        <f t="shared" ref="AC143" si="1472">++IFERROR(AC142/AC108,"n/a")</f>
        <v>n/a</v>
      </c>
      <c r="AD143" s="225" t="str">
        <f t="shared" ref="AD143" si="1473">++IFERROR(AD142/AD108,"n/a")</f>
        <v>n/a</v>
      </c>
      <c r="AE143" s="225" t="str">
        <f t="shared" ref="AE143" si="1474">++IFERROR(AE142/AE108,"n/a")</f>
        <v>n/a</v>
      </c>
      <c r="AF143" s="225" t="str">
        <f t="shared" ref="AF143" si="1475">++IFERROR(AF142/AF108,"n/a")</f>
        <v>n/a</v>
      </c>
      <c r="AG143" s="225" t="str">
        <f t="shared" ref="AG143" si="1476">++IFERROR(AG142/AG108,"n/a")</f>
        <v>n/a</v>
      </c>
      <c r="AH143" s="225" t="str">
        <f t="shared" ref="AH143" si="1477">++IFERROR(AH142/AH108,"n/a")</f>
        <v>n/a</v>
      </c>
      <c r="AI143" s="214" t="str">
        <f t="shared" ref="AI143" si="1478">++IFERROR(AI142/AI108,"n/a")</f>
        <v>n/a</v>
      </c>
      <c r="AJ143" s="225" t="str">
        <f t="shared" ref="AJ143" si="1479">++IFERROR(AJ142/AJ108,"n/a")</f>
        <v>n/a</v>
      </c>
      <c r="AK143" s="225" t="str">
        <f t="shared" ref="AK143" si="1480">++IFERROR(AK142/AK108,"n/a")</f>
        <v>n/a</v>
      </c>
      <c r="AL143" s="225" t="str">
        <f t="shared" ref="AL143" si="1481">++IFERROR(AL142/AL108,"n/a")</f>
        <v>n/a</v>
      </c>
      <c r="AM143" s="225" t="str">
        <f t="shared" ref="AM143" si="1482">++IFERROR(AM142/AM108,"n/a")</f>
        <v>n/a</v>
      </c>
      <c r="AN143" s="225" t="str">
        <f t="shared" ref="AN143" si="1483">++IFERROR(AN142/AN108,"n/a")</f>
        <v>n/a</v>
      </c>
      <c r="AO143" s="225" t="str">
        <f t="shared" ref="AO143" si="1484">++IFERROR(AO142/AO108,"n/a")</f>
        <v>n/a</v>
      </c>
      <c r="AP143" s="225" t="str">
        <f t="shared" ref="AP143" si="1485">++IFERROR(AP142/AP108,"n/a")</f>
        <v>n/a</v>
      </c>
      <c r="AQ143" s="225" t="str">
        <f t="shared" ref="AQ143" si="1486">++IFERROR(AQ142/AQ108,"n/a")</f>
        <v>n/a</v>
      </c>
      <c r="AR143" s="225" t="str">
        <f t="shared" ref="AR143" si="1487">++IFERROR(AR142/AR108,"n/a")</f>
        <v>n/a</v>
      </c>
      <c r="AS143" s="225" t="str">
        <f t="shared" ref="AS143" si="1488">++IFERROR(AS142/AS108,"n/a")</f>
        <v>n/a</v>
      </c>
      <c r="AT143" s="225" t="str">
        <f t="shared" ref="AT143" si="1489">++IFERROR(AT142/AT108,"n/a")</f>
        <v>n/a</v>
      </c>
      <c r="AU143" s="214" t="str">
        <f t="shared" ref="AU143" si="1490">++IFERROR(AU142/AU108,"n/a")</f>
        <v>n/a</v>
      </c>
      <c r="AV143" s="225" t="str">
        <f t="shared" ref="AV143" si="1491">++IFERROR(AV142/AV108,"n/a")</f>
        <v>n/a</v>
      </c>
      <c r="AW143" s="225" t="str">
        <f t="shared" ref="AW143" si="1492">++IFERROR(AW142/AW108,"n/a")</f>
        <v>n/a</v>
      </c>
      <c r="AX143" s="225" t="str">
        <f t="shared" ref="AX143" si="1493">++IFERROR(AX142/AX108,"n/a")</f>
        <v>n/a</v>
      </c>
      <c r="AY143" s="225" t="str">
        <f t="shared" ref="AY143" si="1494">++IFERROR(AY142/AY108,"n/a")</f>
        <v>n/a</v>
      </c>
      <c r="AZ143" s="225" t="str">
        <f t="shared" ref="AZ143" si="1495">++IFERROR(AZ142/AZ108,"n/a")</f>
        <v>n/a</v>
      </c>
      <c r="BA143" s="225" t="str">
        <f t="shared" ref="BA143" si="1496">++IFERROR(BA142/BA108,"n/a")</f>
        <v>n/a</v>
      </c>
      <c r="BB143" s="225" t="str">
        <f t="shared" ref="BB143" si="1497">++IFERROR(BB142/BB108,"n/a")</f>
        <v>n/a</v>
      </c>
      <c r="BC143" s="225" t="str">
        <f t="shared" ref="BC143" si="1498">++IFERROR(BC142/BC108,"n/a")</f>
        <v>n/a</v>
      </c>
      <c r="BD143" s="225" t="str">
        <f t="shared" ref="BD143" si="1499">++IFERROR(BD142/BD108,"n/a")</f>
        <v>n/a</v>
      </c>
      <c r="BE143" s="225" t="str">
        <f t="shared" ref="BE143" si="1500">++IFERROR(BE142/BE108,"n/a")</f>
        <v>n/a</v>
      </c>
      <c r="BF143" s="225" t="str">
        <f t="shared" ref="BF143" si="1501">++IFERROR(BF142/BF108,"n/a")</f>
        <v>n/a</v>
      </c>
      <c r="BG143" s="214" t="str">
        <f t="shared" ref="BG143" si="1502">++IFERROR(BG142/BG108,"n/a")</f>
        <v>n/a</v>
      </c>
      <c r="BH143" s="225" t="str">
        <f t="shared" ref="BH143" si="1503">++IFERROR(BH142/BH108,"n/a")</f>
        <v>n/a</v>
      </c>
      <c r="BI143" s="225" t="str">
        <f t="shared" ref="BI143" si="1504">++IFERROR(BI142/BI108,"n/a")</f>
        <v>n/a</v>
      </c>
      <c r="BJ143" s="225" t="str">
        <f t="shared" ref="BJ143" si="1505">++IFERROR(BJ142/BJ108,"n/a")</f>
        <v>n/a</v>
      </c>
      <c r="BK143" s="225" t="str">
        <f t="shared" ref="BK143" si="1506">++IFERROR(BK142/BK108,"n/a")</f>
        <v>n/a</v>
      </c>
      <c r="BL143" s="225" t="str">
        <f t="shared" ref="BL143" si="1507">++IFERROR(BL142/BL108,"n/a")</f>
        <v>n/a</v>
      </c>
      <c r="BM143" s="225" t="str">
        <f t="shared" ref="BM143" si="1508">++IFERROR(BM142/BM108,"n/a")</f>
        <v>n/a</v>
      </c>
      <c r="BN143" s="225" t="str">
        <f t="shared" ref="BN143" si="1509">++IFERROR(BN142/BN108,"n/a")</f>
        <v>n/a</v>
      </c>
      <c r="BO143" s="225" t="str">
        <f t="shared" ref="BO143" si="1510">++IFERROR(BO142/BO108,"n/a")</f>
        <v>n/a</v>
      </c>
      <c r="BP143" s="225" t="str">
        <f t="shared" ref="BP143" si="1511">++IFERROR(BP142/BP108,"n/a")</f>
        <v>n/a</v>
      </c>
      <c r="BQ143" s="225" t="str">
        <f t="shared" ref="BQ143" si="1512">++IFERROR(BQ142/BQ108,"n/a")</f>
        <v>n/a</v>
      </c>
      <c r="BR143" s="225" t="str">
        <f t="shared" ref="BR143" si="1513">++IFERROR(BR142/BR108,"n/a")</f>
        <v>n/a</v>
      </c>
      <c r="BS143" s="214" t="str">
        <f t="shared" ref="BS143" si="1514">++IFERROR(BS142/BS108,"n/a")</f>
        <v>n/a</v>
      </c>
      <c r="BT143" s="225" t="str">
        <f t="shared" ref="BT143" si="1515">++IFERROR(BT142/BT108,"n/a")</f>
        <v>n/a</v>
      </c>
      <c r="BU143" s="225" t="str">
        <f t="shared" ref="BU143" si="1516">++IFERROR(BU142/BU108,"n/a")</f>
        <v>n/a</v>
      </c>
      <c r="BV143" s="225" t="str">
        <f t="shared" ref="BV143" si="1517">++IFERROR(BV142/BV108,"n/a")</f>
        <v>n/a</v>
      </c>
      <c r="BW143" s="225" t="str">
        <f t="shared" ref="BW143" si="1518">++IFERROR(BW142/BW108,"n/a")</f>
        <v>n/a</v>
      </c>
      <c r="BX143" s="225" t="str">
        <f t="shared" ref="BX143" si="1519">++IFERROR(BX142/BX108,"n/a")</f>
        <v>n/a</v>
      </c>
      <c r="BY143" s="225" t="str">
        <f t="shared" ref="BY143" si="1520">++IFERROR(BY142/BY108,"n/a")</f>
        <v>n/a</v>
      </c>
      <c r="BZ143" s="225" t="str">
        <f t="shared" ref="BZ143" si="1521">++IFERROR(BZ142/BZ108,"n/a")</f>
        <v>n/a</v>
      </c>
      <c r="CA143" s="225" t="str">
        <f t="shared" ref="CA143" si="1522">++IFERROR(CA142/CA108,"n/a")</f>
        <v>n/a</v>
      </c>
      <c r="CB143" s="225" t="str">
        <f t="shared" ref="CB143" si="1523">++IFERROR(CB142/CB108,"n/a")</f>
        <v>n/a</v>
      </c>
      <c r="CC143" s="225" t="str">
        <f t="shared" ref="CC143" si="1524">++IFERROR(CC142/CC108,"n/a")</f>
        <v>n/a</v>
      </c>
      <c r="CD143" s="225" t="str">
        <f t="shared" ref="CD143" si="1525">++IFERROR(CD142/CD108,"n/a")</f>
        <v>n/a</v>
      </c>
      <c r="CE143" s="214" t="str">
        <f t="shared" ref="CE143" si="1526">++IFERROR(CE142/CE108,"n/a")</f>
        <v>n/a</v>
      </c>
      <c r="CF143" s="225" t="str">
        <f t="shared" ref="CF143" si="1527">++IFERROR(CF142/CF108,"n/a")</f>
        <v>n/a</v>
      </c>
      <c r="CG143" s="225" t="str">
        <f t="shared" ref="CG143" si="1528">++IFERROR(CG142/CG108,"n/a")</f>
        <v>n/a</v>
      </c>
      <c r="CH143" s="225" t="str">
        <f t="shared" ref="CH143" si="1529">++IFERROR(CH142/CH108,"n/a")</f>
        <v>n/a</v>
      </c>
      <c r="CI143" s="225" t="str">
        <f t="shared" ref="CI143" si="1530">++IFERROR(CI142/CI108,"n/a")</f>
        <v>n/a</v>
      </c>
      <c r="CJ143" s="225" t="str">
        <f t="shared" ref="CJ143" si="1531">++IFERROR(CJ142/CJ108,"n/a")</f>
        <v>n/a</v>
      </c>
      <c r="CK143" s="225" t="str">
        <f t="shared" ref="CK143" si="1532">++IFERROR(CK142/CK108,"n/a")</f>
        <v>n/a</v>
      </c>
      <c r="CL143" s="225" t="str">
        <f t="shared" ref="CL143" si="1533">++IFERROR(CL142/CL108,"n/a")</f>
        <v>n/a</v>
      </c>
      <c r="CM143" s="225" t="str">
        <f t="shared" ref="CM143" si="1534">++IFERROR(CM142/CM108,"n/a")</f>
        <v>n/a</v>
      </c>
      <c r="CN143" s="225" t="str">
        <f t="shared" ref="CN143" si="1535">++IFERROR(CN142/CN108,"n/a")</f>
        <v>n/a</v>
      </c>
      <c r="CO143" s="225" t="str">
        <f t="shared" ref="CO143" si="1536">++IFERROR(CO142/CO108,"n/a")</f>
        <v>n/a</v>
      </c>
      <c r="CP143" s="225" t="str">
        <f t="shared" ref="CP143" si="1537">++IFERROR(CP142/CP108,"n/a")</f>
        <v>n/a</v>
      </c>
      <c r="CQ143" s="214" t="str">
        <f t="shared" ref="CQ143" si="1538">++IFERROR(CQ142/CQ108,"n/a")</f>
        <v>n/a</v>
      </c>
      <c r="CR143" s="225" t="str">
        <f t="shared" ref="CR143" si="1539">++IFERROR(CR142/CR108,"n/a")</f>
        <v>n/a</v>
      </c>
      <c r="CS143" s="225" t="str">
        <f t="shared" ref="CS143" si="1540">++IFERROR(CS142/CS108,"n/a")</f>
        <v>n/a</v>
      </c>
      <c r="CT143" s="225" t="str">
        <f t="shared" ref="CT143" si="1541">++IFERROR(CT142/CT108,"n/a")</f>
        <v>n/a</v>
      </c>
      <c r="CU143" s="225" t="str">
        <f t="shared" ref="CU143" si="1542">++IFERROR(CU142/CU108,"n/a")</f>
        <v>n/a</v>
      </c>
      <c r="CV143" s="225" t="str">
        <f t="shared" ref="CV143" si="1543">++IFERROR(CV142/CV108,"n/a")</f>
        <v>n/a</v>
      </c>
      <c r="CW143" s="225" t="str">
        <f t="shared" ref="CW143" si="1544">++IFERROR(CW142/CW108,"n/a")</f>
        <v>n/a</v>
      </c>
      <c r="CX143" s="225" t="str">
        <f t="shared" ref="CX143" si="1545">++IFERROR(CX142/CX108,"n/a")</f>
        <v>n/a</v>
      </c>
      <c r="CY143" s="225" t="str">
        <f t="shared" ref="CY143" si="1546">++IFERROR(CY142/CY108,"n/a")</f>
        <v>n/a</v>
      </c>
      <c r="CZ143" s="225" t="str">
        <f t="shared" ref="CZ143" si="1547">++IFERROR(CZ142/CZ108,"n/a")</f>
        <v>n/a</v>
      </c>
      <c r="DA143" s="225" t="str">
        <f t="shared" ref="DA143" si="1548">++IFERROR(DA142/DA108,"n/a")</f>
        <v>n/a</v>
      </c>
      <c r="DB143" s="225" t="str">
        <f t="shared" ref="DB143" si="1549">++IFERROR(DB142/DB108,"n/a")</f>
        <v>n/a</v>
      </c>
      <c r="DC143" s="214" t="str">
        <f t="shared" ref="DC143" si="1550">++IFERROR(DC142/DC108,"n/a")</f>
        <v>n/a</v>
      </c>
    </row>
    <row r="144" spans="3:107" x14ac:dyDescent="0.3">
      <c r="C144" s="321" t="str">
        <f>++C$46</f>
        <v>% y/y</v>
      </c>
      <c r="G144" s="122" t="s">
        <v>47</v>
      </c>
      <c r="H144" s="122" t="s">
        <v>47</v>
      </c>
      <c r="I144" s="122" t="s">
        <v>47</v>
      </c>
      <c r="J144" s="122" t="s">
        <v>47</v>
      </c>
      <c r="K144" s="214" t="str">
        <f>++IFERROR(K142/G142-1,"n/a")</f>
        <v>n/a</v>
      </c>
      <c r="L144" s="122" t="s">
        <v>47</v>
      </c>
      <c r="M144" s="122" t="s">
        <v>47</v>
      </c>
      <c r="N144" s="225" t="str">
        <f>++IFERROR(N142/H142-1,"n/a")</f>
        <v>n/a</v>
      </c>
      <c r="O144" s="122" t="s">
        <v>47</v>
      </c>
      <c r="P144" s="122" t="s">
        <v>47</v>
      </c>
      <c r="Q144" s="225" t="str">
        <f>++IFERROR(Q142/I142-1,"n/a")</f>
        <v>n/a</v>
      </c>
      <c r="R144" s="122" t="s">
        <v>47</v>
      </c>
      <c r="S144" s="122" t="s">
        <v>47</v>
      </c>
      <c r="T144" s="225" t="str">
        <f>++IFERROR(T142/J142-1,"n/a")</f>
        <v>n/a</v>
      </c>
      <c r="U144" s="122" t="s">
        <v>47</v>
      </c>
      <c r="V144" s="122" t="s">
        <v>47</v>
      </c>
      <c r="W144" s="214" t="str">
        <f t="shared" ref="W144:BB144" si="1551">++IFERROR(W142/K142-1,"n/a")</f>
        <v>n/a</v>
      </c>
      <c r="X144" s="225" t="str">
        <f t="shared" si="1551"/>
        <v>n/a</v>
      </c>
      <c r="Y144" s="225" t="str">
        <f t="shared" si="1551"/>
        <v>n/a</v>
      </c>
      <c r="Z144" s="225" t="str">
        <f t="shared" si="1551"/>
        <v>n/a</v>
      </c>
      <c r="AA144" s="225" t="str">
        <f t="shared" si="1551"/>
        <v>n/a</v>
      </c>
      <c r="AB144" s="225" t="str">
        <f t="shared" si="1551"/>
        <v>n/a</v>
      </c>
      <c r="AC144" s="225" t="str">
        <f t="shared" si="1551"/>
        <v>n/a</v>
      </c>
      <c r="AD144" s="225" t="str">
        <f t="shared" si="1551"/>
        <v>n/a</v>
      </c>
      <c r="AE144" s="225" t="str">
        <f t="shared" si="1551"/>
        <v>n/a</v>
      </c>
      <c r="AF144" s="225" t="str">
        <f t="shared" si="1551"/>
        <v>n/a</v>
      </c>
      <c r="AG144" s="225" t="str">
        <f t="shared" si="1551"/>
        <v>n/a</v>
      </c>
      <c r="AH144" s="225" t="str">
        <f t="shared" si="1551"/>
        <v>n/a</v>
      </c>
      <c r="AI144" s="214" t="str">
        <f t="shared" si="1551"/>
        <v>n/a</v>
      </c>
      <c r="AJ144" s="225" t="str">
        <f t="shared" si="1551"/>
        <v>n/a</v>
      </c>
      <c r="AK144" s="225" t="str">
        <f t="shared" si="1551"/>
        <v>n/a</v>
      </c>
      <c r="AL144" s="225" t="str">
        <f t="shared" si="1551"/>
        <v>n/a</v>
      </c>
      <c r="AM144" s="225" t="str">
        <f t="shared" si="1551"/>
        <v>n/a</v>
      </c>
      <c r="AN144" s="225" t="str">
        <f t="shared" si="1551"/>
        <v>n/a</v>
      </c>
      <c r="AO144" s="225" t="str">
        <f t="shared" si="1551"/>
        <v>n/a</v>
      </c>
      <c r="AP144" s="225" t="str">
        <f t="shared" si="1551"/>
        <v>n/a</v>
      </c>
      <c r="AQ144" s="225" t="str">
        <f t="shared" si="1551"/>
        <v>n/a</v>
      </c>
      <c r="AR144" s="225" t="str">
        <f t="shared" si="1551"/>
        <v>n/a</v>
      </c>
      <c r="AS144" s="225" t="str">
        <f t="shared" si="1551"/>
        <v>n/a</v>
      </c>
      <c r="AT144" s="225" t="str">
        <f t="shared" si="1551"/>
        <v>n/a</v>
      </c>
      <c r="AU144" s="214" t="str">
        <f t="shared" si="1551"/>
        <v>n/a</v>
      </c>
      <c r="AV144" s="225" t="str">
        <f t="shared" si="1551"/>
        <v>n/a</v>
      </c>
      <c r="AW144" s="225" t="str">
        <f t="shared" si="1551"/>
        <v>n/a</v>
      </c>
      <c r="AX144" s="225" t="str">
        <f t="shared" si="1551"/>
        <v>n/a</v>
      </c>
      <c r="AY144" s="225" t="str">
        <f t="shared" si="1551"/>
        <v>n/a</v>
      </c>
      <c r="AZ144" s="225" t="str">
        <f t="shared" si="1551"/>
        <v>n/a</v>
      </c>
      <c r="BA144" s="225" t="str">
        <f t="shared" si="1551"/>
        <v>n/a</v>
      </c>
      <c r="BB144" s="225" t="str">
        <f t="shared" si="1551"/>
        <v>n/a</v>
      </c>
      <c r="BC144" s="225" t="str">
        <f t="shared" ref="BC144:CH144" si="1552">++IFERROR(BC142/AQ142-1,"n/a")</f>
        <v>n/a</v>
      </c>
      <c r="BD144" s="225" t="str">
        <f t="shared" si="1552"/>
        <v>n/a</v>
      </c>
      <c r="BE144" s="225" t="str">
        <f t="shared" si="1552"/>
        <v>n/a</v>
      </c>
      <c r="BF144" s="225" t="str">
        <f t="shared" si="1552"/>
        <v>n/a</v>
      </c>
      <c r="BG144" s="214" t="str">
        <f t="shared" si="1552"/>
        <v>n/a</v>
      </c>
      <c r="BH144" s="225" t="str">
        <f t="shared" si="1552"/>
        <v>n/a</v>
      </c>
      <c r="BI144" s="225" t="str">
        <f t="shared" si="1552"/>
        <v>n/a</v>
      </c>
      <c r="BJ144" s="225" t="str">
        <f t="shared" si="1552"/>
        <v>n/a</v>
      </c>
      <c r="BK144" s="225" t="str">
        <f t="shared" si="1552"/>
        <v>n/a</v>
      </c>
      <c r="BL144" s="225" t="str">
        <f t="shared" si="1552"/>
        <v>n/a</v>
      </c>
      <c r="BM144" s="225" t="str">
        <f t="shared" si="1552"/>
        <v>n/a</v>
      </c>
      <c r="BN144" s="225" t="str">
        <f t="shared" si="1552"/>
        <v>n/a</v>
      </c>
      <c r="BO144" s="225" t="str">
        <f t="shared" si="1552"/>
        <v>n/a</v>
      </c>
      <c r="BP144" s="225" t="str">
        <f t="shared" si="1552"/>
        <v>n/a</v>
      </c>
      <c r="BQ144" s="225" t="str">
        <f t="shared" si="1552"/>
        <v>n/a</v>
      </c>
      <c r="BR144" s="225" t="str">
        <f t="shared" si="1552"/>
        <v>n/a</v>
      </c>
      <c r="BS144" s="214" t="str">
        <f t="shared" si="1552"/>
        <v>n/a</v>
      </c>
      <c r="BT144" s="225" t="str">
        <f t="shared" si="1552"/>
        <v>n/a</v>
      </c>
      <c r="BU144" s="225" t="str">
        <f t="shared" si="1552"/>
        <v>n/a</v>
      </c>
      <c r="BV144" s="225" t="str">
        <f t="shared" si="1552"/>
        <v>n/a</v>
      </c>
      <c r="BW144" s="225" t="str">
        <f t="shared" si="1552"/>
        <v>n/a</v>
      </c>
      <c r="BX144" s="225" t="str">
        <f t="shared" si="1552"/>
        <v>n/a</v>
      </c>
      <c r="BY144" s="225" t="str">
        <f t="shared" si="1552"/>
        <v>n/a</v>
      </c>
      <c r="BZ144" s="225" t="str">
        <f t="shared" si="1552"/>
        <v>n/a</v>
      </c>
      <c r="CA144" s="225" t="str">
        <f t="shared" si="1552"/>
        <v>n/a</v>
      </c>
      <c r="CB144" s="225" t="str">
        <f t="shared" si="1552"/>
        <v>n/a</v>
      </c>
      <c r="CC144" s="225" t="str">
        <f t="shared" si="1552"/>
        <v>n/a</v>
      </c>
      <c r="CD144" s="225" t="str">
        <f t="shared" si="1552"/>
        <v>n/a</v>
      </c>
      <c r="CE144" s="214" t="str">
        <f t="shared" si="1552"/>
        <v>n/a</v>
      </c>
      <c r="CF144" s="225" t="str">
        <f t="shared" si="1552"/>
        <v>n/a</v>
      </c>
      <c r="CG144" s="225" t="str">
        <f t="shared" si="1552"/>
        <v>n/a</v>
      </c>
      <c r="CH144" s="225" t="str">
        <f t="shared" si="1552"/>
        <v>n/a</v>
      </c>
      <c r="CI144" s="225" t="str">
        <f t="shared" ref="CI144:DN144" si="1553">++IFERROR(CI142/BW142-1,"n/a")</f>
        <v>n/a</v>
      </c>
      <c r="CJ144" s="225" t="str">
        <f t="shared" si="1553"/>
        <v>n/a</v>
      </c>
      <c r="CK144" s="225" t="str">
        <f t="shared" si="1553"/>
        <v>n/a</v>
      </c>
      <c r="CL144" s="225" t="str">
        <f t="shared" si="1553"/>
        <v>n/a</v>
      </c>
      <c r="CM144" s="225" t="str">
        <f t="shared" si="1553"/>
        <v>n/a</v>
      </c>
      <c r="CN144" s="225" t="str">
        <f t="shared" si="1553"/>
        <v>n/a</v>
      </c>
      <c r="CO144" s="225" t="str">
        <f t="shared" si="1553"/>
        <v>n/a</v>
      </c>
      <c r="CP144" s="225" t="str">
        <f t="shared" si="1553"/>
        <v>n/a</v>
      </c>
      <c r="CQ144" s="214" t="str">
        <f t="shared" si="1553"/>
        <v>n/a</v>
      </c>
      <c r="CR144" s="225" t="str">
        <f t="shared" si="1553"/>
        <v>n/a</v>
      </c>
      <c r="CS144" s="225" t="str">
        <f t="shared" si="1553"/>
        <v>n/a</v>
      </c>
      <c r="CT144" s="225" t="str">
        <f t="shared" si="1553"/>
        <v>n/a</v>
      </c>
      <c r="CU144" s="225" t="str">
        <f t="shared" si="1553"/>
        <v>n/a</v>
      </c>
      <c r="CV144" s="225" t="str">
        <f t="shared" si="1553"/>
        <v>n/a</v>
      </c>
      <c r="CW144" s="225" t="str">
        <f t="shared" si="1553"/>
        <v>n/a</v>
      </c>
      <c r="CX144" s="225" t="str">
        <f t="shared" si="1553"/>
        <v>n/a</v>
      </c>
      <c r="CY144" s="225" t="str">
        <f t="shared" si="1553"/>
        <v>n/a</v>
      </c>
      <c r="CZ144" s="225" t="str">
        <f t="shared" si="1553"/>
        <v>n/a</v>
      </c>
      <c r="DA144" s="225" t="str">
        <f t="shared" si="1553"/>
        <v>n/a</v>
      </c>
      <c r="DB144" s="225" t="str">
        <f t="shared" si="1553"/>
        <v>n/a</v>
      </c>
      <c r="DC144" s="214" t="str">
        <f t="shared" si="1553"/>
        <v>n/a</v>
      </c>
    </row>
    <row r="145" spans="1:107" x14ac:dyDescent="0.3">
      <c r="G145" s="203"/>
      <c r="K145" s="203"/>
      <c r="W145" s="203"/>
      <c r="AI145" s="203"/>
      <c r="AU145" s="203"/>
      <c r="BG145" s="203"/>
      <c r="BS145" s="203"/>
      <c r="CE145" s="203"/>
      <c r="CQ145" s="203"/>
      <c r="DC145" s="203"/>
    </row>
    <row r="146" spans="1:107" x14ac:dyDescent="0.3">
      <c r="C146" s="193" t="str">
        <f>++C$48</f>
        <v>CA EBITDA</v>
      </c>
      <c r="G146" s="400">
        <v>0</v>
      </c>
      <c r="H146" s="400">
        <v>0</v>
      </c>
      <c r="I146" s="400">
        <v>0</v>
      </c>
      <c r="J146" s="400">
        <v>0</v>
      </c>
      <c r="K146" s="400">
        <v>0</v>
      </c>
      <c r="L146" s="400">
        <v>0</v>
      </c>
      <c r="M146" s="400">
        <v>0</v>
      </c>
      <c r="N146" s="400">
        <v>0</v>
      </c>
      <c r="O146" s="400">
        <v>0</v>
      </c>
      <c r="P146" s="400">
        <v>0</v>
      </c>
      <c r="Q146" s="400">
        <v>0</v>
      </c>
      <c r="R146" s="400">
        <v>0</v>
      </c>
      <c r="S146" s="400">
        <v>0</v>
      </c>
      <c r="T146" s="400">
        <v>0</v>
      </c>
      <c r="U146" s="400">
        <v>0</v>
      </c>
      <c r="V146" s="400">
        <v>0</v>
      </c>
      <c r="W146" s="400">
        <v>0</v>
      </c>
      <c r="X146" s="400">
        <v>0</v>
      </c>
      <c r="Y146" s="400">
        <v>0</v>
      </c>
      <c r="Z146" s="400">
        <v>0</v>
      </c>
      <c r="AA146" s="400">
        <v>0</v>
      </c>
      <c r="AB146" s="400">
        <v>0</v>
      </c>
      <c r="AC146" s="400">
        <v>0</v>
      </c>
      <c r="AD146" s="400">
        <v>0</v>
      </c>
      <c r="AE146" s="400">
        <v>0</v>
      </c>
      <c r="AF146" s="400">
        <v>0</v>
      </c>
      <c r="AG146" s="400">
        <v>0</v>
      </c>
      <c r="AH146" s="400">
        <v>0</v>
      </c>
      <c r="AI146" s="400">
        <v>0</v>
      </c>
      <c r="AJ146" s="400">
        <v>0</v>
      </c>
      <c r="AK146" s="400">
        <v>0</v>
      </c>
      <c r="AL146" s="400">
        <v>0</v>
      </c>
      <c r="AM146" s="400">
        <v>0</v>
      </c>
      <c r="AN146" s="400">
        <v>0</v>
      </c>
      <c r="AO146" s="400">
        <v>0</v>
      </c>
      <c r="AP146" s="400">
        <v>0</v>
      </c>
      <c r="AQ146" s="400">
        <v>0</v>
      </c>
      <c r="AR146" s="400">
        <v>0</v>
      </c>
      <c r="AS146" s="400">
        <v>0</v>
      </c>
      <c r="AT146" s="400">
        <v>0</v>
      </c>
      <c r="AU146" s="400">
        <v>0</v>
      </c>
      <c r="AV146" s="400">
        <v>0</v>
      </c>
      <c r="AW146" s="400">
        <v>0</v>
      </c>
      <c r="AX146" s="400">
        <v>0</v>
      </c>
      <c r="AY146" s="400">
        <v>0</v>
      </c>
      <c r="AZ146" s="400">
        <v>0</v>
      </c>
      <c r="BA146" s="400">
        <v>0</v>
      </c>
      <c r="BB146" s="400">
        <v>0</v>
      </c>
      <c r="BC146" s="400">
        <v>0</v>
      </c>
      <c r="BD146" s="400">
        <v>0</v>
      </c>
      <c r="BE146" s="400">
        <v>0</v>
      </c>
      <c r="BF146" s="400">
        <v>0</v>
      </c>
      <c r="BG146" s="400">
        <v>0</v>
      </c>
      <c r="BH146" s="400">
        <v>0</v>
      </c>
      <c r="BI146" s="400">
        <v>0</v>
      </c>
      <c r="BJ146" s="400">
        <v>0</v>
      </c>
      <c r="BK146" s="400">
        <v>0</v>
      </c>
      <c r="BL146" s="400">
        <v>0</v>
      </c>
      <c r="BM146" s="400">
        <v>0</v>
      </c>
      <c r="BN146" s="400">
        <v>0</v>
      </c>
      <c r="BO146" s="400">
        <v>0</v>
      </c>
      <c r="BP146" s="400">
        <v>0</v>
      </c>
      <c r="BQ146" s="400">
        <v>0</v>
      </c>
      <c r="BR146" s="400">
        <v>0</v>
      </c>
      <c r="BS146" s="400">
        <v>0</v>
      </c>
      <c r="BT146" s="400">
        <v>0</v>
      </c>
      <c r="BU146" s="400">
        <v>0</v>
      </c>
      <c r="BV146" s="400">
        <v>0</v>
      </c>
      <c r="BW146" s="400">
        <v>0</v>
      </c>
      <c r="BX146" s="400">
        <v>0</v>
      </c>
      <c r="BY146" s="400">
        <v>0</v>
      </c>
      <c r="BZ146" s="400">
        <v>0</v>
      </c>
      <c r="CA146" s="400">
        <v>0</v>
      </c>
      <c r="CB146" s="400">
        <v>0</v>
      </c>
      <c r="CC146" s="400">
        <v>0</v>
      </c>
      <c r="CD146" s="400">
        <v>0</v>
      </c>
      <c r="CE146" s="400">
        <v>0</v>
      </c>
      <c r="CF146" s="400">
        <v>0</v>
      </c>
      <c r="CG146" s="400">
        <v>0</v>
      </c>
      <c r="CH146" s="400">
        <v>0</v>
      </c>
      <c r="CI146" s="400">
        <v>0</v>
      </c>
      <c r="CJ146" s="400">
        <v>0</v>
      </c>
      <c r="CK146" s="400">
        <v>0</v>
      </c>
      <c r="CL146" s="400">
        <v>0</v>
      </c>
      <c r="CM146" s="400">
        <v>0</v>
      </c>
      <c r="CN146" s="400">
        <v>0</v>
      </c>
      <c r="CO146" s="400">
        <v>0</v>
      </c>
      <c r="CP146" s="400">
        <v>0</v>
      </c>
      <c r="CQ146" s="400">
        <v>0</v>
      </c>
      <c r="CR146" s="400">
        <v>0</v>
      </c>
      <c r="CS146" s="400">
        <v>0</v>
      </c>
      <c r="CT146" s="400">
        <v>0</v>
      </c>
      <c r="CU146" s="400">
        <v>0</v>
      </c>
      <c r="CV146" s="400">
        <v>0</v>
      </c>
      <c r="CW146" s="400">
        <v>0</v>
      </c>
      <c r="CX146" s="400">
        <v>0</v>
      </c>
      <c r="CY146" s="400">
        <v>0</v>
      </c>
      <c r="CZ146" s="400">
        <v>0</v>
      </c>
      <c r="DA146" s="400">
        <v>0</v>
      </c>
      <c r="DB146" s="400">
        <v>0</v>
      </c>
      <c r="DC146" s="400">
        <v>0</v>
      </c>
    </row>
    <row r="147" spans="1:107" x14ac:dyDescent="0.3">
      <c r="C147" s="321" t="str">
        <f>++C$49</f>
        <v>% margin</v>
      </c>
      <c r="G147" s="214" t="str">
        <f>++IFERROR(G146/G108,"n/a")</f>
        <v>n/a</v>
      </c>
      <c r="H147" s="225" t="str">
        <f t="shared" ref="H147" si="1554">++IFERROR(H146/H108,"n/a")</f>
        <v>n/a</v>
      </c>
      <c r="I147" s="225" t="str">
        <f t="shared" ref="I147" si="1555">++IFERROR(I146/I108,"n/a")</f>
        <v>n/a</v>
      </c>
      <c r="J147" s="225" t="str">
        <f t="shared" ref="J147" si="1556">++IFERROR(J146/J108,"n/a")</f>
        <v>n/a</v>
      </c>
      <c r="K147" s="214" t="str">
        <f t="shared" ref="K147" si="1557">++IFERROR(K146/K108,"n/a")</f>
        <v>n/a</v>
      </c>
      <c r="L147" s="225" t="str">
        <f t="shared" ref="L147" si="1558">++IFERROR(L146/L108,"n/a")</f>
        <v>n/a</v>
      </c>
      <c r="M147" s="225" t="str">
        <f t="shared" ref="M147" si="1559">++IFERROR(M146/M108,"n/a")</f>
        <v>n/a</v>
      </c>
      <c r="N147" s="225" t="str">
        <f t="shared" ref="N147" si="1560">++IFERROR(N146/N108,"n/a")</f>
        <v>n/a</v>
      </c>
      <c r="O147" s="225" t="str">
        <f t="shared" ref="O147" si="1561">++IFERROR(O146/O108,"n/a")</f>
        <v>n/a</v>
      </c>
      <c r="P147" s="225" t="str">
        <f t="shared" ref="P147" si="1562">++IFERROR(P146/P108,"n/a")</f>
        <v>n/a</v>
      </c>
      <c r="Q147" s="225" t="str">
        <f t="shared" ref="Q147" si="1563">++IFERROR(Q146/Q108,"n/a")</f>
        <v>n/a</v>
      </c>
      <c r="R147" s="225" t="str">
        <f t="shared" ref="R147" si="1564">++IFERROR(R146/R108,"n/a")</f>
        <v>n/a</v>
      </c>
      <c r="S147" s="225" t="str">
        <f t="shared" ref="S147" si="1565">++IFERROR(S146/S108,"n/a")</f>
        <v>n/a</v>
      </c>
      <c r="T147" s="225" t="str">
        <f t="shared" ref="T147" si="1566">++IFERROR(T146/T108,"n/a")</f>
        <v>n/a</v>
      </c>
      <c r="U147" s="225" t="str">
        <f t="shared" ref="U147" si="1567">++IFERROR(U146/U108,"n/a")</f>
        <v>n/a</v>
      </c>
      <c r="V147" s="225" t="str">
        <f t="shared" ref="V147" si="1568">++IFERROR(V146/V108,"n/a")</f>
        <v>n/a</v>
      </c>
      <c r="W147" s="214" t="str">
        <f t="shared" ref="W147" si="1569">++IFERROR(W146/W108,"n/a")</f>
        <v>n/a</v>
      </c>
      <c r="X147" s="225" t="str">
        <f t="shared" ref="X147" si="1570">++IFERROR(X146/X108,"n/a")</f>
        <v>n/a</v>
      </c>
      <c r="Y147" s="225" t="str">
        <f t="shared" ref="Y147" si="1571">++IFERROR(Y146/Y108,"n/a")</f>
        <v>n/a</v>
      </c>
      <c r="Z147" s="225" t="str">
        <f t="shared" ref="Z147" si="1572">++IFERROR(Z146/Z108,"n/a")</f>
        <v>n/a</v>
      </c>
      <c r="AA147" s="225" t="str">
        <f t="shared" ref="AA147" si="1573">++IFERROR(AA146/AA108,"n/a")</f>
        <v>n/a</v>
      </c>
      <c r="AB147" s="225" t="str">
        <f t="shared" ref="AB147" si="1574">++IFERROR(AB146/AB108,"n/a")</f>
        <v>n/a</v>
      </c>
      <c r="AC147" s="225" t="str">
        <f t="shared" ref="AC147" si="1575">++IFERROR(AC146/AC108,"n/a")</f>
        <v>n/a</v>
      </c>
      <c r="AD147" s="225" t="str">
        <f t="shared" ref="AD147" si="1576">++IFERROR(AD146/AD108,"n/a")</f>
        <v>n/a</v>
      </c>
      <c r="AE147" s="225" t="str">
        <f t="shared" ref="AE147" si="1577">++IFERROR(AE146/AE108,"n/a")</f>
        <v>n/a</v>
      </c>
      <c r="AF147" s="225" t="str">
        <f t="shared" ref="AF147" si="1578">++IFERROR(AF146/AF108,"n/a")</f>
        <v>n/a</v>
      </c>
      <c r="AG147" s="225" t="str">
        <f t="shared" ref="AG147" si="1579">++IFERROR(AG146/AG108,"n/a")</f>
        <v>n/a</v>
      </c>
      <c r="AH147" s="225" t="str">
        <f t="shared" ref="AH147" si="1580">++IFERROR(AH146/AH108,"n/a")</f>
        <v>n/a</v>
      </c>
      <c r="AI147" s="214" t="str">
        <f t="shared" ref="AI147" si="1581">++IFERROR(AI146/AI108,"n/a")</f>
        <v>n/a</v>
      </c>
      <c r="AJ147" s="225" t="str">
        <f t="shared" ref="AJ147" si="1582">++IFERROR(AJ146/AJ108,"n/a")</f>
        <v>n/a</v>
      </c>
      <c r="AK147" s="225" t="str">
        <f t="shared" ref="AK147" si="1583">++IFERROR(AK146/AK108,"n/a")</f>
        <v>n/a</v>
      </c>
      <c r="AL147" s="225" t="str">
        <f t="shared" ref="AL147" si="1584">++IFERROR(AL146/AL108,"n/a")</f>
        <v>n/a</v>
      </c>
      <c r="AM147" s="225" t="str">
        <f t="shared" ref="AM147" si="1585">++IFERROR(AM146/AM108,"n/a")</f>
        <v>n/a</v>
      </c>
      <c r="AN147" s="225" t="str">
        <f t="shared" ref="AN147" si="1586">++IFERROR(AN146/AN108,"n/a")</f>
        <v>n/a</v>
      </c>
      <c r="AO147" s="225" t="str">
        <f t="shared" ref="AO147" si="1587">++IFERROR(AO146/AO108,"n/a")</f>
        <v>n/a</v>
      </c>
      <c r="AP147" s="225" t="str">
        <f t="shared" ref="AP147" si="1588">++IFERROR(AP146/AP108,"n/a")</f>
        <v>n/a</v>
      </c>
      <c r="AQ147" s="225" t="str">
        <f t="shared" ref="AQ147" si="1589">++IFERROR(AQ146/AQ108,"n/a")</f>
        <v>n/a</v>
      </c>
      <c r="AR147" s="225" t="str">
        <f t="shared" ref="AR147" si="1590">++IFERROR(AR146/AR108,"n/a")</f>
        <v>n/a</v>
      </c>
      <c r="AS147" s="225" t="str">
        <f t="shared" ref="AS147" si="1591">++IFERROR(AS146/AS108,"n/a")</f>
        <v>n/a</v>
      </c>
      <c r="AT147" s="225" t="str">
        <f t="shared" ref="AT147" si="1592">++IFERROR(AT146/AT108,"n/a")</f>
        <v>n/a</v>
      </c>
      <c r="AU147" s="214" t="str">
        <f t="shared" ref="AU147" si="1593">++IFERROR(AU146/AU108,"n/a")</f>
        <v>n/a</v>
      </c>
      <c r="AV147" s="225" t="str">
        <f t="shared" ref="AV147" si="1594">++IFERROR(AV146/AV108,"n/a")</f>
        <v>n/a</v>
      </c>
      <c r="AW147" s="225" t="str">
        <f t="shared" ref="AW147" si="1595">++IFERROR(AW146/AW108,"n/a")</f>
        <v>n/a</v>
      </c>
      <c r="AX147" s="225" t="str">
        <f t="shared" ref="AX147" si="1596">++IFERROR(AX146/AX108,"n/a")</f>
        <v>n/a</v>
      </c>
      <c r="AY147" s="225" t="str">
        <f t="shared" ref="AY147" si="1597">++IFERROR(AY146/AY108,"n/a")</f>
        <v>n/a</v>
      </c>
      <c r="AZ147" s="225" t="str">
        <f t="shared" ref="AZ147" si="1598">++IFERROR(AZ146/AZ108,"n/a")</f>
        <v>n/a</v>
      </c>
      <c r="BA147" s="225" t="str">
        <f t="shared" ref="BA147" si="1599">++IFERROR(BA146/BA108,"n/a")</f>
        <v>n/a</v>
      </c>
      <c r="BB147" s="225" t="str">
        <f t="shared" ref="BB147" si="1600">++IFERROR(BB146/BB108,"n/a")</f>
        <v>n/a</v>
      </c>
      <c r="BC147" s="225" t="str">
        <f t="shared" ref="BC147" si="1601">++IFERROR(BC146/BC108,"n/a")</f>
        <v>n/a</v>
      </c>
      <c r="BD147" s="225" t="str">
        <f t="shared" ref="BD147" si="1602">++IFERROR(BD146/BD108,"n/a")</f>
        <v>n/a</v>
      </c>
      <c r="BE147" s="225" t="str">
        <f t="shared" ref="BE147" si="1603">++IFERROR(BE146/BE108,"n/a")</f>
        <v>n/a</v>
      </c>
      <c r="BF147" s="225" t="str">
        <f t="shared" ref="BF147" si="1604">++IFERROR(BF146/BF108,"n/a")</f>
        <v>n/a</v>
      </c>
      <c r="BG147" s="214" t="str">
        <f t="shared" ref="BG147" si="1605">++IFERROR(BG146/BG108,"n/a")</f>
        <v>n/a</v>
      </c>
      <c r="BH147" s="225" t="str">
        <f t="shared" ref="BH147" si="1606">++IFERROR(BH146/BH108,"n/a")</f>
        <v>n/a</v>
      </c>
      <c r="BI147" s="225" t="str">
        <f t="shared" ref="BI147" si="1607">++IFERROR(BI146/BI108,"n/a")</f>
        <v>n/a</v>
      </c>
      <c r="BJ147" s="225" t="str">
        <f t="shared" ref="BJ147" si="1608">++IFERROR(BJ146/BJ108,"n/a")</f>
        <v>n/a</v>
      </c>
      <c r="BK147" s="225" t="str">
        <f t="shared" ref="BK147" si="1609">++IFERROR(BK146/BK108,"n/a")</f>
        <v>n/a</v>
      </c>
      <c r="BL147" s="225" t="str">
        <f t="shared" ref="BL147" si="1610">++IFERROR(BL146/BL108,"n/a")</f>
        <v>n/a</v>
      </c>
      <c r="BM147" s="225" t="str">
        <f t="shared" ref="BM147" si="1611">++IFERROR(BM146/BM108,"n/a")</f>
        <v>n/a</v>
      </c>
      <c r="BN147" s="225" t="str">
        <f t="shared" ref="BN147" si="1612">++IFERROR(BN146/BN108,"n/a")</f>
        <v>n/a</v>
      </c>
      <c r="BO147" s="225" t="str">
        <f t="shared" ref="BO147" si="1613">++IFERROR(BO146/BO108,"n/a")</f>
        <v>n/a</v>
      </c>
      <c r="BP147" s="225" t="str">
        <f t="shared" ref="BP147" si="1614">++IFERROR(BP146/BP108,"n/a")</f>
        <v>n/a</v>
      </c>
      <c r="BQ147" s="225" t="str">
        <f t="shared" ref="BQ147" si="1615">++IFERROR(BQ146/BQ108,"n/a")</f>
        <v>n/a</v>
      </c>
      <c r="BR147" s="225" t="str">
        <f t="shared" ref="BR147" si="1616">++IFERROR(BR146/BR108,"n/a")</f>
        <v>n/a</v>
      </c>
      <c r="BS147" s="214" t="str">
        <f t="shared" ref="BS147" si="1617">++IFERROR(BS146/BS108,"n/a")</f>
        <v>n/a</v>
      </c>
      <c r="BT147" s="225" t="str">
        <f t="shared" ref="BT147" si="1618">++IFERROR(BT146/BT108,"n/a")</f>
        <v>n/a</v>
      </c>
      <c r="BU147" s="225" t="str">
        <f t="shared" ref="BU147" si="1619">++IFERROR(BU146/BU108,"n/a")</f>
        <v>n/a</v>
      </c>
      <c r="BV147" s="225" t="str">
        <f t="shared" ref="BV147" si="1620">++IFERROR(BV146/BV108,"n/a")</f>
        <v>n/a</v>
      </c>
      <c r="BW147" s="225" t="str">
        <f t="shared" ref="BW147" si="1621">++IFERROR(BW146/BW108,"n/a")</f>
        <v>n/a</v>
      </c>
      <c r="BX147" s="225" t="str">
        <f t="shared" ref="BX147" si="1622">++IFERROR(BX146/BX108,"n/a")</f>
        <v>n/a</v>
      </c>
      <c r="BY147" s="225" t="str">
        <f t="shared" ref="BY147" si="1623">++IFERROR(BY146/BY108,"n/a")</f>
        <v>n/a</v>
      </c>
      <c r="BZ147" s="225" t="str">
        <f t="shared" ref="BZ147" si="1624">++IFERROR(BZ146/BZ108,"n/a")</f>
        <v>n/a</v>
      </c>
      <c r="CA147" s="225" t="str">
        <f t="shared" ref="CA147" si="1625">++IFERROR(CA146/CA108,"n/a")</f>
        <v>n/a</v>
      </c>
      <c r="CB147" s="225" t="str">
        <f t="shared" ref="CB147" si="1626">++IFERROR(CB146/CB108,"n/a")</f>
        <v>n/a</v>
      </c>
      <c r="CC147" s="225" t="str">
        <f t="shared" ref="CC147" si="1627">++IFERROR(CC146/CC108,"n/a")</f>
        <v>n/a</v>
      </c>
      <c r="CD147" s="225" t="str">
        <f t="shared" ref="CD147" si="1628">++IFERROR(CD146/CD108,"n/a")</f>
        <v>n/a</v>
      </c>
      <c r="CE147" s="214" t="str">
        <f t="shared" ref="CE147" si="1629">++IFERROR(CE146/CE108,"n/a")</f>
        <v>n/a</v>
      </c>
      <c r="CF147" s="225" t="str">
        <f t="shared" ref="CF147" si="1630">++IFERROR(CF146/CF108,"n/a")</f>
        <v>n/a</v>
      </c>
      <c r="CG147" s="225" t="str">
        <f t="shared" ref="CG147" si="1631">++IFERROR(CG146/CG108,"n/a")</f>
        <v>n/a</v>
      </c>
      <c r="CH147" s="225" t="str">
        <f t="shared" ref="CH147" si="1632">++IFERROR(CH146/CH108,"n/a")</f>
        <v>n/a</v>
      </c>
      <c r="CI147" s="225" t="str">
        <f t="shared" ref="CI147" si="1633">++IFERROR(CI146/CI108,"n/a")</f>
        <v>n/a</v>
      </c>
      <c r="CJ147" s="225" t="str">
        <f t="shared" ref="CJ147" si="1634">++IFERROR(CJ146/CJ108,"n/a")</f>
        <v>n/a</v>
      </c>
      <c r="CK147" s="225" t="str">
        <f t="shared" ref="CK147" si="1635">++IFERROR(CK146/CK108,"n/a")</f>
        <v>n/a</v>
      </c>
      <c r="CL147" s="225" t="str">
        <f t="shared" ref="CL147" si="1636">++IFERROR(CL146/CL108,"n/a")</f>
        <v>n/a</v>
      </c>
      <c r="CM147" s="225" t="str">
        <f t="shared" ref="CM147" si="1637">++IFERROR(CM146/CM108,"n/a")</f>
        <v>n/a</v>
      </c>
      <c r="CN147" s="225" t="str">
        <f t="shared" ref="CN147" si="1638">++IFERROR(CN146/CN108,"n/a")</f>
        <v>n/a</v>
      </c>
      <c r="CO147" s="225" t="str">
        <f t="shared" ref="CO147" si="1639">++IFERROR(CO146/CO108,"n/a")</f>
        <v>n/a</v>
      </c>
      <c r="CP147" s="225" t="str">
        <f t="shared" ref="CP147" si="1640">++IFERROR(CP146/CP108,"n/a")</f>
        <v>n/a</v>
      </c>
      <c r="CQ147" s="214" t="str">
        <f t="shared" ref="CQ147" si="1641">++IFERROR(CQ146/CQ108,"n/a")</f>
        <v>n/a</v>
      </c>
      <c r="CR147" s="225" t="str">
        <f t="shared" ref="CR147" si="1642">++IFERROR(CR146/CR108,"n/a")</f>
        <v>n/a</v>
      </c>
      <c r="CS147" s="225" t="str">
        <f t="shared" ref="CS147" si="1643">++IFERROR(CS146/CS108,"n/a")</f>
        <v>n/a</v>
      </c>
      <c r="CT147" s="225" t="str">
        <f t="shared" ref="CT147" si="1644">++IFERROR(CT146/CT108,"n/a")</f>
        <v>n/a</v>
      </c>
      <c r="CU147" s="225" t="str">
        <f t="shared" ref="CU147" si="1645">++IFERROR(CU146/CU108,"n/a")</f>
        <v>n/a</v>
      </c>
      <c r="CV147" s="225" t="str">
        <f t="shared" ref="CV147" si="1646">++IFERROR(CV146/CV108,"n/a")</f>
        <v>n/a</v>
      </c>
      <c r="CW147" s="225" t="str">
        <f t="shared" ref="CW147" si="1647">++IFERROR(CW146/CW108,"n/a")</f>
        <v>n/a</v>
      </c>
      <c r="CX147" s="225" t="str">
        <f t="shared" ref="CX147" si="1648">++IFERROR(CX146/CX108,"n/a")</f>
        <v>n/a</v>
      </c>
      <c r="CY147" s="225" t="str">
        <f t="shared" ref="CY147" si="1649">++IFERROR(CY146/CY108,"n/a")</f>
        <v>n/a</v>
      </c>
      <c r="CZ147" s="225" t="str">
        <f t="shared" ref="CZ147" si="1650">++IFERROR(CZ146/CZ108,"n/a")</f>
        <v>n/a</v>
      </c>
      <c r="DA147" s="225" t="str">
        <f t="shared" ref="DA147" si="1651">++IFERROR(DA146/DA108,"n/a")</f>
        <v>n/a</v>
      </c>
      <c r="DB147" s="225" t="str">
        <f t="shared" ref="DB147" si="1652">++IFERROR(DB146/DB108,"n/a")</f>
        <v>n/a</v>
      </c>
      <c r="DC147" s="214" t="str">
        <f t="shared" ref="DC147" si="1653">++IFERROR(DC146/DC108,"n/a")</f>
        <v>n/a</v>
      </c>
    </row>
    <row r="148" spans="1:107" x14ac:dyDescent="0.3">
      <c r="C148" s="321" t="str">
        <f>++C$50</f>
        <v>% y/y</v>
      </c>
      <c r="G148" s="122" t="s">
        <v>47</v>
      </c>
      <c r="H148" s="122" t="s">
        <v>47</v>
      </c>
      <c r="I148" s="122" t="s">
        <v>47</v>
      </c>
      <c r="J148" s="122" t="s">
        <v>47</v>
      </c>
      <c r="K148" s="214" t="str">
        <f>++IFERROR(K146/G146-1,"n/a")</f>
        <v>n/a</v>
      </c>
      <c r="L148" s="122" t="s">
        <v>47</v>
      </c>
      <c r="M148" s="122" t="s">
        <v>47</v>
      </c>
      <c r="N148" s="225" t="str">
        <f>++IFERROR(N146/H146-1,"n/a")</f>
        <v>n/a</v>
      </c>
      <c r="O148" s="122" t="s">
        <v>47</v>
      </c>
      <c r="P148" s="122" t="s">
        <v>47</v>
      </c>
      <c r="Q148" s="225" t="str">
        <f>++IFERROR(Q146/I146-1,"n/a")</f>
        <v>n/a</v>
      </c>
      <c r="R148" s="122" t="s">
        <v>47</v>
      </c>
      <c r="S148" s="122" t="s">
        <v>47</v>
      </c>
      <c r="T148" s="225" t="str">
        <f>++IFERROR(T146/J146-1,"n/a")</f>
        <v>n/a</v>
      </c>
      <c r="U148" s="122" t="s">
        <v>47</v>
      </c>
      <c r="V148" s="122" t="s">
        <v>47</v>
      </c>
      <c r="W148" s="214" t="str">
        <f t="shared" ref="W148:BB148" si="1654">++IFERROR(W146/K146-1,"n/a")</f>
        <v>n/a</v>
      </c>
      <c r="X148" s="225" t="str">
        <f t="shared" si="1654"/>
        <v>n/a</v>
      </c>
      <c r="Y148" s="225" t="str">
        <f t="shared" si="1654"/>
        <v>n/a</v>
      </c>
      <c r="Z148" s="225" t="str">
        <f t="shared" si="1654"/>
        <v>n/a</v>
      </c>
      <c r="AA148" s="225" t="str">
        <f t="shared" si="1654"/>
        <v>n/a</v>
      </c>
      <c r="AB148" s="225" t="str">
        <f t="shared" si="1654"/>
        <v>n/a</v>
      </c>
      <c r="AC148" s="225" t="str">
        <f t="shared" si="1654"/>
        <v>n/a</v>
      </c>
      <c r="AD148" s="225" t="str">
        <f t="shared" si="1654"/>
        <v>n/a</v>
      </c>
      <c r="AE148" s="225" t="str">
        <f t="shared" si="1654"/>
        <v>n/a</v>
      </c>
      <c r="AF148" s="225" t="str">
        <f t="shared" si="1654"/>
        <v>n/a</v>
      </c>
      <c r="AG148" s="225" t="str">
        <f t="shared" si="1654"/>
        <v>n/a</v>
      </c>
      <c r="AH148" s="225" t="str">
        <f t="shared" si="1654"/>
        <v>n/a</v>
      </c>
      <c r="AI148" s="214" t="str">
        <f t="shared" si="1654"/>
        <v>n/a</v>
      </c>
      <c r="AJ148" s="225" t="str">
        <f t="shared" si="1654"/>
        <v>n/a</v>
      </c>
      <c r="AK148" s="225" t="str">
        <f t="shared" si="1654"/>
        <v>n/a</v>
      </c>
      <c r="AL148" s="225" t="str">
        <f t="shared" si="1654"/>
        <v>n/a</v>
      </c>
      <c r="AM148" s="225" t="str">
        <f t="shared" si="1654"/>
        <v>n/a</v>
      </c>
      <c r="AN148" s="225" t="str">
        <f t="shared" si="1654"/>
        <v>n/a</v>
      </c>
      <c r="AO148" s="225" t="str">
        <f t="shared" si="1654"/>
        <v>n/a</v>
      </c>
      <c r="AP148" s="225" t="str">
        <f t="shared" si="1654"/>
        <v>n/a</v>
      </c>
      <c r="AQ148" s="225" t="str">
        <f t="shared" si="1654"/>
        <v>n/a</v>
      </c>
      <c r="AR148" s="225" t="str">
        <f t="shared" si="1654"/>
        <v>n/a</v>
      </c>
      <c r="AS148" s="225" t="str">
        <f t="shared" si="1654"/>
        <v>n/a</v>
      </c>
      <c r="AT148" s="225" t="str">
        <f t="shared" si="1654"/>
        <v>n/a</v>
      </c>
      <c r="AU148" s="214" t="str">
        <f t="shared" si="1654"/>
        <v>n/a</v>
      </c>
      <c r="AV148" s="225" t="str">
        <f t="shared" si="1654"/>
        <v>n/a</v>
      </c>
      <c r="AW148" s="225" t="str">
        <f t="shared" si="1654"/>
        <v>n/a</v>
      </c>
      <c r="AX148" s="225" t="str">
        <f t="shared" si="1654"/>
        <v>n/a</v>
      </c>
      <c r="AY148" s="225" t="str">
        <f t="shared" si="1654"/>
        <v>n/a</v>
      </c>
      <c r="AZ148" s="225" t="str">
        <f t="shared" si="1654"/>
        <v>n/a</v>
      </c>
      <c r="BA148" s="225" t="str">
        <f t="shared" si="1654"/>
        <v>n/a</v>
      </c>
      <c r="BB148" s="225" t="str">
        <f t="shared" si="1654"/>
        <v>n/a</v>
      </c>
      <c r="BC148" s="225" t="str">
        <f t="shared" ref="BC148:CH148" si="1655">++IFERROR(BC146/AQ146-1,"n/a")</f>
        <v>n/a</v>
      </c>
      <c r="BD148" s="225" t="str">
        <f t="shared" si="1655"/>
        <v>n/a</v>
      </c>
      <c r="BE148" s="225" t="str">
        <f t="shared" si="1655"/>
        <v>n/a</v>
      </c>
      <c r="BF148" s="225" t="str">
        <f t="shared" si="1655"/>
        <v>n/a</v>
      </c>
      <c r="BG148" s="214" t="str">
        <f t="shared" si="1655"/>
        <v>n/a</v>
      </c>
      <c r="BH148" s="225" t="str">
        <f t="shared" si="1655"/>
        <v>n/a</v>
      </c>
      <c r="BI148" s="225" t="str">
        <f t="shared" si="1655"/>
        <v>n/a</v>
      </c>
      <c r="BJ148" s="225" t="str">
        <f t="shared" si="1655"/>
        <v>n/a</v>
      </c>
      <c r="BK148" s="225" t="str">
        <f t="shared" si="1655"/>
        <v>n/a</v>
      </c>
      <c r="BL148" s="225" t="str">
        <f t="shared" si="1655"/>
        <v>n/a</v>
      </c>
      <c r="BM148" s="225" t="str">
        <f t="shared" si="1655"/>
        <v>n/a</v>
      </c>
      <c r="BN148" s="225" t="str">
        <f t="shared" si="1655"/>
        <v>n/a</v>
      </c>
      <c r="BO148" s="225" t="str">
        <f t="shared" si="1655"/>
        <v>n/a</v>
      </c>
      <c r="BP148" s="225" t="str">
        <f t="shared" si="1655"/>
        <v>n/a</v>
      </c>
      <c r="BQ148" s="225" t="str">
        <f t="shared" si="1655"/>
        <v>n/a</v>
      </c>
      <c r="BR148" s="225" t="str">
        <f t="shared" si="1655"/>
        <v>n/a</v>
      </c>
      <c r="BS148" s="214" t="str">
        <f t="shared" si="1655"/>
        <v>n/a</v>
      </c>
      <c r="BT148" s="225" t="str">
        <f t="shared" si="1655"/>
        <v>n/a</v>
      </c>
      <c r="BU148" s="225" t="str">
        <f t="shared" si="1655"/>
        <v>n/a</v>
      </c>
      <c r="BV148" s="225" t="str">
        <f t="shared" si="1655"/>
        <v>n/a</v>
      </c>
      <c r="BW148" s="225" t="str">
        <f t="shared" si="1655"/>
        <v>n/a</v>
      </c>
      <c r="BX148" s="225" t="str">
        <f t="shared" si="1655"/>
        <v>n/a</v>
      </c>
      <c r="BY148" s="225" t="str">
        <f t="shared" si="1655"/>
        <v>n/a</v>
      </c>
      <c r="BZ148" s="225" t="str">
        <f t="shared" si="1655"/>
        <v>n/a</v>
      </c>
      <c r="CA148" s="225" t="str">
        <f t="shared" si="1655"/>
        <v>n/a</v>
      </c>
      <c r="CB148" s="225" t="str">
        <f t="shared" si="1655"/>
        <v>n/a</v>
      </c>
      <c r="CC148" s="225" t="str">
        <f t="shared" si="1655"/>
        <v>n/a</v>
      </c>
      <c r="CD148" s="225" t="str">
        <f t="shared" si="1655"/>
        <v>n/a</v>
      </c>
      <c r="CE148" s="214" t="str">
        <f t="shared" si="1655"/>
        <v>n/a</v>
      </c>
      <c r="CF148" s="225" t="str">
        <f t="shared" si="1655"/>
        <v>n/a</v>
      </c>
      <c r="CG148" s="225" t="str">
        <f t="shared" si="1655"/>
        <v>n/a</v>
      </c>
      <c r="CH148" s="225" t="str">
        <f t="shared" si="1655"/>
        <v>n/a</v>
      </c>
      <c r="CI148" s="225" t="str">
        <f t="shared" ref="CI148:DN148" si="1656">++IFERROR(CI146/BW146-1,"n/a")</f>
        <v>n/a</v>
      </c>
      <c r="CJ148" s="225" t="str">
        <f t="shared" si="1656"/>
        <v>n/a</v>
      </c>
      <c r="CK148" s="225" t="str">
        <f t="shared" si="1656"/>
        <v>n/a</v>
      </c>
      <c r="CL148" s="225" t="str">
        <f t="shared" si="1656"/>
        <v>n/a</v>
      </c>
      <c r="CM148" s="225" t="str">
        <f t="shared" si="1656"/>
        <v>n/a</v>
      </c>
      <c r="CN148" s="225" t="str">
        <f t="shared" si="1656"/>
        <v>n/a</v>
      </c>
      <c r="CO148" s="225" t="str">
        <f t="shared" si="1656"/>
        <v>n/a</v>
      </c>
      <c r="CP148" s="225" t="str">
        <f t="shared" si="1656"/>
        <v>n/a</v>
      </c>
      <c r="CQ148" s="214" t="str">
        <f t="shared" si="1656"/>
        <v>n/a</v>
      </c>
      <c r="CR148" s="225" t="str">
        <f t="shared" si="1656"/>
        <v>n/a</v>
      </c>
      <c r="CS148" s="225" t="str">
        <f t="shared" si="1656"/>
        <v>n/a</v>
      </c>
      <c r="CT148" s="225" t="str">
        <f t="shared" si="1656"/>
        <v>n/a</v>
      </c>
      <c r="CU148" s="225" t="str">
        <f t="shared" si="1656"/>
        <v>n/a</v>
      </c>
      <c r="CV148" s="225" t="str">
        <f t="shared" si="1656"/>
        <v>n/a</v>
      </c>
      <c r="CW148" s="225" t="str">
        <f t="shared" si="1656"/>
        <v>n/a</v>
      </c>
      <c r="CX148" s="225" t="str">
        <f t="shared" si="1656"/>
        <v>n/a</v>
      </c>
      <c r="CY148" s="225" t="str">
        <f t="shared" si="1656"/>
        <v>n/a</v>
      </c>
      <c r="CZ148" s="225" t="str">
        <f t="shared" si="1656"/>
        <v>n/a</v>
      </c>
      <c r="DA148" s="225" t="str">
        <f t="shared" si="1656"/>
        <v>n/a</v>
      </c>
      <c r="DB148" s="225" t="str">
        <f t="shared" si="1656"/>
        <v>n/a</v>
      </c>
      <c r="DC148" s="214" t="str">
        <f t="shared" si="1656"/>
        <v>n/a</v>
      </c>
    </row>
    <row r="149" spans="1:107" x14ac:dyDescent="0.3">
      <c r="G149" s="203"/>
      <c r="K149" s="203"/>
      <c r="W149" s="203"/>
      <c r="AI149" s="203"/>
      <c r="AU149" s="203"/>
      <c r="BG149" s="203"/>
      <c r="BS149" s="203"/>
      <c r="CE149" s="203"/>
      <c r="CQ149" s="203"/>
      <c r="DC149" s="203"/>
    </row>
    <row r="150" spans="1:107" x14ac:dyDescent="0.3">
      <c r="C150" s="193" t="str">
        <f>++C$52</f>
        <v>Capital Expenditures</v>
      </c>
      <c r="G150" s="400">
        <v>0</v>
      </c>
      <c r="H150" s="400">
        <v>0</v>
      </c>
      <c r="I150" s="400">
        <v>0</v>
      </c>
      <c r="J150" s="400">
        <v>0</v>
      </c>
      <c r="K150" s="400">
        <v>0</v>
      </c>
      <c r="L150" s="400">
        <v>0</v>
      </c>
      <c r="M150" s="400">
        <v>0</v>
      </c>
      <c r="N150" s="400">
        <v>0</v>
      </c>
      <c r="O150" s="400">
        <v>0</v>
      </c>
      <c r="P150" s="400">
        <v>0</v>
      </c>
      <c r="Q150" s="400">
        <v>0</v>
      </c>
      <c r="R150" s="400">
        <v>0</v>
      </c>
      <c r="S150" s="400">
        <v>0</v>
      </c>
      <c r="T150" s="400">
        <v>0</v>
      </c>
      <c r="U150" s="400">
        <v>0</v>
      </c>
      <c r="V150" s="400">
        <v>0</v>
      </c>
      <c r="W150" s="400">
        <v>0</v>
      </c>
      <c r="X150" s="400">
        <v>0</v>
      </c>
      <c r="Y150" s="400">
        <v>0</v>
      </c>
      <c r="Z150" s="400">
        <v>0</v>
      </c>
      <c r="AA150" s="400">
        <v>0</v>
      </c>
      <c r="AB150" s="400">
        <v>0</v>
      </c>
      <c r="AC150" s="400">
        <v>0</v>
      </c>
      <c r="AD150" s="400">
        <v>0</v>
      </c>
      <c r="AE150" s="400">
        <v>0</v>
      </c>
      <c r="AF150" s="400">
        <v>0</v>
      </c>
      <c r="AG150" s="400">
        <v>0</v>
      </c>
      <c r="AH150" s="400">
        <v>0</v>
      </c>
      <c r="AI150" s="400">
        <v>0</v>
      </c>
      <c r="AJ150" s="400">
        <v>0</v>
      </c>
      <c r="AK150" s="400">
        <v>0</v>
      </c>
      <c r="AL150" s="400">
        <v>0</v>
      </c>
      <c r="AM150" s="400">
        <v>0</v>
      </c>
      <c r="AN150" s="400">
        <v>0</v>
      </c>
      <c r="AO150" s="400">
        <v>0</v>
      </c>
      <c r="AP150" s="400">
        <v>0</v>
      </c>
      <c r="AQ150" s="400">
        <v>0</v>
      </c>
      <c r="AR150" s="400">
        <v>0</v>
      </c>
      <c r="AS150" s="400">
        <v>0</v>
      </c>
      <c r="AT150" s="400">
        <v>0</v>
      </c>
      <c r="AU150" s="400">
        <v>0</v>
      </c>
      <c r="AV150" s="400">
        <v>0</v>
      </c>
      <c r="AW150" s="400">
        <v>0</v>
      </c>
      <c r="AX150" s="400">
        <v>0</v>
      </c>
      <c r="AY150" s="400">
        <v>0</v>
      </c>
      <c r="AZ150" s="400">
        <v>0</v>
      </c>
      <c r="BA150" s="400">
        <v>0</v>
      </c>
      <c r="BB150" s="400">
        <v>0</v>
      </c>
      <c r="BC150" s="400">
        <v>0</v>
      </c>
      <c r="BD150" s="400">
        <v>0</v>
      </c>
      <c r="BE150" s="400">
        <v>0</v>
      </c>
      <c r="BF150" s="400">
        <v>0</v>
      </c>
      <c r="BG150" s="400">
        <v>0</v>
      </c>
      <c r="BH150" s="400">
        <v>0</v>
      </c>
      <c r="BI150" s="400">
        <v>0</v>
      </c>
      <c r="BJ150" s="400">
        <v>0</v>
      </c>
      <c r="BK150" s="400">
        <v>0</v>
      </c>
      <c r="BL150" s="400">
        <v>0</v>
      </c>
      <c r="BM150" s="400">
        <v>0</v>
      </c>
      <c r="BN150" s="400">
        <v>0</v>
      </c>
      <c r="BO150" s="400">
        <v>0</v>
      </c>
      <c r="BP150" s="400">
        <v>0</v>
      </c>
      <c r="BQ150" s="400">
        <v>0</v>
      </c>
      <c r="BR150" s="400">
        <v>0</v>
      </c>
      <c r="BS150" s="400">
        <v>0</v>
      </c>
      <c r="BT150" s="400">
        <v>0</v>
      </c>
      <c r="BU150" s="400">
        <v>0</v>
      </c>
      <c r="BV150" s="400">
        <v>0</v>
      </c>
      <c r="BW150" s="400">
        <v>0</v>
      </c>
      <c r="BX150" s="400">
        <v>0</v>
      </c>
      <c r="BY150" s="400">
        <v>0</v>
      </c>
      <c r="BZ150" s="400">
        <v>0</v>
      </c>
      <c r="CA150" s="400">
        <v>0</v>
      </c>
      <c r="CB150" s="400">
        <v>0</v>
      </c>
      <c r="CC150" s="400">
        <v>0</v>
      </c>
      <c r="CD150" s="400">
        <v>0</v>
      </c>
      <c r="CE150" s="400">
        <v>0</v>
      </c>
      <c r="CF150" s="400">
        <v>0</v>
      </c>
      <c r="CG150" s="400">
        <v>0</v>
      </c>
      <c r="CH150" s="400">
        <v>0</v>
      </c>
      <c r="CI150" s="400">
        <v>0</v>
      </c>
      <c r="CJ150" s="400">
        <v>0</v>
      </c>
      <c r="CK150" s="400">
        <v>0</v>
      </c>
      <c r="CL150" s="400">
        <v>0</v>
      </c>
      <c r="CM150" s="400">
        <v>0</v>
      </c>
      <c r="CN150" s="400">
        <v>0</v>
      </c>
      <c r="CO150" s="400">
        <v>0</v>
      </c>
      <c r="CP150" s="400">
        <v>0</v>
      </c>
      <c r="CQ150" s="400">
        <v>0</v>
      </c>
      <c r="CR150" s="400">
        <v>0</v>
      </c>
      <c r="CS150" s="400">
        <v>0</v>
      </c>
      <c r="CT150" s="400">
        <v>0</v>
      </c>
      <c r="CU150" s="400">
        <v>0</v>
      </c>
      <c r="CV150" s="400">
        <v>0</v>
      </c>
      <c r="CW150" s="400">
        <v>0</v>
      </c>
      <c r="CX150" s="400">
        <v>0</v>
      </c>
      <c r="CY150" s="400">
        <v>0</v>
      </c>
      <c r="CZ150" s="400">
        <v>0</v>
      </c>
      <c r="DA150" s="400">
        <v>0</v>
      </c>
      <c r="DB150" s="400">
        <v>0</v>
      </c>
      <c r="DC150" s="400">
        <v>0</v>
      </c>
    </row>
    <row r="151" spans="1:107" x14ac:dyDescent="0.3">
      <c r="C151" s="321" t="str">
        <f>++C$53</f>
        <v>% revenue</v>
      </c>
      <c r="G151" s="214" t="str">
        <f>++IFERROR(G150/G108,"n/a")</f>
        <v>n/a</v>
      </c>
      <c r="H151" s="225" t="str">
        <f t="shared" ref="H151" si="1657">++IFERROR(H150/H108,"n/a")</f>
        <v>n/a</v>
      </c>
      <c r="I151" s="225" t="str">
        <f t="shared" ref="I151" si="1658">++IFERROR(I150/I108,"n/a")</f>
        <v>n/a</v>
      </c>
      <c r="J151" s="225" t="str">
        <f t="shared" ref="J151" si="1659">++IFERROR(J150/J108,"n/a")</f>
        <v>n/a</v>
      </c>
      <c r="K151" s="214" t="str">
        <f t="shared" ref="K151" si="1660">++IFERROR(K150/K108,"n/a")</f>
        <v>n/a</v>
      </c>
      <c r="L151" s="225" t="str">
        <f t="shared" ref="L151" si="1661">++IFERROR(L150/L108,"n/a")</f>
        <v>n/a</v>
      </c>
      <c r="M151" s="225" t="str">
        <f t="shared" ref="M151" si="1662">++IFERROR(M150/M108,"n/a")</f>
        <v>n/a</v>
      </c>
      <c r="N151" s="225" t="str">
        <f t="shared" ref="N151" si="1663">++IFERROR(N150/N108,"n/a")</f>
        <v>n/a</v>
      </c>
      <c r="O151" s="225" t="str">
        <f t="shared" ref="O151" si="1664">++IFERROR(O150/O108,"n/a")</f>
        <v>n/a</v>
      </c>
      <c r="P151" s="225" t="str">
        <f t="shared" ref="P151" si="1665">++IFERROR(P150/P108,"n/a")</f>
        <v>n/a</v>
      </c>
      <c r="Q151" s="225" t="str">
        <f t="shared" ref="Q151" si="1666">++IFERROR(Q150/Q108,"n/a")</f>
        <v>n/a</v>
      </c>
      <c r="R151" s="225" t="str">
        <f t="shared" ref="R151" si="1667">++IFERROR(R150/R108,"n/a")</f>
        <v>n/a</v>
      </c>
      <c r="S151" s="225" t="str">
        <f t="shared" ref="S151" si="1668">++IFERROR(S150/S108,"n/a")</f>
        <v>n/a</v>
      </c>
      <c r="T151" s="225" t="str">
        <f t="shared" ref="T151" si="1669">++IFERROR(T150/T108,"n/a")</f>
        <v>n/a</v>
      </c>
      <c r="U151" s="225" t="str">
        <f t="shared" ref="U151" si="1670">++IFERROR(U150/U108,"n/a")</f>
        <v>n/a</v>
      </c>
      <c r="V151" s="225" t="str">
        <f t="shared" ref="V151" si="1671">++IFERROR(V150/V108,"n/a")</f>
        <v>n/a</v>
      </c>
      <c r="W151" s="214" t="str">
        <f t="shared" ref="W151" si="1672">++IFERROR(W150/W108,"n/a")</f>
        <v>n/a</v>
      </c>
      <c r="X151" s="225" t="str">
        <f t="shared" ref="X151" si="1673">++IFERROR(X150/X108,"n/a")</f>
        <v>n/a</v>
      </c>
      <c r="Y151" s="225" t="str">
        <f t="shared" ref="Y151" si="1674">++IFERROR(Y150/Y108,"n/a")</f>
        <v>n/a</v>
      </c>
      <c r="Z151" s="225" t="str">
        <f t="shared" ref="Z151" si="1675">++IFERROR(Z150/Z108,"n/a")</f>
        <v>n/a</v>
      </c>
      <c r="AA151" s="225" t="str">
        <f t="shared" ref="AA151" si="1676">++IFERROR(AA150/AA108,"n/a")</f>
        <v>n/a</v>
      </c>
      <c r="AB151" s="225" t="str">
        <f t="shared" ref="AB151" si="1677">++IFERROR(AB150/AB108,"n/a")</f>
        <v>n/a</v>
      </c>
      <c r="AC151" s="225" t="str">
        <f t="shared" ref="AC151" si="1678">++IFERROR(AC150/AC108,"n/a")</f>
        <v>n/a</v>
      </c>
      <c r="AD151" s="225" t="str">
        <f t="shared" ref="AD151" si="1679">++IFERROR(AD150/AD108,"n/a")</f>
        <v>n/a</v>
      </c>
      <c r="AE151" s="225" t="str">
        <f t="shared" ref="AE151" si="1680">++IFERROR(AE150/AE108,"n/a")</f>
        <v>n/a</v>
      </c>
      <c r="AF151" s="225" t="str">
        <f t="shared" ref="AF151" si="1681">++IFERROR(AF150/AF108,"n/a")</f>
        <v>n/a</v>
      </c>
      <c r="AG151" s="225" t="str">
        <f t="shared" ref="AG151" si="1682">++IFERROR(AG150/AG108,"n/a")</f>
        <v>n/a</v>
      </c>
      <c r="AH151" s="225" t="str">
        <f t="shared" ref="AH151" si="1683">++IFERROR(AH150/AH108,"n/a")</f>
        <v>n/a</v>
      </c>
      <c r="AI151" s="214" t="str">
        <f t="shared" ref="AI151" si="1684">++IFERROR(AI150/AI108,"n/a")</f>
        <v>n/a</v>
      </c>
      <c r="AJ151" s="225" t="str">
        <f t="shared" ref="AJ151" si="1685">++IFERROR(AJ150/AJ108,"n/a")</f>
        <v>n/a</v>
      </c>
      <c r="AK151" s="225" t="str">
        <f t="shared" ref="AK151" si="1686">++IFERROR(AK150/AK108,"n/a")</f>
        <v>n/a</v>
      </c>
      <c r="AL151" s="225" t="str">
        <f t="shared" ref="AL151" si="1687">++IFERROR(AL150/AL108,"n/a")</f>
        <v>n/a</v>
      </c>
      <c r="AM151" s="225" t="str">
        <f t="shared" ref="AM151" si="1688">++IFERROR(AM150/AM108,"n/a")</f>
        <v>n/a</v>
      </c>
      <c r="AN151" s="225" t="str">
        <f t="shared" ref="AN151" si="1689">++IFERROR(AN150/AN108,"n/a")</f>
        <v>n/a</v>
      </c>
      <c r="AO151" s="225" t="str">
        <f t="shared" ref="AO151" si="1690">++IFERROR(AO150/AO108,"n/a")</f>
        <v>n/a</v>
      </c>
      <c r="AP151" s="225" t="str">
        <f t="shared" ref="AP151" si="1691">++IFERROR(AP150/AP108,"n/a")</f>
        <v>n/a</v>
      </c>
      <c r="AQ151" s="225" t="str">
        <f t="shared" ref="AQ151" si="1692">++IFERROR(AQ150/AQ108,"n/a")</f>
        <v>n/a</v>
      </c>
      <c r="AR151" s="225" t="str">
        <f t="shared" ref="AR151" si="1693">++IFERROR(AR150/AR108,"n/a")</f>
        <v>n/a</v>
      </c>
      <c r="AS151" s="225" t="str">
        <f t="shared" ref="AS151" si="1694">++IFERROR(AS150/AS108,"n/a")</f>
        <v>n/a</v>
      </c>
      <c r="AT151" s="225" t="str">
        <f t="shared" ref="AT151" si="1695">++IFERROR(AT150/AT108,"n/a")</f>
        <v>n/a</v>
      </c>
      <c r="AU151" s="214" t="str">
        <f t="shared" ref="AU151" si="1696">++IFERROR(AU150/AU108,"n/a")</f>
        <v>n/a</v>
      </c>
      <c r="AV151" s="225" t="str">
        <f t="shared" ref="AV151" si="1697">++IFERROR(AV150/AV108,"n/a")</f>
        <v>n/a</v>
      </c>
      <c r="AW151" s="225" t="str">
        <f t="shared" ref="AW151" si="1698">++IFERROR(AW150/AW108,"n/a")</f>
        <v>n/a</v>
      </c>
      <c r="AX151" s="225" t="str">
        <f t="shared" ref="AX151" si="1699">++IFERROR(AX150/AX108,"n/a")</f>
        <v>n/a</v>
      </c>
      <c r="AY151" s="225" t="str">
        <f t="shared" ref="AY151" si="1700">++IFERROR(AY150/AY108,"n/a")</f>
        <v>n/a</v>
      </c>
      <c r="AZ151" s="225" t="str">
        <f t="shared" ref="AZ151" si="1701">++IFERROR(AZ150/AZ108,"n/a")</f>
        <v>n/a</v>
      </c>
      <c r="BA151" s="225" t="str">
        <f t="shared" ref="BA151" si="1702">++IFERROR(BA150/BA108,"n/a")</f>
        <v>n/a</v>
      </c>
      <c r="BB151" s="225" t="str">
        <f t="shared" ref="BB151" si="1703">++IFERROR(BB150/BB108,"n/a")</f>
        <v>n/a</v>
      </c>
      <c r="BC151" s="225" t="str">
        <f t="shared" ref="BC151" si="1704">++IFERROR(BC150/BC108,"n/a")</f>
        <v>n/a</v>
      </c>
      <c r="BD151" s="225" t="str">
        <f t="shared" ref="BD151" si="1705">++IFERROR(BD150/BD108,"n/a")</f>
        <v>n/a</v>
      </c>
      <c r="BE151" s="225" t="str">
        <f t="shared" ref="BE151" si="1706">++IFERROR(BE150/BE108,"n/a")</f>
        <v>n/a</v>
      </c>
      <c r="BF151" s="225" t="str">
        <f t="shared" ref="BF151" si="1707">++IFERROR(BF150/BF108,"n/a")</f>
        <v>n/a</v>
      </c>
      <c r="BG151" s="214" t="str">
        <f t="shared" ref="BG151" si="1708">++IFERROR(BG150/BG108,"n/a")</f>
        <v>n/a</v>
      </c>
      <c r="BH151" s="225" t="str">
        <f t="shared" ref="BH151" si="1709">++IFERROR(BH150/BH108,"n/a")</f>
        <v>n/a</v>
      </c>
      <c r="BI151" s="225" t="str">
        <f t="shared" ref="BI151" si="1710">++IFERROR(BI150/BI108,"n/a")</f>
        <v>n/a</v>
      </c>
      <c r="BJ151" s="225" t="str">
        <f t="shared" ref="BJ151" si="1711">++IFERROR(BJ150/BJ108,"n/a")</f>
        <v>n/a</v>
      </c>
      <c r="BK151" s="225" t="str">
        <f t="shared" ref="BK151" si="1712">++IFERROR(BK150/BK108,"n/a")</f>
        <v>n/a</v>
      </c>
      <c r="BL151" s="225" t="str">
        <f t="shared" ref="BL151" si="1713">++IFERROR(BL150/BL108,"n/a")</f>
        <v>n/a</v>
      </c>
      <c r="BM151" s="225" t="str">
        <f t="shared" ref="BM151" si="1714">++IFERROR(BM150/BM108,"n/a")</f>
        <v>n/a</v>
      </c>
      <c r="BN151" s="225" t="str">
        <f t="shared" ref="BN151" si="1715">++IFERROR(BN150/BN108,"n/a")</f>
        <v>n/a</v>
      </c>
      <c r="BO151" s="225" t="str">
        <f t="shared" ref="BO151" si="1716">++IFERROR(BO150/BO108,"n/a")</f>
        <v>n/a</v>
      </c>
      <c r="BP151" s="225" t="str">
        <f t="shared" ref="BP151" si="1717">++IFERROR(BP150/BP108,"n/a")</f>
        <v>n/a</v>
      </c>
      <c r="BQ151" s="225" t="str">
        <f t="shared" ref="BQ151" si="1718">++IFERROR(BQ150/BQ108,"n/a")</f>
        <v>n/a</v>
      </c>
      <c r="BR151" s="225" t="str">
        <f t="shared" ref="BR151" si="1719">++IFERROR(BR150/BR108,"n/a")</f>
        <v>n/a</v>
      </c>
      <c r="BS151" s="214" t="str">
        <f t="shared" ref="BS151" si="1720">++IFERROR(BS150/BS108,"n/a")</f>
        <v>n/a</v>
      </c>
      <c r="BT151" s="225" t="str">
        <f t="shared" ref="BT151" si="1721">++IFERROR(BT150/BT108,"n/a")</f>
        <v>n/a</v>
      </c>
      <c r="BU151" s="225" t="str">
        <f t="shared" ref="BU151" si="1722">++IFERROR(BU150/BU108,"n/a")</f>
        <v>n/a</v>
      </c>
      <c r="BV151" s="225" t="str">
        <f t="shared" ref="BV151" si="1723">++IFERROR(BV150/BV108,"n/a")</f>
        <v>n/a</v>
      </c>
      <c r="BW151" s="225" t="str">
        <f t="shared" ref="BW151" si="1724">++IFERROR(BW150/BW108,"n/a")</f>
        <v>n/a</v>
      </c>
      <c r="BX151" s="225" t="str">
        <f t="shared" ref="BX151" si="1725">++IFERROR(BX150/BX108,"n/a")</f>
        <v>n/a</v>
      </c>
      <c r="BY151" s="225" t="str">
        <f t="shared" ref="BY151" si="1726">++IFERROR(BY150/BY108,"n/a")</f>
        <v>n/a</v>
      </c>
      <c r="BZ151" s="225" t="str">
        <f t="shared" ref="BZ151" si="1727">++IFERROR(BZ150/BZ108,"n/a")</f>
        <v>n/a</v>
      </c>
      <c r="CA151" s="225" t="str">
        <f t="shared" ref="CA151" si="1728">++IFERROR(CA150/CA108,"n/a")</f>
        <v>n/a</v>
      </c>
      <c r="CB151" s="225" t="str">
        <f t="shared" ref="CB151" si="1729">++IFERROR(CB150/CB108,"n/a")</f>
        <v>n/a</v>
      </c>
      <c r="CC151" s="225" t="str">
        <f t="shared" ref="CC151" si="1730">++IFERROR(CC150/CC108,"n/a")</f>
        <v>n/a</v>
      </c>
      <c r="CD151" s="225" t="str">
        <f t="shared" ref="CD151" si="1731">++IFERROR(CD150/CD108,"n/a")</f>
        <v>n/a</v>
      </c>
      <c r="CE151" s="214" t="str">
        <f t="shared" ref="CE151" si="1732">++IFERROR(CE150/CE108,"n/a")</f>
        <v>n/a</v>
      </c>
      <c r="CF151" s="225" t="str">
        <f t="shared" ref="CF151" si="1733">++IFERROR(CF150/CF108,"n/a")</f>
        <v>n/a</v>
      </c>
      <c r="CG151" s="225" t="str">
        <f t="shared" ref="CG151" si="1734">++IFERROR(CG150/CG108,"n/a")</f>
        <v>n/a</v>
      </c>
      <c r="CH151" s="225" t="str">
        <f t="shared" ref="CH151" si="1735">++IFERROR(CH150/CH108,"n/a")</f>
        <v>n/a</v>
      </c>
      <c r="CI151" s="225" t="str">
        <f t="shared" ref="CI151" si="1736">++IFERROR(CI150/CI108,"n/a")</f>
        <v>n/a</v>
      </c>
      <c r="CJ151" s="225" t="str">
        <f t="shared" ref="CJ151" si="1737">++IFERROR(CJ150/CJ108,"n/a")</f>
        <v>n/a</v>
      </c>
      <c r="CK151" s="225" t="str">
        <f t="shared" ref="CK151" si="1738">++IFERROR(CK150/CK108,"n/a")</f>
        <v>n/a</v>
      </c>
      <c r="CL151" s="225" t="str">
        <f t="shared" ref="CL151" si="1739">++IFERROR(CL150/CL108,"n/a")</f>
        <v>n/a</v>
      </c>
      <c r="CM151" s="225" t="str">
        <f t="shared" ref="CM151" si="1740">++IFERROR(CM150/CM108,"n/a")</f>
        <v>n/a</v>
      </c>
      <c r="CN151" s="225" t="str">
        <f t="shared" ref="CN151" si="1741">++IFERROR(CN150/CN108,"n/a")</f>
        <v>n/a</v>
      </c>
      <c r="CO151" s="225" t="str">
        <f t="shared" ref="CO151" si="1742">++IFERROR(CO150/CO108,"n/a")</f>
        <v>n/a</v>
      </c>
      <c r="CP151" s="225" t="str">
        <f t="shared" ref="CP151" si="1743">++IFERROR(CP150/CP108,"n/a")</f>
        <v>n/a</v>
      </c>
      <c r="CQ151" s="214" t="str">
        <f t="shared" ref="CQ151" si="1744">++IFERROR(CQ150/CQ108,"n/a")</f>
        <v>n/a</v>
      </c>
      <c r="CR151" s="225" t="str">
        <f t="shared" ref="CR151" si="1745">++IFERROR(CR150/CR108,"n/a")</f>
        <v>n/a</v>
      </c>
      <c r="CS151" s="225" t="str">
        <f t="shared" ref="CS151" si="1746">++IFERROR(CS150/CS108,"n/a")</f>
        <v>n/a</v>
      </c>
      <c r="CT151" s="225" t="str">
        <f t="shared" ref="CT151" si="1747">++IFERROR(CT150/CT108,"n/a")</f>
        <v>n/a</v>
      </c>
      <c r="CU151" s="225" t="str">
        <f t="shared" ref="CU151" si="1748">++IFERROR(CU150/CU108,"n/a")</f>
        <v>n/a</v>
      </c>
      <c r="CV151" s="225" t="str">
        <f t="shared" ref="CV151" si="1749">++IFERROR(CV150/CV108,"n/a")</f>
        <v>n/a</v>
      </c>
      <c r="CW151" s="225" t="str">
        <f t="shared" ref="CW151" si="1750">++IFERROR(CW150/CW108,"n/a")</f>
        <v>n/a</v>
      </c>
      <c r="CX151" s="225" t="str">
        <f t="shared" ref="CX151" si="1751">++IFERROR(CX150/CX108,"n/a")</f>
        <v>n/a</v>
      </c>
      <c r="CY151" s="225" t="str">
        <f t="shared" ref="CY151" si="1752">++IFERROR(CY150/CY108,"n/a")</f>
        <v>n/a</v>
      </c>
      <c r="CZ151" s="225" t="str">
        <f t="shared" ref="CZ151" si="1753">++IFERROR(CZ150/CZ108,"n/a")</f>
        <v>n/a</v>
      </c>
      <c r="DA151" s="225" t="str">
        <f t="shared" ref="DA151" si="1754">++IFERROR(DA150/DA108,"n/a")</f>
        <v>n/a</v>
      </c>
      <c r="DB151" s="225" t="str">
        <f t="shared" ref="DB151" si="1755">++IFERROR(DB150/DB108,"n/a")</f>
        <v>n/a</v>
      </c>
      <c r="DC151" s="214" t="str">
        <f t="shared" ref="DC151" si="1756">++IFERROR(DC150/DC108,"n/a")</f>
        <v>n/a</v>
      </c>
    </row>
    <row r="152" spans="1:107" x14ac:dyDescent="0.3">
      <c r="C152" s="321" t="str">
        <f>++C$54</f>
        <v>% FCF conversion</v>
      </c>
      <c r="G152" s="214" t="str">
        <f>++IFERROR((G146-G150)/G146,"n/a")</f>
        <v>n/a</v>
      </c>
      <c r="H152" s="225" t="str">
        <f t="shared" ref="H152:BS152" si="1757">++IFERROR((H146-H150)/H146,"n/a")</f>
        <v>n/a</v>
      </c>
      <c r="I152" s="225" t="str">
        <f t="shared" si="1757"/>
        <v>n/a</v>
      </c>
      <c r="J152" s="225" t="str">
        <f t="shared" si="1757"/>
        <v>n/a</v>
      </c>
      <c r="K152" s="214" t="str">
        <f t="shared" si="1757"/>
        <v>n/a</v>
      </c>
      <c r="L152" s="225" t="str">
        <f t="shared" si="1757"/>
        <v>n/a</v>
      </c>
      <c r="M152" s="225" t="str">
        <f t="shared" si="1757"/>
        <v>n/a</v>
      </c>
      <c r="N152" s="225" t="str">
        <f t="shared" si="1757"/>
        <v>n/a</v>
      </c>
      <c r="O152" s="225" t="str">
        <f t="shared" si="1757"/>
        <v>n/a</v>
      </c>
      <c r="P152" s="225" t="str">
        <f t="shared" si="1757"/>
        <v>n/a</v>
      </c>
      <c r="Q152" s="225" t="str">
        <f t="shared" si="1757"/>
        <v>n/a</v>
      </c>
      <c r="R152" s="225" t="str">
        <f t="shared" si="1757"/>
        <v>n/a</v>
      </c>
      <c r="S152" s="225" t="str">
        <f t="shared" si="1757"/>
        <v>n/a</v>
      </c>
      <c r="T152" s="225" t="str">
        <f t="shared" si="1757"/>
        <v>n/a</v>
      </c>
      <c r="U152" s="225" t="str">
        <f t="shared" si="1757"/>
        <v>n/a</v>
      </c>
      <c r="V152" s="225" t="str">
        <f t="shared" si="1757"/>
        <v>n/a</v>
      </c>
      <c r="W152" s="214" t="str">
        <f t="shared" si="1757"/>
        <v>n/a</v>
      </c>
      <c r="X152" s="225" t="str">
        <f t="shared" si="1757"/>
        <v>n/a</v>
      </c>
      <c r="Y152" s="225" t="str">
        <f t="shared" si="1757"/>
        <v>n/a</v>
      </c>
      <c r="Z152" s="225" t="str">
        <f t="shared" si="1757"/>
        <v>n/a</v>
      </c>
      <c r="AA152" s="225" t="str">
        <f t="shared" si="1757"/>
        <v>n/a</v>
      </c>
      <c r="AB152" s="225" t="str">
        <f t="shared" si="1757"/>
        <v>n/a</v>
      </c>
      <c r="AC152" s="225" t="str">
        <f t="shared" si="1757"/>
        <v>n/a</v>
      </c>
      <c r="AD152" s="225" t="str">
        <f t="shared" si="1757"/>
        <v>n/a</v>
      </c>
      <c r="AE152" s="225" t="str">
        <f t="shared" si="1757"/>
        <v>n/a</v>
      </c>
      <c r="AF152" s="225" t="str">
        <f t="shared" si="1757"/>
        <v>n/a</v>
      </c>
      <c r="AG152" s="225" t="str">
        <f t="shared" si="1757"/>
        <v>n/a</v>
      </c>
      <c r="AH152" s="225" t="str">
        <f t="shared" si="1757"/>
        <v>n/a</v>
      </c>
      <c r="AI152" s="214" t="str">
        <f t="shared" si="1757"/>
        <v>n/a</v>
      </c>
      <c r="AJ152" s="225" t="str">
        <f t="shared" si="1757"/>
        <v>n/a</v>
      </c>
      <c r="AK152" s="225" t="str">
        <f t="shared" si="1757"/>
        <v>n/a</v>
      </c>
      <c r="AL152" s="225" t="str">
        <f t="shared" si="1757"/>
        <v>n/a</v>
      </c>
      <c r="AM152" s="225" t="str">
        <f t="shared" si="1757"/>
        <v>n/a</v>
      </c>
      <c r="AN152" s="225" t="str">
        <f t="shared" si="1757"/>
        <v>n/a</v>
      </c>
      <c r="AO152" s="225" t="str">
        <f t="shared" si="1757"/>
        <v>n/a</v>
      </c>
      <c r="AP152" s="225" t="str">
        <f t="shared" si="1757"/>
        <v>n/a</v>
      </c>
      <c r="AQ152" s="225" t="str">
        <f t="shared" si="1757"/>
        <v>n/a</v>
      </c>
      <c r="AR152" s="225" t="str">
        <f t="shared" si="1757"/>
        <v>n/a</v>
      </c>
      <c r="AS152" s="225" t="str">
        <f t="shared" si="1757"/>
        <v>n/a</v>
      </c>
      <c r="AT152" s="225" t="str">
        <f t="shared" si="1757"/>
        <v>n/a</v>
      </c>
      <c r="AU152" s="214" t="str">
        <f t="shared" si="1757"/>
        <v>n/a</v>
      </c>
      <c r="AV152" s="225" t="str">
        <f t="shared" si="1757"/>
        <v>n/a</v>
      </c>
      <c r="AW152" s="225" t="str">
        <f t="shared" si="1757"/>
        <v>n/a</v>
      </c>
      <c r="AX152" s="225" t="str">
        <f t="shared" si="1757"/>
        <v>n/a</v>
      </c>
      <c r="AY152" s="225" t="str">
        <f t="shared" si="1757"/>
        <v>n/a</v>
      </c>
      <c r="AZ152" s="225" t="str">
        <f t="shared" si="1757"/>
        <v>n/a</v>
      </c>
      <c r="BA152" s="225" t="str">
        <f t="shared" si="1757"/>
        <v>n/a</v>
      </c>
      <c r="BB152" s="225" t="str">
        <f t="shared" si="1757"/>
        <v>n/a</v>
      </c>
      <c r="BC152" s="225" t="str">
        <f t="shared" si="1757"/>
        <v>n/a</v>
      </c>
      <c r="BD152" s="225" t="str">
        <f t="shared" si="1757"/>
        <v>n/a</v>
      </c>
      <c r="BE152" s="225" t="str">
        <f t="shared" si="1757"/>
        <v>n/a</v>
      </c>
      <c r="BF152" s="225" t="str">
        <f t="shared" si="1757"/>
        <v>n/a</v>
      </c>
      <c r="BG152" s="214" t="str">
        <f t="shared" si="1757"/>
        <v>n/a</v>
      </c>
      <c r="BH152" s="225" t="str">
        <f t="shared" si="1757"/>
        <v>n/a</v>
      </c>
      <c r="BI152" s="225" t="str">
        <f t="shared" si="1757"/>
        <v>n/a</v>
      </c>
      <c r="BJ152" s="225" t="str">
        <f t="shared" si="1757"/>
        <v>n/a</v>
      </c>
      <c r="BK152" s="225" t="str">
        <f t="shared" si="1757"/>
        <v>n/a</v>
      </c>
      <c r="BL152" s="225" t="str">
        <f t="shared" si="1757"/>
        <v>n/a</v>
      </c>
      <c r="BM152" s="225" t="str">
        <f t="shared" si="1757"/>
        <v>n/a</v>
      </c>
      <c r="BN152" s="225" t="str">
        <f t="shared" si="1757"/>
        <v>n/a</v>
      </c>
      <c r="BO152" s="225" t="str">
        <f t="shared" si="1757"/>
        <v>n/a</v>
      </c>
      <c r="BP152" s="225" t="str">
        <f t="shared" si="1757"/>
        <v>n/a</v>
      </c>
      <c r="BQ152" s="225" t="str">
        <f t="shared" si="1757"/>
        <v>n/a</v>
      </c>
      <c r="BR152" s="225" t="str">
        <f t="shared" si="1757"/>
        <v>n/a</v>
      </c>
      <c r="BS152" s="214" t="str">
        <f t="shared" si="1757"/>
        <v>n/a</v>
      </c>
      <c r="BT152" s="225" t="str">
        <f t="shared" ref="BT152:DC152" si="1758">++IFERROR((BT146-BT150)/BT146,"n/a")</f>
        <v>n/a</v>
      </c>
      <c r="BU152" s="225" t="str">
        <f t="shared" si="1758"/>
        <v>n/a</v>
      </c>
      <c r="BV152" s="225" t="str">
        <f t="shared" si="1758"/>
        <v>n/a</v>
      </c>
      <c r="BW152" s="225" t="str">
        <f t="shared" si="1758"/>
        <v>n/a</v>
      </c>
      <c r="BX152" s="225" t="str">
        <f t="shared" si="1758"/>
        <v>n/a</v>
      </c>
      <c r="BY152" s="225" t="str">
        <f t="shared" si="1758"/>
        <v>n/a</v>
      </c>
      <c r="BZ152" s="225" t="str">
        <f t="shared" si="1758"/>
        <v>n/a</v>
      </c>
      <c r="CA152" s="225" t="str">
        <f t="shared" si="1758"/>
        <v>n/a</v>
      </c>
      <c r="CB152" s="225" t="str">
        <f t="shared" si="1758"/>
        <v>n/a</v>
      </c>
      <c r="CC152" s="225" t="str">
        <f t="shared" si="1758"/>
        <v>n/a</v>
      </c>
      <c r="CD152" s="225" t="str">
        <f t="shared" si="1758"/>
        <v>n/a</v>
      </c>
      <c r="CE152" s="214" t="str">
        <f t="shared" si="1758"/>
        <v>n/a</v>
      </c>
      <c r="CF152" s="225" t="str">
        <f t="shared" si="1758"/>
        <v>n/a</v>
      </c>
      <c r="CG152" s="225" t="str">
        <f t="shared" si="1758"/>
        <v>n/a</v>
      </c>
      <c r="CH152" s="225" t="str">
        <f t="shared" si="1758"/>
        <v>n/a</v>
      </c>
      <c r="CI152" s="225" t="str">
        <f t="shared" si="1758"/>
        <v>n/a</v>
      </c>
      <c r="CJ152" s="225" t="str">
        <f t="shared" si="1758"/>
        <v>n/a</v>
      </c>
      <c r="CK152" s="225" t="str">
        <f t="shared" si="1758"/>
        <v>n/a</v>
      </c>
      <c r="CL152" s="225" t="str">
        <f t="shared" si="1758"/>
        <v>n/a</v>
      </c>
      <c r="CM152" s="225" t="str">
        <f t="shared" si="1758"/>
        <v>n/a</v>
      </c>
      <c r="CN152" s="225" t="str">
        <f t="shared" si="1758"/>
        <v>n/a</v>
      </c>
      <c r="CO152" s="225" t="str">
        <f t="shared" si="1758"/>
        <v>n/a</v>
      </c>
      <c r="CP152" s="225" t="str">
        <f t="shared" si="1758"/>
        <v>n/a</v>
      </c>
      <c r="CQ152" s="214" t="str">
        <f t="shared" si="1758"/>
        <v>n/a</v>
      </c>
      <c r="CR152" s="225" t="str">
        <f t="shared" si="1758"/>
        <v>n/a</v>
      </c>
      <c r="CS152" s="225" t="str">
        <f t="shared" si="1758"/>
        <v>n/a</v>
      </c>
      <c r="CT152" s="225" t="str">
        <f t="shared" si="1758"/>
        <v>n/a</v>
      </c>
      <c r="CU152" s="225" t="str">
        <f t="shared" si="1758"/>
        <v>n/a</v>
      </c>
      <c r="CV152" s="225" t="str">
        <f t="shared" si="1758"/>
        <v>n/a</v>
      </c>
      <c r="CW152" s="225" t="str">
        <f t="shared" si="1758"/>
        <v>n/a</v>
      </c>
      <c r="CX152" s="225" t="str">
        <f t="shared" si="1758"/>
        <v>n/a</v>
      </c>
      <c r="CY152" s="225" t="str">
        <f t="shared" si="1758"/>
        <v>n/a</v>
      </c>
      <c r="CZ152" s="225" t="str">
        <f t="shared" si="1758"/>
        <v>n/a</v>
      </c>
      <c r="DA152" s="225" t="str">
        <f t="shared" si="1758"/>
        <v>n/a</v>
      </c>
      <c r="DB152" s="225" t="str">
        <f t="shared" si="1758"/>
        <v>n/a</v>
      </c>
      <c r="DC152" s="214" t="str">
        <f t="shared" si="1758"/>
        <v>n/a</v>
      </c>
    </row>
    <row r="153" spans="1:107" x14ac:dyDescent="0.3">
      <c r="G153" s="203"/>
      <c r="K153" s="203"/>
      <c r="W153" s="203"/>
      <c r="AI153" s="203"/>
      <c r="AU153" s="203"/>
      <c r="BG153" s="203"/>
      <c r="BS153" s="203"/>
      <c r="CE153" s="203"/>
      <c r="CQ153" s="203"/>
      <c r="DC153" s="203"/>
    </row>
    <row r="154" spans="1:107" x14ac:dyDescent="0.3">
      <c r="G154" s="203"/>
      <c r="K154" s="203"/>
      <c r="W154" s="203"/>
      <c r="AI154" s="203"/>
      <c r="AU154" s="203"/>
      <c r="BG154" s="203"/>
      <c r="BS154" s="203"/>
      <c r="CE154" s="203"/>
      <c r="CQ154" s="203"/>
      <c r="DC154" s="203"/>
    </row>
    <row r="155" spans="1:107" x14ac:dyDescent="0.3">
      <c r="A155" s="319" t="s">
        <v>0</v>
      </c>
      <c r="B155" s="319" t="s">
        <v>0</v>
      </c>
      <c r="C155" s="166" t="s">
        <v>511</v>
      </c>
      <c r="D155" s="365"/>
      <c r="E155" s="365"/>
      <c r="F155" s="365"/>
      <c r="G155" s="365"/>
      <c r="H155" s="365"/>
      <c r="I155" s="365"/>
      <c r="J155" s="365"/>
      <c r="K155" s="365"/>
      <c r="L155" s="365"/>
      <c r="M155" s="365"/>
      <c r="N155" s="365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5"/>
      <c r="AO155" s="365"/>
      <c r="AP155" s="365"/>
      <c r="AQ155" s="365"/>
      <c r="AR155" s="365"/>
      <c r="AS155" s="365"/>
      <c r="AT155" s="365"/>
      <c r="AU155" s="365"/>
      <c r="AV155" s="365"/>
      <c r="AW155" s="365"/>
      <c r="AX155" s="365"/>
      <c r="AY155" s="365"/>
      <c r="AZ155" s="365"/>
      <c r="BA155" s="365"/>
      <c r="BB155" s="365"/>
      <c r="BC155" s="365"/>
      <c r="BD155" s="365"/>
      <c r="BE155" s="365"/>
      <c r="BF155" s="365"/>
      <c r="BG155" s="365"/>
      <c r="BH155" s="365"/>
      <c r="BI155" s="365"/>
      <c r="BJ155" s="365"/>
      <c r="BK155" s="365"/>
      <c r="BL155" s="365"/>
      <c r="BM155" s="365"/>
      <c r="BN155" s="365"/>
      <c r="BO155" s="365"/>
      <c r="BP155" s="365"/>
      <c r="BQ155" s="365"/>
      <c r="BR155" s="365"/>
      <c r="BS155" s="365"/>
      <c r="BT155" s="365"/>
      <c r="BU155" s="365"/>
      <c r="BV155" s="365"/>
      <c r="BW155" s="365"/>
      <c r="BX155" s="365"/>
      <c r="BY155" s="365"/>
      <c r="BZ155" s="365"/>
      <c r="CA155" s="365"/>
      <c r="CB155" s="365"/>
      <c r="CC155" s="365"/>
      <c r="CD155" s="365"/>
      <c r="CE155" s="365"/>
      <c r="CF155" s="365"/>
      <c r="CG155" s="365"/>
      <c r="CH155" s="365"/>
      <c r="CI155" s="365"/>
      <c r="CJ155" s="365"/>
      <c r="CK155" s="365"/>
      <c r="CL155" s="365"/>
      <c r="CM155" s="365"/>
      <c r="CN155" s="365"/>
      <c r="CO155" s="365"/>
      <c r="CP155" s="365"/>
      <c r="CQ155" s="365"/>
      <c r="CR155" s="365"/>
      <c r="CS155" s="365"/>
      <c r="CT155" s="365"/>
      <c r="CU155" s="365"/>
      <c r="CV155" s="365"/>
      <c r="CW155" s="365"/>
      <c r="CX155" s="365"/>
      <c r="CY155" s="365"/>
      <c r="CZ155" s="365"/>
      <c r="DA155" s="365"/>
      <c r="DB155" s="365"/>
      <c r="DC155" s="366"/>
    </row>
    <row r="156" spans="1:107" ht="5.15" customHeight="1" x14ac:dyDescent="0.3">
      <c r="G156" s="401"/>
      <c r="K156" s="203"/>
      <c r="W156" s="203"/>
      <c r="AI156" s="203"/>
      <c r="AU156" s="203"/>
      <c r="BG156" s="203"/>
      <c r="BS156" s="203"/>
      <c r="CE156" s="203"/>
      <c r="CQ156" s="203"/>
      <c r="DC156" s="203"/>
    </row>
    <row r="157" spans="1:107" x14ac:dyDescent="0.3">
      <c r="C157" s="193" t="str">
        <f>++C$10</f>
        <v>Revenue</v>
      </c>
      <c r="G157" s="400">
        <f>++G10</f>
        <v>0</v>
      </c>
      <c r="H157" s="400">
        <f t="shared" ref="H157:BS157" si="1759">++H10</f>
        <v>0</v>
      </c>
      <c r="I157" s="400">
        <f t="shared" si="1759"/>
        <v>0</v>
      </c>
      <c r="J157" s="400">
        <f t="shared" si="1759"/>
        <v>0</v>
      </c>
      <c r="K157" s="400">
        <f t="shared" si="1759"/>
        <v>0</v>
      </c>
      <c r="L157" s="400">
        <f t="shared" si="1759"/>
        <v>0</v>
      </c>
      <c r="M157" s="400">
        <f t="shared" si="1759"/>
        <v>0</v>
      </c>
      <c r="N157" s="400">
        <f t="shared" si="1759"/>
        <v>0</v>
      </c>
      <c r="O157" s="400">
        <f t="shared" si="1759"/>
        <v>0</v>
      </c>
      <c r="P157" s="400">
        <f t="shared" si="1759"/>
        <v>0</v>
      </c>
      <c r="Q157" s="400">
        <f t="shared" si="1759"/>
        <v>0</v>
      </c>
      <c r="R157" s="400">
        <f t="shared" si="1759"/>
        <v>0</v>
      </c>
      <c r="S157" s="400">
        <f t="shared" si="1759"/>
        <v>0</v>
      </c>
      <c r="T157" s="400">
        <f t="shared" si="1759"/>
        <v>0</v>
      </c>
      <c r="U157" s="400">
        <f t="shared" si="1759"/>
        <v>0</v>
      </c>
      <c r="V157" s="400">
        <f t="shared" si="1759"/>
        <v>0</v>
      </c>
      <c r="W157" s="400">
        <f t="shared" si="1759"/>
        <v>0</v>
      </c>
      <c r="X157" s="400">
        <f t="shared" si="1759"/>
        <v>0</v>
      </c>
      <c r="Y157" s="400">
        <f t="shared" si="1759"/>
        <v>0</v>
      </c>
      <c r="Z157" s="400">
        <f t="shared" si="1759"/>
        <v>0</v>
      </c>
      <c r="AA157" s="400">
        <f t="shared" si="1759"/>
        <v>0</v>
      </c>
      <c r="AB157" s="400">
        <f t="shared" si="1759"/>
        <v>0</v>
      </c>
      <c r="AC157" s="400">
        <f t="shared" si="1759"/>
        <v>0</v>
      </c>
      <c r="AD157" s="400">
        <f t="shared" si="1759"/>
        <v>0</v>
      </c>
      <c r="AE157" s="400">
        <f t="shared" si="1759"/>
        <v>0</v>
      </c>
      <c r="AF157" s="400">
        <f t="shared" si="1759"/>
        <v>0</v>
      </c>
      <c r="AG157" s="400">
        <f t="shared" si="1759"/>
        <v>0</v>
      </c>
      <c r="AH157" s="400">
        <f t="shared" si="1759"/>
        <v>0</v>
      </c>
      <c r="AI157" s="400">
        <f t="shared" si="1759"/>
        <v>0</v>
      </c>
      <c r="AJ157" s="400">
        <f t="shared" si="1759"/>
        <v>0</v>
      </c>
      <c r="AK157" s="400">
        <f t="shared" si="1759"/>
        <v>0</v>
      </c>
      <c r="AL157" s="400">
        <f t="shared" si="1759"/>
        <v>0</v>
      </c>
      <c r="AM157" s="400">
        <f t="shared" si="1759"/>
        <v>0</v>
      </c>
      <c r="AN157" s="400">
        <f t="shared" si="1759"/>
        <v>0</v>
      </c>
      <c r="AO157" s="400">
        <f t="shared" si="1759"/>
        <v>0</v>
      </c>
      <c r="AP157" s="400">
        <f t="shared" si="1759"/>
        <v>0</v>
      </c>
      <c r="AQ157" s="400">
        <f t="shared" si="1759"/>
        <v>0</v>
      </c>
      <c r="AR157" s="400">
        <f t="shared" si="1759"/>
        <v>0</v>
      </c>
      <c r="AS157" s="400">
        <f t="shared" si="1759"/>
        <v>0</v>
      </c>
      <c r="AT157" s="400">
        <f t="shared" si="1759"/>
        <v>0</v>
      </c>
      <c r="AU157" s="400">
        <f t="shared" si="1759"/>
        <v>0</v>
      </c>
      <c r="AV157" s="400">
        <f t="shared" si="1759"/>
        <v>0</v>
      </c>
      <c r="AW157" s="400">
        <f t="shared" si="1759"/>
        <v>0</v>
      </c>
      <c r="AX157" s="400">
        <f t="shared" si="1759"/>
        <v>0</v>
      </c>
      <c r="AY157" s="400">
        <f t="shared" si="1759"/>
        <v>0</v>
      </c>
      <c r="AZ157" s="400">
        <f t="shared" si="1759"/>
        <v>0</v>
      </c>
      <c r="BA157" s="400">
        <f t="shared" si="1759"/>
        <v>0</v>
      </c>
      <c r="BB157" s="400">
        <f t="shared" si="1759"/>
        <v>0</v>
      </c>
      <c r="BC157" s="400">
        <f t="shared" si="1759"/>
        <v>0</v>
      </c>
      <c r="BD157" s="400">
        <f t="shared" si="1759"/>
        <v>0</v>
      </c>
      <c r="BE157" s="400">
        <f t="shared" si="1759"/>
        <v>0</v>
      </c>
      <c r="BF157" s="400">
        <f t="shared" si="1759"/>
        <v>0</v>
      </c>
      <c r="BG157" s="400">
        <f t="shared" si="1759"/>
        <v>0</v>
      </c>
      <c r="BH157" s="400">
        <f t="shared" si="1759"/>
        <v>0</v>
      </c>
      <c r="BI157" s="400">
        <f t="shared" si="1759"/>
        <v>0</v>
      </c>
      <c r="BJ157" s="400">
        <f t="shared" si="1759"/>
        <v>0</v>
      </c>
      <c r="BK157" s="400">
        <f t="shared" si="1759"/>
        <v>0</v>
      </c>
      <c r="BL157" s="400">
        <f t="shared" si="1759"/>
        <v>0</v>
      </c>
      <c r="BM157" s="400">
        <f t="shared" si="1759"/>
        <v>0</v>
      </c>
      <c r="BN157" s="400">
        <f t="shared" si="1759"/>
        <v>0</v>
      </c>
      <c r="BO157" s="400">
        <f t="shared" si="1759"/>
        <v>0</v>
      </c>
      <c r="BP157" s="400">
        <f t="shared" si="1759"/>
        <v>0</v>
      </c>
      <c r="BQ157" s="400">
        <f t="shared" si="1759"/>
        <v>0</v>
      </c>
      <c r="BR157" s="400">
        <f t="shared" si="1759"/>
        <v>0</v>
      </c>
      <c r="BS157" s="400">
        <f t="shared" si="1759"/>
        <v>0</v>
      </c>
      <c r="BT157" s="400">
        <f t="shared" ref="BT157:DC157" si="1760">++BT10</f>
        <v>0</v>
      </c>
      <c r="BU157" s="400">
        <f t="shared" si="1760"/>
        <v>0</v>
      </c>
      <c r="BV157" s="400">
        <f t="shared" si="1760"/>
        <v>0</v>
      </c>
      <c r="BW157" s="400">
        <f t="shared" si="1760"/>
        <v>0</v>
      </c>
      <c r="BX157" s="400">
        <f t="shared" si="1760"/>
        <v>0</v>
      </c>
      <c r="BY157" s="400">
        <f t="shared" si="1760"/>
        <v>0</v>
      </c>
      <c r="BZ157" s="400">
        <f t="shared" si="1760"/>
        <v>0</v>
      </c>
      <c r="CA157" s="400">
        <f t="shared" si="1760"/>
        <v>0</v>
      </c>
      <c r="CB157" s="400">
        <f t="shared" si="1760"/>
        <v>0</v>
      </c>
      <c r="CC157" s="400">
        <f t="shared" si="1760"/>
        <v>0</v>
      </c>
      <c r="CD157" s="400">
        <f t="shared" si="1760"/>
        <v>0</v>
      </c>
      <c r="CE157" s="400">
        <f t="shared" si="1760"/>
        <v>0</v>
      </c>
      <c r="CF157" s="400">
        <f t="shared" si="1760"/>
        <v>0</v>
      </c>
      <c r="CG157" s="400">
        <f t="shared" si="1760"/>
        <v>0</v>
      </c>
      <c r="CH157" s="400">
        <f t="shared" si="1760"/>
        <v>0</v>
      </c>
      <c r="CI157" s="400">
        <f t="shared" si="1760"/>
        <v>0</v>
      </c>
      <c r="CJ157" s="400">
        <f t="shared" si="1760"/>
        <v>0</v>
      </c>
      <c r="CK157" s="400">
        <f t="shared" si="1760"/>
        <v>0</v>
      </c>
      <c r="CL157" s="400">
        <f t="shared" si="1760"/>
        <v>0</v>
      </c>
      <c r="CM157" s="400">
        <f t="shared" si="1760"/>
        <v>0</v>
      </c>
      <c r="CN157" s="400">
        <f t="shared" si="1760"/>
        <v>0</v>
      </c>
      <c r="CO157" s="400">
        <f t="shared" si="1760"/>
        <v>0</v>
      </c>
      <c r="CP157" s="400">
        <f t="shared" si="1760"/>
        <v>0</v>
      </c>
      <c r="CQ157" s="400">
        <f t="shared" si="1760"/>
        <v>0</v>
      </c>
      <c r="CR157" s="400">
        <f t="shared" si="1760"/>
        <v>0</v>
      </c>
      <c r="CS157" s="400">
        <f t="shared" si="1760"/>
        <v>0</v>
      </c>
      <c r="CT157" s="400">
        <f t="shared" si="1760"/>
        <v>0</v>
      </c>
      <c r="CU157" s="400">
        <f t="shared" si="1760"/>
        <v>0</v>
      </c>
      <c r="CV157" s="400">
        <f t="shared" si="1760"/>
        <v>0</v>
      </c>
      <c r="CW157" s="400">
        <f t="shared" si="1760"/>
        <v>0</v>
      </c>
      <c r="CX157" s="400">
        <f t="shared" si="1760"/>
        <v>0</v>
      </c>
      <c r="CY157" s="400">
        <f t="shared" si="1760"/>
        <v>0</v>
      </c>
      <c r="CZ157" s="400">
        <f t="shared" si="1760"/>
        <v>0</v>
      </c>
      <c r="DA157" s="400">
        <f t="shared" si="1760"/>
        <v>0</v>
      </c>
      <c r="DB157" s="400">
        <f t="shared" si="1760"/>
        <v>0</v>
      </c>
      <c r="DC157" s="400">
        <f t="shared" si="1760"/>
        <v>0</v>
      </c>
    </row>
    <row r="158" spans="1:107" x14ac:dyDescent="0.3">
      <c r="C158" s="321" t="str">
        <f>++C$11</f>
        <v>% y/y</v>
      </c>
      <c r="G158" s="122" t="s">
        <v>47</v>
      </c>
      <c r="H158" s="122" t="s">
        <v>47</v>
      </c>
      <c r="I158" s="122" t="s">
        <v>47</v>
      </c>
      <c r="J158" s="122" t="s">
        <v>47</v>
      </c>
      <c r="K158" s="214" t="str">
        <f>++IFERROR(K157/G157-1,"n/a")</f>
        <v>n/a</v>
      </c>
      <c r="L158" s="122" t="s">
        <v>47</v>
      </c>
      <c r="M158" s="122" t="s">
        <v>47</v>
      </c>
      <c r="N158" s="225" t="str">
        <f>++IFERROR(N157/H157-1,"n/a")</f>
        <v>n/a</v>
      </c>
      <c r="O158" s="122" t="s">
        <v>47</v>
      </c>
      <c r="P158" s="122" t="s">
        <v>47</v>
      </c>
      <c r="Q158" s="225" t="str">
        <f>++IFERROR(Q157/I157-1,"n/a")</f>
        <v>n/a</v>
      </c>
      <c r="R158" s="122" t="s">
        <v>47</v>
      </c>
      <c r="S158" s="122" t="s">
        <v>47</v>
      </c>
      <c r="T158" s="225" t="str">
        <f>++IFERROR(T157/J157-1,"n/a")</f>
        <v>n/a</v>
      </c>
      <c r="U158" s="122" t="s">
        <v>47</v>
      </c>
      <c r="V158" s="122" t="s">
        <v>47</v>
      </c>
      <c r="W158" s="214" t="str">
        <f t="shared" ref="W158:BB158" si="1761">++IFERROR(W157/K157-1,"n/a")</f>
        <v>n/a</v>
      </c>
      <c r="X158" s="225" t="str">
        <f t="shared" si="1761"/>
        <v>n/a</v>
      </c>
      <c r="Y158" s="225" t="str">
        <f t="shared" si="1761"/>
        <v>n/a</v>
      </c>
      <c r="Z158" s="225" t="str">
        <f t="shared" si="1761"/>
        <v>n/a</v>
      </c>
      <c r="AA158" s="225" t="str">
        <f t="shared" si="1761"/>
        <v>n/a</v>
      </c>
      <c r="AB158" s="225" t="str">
        <f t="shared" si="1761"/>
        <v>n/a</v>
      </c>
      <c r="AC158" s="225" t="str">
        <f t="shared" si="1761"/>
        <v>n/a</v>
      </c>
      <c r="AD158" s="225" t="str">
        <f t="shared" si="1761"/>
        <v>n/a</v>
      </c>
      <c r="AE158" s="225" t="str">
        <f t="shared" si="1761"/>
        <v>n/a</v>
      </c>
      <c r="AF158" s="225" t="str">
        <f t="shared" si="1761"/>
        <v>n/a</v>
      </c>
      <c r="AG158" s="225" t="str">
        <f t="shared" si="1761"/>
        <v>n/a</v>
      </c>
      <c r="AH158" s="225" t="str">
        <f t="shared" si="1761"/>
        <v>n/a</v>
      </c>
      <c r="AI158" s="214" t="str">
        <f t="shared" si="1761"/>
        <v>n/a</v>
      </c>
      <c r="AJ158" s="225" t="str">
        <f t="shared" si="1761"/>
        <v>n/a</v>
      </c>
      <c r="AK158" s="225" t="str">
        <f t="shared" si="1761"/>
        <v>n/a</v>
      </c>
      <c r="AL158" s="225" t="str">
        <f t="shared" si="1761"/>
        <v>n/a</v>
      </c>
      <c r="AM158" s="225" t="str">
        <f t="shared" si="1761"/>
        <v>n/a</v>
      </c>
      <c r="AN158" s="225" t="str">
        <f t="shared" si="1761"/>
        <v>n/a</v>
      </c>
      <c r="AO158" s="225" t="str">
        <f t="shared" si="1761"/>
        <v>n/a</v>
      </c>
      <c r="AP158" s="225" t="str">
        <f t="shared" si="1761"/>
        <v>n/a</v>
      </c>
      <c r="AQ158" s="225" t="str">
        <f t="shared" si="1761"/>
        <v>n/a</v>
      </c>
      <c r="AR158" s="225" t="str">
        <f t="shared" si="1761"/>
        <v>n/a</v>
      </c>
      <c r="AS158" s="225" t="str">
        <f t="shared" si="1761"/>
        <v>n/a</v>
      </c>
      <c r="AT158" s="225" t="str">
        <f t="shared" si="1761"/>
        <v>n/a</v>
      </c>
      <c r="AU158" s="214" t="str">
        <f t="shared" si="1761"/>
        <v>n/a</v>
      </c>
      <c r="AV158" s="225" t="str">
        <f t="shared" si="1761"/>
        <v>n/a</v>
      </c>
      <c r="AW158" s="225" t="str">
        <f t="shared" si="1761"/>
        <v>n/a</v>
      </c>
      <c r="AX158" s="225" t="str">
        <f t="shared" si="1761"/>
        <v>n/a</v>
      </c>
      <c r="AY158" s="225" t="str">
        <f t="shared" si="1761"/>
        <v>n/a</v>
      </c>
      <c r="AZ158" s="225" t="str">
        <f t="shared" si="1761"/>
        <v>n/a</v>
      </c>
      <c r="BA158" s="225" t="str">
        <f t="shared" si="1761"/>
        <v>n/a</v>
      </c>
      <c r="BB158" s="225" t="str">
        <f t="shared" si="1761"/>
        <v>n/a</v>
      </c>
      <c r="BC158" s="225" t="str">
        <f t="shared" ref="BC158:CH158" si="1762">++IFERROR(BC157/AQ157-1,"n/a")</f>
        <v>n/a</v>
      </c>
      <c r="BD158" s="225" t="str">
        <f t="shared" si="1762"/>
        <v>n/a</v>
      </c>
      <c r="BE158" s="225" t="str">
        <f t="shared" si="1762"/>
        <v>n/a</v>
      </c>
      <c r="BF158" s="225" t="str">
        <f t="shared" si="1762"/>
        <v>n/a</v>
      </c>
      <c r="BG158" s="214" t="str">
        <f t="shared" si="1762"/>
        <v>n/a</v>
      </c>
      <c r="BH158" s="225" t="str">
        <f t="shared" si="1762"/>
        <v>n/a</v>
      </c>
      <c r="BI158" s="225" t="str">
        <f t="shared" si="1762"/>
        <v>n/a</v>
      </c>
      <c r="BJ158" s="225" t="str">
        <f t="shared" si="1762"/>
        <v>n/a</v>
      </c>
      <c r="BK158" s="225" t="str">
        <f t="shared" si="1762"/>
        <v>n/a</v>
      </c>
      <c r="BL158" s="225" t="str">
        <f t="shared" si="1762"/>
        <v>n/a</v>
      </c>
      <c r="BM158" s="225" t="str">
        <f t="shared" si="1762"/>
        <v>n/a</v>
      </c>
      <c r="BN158" s="225" t="str">
        <f t="shared" si="1762"/>
        <v>n/a</v>
      </c>
      <c r="BO158" s="225" t="str">
        <f t="shared" si="1762"/>
        <v>n/a</v>
      </c>
      <c r="BP158" s="225" t="str">
        <f t="shared" si="1762"/>
        <v>n/a</v>
      </c>
      <c r="BQ158" s="225" t="str">
        <f t="shared" si="1762"/>
        <v>n/a</v>
      </c>
      <c r="BR158" s="225" t="str">
        <f t="shared" si="1762"/>
        <v>n/a</v>
      </c>
      <c r="BS158" s="214" t="str">
        <f t="shared" si="1762"/>
        <v>n/a</v>
      </c>
      <c r="BT158" s="225" t="str">
        <f t="shared" si="1762"/>
        <v>n/a</v>
      </c>
      <c r="BU158" s="225" t="str">
        <f t="shared" si="1762"/>
        <v>n/a</v>
      </c>
      <c r="BV158" s="225" t="str">
        <f t="shared" si="1762"/>
        <v>n/a</v>
      </c>
      <c r="BW158" s="225" t="str">
        <f t="shared" si="1762"/>
        <v>n/a</v>
      </c>
      <c r="BX158" s="225" t="str">
        <f t="shared" si="1762"/>
        <v>n/a</v>
      </c>
      <c r="BY158" s="225" t="str">
        <f t="shared" si="1762"/>
        <v>n/a</v>
      </c>
      <c r="BZ158" s="225" t="str">
        <f t="shared" si="1762"/>
        <v>n/a</v>
      </c>
      <c r="CA158" s="225" t="str">
        <f t="shared" si="1762"/>
        <v>n/a</v>
      </c>
      <c r="CB158" s="225" t="str">
        <f t="shared" si="1762"/>
        <v>n/a</v>
      </c>
      <c r="CC158" s="225" t="str">
        <f t="shared" si="1762"/>
        <v>n/a</v>
      </c>
      <c r="CD158" s="225" t="str">
        <f t="shared" si="1762"/>
        <v>n/a</v>
      </c>
      <c r="CE158" s="214" t="str">
        <f t="shared" si="1762"/>
        <v>n/a</v>
      </c>
      <c r="CF158" s="225" t="str">
        <f t="shared" si="1762"/>
        <v>n/a</v>
      </c>
      <c r="CG158" s="225" t="str">
        <f t="shared" si="1762"/>
        <v>n/a</v>
      </c>
      <c r="CH158" s="225" t="str">
        <f t="shared" si="1762"/>
        <v>n/a</v>
      </c>
      <c r="CI158" s="225" t="str">
        <f t="shared" ref="CI158:DN158" si="1763">++IFERROR(CI157/BW157-1,"n/a")</f>
        <v>n/a</v>
      </c>
      <c r="CJ158" s="225" t="str">
        <f t="shared" si="1763"/>
        <v>n/a</v>
      </c>
      <c r="CK158" s="225" t="str">
        <f t="shared" si="1763"/>
        <v>n/a</v>
      </c>
      <c r="CL158" s="225" t="str">
        <f t="shared" si="1763"/>
        <v>n/a</v>
      </c>
      <c r="CM158" s="225" t="str">
        <f t="shared" si="1763"/>
        <v>n/a</v>
      </c>
      <c r="CN158" s="225" t="str">
        <f t="shared" si="1763"/>
        <v>n/a</v>
      </c>
      <c r="CO158" s="225" t="str">
        <f t="shared" si="1763"/>
        <v>n/a</v>
      </c>
      <c r="CP158" s="225" t="str">
        <f t="shared" si="1763"/>
        <v>n/a</v>
      </c>
      <c r="CQ158" s="214" t="str">
        <f t="shared" si="1763"/>
        <v>n/a</v>
      </c>
      <c r="CR158" s="225" t="str">
        <f t="shared" si="1763"/>
        <v>n/a</v>
      </c>
      <c r="CS158" s="225" t="str">
        <f t="shared" si="1763"/>
        <v>n/a</v>
      </c>
      <c r="CT158" s="225" t="str">
        <f t="shared" si="1763"/>
        <v>n/a</v>
      </c>
      <c r="CU158" s="225" t="str">
        <f t="shared" si="1763"/>
        <v>n/a</v>
      </c>
      <c r="CV158" s="225" t="str">
        <f t="shared" si="1763"/>
        <v>n/a</v>
      </c>
      <c r="CW158" s="225" t="str">
        <f t="shared" si="1763"/>
        <v>n/a</v>
      </c>
      <c r="CX158" s="225" t="str">
        <f t="shared" si="1763"/>
        <v>n/a</v>
      </c>
      <c r="CY158" s="225" t="str">
        <f t="shared" si="1763"/>
        <v>n/a</v>
      </c>
      <c r="CZ158" s="225" t="str">
        <f t="shared" si="1763"/>
        <v>n/a</v>
      </c>
      <c r="DA158" s="225" t="str">
        <f t="shared" si="1763"/>
        <v>n/a</v>
      </c>
      <c r="DB158" s="225" t="str">
        <f t="shared" si="1763"/>
        <v>n/a</v>
      </c>
      <c r="DC158" s="214" t="str">
        <f t="shared" si="1763"/>
        <v>n/a</v>
      </c>
    </row>
    <row r="159" spans="1:107" x14ac:dyDescent="0.3">
      <c r="G159" s="203"/>
      <c r="K159" s="203"/>
      <c r="W159" s="203"/>
      <c r="AI159" s="203"/>
      <c r="AU159" s="203"/>
      <c r="BG159" s="203"/>
      <c r="BS159" s="203"/>
      <c r="CE159" s="203"/>
      <c r="CQ159" s="203"/>
      <c r="DC159" s="203"/>
    </row>
    <row r="160" spans="1:107" x14ac:dyDescent="0.3">
      <c r="C160" s="193" t="str">
        <f>++C$13</f>
        <v>Gross Profit</v>
      </c>
      <c r="G160" s="400">
        <f>++G13</f>
        <v>0</v>
      </c>
      <c r="H160" s="400">
        <f t="shared" ref="H160:BS160" si="1764">++H13</f>
        <v>0</v>
      </c>
      <c r="I160" s="400">
        <f t="shared" si="1764"/>
        <v>0</v>
      </c>
      <c r="J160" s="400">
        <f t="shared" si="1764"/>
        <v>0</v>
      </c>
      <c r="K160" s="400">
        <f t="shared" si="1764"/>
        <v>0</v>
      </c>
      <c r="L160" s="400">
        <f t="shared" si="1764"/>
        <v>0</v>
      </c>
      <c r="M160" s="400">
        <f t="shared" si="1764"/>
        <v>0</v>
      </c>
      <c r="N160" s="400">
        <f t="shared" si="1764"/>
        <v>0</v>
      </c>
      <c r="O160" s="400">
        <f t="shared" si="1764"/>
        <v>0</v>
      </c>
      <c r="P160" s="400">
        <f t="shared" si="1764"/>
        <v>0</v>
      </c>
      <c r="Q160" s="400">
        <f t="shared" si="1764"/>
        <v>0</v>
      </c>
      <c r="R160" s="400">
        <f t="shared" si="1764"/>
        <v>0</v>
      </c>
      <c r="S160" s="400">
        <f t="shared" si="1764"/>
        <v>0</v>
      </c>
      <c r="T160" s="400">
        <f t="shared" si="1764"/>
        <v>0</v>
      </c>
      <c r="U160" s="400">
        <f t="shared" si="1764"/>
        <v>0</v>
      </c>
      <c r="V160" s="400">
        <f t="shared" si="1764"/>
        <v>0</v>
      </c>
      <c r="W160" s="400">
        <f t="shared" si="1764"/>
        <v>0</v>
      </c>
      <c r="X160" s="400">
        <f t="shared" si="1764"/>
        <v>0</v>
      </c>
      <c r="Y160" s="400">
        <f t="shared" si="1764"/>
        <v>0</v>
      </c>
      <c r="Z160" s="400">
        <f t="shared" si="1764"/>
        <v>0</v>
      </c>
      <c r="AA160" s="400">
        <f t="shared" si="1764"/>
        <v>0</v>
      </c>
      <c r="AB160" s="400">
        <f t="shared" si="1764"/>
        <v>0</v>
      </c>
      <c r="AC160" s="400">
        <f t="shared" si="1764"/>
        <v>0</v>
      </c>
      <c r="AD160" s="400">
        <f t="shared" si="1764"/>
        <v>0</v>
      </c>
      <c r="AE160" s="400">
        <f t="shared" si="1764"/>
        <v>0</v>
      </c>
      <c r="AF160" s="400">
        <f t="shared" si="1764"/>
        <v>0</v>
      </c>
      <c r="AG160" s="400">
        <f t="shared" si="1764"/>
        <v>0</v>
      </c>
      <c r="AH160" s="400">
        <f t="shared" si="1764"/>
        <v>0</v>
      </c>
      <c r="AI160" s="400">
        <f t="shared" si="1764"/>
        <v>0</v>
      </c>
      <c r="AJ160" s="400">
        <f t="shared" si="1764"/>
        <v>0</v>
      </c>
      <c r="AK160" s="400">
        <f t="shared" si="1764"/>
        <v>0</v>
      </c>
      <c r="AL160" s="400">
        <f t="shared" si="1764"/>
        <v>0</v>
      </c>
      <c r="AM160" s="400">
        <f t="shared" si="1764"/>
        <v>0</v>
      </c>
      <c r="AN160" s="400">
        <f t="shared" si="1764"/>
        <v>0</v>
      </c>
      <c r="AO160" s="400">
        <f t="shared" si="1764"/>
        <v>0</v>
      </c>
      <c r="AP160" s="400">
        <f t="shared" si="1764"/>
        <v>0</v>
      </c>
      <c r="AQ160" s="400">
        <f t="shared" si="1764"/>
        <v>0</v>
      </c>
      <c r="AR160" s="400">
        <f t="shared" si="1764"/>
        <v>0</v>
      </c>
      <c r="AS160" s="400">
        <f t="shared" si="1764"/>
        <v>0</v>
      </c>
      <c r="AT160" s="400">
        <f t="shared" si="1764"/>
        <v>0</v>
      </c>
      <c r="AU160" s="400">
        <f t="shared" si="1764"/>
        <v>0</v>
      </c>
      <c r="AV160" s="400">
        <f t="shared" si="1764"/>
        <v>0</v>
      </c>
      <c r="AW160" s="400">
        <f t="shared" si="1764"/>
        <v>0</v>
      </c>
      <c r="AX160" s="400">
        <f t="shared" si="1764"/>
        <v>0</v>
      </c>
      <c r="AY160" s="400">
        <f t="shared" si="1764"/>
        <v>0</v>
      </c>
      <c r="AZ160" s="400">
        <f t="shared" si="1764"/>
        <v>0</v>
      </c>
      <c r="BA160" s="400">
        <f t="shared" si="1764"/>
        <v>0</v>
      </c>
      <c r="BB160" s="400">
        <f t="shared" si="1764"/>
        <v>0</v>
      </c>
      <c r="BC160" s="400">
        <f t="shared" si="1764"/>
        <v>0</v>
      </c>
      <c r="BD160" s="400">
        <f t="shared" si="1764"/>
        <v>0</v>
      </c>
      <c r="BE160" s="400">
        <f t="shared" si="1764"/>
        <v>0</v>
      </c>
      <c r="BF160" s="400">
        <f t="shared" si="1764"/>
        <v>0</v>
      </c>
      <c r="BG160" s="400">
        <f t="shared" si="1764"/>
        <v>0</v>
      </c>
      <c r="BH160" s="400">
        <f t="shared" si="1764"/>
        <v>0</v>
      </c>
      <c r="BI160" s="400">
        <f t="shared" si="1764"/>
        <v>0</v>
      </c>
      <c r="BJ160" s="400">
        <f t="shared" si="1764"/>
        <v>0</v>
      </c>
      <c r="BK160" s="400">
        <f t="shared" si="1764"/>
        <v>0</v>
      </c>
      <c r="BL160" s="400">
        <f t="shared" si="1764"/>
        <v>0</v>
      </c>
      <c r="BM160" s="400">
        <f t="shared" si="1764"/>
        <v>0</v>
      </c>
      <c r="BN160" s="400">
        <f t="shared" si="1764"/>
        <v>0</v>
      </c>
      <c r="BO160" s="400">
        <f t="shared" si="1764"/>
        <v>0</v>
      </c>
      <c r="BP160" s="400">
        <f t="shared" si="1764"/>
        <v>0</v>
      </c>
      <c r="BQ160" s="400">
        <f t="shared" si="1764"/>
        <v>0</v>
      </c>
      <c r="BR160" s="400">
        <f t="shared" si="1764"/>
        <v>0</v>
      </c>
      <c r="BS160" s="400">
        <f t="shared" si="1764"/>
        <v>0</v>
      </c>
      <c r="BT160" s="400">
        <f t="shared" ref="BT160:DC160" si="1765">++BT13</f>
        <v>0</v>
      </c>
      <c r="BU160" s="400">
        <f t="shared" si="1765"/>
        <v>0</v>
      </c>
      <c r="BV160" s="400">
        <f t="shared" si="1765"/>
        <v>0</v>
      </c>
      <c r="BW160" s="400">
        <f t="shared" si="1765"/>
        <v>0</v>
      </c>
      <c r="BX160" s="400">
        <f t="shared" si="1765"/>
        <v>0</v>
      </c>
      <c r="BY160" s="400">
        <f t="shared" si="1765"/>
        <v>0</v>
      </c>
      <c r="BZ160" s="400">
        <f t="shared" si="1765"/>
        <v>0</v>
      </c>
      <c r="CA160" s="400">
        <f t="shared" si="1765"/>
        <v>0</v>
      </c>
      <c r="CB160" s="400">
        <f t="shared" si="1765"/>
        <v>0</v>
      </c>
      <c r="CC160" s="400">
        <f t="shared" si="1765"/>
        <v>0</v>
      </c>
      <c r="CD160" s="400">
        <f t="shared" si="1765"/>
        <v>0</v>
      </c>
      <c r="CE160" s="400">
        <f t="shared" si="1765"/>
        <v>0</v>
      </c>
      <c r="CF160" s="400">
        <f t="shared" si="1765"/>
        <v>0</v>
      </c>
      <c r="CG160" s="400">
        <f t="shared" si="1765"/>
        <v>0</v>
      </c>
      <c r="CH160" s="400">
        <f t="shared" si="1765"/>
        <v>0</v>
      </c>
      <c r="CI160" s="400">
        <f t="shared" si="1765"/>
        <v>0</v>
      </c>
      <c r="CJ160" s="400">
        <f t="shared" si="1765"/>
        <v>0</v>
      </c>
      <c r="CK160" s="400">
        <f t="shared" si="1765"/>
        <v>0</v>
      </c>
      <c r="CL160" s="400">
        <f t="shared" si="1765"/>
        <v>0</v>
      </c>
      <c r="CM160" s="400">
        <f t="shared" si="1765"/>
        <v>0</v>
      </c>
      <c r="CN160" s="400">
        <f t="shared" si="1765"/>
        <v>0</v>
      </c>
      <c r="CO160" s="400">
        <f t="shared" si="1765"/>
        <v>0</v>
      </c>
      <c r="CP160" s="400">
        <f t="shared" si="1765"/>
        <v>0</v>
      </c>
      <c r="CQ160" s="400">
        <f t="shared" si="1765"/>
        <v>0</v>
      </c>
      <c r="CR160" s="400">
        <f t="shared" si="1765"/>
        <v>0</v>
      </c>
      <c r="CS160" s="400">
        <f t="shared" si="1765"/>
        <v>0</v>
      </c>
      <c r="CT160" s="400">
        <f t="shared" si="1765"/>
        <v>0</v>
      </c>
      <c r="CU160" s="400">
        <f t="shared" si="1765"/>
        <v>0</v>
      </c>
      <c r="CV160" s="400">
        <f t="shared" si="1765"/>
        <v>0</v>
      </c>
      <c r="CW160" s="400">
        <f t="shared" si="1765"/>
        <v>0</v>
      </c>
      <c r="CX160" s="400">
        <f t="shared" si="1765"/>
        <v>0</v>
      </c>
      <c r="CY160" s="400">
        <f t="shared" si="1765"/>
        <v>0</v>
      </c>
      <c r="CZ160" s="400">
        <f t="shared" si="1765"/>
        <v>0</v>
      </c>
      <c r="DA160" s="400">
        <f t="shared" si="1765"/>
        <v>0</v>
      </c>
      <c r="DB160" s="400">
        <f t="shared" si="1765"/>
        <v>0</v>
      </c>
      <c r="DC160" s="400">
        <f t="shared" si="1765"/>
        <v>0</v>
      </c>
    </row>
    <row r="161" spans="3:107" x14ac:dyDescent="0.3">
      <c r="C161" s="321" t="str">
        <f>++C$14</f>
        <v>% margin</v>
      </c>
      <c r="G161" s="214" t="str">
        <f>++IFERROR(G160/G157,"n/a")</f>
        <v>n/a</v>
      </c>
      <c r="H161" s="225" t="str">
        <f t="shared" ref="H161" si="1766">++IFERROR(H160/H157,"n/a")</f>
        <v>n/a</v>
      </c>
      <c r="I161" s="225" t="str">
        <f t="shared" ref="I161" si="1767">++IFERROR(I160/I157,"n/a")</f>
        <v>n/a</v>
      </c>
      <c r="J161" s="225" t="str">
        <f t="shared" ref="J161" si="1768">++IFERROR(J160/J157,"n/a")</f>
        <v>n/a</v>
      </c>
      <c r="K161" s="214" t="str">
        <f t="shared" ref="K161" si="1769">++IFERROR(K160/K157,"n/a")</f>
        <v>n/a</v>
      </c>
      <c r="L161" s="225" t="str">
        <f t="shared" ref="L161" si="1770">++IFERROR(L160/L157,"n/a")</f>
        <v>n/a</v>
      </c>
      <c r="M161" s="225" t="str">
        <f t="shared" ref="M161" si="1771">++IFERROR(M160/M157,"n/a")</f>
        <v>n/a</v>
      </c>
      <c r="N161" s="225" t="str">
        <f t="shared" ref="N161" si="1772">++IFERROR(N160/N157,"n/a")</f>
        <v>n/a</v>
      </c>
      <c r="O161" s="225" t="str">
        <f t="shared" ref="O161" si="1773">++IFERROR(O160/O157,"n/a")</f>
        <v>n/a</v>
      </c>
      <c r="P161" s="225" t="str">
        <f t="shared" ref="P161" si="1774">++IFERROR(P160/P157,"n/a")</f>
        <v>n/a</v>
      </c>
      <c r="Q161" s="225" t="str">
        <f t="shared" ref="Q161" si="1775">++IFERROR(Q160/Q157,"n/a")</f>
        <v>n/a</v>
      </c>
      <c r="R161" s="225" t="str">
        <f t="shared" ref="R161" si="1776">++IFERROR(R160/R157,"n/a")</f>
        <v>n/a</v>
      </c>
      <c r="S161" s="225" t="str">
        <f t="shared" ref="S161" si="1777">++IFERROR(S160/S157,"n/a")</f>
        <v>n/a</v>
      </c>
      <c r="T161" s="225" t="str">
        <f t="shared" ref="T161" si="1778">++IFERROR(T160/T157,"n/a")</f>
        <v>n/a</v>
      </c>
      <c r="U161" s="225" t="str">
        <f t="shared" ref="U161" si="1779">++IFERROR(U160/U157,"n/a")</f>
        <v>n/a</v>
      </c>
      <c r="V161" s="225" t="str">
        <f t="shared" ref="V161" si="1780">++IFERROR(V160/V157,"n/a")</f>
        <v>n/a</v>
      </c>
      <c r="W161" s="214" t="str">
        <f t="shared" ref="W161" si="1781">++IFERROR(W160/W157,"n/a")</f>
        <v>n/a</v>
      </c>
      <c r="X161" s="225" t="str">
        <f t="shared" ref="X161" si="1782">++IFERROR(X160/X157,"n/a")</f>
        <v>n/a</v>
      </c>
      <c r="Y161" s="225" t="str">
        <f t="shared" ref="Y161" si="1783">++IFERROR(Y160/Y157,"n/a")</f>
        <v>n/a</v>
      </c>
      <c r="Z161" s="225" t="str">
        <f t="shared" ref="Z161" si="1784">++IFERROR(Z160/Z157,"n/a")</f>
        <v>n/a</v>
      </c>
      <c r="AA161" s="225" t="str">
        <f t="shared" ref="AA161" si="1785">++IFERROR(AA160/AA157,"n/a")</f>
        <v>n/a</v>
      </c>
      <c r="AB161" s="225" t="str">
        <f t="shared" ref="AB161" si="1786">++IFERROR(AB160/AB157,"n/a")</f>
        <v>n/a</v>
      </c>
      <c r="AC161" s="225" t="str">
        <f t="shared" ref="AC161" si="1787">++IFERROR(AC160/AC157,"n/a")</f>
        <v>n/a</v>
      </c>
      <c r="AD161" s="225" t="str">
        <f t="shared" ref="AD161" si="1788">++IFERROR(AD160/AD157,"n/a")</f>
        <v>n/a</v>
      </c>
      <c r="AE161" s="225" t="str">
        <f t="shared" ref="AE161" si="1789">++IFERROR(AE160/AE157,"n/a")</f>
        <v>n/a</v>
      </c>
      <c r="AF161" s="225" t="str">
        <f t="shared" ref="AF161" si="1790">++IFERROR(AF160/AF157,"n/a")</f>
        <v>n/a</v>
      </c>
      <c r="AG161" s="225" t="str">
        <f t="shared" ref="AG161" si="1791">++IFERROR(AG160/AG157,"n/a")</f>
        <v>n/a</v>
      </c>
      <c r="AH161" s="225" t="str">
        <f t="shared" ref="AH161" si="1792">++IFERROR(AH160/AH157,"n/a")</f>
        <v>n/a</v>
      </c>
      <c r="AI161" s="214" t="str">
        <f t="shared" ref="AI161" si="1793">++IFERROR(AI160/AI157,"n/a")</f>
        <v>n/a</v>
      </c>
      <c r="AJ161" s="225" t="str">
        <f t="shared" ref="AJ161" si="1794">++IFERROR(AJ160/AJ157,"n/a")</f>
        <v>n/a</v>
      </c>
      <c r="AK161" s="225" t="str">
        <f t="shared" ref="AK161" si="1795">++IFERROR(AK160/AK157,"n/a")</f>
        <v>n/a</v>
      </c>
      <c r="AL161" s="225" t="str">
        <f t="shared" ref="AL161" si="1796">++IFERROR(AL160/AL157,"n/a")</f>
        <v>n/a</v>
      </c>
      <c r="AM161" s="225" t="str">
        <f t="shared" ref="AM161" si="1797">++IFERROR(AM160/AM157,"n/a")</f>
        <v>n/a</v>
      </c>
      <c r="AN161" s="225" t="str">
        <f t="shared" ref="AN161" si="1798">++IFERROR(AN160/AN157,"n/a")</f>
        <v>n/a</v>
      </c>
      <c r="AO161" s="225" t="str">
        <f t="shared" ref="AO161" si="1799">++IFERROR(AO160/AO157,"n/a")</f>
        <v>n/a</v>
      </c>
      <c r="AP161" s="225" t="str">
        <f t="shared" ref="AP161" si="1800">++IFERROR(AP160/AP157,"n/a")</f>
        <v>n/a</v>
      </c>
      <c r="AQ161" s="225" t="str">
        <f t="shared" ref="AQ161" si="1801">++IFERROR(AQ160/AQ157,"n/a")</f>
        <v>n/a</v>
      </c>
      <c r="AR161" s="225" t="str">
        <f t="shared" ref="AR161" si="1802">++IFERROR(AR160/AR157,"n/a")</f>
        <v>n/a</v>
      </c>
      <c r="AS161" s="225" t="str">
        <f t="shared" ref="AS161" si="1803">++IFERROR(AS160/AS157,"n/a")</f>
        <v>n/a</v>
      </c>
      <c r="AT161" s="225" t="str">
        <f t="shared" ref="AT161" si="1804">++IFERROR(AT160/AT157,"n/a")</f>
        <v>n/a</v>
      </c>
      <c r="AU161" s="214" t="str">
        <f t="shared" ref="AU161" si="1805">++IFERROR(AU160/AU157,"n/a")</f>
        <v>n/a</v>
      </c>
      <c r="AV161" s="225" t="str">
        <f t="shared" ref="AV161" si="1806">++IFERROR(AV160/AV157,"n/a")</f>
        <v>n/a</v>
      </c>
      <c r="AW161" s="225" t="str">
        <f t="shared" ref="AW161" si="1807">++IFERROR(AW160/AW157,"n/a")</f>
        <v>n/a</v>
      </c>
      <c r="AX161" s="225" t="str">
        <f t="shared" ref="AX161" si="1808">++IFERROR(AX160/AX157,"n/a")</f>
        <v>n/a</v>
      </c>
      <c r="AY161" s="225" t="str">
        <f t="shared" ref="AY161" si="1809">++IFERROR(AY160/AY157,"n/a")</f>
        <v>n/a</v>
      </c>
      <c r="AZ161" s="225" t="str">
        <f t="shared" ref="AZ161" si="1810">++IFERROR(AZ160/AZ157,"n/a")</f>
        <v>n/a</v>
      </c>
      <c r="BA161" s="225" t="str">
        <f t="shared" ref="BA161" si="1811">++IFERROR(BA160/BA157,"n/a")</f>
        <v>n/a</v>
      </c>
      <c r="BB161" s="225" t="str">
        <f t="shared" ref="BB161" si="1812">++IFERROR(BB160/BB157,"n/a")</f>
        <v>n/a</v>
      </c>
      <c r="BC161" s="225" t="str">
        <f t="shared" ref="BC161" si="1813">++IFERROR(BC160/BC157,"n/a")</f>
        <v>n/a</v>
      </c>
      <c r="BD161" s="225" t="str">
        <f t="shared" ref="BD161" si="1814">++IFERROR(BD160/BD157,"n/a")</f>
        <v>n/a</v>
      </c>
      <c r="BE161" s="225" t="str">
        <f t="shared" ref="BE161" si="1815">++IFERROR(BE160/BE157,"n/a")</f>
        <v>n/a</v>
      </c>
      <c r="BF161" s="225" t="str">
        <f t="shared" ref="BF161" si="1816">++IFERROR(BF160/BF157,"n/a")</f>
        <v>n/a</v>
      </c>
      <c r="BG161" s="214" t="str">
        <f t="shared" ref="BG161" si="1817">++IFERROR(BG160/BG157,"n/a")</f>
        <v>n/a</v>
      </c>
      <c r="BH161" s="225" t="str">
        <f t="shared" ref="BH161" si="1818">++IFERROR(BH160/BH157,"n/a")</f>
        <v>n/a</v>
      </c>
      <c r="BI161" s="225" t="str">
        <f t="shared" ref="BI161" si="1819">++IFERROR(BI160/BI157,"n/a")</f>
        <v>n/a</v>
      </c>
      <c r="BJ161" s="225" t="str">
        <f t="shared" ref="BJ161" si="1820">++IFERROR(BJ160/BJ157,"n/a")</f>
        <v>n/a</v>
      </c>
      <c r="BK161" s="225" t="str">
        <f t="shared" ref="BK161" si="1821">++IFERROR(BK160/BK157,"n/a")</f>
        <v>n/a</v>
      </c>
      <c r="BL161" s="225" t="str">
        <f t="shared" ref="BL161" si="1822">++IFERROR(BL160/BL157,"n/a")</f>
        <v>n/a</v>
      </c>
      <c r="BM161" s="225" t="str">
        <f t="shared" ref="BM161" si="1823">++IFERROR(BM160/BM157,"n/a")</f>
        <v>n/a</v>
      </c>
      <c r="BN161" s="225" t="str">
        <f t="shared" ref="BN161" si="1824">++IFERROR(BN160/BN157,"n/a")</f>
        <v>n/a</v>
      </c>
      <c r="BO161" s="225" t="str">
        <f t="shared" ref="BO161" si="1825">++IFERROR(BO160/BO157,"n/a")</f>
        <v>n/a</v>
      </c>
      <c r="BP161" s="225" t="str">
        <f t="shared" ref="BP161" si="1826">++IFERROR(BP160/BP157,"n/a")</f>
        <v>n/a</v>
      </c>
      <c r="BQ161" s="225" t="str">
        <f t="shared" ref="BQ161" si="1827">++IFERROR(BQ160/BQ157,"n/a")</f>
        <v>n/a</v>
      </c>
      <c r="BR161" s="225" t="str">
        <f t="shared" ref="BR161" si="1828">++IFERROR(BR160/BR157,"n/a")</f>
        <v>n/a</v>
      </c>
      <c r="BS161" s="214" t="str">
        <f t="shared" ref="BS161" si="1829">++IFERROR(BS160/BS157,"n/a")</f>
        <v>n/a</v>
      </c>
      <c r="BT161" s="225" t="str">
        <f t="shared" ref="BT161" si="1830">++IFERROR(BT160/BT157,"n/a")</f>
        <v>n/a</v>
      </c>
      <c r="BU161" s="225" t="str">
        <f t="shared" ref="BU161" si="1831">++IFERROR(BU160/BU157,"n/a")</f>
        <v>n/a</v>
      </c>
      <c r="BV161" s="225" t="str">
        <f t="shared" ref="BV161" si="1832">++IFERROR(BV160/BV157,"n/a")</f>
        <v>n/a</v>
      </c>
      <c r="BW161" s="225" t="str">
        <f t="shared" ref="BW161" si="1833">++IFERROR(BW160/BW157,"n/a")</f>
        <v>n/a</v>
      </c>
      <c r="BX161" s="225" t="str">
        <f t="shared" ref="BX161" si="1834">++IFERROR(BX160/BX157,"n/a")</f>
        <v>n/a</v>
      </c>
      <c r="BY161" s="225" t="str">
        <f t="shared" ref="BY161" si="1835">++IFERROR(BY160/BY157,"n/a")</f>
        <v>n/a</v>
      </c>
      <c r="BZ161" s="225" t="str">
        <f t="shared" ref="BZ161" si="1836">++IFERROR(BZ160/BZ157,"n/a")</f>
        <v>n/a</v>
      </c>
      <c r="CA161" s="225" t="str">
        <f t="shared" ref="CA161" si="1837">++IFERROR(CA160/CA157,"n/a")</f>
        <v>n/a</v>
      </c>
      <c r="CB161" s="225" t="str">
        <f t="shared" ref="CB161" si="1838">++IFERROR(CB160/CB157,"n/a")</f>
        <v>n/a</v>
      </c>
      <c r="CC161" s="225" t="str">
        <f t="shared" ref="CC161" si="1839">++IFERROR(CC160/CC157,"n/a")</f>
        <v>n/a</v>
      </c>
      <c r="CD161" s="225" t="str">
        <f t="shared" ref="CD161" si="1840">++IFERROR(CD160/CD157,"n/a")</f>
        <v>n/a</v>
      </c>
      <c r="CE161" s="214" t="str">
        <f t="shared" ref="CE161" si="1841">++IFERROR(CE160/CE157,"n/a")</f>
        <v>n/a</v>
      </c>
      <c r="CF161" s="225" t="str">
        <f t="shared" ref="CF161" si="1842">++IFERROR(CF160/CF157,"n/a")</f>
        <v>n/a</v>
      </c>
      <c r="CG161" s="225" t="str">
        <f t="shared" ref="CG161" si="1843">++IFERROR(CG160/CG157,"n/a")</f>
        <v>n/a</v>
      </c>
      <c r="CH161" s="225" t="str">
        <f t="shared" ref="CH161" si="1844">++IFERROR(CH160/CH157,"n/a")</f>
        <v>n/a</v>
      </c>
      <c r="CI161" s="225" t="str">
        <f t="shared" ref="CI161" si="1845">++IFERROR(CI160/CI157,"n/a")</f>
        <v>n/a</v>
      </c>
      <c r="CJ161" s="225" t="str">
        <f t="shared" ref="CJ161" si="1846">++IFERROR(CJ160/CJ157,"n/a")</f>
        <v>n/a</v>
      </c>
      <c r="CK161" s="225" t="str">
        <f t="shared" ref="CK161" si="1847">++IFERROR(CK160/CK157,"n/a")</f>
        <v>n/a</v>
      </c>
      <c r="CL161" s="225" t="str">
        <f t="shared" ref="CL161" si="1848">++IFERROR(CL160/CL157,"n/a")</f>
        <v>n/a</v>
      </c>
      <c r="CM161" s="225" t="str">
        <f t="shared" ref="CM161" si="1849">++IFERROR(CM160/CM157,"n/a")</f>
        <v>n/a</v>
      </c>
      <c r="CN161" s="225" t="str">
        <f t="shared" ref="CN161" si="1850">++IFERROR(CN160/CN157,"n/a")</f>
        <v>n/a</v>
      </c>
      <c r="CO161" s="225" t="str">
        <f t="shared" ref="CO161" si="1851">++IFERROR(CO160/CO157,"n/a")</f>
        <v>n/a</v>
      </c>
      <c r="CP161" s="225" t="str">
        <f t="shared" ref="CP161" si="1852">++IFERROR(CP160/CP157,"n/a")</f>
        <v>n/a</v>
      </c>
      <c r="CQ161" s="214" t="str">
        <f t="shared" ref="CQ161" si="1853">++IFERROR(CQ160/CQ157,"n/a")</f>
        <v>n/a</v>
      </c>
      <c r="CR161" s="225" t="str">
        <f t="shared" ref="CR161" si="1854">++IFERROR(CR160/CR157,"n/a")</f>
        <v>n/a</v>
      </c>
      <c r="CS161" s="225" t="str">
        <f t="shared" ref="CS161" si="1855">++IFERROR(CS160/CS157,"n/a")</f>
        <v>n/a</v>
      </c>
      <c r="CT161" s="225" t="str">
        <f t="shared" ref="CT161" si="1856">++IFERROR(CT160/CT157,"n/a")</f>
        <v>n/a</v>
      </c>
      <c r="CU161" s="225" t="str">
        <f t="shared" ref="CU161" si="1857">++IFERROR(CU160/CU157,"n/a")</f>
        <v>n/a</v>
      </c>
      <c r="CV161" s="225" t="str">
        <f t="shared" ref="CV161" si="1858">++IFERROR(CV160/CV157,"n/a")</f>
        <v>n/a</v>
      </c>
      <c r="CW161" s="225" t="str">
        <f t="shared" ref="CW161" si="1859">++IFERROR(CW160/CW157,"n/a")</f>
        <v>n/a</v>
      </c>
      <c r="CX161" s="225" t="str">
        <f t="shared" ref="CX161" si="1860">++IFERROR(CX160/CX157,"n/a")</f>
        <v>n/a</v>
      </c>
      <c r="CY161" s="225" t="str">
        <f t="shared" ref="CY161" si="1861">++IFERROR(CY160/CY157,"n/a")</f>
        <v>n/a</v>
      </c>
      <c r="CZ161" s="225" t="str">
        <f t="shared" ref="CZ161" si="1862">++IFERROR(CZ160/CZ157,"n/a")</f>
        <v>n/a</v>
      </c>
      <c r="DA161" s="225" t="str">
        <f t="shared" ref="DA161" si="1863">++IFERROR(DA160/DA157,"n/a")</f>
        <v>n/a</v>
      </c>
      <c r="DB161" s="225" t="str">
        <f t="shared" ref="DB161" si="1864">++IFERROR(DB160/DB157,"n/a")</f>
        <v>n/a</v>
      </c>
      <c r="DC161" s="214" t="str">
        <f t="shared" ref="DC161" si="1865">++IFERROR(DC160/DC157,"n/a")</f>
        <v>n/a</v>
      </c>
    </row>
    <row r="162" spans="3:107" x14ac:dyDescent="0.3">
      <c r="C162" s="321" t="str">
        <f>++C$15</f>
        <v>% y/y</v>
      </c>
      <c r="G162" s="122" t="s">
        <v>47</v>
      </c>
      <c r="H162" s="122" t="s">
        <v>47</v>
      </c>
      <c r="I162" s="122" t="s">
        <v>47</v>
      </c>
      <c r="J162" s="122" t="s">
        <v>47</v>
      </c>
      <c r="K162" s="214" t="str">
        <f>++IFERROR(K160/G160-1,"n/a")</f>
        <v>n/a</v>
      </c>
      <c r="L162" s="122" t="s">
        <v>47</v>
      </c>
      <c r="M162" s="122" t="s">
        <v>47</v>
      </c>
      <c r="N162" s="225" t="str">
        <f>++IFERROR(N160/H160-1,"n/a")</f>
        <v>n/a</v>
      </c>
      <c r="O162" s="122" t="s">
        <v>47</v>
      </c>
      <c r="P162" s="122" t="s">
        <v>47</v>
      </c>
      <c r="Q162" s="225" t="str">
        <f>++IFERROR(Q160/I160-1,"n/a")</f>
        <v>n/a</v>
      </c>
      <c r="R162" s="122" t="s">
        <v>47</v>
      </c>
      <c r="S162" s="122" t="s">
        <v>47</v>
      </c>
      <c r="T162" s="225" t="str">
        <f>++IFERROR(T160/J160-1,"n/a")</f>
        <v>n/a</v>
      </c>
      <c r="U162" s="122" t="s">
        <v>47</v>
      </c>
      <c r="V162" s="122" t="s">
        <v>47</v>
      </c>
      <c r="W162" s="214" t="str">
        <f t="shared" ref="W162:BB162" si="1866">++IFERROR(W160/K160-1,"n/a")</f>
        <v>n/a</v>
      </c>
      <c r="X162" s="225" t="str">
        <f t="shared" si="1866"/>
        <v>n/a</v>
      </c>
      <c r="Y162" s="225" t="str">
        <f t="shared" si="1866"/>
        <v>n/a</v>
      </c>
      <c r="Z162" s="225" t="str">
        <f t="shared" si="1866"/>
        <v>n/a</v>
      </c>
      <c r="AA162" s="225" t="str">
        <f t="shared" si="1866"/>
        <v>n/a</v>
      </c>
      <c r="AB162" s="225" t="str">
        <f t="shared" si="1866"/>
        <v>n/a</v>
      </c>
      <c r="AC162" s="225" t="str">
        <f t="shared" si="1866"/>
        <v>n/a</v>
      </c>
      <c r="AD162" s="225" t="str">
        <f t="shared" si="1866"/>
        <v>n/a</v>
      </c>
      <c r="AE162" s="225" t="str">
        <f t="shared" si="1866"/>
        <v>n/a</v>
      </c>
      <c r="AF162" s="225" t="str">
        <f t="shared" si="1866"/>
        <v>n/a</v>
      </c>
      <c r="AG162" s="225" t="str">
        <f t="shared" si="1866"/>
        <v>n/a</v>
      </c>
      <c r="AH162" s="225" t="str">
        <f t="shared" si="1866"/>
        <v>n/a</v>
      </c>
      <c r="AI162" s="214" t="str">
        <f t="shared" si="1866"/>
        <v>n/a</v>
      </c>
      <c r="AJ162" s="225" t="str">
        <f t="shared" si="1866"/>
        <v>n/a</v>
      </c>
      <c r="AK162" s="225" t="str">
        <f t="shared" si="1866"/>
        <v>n/a</v>
      </c>
      <c r="AL162" s="225" t="str">
        <f t="shared" si="1866"/>
        <v>n/a</v>
      </c>
      <c r="AM162" s="225" t="str">
        <f t="shared" si="1866"/>
        <v>n/a</v>
      </c>
      <c r="AN162" s="225" t="str">
        <f t="shared" si="1866"/>
        <v>n/a</v>
      </c>
      <c r="AO162" s="225" t="str">
        <f t="shared" si="1866"/>
        <v>n/a</v>
      </c>
      <c r="AP162" s="225" t="str">
        <f t="shared" si="1866"/>
        <v>n/a</v>
      </c>
      <c r="AQ162" s="225" t="str">
        <f t="shared" si="1866"/>
        <v>n/a</v>
      </c>
      <c r="AR162" s="225" t="str">
        <f t="shared" si="1866"/>
        <v>n/a</v>
      </c>
      <c r="AS162" s="225" t="str">
        <f t="shared" si="1866"/>
        <v>n/a</v>
      </c>
      <c r="AT162" s="225" t="str">
        <f t="shared" si="1866"/>
        <v>n/a</v>
      </c>
      <c r="AU162" s="214" t="str">
        <f t="shared" si="1866"/>
        <v>n/a</v>
      </c>
      <c r="AV162" s="225" t="str">
        <f t="shared" si="1866"/>
        <v>n/a</v>
      </c>
      <c r="AW162" s="225" t="str">
        <f t="shared" si="1866"/>
        <v>n/a</v>
      </c>
      <c r="AX162" s="225" t="str">
        <f t="shared" si="1866"/>
        <v>n/a</v>
      </c>
      <c r="AY162" s="225" t="str">
        <f t="shared" si="1866"/>
        <v>n/a</v>
      </c>
      <c r="AZ162" s="225" t="str">
        <f t="shared" si="1866"/>
        <v>n/a</v>
      </c>
      <c r="BA162" s="225" t="str">
        <f t="shared" si="1866"/>
        <v>n/a</v>
      </c>
      <c r="BB162" s="225" t="str">
        <f t="shared" si="1866"/>
        <v>n/a</v>
      </c>
      <c r="BC162" s="225" t="str">
        <f t="shared" ref="BC162:CH162" si="1867">++IFERROR(BC160/AQ160-1,"n/a")</f>
        <v>n/a</v>
      </c>
      <c r="BD162" s="225" t="str">
        <f t="shared" si="1867"/>
        <v>n/a</v>
      </c>
      <c r="BE162" s="225" t="str">
        <f t="shared" si="1867"/>
        <v>n/a</v>
      </c>
      <c r="BF162" s="225" t="str">
        <f t="shared" si="1867"/>
        <v>n/a</v>
      </c>
      <c r="BG162" s="214" t="str">
        <f t="shared" si="1867"/>
        <v>n/a</v>
      </c>
      <c r="BH162" s="225" t="str">
        <f t="shared" si="1867"/>
        <v>n/a</v>
      </c>
      <c r="BI162" s="225" t="str">
        <f t="shared" si="1867"/>
        <v>n/a</v>
      </c>
      <c r="BJ162" s="225" t="str">
        <f t="shared" si="1867"/>
        <v>n/a</v>
      </c>
      <c r="BK162" s="225" t="str">
        <f t="shared" si="1867"/>
        <v>n/a</v>
      </c>
      <c r="BL162" s="225" t="str">
        <f t="shared" si="1867"/>
        <v>n/a</v>
      </c>
      <c r="BM162" s="225" t="str">
        <f t="shared" si="1867"/>
        <v>n/a</v>
      </c>
      <c r="BN162" s="225" t="str">
        <f t="shared" si="1867"/>
        <v>n/a</v>
      </c>
      <c r="BO162" s="225" t="str">
        <f t="shared" si="1867"/>
        <v>n/a</v>
      </c>
      <c r="BP162" s="225" t="str">
        <f t="shared" si="1867"/>
        <v>n/a</v>
      </c>
      <c r="BQ162" s="225" t="str">
        <f t="shared" si="1867"/>
        <v>n/a</v>
      </c>
      <c r="BR162" s="225" t="str">
        <f t="shared" si="1867"/>
        <v>n/a</v>
      </c>
      <c r="BS162" s="214" t="str">
        <f t="shared" si="1867"/>
        <v>n/a</v>
      </c>
      <c r="BT162" s="225" t="str">
        <f t="shared" si="1867"/>
        <v>n/a</v>
      </c>
      <c r="BU162" s="225" t="str">
        <f t="shared" si="1867"/>
        <v>n/a</v>
      </c>
      <c r="BV162" s="225" t="str">
        <f t="shared" si="1867"/>
        <v>n/a</v>
      </c>
      <c r="BW162" s="225" t="str">
        <f t="shared" si="1867"/>
        <v>n/a</v>
      </c>
      <c r="BX162" s="225" t="str">
        <f t="shared" si="1867"/>
        <v>n/a</v>
      </c>
      <c r="BY162" s="225" t="str">
        <f t="shared" si="1867"/>
        <v>n/a</v>
      </c>
      <c r="BZ162" s="225" t="str">
        <f t="shared" si="1867"/>
        <v>n/a</v>
      </c>
      <c r="CA162" s="225" t="str">
        <f t="shared" si="1867"/>
        <v>n/a</v>
      </c>
      <c r="CB162" s="225" t="str">
        <f t="shared" si="1867"/>
        <v>n/a</v>
      </c>
      <c r="CC162" s="225" t="str">
        <f t="shared" si="1867"/>
        <v>n/a</v>
      </c>
      <c r="CD162" s="225" t="str">
        <f t="shared" si="1867"/>
        <v>n/a</v>
      </c>
      <c r="CE162" s="214" t="str">
        <f t="shared" si="1867"/>
        <v>n/a</v>
      </c>
      <c r="CF162" s="225" t="str">
        <f t="shared" si="1867"/>
        <v>n/a</v>
      </c>
      <c r="CG162" s="225" t="str">
        <f t="shared" si="1867"/>
        <v>n/a</v>
      </c>
      <c r="CH162" s="225" t="str">
        <f t="shared" si="1867"/>
        <v>n/a</v>
      </c>
      <c r="CI162" s="225" t="str">
        <f t="shared" ref="CI162:DN162" si="1868">++IFERROR(CI160/BW160-1,"n/a")</f>
        <v>n/a</v>
      </c>
      <c r="CJ162" s="225" t="str">
        <f t="shared" si="1868"/>
        <v>n/a</v>
      </c>
      <c r="CK162" s="225" t="str">
        <f t="shared" si="1868"/>
        <v>n/a</v>
      </c>
      <c r="CL162" s="225" t="str">
        <f t="shared" si="1868"/>
        <v>n/a</v>
      </c>
      <c r="CM162" s="225" t="str">
        <f t="shared" si="1868"/>
        <v>n/a</v>
      </c>
      <c r="CN162" s="225" t="str">
        <f t="shared" si="1868"/>
        <v>n/a</v>
      </c>
      <c r="CO162" s="225" t="str">
        <f t="shared" si="1868"/>
        <v>n/a</v>
      </c>
      <c r="CP162" s="225" t="str">
        <f t="shared" si="1868"/>
        <v>n/a</v>
      </c>
      <c r="CQ162" s="214" t="str">
        <f t="shared" si="1868"/>
        <v>n/a</v>
      </c>
      <c r="CR162" s="225" t="str">
        <f t="shared" si="1868"/>
        <v>n/a</v>
      </c>
      <c r="CS162" s="225" t="str">
        <f t="shared" si="1868"/>
        <v>n/a</v>
      </c>
      <c r="CT162" s="225" t="str">
        <f t="shared" si="1868"/>
        <v>n/a</v>
      </c>
      <c r="CU162" s="225" t="str">
        <f t="shared" si="1868"/>
        <v>n/a</v>
      </c>
      <c r="CV162" s="225" t="str">
        <f t="shared" si="1868"/>
        <v>n/a</v>
      </c>
      <c r="CW162" s="225" t="str">
        <f t="shared" si="1868"/>
        <v>n/a</v>
      </c>
      <c r="CX162" s="225" t="str">
        <f t="shared" si="1868"/>
        <v>n/a</v>
      </c>
      <c r="CY162" s="225" t="str">
        <f t="shared" si="1868"/>
        <v>n/a</v>
      </c>
      <c r="CZ162" s="225" t="str">
        <f t="shared" si="1868"/>
        <v>n/a</v>
      </c>
      <c r="DA162" s="225" t="str">
        <f t="shared" si="1868"/>
        <v>n/a</v>
      </c>
      <c r="DB162" s="225" t="str">
        <f t="shared" si="1868"/>
        <v>n/a</v>
      </c>
      <c r="DC162" s="214" t="str">
        <f t="shared" si="1868"/>
        <v>n/a</v>
      </c>
    </row>
    <row r="163" spans="3:107" x14ac:dyDescent="0.3">
      <c r="G163" s="203"/>
      <c r="K163" s="203"/>
      <c r="W163" s="203"/>
      <c r="AI163" s="203"/>
      <c r="AU163" s="203"/>
      <c r="BG163" s="203"/>
      <c r="BS163" s="203"/>
      <c r="CE163" s="203"/>
      <c r="CQ163" s="203"/>
      <c r="DC163" s="203"/>
    </row>
    <row r="164" spans="3:107" x14ac:dyDescent="0.3">
      <c r="C164" s="101" t="str">
        <f>++C$17</f>
        <v>[Operating Expense]</v>
      </c>
      <c r="G164" s="45">
        <f>++G17</f>
        <v>0</v>
      </c>
      <c r="H164" s="45">
        <f t="shared" ref="H164:BS167" si="1869">++H17</f>
        <v>0</v>
      </c>
      <c r="I164" s="45">
        <f t="shared" si="1869"/>
        <v>0</v>
      </c>
      <c r="J164" s="45">
        <f t="shared" si="1869"/>
        <v>0</v>
      </c>
      <c r="K164" s="45">
        <f t="shared" si="1869"/>
        <v>0</v>
      </c>
      <c r="L164" s="45">
        <f t="shared" si="1869"/>
        <v>0</v>
      </c>
      <c r="M164" s="45">
        <f t="shared" si="1869"/>
        <v>0</v>
      </c>
      <c r="N164" s="45">
        <f t="shared" si="1869"/>
        <v>0</v>
      </c>
      <c r="O164" s="45">
        <f t="shared" si="1869"/>
        <v>0</v>
      </c>
      <c r="P164" s="45">
        <f t="shared" si="1869"/>
        <v>0</v>
      </c>
      <c r="Q164" s="45">
        <f t="shared" si="1869"/>
        <v>0</v>
      </c>
      <c r="R164" s="45">
        <f t="shared" si="1869"/>
        <v>0</v>
      </c>
      <c r="S164" s="45">
        <f t="shared" si="1869"/>
        <v>0</v>
      </c>
      <c r="T164" s="45">
        <f t="shared" si="1869"/>
        <v>0</v>
      </c>
      <c r="U164" s="45">
        <f t="shared" si="1869"/>
        <v>0</v>
      </c>
      <c r="V164" s="45">
        <f t="shared" si="1869"/>
        <v>0</v>
      </c>
      <c r="W164" s="45">
        <f t="shared" si="1869"/>
        <v>0</v>
      </c>
      <c r="X164" s="45">
        <f t="shared" si="1869"/>
        <v>0</v>
      </c>
      <c r="Y164" s="45">
        <f t="shared" si="1869"/>
        <v>0</v>
      </c>
      <c r="Z164" s="45">
        <f t="shared" si="1869"/>
        <v>0</v>
      </c>
      <c r="AA164" s="45">
        <f t="shared" si="1869"/>
        <v>0</v>
      </c>
      <c r="AB164" s="45">
        <f t="shared" si="1869"/>
        <v>0</v>
      </c>
      <c r="AC164" s="45">
        <f t="shared" si="1869"/>
        <v>0</v>
      </c>
      <c r="AD164" s="45">
        <f t="shared" si="1869"/>
        <v>0</v>
      </c>
      <c r="AE164" s="45">
        <f t="shared" si="1869"/>
        <v>0</v>
      </c>
      <c r="AF164" s="45">
        <f t="shared" si="1869"/>
        <v>0</v>
      </c>
      <c r="AG164" s="45">
        <f t="shared" si="1869"/>
        <v>0</v>
      </c>
      <c r="AH164" s="45">
        <f t="shared" si="1869"/>
        <v>0</v>
      </c>
      <c r="AI164" s="45">
        <f t="shared" si="1869"/>
        <v>0</v>
      </c>
      <c r="AJ164" s="45">
        <f t="shared" si="1869"/>
        <v>0</v>
      </c>
      <c r="AK164" s="45">
        <f t="shared" si="1869"/>
        <v>0</v>
      </c>
      <c r="AL164" s="45">
        <f t="shared" si="1869"/>
        <v>0</v>
      </c>
      <c r="AM164" s="45">
        <f t="shared" si="1869"/>
        <v>0</v>
      </c>
      <c r="AN164" s="45">
        <f t="shared" si="1869"/>
        <v>0</v>
      </c>
      <c r="AO164" s="45">
        <f t="shared" si="1869"/>
        <v>0</v>
      </c>
      <c r="AP164" s="45">
        <f t="shared" si="1869"/>
        <v>0</v>
      </c>
      <c r="AQ164" s="45">
        <f t="shared" si="1869"/>
        <v>0</v>
      </c>
      <c r="AR164" s="45">
        <f t="shared" si="1869"/>
        <v>0</v>
      </c>
      <c r="AS164" s="45">
        <f t="shared" si="1869"/>
        <v>0</v>
      </c>
      <c r="AT164" s="45">
        <f t="shared" si="1869"/>
        <v>0</v>
      </c>
      <c r="AU164" s="45">
        <f t="shared" si="1869"/>
        <v>0</v>
      </c>
      <c r="AV164" s="45">
        <f t="shared" si="1869"/>
        <v>0</v>
      </c>
      <c r="AW164" s="45">
        <f t="shared" si="1869"/>
        <v>0</v>
      </c>
      <c r="AX164" s="45">
        <f t="shared" si="1869"/>
        <v>0</v>
      </c>
      <c r="AY164" s="45">
        <f t="shared" si="1869"/>
        <v>0</v>
      </c>
      <c r="AZ164" s="45">
        <f t="shared" si="1869"/>
        <v>0</v>
      </c>
      <c r="BA164" s="45">
        <f t="shared" si="1869"/>
        <v>0</v>
      </c>
      <c r="BB164" s="45">
        <f t="shared" si="1869"/>
        <v>0</v>
      </c>
      <c r="BC164" s="45">
        <f t="shared" si="1869"/>
        <v>0</v>
      </c>
      <c r="BD164" s="45">
        <f t="shared" si="1869"/>
        <v>0</v>
      </c>
      <c r="BE164" s="45">
        <f t="shared" si="1869"/>
        <v>0</v>
      </c>
      <c r="BF164" s="45">
        <f t="shared" si="1869"/>
        <v>0</v>
      </c>
      <c r="BG164" s="45">
        <f t="shared" si="1869"/>
        <v>0</v>
      </c>
      <c r="BH164" s="45">
        <f t="shared" si="1869"/>
        <v>0</v>
      </c>
      <c r="BI164" s="45">
        <f t="shared" si="1869"/>
        <v>0</v>
      </c>
      <c r="BJ164" s="45">
        <f t="shared" si="1869"/>
        <v>0</v>
      </c>
      <c r="BK164" s="45">
        <f t="shared" si="1869"/>
        <v>0</v>
      </c>
      <c r="BL164" s="45">
        <f t="shared" si="1869"/>
        <v>0</v>
      </c>
      <c r="BM164" s="45">
        <f t="shared" si="1869"/>
        <v>0</v>
      </c>
      <c r="BN164" s="45">
        <f t="shared" si="1869"/>
        <v>0</v>
      </c>
      <c r="BO164" s="45">
        <f t="shared" si="1869"/>
        <v>0</v>
      </c>
      <c r="BP164" s="45">
        <f t="shared" si="1869"/>
        <v>0</v>
      </c>
      <c r="BQ164" s="45">
        <f t="shared" si="1869"/>
        <v>0</v>
      </c>
      <c r="BR164" s="45">
        <f t="shared" si="1869"/>
        <v>0</v>
      </c>
      <c r="BS164" s="45">
        <f t="shared" si="1869"/>
        <v>0</v>
      </c>
      <c r="BT164" s="45">
        <f t="shared" ref="BT164:DC168" si="1870">++BT17</f>
        <v>0</v>
      </c>
      <c r="BU164" s="45">
        <f t="shared" si="1870"/>
        <v>0</v>
      </c>
      <c r="BV164" s="45">
        <f t="shared" si="1870"/>
        <v>0</v>
      </c>
      <c r="BW164" s="45">
        <f t="shared" si="1870"/>
        <v>0</v>
      </c>
      <c r="BX164" s="45">
        <f t="shared" si="1870"/>
        <v>0</v>
      </c>
      <c r="BY164" s="45">
        <f t="shared" si="1870"/>
        <v>0</v>
      </c>
      <c r="BZ164" s="45">
        <f t="shared" si="1870"/>
        <v>0</v>
      </c>
      <c r="CA164" s="45">
        <f t="shared" si="1870"/>
        <v>0</v>
      </c>
      <c r="CB164" s="45">
        <f t="shared" si="1870"/>
        <v>0</v>
      </c>
      <c r="CC164" s="45">
        <f t="shared" si="1870"/>
        <v>0</v>
      </c>
      <c r="CD164" s="45">
        <f t="shared" si="1870"/>
        <v>0</v>
      </c>
      <c r="CE164" s="45">
        <f t="shared" si="1870"/>
        <v>0</v>
      </c>
      <c r="CF164" s="45">
        <f t="shared" si="1870"/>
        <v>0</v>
      </c>
      <c r="CG164" s="45">
        <f t="shared" si="1870"/>
        <v>0</v>
      </c>
      <c r="CH164" s="45">
        <f t="shared" si="1870"/>
        <v>0</v>
      </c>
      <c r="CI164" s="45">
        <f t="shared" si="1870"/>
        <v>0</v>
      </c>
      <c r="CJ164" s="45">
        <f t="shared" si="1870"/>
        <v>0</v>
      </c>
      <c r="CK164" s="45">
        <f t="shared" si="1870"/>
        <v>0</v>
      </c>
      <c r="CL164" s="45">
        <f t="shared" si="1870"/>
        <v>0</v>
      </c>
      <c r="CM164" s="45">
        <f t="shared" si="1870"/>
        <v>0</v>
      </c>
      <c r="CN164" s="45">
        <f t="shared" si="1870"/>
        <v>0</v>
      </c>
      <c r="CO164" s="45">
        <f t="shared" si="1870"/>
        <v>0</v>
      </c>
      <c r="CP164" s="45">
        <f t="shared" si="1870"/>
        <v>0</v>
      </c>
      <c r="CQ164" s="45">
        <f t="shared" si="1870"/>
        <v>0</v>
      </c>
      <c r="CR164" s="45">
        <f t="shared" si="1870"/>
        <v>0</v>
      </c>
      <c r="CS164" s="45">
        <f t="shared" si="1870"/>
        <v>0</v>
      </c>
      <c r="CT164" s="45">
        <f t="shared" si="1870"/>
        <v>0</v>
      </c>
      <c r="CU164" s="45">
        <f t="shared" si="1870"/>
        <v>0</v>
      </c>
      <c r="CV164" s="45">
        <f t="shared" si="1870"/>
        <v>0</v>
      </c>
      <c r="CW164" s="45">
        <f t="shared" si="1870"/>
        <v>0</v>
      </c>
      <c r="CX164" s="45">
        <f t="shared" si="1870"/>
        <v>0</v>
      </c>
      <c r="CY164" s="45">
        <f t="shared" si="1870"/>
        <v>0</v>
      </c>
      <c r="CZ164" s="45">
        <f t="shared" si="1870"/>
        <v>0</v>
      </c>
      <c r="DA164" s="45">
        <f t="shared" si="1870"/>
        <v>0</v>
      </c>
      <c r="DB164" s="45">
        <f t="shared" si="1870"/>
        <v>0</v>
      </c>
      <c r="DC164" s="45">
        <f t="shared" si="1870"/>
        <v>0</v>
      </c>
    </row>
    <row r="165" spans="3:107" x14ac:dyDescent="0.3">
      <c r="C165" s="101" t="str">
        <f>++C$18</f>
        <v>[Operating Expense]</v>
      </c>
      <c r="G165" s="45">
        <f>++G18</f>
        <v>0</v>
      </c>
      <c r="H165" s="45">
        <f t="shared" si="1869"/>
        <v>0</v>
      </c>
      <c r="I165" s="45">
        <f t="shared" si="1869"/>
        <v>0</v>
      </c>
      <c r="J165" s="45">
        <f t="shared" si="1869"/>
        <v>0</v>
      </c>
      <c r="K165" s="45">
        <f t="shared" si="1869"/>
        <v>0</v>
      </c>
      <c r="L165" s="45">
        <f t="shared" si="1869"/>
        <v>0</v>
      </c>
      <c r="M165" s="45">
        <f t="shared" si="1869"/>
        <v>0</v>
      </c>
      <c r="N165" s="45">
        <f t="shared" si="1869"/>
        <v>0</v>
      </c>
      <c r="O165" s="45">
        <f t="shared" si="1869"/>
        <v>0</v>
      </c>
      <c r="P165" s="45">
        <f t="shared" si="1869"/>
        <v>0</v>
      </c>
      <c r="Q165" s="45">
        <f t="shared" si="1869"/>
        <v>0</v>
      </c>
      <c r="R165" s="45">
        <f t="shared" si="1869"/>
        <v>0</v>
      </c>
      <c r="S165" s="45">
        <f t="shared" si="1869"/>
        <v>0</v>
      </c>
      <c r="T165" s="45">
        <f t="shared" si="1869"/>
        <v>0</v>
      </c>
      <c r="U165" s="45">
        <f t="shared" si="1869"/>
        <v>0</v>
      </c>
      <c r="V165" s="45">
        <f t="shared" si="1869"/>
        <v>0</v>
      </c>
      <c r="W165" s="45">
        <f t="shared" si="1869"/>
        <v>0</v>
      </c>
      <c r="X165" s="45">
        <f t="shared" si="1869"/>
        <v>0</v>
      </c>
      <c r="Y165" s="45">
        <f t="shared" si="1869"/>
        <v>0</v>
      </c>
      <c r="Z165" s="45">
        <f t="shared" si="1869"/>
        <v>0</v>
      </c>
      <c r="AA165" s="45">
        <f t="shared" si="1869"/>
        <v>0</v>
      </c>
      <c r="AB165" s="45">
        <f t="shared" si="1869"/>
        <v>0</v>
      </c>
      <c r="AC165" s="45">
        <f t="shared" si="1869"/>
        <v>0</v>
      </c>
      <c r="AD165" s="45">
        <f t="shared" si="1869"/>
        <v>0</v>
      </c>
      <c r="AE165" s="45">
        <f t="shared" si="1869"/>
        <v>0</v>
      </c>
      <c r="AF165" s="45">
        <f t="shared" si="1869"/>
        <v>0</v>
      </c>
      <c r="AG165" s="45">
        <f t="shared" si="1869"/>
        <v>0</v>
      </c>
      <c r="AH165" s="45">
        <f t="shared" si="1869"/>
        <v>0</v>
      </c>
      <c r="AI165" s="45">
        <f t="shared" si="1869"/>
        <v>0</v>
      </c>
      <c r="AJ165" s="45">
        <f t="shared" si="1869"/>
        <v>0</v>
      </c>
      <c r="AK165" s="45">
        <f t="shared" si="1869"/>
        <v>0</v>
      </c>
      <c r="AL165" s="45">
        <f t="shared" si="1869"/>
        <v>0</v>
      </c>
      <c r="AM165" s="45">
        <f t="shared" si="1869"/>
        <v>0</v>
      </c>
      <c r="AN165" s="45">
        <f t="shared" si="1869"/>
        <v>0</v>
      </c>
      <c r="AO165" s="45">
        <f t="shared" si="1869"/>
        <v>0</v>
      </c>
      <c r="AP165" s="45">
        <f t="shared" si="1869"/>
        <v>0</v>
      </c>
      <c r="AQ165" s="45">
        <f t="shared" si="1869"/>
        <v>0</v>
      </c>
      <c r="AR165" s="45">
        <f t="shared" si="1869"/>
        <v>0</v>
      </c>
      <c r="AS165" s="45">
        <f t="shared" si="1869"/>
        <v>0</v>
      </c>
      <c r="AT165" s="45">
        <f t="shared" si="1869"/>
        <v>0</v>
      </c>
      <c r="AU165" s="45">
        <f t="shared" si="1869"/>
        <v>0</v>
      </c>
      <c r="AV165" s="45">
        <f t="shared" si="1869"/>
        <v>0</v>
      </c>
      <c r="AW165" s="45">
        <f t="shared" si="1869"/>
        <v>0</v>
      </c>
      <c r="AX165" s="45">
        <f t="shared" si="1869"/>
        <v>0</v>
      </c>
      <c r="AY165" s="45">
        <f t="shared" si="1869"/>
        <v>0</v>
      </c>
      <c r="AZ165" s="45">
        <f t="shared" si="1869"/>
        <v>0</v>
      </c>
      <c r="BA165" s="45">
        <f t="shared" si="1869"/>
        <v>0</v>
      </c>
      <c r="BB165" s="45">
        <f t="shared" si="1869"/>
        <v>0</v>
      </c>
      <c r="BC165" s="45">
        <f t="shared" si="1869"/>
        <v>0</v>
      </c>
      <c r="BD165" s="45">
        <f t="shared" si="1869"/>
        <v>0</v>
      </c>
      <c r="BE165" s="45">
        <f t="shared" si="1869"/>
        <v>0</v>
      </c>
      <c r="BF165" s="45">
        <f t="shared" si="1869"/>
        <v>0</v>
      </c>
      <c r="BG165" s="45">
        <f t="shared" si="1869"/>
        <v>0</v>
      </c>
      <c r="BH165" s="45">
        <f t="shared" si="1869"/>
        <v>0</v>
      </c>
      <c r="BI165" s="45">
        <f t="shared" si="1869"/>
        <v>0</v>
      </c>
      <c r="BJ165" s="45">
        <f t="shared" si="1869"/>
        <v>0</v>
      </c>
      <c r="BK165" s="45">
        <f t="shared" si="1869"/>
        <v>0</v>
      </c>
      <c r="BL165" s="45">
        <f t="shared" si="1869"/>
        <v>0</v>
      </c>
      <c r="BM165" s="45">
        <f t="shared" si="1869"/>
        <v>0</v>
      </c>
      <c r="BN165" s="45">
        <f t="shared" si="1869"/>
        <v>0</v>
      </c>
      <c r="BO165" s="45">
        <f t="shared" si="1869"/>
        <v>0</v>
      </c>
      <c r="BP165" s="45">
        <f t="shared" si="1869"/>
        <v>0</v>
      </c>
      <c r="BQ165" s="45">
        <f t="shared" si="1869"/>
        <v>0</v>
      </c>
      <c r="BR165" s="45">
        <f t="shared" si="1869"/>
        <v>0</v>
      </c>
      <c r="BS165" s="45">
        <f t="shared" si="1869"/>
        <v>0</v>
      </c>
      <c r="BT165" s="45">
        <f t="shared" si="1870"/>
        <v>0</v>
      </c>
      <c r="BU165" s="45">
        <f t="shared" si="1870"/>
        <v>0</v>
      </c>
      <c r="BV165" s="45">
        <f t="shared" si="1870"/>
        <v>0</v>
      </c>
      <c r="BW165" s="45">
        <f t="shared" si="1870"/>
        <v>0</v>
      </c>
      <c r="BX165" s="45">
        <f t="shared" si="1870"/>
        <v>0</v>
      </c>
      <c r="BY165" s="45">
        <f t="shared" si="1870"/>
        <v>0</v>
      </c>
      <c r="BZ165" s="45">
        <f t="shared" si="1870"/>
        <v>0</v>
      </c>
      <c r="CA165" s="45">
        <f t="shared" si="1870"/>
        <v>0</v>
      </c>
      <c r="CB165" s="45">
        <f t="shared" si="1870"/>
        <v>0</v>
      </c>
      <c r="CC165" s="45">
        <f t="shared" si="1870"/>
        <v>0</v>
      </c>
      <c r="CD165" s="45">
        <f t="shared" si="1870"/>
        <v>0</v>
      </c>
      <c r="CE165" s="45">
        <f t="shared" si="1870"/>
        <v>0</v>
      </c>
      <c r="CF165" s="45">
        <f t="shared" si="1870"/>
        <v>0</v>
      </c>
      <c r="CG165" s="45">
        <f t="shared" si="1870"/>
        <v>0</v>
      </c>
      <c r="CH165" s="45">
        <f t="shared" si="1870"/>
        <v>0</v>
      </c>
      <c r="CI165" s="45">
        <f t="shared" si="1870"/>
        <v>0</v>
      </c>
      <c r="CJ165" s="45">
        <f t="shared" si="1870"/>
        <v>0</v>
      </c>
      <c r="CK165" s="45">
        <f t="shared" si="1870"/>
        <v>0</v>
      </c>
      <c r="CL165" s="45">
        <f t="shared" si="1870"/>
        <v>0</v>
      </c>
      <c r="CM165" s="45">
        <f t="shared" si="1870"/>
        <v>0</v>
      </c>
      <c r="CN165" s="45">
        <f t="shared" si="1870"/>
        <v>0</v>
      </c>
      <c r="CO165" s="45">
        <f t="shared" si="1870"/>
        <v>0</v>
      </c>
      <c r="CP165" s="45">
        <f t="shared" si="1870"/>
        <v>0</v>
      </c>
      <c r="CQ165" s="45">
        <f t="shared" si="1870"/>
        <v>0</v>
      </c>
      <c r="CR165" s="45">
        <f t="shared" si="1870"/>
        <v>0</v>
      </c>
      <c r="CS165" s="45">
        <f t="shared" si="1870"/>
        <v>0</v>
      </c>
      <c r="CT165" s="45">
        <f t="shared" si="1870"/>
        <v>0</v>
      </c>
      <c r="CU165" s="45">
        <f t="shared" si="1870"/>
        <v>0</v>
      </c>
      <c r="CV165" s="45">
        <f t="shared" si="1870"/>
        <v>0</v>
      </c>
      <c r="CW165" s="45">
        <f t="shared" si="1870"/>
        <v>0</v>
      </c>
      <c r="CX165" s="45">
        <f t="shared" si="1870"/>
        <v>0</v>
      </c>
      <c r="CY165" s="45">
        <f t="shared" si="1870"/>
        <v>0</v>
      </c>
      <c r="CZ165" s="45">
        <f t="shared" si="1870"/>
        <v>0</v>
      </c>
      <c r="DA165" s="45">
        <f t="shared" si="1870"/>
        <v>0</v>
      </c>
      <c r="DB165" s="45">
        <f t="shared" si="1870"/>
        <v>0</v>
      </c>
      <c r="DC165" s="45">
        <f t="shared" si="1870"/>
        <v>0</v>
      </c>
    </row>
    <row r="166" spans="3:107" x14ac:dyDescent="0.3">
      <c r="C166" s="101" t="str">
        <f>++C$19</f>
        <v>[Operating Expense]</v>
      </c>
      <c r="G166" s="45">
        <f>++G19</f>
        <v>0</v>
      </c>
      <c r="H166" s="45">
        <f t="shared" si="1869"/>
        <v>0</v>
      </c>
      <c r="I166" s="45">
        <f t="shared" si="1869"/>
        <v>0</v>
      </c>
      <c r="J166" s="45">
        <f t="shared" si="1869"/>
        <v>0</v>
      </c>
      <c r="K166" s="45">
        <f t="shared" si="1869"/>
        <v>0</v>
      </c>
      <c r="L166" s="45">
        <f t="shared" si="1869"/>
        <v>0</v>
      </c>
      <c r="M166" s="45">
        <f t="shared" si="1869"/>
        <v>0</v>
      </c>
      <c r="N166" s="45">
        <f t="shared" si="1869"/>
        <v>0</v>
      </c>
      <c r="O166" s="45">
        <f t="shared" si="1869"/>
        <v>0</v>
      </c>
      <c r="P166" s="45">
        <f t="shared" si="1869"/>
        <v>0</v>
      </c>
      <c r="Q166" s="45">
        <f t="shared" si="1869"/>
        <v>0</v>
      </c>
      <c r="R166" s="45">
        <f t="shared" si="1869"/>
        <v>0</v>
      </c>
      <c r="S166" s="45">
        <f t="shared" si="1869"/>
        <v>0</v>
      </c>
      <c r="T166" s="45">
        <f t="shared" si="1869"/>
        <v>0</v>
      </c>
      <c r="U166" s="45">
        <f t="shared" si="1869"/>
        <v>0</v>
      </c>
      <c r="V166" s="45">
        <f t="shared" si="1869"/>
        <v>0</v>
      </c>
      <c r="W166" s="45">
        <f t="shared" si="1869"/>
        <v>0</v>
      </c>
      <c r="X166" s="45">
        <f t="shared" si="1869"/>
        <v>0</v>
      </c>
      <c r="Y166" s="45">
        <f t="shared" si="1869"/>
        <v>0</v>
      </c>
      <c r="Z166" s="45">
        <f t="shared" si="1869"/>
        <v>0</v>
      </c>
      <c r="AA166" s="45">
        <f t="shared" si="1869"/>
        <v>0</v>
      </c>
      <c r="AB166" s="45">
        <f t="shared" si="1869"/>
        <v>0</v>
      </c>
      <c r="AC166" s="45">
        <f t="shared" si="1869"/>
        <v>0</v>
      </c>
      <c r="AD166" s="45">
        <f t="shared" si="1869"/>
        <v>0</v>
      </c>
      <c r="AE166" s="45">
        <f t="shared" si="1869"/>
        <v>0</v>
      </c>
      <c r="AF166" s="45">
        <f t="shared" si="1869"/>
        <v>0</v>
      </c>
      <c r="AG166" s="45">
        <f t="shared" si="1869"/>
        <v>0</v>
      </c>
      <c r="AH166" s="45">
        <f t="shared" si="1869"/>
        <v>0</v>
      </c>
      <c r="AI166" s="45">
        <f t="shared" si="1869"/>
        <v>0</v>
      </c>
      <c r="AJ166" s="45">
        <f t="shared" si="1869"/>
        <v>0</v>
      </c>
      <c r="AK166" s="45">
        <f t="shared" si="1869"/>
        <v>0</v>
      </c>
      <c r="AL166" s="45">
        <f t="shared" si="1869"/>
        <v>0</v>
      </c>
      <c r="AM166" s="45">
        <f t="shared" si="1869"/>
        <v>0</v>
      </c>
      <c r="AN166" s="45">
        <f t="shared" si="1869"/>
        <v>0</v>
      </c>
      <c r="AO166" s="45">
        <f t="shared" si="1869"/>
        <v>0</v>
      </c>
      <c r="AP166" s="45">
        <f t="shared" si="1869"/>
        <v>0</v>
      </c>
      <c r="AQ166" s="45">
        <f t="shared" si="1869"/>
        <v>0</v>
      </c>
      <c r="AR166" s="45">
        <f t="shared" si="1869"/>
        <v>0</v>
      </c>
      <c r="AS166" s="45">
        <f t="shared" si="1869"/>
        <v>0</v>
      </c>
      <c r="AT166" s="45">
        <f t="shared" si="1869"/>
        <v>0</v>
      </c>
      <c r="AU166" s="45">
        <f t="shared" si="1869"/>
        <v>0</v>
      </c>
      <c r="AV166" s="45">
        <f t="shared" si="1869"/>
        <v>0</v>
      </c>
      <c r="AW166" s="45">
        <f t="shared" si="1869"/>
        <v>0</v>
      </c>
      <c r="AX166" s="45">
        <f t="shared" si="1869"/>
        <v>0</v>
      </c>
      <c r="AY166" s="45">
        <f t="shared" si="1869"/>
        <v>0</v>
      </c>
      <c r="AZ166" s="45">
        <f t="shared" si="1869"/>
        <v>0</v>
      </c>
      <c r="BA166" s="45">
        <f t="shared" si="1869"/>
        <v>0</v>
      </c>
      <c r="BB166" s="45">
        <f t="shared" si="1869"/>
        <v>0</v>
      </c>
      <c r="BC166" s="45">
        <f t="shared" si="1869"/>
        <v>0</v>
      </c>
      <c r="BD166" s="45">
        <f t="shared" si="1869"/>
        <v>0</v>
      </c>
      <c r="BE166" s="45">
        <f t="shared" si="1869"/>
        <v>0</v>
      </c>
      <c r="BF166" s="45">
        <f t="shared" si="1869"/>
        <v>0</v>
      </c>
      <c r="BG166" s="45">
        <f t="shared" si="1869"/>
        <v>0</v>
      </c>
      <c r="BH166" s="45">
        <f t="shared" si="1869"/>
        <v>0</v>
      </c>
      <c r="BI166" s="45">
        <f t="shared" si="1869"/>
        <v>0</v>
      </c>
      <c r="BJ166" s="45">
        <f t="shared" si="1869"/>
        <v>0</v>
      </c>
      <c r="BK166" s="45">
        <f t="shared" si="1869"/>
        <v>0</v>
      </c>
      <c r="BL166" s="45">
        <f t="shared" si="1869"/>
        <v>0</v>
      </c>
      <c r="BM166" s="45">
        <f t="shared" si="1869"/>
        <v>0</v>
      </c>
      <c r="BN166" s="45">
        <f t="shared" si="1869"/>
        <v>0</v>
      </c>
      <c r="BO166" s="45">
        <f t="shared" si="1869"/>
        <v>0</v>
      </c>
      <c r="BP166" s="45">
        <f t="shared" si="1869"/>
        <v>0</v>
      </c>
      <c r="BQ166" s="45">
        <f t="shared" si="1869"/>
        <v>0</v>
      </c>
      <c r="BR166" s="45">
        <f t="shared" si="1869"/>
        <v>0</v>
      </c>
      <c r="BS166" s="45">
        <f t="shared" si="1869"/>
        <v>0</v>
      </c>
      <c r="BT166" s="45">
        <f t="shared" si="1870"/>
        <v>0</v>
      </c>
      <c r="BU166" s="45">
        <f t="shared" si="1870"/>
        <v>0</v>
      </c>
      <c r="BV166" s="45">
        <f t="shared" si="1870"/>
        <v>0</v>
      </c>
      <c r="BW166" s="45">
        <f t="shared" si="1870"/>
        <v>0</v>
      </c>
      <c r="BX166" s="45">
        <f t="shared" si="1870"/>
        <v>0</v>
      </c>
      <c r="BY166" s="45">
        <f t="shared" si="1870"/>
        <v>0</v>
      </c>
      <c r="BZ166" s="45">
        <f t="shared" si="1870"/>
        <v>0</v>
      </c>
      <c r="CA166" s="45">
        <f t="shared" si="1870"/>
        <v>0</v>
      </c>
      <c r="CB166" s="45">
        <f t="shared" si="1870"/>
        <v>0</v>
      </c>
      <c r="CC166" s="45">
        <f t="shared" si="1870"/>
        <v>0</v>
      </c>
      <c r="CD166" s="45">
        <f t="shared" si="1870"/>
        <v>0</v>
      </c>
      <c r="CE166" s="45">
        <f t="shared" si="1870"/>
        <v>0</v>
      </c>
      <c r="CF166" s="45">
        <f t="shared" si="1870"/>
        <v>0</v>
      </c>
      <c r="CG166" s="45">
        <f t="shared" si="1870"/>
        <v>0</v>
      </c>
      <c r="CH166" s="45">
        <f t="shared" si="1870"/>
        <v>0</v>
      </c>
      <c r="CI166" s="45">
        <f t="shared" si="1870"/>
        <v>0</v>
      </c>
      <c r="CJ166" s="45">
        <f t="shared" si="1870"/>
        <v>0</v>
      </c>
      <c r="CK166" s="45">
        <f t="shared" si="1870"/>
        <v>0</v>
      </c>
      <c r="CL166" s="45">
        <f t="shared" si="1870"/>
        <v>0</v>
      </c>
      <c r="CM166" s="45">
        <f t="shared" si="1870"/>
        <v>0</v>
      </c>
      <c r="CN166" s="45">
        <f t="shared" si="1870"/>
        <v>0</v>
      </c>
      <c r="CO166" s="45">
        <f t="shared" si="1870"/>
        <v>0</v>
      </c>
      <c r="CP166" s="45">
        <f t="shared" si="1870"/>
        <v>0</v>
      </c>
      <c r="CQ166" s="45">
        <f t="shared" si="1870"/>
        <v>0</v>
      </c>
      <c r="CR166" s="45">
        <f t="shared" si="1870"/>
        <v>0</v>
      </c>
      <c r="CS166" s="45">
        <f t="shared" si="1870"/>
        <v>0</v>
      </c>
      <c r="CT166" s="45">
        <f t="shared" si="1870"/>
        <v>0</v>
      </c>
      <c r="CU166" s="45">
        <f t="shared" si="1870"/>
        <v>0</v>
      </c>
      <c r="CV166" s="45">
        <f t="shared" si="1870"/>
        <v>0</v>
      </c>
      <c r="CW166" s="45">
        <f t="shared" si="1870"/>
        <v>0</v>
      </c>
      <c r="CX166" s="45">
        <f t="shared" si="1870"/>
        <v>0</v>
      </c>
      <c r="CY166" s="45">
        <f t="shared" si="1870"/>
        <v>0</v>
      </c>
      <c r="CZ166" s="45">
        <f t="shared" si="1870"/>
        <v>0</v>
      </c>
      <c r="DA166" s="45">
        <f t="shared" si="1870"/>
        <v>0</v>
      </c>
      <c r="DB166" s="45">
        <f t="shared" si="1870"/>
        <v>0</v>
      </c>
      <c r="DC166" s="45">
        <f t="shared" si="1870"/>
        <v>0</v>
      </c>
    </row>
    <row r="167" spans="3:107" x14ac:dyDescent="0.3">
      <c r="C167" s="101" t="str">
        <f>++C$20</f>
        <v>Depreciation</v>
      </c>
      <c r="G167" s="45">
        <f>++G20</f>
        <v>0</v>
      </c>
      <c r="H167" s="45">
        <f t="shared" si="1869"/>
        <v>0</v>
      </c>
      <c r="I167" s="45">
        <f t="shared" si="1869"/>
        <v>0</v>
      </c>
      <c r="J167" s="45">
        <f t="shared" si="1869"/>
        <v>0</v>
      </c>
      <c r="K167" s="45">
        <f t="shared" si="1869"/>
        <v>0</v>
      </c>
      <c r="L167" s="45">
        <f t="shared" si="1869"/>
        <v>0</v>
      </c>
      <c r="M167" s="45">
        <f t="shared" si="1869"/>
        <v>0</v>
      </c>
      <c r="N167" s="45">
        <f t="shared" si="1869"/>
        <v>0</v>
      </c>
      <c r="O167" s="45">
        <f t="shared" si="1869"/>
        <v>0</v>
      </c>
      <c r="P167" s="45">
        <f t="shared" si="1869"/>
        <v>0</v>
      </c>
      <c r="Q167" s="45">
        <f t="shared" si="1869"/>
        <v>0</v>
      </c>
      <c r="R167" s="45">
        <f t="shared" si="1869"/>
        <v>0</v>
      </c>
      <c r="S167" s="45">
        <f t="shared" si="1869"/>
        <v>0</v>
      </c>
      <c r="T167" s="45">
        <f t="shared" si="1869"/>
        <v>0</v>
      </c>
      <c r="U167" s="45">
        <f t="shared" si="1869"/>
        <v>0</v>
      </c>
      <c r="V167" s="45">
        <f t="shared" si="1869"/>
        <v>0</v>
      </c>
      <c r="W167" s="45">
        <f t="shared" si="1869"/>
        <v>0</v>
      </c>
      <c r="X167" s="45">
        <f t="shared" si="1869"/>
        <v>0</v>
      </c>
      <c r="Y167" s="45">
        <f t="shared" si="1869"/>
        <v>0</v>
      </c>
      <c r="Z167" s="45">
        <f t="shared" si="1869"/>
        <v>0</v>
      </c>
      <c r="AA167" s="45">
        <f t="shared" si="1869"/>
        <v>0</v>
      </c>
      <c r="AB167" s="45">
        <f t="shared" si="1869"/>
        <v>0</v>
      </c>
      <c r="AC167" s="45">
        <f t="shared" si="1869"/>
        <v>0</v>
      </c>
      <c r="AD167" s="45">
        <f t="shared" si="1869"/>
        <v>0</v>
      </c>
      <c r="AE167" s="45">
        <f t="shared" si="1869"/>
        <v>0</v>
      </c>
      <c r="AF167" s="45">
        <f t="shared" si="1869"/>
        <v>0</v>
      </c>
      <c r="AG167" s="45">
        <f t="shared" si="1869"/>
        <v>0</v>
      </c>
      <c r="AH167" s="45">
        <f t="shared" si="1869"/>
        <v>0</v>
      </c>
      <c r="AI167" s="45">
        <f t="shared" si="1869"/>
        <v>0</v>
      </c>
      <c r="AJ167" s="45">
        <f t="shared" si="1869"/>
        <v>0</v>
      </c>
      <c r="AK167" s="45">
        <f t="shared" si="1869"/>
        <v>0</v>
      </c>
      <c r="AL167" s="45">
        <f t="shared" si="1869"/>
        <v>0</v>
      </c>
      <c r="AM167" s="45">
        <f t="shared" si="1869"/>
        <v>0</v>
      </c>
      <c r="AN167" s="45">
        <f t="shared" si="1869"/>
        <v>0</v>
      </c>
      <c r="AO167" s="45">
        <f t="shared" si="1869"/>
        <v>0</v>
      </c>
      <c r="AP167" s="45">
        <f t="shared" si="1869"/>
        <v>0</v>
      </c>
      <c r="AQ167" s="45">
        <f t="shared" si="1869"/>
        <v>0</v>
      </c>
      <c r="AR167" s="45">
        <f t="shared" si="1869"/>
        <v>0</v>
      </c>
      <c r="AS167" s="45">
        <f t="shared" si="1869"/>
        <v>0</v>
      </c>
      <c r="AT167" s="45">
        <f t="shared" si="1869"/>
        <v>0</v>
      </c>
      <c r="AU167" s="45">
        <f t="shared" si="1869"/>
        <v>0</v>
      </c>
      <c r="AV167" s="45">
        <f t="shared" si="1869"/>
        <v>0</v>
      </c>
      <c r="AW167" s="45">
        <f t="shared" si="1869"/>
        <v>0</v>
      </c>
      <c r="AX167" s="45">
        <f t="shared" si="1869"/>
        <v>0</v>
      </c>
      <c r="AY167" s="45">
        <f t="shared" si="1869"/>
        <v>0</v>
      </c>
      <c r="AZ167" s="45">
        <f t="shared" si="1869"/>
        <v>0</v>
      </c>
      <c r="BA167" s="45">
        <f t="shared" si="1869"/>
        <v>0</v>
      </c>
      <c r="BB167" s="45">
        <f t="shared" si="1869"/>
        <v>0</v>
      </c>
      <c r="BC167" s="45">
        <f t="shared" si="1869"/>
        <v>0</v>
      </c>
      <c r="BD167" s="45">
        <f t="shared" si="1869"/>
        <v>0</v>
      </c>
      <c r="BE167" s="45">
        <f t="shared" si="1869"/>
        <v>0</v>
      </c>
      <c r="BF167" s="45">
        <f t="shared" si="1869"/>
        <v>0</v>
      </c>
      <c r="BG167" s="45">
        <f t="shared" si="1869"/>
        <v>0</v>
      </c>
      <c r="BH167" s="45">
        <f t="shared" si="1869"/>
        <v>0</v>
      </c>
      <c r="BI167" s="45">
        <f t="shared" si="1869"/>
        <v>0</v>
      </c>
      <c r="BJ167" s="45">
        <f t="shared" si="1869"/>
        <v>0</v>
      </c>
      <c r="BK167" s="45">
        <f t="shared" si="1869"/>
        <v>0</v>
      </c>
      <c r="BL167" s="45">
        <f t="shared" si="1869"/>
        <v>0</v>
      </c>
      <c r="BM167" s="45">
        <f t="shared" si="1869"/>
        <v>0</v>
      </c>
      <c r="BN167" s="45">
        <f t="shared" si="1869"/>
        <v>0</v>
      </c>
      <c r="BO167" s="45">
        <f t="shared" si="1869"/>
        <v>0</v>
      </c>
      <c r="BP167" s="45">
        <f t="shared" si="1869"/>
        <v>0</v>
      </c>
      <c r="BQ167" s="45">
        <f t="shared" si="1869"/>
        <v>0</v>
      </c>
      <c r="BR167" s="45">
        <f t="shared" si="1869"/>
        <v>0</v>
      </c>
      <c r="BS167" s="45">
        <f t="shared" ref="BS167" si="1871">++BS20</f>
        <v>0</v>
      </c>
      <c r="BT167" s="45">
        <f t="shared" si="1870"/>
        <v>0</v>
      </c>
      <c r="BU167" s="45">
        <f t="shared" si="1870"/>
        <v>0</v>
      </c>
      <c r="BV167" s="45">
        <f t="shared" si="1870"/>
        <v>0</v>
      </c>
      <c r="BW167" s="45">
        <f t="shared" si="1870"/>
        <v>0</v>
      </c>
      <c r="BX167" s="45">
        <f t="shared" si="1870"/>
        <v>0</v>
      </c>
      <c r="BY167" s="45">
        <f t="shared" si="1870"/>
        <v>0</v>
      </c>
      <c r="BZ167" s="45">
        <f t="shared" si="1870"/>
        <v>0</v>
      </c>
      <c r="CA167" s="45">
        <f t="shared" si="1870"/>
        <v>0</v>
      </c>
      <c r="CB167" s="45">
        <f t="shared" si="1870"/>
        <v>0</v>
      </c>
      <c r="CC167" s="45">
        <f t="shared" si="1870"/>
        <v>0</v>
      </c>
      <c r="CD167" s="45">
        <f t="shared" si="1870"/>
        <v>0</v>
      </c>
      <c r="CE167" s="45">
        <f t="shared" si="1870"/>
        <v>0</v>
      </c>
      <c r="CF167" s="45">
        <f t="shared" si="1870"/>
        <v>0</v>
      </c>
      <c r="CG167" s="45">
        <f t="shared" si="1870"/>
        <v>0</v>
      </c>
      <c r="CH167" s="45">
        <f t="shared" si="1870"/>
        <v>0</v>
      </c>
      <c r="CI167" s="45">
        <f t="shared" si="1870"/>
        <v>0</v>
      </c>
      <c r="CJ167" s="45">
        <f t="shared" si="1870"/>
        <v>0</v>
      </c>
      <c r="CK167" s="45">
        <f t="shared" si="1870"/>
        <v>0</v>
      </c>
      <c r="CL167" s="45">
        <f t="shared" si="1870"/>
        <v>0</v>
      </c>
      <c r="CM167" s="45">
        <f t="shared" si="1870"/>
        <v>0</v>
      </c>
      <c r="CN167" s="45">
        <f t="shared" si="1870"/>
        <v>0</v>
      </c>
      <c r="CO167" s="45">
        <f t="shared" si="1870"/>
        <v>0</v>
      </c>
      <c r="CP167" s="45">
        <f t="shared" si="1870"/>
        <v>0</v>
      </c>
      <c r="CQ167" s="45">
        <f t="shared" si="1870"/>
        <v>0</v>
      </c>
      <c r="CR167" s="45">
        <f t="shared" si="1870"/>
        <v>0</v>
      </c>
      <c r="CS167" s="45">
        <f t="shared" si="1870"/>
        <v>0</v>
      </c>
      <c r="CT167" s="45">
        <f t="shared" si="1870"/>
        <v>0</v>
      </c>
      <c r="CU167" s="45">
        <f t="shared" si="1870"/>
        <v>0</v>
      </c>
      <c r="CV167" s="45">
        <f t="shared" si="1870"/>
        <v>0</v>
      </c>
      <c r="CW167" s="45">
        <f t="shared" si="1870"/>
        <v>0</v>
      </c>
      <c r="CX167" s="45">
        <f t="shared" si="1870"/>
        <v>0</v>
      </c>
      <c r="CY167" s="45">
        <f t="shared" si="1870"/>
        <v>0</v>
      </c>
      <c r="CZ167" s="45">
        <f t="shared" si="1870"/>
        <v>0</v>
      </c>
      <c r="DA167" s="45">
        <f t="shared" si="1870"/>
        <v>0</v>
      </c>
      <c r="DB167" s="45">
        <f t="shared" si="1870"/>
        <v>0</v>
      </c>
      <c r="DC167" s="45">
        <f t="shared" si="1870"/>
        <v>0</v>
      </c>
    </row>
    <row r="168" spans="3:107" x14ac:dyDescent="0.3">
      <c r="C168" s="101" t="str">
        <f>++C$21</f>
        <v>Amortization</v>
      </c>
      <c r="G168" s="45">
        <f>++G21</f>
        <v>0</v>
      </c>
      <c r="H168" s="45">
        <f t="shared" ref="H168:BS168" si="1872">++H21</f>
        <v>0</v>
      </c>
      <c r="I168" s="45">
        <f t="shared" si="1872"/>
        <v>0</v>
      </c>
      <c r="J168" s="45">
        <f t="shared" si="1872"/>
        <v>0</v>
      </c>
      <c r="K168" s="45">
        <f t="shared" si="1872"/>
        <v>0</v>
      </c>
      <c r="L168" s="45">
        <f t="shared" si="1872"/>
        <v>0</v>
      </c>
      <c r="M168" s="45">
        <f t="shared" si="1872"/>
        <v>0</v>
      </c>
      <c r="N168" s="45">
        <f t="shared" si="1872"/>
        <v>0</v>
      </c>
      <c r="O168" s="45">
        <f t="shared" si="1872"/>
        <v>0</v>
      </c>
      <c r="P168" s="45">
        <f t="shared" si="1872"/>
        <v>0</v>
      </c>
      <c r="Q168" s="45">
        <f t="shared" si="1872"/>
        <v>0</v>
      </c>
      <c r="R168" s="45">
        <f t="shared" si="1872"/>
        <v>0</v>
      </c>
      <c r="S168" s="45">
        <f t="shared" si="1872"/>
        <v>0</v>
      </c>
      <c r="T168" s="45">
        <f t="shared" si="1872"/>
        <v>0</v>
      </c>
      <c r="U168" s="45">
        <f t="shared" si="1872"/>
        <v>0</v>
      </c>
      <c r="V168" s="45">
        <f t="shared" si="1872"/>
        <v>0</v>
      </c>
      <c r="W168" s="45">
        <f t="shared" si="1872"/>
        <v>0</v>
      </c>
      <c r="X168" s="45">
        <f t="shared" si="1872"/>
        <v>0</v>
      </c>
      <c r="Y168" s="45">
        <f t="shared" si="1872"/>
        <v>0</v>
      </c>
      <c r="Z168" s="45">
        <f t="shared" si="1872"/>
        <v>0</v>
      </c>
      <c r="AA168" s="45">
        <f t="shared" si="1872"/>
        <v>0</v>
      </c>
      <c r="AB168" s="45">
        <f t="shared" si="1872"/>
        <v>0</v>
      </c>
      <c r="AC168" s="45">
        <f t="shared" si="1872"/>
        <v>0</v>
      </c>
      <c r="AD168" s="45">
        <f t="shared" si="1872"/>
        <v>0</v>
      </c>
      <c r="AE168" s="45">
        <f t="shared" si="1872"/>
        <v>0</v>
      </c>
      <c r="AF168" s="45">
        <f t="shared" si="1872"/>
        <v>0</v>
      </c>
      <c r="AG168" s="45">
        <f t="shared" si="1872"/>
        <v>0</v>
      </c>
      <c r="AH168" s="45">
        <f t="shared" si="1872"/>
        <v>0</v>
      </c>
      <c r="AI168" s="45">
        <f t="shared" si="1872"/>
        <v>0</v>
      </c>
      <c r="AJ168" s="45">
        <f t="shared" si="1872"/>
        <v>0</v>
      </c>
      <c r="AK168" s="45">
        <f t="shared" si="1872"/>
        <v>0</v>
      </c>
      <c r="AL168" s="45">
        <f t="shared" si="1872"/>
        <v>0</v>
      </c>
      <c r="AM168" s="45">
        <f t="shared" si="1872"/>
        <v>0</v>
      </c>
      <c r="AN168" s="45">
        <f t="shared" si="1872"/>
        <v>0</v>
      </c>
      <c r="AO168" s="45">
        <f t="shared" si="1872"/>
        <v>0</v>
      </c>
      <c r="AP168" s="45">
        <f t="shared" si="1872"/>
        <v>0</v>
      </c>
      <c r="AQ168" s="45">
        <f t="shared" si="1872"/>
        <v>0</v>
      </c>
      <c r="AR168" s="45">
        <f t="shared" si="1872"/>
        <v>0</v>
      </c>
      <c r="AS168" s="45">
        <f t="shared" si="1872"/>
        <v>0</v>
      </c>
      <c r="AT168" s="45">
        <f t="shared" si="1872"/>
        <v>0</v>
      </c>
      <c r="AU168" s="45">
        <f t="shared" si="1872"/>
        <v>0</v>
      </c>
      <c r="AV168" s="45">
        <f t="shared" si="1872"/>
        <v>0</v>
      </c>
      <c r="AW168" s="45">
        <f t="shared" si="1872"/>
        <v>0</v>
      </c>
      <c r="AX168" s="45">
        <f t="shared" si="1872"/>
        <v>0</v>
      </c>
      <c r="AY168" s="45">
        <f t="shared" si="1872"/>
        <v>0</v>
      </c>
      <c r="AZ168" s="45">
        <f t="shared" si="1872"/>
        <v>0</v>
      </c>
      <c r="BA168" s="45">
        <f t="shared" si="1872"/>
        <v>0</v>
      </c>
      <c r="BB168" s="45">
        <f t="shared" si="1872"/>
        <v>0</v>
      </c>
      <c r="BC168" s="45">
        <f t="shared" si="1872"/>
        <v>0</v>
      </c>
      <c r="BD168" s="45">
        <f t="shared" si="1872"/>
        <v>0</v>
      </c>
      <c r="BE168" s="45">
        <f t="shared" si="1872"/>
        <v>0</v>
      </c>
      <c r="BF168" s="45">
        <f t="shared" si="1872"/>
        <v>0</v>
      </c>
      <c r="BG168" s="45">
        <f t="shared" si="1872"/>
        <v>0</v>
      </c>
      <c r="BH168" s="45">
        <f t="shared" si="1872"/>
        <v>0</v>
      </c>
      <c r="BI168" s="45">
        <f t="shared" si="1872"/>
        <v>0</v>
      </c>
      <c r="BJ168" s="45">
        <f t="shared" si="1872"/>
        <v>0</v>
      </c>
      <c r="BK168" s="45">
        <f t="shared" si="1872"/>
        <v>0</v>
      </c>
      <c r="BL168" s="45">
        <f t="shared" si="1872"/>
        <v>0</v>
      </c>
      <c r="BM168" s="45">
        <f t="shared" si="1872"/>
        <v>0</v>
      </c>
      <c r="BN168" s="45">
        <f t="shared" si="1872"/>
        <v>0</v>
      </c>
      <c r="BO168" s="45">
        <f t="shared" si="1872"/>
        <v>0</v>
      </c>
      <c r="BP168" s="45">
        <f t="shared" si="1872"/>
        <v>0</v>
      </c>
      <c r="BQ168" s="45">
        <f t="shared" si="1872"/>
        <v>0</v>
      </c>
      <c r="BR168" s="45">
        <f t="shared" si="1872"/>
        <v>0</v>
      </c>
      <c r="BS168" s="45">
        <f t="shared" si="1872"/>
        <v>0</v>
      </c>
      <c r="BT168" s="45">
        <f t="shared" si="1870"/>
        <v>0</v>
      </c>
      <c r="BU168" s="45">
        <f t="shared" si="1870"/>
        <v>0</v>
      </c>
      <c r="BV168" s="45">
        <f t="shared" si="1870"/>
        <v>0</v>
      </c>
      <c r="BW168" s="45">
        <f t="shared" si="1870"/>
        <v>0</v>
      </c>
      <c r="BX168" s="45">
        <f t="shared" si="1870"/>
        <v>0</v>
      </c>
      <c r="BY168" s="45">
        <f t="shared" si="1870"/>
        <v>0</v>
      </c>
      <c r="BZ168" s="45">
        <f t="shared" si="1870"/>
        <v>0</v>
      </c>
      <c r="CA168" s="45">
        <f t="shared" si="1870"/>
        <v>0</v>
      </c>
      <c r="CB168" s="45">
        <f t="shared" si="1870"/>
        <v>0</v>
      </c>
      <c r="CC168" s="45">
        <f t="shared" si="1870"/>
        <v>0</v>
      </c>
      <c r="CD168" s="45">
        <f t="shared" si="1870"/>
        <v>0</v>
      </c>
      <c r="CE168" s="45">
        <f t="shared" si="1870"/>
        <v>0</v>
      </c>
      <c r="CF168" s="45">
        <f t="shared" si="1870"/>
        <v>0</v>
      </c>
      <c r="CG168" s="45">
        <f t="shared" si="1870"/>
        <v>0</v>
      </c>
      <c r="CH168" s="45">
        <f t="shared" si="1870"/>
        <v>0</v>
      </c>
      <c r="CI168" s="45">
        <f t="shared" si="1870"/>
        <v>0</v>
      </c>
      <c r="CJ168" s="45">
        <f t="shared" si="1870"/>
        <v>0</v>
      </c>
      <c r="CK168" s="45">
        <f t="shared" si="1870"/>
        <v>0</v>
      </c>
      <c r="CL168" s="45">
        <f t="shared" si="1870"/>
        <v>0</v>
      </c>
      <c r="CM168" s="45">
        <f t="shared" si="1870"/>
        <v>0</v>
      </c>
      <c r="CN168" s="45">
        <f t="shared" si="1870"/>
        <v>0</v>
      </c>
      <c r="CO168" s="45">
        <f t="shared" si="1870"/>
        <v>0</v>
      </c>
      <c r="CP168" s="45">
        <f t="shared" si="1870"/>
        <v>0</v>
      </c>
      <c r="CQ168" s="45">
        <f t="shared" si="1870"/>
        <v>0</v>
      </c>
      <c r="CR168" s="45">
        <f t="shared" si="1870"/>
        <v>0</v>
      </c>
      <c r="CS168" s="45">
        <f t="shared" si="1870"/>
        <v>0</v>
      </c>
      <c r="CT168" s="45">
        <f t="shared" si="1870"/>
        <v>0</v>
      </c>
      <c r="CU168" s="45">
        <f t="shared" si="1870"/>
        <v>0</v>
      </c>
      <c r="CV168" s="45">
        <f t="shared" si="1870"/>
        <v>0</v>
      </c>
      <c r="CW168" s="45">
        <f t="shared" si="1870"/>
        <v>0</v>
      </c>
      <c r="CX168" s="45">
        <f t="shared" si="1870"/>
        <v>0</v>
      </c>
      <c r="CY168" s="45">
        <f t="shared" si="1870"/>
        <v>0</v>
      </c>
      <c r="CZ168" s="45">
        <f t="shared" si="1870"/>
        <v>0</v>
      </c>
      <c r="DA168" s="45">
        <f t="shared" si="1870"/>
        <v>0</v>
      </c>
      <c r="DB168" s="45">
        <f t="shared" si="1870"/>
        <v>0</v>
      </c>
      <c r="DC168" s="45">
        <f t="shared" si="1870"/>
        <v>0</v>
      </c>
    </row>
    <row r="169" spans="3:107" x14ac:dyDescent="0.3">
      <c r="C169" s="101" t="str">
        <f>++C$22</f>
        <v>Other Operating Expense (Income)</v>
      </c>
      <c r="G169" s="374">
        <f>++(G160-G170)-SUM(G164:G168)</f>
        <v>0</v>
      </c>
      <c r="H169" s="200">
        <f t="shared" ref="H169:BS169" si="1873">++(H160-H170)-SUM(H164:H168)</f>
        <v>0</v>
      </c>
      <c r="I169" s="200">
        <f t="shared" si="1873"/>
        <v>0</v>
      </c>
      <c r="J169" s="200">
        <f t="shared" si="1873"/>
        <v>0</v>
      </c>
      <c r="K169" s="374">
        <f t="shared" si="1873"/>
        <v>0</v>
      </c>
      <c r="L169" s="200">
        <f t="shared" si="1873"/>
        <v>0</v>
      </c>
      <c r="M169" s="200">
        <f t="shared" si="1873"/>
        <v>0</v>
      </c>
      <c r="N169" s="200">
        <f t="shared" si="1873"/>
        <v>0</v>
      </c>
      <c r="O169" s="200">
        <f t="shared" si="1873"/>
        <v>0</v>
      </c>
      <c r="P169" s="200">
        <f t="shared" si="1873"/>
        <v>0</v>
      </c>
      <c r="Q169" s="200">
        <f t="shared" si="1873"/>
        <v>0</v>
      </c>
      <c r="R169" s="200">
        <f t="shared" si="1873"/>
        <v>0</v>
      </c>
      <c r="S169" s="200">
        <f t="shared" si="1873"/>
        <v>0</v>
      </c>
      <c r="T169" s="200">
        <f t="shared" si="1873"/>
        <v>0</v>
      </c>
      <c r="U169" s="200">
        <f t="shared" si="1873"/>
        <v>0</v>
      </c>
      <c r="V169" s="200">
        <f t="shared" si="1873"/>
        <v>0</v>
      </c>
      <c r="W169" s="374">
        <f t="shared" si="1873"/>
        <v>0</v>
      </c>
      <c r="X169" s="200">
        <f t="shared" si="1873"/>
        <v>0</v>
      </c>
      <c r="Y169" s="200">
        <f t="shared" si="1873"/>
        <v>0</v>
      </c>
      <c r="Z169" s="200">
        <f t="shared" si="1873"/>
        <v>0</v>
      </c>
      <c r="AA169" s="200">
        <f t="shared" si="1873"/>
        <v>0</v>
      </c>
      <c r="AB169" s="200">
        <f t="shared" si="1873"/>
        <v>0</v>
      </c>
      <c r="AC169" s="200">
        <f t="shared" si="1873"/>
        <v>0</v>
      </c>
      <c r="AD169" s="200">
        <f t="shared" si="1873"/>
        <v>0</v>
      </c>
      <c r="AE169" s="200">
        <f t="shared" si="1873"/>
        <v>0</v>
      </c>
      <c r="AF169" s="200">
        <f t="shared" si="1873"/>
        <v>0</v>
      </c>
      <c r="AG169" s="200">
        <f t="shared" si="1873"/>
        <v>0</v>
      </c>
      <c r="AH169" s="200">
        <f t="shared" si="1873"/>
        <v>0</v>
      </c>
      <c r="AI169" s="374">
        <f t="shared" si="1873"/>
        <v>0</v>
      </c>
      <c r="AJ169" s="200">
        <f t="shared" si="1873"/>
        <v>0</v>
      </c>
      <c r="AK169" s="200">
        <f t="shared" si="1873"/>
        <v>0</v>
      </c>
      <c r="AL169" s="200">
        <f t="shared" si="1873"/>
        <v>0</v>
      </c>
      <c r="AM169" s="200">
        <f t="shared" si="1873"/>
        <v>0</v>
      </c>
      <c r="AN169" s="200">
        <f t="shared" si="1873"/>
        <v>0</v>
      </c>
      <c r="AO169" s="200">
        <f t="shared" si="1873"/>
        <v>0</v>
      </c>
      <c r="AP169" s="200">
        <f t="shared" si="1873"/>
        <v>0</v>
      </c>
      <c r="AQ169" s="200">
        <f t="shared" si="1873"/>
        <v>0</v>
      </c>
      <c r="AR169" s="200">
        <f t="shared" si="1873"/>
        <v>0</v>
      </c>
      <c r="AS169" s="200">
        <f t="shared" si="1873"/>
        <v>0</v>
      </c>
      <c r="AT169" s="200">
        <f t="shared" si="1873"/>
        <v>0</v>
      </c>
      <c r="AU169" s="374">
        <f t="shared" si="1873"/>
        <v>0</v>
      </c>
      <c r="AV169" s="200">
        <f t="shared" si="1873"/>
        <v>0</v>
      </c>
      <c r="AW169" s="200">
        <f t="shared" si="1873"/>
        <v>0</v>
      </c>
      <c r="AX169" s="200">
        <f t="shared" si="1873"/>
        <v>0</v>
      </c>
      <c r="AY169" s="200">
        <f t="shared" si="1873"/>
        <v>0</v>
      </c>
      <c r="AZ169" s="200">
        <f t="shared" si="1873"/>
        <v>0</v>
      </c>
      <c r="BA169" s="200">
        <f t="shared" si="1873"/>
        <v>0</v>
      </c>
      <c r="BB169" s="200">
        <f t="shared" si="1873"/>
        <v>0</v>
      </c>
      <c r="BC169" s="200">
        <f t="shared" si="1873"/>
        <v>0</v>
      </c>
      <c r="BD169" s="200">
        <f t="shared" si="1873"/>
        <v>0</v>
      </c>
      <c r="BE169" s="200">
        <f t="shared" si="1873"/>
        <v>0</v>
      </c>
      <c r="BF169" s="200">
        <f t="shared" si="1873"/>
        <v>0</v>
      </c>
      <c r="BG169" s="374">
        <f t="shared" si="1873"/>
        <v>0</v>
      </c>
      <c r="BH169" s="200">
        <f t="shared" si="1873"/>
        <v>0</v>
      </c>
      <c r="BI169" s="200">
        <f t="shared" si="1873"/>
        <v>0</v>
      </c>
      <c r="BJ169" s="200">
        <f t="shared" si="1873"/>
        <v>0</v>
      </c>
      <c r="BK169" s="200">
        <f t="shared" si="1873"/>
        <v>0</v>
      </c>
      <c r="BL169" s="200">
        <f t="shared" si="1873"/>
        <v>0</v>
      </c>
      <c r="BM169" s="200">
        <f t="shared" si="1873"/>
        <v>0</v>
      </c>
      <c r="BN169" s="200">
        <f t="shared" si="1873"/>
        <v>0</v>
      </c>
      <c r="BO169" s="200">
        <f t="shared" si="1873"/>
        <v>0</v>
      </c>
      <c r="BP169" s="200">
        <f t="shared" si="1873"/>
        <v>0</v>
      </c>
      <c r="BQ169" s="200">
        <f t="shared" si="1873"/>
        <v>0</v>
      </c>
      <c r="BR169" s="200">
        <f t="shared" si="1873"/>
        <v>0</v>
      </c>
      <c r="BS169" s="374">
        <f t="shared" si="1873"/>
        <v>0</v>
      </c>
      <c r="BT169" s="200">
        <f t="shared" ref="BT169:DC169" si="1874">++(BT160-BT170)-SUM(BT164:BT168)</f>
        <v>0</v>
      </c>
      <c r="BU169" s="200">
        <f t="shared" si="1874"/>
        <v>0</v>
      </c>
      <c r="BV169" s="200">
        <f t="shared" si="1874"/>
        <v>0</v>
      </c>
      <c r="BW169" s="200">
        <f t="shared" si="1874"/>
        <v>0</v>
      </c>
      <c r="BX169" s="200">
        <f t="shared" si="1874"/>
        <v>0</v>
      </c>
      <c r="BY169" s="200">
        <f t="shared" si="1874"/>
        <v>0</v>
      </c>
      <c r="BZ169" s="200">
        <f t="shared" si="1874"/>
        <v>0</v>
      </c>
      <c r="CA169" s="200">
        <f t="shared" si="1874"/>
        <v>0</v>
      </c>
      <c r="CB169" s="200">
        <f t="shared" si="1874"/>
        <v>0</v>
      </c>
      <c r="CC169" s="200">
        <f t="shared" si="1874"/>
        <v>0</v>
      </c>
      <c r="CD169" s="200">
        <f t="shared" si="1874"/>
        <v>0</v>
      </c>
      <c r="CE169" s="374">
        <f t="shared" si="1874"/>
        <v>0</v>
      </c>
      <c r="CF169" s="200">
        <f t="shared" si="1874"/>
        <v>0</v>
      </c>
      <c r="CG169" s="200">
        <f t="shared" si="1874"/>
        <v>0</v>
      </c>
      <c r="CH169" s="200">
        <f t="shared" si="1874"/>
        <v>0</v>
      </c>
      <c r="CI169" s="200">
        <f t="shared" si="1874"/>
        <v>0</v>
      </c>
      <c r="CJ169" s="200">
        <f t="shared" si="1874"/>
        <v>0</v>
      </c>
      <c r="CK169" s="200">
        <f t="shared" si="1874"/>
        <v>0</v>
      </c>
      <c r="CL169" s="200">
        <f t="shared" si="1874"/>
        <v>0</v>
      </c>
      <c r="CM169" s="200">
        <f t="shared" si="1874"/>
        <v>0</v>
      </c>
      <c r="CN169" s="200">
        <f t="shared" si="1874"/>
        <v>0</v>
      </c>
      <c r="CO169" s="200">
        <f t="shared" si="1874"/>
        <v>0</v>
      </c>
      <c r="CP169" s="200">
        <f t="shared" si="1874"/>
        <v>0</v>
      </c>
      <c r="CQ169" s="374">
        <f t="shared" si="1874"/>
        <v>0</v>
      </c>
      <c r="CR169" s="200">
        <f t="shared" si="1874"/>
        <v>0</v>
      </c>
      <c r="CS169" s="200">
        <f t="shared" si="1874"/>
        <v>0</v>
      </c>
      <c r="CT169" s="200">
        <f t="shared" si="1874"/>
        <v>0</v>
      </c>
      <c r="CU169" s="200">
        <f t="shared" si="1874"/>
        <v>0</v>
      </c>
      <c r="CV169" s="200">
        <f t="shared" si="1874"/>
        <v>0</v>
      </c>
      <c r="CW169" s="200">
        <f t="shared" si="1874"/>
        <v>0</v>
      </c>
      <c r="CX169" s="200">
        <f t="shared" si="1874"/>
        <v>0</v>
      </c>
      <c r="CY169" s="200">
        <f t="shared" si="1874"/>
        <v>0</v>
      </c>
      <c r="CZ169" s="200">
        <f t="shared" si="1874"/>
        <v>0</v>
      </c>
      <c r="DA169" s="200">
        <f t="shared" si="1874"/>
        <v>0</v>
      </c>
      <c r="DB169" s="200">
        <f t="shared" si="1874"/>
        <v>0</v>
      </c>
      <c r="DC169" s="374">
        <f t="shared" si="1874"/>
        <v>0</v>
      </c>
    </row>
    <row r="170" spans="3:107" x14ac:dyDescent="0.3">
      <c r="C170" s="231" t="str">
        <f>++C$23</f>
        <v>Operating Income (Loss)</v>
      </c>
      <c r="D170" s="191"/>
      <c r="E170" s="191"/>
      <c r="G170" s="239">
        <f>++SUM(G174:G176)</f>
        <v>0</v>
      </c>
      <c r="H170" s="232">
        <f t="shared" ref="H170:BS170" si="1875">++SUM(H174:H176)</f>
        <v>0</v>
      </c>
      <c r="I170" s="232">
        <f t="shared" si="1875"/>
        <v>0</v>
      </c>
      <c r="J170" s="232">
        <f t="shared" si="1875"/>
        <v>0</v>
      </c>
      <c r="K170" s="239">
        <f t="shared" si="1875"/>
        <v>0</v>
      </c>
      <c r="L170" s="232">
        <f t="shared" si="1875"/>
        <v>0</v>
      </c>
      <c r="M170" s="232">
        <f t="shared" si="1875"/>
        <v>0</v>
      </c>
      <c r="N170" s="232">
        <f t="shared" si="1875"/>
        <v>0</v>
      </c>
      <c r="O170" s="232">
        <f t="shared" si="1875"/>
        <v>0</v>
      </c>
      <c r="P170" s="232">
        <f t="shared" si="1875"/>
        <v>0</v>
      </c>
      <c r="Q170" s="232">
        <f t="shared" si="1875"/>
        <v>0</v>
      </c>
      <c r="R170" s="232">
        <f t="shared" si="1875"/>
        <v>0</v>
      </c>
      <c r="S170" s="232">
        <f t="shared" si="1875"/>
        <v>0</v>
      </c>
      <c r="T170" s="232">
        <f t="shared" si="1875"/>
        <v>0</v>
      </c>
      <c r="U170" s="232">
        <f t="shared" si="1875"/>
        <v>0</v>
      </c>
      <c r="V170" s="232">
        <f t="shared" si="1875"/>
        <v>0</v>
      </c>
      <c r="W170" s="239">
        <f t="shared" si="1875"/>
        <v>0</v>
      </c>
      <c r="X170" s="232">
        <f t="shared" si="1875"/>
        <v>0</v>
      </c>
      <c r="Y170" s="232">
        <f t="shared" si="1875"/>
        <v>0</v>
      </c>
      <c r="Z170" s="232">
        <f t="shared" si="1875"/>
        <v>0</v>
      </c>
      <c r="AA170" s="232">
        <f t="shared" si="1875"/>
        <v>0</v>
      </c>
      <c r="AB170" s="232">
        <f t="shared" si="1875"/>
        <v>0</v>
      </c>
      <c r="AC170" s="232">
        <f t="shared" si="1875"/>
        <v>0</v>
      </c>
      <c r="AD170" s="232">
        <f t="shared" si="1875"/>
        <v>0</v>
      </c>
      <c r="AE170" s="232">
        <f t="shared" si="1875"/>
        <v>0</v>
      </c>
      <c r="AF170" s="232">
        <f t="shared" si="1875"/>
        <v>0</v>
      </c>
      <c r="AG170" s="232">
        <f t="shared" si="1875"/>
        <v>0</v>
      </c>
      <c r="AH170" s="232">
        <f t="shared" si="1875"/>
        <v>0</v>
      </c>
      <c r="AI170" s="239">
        <f t="shared" si="1875"/>
        <v>0</v>
      </c>
      <c r="AJ170" s="232">
        <f t="shared" si="1875"/>
        <v>0</v>
      </c>
      <c r="AK170" s="232">
        <f t="shared" si="1875"/>
        <v>0</v>
      </c>
      <c r="AL170" s="232">
        <f t="shared" si="1875"/>
        <v>0</v>
      </c>
      <c r="AM170" s="232">
        <f t="shared" si="1875"/>
        <v>0</v>
      </c>
      <c r="AN170" s="232">
        <f t="shared" si="1875"/>
        <v>0</v>
      </c>
      <c r="AO170" s="232">
        <f t="shared" si="1875"/>
        <v>0</v>
      </c>
      <c r="AP170" s="232">
        <f t="shared" si="1875"/>
        <v>0</v>
      </c>
      <c r="AQ170" s="232">
        <f t="shared" si="1875"/>
        <v>0</v>
      </c>
      <c r="AR170" s="232">
        <f t="shared" si="1875"/>
        <v>0</v>
      </c>
      <c r="AS170" s="232">
        <f t="shared" si="1875"/>
        <v>0</v>
      </c>
      <c r="AT170" s="232">
        <f t="shared" si="1875"/>
        <v>0</v>
      </c>
      <c r="AU170" s="239">
        <f t="shared" si="1875"/>
        <v>0</v>
      </c>
      <c r="AV170" s="232">
        <f t="shared" si="1875"/>
        <v>0</v>
      </c>
      <c r="AW170" s="232">
        <f t="shared" si="1875"/>
        <v>0</v>
      </c>
      <c r="AX170" s="232">
        <f t="shared" si="1875"/>
        <v>0</v>
      </c>
      <c r="AY170" s="232">
        <f t="shared" si="1875"/>
        <v>0</v>
      </c>
      <c r="AZ170" s="232">
        <f t="shared" si="1875"/>
        <v>0</v>
      </c>
      <c r="BA170" s="232">
        <f t="shared" si="1875"/>
        <v>0</v>
      </c>
      <c r="BB170" s="232">
        <f t="shared" si="1875"/>
        <v>0</v>
      </c>
      <c r="BC170" s="232">
        <f t="shared" si="1875"/>
        <v>0</v>
      </c>
      <c r="BD170" s="232">
        <f t="shared" si="1875"/>
        <v>0</v>
      </c>
      <c r="BE170" s="232">
        <f t="shared" si="1875"/>
        <v>0</v>
      </c>
      <c r="BF170" s="232">
        <f t="shared" si="1875"/>
        <v>0</v>
      </c>
      <c r="BG170" s="239">
        <f t="shared" si="1875"/>
        <v>0</v>
      </c>
      <c r="BH170" s="232">
        <f t="shared" si="1875"/>
        <v>0</v>
      </c>
      <c r="BI170" s="232">
        <f t="shared" si="1875"/>
        <v>0</v>
      </c>
      <c r="BJ170" s="232">
        <f t="shared" si="1875"/>
        <v>0</v>
      </c>
      <c r="BK170" s="232">
        <f t="shared" si="1875"/>
        <v>0</v>
      </c>
      <c r="BL170" s="232">
        <f t="shared" si="1875"/>
        <v>0</v>
      </c>
      <c r="BM170" s="232">
        <f t="shared" si="1875"/>
        <v>0</v>
      </c>
      <c r="BN170" s="232">
        <f t="shared" si="1875"/>
        <v>0</v>
      </c>
      <c r="BO170" s="232">
        <f t="shared" si="1875"/>
        <v>0</v>
      </c>
      <c r="BP170" s="232">
        <f t="shared" si="1875"/>
        <v>0</v>
      </c>
      <c r="BQ170" s="232">
        <f t="shared" si="1875"/>
        <v>0</v>
      </c>
      <c r="BR170" s="232">
        <f t="shared" si="1875"/>
        <v>0</v>
      </c>
      <c r="BS170" s="239">
        <f t="shared" si="1875"/>
        <v>0</v>
      </c>
      <c r="BT170" s="232">
        <f t="shared" ref="BT170:DC170" si="1876">++SUM(BT174:BT176)</f>
        <v>0</v>
      </c>
      <c r="BU170" s="232">
        <f t="shared" si="1876"/>
        <v>0</v>
      </c>
      <c r="BV170" s="232">
        <f t="shared" si="1876"/>
        <v>0</v>
      </c>
      <c r="BW170" s="232">
        <f t="shared" si="1876"/>
        <v>0</v>
      </c>
      <c r="BX170" s="232">
        <f t="shared" si="1876"/>
        <v>0</v>
      </c>
      <c r="BY170" s="232">
        <f t="shared" si="1876"/>
        <v>0</v>
      </c>
      <c r="BZ170" s="232">
        <f t="shared" si="1876"/>
        <v>0</v>
      </c>
      <c r="CA170" s="232">
        <f t="shared" si="1876"/>
        <v>0</v>
      </c>
      <c r="CB170" s="232">
        <f t="shared" si="1876"/>
        <v>0</v>
      </c>
      <c r="CC170" s="232">
        <f t="shared" si="1876"/>
        <v>0</v>
      </c>
      <c r="CD170" s="232">
        <f t="shared" si="1876"/>
        <v>0</v>
      </c>
      <c r="CE170" s="239">
        <f t="shared" si="1876"/>
        <v>0</v>
      </c>
      <c r="CF170" s="232">
        <f t="shared" si="1876"/>
        <v>0</v>
      </c>
      <c r="CG170" s="232">
        <f t="shared" si="1876"/>
        <v>0</v>
      </c>
      <c r="CH170" s="232">
        <f t="shared" si="1876"/>
        <v>0</v>
      </c>
      <c r="CI170" s="232">
        <f t="shared" si="1876"/>
        <v>0</v>
      </c>
      <c r="CJ170" s="232">
        <f t="shared" si="1876"/>
        <v>0</v>
      </c>
      <c r="CK170" s="232">
        <f t="shared" si="1876"/>
        <v>0</v>
      </c>
      <c r="CL170" s="232">
        <f t="shared" si="1876"/>
        <v>0</v>
      </c>
      <c r="CM170" s="232">
        <f t="shared" si="1876"/>
        <v>0</v>
      </c>
      <c r="CN170" s="232">
        <f t="shared" si="1876"/>
        <v>0</v>
      </c>
      <c r="CO170" s="232">
        <f t="shared" si="1876"/>
        <v>0</v>
      </c>
      <c r="CP170" s="232">
        <f t="shared" si="1876"/>
        <v>0</v>
      </c>
      <c r="CQ170" s="239">
        <f t="shared" si="1876"/>
        <v>0</v>
      </c>
      <c r="CR170" s="232">
        <f t="shared" si="1876"/>
        <v>0</v>
      </c>
      <c r="CS170" s="232">
        <f t="shared" si="1876"/>
        <v>0</v>
      </c>
      <c r="CT170" s="232">
        <f t="shared" si="1876"/>
        <v>0</v>
      </c>
      <c r="CU170" s="232">
        <f t="shared" si="1876"/>
        <v>0</v>
      </c>
      <c r="CV170" s="232">
        <f t="shared" si="1876"/>
        <v>0</v>
      </c>
      <c r="CW170" s="232">
        <f t="shared" si="1876"/>
        <v>0</v>
      </c>
      <c r="CX170" s="232">
        <f t="shared" si="1876"/>
        <v>0</v>
      </c>
      <c r="CY170" s="232">
        <f t="shared" si="1876"/>
        <v>0</v>
      </c>
      <c r="CZ170" s="232">
        <f t="shared" si="1876"/>
        <v>0</v>
      </c>
      <c r="DA170" s="232">
        <f t="shared" si="1876"/>
        <v>0</v>
      </c>
      <c r="DB170" s="232">
        <f t="shared" si="1876"/>
        <v>0</v>
      </c>
      <c r="DC170" s="239">
        <f t="shared" si="1876"/>
        <v>0</v>
      </c>
    </row>
    <row r="171" spans="3:107" x14ac:dyDescent="0.3">
      <c r="C171" s="321" t="str">
        <f>++C$24</f>
        <v>% margin</v>
      </c>
      <c r="G171" s="214" t="str">
        <f>++IFERROR(G170/G157,"n/a")</f>
        <v>n/a</v>
      </c>
      <c r="H171" s="225" t="str">
        <f t="shared" ref="H171" si="1877">++IFERROR(H170/H157,"n/a")</f>
        <v>n/a</v>
      </c>
      <c r="I171" s="225" t="str">
        <f t="shared" ref="I171" si="1878">++IFERROR(I170/I157,"n/a")</f>
        <v>n/a</v>
      </c>
      <c r="J171" s="225" t="str">
        <f t="shared" ref="J171" si="1879">++IFERROR(J170/J157,"n/a")</f>
        <v>n/a</v>
      </c>
      <c r="K171" s="214" t="str">
        <f t="shared" ref="K171" si="1880">++IFERROR(K170/K157,"n/a")</f>
        <v>n/a</v>
      </c>
      <c r="L171" s="225" t="str">
        <f t="shared" ref="L171" si="1881">++IFERROR(L170/L157,"n/a")</f>
        <v>n/a</v>
      </c>
      <c r="M171" s="225" t="str">
        <f t="shared" ref="M171" si="1882">++IFERROR(M170/M157,"n/a")</f>
        <v>n/a</v>
      </c>
      <c r="N171" s="225" t="str">
        <f t="shared" ref="N171" si="1883">++IFERROR(N170/N157,"n/a")</f>
        <v>n/a</v>
      </c>
      <c r="O171" s="225" t="str">
        <f t="shared" ref="O171" si="1884">++IFERROR(O170/O157,"n/a")</f>
        <v>n/a</v>
      </c>
      <c r="P171" s="225" t="str">
        <f t="shared" ref="P171" si="1885">++IFERROR(P170/P157,"n/a")</f>
        <v>n/a</v>
      </c>
      <c r="Q171" s="225" t="str">
        <f t="shared" ref="Q171" si="1886">++IFERROR(Q170/Q157,"n/a")</f>
        <v>n/a</v>
      </c>
      <c r="R171" s="225" t="str">
        <f t="shared" ref="R171" si="1887">++IFERROR(R170/R157,"n/a")</f>
        <v>n/a</v>
      </c>
      <c r="S171" s="225" t="str">
        <f t="shared" ref="S171" si="1888">++IFERROR(S170/S157,"n/a")</f>
        <v>n/a</v>
      </c>
      <c r="T171" s="225" t="str">
        <f t="shared" ref="T171" si="1889">++IFERROR(T170/T157,"n/a")</f>
        <v>n/a</v>
      </c>
      <c r="U171" s="225" t="str">
        <f t="shared" ref="U171" si="1890">++IFERROR(U170/U157,"n/a")</f>
        <v>n/a</v>
      </c>
      <c r="V171" s="225" t="str">
        <f t="shared" ref="V171" si="1891">++IFERROR(V170/V157,"n/a")</f>
        <v>n/a</v>
      </c>
      <c r="W171" s="214" t="str">
        <f t="shared" ref="W171" si="1892">++IFERROR(W170/W157,"n/a")</f>
        <v>n/a</v>
      </c>
      <c r="X171" s="225" t="str">
        <f t="shared" ref="X171" si="1893">++IFERROR(X170/X157,"n/a")</f>
        <v>n/a</v>
      </c>
      <c r="Y171" s="225" t="str">
        <f t="shared" ref="Y171" si="1894">++IFERROR(Y170/Y157,"n/a")</f>
        <v>n/a</v>
      </c>
      <c r="Z171" s="225" t="str">
        <f t="shared" ref="Z171" si="1895">++IFERROR(Z170/Z157,"n/a")</f>
        <v>n/a</v>
      </c>
      <c r="AA171" s="225" t="str">
        <f t="shared" ref="AA171" si="1896">++IFERROR(AA170/AA157,"n/a")</f>
        <v>n/a</v>
      </c>
      <c r="AB171" s="225" t="str">
        <f t="shared" ref="AB171" si="1897">++IFERROR(AB170/AB157,"n/a")</f>
        <v>n/a</v>
      </c>
      <c r="AC171" s="225" t="str">
        <f t="shared" ref="AC171" si="1898">++IFERROR(AC170/AC157,"n/a")</f>
        <v>n/a</v>
      </c>
      <c r="AD171" s="225" t="str">
        <f t="shared" ref="AD171" si="1899">++IFERROR(AD170/AD157,"n/a")</f>
        <v>n/a</v>
      </c>
      <c r="AE171" s="225" t="str">
        <f t="shared" ref="AE171" si="1900">++IFERROR(AE170/AE157,"n/a")</f>
        <v>n/a</v>
      </c>
      <c r="AF171" s="225" t="str">
        <f t="shared" ref="AF171" si="1901">++IFERROR(AF170/AF157,"n/a")</f>
        <v>n/a</v>
      </c>
      <c r="AG171" s="225" t="str">
        <f t="shared" ref="AG171" si="1902">++IFERROR(AG170/AG157,"n/a")</f>
        <v>n/a</v>
      </c>
      <c r="AH171" s="225" t="str">
        <f t="shared" ref="AH171" si="1903">++IFERROR(AH170/AH157,"n/a")</f>
        <v>n/a</v>
      </c>
      <c r="AI171" s="214" t="str">
        <f t="shared" ref="AI171" si="1904">++IFERROR(AI170/AI157,"n/a")</f>
        <v>n/a</v>
      </c>
      <c r="AJ171" s="225" t="str">
        <f t="shared" ref="AJ171" si="1905">++IFERROR(AJ170/AJ157,"n/a")</f>
        <v>n/a</v>
      </c>
      <c r="AK171" s="225" t="str">
        <f t="shared" ref="AK171" si="1906">++IFERROR(AK170/AK157,"n/a")</f>
        <v>n/a</v>
      </c>
      <c r="AL171" s="225" t="str">
        <f t="shared" ref="AL171" si="1907">++IFERROR(AL170/AL157,"n/a")</f>
        <v>n/a</v>
      </c>
      <c r="AM171" s="225" t="str">
        <f t="shared" ref="AM171" si="1908">++IFERROR(AM170/AM157,"n/a")</f>
        <v>n/a</v>
      </c>
      <c r="AN171" s="225" t="str">
        <f t="shared" ref="AN171" si="1909">++IFERROR(AN170/AN157,"n/a")</f>
        <v>n/a</v>
      </c>
      <c r="AO171" s="225" t="str">
        <f t="shared" ref="AO171" si="1910">++IFERROR(AO170/AO157,"n/a")</f>
        <v>n/a</v>
      </c>
      <c r="AP171" s="225" t="str">
        <f t="shared" ref="AP171" si="1911">++IFERROR(AP170/AP157,"n/a")</f>
        <v>n/a</v>
      </c>
      <c r="AQ171" s="225" t="str">
        <f t="shared" ref="AQ171" si="1912">++IFERROR(AQ170/AQ157,"n/a")</f>
        <v>n/a</v>
      </c>
      <c r="AR171" s="225" t="str">
        <f t="shared" ref="AR171" si="1913">++IFERROR(AR170/AR157,"n/a")</f>
        <v>n/a</v>
      </c>
      <c r="AS171" s="225" t="str">
        <f t="shared" ref="AS171" si="1914">++IFERROR(AS170/AS157,"n/a")</f>
        <v>n/a</v>
      </c>
      <c r="AT171" s="225" t="str">
        <f t="shared" ref="AT171" si="1915">++IFERROR(AT170/AT157,"n/a")</f>
        <v>n/a</v>
      </c>
      <c r="AU171" s="214" t="str">
        <f t="shared" ref="AU171" si="1916">++IFERROR(AU170/AU157,"n/a")</f>
        <v>n/a</v>
      </c>
      <c r="AV171" s="225" t="str">
        <f t="shared" ref="AV171" si="1917">++IFERROR(AV170/AV157,"n/a")</f>
        <v>n/a</v>
      </c>
      <c r="AW171" s="225" t="str">
        <f t="shared" ref="AW171" si="1918">++IFERROR(AW170/AW157,"n/a")</f>
        <v>n/a</v>
      </c>
      <c r="AX171" s="225" t="str">
        <f t="shared" ref="AX171" si="1919">++IFERROR(AX170/AX157,"n/a")</f>
        <v>n/a</v>
      </c>
      <c r="AY171" s="225" t="str">
        <f t="shared" ref="AY171" si="1920">++IFERROR(AY170/AY157,"n/a")</f>
        <v>n/a</v>
      </c>
      <c r="AZ171" s="225" t="str">
        <f t="shared" ref="AZ171" si="1921">++IFERROR(AZ170/AZ157,"n/a")</f>
        <v>n/a</v>
      </c>
      <c r="BA171" s="225" t="str">
        <f t="shared" ref="BA171" si="1922">++IFERROR(BA170/BA157,"n/a")</f>
        <v>n/a</v>
      </c>
      <c r="BB171" s="225" t="str">
        <f t="shared" ref="BB171" si="1923">++IFERROR(BB170/BB157,"n/a")</f>
        <v>n/a</v>
      </c>
      <c r="BC171" s="225" t="str">
        <f t="shared" ref="BC171" si="1924">++IFERROR(BC170/BC157,"n/a")</f>
        <v>n/a</v>
      </c>
      <c r="BD171" s="225" t="str">
        <f t="shared" ref="BD171" si="1925">++IFERROR(BD170/BD157,"n/a")</f>
        <v>n/a</v>
      </c>
      <c r="BE171" s="225" t="str">
        <f t="shared" ref="BE171" si="1926">++IFERROR(BE170/BE157,"n/a")</f>
        <v>n/a</v>
      </c>
      <c r="BF171" s="225" t="str">
        <f t="shared" ref="BF171" si="1927">++IFERROR(BF170/BF157,"n/a")</f>
        <v>n/a</v>
      </c>
      <c r="BG171" s="214" t="str">
        <f t="shared" ref="BG171" si="1928">++IFERROR(BG170/BG157,"n/a")</f>
        <v>n/a</v>
      </c>
      <c r="BH171" s="225" t="str">
        <f t="shared" ref="BH171" si="1929">++IFERROR(BH170/BH157,"n/a")</f>
        <v>n/a</v>
      </c>
      <c r="BI171" s="225" t="str">
        <f t="shared" ref="BI171" si="1930">++IFERROR(BI170/BI157,"n/a")</f>
        <v>n/a</v>
      </c>
      <c r="BJ171" s="225" t="str">
        <f t="shared" ref="BJ171" si="1931">++IFERROR(BJ170/BJ157,"n/a")</f>
        <v>n/a</v>
      </c>
      <c r="BK171" s="225" t="str">
        <f t="shared" ref="BK171" si="1932">++IFERROR(BK170/BK157,"n/a")</f>
        <v>n/a</v>
      </c>
      <c r="BL171" s="225" t="str">
        <f t="shared" ref="BL171" si="1933">++IFERROR(BL170/BL157,"n/a")</f>
        <v>n/a</v>
      </c>
      <c r="BM171" s="225" t="str">
        <f t="shared" ref="BM171" si="1934">++IFERROR(BM170/BM157,"n/a")</f>
        <v>n/a</v>
      </c>
      <c r="BN171" s="225" t="str">
        <f t="shared" ref="BN171" si="1935">++IFERROR(BN170/BN157,"n/a")</f>
        <v>n/a</v>
      </c>
      <c r="BO171" s="225" t="str">
        <f t="shared" ref="BO171" si="1936">++IFERROR(BO170/BO157,"n/a")</f>
        <v>n/a</v>
      </c>
      <c r="BP171" s="225" t="str">
        <f t="shared" ref="BP171" si="1937">++IFERROR(BP170/BP157,"n/a")</f>
        <v>n/a</v>
      </c>
      <c r="BQ171" s="225" t="str">
        <f t="shared" ref="BQ171" si="1938">++IFERROR(BQ170/BQ157,"n/a")</f>
        <v>n/a</v>
      </c>
      <c r="BR171" s="225" t="str">
        <f t="shared" ref="BR171" si="1939">++IFERROR(BR170/BR157,"n/a")</f>
        <v>n/a</v>
      </c>
      <c r="BS171" s="214" t="str">
        <f t="shared" ref="BS171" si="1940">++IFERROR(BS170/BS157,"n/a")</f>
        <v>n/a</v>
      </c>
      <c r="BT171" s="225" t="str">
        <f t="shared" ref="BT171" si="1941">++IFERROR(BT170/BT157,"n/a")</f>
        <v>n/a</v>
      </c>
      <c r="BU171" s="225" t="str">
        <f t="shared" ref="BU171" si="1942">++IFERROR(BU170/BU157,"n/a")</f>
        <v>n/a</v>
      </c>
      <c r="BV171" s="225" t="str">
        <f t="shared" ref="BV171" si="1943">++IFERROR(BV170/BV157,"n/a")</f>
        <v>n/a</v>
      </c>
      <c r="BW171" s="225" t="str">
        <f t="shared" ref="BW171" si="1944">++IFERROR(BW170/BW157,"n/a")</f>
        <v>n/a</v>
      </c>
      <c r="BX171" s="225" t="str">
        <f t="shared" ref="BX171" si="1945">++IFERROR(BX170/BX157,"n/a")</f>
        <v>n/a</v>
      </c>
      <c r="BY171" s="225" t="str">
        <f t="shared" ref="BY171" si="1946">++IFERROR(BY170/BY157,"n/a")</f>
        <v>n/a</v>
      </c>
      <c r="BZ171" s="225" t="str">
        <f t="shared" ref="BZ171" si="1947">++IFERROR(BZ170/BZ157,"n/a")</f>
        <v>n/a</v>
      </c>
      <c r="CA171" s="225" t="str">
        <f t="shared" ref="CA171" si="1948">++IFERROR(CA170/CA157,"n/a")</f>
        <v>n/a</v>
      </c>
      <c r="CB171" s="225" t="str">
        <f t="shared" ref="CB171" si="1949">++IFERROR(CB170/CB157,"n/a")</f>
        <v>n/a</v>
      </c>
      <c r="CC171" s="225" t="str">
        <f t="shared" ref="CC171" si="1950">++IFERROR(CC170/CC157,"n/a")</f>
        <v>n/a</v>
      </c>
      <c r="CD171" s="225" t="str">
        <f t="shared" ref="CD171" si="1951">++IFERROR(CD170/CD157,"n/a")</f>
        <v>n/a</v>
      </c>
      <c r="CE171" s="214" t="str">
        <f t="shared" ref="CE171" si="1952">++IFERROR(CE170/CE157,"n/a")</f>
        <v>n/a</v>
      </c>
      <c r="CF171" s="225" t="str">
        <f t="shared" ref="CF171" si="1953">++IFERROR(CF170/CF157,"n/a")</f>
        <v>n/a</v>
      </c>
      <c r="CG171" s="225" t="str">
        <f t="shared" ref="CG171" si="1954">++IFERROR(CG170/CG157,"n/a")</f>
        <v>n/a</v>
      </c>
      <c r="CH171" s="225" t="str">
        <f t="shared" ref="CH171" si="1955">++IFERROR(CH170/CH157,"n/a")</f>
        <v>n/a</v>
      </c>
      <c r="CI171" s="225" t="str">
        <f t="shared" ref="CI171" si="1956">++IFERROR(CI170/CI157,"n/a")</f>
        <v>n/a</v>
      </c>
      <c r="CJ171" s="225" t="str">
        <f t="shared" ref="CJ171" si="1957">++IFERROR(CJ170/CJ157,"n/a")</f>
        <v>n/a</v>
      </c>
      <c r="CK171" s="225" t="str">
        <f t="shared" ref="CK171" si="1958">++IFERROR(CK170/CK157,"n/a")</f>
        <v>n/a</v>
      </c>
      <c r="CL171" s="225" t="str">
        <f t="shared" ref="CL171" si="1959">++IFERROR(CL170/CL157,"n/a")</f>
        <v>n/a</v>
      </c>
      <c r="CM171" s="225" t="str">
        <f t="shared" ref="CM171" si="1960">++IFERROR(CM170/CM157,"n/a")</f>
        <v>n/a</v>
      </c>
      <c r="CN171" s="225" t="str">
        <f t="shared" ref="CN171" si="1961">++IFERROR(CN170/CN157,"n/a")</f>
        <v>n/a</v>
      </c>
      <c r="CO171" s="225" t="str">
        <f t="shared" ref="CO171" si="1962">++IFERROR(CO170/CO157,"n/a")</f>
        <v>n/a</v>
      </c>
      <c r="CP171" s="225" t="str">
        <f t="shared" ref="CP171" si="1963">++IFERROR(CP170/CP157,"n/a")</f>
        <v>n/a</v>
      </c>
      <c r="CQ171" s="214" t="str">
        <f t="shared" ref="CQ171" si="1964">++IFERROR(CQ170/CQ157,"n/a")</f>
        <v>n/a</v>
      </c>
      <c r="CR171" s="225" t="str">
        <f t="shared" ref="CR171" si="1965">++IFERROR(CR170/CR157,"n/a")</f>
        <v>n/a</v>
      </c>
      <c r="CS171" s="225" t="str">
        <f t="shared" ref="CS171" si="1966">++IFERROR(CS170/CS157,"n/a")</f>
        <v>n/a</v>
      </c>
      <c r="CT171" s="225" t="str">
        <f t="shared" ref="CT171" si="1967">++IFERROR(CT170/CT157,"n/a")</f>
        <v>n/a</v>
      </c>
      <c r="CU171" s="225" t="str">
        <f t="shared" ref="CU171" si="1968">++IFERROR(CU170/CU157,"n/a")</f>
        <v>n/a</v>
      </c>
      <c r="CV171" s="225" t="str">
        <f t="shared" ref="CV171" si="1969">++IFERROR(CV170/CV157,"n/a")</f>
        <v>n/a</v>
      </c>
      <c r="CW171" s="225" t="str">
        <f t="shared" ref="CW171" si="1970">++IFERROR(CW170/CW157,"n/a")</f>
        <v>n/a</v>
      </c>
      <c r="CX171" s="225" t="str">
        <f t="shared" ref="CX171" si="1971">++IFERROR(CX170/CX157,"n/a")</f>
        <v>n/a</v>
      </c>
      <c r="CY171" s="225" t="str">
        <f t="shared" ref="CY171" si="1972">++IFERROR(CY170/CY157,"n/a")</f>
        <v>n/a</v>
      </c>
      <c r="CZ171" s="225" t="str">
        <f t="shared" ref="CZ171" si="1973">++IFERROR(CZ170/CZ157,"n/a")</f>
        <v>n/a</v>
      </c>
      <c r="DA171" s="225" t="str">
        <f t="shared" ref="DA171" si="1974">++IFERROR(DA170/DA157,"n/a")</f>
        <v>n/a</v>
      </c>
      <c r="DB171" s="225" t="str">
        <f t="shared" ref="DB171" si="1975">++IFERROR(DB170/DB157,"n/a")</f>
        <v>n/a</v>
      </c>
      <c r="DC171" s="214" t="str">
        <f t="shared" ref="DC171" si="1976">++IFERROR(DC170/DC157,"n/a")</f>
        <v>n/a</v>
      </c>
    </row>
    <row r="172" spans="3:107" x14ac:dyDescent="0.3">
      <c r="C172" s="321" t="str">
        <f>++C$25</f>
        <v>% y/y</v>
      </c>
      <c r="G172" s="122" t="s">
        <v>47</v>
      </c>
      <c r="H172" s="122" t="s">
        <v>47</v>
      </c>
      <c r="I172" s="122" t="s">
        <v>47</v>
      </c>
      <c r="J172" s="122" t="s">
        <v>47</v>
      </c>
      <c r="K172" s="214" t="str">
        <f>++IFERROR(K170/G170-1,"n/a")</f>
        <v>n/a</v>
      </c>
      <c r="L172" s="122" t="s">
        <v>47</v>
      </c>
      <c r="M172" s="122" t="s">
        <v>47</v>
      </c>
      <c r="N172" s="225" t="str">
        <f>++IFERROR(N170/H170-1,"n/a")</f>
        <v>n/a</v>
      </c>
      <c r="O172" s="122" t="s">
        <v>47</v>
      </c>
      <c r="P172" s="122" t="s">
        <v>47</v>
      </c>
      <c r="Q172" s="225" t="str">
        <f>++IFERROR(Q170/I170-1,"n/a")</f>
        <v>n/a</v>
      </c>
      <c r="R172" s="122" t="s">
        <v>47</v>
      </c>
      <c r="S172" s="122" t="s">
        <v>47</v>
      </c>
      <c r="T172" s="225" t="str">
        <f>++IFERROR(T170/J170-1,"n/a")</f>
        <v>n/a</v>
      </c>
      <c r="U172" s="122" t="s">
        <v>47</v>
      </c>
      <c r="V172" s="122" t="s">
        <v>47</v>
      </c>
      <c r="W172" s="214" t="str">
        <f t="shared" ref="W172:BB172" si="1977">++IFERROR(W170/K170-1,"n/a")</f>
        <v>n/a</v>
      </c>
      <c r="X172" s="225" t="str">
        <f t="shared" si="1977"/>
        <v>n/a</v>
      </c>
      <c r="Y172" s="225" t="str">
        <f t="shared" si="1977"/>
        <v>n/a</v>
      </c>
      <c r="Z172" s="225" t="str">
        <f t="shared" si="1977"/>
        <v>n/a</v>
      </c>
      <c r="AA172" s="225" t="str">
        <f t="shared" si="1977"/>
        <v>n/a</v>
      </c>
      <c r="AB172" s="225" t="str">
        <f t="shared" si="1977"/>
        <v>n/a</v>
      </c>
      <c r="AC172" s="225" t="str">
        <f t="shared" si="1977"/>
        <v>n/a</v>
      </c>
      <c r="AD172" s="225" t="str">
        <f t="shared" si="1977"/>
        <v>n/a</v>
      </c>
      <c r="AE172" s="225" t="str">
        <f t="shared" si="1977"/>
        <v>n/a</v>
      </c>
      <c r="AF172" s="225" t="str">
        <f t="shared" si="1977"/>
        <v>n/a</v>
      </c>
      <c r="AG172" s="225" t="str">
        <f t="shared" si="1977"/>
        <v>n/a</v>
      </c>
      <c r="AH172" s="225" t="str">
        <f t="shared" si="1977"/>
        <v>n/a</v>
      </c>
      <c r="AI172" s="214" t="str">
        <f t="shared" si="1977"/>
        <v>n/a</v>
      </c>
      <c r="AJ172" s="225" t="str">
        <f t="shared" si="1977"/>
        <v>n/a</v>
      </c>
      <c r="AK172" s="225" t="str">
        <f t="shared" si="1977"/>
        <v>n/a</v>
      </c>
      <c r="AL172" s="225" t="str">
        <f t="shared" si="1977"/>
        <v>n/a</v>
      </c>
      <c r="AM172" s="225" t="str">
        <f t="shared" si="1977"/>
        <v>n/a</v>
      </c>
      <c r="AN172" s="225" t="str">
        <f t="shared" si="1977"/>
        <v>n/a</v>
      </c>
      <c r="AO172" s="225" t="str">
        <f t="shared" si="1977"/>
        <v>n/a</v>
      </c>
      <c r="AP172" s="225" t="str">
        <f t="shared" si="1977"/>
        <v>n/a</v>
      </c>
      <c r="AQ172" s="225" t="str">
        <f t="shared" si="1977"/>
        <v>n/a</v>
      </c>
      <c r="AR172" s="225" t="str">
        <f t="shared" si="1977"/>
        <v>n/a</v>
      </c>
      <c r="AS172" s="225" t="str">
        <f t="shared" si="1977"/>
        <v>n/a</v>
      </c>
      <c r="AT172" s="225" t="str">
        <f t="shared" si="1977"/>
        <v>n/a</v>
      </c>
      <c r="AU172" s="214" t="str">
        <f t="shared" si="1977"/>
        <v>n/a</v>
      </c>
      <c r="AV172" s="225" t="str">
        <f t="shared" si="1977"/>
        <v>n/a</v>
      </c>
      <c r="AW172" s="225" t="str">
        <f t="shared" si="1977"/>
        <v>n/a</v>
      </c>
      <c r="AX172" s="225" t="str">
        <f t="shared" si="1977"/>
        <v>n/a</v>
      </c>
      <c r="AY172" s="225" t="str">
        <f t="shared" si="1977"/>
        <v>n/a</v>
      </c>
      <c r="AZ172" s="225" t="str">
        <f t="shared" si="1977"/>
        <v>n/a</v>
      </c>
      <c r="BA172" s="225" t="str">
        <f t="shared" si="1977"/>
        <v>n/a</v>
      </c>
      <c r="BB172" s="225" t="str">
        <f t="shared" si="1977"/>
        <v>n/a</v>
      </c>
      <c r="BC172" s="225" t="str">
        <f t="shared" ref="BC172:CH172" si="1978">++IFERROR(BC170/AQ170-1,"n/a")</f>
        <v>n/a</v>
      </c>
      <c r="BD172" s="225" t="str">
        <f t="shared" si="1978"/>
        <v>n/a</v>
      </c>
      <c r="BE172" s="225" t="str">
        <f t="shared" si="1978"/>
        <v>n/a</v>
      </c>
      <c r="BF172" s="225" t="str">
        <f t="shared" si="1978"/>
        <v>n/a</v>
      </c>
      <c r="BG172" s="214" t="str">
        <f t="shared" si="1978"/>
        <v>n/a</v>
      </c>
      <c r="BH172" s="225" t="str">
        <f t="shared" si="1978"/>
        <v>n/a</v>
      </c>
      <c r="BI172" s="225" t="str">
        <f t="shared" si="1978"/>
        <v>n/a</v>
      </c>
      <c r="BJ172" s="225" t="str">
        <f t="shared" si="1978"/>
        <v>n/a</v>
      </c>
      <c r="BK172" s="225" t="str">
        <f t="shared" si="1978"/>
        <v>n/a</v>
      </c>
      <c r="BL172" s="225" t="str">
        <f t="shared" si="1978"/>
        <v>n/a</v>
      </c>
      <c r="BM172" s="225" t="str">
        <f t="shared" si="1978"/>
        <v>n/a</v>
      </c>
      <c r="BN172" s="225" t="str">
        <f t="shared" si="1978"/>
        <v>n/a</v>
      </c>
      <c r="BO172" s="225" t="str">
        <f t="shared" si="1978"/>
        <v>n/a</v>
      </c>
      <c r="BP172" s="225" t="str">
        <f t="shared" si="1978"/>
        <v>n/a</v>
      </c>
      <c r="BQ172" s="225" t="str">
        <f t="shared" si="1978"/>
        <v>n/a</v>
      </c>
      <c r="BR172" s="225" t="str">
        <f t="shared" si="1978"/>
        <v>n/a</v>
      </c>
      <c r="BS172" s="214" t="str">
        <f t="shared" si="1978"/>
        <v>n/a</v>
      </c>
      <c r="BT172" s="225" t="str">
        <f t="shared" si="1978"/>
        <v>n/a</v>
      </c>
      <c r="BU172" s="225" t="str">
        <f t="shared" si="1978"/>
        <v>n/a</v>
      </c>
      <c r="BV172" s="225" t="str">
        <f t="shared" si="1978"/>
        <v>n/a</v>
      </c>
      <c r="BW172" s="225" t="str">
        <f t="shared" si="1978"/>
        <v>n/a</v>
      </c>
      <c r="BX172" s="225" t="str">
        <f t="shared" si="1978"/>
        <v>n/a</v>
      </c>
      <c r="BY172" s="225" t="str">
        <f t="shared" si="1978"/>
        <v>n/a</v>
      </c>
      <c r="BZ172" s="225" t="str">
        <f t="shared" si="1978"/>
        <v>n/a</v>
      </c>
      <c r="CA172" s="225" t="str">
        <f t="shared" si="1978"/>
        <v>n/a</v>
      </c>
      <c r="CB172" s="225" t="str">
        <f t="shared" si="1978"/>
        <v>n/a</v>
      </c>
      <c r="CC172" s="225" t="str">
        <f t="shared" si="1978"/>
        <v>n/a</v>
      </c>
      <c r="CD172" s="225" t="str">
        <f t="shared" si="1978"/>
        <v>n/a</v>
      </c>
      <c r="CE172" s="214" t="str">
        <f t="shared" si="1978"/>
        <v>n/a</v>
      </c>
      <c r="CF172" s="225" t="str">
        <f t="shared" si="1978"/>
        <v>n/a</v>
      </c>
      <c r="CG172" s="225" t="str">
        <f t="shared" si="1978"/>
        <v>n/a</v>
      </c>
      <c r="CH172" s="225" t="str">
        <f t="shared" si="1978"/>
        <v>n/a</v>
      </c>
      <c r="CI172" s="225" t="str">
        <f t="shared" ref="CI172:DN172" si="1979">++IFERROR(CI170/BW170-1,"n/a")</f>
        <v>n/a</v>
      </c>
      <c r="CJ172" s="225" t="str">
        <f t="shared" si="1979"/>
        <v>n/a</v>
      </c>
      <c r="CK172" s="225" t="str">
        <f t="shared" si="1979"/>
        <v>n/a</v>
      </c>
      <c r="CL172" s="225" t="str">
        <f t="shared" si="1979"/>
        <v>n/a</v>
      </c>
      <c r="CM172" s="225" t="str">
        <f t="shared" si="1979"/>
        <v>n/a</v>
      </c>
      <c r="CN172" s="225" t="str">
        <f t="shared" si="1979"/>
        <v>n/a</v>
      </c>
      <c r="CO172" s="225" t="str">
        <f t="shared" si="1979"/>
        <v>n/a</v>
      </c>
      <c r="CP172" s="225" t="str">
        <f t="shared" si="1979"/>
        <v>n/a</v>
      </c>
      <c r="CQ172" s="214" t="str">
        <f t="shared" si="1979"/>
        <v>n/a</v>
      </c>
      <c r="CR172" s="225" t="str">
        <f t="shared" si="1979"/>
        <v>n/a</v>
      </c>
      <c r="CS172" s="225" t="str">
        <f t="shared" si="1979"/>
        <v>n/a</v>
      </c>
      <c r="CT172" s="225" t="str">
        <f t="shared" si="1979"/>
        <v>n/a</v>
      </c>
      <c r="CU172" s="225" t="str">
        <f t="shared" si="1979"/>
        <v>n/a</v>
      </c>
      <c r="CV172" s="225" t="str">
        <f t="shared" si="1979"/>
        <v>n/a</v>
      </c>
      <c r="CW172" s="225" t="str">
        <f t="shared" si="1979"/>
        <v>n/a</v>
      </c>
      <c r="CX172" s="225" t="str">
        <f t="shared" si="1979"/>
        <v>n/a</v>
      </c>
      <c r="CY172" s="225" t="str">
        <f t="shared" si="1979"/>
        <v>n/a</v>
      </c>
      <c r="CZ172" s="225" t="str">
        <f t="shared" si="1979"/>
        <v>n/a</v>
      </c>
      <c r="DA172" s="225" t="str">
        <f t="shared" si="1979"/>
        <v>n/a</v>
      </c>
      <c r="DB172" s="225" t="str">
        <f t="shared" si="1979"/>
        <v>n/a</v>
      </c>
      <c r="DC172" s="214" t="str">
        <f t="shared" si="1979"/>
        <v>n/a</v>
      </c>
    </row>
    <row r="173" spans="3:107" x14ac:dyDescent="0.3">
      <c r="G173" s="203"/>
      <c r="K173" s="203"/>
      <c r="W173" s="203"/>
      <c r="AI173" s="203"/>
      <c r="AU173" s="203"/>
      <c r="BG173" s="203"/>
      <c r="BS173" s="203"/>
      <c r="CE173" s="203"/>
      <c r="CQ173" s="203"/>
      <c r="DC173" s="203"/>
    </row>
    <row r="174" spans="3:107" x14ac:dyDescent="0.3">
      <c r="C174" s="101" t="str">
        <f>++C$27</f>
        <v>Interest Expense (Income)</v>
      </c>
      <c r="G174" s="45">
        <f>++G27</f>
        <v>0</v>
      </c>
      <c r="H174" s="45">
        <f t="shared" ref="H174:BS175" si="1980">++H27</f>
        <v>0</v>
      </c>
      <c r="I174" s="45">
        <f t="shared" si="1980"/>
        <v>0</v>
      </c>
      <c r="J174" s="45">
        <f t="shared" si="1980"/>
        <v>0</v>
      </c>
      <c r="K174" s="45">
        <f t="shared" si="1980"/>
        <v>0</v>
      </c>
      <c r="L174" s="45">
        <f t="shared" si="1980"/>
        <v>0</v>
      </c>
      <c r="M174" s="45">
        <f t="shared" si="1980"/>
        <v>0</v>
      </c>
      <c r="N174" s="45">
        <f t="shared" si="1980"/>
        <v>0</v>
      </c>
      <c r="O174" s="45">
        <f t="shared" si="1980"/>
        <v>0</v>
      </c>
      <c r="P174" s="45">
        <f t="shared" si="1980"/>
        <v>0</v>
      </c>
      <c r="Q174" s="45">
        <f t="shared" si="1980"/>
        <v>0</v>
      </c>
      <c r="R174" s="45">
        <f t="shared" si="1980"/>
        <v>0</v>
      </c>
      <c r="S174" s="45">
        <f t="shared" si="1980"/>
        <v>0</v>
      </c>
      <c r="T174" s="45">
        <f t="shared" si="1980"/>
        <v>0</v>
      </c>
      <c r="U174" s="45">
        <f t="shared" si="1980"/>
        <v>0</v>
      </c>
      <c r="V174" s="45">
        <f t="shared" si="1980"/>
        <v>0</v>
      </c>
      <c r="W174" s="45">
        <f t="shared" si="1980"/>
        <v>0</v>
      </c>
      <c r="X174" s="45">
        <f t="shared" si="1980"/>
        <v>0</v>
      </c>
      <c r="Y174" s="45">
        <f t="shared" si="1980"/>
        <v>0</v>
      </c>
      <c r="Z174" s="45">
        <f t="shared" si="1980"/>
        <v>0</v>
      </c>
      <c r="AA174" s="45">
        <f t="shared" si="1980"/>
        <v>0</v>
      </c>
      <c r="AB174" s="45">
        <f t="shared" si="1980"/>
        <v>0</v>
      </c>
      <c r="AC174" s="45">
        <f t="shared" si="1980"/>
        <v>0</v>
      </c>
      <c r="AD174" s="45">
        <f t="shared" si="1980"/>
        <v>0</v>
      </c>
      <c r="AE174" s="45">
        <f t="shared" si="1980"/>
        <v>0</v>
      </c>
      <c r="AF174" s="45">
        <f t="shared" si="1980"/>
        <v>0</v>
      </c>
      <c r="AG174" s="45">
        <f t="shared" si="1980"/>
        <v>0</v>
      </c>
      <c r="AH174" s="45">
        <f t="shared" si="1980"/>
        <v>0</v>
      </c>
      <c r="AI174" s="45">
        <f t="shared" si="1980"/>
        <v>0</v>
      </c>
      <c r="AJ174" s="45">
        <f t="shared" si="1980"/>
        <v>0</v>
      </c>
      <c r="AK174" s="45">
        <f t="shared" si="1980"/>
        <v>0</v>
      </c>
      <c r="AL174" s="45">
        <f t="shared" si="1980"/>
        <v>0</v>
      </c>
      <c r="AM174" s="45">
        <f t="shared" si="1980"/>
        <v>0</v>
      </c>
      <c r="AN174" s="45">
        <f t="shared" si="1980"/>
        <v>0</v>
      </c>
      <c r="AO174" s="45">
        <f t="shared" si="1980"/>
        <v>0</v>
      </c>
      <c r="AP174" s="45">
        <f t="shared" si="1980"/>
        <v>0</v>
      </c>
      <c r="AQ174" s="45">
        <f t="shared" si="1980"/>
        <v>0</v>
      </c>
      <c r="AR174" s="45">
        <f t="shared" si="1980"/>
        <v>0</v>
      </c>
      <c r="AS174" s="45">
        <f t="shared" si="1980"/>
        <v>0</v>
      </c>
      <c r="AT174" s="45">
        <f t="shared" si="1980"/>
        <v>0</v>
      </c>
      <c r="AU174" s="45">
        <f t="shared" si="1980"/>
        <v>0</v>
      </c>
      <c r="AV174" s="45">
        <f t="shared" si="1980"/>
        <v>0</v>
      </c>
      <c r="AW174" s="45">
        <f t="shared" si="1980"/>
        <v>0</v>
      </c>
      <c r="AX174" s="45">
        <f t="shared" si="1980"/>
        <v>0</v>
      </c>
      <c r="AY174" s="45">
        <f t="shared" si="1980"/>
        <v>0</v>
      </c>
      <c r="AZ174" s="45">
        <f t="shared" si="1980"/>
        <v>0</v>
      </c>
      <c r="BA174" s="45">
        <f t="shared" si="1980"/>
        <v>0</v>
      </c>
      <c r="BB174" s="45">
        <f t="shared" si="1980"/>
        <v>0</v>
      </c>
      <c r="BC174" s="45">
        <f t="shared" si="1980"/>
        <v>0</v>
      </c>
      <c r="BD174" s="45">
        <f t="shared" si="1980"/>
        <v>0</v>
      </c>
      <c r="BE174" s="45">
        <f t="shared" si="1980"/>
        <v>0</v>
      </c>
      <c r="BF174" s="45">
        <f t="shared" si="1980"/>
        <v>0</v>
      </c>
      <c r="BG174" s="45">
        <f t="shared" si="1980"/>
        <v>0</v>
      </c>
      <c r="BH174" s="45">
        <f t="shared" si="1980"/>
        <v>0</v>
      </c>
      <c r="BI174" s="45">
        <f t="shared" si="1980"/>
        <v>0</v>
      </c>
      <c r="BJ174" s="45">
        <f t="shared" si="1980"/>
        <v>0</v>
      </c>
      <c r="BK174" s="45">
        <f t="shared" si="1980"/>
        <v>0</v>
      </c>
      <c r="BL174" s="45">
        <f t="shared" si="1980"/>
        <v>0</v>
      </c>
      <c r="BM174" s="45">
        <f t="shared" si="1980"/>
        <v>0</v>
      </c>
      <c r="BN174" s="45">
        <f t="shared" si="1980"/>
        <v>0</v>
      </c>
      <c r="BO174" s="45">
        <f t="shared" si="1980"/>
        <v>0</v>
      </c>
      <c r="BP174" s="45">
        <f t="shared" si="1980"/>
        <v>0</v>
      </c>
      <c r="BQ174" s="45">
        <f t="shared" si="1980"/>
        <v>0</v>
      </c>
      <c r="BR174" s="45">
        <f t="shared" si="1980"/>
        <v>0</v>
      </c>
      <c r="BS174" s="45">
        <f t="shared" si="1980"/>
        <v>0</v>
      </c>
      <c r="BT174" s="45">
        <f t="shared" ref="BT174:DC175" si="1981">++BT27</f>
        <v>0</v>
      </c>
      <c r="BU174" s="45">
        <f t="shared" si="1981"/>
        <v>0</v>
      </c>
      <c r="BV174" s="45">
        <f t="shared" si="1981"/>
        <v>0</v>
      </c>
      <c r="BW174" s="45">
        <f t="shared" si="1981"/>
        <v>0</v>
      </c>
      <c r="BX174" s="45">
        <f t="shared" si="1981"/>
        <v>0</v>
      </c>
      <c r="BY174" s="45">
        <f t="shared" si="1981"/>
        <v>0</v>
      </c>
      <c r="BZ174" s="45">
        <f t="shared" si="1981"/>
        <v>0</v>
      </c>
      <c r="CA174" s="45">
        <f t="shared" si="1981"/>
        <v>0</v>
      </c>
      <c r="CB174" s="45">
        <f t="shared" si="1981"/>
        <v>0</v>
      </c>
      <c r="CC174" s="45">
        <f t="shared" si="1981"/>
        <v>0</v>
      </c>
      <c r="CD174" s="45">
        <f t="shared" si="1981"/>
        <v>0</v>
      </c>
      <c r="CE174" s="45">
        <f t="shared" si="1981"/>
        <v>0</v>
      </c>
      <c r="CF174" s="45">
        <f t="shared" si="1981"/>
        <v>0</v>
      </c>
      <c r="CG174" s="45">
        <f t="shared" si="1981"/>
        <v>0</v>
      </c>
      <c r="CH174" s="45">
        <f t="shared" si="1981"/>
        <v>0</v>
      </c>
      <c r="CI174" s="45">
        <f t="shared" si="1981"/>
        <v>0</v>
      </c>
      <c r="CJ174" s="45">
        <f t="shared" si="1981"/>
        <v>0</v>
      </c>
      <c r="CK174" s="45">
        <f t="shared" si="1981"/>
        <v>0</v>
      </c>
      <c r="CL174" s="45">
        <f t="shared" si="1981"/>
        <v>0</v>
      </c>
      <c r="CM174" s="45">
        <f t="shared" si="1981"/>
        <v>0</v>
      </c>
      <c r="CN174" s="45">
        <f t="shared" si="1981"/>
        <v>0</v>
      </c>
      <c r="CO174" s="45">
        <f t="shared" si="1981"/>
        <v>0</v>
      </c>
      <c r="CP174" s="45">
        <f t="shared" si="1981"/>
        <v>0</v>
      </c>
      <c r="CQ174" s="45">
        <f t="shared" si="1981"/>
        <v>0</v>
      </c>
      <c r="CR174" s="45">
        <f t="shared" si="1981"/>
        <v>0</v>
      </c>
      <c r="CS174" s="45">
        <f t="shared" si="1981"/>
        <v>0</v>
      </c>
      <c r="CT174" s="45">
        <f t="shared" si="1981"/>
        <v>0</v>
      </c>
      <c r="CU174" s="45">
        <f t="shared" si="1981"/>
        <v>0</v>
      </c>
      <c r="CV174" s="45">
        <f t="shared" si="1981"/>
        <v>0</v>
      </c>
      <c r="CW174" s="45">
        <f t="shared" si="1981"/>
        <v>0</v>
      </c>
      <c r="CX174" s="45">
        <f t="shared" si="1981"/>
        <v>0</v>
      </c>
      <c r="CY174" s="45">
        <f t="shared" si="1981"/>
        <v>0</v>
      </c>
      <c r="CZ174" s="45">
        <f t="shared" si="1981"/>
        <v>0</v>
      </c>
      <c r="DA174" s="45">
        <f t="shared" si="1981"/>
        <v>0</v>
      </c>
      <c r="DB174" s="45">
        <f t="shared" si="1981"/>
        <v>0</v>
      </c>
      <c r="DC174" s="45">
        <f t="shared" si="1981"/>
        <v>0</v>
      </c>
    </row>
    <row r="175" spans="3:107" x14ac:dyDescent="0.3">
      <c r="C175" s="101" t="str">
        <f>++C$28</f>
        <v>Other Expense (Income)</v>
      </c>
      <c r="G175" s="45">
        <f>++G28</f>
        <v>0</v>
      </c>
      <c r="H175" s="45">
        <f t="shared" si="1980"/>
        <v>0</v>
      </c>
      <c r="I175" s="45">
        <f t="shared" si="1980"/>
        <v>0</v>
      </c>
      <c r="J175" s="45">
        <f t="shared" si="1980"/>
        <v>0</v>
      </c>
      <c r="K175" s="45">
        <f t="shared" si="1980"/>
        <v>0</v>
      </c>
      <c r="L175" s="45">
        <f t="shared" si="1980"/>
        <v>0</v>
      </c>
      <c r="M175" s="45">
        <f t="shared" si="1980"/>
        <v>0</v>
      </c>
      <c r="N175" s="45">
        <f t="shared" si="1980"/>
        <v>0</v>
      </c>
      <c r="O175" s="45">
        <f t="shared" si="1980"/>
        <v>0</v>
      </c>
      <c r="P175" s="45">
        <f t="shared" si="1980"/>
        <v>0</v>
      </c>
      <c r="Q175" s="45">
        <f t="shared" si="1980"/>
        <v>0</v>
      </c>
      <c r="R175" s="45">
        <f t="shared" si="1980"/>
        <v>0</v>
      </c>
      <c r="S175" s="45">
        <f t="shared" si="1980"/>
        <v>0</v>
      </c>
      <c r="T175" s="45">
        <f t="shared" si="1980"/>
        <v>0</v>
      </c>
      <c r="U175" s="45">
        <f t="shared" si="1980"/>
        <v>0</v>
      </c>
      <c r="V175" s="45">
        <f t="shared" si="1980"/>
        <v>0</v>
      </c>
      <c r="W175" s="45">
        <f t="shared" si="1980"/>
        <v>0</v>
      </c>
      <c r="X175" s="45">
        <f t="shared" si="1980"/>
        <v>0</v>
      </c>
      <c r="Y175" s="45">
        <f t="shared" si="1980"/>
        <v>0</v>
      </c>
      <c r="Z175" s="45">
        <f t="shared" si="1980"/>
        <v>0</v>
      </c>
      <c r="AA175" s="45">
        <f t="shared" si="1980"/>
        <v>0</v>
      </c>
      <c r="AB175" s="45">
        <f t="shared" si="1980"/>
        <v>0</v>
      </c>
      <c r="AC175" s="45">
        <f t="shared" si="1980"/>
        <v>0</v>
      </c>
      <c r="AD175" s="45">
        <f t="shared" si="1980"/>
        <v>0</v>
      </c>
      <c r="AE175" s="45">
        <f t="shared" si="1980"/>
        <v>0</v>
      </c>
      <c r="AF175" s="45">
        <f t="shared" si="1980"/>
        <v>0</v>
      </c>
      <c r="AG175" s="45">
        <f t="shared" si="1980"/>
        <v>0</v>
      </c>
      <c r="AH175" s="45">
        <f t="shared" si="1980"/>
        <v>0</v>
      </c>
      <c r="AI175" s="45">
        <f t="shared" si="1980"/>
        <v>0</v>
      </c>
      <c r="AJ175" s="45">
        <f t="shared" si="1980"/>
        <v>0</v>
      </c>
      <c r="AK175" s="45">
        <f t="shared" si="1980"/>
        <v>0</v>
      </c>
      <c r="AL175" s="45">
        <f t="shared" si="1980"/>
        <v>0</v>
      </c>
      <c r="AM175" s="45">
        <f t="shared" si="1980"/>
        <v>0</v>
      </c>
      <c r="AN175" s="45">
        <f t="shared" si="1980"/>
        <v>0</v>
      </c>
      <c r="AO175" s="45">
        <f t="shared" si="1980"/>
        <v>0</v>
      </c>
      <c r="AP175" s="45">
        <f t="shared" si="1980"/>
        <v>0</v>
      </c>
      <c r="AQ175" s="45">
        <f t="shared" si="1980"/>
        <v>0</v>
      </c>
      <c r="AR175" s="45">
        <f t="shared" si="1980"/>
        <v>0</v>
      </c>
      <c r="AS175" s="45">
        <f t="shared" si="1980"/>
        <v>0</v>
      </c>
      <c r="AT175" s="45">
        <f t="shared" si="1980"/>
        <v>0</v>
      </c>
      <c r="AU175" s="45">
        <f t="shared" si="1980"/>
        <v>0</v>
      </c>
      <c r="AV175" s="45">
        <f t="shared" si="1980"/>
        <v>0</v>
      </c>
      <c r="AW175" s="45">
        <f t="shared" si="1980"/>
        <v>0</v>
      </c>
      <c r="AX175" s="45">
        <f t="shared" si="1980"/>
        <v>0</v>
      </c>
      <c r="AY175" s="45">
        <f t="shared" si="1980"/>
        <v>0</v>
      </c>
      <c r="AZ175" s="45">
        <f t="shared" si="1980"/>
        <v>0</v>
      </c>
      <c r="BA175" s="45">
        <f t="shared" si="1980"/>
        <v>0</v>
      </c>
      <c r="BB175" s="45">
        <f t="shared" si="1980"/>
        <v>0</v>
      </c>
      <c r="BC175" s="45">
        <f t="shared" si="1980"/>
        <v>0</v>
      </c>
      <c r="BD175" s="45">
        <f t="shared" si="1980"/>
        <v>0</v>
      </c>
      <c r="BE175" s="45">
        <f t="shared" si="1980"/>
        <v>0</v>
      </c>
      <c r="BF175" s="45">
        <f t="shared" si="1980"/>
        <v>0</v>
      </c>
      <c r="BG175" s="45">
        <f t="shared" si="1980"/>
        <v>0</v>
      </c>
      <c r="BH175" s="45">
        <f t="shared" si="1980"/>
        <v>0</v>
      </c>
      <c r="BI175" s="45">
        <f t="shared" si="1980"/>
        <v>0</v>
      </c>
      <c r="BJ175" s="45">
        <f t="shared" si="1980"/>
        <v>0</v>
      </c>
      <c r="BK175" s="45">
        <f t="shared" si="1980"/>
        <v>0</v>
      </c>
      <c r="BL175" s="45">
        <f t="shared" si="1980"/>
        <v>0</v>
      </c>
      <c r="BM175" s="45">
        <f t="shared" si="1980"/>
        <v>0</v>
      </c>
      <c r="BN175" s="45">
        <f t="shared" si="1980"/>
        <v>0</v>
      </c>
      <c r="BO175" s="45">
        <f t="shared" si="1980"/>
        <v>0</v>
      </c>
      <c r="BP175" s="45">
        <f t="shared" si="1980"/>
        <v>0</v>
      </c>
      <c r="BQ175" s="45">
        <f t="shared" si="1980"/>
        <v>0</v>
      </c>
      <c r="BR175" s="45">
        <f t="shared" si="1980"/>
        <v>0</v>
      </c>
      <c r="BS175" s="45">
        <f t="shared" si="1980"/>
        <v>0</v>
      </c>
      <c r="BT175" s="45">
        <f t="shared" si="1981"/>
        <v>0</v>
      </c>
      <c r="BU175" s="45">
        <f t="shared" si="1981"/>
        <v>0</v>
      </c>
      <c r="BV175" s="45">
        <f t="shared" si="1981"/>
        <v>0</v>
      </c>
      <c r="BW175" s="45">
        <f t="shared" si="1981"/>
        <v>0</v>
      </c>
      <c r="BX175" s="45">
        <f t="shared" si="1981"/>
        <v>0</v>
      </c>
      <c r="BY175" s="45">
        <f t="shared" si="1981"/>
        <v>0</v>
      </c>
      <c r="BZ175" s="45">
        <f t="shared" si="1981"/>
        <v>0</v>
      </c>
      <c r="CA175" s="45">
        <f t="shared" si="1981"/>
        <v>0</v>
      </c>
      <c r="CB175" s="45">
        <f t="shared" si="1981"/>
        <v>0</v>
      </c>
      <c r="CC175" s="45">
        <f t="shared" si="1981"/>
        <v>0</v>
      </c>
      <c r="CD175" s="45">
        <f t="shared" si="1981"/>
        <v>0</v>
      </c>
      <c r="CE175" s="45">
        <f t="shared" si="1981"/>
        <v>0</v>
      </c>
      <c r="CF175" s="45">
        <f t="shared" si="1981"/>
        <v>0</v>
      </c>
      <c r="CG175" s="45">
        <f t="shared" si="1981"/>
        <v>0</v>
      </c>
      <c r="CH175" s="45">
        <f t="shared" si="1981"/>
        <v>0</v>
      </c>
      <c r="CI175" s="45">
        <f t="shared" si="1981"/>
        <v>0</v>
      </c>
      <c r="CJ175" s="45">
        <f t="shared" si="1981"/>
        <v>0</v>
      </c>
      <c r="CK175" s="45">
        <f t="shared" si="1981"/>
        <v>0</v>
      </c>
      <c r="CL175" s="45">
        <f t="shared" si="1981"/>
        <v>0</v>
      </c>
      <c r="CM175" s="45">
        <f t="shared" si="1981"/>
        <v>0</v>
      </c>
      <c r="CN175" s="45">
        <f t="shared" si="1981"/>
        <v>0</v>
      </c>
      <c r="CO175" s="45">
        <f t="shared" si="1981"/>
        <v>0</v>
      </c>
      <c r="CP175" s="45">
        <f t="shared" si="1981"/>
        <v>0</v>
      </c>
      <c r="CQ175" s="45">
        <f t="shared" si="1981"/>
        <v>0</v>
      </c>
      <c r="CR175" s="45">
        <f t="shared" si="1981"/>
        <v>0</v>
      </c>
      <c r="CS175" s="45">
        <f t="shared" si="1981"/>
        <v>0</v>
      </c>
      <c r="CT175" s="45">
        <f t="shared" si="1981"/>
        <v>0</v>
      </c>
      <c r="CU175" s="45">
        <f t="shared" si="1981"/>
        <v>0</v>
      </c>
      <c r="CV175" s="45">
        <f t="shared" si="1981"/>
        <v>0</v>
      </c>
      <c r="CW175" s="45">
        <f t="shared" si="1981"/>
        <v>0</v>
      </c>
      <c r="CX175" s="45">
        <f t="shared" si="1981"/>
        <v>0</v>
      </c>
      <c r="CY175" s="45">
        <f t="shared" si="1981"/>
        <v>0</v>
      </c>
      <c r="CZ175" s="45">
        <f t="shared" si="1981"/>
        <v>0</v>
      </c>
      <c r="DA175" s="45">
        <f t="shared" si="1981"/>
        <v>0</v>
      </c>
      <c r="DB175" s="45">
        <f t="shared" si="1981"/>
        <v>0</v>
      </c>
      <c r="DC175" s="45">
        <f t="shared" si="1981"/>
        <v>0</v>
      </c>
    </row>
    <row r="176" spans="3:107" x14ac:dyDescent="0.3">
      <c r="C176" s="231" t="str">
        <f>++C$29</f>
        <v>Pre-Tax Income (Loss)</v>
      </c>
      <c r="D176" s="191"/>
      <c r="E176" s="191"/>
      <c r="G176" s="239">
        <f>++SUM(G180,G183)</f>
        <v>0</v>
      </c>
      <c r="H176" s="232">
        <f t="shared" ref="H176:BS176" si="1982">++SUM(H180,H183)</f>
        <v>0</v>
      </c>
      <c r="I176" s="232">
        <f t="shared" si="1982"/>
        <v>0</v>
      </c>
      <c r="J176" s="232">
        <f t="shared" si="1982"/>
        <v>0</v>
      </c>
      <c r="K176" s="239">
        <f t="shared" si="1982"/>
        <v>0</v>
      </c>
      <c r="L176" s="232">
        <f t="shared" si="1982"/>
        <v>0</v>
      </c>
      <c r="M176" s="232">
        <f t="shared" si="1982"/>
        <v>0</v>
      </c>
      <c r="N176" s="232">
        <f t="shared" si="1982"/>
        <v>0</v>
      </c>
      <c r="O176" s="232">
        <f t="shared" si="1982"/>
        <v>0</v>
      </c>
      <c r="P176" s="232">
        <f t="shared" si="1982"/>
        <v>0</v>
      </c>
      <c r="Q176" s="232">
        <f t="shared" si="1982"/>
        <v>0</v>
      </c>
      <c r="R176" s="232">
        <f t="shared" si="1982"/>
        <v>0</v>
      </c>
      <c r="S176" s="232">
        <f t="shared" si="1982"/>
        <v>0</v>
      </c>
      <c r="T176" s="232">
        <f t="shared" si="1982"/>
        <v>0</v>
      </c>
      <c r="U176" s="232">
        <f t="shared" si="1982"/>
        <v>0</v>
      </c>
      <c r="V176" s="232">
        <f t="shared" si="1982"/>
        <v>0</v>
      </c>
      <c r="W176" s="239">
        <f t="shared" si="1982"/>
        <v>0</v>
      </c>
      <c r="X176" s="232">
        <f t="shared" si="1982"/>
        <v>0</v>
      </c>
      <c r="Y176" s="232">
        <f t="shared" si="1982"/>
        <v>0</v>
      </c>
      <c r="Z176" s="232">
        <f t="shared" si="1982"/>
        <v>0</v>
      </c>
      <c r="AA176" s="232">
        <f t="shared" si="1982"/>
        <v>0</v>
      </c>
      <c r="AB176" s="232">
        <f t="shared" si="1982"/>
        <v>0</v>
      </c>
      <c r="AC176" s="232">
        <f t="shared" si="1982"/>
        <v>0</v>
      </c>
      <c r="AD176" s="232">
        <f t="shared" si="1982"/>
        <v>0</v>
      </c>
      <c r="AE176" s="232">
        <f t="shared" si="1982"/>
        <v>0</v>
      </c>
      <c r="AF176" s="232">
        <f t="shared" si="1982"/>
        <v>0</v>
      </c>
      <c r="AG176" s="232">
        <f t="shared" si="1982"/>
        <v>0</v>
      </c>
      <c r="AH176" s="232">
        <f t="shared" si="1982"/>
        <v>0</v>
      </c>
      <c r="AI176" s="239">
        <f t="shared" si="1982"/>
        <v>0</v>
      </c>
      <c r="AJ176" s="232">
        <f t="shared" si="1982"/>
        <v>0</v>
      </c>
      <c r="AK176" s="232">
        <f t="shared" si="1982"/>
        <v>0</v>
      </c>
      <c r="AL176" s="232">
        <f t="shared" si="1982"/>
        <v>0</v>
      </c>
      <c r="AM176" s="232">
        <f t="shared" si="1982"/>
        <v>0</v>
      </c>
      <c r="AN176" s="232">
        <f t="shared" si="1982"/>
        <v>0</v>
      </c>
      <c r="AO176" s="232">
        <f t="shared" si="1982"/>
        <v>0</v>
      </c>
      <c r="AP176" s="232">
        <f t="shared" si="1982"/>
        <v>0</v>
      </c>
      <c r="AQ176" s="232">
        <f t="shared" si="1982"/>
        <v>0</v>
      </c>
      <c r="AR176" s="232">
        <f t="shared" si="1982"/>
        <v>0</v>
      </c>
      <c r="AS176" s="232">
        <f t="shared" si="1982"/>
        <v>0</v>
      </c>
      <c r="AT176" s="232">
        <f t="shared" si="1982"/>
        <v>0</v>
      </c>
      <c r="AU176" s="239">
        <f t="shared" si="1982"/>
        <v>0</v>
      </c>
      <c r="AV176" s="232">
        <f t="shared" si="1982"/>
        <v>0</v>
      </c>
      <c r="AW176" s="232">
        <f t="shared" si="1982"/>
        <v>0</v>
      </c>
      <c r="AX176" s="232">
        <f t="shared" si="1982"/>
        <v>0</v>
      </c>
      <c r="AY176" s="232">
        <f t="shared" si="1982"/>
        <v>0</v>
      </c>
      <c r="AZ176" s="232">
        <f t="shared" si="1982"/>
        <v>0</v>
      </c>
      <c r="BA176" s="232">
        <f t="shared" si="1982"/>
        <v>0</v>
      </c>
      <c r="BB176" s="232">
        <f t="shared" si="1982"/>
        <v>0</v>
      </c>
      <c r="BC176" s="232">
        <f t="shared" si="1982"/>
        <v>0</v>
      </c>
      <c r="BD176" s="232">
        <f t="shared" si="1982"/>
        <v>0</v>
      </c>
      <c r="BE176" s="232">
        <f t="shared" si="1982"/>
        <v>0</v>
      </c>
      <c r="BF176" s="232">
        <f t="shared" si="1982"/>
        <v>0</v>
      </c>
      <c r="BG176" s="239">
        <f t="shared" si="1982"/>
        <v>0</v>
      </c>
      <c r="BH176" s="232">
        <f t="shared" si="1982"/>
        <v>0</v>
      </c>
      <c r="BI176" s="232">
        <f t="shared" si="1982"/>
        <v>0</v>
      </c>
      <c r="BJ176" s="232">
        <f t="shared" si="1982"/>
        <v>0</v>
      </c>
      <c r="BK176" s="232">
        <f t="shared" si="1982"/>
        <v>0</v>
      </c>
      <c r="BL176" s="232">
        <f t="shared" si="1982"/>
        <v>0</v>
      </c>
      <c r="BM176" s="232">
        <f t="shared" si="1982"/>
        <v>0</v>
      </c>
      <c r="BN176" s="232">
        <f t="shared" si="1982"/>
        <v>0</v>
      </c>
      <c r="BO176" s="232">
        <f t="shared" si="1982"/>
        <v>0</v>
      </c>
      <c r="BP176" s="232">
        <f t="shared" si="1982"/>
        <v>0</v>
      </c>
      <c r="BQ176" s="232">
        <f t="shared" si="1982"/>
        <v>0</v>
      </c>
      <c r="BR176" s="232">
        <f t="shared" si="1982"/>
        <v>0</v>
      </c>
      <c r="BS176" s="239">
        <f t="shared" si="1982"/>
        <v>0</v>
      </c>
      <c r="BT176" s="232">
        <f t="shared" ref="BT176:DC176" si="1983">++SUM(BT180,BT183)</f>
        <v>0</v>
      </c>
      <c r="BU176" s="232">
        <f t="shared" si="1983"/>
        <v>0</v>
      </c>
      <c r="BV176" s="232">
        <f t="shared" si="1983"/>
        <v>0</v>
      </c>
      <c r="BW176" s="232">
        <f t="shared" si="1983"/>
        <v>0</v>
      </c>
      <c r="BX176" s="232">
        <f t="shared" si="1983"/>
        <v>0</v>
      </c>
      <c r="BY176" s="232">
        <f t="shared" si="1983"/>
        <v>0</v>
      </c>
      <c r="BZ176" s="232">
        <f t="shared" si="1983"/>
        <v>0</v>
      </c>
      <c r="CA176" s="232">
        <f t="shared" si="1983"/>
        <v>0</v>
      </c>
      <c r="CB176" s="232">
        <f t="shared" si="1983"/>
        <v>0</v>
      </c>
      <c r="CC176" s="232">
        <f t="shared" si="1983"/>
        <v>0</v>
      </c>
      <c r="CD176" s="232">
        <f t="shared" si="1983"/>
        <v>0</v>
      </c>
      <c r="CE176" s="239">
        <f t="shared" si="1983"/>
        <v>0</v>
      </c>
      <c r="CF176" s="232">
        <f t="shared" si="1983"/>
        <v>0</v>
      </c>
      <c r="CG176" s="232">
        <f t="shared" si="1983"/>
        <v>0</v>
      </c>
      <c r="CH176" s="232">
        <f t="shared" si="1983"/>
        <v>0</v>
      </c>
      <c r="CI176" s="232">
        <f t="shared" si="1983"/>
        <v>0</v>
      </c>
      <c r="CJ176" s="232">
        <f t="shared" si="1983"/>
        <v>0</v>
      </c>
      <c r="CK176" s="232">
        <f t="shared" si="1983"/>
        <v>0</v>
      </c>
      <c r="CL176" s="232">
        <f t="shared" si="1983"/>
        <v>0</v>
      </c>
      <c r="CM176" s="232">
        <f t="shared" si="1983"/>
        <v>0</v>
      </c>
      <c r="CN176" s="232">
        <f t="shared" si="1983"/>
        <v>0</v>
      </c>
      <c r="CO176" s="232">
        <f t="shared" si="1983"/>
        <v>0</v>
      </c>
      <c r="CP176" s="232">
        <f t="shared" si="1983"/>
        <v>0</v>
      </c>
      <c r="CQ176" s="239">
        <f t="shared" si="1983"/>
        <v>0</v>
      </c>
      <c r="CR176" s="232">
        <f t="shared" si="1983"/>
        <v>0</v>
      </c>
      <c r="CS176" s="232">
        <f t="shared" si="1983"/>
        <v>0</v>
      </c>
      <c r="CT176" s="232">
        <f t="shared" si="1983"/>
        <v>0</v>
      </c>
      <c r="CU176" s="232">
        <f t="shared" si="1983"/>
        <v>0</v>
      </c>
      <c r="CV176" s="232">
        <f t="shared" si="1983"/>
        <v>0</v>
      </c>
      <c r="CW176" s="232">
        <f t="shared" si="1983"/>
        <v>0</v>
      </c>
      <c r="CX176" s="232">
        <f t="shared" si="1983"/>
        <v>0</v>
      </c>
      <c r="CY176" s="232">
        <f t="shared" si="1983"/>
        <v>0</v>
      </c>
      <c r="CZ176" s="232">
        <f t="shared" si="1983"/>
        <v>0</v>
      </c>
      <c r="DA176" s="232">
        <f t="shared" si="1983"/>
        <v>0</v>
      </c>
      <c r="DB176" s="232">
        <f t="shared" si="1983"/>
        <v>0</v>
      </c>
      <c r="DC176" s="239">
        <f t="shared" si="1983"/>
        <v>0</v>
      </c>
    </row>
    <row r="177" spans="3:107" x14ac:dyDescent="0.3">
      <c r="C177" s="321" t="str">
        <f>++C$30</f>
        <v>% margin</v>
      </c>
      <c r="G177" s="214" t="str">
        <f>++IFERROR(G176/G157,"n/a")</f>
        <v>n/a</v>
      </c>
      <c r="H177" s="225" t="str">
        <f t="shared" ref="H177" si="1984">++IFERROR(H176/H157,"n/a")</f>
        <v>n/a</v>
      </c>
      <c r="I177" s="225" t="str">
        <f t="shared" ref="I177" si="1985">++IFERROR(I176/I157,"n/a")</f>
        <v>n/a</v>
      </c>
      <c r="J177" s="225" t="str">
        <f t="shared" ref="J177" si="1986">++IFERROR(J176/J157,"n/a")</f>
        <v>n/a</v>
      </c>
      <c r="K177" s="214" t="str">
        <f t="shared" ref="K177" si="1987">++IFERROR(K176/K157,"n/a")</f>
        <v>n/a</v>
      </c>
      <c r="L177" s="225" t="str">
        <f t="shared" ref="L177" si="1988">++IFERROR(L176/L157,"n/a")</f>
        <v>n/a</v>
      </c>
      <c r="M177" s="225" t="str">
        <f t="shared" ref="M177" si="1989">++IFERROR(M176/M157,"n/a")</f>
        <v>n/a</v>
      </c>
      <c r="N177" s="225" t="str">
        <f t="shared" ref="N177" si="1990">++IFERROR(N176/N157,"n/a")</f>
        <v>n/a</v>
      </c>
      <c r="O177" s="225" t="str">
        <f t="shared" ref="O177" si="1991">++IFERROR(O176/O157,"n/a")</f>
        <v>n/a</v>
      </c>
      <c r="P177" s="225" t="str">
        <f t="shared" ref="P177" si="1992">++IFERROR(P176/P157,"n/a")</f>
        <v>n/a</v>
      </c>
      <c r="Q177" s="225" t="str">
        <f t="shared" ref="Q177" si="1993">++IFERROR(Q176/Q157,"n/a")</f>
        <v>n/a</v>
      </c>
      <c r="R177" s="225" t="str">
        <f t="shared" ref="R177" si="1994">++IFERROR(R176/R157,"n/a")</f>
        <v>n/a</v>
      </c>
      <c r="S177" s="225" t="str">
        <f t="shared" ref="S177" si="1995">++IFERROR(S176/S157,"n/a")</f>
        <v>n/a</v>
      </c>
      <c r="T177" s="225" t="str">
        <f t="shared" ref="T177" si="1996">++IFERROR(T176/T157,"n/a")</f>
        <v>n/a</v>
      </c>
      <c r="U177" s="225" t="str">
        <f t="shared" ref="U177" si="1997">++IFERROR(U176/U157,"n/a")</f>
        <v>n/a</v>
      </c>
      <c r="V177" s="225" t="str">
        <f t="shared" ref="V177" si="1998">++IFERROR(V176/V157,"n/a")</f>
        <v>n/a</v>
      </c>
      <c r="W177" s="214" t="str">
        <f t="shared" ref="W177" si="1999">++IFERROR(W176/W157,"n/a")</f>
        <v>n/a</v>
      </c>
      <c r="X177" s="225" t="str">
        <f t="shared" ref="X177" si="2000">++IFERROR(X176/X157,"n/a")</f>
        <v>n/a</v>
      </c>
      <c r="Y177" s="225" t="str">
        <f t="shared" ref="Y177" si="2001">++IFERROR(Y176/Y157,"n/a")</f>
        <v>n/a</v>
      </c>
      <c r="Z177" s="225" t="str">
        <f t="shared" ref="Z177" si="2002">++IFERROR(Z176/Z157,"n/a")</f>
        <v>n/a</v>
      </c>
      <c r="AA177" s="225" t="str">
        <f t="shared" ref="AA177" si="2003">++IFERROR(AA176/AA157,"n/a")</f>
        <v>n/a</v>
      </c>
      <c r="AB177" s="225" t="str">
        <f t="shared" ref="AB177" si="2004">++IFERROR(AB176/AB157,"n/a")</f>
        <v>n/a</v>
      </c>
      <c r="AC177" s="225" t="str">
        <f t="shared" ref="AC177" si="2005">++IFERROR(AC176/AC157,"n/a")</f>
        <v>n/a</v>
      </c>
      <c r="AD177" s="225" t="str">
        <f t="shared" ref="AD177" si="2006">++IFERROR(AD176/AD157,"n/a")</f>
        <v>n/a</v>
      </c>
      <c r="AE177" s="225" t="str">
        <f t="shared" ref="AE177" si="2007">++IFERROR(AE176/AE157,"n/a")</f>
        <v>n/a</v>
      </c>
      <c r="AF177" s="225" t="str">
        <f t="shared" ref="AF177" si="2008">++IFERROR(AF176/AF157,"n/a")</f>
        <v>n/a</v>
      </c>
      <c r="AG177" s="225" t="str">
        <f t="shared" ref="AG177" si="2009">++IFERROR(AG176/AG157,"n/a")</f>
        <v>n/a</v>
      </c>
      <c r="AH177" s="225" t="str">
        <f t="shared" ref="AH177" si="2010">++IFERROR(AH176/AH157,"n/a")</f>
        <v>n/a</v>
      </c>
      <c r="AI177" s="214" t="str">
        <f t="shared" ref="AI177" si="2011">++IFERROR(AI176/AI157,"n/a")</f>
        <v>n/a</v>
      </c>
      <c r="AJ177" s="225" t="str">
        <f t="shared" ref="AJ177" si="2012">++IFERROR(AJ176/AJ157,"n/a")</f>
        <v>n/a</v>
      </c>
      <c r="AK177" s="225" t="str">
        <f t="shared" ref="AK177" si="2013">++IFERROR(AK176/AK157,"n/a")</f>
        <v>n/a</v>
      </c>
      <c r="AL177" s="225" t="str">
        <f t="shared" ref="AL177" si="2014">++IFERROR(AL176/AL157,"n/a")</f>
        <v>n/a</v>
      </c>
      <c r="AM177" s="225" t="str">
        <f t="shared" ref="AM177" si="2015">++IFERROR(AM176/AM157,"n/a")</f>
        <v>n/a</v>
      </c>
      <c r="AN177" s="225" t="str">
        <f t="shared" ref="AN177" si="2016">++IFERROR(AN176/AN157,"n/a")</f>
        <v>n/a</v>
      </c>
      <c r="AO177" s="225" t="str">
        <f t="shared" ref="AO177" si="2017">++IFERROR(AO176/AO157,"n/a")</f>
        <v>n/a</v>
      </c>
      <c r="AP177" s="225" t="str">
        <f t="shared" ref="AP177" si="2018">++IFERROR(AP176/AP157,"n/a")</f>
        <v>n/a</v>
      </c>
      <c r="AQ177" s="225" t="str">
        <f t="shared" ref="AQ177" si="2019">++IFERROR(AQ176/AQ157,"n/a")</f>
        <v>n/a</v>
      </c>
      <c r="AR177" s="225" t="str">
        <f t="shared" ref="AR177" si="2020">++IFERROR(AR176/AR157,"n/a")</f>
        <v>n/a</v>
      </c>
      <c r="AS177" s="225" t="str">
        <f t="shared" ref="AS177" si="2021">++IFERROR(AS176/AS157,"n/a")</f>
        <v>n/a</v>
      </c>
      <c r="AT177" s="225" t="str">
        <f t="shared" ref="AT177" si="2022">++IFERROR(AT176/AT157,"n/a")</f>
        <v>n/a</v>
      </c>
      <c r="AU177" s="214" t="str">
        <f t="shared" ref="AU177" si="2023">++IFERROR(AU176/AU157,"n/a")</f>
        <v>n/a</v>
      </c>
      <c r="AV177" s="225" t="str">
        <f t="shared" ref="AV177" si="2024">++IFERROR(AV176/AV157,"n/a")</f>
        <v>n/a</v>
      </c>
      <c r="AW177" s="225" t="str">
        <f t="shared" ref="AW177" si="2025">++IFERROR(AW176/AW157,"n/a")</f>
        <v>n/a</v>
      </c>
      <c r="AX177" s="225" t="str">
        <f t="shared" ref="AX177" si="2026">++IFERROR(AX176/AX157,"n/a")</f>
        <v>n/a</v>
      </c>
      <c r="AY177" s="225" t="str">
        <f t="shared" ref="AY177" si="2027">++IFERROR(AY176/AY157,"n/a")</f>
        <v>n/a</v>
      </c>
      <c r="AZ177" s="225" t="str">
        <f t="shared" ref="AZ177" si="2028">++IFERROR(AZ176/AZ157,"n/a")</f>
        <v>n/a</v>
      </c>
      <c r="BA177" s="225" t="str">
        <f t="shared" ref="BA177" si="2029">++IFERROR(BA176/BA157,"n/a")</f>
        <v>n/a</v>
      </c>
      <c r="BB177" s="225" t="str">
        <f t="shared" ref="BB177" si="2030">++IFERROR(BB176/BB157,"n/a")</f>
        <v>n/a</v>
      </c>
      <c r="BC177" s="225" t="str">
        <f t="shared" ref="BC177" si="2031">++IFERROR(BC176/BC157,"n/a")</f>
        <v>n/a</v>
      </c>
      <c r="BD177" s="225" t="str">
        <f t="shared" ref="BD177" si="2032">++IFERROR(BD176/BD157,"n/a")</f>
        <v>n/a</v>
      </c>
      <c r="BE177" s="225" t="str">
        <f t="shared" ref="BE177" si="2033">++IFERROR(BE176/BE157,"n/a")</f>
        <v>n/a</v>
      </c>
      <c r="BF177" s="225" t="str">
        <f t="shared" ref="BF177" si="2034">++IFERROR(BF176/BF157,"n/a")</f>
        <v>n/a</v>
      </c>
      <c r="BG177" s="214" t="str">
        <f t="shared" ref="BG177" si="2035">++IFERROR(BG176/BG157,"n/a")</f>
        <v>n/a</v>
      </c>
      <c r="BH177" s="225" t="str">
        <f t="shared" ref="BH177" si="2036">++IFERROR(BH176/BH157,"n/a")</f>
        <v>n/a</v>
      </c>
      <c r="BI177" s="225" t="str">
        <f t="shared" ref="BI177" si="2037">++IFERROR(BI176/BI157,"n/a")</f>
        <v>n/a</v>
      </c>
      <c r="BJ177" s="225" t="str">
        <f t="shared" ref="BJ177" si="2038">++IFERROR(BJ176/BJ157,"n/a")</f>
        <v>n/a</v>
      </c>
      <c r="BK177" s="225" t="str">
        <f t="shared" ref="BK177" si="2039">++IFERROR(BK176/BK157,"n/a")</f>
        <v>n/a</v>
      </c>
      <c r="BL177" s="225" t="str">
        <f t="shared" ref="BL177" si="2040">++IFERROR(BL176/BL157,"n/a")</f>
        <v>n/a</v>
      </c>
      <c r="BM177" s="225" t="str">
        <f t="shared" ref="BM177" si="2041">++IFERROR(BM176/BM157,"n/a")</f>
        <v>n/a</v>
      </c>
      <c r="BN177" s="225" t="str">
        <f t="shared" ref="BN177" si="2042">++IFERROR(BN176/BN157,"n/a")</f>
        <v>n/a</v>
      </c>
      <c r="BO177" s="225" t="str">
        <f t="shared" ref="BO177" si="2043">++IFERROR(BO176/BO157,"n/a")</f>
        <v>n/a</v>
      </c>
      <c r="BP177" s="225" t="str">
        <f t="shared" ref="BP177" si="2044">++IFERROR(BP176/BP157,"n/a")</f>
        <v>n/a</v>
      </c>
      <c r="BQ177" s="225" t="str">
        <f t="shared" ref="BQ177" si="2045">++IFERROR(BQ176/BQ157,"n/a")</f>
        <v>n/a</v>
      </c>
      <c r="BR177" s="225" t="str">
        <f t="shared" ref="BR177" si="2046">++IFERROR(BR176/BR157,"n/a")</f>
        <v>n/a</v>
      </c>
      <c r="BS177" s="214" t="str">
        <f t="shared" ref="BS177" si="2047">++IFERROR(BS176/BS157,"n/a")</f>
        <v>n/a</v>
      </c>
      <c r="BT177" s="225" t="str">
        <f t="shared" ref="BT177" si="2048">++IFERROR(BT176/BT157,"n/a")</f>
        <v>n/a</v>
      </c>
      <c r="BU177" s="225" t="str">
        <f t="shared" ref="BU177" si="2049">++IFERROR(BU176/BU157,"n/a")</f>
        <v>n/a</v>
      </c>
      <c r="BV177" s="225" t="str">
        <f t="shared" ref="BV177" si="2050">++IFERROR(BV176/BV157,"n/a")</f>
        <v>n/a</v>
      </c>
      <c r="BW177" s="225" t="str">
        <f t="shared" ref="BW177" si="2051">++IFERROR(BW176/BW157,"n/a")</f>
        <v>n/a</v>
      </c>
      <c r="BX177" s="225" t="str">
        <f t="shared" ref="BX177" si="2052">++IFERROR(BX176/BX157,"n/a")</f>
        <v>n/a</v>
      </c>
      <c r="BY177" s="225" t="str">
        <f t="shared" ref="BY177" si="2053">++IFERROR(BY176/BY157,"n/a")</f>
        <v>n/a</v>
      </c>
      <c r="BZ177" s="225" t="str">
        <f t="shared" ref="BZ177" si="2054">++IFERROR(BZ176/BZ157,"n/a")</f>
        <v>n/a</v>
      </c>
      <c r="CA177" s="225" t="str">
        <f t="shared" ref="CA177" si="2055">++IFERROR(CA176/CA157,"n/a")</f>
        <v>n/a</v>
      </c>
      <c r="CB177" s="225" t="str">
        <f t="shared" ref="CB177" si="2056">++IFERROR(CB176/CB157,"n/a")</f>
        <v>n/a</v>
      </c>
      <c r="CC177" s="225" t="str">
        <f t="shared" ref="CC177" si="2057">++IFERROR(CC176/CC157,"n/a")</f>
        <v>n/a</v>
      </c>
      <c r="CD177" s="225" t="str">
        <f t="shared" ref="CD177" si="2058">++IFERROR(CD176/CD157,"n/a")</f>
        <v>n/a</v>
      </c>
      <c r="CE177" s="214" t="str">
        <f t="shared" ref="CE177" si="2059">++IFERROR(CE176/CE157,"n/a")</f>
        <v>n/a</v>
      </c>
      <c r="CF177" s="225" t="str">
        <f t="shared" ref="CF177" si="2060">++IFERROR(CF176/CF157,"n/a")</f>
        <v>n/a</v>
      </c>
      <c r="CG177" s="225" t="str">
        <f t="shared" ref="CG177" si="2061">++IFERROR(CG176/CG157,"n/a")</f>
        <v>n/a</v>
      </c>
      <c r="CH177" s="225" t="str">
        <f t="shared" ref="CH177" si="2062">++IFERROR(CH176/CH157,"n/a")</f>
        <v>n/a</v>
      </c>
      <c r="CI177" s="225" t="str">
        <f t="shared" ref="CI177" si="2063">++IFERROR(CI176/CI157,"n/a")</f>
        <v>n/a</v>
      </c>
      <c r="CJ177" s="225" t="str">
        <f t="shared" ref="CJ177" si="2064">++IFERROR(CJ176/CJ157,"n/a")</f>
        <v>n/a</v>
      </c>
      <c r="CK177" s="225" t="str">
        <f t="shared" ref="CK177" si="2065">++IFERROR(CK176/CK157,"n/a")</f>
        <v>n/a</v>
      </c>
      <c r="CL177" s="225" t="str">
        <f t="shared" ref="CL177" si="2066">++IFERROR(CL176/CL157,"n/a")</f>
        <v>n/a</v>
      </c>
      <c r="CM177" s="225" t="str">
        <f t="shared" ref="CM177" si="2067">++IFERROR(CM176/CM157,"n/a")</f>
        <v>n/a</v>
      </c>
      <c r="CN177" s="225" t="str">
        <f t="shared" ref="CN177" si="2068">++IFERROR(CN176/CN157,"n/a")</f>
        <v>n/a</v>
      </c>
      <c r="CO177" s="225" t="str">
        <f t="shared" ref="CO177" si="2069">++IFERROR(CO176/CO157,"n/a")</f>
        <v>n/a</v>
      </c>
      <c r="CP177" s="225" t="str">
        <f t="shared" ref="CP177" si="2070">++IFERROR(CP176/CP157,"n/a")</f>
        <v>n/a</v>
      </c>
      <c r="CQ177" s="214" t="str">
        <f t="shared" ref="CQ177" si="2071">++IFERROR(CQ176/CQ157,"n/a")</f>
        <v>n/a</v>
      </c>
      <c r="CR177" s="225" t="str">
        <f t="shared" ref="CR177" si="2072">++IFERROR(CR176/CR157,"n/a")</f>
        <v>n/a</v>
      </c>
      <c r="CS177" s="225" t="str">
        <f t="shared" ref="CS177" si="2073">++IFERROR(CS176/CS157,"n/a")</f>
        <v>n/a</v>
      </c>
      <c r="CT177" s="225" t="str">
        <f t="shared" ref="CT177" si="2074">++IFERROR(CT176/CT157,"n/a")</f>
        <v>n/a</v>
      </c>
      <c r="CU177" s="225" t="str">
        <f t="shared" ref="CU177" si="2075">++IFERROR(CU176/CU157,"n/a")</f>
        <v>n/a</v>
      </c>
      <c r="CV177" s="225" t="str">
        <f t="shared" ref="CV177" si="2076">++IFERROR(CV176/CV157,"n/a")</f>
        <v>n/a</v>
      </c>
      <c r="CW177" s="225" t="str">
        <f t="shared" ref="CW177" si="2077">++IFERROR(CW176/CW157,"n/a")</f>
        <v>n/a</v>
      </c>
      <c r="CX177" s="225" t="str">
        <f t="shared" ref="CX177" si="2078">++IFERROR(CX176/CX157,"n/a")</f>
        <v>n/a</v>
      </c>
      <c r="CY177" s="225" t="str">
        <f t="shared" ref="CY177" si="2079">++IFERROR(CY176/CY157,"n/a")</f>
        <v>n/a</v>
      </c>
      <c r="CZ177" s="225" t="str">
        <f t="shared" ref="CZ177" si="2080">++IFERROR(CZ176/CZ157,"n/a")</f>
        <v>n/a</v>
      </c>
      <c r="DA177" s="225" t="str">
        <f t="shared" ref="DA177" si="2081">++IFERROR(DA176/DA157,"n/a")</f>
        <v>n/a</v>
      </c>
      <c r="DB177" s="225" t="str">
        <f t="shared" ref="DB177" si="2082">++IFERROR(DB176/DB157,"n/a")</f>
        <v>n/a</v>
      </c>
      <c r="DC177" s="214" t="str">
        <f t="shared" ref="DC177" si="2083">++IFERROR(DC176/DC157,"n/a")</f>
        <v>n/a</v>
      </c>
    </row>
    <row r="178" spans="3:107" x14ac:dyDescent="0.3">
      <c r="C178" s="321" t="str">
        <f>++C$31</f>
        <v>% y/y</v>
      </c>
      <c r="G178" s="122" t="s">
        <v>47</v>
      </c>
      <c r="H178" s="122" t="s">
        <v>47</v>
      </c>
      <c r="I178" s="122" t="s">
        <v>47</v>
      </c>
      <c r="J178" s="122" t="s">
        <v>47</v>
      </c>
      <c r="K178" s="214" t="str">
        <f>++IFERROR(K176/G176-1,"n/a")</f>
        <v>n/a</v>
      </c>
      <c r="L178" s="122" t="s">
        <v>47</v>
      </c>
      <c r="M178" s="122" t="s">
        <v>47</v>
      </c>
      <c r="N178" s="225" t="str">
        <f>++IFERROR(N176/H176-1,"n/a")</f>
        <v>n/a</v>
      </c>
      <c r="O178" s="122" t="s">
        <v>47</v>
      </c>
      <c r="P178" s="122" t="s">
        <v>47</v>
      </c>
      <c r="Q178" s="225" t="str">
        <f>++IFERROR(Q176/I176-1,"n/a")</f>
        <v>n/a</v>
      </c>
      <c r="R178" s="122" t="s">
        <v>47</v>
      </c>
      <c r="S178" s="122" t="s">
        <v>47</v>
      </c>
      <c r="T178" s="225" t="str">
        <f>++IFERROR(T176/J176-1,"n/a")</f>
        <v>n/a</v>
      </c>
      <c r="U178" s="122" t="s">
        <v>47</v>
      </c>
      <c r="V178" s="122" t="s">
        <v>47</v>
      </c>
      <c r="W178" s="214" t="str">
        <f t="shared" ref="W178:BB178" si="2084">++IFERROR(W176/K176-1,"n/a")</f>
        <v>n/a</v>
      </c>
      <c r="X178" s="225" t="str">
        <f t="shared" si="2084"/>
        <v>n/a</v>
      </c>
      <c r="Y178" s="225" t="str">
        <f t="shared" si="2084"/>
        <v>n/a</v>
      </c>
      <c r="Z178" s="225" t="str">
        <f t="shared" si="2084"/>
        <v>n/a</v>
      </c>
      <c r="AA178" s="225" t="str">
        <f t="shared" si="2084"/>
        <v>n/a</v>
      </c>
      <c r="AB178" s="225" t="str">
        <f t="shared" si="2084"/>
        <v>n/a</v>
      </c>
      <c r="AC178" s="225" t="str">
        <f t="shared" si="2084"/>
        <v>n/a</v>
      </c>
      <c r="AD178" s="225" t="str">
        <f t="shared" si="2084"/>
        <v>n/a</v>
      </c>
      <c r="AE178" s="225" t="str">
        <f t="shared" si="2084"/>
        <v>n/a</v>
      </c>
      <c r="AF178" s="225" t="str">
        <f t="shared" si="2084"/>
        <v>n/a</v>
      </c>
      <c r="AG178" s="225" t="str">
        <f t="shared" si="2084"/>
        <v>n/a</v>
      </c>
      <c r="AH178" s="225" t="str">
        <f t="shared" si="2084"/>
        <v>n/a</v>
      </c>
      <c r="AI178" s="214" t="str">
        <f t="shared" si="2084"/>
        <v>n/a</v>
      </c>
      <c r="AJ178" s="225" t="str">
        <f t="shared" si="2084"/>
        <v>n/a</v>
      </c>
      <c r="AK178" s="225" t="str">
        <f t="shared" si="2084"/>
        <v>n/a</v>
      </c>
      <c r="AL178" s="225" t="str">
        <f t="shared" si="2084"/>
        <v>n/a</v>
      </c>
      <c r="AM178" s="225" t="str">
        <f t="shared" si="2084"/>
        <v>n/a</v>
      </c>
      <c r="AN178" s="225" t="str">
        <f t="shared" si="2084"/>
        <v>n/a</v>
      </c>
      <c r="AO178" s="225" t="str">
        <f t="shared" si="2084"/>
        <v>n/a</v>
      </c>
      <c r="AP178" s="225" t="str">
        <f t="shared" si="2084"/>
        <v>n/a</v>
      </c>
      <c r="AQ178" s="225" t="str">
        <f t="shared" si="2084"/>
        <v>n/a</v>
      </c>
      <c r="AR178" s="225" t="str">
        <f t="shared" si="2084"/>
        <v>n/a</v>
      </c>
      <c r="AS178" s="225" t="str">
        <f t="shared" si="2084"/>
        <v>n/a</v>
      </c>
      <c r="AT178" s="225" t="str">
        <f t="shared" si="2084"/>
        <v>n/a</v>
      </c>
      <c r="AU178" s="214" t="str">
        <f t="shared" si="2084"/>
        <v>n/a</v>
      </c>
      <c r="AV178" s="225" t="str">
        <f t="shared" si="2084"/>
        <v>n/a</v>
      </c>
      <c r="AW178" s="225" t="str">
        <f t="shared" si="2084"/>
        <v>n/a</v>
      </c>
      <c r="AX178" s="225" t="str">
        <f t="shared" si="2084"/>
        <v>n/a</v>
      </c>
      <c r="AY178" s="225" t="str">
        <f t="shared" si="2084"/>
        <v>n/a</v>
      </c>
      <c r="AZ178" s="225" t="str">
        <f t="shared" si="2084"/>
        <v>n/a</v>
      </c>
      <c r="BA178" s="225" t="str">
        <f t="shared" si="2084"/>
        <v>n/a</v>
      </c>
      <c r="BB178" s="225" t="str">
        <f t="shared" si="2084"/>
        <v>n/a</v>
      </c>
      <c r="BC178" s="225" t="str">
        <f t="shared" ref="BC178:CH178" si="2085">++IFERROR(BC176/AQ176-1,"n/a")</f>
        <v>n/a</v>
      </c>
      <c r="BD178" s="225" t="str">
        <f t="shared" si="2085"/>
        <v>n/a</v>
      </c>
      <c r="BE178" s="225" t="str">
        <f t="shared" si="2085"/>
        <v>n/a</v>
      </c>
      <c r="BF178" s="225" t="str">
        <f t="shared" si="2085"/>
        <v>n/a</v>
      </c>
      <c r="BG178" s="214" t="str">
        <f t="shared" si="2085"/>
        <v>n/a</v>
      </c>
      <c r="BH178" s="225" t="str">
        <f t="shared" si="2085"/>
        <v>n/a</v>
      </c>
      <c r="BI178" s="225" t="str">
        <f t="shared" si="2085"/>
        <v>n/a</v>
      </c>
      <c r="BJ178" s="225" t="str">
        <f t="shared" si="2085"/>
        <v>n/a</v>
      </c>
      <c r="BK178" s="225" t="str">
        <f t="shared" si="2085"/>
        <v>n/a</v>
      </c>
      <c r="BL178" s="225" t="str">
        <f t="shared" si="2085"/>
        <v>n/a</v>
      </c>
      <c r="BM178" s="225" t="str">
        <f t="shared" si="2085"/>
        <v>n/a</v>
      </c>
      <c r="BN178" s="225" t="str">
        <f t="shared" si="2085"/>
        <v>n/a</v>
      </c>
      <c r="BO178" s="225" t="str">
        <f t="shared" si="2085"/>
        <v>n/a</v>
      </c>
      <c r="BP178" s="225" t="str">
        <f t="shared" si="2085"/>
        <v>n/a</v>
      </c>
      <c r="BQ178" s="225" t="str">
        <f t="shared" si="2085"/>
        <v>n/a</v>
      </c>
      <c r="BR178" s="225" t="str">
        <f t="shared" si="2085"/>
        <v>n/a</v>
      </c>
      <c r="BS178" s="214" t="str">
        <f t="shared" si="2085"/>
        <v>n/a</v>
      </c>
      <c r="BT178" s="225" t="str">
        <f t="shared" si="2085"/>
        <v>n/a</v>
      </c>
      <c r="BU178" s="225" t="str">
        <f t="shared" si="2085"/>
        <v>n/a</v>
      </c>
      <c r="BV178" s="225" t="str">
        <f t="shared" si="2085"/>
        <v>n/a</v>
      </c>
      <c r="BW178" s="225" t="str">
        <f t="shared" si="2085"/>
        <v>n/a</v>
      </c>
      <c r="BX178" s="225" t="str">
        <f t="shared" si="2085"/>
        <v>n/a</v>
      </c>
      <c r="BY178" s="225" t="str">
        <f t="shared" si="2085"/>
        <v>n/a</v>
      </c>
      <c r="BZ178" s="225" t="str">
        <f t="shared" si="2085"/>
        <v>n/a</v>
      </c>
      <c r="CA178" s="225" t="str">
        <f t="shared" si="2085"/>
        <v>n/a</v>
      </c>
      <c r="CB178" s="225" t="str">
        <f t="shared" si="2085"/>
        <v>n/a</v>
      </c>
      <c r="CC178" s="225" t="str">
        <f t="shared" si="2085"/>
        <v>n/a</v>
      </c>
      <c r="CD178" s="225" t="str">
        <f t="shared" si="2085"/>
        <v>n/a</v>
      </c>
      <c r="CE178" s="214" t="str">
        <f t="shared" si="2085"/>
        <v>n/a</v>
      </c>
      <c r="CF178" s="225" t="str">
        <f t="shared" si="2085"/>
        <v>n/a</v>
      </c>
      <c r="CG178" s="225" t="str">
        <f t="shared" si="2085"/>
        <v>n/a</v>
      </c>
      <c r="CH178" s="225" t="str">
        <f t="shared" si="2085"/>
        <v>n/a</v>
      </c>
      <c r="CI178" s="225" t="str">
        <f t="shared" ref="CI178:DN178" si="2086">++IFERROR(CI176/BW176-1,"n/a")</f>
        <v>n/a</v>
      </c>
      <c r="CJ178" s="225" t="str">
        <f t="shared" si="2086"/>
        <v>n/a</v>
      </c>
      <c r="CK178" s="225" t="str">
        <f t="shared" si="2086"/>
        <v>n/a</v>
      </c>
      <c r="CL178" s="225" t="str">
        <f t="shared" si="2086"/>
        <v>n/a</v>
      </c>
      <c r="CM178" s="225" t="str">
        <f t="shared" si="2086"/>
        <v>n/a</v>
      </c>
      <c r="CN178" s="225" t="str">
        <f t="shared" si="2086"/>
        <v>n/a</v>
      </c>
      <c r="CO178" s="225" t="str">
        <f t="shared" si="2086"/>
        <v>n/a</v>
      </c>
      <c r="CP178" s="225" t="str">
        <f t="shared" si="2086"/>
        <v>n/a</v>
      </c>
      <c r="CQ178" s="214" t="str">
        <f t="shared" si="2086"/>
        <v>n/a</v>
      </c>
      <c r="CR178" s="225" t="str">
        <f t="shared" si="2086"/>
        <v>n/a</v>
      </c>
      <c r="CS178" s="225" t="str">
        <f t="shared" si="2086"/>
        <v>n/a</v>
      </c>
      <c r="CT178" s="225" t="str">
        <f t="shared" si="2086"/>
        <v>n/a</v>
      </c>
      <c r="CU178" s="225" t="str">
        <f t="shared" si="2086"/>
        <v>n/a</v>
      </c>
      <c r="CV178" s="225" t="str">
        <f t="shared" si="2086"/>
        <v>n/a</v>
      </c>
      <c r="CW178" s="225" t="str">
        <f t="shared" si="2086"/>
        <v>n/a</v>
      </c>
      <c r="CX178" s="225" t="str">
        <f t="shared" si="2086"/>
        <v>n/a</v>
      </c>
      <c r="CY178" s="225" t="str">
        <f t="shared" si="2086"/>
        <v>n/a</v>
      </c>
      <c r="CZ178" s="225" t="str">
        <f t="shared" si="2086"/>
        <v>n/a</v>
      </c>
      <c r="DA178" s="225" t="str">
        <f t="shared" si="2086"/>
        <v>n/a</v>
      </c>
      <c r="DB178" s="225" t="str">
        <f t="shared" si="2086"/>
        <v>n/a</v>
      </c>
      <c r="DC178" s="214" t="str">
        <f t="shared" si="2086"/>
        <v>n/a</v>
      </c>
    </row>
    <row r="179" spans="3:107" x14ac:dyDescent="0.3">
      <c r="G179" s="203"/>
      <c r="K179" s="203"/>
      <c r="W179" s="203"/>
      <c r="AI179" s="203"/>
      <c r="AU179" s="203"/>
      <c r="BG179" s="203"/>
      <c r="BS179" s="203"/>
      <c r="CE179" s="203"/>
      <c r="CQ179" s="203"/>
      <c r="DC179" s="203"/>
    </row>
    <row r="180" spans="3:107" x14ac:dyDescent="0.3">
      <c r="C180" s="101" t="str">
        <f>++C$33</f>
        <v>Tax Expense (Benefit)</v>
      </c>
      <c r="G180" s="45">
        <v>0</v>
      </c>
      <c r="H180" s="45">
        <v>0</v>
      </c>
      <c r="I180" s="45">
        <v>0</v>
      </c>
      <c r="J180" s="45">
        <v>0</v>
      </c>
      <c r="K180" s="45">
        <v>0</v>
      </c>
      <c r="L180" s="45">
        <v>0</v>
      </c>
      <c r="M180" s="45">
        <v>0</v>
      </c>
      <c r="N180" s="45">
        <v>0</v>
      </c>
      <c r="O180" s="45">
        <v>0</v>
      </c>
      <c r="P180" s="45">
        <v>0</v>
      </c>
      <c r="Q180" s="45">
        <v>0</v>
      </c>
      <c r="R180" s="45">
        <v>0</v>
      </c>
      <c r="S180" s="45">
        <v>0</v>
      </c>
      <c r="T180" s="45">
        <v>0</v>
      </c>
      <c r="U180" s="45">
        <v>0</v>
      </c>
      <c r="V180" s="45">
        <v>0</v>
      </c>
      <c r="W180" s="45">
        <v>0</v>
      </c>
      <c r="X180" s="45">
        <v>0</v>
      </c>
      <c r="Y180" s="45">
        <v>0</v>
      </c>
      <c r="Z180" s="45">
        <v>0</v>
      </c>
      <c r="AA180" s="45">
        <v>0</v>
      </c>
      <c r="AB180" s="45">
        <v>0</v>
      </c>
      <c r="AC180" s="45">
        <v>0</v>
      </c>
      <c r="AD180" s="45">
        <v>0</v>
      </c>
      <c r="AE180" s="45">
        <v>0</v>
      </c>
      <c r="AF180" s="45">
        <v>0</v>
      </c>
      <c r="AG180" s="45">
        <v>0</v>
      </c>
      <c r="AH180" s="45">
        <v>0</v>
      </c>
      <c r="AI180" s="45">
        <v>0</v>
      </c>
      <c r="AJ180" s="45">
        <v>0</v>
      </c>
      <c r="AK180" s="45">
        <v>0</v>
      </c>
      <c r="AL180" s="45">
        <v>0</v>
      </c>
      <c r="AM180" s="45">
        <v>0</v>
      </c>
      <c r="AN180" s="45">
        <v>0</v>
      </c>
      <c r="AO180" s="45">
        <v>0</v>
      </c>
      <c r="AP180" s="45">
        <v>0</v>
      </c>
      <c r="AQ180" s="45">
        <v>0</v>
      </c>
      <c r="AR180" s="45">
        <v>0</v>
      </c>
      <c r="AS180" s="45">
        <v>0</v>
      </c>
      <c r="AT180" s="45">
        <v>0</v>
      </c>
      <c r="AU180" s="45">
        <v>0</v>
      </c>
      <c r="AV180" s="45">
        <v>0</v>
      </c>
      <c r="AW180" s="45">
        <v>0</v>
      </c>
      <c r="AX180" s="45">
        <v>0</v>
      </c>
      <c r="AY180" s="45">
        <v>0</v>
      </c>
      <c r="AZ180" s="45">
        <v>0</v>
      </c>
      <c r="BA180" s="45">
        <v>0</v>
      </c>
      <c r="BB180" s="45">
        <v>0</v>
      </c>
      <c r="BC180" s="45">
        <v>0</v>
      </c>
      <c r="BD180" s="45">
        <v>0</v>
      </c>
      <c r="BE180" s="45">
        <v>0</v>
      </c>
      <c r="BF180" s="45">
        <v>0</v>
      </c>
      <c r="BG180" s="45">
        <v>0</v>
      </c>
      <c r="BH180" s="45">
        <v>0</v>
      </c>
      <c r="BI180" s="45">
        <v>0</v>
      </c>
      <c r="BJ180" s="45">
        <v>0</v>
      </c>
      <c r="BK180" s="45">
        <v>0</v>
      </c>
      <c r="BL180" s="45">
        <v>0</v>
      </c>
      <c r="BM180" s="45">
        <v>0</v>
      </c>
      <c r="BN180" s="45">
        <v>0</v>
      </c>
      <c r="BO180" s="45">
        <v>0</v>
      </c>
      <c r="BP180" s="45">
        <v>0</v>
      </c>
      <c r="BQ180" s="45">
        <v>0</v>
      </c>
      <c r="BR180" s="45">
        <v>0</v>
      </c>
      <c r="BS180" s="45">
        <v>0</v>
      </c>
      <c r="BT180" s="45">
        <v>0</v>
      </c>
      <c r="BU180" s="45">
        <v>0</v>
      </c>
      <c r="BV180" s="45">
        <v>0</v>
      </c>
      <c r="BW180" s="45">
        <v>0</v>
      </c>
      <c r="BX180" s="45">
        <v>0</v>
      </c>
      <c r="BY180" s="45">
        <v>0</v>
      </c>
      <c r="BZ180" s="45">
        <v>0</v>
      </c>
      <c r="CA180" s="45">
        <v>0</v>
      </c>
      <c r="CB180" s="45">
        <v>0</v>
      </c>
      <c r="CC180" s="45">
        <v>0</v>
      </c>
      <c r="CD180" s="45">
        <v>0</v>
      </c>
      <c r="CE180" s="45">
        <v>0</v>
      </c>
      <c r="CF180" s="45">
        <v>0</v>
      </c>
      <c r="CG180" s="45">
        <v>0</v>
      </c>
      <c r="CH180" s="45">
        <v>0</v>
      </c>
      <c r="CI180" s="45">
        <v>0</v>
      </c>
      <c r="CJ180" s="45">
        <v>0</v>
      </c>
      <c r="CK180" s="45">
        <v>0</v>
      </c>
      <c r="CL180" s="45">
        <v>0</v>
      </c>
      <c r="CM180" s="45">
        <v>0</v>
      </c>
      <c r="CN180" s="45">
        <v>0</v>
      </c>
      <c r="CO180" s="45">
        <v>0</v>
      </c>
      <c r="CP180" s="45">
        <v>0</v>
      </c>
      <c r="CQ180" s="45">
        <v>0</v>
      </c>
      <c r="CR180" s="45">
        <v>0</v>
      </c>
      <c r="CS180" s="45">
        <v>0</v>
      </c>
      <c r="CT180" s="45">
        <v>0</v>
      </c>
      <c r="CU180" s="45">
        <v>0</v>
      </c>
      <c r="CV180" s="45">
        <v>0</v>
      </c>
      <c r="CW180" s="45">
        <v>0</v>
      </c>
      <c r="CX180" s="45">
        <v>0</v>
      </c>
      <c r="CY180" s="45">
        <v>0</v>
      </c>
      <c r="CZ180" s="45">
        <v>0</v>
      </c>
      <c r="DA180" s="45">
        <v>0</v>
      </c>
      <c r="DB180" s="45">
        <v>0</v>
      </c>
      <c r="DC180" s="45">
        <v>0</v>
      </c>
    </row>
    <row r="181" spans="3:107" x14ac:dyDescent="0.3">
      <c r="C181" s="321" t="str">
        <f>++C$34</f>
        <v>% effective rate</v>
      </c>
      <c r="G181" s="214" t="str">
        <f>++IFERROR(G180/G176,"n/a")</f>
        <v>n/a</v>
      </c>
      <c r="H181" s="225" t="str">
        <f t="shared" ref="H181" si="2087">++IFERROR(H180/H176,"n/a")</f>
        <v>n/a</v>
      </c>
      <c r="I181" s="225" t="str">
        <f t="shared" ref="I181" si="2088">++IFERROR(I180/I176,"n/a")</f>
        <v>n/a</v>
      </c>
      <c r="J181" s="225" t="str">
        <f t="shared" ref="J181" si="2089">++IFERROR(J180/J176,"n/a")</f>
        <v>n/a</v>
      </c>
      <c r="K181" s="214" t="str">
        <f t="shared" ref="K181" si="2090">++IFERROR(K180/K176,"n/a")</f>
        <v>n/a</v>
      </c>
      <c r="L181" s="225" t="str">
        <f t="shared" ref="L181" si="2091">++IFERROR(L180/L176,"n/a")</f>
        <v>n/a</v>
      </c>
      <c r="M181" s="225" t="str">
        <f t="shared" ref="M181" si="2092">++IFERROR(M180/M176,"n/a")</f>
        <v>n/a</v>
      </c>
      <c r="N181" s="225" t="str">
        <f t="shared" ref="N181" si="2093">++IFERROR(N180/N176,"n/a")</f>
        <v>n/a</v>
      </c>
      <c r="O181" s="225" t="str">
        <f t="shared" ref="O181" si="2094">++IFERROR(O180/O176,"n/a")</f>
        <v>n/a</v>
      </c>
      <c r="P181" s="225" t="str">
        <f t="shared" ref="P181" si="2095">++IFERROR(P180/P176,"n/a")</f>
        <v>n/a</v>
      </c>
      <c r="Q181" s="225" t="str">
        <f t="shared" ref="Q181" si="2096">++IFERROR(Q180/Q176,"n/a")</f>
        <v>n/a</v>
      </c>
      <c r="R181" s="225" t="str">
        <f t="shared" ref="R181" si="2097">++IFERROR(R180/R176,"n/a")</f>
        <v>n/a</v>
      </c>
      <c r="S181" s="225" t="str">
        <f t="shared" ref="S181" si="2098">++IFERROR(S180/S176,"n/a")</f>
        <v>n/a</v>
      </c>
      <c r="T181" s="225" t="str">
        <f t="shared" ref="T181" si="2099">++IFERROR(T180/T176,"n/a")</f>
        <v>n/a</v>
      </c>
      <c r="U181" s="225" t="str">
        <f t="shared" ref="U181" si="2100">++IFERROR(U180/U176,"n/a")</f>
        <v>n/a</v>
      </c>
      <c r="V181" s="225" t="str">
        <f t="shared" ref="V181" si="2101">++IFERROR(V180/V176,"n/a")</f>
        <v>n/a</v>
      </c>
      <c r="W181" s="214" t="str">
        <f t="shared" ref="W181" si="2102">++IFERROR(W180/W176,"n/a")</f>
        <v>n/a</v>
      </c>
      <c r="X181" s="225" t="str">
        <f t="shared" ref="X181" si="2103">++IFERROR(X180/X176,"n/a")</f>
        <v>n/a</v>
      </c>
      <c r="Y181" s="225" t="str">
        <f t="shared" ref="Y181" si="2104">++IFERROR(Y180/Y176,"n/a")</f>
        <v>n/a</v>
      </c>
      <c r="Z181" s="225" t="str">
        <f t="shared" ref="Z181" si="2105">++IFERROR(Z180/Z176,"n/a")</f>
        <v>n/a</v>
      </c>
      <c r="AA181" s="225" t="str">
        <f t="shared" ref="AA181" si="2106">++IFERROR(AA180/AA176,"n/a")</f>
        <v>n/a</v>
      </c>
      <c r="AB181" s="225" t="str">
        <f t="shared" ref="AB181" si="2107">++IFERROR(AB180/AB176,"n/a")</f>
        <v>n/a</v>
      </c>
      <c r="AC181" s="225" t="str">
        <f t="shared" ref="AC181" si="2108">++IFERROR(AC180/AC176,"n/a")</f>
        <v>n/a</v>
      </c>
      <c r="AD181" s="225" t="str">
        <f t="shared" ref="AD181" si="2109">++IFERROR(AD180/AD176,"n/a")</f>
        <v>n/a</v>
      </c>
      <c r="AE181" s="225" t="str">
        <f t="shared" ref="AE181" si="2110">++IFERROR(AE180/AE176,"n/a")</f>
        <v>n/a</v>
      </c>
      <c r="AF181" s="225" t="str">
        <f t="shared" ref="AF181" si="2111">++IFERROR(AF180/AF176,"n/a")</f>
        <v>n/a</v>
      </c>
      <c r="AG181" s="225" t="str">
        <f t="shared" ref="AG181" si="2112">++IFERROR(AG180/AG176,"n/a")</f>
        <v>n/a</v>
      </c>
      <c r="AH181" s="225" t="str">
        <f t="shared" ref="AH181" si="2113">++IFERROR(AH180/AH176,"n/a")</f>
        <v>n/a</v>
      </c>
      <c r="AI181" s="214" t="str">
        <f t="shared" ref="AI181" si="2114">++IFERROR(AI180/AI176,"n/a")</f>
        <v>n/a</v>
      </c>
      <c r="AJ181" s="225" t="str">
        <f t="shared" ref="AJ181" si="2115">++IFERROR(AJ180/AJ176,"n/a")</f>
        <v>n/a</v>
      </c>
      <c r="AK181" s="225" t="str">
        <f t="shared" ref="AK181" si="2116">++IFERROR(AK180/AK176,"n/a")</f>
        <v>n/a</v>
      </c>
      <c r="AL181" s="225" t="str">
        <f t="shared" ref="AL181" si="2117">++IFERROR(AL180/AL176,"n/a")</f>
        <v>n/a</v>
      </c>
      <c r="AM181" s="225" t="str">
        <f t="shared" ref="AM181" si="2118">++IFERROR(AM180/AM176,"n/a")</f>
        <v>n/a</v>
      </c>
      <c r="AN181" s="225" t="str">
        <f t="shared" ref="AN181" si="2119">++IFERROR(AN180/AN176,"n/a")</f>
        <v>n/a</v>
      </c>
      <c r="AO181" s="225" t="str">
        <f t="shared" ref="AO181" si="2120">++IFERROR(AO180/AO176,"n/a")</f>
        <v>n/a</v>
      </c>
      <c r="AP181" s="225" t="str">
        <f t="shared" ref="AP181" si="2121">++IFERROR(AP180/AP176,"n/a")</f>
        <v>n/a</v>
      </c>
      <c r="AQ181" s="225" t="str">
        <f t="shared" ref="AQ181" si="2122">++IFERROR(AQ180/AQ176,"n/a")</f>
        <v>n/a</v>
      </c>
      <c r="AR181" s="225" t="str">
        <f t="shared" ref="AR181" si="2123">++IFERROR(AR180/AR176,"n/a")</f>
        <v>n/a</v>
      </c>
      <c r="AS181" s="225" t="str">
        <f t="shared" ref="AS181" si="2124">++IFERROR(AS180/AS176,"n/a")</f>
        <v>n/a</v>
      </c>
      <c r="AT181" s="225" t="str">
        <f t="shared" ref="AT181" si="2125">++IFERROR(AT180/AT176,"n/a")</f>
        <v>n/a</v>
      </c>
      <c r="AU181" s="214" t="str">
        <f t="shared" ref="AU181" si="2126">++IFERROR(AU180/AU176,"n/a")</f>
        <v>n/a</v>
      </c>
      <c r="AV181" s="225" t="str">
        <f t="shared" ref="AV181" si="2127">++IFERROR(AV180/AV176,"n/a")</f>
        <v>n/a</v>
      </c>
      <c r="AW181" s="225" t="str">
        <f t="shared" ref="AW181" si="2128">++IFERROR(AW180/AW176,"n/a")</f>
        <v>n/a</v>
      </c>
      <c r="AX181" s="225" t="str">
        <f t="shared" ref="AX181" si="2129">++IFERROR(AX180/AX176,"n/a")</f>
        <v>n/a</v>
      </c>
      <c r="AY181" s="225" t="str">
        <f t="shared" ref="AY181" si="2130">++IFERROR(AY180/AY176,"n/a")</f>
        <v>n/a</v>
      </c>
      <c r="AZ181" s="225" t="str">
        <f t="shared" ref="AZ181" si="2131">++IFERROR(AZ180/AZ176,"n/a")</f>
        <v>n/a</v>
      </c>
      <c r="BA181" s="225" t="str">
        <f t="shared" ref="BA181" si="2132">++IFERROR(BA180/BA176,"n/a")</f>
        <v>n/a</v>
      </c>
      <c r="BB181" s="225" t="str">
        <f t="shared" ref="BB181" si="2133">++IFERROR(BB180/BB176,"n/a")</f>
        <v>n/a</v>
      </c>
      <c r="BC181" s="225" t="str">
        <f t="shared" ref="BC181" si="2134">++IFERROR(BC180/BC176,"n/a")</f>
        <v>n/a</v>
      </c>
      <c r="BD181" s="225" t="str">
        <f t="shared" ref="BD181" si="2135">++IFERROR(BD180/BD176,"n/a")</f>
        <v>n/a</v>
      </c>
      <c r="BE181" s="225" t="str">
        <f t="shared" ref="BE181" si="2136">++IFERROR(BE180/BE176,"n/a")</f>
        <v>n/a</v>
      </c>
      <c r="BF181" s="225" t="str">
        <f t="shared" ref="BF181" si="2137">++IFERROR(BF180/BF176,"n/a")</f>
        <v>n/a</v>
      </c>
      <c r="BG181" s="214" t="str">
        <f t="shared" ref="BG181" si="2138">++IFERROR(BG180/BG176,"n/a")</f>
        <v>n/a</v>
      </c>
      <c r="BH181" s="225" t="str">
        <f t="shared" ref="BH181" si="2139">++IFERROR(BH180/BH176,"n/a")</f>
        <v>n/a</v>
      </c>
      <c r="BI181" s="225" t="str">
        <f t="shared" ref="BI181" si="2140">++IFERROR(BI180/BI176,"n/a")</f>
        <v>n/a</v>
      </c>
      <c r="BJ181" s="225" t="str">
        <f t="shared" ref="BJ181" si="2141">++IFERROR(BJ180/BJ176,"n/a")</f>
        <v>n/a</v>
      </c>
      <c r="BK181" s="225" t="str">
        <f t="shared" ref="BK181" si="2142">++IFERROR(BK180/BK176,"n/a")</f>
        <v>n/a</v>
      </c>
      <c r="BL181" s="225" t="str">
        <f t="shared" ref="BL181" si="2143">++IFERROR(BL180/BL176,"n/a")</f>
        <v>n/a</v>
      </c>
      <c r="BM181" s="225" t="str">
        <f t="shared" ref="BM181" si="2144">++IFERROR(BM180/BM176,"n/a")</f>
        <v>n/a</v>
      </c>
      <c r="BN181" s="225" t="str">
        <f t="shared" ref="BN181" si="2145">++IFERROR(BN180/BN176,"n/a")</f>
        <v>n/a</v>
      </c>
      <c r="BO181" s="225" t="str">
        <f t="shared" ref="BO181" si="2146">++IFERROR(BO180/BO176,"n/a")</f>
        <v>n/a</v>
      </c>
      <c r="BP181" s="225" t="str">
        <f t="shared" ref="BP181" si="2147">++IFERROR(BP180/BP176,"n/a")</f>
        <v>n/a</v>
      </c>
      <c r="BQ181" s="225" t="str">
        <f t="shared" ref="BQ181" si="2148">++IFERROR(BQ180/BQ176,"n/a")</f>
        <v>n/a</v>
      </c>
      <c r="BR181" s="225" t="str">
        <f t="shared" ref="BR181" si="2149">++IFERROR(BR180/BR176,"n/a")</f>
        <v>n/a</v>
      </c>
      <c r="BS181" s="214" t="str">
        <f t="shared" ref="BS181" si="2150">++IFERROR(BS180/BS176,"n/a")</f>
        <v>n/a</v>
      </c>
      <c r="BT181" s="225" t="str">
        <f t="shared" ref="BT181" si="2151">++IFERROR(BT180/BT176,"n/a")</f>
        <v>n/a</v>
      </c>
      <c r="BU181" s="225" t="str">
        <f t="shared" ref="BU181" si="2152">++IFERROR(BU180/BU176,"n/a")</f>
        <v>n/a</v>
      </c>
      <c r="BV181" s="225" t="str">
        <f t="shared" ref="BV181" si="2153">++IFERROR(BV180/BV176,"n/a")</f>
        <v>n/a</v>
      </c>
      <c r="BW181" s="225" t="str">
        <f t="shared" ref="BW181" si="2154">++IFERROR(BW180/BW176,"n/a")</f>
        <v>n/a</v>
      </c>
      <c r="BX181" s="225" t="str">
        <f t="shared" ref="BX181" si="2155">++IFERROR(BX180/BX176,"n/a")</f>
        <v>n/a</v>
      </c>
      <c r="BY181" s="225" t="str">
        <f t="shared" ref="BY181" si="2156">++IFERROR(BY180/BY176,"n/a")</f>
        <v>n/a</v>
      </c>
      <c r="BZ181" s="225" t="str">
        <f t="shared" ref="BZ181" si="2157">++IFERROR(BZ180/BZ176,"n/a")</f>
        <v>n/a</v>
      </c>
      <c r="CA181" s="225" t="str">
        <f t="shared" ref="CA181" si="2158">++IFERROR(CA180/CA176,"n/a")</f>
        <v>n/a</v>
      </c>
      <c r="CB181" s="225" t="str">
        <f t="shared" ref="CB181" si="2159">++IFERROR(CB180/CB176,"n/a")</f>
        <v>n/a</v>
      </c>
      <c r="CC181" s="225" t="str">
        <f t="shared" ref="CC181" si="2160">++IFERROR(CC180/CC176,"n/a")</f>
        <v>n/a</v>
      </c>
      <c r="CD181" s="225" t="str">
        <f t="shared" ref="CD181" si="2161">++IFERROR(CD180/CD176,"n/a")</f>
        <v>n/a</v>
      </c>
      <c r="CE181" s="214" t="str">
        <f t="shared" ref="CE181" si="2162">++IFERROR(CE180/CE176,"n/a")</f>
        <v>n/a</v>
      </c>
      <c r="CF181" s="225" t="str">
        <f t="shared" ref="CF181" si="2163">++IFERROR(CF180/CF176,"n/a")</f>
        <v>n/a</v>
      </c>
      <c r="CG181" s="225" t="str">
        <f t="shared" ref="CG181" si="2164">++IFERROR(CG180/CG176,"n/a")</f>
        <v>n/a</v>
      </c>
      <c r="CH181" s="225" t="str">
        <f t="shared" ref="CH181" si="2165">++IFERROR(CH180/CH176,"n/a")</f>
        <v>n/a</v>
      </c>
      <c r="CI181" s="225" t="str">
        <f t="shared" ref="CI181" si="2166">++IFERROR(CI180/CI176,"n/a")</f>
        <v>n/a</v>
      </c>
      <c r="CJ181" s="225" t="str">
        <f t="shared" ref="CJ181" si="2167">++IFERROR(CJ180/CJ176,"n/a")</f>
        <v>n/a</v>
      </c>
      <c r="CK181" s="225" t="str">
        <f t="shared" ref="CK181" si="2168">++IFERROR(CK180/CK176,"n/a")</f>
        <v>n/a</v>
      </c>
      <c r="CL181" s="225" t="str">
        <f t="shared" ref="CL181" si="2169">++IFERROR(CL180/CL176,"n/a")</f>
        <v>n/a</v>
      </c>
      <c r="CM181" s="225" t="str">
        <f t="shared" ref="CM181" si="2170">++IFERROR(CM180/CM176,"n/a")</f>
        <v>n/a</v>
      </c>
      <c r="CN181" s="225" t="str">
        <f t="shared" ref="CN181" si="2171">++IFERROR(CN180/CN176,"n/a")</f>
        <v>n/a</v>
      </c>
      <c r="CO181" s="225" t="str">
        <f t="shared" ref="CO181" si="2172">++IFERROR(CO180/CO176,"n/a")</f>
        <v>n/a</v>
      </c>
      <c r="CP181" s="225" t="str">
        <f t="shared" ref="CP181" si="2173">++IFERROR(CP180/CP176,"n/a")</f>
        <v>n/a</v>
      </c>
      <c r="CQ181" s="214" t="str">
        <f t="shared" ref="CQ181" si="2174">++IFERROR(CQ180/CQ176,"n/a")</f>
        <v>n/a</v>
      </c>
      <c r="CR181" s="225" t="str">
        <f t="shared" ref="CR181" si="2175">++IFERROR(CR180/CR176,"n/a")</f>
        <v>n/a</v>
      </c>
      <c r="CS181" s="225" t="str">
        <f t="shared" ref="CS181" si="2176">++IFERROR(CS180/CS176,"n/a")</f>
        <v>n/a</v>
      </c>
      <c r="CT181" s="225" t="str">
        <f t="shared" ref="CT181" si="2177">++IFERROR(CT180/CT176,"n/a")</f>
        <v>n/a</v>
      </c>
      <c r="CU181" s="225" t="str">
        <f t="shared" ref="CU181" si="2178">++IFERROR(CU180/CU176,"n/a")</f>
        <v>n/a</v>
      </c>
      <c r="CV181" s="225" t="str">
        <f t="shared" ref="CV181" si="2179">++IFERROR(CV180/CV176,"n/a")</f>
        <v>n/a</v>
      </c>
      <c r="CW181" s="225" t="str">
        <f t="shared" ref="CW181" si="2180">++IFERROR(CW180/CW176,"n/a")</f>
        <v>n/a</v>
      </c>
      <c r="CX181" s="225" t="str">
        <f t="shared" ref="CX181" si="2181">++IFERROR(CX180/CX176,"n/a")</f>
        <v>n/a</v>
      </c>
      <c r="CY181" s="225" t="str">
        <f t="shared" ref="CY181" si="2182">++IFERROR(CY180/CY176,"n/a")</f>
        <v>n/a</v>
      </c>
      <c r="CZ181" s="225" t="str">
        <f t="shared" ref="CZ181" si="2183">++IFERROR(CZ180/CZ176,"n/a")</f>
        <v>n/a</v>
      </c>
      <c r="DA181" s="225" t="str">
        <f t="shared" ref="DA181" si="2184">++IFERROR(DA180/DA176,"n/a")</f>
        <v>n/a</v>
      </c>
      <c r="DB181" s="225" t="str">
        <f t="shared" ref="DB181" si="2185">++IFERROR(DB180/DB176,"n/a")</f>
        <v>n/a</v>
      </c>
      <c r="DC181" s="214" t="str">
        <f t="shared" ref="DC181" si="2186">++IFERROR(DC180/DC176,"n/a")</f>
        <v>n/a</v>
      </c>
    </row>
    <row r="182" spans="3:107" x14ac:dyDescent="0.3">
      <c r="G182" s="203"/>
      <c r="K182" s="203"/>
      <c r="W182" s="203"/>
      <c r="AI182" s="203"/>
      <c r="AU182" s="203"/>
      <c r="BG182" s="203"/>
      <c r="BS182" s="203"/>
      <c r="CE182" s="203"/>
      <c r="CQ182" s="203"/>
      <c r="DC182" s="203"/>
    </row>
    <row r="183" spans="3:107" ht="13.5" thickBot="1" x14ac:dyDescent="0.35">
      <c r="C183" s="369" t="str">
        <f>++C$36</f>
        <v>Net Income</v>
      </c>
      <c r="D183" s="370"/>
      <c r="E183" s="370"/>
      <c r="G183" s="435">
        <f>++G36</f>
        <v>0</v>
      </c>
      <c r="H183" s="435">
        <f t="shared" ref="H183:BS183" si="2187">++H36</f>
        <v>0</v>
      </c>
      <c r="I183" s="435">
        <f t="shared" si="2187"/>
        <v>0</v>
      </c>
      <c r="J183" s="435">
        <f t="shared" si="2187"/>
        <v>0</v>
      </c>
      <c r="K183" s="435">
        <f t="shared" si="2187"/>
        <v>0</v>
      </c>
      <c r="L183" s="435">
        <f t="shared" si="2187"/>
        <v>0</v>
      </c>
      <c r="M183" s="435">
        <f t="shared" si="2187"/>
        <v>0</v>
      </c>
      <c r="N183" s="435">
        <f t="shared" si="2187"/>
        <v>0</v>
      </c>
      <c r="O183" s="435">
        <f t="shared" si="2187"/>
        <v>0</v>
      </c>
      <c r="P183" s="435">
        <f t="shared" si="2187"/>
        <v>0</v>
      </c>
      <c r="Q183" s="435">
        <f t="shared" si="2187"/>
        <v>0</v>
      </c>
      <c r="R183" s="435">
        <f t="shared" si="2187"/>
        <v>0</v>
      </c>
      <c r="S183" s="435">
        <f t="shared" si="2187"/>
        <v>0</v>
      </c>
      <c r="T183" s="435">
        <f t="shared" si="2187"/>
        <v>0</v>
      </c>
      <c r="U183" s="435">
        <f t="shared" si="2187"/>
        <v>0</v>
      </c>
      <c r="V183" s="435">
        <f t="shared" si="2187"/>
        <v>0</v>
      </c>
      <c r="W183" s="435">
        <f t="shared" si="2187"/>
        <v>0</v>
      </c>
      <c r="X183" s="435">
        <f t="shared" si="2187"/>
        <v>0</v>
      </c>
      <c r="Y183" s="435">
        <f t="shared" si="2187"/>
        <v>0</v>
      </c>
      <c r="Z183" s="435">
        <f t="shared" si="2187"/>
        <v>0</v>
      </c>
      <c r="AA183" s="435">
        <f t="shared" si="2187"/>
        <v>0</v>
      </c>
      <c r="AB183" s="435">
        <f t="shared" si="2187"/>
        <v>0</v>
      </c>
      <c r="AC183" s="435">
        <f t="shared" si="2187"/>
        <v>0</v>
      </c>
      <c r="AD183" s="435">
        <f t="shared" si="2187"/>
        <v>0</v>
      </c>
      <c r="AE183" s="435">
        <f t="shared" si="2187"/>
        <v>0</v>
      </c>
      <c r="AF183" s="435">
        <f t="shared" si="2187"/>
        <v>0</v>
      </c>
      <c r="AG183" s="435">
        <f t="shared" si="2187"/>
        <v>0</v>
      </c>
      <c r="AH183" s="435">
        <f t="shared" si="2187"/>
        <v>0</v>
      </c>
      <c r="AI183" s="435">
        <f t="shared" si="2187"/>
        <v>0</v>
      </c>
      <c r="AJ183" s="435">
        <f t="shared" si="2187"/>
        <v>0</v>
      </c>
      <c r="AK183" s="435">
        <f t="shared" si="2187"/>
        <v>0</v>
      </c>
      <c r="AL183" s="435">
        <f t="shared" si="2187"/>
        <v>0</v>
      </c>
      <c r="AM183" s="435">
        <f t="shared" si="2187"/>
        <v>0</v>
      </c>
      <c r="AN183" s="435">
        <f t="shared" si="2187"/>
        <v>0</v>
      </c>
      <c r="AO183" s="435">
        <f t="shared" si="2187"/>
        <v>0</v>
      </c>
      <c r="AP183" s="435">
        <f t="shared" si="2187"/>
        <v>0</v>
      </c>
      <c r="AQ183" s="435">
        <f t="shared" si="2187"/>
        <v>0</v>
      </c>
      <c r="AR183" s="435">
        <f t="shared" si="2187"/>
        <v>0</v>
      </c>
      <c r="AS183" s="435">
        <f t="shared" si="2187"/>
        <v>0</v>
      </c>
      <c r="AT183" s="435">
        <f t="shared" si="2187"/>
        <v>0</v>
      </c>
      <c r="AU183" s="435">
        <f t="shared" si="2187"/>
        <v>0</v>
      </c>
      <c r="AV183" s="435">
        <f t="shared" si="2187"/>
        <v>0</v>
      </c>
      <c r="AW183" s="435">
        <f t="shared" si="2187"/>
        <v>0</v>
      </c>
      <c r="AX183" s="435">
        <f t="shared" si="2187"/>
        <v>0</v>
      </c>
      <c r="AY183" s="435">
        <f t="shared" si="2187"/>
        <v>0</v>
      </c>
      <c r="AZ183" s="435">
        <f t="shared" si="2187"/>
        <v>0</v>
      </c>
      <c r="BA183" s="435">
        <f t="shared" si="2187"/>
        <v>0</v>
      </c>
      <c r="BB183" s="435">
        <f t="shared" si="2187"/>
        <v>0</v>
      </c>
      <c r="BC183" s="435">
        <f t="shared" si="2187"/>
        <v>0</v>
      </c>
      <c r="BD183" s="435">
        <f t="shared" si="2187"/>
        <v>0</v>
      </c>
      <c r="BE183" s="435">
        <f t="shared" si="2187"/>
        <v>0</v>
      </c>
      <c r="BF183" s="435">
        <f t="shared" si="2187"/>
        <v>0</v>
      </c>
      <c r="BG183" s="435">
        <f t="shared" si="2187"/>
        <v>0</v>
      </c>
      <c r="BH183" s="435">
        <f t="shared" si="2187"/>
        <v>0</v>
      </c>
      <c r="BI183" s="435">
        <f t="shared" si="2187"/>
        <v>0</v>
      </c>
      <c r="BJ183" s="435">
        <f t="shared" si="2187"/>
        <v>0</v>
      </c>
      <c r="BK183" s="435">
        <f t="shared" si="2187"/>
        <v>0</v>
      </c>
      <c r="BL183" s="435">
        <f t="shared" si="2187"/>
        <v>0</v>
      </c>
      <c r="BM183" s="435">
        <f t="shared" si="2187"/>
        <v>0</v>
      </c>
      <c r="BN183" s="435">
        <f t="shared" si="2187"/>
        <v>0</v>
      </c>
      <c r="BO183" s="435">
        <f t="shared" si="2187"/>
        <v>0</v>
      </c>
      <c r="BP183" s="435">
        <f t="shared" si="2187"/>
        <v>0</v>
      </c>
      <c r="BQ183" s="435">
        <f t="shared" si="2187"/>
        <v>0</v>
      </c>
      <c r="BR183" s="435">
        <f t="shared" si="2187"/>
        <v>0</v>
      </c>
      <c r="BS183" s="435">
        <f t="shared" si="2187"/>
        <v>0</v>
      </c>
      <c r="BT183" s="435">
        <f t="shared" ref="BT183:DC183" si="2188">++BT36</f>
        <v>0</v>
      </c>
      <c r="BU183" s="435">
        <f t="shared" si="2188"/>
        <v>0</v>
      </c>
      <c r="BV183" s="435">
        <f t="shared" si="2188"/>
        <v>0</v>
      </c>
      <c r="BW183" s="435">
        <f t="shared" si="2188"/>
        <v>0</v>
      </c>
      <c r="BX183" s="435">
        <f t="shared" si="2188"/>
        <v>0</v>
      </c>
      <c r="BY183" s="435">
        <f t="shared" si="2188"/>
        <v>0</v>
      </c>
      <c r="BZ183" s="435">
        <f t="shared" si="2188"/>
        <v>0</v>
      </c>
      <c r="CA183" s="435">
        <f t="shared" si="2188"/>
        <v>0</v>
      </c>
      <c r="CB183" s="435">
        <f t="shared" si="2188"/>
        <v>0</v>
      </c>
      <c r="CC183" s="435">
        <f t="shared" si="2188"/>
        <v>0</v>
      </c>
      <c r="CD183" s="435">
        <f t="shared" si="2188"/>
        <v>0</v>
      </c>
      <c r="CE183" s="435">
        <f t="shared" si="2188"/>
        <v>0</v>
      </c>
      <c r="CF183" s="435">
        <f t="shared" si="2188"/>
        <v>0</v>
      </c>
      <c r="CG183" s="435">
        <f t="shared" si="2188"/>
        <v>0</v>
      </c>
      <c r="CH183" s="435">
        <f t="shared" si="2188"/>
        <v>0</v>
      </c>
      <c r="CI183" s="435">
        <f t="shared" si="2188"/>
        <v>0</v>
      </c>
      <c r="CJ183" s="435">
        <f t="shared" si="2188"/>
        <v>0</v>
      </c>
      <c r="CK183" s="435">
        <f t="shared" si="2188"/>
        <v>0</v>
      </c>
      <c r="CL183" s="435">
        <f t="shared" si="2188"/>
        <v>0</v>
      </c>
      <c r="CM183" s="435">
        <f t="shared" si="2188"/>
        <v>0</v>
      </c>
      <c r="CN183" s="435">
        <f t="shared" si="2188"/>
        <v>0</v>
      </c>
      <c r="CO183" s="435">
        <f t="shared" si="2188"/>
        <v>0</v>
      </c>
      <c r="CP183" s="435">
        <f t="shared" si="2188"/>
        <v>0</v>
      </c>
      <c r="CQ183" s="435">
        <f t="shared" si="2188"/>
        <v>0</v>
      </c>
      <c r="CR183" s="435">
        <f t="shared" si="2188"/>
        <v>0</v>
      </c>
      <c r="CS183" s="435">
        <f t="shared" si="2188"/>
        <v>0</v>
      </c>
      <c r="CT183" s="435">
        <f t="shared" si="2188"/>
        <v>0</v>
      </c>
      <c r="CU183" s="435">
        <f t="shared" si="2188"/>
        <v>0</v>
      </c>
      <c r="CV183" s="435">
        <f t="shared" si="2188"/>
        <v>0</v>
      </c>
      <c r="CW183" s="435">
        <f t="shared" si="2188"/>
        <v>0</v>
      </c>
      <c r="CX183" s="435">
        <f t="shared" si="2188"/>
        <v>0</v>
      </c>
      <c r="CY183" s="435">
        <f t="shared" si="2188"/>
        <v>0</v>
      </c>
      <c r="CZ183" s="435">
        <f t="shared" si="2188"/>
        <v>0</v>
      </c>
      <c r="DA183" s="435">
        <f t="shared" si="2188"/>
        <v>0</v>
      </c>
      <c r="DB183" s="435">
        <f t="shared" si="2188"/>
        <v>0</v>
      </c>
      <c r="DC183" s="435">
        <f t="shared" si="2188"/>
        <v>0</v>
      </c>
    </row>
    <row r="184" spans="3:107" ht="13.5" thickTop="1" x14ac:dyDescent="0.3">
      <c r="C184" s="321" t="str">
        <f>++C$37</f>
        <v>% margin</v>
      </c>
      <c r="G184" s="214" t="str">
        <f>++IFERROR(G183/G157,"n/a")</f>
        <v>n/a</v>
      </c>
      <c r="H184" s="225" t="str">
        <f t="shared" ref="H184" si="2189">++IFERROR(H183/H157,"n/a")</f>
        <v>n/a</v>
      </c>
      <c r="I184" s="225" t="str">
        <f t="shared" ref="I184" si="2190">++IFERROR(I183/I157,"n/a")</f>
        <v>n/a</v>
      </c>
      <c r="J184" s="225" t="str">
        <f t="shared" ref="J184" si="2191">++IFERROR(J183/J157,"n/a")</f>
        <v>n/a</v>
      </c>
      <c r="K184" s="214" t="str">
        <f t="shared" ref="K184" si="2192">++IFERROR(K183/K157,"n/a")</f>
        <v>n/a</v>
      </c>
      <c r="L184" s="225" t="str">
        <f t="shared" ref="L184" si="2193">++IFERROR(L183/L157,"n/a")</f>
        <v>n/a</v>
      </c>
      <c r="M184" s="225" t="str">
        <f t="shared" ref="M184" si="2194">++IFERROR(M183/M157,"n/a")</f>
        <v>n/a</v>
      </c>
      <c r="N184" s="225" t="str">
        <f t="shared" ref="N184" si="2195">++IFERROR(N183/N157,"n/a")</f>
        <v>n/a</v>
      </c>
      <c r="O184" s="225" t="str">
        <f t="shared" ref="O184" si="2196">++IFERROR(O183/O157,"n/a")</f>
        <v>n/a</v>
      </c>
      <c r="P184" s="225" t="str">
        <f t="shared" ref="P184" si="2197">++IFERROR(P183/P157,"n/a")</f>
        <v>n/a</v>
      </c>
      <c r="Q184" s="225" t="str">
        <f t="shared" ref="Q184" si="2198">++IFERROR(Q183/Q157,"n/a")</f>
        <v>n/a</v>
      </c>
      <c r="R184" s="225" t="str">
        <f t="shared" ref="R184" si="2199">++IFERROR(R183/R157,"n/a")</f>
        <v>n/a</v>
      </c>
      <c r="S184" s="225" t="str">
        <f t="shared" ref="S184" si="2200">++IFERROR(S183/S157,"n/a")</f>
        <v>n/a</v>
      </c>
      <c r="T184" s="225" t="str">
        <f t="shared" ref="T184" si="2201">++IFERROR(T183/T157,"n/a")</f>
        <v>n/a</v>
      </c>
      <c r="U184" s="225" t="str">
        <f t="shared" ref="U184" si="2202">++IFERROR(U183/U157,"n/a")</f>
        <v>n/a</v>
      </c>
      <c r="V184" s="225" t="str">
        <f t="shared" ref="V184" si="2203">++IFERROR(V183/V157,"n/a")</f>
        <v>n/a</v>
      </c>
      <c r="W184" s="214" t="str">
        <f t="shared" ref="W184" si="2204">++IFERROR(W183/W157,"n/a")</f>
        <v>n/a</v>
      </c>
      <c r="X184" s="225" t="str">
        <f t="shared" ref="X184" si="2205">++IFERROR(X183/X157,"n/a")</f>
        <v>n/a</v>
      </c>
      <c r="Y184" s="225" t="str">
        <f t="shared" ref="Y184" si="2206">++IFERROR(Y183/Y157,"n/a")</f>
        <v>n/a</v>
      </c>
      <c r="Z184" s="225" t="str">
        <f t="shared" ref="Z184" si="2207">++IFERROR(Z183/Z157,"n/a")</f>
        <v>n/a</v>
      </c>
      <c r="AA184" s="225" t="str">
        <f t="shared" ref="AA184" si="2208">++IFERROR(AA183/AA157,"n/a")</f>
        <v>n/a</v>
      </c>
      <c r="AB184" s="225" t="str">
        <f t="shared" ref="AB184" si="2209">++IFERROR(AB183/AB157,"n/a")</f>
        <v>n/a</v>
      </c>
      <c r="AC184" s="225" t="str">
        <f t="shared" ref="AC184" si="2210">++IFERROR(AC183/AC157,"n/a")</f>
        <v>n/a</v>
      </c>
      <c r="AD184" s="225" t="str">
        <f t="shared" ref="AD184" si="2211">++IFERROR(AD183/AD157,"n/a")</f>
        <v>n/a</v>
      </c>
      <c r="AE184" s="225" t="str">
        <f t="shared" ref="AE184" si="2212">++IFERROR(AE183/AE157,"n/a")</f>
        <v>n/a</v>
      </c>
      <c r="AF184" s="225" t="str">
        <f t="shared" ref="AF184" si="2213">++IFERROR(AF183/AF157,"n/a")</f>
        <v>n/a</v>
      </c>
      <c r="AG184" s="225" t="str">
        <f t="shared" ref="AG184" si="2214">++IFERROR(AG183/AG157,"n/a")</f>
        <v>n/a</v>
      </c>
      <c r="AH184" s="225" t="str">
        <f t="shared" ref="AH184" si="2215">++IFERROR(AH183/AH157,"n/a")</f>
        <v>n/a</v>
      </c>
      <c r="AI184" s="214" t="str">
        <f t="shared" ref="AI184" si="2216">++IFERROR(AI183/AI157,"n/a")</f>
        <v>n/a</v>
      </c>
      <c r="AJ184" s="225" t="str">
        <f t="shared" ref="AJ184" si="2217">++IFERROR(AJ183/AJ157,"n/a")</f>
        <v>n/a</v>
      </c>
      <c r="AK184" s="225" t="str">
        <f t="shared" ref="AK184" si="2218">++IFERROR(AK183/AK157,"n/a")</f>
        <v>n/a</v>
      </c>
      <c r="AL184" s="225" t="str">
        <f t="shared" ref="AL184" si="2219">++IFERROR(AL183/AL157,"n/a")</f>
        <v>n/a</v>
      </c>
      <c r="AM184" s="225" t="str">
        <f t="shared" ref="AM184" si="2220">++IFERROR(AM183/AM157,"n/a")</f>
        <v>n/a</v>
      </c>
      <c r="AN184" s="225" t="str">
        <f t="shared" ref="AN184" si="2221">++IFERROR(AN183/AN157,"n/a")</f>
        <v>n/a</v>
      </c>
      <c r="AO184" s="225" t="str">
        <f t="shared" ref="AO184" si="2222">++IFERROR(AO183/AO157,"n/a")</f>
        <v>n/a</v>
      </c>
      <c r="AP184" s="225" t="str">
        <f t="shared" ref="AP184" si="2223">++IFERROR(AP183/AP157,"n/a")</f>
        <v>n/a</v>
      </c>
      <c r="AQ184" s="225" t="str">
        <f t="shared" ref="AQ184" si="2224">++IFERROR(AQ183/AQ157,"n/a")</f>
        <v>n/a</v>
      </c>
      <c r="AR184" s="225" t="str">
        <f t="shared" ref="AR184" si="2225">++IFERROR(AR183/AR157,"n/a")</f>
        <v>n/a</v>
      </c>
      <c r="AS184" s="225" t="str">
        <f t="shared" ref="AS184" si="2226">++IFERROR(AS183/AS157,"n/a")</f>
        <v>n/a</v>
      </c>
      <c r="AT184" s="225" t="str">
        <f t="shared" ref="AT184" si="2227">++IFERROR(AT183/AT157,"n/a")</f>
        <v>n/a</v>
      </c>
      <c r="AU184" s="214" t="str">
        <f t="shared" ref="AU184" si="2228">++IFERROR(AU183/AU157,"n/a")</f>
        <v>n/a</v>
      </c>
      <c r="AV184" s="225" t="str">
        <f t="shared" ref="AV184" si="2229">++IFERROR(AV183/AV157,"n/a")</f>
        <v>n/a</v>
      </c>
      <c r="AW184" s="225" t="str">
        <f t="shared" ref="AW184" si="2230">++IFERROR(AW183/AW157,"n/a")</f>
        <v>n/a</v>
      </c>
      <c r="AX184" s="225" t="str">
        <f t="shared" ref="AX184" si="2231">++IFERROR(AX183/AX157,"n/a")</f>
        <v>n/a</v>
      </c>
      <c r="AY184" s="225" t="str">
        <f t="shared" ref="AY184" si="2232">++IFERROR(AY183/AY157,"n/a")</f>
        <v>n/a</v>
      </c>
      <c r="AZ184" s="225" t="str">
        <f t="shared" ref="AZ184" si="2233">++IFERROR(AZ183/AZ157,"n/a")</f>
        <v>n/a</v>
      </c>
      <c r="BA184" s="225" t="str">
        <f t="shared" ref="BA184" si="2234">++IFERROR(BA183/BA157,"n/a")</f>
        <v>n/a</v>
      </c>
      <c r="BB184" s="225" t="str">
        <f t="shared" ref="BB184" si="2235">++IFERROR(BB183/BB157,"n/a")</f>
        <v>n/a</v>
      </c>
      <c r="BC184" s="225" t="str">
        <f t="shared" ref="BC184" si="2236">++IFERROR(BC183/BC157,"n/a")</f>
        <v>n/a</v>
      </c>
      <c r="BD184" s="225" t="str">
        <f t="shared" ref="BD184" si="2237">++IFERROR(BD183/BD157,"n/a")</f>
        <v>n/a</v>
      </c>
      <c r="BE184" s="225" t="str">
        <f t="shared" ref="BE184" si="2238">++IFERROR(BE183/BE157,"n/a")</f>
        <v>n/a</v>
      </c>
      <c r="BF184" s="225" t="str">
        <f t="shared" ref="BF184" si="2239">++IFERROR(BF183/BF157,"n/a")</f>
        <v>n/a</v>
      </c>
      <c r="BG184" s="214" t="str">
        <f t="shared" ref="BG184" si="2240">++IFERROR(BG183/BG157,"n/a")</f>
        <v>n/a</v>
      </c>
      <c r="BH184" s="225" t="str">
        <f t="shared" ref="BH184" si="2241">++IFERROR(BH183/BH157,"n/a")</f>
        <v>n/a</v>
      </c>
      <c r="BI184" s="225" t="str">
        <f t="shared" ref="BI184" si="2242">++IFERROR(BI183/BI157,"n/a")</f>
        <v>n/a</v>
      </c>
      <c r="BJ184" s="225" t="str">
        <f t="shared" ref="BJ184" si="2243">++IFERROR(BJ183/BJ157,"n/a")</f>
        <v>n/a</v>
      </c>
      <c r="BK184" s="225" t="str">
        <f t="shared" ref="BK184" si="2244">++IFERROR(BK183/BK157,"n/a")</f>
        <v>n/a</v>
      </c>
      <c r="BL184" s="225" t="str">
        <f t="shared" ref="BL184" si="2245">++IFERROR(BL183/BL157,"n/a")</f>
        <v>n/a</v>
      </c>
      <c r="BM184" s="225" t="str">
        <f t="shared" ref="BM184" si="2246">++IFERROR(BM183/BM157,"n/a")</f>
        <v>n/a</v>
      </c>
      <c r="BN184" s="225" t="str">
        <f t="shared" ref="BN184" si="2247">++IFERROR(BN183/BN157,"n/a")</f>
        <v>n/a</v>
      </c>
      <c r="BO184" s="225" t="str">
        <f t="shared" ref="BO184" si="2248">++IFERROR(BO183/BO157,"n/a")</f>
        <v>n/a</v>
      </c>
      <c r="BP184" s="225" t="str">
        <f t="shared" ref="BP184" si="2249">++IFERROR(BP183/BP157,"n/a")</f>
        <v>n/a</v>
      </c>
      <c r="BQ184" s="225" t="str">
        <f t="shared" ref="BQ184" si="2250">++IFERROR(BQ183/BQ157,"n/a")</f>
        <v>n/a</v>
      </c>
      <c r="BR184" s="225" t="str">
        <f t="shared" ref="BR184" si="2251">++IFERROR(BR183/BR157,"n/a")</f>
        <v>n/a</v>
      </c>
      <c r="BS184" s="214" t="str">
        <f t="shared" ref="BS184" si="2252">++IFERROR(BS183/BS157,"n/a")</f>
        <v>n/a</v>
      </c>
      <c r="BT184" s="225" t="str">
        <f t="shared" ref="BT184" si="2253">++IFERROR(BT183/BT157,"n/a")</f>
        <v>n/a</v>
      </c>
      <c r="BU184" s="225" t="str">
        <f t="shared" ref="BU184" si="2254">++IFERROR(BU183/BU157,"n/a")</f>
        <v>n/a</v>
      </c>
      <c r="BV184" s="225" t="str">
        <f t="shared" ref="BV184" si="2255">++IFERROR(BV183/BV157,"n/a")</f>
        <v>n/a</v>
      </c>
      <c r="BW184" s="225" t="str">
        <f t="shared" ref="BW184" si="2256">++IFERROR(BW183/BW157,"n/a")</f>
        <v>n/a</v>
      </c>
      <c r="BX184" s="225" t="str">
        <f t="shared" ref="BX184" si="2257">++IFERROR(BX183/BX157,"n/a")</f>
        <v>n/a</v>
      </c>
      <c r="BY184" s="225" t="str">
        <f t="shared" ref="BY184" si="2258">++IFERROR(BY183/BY157,"n/a")</f>
        <v>n/a</v>
      </c>
      <c r="BZ184" s="225" t="str">
        <f t="shared" ref="BZ184" si="2259">++IFERROR(BZ183/BZ157,"n/a")</f>
        <v>n/a</v>
      </c>
      <c r="CA184" s="225" t="str">
        <f t="shared" ref="CA184" si="2260">++IFERROR(CA183/CA157,"n/a")</f>
        <v>n/a</v>
      </c>
      <c r="CB184" s="225" t="str">
        <f t="shared" ref="CB184" si="2261">++IFERROR(CB183/CB157,"n/a")</f>
        <v>n/a</v>
      </c>
      <c r="CC184" s="225" t="str">
        <f t="shared" ref="CC184" si="2262">++IFERROR(CC183/CC157,"n/a")</f>
        <v>n/a</v>
      </c>
      <c r="CD184" s="225" t="str">
        <f t="shared" ref="CD184" si="2263">++IFERROR(CD183/CD157,"n/a")</f>
        <v>n/a</v>
      </c>
      <c r="CE184" s="214" t="str">
        <f t="shared" ref="CE184" si="2264">++IFERROR(CE183/CE157,"n/a")</f>
        <v>n/a</v>
      </c>
      <c r="CF184" s="225" t="str">
        <f t="shared" ref="CF184" si="2265">++IFERROR(CF183/CF157,"n/a")</f>
        <v>n/a</v>
      </c>
      <c r="CG184" s="225" t="str">
        <f t="shared" ref="CG184" si="2266">++IFERROR(CG183/CG157,"n/a")</f>
        <v>n/a</v>
      </c>
      <c r="CH184" s="225" t="str">
        <f t="shared" ref="CH184" si="2267">++IFERROR(CH183/CH157,"n/a")</f>
        <v>n/a</v>
      </c>
      <c r="CI184" s="225" t="str">
        <f t="shared" ref="CI184" si="2268">++IFERROR(CI183/CI157,"n/a")</f>
        <v>n/a</v>
      </c>
      <c r="CJ184" s="225" t="str">
        <f t="shared" ref="CJ184" si="2269">++IFERROR(CJ183/CJ157,"n/a")</f>
        <v>n/a</v>
      </c>
      <c r="CK184" s="225" t="str">
        <f t="shared" ref="CK184" si="2270">++IFERROR(CK183/CK157,"n/a")</f>
        <v>n/a</v>
      </c>
      <c r="CL184" s="225" t="str">
        <f t="shared" ref="CL184" si="2271">++IFERROR(CL183/CL157,"n/a")</f>
        <v>n/a</v>
      </c>
      <c r="CM184" s="225" t="str">
        <f t="shared" ref="CM184" si="2272">++IFERROR(CM183/CM157,"n/a")</f>
        <v>n/a</v>
      </c>
      <c r="CN184" s="225" t="str">
        <f t="shared" ref="CN184" si="2273">++IFERROR(CN183/CN157,"n/a")</f>
        <v>n/a</v>
      </c>
      <c r="CO184" s="225" t="str">
        <f t="shared" ref="CO184" si="2274">++IFERROR(CO183/CO157,"n/a")</f>
        <v>n/a</v>
      </c>
      <c r="CP184" s="225" t="str">
        <f t="shared" ref="CP184" si="2275">++IFERROR(CP183/CP157,"n/a")</f>
        <v>n/a</v>
      </c>
      <c r="CQ184" s="214" t="str">
        <f t="shared" ref="CQ184" si="2276">++IFERROR(CQ183/CQ157,"n/a")</f>
        <v>n/a</v>
      </c>
      <c r="CR184" s="225" t="str">
        <f t="shared" ref="CR184" si="2277">++IFERROR(CR183/CR157,"n/a")</f>
        <v>n/a</v>
      </c>
      <c r="CS184" s="225" t="str">
        <f t="shared" ref="CS184" si="2278">++IFERROR(CS183/CS157,"n/a")</f>
        <v>n/a</v>
      </c>
      <c r="CT184" s="225" t="str">
        <f t="shared" ref="CT184" si="2279">++IFERROR(CT183/CT157,"n/a")</f>
        <v>n/a</v>
      </c>
      <c r="CU184" s="225" t="str">
        <f t="shared" ref="CU184" si="2280">++IFERROR(CU183/CU157,"n/a")</f>
        <v>n/a</v>
      </c>
      <c r="CV184" s="225" t="str">
        <f t="shared" ref="CV184" si="2281">++IFERROR(CV183/CV157,"n/a")</f>
        <v>n/a</v>
      </c>
      <c r="CW184" s="225" t="str">
        <f t="shared" ref="CW184" si="2282">++IFERROR(CW183/CW157,"n/a")</f>
        <v>n/a</v>
      </c>
      <c r="CX184" s="225" t="str">
        <f t="shared" ref="CX184" si="2283">++IFERROR(CX183/CX157,"n/a")</f>
        <v>n/a</v>
      </c>
      <c r="CY184" s="225" t="str">
        <f t="shared" ref="CY184" si="2284">++IFERROR(CY183/CY157,"n/a")</f>
        <v>n/a</v>
      </c>
      <c r="CZ184" s="225" t="str">
        <f t="shared" ref="CZ184" si="2285">++IFERROR(CZ183/CZ157,"n/a")</f>
        <v>n/a</v>
      </c>
      <c r="DA184" s="225" t="str">
        <f t="shared" ref="DA184" si="2286">++IFERROR(DA183/DA157,"n/a")</f>
        <v>n/a</v>
      </c>
      <c r="DB184" s="225" t="str">
        <f t="shared" ref="DB184" si="2287">++IFERROR(DB183/DB157,"n/a")</f>
        <v>n/a</v>
      </c>
      <c r="DC184" s="214" t="str">
        <f t="shared" ref="DC184" si="2288">++IFERROR(DC183/DC157,"n/a")</f>
        <v>n/a</v>
      </c>
    </row>
    <row r="185" spans="3:107" x14ac:dyDescent="0.3">
      <c r="C185" s="321" t="str">
        <f>++C$38</f>
        <v>% y/y</v>
      </c>
      <c r="G185" s="122" t="s">
        <v>47</v>
      </c>
      <c r="H185" s="122" t="s">
        <v>47</v>
      </c>
      <c r="I185" s="122" t="s">
        <v>47</v>
      </c>
      <c r="J185" s="122" t="s">
        <v>47</v>
      </c>
      <c r="K185" s="214" t="str">
        <f>++IFERROR(K183/G183-1,"n/a")</f>
        <v>n/a</v>
      </c>
      <c r="L185" s="122" t="s">
        <v>47</v>
      </c>
      <c r="M185" s="122" t="s">
        <v>47</v>
      </c>
      <c r="N185" s="225" t="str">
        <f>++IFERROR(N183/H183-1,"n/a")</f>
        <v>n/a</v>
      </c>
      <c r="O185" s="122" t="s">
        <v>47</v>
      </c>
      <c r="P185" s="122" t="s">
        <v>47</v>
      </c>
      <c r="Q185" s="225" t="str">
        <f>++IFERROR(Q183/I183-1,"n/a")</f>
        <v>n/a</v>
      </c>
      <c r="R185" s="122" t="s">
        <v>47</v>
      </c>
      <c r="S185" s="122" t="s">
        <v>47</v>
      </c>
      <c r="T185" s="225" t="str">
        <f>++IFERROR(T183/J183-1,"n/a")</f>
        <v>n/a</v>
      </c>
      <c r="U185" s="122" t="s">
        <v>47</v>
      </c>
      <c r="V185" s="122" t="s">
        <v>47</v>
      </c>
      <c r="W185" s="214" t="str">
        <f t="shared" ref="W185:BB185" si="2289">++IFERROR(W183/K183-1,"n/a")</f>
        <v>n/a</v>
      </c>
      <c r="X185" s="225" t="str">
        <f t="shared" si="2289"/>
        <v>n/a</v>
      </c>
      <c r="Y185" s="225" t="str">
        <f t="shared" si="2289"/>
        <v>n/a</v>
      </c>
      <c r="Z185" s="225" t="str">
        <f t="shared" si="2289"/>
        <v>n/a</v>
      </c>
      <c r="AA185" s="225" t="str">
        <f t="shared" si="2289"/>
        <v>n/a</v>
      </c>
      <c r="AB185" s="225" t="str">
        <f t="shared" si="2289"/>
        <v>n/a</v>
      </c>
      <c r="AC185" s="225" t="str">
        <f t="shared" si="2289"/>
        <v>n/a</v>
      </c>
      <c r="AD185" s="225" t="str">
        <f t="shared" si="2289"/>
        <v>n/a</v>
      </c>
      <c r="AE185" s="225" t="str">
        <f t="shared" si="2289"/>
        <v>n/a</v>
      </c>
      <c r="AF185" s="225" t="str">
        <f t="shared" si="2289"/>
        <v>n/a</v>
      </c>
      <c r="AG185" s="225" t="str">
        <f t="shared" si="2289"/>
        <v>n/a</v>
      </c>
      <c r="AH185" s="225" t="str">
        <f t="shared" si="2289"/>
        <v>n/a</v>
      </c>
      <c r="AI185" s="214" t="str">
        <f t="shared" si="2289"/>
        <v>n/a</v>
      </c>
      <c r="AJ185" s="225" t="str">
        <f t="shared" si="2289"/>
        <v>n/a</v>
      </c>
      <c r="AK185" s="225" t="str">
        <f t="shared" si="2289"/>
        <v>n/a</v>
      </c>
      <c r="AL185" s="225" t="str">
        <f t="shared" si="2289"/>
        <v>n/a</v>
      </c>
      <c r="AM185" s="225" t="str">
        <f t="shared" si="2289"/>
        <v>n/a</v>
      </c>
      <c r="AN185" s="225" t="str">
        <f t="shared" si="2289"/>
        <v>n/a</v>
      </c>
      <c r="AO185" s="225" t="str">
        <f t="shared" si="2289"/>
        <v>n/a</v>
      </c>
      <c r="AP185" s="225" t="str">
        <f t="shared" si="2289"/>
        <v>n/a</v>
      </c>
      <c r="AQ185" s="225" t="str">
        <f t="shared" si="2289"/>
        <v>n/a</v>
      </c>
      <c r="AR185" s="225" t="str">
        <f t="shared" si="2289"/>
        <v>n/a</v>
      </c>
      <c r="AS185" s="225" t="str">
        <f t="shared" si="2289"/>
        <v>n/a</v>
      </c>
      <c r="AT185" s="225" t="str">
        <f t="shared" si="2289"/>
        <v>n/a</v>
      </c>
      <c r="AU185" s="214" t="str">
        <f t="shared" si="2289"/>
        <v>n/a</v>
      </c>
      <c r="AV185" s="225" t="str">
        <f t="shared" si="2289"/>
        <v>n/a</v>
      </c>
      <c r="AW185" s="225" t="str">
        <f t="shared" si="2289"/>
        <v>n/a</v>
      </c>
      <c r="AX185" s="225" t="str">
        <f t="shared" si="2289"/>
        <v>n/a</v>
      </c>
      <c r="AY185" s="225" t="str">
        <f t="shared" si="2289"/>
        <v>n/a</v>
      </c>
      <c r="AZ185" s="225" t="str">
        <f t="shared" si="2289"/>
        <v>n/a</v>
      </c>
      <c r="BA185" s="225" t="str">
        <f t="shared" si="2289"/>
        <v>n/a</v>
      </c>
      <c r="BB185" s="225" t="str">
        <f t="shared" si="2289"/>
        <v>n/a</v>
      </c>
      <c r="BC185" s="225" t="str">
        <f t="shared" ref="BC185:CH185" si="2290">++IFERROR(BC183/AQ183-1,"n/a")</f>
        <v>n/a</v>
      </c>
      <c r="BD185" s="225" t="str">
        <f t="shared" si="2290"/>
        <v>n/a</v>
      </c>
      <c r="BE185" s="225" t="str">
        <f t="shared" si="2290"/>
        <v>n/a</v>
      </c>
      <c r="BF185" s="225" t="str">
        <f t="shared" si="2290"/>
        <v>n/a</v>
      </c>
      <c r="BG185" s="214" t="str">
        <f t="shared" si="2290"/>
        <v>n/a</v>
      </c>
      <c r="BH185" s="225" t="str">
        <f t="shared" si="2290"/>
        <v>n/a</v>
      </c>
      <c r="BI185" s="225" t="str">
        <f t="shared" si="2290"/>
        <v>n/a</v>
      </c>
      <c r="BJ185" s="225" t="str">
        <f t="shared" si="2290"/>
        <v>n/a</v>
      </c>
      <c r="BK185" s="225" t="str">
        <f t="shared" si="2290"/>
        <v>n/a</v>
      </c>
      <c r="BL185" s="225" t="str">
        <f t="shared" si="2290"/>
        <v>n/a</v>
      </c>
      <c r="BM185" s="225" t="str">
        <f t="shared" si="2290"/>
        <v>n/a</v>
      </c>
      <c r="BN185" s="225" t="str">
        <f t="shared" si="2290"/>
        <v>n/a</v>
      </c>
      <c r="BO185" s="225" t="str">
        <f t="shared" si="2290"/>
        <v>n/a</v>
      </c>
      <c r="BP185" s="225" t="str">
        <f t="shared" si="2290"/>
        <v>n/a</v>
      </c>
      <c r="BQ185" s="225" t="str">
        <f t="shared" si="2290"/>
        <v>n/a</v>
      </c>
      <c r="BR185" s="225" t="str">
        <f t="shared" si="2290"/>
        <v>n/a</v>
      </c>
      <c r="BS185" s="214" t="str">
        <f t="shared" si="2290"/>
        <v>n/a</v>
      </c>
      <c r="BT185" s="225" t="str">
        <f t="shared" si="2290"/>
        <v>n/a</v>
      </c>
      <c r="BU185" s="225" t="str">
        <f t="shared" si="2290"/>
        <v>n/a</v>
      </c>
      <c r="BV185" s="225" t="str">
        <f t="shared" si="2290"/>
        <v>n/a</v>
      </c>
      <c r="BW185" s="225" t="str">
        <f t="shared" si="2290"/>
        <v>n/a</v>
      </c>
      <c r="BX185" s="225" t="str">
        <f t="shared" si="2290"/>
        <v>n/a</v>
      </c>
      <c r="BY185" s="225" t="str">
        <f t="shared" si="2290"/>
        <v>n/a</v>
      </c>
      <c r="BZ185" s="225" t="str">
        <f t="shared" si="2290"/>
        <v>n/a</v>
      </c>
      <c r="CA185" s="225" t="str">
        <f t="shared" si="2290"/>
        <v>n/a</v>
      </c>
      <c r="CB185" s="225" t="str">
        <f t="shared" si="2290"/>
        <v>n/a</v>
      </c>
      <c r="CC185" s="225" t="str">
        <f t="shared" si="2290"/>
        <v>n/a</v>
      </c>
      <c r="CD185" s="225" t="str">
        <f t="shared" si="2290"/>
        <v>n/a</v>
      </c>
      <c r="CE185" s="214" t="str">
        <f t="shared" si="2290"/>
        <v>n/a</v>
      </c>
      <c r="CF185" s="225" t="str">
        <f t="shared" si="2290"/>
        <v>n/a</v>
      </c>
      <c r="CG185" s="225" t="str">
        <f t="shared" si="2290"/>
        <v>n/a</v>
      </c>
      <c r="CH185" s="225" t="str">
        <f t="shared" si="2290"/>
        <v>n/a</v>
      </c>
      <c r="CI185" s="225" t="str">
        <f t="shared" ref="CI185:DN185" si="2291">++IFERROR(CI183/BW183-1,"n/a")</f>
        <v>n/a</v>
      </c>
      <c r="CJ185" s="225" t="str">
        <f t="shared" si="2291"/>
        <v>n/a</v>
      </c>
      <c r="CK185" s="225" t="str">
        <f t="shared" si="2291"/>
        <v>n/a</v>
      </c>
      <c r="CL185" s="225" t="str">
        <f t="shared" si="2291"/>
        <v>n/a</v>
      </c>
      <c r="CM185" s="225" t="str">
        <f t="shared" si="2291"/>
        <v>n/a</v>
      </c>
      <c r="CN185" s="225" t="str">
        <f t="shared" si="2291"/>
        <v>n/a</v>
      </c>
      <c r="CO185" s="225" t="str">
        <f t="shared" si="2291"/>
        <v>n/a</v>
      </c>
      <c r="CP185" s="225" t="str">
        <f t="shared" si="2291"/>
        <v>n/a</v>
      </c>
      <c r="CQ185" s="214" t="str">
        <f t="shared" si="2291"/>
        <v>n/a</v>
      </c>
      <c r="CR185" s="225" t="str">
        <f t="shared" si="2291"/>
        <v>n/a</v>
      </c>
      <c r="CS185" s="225" t="str">
        <f t="shared" si="2291"/>
        <v>n/a</v>
      </c>
      <c r="CT185" s="225" t="str">
        <f t="shared" si="2291"/>
        <v>n/a</v>
      </c>
      <c r="CU185" s="225" t="str">
        <f t="shared" si="2291"/>
        <v>n/a</v>
      </c>
      <c r="CV185" s="225" t="str">
        <f t="shared" si="2291"/>
        <v>n/a</v>
      </c>
      <c r="CW185" s="225" t="str">
        <f t="shared" si="2291"/>
        <v>n/a</v>
      </c>
      <c r="CX185" s="225" t="str">
        <f t="shared" si="2291"/>
        <v>n/a</v>
      </c>
      <c r="CY185" s="225" t="str">
        <f t="shared" si="2291"/>
        <v>n/a</v>
      </c>
      <c r="CZ185" s="225" t="str">
        <f t="shared" si="2291"/>
        <v>n/a</v>
      </c>
      <c r="DA185" s="225" t="str">
        <f t="shared" si="2291"/>
        <v>n/a</v>
      </c>
      <c r="DB185" s="225" t="str">
        <f t="shared" si="2291"/>
        <v>n/a</v>
      </c>
      <c r="DC185" s="214" t="str">
        <f t="shared" si="2291"/>
        <v>n/a</v>
      </c>
    </row>
    <row r="186" spans="3:107" x14ac:dyDescent="0.3">
      <c r="G186" s="203"/>
      <c r="K186" s="203"/>
      <c r="W186" s="203"/>
      <c r="AI186" s="203"/>
      <c r="AU186" s="203"/>
      <c r="BG186" s="203"/>
      <c r="BS186" s="203"/>
      <c r="CE186" s="203"/>
      <c r="CQ186" s="203"/>
      <c r="DC186" s="203"/>
    </row>
    <row r="187" spans="3:107" x14ac:dyDescent="0.3">
      <c r="C187" s="101" t="str">
        <f>++C$40</f>
        <v>Interest Expense (Income)</v>
      </c>
      <c r="G187" s="374">
        <f>++G174</f>
        <v>0</v>
      </c>
      <c r="H187" s="200">
        <f t="shared" ref="H187:BS187" si="2292">++H174</f>
        <v>0</v>
      </c>
      <c r="I187" s="200">
        <f t="shared" si="2292"/>
        <v>0</v>
      </c>
      <c r="J187" s="200">
        <f t="shared" si="2292"/>
        <v>0</v>
      </c>
      <c r="K187" s="374">
        <f t="shared" si="2292"/>
        <v>0</v>
      </c>
      <c r="L187" s="200">
        <f t="shared" si="2292"/>
        <v>0</v>
      </c>
      <c r="M187" s="200">
        <f t="shared" si="2292"/>
        <v>0</v>
      </c>
      <c r="N187" s="200">
        <f t="shared" si="2292"/>
        <v>0</v>
      </c>
      <c r="O187" s="200">
        <f t="shared" si="2292"/>
        <v>0</v>
      </c>
      <c r="P187" s="200">
        <f t="shared" si="2292"/>
        <v>0</v>
      </c>
      <c r="Q187" s="200">
        <f t="shared" si="2292"/>
        <v>0</v>
      </c>
      <c r="R187" s="200">
        <f t="shared" si="2292"/>
        <v>0</v>
      </c>
      <c r="S187" s="200">
        <f t="shared" si="2292"/>
        <v>0</v>
      </c>
      <c r="T187" s="200">
        <f t="shared" si="2292"/>
        <v>0</v>
      </c>
      <c r="U187" s="200">
        <f t="shared" si="2292"/>
        <v>0</v>
      </c>
      <c r="V187" s="200">
        <f t="shared" si="2292"/>
        <v>0</v>
      </c>
      <c r="W187" s="374">
        <f t="shared" si="2292"/>
        <v>0</v>
      </c>
      <c r="X187" s="200">
        <f t="shared" si="2292"/>
        <v>0</v>
      </c>
      <c r="Y187" s="200">
        <f t="shared" si="2292"/>
        <v>0</v>
      </c>
      <c r="Z187" s="200">
        <f t="shared" si="2292"/>
        <v>0</v>
      </c>
      <c r="AA187" s="200">
        <f t="shared" si="2292"/>
        <v>0</v>
      </c>
      <c r="AB187" s="200">
        <f t="shared" si="2292"/>
        <v>0</v>
      </c>
      <c r="AC187" s="200">
        <f t="shared" si="2292"/>
        <v>0</v>
      </c>
      <c r="AD187" s="200">
        <f t="shared" si="2292"/>
        <v>0</v>
      </c>
      <c r="AE187" s="200">
        <f t="shared" si="2292"/>
        <v>0</v>
      </c>
      <c r="AF187" s="200">
        <f t="shared" si="2292"/>
        <v>0</v>
      </c>
      <c r="AG187" s="200">
        <f t="shared" si="2292"/>
        <v>0</v>
      </c>
      <c r="AH187" s="200">
        <f t="shared" si="2292"/>
        <v>0</v>
      </c>
      <c r="AI187" s="374">
        <f t="shared" si="2292"/>
        <v>0</v>
      </c>
      <c r="AJ187" s="200">
        <f t="shared" si="2292"/>
        <v>0</v>
      </c>
      <c r="AK187" s="200">
        <f t="shared" si="2292"/>
        <v>0</v>
      </c>
      <c r="AL187" s="200">
        <f t="shared" si="2292"/>
        <v>0</v>
      </c>
      <c r="AM187" s="200">
        <f t="shared" si="2292"/>
        <v>0</v>
      </c>
      <c r="AN187" s="200">
        <f t="shared" si="2292"/>
        <v>0</v>
      </c>
      <c r="AO187" s="200">
        <f t="shared" si="2292"/>
        <v>0</v>
      </c>
      <c r="AP187" s="200">
        <f t="shared" si="2292"/>
        <v>0</v>
      </c>
      <c r="AQ187" s="200">
        <f t="shared" si="2292"/>
        <v>0</v>
      </c>
      <c r="AR187" s="200">
        <f t="shared" si="2292"/>
        <v>0</v>
      </c>
      <c r="AS187" s="200">
        <f t="shared" si="2292"/>
        <v>0</v>
      </c>
      <c r="AT187" s="200">
        <f t="shared" si="2292"/>
        <v>0</v>
      </c>
      <c r="AU187" s="374">
        <f t="shared" si="2292"/>
        <v>0</v>
      </c>
      <c r="AV187" s="200">
        <f t="shared" si="2292"/>
        <v>0</v>
      </c>
      <c r="AW187" s="200">
        <f t="shared" si="2292"/>
        <v>0</v>
      </c>
      <c r="AX187" s="200">
        <f t="shared" si="2292"/>
        <v>0</v>
      </c>
      <c r="AY187" s="200">
        <f t="shared" si="2292"/>
        <v>0</v>
      </c>
      <c r="AZ187" s="200">
        <f t="shared" si="2292"/>
        <v>0</v>
      </c>
      <c r="BA187" s="200">
        <f t="shared" si="2292"/>
        <v>0</v>
      </c>
      <c r="BB187" s="200">
        <f t="shared" si="2292"/>
        <v>0</v>
      </c>
      <c r="BC187" s="200">
        <f t="shared" si="2292"/>
        <v>0</v>
      </c>
      <c r="BD187" s="200">
        <f t="shared" si="2292"/>
        <v>0</v>
      </c>
      <c r="BE187" s="200">
        <f t="shared" si="2292"/>
        <v>0</v>
      </c>
      <c r="BF187" s="200">
        <f t="shared" si="2292"/>
        <v>0</v>
      </c>
      <c r="BG187" s="374">
        <f t="shared" si="2292"/>
        <v>0</v>
      </c>
      <c r="BH187" s="200">
        <f t="shared" si="2292"/>
        <v>0</v>
      </c>
      <c r="BI187" s="200">
        <f t="shared" si="2292"/>
        <v>0</v>
      </c>
      <c r="BJ187" s="200">
        <f t="shared" si="2292"/>
        <v>0</v>
      </c>
      <c r="BK187" s="200">
        <f t="shared" si="2292"/>
        <v>0</v>
      </c>
      <c r="BL187" s="200">
        <f t="shared" si="2292"/>
        <v>0</v>
      </c>
      <c r="BM187" s="200">
        <f t="shared" si="2292"/>
        <v>0</v>
      </c>
      <c r="BN187" s="200">
        <f t="shared" si="2292"/>
        <v>0</v>
      </c>
      <c r="BO187" s="200">
        <f t="shared" si="2292"/>
        <v>0</v>
      </c>
      <c r="BP187" s="200">
        <f t="shared" si="2292"/>
        <v>0</v>
      </c>
      <c r="BQ187" s="200">
        <f t="shared" si="2292"/>
        <v>0</v>
      </c>
      <c r="BR187" s="200">
        <f t="shared" si="2292"/>
        <v>0</v>
      </c>
      <c r="BS187" s="374">
        <f t="shared" si="2292"/>
        <v>0</v>
      </c>
      <c r="BT187" s="200">
        <f t="shared" ref="BT187:DC187" si="2293">++BT174</f>
        <v>0</v>
      </c>
      <c r="BU187" s="200">
        <f t="shared" si="2293"/>
        <v>0</v>
      </c>
      <c r="BV187" s="200">
        <f t="shared" si="2293"/>
        <v>0</v>
      </c>
      <c r="BW187" s="200">
        <f t="shared" si="2293"/>
        <v>0</v>
      </c>
      <c r="BX187" s="200">
        <f t="shared" si="2293"/>
        <v>0</v>
      </c>
      <c r="BY187" s="200">
        <f t="shared" si="2293"/>
        <v>0</v>
      </c>
      <c r="BZ187" s="200">
        <f t="shared" si="2293"/>
        <v>0</v>
      </c>
      <c r="CA187" s="200">
        <f t="shared" si="2293"/>
        <v>0</v>
      </c>
      <c r="CB187" s="200">
        <f t="shared" si="2293"/>
        <v>0</v>
      </c>
      <c r="CC187" s="200">
        <f t="shared" si="2293"/>
        <v>0</v>
      </c>
      <c r="CD187" s="200">
        <f t="shared" si="2293"/>
        <v>0</v>
      </c>
      <c r="CE187" s="374">
        <f t="shared" si="2293"/>
        <v>0</v>
      </c>
      <c r="CF187" s="200">
        <f t="shared" si="2293"/>
        <v>0</v>
      </c>
      <c r="CG187" s="200">
        <f t="shared" si="2293"/>
        <v>0</v>
      </c>
      <c r="CH187" s="200">
        <f t="shared" si="2293"/>
        <v>0</v>
      </c>
      <c r="CI187" s="200">
        <f t="shared" si="2293"/>
        <v>0</v>
      </c>
      <c r="CJ187" s="200">
        <f t="shared" si="2293"/>
        <v>0</v>
      </c>
      <c r="CK187" s="200">
        <f t="shared" si="2293"/>
        <v>0</v>
      </c>
      <c r="CL187" s="200">
        <f t="shared" si="2293"/>
        <v>0</v>
      </c>
      <c r="CM187" s="200">
        <f t="shared" si="2293"/>
        <v>0</v>
      </c>
      <c r="CN187" s="200">
        <f t="shared" si="2293"/>
        <v>0</v>
      </c>
      <c r="CO187" s="200">
        <f t="shared" si="2293"/>
        <v>0</v>
      </c>
      <c r="CP187" s="200">
        <f t="shared" si="2293"/>
        <v>0</v>
      </c>
      <c r="CQ187" s="374">
        <f t="shared" si="2293"/>
        <v>0</v>
      </c>
      <c r="CR187" s="200">
        <f t="shared" si="2293"/>
        <v>0</v>
      </c>
      <c r="CS187" s="200">
        <f t="shared" si="2293"/>
        <v>0</v>
      </c>
      <c r="CT187" s="200">
        <f t="shared" si="2293"/>
        <v>0</v>
      </c>
      <c r="CU187" s="200">
        <f t="shared" si="2293"/>
        <v>0</v>
      </c>
      <c r="CV187" s="200">
        <f t="shared" si="2293"/>
        <v>0</v>
      </c>
      <c r="CW187" s="200">
        <f t="shared" si="2293"/>
        <v>0</v>
      </c>
      <c r="CX187" s="200">
        <f t="shared" si="2293"/>
        <v>0</v>
      </c>
      <c r="CY187" s="200">
        <f t="shared" si="2293"/>
        <v>0</v>
      </c>
      <c r="CZ187" s="200">
        <f t="shared" si="2293"/>
        <v>0</v>
      </c>
      <c r="DA187" s="200">
        <f t="shared" si="2293"/>
        <v>0</v>
      </c>
      <c r="DB187" s="200">
        <f t="shared" si="2293"/>
        <v>0</v>
      </c>
      <c r="DC187" s="374">
        <f t="shared" si="2293"/>
        <v>0</v>
      </c>
    </row>
    <row r="188" spans="3:107" x14ac:dyDescent="0.3">
      <c r="C188" s="101" t="str">
        <f>++C$41</f>
        <v>Tax Expense (Benefit)</v>
      </c>
      <c r="G188" s="374">
        <f>++G180</f>
        <v>0</v>
      </c>
      <c r="H188" s="200">
        <f t="shared" ref="H188:BS188" si="2294">++H180</f>
        <v>0</v>
      </c>
      <c r="I188" s="200">
        <f t="shared" si="2294"/>
        <v>0</v>
      </c>
      <c r="J188" s="200">
        <f t="shared" si="2294"/>
        <v>0</v>
      </c>
      <c r="K188" s="374">
        <f t="shared" si="2294"/>
        <v>0</v>
      </c>
      <c r="L188" s="200">
        <f t="shared" si="2294"/>
        <v>0</v>
      </c>
      <c r="M188" s="200">
        <f t="shared" si="2294"/>
        <v>0</v>
      </c>
      <c r="N188" s="200">
        <f t="shared" si="2294"/>
        <v>0</v>
      </c>
      <c r="O188" s="200">
        <f t="shared" si="2294"/>
        <v>0</v>
      </c>
      <c r="P188" s="200">
        <f t="shared" si="2294"/>
        <v>0</v>
      </c>
      <c r="Q188" s="200">
        <f t="shared" si="2294"/>
        <v>0</v>
      </c>
      <c r="R188" s="200">
        <f t="shared" si="2294"/>
        <v>0</v>
      </c>
      <c r="S188" s="200">
        <f t="shared" si="2294"/>
        <v>0</v>
      </c>
      <c r="T188" s="200">
        <f t="shared" si="2294"/>
        <v>0</v>
      </c>
      <c r="U188" s="200">
        <f t="shared" si="2294"/>
        <v>0</v>
      </c>
      <c r="V188" s="200">
        <f t="shared" si="2294"/>
        <v>0</v>
      </c>
      <c r="W188" s="374">
        <f t="shared" si="2294"/>
        <v>0</v>
      </c>
      <c r="X188" s="200">
        <f t="shared" si="2294"/>
        <v>0</v>
      </c>
      <c r="Y188" s="200">
        <f t="shared" si="2294"/>
        <v>0</v>
      </c>
      <c r="Z188" s="200">
        <f t="shared" si="2294"/>
        <v>0</v>
      </c>
      <c r="AA188" s="200">
        <f t="shared" si="2294"/>
        <v>0</v>
      </c>
      <c r="AB188" s="200">
        <f t="shared" si="2294"/>
        <v>0</v>
      </c>
      <c r="AC188" s="200">
        <f t="shared" si="2294"/>
        <v>0</v>
      </c>
      <c r="AD188" s="200">
        <f t="shared" si="2294"/>
        <v>0</v>
      </c>
      <c r="AE188" s="200">
        <f t="shared" si="2294"/>
        <v>0</v>
      </c>
      <c r="AF188" s="200">
        <f t="shared" si="2294"/>
        <v>0</v>
      </c>
      <c r="AG188" s="200">
        <f t="shared" si="2294"/>
        <v>0</v>
      </c>
      <c r="AH188" s="200">
        <f t="shared" si="2294"/>
        <v>0</v>
      </c>
      <c r="AI188" s="374">
        <f t="shared" si="2294"/>
        <v>0</v>
      </c>
      <c r="AJ188" s="200">
        <f t="shared" si="2294"/>
        <v>0</v>
      </c>
      <c r="AK188" s="200">
        <f t="shared" si="2294"/>
        <v>0</v>
      </c>
      <c r="AL188" s="200">
        <f t="shared" si="2294"/>
        <v>0</v>
      </c>
      <c r="AM188" s="200">
        <f t="shared" si="2294"/>
        <v>0</v>
      </c>
      <c r="AN188" s="200">
        <f t="shared" si="2294"/>
        <v>0</v>
      </c>
      <c r="AO188" s="200">
        <f t="shared" si="2294"/>
        <v>0</v>
      </c>
      <c r="AP188" s="200">
        <f t="shared" si="2294"/>
        <v>0</v>
      </c>
      <c r="AQ188" s="200">
        <f t="shared" si="2294"/>
        <v>0</v>
      </c>
      <c r="AR188" s="200">
        <f t="shared" si="2294"/>
        <v>0</v>
      </c>
      <c r="AS188" s="200">
        <f t="shared" si="2294"/>
        <v>0</v>
      </c>
      <c r="AT188" s="200">
        <f t="shared" si="2294"/>
        <v>0</v>
      </c>
      <c r="AU188" s="374">
        <f t="shared" si="2294"/>
        <v>0</v>
      </c>
      <c r="AV188" s="200">
        <f t="shared" si="2294"/>
        <v>0</v>
      </c>
      <c r="AW188" s="200">
        <f t="shared" si="2294"/>
        <v>0</v>
      </c>
      <c r="AX188" s="200">
        <f t="shared" si="2294"/>
        <v>0</v>
      </c>
      <c r="AY188" s="200">
        <f t="shared" si="2294"/>
        <v>0</v>
      </c>
      <c r="AZ188" s="200">
        <f t="shared" si="2294"/>
        <v>0</v>
      </c>
      <c r="BA188" s="200">
        <f t="shared" si="2294"/>
        <v>0</v>
      </c>
      <c r="BB188" s="200">
        <f t="shared" si="2294"/>
        <v>0</v>
      </c>
      <c r="BC188" s="200">
        <f t="shared" si="2294"/>
        <v>0</v>
      </c>
      <c r="BD188" s="200">
        <f t="shared" si="2294"/>
        <v>0</v>
      </c>
      <c r="BE188" s="200">
        <f t="shared" si="2294"/>
        <v>0</v>
      </c>
      <c r="BF188" s="200">
        <f t="shared" si="2294"/>
        <v>0</v>
      </c>
      <c r="BG188" s="374">
        <f t="shared" si="2294"/>
        <v>0</v>
      </c>
      <c r="BH188" s="200">
        <f t="shared" si="2294"/>
        <v>0</v>
      </c>
      <c r="BI188" s="200">
        <f t="shared" si="2294"/>
        <v>0</v>
      </c>
      <c r="BJ188" s="200">
        <f t="shared" si="2294"/>
        <v>0</v>
      </c>
      <c r="BK188" s="200">
        <f t="shared" si="2294"/>
        <v>0</v>
      </c>
      <c r="BL188" s="200">
        <f t="shared" si="2294"/>
        <v>0</v>
      </c>
      <c r="BM188" s="200">
        <f t="shared" si="2294"/>
        <v>0</v>
      </c>
      <c r="BN188" s="200">
        <f t="shared" si="2294"/>
        <v>0</v>
      </c>
      <c r="BO188" s="200">
        <f t="shared" si="2294"/>
        <v>0</v>
      </c>
      <c r="BP188" s="200">
        <f t="shared" si="2294"/>
        <v>0</v>
      </c>
      <c r="BQ188" s="200">
        <f t="shared" si="2294"/>
        <v>0</v>
      </c>
      <c r="BR188" s="200">
        <f t="shared" si="2294"/>
        <v>0</v>
      </c>
      <c r="BS188" s="374">
        <f t="shared" si="2294"/>
        <v>0</v>
      </c>
      <c r="BT188" s="200">
        <f t="shared" ref="BT188:DC188" si="2295">++BT180</f>
        <v>0</v>
      </c>
      <c r="BU188" s="200">
        <f t="shared" si="2295"/>
        <v>0</v>
      </c>
      <c r="BV188" s="200">
        <f t="shared" si="2295"/>
        <v>0</v>
      </c>
      <c r="BW188" s="200">
        <f t="shared" si="2295"/>
        <v>0</v>
      </c>
      <c r="BX188" s="200">
        <f t="shared" si="2295"/>
        <v>0</v>
      </c>
      <c r="BY188" s="200">
        <f t="shared" si="2295"/>
        <v>0</v>
      </c>
      <c r="BZ188" s="200">
        <f t="shared" si="2295"/>
        <v>0</v>
      </c>
      <c r="CA188" s="200">
        <f t="shared" si="2295"/>
        <v>0</v>
      </c>
      <c r="CB188" s="200">
        <f t="shared" si="2295"/>
        <v>0</v>
      </c>
      <c r="CC188" s="200">
        <f t="shared" si="2295"/>
        <v>0</v>
      </c>
      <c r="CD188" s="200">
        <f t="shared" si="2295"/>
        <v>0</v>
      </c>
      <c r="CE188" s="374">
        <f t="shared" si="2295"/>
        <v>0</v>
      </c>
      <c r="CF188" s="200">
        <f t="shared" si="2295"/>
        <v>0</v>
      </c>
      <c r="CG188" s="200">
        <f t="shared" si="2295"/>
        <v>0</v>
      </c>
      <c r="CH188" s="200">
        <f t="shared" si="2295"/>
        <v>0</v>
      </c>
      <c r="CI188" s="200">
        <f t="shared" si="2295"/>
        <v>0</v>
      </c>
      <c r="CJ188" s="200">
        <f t="shared" si="2295"/>
        <v>0</v>
      </c>
      <c r="CK188" s="200">
        <f t="shared" si="2295"/>
        <v>0</v>
      </c>
      <c r="CL188" s="200">
        <f t="shared" si="2295"/>
        <v>0</v>
      </c>
      <c r="CM188" s="200">
        <f t="shared" si="2295"/>
        <v>0</v>
      </c>
      <c r="CN188" s="200">
        <f t="shared" si="2295"/>
        <v>0</v>
      </c>
      <c r="CO188" s="200">
        <f t="shared" si="2295"/>
        <v>0</v>
      </c>
      <c r="CP188" s="200">
        <f t="shared" si="2295"/>
        <v>0</v>
      </c>
      <c r="CQ188" s="374">
        <f t="shared" si="2295"/>
        <v>0</v>
      </c>
      <c r="CR188" s="200">
        <f t="shared" si="2295"/>
        <v>0</v>
      </c>
      <c r="CS188" s="200">
        <f t="shared" si="2295"/>
        <v>0</v>
      </c>
      <c r="CT188" s="200">
        <f t="shared" si="2295"/>
        <v>0</v>
      </c>
      <c r="CU188" s="200">
        <f t="shared" si="2295"/>
        <v>0</v>
      </c>
      <c r="CV188" s="200">
        <f t="shared" si="2295"/>
        <v>0</v>
      </c>
      <c r="CW188" s="200">
        <f t="shared" si="2295"/>
        <v>0</v>
      </c>
      <c r="CX188" s="200">
        <f t="shared" si="2295"/>
        <v>0</v>
      </c>
      <c r="CY188" s="200">
        <f t="shared" si="2295"/>
        <v>0</v>
      </c>
      <c r="CZ188" s="200">
        <f t="shared" si="2295"/>
        <v>0</v>
      </c>
      <c r="DA188" s="200">
        <f t="shared" si="2295"/>
        <v>0</v>
      </c>
      <c r="DB188" s="200">
        <f t="shared" si="2295"/>
        <v>0</v>
      </c>
      <c r="DC188" s="374">
        <f t="shared" si="2295"/>
        <v>0</v>
      </c>
    </row>
    <row r="189" spans="3:107" x14ac:dyDescent="0.3">
      <c r="C189" s="101" t="str">
        <f>++C$42</f>
        <v>Depreciation</v>
      </c>
      <c r="G189" s="374">
        <f>++G167</f>
        <v>0</v>
      </c>
      <c r="H189" s="200">
        <f t="shared" ref="H189:BS189" si="2296">++H167</f>
        <v>0</v>
      </c>
      <c r="I189" s="200">
        <f t="shared" si="2296"/>
        <v>0</v>
      </c>
      <c r="J189" s="200">
        <f t="shared" si="2296"/>
        <v>0</v>
      </c>
      <c r="K189" s="374">
        <f t="shared" si="2296"/>
        <v>0</v>
      </c>
      <c r="L189" s="200">
        <f t="shared" si="2296"/>
        <v>0</v>
      </c>
      <c r="M189" s="200">
        <f t="shared" si="2296"/>
        <v>0</v>
      </c>
      <c r="N189" s="200">
        <f t="shared" si="2296"/>
        <v>0</v>
      </c>
      <c r="O189" s="200">
        <f t="shared" si="2296"/>
        <v>0</v>
      </c>
      <c r="P189" s="200">
        <f t="shared" si="2296"/>
        <v>0</v>
      </c>
      <c r="Q189" s="200">
        <f t="shared" si="2296"/>
        <v>0</v>
      </c>
      <c r="R189" s="200">
        <f t="shared" si="2296"/>
        <v>0</v>
      </c>
      <c r="S189" s="200">
        <f t="shared" si="2296"/>
        <v>0</v>
      </c>
      <c r="T189" s="200">
        <f t="shared" si="2296"/>
        <v>0</v>
      </c>
      <c r="U189" s="200">
        <f t="shared" si="2296"/>
        <v>0</v>
      </c>
      <c r="V189" s="200">
        <f t="shared" si="2296"/>
        <v>0</v>
      </c>
      <c r="W189" s="374">
        <f t="shared" si="2296"/>
        <v>0</v>
      </c>
      <c r="X189" s="200">
        <f t="shared" si="2296"/>
        <v>0</v>
      </c>
      <c r="Y189" s="200">
        <f t="shared" si="2296"/>
        <v>0</v>
      </c>
      <c r="Z189" s="200">
        <f t="shared" si="2296"/>
        <v>0</v>
      </c>
      <c r="AA189" s="200">
        <f t="shared" si="2296"/>
        <v>0</v>
      </c>
      <c r="AB189" s="200">
        <f t="shared" si="2296"/>
        <v>0</v>
      </c>
      <c r="AC189" s="200">
        <f t="shared" si="2296"/>
        <v>0</v>
      </c>
      <c r="AD189" s="200">
        <f t="shared" si="2296"/>
        <v>0</v>
      </c>
      <c r="AE189" s="200">
        <f t="shared" si="2296"/>
        <v>0</v>
      </c>
      <c r="AF189" s="200">
        <f t="shared" si="2296"/>
        <v>0</v>
      </c>
      <c r="AG189" s="200">
        <f t="shared" si="2296"/>
        <v>0</v>
      </c>
      <c r="AH189" s="200">
        <f t="shared" si="2296"/>
        <v>0</v>
      </c>
      <c r="AI189" s="374">
        <f t="shared" si="2296"/>
        <v>0</v>
      </c>
      <c r="AJ189" s="200">
        <f t="shared" si="2296"/>
        <v>0</v>
      </c>
      <c r="AK189" s="200">
        <f t="shared" si="2296"/>
        <v>0</v>
      </c>
      <c r="AL189" s="200">
        <f t="shared" si="2296"/>
        <v>0</v>
      </c>
      <c r="AM189" s="200">
        <f t="shared" si="2296"/>
        <v>0</v>
      </c>
      <c r="AN189" s="200">
        <f t="shared" si="2296"/>
        <v>0</v>
      </c>
      <c r="AO189" s="200">
        <f t="shared" si="2296"/>
        <v>0</v>
      </c>
      <c r="AP189" s="200">
        <f t="shared" si="2296"/>
        <v>0</v>
      </c>
      <c r="AQ189" s="200">
        <f t="shared" si="2296"/>
        <v>0</v>
      </c>
      <c r="AR189" s="200">
        <f t="shared" si="2296"/>
        <v>0</v>
      </c>
      <c r="AS189" s="200">
        <f t="shared" si="2296"/>
        <v>0</v>
      </c>
      <c r="AT189" s="200">
        <f t="shared" si="2296"/>
        <v>0</v>
      </c>
      <c r="AU189" s="374">
        <f t="shared" si="2296"/>
        <v>0</v>
      </c>
      <c r="AV189" s="200">
        <f t="shared" si="2296"/>
        <v>0</v>
      </c>
      <c r="AW189" s="200">
        <f t="shared" si="2296"/>
        <v>0</v>
      </c>
      <c r="AX189" s="200">
        <f t="shared" si="2296"/>
        <v>0</v>
      </c>
      <c r="AY189" s="200">
        <f t="shared" si="2296"/>
        <v>0</v>
      </c>
      <c r="AZ189" s="200">
        <f t="shared" si="2296"/>
        <v>0</v>
      </c>
      <c r="BA189" s="200">
        <f t="shared" si="2296"/>
        <v>0</v>
      </c>
      <c r="BB189" s="200">
        <f t="shared" si="2296"/>
        <v>0</v>
      </c>
      <c r="BC189" s="200">
        <f t="shared" si="2296"/>
        <v>0</v>
      </c>
      <c r="BD189" s="200">
        <f t="shared" si="2296"/>
        <v>0</v>
      </c>
      <c r="BE189" s="200">
        <f t="shared" si="2296"/>
        <v>0</v>
      </c>
      <c r="BF189" s="200">
        <f t="shared" si="2296"/>
        <v>0</v>
      </c>
      <c r="BG189" s="374">
        <f t="shared" si="2296"/>
        <v>0</v>
      </c>
      <c r="BH189" s="200">
        <f t="shared" si="2296"/>
        <v>0</v>
      </c>
      <c r="BI189" s="200">
        <f t="shared" si="2296"/>
        <v>0</v>
      </c>
      <c r="BJ189" s="200">
        <f t="shared" si="2296"/>
        <v>0</v>
      </c>
      <c r="BK189" s="200">
        <f t="shared" si="2296"/>
        <v>0</v>
      </c>
      <c r="BL189" s="200">
        <f t="shared" si="2296"/>
        <v>0</v>
      </c>
      <c r="BM189" s="200">
        <f t="shared" si="2296"/>
        <v>0</v>
      </c>
      <c r="BN189" s="200">
        <f t="shared" si="2296"/>
        <v>0</v>
      </c>
      <c r="BO189" s="200">
        <f t="shared" si="2296"/>
        <v>0</v>
      </c>
      <c r="BP189" s="200">
        <f t="shared" si="2296"/>
        <v>0</v>
      </c>
      <c r="BQ189" s="200">
        <f t="shared" si="2296"/>
        <v>0</v>
      </c>
      <c r="BR189" s="200">
        <f t="shared" si="2296"/>
        <v>0</v>
      </c>
      <c r="BS189" s="374">
        <f t="shared" si="2296"/>
        <v>0</v>
      </c>
      <c r="BT189" s="200">
        <f t="shared" ref="BT189:DC189" si="2297">++BT167</f>
        <v>0</v>
      </c>
      <c r="BU189" s="200">
        <f t="shared" si="2297"/>
        <v>0</v>
      </c>
      <c r="BV189" s="200">
        <f t="shared" si="2297"/>
        <v>0</v>
      </c>
      <c r="BW189" s="200">
        <f t="shared" si="2297"/>
        <v>0</v>
      </c>
      <c r="BX189" s="200">
        <f t="shared" si="2297"/>
        <v>0</v>
      </c>
      <c r="BY189" s="200">
        <f t="shared" si="2297"/>
        <v>0</v>
      </c>
      <c r="BZ189" s="200">
        <f t="shared" si="2297"/>
        <v>0</v>
      </c>
      <c r="CA189" s="200">
        <f t="shared" si="2297"/>
        <v>0</v>
      </c>
      <c r="CB189" s="200">
        <f t="shared" si="2297"/>
        <v>0</v>
      </c>
      <c r="CC189" s="200">
        <f t="shared" si="2297"/>
        <v>0</v>
      </c>
      <c r="CD189" s="200">
        <f t="shared" si="2297"/>
        <v>0</v>
      </c>
      <c r="CE189" s="374">
        <f t="shared" si="2297"/>
        <v>0</v>
      </c>
      <c r="CF189" s="200">
        <f t="shared" si="2297"/>
        <v>0</v>
      </c>
      <c r="CG189" s="200">
        <f t="shared" si="2297"/>
        <v>0</v>
      </c>
      <c r="CH189" s="200">
        <f t="shared" si="2297"/>
        <v>0</v>
      </c>
      <c r="CI189" s="200">
        <f t="shared" si="2297"/>
        <v>0</v>
      </c>
      <c r="CJ189" s="200">
        <f t="shared" si="2297"/>
        <v>0</v>
      </c>
      <c r="CK189" s="200">
        <f t="shared" si="2297"/>
        <v>0</v>
      </c>
      <c r="CL189" s="200">
        <f t="shared" si="2297"/>
        <v>0</v>
      </c>
      <c r="CM189" s="200">
        <f t="shared" si="2297"/>
        <v>0</v>
      </c>
      <c r="CN189" s="200">
        <f t="shared" si="2297"/>
        <v>0</v>
      </c>
      <c r="CO189" s="200">
        <f t="shared" si="2297"/>
        <v>0</v>
      </c>
      <c r="CP189" s="200">
        <f t="shared" si="2297"/>
        <v>0</v>
      </c>
      <c r="CQ189" s="374">
        <f t="shared" si="2297"/>
        <v>0</v>
      </c>
      <c r="CR189" s="200">
        <f t="shared" si="2297"/>
        <v>0</v>
      </c>
      <c r="CS189" s="200">
        <f t="shared" si="2297"/>
        <v>0</v>
      </c>
      <c r="CT189" s="200">
        <f t="shared" si="2297"/>
        <v>0</v>
      </c>
      <c r="CU189" s="200">
        <f t="shared" si="2297"/>
        <v>0</v>
      </c>
      <c r="CV189" s="200">
        <f t="shared" si="2297"/>
        <v>0</v>
      </c>
      <c r="CW189" s="200">
        <f t="shared" si="2297"/>
        <v>0</v>
      </c>
      <c r="CX189" s="200">
        <f t="shared" si="2297"/>
        <v>0</v>
      </c>
      <c r="CY189" s="200">
        <f t="shared" si="2297"/>
        <v>0</v>
      </c>
      <c r="CZ189" s="200">
        <f t="shared" si="2297"/>
        <v>0</v>
      </c>
      <c r="DA189" s="200">
        <f t="shared" si="2297"/>
        <v>0</v>
      </c>
      <c r="DB189" s="200">
        <f t="shared" si="2297"/>
        <v>0</v>
      </c>
      <c r="DC189" s="374">
        <f t="shared" si="2297"/>
        <v>0</v>
      </c>
    </row>
    <row r="190" spans="3:107" x14ac:dyDescent="0.3">
      <c r="C190" s="101" t="str">
        <f>++C$43</f>
        <v>Amortization</v>
      </c>
      <c r="G190" s="374">
        <f t="shared" ref="G190:BR190" si="2298">++G168</f>
        <v>0</v>
      </c>
      <c r="H190" s="200">
        <f t="shared" si="2298"/>
        <v>0</v>
      </c>
      <c r="I190" s="200">
        <f t="shared" si="2298"/>
        <v>0</v>
      </c>
      <c r="J190" s="200">
        <f t="shared" si="2298"/>
        <v>0</v>
      </c>
      <c r="K190" s="374">
        <f t="shared" si="2298"/>
        <v>0</v>
      </c>
      <c r="L190" s="200">
        <f t="shared" si="2298"/>
        <v>0</v>
      </c>
      <c r="M190" s="200">
        <f t="shared" si="2298"/>
        <v>0</v>
      </c>
      <c r="N190" s="200">
        <f t="shared" si="2298"/>
        <v>0</v>
      </c>
      <c r="O190" s="200">
        <f t="shared" si="2298"/>
        <v>0</v>
      </c>
      <c r="P190" s="200">
        <f t="shared" si="2298"/>
        <v>0</v>
      </c>
      <c r="Q190" s="200">
        <f t="shared" si="2298"/>
        <v>0</v>
      </c>
      <c r="R190" s="200">
        <f t="shared" si="2298"/>
        <v>0</v>
      </c>
      <c r="S190" s="200">
        <f t="shared" si="2298"/>
        <v>0</v>
      </c>
      <c r="T190" s="200">
        <f t="shared" si="2298"/>
        <v>0</v>
      </c>
      <c r="U190" s="200">
        <f t="shared" si="2298"/>
        <v>0</v>
      </c>
      <c r="V190" s="200">
        <f t="shared" si="2298"/>
        <v>0</v>
      </c>
      <c r="W190" s="374">
        <f t="shared" si="2298"/>
        <v>0</v>
      </c>
      <c r="X190" s="200">
        <f t="shared" si="2298"/>
        <v>0</v>
      </c>
      <c r="Y190" s="200">
        <f t="shared" si="2298"/>
        <v>0</v>
      </c>
      <c r="Z190" s="200">
        <f t="shared" si="2298"/>
        <v>0</v>
      </c>
      <c r="AA190" s="200">
        <f t="shared" si="2298"/>
        <v>0</v>
      </c>
      <c r="AB190" s="200">
        <f t="shared" si="2298"/>
        <v>0</v>
      </c>
      <c r="AC190" s="200">
        <f t="shared" si="2298"/>
        <v>0</v>
      </c>
      <c r="AD190" s="200">
        <f t="shared" si="2298"/>
        <v>0</v>
      </c>
      <c r="AE190" s="200">
        <f t="shared" si="2298"/>
        <v>0</v>
      </c>
      <c r="AF190" s="200">
        <f t="shared" si="2298"/>
        <v>0</v>
      </c>
      <c r="AG190" s="200">
        <f t="shared" si="2298"/>
        <v>0</v>
      </c>
      <c r="AH190" s="200">
        <f t="shared" si="2298"/>
        <v>0</v>
      </c>
      <c r="AI190" s="374">
        <f t="shared" si="2298"/>
        <v>0</v>
      </c>
      <c r="AJ190" s="200">
        <f t="shared" si="2298"/>
        <v>0</v>
      </c>
      <c r="AK190" s="200">
        <f t="shared" si="2298"/>
        <v>0</v>
      </c>
      <c r="AL190" s="200">
        <f t="shared" si="2298"/>
        <v>0</v>
      </c>
      <c r="AM190" s="200">
        <f t="shared" si="2298"/>
        <v>0</v>
      </c>
      <c r="AN190" s="200">
        <f t="shared" si="2298"/>
        <v>0</v>
      </c>
      <c r="AO190" s="200">
        <f t="shared" si="2298"/>
        <v>0</v>
      </c>
      <c r="AP190" s="200">
        <f t="shared" si="2298"/>
        <v>0</v>
      </c>
      <c r="AQ190" s="200">
        <f t="shared" si="2298"/>
        <v>0</v>
      </c>
      <c r="AR190" s="200">
        <f t="shared" si="2298"/>
        <v>0</v>
      </c>
      <c r="AS190" s="200">
        <f t="shared" si="2298"/>
        <v>0</v>
      </c>
      <c r="AT190" s="200">
        <f t="shared" si="2298"/>
        <v>0</v>
      </c>
      <c r="AU190" s="374">
        <f t="shared" si="2298"/>
        <v>0</v>
      </c>
      <c r="AV190" s="200">
        <f t="shared" si="2298"/>
        <v>0</v>
      </c>
      <c r="AW190" s="200">
        <f t="shared" si="2298"/>
        <v>0</v>
      </c>
      <c r="AX190" s="200">
        <f t="shared" si="2298"/>
        <v>0</v>
      </c>
      <c r="AY190" s="200">
        <f t="shared" si="2298"/>
        <v>0</v>
      </c>
      <c r="AZ190" s="200">
        <f t="shared" si="2298"/>
        <v>0</v>
      </c>
      <c r="BA190" s="200">
        <f t="shared" si="2298"/>
        <v>0</v>
      </c>
      <c r="BB190" s="200">
        <f t="shared" si="2298"/>
        <v>0</v>
      </c>
      <c r="BC190" s="200">
        <f t="shared" si="2298"/>
        <v>0</v>
      </c>
      <c r="BD190" s="200">
        <f t="shared" si="2298"/>
        <v>0</v>
      </c>
      <c r="BE190" s="200">
        <f t="shared" si="2298"/>
        <v>0</v>
      </c>
      <c r="BF190" s="200">
        <f t="shared" si="2298"/>
        <v>0</v>
      </c>
      <c r="BG190" s="374">
        <f t="shared" si="2298"/>
        <v>0</v>
      </c>
      <c r="BH190" s="200">
        <f t="shared" si="2298"/>
        <v>0</v>
      </c>
      <c r="BI190" s="200">
        <f t="shared" si="2298"/>
        <v>0</v>
      </c>
      <c r="BJ190" s="200">
        <f t="shared" si="2298"/>
        <v>0</v>
      </c>
      <c r="BK190" s="200">
        <f t="shared" si="2298"/>
        <v>0</v>
      </c>
      <c r="BL190" s="200">
        <f t="shared" si="2298"/>
        <v>0</v>
      </c>
      <c r="BM190" s="200">
        <f t="shared" si="2298"/>
        <v>0</v>
      </c>
      <c r="BN190" s="200">
        <f t="shared" si="2298"/>
        <v>0</v>
      </c>
      <c r="BO190" s="200">
        <f t="shared" si="2298"/>
        <v>0</v>
      </c>
      <c r="BP190" s="200">
        <f t="shared" si="2298"/>
        <v>0</v>
      </c>
      <c r="BQ190" s="200">
        <f t="shared" si="2298"/>
        <v>0</v>
      </c>
      <c r="BR190" s="200">
        <f t="shared" si="2298"/>
        <v>0</v>
      </c>
      <c r="BS190" s="374">
        <f t="shared" ref="BS190:DC190" si="2299">++BS168</f>
        <v>0</v>
      </c>
      <c r="BT190" s="200">
        <f t="shared" si="2299"/>
        <v>0</v>
      </c>
      <c r="BU190" s="200">
        <f t="shared" si="2299"/>
        <v>0</v>
      </c>
      <c r="BV190" s="200">
        <f t="shared" si="2299"/>
        <v>0</v>
      </c>
      <c r="BW190" s="200">
        <f t="shared" si="2299"/>
        <v>0</v>
      </c>
      <c r="BX190" s="200">
        <f t="shared" si="2299"/>
        <v>0</v>
      </c>
      <c r="BY190" s="200">
        <f t="shared" si="2299"/>
        <v>0</v>
      </c>
      <c r="BZ190" s="200">
        <f t="shared" si="2299"/>
        <v>0</v>
      </c>
      <c r="CA190" s="200">
        <f t="shared" si="2299"/>
        <v>0</v>
      </c>
      <c r="CB190" s="200">
        <f t="shared" si="2299"/>
        <v>0</v>
      </c>
      <c r="CC190" s="200">
        <f t="shared" si="2299"/>
        <v>0</v>
      </c>
      <c r="CD190" s="200">
        <f t="shared" si="2299"/>
        <v>0</v>
      </c>
      <c r="CE190" s="374">
        <f t="shared" si="2299"/>
        <v>0</v>
      </c>
      <c r="CF190" s="200">
        <f t="shared" si="2299"/>
        <v>0</v>
      </c>
      <c r="CG190" s="200">
        <f t="shared" si="2299"/>
        <v>0</v>
      </c>
      <c r="CH190" s="200">
        <f t="shared" si="2299"/>
        <v>0</v>
      </c>
      <c r="CI190" s="200">
        <f t="shared" si="2299"/>
        <v>0</v>
      </c>
      <c r="CJ190" s="200">
        <f t="shared" si="2299"/>
        <v>0</v>
      </c>
      <c r="CK190" s="200">
        <f t="shared" si="2299"/>
        <v>0</v>
      </c>
      <c r="CL190" s="200">
        <f t="shared" si="2299"/>
        <v>0</v>
      </c>
      <c r="CM190" s="200">
        <f t="shared" si="2299"/>
        <v>0</v>
      </c>
      <c r="CN190" s="200">
        <f t="shared" si="2299"/>
        <v>0</v>
      </c>
      <c r="CO190" s="200">
        <f t="shared" si="2299"/>
        <v>0</v>
      </c>
      <c r="CP190" s="200">
        <f t="shared" si="2299"/>
        <v>0</v>
      </c>
      <c r="CQ190" s="374">
        <f t="shared" si="2299"/>
        <v>0</v>
      </c>
      <c r="CR190" s="200">
        <f t="shared" si="2299"/>
        <v>0</v>
      </c>
      <c r="CS190" s="200">
        <f t="shared" si="2299"/>
        <v>0</v>
      </c>
      <c r="CT190" s="200">
        <f t="shared" si="2299"/>
        <v>0</v>
      </c>
      <c r="CU190" s="200">
        <f t="shared" si="2299"/>
        <v>0</v>
      </c>
      <c r="CV190" s="200">
        <f t="shared" si="2299"/>
        <v>0</v>
      </c>
      <c r="CW190" s="200">
        <f t="shared" si="2299"/>
        <v>0</v>
      </c>
      <c r="CX190" s="200">
        <f t="shared" si="2299"/>
        <v>0</v>
      </c>
      <c r="CY190" s="200">
        <f t="shared" si="2299"/>
        <v>0</v>
      </c>
      <c r="CZ190" s="200">
        <f t="shared" si="2299"/>
        <v>0</v>
      </c>
      <c r="DA190" s="200">
        <f t="shared" si="2299"/>
        <v>0</v>
      </c>
      <c r="DB190" s="200">
        <f t="shared" si="2299"/>
        <v>0</v>
      </c>
      <c r="DC190" s="374">
        <f t="shared" si="2299"/>
        <v>0</v>
      </c>
    </row>
    <row r="191" spans="3:107" x14ac:dyDescent="0.3">
      <c r="C191" s="231" t="str">
        <f>++C$44</f>
        <v>Reported EBITDA</v>
      </c>
      <c r="D191" s="191"/>
      <c r="E191" s="191"/>
      <c r="G191" s="239">
        <f>++SUM(G187:G190)</f>
        <v>0</v>
      </c>
      <c r="H191" s="232">
        <f t="shared" ref="H191:BS191" si="2300">++SUM(H187:H190)</f>
        <v>0</v>
      </c>
      <c r="I191" s="232">
        <f t="shared" si="2300"/>
        <v>0</v>
      </c>
      <c r="J191" s="232">
        <f t="shared" si="2300"/>
        <v>0</v>
      </c>
      <c r="K191" s="239">
        <f t="shared" si="2300"/>
        <v>0</v>
      </c>
      <c r="L191" s="232">
        <f t="shared" si="2300"/>
        <v>0</v>
      </c>
      <c r="M191" s="232">
        <f t="shared" si="2300"/>
        <v>0</v>
      </c>
      <c r="N191" s="232">
        <f t="shared" si="2300"/>
        <v>0</v>
      </c>
      <c r="O191" s="232">
        <f t="shared" si="2300"/>
        <v>0</v>
      </c>
      <c r="P191" s="232">
        <f t="shared" si="2300"/>
        <v>0</v>
      </c>
      <c r="Q191" s="232">
        <f t="shared" si="2300"/>
        <v>0</v>
      </c>
      <c r="R191" s="232">
        <f t="shared" si="2300"/>
        <v>0</v>
      </c>
      <c r="S191" s="232">
        <f t="shared" si="2300"/>
        <v>0</v>
      </c>
      <c r="T191" s="232">
        <f t="shared" si="2300"/>
        <v>0</v>
      </c>
      <c r="U191" s="232">
        <f t="shared" si="2300"/>
        <v>0</v>
      </c>
      <c r="V191" s="232">
        <f t="shared" si="2300"/>
        <v>0</v>
      </c>
      <c r="W191" s="239">
        <f t="shared" si="2300"/>
        <v>0</v>
      </c>
      <c r="X191" s="232">
        <f t="shared" si="2300"/>
        <v>0</v>
      </c>
      <c r="Y191" s="232">
        <f t="shared" si="2300"/>
        <v>0</v>
      </c>
      <c r="Z191" s="232">
        <f t="shared" si="2300"/>
        <v>0</v>
      </c>
      <c r="AA191" s="232">
        <f t="shared" si="2300"/>
        <v>0</v>
      </c>
      <c r="AB191" s="232">
        <f t="shared" si="2300"/>
        <v>0</v>
      </c>
      <c r="AC191" s="232">
        <f t="shared" si="2300"/>
        <v>0</v>
      </c>
      <c r="AD191" s="232">
        <f t="shared" si="2300"/>
        <v>0</v>
      </c>
      <c r="AE191" s="232">
        <f t="shared" si="2300"/>
        <v>0</v>
      </c>
      <c r="AF191" s="232">
        <f t="shared" si="2300"/>
        <v>0</v>
      </c>
      <c r="AG191" s="232">
        <f t="shared" si="2300"/>
        <v>0</v>
      </c>
      <c r="AH191" s="232">
        <f t="shared" si="2300"/>
        <v>0</v>
      </c>
      <c r="AI191" s="239">
        <f t="shared" si="2300"/>
        <v>0</v>
      </c>
      <c r="AJ191" s="232">
        <f t="shared" si="2300"/>
        <v>0</v>
      </c>
      <c r="AK191" s="232">
        <f t="shared" si="2300"/>
        <v>0</v>
      </c>
      <c r="AL191" s="232">
        <f t="shared" si="2300"/>
        <v>0</v>
      </c>
      <c r="AM191" s="232">
        <f t="shared" si="2300"/>
        <v>0</v>
      </c>
      <c r="AN191" s="232">
        <f t="shared" si="2300"/>
        <v>0</v>
      </c>
      <c r="AO191" s="232">
        <f t="shared" si="2300"/>
        <v>0</v>
      </c>
      <c r="AP191" s="232">
        <f t="shared" si="2300"/>
        <v>0</v>
      </c>
      <c r="AQ191" s="232">
        <f t="shared" si="2300"/>
        <v>0</v>
      </c>
      <c r="AR191" s="232">
        <f t="shared" si="2300"/>
        <v>0</v>
      </c>
      <c r="AS191" s="232">
        <f t="shared" si="2300"/>
        <v>0</v>
      </c>
      <c r="AT191" s="232">
        <f t="shared" si="2300"/>
        <v>0</v>
      </c>
      <c r="AU191" s="239">
        <f t="shared" si="2300"/>
        <v>0</v>
      </c>
      <c r="AV191" s="232">
        <f t="shared" si="2300"/>
        <v>0</v>
      </c>
      <c r="AW191" s="232">
        <f t="shared" si="2300"/>
        <v>0</v>
      </c>
      <c r="AX191" s="232">
        <f t="shared" si="2300"/>
        <v>0</v>
      </c>
      <c r="AY191" s="232">
        <f t="shared" si="2300"/>
        <v>0</v>
      </c>
      <c r="AZ191" s="232">
        <f t="shared" si="2300"/>
        <v>0</v>
      </c>
      <c r="BA191" s="232">
        <f t="shared" si="2300"/>
        <v>0</v>
      </c>
      <c r="BB191" s="232">
        <f t="shared" si="2300"/>
        <v>0</v>
      </c>
      <c r="BC191" s="232">
        <f t="shared" si="2300"/>
        <v>0</v>
      </c>
      <c r="BD191" s="232">
        <f t="shared" si="2300"/>
        <v>0</v>
      </c>
      <c r="BE191" s="232">
        <f t="shared" si="2300"/>
        <v>0</v>
      </c>
      <c r="BF191" s="232">
        <f t="shared" si="2300"/>
        <v>0</v>
      </c>
      <c r="BG191" s="239">
        <f t="shared" si="2300"/>
        <v>0</v>
      </c>
      <c r="BH191" s="232">
        <f t="shared" si="2300"/>
        <v>0</v>
      </c>
      <c r="BI191" s="232">
        <f t="shared" si="2300"/>
        <v>0</v>
      </c>
      <c r="BJ191" s="232">
        <f t="shared" si="2300"/>
        <v>0</v>
      </c>
      <c r="BK191" s="232">
        <f t="shared" si="2300"/>
        <v>0</v>
      </c>
      <c r="BL191" s="232">
        <f t="shared" si="2300"/>
        <v>0</v>
      </c>
      <c r="BM191" s="232">
        <f t="shared" si="2300"/>
        <v>0</v>
      </c>
      <c r="BN191" s="232">
        <f t="shared" si="2300"/>
        <v>0</v>
      </c>
      <c r="BO191" s="232">
        <f t="shared" si="2300"/>
        <v>0</v>
      </c>
      <c r="BP191" s="232">
        <f t="shared" si="2300"/>
        <v>0</v>
      </c>
      <c r="BQ191" s="232">
        <f t="shared" si="2300"/>
        <v>0</v>
      </c>
      <c r="BR191" s="232">
        <f t="shared" si="2300"/>
        <v>0</v>
      </c>
      <c r="BS191" s="239">
        <f t="shared" si="2300"/>
        <v>0</v>
      </c>
      <c r="BT191" s="232">
        <f t="shared" ref="BT191:DC191" si="2301">++SUM(BT187:BT190)</f>
        <v>0</v>
      </c>
      <c r="BU191" s="232">
        <f t="shared" si="2301"/>
        <v>0</v>
      </c>
      <c r="BV191" s="232">
        <f t="shared" si="2301"/>
        <v>0</v>
      </c>
      <c r="BW191" s="232">
        <f t="shared" si="2301"/>
        <v>0</v>
      </c>
      <c r="BX191" s="232">
        <f t="shared" si="2301"/>
        <v>0</v>
      </c>
      <c r="BY191" s="232">
        <f t="shared" si="2301"/>
        <v>0</v>
      </c>
      <c r="BZ191" s="232">
        <f t="shared" si="2301"/>
        <v>0</v>
      </c>
      <c r="CA191" s="232">
        <f t="shared" si="2301"/>
        <v>0</v>
      </c>
      <c r="CB191" s="232">
        <f t="shared" si="2301"/>
        <v>0</v>
      </c>
      <c r="CC191" s="232">
        <f t="shared" si="2301"/>
        <v>0</v>
      </c>
      <c r="CD191" s="232">
        <f t="shared" si="2301"/>
        <v>0</v>
      </c>
      <c r="CE191" s="239">
        <f t="shared" si="2301"/>
        <v>0</v>
      </c>
      <c r="CF191" s="232">
        <f t="shared" si="2301"/>
        <v>0</v>
      </c>
      <c r="CG191" s="232">
        <f t="shared" si="2301"/>
        <v>0</v>
      </c>
      <c r="CH191" s="232">
        <f t="shared" si="2301"/>
        <v>0</v>
      </c>
      <c r="CI191" s="232">
        <f t="shared" si="2301"/>
        <v>0</v>
      </c>
      <c r="CJ191" s="232">
        <f t="shared" si="2301"/>
        <v>0</v>
      </c>
      <c r="CK191" s="232">
        <f t="shared" si="2301"/>
        <v>0</v>
      </c>
      <c r="CL191" s="232">
        <f t="shared" si="2301"/>
        <v>0</v>
      </c>
      <c r="CM191" s="232">
        <f t="shared" si="2301"/>
        <v>0</v>
      </c>
      <c r="CN191" s="232">
        <f t="shared" si="2301"/>
        <v>0</v>
      </c>
      <c r="CO191" s="232">
        <f t="shared" si="2301"/>
        <v>0</v>
      </c>
      <c r="CP191" s="232">
        <f t="shared" si="2301"/>
        <v>0</v>
      </c>
      <c r="CQ191" s="239">
        <f t="shared" si="2301"/>
        <v>0</v>
      </c>
      <c r="CR191" s="232">
        <f t="shared" si="2301"/>
        <v>0</v>
      </c>
      <c r="CS191" s="232">
        <f t="shared" si="2301"/>
        <v>0</v>
      </c>
      <c r="CT191" s="232">
        <f t="shared" si="2301"/>
        <v>0</v>
      </c>
      <c r="CU191" s="232">
        <f t="shared" si="2301"/>
        <v>0</v>
      </c>
      <c r="CV191" s="232">
        <f t="shared" si="2301"/>
        <v>0</v>
      </c>
      <c r="CW191" s="232">
        <f t="shared" si="2301"/>
        <v>0</v>
      </c>
      <c r="CX191" s="232">
        <f t="shared" si="2301"/>
        <v>0</v>
      </c>
      <c r="CY191" s="232">
        <f t="shared" si="2301"/>
        <v>0</v>
      </c>
      <c r="CZ191" s="232">
        <f t="shared" si="2301"/>
        <v>0</v>
      </c>
      <c r="DA191" s="232">
        <f t="shared" si="2301"/>
        <v>0</v>
      </c>
      <c r="DB191" s="232">
        <f t="shared" si="2301"/>
        <v>0</v>
      </c>
      <c r="DC191" s="239">
        <f t="shared" si="2301"/>
        <v>0</v>
      </c>
    </row>
    <row r="192" spans="3:107" x14ac:dyDescent="0.3">
      <c r="C192" s="321" t="str">
        <f>++C$45</f>
        <v>% margin</v>
      </c>
      <c r="G192" s="214" t="str">
        <f>++IFERROR(G191/G157,"n/a")</f>
        <v>n/a</v>
      </c>
      <c r="H192" s="225" t="str">
        <f t="shared" ref="H192" si="2302">++IFERROR(H191/H157,"n/a")</f>
        <v>n/a</v>
      </c>
      <c r="I192" s="225" t="str">
        <f t="shared" ref="I192" si="2303">++IFERROR(I191/I157,"n/a")</f>
        <v>n/a</v>
      </c>
      <c r="J192" s="225" t="str">
        <f t="shared" ref="J192" si="2304">++IFERROR(J191/J157,"n/a")</f>
        <v>n/a</v>
      </c>
      <c r="K192" s="214" t="str">
        <f t="shared" ref="K192" si="2305">++IFERROR(K191/K157,"n/a")</f>
        <v>n/a</v>
      </c>
      <c r="L192" s="225" t="str">
        <f t="shared" ref="L192" si="2306">++IFERROR(L191/L157,"n/a")</f>
        <v>n/a</v>
      </c>
      <c r="M192" s="225" t="str">
        <f t="shared" ref="M192" si="2307">++IFERROR(M191/M157,"n/a")</f>
        <v>n/a</v>
      </c>
      <c r="N192" s="225" t="str">
        <f t="shared" ref="N192" si="2308">++IFERROR(N191/N157,"n/a")</f>
        <v>n/a</v>
      </c>
      <c r="O192" s="225" t="str">
        <f t="shared" ref="O192" si="2309">++IFERROR(O191/O157,"n/a")</f>
        <v>n/a</v>
      </c>
      <c r="P192" s="225" t="str">
        <f t="shared" ref="P192" si="2310">++IFERROR(P191/P157,"n/a")</f>
        <v>n/a</v>
      </c>
      <c r="Q192" s="225" t="str">
        <f t="shared" ref="Q192" si="2311">++IFERROR(Q191/Q157,"n/a")</f>
        <v>n/a</v>
      </c>
      <c r="R192" s="225" t="str">
        <f t="shared" ref="R192" si="2312">++IFERROR(R191/R157,"n/a")</f>
        <v>n/a</v>
      </c>
      <c r="S192" s="225" t="str">
        <f t="shared" ref="S192" si="2313">++IFERROR(S191/S157,"n/a")</f>
        <v>n/a</v>
      </c>
      <c r="T192" s="225" t="str">
        <f t="shared" ref="T192" si="2314">++IFERROR(T191/T157,"n/a")</f>
        <v>n/a</v>
      </c>
      <c r="U192" s="225" t="str">
        <f t="shared" ref="U192" si="2315">++IFERROR(U191/U157,"n/a")</f>
        <v>n/a</v>
      </c>
      <c r="V192" s="225" t="str">
        <f t="shared" ref="V192" si="2316">++IFERROR(V191/V157,"n/a")</f>
        <v>n/a</v>
      </c>
      <c r="W192" s="214" t="str">
        <f t="shared" ref="W192" si="2317">++IFERROR(W191/W157,"n/a")</f>
        <v>n/a</v>
      </c>
      <c r="X192" s="225" t="str">
        <f t="shared" ref="X192" si="2318">++IFERROR(X191/X157,"n/a")</f>
        <v>n/a</v>
      </c>
      <c r="Y192" s="225" t="str">
        <f t="shared" ref="Y192" si="2319">++IFERROR(Y191/Y157,"n/a")</f>
        <v>n/a</v>
      </c>
      <c r="Z192" s="225" t="str">
        <f t="shared" ref="Z192" si="2320">++IFERROR(Z191/Z157,"n/a")</f>
        <v>n/a</v>
      </c>
      <c r="AA192" s="225" t="str">
        <f t="shared" ref="AA192" si="2321">++IFERROR(AA191/AA157,"n/a")</f>
        <v>n/a</v>
      </c>
      <c r="AB192" s="225" t="str">
        <f t="shared" ref="AB192" si="2322">++IFERROR(AB191/AB157,"n/a")</f>
        <v>n/a</v>
      </c>
      <c r="AC192" s="225" t="str">
        <f t="shared" ref="AC192" si="2323">++IFERROR(AC191/AC157,"n/a")</f>
        <v>n/a</v>
      </c>
      <c r="AD192" s="225" t="str">
        <f t="shared" ref="AD192" si="2324">++IFERROR(AD191/AD157,"n/a")</f>
        <v>n/a</v>
      </c>
      <c r="AE192" s="225" t="str">
        <f t="shared" ref="AE192" si="2325">++IFERROR(AE191/AE157,"n/a")</f>
        <v>n/a</v>
      </c>
      <c r="AF192" s="225" t="str">
        <f t="shared" ref="AF192" si="2326">++IFERROR(AF191/AF157,"n/a")</f>
        <v>n/a</v>
      </c>
      <c r="AG192" s="225" t="str">
        <f t="shared" ref="AG192" si="2327">++IFERROR(AG191/AG157,"n/a")</f>
        <v>n/a</v>
      </c>
      <c r="AH192" s="225" t="str">
        <f t="shared" ref="AH192" si="2328">++IFERROR(AH191/AH157,"n/a")</f>
        <v>n/a</v>
      </c>
      <c r="AI192" s="214" t="str">
        <f t="shared" ref="AI192" si="2329">++IFERROR(AI191/AI157,"n/a")</f>
        <v>n/a</v>
      </c>
      <c r="AJ192" s="225" t="str">
        <f t="shared" ref="AJ192" si="2330">++IFERROR(AJ191/AJ157,"n/a")</f>
        <v>n/a</v>
      </c>
      <c r="AK192" s="225" t="str">
        <f t="shared" ref="AK192" si="2331">++IFERROR(AK191/AK157,"n/a")</f>
        <v>n/a</v>
      </c>
      <c r="AL192" s="225" t="str">
        <f t="shared" ref="AL192" si="2332">++IFERROR(AL191/AL157,"n/a")</f>
        <v>n/a</v>
      </c>
      <c r="AM192" s="225" t="str">
        <f t="shared" ref="AM192" si="2333">++IFERROR(AM191/AM157,"n/a")</f>
        <v>n/a</v>
      </c>
      <c r="AN192" s="225" t="str">
        <f t="shared" ref="AN192" si="2334">++IFERROR(AN191/AN157,"n/a")</f>
        <v>n/a</v>
      </c>
      <c r="AO192" s="225" t="str">
        <f t="shared" ref="AO192" si="2335">++IFERROR(AO191/AO157,"n/a")</f>
        <v>n/a</v>
      </c>
      <c r="AP192" s="225" t="str">
        <f t="shared" ref="AP192" si="2336">++IFERROR(AP191/AP157,"n/a")</f>
        <v>n/a</v>
      </c>
      <c r="AQ192" s="225" t="str">
        <f t="shared" ref="AQ192" si="2337">++IFERROR(AQ191/AQ157,"n/a")</f>
        <v>n/a</v>
      </c>
      <c r="AR192" s="225" t="str">
        <f t="shared" ref="AR192" si="2338">++IFERROR(AR191/AR157,"n/a")</f>
        <v>n/a</v>
      </c>
      <c r="AS192" s="225" t="str">
        <f t="shared" ref="AS192" si="2339">++IFERROR(AS191/AS157,"n/a")</f>
        <v>n/a</v>
      </c>
      <c r="AT192" s="225" t="str">
        <f t="shared" ref="AT192" si="2340">++IFERROR(AT191/AT157,"n/a")</f>
        <v>n/a</v>
      </c>
      <c r="AU192" s="214" t="str">
        <f t="shared" ref="AU192" si="2341">++IFERROR(AU191/AU157,"n/a")</f>
        <v>n/a</v>
      </c>
      <c r="AV192" s="225" t="str">
        <f t="shared" ref="AV192" si="2342">++IFERROR(AV191/AV157,"n/a")</f>
        <v>n/a</v>
      </c>
      <c r="AW192" s="225" t="str">
        <f t="shared" ref="AW192" si="2343">++IFERROR(AW191/AW157,"n/a")</f>
        <v>n/a</v>
      </c>
      <c r="AX192" s="225" t="str">
        <f t="shared" ref="AX192" si="2344">++IFERROR(AX191/AX157,"n/a")</f>
        <v>n/a</v>
      </c>
      <c r="AY192" s="225" t="str">
        <f t="shared" ref="AY192" si="2345">++IFERROR(AY191/AY157,"n/a")</f>
        <v>n/a</v>
      </c>
      <c r="AZ192" s="225" t="str">
        <f t="shared" ref="AZ192" si="2346">++IFERROR(AZ191/AZ157,"n/a")</f>
        <v>n/a</v>
      </c>
      <c r="BA192" s="225" t="str">
        <f t="shared" ref="BA192" si="2347">++IFERROR(BA191/BA157,"n/a")</f>
        <v>n/a</v>
      </c>
      <c r="BB192" s="225" t="str">
        <f t="shared" ref="BB192" si="2348">++IFERROR(BB191/BB157,"n/a")</f>
        <v>n/a</v>
      </c>
      <c r="BC192" s="225" t="str">
        <f t="shared" ref="BC192" si="2349">++IFERROR(BC191/BC157,"n/a")</f>
        <v>n/a</v>
      </c>
      <c r="BD192" s="225" t="str">
        <f t="shared" ref="BD192" si="2350">++IFERROR(BD191/BD157,"n/a")</f>
        <v>n/a</v>
      </c>
      <c r="BE192" s="225" t="str">
        <f t="shared" ref="BE192" si="2351">++IFERROR(BE191/BE157,"n/a")</f>
        <v>n/a</v>
      </c>
      <c r="BF192" s="225" t="str">
        <f t="shared" ref="BF192" si="2352">++IFERROR(BF191/BF157,"n/a")</f>
        <v>n/a</v>
      </c>
      <c r="BG192" s="214" t="str">
        <f t="shared" ref="BG192" si="2353">++IFERROR(BG191/BG157,"n/a")</f>
        <v>n/a</v>
      </c>
      <c r="BH192" s="225" t="str">
        <f t="shared" ref="BH192" si="2354">++IFERROR(BH191/BH157,"n/a")</f>
        <v>n/a</v>
      </c>
      <c r="BI192" s="225" t="str">
        <f t="shared" ref="BI192" si="2355">++IFERROR(BI191/BI157,"n/a")</f>
        <v>n/a</v>
      </c>
      <c r="BJ192" s="225" t="str">
        <f t="shared" ref="BJ192" si="2356">++IFERROR(BJ191/BJ157,"n/a")</f>
        <v>n/a</v>
      </c>
      <c r="BK192" s="225" t="str">
        <f t="shared" ref="BK192" si="2357">++IFERROR(BK191/BK157,"n/a")</f>
        <v>n/a</v>
      </c>
      <c r="BL192" s="225" t="str">
        <f t="shared" ref="BL192" si="2358">++IFERROR(BL191/BL157,"n/a")</f>
        <v>n/a</v>
      </c>
      <c r="BM192" s="225" t="str">
        <f t="shared" ref="BM192" si="2359">++IFERROR(BM191/BM157,"n/a")</f>
        <v>n/a</v>
      </c>
      <c r="BN192" s="225" t="str">
        <f t="shared" ref="BN192" si="2360">++IFERROR(BN191/BN157,"n/a")</f>
        <v>n/a</v>
      </c>
      <c r="BO192" s="225" t="str">
        <f t="shared" ref="BO192" si="2361">++IFERROR(BO191/BO157,"n/a")</f>
        <v>n/a</v>
      </c>
      <c r="BP192" s="225" t="str">
        <f t="shared" ref="BP192" si="2362">++IFERROR(BP191/BP157,"n/a")</f>
        <v>n/a</v>
      </c>
      <c r="BQ192" s="225" t="str">
        <f t="shared" ref="BQ192" si="2363">++IFERROR(BQ191/BQ157,"n/a")</f>
        <v>n/a</v>
      </c>
      <c r="BR192" s="225" t="str">
        <f t="shared" ref="BR192" si="2364">++IFERROR(BR191/BR157,"n/a")</f>
        <v>n/a</v>
      </c>
      <c r="BS192" s="214" t="str">
        <f t="shared" ref="BS192" si="2365">++IFERROR(BS191/BS157,"n/a")</f>
        <v>n/a</v>
      </c>
      <c r="BT192" s="225" t="str">
        <f t="shared" ref="BT192" si="2366">++IFERROR(BT191/BT157,"n/a")</f>
        <v>n/a</v>
      </c>
      <c r="BU192" s="225" t="str">
        <f t="shared" ref="BU192" si="2367">++IFERROR(BU191/BU157,"n/a")</f>
        <v>n/a</v>
      </c>
      <c r="BV192" s="225" t="str">
        <f t="shared" ref="BV192" si="2368">++IFERROR(BV191/BV157,"n/a")</f>
        <v>n/a</v>
      </c>
      <c r="BW192" s="225" t="str">
        <f t="shared" ref="BW192" si="2369">++IFERROR(BW191/BW157,"n/a")</f>
        <v>n/a</v>
      </c>
      <c r="BX192" s="225" t="str">
        <f t="shared" ref="BX192" si="2370">++IFERROR(BX191/BX157,"n/a")</f>
        <v>n/a</v>
      </c>
      <c r="BY192" s="225" t="str">
        <f t="shared" ref="BY192" si="2371">++IFERROR(BY191/BY157,"n/a")</f>
        <v>n/a</v>
      </c>
      <c r="BZ192" s="225" t="str">
        <f t="shared" ref="BZ192" si="2372">++IFERROR(BZ191/BZ157,"n/a")</f>
        <v>n/a</v>
      </c>
      <c r="CA192" s="225" t="str">
        <f t="shared" ref="CA192" si="2373">++IFERROR(CA191/CA157,"n/a")</f>
        <v>n/a</v>
      </c>
      <c r="CB192" s="225" t="str">
        <f t="shared" ref="CB192" si="2374">++IFERROR(CB191/CB157,"n/a")</f>
        <v>n/a</v>
      </c>
      <c r="CC192" s="225" t="str">
        <f t="shared" ref="CC192" si="2375">++IFERROR(CC191/CC157,"n/a")</f>
        <v>n/a</v>
      </c>
      <c r="CD192" s="225" t="str">
        <f t="shared" ref="CD192" si="2376">++IFERROR(CD191/CD157,"n/a")</f>
        <v>n/a</v>
      </c>
      <c r="CE192" s="214" t="str">
        <f t="shared" ref="CE192" si="2377">++IFERROR(CE191/CE157,"n/a")</f>
        <v>n/a</v>
      </c>
      <c r="CF192" s="225" t="str">
        <f t="shared" ref="CF192" si="2378">++IFERROR(CF191/CF157,"n/a")</f>
        <v>n/a</v>
      </c>
      <c r="CG192" s="225" t="str">
        <f t="shared" ref="CG192" si="2379">++IFERROR(CG191/CG157,"n/a")</f>
        <v>n/a</v>
      </c>
      <c r="CH192" s="225" t="str">
        <f t="shared" ref="CH192" si="2380">++IFERROR(CH191/CH157,"n/a")</f>
        <v>n/a</v>
      </c>
      <c r="CI192" s="225" t="str">
        <f t="shared" ref="CI192" si="2381">++IFERROR(CI191/CI157,"n/a")</f>
        <v>n/a</v>
      </c>
      <c r="CJ192" s="225" t="str">
        <f t="shared" ref="CJ192" si="2382">++IFERROR(CJ191/CJ157,"n/a")</f>
        <v>n/a</v>
      </c>
      <c r="CK192" s="225" t="str">
        <f t="shared" ref="CK192" si="2383">++IFERROR(CK191/CK157,"n/a")</f>
        <v>n/a</v>
      </c>
      <c r="CL192" s="225" t="str">
        <f t="shared" ref="CL192" si="2384">++IFERROR(CL191/CL157,"n/a")</f>
        <v>n/a</v>
      </c>
      <c r="CM192" s="225" t="str">
        <f t="shared" ref="CM192" si="2385">++IFERROR(CM191/CM157,"n/a")</f>
        <v>n/a</v>
      </c>
      <c r="CN192" s="225" t="str">
        <f t="shared" ref="CN192" si="2386">++IFERROR(CN191/CN157,"n/a")</f>
        <v>n/a</v>
      </c>
      <c r="CO192" s="225" t="str">
        <f t="shared" ref="CO192" si="2387">++IFERROR(CO191/CO157,"n/a")</f>
        <v>n/a</v>
      </c>
      <c r="CP192" s="225" t="str">
        <f t="shared" ref="CP192" si="2388">++IFERROR(CP191/CP157,"n/a")</f>
        <v>n/a</v>
      </c>
      <c r="CQ192" s="214" t="str">
        <f t="shared" ref="CQ192" si="2389">++IFERROR(CQ191/CQ157,"n/a")</f>
        <v>n/a</v>
      </c>
      <c r="CR192" s="225" t="str">
        <f t="shared" ref="CR192" si="2390">++IFERROR(CR191/CR157,"n/a")</f>
        <v>n/a</v>
      </c>
      <c r="CS192" s="225" t="str">
        <f t="shared" ref="CS192" si="2391">++IFERROR(CS191/CS157,"n/a")</f>
        <v>n/a</v>
      </c>
      <c r="CT192" s="225" t="str">
        <f t="shared" ref="CT192" si="2392">++IFERROR(CT191/CT157,"n/a")</f>
        <v>n/a</v>
      </c>
      <c r="CU192" s="225" t="str">
        <f t="shared" ref="CU192" si="2393">++IFERROR(CU191/CU157,"n/a")</f>
        <v>n/a</v>
      </c>
      <c r="CV192" s="225" t="str">
        <f t="shared" ref="CV192" si="2394">++IFERROR(CV191/CV157,"n/a")</f>
        <v>n/a</v>
      </c>
      <c r="CW192" s="225" t="str">
        <f t="shared" ref="CW192" si="2395">++IFERROR(CW191/CW157,"n/a")</f>
        <v>n/a</v>
      </c>
      <c r="CX192" s="225" t="str">
        <f t="shared" ref="CX192" si="2396">++IFERROR(CX191/CX157,"n/a")</f>
        <v>n/a</v>
      </c>
      <c r="CY192" s="225" t="str">
        <f t="shared" ref="CY192" si="2397">++IFERROR(CY191/CY157,"n/a")</f>
        <v>n/a</v>
      </c>
      <c r="CZ192" s="225" t="str">
        <f t="shared" ref="CZ192" si="2398">++IFERROR(CZ191/CZ157,"n/a")</f>
        <v>n/a</v>
      </c>
      <c r="DA192" s="225" t="str">
        <f t="shared" ref="DA192" si="2399">++IFERROR(DA191/DA157,"n/a")</f>
        <v>n/a</v>
      </c>
      <c r="DB192" s="225" t="str">
        <f t="shared" ref="DB192" si="2400">++IFERROR(DB191/DB157,"n/a")</f>
        <v>n/a</v>
      </c>
      <c r="DC192" s="214" t="str">
        <f t="shared" ref="DC192" si="2401">++IFERROR(DC191/DC157,"n/a")</f>
        <v>n/a</v>
      </c>
    </row>
    <row r="193" spans="1:107" x14ac:dyDescent="0.3">
      <c r="C193" s="321" t="str">
        <f>++C$46</f>
        <v>% y/y</v>
      </c>
      <c r="G193" s="122" t="s">
        <v>47</v>
      </c>
      <c r="H193" s="122" t="s">
        <v>47</v>
      </c>
      <c r="I193" s="122" t="s">
        <v>47</v>
      </c>
      <c r="J193" s="122" t="s">
        <v>47</v>
      </c>
      <c r="K193" s="214" t="str">
        <f>++IFERROR(K191/G191-1,"n/a")</f>
        <v>n/a</v>
      </c>
      <c r="L193" s="122" t="s">
        <v>47</v>
      </c>
      <c r="M193" s="122" t="s">
        <v>47</v>
      </c>
      <c r="N193" s="225" t="str">
        <f>++IFERROR(N191/H191-1,"n/a")</f>
        <v>n/a</v>
      </c>
      <c r="O193" s="122" t="s">
        <v>47</v>
      </c>
      <c r="P193" s="122" t="s">
        <v>47</v>
      </c>
      <c r="Q193" s="225" t="str">
        <f>++IFERROR(Q191/I191-1,"n/a")</f>
        <v>n/a</v>
      </c>
      <c r="R193" s="122" t="s">
        <v>47</v>
      </c>
      <c r="S193" s="122" t="s">
        <v>47</v>
      </c>
      <c r="T193" s="225" t="str">
        <f>++IFERROR(T191/J191-1,"n/a")</f>
        <v>n/a</v>
      </c>
      <c r="U193" s="122" t="s">
        <v>47</v>
      </c>
      <c r="V193" s="122" t="s">
        <v>47</v>
      </c>
      <c r="W193" s="214" t="str">
        <f t="shared" ref="W193:BB193" si="2402">++IFERROR(W191/K191-1,"n/a")</f>
        <v>n/a</v>
      </c>
      <c r="X193" s="225" t="str">
        <f t="shared" si="2402"/>
        <v>n/a</v>
      </c>
      <c r="Y193" s="225" t="str">
        <f t="shared" si="2402"/>
        <v>n/a</v>
      </c>
      <c r="Z193" s="225" t="str">
        <f t="shared" si="2402"/>
        <v>n/a</v>
      </c>
      <c r="AA193" s="225" t="str">
        <f t="shared" si="2402"/>
        <v>n/a</v>
      </c>
      <c r="AB193" s="225" t="str">
        <f t="shared" si="2402"/>
        <v>n/a</v>
      </c>
      <c r="AC193" s="225" t="str">
        <f t="shared" si="2402"/>
        <v>n/a</v>
      </c>
      <c r="AD193" s="225" t="str">
        <f t="shared" si="2402"/>
        <v>n/a</v>
      </c>
      <c r="AE193" s="225" t="str">
        <f t="shared" si="2402"/>
        <v>n/a</v>
      </c>
      <c r="AF193" s="225" t="str">
        <f t="shared" si="2402"/>
        <v>n/a</v>
      </c>
      <c r="AG193" s="225" t="str">
        <f t="shared" si="2402"/>
        <v>n/a</v>
      </c>
      <c r="AH193" s="225" t="str">
        <f t="shared" si="2402"/>
        <v>n/a</v>
      </c>
      <c r="AI193" s="214" t="str">
        <f t="shared" si="2402"/>
        <v>n/a</v>
      </c>
      <c r="AJ193" s="225" t="str">
        <f t="shared" si="2402"/>
        <v>n/a</v>
      </c>
      <c r="AK193" s="225" t="str">
        <f t="shared" si="2402"/>
        <v>n/a</v>
      </c>
      <c r="AL193" s="225" t="str">
        <f t="shared" si="2402"/>
        <v>n/a</v>
      </c>
      <c r="AM193" s="225" t="str">
        <f t="shared" si="2402"/>
        <v>n/a</v>
      </c>
      <c r="AN193" s="225" t="str">
        <f t="shared" si="2402"/>
        <v>n/a</v>
      </c>
      <c r="AO193" s="225" t="str">
        <f t="shared" si="2402"/>
        <v>n/a</v>
      </c>
      <c r="AP193" s="225" t="str">
        <f t="shared" si="2402"/>
        <v>n/a</v>
      </c>
      <c r="AQ193" s="225" t="str">
        <f t="shared" si="2402"/>
        <v>n/a</v>
      </c>
      <c r="AR193" s="225" t="str">
        <f t="shared" si="2402"/>
        <v>n/a</v>
      </c>
      <c r="AS193" s="225" t="str">
        <f t="shared" si="2402"/>
        <v>n/a</v>
      </c>
      <c r="AT193" s="225" t="str">
        <f t="shared" si="2402"/>
        <v>n/a</v>
      </c>
      <c r="AU193" s="214" t="str">
        <f t="shared" si="2402"/>
        <v>n/a</v>
      </c>
      <c r="AV193" s="225" t="str">
        <f t="shared" si="2402"/>
        <v>n/a</v>
      </c>
      <c r="AW193" s="225" t="str">
        <f t="shared" si="2402"/>
        <v>n/a</v>
      </c>
      <c r="AX193" s="225" t="str">
        <f t="shared" si="2402"/>
        <v>n/a</v>
      </c>
      <c r="AY193" s="225" t="str">
        <f t="shared" si="2402"/>
        <v>n/a</v>
      </c>
      <c r="AZ193" s="225" t="str">
        <f t="shared" si="2402"/>
        <v>n/a</v>
      </c>
      <c r="BA193" s="225" t="str">
        <f t="shared" si="2402"/>
        <v>n/a</v>
      </c>
      <c r="BB193" s="225" t="str">
        <f t="shared" si="2402"/>
        <v>n/a</v>
      </c>
      <c r="BC193" s="225" t="str">
        <f t="shared" ref="BC193:CH193" si="2403">++IFERROR(BC191/AQ191-1,"n/a")</f>
        <v>n/a</v>
      </c>
      <c r="BD193" s="225" t="str">
        <f t="shared" si="2403"/>
        <v>n/a</v>
      </c>
      <c r="BE193" s="225" t="str">
        <f t="shared" si="2403"/>
        <v>n/a</v>
      </c>
      <c r="BF193" s="225" t="str">
        <f t="shared" si="2403"/>
        <v>n/a</v>
      </c>
      <c r="BG193" s="214" t="str">
        <f t="shared" si="2403"/>
        <v>n/a</v>
      </c>
      <c r="BH193" s="225" t="str">
        <f t="shared" si="2403"/>
        <v>n/a</v>
      </c>
      <c r="BI193" s="225" t="str">
        <f t="shared" si="2403"/>
        <v>n/a</v>
      </c>
      <c r="BJ193" s="225" t="str">
        <f t="shared" si="2403"/>
        <v>n/a</v>
      </c>
      <c r="BK193" s="225" t="str">
        <f t="shared" si="2403"/>
        <v>n/a</v>
      </c>
      <c r="BL193" s="225" t="str">
        <f t="shared" si="2403"/>
        <v>n/a</v>
      </c>
      <c r="BM193" s="225" t="str">
        <f t="shared" si="2403"/>
        <v>n/a</v>
      </c>
      <c r="BN193" s="225" t="str">
        <f t="shared" si="2403"/>
        <v>n/a</v>
      </c>
      <c r="BO193" s="225" t="str">
        <f t="shared" si="2403"/>
        <v>n/a</v>
      </c>
      <c r="BP193" s="225" t="str">
        <f t="shared" si="2403"/>
        <v>n/a</v>
      </c>
      <c r="BQ193" s="225" t="str">
        <f t="shared" si="2403"/>
        <v>n/a</v>
      </c>
      <c r="BR193" s="225" t="str">
        <f t="shared" si="2403"/>
        <v>n/a</v>
      </c>
      <c r="BS193" s="214" t="str">
        <f t="shared" si="2403"/>
        <v>n/a</v>
      </c>
      <c r="BT193" s="225" t="str">
        <f t="shared" si="2403"/>
        <v>n/a</v>
      </c>
      <c r="BU193" s="225" t="str">
        <f t="shared" si="2403"/>
        <v>n/a</v>
      </c>
      <c r="BV193" s="225" t="str">
        <f t="shared" si="2403"/>
        <v>n/a</v>
      </c>
      <c r="BW193" s="225" t="str">
        <f t="shared" si="2403"/>
        <v>n/a</v>
      </c>
      <c r="BX193" s="225" t="str">
        <f t="shared" si="2403"/>
        <v>n/a</v>
      </c>
      <c r="BY193" s="225" t="str">
        <f t="shared" si="2403"/>
        <v>n/a</v>
      </c>
      <c r="BZ193" s="225" t="str">
        <f t="shared" si="2403"/>
        <v>n/a</v>
      </c>
      <c r="CA193" s="225" t="str">
        <f t="shared" si="2403"/>
        <v>n/a</v>
      </c>
      <c r="CB193" s="225" t="str">
        <f t="shared" si="2403"/>
        <v>n/a</v>
      </c>
      <c r="CC193" s="225" t="str">
        <f t="shared" si="2403"/>
        <v>n/a</v>
      </c>
      <c r="CD193" s="225" t="str">
        <f t="shared" si="2403"/>
        <v>n/a</v>
      </c>
      <c r="CE193" s="214" t="str">
        <f t="shared" si="2403"/>
        <v>n/a</v>
      </c>
      <c r="CF193" s="225" t="str">
        <f t="shared" si="2403"/>
        <v>n/a</v>
      </c>
      <c r="CG193" s="225" t="str">
        <f t="shared" si="2403"/>
        <v>n/a</v>
      </c>
      <c r="CH193" s="225" t="str">
        <f t="shared" si="2403"/>
        <v>n/a</v>
      </c>
      <c r="CI193" s="225" t="str">
        <f t="shared" ref="CI193:DN193" si="2404">++IFERROR(CI191/BW191-1,"n/a")</f>
        <v>n/a</v>
      </c>
      <c r="CJ193" s="225" t="str">
        <f t="shared" si="2404"/>
        <v>n/a</v>
      </c>
      <c r="CK193" s="225" t="str">
        <f t="shared" si="2404"/>
        <v>n/a</v>
      </c>
      <c r="CL193" s="225" t="str">
        <f t="shared" si="2404"/>
        <v>n/a</v>
      </c>
      <c r="CM193" s="225" t="str">
        <f t="shared" si="2404"/>
        <v>n/a</v>
      </c>
      <c r="CN193" s="225" t="str">
        <f t="shared" si="2404"/>
        <v>n/a</v>
      </c>
      <c r="CO193" s="225" t="str">
        <f t="shared" si="2404"/>
        <v>n/a</v>
      </c>
      <c r="CP193" s="225" t="str">
        <f t="shared" si="2404"/>
        <v>n/a</v>
      </c>
      <c r="CQ193" s="214" t="str">
        <f t="shared" si="2404"/>
        <v>n/a</v>
      </c>
      <c r="CR193" s="225" t="str">
        <f t="shared" si="2404"/>
        <v>n/a</v>
      </c>
      <c r="CS193" s="225" t="str">
        <f t="shared" si="2404"/>
        <v>n/a</v>
      </c>
      <c r="CT193" s="225" t="str">
        <f t="shared" si="2404"/>
        <v>n/a</v>
      </c>
      <c r="CU193" s="225" t="str">
        <f t="shared" si="2404"/>
        <v>n/a</v>
      </c>
      <c r="CV193" s="225" t="str">
        <f t="shared" si="2404"/>
        <v>n/a</v>
      </c>
      <c r="CW193" s="225" t="str">
        <f t="shared" si="2404"/>
        <v>n/a</v>
      </c>
      <c r="CX193" s="225" t="str">
        <f t="shared" si="2404"/>
        <v>n/a</v>
      </c>
      <c r="CY193" s="225" t="str">
        <f t="shared" si="2404"/>
        <v>n/a</v>
      </c>
      <c r="CZ193" s="225" t="str">
        <f t="shared" si="2404"/>
        <v>n/a</v>
      </c>
      <c r="DA193" s="225" t="str">
        <f t="shared" si="2404"/>
        <v>n/a</v>
      </c>
      <c r="DB193" s="225" t="str">
        <f t="shared" si="2404"/>
        <v>n/a</v>
      </c>
      <c r="DC193" s="214" t="str">
        <f t="shared" si="2404"/>
        <v>n/a</v>
      </c>
    </row>
    <row r="194" spans="1:107" x14ac:dyDescent="0.3">
      <c r="G194" s="203"/>
      <c r="K194" s="203"/>
      <c r="W194" s="203"/>
      <c r="AI194" s="203"/>
      <c r="AU194" s="203"/>
      <c r="BG194" s="203"/>
      <c r="BS194" s="203"/>
      <c r="CE194" s="203"/>
      <c r="CQ194" s="203"/>
      <c r="DC194" s="203"/>
    </row>
    <row r="195" spans="1:107" x14ac:dyDescent="0.3">
      <c r="C195" s="193" t="str">
        <f>++C$48</f>
        <v>CA EBITDA</v>
      </c>
      <c r="G195" s="400">
        <f>++G48</f>
        <v>0</v>
      </c>
      <c r="H195" s="400">
        <f t="shared" ref="H195:BS195" si="2405">++H48</f>
        <v>0</v>
      </c>
      <c r="I195" s="400">
        <f t="shared" si="2405"/>
        <v>0</v>
      </c>
      <c r="J195" s="400">
        <f t="shared" si="2405"/>
        <v>0</v>
      </c>
      <c r="K195" s="400">
        <f t="shared" si="2405"/>
        <v>0</v>
      </c>
      <c r="L195" s="400">
        <f t="shared" si="2405"/>
        <v>0</v>
      </c>
      <c r="M195" s="400">
        <f t="shared" si="2405"/>
        <v>0</v>
      </c>
      <c r="N195" s="400">
        <f t="shared" si="2405"/>
        <v>0</v>
      </c>
      <c r="O195" s="400">
        <f t="shared" si="2405"/>
        <v>0</v>
      </c>
      <c r="P195" s="400">
        <f t="shared" si="2405"/>
        <v>0</v>
      </c>
      <c r="Q195" s="400">
        <f t="shared" si="2405"/>
        <v>0</v>
      </c>
      <c r="R195" s="400">
        <f t="shared" si="2405"/>
        <v>0</v>
      </c>
      <c r="S195" s="400">
        <f t="shared" si="2405"/>
        <v>0</v>
      </c>
      <c r="T195" s="400">
        <f t="shared" si="2405"/>
        <v>0</v>
      </c>
      <c r="U195" s="400">
        <f t="shared" si="2405"/>
        <v>0</v>
      </c>
      <c r="V195" s="400">
        <f t="shared" si="2405"/>
        <v>0</v>
      </c>
      <c r="W195" s="400">
        <f t="shared" si="2405"/>
        <v>0</v>
      </c>
      <c r="X195" s="400">
        <f t="shared" si="2405"/>
        <v>0</v>
      </c>
      <c r="Y195" s="400">
        <f t="shared" si="2405"/>
        <v>0</v>
      </c>
      <c r="Z195" s="400">
        <f t="shared" si="2405"/>
        <v>0</v>
      </c>
      <c r="AA195" s="400">
        <f t="shared" si="2405"/>
        <v>0</v>
      </c>
      <c r="AB195" s="400">
        <f t="shared" si="2405"/>
        <v>0</v>
      </c>
      <c r="AC195" s="400">
        <f t="shared" si="2405"/>
        <v>0</v>
      </c>
      <c r="AD195" s="400">
        <f t="shared" si="2405"/>
        <v>0</v>
      </c>
      <c r="AE195" s="400">
        <f t="shared" si="2405"/>
        <v>0</v>
      </c>
      <c r="AF195" s="400">
        <f t="shared" si="2405"/>
        <v>0</v>
      </c>
      <c r="AG195" s="400">
        <f t="shared" si="2405"/>
        <v>0</v>
      </c>
      <c r="AH195" s="400">
        <f t="shared" si="2405"/>
        <v>0</v>
      </c>
      <c r="AI195" s="400">
        <f t="shared" si="2405"/>
        <v>0</v>
      </c>
      <c r="AJ195" s="400">
        <f t="shared" si="2405"/>
        <v>0</v>
      </c>
      <c r="AK195" s="400">
        <f t="shared" si="2405"/>
        <v>0</v>
      </c>
      <c r="AL195" s="400">
        <f t="shared" si="2405"/>
        <v>0</v>
      </c>
      <c r="AM195" s="400">
        <f t="shared" si="2405"/>
        <v>0</v>
      </c>
      <c r="AN195" s="400">
        <f t="shared" si="2405"/>
        <v>0</v>
      </c>
      <c r="AO195" s="400">
        <f t="shared" si="2405"/>
        <v>0</v>
      </c>
      <c r="AP195" s="400">
        <f t="shared" si="2405"/>
        <v>0</v>
      </c>
      <c r="AQ195" s="400">
        <f t="shared" si="2405"/>
        <v>0</v>
      </c>
      <c r="AR195" s="400">
        <f t="shared" si="2405"/>
        <v>0</v>
      </c>
      <c r="AS195" s="400">
        <f t="shared" si="2405"/>
        <v>0</v>
      </c>
      <c r="AT195" s="400">
        <f t="shared" si="2405"/>
        <v>0</v>
      </c>
      <c r="AU195" s="400">
        <f t="shared" si="2405"/>
        <v>0</v>
      </c>
      <c r="AV195" s="400">
        <f t="shared" si="2405"/>
        <v>0</v>
      </c>
      <c r="AW195" s="400">
        <f t="shared" si="2405"/>
        <v>0</v>
      </c>
      <c r="AX195" s="400">
        <f t="shared" si="2405"/>
        <v>0</v>
      </c>
      <c r="AY195" s="400">
        <f t="shared" si="2405"/>
        <v>0</v>
      </c>
      <c r="AZ195" s="400">
        <f t="shared" si="2405"/>
        <v>0</v>
      </c>
      <c r="BA195" s="400">
        <f t="shared" si="2405"/>
        <v>0</v>
      </c>
      <c r="BB195" s="400">
        <f t="shared" si="2405"/>
        <v>0</v>
      </c>
      <c r="BC195" s="400">
        <f t="shared" si="2405"/>
        <v>0</v>
      </c>
      <c r="BD195" s="400">
        <f t="shared" si="2405"/>
        <v>0</v>
      </c>
      <c r="BE195" s="400">
        <f t="shared" si="2405"/>
        <v>0</v>
      </c>
      <c r="BF195" s="400">
        <f t="shared" si="2405"/>
        <v>0</v>
      </c>
      <c r="BG195" s="400">
        <f t="shared" si="2405"/>
        <v>0</v>
      </c>
      <c r="BH195" s="400">
        <f t="shared" si="2405"/>
        <v>0</v>
      </c>
      <c r="BI195" s="400">
        <f t="shared" si="2405"/>
        <v>0</v>
      </c>
      <c r="BJ195" s="400">
        <f t="shared" si="2405"/>
        <v>0</v>
      </c>
      <c r="BK195" s="400">
        <f t="shared" si="2405"/>
        <v>0</v>
      </c>
      <c r="BL195" s="400">
        <f t="shared" si="2405"/>
        <v>0</v>
      </c>
      <c r="BM195" s="400">
        <f t="shared" si="2405"/>
        <v>0</v>
      </c>
      <c r="BN195" s="400">
        <f t="shared" si="2405"/>
        <v>0</v>
      </c>
      <c r="BO195" s="400">
        <f t="shared" si="2405"/>
        <v>0</v>
      </c>
      <c r="BP195" s="400">
        <f t="shared" si="2405"/>
        <v>0</v>
      </c>
      <c r="BQ195" s="400">
        <f t="shared" si="2405"/>
        <v>0</v>
      </c>
      <c r="BR195" s="400">
        <f t="shared" si="2405"/>
        <v>0</v>
      </c>
      <c r="BS195" s="400">
        <f t="shared" si="2405"/>
        <v>0</v>
      </c>
      <c r="BT195" s="400">
        <f t="shared" ref="BT195:DC195" si="2406">++BT48</f>
        <v>0</v>
      </c>
      <c r="BU195" s="400">
        <f t="shared" si="2406"/>
        <v>0</v>
      </c>
      <c r="BV195" s="400">
        <f t="shared" si="2406"/>
        <v>0</v>
      </c>
      <c r="BW195" s="400">
        <f t="shared" si="2406"/>
        <v>0</v>
      </c>
      <c r="BX195" s="400">
        <f t="shared" si="2406"/>
        <v>0</v>
      </c>
      <c r="BY195" s="400">
        <f t="shared" si="2406"/>
        <v>0</v>
      </c>
      <c r="BZ195" s="400">
        <f t="shared" si="2406"/>
        <v>0</v>
      </c>
      <c r="CA195" s="400">
        <f t="shared" si="2406"/>
        <v>0</v>
      </c>
      <c r="CB195" s="400">
        <f t="shared" si="2406"/>
        <v>0</v>
      </c>
      <c r="CC195" s="400">
        <f t="shared" si="2406"/>
        <v>0</v>
      </c>
      <c r="CD195" s="400">
        <f t="shared" si="2406"/>
        <v>0</v>
      </c>
      <c r="CE195" s="400">
        <f t="shared" si="2406"/>
        <v>0</v>
      </c>
      <c r="CF195" s="400">
        <f t="shared" si="2406"/>
        <v>0</v>
      </c>
      <c r="CG195" s="400">
        <f t="shared" si="2406"/>
        <v>0</v>
      </c>
      <c r="CH195" s="400">
        <f t="shared" si="2406"/>
        <v>0</v>
      </c>
      <c r="CI195" s="400">
        <f t="shared" si="2406"/>
        <v>0</v>
      </c>
      <c r="CJ195" s="400">
        <f t="shared" si="2406"/>
        <v>0</v>
      </c>
      <c r="CK195" s="400">
        <f t="shared" si="2406"/>
        <v>0</v>
      </c>
      <c r="CL195" s="400">
        <f t="shared" si="2406"/>
        <v>0</v>
      </c>
      <c r="CM195" s="400">
        <f t="shared" si="2406"/>
        <v>0</v>
      </c>
      <c r="CN195" s="400">
        <f t="shared" si="2406"/>
        <v>0</v>
      </c>
      <c r="CO195" s="400">
        <f t="shared" si="2406"/>
        <v>0</v>
      </c>
      <c r="CP195" s="400">
        <f t="shared" si="2406"/>
        <v>0</v>
      </c>
      <c r="CQ195" s="400">
        <f t="shared" si="2406"/>
        <v>0</v>
      </c>
      <c r="CR195" s="400">
        <f t="shared" si="2406"/>
        <v>0</v>
      </c>
      <c r="CS195" s="400">
        <f t="shared" si="2406"/>
        <v>0</v>
      </c>
      <c r="CT195" s="400">
        <f t="shared" si="2406"/>
        <v>0</v>
      </c>
      <c r="CU195" s="400">
        <f t="shared" si="2406"/>
        <v>0</v>
      </c>
      <c r="CV195" s="400">
        <f t="shared" si="2406"/>
        <v>0</v>
      </c>
      <c r="CW195" s="400">
        <f t="shared" si="2406"/>
        <v>0</v>
      </c>
      <c r="CX195" s="400">
        <f t="shared" si="2406"/>
        <v>0</v>
      </c>
      <c r="CY195" s="400">
        <f t="shared" si="2406"/>
        <v>0</v>
      </c>
      <c r="CZ195" s="400">
        <f t="shared" si="2406"/>
        <v>0</v>
      </c>
      <c r="DA195" s="400">
        <f t="shared" si="2406"/>
        <v>0</v>
      </c>
      <c r="DB195" s="400">
        <f t="shared" si="2406"/>
        <v>0</v>
      </c>
      <c r="DC195" s="400">
        <f t="shared" si="2406"/>
        <v>0</v>
      </c>
    </row>
    <row r="196" spans="1:107" x14ac:dyDescent="0.3">
      <c r="C196" s="321" t="str">
        <f>++C$49</f>
        <v>% margin</v>
      </c>
      <c r="G196" s="214" t="str">
        <f>++IFERROR(G195/G157,"n/a")</f>
        <v>n/a</v>
      </c>
      <c r="H196" s="225" t="str">
        <f t="shared" ref="H196" si="2407">++IFERROR(H195/H157,"n/a")</f>
        <v>n/a</v>
      </c>
      <c r="I196" s="225" t="str">
        <f t="shared" ref="I196" si="2408">++IFERROR(I195/I157,"n/a")</f>
        <v>n/a</v>
      </c>
      <c r="J196" s="225" t="str">
        <f t="shared" ref="J196" si="2409">++IFERROR(J195/J157,"n/a")</f>
        <v>n/a</v>
      </c>
      <c r="K196" s="214" t="str">
        <f t="shared" ref="K196" si="2410">++IFERROR(K195/K157,"n/a")</f>
        <v>n/a</v>
      </c>
      <c r="L196" s="225" t="str">
        <f t="shared" ref="L196" si="2411">++IFERROR(L195/L157,"n/a")</f>
        <v>n/a</v>
      </c>
      <c r="M196" s="225" t="str">
        <f t="shared" ref="M196" si="2412">++IFERROR(M195/M157,"n/a")</f>
        <v>n/a</v>
      </c>
      <c r="N196" s="225" t="str">
        <f t="shared" ref="N196" si="2413">++IFERROR(N195/N157,"n/a")</f>
        <v>n/a</v>
      </c>
      <c r="O196" s="225" t="str">
        <f t="shared" ref="O196" si="2414">++IFERROR(O195/O157,"n/a")</f>
        <v>n/a</v>
      </c>
      <c r="P196" s="225" t="str">
        <f t="shared" ref="P196" si="2415">++IFERROR(P195/P157,"n/a")</f>
        <v>n/a</v>
      </c>
      <c r="Q196" s="225" t="str">
        <f t="shared" ref="Q196" si="2416">++IFERROR(Q195/Q157,"n/a")</f>
        <v>n/a</v>
      </c>
      <c r="R196" s="225" t="str">
        <f t="shared" ref="R196" si="2417">++IFERROR(R195/R157,"n/a")</f>
        <v>n/a</v>
      </c>
      <c r="S196" s="225" t="str">
        <f t="shared" ref="S196" si="2418">++IFERROR(S195/S157,"n/a")</f>
        <v>n/a</v>
      </c>
      <c r="T196" s="225" t="str">
        <f t="shared" ref="T196" si="2419">++IFERROR(T195/T157,"n/a")</f>
        <v>n/a</v>
      </c>
      <c r="U196" s="225" t="str">
        <f t="shared" ref="U196" si="2420">++IFERROR(U195/U157,"n/a")</f>
        <v>n/a</v>
      </c>
      <c r="V196" s="225" t="str">
        <f t="shared" ref="V196" si="2421">++IFERROR(V195/V157,"n/a")</f>
        <v>n/a</v>
      </c>
      <c r="W196" s="214" t="str">
        <f t="shared" ref="W196" si="2422">++IFERROR(W195/W157,"n/a")</f>
        <v>n/a</v>
      </c>
      <c r="X196" s="225" t="str">
        <f t="shared" ref="X196" si="2423">++IFERROR(X195/X157,"n/a")</f>
        <v>n/a</v>
      </c>
      <c r="Y196" s="225" t="str">
        <f t="shared" ref="Y196" si="2424">++IFERROR(Y195/Y157,"n/a")</f>
        <v>n/a</v>
      </c>
      <c r="Z196" s="225" t="str">
        <f t="shared" ref="Z196" si="2425">++IFERROR(Z195/Z157,"n/a")</f>
        <v>n/a</v>
      </c>
      <c r="AA196" s="225" t="str">
        <f t="shared" ref="AA196" si="2426">++IFERROR(AA195/AA157,"n/a")</f>
        <v>n/a</v>
      </c>
      <c r="AB196" s="225" t="str">
        <f t="shared" ref="AB196" si="2427">++IFERROR(AB195/AB157,"n/a")</f>
        <v>n/a</v>
      </c>
      <c r="AC196" s="225" t="str">
        <f t="shared" ref="AC196" si="2428">++IFERROR(AC195/AC157,"n/a")</f>
        <v>n/a</v>
      </c>
      <c r="AD196" s="225" t="str">
        <f t="shared" ref="AD196" si="2429">++IFERROR(AD195/AD157,"n/a")</f>
        <v>n/a</v>
      </c>
      <c r="AE196" s="225" t="str">
        <f t="shared" ref="AE196" si="2430">++IFERROR(AE195/AE157,"n/a")</f>
        <v>n/a</v>
      </c>
      <c r="AF196" s="225" t="str">
        <f t="shared" ref="AF196" si="2431">++IFERROR(AF195/AF157,"n/a")</f>
        <v>n/a</v>
      </c>
      <c r="AG196" s="225" t="str">
        <f t="shared" ref="AG196" si="2432">++IFERROR(AG195/AG157,"n/a")</f>
        <v>n/a</v>
      </c>
      <c r="AH196" s="225" t="str">
        <f t="shared" ref="AH196" si="2433">++IFERROR(AH195/AH157,"n/a")</f>
        <v>n/a</v>
      </c>
      <c r="AI196" s="214" t="str">
        <f t="shared" ref="AI196" si="2434">++IFERROR(AI195/AI157,"n/a")</f>
        <v>n/a</v>
      </c>
      <c r="AJ196" s="225" t="str">
        <f t="shared" ref="AJ196" si="2435">++IFERROR(AJ195/AJ157,"n/a")</f>
        <v>n/a</v>
      </c>
      <c r="AK196" s="225" t="str">
        <f t="shared" ref="AK196" si="2436">++IFERROR(AK195/AK157,"n/a")</f>
        <v>n/a</v>
      </c>
      <c r="AL196" s="225" t="str">
        <f t="shared" ref="AL196" si="2437">++IFERROR(AL195/AL157,"n/a")</f>
        <v>n/a</v>
      </c>
      <c r="AM196" s="225" t="str">
        <f t="shared" ref="AM196" si="2438">++IFERROR(AM195/AM157,"n/a")</f>
        <v>n/a</v>
      </c>
      <c r="AN196" s="225" t="str">
        <f t="shared" ref="AN196" si="2439">++IFERROR(AN195/AN157,"n/a")</f>
        <v>n/a</v>
      </c>
      <c r="AO196" s="225" t="str">
        <f t="shared" ref="AO196" si="2440">++IFERROR(AO195/AO157,"n/a")</f>
        <v>n/a</v>
      </c>
      <c r="AP196" s="225" t="str">
        <f t="shared" ref="AP196" si="2441">++IFERROR(AP195/AP157,"n/a")</f>
        <v>n/a</v>
      </c>
      <c r="AQ196" s="225" t="str">
        <f t="shared" ref="AQ196" si="2442">++IFERROR(AQ195/AQ157,"n/a")</f>
        <v>n/a</v>
      </c>
      <c r="AR196" s="225" t="str">
        <f t="shared" ref="AR196" si="2443">++IFERROR(AR195/AR157,"n/a")</f>
        <v>n/a</v>
      </c>
      <c r="AS196" s="225" t="str">
        <f t="shared" ref="AS196" si="2444">++IFERROR(AS195/AS157,"n/a")</f>
        <v>n/a</v>
      </c>
      <c r="AT196" s="225" t="str">
        <f t="shared" ref="AT196" si="2445">++IFERROR(AT195/AT157,"n/a")</f>
        <v>n/a</v>
      </c>
      <c r="AU196" s="214" t="str">
        <f t="shared" ref="AU196" si="2446">++IFERROR(AU195/AU157,"n/a")</f>
        <v>n/a</v>
      </c>
      <c r="AV196" s="225" t="str">
        <f t="shared" ref="AV196" si="2447">++IFERROR(AV195/AV157,"n/a")</f>
        <v>n/a</v>
      </c>
      <c r="AW196" s="225" t="str">
        <f t="shared" ref="AW196" si="2448">++IFERROR(AW195/AW157,"n/a")</f>
        <v>n/a</v>
      </c>
      <c r="AX196" s="225" t="str">
        <f t="shared" ref="AX196" si="2449">++IFERROR(AX195/AX157,"n/a")</f>
        <v>n/a</v>
      </c>
      <c r="AY196" s="225" t="str">
        <f t="shared" ref="AY196" si="2450">++IFERROR(AY195/AY157,"n/a")</f>
        <v>n/a</v>
      </c>
      <c r="AZ196" s="225" t="str">
        <f t="shared" ref="AZ196" si="2451">++IFERROR(AZ195/AZ157,"n/a")</f>
        <v>n/a</v>
      </c>
      <c r="BA196" s="225" t="str">
        <f t="shared" ref="BA196" si="2452">++IFERROR(BA195/BA157,"n/a")</f>
        <v>n/a</v>
      </c>
      <c r="BB196" s="225" t="str">
        <f t="shared" ref="BB196" si="2453">++IFERROR(BB195/BB157,"n/a")</f>
        <v>n/a</v>
      </c>
      <c r="BC196" s="225" t="str">
        <f t="shared" ref="BC196" si="2454">++IFERROR(BC195/BC157,"n/a")</f>
        <v>n/a</v>
      </c>
      <c r="BD196" s="225" t="str">
        <f t="shared" ref="BD196" si="2455">++IFERROR(BD195/BD157,"n/a")</f>
        <v>n/a</v>
      </c>
      <c r="BE196" s="225" t="str">
        <f t="shared" ref="BE196" si="2456">++IFERROR(BE195/BE157,"n/a")</f>
        <v>n/a</v>
      </c>
      <c r="BF196" s="225" t="str">
        <f t="shared" ref="BF196" si="2457">++IFERROR(BF195/BF157,"n/a")</f>
        <v>n/a</v>
      </c>
      <c r="BG196" s="214" t="str">
        <f t="shared" ref="BG196" si="2458">++IFERROR(BG195/BG157,"n/a")</f>
        <v>n/a</v>
      </c>
      <c r="BH196" s="225" t="str">
        <f t="shared" ref="BH196" si="2459">++IFERROR(BH195/BH157,"n/a")</f>
        <v>n/a</v>
      </c>
      <c r="BI196" s="225" t="str">
        <f t="shared" ref="BI196" si="2460">++IFERROR(BI195/BI157,"n/a")</f>
        <v>n/a</v>
      </c>
      <c r="BJ196" s="225" t="str">
        <f t="shared" ref="BJ196" si="2461">++IFERROR(BJ195/BJ157,"n/a")</f>
        <v>n/a</v>
      </c>
      <c r="BK196" s="225" t="str">
        <f t="shared" ref="BK196" si="2462">++IFERROR(BK195/BK157,"n/a")</f>
        <v>n/a</v>
      </c>
      <c r="BL196" s="225" t="str">
        <f t="shared" ref="BL196" si="2463">++IFERROR(BL195/BL157,"n/a")</f>
        <v>n/a</v>
      </c>
      <c r="BM196" s="225" t="str">
        <f t="shared" ref="BM196" si="2464">++IFERROR(BM195/BM157,"n/a")</f>
        <v>n/a</v>
      </c>
      <c r="BN196" s="225" t="str">
        <f t="shared" ref="BN196" si="2465">++IFERROR(BN195/BN157,"n/a")</f>
        <v>n/a</v>
      </c>
      <c r="BO196" s="225" t="str">
        <f t="shared" ref="BO196" si="2466">++IFERROR(BO195/BO157,"n/a")</f>
        <v>n/a</v>
      </c>
      <c r="BP196" s="225" t="str">
        <f t="shared" ref="BP196" si="2467">++IFERROR(BP195/BP157,"n/a")</f>
        <v>n/a</v>
      </c>
      <c r="BQ196" s="225" t="str">
        <f t="shared" ref="BQ196" si="2468">++IFERROR(BQ195/BQ157,"n/a")</f>
        <v>n/a</v>
      </c>
      <c r="BR196" s="225" t="str">
        <f t="shared" ref="BR196" si="2469">++IFERROR(BR195/BR157,"n/a")</f>
        <v>n/a</v>
      </c>
      <c r="BS196" s="214" t="str">
        <f t="shared" ref="BS196" si="2470">++IFERROR(BS195/BS157,"n/a")</f>
        <v>n/a</v>
      </c>
      <c r="BT196" s="225" t="str">
        <f t="shared" ref="BT196" si="2471">++IFERROR(BT195/BT157,"n/a")</f>
        <v>n/a</v>
      </c>
      <c r="BU196" s="225" t="str">
        <f t="shared" ref="BU196" si="2472">++IFERROR(BU195/BU157,"n/a")</f>
        <v>n/a</v>
      </c>
      <c r="BV196" s="225" t="str">
        <f t="shared" ref="BV196" si="2473">++IFERROR(BV195/BV157,"n/a")</f>
        <v>n/a</v>
      </c>
      <c r="BW196" s="225" t="str">
        <f t="shared" ref="BW196" si="2474">++IFERROR(BW195/BW157,"n/a")</f>
        <v>n/a</v>
      </c>
      <c r="BX196" s="225" t="str">
        <f t="shared" ref="BX196" si="2475">++IFERROR(BX195/BX157,"n/a")</f>
        <v>n/a</v>
      </c>
      <c r="BY196" s="225" t="str">
        <f t="shared" ref="BY196" si="2476">++IFERROR(BY195/BY157,"n/a")</f>
        <v>n/a</v>
      </c>
      <c r="BZ196" s="225" t="str">
        <f t="shared" ref="BZ196" si="2477">++IFERROR(BZ195/BZ157,"n/a")</f>
        <v>n/a</v>
      </c>
      <c r="CA196" s="225" t="str">
        <f t="shared" ref="CA196" si="2478">++IFERROR(CA195/CA157,"n/a")</f>
        <v>n/a</v>
      </c>
      <c r="CB196" s="225" t="str">
        <f t="shared" ref="CB196" si="2479">++IFERROR(CB195/CB157,"n/a")</f>
        <v>n/a</v>
      </c>
      <c r="CC196" s="225" t="str">
        <f t="shared" ref="CC196" si="2480">++IFERROR(CC195/CC157,"n/a")</f>
        <v>n/a</v>
      </c>
      <c r="CD196" s="225" t="str">
        <f t="shared" ref="CD196" si="2481">++IFERROR(CD195/CD157,"n/a")</f>
        <v>n/a</v>
      </c>
      <c r="CE196" s="214" t="str">
        <f t="shared" ref="CE196" si="2482">++IFERROR(CE195/CE157,"n/a")</f>
        <v>n/a</v>
      </c>
      <c r="CF196" s="225" t="str">
        <f t="shared" ref="CF196" si="2483">++IFERROR(CF195/CF157,"n/a")</f>
        <v>n/a</v>
      </c>
      <c r="CG196" s="225" t="str">
        <f t="shared" ref="CG196" si="2484">++IFERROR(CG195/CG157,"n/a")</f>
        <v>n/a</v>
      </c>
      <c r="CH196" s="225" t="str">
        <f t="shared" ref="CH196" si="2485">++IFERROR(CH195/CH157,"n/a")</f>
        <v>n/a</v>
      </c>
      <c r="CI196" s="225" t="str">
        <f t="shared" ref="CI196" si="2486">++IFERROR(CI195/CI157,"n/a")</f>
        <v>n/a</v>
      </c>
      <c r="CJ196" s="225" t="str">
        <f t="shared" ref="CJ196" si="2487">++IFERROR(CJ195/CJ157,"n/a")</f>
        <v>n/a</v>
      </c>
      <c r="CK196" s="225" t="str">
        <f t="shared" ref="CK196" si="2488">++IFERROR(CK195/CK157,"n/a")</f>
        <v>n/a</v>
      </c>
      <c r="CL196" s="225" t="str">
        <f t="shared" ref="CL196" si="2489">++IFERROR(CL195/CL157,"n/a")</f>
        <v>n/a</v>
      </c>
      <c r="CM196" s="225" t="str">
        <f t="shared" ref="CM196" si="2490">++IFERROR(CM195/CM157,"n/a")</f>
        <v>n/a</v>
      </c>
      <c r="CN196" s="225" t="str">
        <f t="shared" ref="CN196" si="2491">++IFERROR(CN195/CN157,"n/a")</f>
        <v>n/a</v>
      </c>
      <c r="CO196" s="225" t="str">
        <f t="shared" ref="CO196" si="2492">++IFERROR(CO195/CO157,"n/a")</f>
        <v>n/a</v>
      </c>
      <c r="CP196" s="225" t="str">
        <f t="shared" ref="CP196" si="2493">++IFERROR(CP195/CP157,"n/a")</f>
        <v>n/a</v>
      </c>
      <c r="CQ196" s="214" t="str">
        <f t="shared" ref="CQ196" si="2494">++IFERROR(CQ195/CQ157,"n/a")</f>
        <v>n/a</v>
      </c>
      <c r="CR196" s="225" t="str">
        <f t="shared" ref="CR196" si="2495">++IFERROR(CR195/CR157,"n/a")</f>
        <v>n/a</v>
      </c>
      <c r="CS196" s="225" t="str">
        <f t="shared" ref="CS196" si="2496">++IFERROR(CS195/CS157,"n/a")</f>
        <v>n/a</v>
      </c>
      <c r="CT196" s="225" t="str">
        <f t="shared" ref="CT196" si="2497">++IFERROR(CT195/CT157,"n/a")</f>
        <v>n/a</v>
      </c>
      <c r="CU196" s="225" t="str">
        <f t="shared" ref="CU196" si="2498">++IFERROR(CU195/CU157,"n/a")</f>
        <v>n/a</v>
      </c>
      <c r="CV196" s="225" t="str">
        <f t="shared" ref="CV196" si="2499">++IFERROR(CV195/CV157,"n/a")</f>
        <v>n/a</v>
      </c>
      <c r="CW196" s="225" t="str">
        <f t="shared" ref="CW196" si="2500">++IFERROR(CW195/CW157,"n/a")</f>
        <v>n/a</v>
      </c>
      <c r="CX196" s="225" t="str">
        <f t="shared" ref="CX196" si="2501">++IFERROR(CX195/CX157,"n/a")</f>
        <v>n/a</v>
      </c>
      <c r="CY196" s="225" t="str">
        <f t="shared" ref="CY196" si="2502">++IFERROR(CY195/CY157,"n/a")</f>
        <v>n/a</v>
      </c>
      <c r="CZ196" s="225" t="str">
        <f t="shared" ref="CZ196" si="2503">++IFERROR(CZ195/CZ157,"n/a")</f>
        <v>n/a</v>
      </c>
      <c r="DA196" s="225" t="str">
        <f t="shared" ref="DA196" si="2504">++IFERROR(DA195/DA157,"n/a")</f>
        <v>n/a</v>
      </c>
      <c r="DB196" s="225" t="str">
        <f t="shared" ref="DB196" si="2505">++IFERROR(DB195/DB157,"n/a")</f>
        <v>n/a</v>
      </c>
      <c r="DC196" s="214" t="str">
        <f t="shared" ref="DC196" si="2506">++IFERROR(DC195/DC157,"n/a")</f>
        <v>n/a</v>
      </c>
    </row>
    <row r="197" spans="1:107" x14ac:dyDescent="0.3">
      <c r="C197" s="321" t="str">
        <f>++C$50</f>
        <v>% y/y</v>
      </c>
      <c r="G197" s="122" t="s">
        <v>47</v>
      </c>
      <c r="H197" s="122" t="s">
        <v>47</v>
      </c>
      <c r="I197" s="122" t="s">
        <v>47</v>
      </c>
      <c r="J197" s="122" t="s">
        <v>47</v>
      </c>
      <c r="K197" s="214" t="str">
        <f>++IFERROR(K195/G195-1,"n/a")</f>
        <v>n/a</v>
      </c>
      <c r="L197" s="122" t="s">
        <v>47</v>
      </c>
      <c r="M197" s="122" t="s">
        <v>47</v>
      </c>
      <c r="N197" s="225" t="str">
        <f>++IFERROR(N195/H195-1,"n/a")</f>
        <v>n/a</v>
      </c>
      <c r="O197" s="122" t="s">
        <v>47</v>
      </c>
      <c r="P197" s="122" t="s">
        <v>47</v>
      </c>
      <c r="Q197" s="225" t="str">
        <f>++IFERROR(Q195/I195-1,"n/a")</f>
        <v>n/a</v>
      </c>
      <c r="R197" s="122" t="s">
        <v>47</v>
      </c>
      <c r="S197" s="122" t="s">
        <v>47</v>
      </c>
      <c r="T197" s="225" t="str">
        <f>++IFERROR(T195/J195-1,"n/a")</f>
        <v>n/a</v>
      </c>
      <c r="U197" s="122" t="s">
        <v>47</v>
      </c>
      <c r="V197" s="122" t="s">
        <v>47</v>
      </c>
      <c r="W197" s="214" t="str">
        <f t="shared" ref="W197:BB197" si="2507">++IFERROR(W195/K195-1,"n/a")</f>
        <v>n/a</v>
      </c>
      <c r="X197" s="225" t="str">
        <f t="shared" si="2507"/>
        <v>n/a</v>
      </c>
      <c r="Y197" s="225" t="str">
        <f t="shared" si="2507"/>
        <v>n/a</v>
      </c>
      <c r="Z197" s="225" t="str">
        <f t="shared" si="2507"/>
        <v>n/a</v>
      </c>
      <c r="AA197" s="225" t="str">
        <f t="shared" si="2507"/>
        <v>n/a</v>
      </c>
      <c r="AB197" s="225" t="str">
        <f t="shared" si="2507"/>
        <v>n/a</v>
      </c>
      <c r="AC197" s="225" t="str">
        <f t="shared" si="2507"/>
        <v>n/a</v>
      </c>
      <c r="AD197" s="225" t="str">
        <f t="shared" si="2507"/>
        <v>n/a</v>
      </c>
      <c r="AE197" s="225" t="str">
        <f t="shared" si="2507"/>
        <v>n/a</v>
      </c>
      <c r="AF197" s="225" t="str">
        <f t="shared" si="2507"/>
        <v>n/a</v>
      </c>
      <c r="AG197" s="225" t="str">
        <f t="shared" si="2507"/>
        <v>n/a</v>
      </c>
      <c r="AH197" s="225" t="str">
        <f t="shared" si="2507"/>
        <v>n/a</v>
      </c>
      <c r="AI197" s="214" t="str">
        <f t="shared" si="2507"/>
        <v>n/a</v>
      </c>
      <c r="AJ197" s="225" t="str">
        <f t="shared" si="2507"/>
        <v>n/a</v>
      </c>
      <c r="AK197" s="225" t="str">
        <f t="shared" si="2507"/>
        <v>n/a</v>
      </c>
      <c r="AL197" s="225" t="str">
        <f t="shared" si="2507"/>
        <v>n/a</v>
      </c>
      <c r="AM197" s="225" t="str">
        <f t="shared" si="2507"/>
        <v>n/a</v>
      </c>
      <c r="AN197" s="225" t="str">
        <f t="shared" si="2507"/>
        <v>n/a</v>
      </c>
      <c r="AO197" s="225" t="str">
        <f t="shared" si="2507"/>
        <v>n/a</v>
      </c>
      <c r="AP197" s="225" t="str">
        <f t="shared" si="2507"/>
        <v>n/a</v>
      </c>
      <c r="AQ197" s="225" t="str">
        <f t="shared" si="2507"/>
        <v>n/a</v>
      </c>
      <c r="AR197" s="225" t="str">
        <f t="shared" si="2507"/>
        <v>n/a</v>
      </c>
      <c r="AS197" s="225" t="str">
        <f t="shared" si="2507"/>
        <v>n/a</v>
      </c>
      <c r="AT197" s="225" t="str">
        <f t="shared" si="2507"/>
        <v>n/a</v>
      </c>
      <c r="AU197" s="214" t="str">
        <f t="shared" si="2507"/>
        <v>n/a</v>
      </c>
      <c r="AV197" s="225" t="str">
        <f t="shared" si="2507"/>
        <v>n/a</v>
      </c>
      <c r="AW197" s="225" t="str">
        <f t="shared" si="2507"/>
        <v>n/a</v>
      </c>
      <c r="AX197" s="225" t="str">
        <f t="shared" si="2507"/>
        <v>n/a</v>
      </c>
      <c r="AY197" s="225" t="str">
        <f t="shared" si="2507"/>
        <v>n/a</v>
      </c>
      <c r="AZ197" s="225" t="str">
        <f t="shared" si="2507"/>
        <v>n/a</v>
      </c>
      <c r="BA197" s="225" t="str">
        <f t="shared" si="2507"/>
        <v>n/a</v>
      </c>
      <c r="BB197" s="225" t="str">
        <f t="shared" si="2507"/>
        <v>n/a</v>
      </c>
      <c r="BC197" s="225" t="str">
        <f t="shared" ref="BC197:CH197" si="2508">++IFERROR(BC195/AQ195-1,"n/a")</f>
        <v>n/a</v>
      </c>
      <c r="BD197" s="225" t="str">
        <f t="shared" si="2508"/>
        <v>n/a</v>
      </c>
      <c r="BE197" s="225" t="str">
        <f t="shared" si="2508"/>
        <v>n/a</v>
      </c>
      <c r="BF197" s="225" t="str">
        <f t="shared" si="2508"/>
        <v>n/a</v>
      </c>
      <c r="BG197" s="214" t="str">
        <f t="shared" si="2508"/>
        <v>n/a</v>
      </c>
      <c r="BH197" s="225" t="str">
        <f t="shared" si="2508"/>
        <v>n/a</v>
      </c>
      <c r="BI197" s="225" t="str">
        <f t="shared" si="2508"/>
        <v>n/a</v>
      </c>
      <c r="BJ197" s="225" t="str">
        <f t="shared" si="2508"/>
        <v>n/a</v>
      </c>
      <c r="BK197" s="225" t="str">
        <f t="shared" si="2508"/>
        <v>n/a</v>
      </c>
      <c r="BL197" s="225" t="str">
        <f t="shared" si="2508"/>
        <v>n/a</v>
      </c>
      <c r="BM197" s="225" t="str">
        <f t="shared" si="2508"/>
        <v>n/a</v>
      </c>
      <c r="BN197" s="225" t="str">
        <f t="shared" si="2508"/>
        <v>n/a</v>
      </c>
      <c r="BO197" s="225" t="str">
        <f t="shared" si="2508"/>
        <v>n/a</v>
      </c>
      <c r="BP197" s="225" t="str">
        <f t="shared" si="2508"/>
        <v>n/a</v>
      </c>
      <c r="BQ197" s="225" t="str">
        <f t="shared" si="2508"/>
        <v>n/a</v>
      </c>
      <c r="BR197" s="225" t="str">
        <f t="shared" si="2508"/>
        <v>n/a</v>
      </c>
      <c r="BS197" s="214" t="str">
        <f t="shared" si="2508"/>
        <v>n/a</v>
      </c>
      <c r="BT197" s="225" t="str">
        <f t="shared" si="2508"/>
        <v>n/a</v>
      </c>
      <c r="BU197" s="225" t="str">
        <f t="shared" si="2508"/>
        <v>n/a</v>
      </c>
      <c r="BV197" s="225" t="str">
        <f t="shared" si="2508"/>
        <v>n/a</v>
      </c>
      <c r="BW197" s="225" t="str">
        <f t="shared" si="2508"/>
        <v>n/a</v>
      </c>
      <c r="BX197" s="225" t="str">
        <f t="shared" si="2508"/>
        <v>n/a</v>
      </c>
      <c r="BY197" s="225" t="str">
        <f t="shared" si="2508"/>
        <v>n/a</v>
      </c>
      <c r="BZ197" s="225" t="str">
        <f t="shared" si="2508"/>
        <v>n/a</v>
      </c>
      <c r="CA197" s="225" t="str">
        <f t="shared" si="2508"/>
        <v>n/a</v>
      </c>
      <c r="CB197" s="225" t="str">
        <f t="shared" si="2508"/>
        <v>n/a</v>
      </c>
      <c r="CC197" s="225" t="str">
        <f t="shared" si="2508"/>
        <v>n/a</v>
      </c>
      <c r="CD197" s="225" t="str">
        <f t="shared" si="2508"/>
        <v>n/a</v>
      </c>
      <c r="CE197" s="214" t="str">
        <f t="shared" si="2508"/>
        <v>n/a</v>
      </c>
      <c r="CF197" s="225" t="str">
        <f t="shared" si="2508"/>
        <v>n/a</v>
      </c>
      <c r="CG197" s="225" t="str">
        <f t="shared" si="2508"/>
        <v>n/a</v>
      </c>
      <c r="CH197" s="225" t="str">
        <f t="shared" si="2508"/>
        <v>n/a</v>
      </c>
      <c r="CI197" s="225" t="str">
        <f t="shared" ref="CI197:DN197" si="2509">++IFERROR(CI195/BW195-1,"n/a")</f>
        <v>n/a</v>
      </c>
      <c r="CJ197" s="225" t="str">
        <f t="shared" si="2509"/>
        <v>n/a</v>
      </c>
      <c r="CK197" s="225" t="str">
        <f t="shared" si="2509"/>
        <v>n/a</v>
      </c>
      <c r="CL197" s="225" t="str">
        <f t="shared" si="2509"/>
        <v>n/a</v>
      </c>
      <c r="CM197" s="225" t="str">
        <f t="shared" si="2509"/>
        <v>n/a</v>
      </c>
      <c r="CN197" s="225" t="str">
        <f t="shared" si="2509"/>
        <v>n/a</v>
      </c>
      <c r="CO197" s="225" t="str">
        <f t="shared" si="2509"/>
        <v>n/a</v>
      </c>
      <c r="CP197" s="225" t="str">
        <f t="shared" si="2509"/>
        <v>n/a</v>
      </c>
      <c r="CQ197" s="214" t="str">
        <f t="shared" si="2509"/>
        <v>n/a</v>
      </c>
      <c r="CR197" s="225" t="str">
        <f t="shared" si="2509"/>
        <v>n/a</v>
      </c>
      <c r="CS197" s="225" t="str">
        <f t="shared" si="2509"/>
        <v>n/a</v>
      </c>
      <c r="CT197" s="225" t="str">
        <f t="shared" si="2509"/>
        <v>n/a</v>
      </c>
      <c r="CU197" s="225" t="str">
        <f t="shared" si="2509"/>
        <v>n/a</v>
      </c>
      <c r="CV197" s="225" t="str">
        <f t="shared" si="2509"/>
        <v>n/a</v>
      </c>
      <c r="CW197" s="225" t="str">
        <f t="shared" si="2509"/>
        <v>n/a</v>
      </c>
      <c r="CX197" s="225" t="str">
        <f t="shared" si="2509"/>
        <v>n/a</v>
      </c>
      <c r="CY197" s="225" t="str">
        <f t="shared" si="2509"/>
        <v>n/a</v>
      </c>
      <c r="CZ197" s="225" t="str">
        <f t="shared" si="2509"/>
        <v>n/a</v>
      </c>
      <c r="DA197" s="225" t="str">
        <f t="shared" si="2509"/>
        <v>n/a</v>
      </c>
      <c r="DB197" s="225" t="str">
        <f t="shared" si="2509"/>
        <v>n/a</v>
      </c>
      <c r="DC197" s="214" t="str">
        <f t="shared" si="2509"/>
        <v>n/a</v>
      </c>
    </row>
    <row r="198" spans="1:107" x14ac:dyDescent="0.3">
      <c r="G198" s="203"/>
      <c r="K198" s="203"/>
      <c r="W198" s="203"/>
      <c r="AI198" s="203"/>
      <c r="AU198" s="203"/>
      <c r="BG198" s="203"/>
      <c r="BS198" s="203"/>
      <c r="CE198" s="203"/>
      <c r="CQ198" s="203"/>
      <c r="DC198" s="203"/>
    </row>
    <row r="199" spans="1:107" x14ac:dyDescent="0.3">
      <c r="C199" s="193" t="str">
        <f>++C$52</f>
        <v>Capital Expenditures</v>
      </c>
      <c r="G199" s="400">
        <f>++G52</f>
        <v>0</v>
      </c>
      <c r="H199" s="400">
        <f t="shared" ref="H199:BS199" si="2510">++H52</f>
        <v>0</v>
      </c>
      <c r="I199" s="400">
        <f t="shared" si="2510"/>
        <v>0</v>
      </c>
      <c r="J199" s="400">
        <f t="shared" si="2510"/>
        <v>0</v>
      </c>
      <c r="K199" s="400">
        <f t="shared" si="2510"/>
        <v>0</v>
      </c>
      <c r="L199" s="400">
        <f t="shared" si="2510"/>
        <v>0</v>
      </c>
      <c r="M199" s="400">
        <f t="shared" si="2510"/>
        <v>0</v>
      </c>
      <c r="N199" s="400">
        <f t="shared" si="2510"/>
        <v>0</v>
      </c>
      <c r="O199" s="400">
        <f t="shared" si="2510"/>
        <v>0</v>
      </c>
      <c r="P199" s="400">
        <f t="shared" si="2510"/>
        <v>0</v>
      </c>
      <c r="Q199" s="400">
        <f t="shared" si="2510"/>
        <v>0</v>
      </c>
      <c r="R199" s="400">
        <f t="shared" si="2510"/>
        <v>0</v>
      </c>
      <c r="S199" s="400">
        <f t="shared" si="2510"/>
        <v>0</v>
      </c>
      <c r="T199" s="400">
        <f t="shared" si="2510"/>
        <v>0</v>
      </c>
      <c r="U199" s="400">
        <f t="shared" si="2510"/>
        <v>0</v>
      </c>
      <c r="V199" s="400">
        <f t="shared" si="2510"/>
        <v>0</v>
      </c>
      <c r="W199" s="400">
        <f t="shared" si="2510"/>
        <v>0</v>
      </c>
      <c r="X199" s="400">
        <f t="shared" si="2510"/>
        <v>0</v>
      </c>
      <c r="Y199" s="400">
        <f t="shared" si="2510"/>
        <v>0</v>
      </c>
      <c r="Z199" s="400">
        <f t="shared" si="2510"/>
        <v>0</v>
      </c>
      <c r="AA199" s="400">
        <f t="shared" si="2510"/>
        <v>0</v>
      </c>
      <c r="AB199" s="400">
        <f t="shared" si="2510"/>
        <v>0</v>
      </c>
      <c r="AC199" s="400">
        <f t="shared" si="2510"/>
        <v>0</v>
      </c>
      <c r="AD199" s="400">
        <f t="shared" si="2510"/>
        <v>0</v>
      </c>
      <c r="AE199" s="400">
        <f t="shared" si="2510"/>
        <v>0</v>
      </c>
      <c r="AF199" s="400">
        <f t="shared" si="2510"/>
        <v>0</v>
      </c>
      <c r="AG199" s="400">
        <f t="shared" si="2510"/>
        <v>0</v>
      </c>
      <c r="AH199" s="400">
        <f t="shared" si="2510"/>
        <v>0</v>
      </c>
      <c r="AI199" s="400">
        <f t="shared" si="2510"/>
        <v>0</v>
      </c>
      <c r="AJ199" s="400">
        <f t="shared" si="2510"/>
        <v>0</v>
      </c>
      <c r="AK199" s="400">
        <f t="shared" si="2510"/>
        <v>0</v>
      </c>
      <c r="AL199" s="400">
        <f t="shared" si="2510"/>
        <v>0</v>
      </c>
      <c r="AM199" s="400">
        <f t="shared" si="2510"/>
        <v>0</v>
      </c>
      <c r="AN199" s="400">
        <f t="shared" si="2510"/>
        <v>0</v>
      </c>
      <c r="AO199" s="400">
        <f t="shared" si="2510"/>
        <v>0</v>
      </c>
      <c r="AP199" s="400">
        <f t="shared" si="2510"/>
        <v>0</v>
      </c>
      <c r="AQ199" s="400">
        <f t="shared" si="2510"/>
        <v>0</v>
      </c>
      <c r="AR199" s="400">
        <f t="shared" si="2510"/>
        <v>0</v>
      </c>
      <c r="AS199" s="400">
        <f t="shared" si="2510"/>
        <v>0</v>
      </c>
      <c r="AT199" s="400">
        <f t="shared" si="2510"/>
        <v>0</v>
      </c>
      <c r="AU199" s="400">
        <f t="shared" si="2510"/>
        <v>0</v>
      </c>
      <c r="AV199" s="400">
        <f t="shared" si="2510"/>
        <v>0</v>
      </c>
      <c r="AW199" s="400">
        <f t="shared" si="2510"/>
        <v>0</v>
      </c>
      <c r="AX199" s="400">
        <f t="shared" si="2510"/>
        <v>0</v>
      </c>
      <c r="AY199" s="400">
        <f t="shared" si="2510"/>
        <v>0</v>
      </c>
      <c r="AZ199" s="400">
        <f t="shared" si="2510"/>
        <v>0</v>
      </c>
      <c r="BA199" s="400">
        <f t="shared" si="2510"/>
        <v>0</v>
      </c>
      <c r="BB199" s="400">
        <f t="shared" si="2510"/>
        <v>0</v>
      </c>
      <c r="BC199" s="400">
        <f t="shared" si="2510"/>
        <v>0</v>
      </c>
      <c r="BD199" s="400">
        <f t="shared" si="2510"/>
        <v>0</v>
      </c>
      <c r="BE199" s="400">
        <f t="shared" si="2510"/>
        <v>0</v>
      </c>
      <c r="BF199" s="400">
        <f t="shared" si="2510"/>
        <v>0</v>
      </c>
      <c r="BG199" s="400">
        <f t="shared" si="2510"/>
        <v>0</v>
      </c>
      <c r="BH199" s="400">
        <f t="shared" si="2510"/>
        <v>0</v>
      </c>
      <c r="BI199" s="400">
        <f t="shared" si="2510"/>
        <v>0</v>
      </c>
      <c r="BJ199" s="400">
        <f t="shared" si="2510"/>
        <v>0</v>
      </c>
      <c r="BK199" s="400">
        <f t="shared" si="2510"/>
        <v>0</v>
      </c>
      <c r="BL199" s="400">
        <f t="shared" si="2510"/>
        <v>0</v>
      </c>
      <c r="BM199" s="400">
        <f t="shared" si="2510"/>
        <v>0</v>
      </c>
      <c r="BN199" s="400">
        <f t="shared" si="2510"/>
        <v>0</v>
      </c>
      <c r="BO199" s="400">
        <f t="shared" si="2510"/>
        <v>0</v>
      </c>
      <c r="BP199" s="400">
        <f t="shared" si="2510"/>
        <v>0</v>
      </c>
      <c r="BQ199" s="400">
        <f t="shared" si="2510"/>
        <v>0</v>
      </c>
      <c r="BR199" s="400">
        <f t="shared" si="2510"/>
        <v>0</v>
      </c>
      <c r="BS199" s="400">
        <f t="shared" si="2510"/>
        <v>0</v>
      </c>
      <c r="BT199" s="400">
        <f t="shared" ref="BT199:DC199" si="2511">++BT52</f>
        <v>0</v>
      </c>
      <c r="BU199" s="400">
        <f t="shared" si="2511"/>
        <v>0</v>
      </c>
      <c r="BV199" s="400">
        <f t="shared" si="2511"/>
        <v>0</v>
      </c>
      <c r="BW199" s="400">
        <f t="shared" si="2511"/>
        <v>0</v>
      </c>
      <c r="BX199" s="400">
        <f t="shared" si="2511"/>
        <v>0</v>
      </c>
      <c r="BY199" s="400">
        <f t="shared" si="2511"/>
        <v>0</v>
      </c>
      <c r="BZ199" s="400">
        <f t="shared" si="2511"/>
        <v>0</v>
      </c>
      <c r="CA199" s="400">
        <f t="shared" si="2511"/>
        <v>0</v>
      </c>
      <c r="CB199" s="400">
        <f t="shared" si="2511"/>
        <v>0</v>
      </c>
      <c r="CC199" s="400">
        <f t="shared" si="2511"/>
        <v>0</v>
      </c>
      <c r="CD199" s="400">
        <f t="shared" si="2511"/>
        <v>0</v>
      </c>
      <c r="CE199" s="400">
        <f t="shared" si="2511"/>
        <v>0</v>
      </c>
      <c r="CF199" s="400">
        <f t="shared" si="2511"/>
        <v>0</v>
      </c>
      <c r="CG199" s="400">
        <f t="shared" si="2511"/>
        <v>0</v>
      </c>
      <c r="CH199" s="400">
        <f t="shared" si="2511"/>
        <v>0</v>
      </c>
      <c r="CI199" s="400">
        <f t="shared" si="2511"/>
        <v>0</v>
      </c>
      <c r="CJ199" s="400">
        <f t="shared" si="2511"/>
        <v>0</v>
      </c>
      <c r="CK199" s="400">
        <f t="shared" si="2511"/>
        <v>0</v>
      </c>
      <c r="CL199" s="400">
        <f t="shared" si="2511"/>
        <v>0</v>
      </c>
      <c r="CM199" s="400">
        <f t="shared" si="2511"/>
        <v>0</v>
      </c>
      <c r="CN199" s="400">
        <f t="shared" si="2511"/>
        <v>0</v>
      </c>
      <c r="CO199" s="400">
        <f t="shared" si="2511"/>
        <v>0</v>
      </c>
      <c r="CP199" s="400">
        <f t="shared" si="2511"/>
        <v>0</v>
      </c>
      <c r="CQ199" s="400">
        <f t="shared" si="2511"/>
        <v>0</v>
      </c>
      <c r="CR199" s="400">
        <f t="shared" si="2511"/>
        <v>0</v>
      </c>
      <c r="CS199" s="400">
        <f t="shared" si="2511"/>
        <v>0</v>
      </c>
      <c r="CT199" s="400">
        <f t="shared" si="2511"/>
        <v>0</v>
      </c>
      <c r="CU199" s="400">
        <f t="shared" si="2511"/>
        <v>0</v>
      </c>
      <c r="CV199" s="400">
        <f t="shared" si="2511"/>
        <v>0</v>
      </c>
      <c r="CW199" s="400">
        <f t="shared" si="2511"/>
        <v>0</v>
      </c>
      <c r="CX199" s="400">
        <f t="shared" si="2511"/>
        <v>0</v>
      </c>
      <c r="CY199" s="400">
        <f t="shared" si="2511"/>
        <v>0</v>
      </c>
      <c r="CZ199" s="400">
        <f t="shared" si="2511"/>
        <v>0</v>
      </c>
      <c r="DA199" s="400">
        <f t="shared" si="2511"/>
        <v>0</v>
      </c>
      <c r="DB199" s="400">
        <f t="shared" si="2511"/>
        <v>0</v>
      </c>
      <c r="DC199" s="400">
        <f t="shared" si="2511"/>
        <v>0</v>
      </c>
    </row>
    <row r="200" spans="1:107" x14ac:dyDescent="0.3">
      <c r="C200" s="321" t="str">
        <f>++C$53</f>
        <v>% revenue</v>
      </c>
      <c r="G200" s="214" t="str">
        <f>++IFERROR(G199/G157,"n/a")</f>
        <v>n/a</v>
      </c>
      <c r="H200" s="225" t="str">
        <f t="shared" ref="H200" si="2512">++IFERROR(H199/H157,"n/a")</f>
        <v>n/a</v>
      </c>
      <c r="I200" s="225" t="str">
        <f t="shared" ref="I200" si="2513">++IFERROR(I199/I157,"n/a")</f>
        <v>n/a</v>
      </c>
      <c r="J200" s="225" t="str">
        <f t="shared" ref="J200" si="2514">++IFERROR(J199/J157,"n/a")</f>
        <v>n/a</v>
      </c>
      <c r="K200" s="214" t="str">
        <f t="shared" ref="K200" si="2515">++IFERROR(K199/K157,"n/a")</f>
        <v>n/a</v>
      </c>
      <c r="L200" s="225" t="str">
        <f t="shared" ref="L200" si="2516">++IFERROR(L199/L157,"n/a")</f>
        <v>n/a</v>
      </c>
      <c r="M200" s="225" t="str">
        <f t="shared" ref="M200" si="2517">++IFERROR(M199/M157,"n/a")</f>
        <v>n/a</v>
      </c>
      <c r="N200" s="225" t="str">
        <f t="shared" ref="N200" si="2518">++IFERROR(N199/N157,"n/a")</f>
        <v>n/a</v>
      </c>
      <c r="O200" s="225" t="str">
        <f t="shared" ref="O200" si="2519">++IFERROR(O199/O157,"n/a")</f>
        <v>n/a</v>
      </c>
      <c r="P200" s="225" t="str">
        <f t="shared" ref="P200" si="2520">++IFERROR(P199/P157,"n/a")</f>
        <v>n/a</v>
      </c>
      <c r="Q200" s="225" t="str">
        <f t="shared" ref="Q200" si="2521">++IFERROR(Q199/Q157,"n/a")</f>
        <v>n/a</v>
      </c>
      <c r="R200" s="225" t="str">
        <f t="shared" ref="R200" si="2522">++IFERROR(R199/R157,"n/a")</f>
        <v>n/a</v>
      </c>
      <c r="S200" s="225" t="str">
        <f t="shared" ref="S200" si="2523">++IFERROR(S199/S157,"n/a")</f>
        <v>n/a</v>
      </c>
      <c r="T200" s="225" t="str">
        <f t="shared" ref="T200" si="2524">++IFERROR(T199/T157,"n/a")</f>
        <v>n/a</v>
      </c>
      <c r="U200" s="225" t="str">
        <f t="shared" ref="U200" si="2525">++IFERROR(U199/U157,"n/a")</f>
        <v>n/a</v>
      </c>
      <c r="V200" s="225" t="str">
        <f t="shared" ref="V200" si="2526">++IFERROR(V199/V157,"n/a")</f>
        <v>n/a</v>
      </c>
      <c r="W200" s="214" t="str">
        <f t="shared" ref="W200" si="2527">++IFERROR(W199/W157,"n/a")</f>
        <v>n/a</v>
      </c>
      <c r="X200" s="225" t="str">
        <f t="shared" ref="X200" si="2528">++IFERROR(X199/X157,"n/a")</f>
        <v>n/a</v>
      </c>
      <c r="Y200" s="225" t="str">
        <f t="shared" ref="Y200" si="2529">++IFERROR(Y199/Y157,"n/a")</f>
        <v>n/a</v>
      </c>
      <c r="Z200" s="225" t="str">
        <f t="shared" ref="Z200" si="2530">++IFERROR(Z199/Z157,"n/a")</f>
        <v>n/a</v>
      </c>
      <c r="AA200" s="225" t="str">
        <f t="shared" ref="AA200" si="2531">++IFERROR(AA199/AA157,"n/a")</f>
        <v>n/a</v>
      </c>
      <c r="AB200" s="225" t="str">
        <f t="shared" ref="AB200" si="2532">++IFERROR(AB199/AB157,"n/a")</f>
        <v>n/a</v>
      </c>
      <c r="AC200" s="225" t="str">
        <f t="shared" ref="AC200" si="2533">++IFERROR(AC199/AC157,"n/a")</f>
        <v>n/a</v>
      </c>
      <c r="AD200" s="225" t="str">
        <f t="shared" ref="AD200" si="2534">++IFERROR(AD199/AD157,"n/a")</f>
        <v>n/a</v>
      </c>
      <c r="AE200" s="225" t="str">
        <f t="shared" ref="AE200" si="2535">++IFERROR(AE199/AE157,"n/a")</f>
        <v>n/a</v>
      </c>
      <c r="AF200" s="225" t="str">
        <f t="shared" ref="AF200" si="2536">++IFERROR(AF199/AF157,"n/a")</f>
        <v>n/a</v>
      </c>
      <c r="AG200" s="225" t="str">
        <f t="shared" ref="AG200" si="2537">++IFERROR(AG199/AG157,"n/a")</f>
        <v>n/a</v>
      </c>
      <c r="AH200" s="225" t="str">
        <f t="shared" ref="AH200" si="2538">++IFERROR(AH199/AH157,"n/a")</f>
        <v>n/a</v>
      </c>
      <c r="AI200" s="214" t="str">
        <f t="shared" ref="AI200" si="2539">++IFERROR(AI199/AI157,"n/a")</f>
        <v>n/a</v>
      </c>
      <c r="AJ200" s="225" t="str">
        <f t="shared" ref="AJ200" si="2540">++IFERROR(AJ199/AJ157,"n/a")</f>
        <v>n/a</v>
      </c>
      <c r="AK200" s="225" t="str">
        <f t="shared" ref="AK200" si="2541">++IFERROR(AK199/AK157,"n/a")</f>
        <v>n/a</v>
      </c>
      <c r="AL200" s="225" t="str">
        <f t="shared" ref="AL200" si="2542">++IFERROR(AL199/AL157,"n/a")</f>
        <v>n/a</v>
      </c>
      <c r="AM200" s="225" t="str">
        <f t="shared" ref="AM200" si="2543">++IFERROR(AM199/AM157,"n/a")</f>
        <v>n/a</v>
      </c>
      <c r="AN200" s="225" t="str">
        <f t="shared" ref="AN200" si="2544">++IFERROR(AN199/AN157,"n/a")</f>
        <v>n/a</v>
      </c>
      <c r="AO200" s="225" t="str">
        <f t="shared" ref="AO200" si="2545">++IFERROR(AO199/AO157,"n/a")</f>
        <v>n/a</v>
      </c>
      <c r="AP200" s="225" t="str">
        <f t="shared" ref="AP200" si="2546">++IFERROR(AP199/AP157,"n/a")</f>
        <v>n/a</v>
      </c>
      <c r="AQ200" s="225" t="str">
        <f t="shared" ref="AQ200" si="2547">++IFERROR(AQ199/AQ157,"n/a")</f>
        <v>n/a</v>
      </c>
      <c r="AR200" s="225" t="str">
        <f t="shared" ref="AR200" si="2548">++IFERROR(AR199/AR157,"n/a")</f>
        <v>n/a</v>
      </c>
      <c r="AS200" s="225" t="str">
        <f t="shared" ref="AS200" si="2549">++IFERROR(AS199/AS157,"n/a")</f>
        <v>n/a</v>
      </c>
      <c r="AT200" s="225" t="str">
        <f t="shared" ref="AT200" si="2550">++IFERROR(AT199/AT157,"n/a")</f>
        <v>n/a</v>
      </c>
      <c r="AU200" s="214" t="str">
        <f t="shared" ref="AU200" si="2551">++IFERROR(AU199/AU157,"n/a")</f>
        <v>n/a</v>
      </c>
      <c r="AV200" s="225" t="str">
        <f t="shared" ref="AV200" si="2552">++IFERROR(AV199/AV157,"n/a")</f>
        <v>n/a</v>
      </c>
      <c r="AW200" s="225" t="str">
        <f t="shared" ref="AW200" si="2553">++IFERROR(AW199/AW157,"n/a")</f>
        <v>n/a</v>
      </c>
      <c r="AX200" s="225" t="str">
        <f t="shared" ref="AX200" si="2554">++IFERROR(AX199/AX157,"n/a")</f>
        <v>n/a</v>
      </c>
      <c r="AY200" s="225" t="str">
        <f t="shared" ref="AY200" si="2555">++IFERROR(AY199/AY157,"n/a")</f>
        <v>n/a</v>
      </c>
      <c r="AZ200" s="225" t="str">
        <f t="shared" ref="AZ200" si="2556">++IFERROR(AZ199/AZ157,"n/a")</f>
        <v>n/a</v>
      </c>
      <c r="BA200" s="225" t="str">
        <f t="shared" ref="BA200" si="2557">++IFERROR(BA199/BA157,"n/a")</f>
        <v>n/a</v>
      </c>
      <c r="BB200" s="225" t="str">
        <f t="shared" ref="BB200" si="2558">++IFERROR(BB199/BB157,"n/a")</f>
        <v>n/a</v>
      </c>
      <c r="BC200" s="225" t="str">
        <f t="shared" ref="BC200" si="2559">++IFERROR(BC199/BC157,"n/a")</f>
        <v>n/a</v>
      </c>
      <c r="BD200" s="225" t="str">
        <f t="shared" ref="BD200" si="2560">++IFERROR(BD199/BD157,"n/a")</f>
        <v>n/a</v>
      </c>
      <c r="BE200" s="225" t="str">
        <f t="shared" ref="BE200" si="2561">++IFERROR(BE199/BE157,"n/a")</f>
        <v>n/a</v>
      </c>
      <c r="BF200" s="225" t="str">
        <f t="shared" ref="BF200" si="2562">++IFERROR(BF199/BF157,"n/a")</f>
        <v>n/a</v>
      </c>
      <c r="BG200" s="214" t="str">
        <f t="shared" ref="BG200" si="2563">++IFERROR(BG199/BG157,"n/a")</f>
        <v>n/a</v>
      </c>
      <c r="BH200" s="225" t="str">
        <f t="shared" ref="BH200" si="2564">++IFERROR(BH199/BH157,"n/a")</f>
        <v>n/a</v>
      </c>
      <c r="BI200" s="225" t="str">
        <f t="shared" ref="BI200" si="2565">++IFERROR(BI199/BI157,"n/a")</f>
        <v>n/a</v>
      </c>
      <c r="BJ200" s="225" t="str">
        <f t="shared" ref="BJ200" si="2566">++IFERROR(BJ199/BJ157,"n/a")</f>
        <v>n/a</v>
      </c>
      <c r="BK200" s="225" t="str">
        <f t="shared" ref="BK200" si="2567">++IFERROR(BK199/BK157,"n/a")</f>
        <v>n/a</v>
      </c>
      <c r="BL200" s="225" t="str">
        <f t="shared" ref="BL200" si="2568">++IFERROR(BL199/BL157,"n/a")</f>
        <v>n/a</v>
      </c>
      <c r="BM200" s="225" t="str">
        <f t="shared" ref="BM200" si="2569">++IFERROR(BM199/BM157,"n/a")</f>
        <v>n/a</v>
      </c>
      <c r="BN200" s="225" t="str">
        <f t="shared" ref="BN200" si="2570">++IFERROR(BN199/BN157,"n/a")</f>
        <v>n/a</v>
      </c>
      <c r="BO200" s="225" t="str">
        <f t="shared" ref="BO200" si="2571">++IFERROR(BO199/BO157,"n/a")</f>
        <v>n/a</v>
      </c>
      <c r="BP200" s="225" t="str">
        <f t="shared" ref="BP200" si="2572">++IFERROR(BP199/BP157,"n/a")</f>
        <v>n/a</v>
      </c>
      <c r="BQ200" s="225" t="str">
        <f t="shared" ref="BQ200" si="2573">++IFERROR(BQ199/BQ157,"n/a")</f>
        <v>n/a</v>
      </c>
      <c r="BR200" s="225" t="str">
        <f t="shared" ref="BR200" si="2574">++IFERROR(BR199/BR157,"n/a")</f>
        <v>n/a</v>
      </c>
      <c r="BS200" s="214" t="str">
        <f t="shared" ref="BS200" si="2575">++IFERROR(BS199/BS157,"n/a")</f>
        <v>n/a</v>
      </c>
      <c r="BT200" s="225" t="str">
        <f t="shared" ref="BT200" si="2576">++IFERROR(BT199/BT157,"n/a")</f>
        <v>n/a</v>
      </c>
      <c r="BU200" s="225" t="str">
        <f t="shared" ref="BU200" si="2577">++IFERROR(BU199/BU157,"n/a")</f>
        <v>n/a</v>
      </c>
      <c r="BV200" s="225" t="str">
        <f t="shared" ref="BV200" si="2578">++IFERROR(BV199/BV157,"n/a")</f>
        <v>n/a</v>
      </c>
      <c r="BW200" s="225" t="str">
        <f t="shared" ref="BW200" si="2579">++IFERROR(BW199/BW157,"n/a")</f>
        <v>n/a</v>
      </c>
      <c r="BX200" s="225" t="str">
        <f t="shared" ref="BX200" si="2580">++IFERROR(BX199/BX157,"n/a")</f>
        <v>n/a</v>
      </c>
      <c r="BY200" s="225" t="str">
        <f t="shared" ref="BY200" si="2581">++IFERROR(BY199/BY157,"n/a")</f>
        <v>n/a</v>
      </c>
      <c r="BZ200" s="225" t="str">
        <f t="shared" ref="BZ200" si="2582">++IFERROR(BZ199/BZ157,"n/a")</f>
        <v>n/a</v>
      </c>
      <c r="CA200" s="225" t="str">
        <f t="shared" ref="CA200" si="2583">++IFERROR(CA199/CA157,"n/a")</f>
        <v>n/a</v>
      </c>
      <c r="CB200" s="225" t="str">
        <f t="shared" ref="CB200" si="2584">++IFERROR(CB199/CB157,"n/a")</f>
        <v>n/a</v>
      </c>
      <c r="CC200" s="225" t="str">
        <f t="shared" ref="CC200" si="2585">++IFERROR(CC199/CC157,"n/a")</f>
        <v>n/a</v>
      </c>
      <c r="CD200" s="225" t="str">
        <f t="shared" ref="CD200" si="2586">++IFERROR(CD199/CD157,"n/a")</f>
        <v>n/a</v>
      </c>
      <c r="CE200" s="214" t="str">
        <f t="shared" ref="CE200" si="2587">++IFERROR(CE199/CE157,"n/a")</f>
        <v>n/a</v>
      </c>
      <c r="CF200" s="225" t="str">
        <f t="shared" ref="CF200" si="2588">++IFERROR(CF199/CF157,"n/a")</f>
        <v>n/a</v>
      </c>
      <c r="CG200" s="225" t="str">
        <f t="shared" ref="CG200" si="2589">++IFERROR(CG199/CG157,"n/a")</f>
        <v>n/a</v>
      </c>
      <c r="CH200" s="225" t="str">
        <f t="shared" ref="CH200" si="2590">++IFERROR(CH199/CH157,"n/a")</f>
        <v>n/a</v>
      </c>
      <c r="CI200" s="225" t="str">
        <f t="shared" ref="CI200" si="2591">++IFERROR(CI199/CI157,"n/a")</f>
        <v>n/a</v>
      </c>
      <c r="CJ200" s="225" t="str">
        <f t="shared" ref="CJ200" si="2592">++IFERROR(CJ199/CJ157,"n/a")</f>
        <v>n/a</v>
      </c>
      <c r="CK200" s="225" t="str">
        <f t="shared" ref="CK200" si="2593">++IFERROR(CK199/CK157,"n/a")</f>
        <v>n/a</v>
      </c>
      <c r="CL200" s="225" t="str">
        <f t="shared" ref="CL200" si="2594">++IFERROR(CL199/CL157,"n/a")</f>
        <v>n/a</v>
      </c>
      <c r="CM200" s="225" t="str">
        <f t="shared" ref="CM200" si="2595">++IFERROR(CM199/CM157,"n/a")</f>
        <v>n/a</v>
      </c>
      <c r="CN200" s="225" t="str">
        <f t="shared" ref="CN200" si="2596">++IFERROR(CN199/CN157,"n/a")</f>
        <v>n/a</v>
      </c>
      <c r="CO200" s="225" t="str">
        <f t="shared" ref="CO200" si="2597">++IFERROR(CO199/CO157,"n/a")</f>
        <v>n/a</v>
      </c>
      <c r="CP200" s="225" t="str">
        <f t="shared" ref="CP200" si="2598">++IFERROR(CP199/CP157,"n/a")</f>
        <v>n/a</v>
      </c>
      <c r="CQ200" s="214" t="str">
        <f t="shared" ref="CQ200" si="2599">++IFERROR(CQ199/CQ157,"n/a")</f>
        <v>n/a</v>
      </c>
      <c r="CR200" s="225" t="str">
        <f t="shared" ref="CR200" si="2600">++IFERROR(CR199/CR157,"n/a")</f>
        <v>n/a</v>
      </c>
      <c r="CS200" s="225" t="str">
        <f t="shared" ref="CS200" si="2601">++IFERROR(CS199/CS157,"n/a")</f>
        <v>n/a</v>
      </c>
      <c r="CT200" s="225" t="str">
        <f t="shared" ref="CT200" si="2602">++IFERROR(CT199/CT157,"n/a")</f>
        <v>n/a</v>
      </c>
      <c r="CU200" s="225" t="str">
        <f t="shared" ref="CU200" si="2603">++IFERROR(CU199/CU157,"n/a")</f>
        <v>n/a</v>
      </c>
      <c r="CV200" s="225" t="str">
        <f t="shared" ref="CV200" si="2604">++IFERROR(CV199/CV157,"n/a")</f>
        <v>n/a</v>
      </c>
      <c r="CW200" s="225" t="str">
        <f t="shared" ref="CW200" si="2605">++IFERROR(CW199/CW157,"n/a")</f>
        <v>n/a</v>
      </c>
      <c r="CX200" s="225" t="str">
        <f t="shared" ref="CX200" si="2606">++IFERROR(CX199/CX157,"n/a")</f>
        <v>n/a</v>
      </c>
      <c r="CY200" s="225" t="str">
        <f t="shared" ref="CY200" si="2607">++IFERROR(CY199/CY157,"n/a")</f>
        <v>n/a</v>
      </c>
      <c r="CZ200" s="225" t="str">
        <f t="shared" ref="CZ200" si="2608">++IFERROR(CZ199/CZ157,"n/a")</f>
        <v>n/a</v>
      </c>
      <c r="DA200" s="225" t="str">
        <f t="shared" ref="DA200" si="2609">++IFERROR(DA199/DA157,"n/a")</f>
        <v>n/a</v>
      </c>
      <c r="DB200" s="225" t="str">
        <f t="shared" ref="DB200" si="2610">++IFERROR(DB199/DB157,"n/a")</f>
        <v>n/a</v>
      </c>
      <c r="DC200" s="214" t="str">
        <f t="shared" ref="DC200" si="2611">++IFERROR(DC199/DC157,"n/a")</f>
        <v>n/a</v>
      </c>
    </row>
    <row r="201" spans="1:107" x14ac:dyDescent="0.3">
      <c r="C201" s="321" t="str">
        <f>++C$54</f>
        <v>% FCF conversion</v>
      </c>
      <c r="G201" s="214" t="str">
        <f>++IFERROR((G195-G199)/G195,"n/a")</f>
        <v>n/a</v>
      </c>
      <c r="H201" s="225" t="str">
        <f t="shared" ref="H201:BS201" si="2612">++IFERROR((H195-H199)/H195,"n/a")</f>
        <v>n/a</v>
      </c>
      <c r="I201" s="225" t="str">
        <f t="shared" si="2612"/>
        <v>n/a</v>
      </c>
      <c r="J201" s="225" t="str">
        <f t="shared" si="2612"/>
        <v>n/a</v>
      </c>
      <c r="K201" s="214" t="str">
        <f t="shared" si="2612"/>
        <v>n/a</v>
      </c>
      <c r="L201" s="225" t="str">
        <f t="shared" si="2612"/>
        <v>n/a</v>
      </c>
      <c r="M201" s="225" t="str">
        <f t="shared" si="2612"/>
        <v>n/a</v>
      </c>
      <c r="N201" s="225" t="str">
        <f t="shared" si="2612"/>
        <v>n/a</v>
      </c>
      <c r="O201" s="225" t="str">
        <f t="shared" si="2612"/>
        <v>n/a</v>
      </c>
      <c r="P201" s="225" t="str">
        <f t="shared" si="2612"/>
        <v>n/a</v>
      </c>
      <c r="Q201" s="225" t="str">
        <f t="shared" si="2612"/>
        <v>n/a</v>
      </c>
      <c r="R201" s="225" t="str">
        <f t="shared" si="2612"/>
        <v>n/a</v>
      </c>
      <c r="S201" s="225" t="str">
        <f t="shared" si="2612"/>
        <v>n/a</v>
      </c>
      <c r="T201" s="225" t="str">
        <f t="shared" si="2612"/>
        <v>n/a</v>
      </c>
      <c r="U201" s="225" t="str">
        <f t="shared" si="2612"/>
        <v>n/a</v>
      </c>
      <c r="V201" s="225" t="str">
        <f t="shared" si="2612"/>
        <v>n/a</v>
      </c>
      <c r="W201" s="214" t="str">
        <f t="shared" si="2612"/>
        <v>n/a</v>
      </c>
      <c r="X201" s="225" t="str">
        <f t="shared" si="2612"/>
        <v>n/a</v>
      </c>
      <c r="Y201" s="225" t="str">
        <f t="shared" si="2612"/>
        <v>n/a</v>
      </c>
      <c r="Z201" s="225" t="str">
        <f t="shared" si="2612"/>
        <v>n/a</v>
      </c>
      <c r="AA201" s="225" t="str">
        <f t="shared" si="2612"/>
        <v>n/a</v>
      </c>
      <c r="AB201" s="225" t="str">
        <f t="shared" si="2612"/>
        <v>n/a</v>
      </c>
      <c r="AC201" s="225" t="str">
        <f t="shared" si="2612"/>
        <v>n/a</v>
      </c>
      <c r="AD201" s="225" t="str">
        <f t="shared" si="2612"/>
        <v>n/a</v>
      </c>
      <c r="AE201" s="225" t="str">
        <f t="shared" si="2612"/>
        <v>n/a</v>
      </c>
      <c r="AF201" s="225" t="str">
        <f t="shared" si="2612"/>
        <v>n/a</v>
      </c>
      <c r="AG201" s="225" t="str">
        <f t="shared" si="2612"/>
        <v>n/a</v>
      </c>
      <c r="AH201" s="225" t="str">
        <f t="shared" si="2612"/>
        <v>n/a</v>
      </c>
      <c r="AI201" s="214" t="str">
        <f t="shared" si="2612"/>
        <v>n/a</v>
      </c>
      <c r="AJ201" s="225" t="str">
        <f t="shared" si="2612"/>
        <v>n/a</v>
      </c>
      <c r="AK201" s="225" t="str">
        <f t="shared" si="2612"/>
        <v>n/a</v>
      </c>
      <c r="AL201" s="225" t="str">
        <f t="shared" si="2612"/>
        <v>n/a</v>
      </c>
      <c r="AM201" s="225" t="str">
        <f t="shared" si="2612"/>
        <v>n/a</v>
      </c>
      <c r="AN201" s="225" t="str">
        <f t="shared" si="2612"/>
        <v>n/a</v>
      </c>
      <c r="AO201" s="225" t="str">
        <f t="shared" si="2612"/>
        <v>n/a</v>
      </c>
      <c r="AP201" s="225" t="str">
        <f t="shared" si="2612"/>
        <v>n/a</v>
      </c>
      <c r="AQ201" s="225" t="str">
        <f t="shared" si="2612"/>
        <v>n/a</v>
      </c>
      <c r="AR201" s="225" t="str">
        <f t="shared" si="2612"/>
        <v>n/a</v>
      </c>
      <c r="AS201" s="225" t="str">
        <f t="shared" si="2612"/>
        <v>n/a</v>
      </c>
      <c r="AT201" s="225" t="str">
        <f t="shared" si="2612"/>
        <v>n/a</v>
      </c>
      <c r="AU201" s="214" t="str">
        <f t="shared" si="2612"/>
        <v>n/a</v>
      </c>
      <c r="AV201" s="225" t="str">
        <f t="shared" si="2612"/>
        <v>n/a</v>
      </c>
      <c r="AW201" s="225" t="str">
        <f t="shared" si="2612"/>
        <v>n/a</v>
      </c>
      <c r="AX201" s="225" t="str">
        <f t="shared" si="2612"/>
        <v>n/a</v>
      </c>
      <c r="AY201" s="225" t="str">
        <f t="shared" si="2612"/>
        <v>n/a</v>
      </c>
      <c r="AZ201" s="225" t="str">
        <f t="shared" si="2612"/>
        <v>n/a</v>
      </c>
      <c r="BA201" s="225" t="str">
        <f t="shared" si="2612"/>
        <v>n/a</v>
      </c>
      <c r="BB201" s="225" t="str">
        <f t="shared" si="2612"/>
        <v>n/a</v>
      </c>
      <c r="BC201" s="225" t="str">
        <f t="shared" si="2612"/>
        <v>n/a</v>
      </c>
      <c r="BD201" s="225" t="str">
        <f t="shared" si="2612"/>
        <v>n/a</v>
      </c>
      <c r="BE201" s="225" t="str">
        <f t="shared" si="2612"/>
        <v>n/a</v>
      </c>
      <c r="BF201" s="225" t="str">
        <f t="shared" si="2612"/>
        <v>n/a</v>
      </c>
      <c r="BG201" s="214" t="str">
        <f t="shared" si="2612"/>
        <v>n/a</v>
      </c>
      <c r="BH201" s="225" t="str">
        <f t="shared" si="2612"/>
        <v>n/a</v>
      </c>
      <c r="BI201" s="225" t="str">
        <f t="shared" si="2612"/>
        <v>n/a</v>
      </c>
      <c r="BJ201" s="225" t="str">
        <f t="shared" si="2612"/>
        <v>n/a</v>
      </c>
      <c r="BK201" s="225" t="str">
        <f t="shared" si="2612"/>
        <v>n/a</v>
      </c>
      <c r="BL201" s="225" t="str">
        <f t="shared" si="2612"/>
        <v>n/a</v>
      </c>
      <c r="BM201" s="225" t="str">
        <f t="shared" si="2612"/>
        <v>n/a</v>
      </c>
      <c r="BN201" s="225" t="str">
        <f t="shared" si="2612"/>
        <v>n/a</v>
      </c>
      <c r="BO201" s="225" t="str">
        <f t="shared" si="2612"/>
        <v>n/a</v>
      </c>
      <c r="BP201" s="225" t="str">
        <f t="shared" si="2612"/>
        <v>n/a</v>
      </c>
      <c r="BQ201" s="225" t="str">
        <f t="shared" si="2612"/>
        <v>n/a</v>
      </c>
      <c r="BR201" s="225" t="str">
        <f t="shared" si="2612"/>
        <v>n/a</v>
      </c>
      <c r="BS201" s="214" t="str">
        <f t="shared" si="2612"/>
        <v>n/a</v>
      </c>
      <c r="BT201" s="225" t="str">
        <f t="shared" ref="BT201:DC201" si="2613">++IFERROR((BT195-BT199)/BT195,"n/a")</f>
        <v>n/a</v>
      </c>
      <c r="BU201" s="225" t="str">
        <f t="shared" si="2613"/>
        <v>n/a</v>
      </c>
      <c r="BV201" s="225" t="str">
        <f t="shared" si="2613"/>
        <v>n/a</v>
      </c>
      <c r="BW201" s="225" t="str">
        <f t="shared" si="2613"/>
        <v>n/a</v>
      </c>
      <c r="BX201" s="225" t="str">
        <f t="shared" si="2613"/>
        <v>n/a</v>
      </c>
      <c r="BY201" s="225" t="str">
        <f t="shared" si="2613"/>
        <v>n/a</v>
      </c>
      <c r="BZ201" s="225" t="str">
        <f t="shared" si="2613"/>
        <v>n/a</v>
      </c>
      <c r="CA201" s="225" t="str">
        <f t="shared" si="2613"/>
        <v>n/a</v>
      </c>
      <c r="CB201" s="225" t="str">
        <f t="shared" si="2613"/>
        <v>n/a</v>
      </c>
      <c r="CC201" s="225" t="str">
        <f t="shared" si="2613"/>
        <v>n/a</v>
      </c>
      <c r="CD201" s="225" t="str">
        <f t="shared" si="2613"/>
        <v>n/a</v>
      </c>
      <c r="CE201" s="214" t="str">
        <f t="shared" si="2613"/>
        <v>n/a</v>
      </c>
      <c r="CF201" s="225" t="str">
        <f t="shared" si="2613"/>
        <v>n/a</v>
      </c>
      <c r="CG201" s="225" t="str">
        <f t="shared" si="2613"/>
        <v>n/a</v>
      </c>
      <c r="CH201" s="225" t="str">
        <f t="shared" si="2613"/>
        <v>n/a</v>
      </c>
      <c r="CI201" s="225" t="str">
        <f t="shared" si="2613"/>
        <v>n/a</v>
      </c>
      <c r="CJ201" s="225" t="str">
        <f t="shared" si="2613"/>
        <v>n/a</v>
      </c>
      <c r="CK201" s="225" t="str">
        <f t="shared" si="2613"/>
        <v>n/a</v>
      </c>
      <c r="CL201" s="225" t="str">
        <f t="shared" si="2613"/>
        <v>n/a</v>
      </c>
      <c r="CM201" s="225" t="str">
        <f t="shared" si="2613"/>
        <v>n/a</v>
      </c>
      <c r="CN201" s="225" t="str">
        <f t="shared" si="2613"/>
        <v>n/a</v>
      </c>
      <c r="CO201" s="225" t="str">
        <f t="shared" si="2613"/>
        <v>n/a</v>
      </c>
      <c r="CP201" s="225" t="str">
        <f t="shared" si="2613"/>
        <v>n/a</v>
      </c>
      <c r="CQ201" s="214" t="str">
        <f t="shared" si="2613"/>
        <v>n/a</v>
      </c>
      <c r="CR201" s="225" t="str">
        <f t="shared" si="2613"/>
        <v>n/a</v>
      </c>
      <c r="CS201" s="225" t="str">
        <f t="shared" si="2613"/>
        <v>n/a</v>
      </c>
      <c r="CT201" s="225" t="str">
        <f t="shared" si="2613"/>
        <v>n/a</v>
      </c>
      <c r="CU201" s="225" t="str">
        <f t="shared" si="2613"/>
        <v>n/a</v>
      </c>
      <c r="CV201" s="225" t="str">
        <f t="shared" si="2613"/>
        <v>n/a</v>
      </c>
      <c r="CW201" s="225" t="str">
        <f t="shared" si="2613"/>
        <v>n/a</v>
      </c>
      <c r="CX201" s="225" t="str">
        <f t="shared" si="2613"/>
        <v>n/a</v>
      </c>
      <c r="CY201" s="225" t="str">
        <f t="shared" si="2613"/>
        <v>n/a</v>
      </c>
      <c r="CZ201" s="225" t="str">
        <f t="shared" si="2613"/>
        <v>n/a</v>
      </c>
      <c r="DA201" s="225" t="str">
        <f t="shared" si="2613"/>
        <v>n/a</v>
      </c>
      <c r="DB201" s="225" t="str">
        <f t="shared" si="2613"/>
        <v>n/a</v>
      </c>
      <c r="DC201" s="214" t="str">
        <f t="shared" si="2613"/>
        <v>n/a</v>
      </c>
    </row>
    <row r="202" spans="1:107" x14ac:dyDescent="0.3">
      <c r="G202" s="203"/>
      <c r="K202" s="203"/>
      <c r="W202" s="203"/>
      <c r="AI202" s="203"/>
      <c r="AU202" s="203"/>
      <c r="BG202" s="203"/>
      <c r="BS202" s="203"/>
      <c r="CE202" s="203"/>
      <c r="CQ202" s="203"/>
      <c r="DC202" s="203"/>
    </row>
    <row r="203" spans="1:107" x14ac:dyDescent="0.3">
      <c r="G203" s="203"/>
      <c r="K203" s="203"/>
      <c r="W203" s="203"/>
      <c r="AI203" s="203"/>
      <c r="AU203" s="203"/>
      <c r="BG203" s="203"/>
      <c r="BS203" s="203"/>
      <c r="CE203" s="203"/>
      <c r="CQ203" s="203"/>
      <c r="DC203" s="203"/>
    </row>
    <row r="204" spans="1:107" x14ac:dyDescent="0.3">
      <c r="A204" s="319"/>
      <c r="B204" s="319" t="s">
        <v>0</v>
      </c>
      <c r="C204" s="166" t="s">
        <v>512</v>
      </c>
      <c r="D204" s="365"/>
      <c r="E204" s="365"/>
      <c r="F204" s="365"/>
      <c r="G204" s="365"/>
      <c r="H204" s="365"/>
      <c r="I204" s="365"/>
      <c r="J204" s="365"/>
      <c r="K204" s="365"/>
      <c r="L204" s="365"/>
      <c r="M204" s="365"/>
      <c r="N204" s="365"/>
      <c r="O204" s="365"/>
      <c r="P204" s="365"/>
      <c r="Q204" s="365"/>
      <c r="R204" s="365"/>
      <c r="S204" s="365"/>
      <c r="T204" s="365"/>
      <c r="U204" s="365"/>
      <c r="V204" s="365"/>
      <c r="W204" s="365"/>
      <c r="X204" s="365"/>
      <c r="Y204" s="365"/>
      <c r="Z204" s="365"/>
      <c r="AA204" s="365"/>
      <c r="AB204" s="365"/>
      <c r="AC204" s="365"/>
      <c r="AD204" s="365"/>
      <c r="AE204" s="365"/>
      <c r="AF204" s="365"/>
      <c r="AG204" s="365"/>
      <c r="AH204" s="365"/>
      <c r="AI204" s="365"/>
      <c r="AJ204" s="365"/>
      <c r="AK204" s="365"/>
      <c r="AL204" s="365"/>
      <c r="AM204" s="365"/>
      <c r="AN204" s="365"/>
      <c r="AO204" s="365"/>
      <c r="AP204" s="365"/>
      <c r="AQ204" s="365"/>
      <c r="AR204" s="365"/>
      <c r="AS204" s="365"/>
      <c r="AT204" s="365"/>
      <c r="AU204" s="365"/>
      <c r="AV204" s="365"/>
      <c r="AW204" s="365"/>
      <c r="AX204" s="365"/>
      <c r="AY204" s="365"/>
      <c r="AZ204" s="365"/>
      <c r="BA204" s="365"/>
      <c r="BB204" s="365"/>
      <c r="BC204" s="365"/>
      <c r="BD204" s="365"/>
      <c r="BE204" s="365"/>
      <c r="BF204" s="365"/>
      <c r="BG204" s="365"/>
      <c r="BH204" s="365"/>
      <c r="BI204" s="365"/>
      <c r="BJ204" s="365"/>
      <c r="BK204" s="365"/>
      <c r="BL204" s="365"/>
      <c r="BM204" s="365"/>
      <c r="BN204" s="365"/>
      <c r="BO204" s="365"/>
      <c r="BP204" s="365"/>
      <c r="BQ204" s="365"/>
      <c r="BR204" s="365"/>
      <c r="BS204" s="365"/>
      <c r="BT204" s="365"/>
      <c r="BU204" s="365"/>
      <c r="BV204" s="365"/>
      <c r="BW204" s="365"/>
      <c r="BX204" s="365"/>
      <c r="BY204" s="365"/>
      <c r="BZ204" s="365"/>
      <c r="CA204" s="365"/>
      <c r="CB204" s="365"/>
      <c r="CC204" s="365"/>
      <c r="CD204" s="365"/>
      <c r="CE204" s="365"/>
      <c r="CF204" s="365"/>
      <c r="CG204" s="365"/>
      <c r="CH204" s="365"/>
      <c r="CI204" s="365"/>
      <c r="CJ204" s="365"/>
      <c r="CK204" s="365"/>
      <c r="CL204" s="365"/>
      <c r="CM204" s="365"/>
      <c r="CN204" s="365"/>
      <c r="CO204" s="365"/>
      <c r="CP204" s="365"/>
      <c r="CQ204" s="365"/>
      <c r="CR204" s="365"/>
      <c r="CS204" s="365"/>
      <c r="CT204" s="365"/>
      <c r="CU204" s="365"/>
      <c r="CV204" s="365"/>
      <c r="CW204" s="365"/>
      <c r="CX204" s="365"/>
      <c r="CY204" s="365"/>
      <c r="CZ204" s="365"/>
      <c r="DA204" s="365"/>
      <c r="DB204" s="365"/>
      <c r="DC204" s="366"/>
    </row>
    <row r="205" spans="1:107" ht="5.15" customHeight="1" x14ac:dyDescent="0.3">
      <c r="G205" s="203"/>
      <c r="K205" s="203"/>
      <c r="W205" s="203"/>
      <c r="AI205" s="203"/>
      <c r="AU205" s="203"/>
      <c r="BG205" s="203"/>
      <c r="BS205" s="203"/>
      <c r="CE205" s="203"/>
      <c r="CQ205" s="203"/>
      <c r="DC205" s="203"/>
    </row>
    <row r="206" spans="1:107" x14ac:dyDescent="0.3">
      <c r="C206" s="193" t="str">
        <f>++C$10</f>
        <v>Revenue</v>
      </c>
      <c r="G206" s="400">
        <f>++G59</f>
        <v>0</v>
      </c>
      <c r="H206" s="400">
        <f t="shared" ref="H206:BS206" si="2614">++H59</f>
        <v>0</v>
      </c>
      <c r="I206" s="400">
        <f t="shared" si="2614"/>
        <v>0</v>
      </c>
      <c r="J206" s="400">
        <f t="shared" si="2614"/>
        <v>0</v>
      </c>
      <c r="K206" s="400">
        <f t="shared" si="2614"/>
        <v>0</v>
      </c>
      <c r="L206" s="400">
        <f t="shared" si="2614"/>
        <v>0</v>
      </c>
      <c r="M206" s="400">
        <f t="shared" si="2614"/>
        <v>0</v>
      </c>
      <c r="N206" s="400">
        <f t="shared" si="2614"/>
        <v>0</v>
      </c>
      <c r="O206" s="400">
        <f t="shared" si="2614"/>
        <v>0</v>
      </c>
      <c r="P206" s="400">
        <f t="shared" si="2614"/>
        <v>0</v>
      </c>
      <c r="Q206" s="400">
        <f t="shared" si="2614"/>
        <v>0</v>
      </c>
      <c r="R206" s="400">
        <f t="shared" si="2614"/>
        <v>0</v>
      </c>
      <c r="S206" s="400">
        <f t="shared" si="2614"/>
        <v>0</v>
      </c>
      <c r="T206" s="400">
        <f t="shared" si="2614"/>
        <v>0</v>
      </c>
      <c r="U206" s="400">
        <f t="shared" si="2614"/>
        <v>0</v>
      </c>
      <c r="V206" s="400">
        <f t="shared" si="2614"/>
        <v>0</v>
      </c>
      <c r="W206" s="400">
        <f t="shared" si="2614"/>
        <v>0</v>
      </c>
      <c r="X206" s="400">
        <f t="shared" si="2614"/>
        <v>0</v>
      </c>
      <c r="Y206" s="400">
        <f t="shared" si="2614"/>
        <v>0</v>
      </c>
      <c r="Z206" s="400">
        <f t="shared" si="2614"/>
        <v>0</v>
      </c>
      <c r="AA206" s="400">
        <f t="shared" si="2614"/>
        <v>0</v>
      </c>
      <c r="AB206" s="400">
        <f t="shared" si="2614"/>
        <v>0</v>
      </c>
      <c r="AC206" s="400">
        <f t="shared" si="2614"/>
        <v>0</v>
      </c>
      <c r="AD206" s="400">
        <f t="shared" si="2614"/>
        <v>0</v>
      </c>
      <c r="AE206" s="400">
        <f t="shared" si="2614"/>
        <v>0</v>
      </c>
      <c r="AF206" s="400">
        <f t="shared" si="2614"/>
        <v>0</v>
      </c>
      <c r="AG206" s="400">
        <f t="shared" si="2614"/>
        <v>0</v>
      </c>
      <c r="AH206" s="400">
        <f t="shared" si="2614"/>
        <v>0</v>
      </c>
      <c r="AI206" s="400">
        <f t="shared" si="2614"/>
        <v>0</v>
      </c>
      <c r="AJ206" s="400">
        <f t="shared" si="2614"/>
        <v>0</v>
      </c>
      <c r="AK206" s="400">
        <f t="shared" si="2614"/>
        <v>0</v>
      </c>
      <c r="AL206" s="400">
        <f t="shared" si="2614"/>
        <v>0</v>
      </c>
      <c r="AM206" s="400">
        <f t="shared" si="2614"/>
        <v>0</v>
      </c>
      <c r="AN206" s="400">
        <f t="shared" si="2614"/>
        <v>0</v>
      </c>
      <c r="AO206" s="400">
        <f t="shared" si="2614"/>
        <v>0</v>
      </c>
      <c r="AP206" s="400">
        <f t="shared" si="2614"/>
        <v>0</v>
      </c>
      <c r="AQ206" s="400">
        <f t="shared" si="2614"/>
        <v>0</v>
      </c>
      <c r="AR206" s="400">
        <f t="shared" si="2614"/>
        <v>0</v>
      </c>
      <c r="AS206" s="400">
        <f t="shared" si="2614"/>
        <v>0</v>
      </c>
      <c r="AT206" s="400">
        <f t="shared" si="2614"/>
        <v>0</v>
      </c>
      <c r="AU206" s="400">
        <f t="shared" si="2614"/>
        <v>0</v>
      </c>
      <c r="AV206" s="400">
        <f t="shared" si="2614"/>
        <v>0</v>
      </c>
      <c r="AW206" s="400">
        <f t="shared" si="2614"/>
        <v>0</v>
      </c>
      <c r="AX206" s="400">
        <f t="shared" si="2614"/>
        <v>0</v>
      </c>
      <c r="AY206" s="400">
        <f t="shared" si="2614"/>
        <v>0</v>
      </c>
      <c r="AZ206" s="400">
        <f t="shared" si="2614"/>
        <v>0</v>
      </c>
      <c r="BA206" s="400">
        <f t="shared" si="2614"/>
        <v>0</v>
      </c>
      <c r="BB206" s="400">
        <f t="shared" si="2614"/>
        <v>0</v>
      </c>
      <c r="BC206" s="400">
        <f t="shared" si="2614"/>
        <v>0</v>
      </c>
      <c r="BD206" s="400">
        <f t="shared" si="2614"/>
        <v>0</v>
      </c>
      <c r="BE206" s="400">
        <f t="shared" si="2614"/>
        <v>0</v>
      </c>
      <c r="BF206" s="400">
        <f t="shared" si="2614"/>
        <v>0</v>
      </c>
      <c r="BG206" s="400">
        <f t="shared" si="2614"/>
        <v>0</v>
      </c>
      <c r="BH206" s="400">
        <f t="shared" si="2614"/>
        <v>0</v>
      </c>
      <c r="BI206" s="400">
        <f t="shared" si="2614"/>
        <v>0</v>
      </c>
      <c r="BJ206" s="400">
        <f t="shared" si="2614"/>
        <v>0</v>
      </c>
      <c r="BK206" s="400">
        <f t="shared" si="2614"/>
        <v>0</v>
      </c>
      <c r="BL206" s="400">
        <f t="shared" si="2614"/>
        <v>0</v>
      </c>
      <c r="BM206" s="400">
        <f t="shared" si="2614"/>
        <v>0</v>
      </c>
      <c r="BN206" s="400">
        <f t="shared" si="2614"/>
        <v>0</v>
      </c>
      <c r="BO206" s="400">
        <f t="shared" si="2614"/>
        <v>0</v>
      </c>
      <c r="BP206" s="400">
        <f t="shared" si="2614"/>
        <v>0</v>
      </c>
      <c r="BQ206" s="400">
        <f t="shared" si="2614"/>
        <v>0</v>
      </c>
      <c r="BR206" s="400">
        <f t="shared" si="2614"/>
        <v>0</v>
      </c>
      <c r="BS206" s="400">
        <f t="shared" si="2614"/>
        <v>0</v>
      </c>
      <c r="BT206" s="400">
        <f t="shared" ref="BT206:DC206" si="2615">++BT59</f>
        <v>0</v>
      </c>
      <c r="BU206" s="400">
        <f t="shared" si="2615"/>
        <v>0</v>
      </c>
      <c r="BV206" s="400">
        <f t="shared" si="2615"/>
        <v>0</v>
      </c>
      <c r="BW206" s="400">
        <f t="shared" si="2615"/>
        <v>0</v>
      </c>
      <c r="BX206" s="400">
        <f t="shared" si="2615"/>
        <v>0</v>
      </c>
      <c r="BY206" s="400">
        <f t="shared" si="2615"/>
        <v>0</v>
      </c>
      <c r="BZ206" s="400">
        <f t="shared" si="2615"/>
        <v>0</v>
      </c>
      <c r="CA206" s="400">
        <f t="shared" si="2615"/>
        <v>0</v>
      </c>
      <c r="CB206" s="400">
        <f t="shared" si="2615"/>
        <v>0</v>
      </c>
      <c r="CC206" s="400">
        <f t="shared" si="2615"/>
        <v>0</v>
      </c>
      <c r="CD206" s="400">
        <f t="shared" si="2615"/>
        <v>0</v>
      </c>
      <c r="CE206" s="400">
        <f t="shared" si="2615"/>
        <v>0</v>
      </c>
      <c r="CF206" s="400">
        <f t="shared" si="2615"/>
        <v>0</v>
      </c>
      <c r="CG206" s="400">
        <f t="shared" si="2615"/>
        <v>0</v>
      </c>
      <c r="CH206" s="400">
        <f t="shared" si="2615"/>
        <v>0</v>
      </c>
      <c r="CI206" s="400">
        <f t="shared" si="2615"/>
        <v>0</v>
      </c>
      <c r="CJ206" s="400">
        <f t="shared" si="2615"/>
        <v>0</v>
      </c>
      <c r="CK206" s="400">
        <f t="shared" si="2615"/>
        <v>0</v>
      </c>
      <c r="CL206" s="400">
        <f t="shared" si="2615"/>
        <v>0</v>
      </c>
      <c r="CM206" s="400">
        <f t="shared" si="2615"/>
        <v>0</v>
      </c>
      <c r="CN206" s="400">
        <f t="shared" si="2615"/>
        <v>0</v>
      </c>
      <c r="CO206" s="400">
        <f t="shared" si="2615"/>
        <v>0</v>
      </c>
      <c r="CP206" s="400">
        <f t="shared" si="2615"/>
        <v>0</v>
      </c>
      <c r="CQ206" s="400">
        <f t="shared" si="2615"/>
        <v>0</v>
      </c>
      <c r="CR206" s="400">
        <f t="shared" si="2615"/>
        <v>0</v>
      </c>
      <c r="CS206" s="400">
        <f t="shared" si="2615"/>
        <v>0</v>
      </c>
      <c r="CT206" s="400">
        <f t="shared" si="2615"/>
        <v>0</v>
      </c>
      <c r="CU206" s="400">
        <f t="shared" si="2615"/>
        <v>0</v>
      </c>
      <c r="CV206" s="400">
        <f t="shared" si="2615"/>
        <v>0</v>
      </c>
      <c r="CW206" s="400">
        <f t="shared" si="2615"/>
        <v>0</v>
      </c>
      <c r="CX206" s="400">
        <f t="shared" si="2615"/>
        <v>0</v>
      </c>
      <c r="CY206" s="400">
        <f t="shared" si="2615"/>
        <v>0</v>
      </c>
      <c r="CZ206" s="400">
        <f t="shared" si="2615"/>
        <v>0</v>
      </c>
      <c r="DA206" s="400">
        <f t="shared" si="2615"/>
        <v>0</v>
      </c>
      <c r="DB206" s="400">
        <f t="shared" si="2615"/>
        <v>0</v>
      </c>
      <c r="DC206" s="400">
        <f t="shared" si="2615"/>
        <v>0</v>
      </c>
    </row>
    <row r="207" spans="1:107" x14ac:dyDescent="0.3">
      <c r="C207" s="321" t="str">
        <f>++C$11</f>
        <v>% y/y</v>
      </c>
      <c r="G207" s="122" t="s">
        <v>47</v>
      </c>
      <c r="H207" s="122" t="s">
        <v>47</v>
      </c>
      <c r="I207" s="122" t="s">
        <v>47</v>
      </c>
      <c r="J207" s="122" t="s">
        <v>47</v>
      </c>
      <c r="K207" s="214" t="str">
        <f>++IFERROR(K206/G206-1,"n/a")</f>
        <v>n/a</v>
      </c>
      <c r="L207" s="122" t="s">
        <v>47</v>
      </c>
      <c r="M207" s="122" t="s">
        <v>47</v>
      </c>
      <c r="N207" s="225" t="str">
        <f>++IFERROR(N206/H206-1,"n/a")</f>
        <v>n/a</v>
      </c>
      <c r="O207" s="122" t="s">
        <v>47</v>
      </c>
      <c r="P207" s="122" t="s">
        <v>47</v>
      </c>
      <c r="Q207" s="225" t="str">
        <f>++IFERROR(Q206/I206-1,"n/a")</f>
        <v>n/a</v>
      </c>
      <c r="R207" s="122" t="s">
        <v>47</v>
      </c>
      <c r="S207" s="122" t="s">
        <v>47</v>
      </c>
      <c r="T207" s="225" t="str">
        <f>++IFERROR(T206/J206-1,"n/a")</f>
        <v>n/a</v>
      </c>
      <c r="U207" s="122" t="s">
        <v>47</v>
      </c>
      <c r="V207" s="122" t="s">
        <v>47</v>
      </c>
      <c r="W207" s="214" t="str">
        <f t="shared" ref="W207:BB207" si="2616">++IFERROR(W206/K206-1,"n/a")</f>
        <v>n/a</v>
      </c>
      <c r="X207" s="225" t="str">
        <f t="shared" si="2616"/>
        <v>n/a</v>
      </c>
      <c r="Y207" s="225" t="str">
        <f t="shared" si="2616"/>
        <v>n/a</v>
      </c>
      <c r="Z207" s="225" t="str">
        <f t="shared" si="2616"/>
        <v>n/a</v>
      </c>
      <c r="AA207" s="225" t="str">
        <f t="shared" si="2616"/>
        <v>n/a</v>
      </c>
      <c r="AB207" s="225" t="str">
        <f t="shared" si="2616"/>
        <v>n/a</v>
      </c>
      <c r="AC207" s="225" t="str">
        <f t="shared" si="2616"/>
        <v>n/a</v>
      </c>
      <c r="AD207" s="225" t="str">
        <f t="shared" si="2616"/>
        <v>n/a</v>
      </c>
      <c r="AE207" s="225" t="str">
        <f t="shared" si="2616"/>
        <v>n/a</v>
      </c>
      <c r="AF207" s="225" t="str">
        <f t="shared" si="2616"/>
        <v>n/a</v>
      </c>
      <c r="AG207" s="225" t="str">
        <f t="shared" si="2616"/>
        <v>n/a</v>
      </c>
      <c r="AH207" s="225" t="str">
        <f t="shared" si="2616"/>
        <v>n/a</v>
      </c>
      <c r="AI207" s="214" t="str">
        <f t="shared" si="2616"/>
        <v>n/a</v>
      </c>
      <c r="AJ207" s="225" t="str">
        <f t="shared" si="2616"/>
        <v>n/a</v>
      </c>
      <c r="AK207" s="225" t="str">
        <f t="shared" si="2616"/>
        <v>n/a</v>
      </c>
      <c r="AL207" s="225" t="str">
        <f t="shared" si="2616"/>
        <v>n/a</v>
      </c>
      <c r="AM207" s="225" t="str">
        <f t="shared" si="2616"/>
        <v>n/a</v>
      </c>
      <c r="AN207" s="225" t="str">
        <f t="shared" si="2616"/>
        <v>n/a</v>
      </c>
      <c r="AO207" s="225" t="str">
        <f t="shared" si="2616"/>
        <v>n/a</v>
      </c>
      <c r="AP207" s="225" t="str">
        <f t="shared" si="2616"/>
        <v>n/a</v>
      </c>
      <c r="AQ207" s="225" t="str">
        <f t="shared" si="2616"/>
        <v>n/a</v>
      </c>
      <c r="AR207" s="225" t="str">
        <f t="shared" si="2616"/>
        <v>n/a</v>
      </c>
      <c r="AS207" s="225" t="str">
        <f t="shared" si="2616"/>
        <v>n/a</v>
      </c>
      <c r="AT207" s="225" t="str">
        <f t="shared" si="2616"/>
        <v>n/a</v>
      </c>
      <c r="AU207" s="214" t="str">
        <f t="shared" si="2616"/>
        <v>n/a</v>
      </c>
      <c r="AV207" s="225" t="str">
        <f t="shared" si="2616"/>
        <v>n/a</v>
      </c>
      <c r="AW207" s="225" t="str">
        <f t="shared" si="2616"/>
        <v>n/a</v>
      </c>
      <c r="AX207" s="225" t="str">
        <f t="shared" si="2616"/>
        <v>n/a</v>
      </c>
      <c r="AY207" s="225" t="str">
        <f t="shared" si="2616"/>
        <v>n/a</v>
      </c>
      <c r="AZ207" s="225" t="str">
        <f t="shared" si="2616"/>
        <v>n/a</v>
      </c>
      <c r="BA207" s="225" t="str">
        <f t="shared" si="2616"/>
        <v>n/a</v>
      </c>
      <c r="BB207" s="225" t="str">
        <f t="shared" si="2616"/>
        <v>n/a</v>
      </c>
      <c r="BC207" s="225" t="str">
        <f t="shared" ref="BC207:CH207" si="2617">++IFERROR(BC206/AQ206-1,"n/a")</f>
        <v>n/a</v>
      </c>
      <c r="BD207" s="225" t="str">
        <f t="shared" si="2617"/>
        <v>n/a</v>
      </c>
      <c r="BE207" s="225" t="str">
        <f t="shared" si="2617"/>
        <v>n/a</v>
      </c>
      <c r="BF207" s="225" t="str">
        <f t="shared" si="2617"/>
        <v>n/a</v>
      </c>
      <c r="BG207" s="214" t="str">
        <f t="shared" si="2617"/>
        <v>n/a</v>
      </c>
      <c r="BH207" s="225" t="str">
        <f t="shared" si="2617"/>
        <v>n/a</v>
      </c>
      <c r="BI207" s="225" t="str">
        <f t="shared" si="2617"/>
        <v>n/a</v>
      </c>
      <c r="BJ207" s="225" t="str">
        <f t="shared" si="2617"/>
        <v>n/a</v>
      </c>
      <c r="BK207" s="225" t="str">
        <f t="shared" si="2617"/>
        <v>n/a</v>
      </c>
      <c r="BL207" s="225" t="str">
        <f t="shared" si="2617"/>
        <v>n/a</v>
      </c>
      <c r="BM207" s="225" t="str">
        <f t="shared" si="2617"/>
        <v>n/a</v>
      </c>
      <c r="BN207" s="225" t="str">
        <f t="shared" si="2617"/>
        <v>n/a</v>
      </c>
      <c r="BO207" s="225" t="str">
        <f t="shared" si="2617"/>
        <v>n/a</v>
      </c>
      <c r="BP207" s="225" t="str">
        <f t="shared" si="2617"/>
        <v>n/a</v>
      </c>
      <c r="BQ207" s="225" t="str">
        <f t="shared" si="2617"/>
        <v>n/a</v>
      </c>
      <c r="BR207" s="225" t="str">
        <f t="shared" si="2617"/>
        <v>n/a</v>
      </c>
      <c r="BS207" s="214" t="str">
        <f t="shared" si="2617"/>
        <v>n/a</v>
      </c>
      <c r="BT207" s="225" t="str">
        <f t="shared" si="2617"/>
        <v>n/a</v>
      </c>
      <c r="BU207" s="225" t="str">
        <f t="shared" si="2617"/>
        <v>n/a</v>
      </c>
      <c r="BV207" s="225" t="str">
        <f t="shared" si="2617"/>
        <v>n/a</v>
      </c>
      <c r="BW207" s="225" t="str">
        <f t="shared" si="2617"/>
        <v>n/a</v>
      </c>
      <c r="BX207" s="225" t="str">
        <f t="shared" si="2617"/>
        <v>n/a</v>
      </c>
      <c r="BY207" s="225" t="str">
        <f t="shared" si="2617"/>
        <v>n/a</v>
      </c>
      <c r="BZ207" s="225" t="str">
        <f t="shared" si="2617"/>
        <v>n/a</v>
      </c>
      <c r="CA207" s="225" t="str">
        <f t="shared" si="2617"/>
        <v>n/a</v>
      </c>
      <c r="CB207" s="225" t="str">
        <f t="shared" si="2617"/>
        <v>n/a</v>
      </c>
      <c r="CC207" s="225" t="str">
        <f t="shared" si="2617"/>
        <v>n/a</v>
      </c>
      <c r="CD207" s="225" t="str">
        <f t="shared" si="2617"/>
        <v>n/a</v>
      </c>
      <c r="CE207" s="214" t="str">
        <f t="shared" si="2617"/>
        <v>n/a</v>
      </c>
      <c r="CF207" s="225" t="str">
        <f t="shared" si="2617"/>
        <v>n/a</v>
      </c>
      <c r="CG207" s="225" t="str">
        <f t="shared" si="2617"/>
        <v>n/a</v>
      </c>
      <c r="CH207" s="225" t="str">
        <f t="shared" si="2617"/>
        <v>n/a</v>
      </c>
      <c r="CI207" s="225" t="str">
        <f t="shared" ref="CI207:DN207" si="2618">++IFERROR(CI206/BW206-1,"n/a")</f>
        <v>n/a</v>
      </c>
      <c r="CJ207" s="225" t="str">
        <f t="shared" si="2618"/>
        <v>n/a</v>
      </c>
      <c r="CK207" s="225" t="str">
        <f t="shared" si="2618"/>
        <v>n/a</v>
      </c>
      <c r="CL207" s="225" t="str">
        <f t="shared" si="2618"/>
        <v>n/a</v>
      </c>
      <c r="CM207" s="225" t="str">
        <f t="shared" si="2618"/>
        <v>n/a</v>
      </c>
      <c r="CN207" s="225" t="str">
        <f t="shared" si="2618"/>
        <v>n/a</v>
      </c>
      <c r="CO207" s="225" t="str">
        <f t="shared" si="2618"/>
        <v>n/a</v>
      </c>
      <c r="CP207" s="225" t="str">
        <f t="shared" si="2618"/>
        <v>n/a</v>
      </c>
      <c r="CQ207" s="214" t="str">
        <f t="shared" si="2618"/>
        <v>n/a</v>
      </c>
      <c r="CR207" s="225" t="str">
        <f t="shared" si="2618"/>
        <v>n/a</v>
      </c>
      <c r="CS207" s="225" t="str">
        <f t="shared" si="2618"/>
        <v>n/a</v>
      </c>
      <c r="CT207" s="225" t="str">
        <f t="shared" si="2618"/>
        <v>n/a</v>
      </c>
      <c r="CU207" s="225" t="str">
        <f t="shared" si="2618"/>
        <v>n/a</v>
      </c>
      <c r="CV207" s="225" t="str">
        <f t="shared" si="2618"/>
        <v>n/a</v>
      </c>
      <c r="CW207" s="225" t="str">
        <f t="shared" si="2618"/>
        <v>n/a</v>
      </c>
      <c r="CX207" s="225" t="str">
        <f t="shared" si="2618"/>
        <v>n/a</v>
      </c>
      <c r="CY207" s="225" t="str">
        <f t="shared" si="2618"/>
        <v>n/a</v>
      </c>
      <c r="CZ207" s="225" t="str">
        <f t="shared" si="2618"/>
        <v>n/a</v>
      </c>
      <c r="DA207" s="225" t="str">
        <f t="shared" si="2618"/>
        <v>n/a</v>
      </c>
      <c r="DB207" s="225" t="str">
        <f t="shared" si="2618"/>
        <v>n/a</v>
      </c>
      <c r="DC207" s="214" t="str">
        <f t="shared" si="2618"/>
        <v>n/a</v>
      </c>
    </row>
    <row r="208" spans="1:107" x14ac:dyDescent="0.3">
      <c r="G208" s="203"/>
      <c r="K208" s="203"/>
      <c r="W208" s="203"/>
      <c r="AI208" s="203"/>
      <c r="AU208" s="203"/>
      <c r="BG208" s="203"/>
      <c r="BS208" s="203"/>
      <c r="CE208" s="203"/>
      <c r="CQ208" s="203"/>
      <c r="DC208" s="203"/>
    </row>
    <row r="209" spans="3:107" x14ac:dyDescent="0.3">
      <c r="C209" s="193" t="str">
        <f>++C$13</f>
        <v>Gross Profit</v>
      </c>
      <c r="G209" s="400">
        <f>++G62</f>
        <v>0</v>
      </c>
      <c r="H209" s="400">
        <f t="shared" ref="H209:BS209" si="2619">++H62</f>
        <v>0</v>
      </c>
      <c r="I209" s="400">
        <f t="shared" si="2619"/>
        <v>0</v>
      </c>
      <c r="J209" s="400">
        <f t="shared" si="2619"/>
        <v>0</v>
      </c>
      <c r="K209" s="400">
        <f t="shared" si="2619"/>
        <v>0</v>
      </c>
      <c r="L209" s="400">
        <f t="shared" si="2619"/>
        <v>0</v>
      </c>
      <c r="M209" s="400">
        <f t="shared" si="2619"/>
        <v>0</v>
      </c>
      <c r="N209" s="400">
        <f t="shared" si="2619"/>
        <v>0</v>
      </c>
      <c r="O209" s="400">
        <f t="shared" si="2619"/>
        <v>0</v>
      </c>
      <c r="P209" s="400">
        <f t="shared" si="2619"/>
        <v>0</v>
      </c>
      <c r="Q209" s="400">
        <f t="shared" si="2619"/>
        <v>0</v>
      </c>
      <c r="R209" s="400">
        <f t="shared" si="2619"/>
        <v>0</v>
      </c>
      <c r="S209" s="400">
        <f t="shared" si="2619"/>
        <v>0</v>
      </c>
      <c r="T209" s="400">
        <f t="shared" si="2619"/>
        <v>0</v>
      </c>
      <c r="U209" s="400">
        <f t="shared" si="2619"/>
        <v>0</v>
      </c>
      <c r="V209" s="400">
        <f t="shared" si="2619"/>
        <v>0</v>
      </c>
      <c r="W209" s="400">
        <f t="shared" si="2619"/>
        <v>0</v>
      </c>
      <c r="X209" s="400">
        <f t="shared" si="2619"/>
        <v>0</v>
      </c>
      <c r="Y209" s="400">
        <f t="shared" si="2619"/>
        <v>0</v>
      </c>
      <c r="Z209" s="400">
        <f t="shared" si="2619"/>
        <v>0</v>
      </c>
      <c r="AA209" s="400">
        <f t="shared" si="2619"/>
        <v>0</v>
      </c>
      <c r="AB209" s="400">
        <f t="shared" si="2619"/>
        <v>0</v>
      </c>
      <c r="AC209" s="400">
        <f t="shared" si="2619"/>
        <v>0</v>
      </c>
      <c r="AD209" s="400">
        <f t="shared" si="2619"/>
        <v>0</v>
      </c>
      <c r="AE209" s="400">
        <f t="shared" si="2619"/>
        <v>0</v>
      </c>
      <c r="AF209" s="400">
        <f t="shared" si="2619"/>
        <v>0</v>
      </c>
      <c r="AG209" s="400">
        <f t="shared" si="2619"/>
        <v>0</v>
      </c>
      <c r="AH209" s="400">
        <f t="shared" si="2619"/>
        <v>0</v>
      </c>
      <c r="AI209" s="400">
        <f t="shared" si="2619"/>
        <v>0</v>
      </c>
      <c r="AJ209" s="400">
        <f t="shared" si="2619"/>
        <v>0</v>
      </c>
      <c r="AK209" s="400">
        <f t="shared" si="2619"/>
        <v>0</v>
      </c>
      <c r="AL209" s="400">
        <f t="shared" si="2619"/>
        <v>0</v>
      </c>
      <c r="AM209" s="400">
        <f t="shared" si="2619"/>
        <v>0</v>
      </c>
      <c r="AN209" s="400">
        <f t="shared" si="2619"/>
        <v>0</v>
      </c>
      <c r="AO209" s="400">
        <f t="shared" si="2619"/>
        <v>0</v>
      </c>
      <c r="AP209" s="400">
        <f t="shared" si="2619"/>
        <v>0</v>
      </c>
      <c r="AQ209" s="400">
        <f t="shared" si="2619"/>
        <v>0</v>
      </c>
      <c r="AR209" s="400">
        <f t="shared" si="2619"/>
        <v>0</v>
      </c>
      <c r="AS209" s="400">
        <f t="shared" si="2619"/>
        <v>0</v>
      </c>
      <c r="AT209" s="400">
        <f t="shared" si="2619"/>
        <v>0</v>
      </c>
      <c r="AU209" s="400">
        <f t="shared" si="2619"/>
        <v>0</v>
      </c>
      <c r="AV209" s="400">
        <f t="shared" si="2619"/>
        <v>0</v>
      </c>
      <c r="AW209" s="400">
        <f t="shared" si="2619"/>
        <v>0</v>
      </c>
      <c r="AX209" s="400">
        <f t="shared" si="2619"/>
        <v>0</v>
      </c>
      <c r="AY209" s="400">
        <f t="shared" si="2619"/>
        <v>0</v>
      </c>
      <c r="AZ209" s="400">
        <f t="shared" si="2619"/>
        <v>0</v>
      </c>
      <c r="BA209" s="400">
        <f t="shared" si="2619"/>
        <v>0</v>
      </c>
      <c r="BB209" s="400">
        <f t="shared" si="2619"/>
        <v>0</v>
      </c>
      <c r="BC209" s="400">
        <f t="shared" si="2619"/>
        <v>0</v>
      </c>
      <c r="BD209" s="400">
        <f t="shared" si="2619"/>
        <v>0</v>
      </c>
      <c r="BE209" s="400">
        <f t="shared" si="2619"/>
        <v>0</v>
      </c>
      <c r="BF209" s="400">
        <f t="shared" si="2619"/>
        <v>0</v>
      </c>
      <c r="BG209" s="400">
        <f t="shared" si="2619"/>
        <v>0</v>
      </c>
      <c r="BH209" s="400">
        <f t="shared" si="2619"/>
        <v>0</v>
      </c>
      <c r="BI209" s="400">
        <f t="shared" si="2619"/>
        <v>0</v>
      </c>
      <c r="BJ209" s="400">
        <f t="shared" si="2619"/>
        <v>0</v>
      </c>
      <c r="BK209" s="400">
        <f t="shared" si="2619"/>
        <v>0</v>
      </c>
      <c r="BL209" s="400">
        <f t="shared" si="2619"/>
        <v>0</v>
      </c>
      <c r="BM209" s="400">
        <f t="shared" si="2619"/>
        <v>0</v>
      </c>
      <c r="BN209" s="400">
        <f t="shared" si="2619"/>
        <v>0</v>
      </c>
      <c r="BO209" s="400">
        <f t="shared" si="2619"/>
        <v>0</v>
      </c>
      <c r="BP209" s="400">
        <f t="shared" si="2619"/>
        <v>0</v>
      </c>
      <c r="BQ209" s="400">
        <f t="shared" si="2619"/>
        <v>0</v>
      </c>
      <c r="BR209" s="400">
        <f t="shared" si="2619"/>
        <v>0</v>
      </c>
      <c r="BS209" s="400">
        <f t="shared" si="2619"/>
        <v>0</v>
      </c>
      <c r="BT209" s="400">
        <f t="shared" ref="BT209:DC209" si="2620">++BT62</f>
        <v>0</v>
      </c>
      <c r="BU209" s="400">
        <f t="shared" si="2620"/>
        <v>0</v>
      </c>
      <c r="BV209" s="400">
        <f t="shared" si="2620"/>
        <v>0</v>
      </c>
      <c r="BW209" s="400">
        <f t="shared" si="2620"/>
        <v>0</v>
      </c>
      <c r="BX209" s="400">
        <f t="shared" si="2620"/>
        <v>0</v>
      </c>
      <c r="BY209" s="400">
        <f t="shared" si="2620"/>
        <v>0</v>
      </c>
      <c r="BZ209" s="400">
        <f t="shared" si="2620"/>
        <v>0</v>
      </c>
      <c r="CA209" s="400">
        <f t="shared" si="2620"/>
        <v>0</v>
      </c>
      <c r="CB209" s="400">
        <f t="shared" si="2620"/>
        <v>0</v>
      </c>
      <c r="CC209" s="400">
        <f t="shared" si="2620"/>
        <v>0</v>
      </c>
      <c r="CD209" s="400">
        <f t="shared" si="2620"/>
        <v>0</v>
      </c>
      <c r="CE209" s="400">
        <f t="shared" si="2620"/>
        <v>0</v>
      </c>
      <c r="CF209" s="400">
        <f t="shared" si="2620"/>
        <v>0</v>
      </c>
      <c r="CG209" s="400">
        <f t="shared" si="2620"/>
        <v>0</v>
      </c>
      <c r="CH209" s="400">
        <f t="shared" si="2620"/>
        <v>0</v>
      </c>
      <c r="CI209" s="400">
        <f t="shared" si="2620"/>
        <v>0</v>
      </c>
      <c r="CJ209" s="400">
        <f t="shared" si="2620"/>
        <v>0</v>
      </c>
      <c r="CK209" s="400">
        <f t="shared" si="2620"/>
        <v>0</v>
      </c>
      <c r="CL209" s="400">
        <f t="shared" si="2620"/>
        <v>0</v>
      </c>
      <c r="CM209" s="400">
        <f t="shared" si="2620"/>
        <v>0</v>
      </c>
      <c r="CN209" s="400">
        <f t="shared" si="2620"/>
        <v>0</v>
      </c>
      <c r="CO209" s="400">
        <f t="shared" si="2620"/>
        <v>0</v>
      </c>
      <c r="CP209" s="400">
        <f t="shared" si="2620"/>
        <v>0</v>
      </c>
      <c r="CQ209" s="400">
        <f t="shared" si="2620"/>
        <v>0</v>
      </c>
      <c r="CR209" s="400">
        <f t="shared" si="2620"/>
        <v>0</v>
      </c>
      <c r="CS209" s="400">
        <f t="shared" si="2620"/>
        <v>0</v>
      </c>
      <c r="CT209" s="400">
        <f t="shared" si="2620"/>
        <v>0</v>
      </c>
      <c r="CU209" s="400">
        <f t="shared" si="2620"/>
        <v>0</v>
      </c>
      <c r="CV209" s="400">
        <f t="shared" si="2620"/>
        <v>0</v>
      </c>
      <c r="CW209" s="400">
        <f t="shared" si="2620"/>
        <v>0</v>
      </c>
      <c r="CX209" s="400">
        <f t="shared" si="2620"/>
        <v>0</v>
      </c>
      <c r="CY209" s="400">
        <f t="shared" si="2620"/>
        <v>0</v>
      </c>
      <c r="CZ209" s="400">
        <f t="shared" si="2620"/>
        <v>0</v>
      </c>
      <c r="DA209" s="400">
        <f t="shared" si="2620"/>
        <v>0</v>
      </c>
      <c r="DB209" s="400">
        <f t="shared" si="2620"/>
        <v>0</v>
      </c>
      <c r="DC209" s="400">
        <f t="shared" si="2620"/>
        <v>0</v>
      </c>
    </row>
    <row r="210" spans="3:107" x14ac:dyDescent="0.3">
      <c r="C210" s="321" t="str">
        <f>++C$14</f>
        <v>% margin</v>
      </c>
      <c r="G210" s="214" t="str">
        <f>++IFERROR(G209/G206,"n/a")</f>
        <v>n/a</v>
      </c>
      <c r="H210" s="225" t="str">
        <f t="shared" ref="H210" si="2621">++IFERROR(H209/H206,"n/a")</f>
        <v>n/a</v>
      </c>
      <c r="I210" s="225" t="str">
        <f t="shared" ref="I210" si="2622">++IFERROR(I209/I206,"n/a")</f>
        <v>n/a</v>
      </c>
      <c r="J210" s="225" t="str">
        <f t="shared" ref="J210" si="2623">++IFERROR(J209/J206,"n/a")</f>
        <v>n/a</v>
      </c>
      <c r="K210" s="214" t="str">
        <f t="shared" ref="K210" si="2624">++IFERROR(K209/K206,"n/a")</f>
        <v>n/a</v>
      </c>
      <c r="L210" s="225" t="str">
        <f t="shared" ref="L210" si="2625">++IFERROR(L209/L206,"n/a")</f>
        <v>n/a</v>
      </c>
      <c r="M210" s="225" t="str">
        <f t="shared" ref="M210" si="2626">++IFERROR(M209/M206,"n/a")</f>
        <v>n/a</v>
      </c>
      <c r="N210" s="225" t="str">
        <f t="shared" ref="N210" si="2627">++IFERROR(N209/N206,"n/a")</f>
        <v>n/a</v>
      </c>
      <c r="O210" s="225" t="str">
        <f t="shared" ref="O210" si="2628">++IFERROR(O209/O206,"n/a")</f>
        <v>n/a</v>
      </c>
      <c r="P210" s="225" t="str">
        <f t="shared" ref="P210" si="2629">++IFERROR(P209/P206,"n/a")</f>
        <v>n/a</v>
      </c>
      <c r="Q210" s="225" t="str">
        <f t="shared" ref="Q210" si="2630">++IFERROR(Q209/Q206,"n/a")</f>
        <v>n/a</v>
      </c>
      <c r="R210" s="225" t="str">
        <f t="shared" ref="R210" si="2631">++IFERROR(R209/R206,"n/a")</f>
        <v>n/a</v>
      </c>
      <c r="S210" s="225" t="str">
        <f t="shared" ref="S210" si="2632">++IFERROR(S209/S206,"n/a")</f>
        <v>n/a</v>
      </c>
      <c r="T210" s="225" t="str">
        <f t="shared" ref="T210" si="2633">++IFERROR(T209/T206,"n/a")</f>
        <v>n/a</v>
      </c>
      <c r="U210" s="225" t="str">
        <f t="shared" ref="U210" si="2634">++IFERROR(U209/U206,"n/a")</f>
        <v>n/a</v>
      </c>
      <c r="V210" s="225" t="str">
        <f t="shared" ref="V210" si="2635">++IFERROR(V209/V206,"n/a")</f>
        <v>n/a</v>
      </c>
      <c r="W210" s="214" t="str">
        <f t="shared" ref="W210" si="2636">++IFERROR(W209/W206,"n/a")</f>
        <v>n/a</v>
      </c>
      <c r="X210" s="225" t="str">
        <f t="shared" ref="X210" si="2637">++IFERROR(X209/X206,"n/a")</f>
        <v>n/a</v>
      </c>
      <c r="Y210" s="225" t="str">
        <f t="shared" ref="Y210" si="2638">++IFERROR(Y209/Y206,"n/a")</f>
        <v>n/a</v>
      </c>
      <c r="Z210" s="225" t="str">
        <f t="shared" ref="Z210" si="2639">++IFERROR(Z209/Z206,"n/a")</f>
        <v>n/a</v>
      </c>
      <c r="AA210" s="225" t="str">
        <f t="shared" ref="AA210" si="2640">++IFERROR(AA209/AA206,"n/a")</f>
        <v>n/a</v>
      </c>
      <c r="AB210" s="225" t="str">
        <f t="shared" ref="AB210" si="2641">++IFERROR(AB209/AB206,"n/a")</f>
        <v>n/a</v>
      </c>
      <c r="AC210" s="225" t="str">
        <f t="shared" ref="AC210" si="2642">++IFERROR(AC209/AC206,"n/a")</f>
        <v>n/a</v>
      </c>
      <c r="AD210" s="225" t="str">
        <f t="shared" ref="AD210" si="2643">++IFERROR(AD209/AD206,"n/a")</f>
        <v>n/a</v>
      </c>
      <c r="AE210" s="225" t="str">
        <f t="shared" ref="AE210" si="2644">++IFERROR(AE209/AE206,"n/a")</f>
        <v>n/a</v>
      </c>
      <c r="AF210" s="225" t="str">
        <f t="shared" ref="AF210" si="2645">++IFERROR(AF209/AF206,"n/a")</f>
        <v>n/a</v>
      </c>
      <c r="AG210" s="225" t="str">
        <f t="shared" ref="AG210" si="2646">++IFERROR(AG209/AG206,"n/a")</f>
        <v>n/a</v>
      </c>
      <c r="AH210" s="225" t="str">
        <f t="shared" ref="AH210" si="2647">++IFERROR(AH209/AH206,"n/a")</f>
        <v>n/a</v>
      </c>
      <c r="AI210" s="214" t="str">
        <f t="shared" ref="AI210" si="2648">++IFERROR(AI209/AI206,"n/a")</f>
        <v>n/a</v>
      </c>
      <c r="AJ210" s="225" t="str">
        <f t="shared" ref="AJ210" si="2649">++IFERROR(AJ209/AJ206,"n/a")</f>
        <v>n/a</v>
      </c>
      <c r="AK210" s="225" t="str">
        <f t="shared" ref="AK210" si="2650">++IFERROR(AK209/AK206,"n/a")</f>
        <v>n/a</v>
      </c>
      <c r="AL210" s="225" t="str">
        <f t="shared" ref="AL210" si="2651">++IFERROR(AL209/AL206,"n/a")</f>
        <v>n/a</v>
      </c>
      <c r="AM210" s="225" t="str">
        <f t="shared" ref="AM210" si="2652">++IFERROR(AM209/AM206,"n/a")</f>
        <v>n/a</v>
      </c>
      <c r="AN210" s="225" t="str">
        <f t="shared" ref="AN210" si="2653">++IFERROR(AN209/AN206,"n/a")</f>
        <v>n/a</v>
      </c>
      <c r="AO210" s="225" t="str">
        <f t="shared" ref="AO210" si="2654">++IFERROR(AO209/AO206,"n/a")</f>
        <v>n/a</v>
      </c>
      <c r="AP210" s="225" t="str">
        <f t="shared" ref="AP210" si="2655">++IFERROR(AP209/AP206,"n/a")</f>
        <v>n/a</v>
      </c>
      <c r="AQ210" s="225" t="str">
        <f t="shared" ref="AQ210" si="2656">++IFERROR(AQ209/AQ206,"n/a")</f>
        <v>n/a</v>
      </c>
      <c r="AR210" s="225" t="str">
        <f t="shared" ref="AR210" si="2657">++IFERROR(AR209/AR206,"n/a")</f>
        <v>n/a</v>
      </c>
      <c r="AS210" s="225" t="str">
        <f t="shared" ref="AS210" si="2658">++IFERROR(AS209/AS206,"n/a")</f>
        <v>n/a</v>
      </c>
      <c r="AT210" s="225" t="str">
        <f t="shared" ref="AT210" si="2659">++IFERROR(AT209/AT206,"n/a")</f>
        <v>n/a</v>
      </c>
      <c r="AU210" s="214" t="str">
        <f t="shared" ref="AU210" si="2660">++IFERROR(AU209/AU206,"n/a")</f>
        <v>n/a</v>
      </c>
      <c r="AV210" s="225" t="str">
        <f t="shared" ref="AV210" si="2661">++IFERROR(AV209/AV206,"n/a")</f>
        <v>n/a</v>
      </c>
      <c r="AW210" s="225" t="str">
        <f t="shared" ref="AW210" si="2662">++IFERROR(AW209/AW206,"n/a")</f>
        <v>n/a</v>
      </c>
      <c r="AX210" s="225" t="str">
        <f t="shared" ref="AX210" si="2663">++IFERROR(AX209/AX206,"n/a")</f>
        <v>n/a</v>
      </c>
      <c r="AY210" s="225" t="str">
        <f t="shared" ref="AY210" si="2664">++IFERROR(AY209/AY206,"n/a")</f>
        <v>n/a</v>
      </c>
      <c r="AZ210" s="225" t="str">
        <f t="shared" ref="AZ210" si="2665">++IFERROR(AZ209/AZ206,"n/a")</f>
        <v>n/a</v>
      </c>
      <c r="BA210" s="225" t="str">
        <f t="shared" ref="BA210" si="2666">++IFERROR(BA209/BA206,"n/a")</f>
        <v>n/a</v>
      </c>
      <c r="BB210" s="225" t="str">
        <f t="shared" ref="BB210" si="2667">++IFERROR(BB209/BB206,"n/a")</f>
        <v>n/a</v>
      </c>
      <c r="BC210" s="225" t="str">
        <f t="shared" ref="BC210" si="2668">++IFERROR(BC209/BC206,"n/a")</f>
        <v>n/a</v>
      </c>
      <c r="BD210" s="225" t="str">
        <f t="shared" ref="BD210" si="2669">++IFERROR(BD209/BD206,"n/a")</f>
        <v>n/a</v>
      </c>
      <c r="BE210" s="225" t="str">
        <f t="shared" ref="BE210" si="2670">++IFERROR(BE209/BE206,"n/a")</f>
        <v>n/a</v>
      </c>
      <c r="BF210" s="225" t="str">
        <f t="shared" ref="BF210" si="2671">++IFERROR(BF209/BF206,"n/a")</f>
        <v>n/a</v>
      </c>
      <c r="BG210" s="214" t="str">
        <f t="shared" ref="BG210" si="2672">++IFERROR(BG209/BG206,"n/a")</f>
        <v>n/a</v>
      </c>
      <c r="BH210" s="225" t="str">
        <f t="shared" ref="BH210" si="2673">++IFERROR(BH209/BH206,"n/a")</f>
        <v>n/a</v>
      </c>
      <c r="BI210" s="225" t="str">
        <f t="shared" ref="BI210" si="2674">++IFERROR(BI209/BI206,"n/a")</f>
        <v>n/a</v>
      </c>
      <c r="BJ210" s="225" t="str">
        <f t="shared" ref="BJ210" si="2675">++IFERROR(BJ209/BJ206,"n/a")</f>
        <v>n/a</v>
      </c>
      <c r="BK210" s="225" t="str">
        <f t="shared" ref="BK210" si="2676">++IFERROR(BK209/BK206,"n/a")</f>
        <v>n/a</v>
      </c>
      <c r="BL210" s="225" t="str">
        <f t="shared" ref="BL210" si="2677">++IFERROR(BL209/BL206,"n/a")</f>
        <v>n/a</v>
      </c>
      <c r="BM210" s="225" t="str">
        <f t="shared" ref="BM210" si="2678">++IFERROR(BM209/BM206,"n/a")</f>
        <v>n/a</v>
      </c>
      <c r="BN210" s="225" t="str">
        <f t="shared" ref="BN210" si="2679">++IFERROR(BN209/BN206,"n/a")</f>
        <v>n/a</v>
      </c>
      <c r="BO210" s="225" t="str">
        <f t="shared" ref="BO210" si="2680">++IFERROR(BO209/BO206,"n/a")</f>
        <v>n/a</v>
      </c>
      <c r="BP210" s="225" t="str">
        <f t="shared" ref="BP210" si="2681">++IFERROR(BP209/BP206,"n/a")</f>
        <v>n/a</v>
      </c>
      <c r="BQ210" s="225" t="str">
        <f t="shared" ref="BQ210" si="2682">++IFERROR(BQ209/BQ206,"n/a")</f>
        <v>n/a</v>
      </c>
      <c r="BR210" s="225" t="str">
        <f t="shared" ref="BR210" si="2683">++IFERROR(BR209/BR206,"n/a")</f>
        <v>n/a</v>
      </c>
      <c r="BS210" s="214" t="str">
        <f t="shared" ref="BS210" si="2684">++IFERROR(BS209/BS206,"n/a")</f>
        <v>n/a</v>
      </c>
      <c r="BT210" s="225" t="str">
        <f t="shared" ref="BT210" si="2685">++IFERROR(BT209/BT206,"n/a")</f>
        <v>n/a</v>
      </c>
      <c r="BU210" s="225" t="str">
        <f t="shared" ref="BU210" si="2686">++IFERROR(BU209/BU206,"n/a")</f>
        <v>n/a</v>
      </c>
      <c r="BV210" s="225" t="str">
        <f t="shared" ref="BV210" si="2687">++IFERROR(BV209/BV206,"n/a")</f>
        <v>n/a</v>
      </c>
      <c r="BW210" s="225" t="str">
        <f t="shared" ref="BW210" si="2688">++IFERROR(BW209/BW206,"n/a")</f>
        <v>n/a</v>
      </c>
      <c r="BX210" s="225" t="str">
        <f t="shared" ref="BX210" si="2689">++IFERROR(BX209/BX206,"n/a")</f>
        <v>n/a</v>
      </c>
      <c r="BY210" s="225" t="str">
        <f t="shared" ref="BY210" si="2690">++IFERROR(BY209/BY206,"n/a")</f>
        <v>n/a</v>
      </c>
      <c r="BZ210" s="225" t="str">
        <f t="shared" ref="BZ210" si="2691">++IFERROR(BZ209/BZ206,"n/a")</f>
        <v>n/a</v>
      </c>
      <c r="CA210" s="225" t="str">
        <f t="shared" ref="CA210" si="2692">++IFERROR(CA209/CA206,"n/a")</f>
        <v>n/a</v>
      </c>
      <c r="CB210" s="225" t="str">
        <f t="shared" ref="CB210" si="2693">++IFERROR(CB209/CB206,"n/a")</f>
        <v>n/a</v>
      </c>
      <c r="CC210" s="225" t="str">
        <f t="shared" ref="CC210" si="2694">++IFERROR(CC209/CC206,"n/a")</f>
        <v>n/a</v>
      </c>
      <c r="CD210" s="225" t="str">
        <f t="shared" ref="CD210" si="2695">++IFERROR(CD209/CD206,"n/a")</f>
        <v>n/a</v>
      </c>
      <c r="CE210" s="214" t="str">
        <f t="shared" ref="CE210" si="2696">++IFERROR(CE209/CE206,"n/a")</f>
        <v>n/a</v>
      </c>
      <c r="CF210" s="225" t="str">
        <f t="shared" ref="CF210" si="2697">++IFERROR(CF209/CF206,"n/a")</f>
        <v>n/a</v>
      </c>
      <c r="CG210" s="225" t="str">
        <f t="shared" ref="CG210" si="2698">++IFERROR(CG209/CG206,"n/a")</f>
        <v>n/a</v>
      </c>
      <c r="CH210" s="225" t="str">
        <f t="shared" ref="CH210" si="2699">++IFERROR(CH209/CH206,"n/a")</f>
        <v>n/a</v>
      </c>
      <c r="CI210" s="225" t="str">
        <f t="shared" ref="CI210" si="2700">++IFERROR(CI209/CI206,"n/a")</f>
        <v>n/a</v>
      </c>
      <c r="CJ210" s="225" t="str">
        <f t="shared" ref="CJ210" si="2701">++IFERROR(CJ209/CJ206,"n/a")</f>
        <v>n/a</v>
      </c>
      <c r="CK210" s="225" t="str">
        <f t="shared" ref="CK210" si="2702">++IFERROR(CK209/CK206,"n/a")</f>
        <v>n/a</v>
      </c>
      <c r="CL210" s="225" t="str">
        <f t="shared" ref="CL210" si="2703">++IFERROR(CL209/CL206,"n/a")</f>
        <v>n/a</v>
      </c>
      <c r="CM210" s="225" t="str">
        <f t="shared" ref="CM210" si="2704">++IFERROR(CM209/CM206,"n/a")</f>
        <v>n/a</v>
      </c>
      <c r="CN210" s="225" t="str">
        <f t="shared" ref="CN210" si="2705">++IFERROR(CN209/CN206,"n/a")</f>
        <v>n/a</v>
      </c>
      <c r="CO210" s="225" t="str">
        <f t="shared" ref="CO210" si="2706">++IFERROR(CO209/CO206,"n/a")</f>
        <v>n/a</v>
      </c>
      <c r="CP210" s="225" t="str">
        <f t="shared" ref="CP210" si="2707">++IFERROR(CP209/CP206,"n/a")</f>
        <v>n/a</v>
      </c>
      <c r="CQ210" s="214" t="str">
        <f t="shared" ref="CQ210" si="2708">++IFERROR(CQ209/CQ206,"n/a")</f>
        <v>n/a</v>
      </c>
      <c r="CR210" s="225" t="str">
        <f t="shared" ref="CR210" si="2709">++IFERROR(CR209/CR206,"n/a")</f>
        <v>n/a</v>
      </c>
      <c r="CS210" s="225" t="str">
        <f t="shared" ref="CS210" si="2710">++IFERROR(CS209/CS206,"n/a")</f>
        <v>n/a</v>
      </c>
      <c r="CT210" s="225" t="str">
        <f t="shared" ref="CT210" si="2711">++IFERROR(CT209/CT206,"n/a")</f>
        <v>n/a</v>
      </c>
      <c r="CU210" s="225" t="str">
        <f t="shared" ref="CU210" si="2712">++IFERROR(CU209/CU206,"n/a")</f>
        <v>n/a</v>
      </c>
      <c r="CV210" s="225" t="str">
        <f t="shared" ref="CV210" si="2713">++IFERROR(CV209/CV206,"n/a")</f>
        <v>n/a</v>
      </c>
      <c r="CW210" s="225" t="str">
        <f t="shared" ref="CW210" si="2714">++IFERROR(CW209/CW206,"n/a")</f>
        <v>n/a</v>
      </c>
      <c r="CX210" s="225" t="str">
        <f t="shared" ref="CX210" si="2715">++IFERROR(CX209/CX206,"n/a")</f>
        <v>n/a</v>
      </c>
      <c r="CY210" s="225" t="str">
        <f t="shared" ref="CY210" si="2716">++IFERROR(CY209/CY206,"n/a")</f>
        <v>n/a</v>
      </c>
      <c r="CZ210" s="225" t="str">
        <f t="shared" ref="CZ210" si="2717">++IFERROR(CZ209/CZ206,"n/a")</f>
        <v>n/a</v>
      </c>
      <c r="DA210" s="225" t="str">
        <f t="shared" ref="DA210" si="2718">++IFERROR(DA209/DA206,"n/a")</f>
        <v>n/a</v>
      </c>
      <c r="DB210" s="225" t="str">
        <f t="shared" ref="DB210" si="2719">++IFERROR(DB209/DB206,"n/a")</f>
        <v>n/a</v>
      </c>
      <c r="DC210" s="214" t="str">
        <f t="shared" ref="DC210" si="2720">++IFERROR(DC209/DC206,"n/a")</f>
        <v>n/a</v>
      </c>
    </row>
    <row r="211" spans="3:107" x14ac:dyDescent="0.3">
      <c r="C211" s="321" t="str">
        <f>++C$15</f>
        <v>% y/y</v>
      </c>
      <c r="G211" s="122" t="s">
        <v>47</v>
      </c>
      <c r="H211" s="122" t="s">
        <v>47</v>
      </c>
      <c r="I211" s="122" t="s">
        <v>47</v>
      </c>
      <c r="J211" s="122" t="s">
        <v>47</v>
      </c>
      <c r="K211" s="214" t="str">
        <f>++IFERROR(K209/G209-1,"n/a")</f>
        <v>n/a</v>
      </c>
      <c r="L211" s="122" t="s">
        <v>47</v>
      </c>
      <c r="M211" s="122" t="s">
        <v>47</v>
      </c>
      <c r="N211" s="225" t="str">
        <f>++IFERROR(N209/H209-1,"n/a")</f>
        <v>n/a</v>
      </c>
      <c r="O211" s="122" t="s">
        <v>47</v>
      </c>
      <c r="P211" s="122" t="s">
        <v>47</v>
      </c>
      <c r="Q211" s="225" t="str">
        <f>++IFERROR(Q209/I209-1,"n/a")</f>
        <v>n/a</v>
      </c>
      <c r="R211" s="122" t="s">
        <v>47</v>
      </c>
      <c r="S211" s="122" t="s">
        <v>47</v>
      </c>
      <c r="T211" s="225" t="str">
        <f>++IFERROR(T209/J209-1,"n/a")</f>
        <v>n/a</v>
      </c>
      <c r="U211" s="122" t="s">
        <v>47</v>
      </c>
      <c r="V211" s="122" t="s">
        <v>47</v>
      </c>
      <c r="W211" s="214" t="str">
        <f t="shared" ref="W211:BB211" si="2721">++IFERROR(W209/K209-1,"n/a")</f>
        <v>n/a</v>
      </c>
      <c r="X211" s="225" t="str">
        <f t="shared" si="2721"/>
        <v>n/a</v>
      </c>
      <c r="Y211" s="225" t="str">
        <f t="shared" si="2721"/>
        <v>n/a</v>
      </c>
      <c r="Z211" s="225" t="str">
        <f t="shared" si="2721"/>
        <v>n/a</v>
      </c>
      <c r="AA211" s="225" t="str">
        <f t="shared" si="2721"/>
        <v>n/a</v>
      </c>
      <c r="AB211" s="225" t="str">
        <f t="shared" si="2721"/>
        <v>n/a</v>
      </c>
      <c r="AC211" s="225" t="str">
        <f t="shared" si="2721"/>
        <v>n/a</v>
      </c>
      <c r="AD211" s="225" t="str">
        <f t="shared" si="2721"/>
        <v>n/a</v>
      </c>
      <c r="AE211" s="225" t="str">
        <f t="shared" si="2721"/>
        <v>n/a</v>
      </c>
      <c r="AF211" s="225" t="str">
        <f t="shared" si="2721"/>
        <v>n/a</v>
      </c>
      <c r="AG211" s="225" t="str">
        <f t="shared" si="2721"/>
        <v>n/a</v>
      </c>
      <c r="AH211" s="225" t="str">
        <f t="shared" si="2721"/>
        <v>n/a</v>
      </c>
      <c r="AI211" s="214" t="str">
        <f t="shared" si="2721"/>
        <v>n/a</v>
      </c>
      <c r="AJ211" s="225" t="str">
        <f t="shared" si="2721"/>
        <v>n/a</v>
      </c>
      <c r="AK211" s="225" t="str">
        <f t="shared" si="2721"/>
        <v>n/a</v>
      </c>
      <c r="AL211" s="225" t="str">
        <f t="shared" si="2721"/>
        <v>n/a</v>
      </c>
      <c r="AM211" s="225" t="str">
        <f t="shared" si="2721"/>
        <v>n/a</v>
      </c>
      <c r="AN211" s="225" t="str">
        <f t="shared" si="2721"/>
        <v>n/a</v>
      </c>
      <c r="AO211" s="225" t="str">
        <f t="shared" si="2721"/>
        <v>n/a</v>
      </c>
      <c r="AP211" s="225" t="str">
        <f t="shared" si="2721"/>
        <v>n/a</v>
      </c>
      <c r="AQ211" s="225" t="str">
        <f t="shared" si="2721"/>
        <v>n/a</v>
      </c>
      <c r="AR211" s="225" t="str">
        <f t="shared" si="2721"/>
        <v>n/a</v>
      </c>
      <c r="AS211" s="225" t="str">
        <f t="shared" si="2721"/>
        <v>n/a</v>
      </c>
      <c r="AT211" s="225" t="str">
        <f t="shared" si="2721"/>
        <v>n/a</v>
      </c>
      <c r="AU211" s="214" t="str">
        <f t="shared" si="2721"/>
        <v>n/a</v>
      </c>
      <c r="AV211" s="225" t="str">
        <f t="shared" si="2721"/>
        <v>n/a</v>
      </c>
      <c r="AW211" s="225" t="str">
        <f t="shared" si="2721"/>
        <v>n/a</v>
      </c>
      <c r="AX211" s="225" t="str">
        <f t="shared" si="2721"/>
        <v>n/a</v>
      </c>
      <c r="AY211" s="225" t="str">
        <f t="shared" si="2721"/>
        <v>n/a</v>
      </c>
      <c r="AZ211" s="225" t="str">
        <f t="shared" si="2721"/>
        <v>n/a</v>
      </c>
      <c r="BA211" s="225" t="str">
        <f t="shared" si="2721"/>
        <v>n/a</v>
      </c>
      <c r="BB211" s="225" t="str">
        <f t="shared" si="2721"/>
        <v>n/a</v>
      </c>
      <c r="BC211" s="225" t="str">
        <f t="shared" ref="BC211:CH211" si="2722">++IFERROR(BC209/AQ209-1,"n/a")</f>
        <v>n/a</v>
      </c>
      <c r="BD211" s="225" t="str">
        <f t="shared" si="2722"/>
        <v>n/a</v>
      </c>
      <c r="BE211" s="225" t="str">
        <f t="shared" si="2722"/>
        <v>n/a</v>
      </c>
      <c r="BF211" s="225" t="str">
        <f t="shared" si="2722"/>
        <v>n/a</v>
      </c>
      <c r="BG211" s="214" t="str">
        <f t="shared" si="2722"/>
        <v>n/a</v>
      </c>
      <c r="BH211" s="225" t="str">
        <f t="shared" si="2722"/>
        <v>n/a</v>
      </c>
      <c r="BI211" s="225" t="str">
        <f t="shared" si="2722"/>
        <v>n/a</v>
      </c>
      <c r="BJ211" s="225" t="str">
        <f t="shared" si="2722"/>
        <v>n/a</v>
      </c>
      <c r="BK211" s="225" t="str">
        <f t="shared" si="2722"/>
        <v>n/a</v>
      </c>
      <c r="BL211" s="225" t="str">
        <f t="shared" si="2722"/>
        <v>n/a</v>
      </c>
      <c r="BM211" s="225" t="str">
        <f t="shared" si="2722"/>
        <v>n/a</v>
      </c>
      <c r="BN211" s="225" t="str">
        <f t="shared" si="2722"/>
        <v>n/a</v>
      </c>
      <c r="BO211" s="225" t="str">
        <f t="shared" si="2722"/>
        <v>n/a</v>
      </c>
      <c r="BP211" s="225" t="str">
        <f t="shared" si="2722"/>
        <v>n/a</v>
      </c>
      <c r="BQ211" s="225" t="str">
        <f t="shared" si="2722"/>
        <v>n/a</v>
      </c>
      <c r="BR211" s="225" t="str">
        <f t="shared" si="2722"/>
        <v>n/a</v>
      </c>
      <c r="BS211" s="214" t="str">
        <f t="shared" si="2722"/>
        <v>n/a</v>
      </c>
      <c r="BT211" s="225" t="str">
        <f t="shared" si="2722"/>
        <v>n/a</v>
      </c>
      <c r="BU211" s="225" t="str">
        <f t="shared" si="2722"/>
        <v>n/a</v>
      </c>
      <c r="BV211" s="225" t="str">
        <f t="shared" si="2722"/>
        <v>n/a</v>
      </c>
      <c r="BW211" s="225" t="str">
        <f t="shared" si="2722"/>
        <v>n/a</v>
      </c>
      <c r="BX211" s="225" t="str">
        <f t="shared" si="2722"/>
        <v>n/a</v>
      </c>
      <c r="BY211" s="225" t="str">
        <f t="shared" si="2722"/>
        <v>n/a</v>
      </c>
      <c r="BZ211" s="225" t="str">
        <f t="shared" si="2722"/>
        <v>n/a</v>
      </c>
      <c r="CA211" s="225" t="str">
        <f t="shared" si="2722"/>
        <v>n/a</v>
      </c>
      <c r="CB211" s="225" t="str">
        <f t="shared" si="2722"/>
        <v>n/a</v>
      </c>
      <c r="CC211" s="225" t="str">
        <f t="shared" si="2722"/>
        <v>n/a</v>
      </c>
      <c r="CD211" s="225" t="str">
        <f t="shared" si="2722"/>
        <v>n/a</v>
      </c>
      <c r="CE211" s="214" t="str">
        <f t="shared" si="2722"/>
        <v>n/a</v>
      </c>
      <c r="CF211" s="225" t="str">
        <f t="shared" si="2722"/>
        <v>n/a</v>
      </c>
      <c r="CG211" s="225" t="str">
        <f t="shared" si="2722"/>
        <v>n/a</v>
      </c>
      <c r="CH211" s="225" t="str">
        <f t="shared" si="2722"/>
        <v>n/a</v>
      </c>
      <c r="CI211" s="225" t="str">
        <f t="shared" ref="CI211:DN211" si="2723">++IFERROR(CI209/BW209-1,"n/a")</f>
        <v>n/a</v>
      </c>
      <c r="CJ211" s="225" t="str">
        <f t="shared" si="2723"/>
        <v>n/a</v>
      </c>
      <c r="CK211" s="225" t="str">
        <f t="shared" si="2723"/>
        <v>n/a</v>
      </c>
      <c r="CL211" s="225" t="str">
        <f t="shared" si="2723"/>
        <v>n/a</v>
      </c>
      <c r="CM211" s="225" t="str">
        <f t="shared" si="2723"/>
        <v>n/a</v>
      </c>
      <c r="CN211" s="225" t="str">
        <f t="shared" si="2723"/>
        <v>n/a</v>
      </c>
      <c r="CO211" s="225" t="str">
        <f t="shared" si="2723"/>
        <v>n/a</v>
      </c>
      <c r="CP211" s="225" t="str">
        <f t="shared" si="2723"/>
        <v>n/a</v>
      </c>
      <c r="CQ211" s="214" t="str">
        <f t="shared" si="2723"/>
        <v>n/a</v>
      </c>
      <c r="CR211" s="225" t="str">
        <f t="shared" si="2723"/>
        <v>n/a</v>
      </c>
      <c r="CS211" s="225" t="str">
        <f t="shared" si="2723"/>
        <v>n/a</v>
      </c>
      <c r="CT211" s="225" t="str">
        <f t="shared" si="2723"/>
        <v>n/a</v>
      </c>
      <c r="CU211" s="225" t="str">
        <f t="shared" si="2723"/>
        <v>n/a</v>
      </c>
      <c r="CV211" s="225" t="str">
        <f t="shared" si="2723"/>
        <v>n/a</v>
      </c>
      <c r="CW211" s="225" t="str">
        <f t="shared" si="2723"/>
        <v>n/a</v>
      </c>
      <c r="CX211" s="225" t="str">
        <f t="shared" si="2723"/>
        <v>n/a</v>
      </c>
      <c r="CY211" s="225" t="str">
        <f t="shared" si="2723"/>
        <v>n/a</v>
      </c>
      <c r="CZ211" s="225" t="str">
        <f t="shared" si="2723"/>
        <v>n/a</v>
      </c>
      <c r="DA211" s="225" t="str">
        <f t="shared" si="2723"/>
        <v>n/a</v>
      </c>
      <c r="DB211" s="225" t="str">
        <f t="shared" si="2723"/>
        <v>n/a</v>
      </c>
      <c r="DC211" s="214" t="str">
        <f t="shared" si="2723"/>
        <v>n/a</v>
      </c>
    </row>
    <row r="212" spans="3:107" x14ac:dyDescent="0.3">
      <c r="G212" s="203"/>
      <c r="K212" s="203"/>
      <c r="W212" s="203"/>
      <c r="AI212" s="203"/>
      <c r="AU212" s="203"/>
      <c r="BG212" s="203"/>
      <c r="BS212" s="203"/>
      <c r="CE212" s="203"/>
      <c r="CQ212" s="203"/>
      <c r="DC212" s="203"/>
    </row>
    <row r="213" spans="3:107" x14ac:dyDescent="0.3">
      <c r="C213" s="101" t="str">
        <f>++C$17</f>
        <v>[Operating Expense]</v>
      </c>
      <c r="G213" s="45">
        <f>++G66</f>
        <v>0</v>
      </c>
      <c r="H213" s="45">
        <f t="shared" ref="H213:BS216" si="2724">++H66</f>
        <v>0</v>
      </c>
      <c r="I213" s="45">
        <f t="shared" si="2724"/>
        <v>0</v>
      </c>
      <c r="J213" s="45">
        <f t="shared" si="2724"/>
        <v>0</v>
      </c>
      <c r="K213" s="45">
        <f t="shared" si="2724"/>
        <v>0</v>
      </c>
      <c r="L213" s="45">
        <f t="shared" si="2724"/>
        <v>0</v>
      </c>
      <c r="M213" s="45">
        <f t="shared" si="2724"/>
        <v>0</v>
      </c>
      <c r="N213" s="45">
        <f t="shared" si="2724"/>
        <v>0</v>
      </c>
      <c r="O213" s="45">
        <f t="shared" si="2724"/>
        <v>0</v>
      </c>
      <c r="P213" s="45">
        <f t="shared" si="2724"/>
        <v>0</v>
      </c>
      <c r="Q213" s="45">
        <f t="shared" si="2724"/>
        <v>0</v>
      </c>
      <c r="R213" s="45">
        <f t="shared" si="2724"/>
        <v>0</v>
      </c>
      <c r="S213" s="45">
        <f t="shared" si="2724"/>
        <v>0</v>
      </c>
      <c r="T213" s="45">
        <f t="shared" si="2724"/>
        <v>0</v>
      </c>
      <c r="U213" s="45">
        <f t="shared" si="2724"/>
        <v>0</v>
      </c>
      <c r="V213" s="45">
        <f t="shared" si="2724"/>
        <v>0</v>
      </c>
      <c r="W213" s="45">
        <f t="shared" si="2724"/>
        <v>0</v>
      </c>
      <c r="X213" s="45">
        <f t="shared" si="2724"/>
        <v>0</v>
      </c>
      <c r="Y213" s="45">
        <f t="shared" si="2724"/>
        <v>0</v>
      </c>
      <c r="Z213" s="45">
        <f t="shared" si="2724"/>
        <v>0</v>
      </c>
      <c r="AA213" s="45">
        <f t="shared" si="2724"/>
        <v>0</v>
      </c>
      <c r="AB213" s="45">
        <f t="shared" si="2724"/>
        <v>0</v>
      </c>
      <c r="AC213" s="45">
        <f t="shared" si="2724"/>
        <v>0</v>
      </c>
      <c r="AD213" s="45">
        <f t="shared" si="2724"/>
        <v>0</v>
      </c>
      <c r="AE213" s="45">
        <f t="shared" si="2724"/>
        <v>0</v>
      </c>
      <c r="AF213" s="45">
        <f t="shared" si="2724"/>
        <v>0</v>
      </c>
      <c r="AG213" s="45">
        <f t="shared" si="2724"/>
        <v>0</v>
      </c>
      <c r="AH213" s="45">
        <f t="shared" si="2724"/>
        <v>0</v>
      </c>
      <c r="AI213" s="45">
        <f t="shared" si="2724"/>
        <v>0</v>
      </c>
      <c r="AJ213" s="45">
        <f t="shared" si="2724"/>
        <v>0</v>
      </c>
      <c r="AK213" s="45">
        <f t="shared" si="2724"/>
        <v>0</v>
      </c>
      <c r="AL213" s="45">
        <f t="shared" si="2724"/>
        <v>0</v>
      </c>
      <c r="AM213" s="45">
        <f t="shared" si="2724"/>
        <v>0</v>
      </c>
      <c r="AN213" s="45">
        <f t="shared" si="2724"/>
        <v>0</v>
      </c>
      <c r="AO213" s="45">
        <f t="shared" si="2724"/>
        <v>0</v>
      </c>
      <c r="AP213" s="45">
        <f t="shared" si="2724"/>
        <v>0</v>
      </c>
      <c r="AQ213" s="45">
        <f t="shared" si="2724"/>
        <v>0</v>
      </c>
      <c r="AR213" s="45">
        <f t="shared" si="2724"/>
        <v>0</v>
      </c>
      <c r="AS213" s="45">
        <f t="shared" si="2724"/>
        <v>0</v>
      </c>
      <c r="AT213" s="45">
        <f t="shared" si="2724"/>
        <v>0</v>
      </c>
      <c r="AU213" s="45">
        <f t="shared" si="2724"/>
        <v>0</v>
      </c>
      <c r="AV213" s="45">
        <f t="shared" si="2724"/>
        <v>0</v>
      </c>
      <c r="AW213" s="45">
        <f t="shared" si="2724"/>
        <v>0</v>
      </c>
      <c r="AX213" s="45">
        <f t="shared" si="2724"/>
        <v>0</v>
      </c>
      <c r="AY213" s="45">
        <f t="shared" si="2724"/>
        <v>0</v>
      </c>
      <c r="AZ213" s="45">
        <f t="shared" si="2724"/>
        <v>0</v>
      </c>
      <c r="BA213" s="45">
        <f t="shared" si="2724"/>
        <v>0</v>
      </c>
      <c r="BB213" s="45">
        <f t="shared" si="2724"/>
        <v>0</v>
      </c>
      <c r="BC213" s="45">
        <f t="shared" si="2724"/>
        <v>0</v>
      </c>
      <c r="BD213" s="45">
        <f t="shared" si="2724"/>
        <v>0</v>
      </c>
      <c r="BE213" s="45">
        <f t="shared" si="2724"/>
        <v>0</v>
      </c>
      <c r="BF213" s="45">
        <f t="shared" si="2724"/>
        <v>0</v>
      </c>
      <c r="BG213" s="45">
        <f t="shared" si="2724"/>
        <v>0</v>
      </c>
      <c r="BH213" s="45">
        <f t="shared" si="2724"/>
        <v>0</v>
      </c>
      <c r="BI213" s="45">
        <f t="shared" si="2724"/>
        <v>0</v>
      </c>
      <c r="BJ213" s="45">
        <f t="shared" si="2724"/>
        <v>0</v>
      </c>
      <c r="BK213" s="45">
        <f t="shared" si="2724"/>
        <v>0</v>
      </c>
      <c r="BL213" s="45">
        <f t="shared" si="2724"/>
        <v>0</v>
      </c>
      <c r="BM213" s="45">
        <f t="shared" si="2724"/>
        <v>0</v>
      </c>
      <c r="BN213" s="45">
        <f t="shared" si="2724"/>
        <v>0</v>
      </c>
      <c r="BO213" s="45">
        <f t="shared" si="2724"/>
        <v>0</v>
      </c>
      <c r="BP213" s="45">
        <f t="shared" si="2724"/>
        <v>0</v>
      </c>
      <c r="BQ213" s="45">
        <f t="shared" si="2724"/>
        <v>0</v>
      </c>
      <c r="BR213" s="45">
        <f t="shared" si="2724"/>
        <v>0</v>
      </c>
      <c r="BS213" s="45">
        <f t="shared" si="2724"/>
        <v>0</v>
      </c>
      <c r="BT213" s="45">
        <f t="shared" ref="BT213:DC213" si="2725">++BT66</f>
        <v>0</v>
      </c>
      <c r="BU213" s="45">
        <f t="shared" si="2725"/>
        <v>0</v>
      </c>
      <c r="BV213" s="45">
        <f t="shared" si="2725"/>
        <v>0</v>
      </c>
      <c r="BW213" s="45">
        <f t="shared" si="2725"/>
        <v>0</v>
      </c>
      <c r="BX213" s="45">
        <f t="shared" si="2725"/>
        <v>0</v>
      </c>
      <c r="BY213" s="45">
        <f t="shared" si="2725"/>
        <v>0</v>
      </c>
      <c r="BZ213" s="45">
        <f t="shared" si="2725"/>
        <v>0</v>
      </c>
      <c r="CA213" s="45">
        <f t="shared" si="2725"/>
        <v>0</v>
      </c>
      <c r="CB213" s="45">
        <f t="shared" si="2725"/>
        <v>0</v>
      </c>
      <c r="CC213" s="45">
        <f t="shared" si="2725"/>
        <v>0</v>
      </c>
      <c r="CD213" s="45">
        <f t="shared" si="2725"/>
        <v>0</v>
      </c>
      <c r="CE213" s="45">
        <f t="shared" si="2725"/>
        <v>0</v>
      </c>
      <c r="CF213" s="45">
        <f t="shared" si="2725"/>
        <v>0</v>
      </c>
      <c r="CG213" s="45">
        <f t="shared" si="2725"/>
        <v>0</v>
      </c>
      <c r="CH213" s="45">
        <f t="shared" si="2725"/>
        <v>0</v>
      </c>
      <c r="CI213" s="45">
        <f t="shared" si="2725"/>
        <v>0</v>
      </c>
      <c r="CJ213" s="45">
        <f t="shared" si="2725"/>
        <v>0</v>
      </c>
      <c r="CK213" s="45">
        <f t="shared" si="2725"/>
        <v>0</v>
      </c>
      <c r="CL213" s="45">
        <f t="shared" si="2725"/>
        <v>0</v>
      </c>
      <c r="CM213" s="45">
        <f t="shared" si="2725"/>
        <v>0</v>
      </c>
      <c r="CN213" s="45">
        <f t="shared" si="2725"/>
        <v>0</v>
      </c>
      <c r="CO213" s="45">
        <f t="shared" si="2725"/>
        <v>0</v>
      </c>
      <c r="CP213" s="45">
        <f t="shared" si="2725"/>
        <v>0</v>
      </c>
      <c r="CQ213" s="45">
        <f t="shared" si="2725"/>
        <v>0</v>
      </c>
      <c r="CR213" s="45">
        <f t="shared" si="2725"/>
        <v>0</v>
      </c>
      <c r="CS213" s="45">
        <f t="shared" si="2725"/>
        <v>0</v>
      </c>
      <c r="CT213" s="45">
        <f t="shared" si="2725"/>
        <v>0</v>
      </c>
      <c r="CU213" s="45">
        <f t="shared" si="2725"/>
        <v>0</v>
      </c>
      <c r="CV213" s="45">
        <f t="shared" si="2725"/>
        <v>0</v>
      </c>
      <c r="CW213" s="45">
        <f t="shared" si="2725"/>
        <v>0</v>
      </c>
      <c r="CX213" s="45">
        <f t="shared" si="2725"/>
        <v>0</v>
      </c>
      <c r="CY213" s="45">
        <f t="shared" si="2725"/>
        <v>0</v>
      </c>
      <c r="CZ213" s="45">
        <f t="shared" si="2725"/>
        <v>0</v>
      </c>
      <c r="DA213" s="45">
        <f t="shared" si="2725"/>
        <v>0</v>
      </c>
      <c r="DB213" s="45">
        <f t="shared" si="2725"/>
        <v>0</v>
      </c>
      <c r="DC213" s="45">
        <f t="shared" si="2725"/>
        <v>0</v>
      </c>
    </row>
    <row r="214" spans="3:107" x14ac:dyDescent="0.3">
      <c r="C214" s="101" t="str">
        <f>++C$18</f>
        <v>[Operating Expense]</v>
      </c>
      <c r="G214" s="45">
        <f>++G67</f>
        <v>0</v>
      </c>
      <c r="H214" s="45">
        <f t="shared" si="2724"/>
        <v>0</v>
      </c>
      <c r="I214" s="45">
        <f t="shared" si="2724"/>
        <v>0</v>
      </c>
      <c r="J214" s="45">
        <f t="shared" si="2724"/>
        <v>0</v>
      </c>
      <c r="K214" s="45">
        <f t="shared" si="2724"/>
        <v>0</v>
      </c>
      <c r="L214" s="45">
        <f t="shared" si="2724"/>
        <v>0</v>
      </c>
      <c r="M214" s="45">
        <f t="shared" si="2724"/>
        <v>0</v>
      </c>
      <c r="N214" s="45">
        <f t="shared" si="2724"/>
        <v>0</v>
      </c>
      <c r="O214" s="45">
        <f t="shared" si="2724"/>
        <v>0</v>
      </c>
      <c r="P214" s="45">
        <f t="shared" si="2724"/>
        <v>0</v>
      </c>
      <c r="Q214" s="45">
        <f t="shared" si="2724"/>
        <v>0</v>
      </c>
      <c r="R214" s="45">
        <f t="shared" si="2724"/>
        <v>0</v>
      </c>
      <c r="S214" s="45">
        <f t="shared" si="2724"/>
        <v>0</v>
      </c>
      <c r="T214" s="45">
        <f t="shared" si="2724"/>
        <v>0</v>
      </c>
      <c r="U214" s="45">
        <f t="shared" si="2724"/>
        <v>0</v>
      </c>
      <c r="V214" s="45">
        <f t="shared" si="2724"/>
        <v>0</v>
      </c>
      <c r="W214" s="45">
        <f t="shared" si="2724"/>
        <v>0</v>
      </c>
      <c r="X214" s="45">
        <f t="shared" si="2724"/>
        <v>0</v>
      </c>
      <c r="Y214" s="45">
        <f t="shared" si="2724"/>
        <v>0</v>
      </c>
      <c r="Z214" s="45">
        <f t="shared" si="2724"/>
        <v>0</v>
      </c>
      <c r="AA214" s="45">
        <f t="shared" si="2724"/>
        <v>0</v>
      </c>
      <c r="AB214" s="45">
        <f t="shared" si="2724"/>
        <v>0</v>
      </c>
      <c r="AC214" s="45">
        <f t="shared" si="2724"/>
        <v>0</v>
      </c>
      <c r="AD214" s="45">
        <f t="shared" si="2724"/>
        <v>0</v>
      </c>
      <c r="AE214" s="45">
        <f t="shared" si="2724"/>
        <v>0</v>
      </c>
      <c r="AF214" s="45">
        <f t="shared" si="2724"/>
        <v>0</v>
      </c>
      <c r="AG214" s="45">
        <f t="shared" si="2724"/>
        <v>0</v>
      </c>
      <c r="AH214" s="45">
        <f t="shared" si="2724"/>
        <v>0</v>
      </c>
      <c r="AI214" s="45">
        <f t="shared" si="2724"/>
        <v>0</v>
      </c>
      <c r="AJ214" s="45">
        <f t="shared" si="2724"/>
        <v>0</v>
      </c>
      <c r="AK214" s="45">
        <f t="shared" si="2724"/>
        <v>0</v>
      </c>
      <c r="AL214" s="45">
        <f t="shared" si="2724"/>
        <v>0</v>
      </c>
      <c r="AM214" s="45">
        <f t="shared" si="2724"/>
        <v>0</v>
      </c>
      <c r="AN214" s="45">
        <f t="shared" si="2724"/>
        <v>0</v>
      </c>
      <c r="AO214" s="45">
        <f t="shared" si="2724"/>
        <v>0</v>
      </c>
      <c r="AP214" s="45">
        <f t="shared" si="2724"/>
        <v>0</v>
      </c>
      <c r="AQ214" s="45">
        <f t="shared" si="2724"/>
        <v>0</v>
      </c>
      <c r="AR214" s="45">
        <f t="shared" si="2724"/>
        <v>0</v>
      </c>
      <c r="AS214" s="45">
        <f t="shared" si="2724"/>
        <v>0</v>
      </c>
      <c r="AT214" s="45">
        <f t="shared" si="2724"/>
        <v>0</v>
      </c>
      <c r="AU214" s="45">
        <f t="shared" si="2724"/>
        <v>0</v>
      </c>
      <c r="AV214" s="45">
        <f t="shared" si="2724"/>
        <v>0</v>
      </c>
      <c r="AW214" s="45">
        <f t="shared" si="2724"/>
        <v>0</v>
      </c>
      <c r="AX214" s="45">
        <f t="shared" si="2724"/>
        <v>0</v>
      </c>
      <c r="AY214" s="45">
        <f t="shared" si="2724"/>
        <v>0</v>
      </c>
      <c r="AZ214" s="45">
        <f t="shared" si="2724"/>
        <v>0</v>
      </c>
      <c r="BA214" s="45">
        <f t="shared" si="2724"/>
        <v>0</v>
      </c>
      <c r="BB214" s="45">
        <f t="shared" si="2724"/>
        <v>0</v>
      </c>
      <c r="BC214" s="45">
        <f t="shared" si="2724"/>
        <v>0</v>
      </c>
      <c r="BD214" s="45">
        <f t="shared" si="2724"/>
        <v>0</v>
      </c>
      <c r="BE214" s="45">
        <f t="shared" si="2724"/>
        <v>0</v>
      </c>
      <c r="BF214" s="45">
        <f t="shared" si="2724"/>
        <v>0</v>
      </c>
      <c r="BG214" s="45">
        <f t="shared" si="2724"/>
        <v>0</v>
      </c>
      <c r="BH214" s="45">
        <f t="shared" si="2724"/>
        <v>0</v>
      </c>
      <c r="BI214" s="45">
        <f t="shared" si="2724"/>
        <v>0</v>
      </c>
      <c r="BJ214" s="45">
        <f t="shared" si="2724"/>
        <v>0</v>
      </c>
      <c r="BK214" s="45">
        <f t="shared" si="2724"/>
        <v>0</v>
      </c>
      <c r="BL214" s="45">
        <f t="shared" si="2724"/>
        <v>0</v>
      </c>
      <c r="BM214" s="45">
        <f t="shared" si="2724"/>
        <v>0</v>
      </c>
      <c r="BN214" s="45">
        <f t="shared" si="2724"/>
        <v>0</v>
      </c>
      <c r="BO214" s="45">
        <f t="shared" si="2724"/>
        <v>0</v>
      </c>
      <c r="BP214" s="45">
        <f t="shared" si="2724"/>
        <v>0</v>
      </c>
      <c r="BQ214" s="45">
        <f t="shared" si="2724"/>
        <v>0</v>
      </c>
      <c r="BR214" s="45">
        <f t="shared" si="2724"/>
        <v>0</v>
      </c>
      <c r="BS214" s="45">
        <f t="shared" si="2724"/>
        <v>0</v>
      </c>
      <c r="BT214" s="45">
        <f t="shared" ref="BT214:DC214" si="2726">++BT67</f>
        <v>0</v>
      </c>
      <c r="BU214" s="45">
        <f t="shared" si="2726"/>
        <v>0</v>
      </c>
      <c r="BV214" s="45">
        <f t="shared" si="2726"/>
        <v>0</v>
      </c>
      <c r="BW214" s="45">
        <f t="shared" si="2726"/>
        <v>0</v>
      </c>
      <c r="BX214" s="45">
        <f t="shared" si="2726"/>
        <v>0</v>
      </c>
      <c r="BY214" s="45">
        <f t="shared" si="2726"/>
        <v>0</v>
      </c>
      <c r="BZ214" s="45">
        <f t="shared" si="2726"/>
        <v>0</v>
      </c>
      <c r="CA214" s="45">
        <f t="shared" si="2726"/>
        <v>0</v>
      </c>
      <c r="CB214" s="45">
        <f t="shared" si="2726"/>
        <v>0</v>
      </c>
      <c r="CC214" s="45">
        <f t="shared" si="2726"/>
        <v>0</v>
      </c>
      <c r="CD214" s="45">
        <f t="shared" si="2726"/>
        <v>0</v>
      </c>
      <c r="CE214" s="45">
        <f t="shared" si="2726"/>
        <v>0</v>
      </c>
      <c r="CF214" s="45">
        <f t="shared" si="2726"/>
        <v>0</v>
      </c>
      <c r="CG214" s="45">
        <f t="shared" si="2726"/>
        <v>0</v>
      </c>
      <c r="CH214" s="45">
        <f t="shared" si="2726"/>
        <v>0</v>
      </c>
      <c r="CI214" s="45">
        <f t="shared" si="2726"/>
        <v>0</v>
      </c>
      <c r="CJ214" s="45">
        <f t="shared" si="2726"/>
        <v>0</v>
      </c>
      <c r="CK214" s="45">
        <f t="shared" si="2726"/>
        <v>0</v>
      </c>
      <c r="CL214" s="45">
        <f t="shared" si="2726"/>
        <v>0</v>
      </c>
      <c r="CM214" s="45">
        <f t="shared" si="2726"/>
        <v>0</v>
      </c>
      <c r="CN214" s="45">
        <f t="shared" si="2726"/>
        <v>0</v>
      </c>
      <c r="CO214" s="45">
        <f t="shared" si="2726"/>
        <v>0</v>
      </c>
      <c r="CP214" s="45">
        <f t="shared" si="2726"/>
        <v>0</v>
      </c>
      <c r="CQ214" s="45">
        <f t="shared" si="2726"/>
        <v>0</v>
      </c>
      <c r="CR214" s="45">
        <f t="shared" si="2726"/>
        <v>0</v>
      </c>
      <c r="CS214" s="45">
        <f t="shared" si="2726"/>
        <v>0</v>
      </c>
      <c r="CT214" s="45">
        <f t="shared" si="2726"/>
        <v>0</v>
      </c>
      <c r="CU214" s="45">
        <f t="shared" si="2726"/>
        <v>0</v>
      </c>
      <c r="CV214" s="45">
        <f t="shared" si="2726"/>
        <v>0</v>
      </c>
      <c r="CW214" s="45">
        <f t="shared" si="2726"/>
        <v>0</v>
      </c>
      <c r="CX214" s="45">
        <f t="shared" si="2726"/>
        <v>0</v>
      </c>
      <c r="CY214" s="45">
        <f t="shared" si="2726"/>
        <v>0</v>
      </c>
      <c r="CZ214" s="45">
        <f t="shared" si="2726"/>
        <v>0</v>
      </c>
      <c r="DA214" s="45">
        <f t="shared" si="2726"/>
        <v>0</v>
      </c>
      <c r="DB214" s="45">
        <f t="shared" si="2726"/>
        <v>0</v>
      </c>
      <c r="DC214" s="45">
        <f t="shared" si="2726"/>
        <v>0</v>
      </c>
    </row>
    <row r="215" spans="3:107" x14ac:dyDescent="0.3">
      <c r="C215" s="101" t="str">
        <f>++C$19</f>
        <v>[Operating Expense]</v>
      </c>
      <c r="G215" s="45">
        <f>++G68</f>
        <v>0</v>
      </c>
      <c r="H215" s="45">
        <f t="shared" si="2724"/>
        <v>0</v>
      </c>
      <c r="I215" s="45">
        <f t="shared" si="2724"/>
        <v>0</v>
      </c>
      <c r="J215" s="45">
        <f t="shared" si="2724"/>
        <v>0</v>
      </c>
      <c r="K215" s="45">
        <f t="shared" si="2724"/>
        <v>0</v>
      </c>
      <c r="L215" s="45">
        <f t="shared" si="2724"/>
        <v>0</v>
      </c>
      <c r="M215" s="45">
        <f t="shared" si="2724"/>
        <v>0</v>
      </c>
      <c r="N215" s="45">
        <f t="shared" si="2724"/>
        <v>0</v>
      </c>
      <c r="O215" s="45">
        <f t="shared" si="2724"/>
        <v>0</v>
      </c>
      <c r="P215" s="45">
        <f t="shared" si="2724"/>
        <v>0</v>
      </c>
      <c r="Q215" s="45">
        <f t="shared" si="2724"/>
        <v>0</v>
      </c>
      <c r="R215" s="45">
        <f t="shared" si="2724"/>
        <v>0</v>
      </c>
      <c r="S215" s="45">
        <f t="shared" si="2724"/>
        <v>0</v>
      </c>
      <c r="T215" s="45">
        <f t="shared" si="2724"/>
        <v>0</v>
      </c>
      <c r="U215" s="45">
        <f t="shared" si="2724"/>
        <v>0</v>
      </c>
      <c r="V215" s="45">
        <f t="shared" si="2724"/>
        <v>0</v>
      </c>
      <c r="W215" s="45">
        <f t="shared" si="2724"/>
        <v>0</v>
      </c>
      <c r="X215" s="45">
        <f t="shared" si="2724"/>
        <v>0</v>
      </c>
      <c r="Y215" s="45">
        <f t="shared" si="2724"/>
        <v>0</v>
      </c>
      <c r="Z215" s="45">
        <f t="shared" si="2724"/>
        <v>0</v>
      </c>
      <c r="AA215" s="45">
        <f t="shared" si="2724"/>
        <v>0</v>
      </c>
      <c r="AB215" s="45">
        <f t="shared" si="2724"/>
        <v>0</v>
      </c>
      <c r="AC215" s="45">
        <f t="shared" si="2724"/>
        <v>0</v>
      </c>
      <c r="AD215" s="45">
        <f t="shared" si="2724"/>
        <v>0</v>
      </c>
      <c r="AE215" s="45">
        <f t="shared" si="2724"/>
        <v>0</v>
      </c>
      <c r="AF215" s="45">
        <f t="shared" si="2724"/>
        <v>0</v>
      </c>
      <c r="AG215" s="45">
        <f t="shared" si="2724"/>
        <v>0</v>
      </c>
      <c r="AH215" s="45">
        <f t="shared" si="2724"/>
        <v>0</v>
      </c>
      <c r="AI215" s="45">
        <f t="shared" si="2724"/>
        <v>0</v>
      </c>
      <c r="AJ215" s="45">
        <f t="shared" si="2724"/>
        <v>0</v>
      </c>
      <c r="AK215" s="45">
        <f t="shared" si="2724"/>
        <v>0</v>
      </c>
      <c r="AL215" s="45">
        <f t="shared" si="2724"/>
        <v>0</v>
      </c>
      <c r="AM215" s="45">
        <f t="shared" si="2724"/>
        <v>0</v>
      </c>
      <c r="AN215" s="45">
        <f t="shared" si="2724"/>
        <v>0</v>
      </c>
      <c r="AO215" s="45">
        <f t="shared" si="2724"/>
        <v>0</v>
      </c>
      <c r="AP215" s="45">
        <f t="shared" si="2724"/>
        <v>0</v>
      </c>
      <c r="AQ215" s="45">
        <f t="shared" si="2724"/>
        <v>0</v>
      </c>
      <c r="AR215" s="45">
        <f t="shared" si="2724"/>
        <v>0</v>
      </c>
      <c r="AS215" s="45">
        <f t="shared" si="2724"/>
        <v>0</v>
      </c>
      <c r="AT215" s="45">
        <f t="shared" si="2724"/>
        <v>0</v>
      </c>
      <c r="AU215" s="45">
        <f t="shared" si="2724"/>
        <v>0</v>
      </c>
      <c r="AV215" s="45">
        <f t="shared" si="2724"/>
        <v>0</v>
      </c>
      <c r="AW215" s="45">
        <f t="shared" si="2724"/>
        <v>0</v>
      </c>
      <c r="AX215" s="45">
        <f t="shared" si="2724"/>
        <v>0</v>
      </c>
      <c r="AY215" s="45">
        <f t="shared" si="2724"/>
        <v>0</v>
      </c>
      <c r="AZ215" s="45">
        <f t="shared" si="2724"/>
        <v>0</v>
      </c>
      <c r="BA215" s="45">
        <f t="shared" si="2724"/>
        <v>0</v>
      </c>
      <c r="BB215" s="45">
        <f t="shared" si="2724"/>
        <v>0</v>
      </c>
      <c r="BC215" s="45">
        <f t="shared" si="2724"/>
        <v>0</v>
      </c>
      <c r="BD215" s="45">
        <f t="shared" si="2724"/>
        <v>0</v>
      </c>
      <c r="BE215" s="45">
        <f t="shared" si="2724"/>
        <v>0</v>
      </c>
      <c r="BF215" s="45">
        <f t="shared" si="2724"/>
        <v>0</v>
      </c>
      <c r="BG215" s="45">
        <f t="shared" si="2724"/>
        <v>0</v>
      </c>
      <c r="BH215" s="45">
        <f t="shared" si="2724"/>
        <v>0</v>
      </c>
      <c r="BI215" s="45">
        <f t="shared" si="2724"/>
        <v>0</v>
      </c>
      <c r="BJ215" s="45">
        <f t="shared" si="2724"/>
        <v>0</v>
      </c>
      <c r="BK215" s="45">
        <f t="shared" si="2724"/>
        <v>0</v>
      </c>
      <c r="BL215" s="45">
        <f t="shared" si="2724"/>
        <v>0</v>
      </c>
      <c r="BM215" s="45">
        <f t="shared" si="2724"/>
        <v>0</v>
      </c>
      <c r="BN215" s="45">
        <f t="shared" si="2724"/>
        <v>0</v>
      </c>
      <c r="BO215" s="45">
        <f t="shared" si="2724"/>
        <v>0</v>
      </c>
      <c r="BP215" s="45">
        <f t="shared" si="2724"/>
        <v>0</v>
      </c>
      <c r="BQ215" s="45">
        <f t="shared" si="2724"/>
        <v>0</v>
      </c>
      <c r="BR215" s="45">
        <f t="shared" si="2724"/>
        <v>0</v>
      </c>
      <c r="BS215" s="45">
        <f t="shared" si="2724"/>
        <v>0</v>
      </c>
      <c r="BT215" s="45">
        <f t="shared" ref="BT215:DC215" si="2727">++BT68</f>
        <v>0</v>
      </c>
      <c r="BU215" s="45">
        <f t="shared" si="2727"/>
        <v>0</v>
      </c>
      <c r="BV215" s="45">
        <f t="shared" si="2727"/>
        <v>0</v>
      </c>
      <c r="BW215" s="45">
        <f t="shared" si="2727"/>
        <v>0</v>
      </c>
      <c r="BX215" s="45">
        <f t="shared" si="2727"/>
        <v>0</v>
      </c>
      <c r="BY215" s="45">
        <f t="shared" si="2727"/>
        <v>0</v>
      </c>
      <c r="BZ215" s="45">
        <f t="shared" si="2727"/>
        <v>0</v>
      </c>
      <c r="CA215" s="45">
        <f t="shared" si="2727"/>
        <v>0</v>
      </c>
      <c r="CB215" s="45">
        <f t="shared" si="2727"/>
        <v>0</v>
      </c>
      <c r="CC215" s="45">
        <f t="shared" si="2727"/>
        <v>0</v>
      </c>
      <c r="CD215" s="45">
        <f t="shared" si="2727"/>
        <v>0</v>
      </c>
      <c r="CE215" s="45">
        <f t="shared" si="2727"/>
        <v>0</v>
      </c>
      <c r="CF215" s="45">
        <f t="shared" si="2727"/>
        <v>0</v>
      </c>
      <c r="CG215" s="45">
        <f t="shared" si="2727"/>
        <v>0</v>
      </c>
      <c r="CH215" s="45">
        <f t="shared" si="2727"/>
        <v>0</v>
      </c>
      <c r="CI215" s="45">
        <f t="shared" si="2727"/>
        <v>0</v>
      </c>
      <c r="CJ215" s="45">
        <f t="shared" si="2727"/>
        <v>0</v>
      </c>
      <c r="CK215" s="45">
        <f t="shared" si="2727"/>
        <v>0</v>
      </c>
      <c r="CL215" s="45">
        <f t="shared" si="2727"/>
        <v>0</v>
      </c>
      <c r="CM215" s="45">
        <f t="shared" si="2727"/>
        <v>0</v>
      </c>
      <c r="CN215" s="45">
        <f t="shared" si="2727"/>
        <v>0</v>
      </c>
      <c r="CO215" s="45">
        <f t="shared" si="2727"/>
        <v>0</v>
      </c>
      <c r="CP215" s="45">
        <f t="shared" si="2727"/>
        <v>0</v>
      </c>
      <c r="CQ215" s="45">
        <f t="shared" si="2727"/>
        <v>0</v>
      </c>
      <c r="CR215" s="45">
        <f t="shared" si="2727"/>
        <v>0</v>
      </c>
      <c r="CS215" s="45">
        <f t="shared" si="2727"/>
        <v>0</v>
      </c>
      <c r="CT215" s="45">
        <f t="shared" si="2727"/>
        <v>0</v>
      </c>
      <c r="CU215" s="45">
        <f t="shared" si="2727"/>
        <v>0</v>
      </c>
      <c r="CV215" s="45">
        <f t="shared" si="2727"/>
        <v>0</v>
      </c>
      <c r="CW215" s="45">
        <f t="shared" si="2727"/>
        <v>0</v>
      </c>
      <c r="CX215" s="45">
        <f t="shared" si="2727"/>
        <v>0</v>
      </c>
      <c r="CY215" s="45">
        <f t="shared" si="2727"/>
        <v>0</v>
      </c>
      <c r="CZ215" s="45">
        <f t="shared" si="2727"/>
        <v>0</v>
      </c>
      <c r="DA215" s="45">
        <f t="shared" si="2727"/>
        <v>0</v>
      </c>
      <c r="DB215" s="45">
        <f t="shared" si="2727"/>
        <v>0</v>
      </c>
      <c r="DC215" s="45">
        <f t="shared" si="2727"/>
        <v>0</v>
      </c>
    </row>
    <row r="216" spans="3:107" x14ac:dyDescent="0.3">
      <c r="C216" s="101" t="str">
        <f>++C$20</f>
        <v>Depreciation</v>
      </c>
      <c r="G216" s="45">
        <f>++G69</f>
        <v>0</v>
      </c>
      <c r="H216" s="45">
        <f t="shared" si="2724"/>
        <v>0</v>
      </c>
      <c r="I216" s="45">
        <f t="shared" si="2724"/>
        <v>0</v>
      </c>
      <c r="J216" s="45">
        <f t="shared" si="2724"/>
        <v>0</v>
      </c>
      <c r="K216" s="45">
        <f t="shared" si="2724"/>
        <v>0</v>
      </c>
      <c r="L216" s="45">
        <f t="shared" si="2724"/>
        <v>0</v>
      </c>
      <c r="M216" s="45">
        <f t="shared" si="2724"/>
        <v>0</v>
      </c>
      <c r="N216" s="45">
        <f t="shared" si="2724"/>
        <v>0</v>
      </c>
      <c r="O216" s="45">
        <f t="shared" si="2724"/>
        <v>0</v>
      </c>
      <c r="P216" s="45">
        <f t="shared" si="2724"/>
        <v>0</v>
      </c>
      <c r="Q216" s="45">
        <f t="shared" si="2724"/>
        <v>0</v>
      </c>
      <c r="R216" s="45">
        <f t="shared" si="2724"/>
        <v>0</v>
      </c>
      <c r="S216" s="45">
        <f t="shared" si="2724"/>
        <v>0</v>
      </c>
      <c r="T216" s="45">
        <f t="shared" si="2724"/>
        <v>0</v>
      </c>
      <c r="U216" s="45">
        <f t="shared" si="2724"/>
        <v>0</v>
      </c>
      <c r="V216" s="45">
        <f t="shared" si="2724"/>
        <v>0</v>
      </c>
      <c r="W216" s="45">
        <f t="shared" si="2724"/>
        <v>0</v>
      </c>
      <c r="X216" s="45">
        <f t="shared" si="2724"/>
        <v>0</v>
      </c>
      <c r="Y216" s="45">
        <f t="shared" si="2724"/>
        <v>0</v>
      </c>
      <c r="Z216" s="45">
        <f t="shared" si="2724"/>
        <v>0</v>
      </c>
      <c r="AA216" s="45">
        <f t="shared" si="2724"/>
        <v>0</v>
      </c>
      <c r="AB216" s="45">
        <f t="shared" si="2724"/>
        <v>0</v>
      </c>
      <c r="AC216" s="45">
        <f t="shared" si="2724"/>
        <v>0</v>
      </c>
      <c r="AD216" s="45">
        <f t="shared" si="2724"/>
        <v>0</v>
      </c>
      <c r="AE216" s="45">
        <f t="shared" si="2724"/>
        <v>0</v>
      </c>
      <c r="AF216" s="45">
        <f t="shared" si="2724"/>
        <v>0</v>
      </c>
      <c r="AG216" s="45">
        <f t="shared" si="2724"/>
        <v>0</v>
      </c>
      <c r="AH216" s="45">
        <f t="shared" si="2724"/>
        <v>0</v>
      </c>
      <c r="AI216" s="45">
        <f t="shared" si="2724"/>
        <v>0</v>
      </c>
      <c r="AJ216" s="45">
        <f t="shared" si="2724"/>
        <v>0</v>
      </c>
      <c r="AK216" s="45">
        <f t="shared" si="2724"/>
        <v>0</v>
      </c>
      <c r="AL216" s="45">
        <f t="shared" si="2724"/>
        <v>0</v>
      </c>
      <c r="AM216" s="45">
        <f t="shared" si="2724"/>
        <v>0</v>
      </c>
      <c r="AN216" s="45">
        <f t="shared" si="2724"/>
        <v>0</v>
      </c>
      <c r="AO216" s="45">
        <f t="shared" si="2724"/>
        <v>0</v>
      </c>
      <c r="AP216" s="45">
        <f t="shared" si="2724"/>
        <v>0</v>
      </c>
      <c r="AQ216" s="45">
        <f t="shared" si="2724"/>
        <v>0</v>
      </c>
      <c r="AR216" s="45">
        <f t="shared" si="2724"/>
        <v>0</v>
      </c>
      <c r="AS216" s="45">
        <f t="shared" si="2724"/>
        <v>0</v>
      </c>
      <c r="AT216" s="45">
        <f t="shared" si="2724"/>
        <v>0</v>
      </c>
      <c r="AU216" s="45">
        <f t="shared" si="2724"/>
        <v>0</v>
      </c>
      <c r="AV216" s="45">
        <f t="shared" si="2724"/>
        <v>0</v>
      </c>
      <c r="AW216" s="45">
        <f t="shared" si="2724"/>
        <v>0</v>
      </c>
      <c r="AX216" s="45">
        <f t="shared" si="2724"/>
        <v>0</v>
      </c>
      <c r="AY216" s="45">
        <f t="shared" si="2724"/>
        <v>0</v>
      </c>
      <c r="AZ216" s="45">
        <f t="shared" si="2724"/>
        <v>0</v>
      </c>
      <c r="BA216" s="45">
        <f t="shared" si="2724"/>
        <v>0</v>
      </c>
      <c r="BB216" s="45">
        <f t="shared" si="2724"/>
        <v>0</v>
      </c>
      <c r="BC216" s="45">
        <f t="shared" si="2724"/>
        <v>0</v>
      </c>
      <c r="BD216" s="45">
        <f t="shared" si="2724"/>
        <v>0</v>
      </c>
      <c r="BE216" s="45">
        <f t="shared" si="2724"/>
        <v>0</v>
      </c>
      <c r="BF216" s="45">
        <f t="shared" si="2724"/>
        <v>0</v>
      </c>
      <c r="BG216" s="45">
        <f t="shared" si="2724"/>
        <v>0</v>
      </c>
      <c r="BH216" s="45">
        <f t="shared" si="2724"/>
        <v>0</v>
      </c>
      <c r="BI216" s="45">
        <f t="shared" si="2724"/>
        <v>0</v>
      </c>
      <c r="BJ216" s="45">
        <f t="shared" si="2724"/>
        <v>0</v>
      </c>
      <c r="BK216" s="45">
        <f t="shared" si="2724"/>
        <v>0</v>
      </c>
      <c r="BL216" s="45">
        <f t="shared" si="2724"/>
        <v>0</v>
      </c>
      <c r="BM216" s="45">
        <f t="shared" si="2724"/>
        <v>0</v>
      </c>
      <c r="BN216" s="45">
        <f t="shared" si="2724"/>
        <v>0</v>
      </c>
      <c r="BO216" s="45">
        <f t="shared" si="2724"/>
        <v>0</v>
      </c>
      <c r="BP216" s="45">
        <f t="shared" si="2724"/>
        <v>0</v>
      </c>
      <c r="BQ216" s="45">
        <f t="shared" si="2724"/>
        <v>0</v>
      </c>
      <c r="BR216" s="45">
        <f t="shared" si="2724"/>
        <v>0</v>
      </c>
      <c r="BS216" s="45">
        <f t="shared" ref="BS216:DC216" si="2728">++BS69</f>
        <v>0</v>
      </c>
      <c r="BT216" s="45">
        <f t="shared" si="2728"/>
        <v>0</v>
      </c>
      <c r="BU216" s="45">
        <f t="shared" si="2728"/>
        <v>0</v>
      </c>
      <c r="BV216" s="45">
        <f t="shared" si="2728"/>
        <v>0</v>
      </c>
      <c r="BW216" s="45">
        <f t="shared" si="2728"/>
        <v>0</v>
      </c>
      <c r="BX216" s="45">
        <f t="shared" si="2728"/>
        <v>0</v>
      </c>
      <c r="BY216" s="45">
        <f t="shared" si="2728"/>
        <v>0</v>
      </c>
      <c r="BZ216" s="45">
        <f t="shared" si="2728"/>
        <v>0</v>
      </c>
      <c r="CA216" s="45">
        <f t="shared" si="2728"/>
        <v>0</v>
      </c>
      <c r="CB216" s="45">
        <f t="shared" si="2728"/>
        <v>0</v>
      </c>
      <c r="CC216" s="45">
        <f t="shared" si="2728"/>
        <v>0</v>
      </c>
      <c r="CD216" s="45">
        <f t="shared" si="2728"/>
        <v>0</v>
      </c>
      <c r="CE216" s="45">
        <f t="shared" si="2728"/>
        <v>0</v>
      </c>
      <c r="CF216" s="45">
        <f t="shared" si="2728"/>
        <v>0</v>
      </c>
      <c r="CG216" s="45">
        <f t="shared" si="2728"/>
        <v>0</v>
      </c>
      <c r="CH216" s="45">
        <f t="shared" si="2728"/>
        <v>0</v>
      </c>
      <c r="CI216" s="45">
        <f t="shared" si="2728"/>
        <v>0</v>
      </c>
      <c r="CJ216" s="45">
        <f t="shared" si="2728"/>
        <v>0</v>
      </c>
      <c r="CK216" s="45">
        <f t="shared" si="2728"/>
        <v>0</v>
      </c>
      <c r="CL216" s="45">
        <f t="shared" si="2728"/>
        <v>0</v>
      </c>
      <c r="CM216" s="45">
        <f t="shared" si="2728"/>
        <v>0</v>
      </c>
      <c r="CN216" s="45">
        <f t="shared" si="2728"/>
        <v>0</v>
      </c>
      <c r="CO216" s="45">
        <f t="shared" si="2728"/>
        <v>0</v>
      </c>
      <c r="CP216" s="45">
        <f t="shared" si="2728"/>
        <v>0</v>
      </c>
      <c r="CQ216" s="45">
        <f t="shared" si="2728"/>
        <v>0</v>
      </c>
      <c r="CR216" s="45">
        <f t="shared" si="2728"/>
        <v>0</v>
      </c>
      <c r="CS216" s="45">
        <f t="shared" si="2728"/>
        <v>0</v>
      </c>
      <c r="CT216" s="45">
        <f t="shared" si="2728"/>
        <v>0</v>
      </c>
      <c r="CU216" s="45">
        <f t="shared" si="2728"/>
        <v>0</v>
      </c>
      <c r="CV216" s="45">
        <f t="shared" si="2728"/>
        <v>0</v>
      </c>
      <c r="CW216" s="45">
        <f t="shared" si="2728"/>
        <v>0</v>
      </c>
      <c r="CX216" s="45">
        <f t="shared" si="2728"/>
        <v>0</v>
      </c>
      <c r="CY216" s="45">
        <f t="shared" si="2728"/>
        <v>0</v>
      </c>
      <c r="CZ216" s="45">
        <f t="shared" si="2728"/>
        <v>0</v>
      </c>
      <c r="DA216" s="45">
        <f t="shared" si="2728"/>
        <v>0</v>
      </c>
      <c r="DB216" s="45">
        <f t="shared" si="2728"/>
        <v>0</v>
      </c>
      <c r="DC216" s="45">
        <f t="shared" si="2728"/>
        <v>0</v>
      </c>
    </row>
    <row r="217" spans="3:107" x14ac:dyDescent="0.3">
      <c r="C217" s="101" t="str">
        <f>++C$21</f>
        <v>Amortization</v>
      </c>
      <c r="G217" s="45">
        <f>++G70</f>
        <v>0</v>
      </c>
      <c r="H217" s="45">
        <f t="shared" ref="H217:BS217" si="2729">++H70</f>
        <v>0</v>
      </c>
      <c r="I217" s="45">
        <f t="shared" si="2729"/>
        <v>0</v>
      </c>
      <c r="J217" s="45">
        <f t="shared" si="2729"/>
        <v>0</v>
      </c>
      <c r="K217" s="45">
        <f t="shared" si="2729"/>
        <v>0</v>
      </c>
      <c r="L217" s="45">
        <f t="shared" si="2729"/>
        <v>0</v>
      </c>
      <c r="M217" s="45">
        <f t="shared" si="2729"/>
        <v>0</v>
      </c>
      <c r="N217" s="45">
        <f t="shared" si="2729"/>
        <v>0</v>
      </c>
      <c r="O217" s="45">
        <f t="shared" si="2729"/>
        <v>0</v>
      </c>
      <c r="P217" s="45">
        <f t="shared" si="2729"/>
        <v>0</v>
      </c>
      <c r="Q217" s="45">
        <f t="shared" si="2729"/>
        <v>0</v>
      </c>
      <c r="R217" s="45">
        <f t="shared" si="2729"/>
        <v>0</v>
      </c>
      <c r="S217" s="45">
        <f t="shared" si="2729"/>
        <v>0</v>
      </c>
      <c r="T217" s="45">
        <f t="shared" si="2729"/>
        <v>0</v>
      </c>
      <c r="U217" s="45">
        <f t="shared" si="2729"/>
        <v>0</v>
      </c>
      <c r="V217" s="45">
        <f t="shared" si="2729"/>
        <v>0</v>
      </c>
      <c r="W217" s="45">
        <f t="shared" si="2729"/>
        <v>0</v>
      </c>
      <c r="X217" s="45">
        <f t="shared" si="2729"/>
        <v>0</v>
      </c>
      <c r="Y217" s="45">
        <f t="shared" si="2729"/>
        <v>0</v>
      </c>
      <c r="Z217" s="45">
        <f t="shared" si="2729"/>
        <v>0</v>
      </c>
      <c r="AA217" s="45">
        <f t="shared" si="2729"/>
        <v>0</v>
      </c>
      <c r="AB217" s="45">
        <f t="shared" si="2729"/>
        <v>0</v>
      </c>
      <c r="AC217" s="45">
        <f t="shared" si="2729"/>
        <v>0</v>
      </c>
      <c r="AD217" s="45">
        <f t="shared" si="2729"/>
        <v>0</v>
      </c>
      <c r="AE217" s="45">
        <f t="shared" si="2729"/>
        <v>0</v>
      </c>
      <c r="AF217" s="45">
        <f t="shared" si="2729"/>
        <v>0</v>
      </c>
      <c r="AG217" s="45">
        <f t="shared" si="2729"/>
        <v>0</v>
      </c>
      <c r="AH217" s="45">
        <f t="shared" si="2729"/>
        <v>0</v>
      </c>
      <c r="AI217" s="45">
        <f t="shared" si="2729"/>
        <v>0</v>
      </c>
      <c r="AJ217" s="45">
        <f t="shared" si="2729"/>
        <v>0</v>
      </c>
      <c r="AK217" s="45">
        <f t="shared" si="2729"/>
        <v>0</v>
      </c>
      <c r="AL217" s="45">
        <f t="shared" si="2729"/>
        <v>0</v>
      </c>
      <c r="AM217" s="45">
        <f t="shared" si="2729"/>
        <v>0</v>
      </c>
      <c r="AN217" s="45">
        <f t="shared" si="2729"/>
        <v>0</v>
      </c>
      <c r="AO217" s="45">
        <f t="shared" si="2729"/>
        <v>0</v>
      </c>
      <c r="AP217" s="45">
        <f t="shared" si="2729"/>
        <v>0</v>
      </c>
      <c r="AQ217" s="45">
        <f t="shared" si="2729"/>
        <v>0</v>
      </c>
      <c r="AR217" s="45">
        <f t="shared" si="2729"/>
        <v>0</v>
      </c>
      <c r="AS217" s="45">
        <f t="shared" si="2729"/>
        <v>0</v>
      </c>
      <c r="AT217" s="45">
        <f t="shared" si="2729"/>
        <v>0</v>
      </c>
      <c r="AU217" s="45">
        <f t="shared" si="2729"/>
        <v>0</v>
      </c>
      <c r="AV217" s="45">
        <f t="shared" si="2729"/>
        <v>0</v>
      </c>
      <c r="AW217" s="45">
        <f t="shared" si="2729"/>
        <v>0</v>
      </c>
      <c r="AX217" s="45">
        <f t="shared" si="2729"/>
        <v>0</v>
      </c>
      <c r="AY217" s="45">
        <f t="shared" si="2729"/>
        <v>0</v>
      </c>
      <c r="AZ217" s="45">
        <f t="shared" si="2729"/>
        <v>0</v>
      </c>
      <c r="BA217" s="45">
        <f t="shared" si="2729"/>
        <v>0</v>
      </c>
      <c r="BB217" s="45">
        <f t="shared" si="2729"/>
        <v>0</v>
      </c>
      <c r="BC217" s="45">
        <f t="shared" si="2729"/>
        <v>0</v>
      </c>
      <c r="BD217" s="45">
        <f t="shared" si="2729"/>
        <v>0</v>
      </c>
      <c r="BE217" s="45">
        <f t="shared" si="2729"/>
        <v>0</v>
      </c>
      <c r="BF217" s="45">
        <f t="shared" si="2729"/>
        <v>0</v>
      </c>
      <c r="BG217" s="45">
        <f t="shared" si="2729"/>
        <v>0</v>
      </c>
      <c r="BH217" s="45">
        <f t="shared" si="2729"/>
        <v>0</v>
      </c>
      <c r="BI217" s="45">
        <f t="shared" si="2729"/>
        <v>0</v>
      </c>
      <c r="BJ217" s="45">
        <f t="shared" si="2729"/>
        <v>0</v>
      </c>
      <c r="BK217" s="45">
        <f t="shared" si="2729"/>
        <v>0</v>
      </c>
      <c r="BL217" s="45">
        <f t="shared" si="2729"/>
        <v>0</v>
      </c>
      <c r="BM217" s="45">
        <f t="shared" si="2729"/>
        <v>0</v>
      </c>
      <c r="BN217" s="45">
        <f t="shared" si="2729"/>
        <v>0</v>
      </c>
      <c r="BO217" s="45">
        <f t="shared" si="2729"/>
        <v>0</v>
      </c>
      <c r="BP217" s="45">
        <f t="shared" si="2729"/>
        <v>0</v>
      </c>
      <c r="BQ217" s="45">
        <f t="shared" si="2729"/>
        <v>0</v>
      </c>
      <c r="BR217" s="45">
        <f t="shared" si="2729"/>
        <v>0</v>
      </c>
      <c r="BS217" s="45">
        <f t="shared" si="2729"/>
        <v>0</v>
      </c>
      <c r="BT217" s="45">
        <f t="shared" ref="BT217:DC217" si="2730">++BT70</f>
        <v>0</v>
      </c>
      <c r="BU217" s="45">
        <f t="shared" si="2730"/>
        <v>0</v>
      </c>
      <c r="BV217" s="45">
        <f t="shared" si="2730"/>
        <v>0</v>
      </c>
      <c r="BW217" s="45">
        <f t="shared" si="2730"/>
        <v>0</v>
      </c>
      <c r="BX217" s="45">
        <f t="shared" si="2730"/>
        <v>0</v>
      </c>
      <c r="BY217" s="45">
        <f t="shared" si="2730"/>
        <v>0</v>
      </c>
      <c r="BZ217" s="45">
        <f t="shared" si="2730"/>
        <v>0</v>
      </c>
      <c r="CA217" s="45">
        <f t="shared" si="2730"/>
        <v>0</v>
      </c>
      <c r="CB217" s="45">
        <f t="shared" si="2730"/>
        <v>0</v>
      </c>
      <c r="CC217" s="45">
        <f t="shared" si="2730"/>
        <v>0</v>
      </c>
      <c r="CD217" s="45">
        <f t="shared" si="2730"/>
        <v>0</v>
      </c>
      <c r="CE217" s="45">
        <f t="shared" si="2730"/>
        <v>0</v>
      </c>
      <c r="CF217" s="45">
        <f t="shared" si="2730"/>
        <v>0</v>
      </c>
      <c r="CG217" s="45">
        <f t="shared" si="2730"/>
        <v>0</v>
      </c>
      <c r="CH217" s="45">
        <f t="shared" si="2730"/>
        <v>0</v>
      </c>
      <c r="CI217" s="45">
        <f t="shared" si="2730"/>
        <v>0</v>
      </c>
      <c r="CJ217" s="45">
        <f t="shared" si="2730"/>
        <v>0</v>
      </c>
      <c r="CK217" s="45">
        <f t="shared" si="2730"/>
        <v>0</v>
      </c>
      <c r="CL217" s="45">
        <f t="shared" si="2730"/>
        <v>0</v>
      </c>
      <c r="CM217" s="45">
        <f t="shared" si="2730"/>
        <v>0</v>
      </c>
      <c r="CN217" s="45">
        <f t="shared" si="2730"/>
        <v>0</v>
      </c>
      <c r="CO217" s="45">
        <f t="shared" si="2730"/>
        <v>0</v>
      </c>
      <c r="CP217" s="45">
        <f t="shared" si="2730"/>
        <v>0</v>
      </c>
      <c r="CQ217" s="45">
        <f t="shared" si="2730"/>
        <v>0</v>
      </c>
      <c r="CR217" s="45">
        <f t="shared" si="2730"/>
        <v>0</v>
      </c>
      <c r="CS217" s="45">
        <f t="shared" si="2730"/>
        <v>0</v>
      </c>
      <c r="CT217" s="45">
        <f t="shared" si="2730"/>
        <v>0</v>
      </c>
      <c r="CU217" s="45">
        <f t="shared" si="2730"/>
        <v>0</v>
      </c>
      <c r="CV217" s="45">
        <f t="shared" si="2730"/>
        <v>0</v>
      </c>
      <c r="CW217" s="45">
        <f t="shared" si="2730"/>
        <v>0</v>
      </c>
      <c r="CX217" s="45">
        <f t="shared" si="2730"/>
        <v>0</v>
      </c>
      <c r="CY217" s="45">
        <f t="shared" si="2730"/>
        <v>0</v>
      </c>
      <c r="CZ217" s="45">
        <f t="shared" si="2730"/>
        <v>0</v>
      </c>
      <c r="DA217" s="45">
        <f t="shared" si="2730"/>
        <v>0</v>
      </c>
      <c r="DB217" s="45">
        <f t="shared" si="2730"/>
        <v>0</v>
      </c>
      <c r="DC217" s="45">
        <f t="shared" si="2730"/>
        <v>0</v>
      </c>
    </row>
    <row r="218" spans="3:107" x14ac:dyDescent="0.3">
      <c r="C218" s="101" t="str">
        <f>++C$22</f>
        <v>Other Operating Expense (Income)</v>
      </c>
      <c r="G218" s="374">
        <f>++(G209-G219)-SUM(G213:G217)</f>
        <v>0</v>
      </c>
      <c r="H218" s="200">
        <f t="shared" ref="H218:BS218" si="2731">++(H209-H219)-SUM(H213:H217)</f>
        <v>0</v>
      </c>
      <c r="I218" s="200">
        <f t="shared" si="2731"/>
        <v>0</v>
      </c>
      <c r="J218" s="200">
        <f t="shared" si="2731"/>
        <v>0</v>
      </c>
      <c r="K218" s="374">
        <f t="shared" si="2731"/>
        <v>0</v>
      </c>
      <c r="L218" s="200">
        <f t="shared" si="2731"/>
        <v>0</v>
      </c>
      <c r="M218" s="200">
        <f t="shared" si="2731"/>
        <v>0</v>
      </c>
      <c r="N218" s="200">
        <f t="shared" si="2731"/>
        <v>0</v>
      </c>
      <c r="O218" s="200">
        <f t="shared" si="2731"/>
        <v>0</v>
      </c>
      <c r="P218" s="200">
        <f t="shared" si="2731"/>
        <v>0</v>
      </c>
      <c r="Q218" s="200">
        <f t="shared" si="2731"/>
        <v>0</v>
      </c>
      <c r="R218" s="200">
        <f t="shared" si="2731"/>
        <v>0</v>
      </c>
      <c r="S218" s="200">
        <f t="shared" si="2731"/>
        <v>0</v>
      </c>
      <c r="T218" s="200">
        <f t="shared" si="2731"/>
        <v>0</v>
      </c>
      <c r="U218" s="200">
        <f t="shared" si="2731"/>
        <v>0</v>
      </c>
      <c r="V218" s="200">
        <f t="shared" si="2731"/>
        <v>0</v>
      </c>
      <c r="W218" s="374">
        <f t="shared" si="2731"/>
        <v>0</v>
      </c>
      <c r="X218" s="200">
        <f t="shared" si="2731"/>
        <v>0</v>
      </c>
      <c r="Y218" s="200">
        <f t="shared" si="2731"/>
        <v>0</v>
      </c>
      <c r="Z218" s="200">
        <f t="shared" si="2731"/>
        <v>0</v>
      </c>
      <c r="AA218" s="200">
        <f t="shared" si="2731"/>
        <v>0</v>
      </c>
      <c r="AB218" s="200">
        <f t="shared" si="2731"/>
        <v>0</v>
      </c>
      <c r="AC218" s="200">
        <f t="shared" si="2731"/>
        <v>0</v>
      </c>
      <c r="AD218" s="200">
        <f t="shared" si="2731"/>
        <v>0</v>
      </c>
      <c r="AE218" s="200">
        <f t="shared" si="2731"/>
        <v>0</v>
      </c>
      <c r="AF218" s="200">
        <f t="shared" si="2731"/>
        <v>0</v>
      </c>
      <c r="AG218" s="200">
        <f t="shared" si="2731"/>
        <v>0</v>
      </c>
      <c r="AH218" s="200">
        <f t="shared" si="2731"/>
        <v>0</v>
      </c>
      <c r="AI218" s="374">
        <f t="shared" si="2731"/>
        <v>0</v>
      </c>
      <c r="AJ218" s="200">
        <f t="shared" si="2731"/>
        <v>0</v>
      </c>
      <c r="AK218" s="200">
        <f t="shared" si="2731"/>
        <v>0</v>
      </c>
      <c r="AL218" s="200">
        <f t="shared" si="2731"/>
        <v>0</v>
      </c>
      <c r="AM218" s="200">
        <f t="shared" si="2731"/>
        <v>0</v>
      </c>
      <c r="AN218" s="200">
        <f t="shared" si="2731"/>
        <v>0</v>
      </c>
      <c r="AO218" s="200">
        <f t="shared" si="2731"/>
        <v>0</v>
      </c>
      <c r="AP218" s="200">
        <f t="shared" si="2731"/>
        <v>0</v>
      </c>
      <c r="AQ218" s="200">
        <f t="shared" si="2731"/>
        <v>0</v>
      </c>
      <c r="AR218" s="200">
        <f t="shared" si="2731"/>
        <v>0</v>
      </c>
      <c r="AS218" s="200">
        <f t="shared" si="2731"/>
        <v>0</v>
      </c>
      <c r="AT218" s="200">
        <f t="shared" si="2731"/>
        <v>0</v>
      </c>
      <c r="AU218" s="374">
        <f t="shared" si="2731"/>
        <v>0</v>
      </c>
      <c r="AV218" s="200">
        <f t="shared" si="2731"/>
        <v>0</v>
      </c>
      <c r="AW218" s="200">
        <f t="shared" si="2731"/>
        <v>0</v>
      </c>
      <c r="AX218" s="200">
        <f t="shared" si="2731"/>
        <v>0</v>
      </c>
      <c r="AY218" s="200">
        <f t="shared" si="2731"/>
        <v>0</v>
      </c>
      <c r="AZ218" s="200">
        <f t="shared" si="2731"/>
        <v>0</v>
      </c>
      <c r="BA218" s="200">
        <f t="shared" si="2731"/>
        <v>0</v>
      </c>
      <c r="BB218" s="200">
        <f t="shared" si="2731"/>
        <v>0</v>
      </c>
      <c r="BC218" s="200">
        <f t="shared" si="2731"/>
        <v>0</v>
      </c>
      <c r="BD218" s="200">
        <f t="shared" si="2731"/>
        <v>0</v>
      </c>
      <c r="BE218" s="200">
        <f t="shared" si="2731"/>
        <v>0</v>
      </c>
      <c r="BF218" s="200">
        <f t="shared" si="2731"/>
        <v>0</v>
      </c>
      <c r="BG218" s="374">
        <f t="shared" si="2731"/>
        <v>0</v>
      </c>
      <c r="BH218" s="200">
        <f t="shared" si="2731"/>
        <v>0</v>
      </c>
      <c r="BI218" s="200">
        <f t="shared" si="2731"/>
        <v>0</v>
      </c>
      <c r="BJ218" s="200">
        <f t="shared" si="2731"/>
        <v>0</v>
      </c>
      <c r="BK218" s="200">
        <f t="shared" si="2731"/>
        <v>0</v>
      </c>
      <c r="BL218" s="200">
        <f t="shared" si="2731"/>
        <v>0</v>
      </c>
      <c r="BM218" s="200">
        <f t="shared" si="2731"/>
        <v>0</v>
      </c>
      <c r="BN218" s="200">
        <f t="shared" si="2731"/>
        <v>0</v>
      </c>
      <c r="BO218" s="200">
        <f t="shared" si="2731"/>
        <v>0</v>
      </c>
      <c r="BP218" s="200">
        <f t="shared" si="2731"/>
        <v>0</v>
      </c>
      <c r="BQ218" s="200">
        <f t="shared" si="2731"/>
        <v>0</v>
      </c>
      <c r="BR218" s="200">
        <f t="shared" si="2731"/>
        <v>0</v>
      </c>
      <c r="BS218" s="374">
        <f t="shared" si="2731"/>
        <v>0</v>
      </c>
      <c r="BT218" s="200">
        <f t="shared" ref="BT218:DC218" si="2732">++(BT209-BT219)-SUM(BT213:BT217)</f>
        <v>0</v>
      </c>
      <c r="BU218" s="200">
        <f t="shared" si="2732"/>
        <v>0</v>
      </c>
      <c r="BV218" s="200">
        <f t="shared" si="2732"/>
        <v>0</v>
      </c>
      <c r="BW218" s="200">
        <f t="shared" si="2732"/>
        <v>0</v>
      </c>
      <c r="BX218" s="200">
        <f t="shared" si="2732"/>
        <v>0</v>
      </c>
      <c r="BY218" s="200">
        <f t="shared" si="2732"/>
        <v>0</v>
      </c>
      <c r="BZ218" s="200">
        <f t="shared" si="2732"/>
        <v>0</v>
      </c>
      <c r="CA218" s="200">
        <f t="shared" si="2732"/>
        <v>0</v>
      </c>
      <c r="CB218" s="200">
        <f t="shared" si="2732"/>
        <v>0</v>
      </c>
      <c r="CC218" s="200">
        <f t="shared" si="2732"/>
        <v>0</v>
      </c>
      <c r="CD218" s="200">
        <f t="shared" si="2732"/>
        <v>0</v>
      </c>
      <c r="CE218" s="374">
        <f t="shared" si="2732"/>
        <v>0</v>
      </c>
      <c r="CF218" s="200">
        <f t="shared" si="2732"/>
        <v>0</v>
      </c>
      <c r="CG218" s="200">
        <f t="shared" si="2732"/>
        <v>0</v>
      </c>
      <c r="CH218" s="200">
        <f t="shared" si="2732"/>
        <v>0</v>
      </c>
      <c r="CI218" s="200">
        <f t="shared" si="2732"/>
        <v>0</v>
      </c>
      <c r="CJ218" s="200">
        <f t="shared" si="2732"/>
        <v>0</v>
      </c>
      <c r="CK218" s="200">
        <f t="shared" si="2732"/>
        <v>0</v>
      </c>
      <c r="CL218" s="200">
        <f t="shared" si="2732"/>
        <v>0</v>
      </c>
      <c r="CM218" s="200">
        <f t="shared" si="2732"/>
        <v>0</v>
      </c>
      <c r="CN218" s="200">
        <f t="shared" si="2732"/>
        <v>0</v>
      </c>
      <c r="CO218" s="200">
        <f t="shared" si="2732"/>
        <v>0</v>
      </c>
      <c r="CP218" s="200">
        <f t="shared" si="2732"/>
        <v>0</v>
      </c>
      <c r="CQ218" s="374">
        <f t="shared" si="2732"/>
        <v>0</v>
      </c>
      <c r="CR218" s="200">
        <f t="shared" si="2732"/>
        <v>0</v>
      </c>
      <c r="CS218" s="200">
        <f t="shared" si="2732"/>
        <v>0</v>
      </c>
      <c r="CT218" s="200">
        <f t="shared" si="2732"/>
        <v>0</v>
      </c>
      <c r="CU218" s="200">
        <f t="shared" si="2732"/>
        <v>0</v>
      </c>
      <c r="CV218" s="200">
        <f t="shared" si="2732"/>
        <v>0</v>
      </c>
      <c r="CW218" s="200">
        <f t="shared" si="2732"/>
        <v>0</v>
      </c>
      <c r="CX218" s="200">
        <f t="shared" si="2732"/>
        <v>0</v>
      </c>
      <c r="CY218" s="200">
        <f t="shared" si="2732"/>
        <v>0</v>
      </c>
      <c r="CZ218" s="200">
        <f t="shared" si="2732"/>
        <v>0</v>
      </c>
      <c r="DA218" s="200">
        <f t="shared" si="2732"/>
        <v>0</v>
      </c>
      <c r="DB218" s="200">
        <f t="shared" si="2732"/>
        <v>0</v>
      </c>
      <c r="DC218" s="374">
        <f t="shared" si="2732"/>
        <v>0</v>
      </c>
    </row>
    <row r="219" spans="3:107" x14ac:dyDescent="0.3">
      <c r="C219" s="231" t="str">
        <f>++C$23</f>
        <v>Operating Income (Loss)</v>
      </c>
      <c r="D219" s="191"/>
      <c r="E219" s="191"/>
      <c r="G219" s="239">
        <f>++SUM(G223:G225)</f>
        <v>0</v>
      </c>
      <c r="H219" s="232">
        <f t="shared" ref="H219:BS219" si="2733">++SUM(H223:H225)</f>
        <v>0</v>
      </c>
      <c r="I219" s="232">
        <f t="shared" si="2733"/>
        <v>0</v>
      </c>
      <c r="J219" s="232">
        <f t="shared" si="2733"/>
        <v>0</v>
      </c>
      <c r="K219" s="239">
        <f t="shared" si="2733"/>
        <v>0</v>
      </c>
      <c r="L219" s="232">
        <f t="shared" si="2733"/>
        <v>0</v>
      </c>
      <c r="M219" s="232">
        <f t="shared" si="2733"/>
        <v>0</v>
      </c>
      <c r="N219" s="232">
        <f t="shared" si="2733"/>
        <v>0</v>
      </c>
      <c r="O219" s="232">
        <f t="shared" si="2733"/>
        <v>0</v>
      </c>
      <c r="P219" s="232">
        <f t="shared" si="2733"/>
        <v>0</v>
      </c>
      <c r="Q219" s="232">
        <f t="shared" si="2733"/>
        <v>0</v>
      </c>
      <c r="R219" s="232">
        <f t="shared" si="2733"/>
        <v>0</v>
      </c>
      <c r="S219" s="232">
        <f t="shared" si="2733"/>
        <v>0</v>
      </c>
      <c r="T219" s="232">
        <f t="shared" si="2733"/>
        <v>0</v>
      </c>
      <c r="U219" s="232">
        <f t="shared" si="2733"/>
        <v>0</v>
      </c>
      <c r="V219" s="232">
        <f t="shared" si="2733"/>
        <v>0</v>
      </c>
      <c r="W219" s="239">
        <f t="shared" si="2733"/>
        <v>0</v>
      </c>
      <c r="X219" s="232">
        <f t="shared" si="2733"/>
        <v>0</v>
      </c>
      <c r="Y219" s="232">
        <f t="shared" si="2733"/>
        <v>0</v>
      </c>
      <c r="Z219" s="232">
        <f t="shared" si="2733"/>
        <v>0</v>
      </c>
      <c r="AA219" s="232">
        <f t="shared" si="2733"/>
        <v>0</v>
      </c>
      <c r="AB219" s="232">
        <f t="shared" si="2733"/>
        <v>0</v>
      </c>
      <c r="AC219" s="232">
        <f t="shared" si="2733"/>
        <v>0</v>
      </c>
      <c r="AD219" s="232">
        <f t="shared" si="2733"/>
        <v>0</v>
      </c>
      <c r="AE219" s="232">
        <f t="shared" si="2733"/>
        <v>0</v>
      </c>
      <c r="AF219" s="232">
        <f t="shared" si="2733"/>
        <v>0</v>
      </c>
      <c r="AG219" s="232">
        <f t="shared" si="2733"/>
        <v>0</v>
      </c>
      <c r="AH219" s="232">
        <f t="shared" si="2733"/>
        <v>0</v>
      </c>
      <c r="AI219" s="239">
        <f t="shared" si="2733"/>
        <v>0</v>
      </c>
      <c r="AJ219" s="232">
        <f t="shared" si="2733"/>
        <v>0</v>
      </c>
      <c r="AK219" s="232">
        <f t="shared" si="2733"/>
        <v>0</v>
      </c>
      <c r="AL219" s="232">
        <f t="shared" si="2733"/>
        <v>0</v>
      </c>
      <c r="AM219" s="232">
        <f t="shared" si="2733"/>
        <v>0</v>
      </c>
      <c r="AN219" s="232">
        <f t="shared" si="2733"/>
        <v>0</v>
      </c>
      <c r="AO219" s="232">
        <f t="shared" si="2733"/>
        <v>0</v>
      </c>
      <c r="AP219" s="232">
        <f t="shared" si="2733"/>
        <v>0</v>
      </c>
      <c r="AQ219" s="232">
        <f t="shared" si="2733"/>
        <v>0</v>
      </c>
      <c r="AR219" s="232">
        <f t="shared" si="2733"/>
        <v>0</v>
      </c>
      <c r="AS219" s="232">
        <f t="shared" si="2733"/>
        <v>0</v>
      </c>
      <c r="AT219" s="232">
        <f t="shared" si="2733"/>
        <v>0</v>
      </c>
      <c r="AU219" s="239">
        <f t="shared" si="2733"/>
        <v>0</v>
      </c>
      <c r="AV219" s="232">
        <f t="shared" si="2733"/>
        <v>0</v>
      </c>
      <c r="AW219" s="232">
        <f t="shared" si="2733"/>
        <v>0</v>
      </c>
      <c r="AX219" s="232">
        <f t="shared" si="2733"/>
        <v>0</v>
      </c>
      <c r="AY219" s="232">
        <f t="shared" si="2733"/>
        <v>0</v>
      </c>
      <c r="AZ219" s="232">
        <f t="shared" si="2733"/>
        <v>0</v>
      </c>
      <c r="BA219" s="232">
        <f t="shared" si="2733"/>
        <v>0</v>
      </c>
      <c r="BB219" s="232">
        <f t="shared" si="2733"/>
        <v>0</v>
      </c>
      <c r="BC219" s="232">
        <f t="shared" si="2733"/>
        <v>0</v>
      </c>
      <c r="BD219" s="232">
        <f t="shared" si="2733"/>
        <v>0</v>
      </c>
      <c r="BE219" s="232">
        <f t="shared" si="2733"/>
        <v>0</v>
      </c>
      <c r="BF219" s="232">
        <f t="shared" si="2733"/>
        <v>0</v>
      </c>
      <c r="BG219" s="239">
        <f t="shared" si="2733"/>
        <v>0</v>
      </c>
      <c r="BH219" s="232">
        <f t="shared" si="2733"/>
        <v>0</v>
      </c>
      <c r="BI219" s="232">
        <f t="shared" si="2733"/>
        <v>0</v>
      </c>
      <c r="BJ219" s="232">
        <f t="shared" si="2733"/>
        <v>0</v>
      </c>
      <c r="BK219" s="232">
        <f t="shared" si="2733"/>
        <v>0</v>
      </c>
      <c r="BL219" s="232">
        <f t="shared" si="2733"/>
        <v>0</v>
      </c>
      <c r="BM219" s="232">
        <f t="shared" si="2733"/>
        <v>0</v>
      </c>
      <c r="BN219" s="232">
        <f t="shared" si="2733"/>
        <v>0</v>
      </c>
      <c r="BO219" s="232">
        <f t="shared" si="2733"/>
        <v>0</v>
      </c>
      <c r="BP219" s="232">
        <f t="shared" si="2733"/>
        <v>0</v>
      </c>
      <c r="BQ219" s="232">
        <f t="shared" si="2733"/>
        <v>0</v>
      </c>
      <c r="BR219" s="232">
        <f t="shared" si="2733"/>
        <v>0</v>
      </c>
      <c r="BS219" s="239">
        <f t="shared" si="2733"/>
        <v>0</v>
      </c>
      <c r="BT219" s="232">
        <f t="shared" ref="BT219:DC219" si="2734">++SUM(BT223:BT225)</f>
        <v>0</v>
      </c>
      <c r="BU219" s="232">
        <f t="shared" si="2734"/>
        <v>0</v>
      </c>
      <c r="BV219" s="232">
        <f t="shared" si="2734"/>
        <v>0</v>
      </c>
      <c r="BW219" s="232">
        <f t="shared" si="2734"/>
        <v>0</v>
      </c>
      <c r="BX219" s="232">
        <f t="shared" si="2734"/>
        <v>0</v>
      </c>
      <c r="BY219" s="232">
        <f t="shared" si="2734"/>
        <v>0</v>
      </c>
      <c r="BZ219" s="232">
        <f t="shared" si="2734"/>
        <v>0</v>
      </c>
      <c r="CA219" s="232">
        <f t="shared" si="2734"/>
        <v>0</v>
      </c>
      <c r="CB219" s="232">
        <f t="shared" si="2734"/>
        <v>0</v>
      </c>
      <c r="CC219" s="232">
        <f t="shared" si="2734"/>
        <v>0</v>
      </c>
      <c r="CD219" s="232">
        <f t="shared" si="2734"/>
        <v>0</v>
      </c>
      <c r="CE219" s="239">
        <f t="shared" si="2734"/>
        <v>0</v>
      </c>
      <c r="CF219" s="232">
        <f t="shared" si="2734"/>
        <v>0</v>
      </c>
      <c r="CG219" s="232">
        <f t="shared" si="2734"/>
        <v>0</v>
      </c>
      <c r="CH219" s="232">
        <f t="shared" si="2734"/>
        <v>0</v>
      </c>
      <c r="CI219" s="232">
        <f t="shared" si="2734"/>
        <v>0</v>
      </c>
      <c r="CJ219" s="232">
        <f t="shared" si="2734"/>
        <v>0</v>
      </c>
      <c r="CK219" s="232">
        <f t="shared" si="2734"/>
        <v>0</v>
      </c>
      <c r="CL219" s="232">
        <f t="shared" si="2734"/>
        <v>0</v>
      </c>
      <c r="CM219" s="232">
        <f t="shared" si="2734"/>
        <v>0</v>
      </c>
      <c r="CN219" s="232">
        <f t="shared" si="2734"/>
        <v>0</v>
      </c>
      <c r="CO219" s="232">
        <f t="shared" si="2734"/>
        <v>0</v>
      </c>
      <c r="CP219" s="232">
        <f t="shared" si="2734"/>
        <v>0</v>
      </c>
      <c r="CQ219" s="239">
        <f t="shared" si="2734"/>
        <v>0</v>
      </c>
      <c r="CR219" s="232">
        <f t="shared" si="2734"/>
        <v>0</v>
      </c>
      <c r="CS219" s="232">
        <f t="shared" si="2734"/>
        <v>0</v>
      </c>
      <c r="CT219" s="232">
        <f t="shared" si="2734"/>
        <v>0</v>
      </c>
      <c r="CU219" s="232">
        <f t="shared" si="2734"/>
        <v>0</v>
      </c>
      <c r="CV219" s="232">
        <f t="shared" si="2734"/>
        <v>0</v>
      </c>
      <c r="CW219" s="232">
        <f t="shared" si="2734"/>
        <v>0</v>
      </c>
      <c r="CX219" s="232">
        <f t="shared" si="2734"/>
        <v>0</v>
      </c>
      <c r="CY219" s="232">
        <f t="shared" si="2734"/>
        <v>0</v>
      </c>
      <c r="CZ219" s="232">
        <f t="shared" si="2734"/>
        <v>0</v>
      </c>
      <c r="DA219" s="232">
        <f t="shared" si="2734"/>
        <v>0</v>
      </c>
      <c r="DB219" s="232">
        <f t="shared" si="2734"/>
        <v>0</v>
      </c>
      <c r="DC219" s="239">
        <f t="shared" si="2734"/>
        <v>0</v>
      </c>
    </row>
    <row r="220" spans="3:107" x14ac:dyDescent="0.3">
      <c r="C220" s="321" t="str">
        <f>++C$24</f>
        <v>% margin</v>
      </c>
      <c r="G220" s="214" t="str">
        <f>++IFERROR(G219/G206,"n/a")</f>
        <v>n/a</v>
      </c>
      <c r="H220" s="225" t="str">
        <f t="shared" ref="H220" si="2735">++IFERROR(H219/H206,"n/a")</f>
        <v>n/a</v>
      </c>
      <c r="I220" s="225" t="str">
        <f t="shared" ref="I220" si="2736">++IFERROR(I219/I206,"n/a")</f>
        <v>n/a</v>
      </c>
      <c r="J220" s="225" t="str">
        <f t="shared" ref="J220" si="2737">++IFERROR(J219/J206,"n/a")</f>
        <v>n/a</v>
      </c>
      <c r="K220" s="214" t="str">
        <f t="shared" ref="K220" si="2738">++IFERROR(K219/K206,"n/a")</f>
        <v>n/a</v>
      </c>
      <c r="L220" s="225" t="str">
        <f t="shared" ref="L220" si="2739">++IFERROR(L219/L206,"n/a")</f>
        <v>n/a</v>
      </c>
      <c r="M220" s="225" t="str">
        <f t="shared" ref="M220" si="2740">++IFERROR(M219/M206,"n/a")</f>
        <v>n/a</v>
      </c>
      <c r="N220" s="225" t="str">
        <f t="shared" ref="N220" si="2741">++IFERROR(N219/N206,"n/a")</f>
        <v>n/a</v>
      </c>
      <c r="O220" s="225" t="str">
        <f t="shared" ref="O220" si="2742">++IFERROR(O219/O206,"n/a")</f>
        <v>n/a</v>
      </c>
      <c r="P220" s="225" t="str">
        <f t="shared" ref="P220" si="2743">++IFERROR(P219/P206,"n/a")</f>
        <v>n/a</v>
      </c>
      <c r="Q220" s="225" t="str">
        <f t="shared" ref="Q220" si="2744">++IFERROR(Q219/Q206,"n/a")</f>
        <v>n/a</v>
      </c>
      <c r="R220" s="225" t="str">
        <f t="shared" ref="R220" si="2745">++IFERROR(R219/R206,"n/a")</f>
        <v>n/a</v>
      </c>
      <c r="S220" s="225" t="str">
        <f t="shared" ref="S220" si="2746">++IFERROR(S219/S206,"n/a")</f>
        <v>n/a</v>
      </c>
      <c r="T220" s="225" t="str">
        <f t="shared" ref="T220" si="2747">++IFERROR(T219/T206,"n/a")</f>
        <v>n/a</v>
      </c>
      <c r="U220" s="225" t="str">
        <f t="shared" ref="U220" si="2748">++IFERROR(U219/U206,"n/a")</f>
        <v>n/a</v>
      </c>
      <c r="V220" s="225" t="str">
        <f t="shared" ref="V220" si="2749">++IFERROR(V219/V206,"n/a")</f>
        <v>n/a</v>
      </c>
      <c r="W220" s="214" t="str">
        <f t="shared" ref="W220" si="2750">++IFERROR(W219/W206,"n/a")</f>
        <v>n/a</v>
      </c>
      <c r="X220" s="225" t="str">
        <f t="shared" ref="X220" si="2751">++IFERROR(X219/X206,"n/a")</f>
        <v>n/a</v>
      </c>
      <c r="Y220" s="225" t="str">
        <f t="shared" ref="Y220" si="2752">++IFERROR(Y219/Y206,"n/a")</f>
        <v>n/a</v>
      </c>
      <c r="Z220" s="225" t="str">
        <f t="shared" ref="Z220" si="2753">++IFERROR(Z219/Z206,"n/a")</f>
        <v>n/a</v>
      </c>
      <c r="AA220" s="225" t="str">
        <f t="shared" ref="AA220" si="2754">++IFERROR(AA219/AA206,"n/a")</f>
        <v>n/a</v>
      </c>
      <c r="AB220" s="225" t="str">
        <f t="shared" ref="AB220" si="2755">++IFERROR(AB219/AB206,"n/a")</f>
        <v>n/a</v>
      </c>
      <c r="AC220" s="225" t="str">
        <f t="shared" ref="AC220" si="2756">++IFERROR(AC219/AC206,"n/a")</f>
        <v>n/a</v>
      </c>
      <c r="AD220" s="225" t="str">
        <f t="shared" ref="AD220" si="2757">++IFERROR(AD219/AD206,"n/a")</f>
        <v>n/a</v>
      </c>
      <c r="AE220" s="225" t="str">
        <f t="shared" ref="AE220" si="2758">++IFERROR(AE219/AE206,"n/a")</f>
        <v>n/a</v>
      </c>
      <c r="AF220" s="225" t="str">
        <f t="shared" ref="AF220" si="2759">++IFERROR(AF219/AF206,"n/a")</f>
        <v>n/a</v>
      </c>
      <c r="AG220" s="225" t="str">
        <f t="shared" ref="AG220" si="2760">++IFERROR(AG219/AG206,"n/a")</f>
        <v>n/a</v>
      </c>
      <c r="AH220" s="225" t="str">
        <f t="shared" ref="AH220" si="2761">++IFERROR(AH219/AH206,"n/a")</f>
        <v>n/a</v>
      </c>
      <c r="AI220" s="214" t="str">
        <f t="shared" ref="AI220" si="2762">++IFERROR(AI219/AI206,"n/a")</f>
        <v>n/a</v>
      </c>
      <c r="AJ220" s="225" t="str">
        <f t="shared" ref="AJ220" si="2763">++IFERROR(AJ219/AJ206,"n/a")</f>
        <v>n/a</v>
      </c>
      <c r="AK220" s="225" t="str">
        <f t="shared" ref="AK220" si="2764">++IFERROR(AK219/AK206,"n/a")</f>
        <v>n/a</v>
      </c>
      <c r="AL220" s="225" t="str">
        <f t="shared" ref="AL220" si="2765">++IFERROR(AL219/AL206,"n/a")</f>
        <v>n/a</v>
      </c>
      <c r="AM220" s="225" t="str">
        <f t="shared" ref="AM220" si="2766">++IFERROR(AM219/AM206,"n/a")</f>
        <v>n/a</v>
      </c>
      <c r="AN220" s="225" t="str">
        <f t="shared" ref="AN220" si="2767">++IFERROR(AN219/AN206,"n/a")</f>
        <v>n/a</v>
      </c>
      <c r="AO220" s="225" t="str">
        <f t="shared" ref="AO220" si="2768">++IFERROR(AO219/AO206,"n/a")</f>
        <v>n/a</v>
      </c>
      <c r="AP220" s="225" t="str">
        <f t="shared" ref="AP220" si="2769">++IFERROR(AP219/AP206,"n/a")</f>
        <v>n/a</v>
      </c>
      <c r="AQ220" s="225" t="str">
        <f t="shared" ref="AQ220" si="2770">++IFERROR(AQ219/AQ206,"n/a")</f>
        <v>n/a</v>
      </c>
      <c r="AR220" s="225" t="str">
        <f t="shared" ref="AR220" si="2771">++IFERROR(AR219/AR206,"n/a")</f>
        <v>n/a</v>
      </c>
      <c r="AS220" s="225" t="str">
        <f t="shared" ref="AS220" si="2772">++IFERROR(AS219/AS206,"n/a")</f>
        <v>n/a</v>
      </c>
      <c r="AT220" s="225" t="str">
        <f t="shared" ref="AT220" si="2773">++IFERROR(AT219/AT206,"n/a")</f>
        <v>n/a</v>
      </c>
      <c r="AU220" s="214" t="str">
        <f t="shared" ref="AU220" si="2774">++IFERROR(AU219/AU206,"n/a")</f>
        <v>n/a</v>
      </c>
      <c r="AV220" s="225" t="str">
        <f t="shared" ref="AV220" si="2775">++IFERROR(AV219/AV206,"n/a")</f>
        <v>n/a</v>
      </c>
      <c r="AW220" s="225" t="str">
        <f t="shared" ref="AW220" si="2776">++IFERROR(AW219/AW206,"n/a")</f>
        <v>n/a</v>
      </c>
      <c r="AX220" s="225" t="str">
        <f t="shared" ref="AX220" si="2777">++IFERROR(AX219/AX206,"n/a")</f>
        <v>n/a</v>
      </c>
      <c r="AY220" s="225" t="str">
        <f t="shared" ref="AY220" si="2778">++IFERROR(AY219/AY206,"n/a")</f>
        <v>n/a</v>
      </c>
      <c r="AZ220" s="225" t="str">
        <f t="shared" ref="AZ220" si="2779">++IFERROR(AZ219/AZ206,"n/a")</f>
        <v>n/a</v>
      </c>
      <c r="BA220" s="225" t="str">
        <f t="shared" ref="BA220" si="2780">++IFERROR(BA219/BA206,"n/a")</f>
        <v>n/a</v>
      </c>
      <c r="BB220" s="225" t="str">
        <f t="shared" ref="BB220" si="2781">++IFERROR(BB219/BB206,"n/a")</f>
        <v>n/a</v>
      </c>
      <c r="BC220" s="225" t="str">
        <f t="shared" ref="BC220" si="2782">++IFERROR(BC219/BC206,"n/a")</f>
        <v>n/a</v>
      </c>
      <c r="BD220" s="225" t="str">
        <f t="shared" ref="BD220" si="2783">++IFERROR(BD219/BD206,"n/a")</f>
        <v>n/a</v>
      </c>
      <c r="BE220" s="225" t="str">
        <f t="shared" ref="BE220" si="2784">++IFERROR(BE219/BE206,"n/a")</f>
        <v>n/a</v>
      </c>
      <c r="BF220" s="225" t="str">
        <f t="shared" ref="BF220" si="2785">++IFERROR(BF219/BF206,"n/a")</f>
        <v>n/a</v>
      </c>
      <c r="BG220" s="214" t="str">
        <f t="shared" ref="BG220" si="2786">++IFERROR(BG219/BG206,"n/a")</f>
        <v>n/a</v>
      </c>
      <c r="BH220" s="225" t="str">
        <f t="shared" ref="BH220" si="2787">++IFERROR(BH219/BH206,"n/a")</f>
        <v>n/a</v>
      </c>
      <c r="BI220" s="225" t="str">
        <f t="shared" ref="BI220" si="2788">++IFERROR(BI219/BI206,"n/a")</f>
        <v>n/a</v>
      </c>
      <c r="BJ220" s="225" t="str">
        <f t="shared" ref="BJ220" si="2789">++IFERROR(BJ219/BJ206,"n/a")</f>
        <v>n/a</v>
      </c>
      <c r="BK220" s="225" t="str">
        <f t="shared" ref="BK220" si="2790">++IFERROR(BK219/BK206,"n/a")</f>
        <v>n/a</v>
      </c>
      <c r="BL220" s="225" t="str">
        <f t="shared" ref="BL220" si="2791">++IFERROR(BL219/BL206,"n/a")</f>
        <v>n/a</v>
      </c>
      <c r="BM220" s="225" t="str">
        <f t="shared" ref="BM220" si="2792">++IFERROR(BM219/BM206,"n/a")</f>
        <v>n/a</v>
      </c>
      <c r="BN220" s="225" t="str">
        <f t="shared" ref="BN220" si="2793">++IFERROR(BN219/BN206,"n/a")</f>
        <v>n/a</v>
      </c>
      <c r="BO220" s="225" t="str">
        <f t="shared" ref="BO220" si="2794">++IFERROR(BO219/BO206,"n/a")</f>
        <v>n/a</v>
      </c>
      <c r="BP220" s="225" t="str">
        <f t="shared" ref="BP220" si="2795">++IFERROR(BP219/BP206,"n/a")</f>
        <v>n/a</v>
      </c>
      <c r="BQ220" s="225" t="str">
        <f t="shared" ref="BQ220" si="2796">++IFERROR(BQ219/BQ206,"n/a")</f>
        <v>n/a</v>
      </c>
      <c r="BR220" s="225" t="str">
        <f t="shared" ref="BR220" si="2797">++IFERROR(BR219/BR206,"n/a")</f>
        <v>n/a</v>
      </c>
      <c r="BS220" s="214" t="str">
        <f t="shared" ref="BS220" si="2798">++IFERROR(BS219/BS206,"n/a")</f>
        <v>n/a</v>
      </c>
      <c r="BT220" s="225" t="str">
        <f t="shared" ref="BT220" si="2799">++IFERROR(BT219/BT206,"n/a")</f>
        <v>n/a</v>
      </c>
      <c r="BU220" s="225" t="str">
        <f t="shared" ref="BU220" si="2800">++IFERROR(BU219/BU206,"n/a")</f>
        <v>n/a</v>
      </c>
      <c r="BV220" s="225" t="str">
        <f t="shared" ref="BV220" si="2801">++IFERROR(BV219/BV206,"n/a")</f>
        <v>n/a</v>
      </c>
      <c r="BW220" s="225" t="str">
        <f t="shared" ref="BW220" si="2802">++IFERROR(BW219/BW206,"n/a")</f>
        <v>n/a</v>
      </c>
      <c r="BX220" s="225" t="str">
        <f t="shared" ref="BX220" si="2803">++IFERROR(BX219/BX206,"n/a")</f>
        <v>n/a</v>
      </c>
      <c r="BY220" s="225" t="str">
        <f t="shared" ref="BY220" si="2804">++IFERROR(BY219/BY206,"n/a")</f>
        <v>n/a</v>
      </c>
      <c r="BZ220" s="225" t="str">
        <f t="shared" ref="BZ220" si="2805">++IFERROR(BZ219/BZ206,"n/a")</f>
        <v>n/a</v>
      </c>
      <c r="CA220" s="225" t="str">
        <f t="shared" ref="CA220" si="2806">++IFERROR(CA219/CA206,"n/a")</f>
        <v>n/a</v>
      </c>
      <c r="CB220" s="225" t="str">
        <f t="shared" ref="CB220" si="2807">++IFERROR(CB219/CB206,"n/a")</f>
        <v>n/a</v>
      </c>
      <c r="CC220" s="225" t="str">
        <f t="shared" ref="CC220" si="2808">++IFERROR(CC219/CC206,"n/a")</f>
        <v>n/a</v>
      </c>
      <c r="CD220" s="225" t="str">
        <f t="shared" ref="CD220" si="2809">++IFERROR(CD219/CD206,"n/a")</f>
        <v>n/a</v>
      </c>
      <c r="CE220" s="214" t="str">
        <f t="shared" ref="CE220" si="2810">++IFERROR(CE219/CE206,"n/a")</f>
        <v>n/a</v>
      </c>
      <c r="CF220" s="225" t="str">
        <f t="shared" ref="CF220" si="2811">++IFERROR(CF219/CF206,"n/a")</f>
        <v>n/a</v>
      </c>
      <c r="CG220" s="225" t="str">
        <f t="shared" ref="CG220" si="2812">++IFERROR(CG219/CG206,"n/a")</f>
        <v>n/a</v>
      </c>
      <c r="CH220" s="225" t="str">
        <f t="shared" ref="CH220" si="2813">++IFERROR(CH219/CH206,"n/a")</f>
        <v>n/a</v>
      </c>
      <c r="CI220" s="225" t="str">
        <f t="shared" ref="CI220" si="2814">++IFERROR(CI219/CI206,"n/a")</f>
        <v>n/a</v>
      </c>
      <c r="CJ220" s="225" t="str">
        <f t="shared" ref="CJ220" si="2815">++IFERROR(CJ219/CJ206,"n/a")</f>
        <v>n/a</v>
      </c>
      <c r="CK220" s="225" t="str">
        <f t="shared" ref="CK220" si="2816">++IFERROR(CK219/CK206,"n/a")</f>
        <v>n/a</v>
      </c>
      <c r="CL220" s="225" t="str">
        <f t="shared" ref="CL220" si="2817">++IFERROR(CL219/CL206,"n/a")</f>
        <v>n/a</v>
      </c>
      <c r="CM220" s="225" t="str">
        <f t="shared" ref="CM220" si="2818">++IFERROR(CM219/CM206,"n/a")</f>
        <v>n/a</v>
      </c>
      <c r="CN220" s="225" t="str">
        <f t="shared" ref="CN220" si="2819">++IFERROR(CN219/CN206,"n/a")</f>
        <v>n/a</v>
      </c>
      <c r="CO220" s="225" t="str">
        <f t="shared" ref="CO220" si="2820">++IFERROR(CO219/CO206,"n/a")</f>
        <v>n/a</v>
      </c>
      <c r="CP220" s="225" t="str">
        <f t="shared" ref="CP220" si="2821">++IFERROR(CP219/CP206,"n/a")</f>
        <v>n/a</v>
      </c>
      <c r="CQ220" s="214" t="str">
        <f t="shared" ref="CQ220" si="2822">++IFERROR(CQ219/CQ206,"n/a")</f>
        <v>n/a</v>
      </c>
      <c r="CR220" s="225" t="str">
        <f t="shared" ref="CR220" si="2823">++IFERROR(CR219/CR206,"n/a")</f>
        <v>n/a</v>
      </c>
      <c r="CS220" s="225" t="str">
        <f t="shared" ref="CS220" si="2824">++IFERROR(CS219/CS206,"n/a")</f>
        <v>n/a</v>
      </c>
      <c r="CT220" s="225" t="str">
        <f t="shared" ref="CT220" si="2825">++IFERROR(CT219/CT206,"n/a")</f>
        <v>n/a</v>
      </c>
      <c r="CU220" s="225" t="str">
        <f t="shared" ref="CU220" si="2826">++IFERROR(CU219/CU206,"n/a")</f>
        <v>n/a</v>
      </c>
      <c r="CV220" s="225" t="str">
        <f t="shared" ref="CV220" si="2827">++IFERROR(CV219/CV206,"n/a")</f>
        <v>n/a</v>
      </c>
      <c r="CW220" s="225" t="str">
        <f t="shared" ref="CW220" si="2828">++IFERROR(CW219/CW206,"n/a")</f>
        <v>n/a</v>
      </c>
      <c r="CX220" s="225" t="str">
        <f t="shared" ref="CX220" si="2829">++IFERROR(CX219/CX206,"n/a")</f>
        <v>n/a</v>
      </c>
      <c r="CY220" s="225" t="str">
        <f t="shared" ref="CY220" si="2830">++IFERROR(CY219/CY206,"n/a")</f>
        <v>n/a</v>
      </c>
      <c r="CZ220" s="225" t="str">
        <f t="shared" ref="CZ220" si="2831">++IFERROR(CZ219/CZ206,"n/a")</f>
        <v>n/a</v>
      </c>
      <c r="DA220" s="225" t="str">
        <f t="shared" ref="DA220" si="2832">++IFERROR(DA219/DA206,"n/a")</f>
        <v>n/a</v>
      </c>
      <c r="DB220" s="225" t="str">
        <f t="shared" ref="DB220" si="2833">++IFERROR(DB219/DB206,"n/a")</f>
        <v>n/a</v>
      </c>
      <c r="DC220" s="214" t="str">
        <f t="shared" ref="DC220" si="2834">++IFERROR(DC219/DC206,"n/a")</f>
        <v>n/a</v>
      </c>
    </row>
    <row r="221" spans="3:107" x14ac:dyDescent="0.3">
      <c r="C221" s="321" t="str">
        <f>++C$25</f>
        <v>% y/y</v>
      </c>
      <c r="G221" s="122" t="s">
        <v>47</v>
      </c>
      <c r="H221" s="122" t="s">
        <v>47</v>
      </c>
      <c r="I221" s="122" t="s">
        <v>47</v>
      </c>
      <c r="J221" s="122" t="s">
        <v>47</v>
      </c>
      <c r="K221" s="214" t="str">
        <f>++IFERROR(K219/G219-1,"n/a")</f>
        <v>n/a</v>
      </c>
      <c r="L221" s="122" t="s">
        <v>47</v>
      </c>
      <c r="M221" s="122" t="s">
        <v>47</v>
      </c>
      <c r="N221" s="225" t="str">
        <f>++IFERROR(N219/H219-1,"n/a")</f>
        <v>n/a</v>
      </c>
      <c r="O221" s="122" t="s">
        <v>47</v>
      </c>
      <c r="P221" s="122" t="s">
        <v>47</v>
      </c>
      <c r="Q221" s="225" t="str">
        <f>++IFERROR(Q219/I219-1,"n/a")</f>
        <v>n/a</v>
      </c>
      <c r="R221" s="122" t="s">
        <v>47</v>
      </c>
      <c r="S221" s="122" t="s">
        <v>47</v>
      </c>
      <c r="T221" s="225" t="str">
        <f>++IFERROR(T219/J219-1,"n/a")</f>
        <v>n/a</v>
      </c>
      <c r="U221" s="122" t="s">
        <v>47</v>
      </c>
      <c r="V221" s="122" t="s">
        <v>47</v>
      </c>
      <c r="W221" s="214" t="str">
        <f t="shared" ref="W221:BB221" si="2835">++IFERROR(W219/K219-1,"n/a")</f>
        <v>n/a</v>
      </c>
      <c r="X221" s="225" t="str">
        <f t="shared" si="2835"/>
        <v>n/a</v>
      </c>
      <c r="Y221" s="225" t="str">
        <f t="shared" si="2835"/>
        <v>n/a</v>
      </c>
      <c r="Z221" s="225" t="str">
        <f t="shared" si="2835"/>
        <v>n/a</v>
      </c>
      <c r="AA221" s="225" t="str">
        <f t="shared" si="2835"/>
        <v>n/a</v>
      </c>
      <c r="AB221" s="225" t="str">
        <f t="shared" si="2835"/>
        <v>n/a</v>
      </c>
      <c r="AC221" s="225" t="str">
        <f t="shared" si="2835"/>
        <v>n/a</v>
      </c>
      <c r="AD221" s="225" t="str">
        <f t="shared" si="2835"/>
        <v>n/a</v>
      </c>
      <c r="AE221" s="225" t="str">
        <f t="shared" si="2835"/>
        <v>n/a</v>
      </c>
      <c r="AF221" s="225" t="str">
        <f t="shared" si="2835"/>
        <v>n/a</v>
      </c>
      <c r="AG221" s="225" t="str">
        <f t="shared" si="2835"/>
        <v>n/a</v>
      </c>
      <c r="AH221" s="225" t="str">
        <f t="shared" si="2835"/>
        <v>n/a</v>
      </c>
      <c r="AI221" s="214" t="str">
        <f t="shared" si="2835"/>
        <v>n/a</v>
      </c>
      <c r="AJ221" s="225" t="str">
        <f t="shared" si="2835"/>
        <v>n/a</v>
      </c>
      <c r="AK221" s="225" t="str">
        <f t="shared" si="2835"/>
        <v>n/a</v>
      </c>
      <c r="AL221" s="225" t="str">
        <f t="shared" si="2835"/>
        <v>n/a</v>
      </c>
      <c r="AM221" s="225" t="str">
        <f t="shared" si="2835"/>
        <v>n/a</v>
      </c>
      <c r="AN221" s="225" t="str">
        <f t="shared" si="2835"/>
        <v>n/a</v>
      </c>
      <c r="AO221" s="225" t="str">
        <f t="shared" si="2835"/>
        <v>n/a</v>
      </c>
      <c r="AP221" s="225" t="str">
        <f t="shared" si="2835"/>
        <v>n/a</v>
      </c>
      <c r="AQ221" s="225" t="str">
        <f t="shared" si="2835"/>
        <v>n/a</v>
      </c>
      <c r="AR221" s="225" t="str">
        <f t="shared" si="2835"/>
        <v>n/a</v>
      </c>
      <c r="AS221" s="225" t="str">
        <f t="shared" si="2835"/>
        <v>n/a</v>
      </c>
      <c r="AT221" s="225" t="str">
        <f t="shared" si="2835"/>
        <v>n/a</v>
      </c>
      <c r="AU221" s="214" t="str">
        <f t="shared" si="2835"/>
        <v>n/a</v>
      </c>
      <c r="AV221" s="225" t="str">
        <f t="shared" si="2835"/>
        <v>n/a</v>
      </c>
      <c r="AW221" s="225" t="str">
        <f t="shared" si="2835"/>
        <v>n/a</v>
      </c>
      <c r="AX221" s="225" t="str">
        <f t="shared" si="2835"/>
        <v>n/a</v>
      </c>
      <c r="AY221" s="225" t="str">
        <f t="shared" si="2835"/>
        <v>n/a</v>
      </c>
      <c r="AZ221" s="225" t="str">
        <f t="shared" si="2835"/>
        <v>n/a</v>
      </c>
      <c r="BA221" s="225" t="str">
        <f t="shared" si="2835"/>
        <v>n/a</v>
      </c>
      <c r="BB221" s="225" t="str">
        <f t="shared" si="2835"/>
        <v>n/a</v>
      </c>
      <c r="BC221" s="225" t="str">
        <f t="shared" ref="BC221:CH221" si="2836">++IFERROR(BC219/AQ219-1,"n/a")</f>
        <v>n/a</v>
      </c>
      <c r="BD221" s="225" t="str">
        <f t="shared" si="2836"/>
        <v>n/a</v>
      </c>
      <c r="BE221" s="225" t="str">
        <f t="shared" si="2836"/>
        <v>n/a</v>
      </c>
      <c r="BF221" s="225" t="str">
        <f t="shared" si="2836"/>
        <v>n/a</v>
      </c>
      <c r="BG221" s="214" t="str">
        <f t="shared" si="2836"/>
        <v>n/a</v>
      </c>
      <c r="BH221" s="225" t="str">
        <f t="shared" si="2836"/>
        <v>n/a</v>
      </c>
      <c r="BI221" s="225" t="str">
        <f t="shared" si="2836"/>
        <v>n/a</v>
      </c>
      <c r="BJ221" s="225" t="str">
        <f t="shared" si="2836"/>
        <v>n/a</v>
      </c>
      <c r="BK221" s="225" t="str">
        <f t="shared" si="2836"/>
        <v>n/a</v>
      </c>
      <c r="BL221" s="225" t="str">
        <f t="shared" si="2836"/>
        <v>n/a</v>
      </c>
      <c r="BM221" s="225" t="str">
        <f t="shared" si="2836"/>
        <v>n/a</v>
      </c>
      <c r="BN221" s="225" t="str">
        <f t="shared" si="2836"/>
        <v>n/a</v>
      </c>
      <c r="BO221" s="225" t="str">
        <f t="shared" si="2836"/>
        <v>n/a</v>
      </c>
      <c r="BP221" s="225" t="str">
        <f t="shared" si="2836"/>
        <v>n/a</v>
      </c>
      <c r="BQ221" s="225" t="str">
        <f t="shared" si="2836"/>
        <v>n/a</v>
      </c>
      <c r="BR221" s="225" t="str">
        <f t="shared" si="2836"/>
        <v>n/a</v>
      </c>
      <c r="BS221" s="214" t="str">
        <f t="shared" si="2836"/>
        <v>n/a</v>
      </c>
      <c r="BT221" s="225" t="str">
        <f t="shared" si="2836"/>
        <v>n/a</v>
      </c>
      <c r="BU221" s="225" t="str">
        <f t="shared" si="2836"/>
        <v>n/a</v>
      </c>
      <c r="BV221" s="225" t="str">
        <f t="shared" si="2836"/>
        <v>n/a</v>
      </c>
      <c r="BW221" s="225" t="str">
        <f t="shared" si="2836"/>
        <v>n/a</v>
      </c>
      <c r="BX221" s="225" t="str">
        <f t="shared" si="2836"/>
        <v>n/a</v>
      </c>
      <c r="BY221" s="225" t="str">
        <f t="shared" si="2836"/>
        <v>n/a</v>
      </c>
      <c r="BZ221" s="225" t="str">
        <f t="shared" si="2836"/>
        <v>n/a</v>
      </c>
      <c r="CA221" s="225" t="str">
        <f t="shared" si="2836"/>
        <v>n/a</v>
      </c>
      <c r="CB221" s="225" t="str">
        <f t="shared" si="2836"/>
        <v>n/a</v>
      </c>
      <c r="CC221" s="225" t="str">
        <f t="shared" si="2836"/>
        <v>n/a</v>
      </c>
      <c r="CD221" s="225" t="str">
        <f t="shared" si="2836"/>
        <v>n/a</v>
      </c>
      <c r="CE221" s="214" t="str">
        <f t="shared" si="2836"/>
        <v>n/a</v>
      </c>
      <c r="CF221" s="225" t="str">
        <f t="shared" si="2836"/>
        <v>n/a</v>
      </c>
      <c r="CG221" s="225" t="str">
        <f t="shared" si="2836"/>
        <v>n/a</v>
      </c>
      <c r="CH221" s="225" t="str">
        <f t="shared" si="2836"/>
        <v>n/a</v>
      </c>
      <c r="CI221" s="225" t="str">
        <f t="shared" ref="CI221:DN221" si="2837">++IFERROR(CI219/BW219-1,"n/a")</f>
        <v>n/a</v>
      </c>
      <c r="CJ221" s="225" t="str">
        <f t="shared" si="2837"/>
        <v>n/a</v>
      </c>
      <c r="CK221" s="225" t="str">
        <f t="shared" si="2837"/>
        <v>n/a</v>
      </c>
      <c r="CL221" s="225" t="str">
        <f t="shared" si="2837"/>
        <v>n/a</v>
      </c>
      <c r="CM221" s="225" t="str">
        <f t="shared" si="2837"/>
        <v>n/a</v>
      </c>
      <c r="CN221" s="225" t="str">
        <f t="shared" si="2837"/>
        <v>n/a</v>
      </c>
      <c r="CO221" s="225" t="str">
        <f t="shared" si="2837"/>
        <v>n/a</v>
      </c>
      <c r="CP221" s="225" t="str">
        <f t="shared" si="2837"/>
        <v>n/a</v>
      </c>
      <c r="CQ221" s="214" t="str">
        <f t="shared" si="2837"/>
        <v>n/a</v>
      </c>
      <c r="CR221" s="225" t="str">
        <f t="shared" si="2837"/>
        <v>n/a</v>
      </c>
      <c r="CS221" s="225" t="str">
        <f t="shared" si="2837"/>
        <v>n/a</v>
      </c>
      <c r="CT221" s="225" t="str">
        <f t="shared" si="2837"/>
        <v>n/a</v>
      </c>
      <c r="CU221" s="225" t="str">
        <f t="shared" si="2837"/>
        <v>n/a</v>
      </c>
      <c r="CV221" s="225" t="str">
        <f t="shared" si="2837"/>
        <v>n/a</v>
      </c>
      <c r="CW221" s="225" t="str">
        <f t="shared" si="2837"/>
        <v>n/a</v>
      </c>
      <c r="CX221" s="225" t="str">
        <f t="shared" si="2837"/>
        <v>n/a</v>
      </c>
      <c r="CY221" s="225" t="str">
        <f t="shared" si="2837"/>
        <v>n/a</v>
      </c>
      <c r="CZ221" s="225" t="str">
        <f t="shared" si="2837"/>
        <v>n/a</v>
      </c>
      <c r="DA221" s="225" t="str">
        <f t="shared" si="2837"/>
        <v>n/a</v>
      </c>
      <c r="DB221" s="225" t="str">
        <f t="shared" si="2837"/>
        <v>n/a</v>
      </c>
      <c r="DC221" s="214" t="str">
        <f t="shared" si="2837"/>
        <v>n/a</v>
      </c>
    </row>
    <row r="222" spans="3:107" x14ac:dyDescent="0.3">
      <c r="G222" s="203"/>
      <c r="K222" s="203"/>
      <c r="W222" s="203"/>
      <c r="AI222" s="203"/>
      <c r="AU222" s="203"/>
      <c r="BG222" s="203"/>
      <c r="BS222" s="203"/>
      <c r="CE222" s="203"/>
      <c r="CQ222" s="203"/>
      <c r="DC222" s="203"/>
    </row>
    <row r="223" spans="3:107" x14ac:dyDescent="0.3">
      <c r="C223" s="101" t="str">
        <f>++C$27</f>
        <v>Interest Expense (Income)</v>
      </c>
      <c r="G223" s="45">
        <f>++G76</f>
        <v>0</v>
      </c>
      <c r="H223" s="45">
        <f t="shared" ref="H223:BS223" si="2838">++H76</f>
        <v>0</v>
      </c>
      <c r="I223" s="45">
        <f t="shared" si="2838"/>
        <v>0</v>
      </c>
      <c r="J223" s="45">
        <f t="shared" si="2838"/>
        <v>0</v>
      </c>
      <c r="K223" s="45">
        <f t="shared" si="2838"/>
        <v>0</v>
      </c>
      <c r="L223" s="45">
        <f t="shared" si="2838"/>
        <v>0</v>
      </c>
      <c r="M223" s="45">
        <f t="shared" si="2838"/>
        <v>0</v>
      </c>
      <c r="N223" s="45">
        <f t="shared" si="2838"/>
        <v>0</v>
      </c>
      <c r="O223" s="45">
        <f t="shared" si="2838"/>
        <v>0</v>
      </c>
      <c r="P223" s="45">
        <f t="shared" si="2838"/>
        <v>0</v>
      </c>
      <c r="Q223" s="45">
        <f t="shared" si="2838"/>
        <v>0</v>
      </c>
      <c r="R223" s="45">
        <f t="shared" si="2838"/>
        <v>0</v>
      </c>
      <c r="S223" s="45">
        <f t="shared" si="2838"/>
        <v>0</v>
      </c>
      <c r="T223" s="45">
        <f t="shared" si="2838"/>
        <v>0</v>
      </c>
      <c r="U223" s="45">
        <f t="shared" si="2838"/>
        <v>0</v>
      </c>
      <c r="V223" s="45">
        <f t="shared" si="2838"/>
        <v>0</v>
      </c>
      <c r="W223" s="45">
        <f t="shared" si="2838"/>
        <v>0</v>
      </c>
      <c r="X223" s="45">
        <f t="shared" si="2838"/>
        <v>0</v>
      </c>
      <c r="Y223" s="45">
        <f t="shared" si="2838"/>
        <v>0</v>
      </c>
      <c r="Z223" s="45">
        <f t="shared" si="2838"/>
        <v>0</v>
      </c>
      <c r="AA223" s="45">
        <f t="shared" si="2838"/>
        <v>0</v>
      </c>
      <c r="AB223" s="45">
        <f t="shared" si="2838"/>
        <v>0</v>
      </c>
      <c r="AC223" s="45">
        <f t="shared" si="2838"/>
        <v>0</v>
      </c>
      <c r="AD223" s="45">
        <f t="shared" si="2838"/>
        <v>0</v>
      </c>
      <c r="AE223" s="45">
        <f t="shared" si="2838"/>
        <v>0</v>
      </c>
      <c r="AF223" s="45">
        <f t="shared" si="2838"/>
        <v>0</v>
      </c>
      <c r="AG223" s="45">
        <f t="shared" si="2838"/>
        <v>0</v>
      </c>
      <c r="AH223" s="45">
        <f t="shared" si="2838"/>
        <v>0</v>
      </c>
      <c r="AI223" s="45">
        <f t="shared" si="2838"/>
        <v>0</v>
      </c>
      <c r="AJ223" s="45">
        <f t="shared" si="2838"/>
        <v>0</v>
      </c>
      <c r="AK223" s="45">
        <f t="shared" si="2838"/>
        <v>0</v>
      </c>
      <c r="AL223" s="45">
        <f t="shared" si="2838"/>
        <v>0</v>
      </c>
      <c r="AM223" s="45">
        <f t="shared" si="2838"/>
        <v>0</v>
      </c>
      <c r="AN223" s="45">
        <f t="shared" si="2838"/>
        <v>0</v>
      </c>
      <c r="AO223" s="45">
        <f t="shared" si="2838"/>
        <v>0</v>
      </c>
      <c r="AP223" s="45">
        <f t="shared" si="2838"/>
        <v>0</v>
      </c>
      <c r="AQ223" s="45">
        <f t="shared" si="2838"/>
        <v>0</v>
      </c>
      <c r="AR223" s="45">
        <f t="shared" si="2838"/>
        <v>0</v>
      </c>
      <c r="AS223" s="45">
        <f t="shared" si="2838"/>
        <v>0</v>
      </c>
      <c r="AT223" s="45">
        <f t="shared" si="2838"/>
        <v>0</v>
      </c>
      <c r="AU223" s="45">
        <f t="shared" si="2838"/>
        <v>0</v>
      </c>
      <c r="AV223" s="45">
        <f t="shared" si="2838"/>
        <v>0</v>
      </c>
      <c r="AW223" s="45">
        <f t="shared" si="2838"/>
        <v>0</v>
      </c>
      <c r="AX223" s="45">
        <f t="shared" si="2838"/>
        <v>0</v>
      </c>
      <c r="AY223" s="45">
        <f t="shared" si="2838"/>
        <v>0</v>
      </c>
      <c r="AZ223" s="45">
        <f t="shared" si="2838"/>
        <v>0</v>
      </c>
      <c r="BA223" s="45">
        <f t="shared" si="2838"/>
        <v>0</v>
      </c>
      <c r="BB223" s="45">
        <f t="shared" si="2838"/>
        <v>0</v>
      </c>
      <c r="BC223" s="45">
        <f t="shared" si="2838"/>
        <v>0</v>
      </c>
      <c r="BD223" s="45">
        <f t="shared" si="2838"/>
        <v>0</v>
      </c>
      <c r="BE223" s="45">
        <f t="shared" si="2838"/>
        <v>0</v>
      </c>
      <c r="BF223" s="45">
        <f t="shared" si="2838"/>
        <v>0</v>
      </c>
      <c r="BG223" s="45">
        <f t="shared" si="2838"/>
        <v>0</v>
      </c>
      <c r="BH223" s="45">
        <f t="shared" si="2838"/>
        <v>0</v>
      </c>
      <c r="BI223" s="45">
        <f t="shared" si="2838"/>
        <v>0</v>
      </c>
      <c r="BJ223" s="45">
        <f t="shared" si="2838"/>
        <v>0</v>
      </c>
      <c r="BK223" s="45">
        <f t="shared" si="2838"/>
        <v>0</v>
      </c>
      <c r="BL223" s="45">
        <f t="shared" si="2838"/>
        <v>0</v>
      </c>
      <c r="BM223" s="45">
        <f t="shared" si="2838"/>
        <v>0</v>
      </c>
      <c r="BN223" s="45">
        <f t="shared" si="2838"/>
        <v>0</v>
      </c>
      <c r="BO223" s="45">
        <f t="shared" si="2838"/>
        <v>0</v>
      </c>
      <c r="BP223" s="45">
        <f t="shared" si="2838"/>
        <v>0</v>
      </c>
      <c r="BQ223" s="45">
        <f t="shared" si="2838"/>
        <v>0</v>
      </c>
      <c r="BR223" s="45">
        <f t="shared" si="2838"/>
        <v>0</v>
      </c>
      <c r="BS223" s="45">
        <f t="shared" si="2838"/>
        <v>0</v>
      </c>
      <c r="BT223" s="45">
        <f t="shared" ref="BT223:DC223" si="2839">++BT76</f>
        <v>0</v>
      </c>
      <c r="BU223" s="45">
        <f t="shared" si="2839"/>
        <v>0</v>
      </c>
      <c r="BV223" s="45">
        <f t="shared" si="2839"/>
        <v>0</v>
      </c>
      <c r="BW223" s="45">
        <f t="shared" si="2839"/>
        <v>0</v>
      </c>
      <c r="BX223" s="45">
        <f t="shared" si="2839"/>
        <v>0</v>
      </c>
      <c r="BY223" s="45">
        <f t="shared" si="2839"/>
        <v>0</v>
      </c>
      <c r="BZ223" s="45">
        <f t="shared" si="2839"/>
        <v>0</v>
      </c>
      <c r="CA223" s="45">
        <f t="shared" si="2839"/>
        <v>0</v>
      </c>
      <c r="CB223" s="45">
        <f t="shared" si="2839"/>
        <v>0</v>
      </c>
      <c r="CC223" s="45">
        <f t="shared" si="2839"/>
        <v>0</v>
      </c>
      <c r="CD223" s="45">
        <f t="shared" si="2839"/>
        <v>0</v>
      </c>
      <c r="CE223" s="45">
        <f t="shared" si="2839"/>
        <v>0</v>
      </c>
      <c r="CF223" s="45">
        <f t="shared" si="2839"/>
        <v>0</v>
      </c>
      <c r="CG223" s="45">
        <f t="shared" si="2839"/>
        <v>0</v>
      </c>
      <c r="CH223" s="45">
        <f t="shared" si="2839"/>
        <v>0</v>
      </c>
      <c r="CI223" s="45">
        <f t="shared" si="2839"/>
        <v>0</v>
      </c>
      <c r="CJ223" s="45">
        <f t="shared" si="2839"/>
        <v>0</v>
      </c>
      <c r="CK223" s="45">
        <f t="shared" si="2839"/>
        <v>0</v>
      </c>
      <c r="CL223" s="45">
        <f t="shared" si="2839"/>
        <v>0</v>
      </c>
      <c r="CM223" s="45">
        <f t="shared" si="2839"/>
        <v>0</v>
      </c>
      <c r="CN223" s="45">
        <f t="shared" si="2839"/>
        <v>0</v>
      </c>
      <c r="CO223" s="45">
        <f t="shared" si="2839"/>
        <v>0</v>
      </c>
      <c r="CP223" s="45">
        <f t="shared" si="2839"/>
        <v>0</v>
      </c>
      <c r="CQ223" s="45">
        <f t="shared" si="2839"/>
        <v>0</v>
      </c>
      <c r="CR223" s="45">
        <f t="shared" si="2839"/>
        <v>0</v>
      </c>
      <c r="CS223" s="45">
        <f t="shared" si="2839"/>
        <v>0</v>
      </c>
      <c r="CT223" s="45">
        <f t="shared" si="2839"/>
        <v>0</v>
      </c>
      <c r="CU223" s="45">
        <f t="shared" si="2839"/>
        <v>0</v>
      </c>
      <c r="CV223" s="45">
        <f t="shared" si="2839"/>
        <v>0</v>
      </c>
      <c r="CW223" s="45">
        <f t="shared" si="2839"/>
        <v>0</v>
      </c>
      <c r="CX223" s="45">
        <f t="shared" si="2839"/>
        <v>0</v>
      </c>
      <c r="CY223" s="45">
        <f t="shared" si="2839"/>
        <v>0</v>
      </c>
      <c r="CZ223" s="45">
        <f t="shared" si="2839"/>
        <v>0</v>
      </c>
      <c r="DA223" s="45">
        <f t="shared" si="2839"/>
        <v>0</v>
      </c>
      <c r="DB223" s="45">
        <f t="shared" si="2839"/>
        <v>0</v>
      </c>
      <c r="DC223" s="45">
        <f t="shared" si="2839"/>
        <v>0</v>
      </c>
    </row>
    <row r="224" spans="3:107" x14ac:dyDescent="0.3">
      <c r="C224" s="101" t="str">
        <f>++C$28</f>
        <v>Other Expense (Income)</v>
      </c>
      <c r="G224" s="45">
        <f>++G77</f>
        <v>0</v>
      </c>
      <c r="H224" s="45">
        <f t="shared" ref="H224:BS224" si="2840">++H77</f>
        <v>0</v>
      </c>
      <c r="I224" s="45">
        <f t="shared" si="2840"/>
        <v>0</v>
      </c>
      <c r="J224" s="45">
        <f t="shared" si="2840"/>
        <v>0</v>
      </c>
      <c r="K224" s="45">
        <f t="shared" si="2840"/>
        <v>0</v>
      </c>
      <c r="L224" s="45">
        <f t="shared" si="2840"/>
        <v>0</v>
      </c>
      <c r="M224" s="45">
        <f t="shared" si="2840"/>
        <v>0</v>
      </c>
      <c r="N224" s="45">
        <f t="shared" si="2840"/>
        <v>0</v>
      </c>
      <c r="O224" s="45">
        <f t="shared" si="2840"/>
        <v>0</v>
      </c>
      <c r="P224" s="45">
        <f t="shared" si="2840"/>
        <v>0</v>
      </c>
      <c r="Q224" s="45">
        <f t="shared" si="2840"/>
        <v>0</v>
      </c>
      <c r="R224" s="45">
        <f t="shared" si="2840"/>
        <v>0</v>
      </c>
      <c r="S224" s="45">
        <f t="shared" si="2840"/>
        <v>0</v>
      </c>
      <c r="T224" s="45">
        <f t="shared" si="2840"/>
        <v>0</v>
      </c>
      <c r="U224" s="45">
        <f t="shared" si="2840"/>
        <v>0</v>
      </c>
      <c r="V224" s="45">
        <f t="shared" si="2840"/>
        <v>0</v>
      </c>
      <c r="W224" s="45">
        <f t="shared" si="2840"/>
        <v>0</v>
      </c>
      <c r="X224" s="45">
        <f t="shared" si="2840"/>
        <v>0</v>
      </c>
      <c r="Y224" s="45">
        <f t="shared" si="2840"/>
        <v>0</v>
      </c>
      <c r="Z224" s="45">
        <f t="shared" si="2840"/>
        <v>0</v>
      </c>
      <c r="AA224" s="45">
        <f t="shared" si="2840"/>
        <v>0</v>
      </c>
      <c r="AB224" s="45">
        <f t="shared" si="2840"/>
        <v>0</v>
      </c>
      <c r="AC224" s="45">
        <f t="shared" si="2840"/>
        <v>0</v>
      </c>
      <c r="AD224" s="45">
        <f t="shared" si="2840"/>
        <v>0</v>
      </c>
      <c r="AE224" s="45">
        <f t="shared" si="2840"/>
        <v>0</v>
      </c>
      <c r="AF224" s="45">
        <f t="shared" si="2840"/>
        <v>0</v>
      </c>
      <c r="AG224" s="45">
        <f t="shared" si="2840"/>
        <v>0</v>
      </c>
      <c r="AH224" s="45">
        <f t="shared" si="2840"/>
        <v>0</v>
      </c>
      <c r="AI224" s="45">
        <f t="shared" si="2840"/>
        <v>0</v>
      </c>
      <c r="AJ224" s="45">
        <f t="shared" si="2840"/>
        <v>0</v>
      </c>
      <c r="AK224" s="45">
        <f t="shared" si="2840"/>
        <v>0</v>
      </c>
      <c r="AL224" s="45">
        <f t="shared" si="2840"/>
        <v>0</v>
      </c>
      <c r="AM224" s="45">
        <f t="shared" si="2840"/>
        <v>0</v>
      </c>
      <c r="AN224" s="45">
        <f t="shared" si="2840"/>
        <v>0</v>
      </c>
      <c r="AO224" s="45">
        <f t="shared" si="2840"/>
        <v>0</v>
      </c>
      <c r="AP224" s="45">
        <f t="shared" si="2840"/>
        <v>0</v>
      </c>
      <c r="AQ224" s="45">
        <f t="shared" si="2840"/>
        <v>0</v>
      </c>
      <c r="AR224" s="45">
        <f t="shared" si="2840"/>
        <v>0</v>
      </c>
      <c r="AS224" s="45">
        <f t="shared" si="2840"/>
        <v>0</v>
      </c>
      <c r="AT224" s="45">
        <f t="shared" si="2840"/>
        <v>0</v>
      </c>
      <c r="AU224" s="45">
        <f t="shared" si="2840"/>
        <v>0</v>
      </c>
      <c r="AV224" s="45">
        <f t="shared" si="2840"/>
        <v>0</v>
      </c>
      <c r="AW224" s="45">
        <f t="shared" si="2840"/>
        <v>0</v>
      </c>
      <c r="AX224" s="45">
        <f t="shared" si="2840"/>
        <v>0</v>
      </c>
      <c r="AY224" s="45">
        <f t="shared" si="2840"/>
        <v>0</v>
      </c>
      <c r="AZ224" s="45">
        <f t="shared" si="2840"/>
        <v>0</v>
      </c>
      <c r="BA224" s="45">
        <f t="shared" si="2840"/>
        <v>0</v>
      </c>
      <c r="BB224" s="45">
        <f t="shared" si="2840"/>
        <v>0</v>
      </c>
      <c r="BC224" s="45">
        <f t="shared" si="2840"/>
        <v>0</v>
      </c>
      <c r="BD224" s="45">
        <f t="shared" si="2840"/>
        <v>0</v>
      </c>
      <c r="BE224" s="45">
        <f t="shared" si="2840"/>
        <v>0</v>
      </c>
      <c r="BF224" s="45">
        <f t="shared" si="2840"/>
        <v>0</v>
      </c>
      <c r="BG224" s="45">
        <f t="shared" si="2840"/>
        <v>0</v>
      </c>
      <c r="BH224" s="45">
        <f t="shared" si="2840"/>
        <v>0</v>
      </c>
      <c r="BI224" s="45">
        <f t="shared" si="2840"/>
        <v>0</v>
      </c>
      <c r="BJ224" s="45">
        <f t="shared" si="2840"/>
        <v>0</v>
      </c>
      <c r="BK224" s="45">
        <f t="shared" si="2840"/>
        <v>0</v>
      </c>
      <c r="BL224" s="45">
        <f t="shared" si="2840"/>
        <v>0</v>
      </c>
      <c r="BM224" s="45">
        <f t="shared" si="2840"/>
        <v>0</v>
      </c>
      <c r="BN224" s="45">
        <f t="shared" si="2840"/>
        <v>0</v>
      </c>
      <c r="BO224" s="45">
        <f t="shared" si="2840"/>
        <v>0</v>
      </c>
      <c r="BP224" s="45">
        <f t="shared" si="2840"/>
        <v>0</v>
      </c>
      <c r="BQ224" s="45">
        <f t="shared" si="2840"/>
        <v>0</v>
      </c>
      <c r="BR224" s="45">
        <f t="shared" si="2840"/>
        <v>0</v>
      </c>
      <c r="BS224" s="45">
        <f t="shared" si="2840"/>
        <v>0</v>
      </c>
      <c r="BT224" s="45">
        <f t="shared" ref="BT224:DC224" si="2841">++BT77</f>
        <v>0</v>
      </c>
      <c r="BU224" s="45">
        <f t="shared" si="2841"/>
        <v>0</v>
      </c>
      <c r="BV224" s="45">
        <f t="shared" si="2841"/>
        <v>0</v>
      </c>
      <c r="BW224" s="45">
        <f t="shared" si="2841"/>
        <v>0</v>
      </c>
      <c r="BX224" s="45">
        <f t="shared" si="2841"/>
        <v>0</v>
      </c>
      <c r="BY224" s="45">
        <f t="shared" si="2841"/>
        <v>0</v>
      </c>
      <c r="BZ224" s="45">
        <f t="shared" si="2841"/>
        <v>0</v>
      </c>
      <c r="CA224" s="45">
        <f t="shared" si="2841"/>
        <v>0</v>
      </c>
      <c r="CB224" s="45">
        <f t="shared" si="2841"/>
        <v>0</v>
      </c>
      <c r="CC224" s="45">
        <f t="shared" si="2841"/>
        <v>0</v>
      </c>
      <c r="CD224" s="45">
        <f t="shared" si="2841"/>
        <v>0</v>
      </c>
      <c r="CE224" s="45">
        <f t="shared" si="2841"/>
        <v>0</v>
      </c>
      <c r="CF224" s="45">
        <f t="shared" si="2841"/>
        <v>0</v>
      </c>
      <c r="CG224" s="45">
        <f t="shared" si="2841"/>
        <v>0</v>
      </c>
      <c r="CH224" s="45">
        <f t="shared" si="2841"/>
        <v>0</v>
      </c>
      <c r="CI224" s="45">
        <f t="shared" si="2841"/>
        <v>0</v>
      </c>
      <c r="CJ224" s="45">
        <f t="shared" si="2841"/>
        <v>0</v>
      </c>
      <c r="CK224" s="45">
        <f t="shared" si="2841"/>
        <v>0</v>
      </c>
      <c r="CL224" s="45">
        <f t="shared" si="2841"/>
        <v>0</v>
      </c>
      <c r="CM224" s="45">
        <f t="shared" si="2841"/>
        <v>0</v>
      </c>
      <c r="CN224" s="45">
        <f t="shared" si="2841"/>
        <v>0</v>
      </c>
      <c r="CO224" s="45">
        <f t="shared" si="2841"/>
        <v>0</v>
      </c>
      <c r="CP224" s="45">
        <f t="shared" si="2841"/>
        <v>0</v>
      </c>
      <c r="CQ224" s="45">
        <f t="shared" si="2841"/>
        <v>0</v>
      </c>
      <c r="CR224" s="45">
        <f t="shared" si="2841"/>
        <v>0</v>
      </c>
      <c r="CS224" s="45">
        <f t="shared" si="2841"/>
        <v>0</v>
      </c>
      <c r="CT224" s="45">
        <f t="shared" si="2841"/>
        <v>0</v>
      </c>
      <c r="CU224" s="45">
        <f t="shared" si="2841"/>
        <v>0</v>
      </c>
      <c r="CV224" s="45">
        <f t="shared" si="2841"/>
        <v>0</v>
      </c>
      <c r="CW224" s="45">
        <f t="shared" si="2841"/>
        <v>0</v>
      </c>
      <c r="CX224" s="45">
        <f t="shared" si="2841"/>
        <v>0</v>
      </c>
      <c r="CY224" s="45">
        <f t="shared" si="2841"/>
        <v>0</v>
      </c>
      <c r="CZ224" s="45">
        <f t="shared" si="2841"/>
        <v>0</v>
      </c>
      <c r="DA224" s="45">
        <f t="shared" si="2841"/>
        <v>0</v>
      </c>
      <c r="DB224" s="45">
        <f t="shared" si="2841"/>
        <v>0</v>
      </c>
      <c r="DC224" s="45">
        <f t="shared" si="2841"/>
        <v>0</v>
      </c>
    </row>
    <row r="225" spans="3:107" x14ac:dyDescent="0.3">
      <c r="C225" s="231" t="str">
        <f>++C$29</f>
        <v>Pre-Tax Income (Loss)</v>
      </c>
      <c r="D225" s="191"/>
      <c r="E225" s="191"/>
      <c r="G225" s="239">
        <f>++SUM(G229,G232)</f>
        <v>0</v>
      </c>
      <c r="H225" s="232">
        <f t="shared" ref="H225:BS225" si="2842">++SUM(H229,H232)</f>
        <v>0</v>
      </c>
      <c r="I225" s="232">
        <f t="shared" si="2842"/>
        <v>0</v>
      </c>
      <c r="J225" s="232">
        <f t="shared" si="2842"/>
        <v>0</v>
      </c>
      <c r="K225" s="239">
        <f t="shared" si="2842"/>
        <v>0</v>
      </c>
      <c r="L225" s="232">
        <f t="shared" si="2842"/>
        <v>0</v>
      </c>
      <c r="M225" s="232">
        <f t="shared" si="2842"/>
        <v>0</v>
      </c>
      <c r="N225" s="232">
        <f t="shared" si="2842"/>
        <v>0</v>
      </c>
      <c r="O225" s="232">
        <f t="shared" si="2842"/>
        <v>0</v>
      </c>
      <c r="P225" s="232">
        <f t="shared" si="2842"/>
        <v>0</v>
      </c>
      <c r="Q225" s="232">
        <f t="shared" si="2842"/>
        <v>0</v>
      </c>
      <c r="R225" s="232">
        <f t="shared" si="2842"/>
        <v>0</v>
      </c>
      <c r="S225" s="232">
        <f t="shared" si="2842"/>
        <v>0</v>
      </c>
      <c r="T225" s="232">
        <f t="shared" si="2842"/>
        <v>0</v>
      </c>
      <c r="U225" s="232">
        <f t="shared" si="2842"/>
        <v>0</v>
      </c>
      <c r="V225" s="232">
        <f t="shared" si="2842"/>
        <v>0</v>
      </c>
      <c r="W225" s="239">
        <f t="shared" si="2842"/>
        <v>0</v>
      </c>
      <c r="X225" s="232">
        <f t="shared" si="2842"/>
        <v>0</v>
      </c>
      <c r="Y225" s="232">
        <f t="shared" si="2842"/>
        <v>0</v>
      </c>
      <c r="Z225" s="232">
        <f t="shared" si="2842"/>
        <v>0</v>
      </c>
      <c r="AA225" s="232">
        <f t="shared" si="2842"/>
        <v>0</v>
      </c>
      <c r="AB225" s="232">
        <f t="shared" si="2842"/>
        <v>0</v>
      </c>
      <c r="AC225" s="232">
        <f t="shared" si="2842"/>
        <v>0</v>
      </c>
      <c r="AD225" s="232">
        <f t="shared" si="2842"/>
        <v>0</v>
      </c>
      <c r="AE225" s="232">
        <f t="shared" si="2842"/>
        <v>0</v>
      </c>
      <c r="AF225" s="232">
        <f t="shared" si="2842"/>
        <v>0</v>
      </c>
      <c r="AG225" s="232">
        <f t="shared" si="2842"/>
        <v>0</v>
      </c>
      <c r="AH225" s="232">
        <f t="shared" si="2842"/>
        <v>0</v>
      </c>
      <c r="AI225" s="239">
        <f t="shared" si="2842"/>
        <v>0</v>
      </c>
      <c r="AJ225" s="232">
        <f t="shared" si="2842"/>
        <v>0</v>
      </c>
      <c r="AK225" s="232">
        <f t="shared" si="2842"/>
        <v>0</v>
      </c>
      <c r="AL225" s="232">
        <f t="shared" si="2842"/>
        <v>0</v>
      </c>
      <c r="AM225" s="232">
        <f t="shared" si="2842"/>
        <v>0</v>
      </c>
      <c r="AN225" s="232">
        <f t="shared" si="2842"/>
        <v>0</v>
      </c>
      <c r="AO225" s="232">
        <f t="shared" si="2842"/>
        <v>0</v>
      </c>
      <c r="AP225" s="232">
        <f t="shared" si="2842"/>
        <v>0</v>
      </c>
      <c r="AQ225" s="232">
        <f t="shared" si="2842"/>
        <v>0</v>
      </c>
      <c r="AR225" s="232">
        <f t="shared" si="2842"/>
        <v>0</v>
      </c>
      <c r="AS225" s="232">
        <f t="shared" si="2842"/>
        <v>0</v>
      </c>
      <c r="AT225" s="232">
        <f t="shared" si="2842"/>
        <v>0</v>
      </c>
      <c r="AU225" s="239">
        <f t="shared" si="2842"/>
        <v>0</v>
      </c>
      <c r="AV225" s="232">
        <f t="shared" si="2842"/>
        <v>0</v>
      </c>
      <c r="AW225" s="232">
        <f t="shared" si="2842"/>
        <v>0</v>
      </c>
      <c r="AX225" s="232">
        <f t="shared" si="2842"/>
        <v>0</v>
      </c>
      <c r="AY225" s="232">
        <f t="shared" si="2842"/>
        <v>0</v>
      </c>
      <c r="AZ225" s="232">
        <f t="shared" si="2842"/>
        <v>0</v>
      </c>
      <c r="BA225" s="232">
        <f t="shared" si="2842"/>
        <v>0</v>
      </c>
      <c r="BB225" s="232">
        <f t="shared" si="2842"/>
        <v>0</v>
      </c>
      <c r="BC225" s="232">
        <f t="shared" si="2842"/>
        <v>0</v>
      </c>
      <c r="BD225" s="232">
        <f t="shared" si="2842"/>
        <v>0</v>
      </c>
      <c r="BE225" s="232">
        <f t="shared" si="2842"/>
        <v>0</v>
      </c>
      <c r="BF225" s="232">
        <f t="shared" si="2842"/>
        <v>0</v>
      </c>
      <c r="BG225" s="239">
        <f t="shared" si="2842"/>
        <v>0</v>
      </c>
      <c r="BH225" s="232">
        <f t="shared" si="2842"/>
        <v>0</v>
      </c>
      <c r="BI225" s="232">
        <f t="shared" si="2842"/>
        <v>0</v>
      </c>
      <c r="BJ225" s="232">
        <f t="shared" si="2842"/>
        <v>0</v>
      </c>
      <c r="BK225" s="232">
        <f t="shared" si="2842"/>
        <v>0</v>
      </c>
      <c r="BL225" s="232">
        <f t="shared" si="2842"/>
        <v>0</v>
      </c>
      <c r="BM225" s="232">
        <f t="shared" si="2842"/>
        <v>0</v>
      </c>
      <c r="BN225" s="232">
        <f t="shared" si="2842"/>
        <v>0</v>
      </c>
      <c r="BO225" s="232">
        <f t="shared" si="2842"/>
        <v>0</v>
      </c>
      <c r="BP225" s="232">
        <f t="shared" si="2842"/>
        <v>0</v>
      </c>
      <c r="BQ225" s="232">
        <f t="shared" si="2842"/>
        <v>0</v>
      </c>
      <c r="BR225" s="232">
        <f t="shared" si="2842"/>
        <v>0</v>
      </c>
      <c r="BS225" s="239">
        <f t="shared" si="2842"/>
        <v>0</v>
      </c>
      <c r="BT225" s="232">
        <f t="shared" ref="BT225:DC225" si="2843">++SUM(BT229,BT232)</f>
        <v>0</v>
      </c>
      <c r="BU225" s="232">
        <f t="shared" si="2843"/>
        <v>0</v>
      </c>
      <c r="BV225" s="232">
        <f t="shared" si="2843"/>
        <v>0</v>
      </c>
      <c r="BW225" s="232">
        <f t="shared" si="2843"/>
        <v>0</v>
      </c>
      <c r="BX225" s="232">
        <f t="shared" si="2843"/>
        <v>0</v>
      </c>
      <c r="BY225" s="232">
        <f t="shared" si="2843"/>
        <v>0</v>
      </c>
      <c r="BZ225" s="232">
        <f t="shared" si="2843"/>
        <v>0</v>
      </c>
      <c r="CA225" s="232">
        <f t="shared" si="2843"/>
        <v>0</v>
      </c>
      <c r="CB225" s="232">
        <f t="shared" si="2843"/>
        <v>0</v>
      </c>
      <c r="CC225" s="232">
        <f t="shared" si="2843"/>
        <v>0</v>
      </c>
      <c r="CD225" s="232">
        <f t="shared" si="2843"/>
        <v>0</v>
      </c>
      <c r="CE225" s="239">
        <f t="shared" si="2843"/>
        <v>0</v>
      </c>
      <c r="CF225" s="232">
        <f t="shared" si="2843"/>
        <v>0</v>
      </c>
      <c r="CG225" s="232">
        <f t="shared" si="2843"/>
        <v>0</v>
      </c>
      <c r="CH225" s="232">
        <f t="shared" si="2843"/>
        <v>0</v>
      </c>
      <c r="CI225" s="232">
        <f t="shared" si="2843"/>
        <v>0</v>
      </c>
      <c r="CJ225" s="232">
        <f t="shared" si="2843"/>
        <v>0</v>
      </c>
      <c r="CK225" s="232">
        <f t="shared" si="2843"/>
        <v>0</v>
      </c>
      <c r="CL225" s="232">
        <f t="shared" si="2843"/>
        <v>0</v>
      </c>
      <c r="CM225" s="232">
        <f t="shared" si="2843"/>
        <v>0</v>
      </c>
      <c r="CN225" s="232">
        <f t="shared" si="2843"/>
        <v>0</v>
      </c>
      <c r="CO225" s="232">
        <f t="shared" si="2843"/>
        <v>0</v>
      </c>
      <c r="CP225" s="232">
        <f t="shared" si="2843"/>
        <v>0</v>
      </c>
      <c r="CQ225" s="239">
        <f t="shared" si="2843"/>
        <v>0</v>
      </c>
      <c r="CR225" s="232">
        <f t="shared" si="2843"/>
        <v>0</v>
      </c>
      <c r="CS225" s="232">
        <f t="shared" si="2843"/>
        <v>0</v>
      </c>
      <c r="CT225" s="232">
        <f t="shared" si="2843"/>
        <v>0</v>
      </c>
      <c r="CU225" s="232">
        <f t="shared" si="2843"/>
        <v>0</v>
      </c>
      <c r="CV225" s="232">
        <f t="shared" si="2843"/>
        <v>0</v>
      </c>
      <c r="CW225" s="232">
        <f t="shared" si="2843"/>
        <v>0</v>
      </c>
      <c r="CX225" s="232">
        <f t="shared" si="2843"/>
        <v>0</v>
      </c>
      <c r="CY225" s="232">
        <f t="shared" si="2843"/>
        <v>0</v>
      </c>
      <c r="CZ225" s="232">
        <f t="shared" si="2843"/>
        <v>0</v>
      </c>
      <c r="DA225" s="232">
        <f t="shared" si="2843"/>
        <v>0</v>
      </c>
      <c r="DB225" s="232">
        <f t="shared" si="2843"/>
        <v>0</v>
      </c>
      <c r="DC225" s="239">
        <f t="shared" si="2843"/>
        <v>0</v>
      </c>
    </row>
    <row r="226" spans="3:107" x14ac:dyDescent="0.3">
      <c r="C226" s="321" t="str">
        <f>++C$30</f>
        <v>% margin</v>
      </c>
      <c r="G226" s="214" t="str">
        <f>++IFERROR(G225/G206,"n/a")</f>
        <v>n/a</v>
      </c>
      <c r="H226" s="225" t="str">
        <f t="shared" ref="H226" si="2844">++IFERROR(H225/H206,"n/a")</f>
        <v>n/a</v>
      </c>
      <c r="I226" s="225" t="str">
        <f t="shared" ref="I226" si="2845">++IFERROR(I225/I206,"n/a")</f>
        <v>n/a</v>
      </c>
      <c r="J226" s="225" t="str">
        <f t="shared" ref="J226" si="2846">++IFERROR(J225/J206,"n/a")</f>
        <v>n/a</v>
      </c>
      <c r="K226" s="214" t="str">
        <f t="shared" ref="K226" si="2847">++IFERROR(K225/K206,"n/a")</f>
        <v>n/a</v>
      </c>
      <c r="L226" s="225" t="str">
        <f t="shared" ref="L226" si="2848">++IFERROR(L225/L206,"n/a")</f>
        <v>n/a</v>
      </c>
      <c r="M226" s="225" t="str">
        <f t="shared" ref="M226" si="2849">++IFERROR(M225/M206,"n/a")</f>
        <v>n/a</v>
      </c>
      <c r="N226" s="225" t="str">
        <f t="shared" ref="N226" si="2850">++IFERROR(N225/N206,"n/a")</f>
        <v>n/a</v>
      </c>
      <c r="O226" s="225" t="str">
        <f t="shared" ref="O226" si="2851">++IFERROR(O225/O206,"n/a")</f>
        <v>n/a</v>
      </c>
      <c r="P226" s="225" t="str">
        <f t="shared" ref="P226" si="2852">++IFERROR(P225/P206,"n/a")</f>
        <v>n/a</v>
      </c>
      <c r="Q226" s="225" t="str">
        <f t="shared" ref="Q226" si="2853">++IFERROR(Q225/Q206,"n/a")</f>
        <v>n/a</v>
      </c>
      <c r="R226" s="225" t="str">
        <f t="shared" ref="R226" si="2854">++IFERROR(R225/R206,"n/a")</f>
        <v>n/a</v>
      </c>
      <c r="S226" s="225" t="str">
        <f t="shared" ref="S226" si="2855">++IFERROR(S225/S206,"n/a")</f>
        <v>n/a</v>
      </c>
      <c r="T226" s="225" t="str">
        <f t="shared" ref="T226" si="2856">++IFERROR(T225/T206,"n/a")</f>
        <v>n/a</v>
      </c>
      <c r="U226" s="225" t="str">
        <f t="shared" ref="U226" si="2857">++IFERROR(U225/U206,"n/a")</f>
        <v>n/a</v>
      </c>
      <c r="V226" s="225" t="str">
        <f t="shared" ref="V226" si="2858">++IFERROR(V225/V206,"n/a")</f>
        <v>n/a</v>
      </c>
      <c r="W226" s="214" t="str">
        <f t="shared" ref="W226" si="2859">++IFERROR(W225/W206,"n/a")</f>
        <v>n/a</v>
      </c>
      <c r="X226" s="225" t="str">
        <f t="shared" ref="X226" si="2860">++IFERROR(X225/X206,"n/a")</f>
        <v>n/a</v>
      </c>
      <c r="Y226" s="225" t="str">
        <f t="shared" ref="Y226" si="2861">++IFERROR(Y225/Y206,"n/a")</f>
        <v>n/a</v>
      </c>
      <c r="Z226" s="225" t="str">
        <f t="shared" ref="Z226" si="2862">++IFERROR(Z225/Z206,"n/a")</f>
        <v>n/a</v>
      </c>
      <c r="AA226" s="225" t="str">
        <f t="shared" ref="AA226" si="2863">++IFERROR(AA225/AA206,"n/a")</f>
        <v>n/a</v>
      </c>
      <c r="AB226" s="225" t="str">
        <f t="shared" ref="AB226" si="2864">++IFERROR(AB225/AB206,"n/a")</f>
        <v>n/a</v>
      </c>
      <c r="AC226" s="225" t="str">
        <f t="shared" ref="AC226" si="2865">++IFERROR(AC225/AC206,"n/a")</f>
        <v>n/a</v>
      </c>
      <c r="AD226" s="225" t="str">
        <f t="shared" ref="AD226" si="2866">++IFERROR(AD225/AD206,"n/a")</f>
        <v>n/a</v>
      </c>
      <c r="AE226" s="225" t="str">
        <f t="shared" ref="AE226" si="2867">++IFERROR(AE225/AE206,"n/a")</f>
        <v>n/a</v>
      </c>
      <c r="AF226" s="225" t="str">
        <f t="shared" ref="AF226" si="2868">++IFERROR(AF225/AF206,"n/a")</f>
        <v>n/a</v>
      </c>
      <c r="AG226" s="225" t="str">
        <f t="shared" ref="AG226" si="2869">++IFERROR(AG225/AG206,"n/a")</f>
        <v>n/a</v>
      </c>
      <c r="AH226" s="225" t="str">
        <f t="shared" ref="AH226" si="2870">++IFERROR(AH225/AH206,"n/a")</f>
        <v>n/a</v>
      </c>
      <c r="AI226" s="214" t="str">
        <f t="shared" ref="AI226" si="2871">++IFERROR(AI225/AI206,"n/a")</f>
        <v>n/a</v>
      </c>
      <c r="AJ226" s="225" t="str">
        <f t="shared" ref="AJ226" si="2872">++IFERROR(AJ225/AJ206,"n/a")</f>
        <v>n/a</v>
      </c>
      <c r="AK226" s="225" t="str">
        <f t="shared" ref="AK226" si="2873">++IFERROR(AK225/AK206,"n/a")</f>
        <v>n/a</v>
      </c>
      <c r="AL226" s="225" t="str">
        <f t="shared" ref="AL226" si="2874">++IFERROR(AL225/AL206,"n/a")</f>
        <v>n/a</v>
      </c>
      <c r="AM226" s="225" t="str">
        <f t="shared" ref="AM226" si="2875">++IFERROR(AM225/AM206,"n/a")</f>
        <v>n/a</v>
      </c>
      <c r="AN226" s="225" t="str">
        <f t="shared" ref="AN226" si="2876">++IFERROR(AN225/AN206,"n/a")</f>
        <v>n/a</v>
      </c>
      <c r="AO226" s="225" t="str">
        <f t="shared" ref="AO226" si="2877">++IFERROR(AO225/AO206,"n/a")</f>
        <v>n/a</v>
      </c>
      <c r="AP226" s="225" t="str">
        <f t="shared" ref="AP226" si="2878">++IFERROR(AP225/AP206,"n/a")</f>
        <v>n/a</v>
      </c>
      <c r="AQ226" s="225" t="str">
        <f t="shared" ref="AQ226" si="2879">++IFERROR(AQ225/AQ206,"n/a")</f>
        <v>n/a</v>
      </c>
      <c r="AR226" s="225" t="str">
        <f t="shared" ref="AR226" si="2880">++IFERROR(AR225/AR206,"n/a")</f>
        <v>n/a</v>
      </c>
      <c r="AS226" s="225" t="str">
        <f t="shared" ref="AS226" si="2881">++IFERROR(AS225/AS206,"n/a")</f>
        <v>n/a</v>
      </c>
      <c r="AT226" s="225" t="str">
        <f t="shared" ref="AT226" si="2882">++IFERROR(AT225/AT206,"n/a")</f>
        <v>n/a</v>
      </c>
      <c r="AU226" s="214" t="str">
        <f t="shared" ref="AU226" si="2883">++IFERROR(AU225/AU206,"n/a")</f>
        <v>n/a</v>
      </c>
      <c r="AV226" s="225" t="str">
        <f t="shared" ref="AV226" si="2884">++IFERROR(AV225/AV206,"n/a")</f>
        <v>n/a</v>
      </c>
      <c r="AW226" s="225" t="str">
        <f t="shared" ref="AW226" si="2885">++IFERROR(AW225/AW206,"n/a")</f>
        <v>n/a</v>
      </c>
      <c r="AX226" s="225" t="str">
        <f t="shared" ref="AX226" si="2886">++IFERROR(AX225/AX206,"n/a")</f>
        <v>n/a</v>
      </c>
      <c r="AY226" s="225" t="str">
        <f t="shared" ref="AY226" si="2887">++IFERROR(AY225/AY206,"n/a")</f>
        <v>n/a</v>
      </c>
      <c r="AZ226" s="225" t="str">
        <f t="shared" ref="AZ226" si="2888">++IFERROR(AZ225/AZ206,"n/a")</f>
        <v>n/a</v>
      </c>
      <c r="BA226" s="225" t="str">
        <f t="shared" ref="BA226" si="2889">++IFERROR(BA225/BA206,"n/a")</f>
        <v>n/a</v>
      </c>
      <c r="BB226" s="225" t="str">
        <f t="shared" ref="BB226" si="2890">++IFERROR(BB225/BB206,"n/a")</f>
        <v>n/a</v>
      </c>
      <c r="BC226" s="225" t="str">
        <f t="shared" ref="BC226" si="2891">++IFERROR(BC225/BC206,"n/a")</f>
        <v>n/a</v>
      </c>
      <c r="BD226" s="225" t="str">
        <f t="shared" ref="BD226" si="2892">++IFERROR(BD225/BD206,"n/a")</f>
        <v>n/a</v>
      </c>
      <c r="BE226" s="225" t="str">
        <f t="shared" ref="BE226" si="2893">++IFERROR(BE225/BE206,"n/a")</f>
        <v>n/a</v>
      </c>
      <c r="BF226" s="225" t="str">
        <f t="shared" ref="BF226" si="2894">++IFERROR(BF225/BF206,"n/a")</f>
        <v>n/a</v>
      </c>
      <c r="BG226" s="214" t="str">
        <f t="shared" ref="BG226" si="2895">++IFERROR(BG225/BG206,"n/a")</f>
        <v>n/a</v>
      </c>
      <c r="BH226" s="225" t="str">
        <f t="shared" ref="BH226" si="2896">++IFERROR(BH225/BH206,"n/a")</f>
        <v>n/a</v>
      </c>
      <c r="BI226" s="225" t="str">
        <f t="shared" ref="BI226" si="2897">++IFERROR(BI225/BI206,"n/a")</f>
        <v>n/a</v>
      </c>
      <c r="BJ226" s="225" t="str">
        <f t="shared" ref="BJ226" si="2898">++IFERROR(BJ225/BJ206,"n/a")</f>
        <v>n/a</v>
      </c>
      <c r="BK226" s="225" t="str">
        <f t="shared" ref="BK226" si="2899">++IFERROR(BK225/BK206,"n/a")</f>
        <v>n/a</v>
      </c>
      <c r="BL226" s="225" t="str">
        <f t="shared" ref="BL226" si="2900">++IFERROR(BL225/BL206,"n/a")</f>
        <v>n/a</v>
      </c>
      <c r="BM226" s="225" t="str">
        <f t="shared" ref="BM226" si="2901">++IFERROR(BM225/BM206,"n/a")</f>
        <v>n/a</v>
      </c>
      <c r="BN226" s="225" t="str">
        <f t="shared" ref="BN226" si="2902">++IFERROR(BN225/BN206,"n/a")</f>
        <v>n/a</v>
      </c>
      <c r="BO226" s="225" t="str">
        <f t="shared" ref="BO226" si="2903">++IFERROR(BO225/BO206,"n/a")</f>
        <v>n/a</v>
      </c>
      <c r="BP226" s="225" t="str">
        <f t="shared" ref="BP226" si="2904">++IFERROR(BP225/BP206,"n/a")</f>
        <v>n/a</v>
      </c>
      <c r="BQ226" s="225" t="str">
        <f t="shared" ref="BQ226" si="2905">++IFERROR(BQ225/BQ206,"n/a")</f>
        <v>n/a</v>
      </c>
      <c r="BR226" s="225" t="str">
        <f t="shared" ref="BR226" si="2906">++IFERROR(BR225/BR206,"n/a")</f>
        <v>n/a</v>
      </c>
      <c r="BS226" s="214" t="str">
        <f t="shared" ref="BS226" si="2907">++IFERROR(BS225/BS206,"n/a")</f>
        <v>n/a</v>
      </c>
      <c r="BT226" s="225" t="str">
        <f t="shared" ref="BT226" si="2908">++IFERROR(BT225/BT206,"n/a")</f>
        <v>n/a</v>
      </c>
      <c r="BU226" s="225" t="str">
        <f t="shared" ref="BU226" si="2909">++IFERROR(BU225/BU206,"n/a")</f>
        <v>n/a</v>
      </c>
      <c r="BV226" s="225" t="str">
        <f t="shared" ref="BV226" si="2910">++IFERROR(BV225/BV206,"n/a")</f>
        <v>n/a</v>
      </c>
      <c r="BW226" s="225" t="str">
        <f t="shared" ref="BW226" si="2911">++IFERROR(BW225/BW206,"n/a")</f>
        <v>n/a</v>
      </c>
      <c r="BX226" s="225" t="str">
        <f t="shared" ref="BX226" si="2912">++IFERROR(BX225/BX206,"n/a")</f>
        <v>n/a</v>
      </c>
      <c r="BY226" s="225" t="str">
        <f t="shared" ref="BY226" si="2913">++IFERROR(BY225/BY206,"n/a")</f>
        <v>n/a</v>
      </c>
      <c r="BZ226" s="225" t="str">
        <f t="shared" ref="BZ226" si="2914">++IFERROR(BZ225/BZ206,"n/a")</f>
        <v>n/a</v>
      </c>
      <c r="CA226" s="225" t="str">
        <f t="shared" ref="CA226" si="2915">++IFERROR(CA225/CA206,"n/a")</f>
        <v>n/a</v>
      </c>
      <c r="CB226" s="225" t="str">
        <f t="shared" ref="CB226" si="2916">++IFERROR(CB225/CB206,"n/a")</f>
        <v>n/a</v>
      </c>
      <c r="CC226" s="225" t="str">
        <f t="shared" ref="CC226" si="2917">++IFERROR(CC225/CC206,"n/a")</f>
        <v>n/a</v>
      </c>
      <c r="CD226" s="225" t="str">
        <f t="shared" ref="CD226" si="2918">++IFERROR(CD225/CD206,"n/a")</f>
        <v>n/a</v>
      </c>
      <c r="CE226" s="214" t="str">
        <f t="shared" ref="CE226" si="2919">++IFERROR(CE225/CE206,"n/a")</f>
        <v>n/a</v>
      </c>
      <c r="CF226" s="225" t="str">
        <f t="shared" ref="CF226" si="2920">++IFERROR(CF225/CF206,"n/a")</f>
        <v>n/a</v>
      </c>
      <c r="CG226" s="225" t="str">
        <f t="shared" ref="CG226" si="2921">++IFERROR(CG225/CG206,"n/a")</f>
        <v>n/a</v>
      </c>
      <c r="CH226" s="225" t="str">
        <f t="shared" ref="CH226" si="2922">++IFERROR(CH225/CH206,"n/a")</f>
        <v>n/a</v>
      </c>
      <c r="CI226" s="225" t="str">
        <f t="shared" ref="CI226" si="2923">++IFERROR(CI225/CI206,"n/a")</f>
        <v>n/a</v>
      </c>
      <c r="CJ226" s="225" t="str">
        <f t="shared" ref="CJ226" si="2924">++IFERROR(CJ225/CJ206,"n/a")</f>
        <v>n/a</v>
      </c>
      <c r="CK226" s="225" t="str">
        <f t="shared" ref="CK226" si="2925">++IFERROR(CK225/CK206,"n/a")</f>
        <v>n/a</v>
      </c>
      <c r="CL226" s="225" t="str">
        <f t="shared" ref="CL226" si="2926">++IFERROR(CL225/CL206,"n/a")</f>
        <v>n/a</v>
      </c>
      <c r="CM226" s="225" t="str">
        <f t="shared" ref="CM226" si="2927">++IFERROR(CM225/CM206,"n/a")</f>
        <v>n/a</v>
      </c>
      <c r="CN226" s="225" t="str">
        <f t="shared" ref="CN226" si="2928">++IFERROR(CN225/CN206,"n/a")</f>
        <v>n/a</v>
      </c>
      <c r="CO226" s="225" t="str">
        <f t="shared" ref="CO226" si="2929">++IFERROR(CO225/CO206,"n/a")</f>
        <v>n/a</v>
      </c>
      <c r="CP226" s="225" t="str">
        <f t="shared" ref="CP226" si="2930">++IFERROR(CP225/CP206,"n/a")</f>
        <v>n/a</v>
      </c>
      <c r="CQ226" s="214" t="str">
        <f t="shared" ref="CQ226" si="2931">++IFERROR(CQ225/CQ206,"n/a")</f>
        <v>n/a</v>
      </c>
      <c r="CR226" s="225" t="str">
        <f t="shared" ref="CR226" si="2932">++IFERROR(CR225/CR206,"n/a")</f>
        <v>n/a</v>
      </c>
      <c r="CS226" s="225" t="str">
        <f t="shared" ref="CS226" si="2933">++IFERROR(CS225/CS206,"n/a")</f>
        <v>n/a</v>
      </c>
      <c r="CT226" s="225" t="str">
        <f t="shared" ref="CT226" si="2934">++IFERROR(CT225/CT206,"n/a")</f>
        <v>n/a</v>
      </c>
      <c r="CU226" s="225" t="str">
        <f t="shared" ref="CU226" si="2935">++IFERROR(CU225/CU206,"n/a")</f>
        <v>n/a</v>
      </c>
      <c r="CV226" s="225" t="str">
        <f t="shared" ref="CV226" si="2936">++IFERROR(CV225/CV206,"n/a")</f>
        <v>n/a</v>
      </c>
      <c r="CW226" s="225" t="str">
        <f t="shared" ref="CW226" si="2937">++IFERROR(CW225/CW206,"n/a")</f>
        <v>n/a</v>
      </c>
      <c r="CX226" s="225" t="str">
        <f t="shared" ref="CX226" si="2938">++IFERROR(CX225/CX206,"n/a")</f>
        <v>n/a</v>
      </c>
      <c r="CY226" s="225" t="str">
        <f t="shared" ref="CY226" si="2939">++IFERROR(CY225/CY206,"n/a")</f>
        <v>n/a</v>
      </c>
      <c r="CZ226" s="225" t="str">
        <f t="shared" ref="CZ226" si="2940">++IFERROR(CZ225/CZ206,"n/a")</f>
        <v>n/a</v>
      </c>
      <c r="DA226" s="225" t="str">
        <f t="shared" ref="DA226" si="2941">++IFERROR(DA225/DA206,"n/a")</f>
        <v>n/a</v>
      </c>
      <c r="DB226" s="225" t="str">
        <f t="shared" ref="DB226" si="2942">++IFERROR(DB225/DB206,"n/a")</f>
        <v>n/a</v>
      </c>
      <c r="DC226" s="214" t="str">
        <f t="shared" ref="DC226" si="2943">++IFERROR(DC225/DC206,"n/a")</f>
        <v>n/a</v>
      </c>
    </row>
    <row r="227" spans="3:107" x14ac:dyDescent="0.3">
      <c r="C227" s="321" t="str">
        <f>++C$31</f>
        <v>% y/y</v>
      </c>
      <c r="G227" s="122" t="s">
        <v>47</v>
      </c>
      <c r="H227" s="122" t="s">
        <v>47</v>
      </c>
      <c r="I227" s="122" t="s">
        <v>47</v>
      </c>
      <c r="J227" s="122" t="s">
        <v>47</v>
      </c>
      <c r="K227" s="214" t="str">
        <f>++IFERROR(K225/G225-1,"n/a")</f>
        <v>n/a</v>
      </c>
      <c r="L227" s="122" t="s">
        <v>47</v>
      </c>
      <c r="M227" s="122" t="s">
        <v>47</v>
      </c>
      <c r="N227" s="225" t="str">
        <f>++IFERROR(N225/H225-1,"n/a")</f>
        <v>n/a</v>
      </c>
      <c r="O227" s="122" t="s">
        <v>47</v>
      </c>
      <c r="P227" s="122" t="s">
        <v>47</v>
      </c>
      <c r="Q227" s="225" t="str">
        <f>++IFERROR(Q225/I225-1,"n/a")</f>
        <v>n/a</v>
      </c>
      <c r="R227" s="122" t="s">
        <v>47</v>
      </c>
      <c r="S227" s="122" t="s">
        <v>47</v>
      </c>
      <c r="T227" s="225" t="str">
        <f>++IFERROR(T225/J225-1,"n/a")</f>
        <v>n/a</v>
      </c>
      <c r="U227" s="122" t="s">
        <v>47</v>
      </c>
      <c r="V227" s="122" t="s">
        <v>47</v>
      </c>
      <c r="W227" s="214" t="str">
        <f t="shared" ref="W227:BB227" si="2944">++IFERROR(W225/K225-1,"n/a")</f>
        <v>n/a</v>
      </c>
      <c r="X227" s="225" t="str">
        <f t="shared" si="2944"/>
        <v>n/a</v>
      </c>
      <c r="Y227" s="225" t="str">
        <f t="shared" si="2944"/>
        <v>n/a</v>
      </c>
      <c r="Z227" s="225" t="str">
        <f t="shared" si="2944"/>
        <v>n/a</v>
      </c>
      <c r="AA227" s="225" t="str">
        <f t="shared" si="2944"/>
        <v>n/a</v>
      </c>
      <c r="AB227" s="225" t="str">
        <f t="shared" si="2944"/>
        <v>n/a</v>
      </c>
      <c r="AC227" s="225" t="str">
        <f t="shared" si="2944"/>
        <v>n/a</v>
      </c>
      <c r="AD227" s="225" t="str">
        <f t="shared" si="2944"/>
        <v>n/a</v>
      </c>
      <c r="AE227" s="225" t="str">
        <f t="shared" si="2944"/>
        <v>n/a</v>
      </c>
      <c r="AF227" s="225" t="str">
        <f t="shared" si="2944"/>
        <v>n/a</v>
      </c>
      <c r="AG227" s="225" t="str">
        <f t="shared" si="2944"/>
        <v>n/a</v>
      </c>
      <c r="AH227" s="225" t="str">
        <f t="shared" si="2944"/>
        <v>n/a</v>
      </c>
      <c r="AI227" s="214" t="str">
        <f t="shared" si="2944"/>
        <v>n/a</v>
      </c>
      <c r="AJ227" s="225" t="str">
        <f t="shared" si="2944"/>
        <v>n/a</v>
      </c>
      <c r="AK227" s="225" t="str">
        <f t="shared" si="2944"/>
        <v>n/a</v>
      </c>
      <c r="AL227" s="225" t="str">
        <f t="shared" si="2944"/>
        <v>n/a</v>
      </c>
      <c r="AM227" s="225" t="str">
        <f t="shared" si="2944"/>
        <v>n/a</v>
      </c>
      <c r="AN227" s="225" t="str">
        <f t="shared" si="2944"/>
        <v>n/a</v>
      </c>
      <c r="AO227" s="225" t="str">
        <f t="shared" si="2944"/>
        <v>n/a</v>
      </c>
      <c r="AP227" s="225" t="str">
        <f t="shared" si="2944"/>
        <v>n/a</v>
      </c>
      <c r="AQ227" s="225" t="str">
        <f t="shared" si="2944"/>
        <v>n/a</v>
      </c>
      <c r="AR227" s="225" t="str">
        <f t="shared" si="2944"/>
        <v>n/a</v>
      </c>
      <c r="AS227" s="225" t="str">
        <f t="shared" si="2944"/>
        <v>n/a</v>
      </c>
      <c r="AT227" s="225" t="str">
        <f t="shared" si="2944"/>
        <v>n/a</v>
      </c>
      <c r="AU227" s="214" t="str">
        <f t="shared" si="2944"/>
        <v>n/a</v>
      </c>
      <c r="AV227" s="225" t="str">
        <f t="shared" si="2944"/>
        <v>n/a</v>
      </c>
      <c r="AW227" s="225" t="str">
        <f t="shared" si="2944"/>
        <v>n/a</v>
      </c>
      <c r="AX227" s="225" t="str">
        <f t="shared" si="2944"/>
        <v>n/a</v>
      </c>
      <c r="AY227" s="225" t="str">
        <f t="shared" si="2944"/>
        <v>n/a</v>
      </c>
      <c r="AZ227" s="225" t="str">
        <f t="shared" si="2944"/>
        <v>n/a</v>
      </c>
      <c r="BA227" s="225" t="str">
        <f t="shared" si="2944"/>
        <v>n/a</v>
      </c>
      <c r="BB227" s="225" t="str">
        <f t="shared" si="2944"/>
        <v>n/a</v>
      </c>
      <c r="BC227" s="225" t="str">
        <f t="shared" ref="BC227:CH227" si="2945">++IFERROR(BC225/AQ225-1,"n/a")</f>
        <v>n/a</v>
      </c>
      <c r="BD227" s="225" t="str">
        <f t="shared" si="2945"/>
        <v>n/a</v>
      </c>
      <c r="BE227" s="225" t="str">
        <f t="shared" si="2945"/>
        <v>n/a</v>
      </c>
      <c r="BF227" s="225" t="str">
        <f t="shared" si="2945"/>
        <v>n/a</v>
      </c>
      <c r="BG227" s="214" t="str">
        <f t="shared" si="2945"/>
        <v>n/a</v>
      </c>
      <c r="BH227" s="225" t="str">
        <f t="shared" si="2945"/>
        <v>n/a</v>
      </c>
      <c r="BI227" s="225" t="str">
        <f t="shared" si="2945"/>
        <v>n/a</v>
      </c>
      <c r="BJ227" s="225" t="str">
        <f t="shared" si="2945"/>
        <v>n/a</v>
      </c>
      <c r="BK227" s="225" t="str">
        <f t="shared" si="2945"/>
        <v>n/a</v>
      </c>
      <c r="BL227" s="225" t="str">
        <f t="shared" si="2945"/>
        <v>n/a</v>
      </c>
      <c r="BM227" s="225" t="str">
        <f t="shared" si="2945"/>
        <v>n/a</v>
      </c>
      <c r="BN227" s="225" t="str">
        <f t="shared" si="2945"/>
        <v>n/a</v>
      </c>
      <c r="BO227" s="225" t="str">
        <f t="shared" si="2945"/>
        <v>n/a</v>
      </c>
      <c r="BP227" s="225" t="str">
        <f t="shared" si="2945"/>
        <v>n/a</v>
      </c>
      <c r="BQ227" s="225" t="str">
        <f t="shared" si="2945"/>
        <v>n/a</v>
      </c>
      <c r="BR227" s="225" t="str">
        <f t="shared" si="2945"/>
        <v>n/a</v>
      </c>
      <c r="BS227" s="214" t="str">
        <f t="shared" si="2945"/>
        <v>n/a</v>
      </c>
      <c r="BT227" s="225" t="str">
        <f t="shared" si="2945"/>
        <v>n/a</v>
      </c>
      <c r="BU227" s="225" t="str">
        <f t="shared" si="2945"/>
        <v>n/a</v>
      </c>
      <c r="BV227" s="225" t="str">
        <f t="shared" si="2945"/>
        <v>n/a</v>
      </c>
      <c r="BW227" s="225" t="str">
        <f t="shared" si="2945"/>
        <v>n/a</v>
      </c>
      <c r="BX227" s="225" t="str">
        <f t="shared" si="2945"/>
        <v>n/a</v>
      </c>
      <c r="BY227" s="225" t="str">
        <f t="shared" si="2945"/>
        <v>n/a</v>
      </c>
      <c r="BZ227" s="225" t="str">
        <f t="shared" si="2945"/>
        <v>n/a</v>
      </c>
      <c r="CA227" s="225" t="str">
        <f t="shared" si="2945"/>
        <v>n/a</v>
      </c>
      <c r="CB227" s="225" t="str">
        <f t="shared" si="2945"/>
        <v>n/a</v>
      </c>
      <c r="CC227" s="225" t="str">
        <f t="shared" si="2945"/>
        <v>n/a</v>
      </c>
      <c r="CD227" s="225" t="str">
        <f t="shared" si="2945"/>
        <v>n/a</v>
      </c>
      <c r="CE227" s="214" t="str">
        <f t="shared" si="2945"/>
        <v>n/a</v>
      </c>
      <c r="CF227" s="225" t="str">
        <f t="shared" si="2945"/>
        <v>n/a</v>
      </c>
      <c r="CG227" s="225" t="str">
        <f t="shared" si="2945"/>
        <v>n/a</v>
      </c>
      <c r="CH227" s="225" t="str">
        <f t="shared" si="2945"/>
        <v>n/a</v>
      </c>
      <c r="CI227" s="225" t="str">
        <f t="shared" ref="CI227:DN227" si="2946">++IFERROR(CI225/BW225-1,"n/a")</f>
        <v>n/a</v>
      </c>
      <c r="CJ227" s="225" t="str">
        <f t="shared" si="2946"/>
        <v>n/a</v>
      </c>
      <c r="CK227" s="225" t="str">
        <f t="shared" si="2946"/>
        <v>n/a</v>
      </c>
      <c r="CL227" s="225" t="str">
        <f t="shared" si="2946"/>
        <v>n/a</v>
      </c>
      <c r="CM227" s="225" t="str">
        <f t="shared" si="2946"/>
        <v>n/a</v>
      </c>
      <c r="CN227" s="225" t="str">
        <f t="shared" si="2946"/>
        <v>n/a</v>
      </c>
      <c r="CO227" s="225" t="str">
        <f t="shared" si="2946"/>
        <v>n/a</v>
      </c>
      <c r="CP227" s="225" t="str">
        <f t="shared" si="2946"/>
        <v>n/a</v>
      </c>
      <c r="CQ227" s="214" t="str">
        <f t="shared" si="2946"/>
        <v>n/a</v>
      </c>
      <c r="CR227" s="225" t="str">
        <f t="shared" si="2946"/>
        <v>n/a</v>
      </c>
      <c r="CS227" s="225" t="str">
        <f t="shared" si="2946"/>
        <v>n/a</v>
      </c>
      <c r="CT227" s="225" t="str">
        <f t="shared" si="2946"/>
        <v>n/a</v>
      </c>
      <c r="CU227" s="225" t="str">
        <f t="shared" si="2946"/>
        <v>n/a</v>
      </c>
      <c r="CV227" s="225" t="str">
        <f t="shared" si="2946"/>
        <v>n/a</v>
      </c>
      <c r="CW227" s="225" t="str">
        <f t="shared" si="2946"/>
        <v>n/a</v>
      </c>
      <c r="CX227" s="225" t="str">
        <f t="shared" si="2946"/>
        <v>n/a</v>
      </c>
      <c r="CY227" s="225" t="str">
        <f t="shared" si="2946"/>
        <v>n/a</v>
      </c>
      <c r="CZ227" s="225" t="str">
        <f t="shared" si="2946"/>
        <v>n/a</v>
      </c>
      <c r="DA227" s="225" t="str">
        <f t="shared" si="2946"/>
        <v>n/a</v>
      </c>
      <c r="DB227" s="225" t="str">
        <f t="shared" si="2946"/>
        <v>n/a</v>
      </c>
      <c r="DC227" s="214" t="str">
        <f t="shared" si="2946"/>
        <v>n/a</v>
      </c>
    </row>
    <row r="228" spans="3:107" x14ac:dyDescent="0.3">
      <c r="G228" s="203"/>
      <c r="K228" s="203"/>
      <c r="W228" s="203"/>
      <c r="AI228" s="203"/>
      <c r="AU228" s="203"/>
      <c r="BG228" s="203"/>
      <c r="BS228" s="203"/>
      <c r="CE228" s="203"/>
      <c r="CQ228" s="203"/>
      <c r="DC228" s="203"/>
    </row>
    <row r="229" spans="3:107" x14ac:dyDescent="0.3">
      <c r="C229" s="101" t="str">
        <f>++C$33</f>
        <v>Tax Expense (Benefit)</v>
      </c>
      <c r="G229" s="45">
        <v>0</v>
      </c>
      <c r="H229" s="45">
        <v>0</v>
      </c>
      <c r="I229" s="45">
        <v>0</v>
      </c>
      <c r="J229" s="45">
        <v>0</v>
      </c>
      <c r="K229" s="45">
        <v>0</v>
      </c>
      <c r="L229" s="45">
        <v>0</v>
      </c>
      <c r="M229" s="45">
        <v>0</v>
      </c>
      <c r="N229" s="45">
        <v>0</v>
      </c>
      <c r="O229" s="45">
        <v>0</v>
      </c>
      <c r="P229" s="45">
        <v>0</v>
      </c>
      <c r="Q229" s="45">
        <v>0</v>
      </c>
      <c r="R229" s="45">
        <v>0</v>
      </c>
      <c r="S229" s="45">
        <v>0</v>
      </c>
      <c r="T229" s="45">
        <v>0</v>
      </c>
      <c r="U229" s="45">
        <v>0</v>
      </c>
      <c r="V229" s="45">
        <v>0</v>
      </c>
      <c r="W229" s="45">
        <v>0</v>
      </c>
      <c r="X229" s="45">
        <v>0</v>
      </c>
      <c r="Y229" s="45">
        <v>0</v>
      </c>
      <c r="Z229" s="45">
        <v>0</v>
      </c>
      <c r="AA229" s="45">
        <v>0</v>
      </c>
      <c r="AB229" s="45">
        <v>0</v>
      </c>
      <c r="AC229" s="45">
        <v>0</v>
      </c>
      <c r="AD229" s="45">
        <v>0</v>
      </c>
      <c r="AE229" s="45">
        <v>0</v>
      </c>
      <c r="AF229" s="45">
        <v>0</v>
      </c>
      <c r="AG229" s="45">
        <v>0</v>
      </c>
      <c r="AH229" s="45">
        <v>0</v>
      </c>
      <c r="AI229" s="45">
        <v>0</v>
      </c>
      <c r="AJ229" s="45">
        <v>0</v>
      </c>
      <c r="AK229" s="45">
        <v>0</v>
      </c>
      <c r="AL229" s="45">
        <v>0</v>
      </c>
      <c r="AM229" s="45">
        <v>0</v>
      </c>
      <c r="AN229" s="45">
        <v>0</v>
      </c>
      <c r="AO229" s="45">
        <v>0</v>
      </c>
      <c r="AP229" s="45">
        <v>0</v>
      </c>
      <c r="AQ229" s="45">
        <v>0</v>
      </c>
      <c r="AR229" s="45">
        <v>0</v>
      </c>
      <c r="AS229" s="45">
        <v>0</v>
      </c>
      <c r="AT229" s="45">
        <v>0</v>
      </c>
      <c r="AU229" s="45">
        <v>0</v>
      </c>
      <c r="AV229" s="45">
        <v>0</v>
      </c>
      <c r="AW229" s="45">
        <v>0</v>
      </c>
      <c r="AX229" s="45">
        <v>0</v>
      </c>
      <c r="AY229" s="45">
        <v>0</v>
      </c>
      <c r="AZ229" s="45">
        <v>0</v>
      </c>
      <c r="BA229" s="45">
        <v>0</v>
      </c>
      <c r="BB229" s="45">
        <v>0</v>
      </c>
      <c r="BC229" s="45">
        <v>0</v>
      </c>
      <c r="BD229" s="45">
        <v>0</v>
      </c>
      <c r="BE229" s="45">
        <v>0</v>
      </c>
      <c r="BF229" s="45">
        <v>0</v>
      </c>
      <c r="BG229" s="45">
        <v>0</v>
      </c>
      <c r="BH229" s="45">
        <v>0</v>
      </c>
      <c r="BI229" s="45">
        <v>0</v>
      </c>
      <c r="BJ229" s="45">
        <v>0</v>
      </c>
      <c r="BK229" s="45">
        <v>0</v>
      </c>
      <c r="BL229" s="45">
        <v>0</v>
      </c>
      <c r="BM229" s="45">
        <v>0</v>
      </c>
      <c r="BN229" s="45">
        <v>0</v>
      </c>
      <c r="BO229" s="45">
        <v>0</v>
      </c>
      <c r="BP229" s="45">
        <v>0</v>
      </c>
      <c r="BQ229" s="45">
        <v>0</v>
      </c>
      <c r="BR229" s="45">
        <v>0</v>
      </c>
      <c r="BS229" s="45">
        <v>0</v>
      </c>
      <c r="BT229" s="45">
        <v>0</v>
      </c>
      <c r="BU229" s="45">
        <v>0</v>
      </c>
      <c r="BV229" s="45">
        <v>0</v>
      </c>
      <c r="BW229" s="45">
        <v>0</v>
      </c>
      <c r="BX229" s="45">
        <v>0</v>
      </c>
      <c r="BY229" s="45">
        <v>0</v>
      </c>
      <c r="BZ229" s="45">
        <v>0</v>
      </c>
      <c r="CA229" s="45">
        <v>0</v>
      </c>
      <c r="CB229" s="45">
        <v>0</v>
      </c>
      <c r="CC229" s="45">
        <v>0</v>
      </c>
      <c r="CD229" s="45">
        <v>0</v>
      </c>
      <c r="CE229" s="45">
        <v>0</v>
      </c>
      <c r="CF229" s="45">
        <v>0</v>
      </c>
      <c r="CG229" s="45">
        <v>0</v>
      </c>
      <c r="CH229" s="45">
        <v>0</v>
      </c>
      <c r="CI229" s="45">
        <v>0</v>
      </c>
      <c r="CJ229" s="45">
        <v>0</v>
      </c>
      <c r="CK229" s="45">
        <v>0</v>
      </c>
      <c r="CL229" s="45">
        <v>0</v>
      </c>
      <c r="CM229" s="45">
        <v>0</v>
      </c>
      <c r="CN229" s="45">
        <v>0</v>
      </c>
      <c r="CO229" s="45">
        <v>0</v>
      </c>
      <c r="CP229" s="45">
        <v>0</v>
      </c>
      <c r="CQ229" s="45">
        <v>0</v>
      </c>
      <c r="CR229" s="45">
        <v>0</v>
      </c>
      <c r="CS229" s="45">
        <v>0</v>
      </c>
      <c r="CT229" s="45">
        <v>0</v>
      </c>
      <c r="CU229" s="45">
        <v>0</v>
      </c>
      <c r="CV229" s="45">
        <v>0</v>
      </c>
      <c r="CW229" s="45">
        <v>0</v>
      </c>
      <c r="CX229" s="45">
        <v>0</v>
      </c>
      <c r="CY229" s="45">
        <v>0</v>
      </c>
      <c r="CZ229" s="45">
        <v>0</v>
      </c>
      <c r="DA229" s="45">
        <v>0</v>
      </c>
      <c r="DB229" s="45">
        <v>0</v>
      </c>
      <c r="DC229" s="45">
        <v>0</v>
      </c>
    </row>
    <row r="230" spans="3:107" x14ac:dyDescent="0.3">
      <c r="C230" s="321" t="str">
        <f>++C$34</f>
        <v>% effective rate</v>
      </c>
      <c r="G230" s="214" t="str">
        <f>++IFERROR(G229/G225,"n/a")</f>
        <v>n/a</v>
      </c>
      <c r="H230" s="225" t="str">
        <f t="shared" ref="H230" si="2947">++IFERROR(H229/H225,"n/a")</f>
        <v>n/a</v>
      </c>
      <c r="I230" s="225" t="str">
        <f t="shared" ref="I230" si="2948">++IFERROR(I229/I225,"n/a")</f>
        <v>n/a</v>
      </c>
      <c r="J230" s="225" t="str">
        <f t="shared" ref="J230" si="2949">++IFERROR(J229/J225,"n/a")</f>
        <v>n/a</v>
      </c>
      <c r="K230" s="214" t="str">
        <f t="shared" ref="K230" si="2950">++IFERROR(K229/K225,"n/a")</f>
        <v>n/a</v>
      </c>
      <c r="L230" s="225" t="str">
        <f t="shared" ref="L230" si="2951">++IFERROR(L229/L225,"n/a")</f>
        <v>n/a</v>
      </c>
      <c r="M230" s="225" t="str">
        <f t="shared" ref="M230" si="2952">++IFERROR(M229/M225,"n/a")</f>
        <v>n/a</v>
      </c>
      <c r="N230" s="225" t="str">
        <f t="shared" ref="N230" si="2953">++IFERROR(N229/N225,"n/a")</f>
        <v>n/a</v>
      </c>
      <c r="O230" s="225" t="str">
        <f t="shared" ref="O230" si="2954">++IFERROR(O229/O225,"n/a")</f>
        <v>n/a</v>
      </c>
      <c r="P230" s="225" t="str">
        <f t="shared" ref="P230" si="2955">++IFERROR(P229/P225,"n/a")</f>
        <v>n/a</v>
      </c>
      <c r="Q230" s="225" t="str">
        <f t="shared" ref="Q230" si="2956">++IFERROR(Q229/Q225,"n/a")</f>
        <v>n/a</v>
      </c>
      <c r="R230" s="225" t="str">
        <f t="shared" ref="R230" si="2957">++IFERROR(R229/R225,"n/a")</f>
        <v>n/a</v>
      </c>
      <c r="S230" s="225" t="str">
        <f t="shared" ref="S230" si="2958">++IFERROR(S229/S225,"n/a")</f>
        <v>n/a</v>
      </c>
      <c r="T230" s="225" t="str">
        <f t="shared" ref="T230" si="2959">++IFERROR(T229/T225,"n/a")</f>
        <v>n/a</v>
      </c>
      <c r="U230" s="225" t="str">
        <f t="shared" ref="U230" si="2960">++IFERROR(U229/U225,"n/a")</f>
        <v>n/a</v>
      </c>
      <c r="V230" s="225" t="str">
        <f t="shared" ref="V230" si="2961">++IFERROR(V229/V225,"n/a")</f>
        <v>n/a</v>
      </c>
      <c r="W230" s="214" t="str">
        <f t="shared" ref="W230" si="2962">++IFERROR(W229/W225,"n/a")</f>
        <v>n/a</v>
      </c>
      <c r="X230" s="225" t="str">
        <f t="shared" ref="X230" si="2963">++IFERROR(X229/X225,"n/a")</f>
        <v>n/a</v>
      </c>
      <c r="Y230" s="225" t="str">
        <f t="shared" ref="Y230" si="2964">++IFERROR(Y229/Y225,"n/a")</f>
        <v>n/a</v>
      </c>
      <c r="Z230" s="225" t="str">
        <f t="shared" ref="Z230" si="2965">++IFERROR(Z229/Z225,"n/a")</f>
        <v>n/a</v>
      </c>
      <c r="AA230" s="225" t="str">
        <f t="shared" ref="AA230" si="2966">++IFERROR(AA229/AA225,"n/a")</f>
        <v>n/a</v>
      </c>
      <c r="AB230" s="225" t="str">
        <f t="shared" ref="AB230" si="2967">++IFERROR(AB229/AB225,"n/a")</f>
        <v>n/a</v>
      </c>
      <c r="AC230" s="225" t="str">
        <f t="shared" ref="AC230" si="2968">++IFERROR(AC229/AC225,"n/a")</f>
        <v>n/a</v>
      </c>
      <c r="AD230" s="225" t="str">
        <f t="shared" ref="AD230" si="2969">++IFERROR(AD229/AD225,"n/a")</f>
        <v>n/a</v>
      </c>
      <c r="AE230" s="225" t="str">
        <f t="shared" ref="AE230" si="2970">++IFERROR(AE229/AE225,"n/a")</f>
        <v>n/a</v>
      </c>
      <c r="AF230" s="225" t="str">
        <f t="shared" ref="AF230" si="2971">++IFERROR(AF229/AF225,"n/a")</f>
        <v>n/a</v>
      </c>
      <c r="AG230" s="225" t="str">
        <f t="shared" ref="AG230" si="2972">++IFERROR(AG229/AG225,"n/a")</f>
        <v>n/a</v>
      </c>
      <c r="AH230" s="225" t="str">
        <f t="shared" ref="AH230" si="2973">++IFERROR(AH229/AH225,"n/a")</f>
        <v>n/a</v>
      </c>
      <c r="AI230" s="214" t="str">
        <f t="shared" ref="AI230" si="2974">++IFERROR(AI229/AI225,"n/a")</f>
        <v>n/a</v>
      </c>
      <c r="AJ230" s="225" t="str">
        <f t="shared" ref="AJ230" si="2975">++IFERROR(AJ229/AJ225,"n/a")</f>
        <v>n/a</v>
      </c>
      <c r="AK230" s="225" t="str">
        <f t="shared" ref="AK230" si="2976">++IFERROR(AK229/AK225,"n/a")</f>
        <v>n/a</v>
      </c>
      <c r="AL230" s="225" t="str">
        <f t="shared" ref="AL230" si="2977">++IFERROR(AL229/AL225,"n/a")</f>
        <v>n/a</v>
      </c>
      <c r="AM230" s="225" t="str">
        <f t="shared" ref="AM230" si="2978">++IFERROR(AM229/AM225,"n/a")</f>
        <v>n/a</v>
      </c>
      <c r="AN230" s="225" t="str">
        <f t="shared" ref="AN230" si="2979">++IFERROR(AN229/AN225,"n/a")</f>
        <v>n/a</v>
      </c>
      <c r="AO230" s="225" t="str">
        <f t="shared" ref="AO230" si="2980">++IFERROR(AO229/AO225,"n/a")</f>
        <v>n/a</v>
      </c>
      <c r="AP230" s="225" t="str">
        <f t="shared" ref="AP230" si="2981">++IFERROR(AP229/AP225,"n/a")</f>
        <v>n/a</v>
      </c>
      <c r="AQ230" s="225" t="str">
        <f t="shared" ref="AQ230" si="2982">++IFERROR(AQ229/AQ225,"n/a")</f>
        <v>n/a</v>
      </c>
      <c r="AR230" s="225" t="str">
        <f t="shared" ref="AR230" si="2983">++IFERROR(AR229/AR225,"n/a")</f>
        <v>n/a</v>
      </c>
      <c r="AS230" s="225" t="str">
        <f t="shared" ref="AS230" si="2984">++IFERROR(AS229/AS225,"n/a")</f>
        <v>n/a</v>
      </c>
      <c r="AT230" s="225" t="str">
        <f t="shared" ref="AT230" si="2985">++IFERROR(AT229/AT225,"n/a")</f>
        <v>n/a</v>
      </c>
      <c r="AU230" s="214" t="str">
        <f t="shared" ref="AU230" si="2986">++IFERROR(AU229/AU225,"n/a")</f>
        <v>n/a</v>
      </c>
      <c r="AV230" s="225" t="str">
        <f t="shared" ref="AV230" si="2987">++IFERROR(AV229/AV225,"n/a")</f>
        <v>n/a</v>
      </c>
      <c r="AW230" s="225" t="str">
        <f t="shared" ref="AW230" si="2988">++IFERROR(AW229/AW225,"n/a")</f>
        <v>n/a</v>
      </c>
      <c r="AX230" s="225" t="str">
        <f t="shared" ref="AX230" si="2989">++IFERROR(AX229/AX225,"n/a")</f>
        <v>n/a</v>
      </c>
      <c r="AY230" s="225" t="str">
        <f t="shared" ref="AY230" si="2990">++IFERROR(AY229/AY225,"n/a")</f>
        <v>n/a</v>
      </c>
      <c r="AZ230" s="225" t="str">
        <f t="shared" ref="AZ230" si="2991">++IFERROR(AZ229/AZ225,"n/a")</f>
        <v>n/a</v>
      </c>
      <c r="BA230" s="225" t="str">
        <f t="shared" ref="BA230" si="2992">++IFERROR(BA229/BA225,"n/a")</f>
        <v>n/a</v>
      </c>
      <c r="BB230" s="225" t="str">
        <f t="shared" ref="BB230" si="2993">++IFERROR(BB229/BB225,"n/a")</f>
        <v>n/a</v>
      </c>
      <c r="BC230" s="225" t="str">
        <f t="shared" ref="BC230" si="2994">++IFERROR(BC229/BC225,"n/a")</f>
        <v>n/a</v>
      </c>
      <c r="BD230" s="225" t="str">
        <f t="shared" ref="BD230" si="2995">++IFERROR(BD229/BD225,"n/a")</f>
        <v>n/a</v>
      </c>
      <c r="BE230" s="225" t="str">
        <f t="shared" ref="BE230" si="2996">++IFERROR(BE229/BE225,"n/a")</f>
        <v>n/a</v>
      </c>
      <c r="BF230" s="225" t="str">
        <f t="shared" ref="BF230" si="2997">++IFERROR(BF229/BF225,"n/a")</f>
        <v>n/a</v>
      </c>
      <c r="BG230" s="214" t="str">
        <f t="shared" ref="BG230" si="2998">++IFERROR(BG229/BG225,"n/a")</f>
        <v>n/a</v>
      </c>
      <c r="BH230" s="225" t="str">
        <f t="shared" ref="BH230" si="2999">++IFERROR(BH229/BH225,"n/a")</f>
        <v>n/a</v>
      </c>
      <c r="BI230" s="225" t="str">
        <f t="shared" ref="BI230" si="3000">++IFERROR(BI229/BI225,"n/a")</f>
        <v>n/a</v>
      </c>
      <c r="BJ230" s="225" t="str">
        <f t="shared" ref="BJ230" si="3001">++IFERROR(BJ229/BJ225,"n/a")</f>
        <v>n/a</v>
      </c>
      <c r="BK230" s="225" t="str">
        <f t="shared" ref="BK230" si="3002">++IFERROR(BK229/BK225,"n/a")</f>
        <v>n/a</v>
      </c>
      <c r="BL230" s="225" t="str">
        <f t="shared" ref="BL230" si="3003">++IFERROR(BL229/BL225,"n/a")</f>
        <v>n/a</v>
      </c>
      <c r="BM230" s="225" t="str">
        <f t="shared" ref="BM230" si="3004">++IFERROR(BM229/BM225,"n/a")</f>
        <v>n/a</v>
      </c>
      <c r="BN230" s="225" t="str">
        <f t="shared" ref="BN230" si="3005">++IFERROR(BN229/BN225,"n/a")</f>
        <v>n/a</v>
      </c>
      <c r="BO230" s="225" t="str">
        <f t="shared" ref="BO230" si="3006">++IFERROR(BO229/BO225,"n/a")</f>
        <v>n/a</v>
      </c>
      <c r="BP230" s="225" t="str">
        <f t="shared" ref="BP230" si="3007">++IFERROR(BP229/BP225,"n/a")</f>
        <v>n/a</v>
      </c>
      <c r="BQ230" s="225" t="str">
        <f t="shared" ref="BQ230" si="3008">++IFERROR(BQ229/BQ225,"n/a")</f>
        <v>n/a</v>
      </c>
      <c r="BR230" s="225" t="str">
        <f t="shared" ref="BR230" si="3009">++IFERROR(BR229/BR225,"n/a")</f>
        <v>n/a</v>
      </c>
      <c r="BS230" s="214" t="str">
        <f t="shared" ref="BS230" si="3010">++IFERROR(BS229/BS225,"n/a")</f>
        <v>n/a</v>
      </c>
      <c r="BT230" s="225" t="str">
        <f t="shared" ref="BT230" si="3011">++IFERROR(BT229/BT225,"n/a")</f>
        <v>n/a</v>
      </c>
      <c r="BU230" s="225" t="str">
        <f t="shared" ref="BU230" si="3012">++IFERROR(BU229/BU225,"n/a")</f>
        <v>n/a</v>
      </c>
      <c r="BV230" s="225" t="str">
        <f t="shared" ref="BV230" si="3013">++IFERROR(BV229/BV225,"n/a")</f>
        <v>n/a</v>
      </c>
      <c r="BW230" s="225" t="str">
        <f t="shared" ref="BW230" si="3014">++IFERROR(BW229/BW225,"n/a")</f>
        <v>n/a</v>
      </c>
      <c r="BX230" s="225" t="str">
        <f t="shared" ref="BX230" si="3015">++IFERROR(BX229/BX225,"n/a")</f>
        <v>n/a</v>
      </c>
      <c r="BY230" s="225" t="str">
        <f t="shared" ref="BY230" si="3016">++IFERROR(BY229/BY225,"n/a")</f>
        <v>n/a</v>
      </c>
      <c r="BZ230" s="225" t="str">
        <f t="shared" ref="BZ230" si="3017">++IFERROR(BZ229/BZ225,"n/a")</f>
        <v>n/a</v>
      </c>
      <c r="CA230" s="225" t="str">
        <f t="shared" ref="CA230" si="3018">++IFERROR(CA229/CA225,"n/a")</f>
        <v>n/a</v>
      </c>
      <c r="CB230" s="225" t="str">
        <f t="shared" ref="CB230" si="3019">++IFERROR(CB229/CB225,"n/a")</f>
        <v>n/a</v>
      </c>
      <c r="CC230" s="225" t="str">
        <f t="shared" ref="CC230" si="3020">++IFERROR(CC229/CC225,"n/a")</f>
        <v>n/a</v>
      </c>
      <c r="CD230" s="225" t="str">
        <f t="shared" ref="CD230" si="3021">++IFERROR(CD229/CD225,"n/a")</f>
        <v>n/a</v>
      </c>
      <c r="CE230" s="214" t="str">
        <f t="shared" ref="CE230" si="3022">++IFERROR(CE229/CE225,"n/a")</f>
        <v>n/a</v>
      </c>
      <c r="CF230" s="225" t="str">
        <f t="shared" ref="CF230" si="3023">++IFERROR(CF229/CF225,"n/a")</f>
        <v>n/a</v>
      </c>
      <c r="CG230" s="225" t="str">
        <f t="shared" ref="CG230" si="3024">++IFERROR(CG229/CG225,"n/a")</f>
        <v>n/a</v>
      </c>
      <c r="CH230" s="225" t="str">
        <f t="shared" ref="CH230" si="3025">++IFERROR(CH229/CH225,"n/a")</f>
        <v>n/a</v>
      </c>
      <c r="CI230" s="225" t="str">
        <f t="shared" ref="CI230" si="3026">++IFERROR(CI229/CI225,"n/a")</f>
        <v>n/a</v>
      </c>
      <c r="CJ230" s="225" t="str">
        <f t="shared" ref="CJ230" si="3027">++IFERROR(CJ229/CJ225,"n/a")</f>
        <v>n/a</v>
      </c>
      <c r="CK230" s="225" t="str">
        <f t="shared" ref="CK230" si="3028">++IFERROR(CK229/CK225,"n/a")</f>
        <v>n/a</v>
      </c>
      <c r="CL230" s="225" t="str">
        <f t="shared" ref="CL230" si="3029">++IFERROR(CL229/CL225,"n/a")</f>
        <v>n/a</v>
      </c>
      <c r="CM230" s="225" t="str">
        <f t="shared" ref="CM230" si="3030">++IFERROR(CM229/CM225,"n/a")</f>
        <v>n/a</v>
      </c>
      <c r="CN230" s="225" t="str">
        <f t="shared" ref="CN230" si="3031">++IFERROR(CN229/CN225,"n/a")</f>
        <v>n/a</v>
      </c>
      <c r="CO230" s="225" t="str">
        <f t="shared" ref="CO230" si="3032">++IFERROR(CO229/CO225,"n/a")</f>
        <v>n/a</v>
      </c>
      <c r="CP230" s="225" t="str">
        <f t="shared" ref="CP230" si="3033">++IFERROR(CP229/CP225,"n/a")</f>
        <v>n/a</v>
      </c>
      <c r="CQ230" s="214" t="str">
        <f t="shared" ref="CQ230" si="3034">++IFERROR(CQ229/CQ225,"n/a")</f>
        <v>n/a</v>
      </c>
      <c r="CR230" s="225" t="str">
        <f t="shared" ref="CR230" si="3035">++IFERROR(CR229/CR225,"n/a")</f>
        <v>n/a</v>
      </c>
      <c r="CS230" s="225" t="str">
        <f t="shared" ref="CS230" si="3036">++IFERROR(CS229/CS225,"n/a")</f>
        <v>n/a</v>
      </c>
      <c r="CT230" s="225" t="str">
        <f t="shared" ref="CT230" si="3037">++IFERROR(CT229/CT225,"n/a")</f>
        <v>n/a</v>
      </c>
      <c r="CU230" s="225" t="str">
        <f t="shared" ref="CU230" si="3038">++IFERROR(CU229/CU225,"n/a")</f>
        <v>n/a</v>
      </c>
      <c r="CV230" s="225" t="str">
        <f t="shared" ref="CV230" si="3039">++IFERROR(CV229/CV225,"n/a")</f>
        <v>n/a</v>
      </c>
      <c r="CW230" s="225" t="str">
        <f t="shared" ref="CW230" si="3040">++IFERROR(CW229/CW225,"n/a")</f>
        <v>n/a</v>
      </c>
      <c r="CX230" s="225" t="str">
        <f t="shared" ref="CX230" si="3041">++IFERROR(CX229/CX225,"n/a")</f>
        <v>n/a</v>
      </c>
      <c r="CY230" s="225" t="str">
        <f t="shared" ref="CY230" si="3042">++IFERROR(CY229/CY225,"n/a")</f>
        <v>n/a</v>
      </c>
      <c r="CZ230" s="225" t="str">
        <f t="shared" ref="CZ230" si="3043">++IFERROR(CZ229/CZ225,"n/a")</f>
        <v>n/a</v>
      </c>
      <c r="DA230" s="225" t="str">
        <f t="shared" ref="DA230" si="3044">++IFERROR(DA229/DA225,"n/a")</f>
        <v>n/a</v>
      </c>
      <c r="DB230" s="225" t="str">
        <f t="shared" ref="DB230" si="3045">++IFERROR(DB229/DB225,"n/a")</f>
        <v>n/a</v>
      </c>
      <c r="DC230" s="214" t="str">
        <f t="shared" ref="DC230" si="3046">++IFERROR(DC229/DC225,"n/a")</f>
        <v>n/a</v>
      </c>
    </row>
    <row r="231" spans="3:107" x14ac:dyDescent="0.3">
      <c r="G231" s="203"/>
      <c r="K231" s="203"/>
      <c r="W231" s="203"/>
      <c r="AI231" s="203"/>
      <c r="AU231" s="203"/>
      <c r="BG231" s="203"/>
      <c r="BS231" s="203"/>
      <c r="CE231" s="203"/>
      <c r="CQ231" s="203"/>
      <c r="DC231" s="203"/>
    </row>
    <row r="232" spans="3:107" ht="13.5" thickBot="1" x14ac:dyDescent="0.35">
      <c r="C232" s="369" t="str">
        <f>++C$36</f>
        <v>Net Income</v>
      </c>
      <c r="D232" s="370"/>
      <c r="E232" s="370"/>
      <c r="G232" s="435">
        <f>++G85</f>
        <v>0</v>
      </c>
      <c r="H232" s="435">
        <f t="shared" ref="H232:BS232" si="3047">++H85</f>
        <v>0</v>
      </c>
      <c r="I232" s="435">
        <f t="shared" si="3047"/>
        <v>0</v>
      </c>
      <c r="J232" s="435">
        <f t="shared" si="3047"/>
        <v>0</v>
      </c>
      <c r="K232" s="435">
        <f t="shared" si="3047"/>
        <v>0</v>
      </c>
      <c r="L232" s="435">
        <f t="shared" si="3047"/>
        <v>0</v>
      </c>
      <c r="M232" s="435">
        <f t="shared" si="3047"/>
        <v>0</v>
      </c>
      <c r="N232" s="435">
        <f t="shared" si="3047"/>
        <v>0</v>
      </c>
      <c r="O232" s="435">
        <f t="shared" si="3047"/>
        <v>0</v>
      </c>
      <c r="P232" s="435">
        <f t="shared" si="3047"/>
        <v>0</v>
      </c>
      <c r="Q232" s="435">
        <f t="shared" si="3047"/>
        <v>0</v>
      </c>
      <c r="R232" s="435">
        <f t="shared" si="3047"/>
        <v>0</v>
      </c>
      <c r="S232" s="435">
        <f t="shared" si="3047"/>
        <v>0</v>
      </c>
      <c r="T232" s="435">
        <f t="shared" si="3047"/>
        <v>0</v>
      </c>
      <c r="U232" s="435">
        <f t="shared" si="3047"/>
        <v>0</v>
      </c>
      <c r="V232" s="435">
        <f t="shared" si="3047"/>
        <v>0</v>
      </c>
      <c r="W232" s="435">
        <f t="shared" si="3047"/>
        <v>0</v>
      </c>
      <c r="X232" s="435">
        <f t="shared" si="3047"/>
        <v>0</v>
      </c>
      <c r="Y232" s="435">
        <f t="shared" si="3047"/>
        <v>0</v>
      </c>
      <c r="Z232" s="435">
        <f t="shared" si="3047"/>
        <v>0</v>
      </c>
      <c r="AA232" s="435">
        <f t="shared" si="3047"/>
        <v>0</v>
      </c>
      <c r="AB232" s="435">
        <f t="shared" si="3047"/>
        <v>0</v>
      </c>
      <c r="AC232" s="435">
        <f t="shared" si="3047"/>
        <v>0</v>
      </c>
      <c r="AD232" s="435">
        <f t="shared" si="3047"/>
        <v>0</v>
      </c>
      <c r="AE232" s="435">
        <f t="shared" si="3047"/>
        <v>0</v>
      </c>
      <c r="AF232" s="435">
        <f t="shared" si="3047"/>
        <v>0</v>
      </c>
      <c r="AG232" s="435">
        <f t="shared" si="3047"/>
        <v>0</v>
      </c>
      <c r="AH232" s="435">
        <f t="shared" si="3047"/>
        <v>0</v>
      </c>
      <c r="AI232" s="435">
        <f t="shared" si="3047"/>
        <v>0</v>
      </c>
      <c r="AJ232" s="435">
        <f t="shared" si="3047"/>
        <v>0</v>
      </c>
      <c r="AK232" s="435">
        <f t="shared" si="3047"/>
        <v>0</v>
      </c>
      <c r="AL232" s="435">
        <f t="shared" si="3047"/>
        <v>0</v>
      </c>
      <c r="AM232" s="435">
        <f t="shared" si="3047"/>
        <v>0</v>
      </c>
      <c r="AN232" s="435">
        <f t="shared" si="3047"/>
        <v>0</v>
      </c>
      <c r="AO232" s="435">
        <f t="shared" si="3047"/>
        <v>0</v>
      </c>
      <c r="AP232" s="435">
        <f t="shared" si="3047"/>
        <v>0</v>
      </c>
      <c r="AQ232" s="435">
        <f t="shared" si="3047"/>
        <v>0</v>
      </c>
      <c r="AR232" s="435">
        <f t="shared" si="3047"/>
        <v>0</v>
      </c>
      <c r="AS232" s="435">
        <f t="shared" si="3047"/>
        <v>0</v>
      </c>
      <c r="AT232" s="435">
        <f t="shared" si="3047"/>
        <v>0</v>
      </c>
      <c r="AU232" s="435">
        <f t="shared" si="3047"/>
        <v>0</v>
      </c>
      <c r="AV232" s="435">
        <f t="shared" si="3047"/>
        <v>0</v>
      </c>
      <c r="AW232" s="435">
        <f t="shared" si="3047"/>
        <v>0</v>
      </c>
      <c r="AX232" s="435">
        <f t="shared" si="3047"/>
        <v>0</v>
      </c>
      <c r="AY232" s="435">
        <f t="shared" si="3047"/>
        <v>0</v>
      </c>
      <c r="AZ232" s="435">
        <f t="shared" si="3047"/>
        <v>0</v>
      </c>
      <c r="BA232" s="435">
        <f t="shared" si="3047"/>
        <v>0</v>
      </c>
      <c r="BB232" s="435">
        <f t="shared" si="3047"/>
        <v>0</v>
      </c>
      <c r="BC232" s="435">
        <f t="shared" si="3047"/>
        <v>0</v>
      </c>
      <c r="BD232" s="435">
        <f t="shared" si="3047"/>
        <v>0</v>
      </c>
      <c r="BE232" s="435">
        <f t="shared" si="3047"/>
        <v>0</v>
      </c>
      <c r="BF232" s="435">
        <f t="shared" si="3047"/>
        <v>0</v>
      </c>
      <c r="BG232" s="435">
        <f t="shared" si="3047"/>
        <v>0</v>
      </c>
      <c r="BH232" s="435">
        <f t="shared" si="3047"/>
        <v>0</v>
      </c>
      <c r="BI232" s="435">
        <f t="shared" si="3047"/>
        <v>0</v>
      </c>
      <c r="BJ232" s="435">
        <f t="shared" si="3047"/>
        <v>0</v>
      </c>
      <c r="BK232" s="435">
        <f t="shared" si="3047"/>
        <v>0</v>
      </c>
      <c r="BL232" s="435">
        <f t="shared" si="3047"/>
        <v>0</v>
      </c>
      <c r="BM232" s="435">
        <f t="shared" si="3047"/>
        <v>0</v>
      </c>
      <c r="BN232" s="435">
        <f t="shared" si="3047"/>
        <v>0</v>
      </c>
      <c r="BO232" s="435">
        <f t="shared" si="3047"/>
        <v>0</v>
      </c>
      <c r="BP232" s="435">
        <f t="shared" si="3047"/>
        <v>0</v>
      </c>
      <c r="BQ232" s="435">
        <f t="shared" si="3047"/>
        <v>0</v>
      </c>
      <c r="BR232" s="435">
        <f t="shared" si="3047"/>
        <v>0</v>
      </c>
      <c r="BS232" s="435">
        <f t="shared" si="3047"/>
        <v>0</v>
      </c>
      <c r="BT232" s="435">
        <f t="shared" ref="BT232:DC232" si="3048">++BT85</f>
        <v>0</v>
      </c>
      <c r="BU232" s="435">
        <f t="shared" si="3048"/>
        <v>0</v>
      </c>
      <c r="BV232" s="435">
        <f t="shared" si="3048"/>
        <v>0</v>
      </c>
      <c r="BW232" s="435">
        <f t="shared" si="3048"/>
        <v>0</v>
      </c>
      <c r="BX232" s="435">
        <f t="shared" si="3048"/>
        <v>0</v>
      </c>
      <c r="BY232" s="435">
        <f t="shared" si="3048"/>
        <v>0</v>
      </c>
      <c r="BZ232" s="435">
        <f t="shared" si="3048"/>
        <v>0</v>
      </c>
      <c r="CA232" s="435">
        <f t="shared" si="3048"/>
        <v>0</v>
      </c>
      <c r="CB232" s="435">
        <f t="shared" si="3048"/>
        <v>0</v>
      </c>
      <c r="CC232" s="435">
        <f t="shared" si="3048"/>
        <v>0</v>
      </c>
      <c r="CD232" s="435">
        <f t="shared" si="3048"/>
        <v>0</v>
      </c>
      <c r="CE232" s="435">
        <f t="shared" si="3048"/>
        <v>0</v>
      </c>
      <c r="CF232" s="435">
        <f t="shared" si="3048"/>
        <v>0</v>
      </c>
      <c r="CG232" s="435">
        <f t="shared" si="3048"/>
        <v>0</v>
      </c>
      <c r="CH232" s="435">
        <f t="shared" si="3048"/>
        <v>0</v>
      </c>
      <c r="CI232" s="435">
        <f t="shared" si="3048"/>
        <v>0</v>
      </c>
      <c r="CJ232" s="435">
        <f t="shared" si="3048"/>
        <v>0</v>
      </c>
      <c r="CK232" s="435">
        <f t="shared" si="3048"/>
        <v>0</v>
      </c>
      <c r="CL232" s="435">
        <f t="shared" si="3048"/>
        <v>0</v>
      </c>
      <c r="CM232" s="435">
        <f t="shared" si="3048"/>
        <v>0</v>
      </c>
      <c r="CN232" s="435">
        <f t="shared" si="3048"/>
        <v>0</v>
      </c>
      <c r="CO232" s="435">
        <f t="shared" si="3048"/>
        <v>0</v>
      </c>
      <c r="CP232" s="435">
        <f t="shared" si="3048"/>
        <v>0</v>
      </c>
      <c r="CQ232" s="435">
        <f t="shared" si="3048"/>
        <v>0</v>
      </c>
      <c r="CR232" s="435">
        <f t="shared" si="3048"/>
        <v>0</v>
      </c>
      <c r="CS232" s="435">
        <f t="shared" si="3048"/>
        <v>0</v>
      </c>
      <c r="CT232" s="435">
        <f t="shared" si="3048"/>
        <v>0</v>
      </c>
      <c r="CU232" s="435">
        <f t="shared" si="3048"/>
        <v>0</v>
      </c>
      <c r="CV232" s="435">
        <f t="shared" si="3048"/>
        <v>0</v>
      </c>
      <c r="CW232" s="435">
        <f t="shared" si="3048"/>
        <v>0</v>
      </c>
      <c r="CX232" s="435">
        <f t="shared" si="3048"/>
        <v>0</v>
      </c>
      <c r="CY232" s="435">
        <f t="shared" si="3048"/>
        <v>0</v>
      </c>
      <c r="CZ232" s="435">
        <f t="shared" si="3048"/>
        <v>0</v>
      </c>
      <c r="DA232" s="435">
        <f t="shared" si="3048"/>
        <v>0</v>
      </c>
      <c r="DB232" s="435">
        <f t="shared" si="3048"/>
        <v>0</v>
      </c>
      <c r="DC232" s="435">
        <f t="shared" si="3048"/>
        <v>0</v>
      </c>
    </row>
    <row r="233" spans="3:107" ht="13.5" thickTop="1" x14ac:dyDescent="0.3">
      <c r="C233" s="321" t="str">
        <f>++C$37</f>
        <v>% margin</v>
      </c>
      <c r="G233" s="214" t="str">
        <f>++IFERROR(G232/G206,"n/a")</f>
        <v>n/a</v>
      </c>
      <c r="H233" s="225" t="str">
        <f t="shared" ref="H233" si="3049">++IFERROR(H232/H206,"n/a")</f>
        <v>n/a</v>
      </c>
      <c r="I233" s="225" t="str">
        <f t="shared" ref="I233" si="3050">++IFERROR(I232/I206,"n/a")</f>
        <v>n/a</v>
      </c>
      <c r="J233" s="225" t="str">
        <f t="shared" ref="J233" si="3051">++IFERROR(J232/J206,"n/a")</f>
        <v>n/a</v>
      </c>
      <c r="K233" s="214" t="str">
        <f t="shared" ref="K233" si="3052">++IFERROR(K232/K206,"n/a")</f>
        <v>n/a</v>
      </c>
      <c r="L233" s="225" t="str">
        <f t="shared" ref="L233" si="3053">++IFERROR(L232/L206,"n/a")</f>
        <v>n/a</v>
      </c>
      <c r="M233" s="225" t="str">
        <f t="shared" ref="M233" si="3054">++IFERROR(M232/M206,"n/a")</f>
        <v>n/a</v>
      </c>
      <c r="N233" s="225" t="str">
        <f t="shared" ref="N233" si="3055">++IFERROR(N232/N206,"n/a")</f>
        <v>n/a</v>
      </c>
      <c r="O233" s="225" t="str">
        <f t="shared" ref="O233" si="3056">++IFERROR(O232/O206,"n/a")</f>
        <v>n/a</v>
      </c>
      <c r="P233" s="225" t="str">
        <f t="shared" ref="P233" si="3057">++IFERROR(P232/P206,"n/a")</f>
        <v>n/a</v>
      </c>
      <c r="Q233" s="225" t="str">
        <f t="shared" ref="Q233" si="3058">++IFERROR(Q232/Q206,"n/a")</f>
        <v>n/a</v>
      </c>
      <c r="R233" s="225" t="str">
        <f t="shared" ref="R233" si="3059">++IFERROR(R232/R206,"n/a")</f>
        <v>n/a</v>
      </c>
      <c r="S233" s="225" t="str">
        <f t="shared" ref="S233" si="3060">++IFERROR(S232/S206,"n/a")</f>
        <v>n/a</v>
      </c>
      <c r="T233" s="225" t="str">
        <f t="shared" ref="T233" si="3061">++IFERROR(T232/T206,"n/a")</f>
        <v>n/a</v>
      </c>
      <c r="U233" s="225" t="str">
        <f t="shared" ref="U233" si="3062">++IFERROR(U232/U206,"n/a")</f>
        <v>n/a</v>
      </c>
      <c r="V233" s="225" t="str">
        <f t="shared" ref="V233" si="3063">++IFERROR(V232/V206,"n/a")</f>
        <v>n/a</v>
      </c>
      <c r="W233" s="214" t="str">
        <f t="shared" ref="W233" si="3064">++IFERROR(W232/W206,"n/a")</f>
        <v>n/a</v>
      </c>
      <c r="X233" s="225" t="str">
        <f t="shared" ref="X233" si="3065">++IFERROR(X232/X206,"n/a")</f>
        <v>n/a</v>
      </c>
      <c r="Y233" s="225" t="str">
        <f t="shared" ref="Y233" si="3066">++IFERROR(Y232/Y206,"n/a")</f>
        <v>n/a</v>
      </c>
      <c r="Z233" s="225" t="str">
        <f t="shared" ref="Z233" si="3067">++IFERROR(Z232/Z206,"n/a")</f>
        <v>n/a</v>
      </c>
      <c r="AA233" s="225" t="str">
        <f t="shared" ref="AA233" si="3068">++IFERROR(AA232/AA206,"n/a")</f>
        <v>n/a</v>
      </c>
      <c r="AB233" s="225" t="str">
        <f t="shared" ref="AB233" si="3069">++IFERROR(AB232/AB206,"n/a")</f>
        <v>n/a</v>
      </c>
      <c r="AC233" s="225" t="str">
        <f t="shared" ref="AC233" si="3070">++IFERROR(AC232/AC206,"n/a")</f>
        <v>n/a</v>
      </c>
      <c r="AD233" s="225" t="str">
        <f t="shared" ref="AD233" si="3071">++IFERROR(AD232/AD206,"n/a")</f>
        <v>n/a</v>
      </c>
      <c r="AE233" s="225" t="str">
        <f t="shared" ref="AE233" si="3072">++IFERROR(AE232/AE206,"n/a")</f>
        <v>n/a</v>
      </c>
      <c r="AF233" s="225" t="str">
        <f t="shared" ref="AF233" si="3073">++IFERROR(AF232/AF206,"n/a")</f>
        <v>n/a</v>
      </c>
      <c r="AG233" s="225" t="str">
        <f t="shared" ref="AG233" si="3074">++IFERROR(AG232/AG206,"n/a")</f>
        <v>n/a</v>
      </c>
      <c r="AH233" s="225" t="str">
        <f t="shared" ref="AH233" si="3075">++IFERROR(AH232/AH206,"n/a")</f>
        <v>n/a</v>
      </c>
      <c r="AI233" s="214" t="str">
        <f t="shared" ref="AI233" si="3076">++IFERROR(AI232/AI206,"n/a")</f>
        <v>n/a</v>
      </c>
      <c r="AJ233" s="225" t="str">
        <f t="shared" ref="AJ233" si="3077">++IFERROR(AJ232/AJ206,"n/a")</f>
        <v>n/a</v>
      </c>
      <c r="AK233" s="225" t="str">
        <f t="shared" ref="AK233" si="3078">++IFERROR(AK232/AK206,"n/a")</f>
        <v>n/a</v>
      </c>
      <c r="AL233" s="225" t="str">
        <f t="shared" ref="AL233" si="3079">++IFERROR(AL232/AL206,"n/a")</f>
        <v>n/a</v>
      </c>
      <c r="AM233" s="225" t="str">
        <f t="shared" ref="AM233" si="3080">++IFERROR(AM232/AM206,"n/a")</f>
        <v>n/a</v>
      </c>
      <c r="AN233" s="225" t="str">
        <f t="shared" ref="AN233" si="3081">++IFERROR(AN232/AN206,"n/a")</f>
        <v>n/a</v>
      </c>
      <c r="AO233" s="225" t="str">
        <f t="shared" ref="AO233" si="3082">++IFERROR(AO232/AO206,"n/a")</f>
        <v>n/a</v>
      </c>
      <c r="AP233" s="225" t="str">
        <f t="shared" ref="AP233" si="3083">++IFERROR(AP232/AP206,"n/a")</f>
        <v>n/a</v>
      </c>
      <c r="AQ233" s="225" t="str">
        <f t="shared" ref="AQ233" si="3084">++IFERROR(AQ232/AQ206,"n/a")</f>
        <v>n/a</v>
      </c>
      <c r="AR233" s="225" t="str">
        <f t="shared" ref="AR233" si="3085">++IFERROR(AR232/AR206,"n/a")</f>
        <v>n/a</v>
      </c>
      <c r="AS233" s="225" t="str">
        <f t="shared" ref="AS233" si="3086">++IFERROR(AS232/AS206,"n/a")</f>
        <v>n/a</v>
      </c>
      <c r="AT233" s="225" t="str">
        <f t="shared" ref="AT233" si="3087">++IFERROR(AT232/AT206,"n/a")</f>
        <v>n/a</v>
      </c>
      <c r="AU233" s="214" t="str">
        <f t="shared" ref="AU233" si="3088">++IFERROR(AU232/AU206,"n/a")</f>
        <v>n/a</v>
      </c>
      <c r="AV233" s="225" t="str">
        <f t="shared" ref="AV233" si="3089">++IFERROR(AV232/AV206,"n/a")</f>
        <v>n/a</v>
      </c>
      <c r="AW233" s="225" t="str">
        <f t="shared" ref="AW233" si="3090">++IFERROR(AW232/AW206,"n/a")</f>
        <v>n/a</v>
      </c>
      <c r="AX233" s="225" t="str">
        <f t="shared" ref="AX233" si="3091">++IFERROR(AX232/AX206,"n/a")</f>
        <v>n/a</v>
      </c>
      <c r="AY233" s="225" t="str">
        <f t="shared" ref="AY233" si="3092">++IFERROR(AY232/AY206,"n/a")</f>
        <v>n/a</v>
      </c>
      <c r="AZ233" s="225" t="str">
        <f t="shared" ref="AZ233" si="3093">++IFERROR(AZ232/AZ206,"n/a")</f>
        <v>n/a</v>
      </c>
      <c r="BA233" s="225" t="str">
        <f t="shared" ref="BA233" si="3094">++IFERROR(BA232/BA206,"n/a")</f>
        <v>n/a</v>
      </c>
      <c r="BB233" s="225" t="str">
        <f t="shared" ref="BB233" si="3095">++IFERROR(BB232/BB206,"n/a")</f>
        <v>n/a</v>
      </c>
      <c r="BC233" s="225" t="str">
        <f t="shared" ref="BC233" si="3096">++IFERROR(BC232/BC206,"n/a")</f>
        <v>n/a</v>
      </c>
      <c r="BD233" s="225" t="str">
        <f t="shared" ref="BD233" si="3097">++IFERROR(BD232/BD206,"n/a")</f>
        <v>n/a</v>
      </c>
      <c r="BE233" s="225" t="str">
        <f t="shared" ref="BE233" si="3098">++IFERROR(BE232/BE206,"n/a")</f>
        <v>n/a</v>
      </c>
      <c r="BF233" s="225" t="str">
        <f t="shared" ref="BF233" si="3099">++IFERROR(BF232/BF206,"n/a")</f>
        <v>n/a</v>
      </c>
      <c r="BG233" s="214" t="str">
        <f t="shared" ref="BG233" si="3100">++IFERROR(BG232/BG206,"n/a")</f>
        <v>n/a</v>
      </c>
      <c r="BH233" s="225" t="str">
        <f t="shared" ref="BH233" si="3101">++IFERROR(BH232/BH206,"n/a")</f>
        <v>n/a</v>
      </c>
      <c r="BI233" s="225" t="str">
        <f t="shared" ref="BI233" si="3102">++IFERROR(BI232/BI206,"n/a")</f>
        <v>n/a</v>
      </c>
      <c r="BJ233" s="225" t="str">
        <f t="shared" ref="BJ233" si="3103">++IFERROR(BJ232/BJ206,"n/a")</f>
        <v>n/a</v>
      </c>
      <c r="BK233" s="225" t="str">
        <f t="shared" ref="BK233" si="3104">++IFERROR(BK232/BK206,"n/a")</f>
        <v>n/a</v>
      </c>
      <c r="BL233" s="225" t="str">
        <f t="shared" ref="BL233" si="3105">++IFERROR(BL232/BL206,"n/a")</f>
        <v>n/a</v>
      </c>
      <c r="BM233" s="225" t="str">
        <f t="shared" ref="BM233" si="3106">++IFERROR(BM232/BM206,"n/a")</f>
        <v>n/a</v>
      </c>
      <c r="BN233" s="225" t="str">
        <f t="shared" ref="BN233" si="3107">++IFERROR(BN232/BN206,"n/a")</f>
        <v>n/a</v>
      </c>
      <c r="BO233" s="225" t="str">
        <f t="shared" ref="BO233" si="3108">++IFERROR(BO232/BO206,"n/a")</f>
        <v>n/a</v>
      </c>
      <c r="BP233" s="225" t="str">
        <f t="shared" ref="BP233" si="3109">++IFERROR(BP232/BP206,"n/a")</f>
        <v>n/a</v>
      </c>
      <c r="BQ233" s="225" t="str">
        <f t="shared" ref="BQ233" si="3110">++IFERROR(BQ232/BQ206,"n/a")</f>
        <v>n/a</v>
      </c>
      <c r="BR233" s="225" t="str">
        <f t="shared" ref="BR233" si="3111">++IFERROR(BR232/BR206,"n/a")</f>
        <v>n/a</v>
      </c>
      <c r="BS233" s="214" t="str">
        <f t="shared" ref="BS233" si="3112">++IFERROR(BS232/BS206,"n/a")</f>
        <v>n/a</v>
      </c>
      <c r="BT233" s="225" t="str">
        <f t="shared" ref="BT233" si="3113">++IFERROR(BT232/BT206,"n/a")</f>
        <v>n/a</v>
      </c>
      <c r="BU233" s="225" t="str">
        <f t="shared" ref="BU233" si="3114">++IFERROR(BU232/BU206,"n/a")</f>
        <v>n/a</v>
      </c>
      <c r="BV233" s="225" t="str">
        <f t="shared" ref="BV233" si="3115">++IFERROR(BV232/BV206,"n/a")</f>
        <v>n/a</v>
      </c>
      <c r="BW233" s="225" t="str">
        <f t="shared" ref="BW233" si="3116">++IFERROR(BW232/BW206,"n/a")</f>
        <v>n/a</v>
      </c>
      <c r="BX233" s="225" t="str">
        <f t="shared" ref="BX233" si="3117">++IFERROR(BX232/BX206,"n/a")</f>
        <v>n/a</v>
      </c>
      <c r="BY233" s="225" t="str">
        <f t="shared" ref="BY233" si="3118">++IFERROR(BY232/BY206,"n/a")</f>
        <v>n/a</v>
      </c>
      <c r="BZ233" s="225" t="str">
        <f t="shared" ref="BZ233" si="3119">++IFERROR(BZ232/BZ206,"n/a")</f>
        <v>n/a</v>
      </c>
      <c r="CA233" s="225" t="str">
        <f t="shared" ref="CA233" si="3120">++IFERROR(CA232/CA206,"n/a")</f>
        <v>n/a</v>
      </c>
      <c r="CB233" s="225" t="str">
        <f t="shared" ref="CB233" si="3121">++IFERROR(CB232/CB206,"n/a")</f>
        <v>n/a</v>
      </c>
      <c r="CC233" s="225" t="str">
        <f t="shared" ref="CC233" si="3122">++IFERROR(CC232/CC206,"n/a")</f>
        <v>n/a</v>
      </c>
      <c r="CD233" s="225" t="str">
        <f t="shared" ref="CD233" si="3123">++IFERROR(CD232/CD206,"n/a")</f>
        <v>n/a</v>
      </c>
      <c r="CE233" s="214" t="str">
        <f t="shared" ref="CE233" si="3124">++IFERROR(CE232/CE206,"n/a")</f>
        <v>n/a</v>
      </c>
      <c r="CF233" s="225" t="str">
        <f t="shared" ref="CF233" si="3125">++IFERROR(CF232/CF206,"n/a")</f>
        <v>n/a</v>
      </c>
      <c r="CG233" s="225" t="str">
        <f t="shared" ref="CG233" si="3126">++IFERROR(CG232/CG206,"n/a")</f>
        <v>n/a</v>
      </c>
      <c r="CH233" s="225" t="str">
        <f t="shared" ref="CH233" si="3127">++IFERROR(CH232/CH206,"n/a")</f>
        <v>n/a</v>
      </c>
      <c r="CI233" s="225" t="str">
        <f t="shared" ref="CI233" si="3128">++IFERROR(CI232/CI206,"n/a")</f>
        <v>n/a</v>
      </c>
      <c r="CJ233" s="225" t="str">
        <f t="shared" ref="CJ233" si="3129">++IFERROR(CJ232/CJ206,"n/a")</f>
        <v>n/a</v>
      </c>
      <c r="CK233" s="225" t="str">
        <f t="shared" ref="CK233" si="3130">++IFERROR(CK232/CK206,"n/a")</f>
        <v>n/a</v>
      </c>
      <c r="CL233" s="225" t="str">
        <f t="shared" ref="CL233" si="3131">++IFERROR(CL232/CL206,"n/a")</f>
        <v>n/a</v>
      </c>
      <c r="CM233" s="225" t="str">
        <f t="shared" ref="CM233" si="3132">++IFERROR(CM232/CM206,"n/a")</f>
        <v>n/a</v>
      </c>
      <c r="CN233" s="225" t="str">
        <f t="shared" ref="CN233" si="3133">++IFERROR(CN232/CN206,"n/a")</f>
        <v>n/a</v>
      </c>
      <c r="CO233" s="225" t="str">
        <f t="shared" ref="CO233" si="3134">++IFERROR(CO232/CO206,"n/a")</f>
        <v>n/a</v>
      </c>
      <c r="CP233" s="225" t="str">
        <f t="shared" ref="CP233" si="3135">++IFERROR(CP232/CP206,"n/a")</f>
        <v>n/a</v>
      </c>
      <c r="CQ233" s="214" t="str">
        <f t="shared" ref="CQ233" si="3136">++IFERROR(CQ232/CQ206,"n/a")</f>
        <v>n/a</v>
      </c>
      <c r="CR233" s="225" t="str">
        <f t="shared" ref="CR233" si="3137">++IFERROR(CR232/CR206,"n/a")</f>
        <v>n/a</v>
      </c>
      <c r="CS233" s="225" t="str">
        <f t="shared" ref="CS233" si="3138">++IFERROR(CS232/CS206,"n/a")</f>
        <v>n/a</v>
      </c>
      <c r="CT233" s="225" t="str">
        <f t="shared" ref="CT233" si="3139">++IFERROR(CT232/CT206,"n/a")</f>
        <v>n/a</v>
      </c>
      <c r="CU233" s="225" t="str">
        <f t="shared" ref="CU233" si="3140">++IFERROR(CU232/CU206,"n/a")</f>
        <v>n/a</v>
      </c>
      <c r="CV233" s="225" t="str">
        <f t="shared" ref="CV233" si="3141">++IFERROR(CV232/CV206,"n/a")</f>
        <v>n/a</v>
      </c>
      <c r="CW233" s="225" t="str">
        <f t="shared" ref="CW233" si="3142">++IFERROR(CW232/CW206,"n/a")</f>
        <v>n/a</v>
      </c>
      <c r="CX233" s="225" t="str">
        <f t="shared" ref="CX233" si="3143">++IFERROR(CX232/CX206,"n/a")</f>
        <v>n/a</v>
      </c>
      <c r="CY233" s="225" t="str">
        <f t="shared" ref="CY233" si="3144">++IFERROR(CY232/CY206,"n/a")</f>
        <v>n/a</v>
      </c>
      <c r="CZ233" s="225" t="str">
        <f t="shared" ref="CZ233" si="3145">++IFERROR(CZ232/CZ206,"n/a")</f>
        <v>n/a</v>
      </c>
      <c r="DA233" s="225" t="str">
        <f t="shared" ref="DA233" si="3146">++IFERROR(DA232/DA206,"n/a")</f>
        <v>n/a</v>
      </c>
      <c r="DB233" s="225" t="str">
        <f t="shared" ref="DB233" si="3147">++IFERROR(DB232/DB206,"n/a")</f>
        <v>n/a</v>
      </c>
      <c r="DC233" s="214" t="str">
        <f t="shared" ref="DC233" si="3148">++IFERROR(DC232/DC206,"n/a")</f>
        <v>n/a</v>
      </c>
    </row>
    <row r="234" spans="3:107" x14ac:dyDescent="0.3">
      <c r="C234" s="321" t="str">
        <f>++C$38</f>
        <v>% y/y</v>
      </c>
      <c r="G234" s="122" t="s">
        <v>47</v>
      </c>
      <c r="H234" s="122" t="s">
        <v>47</v>
      </c>
      <c r="I234" s="122" t="s">
        <v>47</v>
      </c>
      <c r="J234" s="122" t="s">
        <v>47</v>
      </c>
      <c r="K234" s="214" t="str">
        <f>++IFERROR(K232/G232-1,"n/a")</f>
        <v>n/a</v>
      </c>
      <c r="L234" s="122" t="s">
        <v>47</v>
      </c>
      <c r="M234" s="122" t="s">
        <v>47</v>
      </c>
      <c r="N234" s="225" t="str">
        <f>++IFERROR(N232/H232-1,"n/a")</f>
        <v>n/a</v>
      </c>
      <c r="O234" s="122" t="s">
        <v>47</v>
      </c>
      <c r="P234" s="122" t="s">
        <v>47</v>
      </c>
      <c r="Q234" s="225" t="str">
        <f>++IFERROR(Q232/I232-1,"n/a")</f>
        <v>n/a</v>
      </c>
      <c r="R234" s="122" t="s">
        <v>47</v>
      </c>
      <c r="S234" s="122" t="s">
        <v>47</v>
      </c>
      <c r="T234" s="225" t="str">
        <f>++IFERROR(T232/J232-1,"n/a")</f>
        <v>n/a</v>
      </c>
      <c r="U234" s="122" t="s">
        <v>47</v>
      </c>
      <c r="V234" s="122" t="s">
        <v>47</v>
      </c>
      <c r="W234" s="214" t="str">
        <f t="shared" ref="W234:BB234" si="3149">++IFERROR(W232/K232-1,"n/a")</f>
        <v>n/a</v>
      </c>
      <c r="X234" s="225" t="str">
        <f t="shared" si="3149"/>
        <v>n/a</v>
      </c>
      <c r="Y234" s="225" t="str">
        <f t="shared" si="3149"/>
        <v>n/a</v>
      </c>
      <c r="Z234" s="225" t="str">
        <f t="shared" si="3149"/>
        <v>n/a</v>
      </c>
      <c r="AA234" s="225" t="str">
        <f t="shared" si="3149"/>
        <v>n/a</v>
      </c>
      <c r="AB234" s="225" t="str">
        <f t="shared" si="3149"/>
        <v>n/a</v>
      </c>
      <c r="AC234" s="225" t="str">
        <f t="shared" si="3149"/>
        <v>n/a</v>
      </c>
      <c r="AD234" s="225" t="str">
        <f t="shared" si="3149"/>
        <v>n/a</v>
      </c>
      <c r="AE234" s="225" t="str">
        <f t="shared" si="3149"/>
        <v>n/a</v>
      </c>
      <c r="AF234" s="225" t="str">
        <f t="shared" si="3149"/>
        <v>n/a</v>
      </c>
      <c r="AG234" s="225" t="str">
        <f t="shared" si="3149"/>
        <v>n/a</v>
      </c>
      <c r="AH234" s="225" t="str">
        <f t="shared" si="3149"/>
        <v>n/a</v>
      </c>
      <c r="AI234" s="214" t="str">
        <f t="shared" si="3149"/>
        <v>n/a</v>
      </c>
      <c r="AJ234" s="225" t="str">
        <f t="shared" si="3149"/>
        <v>n/a</v>
      </c>
      <c r="AK234" s="225" t="str">
        <f t="shared" si="3149"/>
        <v>n/a</v>
      </c>
      <c r="AL234" s="225" t="str">
        <f t="shared" si="3149"/>
        <v>n/a</v>
      </c>
      <c r="AM234" s="225" t="str">
        <f t="shared" si="3149"/>
        <v>n/a</v>
      </c>
      <c r="AN234" s="225" t="str">
        <f t="shared" si="3149"/>
        <v>n/a</v>
      </c>
      <c r="AO234" s="225" t="str">
        <f t="shared" si="3149"/>
        <v>n/a</v>
      </c>
      <c r="AP234" s="225" t="str">
        <f t="shared" si="3149"/>
        <v>n/a</v>
      </c>
      <c r="AQ234" s="225" t="str">
        <f t="shared" si="3149"/>
        <v>n/a</v>
      </c>
      <c r="AR234" s="225" t="str">
        <f t="shared" si="3149"/>
        <v>n/a</v>
      </c>
      <c r="AS234" s="225" t="str">
        <f t="shared" si="3149"/>
        <v>n/a</v>
      </c>
      <c r="AT234" s="225" t="str">
        <f t="shared" si="3149"/>
        <v>n/a</v>
      </c>
      <c r="AU234" s="214" t="str">
        <f t="shared" si="3149"/>
        <v>n/a</v>
      </c>
      <c r="AV234" s="225" t="str">
        <f t="shared" si="3149"/>
        <v>n/a</v>
      </c>
      <c r="AW234" s="225" t="str">
        <f t="shared" si="3149"/>
        <v>n/a</v>
      </c>
      <c r="AX234" s="225" t="str">
        <f t="shared" si="3149"/>
        <v>n/a</v>
      </c>
      <c r="AY234" s="225" t="str">
        <f t="shared" si="3149"/>
        <v>n/a</v>
      </c>
      <c r="AZ234" s="225" t="str">
        <f t="shared" si="3149"/>
        <v>n/a</v>
      </c>
      <c r="BA234" s="225" t="str">
        <f t="shared" si="3149"/>
        <v>n/a</v>
      </c>
      <c r="BB234" s="225" t="str">
        <f t="shared" si="3149"/>
        <v>n/a</v>
      </c>
      <c r="BC234" s="225" t="str">
        <f t="shared" ref="BC234:CH234" si="3150">++IFERROR(BC232/AQ232-1,"n/a")</f>
        <v>n/a</v>
      </c>
      <c r="BD234" s="225" t="str">
        <f t="shared" si="3150"/>
        <v>n/a</v>
      </c>
      <c r="BE234" s="225" t="str">
        <f t="shared" si="3150"/>
        <v>n/a</v>
      </c>
      <c r="BF234" s="225" t="str">
        <f t="shared" si="3150"/>
        <v>n/a</v>
      </c>
      <c r="BG234" s="214" t="str">
        <f t="shared" si="3150"/>
        <v>n/a</v>
      </c>
      <c r="BH234" s="225" t="str">
        <f t="shared" si="3150"/>
        <v>n/a</v>
      </c>
      <c r="BI234" s="225" t="str">
        <f t="shared" si="3150"/>
        <v>n/a</v>
      </c>
      <c r="BJ234" s="225" t="str">
        <f t="shared" si="3150"/>
        <v>n/a</v>
      </c>
      <c r="BK234" s="225" t="str">
        <f t="shared" si="3150"/>
        <v>n/a</v>
      </c>
      <c r="BL234" s="225" t="str">
        <f t="shared" si="3150"/>
        <v>n/a</v>
      </c>
      <c r="BM234" s="225" t="str">
        <f t="shared" si="3150"/>
        <v>n/a</v>
      </c>
      <c r="BN234" s="225" t="str">
        <f t="shared" si="3150"/>
        <v>n/a</v>
      </c>
      <c r="BO234" s="225" t="str">
        <f t="shared" si="3150"/>
        <v>n/a</v>
      </c>
      <c r="BP234" s="225" t="str">
        <f t="shared" si="3150"/>
        <v>n/a</v>
      </c>
      <c r="BQ234" s="225" t="str">
        <f t="shared" si="3150"/>
        <v>n/a</v>
      </c>
      <c r="BR234" s="225" t="str">
        <f t="shared" si="3150"/>
        <v>n/a</v>
      </c>
      <c r="BS234" s="214" t="str">
        <f t="shared" si="3150"/>
        <v>n/a</v>
      </c>
      <c r="BT234" s="225" t="str">
        <f t="shared" si="3150"/>
        <v>n/a</v>
      </c>
      <c r="BU234" s="225" t="str">
        <f t="shared" si="3150"/>
        <v>n/a</v>
      </c>
      <c r="BV234" s="225" t="str">
        <f t="shared" si="3150"/>
        <v>n/a</v>
      </c>
      <c r="BW234" s="225" t="str">
        <f t="shared" si="3150"/>
        <v>n/a</v>
      </c>
      <c r="BX234" s="225" t="str">
        <f t="shared" si="3150"/>
        <v>n/a</v>
      </c>
      <c r="BY234" s="225" t="str">
        <f t="shared" si="3150"/>
        <v>n/a</v>
      </c>
      <c r="BZ234" s="225" t="str">
        <f t="shared" si="3150"/>
        <v>n/a</v>
      </c>
      <c r="CA234" s="225" t="str">
        <f t="shared" si="3150"/>
        <v>n/a</v>
      </c>
      <c r="CB234" s="225" t="str">
        <f t="shared" si="3150"/>
        <v>n/a</v>
      </c>
      <c r="CC234" s="225" t="str">
        <f t="shared" si="3150"/>
        <v>n/a</v>
      </c>
      <c r="CD234" s="225" t="str">
        <f t="shared" si="3150"/>
        <v>n/a</v>
      </c>
      <c r="CE234" s="214" t="str">
        <f t="shared" si="3150"/>
        <v>n/a</v>
      </c>
      <c r="CF234" s="225" t="str">
        <f t="shared" si="3150"/>
        <v>n/a</v>
      </c>
      <c r="CG234" s="225" t="str">
        <f t="shared" si="3150"/>
        <v>n/a</v>
      </c>
      <c r="CH234" s="225" t="str">
        <f t="shared" si="3150"/>
        <v>n/a</v>
      </c>
      <c r="CI234" s="225" t="str">
        <f t="shared" ref="CI234:DN234" si="3151">++IFERROR(CI232/BW232-1,"n/a")</f>
        <v>n/a</v>
      </c>
      <c r="CJ234" s="225" t="str">
        <f t="shared" si="3151"/>
        <v>n/a</v>
      </c>
      <c r="CK234" s="225" t="str">
        <f t="shared" si="3151"/>
        <v>n/a</v>
      </c>
      <c r="CL234" s="225" t="str">
        <f t="shared" si="3151"/>
        <v>n/a</v>
      </c>
      <c r="CM234" s="225" t="str">
        <f t="shared" si="3151"/>
        <v>n/a</v>
      </c>
      <c r="CN234" s="225" t="str">
        <f t="shared" si="3151"/>
        <v>n/a</v>
      </c>
      <c r="CO234" s="225" t="str">
        <f t="shared" si="3151"/>
        <v>n/a</v>
      </c>
      <c r="CP234" s="225" t="str">
        <f t="shared" si="3151"/>
        <v>n/a</v>
      </c>
      <c r="CQ234" s="214" t="str">
        <f t="shared" si="3151"/>
        <v>n/a</v>
      </c>
      <c r="CR234" s="225" t="str">
        <f t="shared" si="3151"/>
        <v>n/a</v>
      </c>
      <c r="CS234" s="225" t="str">
        <f t="shared" si="3151"/>
        <v>n/a</v>
      </c>
      <c r="CT234" s="225" t="str">
        <f t="shared" si="3151"/>
        <v>n/a</v>
      </c>
      <c r="CU234" s="225" t="str">
        <f t="shared" si="3151"/>
        <v>n/a</v>
      </c>
      <c r="CV234" s="225" t="str">
        <f t="shared" si="3151"/>
        <v>n/a</v>
      </c>
      <c r="CW234" s="225" t="str">
        <f t="shared" si="3151"/>
        <v>n/a</v>
      </c>
      <c r="CX234" s="225" t="str">
        <f t="shared" si="3151"/>
        <v>n/a</v>
      </c>
      <c r="CY234" s="225" t="str">
        <f t="shared" si="3151"/>
        <v>n/a</v>
      </c>
      <c r="CZ234" s="225" t="str">
        <f t="shared" si="3151"/>
        <v>n/a</v>
      </c>
      <c r="DA234" s="225" t="str">
        <f t="shared" si="3151"/>
        <v>n/a</v>
      </c>
      <c r="DB234" s="225" t="str">
        <f t="shared" si="3151"/>
        <v>n/a</v>
      </c>
      <c r="DC234" s="214" t="str">
        <f t="shared" si="3151"/>
        <v>n/a</v>
      </c>
    </row>
    <row r="235" spans="3:107" x14ac:dyDescent="0.3">
      <c r="G235" s="203"/>
      <c r="K235" s="203"/>
      <c r="W235" s="203"/>
      <c r="AI235" s="203"/>
      <c r="AU235" s="203"/>
      <c r="BG235" s="203"/>
      <c r="BS235" s="203"/>
      <c r="CE235" s="203"/>
      <c r="CQ235" s="203"/>
      <c r="DC235" s="203"/>
    </row>
    <row r="236" spans="3:107" x14ac:dyDescent="0.3">
      <c r="C236" s="101" t="str">
        <f>++C$40</f>
        <v>Interest Expense (Income)</v>
      </c>
      <c r="G236" s="374">
        <f>++G223</f>
        <v>0</v>
      </c>
      <c r="H236" s="200">
        <f t="shared" ref="H236:BS236" si="3152">++H223</f>
        <v>0</v>
      </c>
      <c r="I236" s="200">
        <f t="shared" si="3152"/>
        <v>0</v>
      </c>
      <c r="J236" s="200">
        <f t="shared" si="3152"/>
        <v>0</v>
      </c>
      <c r="K236" s="374">
        <f t="shared" si="3152"/>
        <v>0</v>
      </c>
      <c r="L236" s="200">
        <f t="shared" si="3152"/>
        <v>0</v>
      </c>
      <c r="M236" s="200">
        <f t="shared" si="3152"/>
        <v>0</v>
      </c>
      <c r="N236" s="200">
        <f t="shared" si="3152"/>
        <v>0</v>
      </c>
      <c r="O236" s="200">
        <f t="shared" si="3152"/>
        <v>0</v>
      </c>
      <c r="P236" s="200">
        <f t="shared" si="3152"/>
        <v>0</v>
      </c>
      <c r="Q236" s="200">
        <f t="shared" si="3152"/>
        <v>0</v>
      </c>
      <c r="R236" s="200">
        <f t="shared" si="3152"/>
        <v>0</v>
      </c>
      <c r="S236" s="200">
        <f t="shared" si="3152"/>
        <v>0</v>
      </c>
      <c r="T236" s="200">
        <f t="shared" si="3152"/>
        <v>0</v>
      </c>
      <c r="U236" s="200">
        <f t="shared" si="3152"/>
        <v>0</v>
      </c>
      <c r="V236" s="200">
        <f t="shared" si="3152"/>
        <v>0</v>
      </c>
      <c r="W236" s="374">
        <f t="shared" si="3152"/>
        <v>0</v>
      </c>
      <c r="X236" s="200">
        <f t="shared" si="3152"/>
        <v>0</v>
      </c>
      <c r="Y236" s="200">
        <f t="shared" si="3152"/>
        <v>0</v>
      </c>
      <c r="Z236" s="200">
        <f t="shared" si="3152"/>
        <v>0</v>
      </c>
      <c r="AA236" s="200">
        <f t="shared" si="3152"/>
        <v>0</v>
      </c>
      <c r="AB236" s="200">
        <f t="shared" si="3152"/>
        <v>0</v>
      </c>
      <c r="AC236" s="200">
        <f t="shared" si="3152"/>
        <v>0</v>
      </c>
      <c r="AD236" s="200">
        <f t="shared" si="3152"/>
        <v>0</v>
      </c>
      <c r="AE236" s="200">
        <f t="shared" si="3152"/>
        <v>0</v>
      </c>
      <c r="AF236" s="200">
        <f t="shared" si="3152"/>
        <v>0</v>
      </c>
      <c r="AG236" s="200">
        <f t="shared" si="3152"/>
        <v>0</v>
      </c>
      <c r="AH236" s="200">
        <f t="shared" si="3152"/>
        <v>0</v>
      </c>
      <c r="AI236" s="374">
        <f t="shared" si="3152"/>
        <v>0</v>
      </c>
      <c r="AJ236" s="200">
        <f t="shared" si="3152"/>
        <v>0</v>
      </c>
      <c r="AK236" s="200">
        <f t="shared" si="3152"/>
        <v>0</v>
      </c>
      <c r="AL236" s="200">
        <f t="shared" si="3152"/>
        <v>0</v>
      </c>
      <c r="AM236" s="200">
        <f t="shared" si="3152"/>
        <v>0</v>
      </c>
      <c r="AN236" s="200">
        <f t="shared" si="3152"/>
        <v>0</v>
      </c>
      <c r="AO236" s="200">
        <f t="shared" si="3152"/>
        <v>0</v>
      </c>
      <c r="AP236" s="200">
        <f t="shared" si="3152"/>
        <v>0</v>
      </c>
      <c r="AQ236" s="200">
        <f t="shared" si="3152"/>
        <v>0</v>
      </c>
      <c r="AR236" s="200">
        <f t="shared" si="3152"/>
        <v>0</v>
      </c>
      <c r="AS236" s="200">
        <f t="shared" si="3152"/>
        <v>0</v>
      </c>
      <c r="AT236" s="200">
        <f t="shared" si="3152"/>
        <v>0</v>
      </c>
      <c r="AU236" s="374">
        <f t="shared" si="3152"/>
        <v>0</v>
      </c>
      <c r="AV236" s="200">
        <f t="shared" si="3152"/>
        <v>0</v>
      </c>
      <c r="AW236" s="200">
        <f t="shared" si="3152"/>
        <v>0</v>
      </c>
      <c r="AX236" s="200">
        <f t="shared" si="3152"/>
        <v>0</v>
      </c>
      <c r="AY236" s="200">
        <f t="shared" si="3152"/>
        <v>0</v>
      </c>
      <c r="AZ236" s="200">
        <f t="shared" si="3152"/>
        <v>0</v>
      </c>
      <c r="BA236" s="200">
        <f t="shared" si="3152"/>
        <v>0</v>
      </c>
      <c r="BB236" s="200">
        <f t="shared" si="3152"/>
        <v>0</v>
      </c>
      <c r="BC236" s="200">
        <f t="shared" si="3152"/>
        <v>0</v>
      </c>
      <c r="BD236" s="200">
        <f t="shared" si="3152"/>
        <v>0</v>
      </c>
      <c r="BE236" s="200">
        <f t="shared" si="3152"/>
        <v>0</v>
      </c>
      <c r="BF236" s="200">
        <f t="shared" si="3152"/>
        <v>0</v>
      </c>
      <c r="BG236" s="374">
        <f t="shared" si="3152"/>
        <v>0</v>
      </c>
      <c r="BH236" s="200">
        <f t="shared" si="3152"/>
        <v>0</v>
      </c>
      <c r="BI236" s="200">
        <f t="shared" si="3152"/>
        <v>0</v>
      </c>
      <c r="BJ236" s="200">
        <f t="shared" si="3152"/>
        <v>0</v>
      </c>
      <c r="BK236" s="200">
        <f t="shared" si="3152"/>
        <v>0</v>
      </c>
      <c r="BL236" s="200">
        <f t="shared" si="3152"/>
        <v>0</v>
      </c>
      <c r="BM236" s="200">
        <f t="shared" si="3152"/>
        <v>0</v>
      </c>
      <c r="BN236" s="200">
        <f t="shared" si="3152"/>
        <v>0</v>
      </c>
      <c r="BO236" s="200">
        <f t="shared" si="3152"/>
        <v>0</v>
      </c>
      <c r="BP236" s="200">
        <f t="shared" si="3152"/>
        <v>0</v>
      </c>
      <c r="BQ236" s="200">
        <f t="shared" si="3152"/>
        <v>0</v>
      </c>
      <c r="BR236" s="200">
        <f t="shared" si="3152"/>
        <v>0</v>
      </c>
      <c r="BS236" s="374">
        <f t="shared" si="3152"/>
        <v>0</v>
      </c>
      <c r="BT236" s="200">
        <f t="shared" ref="BT236:DC236" si="3153">++BT223</f>
        <v>0</v>
      </c>
      <c r="BU236" s="200">
        <f t="shared" si="3153"/>
        <v>0</v>
      </c>
      <c r="BV236" s="200">
        <f t="shared" si="3153"/>
        <v>0</v>
      </c>
      <c r="BW236" s="200">
        <f t="shared" si="3153"/>
        <v>0</v>
      </c>
      <c r="BX236" s="200">
        <f t="shared" si="3153"/>
        <v>0</v>
      </c>
      <c r="BY236" s="200">
        <f t="shared" si="3153"/>
        <v>0</v>
      </c>
      <c r="BZ236" s="200">
        <f t="shared" si="3153"/>
        <v>0</v>
      </c>
      <c r="CA236" s="200">
        <f t="shared" si="3153"/>
        <v>0</v>
      </c>
      <c r="CB236" s="200">
        <f t="shared" si="3153"/>
        <v>0</v>
      </c>
      <c r="CC236" s="200">
        <f t="shared" si="3153"/>
        <v>0</v>
      </c>
      <c r="CD236" s="200">
        <f t="shared" si="3153"/>
        <v>0</v>
      </c>
      <c r="CE236" s="374">
        <f t="shared" si="3153"/>
        <v>0</v>
      </c>
      <c r="CF236" s="200">
        <f t="shared" si="3153"/>
        <v>0</v>
      </c>
      <c r="CG236" s="200">
        <f t="shared" si="3153"/>
        <v>0</v>
      </c>
      <c r="CH236" s="200">
        <f t="shared" si="3153"/>
        <v>0</v>
      </c>
      <c r="CI236" s="200">
        <f t="shared" si="3153"/>
        <v>0</v>
      </c>
      <c r="CJ236" s="200">
        <f t="shared" si="3153"/>
        <v>0</v>
      </c>
      <c r="CK236" s="200">
        <f t="shared" si="3153"/>
        <v>0</v>
      </c>
      <c r="CL236" s="200">
        <f t="shared" si="3153"/>
        <v>0</v>
      </c>
      <c r="CM236" s="200">
        <f t="shared" si="3153"/>
        <v>0</v>
      </c>
      <c r="CN236" s="200">
        <f t="shared" si="3153"/>
        <v>0</v>
      </c>
      <c r="CO236" s="200">
        <f t="shared" si="3153"/>
        <v>0</v>
      </c>
      <c r="CP236" s="200">
        <f t="shared" si="3153"/>
        <v>0</v>
      </c>
      <c r="CQ236" s="374">
        <f t="shared" si="3153"/>
        <v>0</v>
      </c>
      <c r="CR236" s="200">
        <f t="shared" si="3153"/>
        <v>0</v>
      </c>
      <c r="CS236" s="200">
        <f t="shared" si="3153"/>
        <v>0</v>
      </c>
      <c r="CT236" s="200">
        <f t="shared" si="3153"/>
        <v>0</v>
      </c>
      <c r="CU236" s="200">
        <f t="shared" si="3153"/>
        <v>0</v>
      </c>
      <c r="CV236" s="200">
        <f t="shared" si="3153"/>
        <v>0</v>
      </c>
      <c r="CW236" s="200">
        <f t="shared" si="3153"/>
        <v>0</v>
      </c>
      <c r="CX236" s="200">
        <f t="shared" si="3153"/>
        <v>0</v>
      </c>
      <c r="CY236" s="200">
        <f t="shared" si="3153"/>
        <v>0</v>
      </c>
      <c r="CZ236" s="200">
        <f t="shared" si="3153"/>
        <v>0</v>
      </c>
      <c r="DA236" s="200">
        <f t="shared" si="3153"/>
        <v>0</v>
      </c>
      <c r="DB236" s="200">
        <f t="shared" si="3153"/>
        <v>0</v>
      </c>
      <c r="DC236" s="374">
        <f t="shared" si="3153"/>
        <v>0</v>
      </c>
    </row>
    <row r="237" spans="3:107" x14ac:dyDescent="0.3">
      <c r="C237" s="101" t="str">
        <f>++C$41</f>
        <v>Tax Expense (Benefit)</v>
      </c>
      <c r="G237" s="374">
        <f>++G229</f>
        <v>0</v>
      </c>
      <c r="H237" s="200">
        <f t="shared" ref="H237:BS237" si="3154">++H229</f>
        <v>0</v>
      </c>
      <c r="I237" s="200">
        <f t="shared" si="3154"/>
        <v>0</v>
      </c>
      <c r="J237" s="200">
        <f t="shared" si="3154"/>
        <v>0</v>
      </c>
      <c r="K237" s="374">
        <f t="shared" si="3154"/>
        <v>0</v>
      </c>
      <c r="L237" s="200">
        <f t="shared" si="3154"/>
        <v>0</v>
      </c>
      <c r="M237" s="200">
        <f t="shared" si="3154"/>
        <v>0</v>
      </c>
      <c r="N237" s="200">
        <f t="shared" si="3154"/>
        <v>0</v>
      </c>
      <c r="O237" s="200">
        <f t="shared" si="3154"/>
        <v>0</v>
      </c>
      <c r="P237" s="200">
        <f t="shared" si="3154"/>
        <v>0</v>
      </c>
      <c r="Q237" s="200">
        <f t="shared" si="3154"/>
        <v>0</v>
      </c>
      <c r="R237" s="200">
        <f t="shared" si="3154"/>
        <v>0</v>
      </c>
      <c r="S237" s="200">
        <f t="shared" si="3154"/>
        <v>0</v>
      </c>
      <c r="T237" s="200">
        <f t="shared" si="3154"/>
        <v>0</v>
      </c>
      <c r="U237" s="200">
        <f t="shared" si="3154"/>
        <v>0</v>
      </c>
      <c r="V237" s="200">
        <f t="shared" si="3154"/>
        <v>0</v>
      </c>
      <c r="W237" s="374">
        <f t="shared" si="3154"/>
        <v>0</v>
      </c>
      <c r="X237" s="200">
        <f t="shared" si="3154"/>
        <v>0</v>
      </c>
      <c r="Y237" s="200">
        <f t="shared" si="3154"/>
        <v>0</v>
      </c>
      <c r="Z237" s="200">
        <f t="shared" si="3154"/>
        <v>0</v>
      </c>
      <c r="AA237" s="200">
        <f t="shared" si="3154"/>
        <v>0</v>
      </c>
      <c r="AB237" s="200">
        <f t="shared" si="3154"/>
        <v>0</v>
      </c>
      <c r="AC237" s="200">
        <f t="shared" si="3154"/>
        <v>0</v>
      </c>
      <c r="AD237" s="200">
        <f t="shared" si="3154"/>
        <v>0</v>
      </c>
      <c r="AE237" s="200">
        <f t="shared" si="3154"/>
        <v>0</v>
      </c>
      <c r="AF237" s="200">
        <f t="shared" si="3154"/>
        <v>0</v>
      </c>
      <c r="AG237" s="200">
        <f t="shared" si="3154"/>
        <v>0</v>
      </c>
      <c r="AH237" s="200">
        <f t="shared" si="3154"/>
        <v>0</v>
      </c>
      <c r="AI237" s="374">
        <f t="shared" si="3154"/>
        <v>0</v>
      </c>
      <c r="AJ237" s="200">
        <f t="shared" si="3154"/>
        <v>0</v>
      </c>
      <c r="AK237" s="200">
        <f t="shared" si="3154"/>
        <v>0</v>
      </c>
      <c r="AL237" s="200">
        <f t="shared" si="3154"/>
        <v>0</v>
      </c>
      <c r="AM237" s="200">
        <f t="shared" si="3154"/>
        <v>0</v>
      </c>
      <c r="AN237" s="200">
        <f t="shared" si="3154"/>
        <v>0</v>
      </c>
      <c r="AO237" s="200">
        <f t="shared" si="3154"/>
        <v>0</v>
      </c>
      <c r="AP237" s="200">
        <f t="shared" si="3154"/>
        <v>0</v>
      </c>
      <c r="AQ237" s="200">
        <f t="shared" si="3154"/>
        <v>0</v>
      </c>
      <c r="AR237" s="200">
        <f t="shared" si="3154"/>
        <v>0</v>
      </c>
      <c r="AS237" s="200">
        <f t="shared" si="3154"/>
        <v>0</v>
      </c>
      <c r="AT237" s="200">
        <f t="shared" si="3154"/>
        <v>0</v>
      </c>
      <c r="AU237" s="374">
        <f t="shared" si="3154"/>
        <v>0</v>
      </c>
      <c r="AV237" s="200">
        <f t="shared" si="3154"/>
        <v>0</v>
      </c>
      <c r="AW237" s="200">
        <f t="shared" si="3154"/>
        <v>0</v>
      </c>
      <c r="AX237" s="200">
        <f t="shared" si="3154"/>
        <v>0</v>
      </c>
      <c r="AY237" s="200">
        <f t="shared" si="3154"/>
        <v>0</v>
      </c>
      <c r="AZ237" s="200">
        <f t="shared" si="3154"/>
        <v>0</v>
      </c>
      <c r="BA237" s="200">
        <f t="shared" si="3154"/>
        <v>0</v>
      </c>
      <c r="BB237" s="200">
        <f t="shared" si="3154"/>
        <v>0</v>
      </c>
      <c r="BC237" s="200">
        <f t="shared" si="3154"/>
        <v>0</v>
      </c>
      <c r="BD237" s="200">
        <f t="shared" si="3154"/>
        <v>0</v>
      </c>
      <c r="BE237" s="200">
        <f t="shared" si="3154"/>
        <v>0</v>
      </c>
      <c r="BF237" s="200">
        <f t="shared" si="3154"/>
        <v>0</v>
      </c>
      <c r="BG237" s="374">
        <f t="shared" si="3154"/>
        <v>0</v>
      </c>
      <c r="BH237" s="200">
        <f t="shared" si="3154"/>
        <v>0</v>
      </c>
      <c r="BI237" s="200">
        <f t="shared" si="3154"/>
        <v>0</v>
      </c>
      <c r="BJ237" s="200">
        <f t="shared" si="3154"/>
        <v>0</v>
      </c>
      <c r="BK237" s="200">
        <f t="shared" si="3154"/>
        <v>0</v>
      </c>
      <c r="BL237" s="200">
        <f t="shared" si="3154"/>
        <v>0</v>
      </c>
      <c r="BM237" s="200">
        <f t="shared" si="3154"/>
        <v>0</v>
      </c>
      <c r="BN237" s="200">
        <f t="shared" si="3154"/>
        <v>0</v>
      </c>
      <c r="BO237" s="200">
        <f t="shared" si="3154"/>
        <v>0</v>
      </c>
      <c r="BP237" s="200">
        <f t="shared" si="3154"/>
        <v>0</v>
      </c>
      <c r="BQ237" s="200">
        <f t="shared" si="3154"/>
        <v>0</v>
      </c>
      <c r="BR237" s="200">
        <f t="shared" si="3154"/>
        <v>0</v>
      </c>
      <c r="BS237" s="374">
        <f t="shared" si="3154"/>
        <v>0</v>
      </c>
      <c r="BT237" s="200">
        <f t="shared" ref="BT237:DC237" si="3155">++BT229</f>
        <v>0</v>
      </c>
      <c r="BU237" s="200">
        <f t="shared" si="3155"/>
        <v>0</v>
      </c>
      <c r="BV237" s="200">
        <f t="shared" si="3155"/>
        <v>0</v>
      </c>
      <c r="BW237" s="200">
        <f t="shared" si="3155"/>
        <v>0</v>
      </c>
      <c r="BX237" s="200">
        <f t="shared" si="3155"/>
        <v>0</v>
      </c>
      <c r="BY237" s="200">
        <f t="shared" si="3155"/>
        <v>0</v>
      </c>
      <c r="BZ237" s="200">
        <f t="shared" si="3155"/>
        <v>0</v>
      </c>
      <c r="CA237" s="200">
        <f t="shared" si="3155"/>
        <v>0</v>
      </c>
      <c r="CB237" s="200">
        <f t="shared" si="3155"/>
        <v>0</v>
      </c>
      <c r="CC237" s="200">
        <f t="shared" si="3155"/>
        <v>0</v>
      </c>
      <c r="CD237" s="200">
        <f t="shared" si="3155"/>
        <v>0</v>
      </c>
      <c r="CE237" s="374">
        <f t="shared" si="3155"/>
        <v>0</v>
      </c>
      <c r="CF237" s="200">
        <f t="shared" si="3155"/>
        <v>0</v>
      </c>
      <c r="CG237" s="200">
        <f t="shared" si="3155"/>
        <v>0</v>
      </c>
      <c r="CH237" s="200">
        <f t="shared" si="3155"/>
        <v>0</v>
      </c>
      <c r="CI237" s="200">
        <f t="shared" si="3155"/>
        <v>0</v>
      </c>
      <c r="CJ237" s="200">
        <f t="shared" si="3155"/>
        <v>0</v>
      </c>
      <c r="CK237" s="200">
        <f t="shared" si="3155"/>
        <v>0</v>
      </c>
      <c r="CL237" s="200">
        <f t="shared" si="3155"/>
        <v>0</v>
      </c>
      <c r="CM237" s="200">
        <f t="shared" si="3155"/>
        <v>0</v>
      </c>
      <c r="CN237" s="200">
        <f t="shared" si="3155"/>
        <v>0</v>
      </c>
      <c r="CO237" s="200">
        <f t="shared" si="3155"/>
        <v>0</v>
      </c>
      <c r="CP237" s="200">
        <f t="shared" si="3155"/>
        <v>0</v>
      </c>
      <c r="CQ237" s="374">
        <f t="shared" si="3155"/>
        <v>0</v>
      </c>
      <c r="CR237" s="200">
        <f t="shared" si="3155"/>
        <v>0</v>
      </c>
      <c r="CS237" s="200">
        <f t="shared" si="3155"/>
        <v>0</v>
      </c>
      <c r="CT237" s="200">
        <f t="shared" si="3155"/>
        <v>0</v>
      </c>
      <c r="CU237" s="200">
        <f t="shared" si="3155"/>
        <v>0</v>
      </c>
      <c r="CV237" s="200">
        <f t="shared" si="3155"/>
        <v>0</v>
      </c>
      <c r="CW237" s="200">
        <f t="shared" si="3155"/>
        <v>0</v>
      </c>
      <c r="CX237" s="200">
        <f t="shared" si="3155"/>
        <v>0</v>
      </c>
      <c r="CY237" s="200">
        <f t="shared" si="3155"/>
        <v>0</v>
      </c>
      <c r="CZ237" s="200">
        <f t="shared" si="3155"/>
        <v>0</v>
      </c>
      <c r="DA237" s="200">
        <f t="shared" si="3155"/>
        <v>0</v>
      </c>
      <c r="DB237" s="200">
        <f t="shared" si="3155"/>
        <v>0</v>
      </c>
      <c r="DC237" s="374">
        <f t="shared" si="3155"/>
        <v>0</v>
      </c>
    </row>
    <row r="238" spans="3:107" x14ac:dyDescent="0.3">
      <c r="C238" s="101" t="str">
        <f>++C$42</f>
        <v>Depreciation</v>
      </c>
      <c r="G238" s="374">
        <f>++G216</f>
        <v>0</v>
      </c>
      <c r="H238" s="200">
        <f t="shared" ref="H238:BS238" si="3156">++H216</f>
        <v>0</v>
      </c>
      <c r="I238" s="200">
        <f t="shared" si="3156"/>
        <v>0</v>
      </c>
      <c r="J238" s="200">
        <f t="shared" si="3156"/>
        <v>0</v>
      </c>
      <c r="K238" s="374">
        <f t="shared" si="3156"/>
        <v>0</v>
      </c>
      <c r="L238" s="200">
        <f t="shared" si="3156"/>
        <v>0</v>
      </c>
      <c r="M238" s="200">
        <f t="shared" si="3156"/>
        <v>0</v>
      </c>
      <c r="N238" s="200">
        <f t="shared" si="3156"/>
        <v>0</v>
      </c>
      <c r="O238" s="200">
        <f t="shared" si="3156"/>
        <v>0</v>
      </c>
      <c r="P238" s="200">
        <f t="shared" si="3156"/>
        <v>0</v>
      </c>
      <c r="Q238" s="200">
        <f t="shared" si="3156"/>
        <v>0</v>
      </c>
      <c r="R238" s="200">
        <f t="shared" si="3156"/>
        <v>0</v>
      </c>
      <c r="S238" s="200">
        <f t="shared" si="3156"/>
        <v>0</v>
      </c>
      <c r="T238" s="200">
        <f t="shared" si="3156"/>
        <v>0</v>
      </c>
      <c r="U238" s="200">
        <f t="shared" si="3156"/>
        <v>0</v>
      </c>
      <c r="V238" s="200">
        <f t="shared" si="3156"/>
        <v>0</v>
      </c>
      <c r="W238" s="374">
        <f t="shared" si="3156"/>
        <v>0</v>
      </c>
      <c r="X238" s="200">
        <f t="shared" si="3156"/>
        <v>0</v>
      </c>
      <c r="Y238" s="200">
        <f t="shared" si="3156"/>
        <v>0</v>
      </c>
      <c r="Z238" s="200">
        <f t="shared" si="3156"/>
        <v>0</v>
      </c>
      <c r="AA238" s="200">
        <f t="shared" si="3156"/>
        <v>0</v>
      </c>
      <c r="AB238" s="200">
        <f t="shared" si="3156"/>
        <v>0</v>
      </c>
      <c r="AC238" s="200">
        <f t="shared" si="3156"/>
        <v>0</v>
      </c>
      <c r="AD238" s="200">
        <f t="shared" si="3156"/>
        <v>0</v>
      </c>
      <c r="AE238" s="200">
        <f t="shared" si="3156"/>
        <v>0</v>
      </c>
      <c r="AF238" s="200">
        <f t="shared" si="3156"/>
        <v>0</v>
      </c>
      <c r="AG238" s="200">
        <f t="shared" si="3156"/>
        <v>0</v>
      </c>
      <c r="AH238" s="200">
        <f t="shared" si="3156"/>
        <v>0</v>
      </c>
      <c r="AI238" s="374">
        <f t="shared" si="3156"/>
        <v>0</v>
      </c>
      <c r="AJ238" s="200">
        <f t="shared" si="3156"/>
        <v>0</v>
      </c>
      <c r="AK238" s="200">
        <f t="shared" si="3156"/>
        <v>0</v>
      </c>
      <c r="AL238" s="200">
        <f t="shared" si="3156"/>
        <v>0</v>
      </c>
      <c r="AM238" s="200">
        <f t="shared" si="3156"/>
        <v>0</v>
      </c>
      <c r="AN238" s="200">
        <f t="shared" si="3156"/>
        <v>0</v>
      </c>
      <c r="AO238" s="200">
        <f t="shared" si="3156"/>
        <v>0</v>
      </c>
      <c r="AP238" s="200">
        <f t="shared" si="3156"/>
        <v>0</v>
      </c>
      <c r="AQ238" s="200">
        <f t="shared" si="3156"/>
        <v>0</v>
      </c>
      <c r="AR238" s="200">
        <f t="shared" si="3156"/>
        <v>0</v>
      </c>
      <c r="AS238" s="200">
        <f t="shared" si="3156"/>
        <v>0</v>
      </c>
      <c r="AT238" s="200">
        <f t="shared" si="3156"/>
        <v>0</v>
      </c>
      <c r="AU238" s="374">
        <f t="shared" si="3156"/>
        <v>0</v>
      </c>
      <c r="AV238" s="200">
        <f t="shared" si="3156"/>
        <v>0</v>
      </c>
      <c r="AW238" s="200">
        <f t="shared" si="3156"/>
        <v>0</v>
      </c>
      <c r="AX238" s="200">
        <f t="shared" si="3156"/>
        <v>0</v>
      </c>
      <c r="AY238" s="200">
        <f t="shared" si="3156"/>
        <v>0</v>
      </c>
      <c r="AZ238" s="200">
        <f t="shared" si="3156"/>
        <v>0</v>
      </c>
      <c r="BA238" s="200">
        <f t="shared" si="3156"/>
        <v>0</v>
      </c>
      <c r="BB238" s="200">
        <f t="shared" si="3156"/>
        <v>0</v>
      </c>
      <c r="BC238" s="200">
        <f t="shared" si="3156"/>
        <v>0</v>
      </c>
      <c r="BD238" s="200">
        <f t="shared" si="3156"/>
        <v>0</v>
      </c>
      <c r="BE238" s="200">
        <f t="shared" si="3156"/>
        <v>0</v>
      </c>
      <c r="BF238" s="200">
        <f t="shared" si="3156"/>
        <v>0</v>
      </c>
      <c r="BG238" s="374">
        <f t="shared" si="3156"/>
        <v>0</v>
      </c>
      <c r="BH238" s="200">
        <f t="shared" si="3156"/>
        <v>0</v>
      </c>
      <c r="BI238" s="200">
        <f t="shared" si="3156"/>
        <v>0</v>
      </c>
      <c r="BJ238" s="200">
        <f t="shared" si="3156"/>
        <v>0</v>
      </c>
      <c r="BK238" s="200">
        <f t="shared" si="3156"/>
        <v>0</v>
      </c>
      <c r="BL238" s="200">
        <f t="shared" si="3156"/>
        <v>0</v>
      </c>
      <c r="BM238" s="200">
        <f t="shared" si="3156"/>
        <v>0</v>
      </c>
      <c r="BN238" s="200">
        <f t="shared" si="3156"/>
        <v>0</v>
      </c>
      <c r="BO238" s="200">
        <f t="shared" si="3156"/>
        <v>0</v>
      </c>
      <c r="BP238" s="200">
        <f t="shared" si="3156"/>
        <v>0</v>
      </c>
      <c r="BQ238" s="200">
        <f t="shared" si="3156"/>
        <v>0</v>
      </c>
      <c r="BR238" s="200">
        <f t="shared" si="3156"/>
        <v>0</v>
      </c>
      <c r="BS238" s="374">
        <f t="shared" si="3156"/>
        <v>0</v>
      </c>
      <c r="BT238" s="200">
        <f t="shared" ref="BT238:DC238" si="3157">++BT216</f>
        <v>0</v>
      </c>
      <c r="BU238" s="200">
        <f t="shared" si="3157"/>
        <v>0</v>
      </c>
      <c r="BV238" s="200">
        <f t="shared" si="3157"/>
        <v>0</v>
      </c>
      <c r="BW238" s="200">
        <f t="shared" si="3157"/>
        <v>0</v>
      </c>
      <c r="BX238" s="200">
        <f t="shared" si="3157"/>
        <v>0</v>
      </c>
      <c r="BY238" s="200">
        <f t="shared" si="3157"/>
        <v>0</v>
      </c>
      <c r="BZ238" s="200">
        <f t="shared" si="3157"/>
        <v>0</v>
      </c>
      <c r="CA238" s="200">
        <f t="shared" si="3157"/>
        <v>0</v>
      </c>
      <c r="CB238" s="200">
        <f t="shared" si="3157"/>
        <v>0</v>
      </c>
      <c r="CC238" s="200">
        <f t="shared" si="3157"/>
        <v>0</v>
      </c>
      <c r="CD238" s="200">
        <f t="shared" si="3157"/>
        <v>0</v>
      </c>
      <c r="CE238" s="374">
        <f t="shared" si="3157"/>
        <v>0</v>
      </c>
      <c r="CF238" s="200">
        <f t="shared" si="3157"/>
        <v>0</v>
      </c>
      <c r="CG238" s="200">
        <f t="shared" si="3157"/>
        <v>0</v>
      </c>
      <c r="CH238" s="200">
        <f t="shared" si="3157"/>
        <v>0</v>
      </c>
      <c r="CI238" s="200">
        <f t="shared" si="3157"/>
        <v>0</v>
      </c>
      <c r="CJ238" s="200">
        <f t="shared" si="3157"/>
        <v>0</v>
      </c>
      <c r="CK238" s="200">
        <f t="shared" si="3157"/>
        <v>0</v>
      </c>
      <c r="CL238" s="200">
        <f t="shared" si="3157"/>
        <v>0</v>
      </c>
      <c r="CM238" s="200">
        <f t="shared" si="3157"/>
        <v>0</v>
      </c>
      <c r="CN238" s="200">
        <f t="shared" si="3157"/>
        <v>0</v>
      </c>
      <c r="CO238" s="200">
        <f t="shared" si="3157"/>
        <v>0</v>
      </c>
      <c r="CP238" s="200">
        <f t="shared" si="3157"/>
        <v>0</v>
      </c>
      <c r="CQ238" s="374">
        <f t="shared" si="3157"/>
        <v>0</v>
      </c>
      <c r="CR238" s="200">
        <f t="shared" si="3157"/>
        <v>0</v>
      </c>
      <c r="CS238" s="200">
        <f t="shared" si="3157"/>
        <v>0</v>
      </c>
      <c r="CT238" s="200">
        <f t="shared" si="3157"/>
        <v>0</v>
      </c>
      <c r="CU238" s="200">
        <f t="shared" si="3157"/>
        <v>0</v>
      </c>
      <c r="CV238" s="200">
        <f t="shared" si="3157"/>
        <v>0</v>
      </c>
      <c r="CW238" s="200">
        <f t="shared" si="3157"/>
        <v>0</v>
      </c>
      <c r="CX238" s="200">
        <f t="shared" si="3157"/>
        <v>0</v>
      </c>
      <c r="CY238" s="200">
        <f t="shared" si="3157"/>
        <v>0</v>
      </c>
      <c r="CZ238" s="200">
        <f t="shared" si="3157"/>
        <v>0</v>
      </c>
      <c r="DA238" s="200">
        <f t="shared" si="3157"/>
        <v>0</v>
      </c>
      <c r="DB238" s="200">
        <f t="shared" si="3157"/>
        <v>0</v>
      </c>
      <c r="DC238" s="374">
        <f t="shared" si="3157"/>
        <v>0</v>
      </c>
    </row>
    <row r="239" spans="3:107" x14ac:dyDescent="0.3">
      <c r="C239" s="101" t="str">
        <f>++C$43</f>
        <v>Amortization</v>
      </c>
      <c r="G239" s="374">
        <f t="shared" ref="G239:BR239" si="3158">++G217</f>
        <v>0</v>
      </c>
      <c r="H239" s="200">
        <f t="shared" si="3158"/>
        <v>0</v>
      </c>
      <c r="I239" s="200">
        <f t="shared" si="3158"/>
        <v>0</v>
      </c>
      <c r="J239" s="200">
        <f t="shared" si="3158"/>
        <v>0</v>
      </c>
      <c r="K239" s="374">
        <f t="shared" si="3158"/>
        <v>0</v>
      </c>
      <c r="L239" s="200">
        <f t="shared" si="3158"/>
        <v>0</v>
      </c>
      <c r="M239" s="200">
        <f t="shared" si="3158"/>
        <v>0</v>
      </c>
      <c r="N239" s="200">
        <f t="shared" si="3158"/>
        <v>0</v>
      </c>
      <c r="O239" s="200">
        <f t="shared" si="3158"/>
        <v>0</v>
      </c>
      <c r="P239" s="200">
        <f t="shared" si="3158"/>
        <v>0</v>
      </c>
      <c r="Q239" s="200">
        <f t="shared" si="3158"/>
        <v>0</v>
      </c>
      <c r="R239" s="200">
        <f t="shared" si="3158"/>
        <v>0</v>
      </c>
      <c r="S239" s="200">
        <f t="shared" si="3158"/>
        <v>0</v>
      </c>
      <c r="T239" s="200">
        <f t="shared" si="3158"/>
        <v>0</v>
      </c>
      <c r="U239" s="200">
        <f t="shared" si="3158"/>
        <v>0</v>
      </c>
      <c r="V239" s="200">
        <f t="shared" si="3158"/>
        <v>0</v>
      </c>
      <c r="W239" s="374">
        <f t="shared" si="3158"/>
        <v>0</v>
      </c>
      <c r="X239" s="200">
        <f t="shared" si="3158"/>
        <v>0</v>
      </c>
      <c r="Y239" s="200">
        <f t="shared" si="3158"/>
        <v>0</v>
      </c>
      <c r="Z239" s="200">
        <f t="shared" si="3158"/>
        <v>0</v>
      </c>
      <c r="AA239" s="200">
        <f t="shared" si="3158"/>
        <v>0</v>
      </c>
      <c r="AB239" s="200">
        <f t="shared" si="3158"/>
        <v>0</v>
      </c>
      <c r="AC239" s="200">
        <f t="shared" si="3158"/>
        <v>0</v>
      </c>
      <c r="AD239" s="200">
        <f t="shared" si="3158"/>
        <v>0</v>
      </c>
      <c r="AE239" s="200">
        <f t="shared" si="3158"/>
        <v>0</v>
      </c>
      <c r="AF239" s="200">
        <f t="shared" si="3158"/>
        <v>0</v>
      </c>
      <c r="AG239" s="200">
        <f t="shared" si="3158"/>
        <v>0</v>
      </c>
      <c r="AH239" s="200">
        <f t="shared" si="3158"/>
        <v>0</v>
      </c>
      <c r="AI239" s="374">
        <f t="shared" si="3158"/>
        <v>0</v>
      </c>
      <c r="AJ239" s="200">
        <f t="shared" si="3158"/>
        <v>0</v>
      </c>
      <c r="AK239" s="200">
        <f t="shared" si="3158"/>
        <v>0</v>
      </c>
      <c r="AL239" s="200">
        <f t="shared" si="3158"/>
        <v>0</v>
      </c>
      <c r="AM239" s="200">
        <f t="shared" si="3158"/>
        <v>0</v>
      </c>
      <c r="AN239" s="200">
        <f t="shared" si="3158"/>
        <v>0</v>
      </c>
      <c r="AO239" s="200">
        <f t="shared" si="3158"/>
        <v>0</v>
      </c>
      <c r="AP239" s="200">
        <f t="shared" si="3158"/>
        <v>0</v>
      </c>
      <c r="AQ239" s="200">
        <f t="shared" si="3158"/>
        <v>0</v>
      </c>
      <c r="AR239" s="200">
        <f t="shared" si="3158"/>
        <v>0</v>
      </c>
      <c r="AS239" s="200">
        <f t="shared" si="3158"/>
        <v>0</v>
      </c>
      <c r="AT239" s="200">
        <f t="shared" si="3158"/>
        <v>0</v>
      </c>
      <c r="AU239" s="374">
        <f t="shared" si="3158"/>
        <v>0</v>
      </c>
      <c r="AV239" s="200">
        <f t="shared" si="3158"/>
        <v>0</v>
      </c>
      <c r="AW239" s="200">
        <f t="shared" si="3158"/>
        <v>0</v>
      </c>
      <c r="AX239" s="200">
        <f t="shared" si="3158"/>
        <v>0</v>
      </c>
      <c r="AY239" s="200">
        <f t="shared" si="3158"/>
        <v>0</v>
      </c>
      <c r="AZ239" s="200">
        <f t="shared" si="3158"/>
        <v>0</v>
      </c>
      <c r="BA239" s="200">
        <f t="shared" si="3158"/>
        <v>0</v>
      </c>
      <c r="BB239" s="200">
        <f t="shared" si="3158"/>
        <v>0</v>
      </c>
      <c r="BC239" s="200">
        <f t="shared" si="3158"/>
        <v>0</v>
      </c>
      <c r="BD239" s="200">
        <f t="shared" si="3158"/>
        <v>0</v>
      </c>
      <c r="BE239" s="200">
        <f t="shared" si="3158"/>
        <v>0</v>
      </c>
      <c r="BF239" s="200">
        <f t="shared" si="3158"/>
        <v>0</v>
      </c>
      <c r="BG239" s="374">
        <f t="shared" si="3158"/>
        <v>0</v>
      </c>
      <c r="BH239" s="200">
        <f t="shared" si="3158"/>
        <v>0</v>
      </c>
      <c r="BI239" s="200">
        <f t="shared" si="3158"/>
        <v>0</v>
      </c>
      <c r="BJ239" s="200">
        <f t="shared" si="3158"/>
        <v>0</v>
      </c>
      <c r="BK239" s="200">
        <f t="shared" si="3158"/>
        <v>0</v>
      </c>
      <c r="BL239" s="200">
        <f t="shared" si="3158"/>
        <v>0</v>
      </c>
      <c r="BM239" s="200">
        <f t="shared" si="3158"/>
        <v>0</v>
      </c>
      <c r="BN239" s="200">
        <f t="shared" si="3158"/>
        <v>0</v>
      </c>
      <c r="BO239" s="200">
        <f t="shared" si="3158"/>
        <v>0</v>
      </c>
      <c r="BP239" s="200">
        <f t="shared" si="3158"/>
        <v>0</v>
      </c>
      <c r="BQ239" s="200">
        <f t="shared" si="3158"/>
        <v>0</v>
      </c>
      <c r="BR239" s="200">
        <f t="shared" si="3158"/>
        <v>0</v>
      </c>
      <c r="BS239" s="374">
        <f t="shared" ref="BS239:DC239" si="3159">++BS217</f>
        <v>0</v>
      </c>
      <c r="BT239" s="200">
        <f t="shared" si="3159"/>
        <v>0</v>
      </c>
      <c r="BU239" s="200">
        <f t="shared" si="3159"/>
        <v>0</v>
      </c>
      <c r="BV239" s="200">
        <f t="shared" si="3159"/>
        <v>0</v>
      </c>
      <c r="BW239" s="200">
        <f t="shared" si="3159"/>
        <v>0</v>
      </c>
      <c r="BX239" s="200">
        <f t="shared" si="3159"/>
        <v>0</v>
      </c>
      <c r="BY239" s="200">
        <f t="shared" si="3159"/>
        <v>0</v>
      </c>
      <c r="BZ239" s="200">
        <f t="shared" si="3159"/>
        <v>0</v>
      </c>
      <c r="CA239" s="200">
        <f t="shared" si="3159"/>
        <v>0</v>
      </c>
      <c r="CB239" s="200">
        <f t="shared" si="3159"/>
        <v>0</v>
      </c>
      <c r="CC239" s="200">
        <f t="shared" si="3159"/>
        <v>0</v>
      </c>
      <c r="CD239" s="200">
        <f t="shared" si="3159"/>
        <v>0</v>
      </c>
      <c r="CE239" s="374">
        <f t="shared" si="3159"/>
        <v>0</v>
      </c>
      <c r="CF239" s="200">
        <f t="shared" si="3159"/>
        <v>0</v>
      </c>
      <c r="CG239" s="200">
        <f t="shared" si="3159"/>
        <v>0</v>
      </c>
      <c r="CH239" s="200">
        <f t="shared" si="3159"/>
        <v>0</v>
      </c>
      <c r="CI239" s="200">
        <f t="shared" si="3159"/>
        <v>0</v>
      </c>
      <c r="CJ239" s="200">
        <f t="shared" si="3159"/>
        <v>0</v>
      </c>
      <c r="CK239" s="200">
        <f t="shared" si="3159"/>
        <v>0</v>
      </c>
      <c r="CL239" s="200">
        <f t="shared" si="3159"/>
        <v>0</v>
      </c>
      <c r="CM239" s="200">
        <f t="shared" si="3159"/>
        <v>0</v>
      </c>
      <c r="CN239" s="200">
        <f t="shared" si="3159"/>
        <v>0</v>
      </c>
      <c r="CO239" s="200">
        <f t="shared" si="3159"/>
        <v>0</v>
      </c>
      <c r="CP239" s="200">
        <f t="shared" si="3159"/>
        <v>0</v>
      </c>
      <c r="CQ239" s="374">
        <f t="shared" si="3159"/>
        <v>0</v>
      </c>
      <c r="CR239" s="200">
        <f t="shared" si="3159"/>
        <v>0</v>
      </c>
      <c r="CS239" s="200">
        <f t="shared" si="3159"/>
        <v>0</v>
      </c>
      <c r="CT239" s="200">
        <f t="shared" si="3159"/>
        <v>0</v>
      </c>
      <c r="CU239" s="200">
        <f t="shared" si="3159"/>
        <v>0</v>
      </c>
      <c r="CV239" s="200">
        <f t="shared" si="3159"/>
        <v>0</v>
      </c>
      <c r="CW239" s="200">
        <f t="shared" si="3159"/>
        <v>0</v>
      </c>
      <c r="CX239" s="200">
        <f t="shared" si="3159"/>
        <v>0</v>
      </c>
      <c r="CY239" s="200">
        <f t="shared" si="3159"/>
        <v>0</v>
      </c>
      <c r="CZ239" s="200">
        <f t="shared" si="3159"/>
        <v>0</v>
      </c>
      <c r="DA239" s="200">
        <f t="shared" si="3159"/>
        <v>0</v>
      </c>
      <c r="DB239" s="200">
        <f t="shared" si="3159"/>
        <v>0</v>
      </c>
      <c r="DC239" s="374">
        <f t="shared" si="3159"/>
        <v>0</v>
      </c>
    </row>
    <row r="240" spans="3:107" x14ac:dyDescent="0.3">
      <c r="C240" s="231" t="str">
        <f>++C$44</f>
        <v>Reported EBITDA</v>
      </c>
      <c r="D240" s="191"/>
      <c r="E240" s="191"/>
      <c r="G240" s="239">
        <f>++SUM(G236:G239)</f>
        <v>0</v>
      </c>
      <c r="H240" s="232">
        <f t="shared" ref="H240:BS240" si="3160">++SUM(H236:H239)</f>
        <v>0</v>
      </c>
      <c r="I240" s="232">
        <f t="shared" si="3160"/>
        <v>0</v>
      </c>
      <c r="J240" s="232">
        <f t="shared" si="3160"/>
        <v>0</v>
      </c>
      <c r="K240" s="239">
        <f t="shared" si="3160"/>
        <v>0</v>
      </c>
      <c r="L240" s="232">
        <f t="shared" si="3160"/>
        <v>0</v>
      </c>
      <c r="M240" s="232">
        <f t="shared" si="3160"/>
        <v>0</v>
      </c>
      <c r="N240" s="232">
        <f t="shared" si="3160"/>
        <v>0</v>
      </c>
      <c r="O240" s="232">
        <f t="shared" si="3160"/>
        <v>0</v>
      </c>
      <c r="P240" s="232">
        <f t="shared" si="3160"/>
        <v>0</v>
      </c>
      <c r="Q240" s="232">
        <f t="shared" si="3160"/>
        <v>0</v>
      </c>
      <c r="R240" s="232">
        <f t="shared" si="3160"/>
        <v>0</v>
      </c>
      <c r="S240" s="232">
        <f t="shared" si="3160"/>
        <v>0</v>
      </c>
      <c r="T240" s="232">
        <f t="shared" si="3160"/>
        <v>0</v>
      </c>
      <c r="U240" s="232">
        <f t="shared" si="3160"/>
        <v>0</v>
      </c>
      <c r="V240" s="232">
        <f t="shared" si="3160"/>
        <v>0</v>
      </c>
      <c r="W240" s="239">
        <f t="shared" si="3160"/>
        <v>0</v>
      </c>
      <c r="X240" s="232">
        <f t="shared" si="3160"/>
        <v>0</v>
      </c>
      <c r="Y240" s="232">
        <f t="shared" si="3160"/>
        <v>0</v>
      </c>
      <c r="Z240" s="232">
        <f t="shared" si="3160"/>
        <v>0</v>
      </c>
      <c r="AA240" s="232">
        <f t="shared" si="3160"/>
        <v>0</v>
      </c>
      <c r="AB240" s="232">
        <f t="shared" si="3160"/>
        <v>0</v>
      </c>
      <c r="AC240" s="232">
        <f t="shared" si="3160"/>
        <v>0</v>
      </c>
      <c r="AD240" s="232">
        <f t="shared" si="3160"/>
        <v>0</v>
      </c>
      <c r="AE240" s="232">
        <f t="shared" si="3160"/>
        <v>0</v>
      </c>
      <c r="AF240" s="232">
        <f t="shared" si="3160"/>
        <v>0</v>
      </c>
      <c r="AG240" s="232">
        <f t="shared" si="3160"/>
        <v>0</v>
      </c>
      <c r="AH240" s="232">
        <f t="shared" si="3160"/>
        <v>0</v>
      </c>
      <c r="AI240" s="239">
        <f t="shared" si="3160"/>
        <v>0</v>
      </c>
      <c r="AJ240" s="232">
        <f t="shared" si="3160"/>
        <v>0</v>
      </c>
      <c r="AK240" s="232">
        <f t="shared" si="3160"/>
        <v>0</v>
      </c>
      <c r="AL240" s="232">
        <f t="shared" si="3160"/>
        <v>0</v>
      </c>
      <c r="AM240" s="232">
        <f t="shared" si="3160"/>
        <v>0</v>
      </c>
      <c r="AN240" s="232">
        <f t="shared" si="3160"/>
        <v>0</v>
      </c>
      <c r="AO240" s="232">
        <f t="shared" si="3160"/>
        <v>0</v>
      </c>
      <c r="AP240" s="232">
        <f t="shared" si="3160"/>
        <v>0</v>
      </c>
      <c r="AQ240" s="232">
        <f t="shared" si="3160"/>
        <v>0</v>
      </c>
      <c r="AR240" s="232">
        <f t="shared" si="3160"/>
        <v>0</v>
      </c>
      <c r="AS240" s="232">
        <f t="shared" si="3160"/>
        <v>0</v>
      </c>
      <c r="AT240" s="232">
        <f t="shared" si="3160"/>
        <v>0</v>
      </c>
      <c r="AU240" s="239">
        <f t="shared" si="3160"/>
        <v>0</v>
      </c>
      <c r="AV240" s="232">
        <f t="shared" si="3160"/>
        <v>0</v>
      </c>
      <c r="AW240" s="232">
        <f t="shared" si="3160"/>
        <v>0</v>
      </c>
      <c r="AX240" s="232">
        <f t="shared" si="3160"/>
        <v>0</v>
      </c>
      <c r="AY240" s="232">
        <f t="shared" si="3160"/>
        <v>0</v>
      </c>
      <c r="AZ240" s="232">
        <f t="shared" si="3160"/>
        <v>0</v>
      </c>
      <c r="BA240" s="232">
        <f t="shared" si="3160"/>
        <v>0</v>
      </c>
      <c r="BB240" s="232">
        <f t="shared" si="3160"/>
        <v>0</v>
      </c>
      <c r="BC240" s="232">
        <f t="shared" si="3160"/>
        <v>0</v>
      </c>
      <c r="BD240" s="232">
        <f t="shared" si="3160"/>
        <v>0</v>
      </c>
      <c r="BE240" s="232">
        <f t="shared" si="3160"/>
        <v>0</v>
      </c>
      <c r="BF240" s="232">
        <f t="shared" si="3160"/>
        <v>0</v>
      </c>
      <c r="BG240" s="239">
        <f t="shared" si="3160"/>
        <v>0</v>
      </c>
      <c r="BH240" s="232">
        <f t="shared" si="3160"/>
        <v>0</v>
      </c>
      <c r="BI240" s="232">
        <f t="shared" si="3160"/>
        <v>0</v>
      </c>
      <c r="BJ240" s="232">
        <f t="shared" si="3160"/>
        <v>0</v>
      </c>
      <c r="BK240" s="232">
        <f t="shared" si="3160"/>
        <v>0</v>
      </c>
      <c r="BL240" s="232">
        <f t="shared" si="3160"/>
        <v>0</v>
      </c>
      <c r="BM240" s="232">
        <f t="shared" si="3160"/>
        <v>0</v>
      </c>
      <c r="BN240" s="232">
        <f t="shared" si="3160"/>
        <v>0</v>
      </c>
      <c r="BO240" s="232">
        <f t="shared" si="3160"/>
        <v>0</v>
      </c>
      <c r="BP240" s="232">
        <f t="shared" si="3160"/>
        <v>0</v>
      </c>
      <c r="BQ240" s="232">
        <f t="shared" si="3160"/>
        <v>0</v>
      </c>
      <c r="BR240" s="232">
        <f t="shared" si="3160"/>
        <v>0</v>
      </c>
      <c r="BS240" s="239">
        <f t="shared" si="3160"/>
        <v>0</v>
      </c>
      <c r="BT240" s="232">
        <f t="shared" ref="BT240:DC240" si="3161">++SUM(BT236:BT239)</f>
        <v>0</v>
      </c>
      <c r="BU240" s="232">
        <f t="shared" si="3161"/>
        <v>0</v>
      </c>
      <c r="BV240" s="232">
        <f t="shared" si="3161"/>
        <v>0</v>
      </c>
      <c r="BW240" s="232">
        <f t="shared" si="3161"/>
        <v>0</v>
      </c>
      <c r="BX240" s="232">
        <f t="shared" si="3161"/>
        <v>0</v>
      </c>
      <c r="BY240" s="232">
        <f t="shared" si="3161"/>
        <v>0</v>
      </c>
      <c r="BZ240" s="232">
        <f t="shared" si="3161"/>
        <v>0</v>
      </c>
      <c r="CA240" s="232">
        <f t="shared" si="3161"/>
        <v>0</v>
      </c>
      <c r="CB240" s="232">
        <f t="shared" si="3161"/>
        <v>0</v>
      </c>
      <c r="CC240" s="232">
        <f t="shared" si="3161"/>
        <v>0</v>
      </c>
      <c r="CD240" s="232">
        <f t="shared" si="3161"/>
        <v>0</v>
      </c>
      <c r="CE240" s="239">
        <f t="shared" si="3161"/>
        <v>0</v>
      </c>
      <c r="CF240" s="232">
        <f t="shared" si="3161"/>
        <v>0</v>
      </c>
      <c r="CG240" s="232">
        <f t="shared" si="3161"/>
        <v>0</v>
      </c>
      <c r="CH240" s="232">
        <f t="shared" si="3161"/>
        <v>0</v>
      </c>
      <c r="CI240" s="232">
        <f t="shared" si="3161"/>
        <v>0</v>
      </c>
      <c r="CJ240" s="232">
        <f t="shared" si="3161"/>
        <v>0</v>
      </c>
      <c r="CK240" s="232">
        <f t="shared" si="3161"/>
        <v>0</v>
      </c>
      <c r="CL240" s="232">
        <f t="shared" si="3161"/>
        <v>0</v>
      </c>
      <c r="CM240" s="232">
        <f t="shared" si="3161"/>
        <v>0</v>
      </c>
      <c r="CN240" s="232">
        <f t="shared" si="3161"/>
        <v>0</v>
      </c>
      <c r="CO240" s="232">
        <f t="shared" si="3161"/>
        <v>0</v>
      </c>
      <c r="CP240" s="232">
        <f t="shared" si="3161"/>
        <v>0</v>
      </c>
      <c r="CQ240" s="239">
        <f t="shared" si="3161"/>
        <v>0</v>
      </c>
      <c r="CR240" s="232">
        <f t="shared" si="3161"/>
        <v>0</v>
      </c>
      <c r="CS240" s="232">
        <f t="shared" si="3161"/>
        <v>0</v>
      </c>
      <c r="CT240" s="232">
        <f t="shared" si="3161"/>
        <v>0</v>
      </c>
      <c r="CU240" s="232">
        <f t="shared" si="3161"/>
        <v>0</v>
      </c>
      <c r="CV240" s="232">
        <f t="shared" si="3161"/>
        <v>0</v>
      </c>
      <c r="CW240" s="232">
        <f t="shared" si="3161"/>
        <v>0</v>
      </c>
      <c r="CX240" s="232">
        <f t="shared" si="3161"/>
        <v>0</v>
      </c>
      <c r="CY240" s="232">
        <f t="shared" si="3161"/>
        <v>0</v>
      </c>
      <c r="CZ240" s="232">
        <f t="shared" si="3161"/>
        <v>0</v>
      </c>
      <c r="DA240" s="232">
        <f t="shared" si="3161"/>
        <v>0</v>
      </c>
      <c r="DB240" s="232">
        <f t="shared" si="3161"/>
        <v>0</v>
      </c>
      <c r="DC240" s="239">
        <f t="shared" si="3161"/>
        <v>0</v>
      </c>
    </row>
    <row r="241" spans="1:107" x14ac:dyDescent="0.3">
      <c r="C241" s="321" t="str">
        <f>++C$45</f>
        <v>% margin</v>
      </c>
      <c r="G241" s="214" t="str">
        <f>++IFERROR(G240/G206,"n/a")</f>
        <v>n/a</v>
      </c>
      <c r="H241" s="225" t="str">
        <f t="shared" ref="H241" si="3162">++IFERROR(H240/H206,"n/a")</f>
        <v>n/a</v>
      </c>
      <c r="I241" s="225" t="str">
        <f t="shared" ref="I241" si="3163">++IFERROR(I240/I206,"n/a")</f>
        <v>n/a</v>
      </c>
      <c r="J241" s="225" t="str">
        <f t="shared" ref="J241" si="3164">++IFERROR(J240/J206,"n/a")</f>
        <v>n/a</v>
      </c>
      <c r="K241" s="214" t="str">
        <f t="shared" ref="K241" si="3165">++IFERROR(K240/K206,"n/a")</f>
        <v>n/a</v>
      </c>
      <c r="L241" s="225" t="str">
        <f t="shared" ref="L241" si="3166">++IFERROR(L240/L206,"n/a")</f>
        <v>n/a</v>
      </c>
      <c r="M241" s="225" t="str">
        <f t="shared" ref="M241" si="3167">++IFERROR(M240/M206,"n/a")</f>
        <v>n/a</v>
      </c>
      <c r="N241" s="225" t="str">
        <f t="shared" ref="N241" si="3168">++IFERROR(N240/N206,"n/a")</f>
        <v>n/a</v>
      </c>
      <c r="O241" s="225" t="str">
        <f t="shared" ref="O241" si="3169">++IFERROR(O240/O206,"n/a")</f>
        <v>n/a</v>
      </c>
      <c r="P241" s="225" t="str">
        <f t="shared" ref="P241" si="3170">++IFERROR(P240/P206,"n/a")</f>
        <v>n/a</v>
      </c>
      <c r="Q241" s="225" t="str">
        <f t="shared" ref="Q241" si="3171">++IFERROR(Q240/Q206,"n/a")</f>
        <v>n/a</v>
      </c>
      <c r="R241" s="225" t="str">
        <f t="shared" ref="R241" si="3172">++IFERROR(R240/R206,"n/a")</f>
        <v>n/a</v>
      </c>
      <c r="S241" s="225" t="str">
        <f t="shared" ref="S241" si="3173">++IFERROR(S240/S206,"n/a")</f>
        <v>n/a</v>
      </c>
      <c r="T241" s="225" t="str">
        <f t="shared" ref="T241" si="3174">++IFERROR(T240/T206,"n/a")</f>
        <v>n/a</v>
      </c>
      <c r="U241" s="225" t="str">
        <f t="shared" ref="U241" si="3175">++IFERROR(U240/U206,"n/a")</f>
        <v>n/a</v>
      </c>
      <c r="V241" s="225" t="str">
        <f t="shared" ref="V241" si="3176">++IFERROR(V240/V206,"n/a")</f>
        <v>n/a</v>
      </c>
      <c r="W241" s="214" t="str">
        <f t="shared" ref="W241" si="3177">++IFERROR(W240/W206,"n/a")</f>
        <v>n/a</v>
      </c>
      <c r="X241" s="225" t="str">
        <f t="shared" ref="X241" si="3178">++IFERROR(X240/X206,"n/a")</f>
        <v>n/a</v>
      </c>
      <c r="Y241" s="225" t="str">
        <f t="shared" ref="Y241" si="3179">++IFERROR(Y240/Y206,"n/a")</f>
        <v>n/a</v>
      </c>
      <c r="Z241" s="225" t="str">
        <f t="shared" ref="Z241" si="3180">++IFERROR(Z240/Z206,"n/a")</f>
        <v>n/a</v>
      </c>
      <c r="AA241" s="225" t="str">
        <f t="shared" ref="AA241" si="3181">++IFERROR(AA240/AA206,"n/a")</f>
        <v>n/a</v>
      </c>
      <c r="AB241" s="225" t="str">
        <f t="shared" ref="AB241" si="3182">++IFERROR(AB240/AB206,"n/a")</f>
        <v>n/a</v>
      </c>
      <c r="AC241" s="225" t="str">
        <f t="shared" ref="AC241" si="3183">++IFERROR(AC240/AC206,"n/a")</f>
        <v>n/a</v>
      </c>
      <c r="AD241" s="225" t="str">
        <f t="shared" ref="AD241" si="3184">++IFERROR(AD240/AD206,"n/a")</f>
        <v>n/a</v>
      </c>
      <c r="AE241" s="225" t="str">
        <f t="shared" ref="AE241" si="3185">++IFERROR(AE240/AE206,"n/a")</f>
        <v>n/a</v>
      </c>
      <c r="AF241" s="225" t="str">
        <f t="shared" ref="AF241" si="3186">++IFERROR(AF240/AF206,"n/a")</f>
        <v>n/a</v>
      </c>
      <c r="AG241" s="225" t="str">
        <f t="shared" ref="AG241" si="3187">++IFERROR(AG240/AG206,"n/a")</f>
        <v>n/a</v>
      </c>
      <c r="AH241" s="225" t="str">
        <f t="shared" ref="AH241" si="3188">++IFERROR(AH240/AH206,"n/a")</f>
        <v>n/a</v>
      </c>
      <c r="AI241" s="214" t="str">
        <f t="shared" ref="AI241" si="3189">++IFERROR(AI240/AI206,"n/a")</f>
        <v>n/a</v>
      </c>
      <c r="AJ241" s="225" t="str">
        <f t="shared" ref="AJ241" si="3190">++IFERROR(AJ240/AJ206,"n/a")</f>
        <v>n/a</v>
      </c>
      <c r="AK241" s="225" t="str">
        <f t="shared" ref="AK241" si="3191">++IFERROR(AK240/AK206,"n/a")</f>
        <v>n/a</v>
      </c>
      <c r="AL241" s="225" t="str">
        <f t="shared" ref="AL241" si="3192">++IFERROR(AL240/AL206,"n/a")</f>
        <v>n/a</v>
      </c>
      <c r="AM241" s="225" t="str">
        <f t="shared" ref="AM241" si="3193">++IFERROR(AM240/AM206,"n/a")</f>
        <v>n/a</v>
      </c>
      <c r="AN241" s="225" t="str">
        <f t="shared" ref="AN241" si="3194">++IFERROR(AN240/AN206,"n/a")</f>
        <v>n/a</v>
      </c>
      <c r="AO241" s="225" t="str">
        <f t="shared" ref="AO241" si="3195">++IFERROR(AO240/AO206,"n/a")</f>
        <v>n/a</v>
      </c>
      <c r="AP241" s="225" t="str">
        <f t="shared" ref="AP241" si="3196">++IFERROR(AP240/AP206,"n/a")</f>
        <v>n/a</v>
      </c>
      <c r="AQ241" s="225" t="str">
        <f t="shared" ref="AQ241" si="3197">++IFERROR(AQ240/AQ206,"n/a")</f>
        <v>n/a</v>
      </c>
      <c r="AR241" s="225" t="str">
        <f t="shared" ref="AR241" si="3198">++IFERROR(AR240/AR206,"n/a")</f>
        <v>n/a</v>
      </c>
      <c r="AS241" s="225" t="str">
        <f t="shared" ref="AS241" si="3199">++IFERROR(AS240/AS206,"n/a")</f>
        <v>n/a</v>
      </c>
      <c r="AT241" s="225" t="str">
        <f t="shared" ref="AT241" si="3200">++IFERROR(AT240/AT206,"n/a")</f>
        <v>n/a</v>
      </c>
      <c r="AU241" s="214" t="str">
        <f t="shared" ref="AU241" si="3201">++IFERROR(AU240/AU206,"n/a")</f>
        <v>n/a</v>
      </c>
      <c r="AV241" s="225" t="str">
        <f t="shared" ref="AV241" si="3202">++IFERROR(AV240/AV206,"n/a")</f>
        <v>n/a</v>
      </c>
      <c r="AW241" s="225" t="str">
        <f t="shared" ref="AW241" si="3203">++IFERROR(AW240/AW206,"n/a")</f>
        <v>n/a</v>
      </c>
      <c r="AX241" s="225" t="str">
        <f t="shared" ref="AX241" si="3204">++IFERROR(AX240/AX206,"n/a")</f>
        <v>n/a</v>
      </c>
      <c r="AY241" s="225" t="str">
        <f t="shared" ref="AY241" si="3205">++IFERROR(AY240/AY206,"n/a")</f>
        <v>n/a</v>
      </c>
      <c r="AZ241" s="225" t="str">
        <f t="shared" ref="AZ241" si="3206">++IFERROR(AZ240/AZ206,"n/a")</f>
        <v>n/a</v>
      </c>
      <c r="BA241" s="225" t="str">
        <f t="shared" ref="BA241" si="3207">++IFERROR(BA240/BA206,"n/a")</f>
        <v>n/a</v>
      </c>
      <c r="BB241" s="225" t="str">
        <f t="shared" ref="BB241" si="3208">++IFERROR(BB240/BB206,"n/a")</f>
        <v>n/a</v>
      </c>
      <c r="BC241" s="225" t="str">
        <f t="shared" ref="BC241" si="3209">++IFERROR(BC240/BC206,"n/a")</f>
        <v>n/a</v>
      </c>
      <c r="BD241" s="225" t="str">
        <f t="shared" ref="BD241" si="3210">++IFERROR(BD240/BD206,"n/a")</f>
        <v>n/a</v>
      </c>
      <c r="BE241" s="225" t="str">
        <f t="shared" ref="BE241" si="3211">++IFERROR(BE240/BE206,"n/a")</f>
        <v>n/a</v>
      </c>
      <c r="BF241" s="225" t="str">
        <f t="shared" ref="BF241" si="3212">++IFERROR(BF240/BF206,"n/a")</f>
        <v>n/a</v>
      </c>
      <c r="BG241" s="214" t="str">
        <f t="shared" ref="BG241" si="3213">++IFERROR(BG240/BG206,"n/a")</f>
        <v>n/a</v>
      </c>
      <c r="BH241" s="225" t="str">
        <f t="shared" ref="BH241" si="3214">++IFERROR(BH240/BH206,"n/a")</f>
        <v>n/a</v>
      </c>
      <c r="BI241" s="225" t="str">
        <f t="shared" ref="BI241" si="3215">++IFERROR(BI240/BI206,"n/a")</f>
        <v>n/a</v>
      </c>
      <c r="BJ241" s="225" t="str">
        <f t="shared" ref="BJ241" si="3216">++IFERROR(BJ240/BJ206,"n/a")</f>
        <v>n/a</v>
      </c>
      <c r="BK241" s="225" t="str">
        <f t="shared" ref="BK241" si="3217">++IFERROR(BK240/BK206,"n/a")</f>
        <v>n/a</v>
      </c>
      <c r="BL241" s="225" t="str">
        <f t="shared" ref="BL241" si="3218">++IFERROR(BL240/BL206,"n/a")</f>
        <v>n/a</v>
      </c>
      <c r="BM241" s="225" t="str">
        <f t="shared" ref="BM241" si="3219">++IFERROR(BM240/BM206,"n/a")</f>
        <v>n/a</v>
      </c>
      <c r="BN241" s="225" t="str">
        <f t="shared" ref="BN241" si="3220">++IFERROR(BN240/BN206,"n/a")</f>
        <v>n/a</v>
      </c>
      <c r="BO241" s="225" t="str">
        <f t="shared" ref="BO241" si="3221">++IFERROR(BO240/BO206,"n/a")</f>
        <v>n/a</v>
      </c>
      <c r="BP241" s="225" t="str">
        <f t="shared" ref="BP241" si="3222">++IFERROR(BP240/BP206,"n/a")</f>
        <v>n/a</v>
      </c>
      <c r="BQ241" s="225" t="str">
        <f t="shared" ref="BQ241" si="3223">++IFERROR(BQ240/BQ206,"n/a")</f>
        <v>n/a</v>
      </c>
      <c r="BR241" s="225" t="str">
        <f t="shared" ref="BR241" si="3224">++IFERROR(BR240/BR206,"n/a")</f>
        <v>n/a</v>
      </c>
      <c r="BS241" s="214" t="str">
        <f t="shared" ref="BS241" si="3225">++IFERROR(BS240/BS206,"n/a")</f>
        <v>n/a</v>
      </c>
      <c r="BT241" s="225" t="str">
        <f t="shared" ref="BT241" si="3226">++IFERROR(BT240/BT206,"n/a")</f>
        <v>n/a</v>
      </c>
      <c r="BU241" s="225" t="str">
        <f t="shared" ref="BU241" si="3227">++IFERROR(BU240/BU206,"n/a")</f>
        <v>n/a</v>
      </c>
      <c r="BV241" s="225" t="str">
        <f t="shared" ref="BV241" si="3228">++IFERROR(BV240/BV206,"n/a")</f>
        <v>n/a</v>
      </c>
      <c r="BW241" s="225" t="str">
        <f t="shared" ref="BW241" si="3229">++IFERROR(BW240/BW206,"n/a")</f>
        <v>n/a</v>
      </c>
      <c r="BX241" s="225" t="str">
        <f t="shared" ref="BX241" si="3230">++IFERROR(BX240/BX206,"n/a")</f>
        <v>n/a</v>
      </c>
      <c r="BY241" s="225" t="str">
        <f t="shared" ref="BY241" si="3231">++IFERROR(BY240/BY206,"n/a")</f>
        <v>n/a</v>
      </c>
      <c r="BZ241" s="225" t="str">
        <f t="shared" ref="BZ241" si="3232">++IFERROR(BZ240/BZ206,"n/a")</f>
        <v>n/a</v>
      </c>
      <c r="CA241" s="225" t="str">
        <f t="shared" ref="CA241" si="3233">++IFERROR(CA240/CA206,"n/a")</f>
        <v>n/a</v>
      </c>
      <c r="CB241" s="225" t="str">
        <f t="shared" ref="CB241" si="3234">++IFERROR(CB240/CB206,"n/a")</f>
        <v>n/a</v>
      </c>
      <c r="CC241" s="225" t="str">
        <f t="shared" ref="CC241" si="3235">++IFERROR(CC240/CC206,"n/a")</f>
        <v>n/a</v>
      </c>
      <c r="CD241" s="225" t="str">
        <f t="shared" ref="CD241" si="3236">++IFERROR(CD240/CD206,"n/a")</f>
        <v>n/a</v>
      </c>
      <c r="CE241" s="214" t="str">
        <f t="shared" ref="CE241" si="3237">++IFERROR(CE240/CE206,"n/a")</f>
        <v>n/a</v>
      </c>
      <c r="CF241" s="225" t="str">
        <f t="shared" ref="CF241" si="3238">++IFERROR(CF240/CF206,"n/a")</f>
        <v>n/a</v>
      </c>
      <c r="CG241" s="225" t="str">
        <f t="shared" ref="CG241" si="3239">++IFERROR(CG240/CG206,"n/a")</f>
        <v>n/a</v>
      </c>
      <c r="CH241" s="225" t="str">
        <f t="shared" ref="CH241" si="3240">++IFERROR(CH240/CH206,"n/a")</f>
        <v>n/a</v>
      </c>
      <c r="CI241" s="225" t="str">
        <f t="shared" ref="CI241" si="3241">++IFERROR(CI240/CI206,"n/a")</f>
        <v>n/a</v>
      </c>
      <c r="CJ241" s="225" t="str">
        <f t="shared" ref="CJ241" si="3242">++IFERROR(CJ240/CJ206,"n/a")</f>
        <v>n/a</v>
      </c>
      <c r="CK241" s="225" t="str">
        <f t="shared" ref="CK241" si="3243">++IFERROR(CK240/CK206,"n/a")</f>
        <v>n/a</v>
      </c>
      <c r="CL241" s="225" t="str">
        <f t="shared" ref="CL241" si="3244">++IFERROR(CL240/CL206,"n/a")</f>
        <v>n/a</v>
      </c>
      <c r="CM241" s="225" t="str">
        <f t="shared" ref="CM241" si="3245">++IFERROR(CM240/CM206,"n/a")</f>
        <v>n/a</v>
      </c>
      <c r="CN241" s="225" t="str">
        <f t="shared" ref="CN241" si="3246">++IFERROR(CN240/CN206,"n/a")</f>
        <v>n/a</v>
      </c>
      <c r="CO241" s="225" t="str">
        <f t="shared" ref="CO241" si="3247">++IFERROR(CO240/CO206,"n/a")</f>
        <v>n/a</v>
      </c>
      <c r="CP241" s="225" t="str">
        <f t="shared" ref="CP241" si="3248">++IFERROR(CP240/CP206,"n/a")</f>
        <v>n/a</v>
      </c>
      <c r="CQ241" s="214" t="str">
        <f t="shared" ref="CQ241" si="3249">++IFERROR(CQ240/CQ206,"n/a")</f>
        <v>n/a</v>
      </c>
      <c r="CR241" s="225" t="str">
        <f t="shared" ref="CR241" si="3250">++IFERROR(CR240/CR206,"n/a")</f>
        <v>n/a</v>
      </c>
      <c r="CS241" s="225" t="str">
        <f t="shared" ref="CS241" si="3251">++IFERROR(CS240/CS206,"n/a")</f>
        <v>n/a</v>
      </c>
      <c r="CT241" s="225" t="str">
        <f t="shared" ref="CT241" si="3252">++IFERROR(CT240/CT206,"n/a")</f>
        <v>n/a</v>
      </c>
      <c r="CU241" s="225" t="str">
        <f t="shared" ref="CU241" si="3253">++IFERROR(CU240/CU206,"n/a")</f>
        <v>n/a</v>
      </c>
      <c r="CV241" s="225" t="str">
        <f t="shared" ref="CV241" si="3254">++IFERROR(CV240/CV206,"n/a")</f>
        <v>n/a</v>
      </c>
      <c r="CW241" s="225" t="str">
        <f t="shared" ref="CW241" si="3255">++IFERROR(CW240/CW206,"n/a")</f>
        <v>n/a</v>
      </c>
      <c r="CX241" s="225" t="str">
        <f t="shared" ref="CX241" si="3256">++IFERROR(CX240/CX206,"n/a")</f>
        <v>n/a</v>
      </c>
      <c r="CY241" s="225" t="str">
        <f t="shared" ref="CY241" si="3257">++IFERROR(CY240/CY206,"n/a")</f>
        <v>n/a</v>
      </c>
      <c r="CZ241" s="225" t="str">
        <f t="shared" ref="CZ241" si="3258">++IFERROR(CZ240/CZ206,"n/a")</f>
        <v>n/a</v>
      </c>
      <c r="DA241" s="225" t="str">
        <f t="shared" ref="DA241" si="3259">++IFERROR(DA240/DA206,"n/a")</f>
        <v>n/a</v>
      </c>
      <c r="DB241" s="225" t="str">
        <f t="shared" ref="DB241" si="3260">++IFERROR(DB240/DB206,"n/a")</f>
        <v>n/a</v>
      </c>
      <c r="DC241" s="214" t="str">
        <f t="shared" ref="DC241" si="3261">++IFERROR(DC240/DC206,"n/a")</f>
        <v>n/a</v>
      </c>
    </row>
    <row r="242" spans="1:107" x14ac:dyDescent="0.3">
      <c r="C242" s="321" t="str">
        <f>++C$46</f>
        <v>% y/y</v>
      </c>
      <c r="G242" s="122" t="s">
        <v>47</v>
      </c>
      <c r="H242" s="122" t="s">
        <v>47</v>
      </c>
      <c r="I242" s="122" t="s">
        <v>47</v>
      </c>
      <c r="J242" s="122" t="s">
        <v>47</v>
      </c>
      <c r="K242" s="214" t="str">
        <f>++IFERROR(K240/G240-1,"n/a")</f>
        <v>n/a</v>
      </c>
      <c r="L242" s="122" t="s">
        <v>47</v>
      </c>
      <c r="M242" s="122" t="s">
        <v>47</v>
      </c>
      <c r="N242" s="225" t="str">
        <f>++IFERROR(N240/H240-1,"n/a")</f>
        <v>n/a</v>
      </c>
      <c r="O242" s="122" t="s">
        <v>47</v>
      </c>
      <c r="P242" s="122" t="s">
        <v>47</v>
      </c>
      <c r="Q242" s="225" t="str">
        <f>++IFERROR(Q240/I240-1,"n/a")</f>
        <v>n/a</v>
      </c>
      <c r="R242" s="122" t="s">
        <v>47</v>
      </c>
      <c r="S242" s="122" t="s">
        <v>47</v>
      </c>
      <c r="T242" s="225" t="str">
        <f>++IFERROR(T240/J240-1,"n/a")</f>
        <v>n/a</v>
      </c>
      <c r="U242" s="122" t="s">
        <v>47</v>
      </c>
      <c r="V242" s="122" t="s">
        <v>47</v>
      </c>
      <c r="W242" s="214" t="str">
        <f t="shared" ref="W242:BB242" si="3262">++IFERROR(W240/K240-1,"n/a")</f>
        <v>n/a</v>
      </c>
      <c r="X242" s="225" t="str">
        <f t="shared" si="3262"/>
        <v>n/a</v>
      </c>
      <c r="Y242" s="225" t="str">
        <f t="shared" si="3262"/>
        <v>n/a</v>
      </c>
      <c r="Z242" s="225" t="str">
        <f t="shared" si="3262"/>
        <v>n/a</v>
      </c>
      <c r="AA242" s="225" t="str">
        <f t="shared" si="3262"/>
        <v>n/a</v>
      </c>
      <c r="AB242" s="225" t="str">
        <f t="shared" si="3262"/>
        <v>n/a</v>
      </c>
      <c r="AC242" s="225" t="str">
        <f t="shared" si="3262"/>
        <v>n/a</v>
      </c>
      <c r="AD242" s="225" t="str">
        <f t="shared" si="3262"/>
        <v>n/a</v>
      </c>
      <c r="AE242" s="225" t="str">
        <f t="shared" si="3262"/>
        <v>n/a</v>
      </c>
      <c r="AF242" s="225" t="str">
        <f t="shared" si="3262"/>
        <v>n/a</v>
      </c>
      <c r="AG242" s="225" t="str">
        <f t="shared" si="3262"/>
        <v>n/a</v>
      </c>
      <c r="AH242" s="225" t="str">
        <f t="shared" si="3262"/>
        <v>n/a</v>
      </c>
      <c r="AI242" s="214" t="str">
        <f t="shared" si="3262"/>
        <v>n/a</v>
      </c>
      <c r="AJ242" s="225" t="str">
        <f t="shared" si="3262"/>
        <v>n/a</v>
      </c>
      <c r="AK242" s="225" t="str">
        <f t="shared" si="3262"/>
        <v>n/a</v>
      </c>
      <c r="AL242" s="225" t="str">
        <f t="shared" si="3262"/>
        <v>n/a</v>
      </c>
      <c r="AM242" s="225" t="str">
        <f t="shared" si="3262"/>
        <v>n/a</v>
      </c>
      <c r="AN242" s="225" t="str">
        <f t="shared" si="3262"/>
        <v>n/a</v>
      </c>
      <c r="AO242" s="225" t="str">
        <f t="shared" si="3262"/>
        <v>n/a</v>
      </c>
      <c r="AP242" s="225" t="str">
        <f t="shared" si="3262"/>
        <v>n/a</v>
      </c>
      <c r="AQ242" s="225" t="str">
        <f t="shared" si="3262"/>
        <v>n/a</v>
      </c>
      <c r="AR242" s="225" t="str">
        <f t="shared" si="3262"/>
        <v>n/a</v>
      </c>
      <c r="AS242" s="225" t="str">
        <f t="shared" si="3262"/>
        <v>n/a</v>
      </c>
      <c r="AT242" s="225" t="str">
        <f t="shared" si="3262"/>
        <v>n/a</v>
      </c>
      <c r="AU242" s="214" t="str">
        <f t="shared" si="3262"/>
        <v>n/a</v>
      </c>
      <c r="AV242" s="225" t="str">
        <f t="shared" si="3262"/>
        <v>n/a</v>
      </c>
      <c r="AW242" s="225" t="str">
        <f t="shared" si="3262"/>
        <v>n/a</v>
      </c>
      <c r="AX242" s="225" t="str">
        <f t="shared" si="3262"/>
        <v>n/a</v>
      </c>
      <c r="AY242" s="225" t="str">
        <f t="shared" si="3262"/>
        <v>n/a</v>
      </c>
      <c r="AZ242" s="225" t="str">
        <f t="shared" si="3262"/>
        <v>n/a</v>
      </c>
      <c r="BA242" s="225" t="str">
        <f t="shared" si="3262"/>
        <v>n/a</v>
      </c>
      <c r="BB242" s="225" t="str">
        <f t="shared" si="3262"/>
        <v>n/a</v>
      </c>
      <c r="BC242" s="225" t="str">
        <f t="shared" ref="BC242:CH242" si="3263">++IFERROR(BC240/AQ240-1,"n/a")</f>
        <v>n/a</v>
      </c>
      <c r="BD242" s="225" t="str">
        <f t="shared" si="3263"/>
        <v>n/a</v>
      </c>
      <c r="BE242" s="225" t="str">
        <f t="shared" si="3263"/>
        <v>n/a</v>
      </c>
      <c r="BF242" s="225" t="str">
        <f t="shared" si="3263"/>
        <v>n/a</v>
      </c>
      <c r="BG242" s="214" t="str">
        <f t="shared" si="3263"/>
        <v>n/a</v>
      </c>
      <c r="BH242" s="225" t="str">
        <f t="shared" si="3263"/>
        <v>n/a</v>
      </c>
      <c r="BI242" s="225" t="str">
        <f t="shared" si="3263"/>
        <v>n/a</v>
      </c>
      <c r="BJ242" s="225" t="str">
        <f t="shared" si="3263"/>
        <v>n/a</v>
      </c>
      <c r="BK242" s="225" t="str">
        <f t="shared" si="3263"/>
        <v>n/a</v>
      </c>
      <c r="BL242" s="225" t="str">
        <f t="shared" si="3263"/>
        <v>n/a</v>
      </c>
      <c r="BM242" s="225" t="str">
        <f t="shared" si="3263"/>
        <v>n/a</v>
      </c>
      <c r="BN242" s="225" t="str">
        <f t="shared" si="3263"/>
        <v>n/a</v>
      </c>
      <c r="BO242" s="225" t="str">
        <f t="shared" si="3263"/>
        <v>n/a</v>
      </c>
      <c r="BP242" s="225" t="str">
        <f t="shared" si="3263"/>
        <v>n/a</v>
      </c>
      <c r="BQ242" s="225" t="str">
        <f t="shared" si="3263"/>
        <v>n/a</v>
      </c>
      <c r="BR242" s="225" t="str">
        <f t="shared" si="3263"/>
        <v>n/a</v>
      </c>
      <c r="BS242" s="214" t="str">
        <f t="shared" si="3263"/>
        <v>n/a</v>
      </c>
      <c r="BT242" s="225" t="str">
        <f t="shared" si="3263"/>
        <v>n/a</v>
      </c>
      <c r="BU242" s="225" t="str">
        <f t="shared" si="3263"/>
        <v>n/a</v>
      </c>
      <c r="BV242" s="225" t="str">
        <f t="shared" si="3263"/>
        <v>n/a</v>
      </c>
      <c r="BW242" s="225" t="str">
        <f t="shared" si="3263"/>
        <v>n/a</v>
      </c>
      <c r="BX242" s="225" t="str">
        <f t="shared" si="3263"/>
        <v>n/a</v>
      </c>
      <c r="BY242" s="225" t="str">
        <f t="shared" si="3263"/>
        <v>n/a</v>
      </c>
      <c r="BZ242" s="225" t="str">
        <f t="shared" si="3263"/>
        <v>n/a</v>
      </c>
      <c r="CA242" s="225" t="str">
        <f t="shared" si="3263"/>
        <v>n/a</v>
      </c>
      <c r="CB242" s="225" t="str">
        <f t="shared" si="3263"/>
        <v>n/a</v>
      </c>
      <c r="CC242" s="225" t="str">
        <f t="shared" si="3263"/>
        <v>n/a</v>
      </c>
      <c r="CD242" s="225" t="str">
        <f t="shared" si="3263"/>
        <v>n/a</v>
      </c>
      <c r="CE242" s="214" t="str">
        <f t="shared" si="3263"/>
        <v>n/a</v>
      </c>
      <c r="CF242" s="225" t="str">
        <f t="shared" si="3263"/>
        <v>n/a</v>
      </c>
      <c r="CG242" s="225" t="str">
        <f t="shared" si="3263"/>
        <v>n/a</v>
      </c>
      <c r="CH242" s="225" t="str">
        <f t="shared" si="3263"/>
        <v>n/a</v>
      </c>
      <c r="CI242" s="225" t="str">
        <f t="shared" ref="CI242:DN242" si="3264">++IFERROR(CI240/BW240-1,"n/a")</f>
        <v>n/a</v>
      </c>
      <c r="CJ242" s="225" t="str">
        <f t="shared" si="3264"/>
        <v>n/a</v>
      </c>
      <c r="CK242" s="225" t="str">
        <f t="shared" si="3264"/>
        <v>n/a</v>
      </c>
      <c r="CL242" s="225" t="str">
        <f t="shared" si="3264"/>
        <v>n/a</v>
      </c>
      <c r="CM242" s="225" t="str">
        <f t="shared" si="3264"/>
        <v>n/a</v>
      </c>
      <c r="CN242" s="225" t="str">
        <f t="shared" si="3264"/>
        <v>n/a</v>
      </c>
      <c r="CO242" s="225" t="str">
        <f t="shared" si="3264"/>
        <v>n/a</v>
      </c>
      <c r="CP242" s="225" t="str">
        <f t="shared" si="3264"/>
        <v>n/a</v>
      </c>
      <c r="CQ242" s="214" t="str">
        <f t="shared" si="3264"/>
        <v>n/a</v>
      </c>
      <c r="CR242" s="225" t="str">
        <f t="shared" si="3264"/>
        <v>n/a</v>
      </c>
      <c r="CS242" s="225" t="str">
        <f t="shared" si="3264"/>
        <v>n/a</v>
      </c>
      <c r="CT242" s="225" t="str">
        <f t="shared" si="3264"/>
        <v>n/a</v>
      </c>
      <c r="CU242" s="225" t="str">
        <f t="shared" si="3264"/>
        <v>n/a</v>
      </c>
      <c r="CV242" s="225" t="str">
        <f t="shared" si="3264"/>
        <v>n/a</v>
      </c>
      <c r="CW242" s="225" t="str">
        <f t="shared" si="3264"/>
        <v>n/a</v>
      </c>
      <c r="CX242" s="225" t="str">
        <f t="shared" si="3264"/>
        <v>n/a</v>
      </c>
      <c r="CY242" s="225" t="str">
        <f t="shared" si="3264"/>
        <v>n/a</v>
      </c>
      <c r="CZ242" s="225" t="str">
        <f t="shared" si="3264"/>
        <v>n/a</v>
      </c>
      <c r="DA242" s="225" t="str">
        <f t="shared" si="3264"/>
        <v>n/a</v>
      </c>
      <c r="DB242" s="225" t="str">
        <f t="shared" si="3264"/>
        <v>n/a</v>
      </c>
      <c r="DC242" s="214" t="str">
        <f t="shared" si="3264"/>
        <v>n/a</v>
      </c>
    </row>
    <row r="243" spans="1:107" x14ac:dyDescent="0.3">
      <c r="G243" s="203"/>
      <c r="K243" s="203"/>
      <c r="W243" s="203"/>
      <c r="AI243" s="203"/>
      <c r="AU243" s="203"/>
      <c r="BG243" s="203"/>
      <c r="BS243" s="203"/>
      <c r="CE243" s="203"/>
      <c r="CQ243" s="203"/>
      <c r="DC243" s="203"/>
    </row>
    <row r="244" spans="1:107" x14ac:dyDescent="0.3">
      <c r="C244" s="193" t="str">
        <f>++C$48</f>
        <v>CA EBITDA</v>
      </c>
      <c r="G244" s="400">
        <f>++G97</f>
        <v>0</v>
      </c>
      <c r="H244" s="400">
        <f t="shared" ref="H244:BS244" si="3265">++H97</f>
        <v>0</v>
      </c>
      <c r="I244" s="400">
        <f t="shared" si="3265"/>
        <v>0</v>
      </c>
      <c r="J244" s="400">
        <f t="shared" si="3265"/>
        <v>0</v>
      </c>
      <c r="K244" s="400">
        <f t="shared" si="3265"/>
        <v>0</v>
      </c>
      <c r="L244" s="400">
        <f t="shared" si="3265"/>
        <v>0</v>
      </c>
      <c r="M244" s="400">
        <f t="shared" si="3265"/>
        <v>0</v>
      </c>
      <c r="N244" s="400">
        <f t="shared" si="3265"/>
        <v>0</v>
      </c>
      <c r="O244" s="400">
        <f t="shared" si="3265"/>
        <v>0</v>
      </c>
      <c r="P244" s="400">
        <f t="shared" si="3265"/>
        <v>0</v>
      </c>
      <c r="Q244" s="400">
        <f t="shared" si="3265"/>
        <v>0</v>
      </c>
      <c r="R244" s="400">
        <f t="shared" si="3265"/>
        <v>0</v>
      </c>
      <c r="S244" s="400">
        <f t="shared" si="3265"/>
        <v>0</v>
      </c>
      <c r="T244" s="400">
        <f t="shared" si="3265"/>
        <v>0</v>
      </c>
      <c r="U244" s="400">
        <f t="shared" si="3265"/>
        <v>0</v>
      </c>
      <c r="V244" s="400">
        <f t="shared" si="3265"/>
        <v>0</v>
      </c>
      <c r="W244" s="400">
        <f t="shared" si="3265"/>
        <v>0</v>
      </c>
      <c r="X244" s="400">
        <f t="shared" si="3265"/>
        <v>0</v>
      </c>
      <c r="Y244" s="400">
        <f t="shared" si="3265"/>
        <v>0</v>
      </c>
      <c r="Z244" s="400">
        <f t="shared" si="3265"/>
        <v>0</v>
      </c>
      <c r="AA244" s="400">
        <f t="shared" si="3265"/>
        <v>0</v>
      </c>
      <c r="AB244" s="400">
        <f t="shared" si="3265"/>
        <v>0</v>
      </c>
      <c r="AC244" s="400">
        <f t="shared" si="3265"/>
        <v>0</v>
      </c>
      <c r="AD244" s="400">
        <f t="shared" si="3265"/>
        <v>0</v>
      </c>
      <c r="AE244" s="400">
        <f t="shared" si="3265"/>
        <v>0</v>
      </c>
      <c r="AF244" s="400">
        <f t="shared" si="3265"/>
        <v>0</v>
      </c>
      <c r="AG244" s="400">
        <f t="shared" si="3265"/>
        <v>0</v>
      </c>
      <c r="AH244" s="400">
        <f t="shared" si="3265"/>
        <v>0</v>
      </c>
      <c r="AI244" s="400">
        <f t="shared" si="3265"/>
        <v>0</v>
      </c>
      <c r="AJ244" s="400">
        <f t="shared" si="3265"/>
        <v>0</v>
      </c>
      <c r="AK244" s="400">
        <f t="shared" si="3265"/>
        <v>0</v>
      </c>
      <c r="AL244" s="400">
        <f t="shared" si="3265"/>
        <v>0</v>
      </c>
      <c r="AM244" s="400">
        <f t="shared" si="3265"/>
        <v>0</v>
      </c>
      <c r="AN244" s="400">
        <f t="shared" si="3265"/>
        <v>0</v>
      </c>
      <c r="AO244" s="400">
        <f t="shared" si="3265"/>
        <v>0</v>
      </c>
      <c r="AP244" s="400">
        <f t="shared" si="3265"/>
        <v>0</v>
      </c>
      <c r="AQ244" s="400">
        <f t="shared" si="3265"/>
        <v>0</v>
      </c>
      <c r="AR244" s="400">
        <f t="shared" si="3265"/>
        <v>0</v>
      </c>
      <c r="AS244" s="400">
        <f t="shared" si="3265"/>
        <v>0</v>
      </c>
      <c r="AT244" s="400">
        <f t="shared" si="3265"/>
        <v>0</v>
      </c>
      <c r="AU244" s="400">
        <f t="shared" si="3265"/>
        <v>0</v>
      </c>
      <c r="AV244" s="400">
        <f t="shared" si="3265"/>
        <v>0</v>
      </c>
      <c r="AW244" s="400">
        <f t="shared" si="3265"/>
        <v>0</v>
      </c>
      <c r="AX244" s="400">
        <f t="shared" si="3265"/>
        <v>0</v>
      </c>
      <c r="AY244" s="400">
        <f t="shared" si="3265"/>
        <v>0</v>
      </c>
      <c r="AZ244" s="400">
        <f t="shared" si="3265"/>
        <v>0</v>
      </c>
      <c r="BA244" s="400">
        <f t="shared" si="3265"/>
        <v>0</v>
      </c>
      <c r="BB244" s="400">
        <f t="shared" si="3265"/>
        <v>0</v>
      </c>
      <c r="BC244" s="400">
        <f t="shared" si="3265"/>
        <v>0</v>
      </c>
      <c r="BD244" s="400">
        <f t="shared" si="3265"/>
        <v>0</v>
      </c>
      <c r="BE244" s="400">
        <f t="shared" si="3265"/>
        <v>0</v>
      </c>
      <c r="BF244" s="400">
        <f t="shared" si="3265"/>
        <v>0</v>
      </c>
      <c r="BG244" s="400">
        <f t="shared" si="3265"/>
        <v>0</v>
      </c>
      <c r="BH244" s="400">
        <f t="shared" si="3265"/>
        <v>0</v>
      </c>
      <c r="BI244" s="400">
        <f t="shared" si="3265"/>
        <v>0</v>
      </c>
      <c r="BJ244" s="400">
        <f t="shared" si="3265"/>
        <v>0</v>
      </c>
      <c r="BK244" s="400">
        <f t="shared" si="3265"/>
        <v>0</v>
      </c>
      <c r="BL244" s="400">
        <f t="shared" si="3265"/>
        <v>0</v>
      </c>
      <c r="BM244" s="400">
        <f t="shared" si="3265"/>
        <v>0</v>
      </c>
      <c r="BN244" s="400">
        <f t="shared" si="3265"/>
        <v>0</v>
      </c>
      <c r="BO244" s="400">
        <f t="shared" si="3265"/>
        <v>0</v>
      </c>
      <c r="BP244" s="400">
        <f t="shared" si="3265"/>
        <v>0</v>
      </c>
      <c r="BQ244" s="400">
        <f t="shared" si="3265"/>
        <v>0</v>
      </c>
      <c r="BR244" s="400">
        <f t="shared" si="3265"/>
        <v>0</v>
      </c>
      <c r="BS244" s="400">
        <f t="shared" si="3265"/>
        <v>0</v>
      </c>
      <c r="BT244" s="400">
        <f t="shared" ref="BT244:DC244" si="3266">++BT97</f>
        <v>0</v>
      </c>
      <c r="BU244" s="400">
        <f t="shared" si="3266"/>
        <v>0</v>
      </c>
      <c r="BV244" s="400">
        <f t="shared" si="3266"/>
        <v>0</v>
      </c>
      <c r="BW244" s="400">
        <f t="shared" si="3266"/>
        <v>0</v>
      </c>
      <c r="BX244" s="400">
        <f t="shared" si="3266"/>
        <v>0</v>
      </c>
      <c r="BY244" s="400">
        <f t="shared" si="3266"/>
        <v>0</v>
      </c>
      <c r="BZ244" s="400">
        <f t="shared" si="3266"/>
        <v>0</v>
      </c>
      <c r="CA244" s="400">
        <f t="shared" si="3266"/>
        <v>0</v>
      </c>
      <c r="CB244" s="400">
        <f t="shared" si="3266"/>
        <v>0</v>
      </c>
      <c r="CC244" s="400">
        <f t="shared" si="3266"/>
        <v>0</v>
      </c>
      <c r="CD244" s="400">
        <f t="shared" si="3266"/>
        <v>0</v>
      </c>
      <c r="CE244" s="400">
        <f t="shared" si="3266"/>
        <v>0</v>
      </c>
      <c r="CF244" s="400">
        <f t="shared" si="3266"/>
        <v>0</v>
      </c>
      <c r="CG244" s="400">
        <f t="shared" si="3266"/>
        <v>0</v>
      </c>
      <c r="CH244" s="400">
        <f t="shared" si="3266"/>
        <v>0</v>
      </c>
      <c r="CI244" s="400">
        <f t="shared" si="3266"/>
        <v>0</v>
      </c>
      <c r="CJ244" s="400">
        <f t="shared" si="3266"/>
        <v>0</v>
      </c>
      <c r="CK244" s="400">
        <f t="shared" si="3266"/>
        <v>0</v>
      </c>
      <c r="CL244" s="400">
        <f t="shared" si="3266"/>
        <v>0</v>
      </c>
      <c r="CM244" s="400">
        <f t="shared" si="3266"/>
        <v>0</v>
      </c>
      <c r="CN244" s="400">
        <f t="shared" si="3266"/>
        <v>0</v>
      </c>
      <c r="CO244" s="400">
        <f t="shared" si="3266"/>
        <v>0</v>
      </c>
      <c r="CP244" s="400">
        <f t="shared" si="3266"/>
        <v>0</v>
      </c>
      <c r="CQ244" s="400">
        <f t="shared" si="3266"/>
        <v>0</v>
      </c>
      <c r="CR244" s="400">
        <f t="shared" si="3266"/>
        <v>0</v>
      </c>
      <c r="CS244" s="400">
        <f t="shared" si="3266"/>
        <v>0</v>
      </c>
      <c r="CT244" s="400">
        <f t="shared" si="3266"/>
        <v>0</v>
      </c>
      <c r="CU244" s="400">
        <f t="shared" si="3266"/>
        <v>0</v>
      </c>
      <c r="CV244" s="400">
        <f t="shared" si="3266"/>
        <v>0</v>
      </c>
      <c r="CW244" s="400">
        <f t="shared" si="3266"/>
        <v>0</v>
      </c>
      <c r="CX244" s="400">
        <f t="shared" si="3266"/>
        <v>0</v>
      </c>
      <c r="CY244" s="400">
        <f t="shared" si="3266"/>
        <v>0</v>
      </c>
      <c r="CZ244" s="400">
        <f t="shared" si="3266"/>
        <v>0</v>
      </c>
      <c r="DA244" s="400">
        <f t="shared" si="3266"/>
        <v>0</v>
      </c>
      <c r="DB244" s="400">
        <f t="shared" si="3266"/>
        <v>0</v>
      </c>
      <c r="DC244" s="400">
        <f t="shared" si="3266"/>
        <v>0</v>
      </c>
    </row>
    <row r="245" spans="1:107" x14ac:dyDescent="0.3">
      <c r="C245" s="321" t="str">
        <f>++C$49</f>
        <v>% margin</v>
      </c>
      <c r="G245" s="214" t="str">
        <f>++IFERROR(G244/G206,"n/a")</f>
        <v>n/a</v>
      </c>
      <c r="H245" s="225" t="str">
        <f t="shared" ref="H245" si="3267">++IFERROR(H244/H206,"n/a")</f>
        <v>n/a</v>
      </c>
      <c r="I245" s="225" t="str">
        <f t="shared" ref="I245" si="3268">++IFERROR(I244/I206,"n/a")</f>
        <v>n/a</v>
      </c>
      <c r="J245" s="225" t="str">
        <f t="shared" ref="J245" si="3269">++IFERROR(J244/J206,"n/a")</f>
        <v>n/a</v>
      </c>
      <c r="K245" s="214" t="str">
        <f t="shared" ref="K245" si="3270">++IFERROR(K244/K206,"n/a")</f>
        <v>n/a</v>
      </c>
      <c r="L245" s="225" t="str">
        <f t="shared" ref="L245" si="3271">++IFERROR(L244/L206,"n/a")</f>
        <v>n/a</v>
      </c>
      <c r="M245" s="225" t="str">
        <f t="shared" ref="M245" si="3272">++IFERROR(M244/M206,"n/a")</f>
        <v>n/a</v>
      </c>
      <c r="N245" s="225" t="str">
        <f t="shared" ref="N245" si="3273">++IFERROR(N244/N206,"n/a")</f>
        <v>n/a</v>
      </c>
      <c r="O245" s="225" t="str">
        <f t="shared" ref="O245" si="3274">++IFERROR(O244/O206,"n/a")</f>
        <v>n/a</v>
      </c>
      <c r="P245" s="225" t="str">
        <f t="shared" ref="P245" si="3275">++IFERROR(P244/P206,"n/a")</f>
        <v>n/a</v>
      </c>
      <c r="Q245" s="225" t="str">
        <f t="shared" ref="Q245" si="3276">++IFERROR(Q244/Q206,"n/a")</f>
        <v>n/a</v>
      </c>
      <c r="R245" s="225" t="str">
        <f t="shared" ref="R245" si="3277">++IFERROR(R244/R206,"n/a")</f>
        <v>n/a</v>
      </c>
      <c r="S245" s="225" t="str">
        <f t="shared" ref="S245" si="3278">++IFERROR(S244/S206,"n/a")</f>
        <v>n/a</v>
      </c>
      <c r="T245" s="225" t="str">
        <f t="shared" ref="T245" si="3279">++IFERROR(T244/T206,"n/a")</f>
        <v>n/a</v>
      </c>
      <c r="U245" s="225" t="str">
        <f t="shared" ref="U245" si="3280">++IFERROR(U244/U206,"n/a")</f>
        <v>n/a</v>
      </c>
      <c r="V245" s="225" t="str">
        <f t="shared" ref="V245" si="3281">++IFERROR(V244/V206,"n/a")</f>
        <v>n/a</v>
      </c>
      <c r="W245" s="214" t="str">
        <f t="shared" ref="W245" si="3282">++IFERROR(W244/W206,"n/a")</f>
        <v>n/a</v>
      </c>
      <c r="X245" s="225" t="str">
        <f t="shared" ref="X245" si="3283">++IFERROR(X244/X206,"n/a")</f>
        <v>n/a</v>
      </c>
      <c r="Y245" s="225" t="str">
        <f t="shared" ref="Y245" si="3284">++IFERROR(Y244/Y206,"n/a")</f>
        <v>n/a</v>
      </c>
      <c r="Z245" s="225" t="str">
        <f t="shared" ref="Z245" si="3285">++IFERROR(Z244/Z206,"n/a")</f>
        <v>n/a</v>
      </c>
      <c r="AA245" s="225" t="str">
        <f t="shared" ref="AA245" si="3286">++IFERROR(AA244/AA206,"n/a")</f>
        <v>n/a</v>
      </c>
      <c r="AB245" s="225" t="str">
        <f t="shared" ref="AB245" si="3287">++IFERROR(AB244/AB206,"n/a")</f>
        <v>n/a</v>
      </c>
      <c r="AC245" s="225" t="str">
        <f t="shared" ref="AC245" si="3288">++IFERROR(AC244/AC206,"n/a")</f>
        <v>n/a</v>
      </c>
      <c r="AD245" s="225" t="str">
        <f t="shared" ref="AD245" si="3289">++IFERROR(AD244/AD206,"n/a")</f>
        <v>n/a</v>
      </c>
      <c r="AE245" s="225" t="str">
        <f t="shared" ref="AE245" si="3290">++IFERROR(AE244/AE206,"n/a")</f>
        <v>n/a</v>
      </c>
      <c r="AF245" s="225" t="str">
        <f t="shared" ref="AF245" si="3291">++IFERROR(AF244/AF206,"n/a")</f>
        <v>n/a</v>
      </c>
      <c r="AG245" s="225" t="str">
        <f t="shared" ref="AG245" si="3292">++IFERROR(AG244/AG206,"n/a")</f>
        <v>n/a</v>
      </c>
      <c r="AH245" s="225" t="str">
        <f t="shared" ref="AH245" si="3293">++IFERROR(AH244/AH206,"n/a")</f>
        <v>n/a</v>
      </c>
      <c r="AI245" s="214" t="str">
        <f t="shared" ref="AI245" si="3294">++IFERROR(AI244/AI206,"n/a")</f>
        <v>n/a</v>
      </c>
      <c r="AJ245" s="225" t="str">
        <f t="shared" ref="AJ245" si="3295">++IFERROR(AJ244/AJ206,"n/a")</f>
        <v>n/a</v>
      </c>
      <c r="AK245" s="225" t="str">
        <f t="shared" ref="AK245" si="3296">++IFERROR(AK244/AK206,"n/a")</f>
        <v>n/a</v>
      </c>
      <c r="AL245" s="225" t="str">
        <f t="shared" ref="AL245" si="3297">++IFERROR(AL244/AL206,"n/a")</f>
        <v>n/a</v>
      </c>
      <c r="AM245" s="225" t="str">
        <f t="shared" ref="AM245" si="3298">++IFERROR(AM244/AM206,"n/a")</f>
        <v>n/a</v>
      </c>
      <c r="AN245" s="225" t="str">
        <f t="shared" ref="AN245" si="3299">++IFERROR(AN244/AN206,"n/a")</f>
        <v>n/a</v>
      </c>
      <c r="AO245" s="225" t="str">
        <f t="shared" ref="AO245" si="3300">++IFERROR(AO244/AO206,"n/a")</f>
        <v>n/a</v>
      </c>
      <c r="AP245" s="225" t="str">
        <f t="shared" ref="AP245" si="3301">++IFERROR(AP244/AP206,"n/a")</f>
        <v>n/a</v>
      </c>
      <c r="AQ245" s="225" t="str">
        <f t="shared" ref="AQ245" si="3302">++IFERROR(AQ244/AQ206,"n/a")</f>
        <v>n/a</v>
      </c>
      <c r="AR245" s="225" t="str">
        <f t="shared" ref="AR245" si="3303">++IFERROR(AR244/AR206,"n/a")</f>
        <v>n/a</v>
      </c>
      <c r="AS245" s="225" t="str">
        <f t="shared" ref="AS245" si="3304">++IFERROR(AS244/AS206,"n/a")</f>
        <v>n/a</v>
      </c>
      <c r="AT245" s="225" t="str">
        <f t="shared" ref="AT245" si="3305">++IFERROR(AT244/AT206,"n/a")</f>
        <v>n/a</v>
      </c>
      <c r="AU245" s="214" t="str">
        <f t="shared" ref="AU245" si="3306">++IFERROR(AU244/AU206,"n/a")</f>
        <v>n/a</v>
      </c>
      <c r="AV245" s="225" t="str">
        <f t="shared" ref="AV245" si="3307">++IFERROR(AV244/AV206,"n/a")</f>
        <v>n/a</v>
      </c>
      <c r="AW245" s="225" t="str">
        <f t="shared" ref="AW245" si="3308">++IFERROR(AW244/AW206,"n/a")</f>
        <v>n/a</v>
      </c>
      <c r="AX245" s="225" t="str">
        <f t="shared" ref="AX245" si="3309">++IFERROR(AX244/AX206,"n/a")</f>
        <v>n/a</v>
      </c>
      <c r="AY245" s="225" t="str">
        <f t="shared" ref="AY245" si="3310">++IFERROR(AY244/AY206,"n/a")</f>
        <v>n/a</v>
      </c>
      <c r="AZ245" s="225" t="str">
        <f t="shared" ref="AZ245" si="3311">++IFERROR(AZ244/AZ206,"n/a")</f>
        <v>n/a</v>
      </c>
      <c r="BA245" s="225" t="str">
        <f t="shared" ref="BA245" si="3312">++IFERROR(BA244/BA206,"n/a")</f>
        <v>n/a</v>
      </c>
      <c r="BB245" s="225" t="str">
        <f t="shared" ref="BB245" si="3313">++IFERROR(BB244/BB206,"n/a")</f>
        <v>n/a</v>
      </c>
      <c r="BC245" s="225" t="str">
        <f t="shared" ref="BC245" si="3314">++IFERROR(BC244/BC206,"n/a")</f>
        <v>n/a</v>
      </c>
      <c r="BD245" s="225" t="str">
        <f t="shared" ref="BD245" si="3315">++IFERROR(BD244/BD206,"n/a")</f>
        <v>n/a</v>
      </c>
      <c r="BE245" s="225" t="str">
        <f t="shared" ref="BE245" si="3316">++IFERROR(BE244/BE206,"n/a")</f>
        <v>n/a</v>
      </c>
      <c r="BF245" s="225" t="str">
        <f t="shared" ref="BF245" si="3317">++IFERROR(BF244/BF206,"n/a")</f>
        <v>n/a</v>
      </c>
      <c r="BG245" s="214" t="str">
        <f t="shared" ref="BG245" si="3318">++IFERROR(BG244/BG206,"n/a")</f>
        <v>n/a</v>
      </c>
      <c r="BH245" s="225" t="str">
        <f t="shared" ref="BH245" si="3319">++IFERROR(BH244/BH206,"n/a")</f>
        <v>n/a</v>
      </c>
      <c r="BI245" s="225" t="str">
        <f t="shared" ref="BI245" si="3320">++IFERROR(BI244/BI206,"n/a")</f>
        <v>n/a</v>
      </c>
      <c r="BJ245" s="225" t="str">
        <f t="shared" ref="BJ245" si="3321">++IFERROR(BJ244/BJ206,"n/a")</f>
        <v>n/a</v>
      </c>
      <c r="BK245" s="225" t="str">
        <f t="shared" ref="BK245" si="3322">++IFERROR(BK244/BK206,"n/a")</f>
        <v>n/a</v>
      </c>
      <c r="BL245" s="225" t="str">
        <f t="shared" ref="BL245" si="3323">++IFERROR(BL244/BL206,"n/a")</f>
        <v>n/a</v>
      </c>
      <c r="BM245" s="225" t="str">
        <f t="shared" ref="BM245" si="3324">++IFERROR(BM244/BM206,"n/a")</f>
        <v>n/a</v>
      </c>
      <c r="BN245" s="225" t="str">
        <f t="shared" ref="BN245" si="3325">++IFERROR(BN244/BN206,"n/a")</f>
        <v>n/a</v>
      </c>
      <c r="BO245" s="225" t="str">
        <f t="shared" ref="BO245" si="3326">++IFERROR(BO244/BO206,"n/a")</f>
        <v>n/a</v>
      </c>
      <c r="BP245" s="225" t="str">
        <f t="shared" ref="BP245" si="3327">++IFERROR(BP244/BP206,"n/a")</f>
        <v>n/a</v>
      </c>
      <c r="BQ245" s="225" t="str">
        <f t="shared" ref="BQ245" si="3328">++IFERROR(BQ244/BQ206,"n/a")</f>
        <v>n/a</v>
      </c>
      <c r="BR245" s="225" t="str">
        <f t="shared" ref="BR245" si="3329">++IFERROR(BR244/BR206,"n/a")</f>
        <v>n/a</v>
      </c>
      <c r="BS245" s="214" t="str">
        <f t="shared" ref="BS245" si="3330">++IFERROR(BS244/BS206,"n/a")</f>
        <v>n/a</v>
      </c>
      <c r="BT245" s="225" t="str">
        <f t="shared" ref="BT245" si="3331">++IFERROR(BT244/BT206,"n/a")</f>
        <v>n/a</v>
      </c>
      <c r="BU245" s="225" t="str">
        <f t="shared" ref="BU245" si="3332">++IFERROR(BU244/BU206,"n/a")</f>
        <v>n/a</v>
      </c>
      <c r="BV245" s="225" t="str">
        <f t="shared" ref="BV245" si="3333">++IFERROR(BV244/BV206,"n/a")</f>
        <v>n/a</v>
      </c>
      <c r="BW245" s="225" t="str">
        <f t="shared" ref="BW245" si="3334">++IFERROR(BW244/BW206,"n/a")</f>
        <v>n/a</v>
      </c>
      <c r="BX245" s="225" t="str">
        <f t="shared" ref="BX245" si="3335">++IFERROR(BX244/BX206,"n/a")</f>
        <v>n/a</v>
      </c>
      <c r="BY245" s="225" t="str">
        <f t="shared" ref="BY245" si="3336">++IFERROR(BY244/BY206,"n/a")</f>
        <v>n/a</v>
      </c>
      <c r="BZ245" s="225" t="str">
        <f t="shared" ref="BZ245" si="3337">++IFERROR(BZ244/BZ206,"n/a")</f>
        <v>n/a</v>
      </c>
      <c r="CA245" s="225" t="str">
        <f t="shared" ref="CA245" si="3338">++IFERROR(CA244/CA206,"n/a")</f>
        <v>n/a</v>
      </c>
      <c r="CB245" s="225" t="str">
        <f t="shared" ref="CB245" si="3339">++IFERROR(CB244/CB206,"n/a")</f>
        <v>n/a</v>
      </c>
      <c r="CC245" s="225" t="str">
        <f t="shared" ref="CC245" si="3340">++IFERROR(CC244/CC206,"n/a")</f>
        <v>n/a</v>
      </c>
      <c r="CD245" s="225" t="str">
        <f t="shared" ref="CD245" si="3341">++IFERROR(CD244/CD206,"n/a")</f>
        <v>n/a</v>
      </c>
      <c r="CE245" s="214" t="str">
        <f t="shared" ref="CE245" si="3342">++IFERROR(CE244/CE206,"n/a")</f>
        <v>n/a</v>
      </c>
      <c r="CF245" s="225" t="str">
        <f t="shared" ref="CF245" si="3343">++IFERROR(CF244/CF206,"n/a")</f>
        <v>n/a</v>
      </c>
      <c r="CG245" s="225" t="str">
        <f t="shared" ref="CG245" si="3344">++IFERROR(CG244/CG206,"n/a")</f>
        <v>n/a</v>
      </c>
      <c r="CH245" s="225" t="str">
        <f t="shared" ref="CH245" si="3345">++IFERROR(CH244/CH206,"n/a")</f>
        <v>n/a</v>
      </c>
      <c r="CI245" s="225" t="str">
        <f t="shared" ref="CI245" si="3346">++IFERROR(CI244/CI206,"n/a")</f>
        <v>n/a</v>
      </c>
      <c r="CJ245" s="225" t="str">
        <f t="shared" ref="CJ245" si="3347">++IFERROR(CJ244/CJ206,"n/a")</f>
        <v>n/a</v>
      </c>
      <c r="CK245" s="225" t="str">
        <f t="shared" ref="CK245" si="3348">++IFERROR(CK244/CK206,"n/a")</f>
        <v>n/a</v>
      </c>
      <c r="CL245" s="225" t="str">
        <f t="shared" ref="CL245" si="3349">++IFERROR(CL244/CL206,"n/a")</f>
        <v>n/a</v>
      </c>
      <c r="CM245" s="225" t="str">
        <f t="shared" ref="CM245" si="3350">++IFERROR(CM244/CM206,"n/a")</f>
        <v>n/a</v>
      </c>
      <c r="CN245" s="225" t="str">
        <f t="shared" ref="CN245" si="3351">++IFERROR(CN244/CN206,"n/a")</f>
        <v>n/a</v>
      </c>
      <c r="CO245" s="225" t="str">
        <f t="shared" ref="CO245" si="3352">++IFERROR(CO244/CO206,"n/a")</f>
        <v>n/a</v>
      </c>
      <c r="CP245" s="225" t="str">
        <f t="shared" ref="CP245" si="3353">++IFERROR(CP244/CP206,"n/a")</f>
        <v>n/a</v>
      </c>
      <c r="CQ245" s="214" t="str">
        <f t="shared" ref="CQ245" si="3354">++IFERROR(CQ244/CQ206,"n/a")</f>
        <v>n/a</v>
      </c>
      <c r="CR245" s="225" t="str">
        <f t="shared" ref="CR245" si="3355">++IFERROR(CR244/CR206,"n/a")</f>
        <v>n/a</v>
      </c>
      <c r="CS245" s="225" t="str">
        <f t="shared" ref="CS245" si="3356">++IFERROR(CS244/CS206,"n/a")</f>
        <v>n/a</v>
      </c>
      <c r="CT245" s="225" t="str">
        <f t="shared" ref="CT245" si="3357">++IFERROR(CT244/CT206,"n/a")</f>
        <v>n/a</v>
      </c>
      <c r="CU245" s="225" t="str">
        <f t="shared" ref="CU245" si="3358">++IFERROR(CU244/CU206,"n/a")</f>
        <v>n/a</v>
      </c>
      <c r="CV245" s="225" t="str">
        <f t="shared" ref="CV245" si="3359">++IFERROR(CV244/CV206,"n/a")</f>
        <v>n/a</v>
      </c>
      <c r="CW245" s="225" t="str">
        <f t="shared" ref="CW245" si="3360">++IFERROR(CW244/CW206,"n/a")</f>
        <v>n/a</v>
      </c>
      <c r="CX245" s="225" t="str">
        <f t="shared" ref="CX245" si="3361">++IFERROR(CX244/CX206,"n/a")</f>
        <v>n/a</v>
      </c>
      <c r="CY245" s="225" t="str">
        <f t="shared" ref="CY245" si="3362">++IFERROR(CY244/CY206,"n/a")</f>
        <v>n/a</v>
      </c>
      <c r="CZ245" s="225" t="str">
        <f t="shared" ref="CZ245" si="3363">++IFERROR(CZ244/CZ206,"n/a")</f>
        <v>n/a</v>
      </c>
      <c r="DA245" s="225" t="str">
        <f t="shared" ref="DA245" si="3364">++IFERROR(DA244/DA206,"n/a")</f>
        <v>n/a</v>
      </c>
      <c r="DB245" s="225" t="str">
        <f t="shared" ref="DB245" si="3365">++IFERROR(DB244/DB206,"n/a")</f>
        <v>n/a</v>
      </c>
      <c r="DC245" s="214" t="str">
        <f t="shared" ref="DC245" si="3366">++IFERROR(DC244/DC206,"n/a")</f>
        <v>n/a</v>
      </c>
    </row>
    <row r="246" spans="1:107" x14ac:dyDescent="0.3">
      <c r="C246" s="321" t="str">
        <f>++C$50</f>
        <v>% y/y</v>
      </c>
      <c r="G246" s="122" t="s">
        <v>47</v>
      </c>
      <c r="H246" s="122" t="s">
        <v>47</v>
      </c>
      <c r="I246" s="122" t="s">
        <v>47</v>
      </c>
      <c r="J246" s="122" t="s">
        <v>47</v>
      </c>
      <c r="K246" s="214" t="str">
        <f>++IFERROR(K244/G244-1,"n/a")</f>
        <v>n/a</v>
      </c>
      <c r="L246" s="122" t="s">
        <v>47</v>
      </c>
      <c r="M246" s="122" t="s">
        <v>47</v>
      </c>
      <c r="N246" s="225" t="str">
        <f>++IFERROR(N244/H244-1,"n/a")</f>
        <v>n/a</v>
      </c>
      <c r="O246" s="122" t="s">
        <v>47</v>
      </c>
      <c r="P246" s="122" t="s">
        <v>47</v>
      </c>
      <c r="Q246" s="225" t="str">
        <f>++IFERROR(Q244/I244-1,"n/a")</f>
        <v>n/a</v>
      </c>
      <c r="R246" s="122" t="s">
        <v>47</v>
      </c>
      <c r="S246" s="122" t="s">
        <v>47</v>
      </c>
      <c r="T246" s="225" t="str">
        <f>++IFERROR(T244/J244-1,"n/a")</f>
        <v>n/a</v>
      </c>
      <c r="U246" s="122" t="s">
        <v>47</v>
      </c>
      <c r="V246" s="122" t="s">
        <v>47</v>
      </c>
      <c r="W246" s="214" t="str">
        <f t="shared" ref="W246:BB246" si="3367">++IFERROR(W244/K244-1,"n/a")</f>
        <v>n/a</v>
      </c>
      <c r="X246" s="225" t="str">
        <f t="shared" si="3367"/>
        <v>n/a</v>
      </c>
      <c r="Y246" s="225" t="str">
        <f t="shared" si="3367"/>
        <v>n/a</v>
      </c>
      <c r="Z246" s="225" t="str">
        <f t="shared" si="3367"/>
        <v>n/a</v>
      </c>
      <c r="AA246" s="225" t="str">
        <f t="shared" si="3367"/>
        <v>n/a</v>
      </c>
      <c r="AB246" s="225" t="str">
        <f t="shared" si="3367"/>
        <v>n/a</v>
      </c>
      <c r="AC246" s="225" t="str">
        <f t="shared" si="3367"/>
        <v>n/a</v>
      </c>
      <c r="AD246" s="225" t="str">
        <f t="shared" si="3367"/>
        <v>n/a</v>
      </c>
      <c r="AE246" s="225" t="str">
        <f t="shared" si="3367"/>
        <v>n/a</v>
      </c>
      <c r="AF246" s="225" t="str">
        <f t="shared" si="3367"/>
        <v>n/a</v>
      </c>
      <c r="AG246" s="225" t="str">
        <f t="shared" si="3367"/>
        <v>n/a</v>
      </c>
      <c r="AH246" s="225" t="str">
        <f t="shared" si="3367"/>
        <v>n/a</v>
      </c>
      <c r="AI246" s="214" t="str">
        <f t="shared" si="3367"/>
        <v>n/a</v>
      </c>
      <c r="AJ246" s="225" t="str">
        <f t="shared" si="3367"/>
        <v>n/a</v>
      </c>
      <c r="AK246" s="225" t="str">
        <f t="shared" si="3367"/>
        <v>n/a</v>
      </c>
      <c r="AL246" s="225" t="str">
        <f t="shared" si="3367"/>
        <v>n/a</v>
      </c>
      <c r="AM246" s="225" t="str">
        <f t="shared" si="3367"/>
        <v>n/a</v>
      </c>
      <c r="AN246" s="225" t="str">
        <f t="shared" si="3367"/>
        <v>n/a</v>
      </c>
      <c r="AO246" s="225" t="str">
        <f t="shared" si="3367"/>
        <v>n/a</v>
      </c>
      <c r="AP246" s="225" t="str">
        <f t="shared" si="3367"/>
        <v>n/a</v>
      </c>
      <c r="AQ246" s="225" t="str">
        <f t="shared" si="3367"/>
        <v>n/a</v>
      </c>
      <c r="AR246" s="225" t="str">
        <f t="shared" si="3367"/>
        <v>n/a</v>
      </c>
      <c r="AS246" s="225" t="str">
        <f t="shared" si="3367"/>
        <v>n/a</v>
      </c>
      <c r="AT246" s="225" t="str">
        <f t="shared" si="3367"/>
        <v>n/a</v>
      </c>
      <c r="AU246" s="214" t="str">
        <f t="shared" si="3367"/>
        <v>n/a</v>
      </c>
      <c r="AV246" s="225" t="str">
        <f t="shared" si="3367"/>
        <v>n/a</v>
      </c>
      <c r="AW246" s="225" t="str">
        <f t="shared" si="3367"/>
        <v>n/a</v>
      </c>
      <c r="AX246" s="225" t="str">
        <f t="shared" si="3367"/>
        <v>n/a</v>
      </c>
      <c r="AY246" s="225" t="str">
        <f t="shared" si="3367"/>
        <v>n/a</v>
      </c>
      <c r="AZ246" s="225" t="str">
        <f t="shared" si="3367"/>
        <v>n/a</v>
      </c>
      <c r="BA246" s="225" t="str">
        <f t="shared" si="3367"/>
        <v>n/a</v>
      </c>
      <c r="BB246" s="225" t="str">
        <f t="shared" si="3367"/>
        <v>n/a</v>
      </c>
      <c r="BC246" s="225" t="str">
        <f t="shared" ref="BC246:CH246" si="3368">++IFERROR(BC244/AQ244-1,"n/a")</f>
        <v>n/a</v>
      </c>
      <c r="BD246" s="225" t="str">
        <f t="shared" si="3368"/>
        <v>n/a</v>
      </c>
      <c r="BE246" s="225" t="str">
        <f t="shared" si="3368"/>
        <v>n/a</v>
      </c>
      <c r="BF246" s="225" t="str">
        <f t="shared" si="3368"/>
        <v>n/a</v>
      </c>
      <c r="BG246" s="214" t="str">
        <f t="shared" si="3368"/>
        <v>n/a</v>
      </c>
      <c r="BH246" s="225" t="str">
        <f t="shared" si="3368"/>
        <v>n/a</v>
      </c>
      <c r="BI246" s="225" t="str">
        <f t="shared" si="3368"/>
        <v>n/a</v>
      </c>
      <c r="BJ246" s="225" t="str">
        <f t="shared" si="3368"/>
        <v>n/a</v>
      </c>
      <c r="BK246" s="225" t="str">
        <f t="shared" si="3368"/>
        <v>n/a</v>
      </c>
      <c r="BL246" s="225" t="str">
        <f t="shared" si="3368"/>
        <v>n/a</v>
      </c>
      <c r="BM246" s="225" t="str">
        <f t="shared" si="3368"/>
        <v>n/a</v>
      </c>
      <c r="BN246" s="225" t="str">
        <f t="shared" si="3368"/>
        <v>n/a</v>
      </c>
      <c r="BO246" s="225" t="str">
        <f t="shared" si="3368"/>
        <v>n/a</v>
      </c>
      <c r="BP246" s="225" t="str">
        <f t="shared" si="3368"/>
        <v>n/a</v>
      </c>
      <c r="BQ246" s="225" t="str">
        <f t="shared" si="3368"/>
        <v>n/a</v>
      </c>
      <c r="BR246" s="225" t="str">
        <f t="shared" si="3368"/>
        <v>n/a</v>
      </c>
      <c r="BS246" s="214" t="str">
        <f t="shared" si="3368"/>
        <v>n/a</v>
      </c>
      <c r="BT246" s="225" t="str">
        <f t="shared" si="3368"/>
        <v>n/a</v>
      </c>
      <c r="BU246" s="225" t="str">
        <f t="shared" si="3368"/>
        <v>n/a</v>
      </c>
      <c r="BV246" s="225" t="str">
        <f t="shared" si="3368"/>
        <v>n/a</v>
      </c>
      <c r="BW246" s="225" t="str">
        <f t="shared" si="3368"/>
        <v>n/a</v>
      </c>
      <c r="BX246" s="225" t="str">
        <f t="shared" si="3368"/>
        <v>n/a</v>
      </c>
      <c r="BY246" s="225" t="str">
        <f t="shared" si="3368"/>
        <v>n/a</v>
      </c>
      <c r="BZ246" s="225" t="str">
        <f t="shared" si="3368"/>
        <v>n/a</v>
      </c>
      <c r="CA246" s="225" t="str">
        <f t="shared" si="3368"/>
        <v>n/a</v>
      </c>
      <c r="CB246" s="225" t="str">
        <f t="shared" si="3368"/>
        <v>n/a</v>
      </c>
      <c r="CC246" s="225" t="str">
        <f t="shared" si="3368"/>
        <v>n/a</v>
      </c>
      <c r="CD246" s="225" t="str">
        <f t="shared" si="3368"/>
        <v>n/a</v>
      </c>
      <c r="CE246" s="214" t="str">
        <f t="shared" si="3368"/>
        <v>n/a</v>
      </c>
      <c r="CF246" s="225" t="str">
        <f t="shared" si="3368"/>
        <v>n/a</v>
      </c>
      <c r="CG246" s="225" t="str">
        <f t="shared" si="3368"/>
        <v>n/a</v>
      </c>
      <c r="CH246" s="225" t="str">
        <f t="shared" si="3368"/>
        <v>n/a</v>
      </c>
      <c r="CI246" s="225" t="str">
        <f t="shared" ref="CI246:DN246" si="3369">++IFERROR(CI244/BW244-1,"n/a")</f>
        <v>n/a</v>
      </c>
      <c r="CJ246" s="225" t="str">
        <f t="shared" si="3369"/>
        <v>n/a</v>
      </c>
      <c r="CK246" s="225" t="str">
        <f t="shared" si="3369"/>
        <v>n/a</v>
      </c>
      <c r="CL246" s="225" t="str">
        <f t="shared" si="3369"/>
        <v>n/a</v>
      </c>
      <c r="CM246" s="225" t="str">
        <f t="shared" si="3369"/>
        <v>n/a</v>
      </c>
      <c r="CN246" s="225" t="str">
        <f t="shared" si="3369"/>
        <v>n/a</v>
      </c>
      <c r="CO246" s="225" t="str">
        <f t="shared" si="3369"/>
        <v>n/a</v>
      </c>
      <c r="CP246" s="225" t="str">
        <f t="shared" si="3369"/>
        <v>n/a</v>
      </c>
      <c r="CQ246" s="214" t="str">
        <f t="shared" si="3369"/>
        <v>n/a</v>
      </c>
      <c r="CR246" s="225" t="str">
        <f t="shared" si="3369"/>
        <v>n/a</v>
      </c>
      <c r="CS246" s="225" t="str">
        <f t="shared" si="3369"/>
        <v>n/a</v>
      </c>
      <c r="CT246" s="225" t="str">
        <f t="shared" si="3369"/>
        <v>n/a</v>
      </c>
      <c r="CU246" s="225" t="str">
        <f t="shared" si="3369"/>
        <v>n/a</v>
      </c>
      <c r="CV246" s="225" t="str">
        <f t="shared" si="3369"/>
        <v>n/a</v>
      </c>
      <c r="CW246" s="225" t="str">
        <f t="shared" si="3369"/>
        <v>n/a</v>
      </c>
      <c r="CX246" s="225" t="str">
        <f t="shared" si="3369"/>
        <v>n/a</v>
      </c>
      <c r="CY246" s="225" t="str">
        <f t="shared" si="3369"/>
        <v>n/a</v>
      </c>
      <c r="CZ246" s="225" t="str">
        <f t="shared" si="3369"/>
        <v>n/a</v>
      </c>
      <c r="DA246" s="225" t="str">
        <f t="shared" si="3369"/>
        <v>n/a</v>
      </c>
      <c r="DB246" s="225" t="str">
        <f t="shared" si="3369"/>
        <v>n/a</v>
      </c>
      <c r="DC246" s="214" t="str">
        <f t="shared" si="3369"/>
        <v>n/a</v>
      </c>
    </row>
    <row r="247" spans="1:107" x14ac:dyDescent="0.3">
      <c r="G247" s="203"/>
      <c r="K247" s="203"/>
      <c r="W247" s="203"/>
      <c r="AI247" s="203"/>
      <c r="AU247" s="203"/>
      <c r="BG247" s="203"/>
      <c r="BS247" s="203"/>
      <c r="CE247" s="203"/>
      <c r="CQ247" s="203"/>
      <c r="DC247" s="203"/>
    </row>
    <row r="248" spans="1:107" x14ac:dyDescent="0.3">
      <c r="C248" s="193" t="str">
        <f>++C$52</f>
        <v>Capital Expenditures</v>
      </c>
      <c r="G248" s="400">
        <f>++G101</f>
        <v>0</v>
      </c>
      <c r="H248" s="400">
        <f t="shared" ref="H248:BS248" si="3370">++H101</f>
        <v>0</v>
      </c>
      <c r="I248" s="400">
        <f t="shared" si="3370"/>
        <v>0</v>
      </c>
      <c r="J248" s="400">
        <f t="shared" si="3370"/>
        <v>0</v>
      </c>
      <c r="K248" s="400">
        <f t="shared" si="3370"/>
        <v>0</v>
      </c>
      <c r="L248" s="400">
        <f t="shared" si="3370"/>
        <v>0</v>
      </c>
      <c r="M248" s="400">
        <f t="shared" si="3370"/>
        <v>0</v>
      </c>
      <c r="N248" s="400">
        <f t="shared" si="3370"/>
        <v>0</v>
      </c>
      <c r="O248" s="400">
        <f t="shared" si="3370"/>
        <v>0</v>
      </c>
      <c r="P248" s="400">
        <f t="shared" si="3370"/>
        <v>0</v>
      </c>
      <c r="Q248" s="400">
        <f t="shared" si="3370"/>
        <v>0</v>
      </c>
      <c r="R248" s="400">
        <f t="shared" si="3370"/>
        <v>0</v>
      </c>
      <c r="S248" s="400">
        <f t="shared" si="3370"/>
        <v>0</v>
      </c>
      <c r="T248" s="400">
        <f t="shared" si="3370"/>
        <v>0</v>
      </c>
      <c r="U248" s="400">
        <f t="shared" si="3370"/>
        <v>0</v>
      </c>
      <c r="V248" s="400">
        <f t="shared" si="3370"/>
        <v>0</v>
      </c>
      <c r="W248" s="400">
        <f t="shared" si="3370"/>
        <v>0</v>
      </c>
      <c r="X248" s="400">
        <f t="shared" si="3370"/>
        <v>0</v>
      </c>
      <c r="Y248" s="400">
        <f t="shared" si="3370"/>
        <v>0</v>
      </c>
      <c r="Z248" s="400">
        <f t="shared" si="3370"/>
        <v>0</v>
      </c>
      <c r="AA248" s="400">
        <f t="shared" si="3370"/>
        <v>0</v>
      </c>
      <c r="AB248" s="400">
        <f t="shared" si="3370"/>
        <v>0</v>
      </c>
      <c r="AC248" s="400">
        <f t="shared" si="3370"/>
        <v>0</v>
      </c>
      <c r="AD248" s="400">
        <f t="shared" si="3370"/>
        <v>0</v>
      </c>
      <c r="AE248" s="400">
        <f t="shared" si="3370"/>
        <v>0</v>
      </c>
      <c r="AF248" s="400">
        <f t="shared" si="3370"/>
        <v>0</v>
      </c>
      <c r="AG248" s="400">
        <f t="shared" si="3370"/>
        <v>0</v>
      </c>
      <c r="AH248" s="400">
        <f t="shared" si="3370"/>
        <v>0</v>
      </c>
      <c r="AI248" s="400">
        <f t="shared" si="3370"/>
        <v>0</v>
      </c>
      <c r="AJ248" s="400">
        <f t="shared" si="3370"/>
        <v>0</v>
      </c>
      <c r="AK248" s="400">
        <f t="shared" si="3370"/>
        <v>0</v>
      </c>
      <c r="AL248" s="400">
        <f t="shared" si="3370"/>
        <v>0</v>
      </c>
      <c r="AM248" s="400">
        <f t="shared" si="3370"/>
        <v>0</v>
      </c>
      <c r="AN248" s="400">
        <f t="shared" si="3370"/>
        <v>0</v>
      </c>
      <c r="AO248" s="400">
        <f t="shared" si="3370"/>
        <v>0</v>
      </c>
      <c r="AP248" s="400">
        <f t="shared" si="3370"/>
        <v>0</v>
      </c>
      <c r="AQ248" s="400">
        <f t="shared" si="3370"/>
        <v>0</v>
      </c>
      <c r="AR248" s="400">
        <f t="shared" si="3370"/>
        <v>0</v>
      </c>
      <c r="AS248" s="400">
        <f t="shared" si="3370"/>
        <v>0</v>
      </c>
      <c r="AT248" s="400">
        <f t="shared" si="3370"/>
        <v>0</v>
      </c>
      <c r="AU248" s="400">
        <f t="shared" si="3370"/>
        <v>0</v>
      </c>
      <c r="AV248" s="400">
        <f t="shared" si="3370"/>
        <v>0</v>
      </c>
      <c r="AW248" s="400">
        <f t="shared" si="3370"/>
        <v>0</v>
      </c>
      <c r="AX248" s="400">
        <f t="shared" si="3370"/>
        <v>0</v>
      </c>
      <c r="AY248" s="400">
        <f t="shared" si="3370"/>
        <v>0</v>
      </c>
      <c r="AZ248" s="400">
        <f t="shared" si="3370"/>
        <v>0</v>
      </c>
      <c r="BA248" s="400">
        <f t="shared" si="3370"/>
        <v>0</v>
      </c>
      <c r="BB248" s="400">
        <f t="shared" si="3370"/>
        <v>0</v>
      </c>
      <c r="BC248" s="400">
        <f t="shared" si="3370"/>
        <v>0</v>
      </c>
      <c r="BD248" s="400">
        <f t="shared" si="3370"/>
        <v>0</v>
      </c>
      <c r="BE248" s="400">
        <f t="shared" si="3370"/>
        <v>0</v>
      </c>
      <c r="BF248" s="400">
        <f t="shared" si="3370"/>
        <v>0</v>
      </c>
      <c r="BG248" s="400">
        <f t="shared" si="3370"/>
        <v>0</v>
      </c>
      <c r="BH248" s="400">
        <f t="shared" si="3370"/>
        <v>0</v>
      </c>
      <c r="BI248" s="400">
        <f t="shared" si="3370"/>
        <v>0</v>
      </c>
      <c r="BJ248" s="400">
        <f t="shared" si="3370"/>
        <v>0</v>
      </c>
      <c r="BK248" s="400">
        <f t="shared" si="3370"/>
        <v>0</v>
      </c>
      <c r="BL248" s="400">
        <f t="shared" si="3370"/>
        <v>0</v>
      </c>
      <c r="BM248" s="400">
        <f t="shared" si="3370"/>
        <v>0</v>
      </c>
      <c r="BN248" s="400">
        <f t="shared" si="3370"/>
        <v>0</v>
      </c>
      <c r="BO248" s="400">
        <f t="shared" si="3370"/>
        <v>0</v>
      </c>
      <c r="BP248" s="400">
        <f t="shared" si="3370"/>
        <v>0</v>
      </c>
      <c r="BQ248" s="400">
        <f t="shared" si="3370"/>
        <v>0</v>
      </c>
      <c r="BR248" s="400">
        <f t="shared" si="3370"/>
        <v>0</v>
      </c>
      <c r="BS248" s="400">
        <f t="shared" si="3370"/>
        <v>0</v>
      </c>
      <c r="BT248" s="400">
        <f t="shared" ref="BT248:DC248" si="3371">++BT101</f>
        <v>0</v>
      </c>
      <c r="BU248" s="400">
        <f t="shared" si="3371"/>
        <v>0</v>
      </c>
      <c r="BV248" s="400">
        <f t="shared" si="3371"/>
        <v>0</v>
      </c>
      <c r="BW248" s="400">
        <f t="shared" si="3371"/>
        <v>0</v>
      </c>
      <c r="BX248" s="400">
        <f t="shared" si="3371"/>
        <v>0</v>
      </c>
      <c r="BY248" s="400">
        <f t="shared" si="3371"/>
        <v>0</v>
      </c>
      <c r="BZ248" s="400">
        <f t="shared" si="3371"/>
        <v>0</v>
      </c>
      <c r="CA248" s="400">
        <f t="shared" si="3371"/>
        <v>0</v>
      </c>
      <c r="CB248" s="400">
        <f t="shared" si="3371"/>
        <v>0</v>
      </c>
      <c r="CC248" s="400">
        <f t="shared" si="3371"/>
        <v>0</v>
      </c>
      <c r="CD248" s="400">
        <f t="shared" si="3371"/>
        <v>0</v>
      </c>
      <c r="CE248" s="400">
        <f t="shared" si="3371"/>
        <v>0</v>
      </c>
      <c r="CF248" s="400">
        <f t="shared" si="3371"/>
        <v>0</v>
      </c>
      <c r="CG248" s="400">
        <f t="shared" si="3371"/>
        <v>0</v>
      </c>
      <c r="CH248" s="400">
        <f t="shared" si="3371"/>
        <v>0</v>
      </c>
      <c r="CI248" s="400">
        <f t="shared" si="3371"/>
        <v>0</v>
      </c>
      <c r="CJ248" s="400">
        <f t="shared" si="3371"/>
        <v>0</v>
      </c>
      <c r="CK248" s="400">
        <f t="shared" si="3371"/>
        <v>0</v>
      </c>
      <c r="CL248" s="400">
        <f t="shared" si="3371"/>
        <v>0</v>
      </c>
      <c r="CM248" s="400">
        <f t="shared" si="3371"/>
        <v>0</v>
      </c>
      <c r="CN248" s="400">
        <f t="shared" si="3371"/>
        <v>0</v>
      </c>
      <c r="CO248" s="400">
        <f t="shared" si="3371"/>
        <v>0</v>
      </c>
      <c r="CP248" s="400">
        <f t="shared" si="3371"/>
        <v>0</v>
      </c>
      <c r="CQ248" s="400">
        <f t="shared" si="3371"/>
        <v>0</v>
      </c>
      <c r="CR248" s="400">
        <f t="shared" si="3371"/>
        <v>0</v>
      </c>
      <c r="CS248" s="400">
        <f t="shared" si="3371"/>
        <v>0</v>
      </c>
      <c r="CT248" s="400">
        <f t="shared" si="3371"/>
        <v>0</v>
      </c>
      <c r="CU248" s="400">
        <f t="shared" si="3371"/>
        <v>0</v>
      </c>
      <c r="CV248" s="400">
        <f t="shared" si="3371"/>
        <v>0</v>
      </c>
      <c r="CW248" s="400">
        <f t="shared" si="3371"/>
        <v>0</v>
      </c>
      <c r="CX248" s="400">
        <f t="shared" si="3371"/>
        <v>0</v>
      </c>
      <c r="CY248" s="400">
        <f t="shared" si="3371"/>
        <v>0</v>
      </c>
      <c r="CZ248" s="400">
        <f t="shared" si="3371"/>
        <v>0</v>
      </c>
      <c r="DA248" s="400">
        <f t="shared" si="3371"/>
        <v>0</v>
      </c>
      <c r="DB248" s="400">
        <f t="shared" si="3371"/>
        <v>0</v>
      </c>
      <c r="DC248" s="400">
        <f t="shared" si="3371"/>
        <v>0</v>
      </c>
    </row>
    <row r="249" spans="1:107" x14ac:dyDescent="0.3">
      <c r="C249" s="321" t="str">
        <f>++C$53</f>
        <v>% revenue</v>
      </c>
      <c r="G249" s="214" t="str">
        <f>++IFERROR(G248/G206,"n/a")</f>
        <v>n/a</v>
      </c>
      <c r="H249" s="225" t="str">
        <f t="shared" ref="H249" si="3372">++IFERROR(H248/H206,"n/a")</f>
        <v>n/a</v>
      </c>
      <c r="I249" s="225" t="str">
        <f t="shared" ref="I249" si="3373">++IFERROR(I248/I206,"n/a")</f>
        <v>n/a</v>
      </c>
      <c r="J249" s="225" t="str">
        <f t="shared" ref="J249" si="3374">++IFERROR(J248/J206,"n/a")</f>
        <v>n/a</v>
      </c>
      <c r="K249" s="214" t="str">
        <f t="shared" ref="K249" si="3375">++IFERROR(K248/K206,"n/a")</f>
        <v>n/a</v>
      </c>
      <c r="L249" s="225" t="str">
        <f t="shared" ref="L249" si="3376">++IFERROR(L248/L206,"n/a")</f>
        <v>n/a</v>
      </c>
      <c r="M249" s="225" t="str">
        <f t="shared" ref="M249" si="3377">++IFERROR(M248/M206,"n/a")</f>
        <v>n/a</v>
      </c>
      <c r="N249" s="225" t="str">
        <f t="shared" ref="N249" si="3378">++IFERROR(N248/N206,"n/a")</f>
        <v>n/a</v>
      </c>
      <c r="O249" s="225" t="str">
        <f t="shared" ref="O249" si="3379">++IFERROR(O248/O206,"n/a")</f>
        <v>n/a</v>
      </c>
      <c r="P249" s="225" t="str">
        <f t="shared" ref="P249" si="3380">++IFERROR(P248/P206,"n/a")</f>
        <v>n/a</v>
      </c>
      <c r="Q249" s="225" t="str">
        <f t="shared" ref="Q249" si="3381">++IFERROR(Q248/Q206,"n/a")</f>
        <v>n/a</v>
      </c>
      <c r="R249" s="225" t="str">
        <f t="shared" ref="R249" si="3382">++IFERROR(R248/R206,"n/a")</f>
        <v>n/a</v>
      </c>
      <c r="S249" s="225" t="str">
        <f t="shared" ref="S249" si="3383">++IFERROR(S248/S206,"n/a")</f>
        <v>n/a</v>
      </c>
      <c r="T249" s="225" t="str">
        <f t="shared" ref="T249" si="3384">++IFERROR(T248/T206,"n/a")</f>
        <v>n/a</v>
      </c>
      <c r="U249" s="225" t="str">
        <f t="shared" ref="U249" si="3385">++IFERROR(U248/U206,"n/a")</f>
        <v>n/a</v>
      </c>
      <c r="V249" s="225" t="str">
        <f t="shared" ref="V249" si="3386">++IFERROR(V248/V206,"n/a")</f>
        <v>n/a</v>
      </c>
      <c r="W249" s="214" t="str">
        <f t="shared" ref="W249" si="3387">++IFERROR(W248/W206,"n/a")</f>
        <v>n/a</v>
      </c>
      <c r="X249" s="225" t="str">
        <f t="shared" ref="X249" si="3388">++IFERROR(X248/X206,"n/a")</f>
        <v>n/a</v>
      </c>
      <c r="Y249" s="225" t="str">
        <f t="shared" ref="Y249" si="3389">++IFERROR(Y248/Y206,"n/a")</f>
        <v>n/a</v>
      </c>
      <c r="Z249" s="225" t="str">
        <f t="shared" ref="Z249" si="3390">++IFERROR(Z248/Z206,"n/a")</f>
        <v>n/a</v>
      </c>
      <c r="AA249" s="225" t="str">
        <f t="shared" ref="AA249" si="3391">++IFERROR(AA248/AA206,"n/a")</f>
        <v>n/a</v>
      </c>
      <c r="AB249" s="225" t="str">
        <f t="shared" ref="AB249" si="3392">++IFERROR(AB248/AB206,"n/a")</f>
        <v>n/a</v>
      </c>
      <c r="AC249" s="225" t="str">
        <f t="shared" ref="AC249" si="3393">++IFERROR(AC248/AC206,"n/a")</f>
        <v>n/a</v>
      </c>
      <c r="AD249" s="225" t="str">
        <f t="shared" ref="AD249" si="3394">++IFERROR(AD248/AD206,"n/a")</f>
        <v>n/a</v>
      </c>
      <c r="AE249" s="225" t="str">
        <f t="shared" ref="AE249" si="3395">++IFERROR(AE248/AE206,"n/a")</f>
        <v>n/a</v>
      </c>
      <c r="AF249" s="225" t="str">
        <f t="shared" ref="AF249" si="3396">++IFERROR(AF248/AF206,"n/a")</f>
        <v>n/a</v>
      </c>
      <c r="AG249" s="225" t="str">
        <f t="shared" ref="AG249" si="3397">++IFERROR(AG248/AG206,"n/a")</f>
        <v>n/a</v>
      </c>
      <c r="AH249" s="225" t="str">
        <f t="shared" ref="AH249" si="3398">++IFERROR(AH248/AH206,"n/a")</f>
        <v>n/a</v>
      </c>
      <c r="AI249" s="214" t="str">
        <f t="shared" ref="AI249" si="3399">++IFERROR(AI248/AI206,"n/a")</f>
        <v>n/a</v>
      </c>
      <c r="AJ249" s="225" t="str">
        <f t="shared" ref="AJ249" si="3400">++IFERROR(AJ248/AJ206,"n/a")</f>
        <v>n/a</v>
      </c>
      <c r="AK249" s="225" t="str">
        <f t="shared" ref="AK249" si="3401">++IFERROR(AK248/AK206,"n/a")</f>
        <v>n/a</v>
      </c>
      <c r="AL249" s="225" t="str">
        <f t="shared" ref="AL249" si="3402">++IFERROR(AL248/AL206,"n/a")</f>
        <v>n/a</v>
      </c>
      <c r="AM249" s="225" t="str">
        <f t="shared" ref="AM249" si="3403">++IFERROR(AM248/AM206,"n/a")</f>
        <v>n/a</v>
      </c>
      <c r="AN249" s="225" t="str">
        <f t="shared" ref="AN249" si="3404">++IFERROR(AN248/AN206,"n/a")</f>
        <v>n/a</v>
      </c>
      <c r="AO249" s="225" t="str">
        <f t="shared" ref="AO249" si="3405">++IFERROR(AO248/AO206,"n/a")</f>
        <v>n/a</v>
      </c>
      <c r="AP249" s="225" t="str">
        <f t="shared" ref="AP249" si="3406">++IFERROR(AP248/AP206,"n/a")</f>
        <v>n/a</v>
      </c>
      <c r="AQ249" s="225" t="str">
        <f t="shared" ref="AQ249" si="3407">++IFERROR(AQ248/AQ206,"n/a")</f>
        <v>n/a</v>
      </c>
      <c r="AR249" s="225" t="str">
        <f t="shared" ref="AR249" si="3408">++IFERROR(AR248/AR206,"n/a")</f>
        <v>n/a</v>
      </c>
      <c r="AS249" s="225" t="str">
        <f t="shared" ref="AS249" si="3409">++IFERROR(AS248/AS206,"n/a")</f>
        <v>n/a</v>
      </c>
      <c r="AT249" s="225" t="str">
        <f t="shared" ref="AT249" si="3410">++IFERROR(AT248/AT206,"n/a")</f>
        <v>n/a</v>
      </c>
      <c r="AU249" s="214" t="str">
        <f t="shared" ref="AU249" si="3411">++IFERROR(AU248/AU206,"n/a")</f>
        <v>n/a</v>
      </c>
      <c r="AV249" s="225" t="str">
        <f t="shared" ref="AV249" si="3412">++IFERROR(AV248/AV206,"n/a")</f>
        <v>n/a</v>
      </c>
      <c r="AW249" s="225" t="str">
        <f t="shared" ref="AW249" si="3413">++IFERROR(AW248/AW206,"n/a")</f>
        <v>n/a</v>
      </c>
      <c r="AX249" s="225" t="str">
        <f t="shared" ref="AX249" si="3414">++IFERROR(AX248/AX206,"n/a")</f>
        <v>n/a</v>
      </c>
      <c r="AY249" s="225" t="str">
        <f t="shared" ref="AY249" si="3415">++IFERROR(AY248/AY206,"n/a")</f>
        <v>n/a</v>
      </c>
      <c r="AZ249" s="225" t="str">
        <f t="shared" ref="AZ249" si="3416">++IFERROR(AZ248/AZ206,"n/a")</f>
        <v>n/a</v>
      </c>
      <c r="BA249" s="225" t="str">
        <f t="shared" ref="BA249" si="3417">++IFERROR(BA248/BA206,"n/a")</f>
        <v>n/a</v>
      </c>
      <c r="BB249" s="225" t="str">
        <f t="shared" ref="BB249" si="3418">++IFERROR(BB248/BB206,"n/a")</f>
        <v>n/a</v>
      </c>
      <c r="BC249" s="225" t="str">
        <f t="shared" ref="BC249" si="3419">++IFERROR(BC248/BC206,"n/a")</f>
        <v>n/a</v>
      </c>
      <c r="BD249" s="225" t="str">
        <f t="shared" ref="BD249" si="3420">++IFERROR(BD248/BD206,"n/a")</f>
        <v>n/a</v>
      </c>
      <c r="BE249" s="225" t="str">
        <f t="shared" ref="BE249" si="3421">++IFERROR(BE248/BE206,"n/a")</f>
        <v>n/a</v>
      </c>
      <c r="BF249" s="225" t="str">
        <f t="shared" ref="BF249" si="3422">++IFERROR(BF248/BF206,"n/a")</f>
        <v>n/a</v>
      </c>
      <c r="BG249" s="214" t="str">
        <f t="shared" ref="BG249" si="3423">++IFERROR(BG248/BG206,"n/a")</f>
        <v>n/a</v>
      </c>
      <c r="BH249" s="225" t="str">
        <f t="shared" ref="BH249" si="3424">++IFERROR(BH248/BH206,"n/a")</f>
        <v>n/a</v>
      </c>
      <c r="BI249" s="225" t="str">
        <f t="shared" ref="BI249" si="3425">++IFERROR(BI248/BI206,"n/a")</f>
        <v>n/a</v>
      </c>
      <c r="BJ249" s="225" t="str">
        <f t="shared" ref="BJ249" si="3426">++IFERROR(BJ248/BJ206,"n/a")</f>
        <v>n/a</v>
      </c>
      <c r="BK249" s="225" t="str">
        <f t="shared" ref="BK249" si="3427">++IFERROR(BK248/BK206,"n/a")</f>
        <v>n/a</v>
      </c>
      <c r="BL249" s="225" t="str">
        <f t="shared" ref="BL249" si="3428">++IFERROR(BL248/BL206,"n/a")</f>
        <v>n/a</v>
      </c>
      <c r="BM249" s="225" t="str">
        <f t="shared" ref="BM249" si="3429">++IFERROR(BM248/BM206,"n/a")</f>
        <v>n/a</v>
      </c>
      <c r="BN249" s="225" t="str">
        <f t="shared" ref="BN249" si="3430">++IFERROR(BN248/BN206,"n/a")</f>
        <v>n/a</v>
      </c>
      <c r="BO249" s="225" t="str">
        <f t="shared" ref="BO249" si="3431">++IFERROR(BO248/BO206,"n/a")</f>
        <v>n/a</v>
      </c>
      <c r="BP249" s="225" t="str">
        <f t="shared" ref="BP249" si="3432">++IFERROR(BP248/BP206,"n/a")</f>
        <v>n/a</v>
      </c>
      <c r="BQ249" s="225" t="str">
        <f t="shared" ref="BQ249" si="3433">++IFERROR(BQ248/BQ206,"n/a")</f>
        <v>n/a</v>
      </c>
      <c r="BR249" s="225" t="str">
        <f t="shared" ref="BR249" si="3434">++IFERROR(BR248/BR206,"n/a")</f>
        <v>n/a</v>
      </c>
      <c r="BS249" s="214" t="str">
        <f t="shared" ref="BS249" si="3435">++IFERROR(BS248/BS206,"n/a")</f>
        <v>n/a</v>
      </c>
      <c r="BT249" s="225" t="str">
        <f t="shared" ref="BT249" si="3436">++IFERROR(BT248/BT206,"n/a")</f>
        <v>n/a</v>
      </c>
      <c r="BU249" s="225" t="str">
        <f t="shared" ref="BU249" si="3437">++IFERROR(BU248/BU206,"n/a")</f>
        <v>n/a</v>
      </c>
      <c r="BV249" s="225" t="str">
        <f t="shared" ref="BV249" si="3438">++IFERROR(BV248/BV206,"n/a")</f>
        <v>n/a</v>
      </c>
      <c r="BW249" s="225" t="str">
        <f t="shared" ref="BW249" si="3439">++IFERROR(BW248/BW206,"n/a")</f>
        <v>n/a</v>
      </c>
      <c r="BX249" s="225" t="str">
        <f t="shared" ref="BX249" si="3440">++IFERROR(BX248/BX206,"n/a")</f>
        <v>n/a</v>
      </c>
      <c r="BY249" s="225" t="str">
        <f t="shared" ref="BY249" si="3441">++IFERROR(BY248/BY206,"n/a")</f>
        <v>n/a</v>
      </c>
      <c r="BZ249" s="225" t="str">
        <f t="shared" ref="BZ249" si="3442">++IFERROR(BZ248/BZ206,"n/a")</f>
        <v>n/a</v>
      </c>
      <c r="CA249" s="225" t="str">
        <f t="shared" ref="CA249" si="3443">++IFERROR(CA248/CA206,"n/a")</f>
        <v>n/a</v>
      </c>
      <c r="CB249" s="225" t="str">
        <f t="shared" ref="CB249" si="3444">++IFERROR(CB248/CB206,"n/a")</f>
        <v>n/a</v>
      </c>
      <c r="CC249" s="225" t="str">
        <f t="shared" ref="CC249" si="3445">++IFERROR(CC248/CC206,"n/a")</f>
        <v>n/a</v>
      </c>
      <c r="CD249" s="225" t="str">
        <f t="shared" ref="CD249" si="3446">++IFERROR(CD248/CD206,"n/a")</f>
        <v>n/a</v>
      </c>
      <c r="CE249" s="214" t="str">
        <f t="shared" ref="CE249" si="3447">++IFERROR(CE248/CE206,"n/a")</f>
        <v>n/a</v>
      </c>
      <c r="CF249" s="225" t="str">
        <f t="shared" ref="CF249" si="3448">++IFERROR(CF248/CF206,"n/a")</f>
        <v>n/a</v>
      </c>
      <c r="CG249" s="225" t="str">
        <f t="shared" ref="CG249" si="3449">++IFERROR(CG248/CG206,"n/a")</f>
        <v>n/a</v>
      </c>
      <c r="CH249" s="225" t="str">
        <f t="shared" ref="CH249" si="3450">++IFERROR(CH248/CH206,"n/a")</f>
        <v>n/a</v>
      </c>
      <c r="CI249" s="225" t="str">
        <f t="shared" ref="CI249" si="3451">++IFERROR(CI248/CI206,"n/a")</f>
        <v>n/a</v>
      </c>
      <c r="CJ249" s="225" t="str">
        <f t="shared" ref="CJ249" si="3452">++IFERROR(CJ248/CJ206,"n/a")</f>
        <v>n/a</v>
      </c>
      <c r="CK249" s="225" t="str">
        <f t="shared" ref="CK249" si="3453">++IFERROR(CK248/CK206,"n/a")</f>
        <v>n/a</v>
      </c>
      <c r="CL249" s="225" t="str">
        <f t="shared" ref="CL249" si="3454">++IFERROR(CL248/CL206,"n/a")</f>
        <v>n/a</v>
      </c>
      <c r="CM249" s="225" t="str">
        <f t="shared" ref="CM249" si="3455">++IFERROR(CM248/CM206,"n/a")</f>
        <v>n/a</v>
      </c>
      <c r="CN249" s="225" t="str">
        <f t="shared" ref="CN249" si="3456">++IFERROR(CN248/CN206,"n/a")</f>
        <v>n/a</v>
      </c>
      <c r="CO249" s="225" t="str">
        <f t="shared" ref="CO249" si="3457">++IFERROR(CO248/CO206,"n/a")</f>
        <v>n/a</v>
      </c>
      <c r="CP249" s="225" t="str">
        <f t="shared" ref="CP249" si="3458">++IFERROR(CP248/CP206,"n/a")</f>
        <v>n/a</v>
      </c>
      <c r="CQ249" s="214" t="str">
        <f t="shared" ref="CQ249" si="3459">++IFERROR(CQ248/CQ206,"n/a")</f>
        <v>n/a</v>
      </c>
      <c r="CR249" s="225" t="str">
        <f t="shared" ref="CR249" si="3460">++IFERROR(CR248/CR206,"n/a")</f>
        <v>n/a</v>
      </c>
      <c r="CS249" s="225" t="str">
        <f t="shared" ref="CS249" si="3461">++IFERROR(CS248/CS206,"n/a")</f>
        <v>n/a</v>
      </c>
      <c r="CT249" s="225" t="str">
        <f t="shared" ref="CT249" si="3462">++IFERROR(CT248/CT206,"n/a")</f>
        <v>n/a</v>
      </c>
      <c r="CU249" s="225" t="str">
        <f t="shared" ref="CU249" si="3463">++IFERROR(CU248/CU206,"n/a")</f>
        <v>n/a</v>
      </c>
      <c r="CV249" s="225" t="str">
        <f t="shared" ref="CV249" si="3464">++IFERROR(CV248/CV206,"n/a")</f>
        <v>n/a</v>
      </c>
      <c r="CW249" s="225" t="str">
        <f t="shared" ref="CW249" si="3465">++IFERROR(CW248/CW206,"n/a")</f>
        <v>n/a</v>
      </c>
      <c r="CX249" s="225" t="str">
        <f t="shared" ref="CX249" si="3466">++IFERROR(CX248/CX206,"n/a")</f>
        <v>n/a</v>
      </c>
      <c r="CY249" s="225" t="str">
        <f t="shared" ref="CY249" si="3467">++IFERROR(CY248/CY206,"n/a")</f>
        <v>n/a</v>
      </c>
      <c r="CZ249" s="225" t="str">
        <f t="shared" ref="CZ249" si="3468">++IFERROR(CZ248/CZ206,"n/a")</f>
        <v>n/a</v>
      </c>
      <c r="DA249" s="225" t="str">
        <f t="shared" ref="DA249" si="3469">++IFERROR(DA248/DA206,"n/a")</f>
        <v>n/a</v>
      </c>
      <c r="DB249" s="225" t="str">
        <f t="shared" ref="DB249" si="3470">++IFERROR(DB248/DB206,"n/a")</f>
        <v>n/a</v>
      </c>
      <c r="DC249" s="214" t="str">
        <f t="shared" ref="DC249" si="3471">++IFERROR(DC248/DC206,"n/a")</f>
        <v>n/a</v>
      </c>
    </row>
    <row r="250" spans="1:107" x14ac:dyDescent="0.3">
      <c r="C250" s="321" t="str">
        <f>++C$54</f>
        <v>% FCF conversion</v>
      </c>
      <c r="G250" s="214" t="str">
        <f>++IFERROR((G244-G248)/G244,"n/a")</f>
        <v>n/a</v>
      </c>
      <c r="H250" s="225" t="str">
        <f t="shared" ref="H250:BS250" si="3472">++IFERROR((H244-H248)/H244,"n/a")</f>
        <v>n/a</v>
      </c>
      <c r="I250" s="225" t="str">
        <f t="shared" si="3472"/>
        <v>n/a</v>
      </c>
      <c r="J250" s="225" t="str">
        <f t="shared" si="3472"/>
        <v>n/a</v>
      </c>
      <c r="K250" s="214" t="str">
        <f t="shared" si="3472"/>
        <v>n/a</v>
      </c>
      <c r="L250" s="225" t="str">
        <f t="shared" si="3472"/>
        <v>n/a</v>
      </c>
      <c r="M250" s="225" t="str">
        <f t="shared" si="3472"/>
        <v>n/a</v>
      </c>
      <c r="N250" s="225" t="str">
        <f t="shared" si="3472"/>
        <v>n/a</v>
      </c>
      <c r="O250" s="225" t="str">
        <f t="shared" si="3472"/>
        <v>n/a</v>
      </c>
      <c r="P250" s="225" t="str">
        <f t="shared" si="3472"/>
        <v>n/a</v>
      </c>
      <c r="Q250" s="225" t="str">
        <f t="shared" si="3472"/>
        <v>n/a</v>
      </c>
      <c r="R250" s="225" t="str">
        <f t="shared" si="3472"/>
        <v>n/a</v>
      </c>
      <c r="S250" s="225" t="str">
        <f t="shared" si="3472"/>
        <v>n/a</v>
      </c>
      <c r="T250" s="225" t="str">
        <f t="shared" si="3472"/>
        <v>n/a</v>
      </c>
      <c r="U250" s="225" t="str">
        <f t="shared" si="3472"/>
        <v>n/a</v>
      </c>
      <c r="V250" s="225" t="str">
        <f t="shared" si="3472"/>
        <v>n/a</v>
      </c>
      <c r="W250" s="214" t="str">
        <f t="shared" si="3472"/>
        <v>n/a</v>
      </c>
      <c r="X250" s="225" t="str">
        <f t="shared" si="3472"/>
        <v>n/a</v>
      </c>
      <c r="Y250" s="225" t="str">
        <f t="shared" si="3472"/>
        <v>n/a</v>
      </c>
      <c r="Z250" s="225" t="str">
        <f t="shared" si="3472"/>
        <v>n/a</v>
      </c>
      <c r="AA250" s="225" t="str">
        <f t="shared" si="3472"/>
        <v>n/a</v>
      </c>
      <c r="AB250" s="225" t="str">
        <f t="shared" si="3472"/>
        <v>n/a</v>
      </c>
      <c r="AC250" s="225" t="str">
        <f t="shared" si="3472"/>
        <v>n/a</v>
      </c>
      <c r="AD250" s="225" t="str">
        <f t="shared" si="3472"/>
        <v>n/a</v>
      </c>
      <c r="AE250" s="225" t="str">
        <f t="shared" si="3472"/>
        <v>n/a</v>
      </c>
      <c r="AF250" s="225" t="str">
        <f t="shared" si="3472"/>
        <v>n/a</v>
      </c>
      <c r="AG250" s="225" t="str">
        <f t="shared" si="3472"/>
        <v>n/a</v>
      </c>
      <c r="AH250" s="225" t="str">
        <f t="shared" si="3472"/>
        <v>n/a</v>
      </c>
      <c r="AI250" s="214" t="str">
        <f t="shared" si="3472"/>
        <v>n/a</v>
      </c>
      <c r="AJ250" s="225" t="str">
        <f t="shared" si="3472"/>
        <v>n/a</v>
      </c>
      <c r="AK250" s="225" t="str">
        <f t="shared" si="3472"/>
        <v>n/a</v>
      </c>
      <c r="AL250" s="225" t="str">
        <f t="shared" si="3472"/>
        <v>n/a</v>
      </c>
      <c r="AM250" s="225" t="str">
        <f t="shared" si="3472"/>
        <v>n/a</v>
      </c>
      <c r="AN250" s="225" t="str">
        <f t="shared" si="3472"/>
        <v>n/a</v>
      </c>
      <c r="AO250" s="225" t="str">
        <f t="shared" si="3472"/>
        <v>n/a</v>
      </c>
      <c r="AP250" s="225" t="str">
        <f t="shared" si="3472"/>
        <v>n/a</v>
      </c>
      <c r="AQ250" s="225" t="str">
        <f t="shared" si="3472"/>
        <v>n/a</v>
      </c>
      <c r="AR250" s="225" t="str">
        <f t="shared" si="3472"/>
        <v>n/a</v>
      </c>
      <c r="AS250" s="225" t="str">
        <f t="shared" si="3472"/>
        <v>n/a</v>
      </c>
      <c r="AT250" s="225" t="str">
        <f t="shared" si="3472"/>
        <v>n/a</v>
      </c>
      <c r="AU250" s="214" t="str">
        <f t="shared" si="3472"/>
        <v>n/a</v>
      </c>
      <c r="AV250" s="225" t="str">
        <f t="shared" si="3472"/>
        <v>n/a</v>
      </c>
      <c r="AW250" s="225" t="str">
        <f t="shared" si="3472"/>
        <v>n/a</v>
      </c>
      <c r="AX250" s="225" t="str">
        <f t="shared" si="3472"/>
        <v>n/a</v>
      </c>
      <c r="AY250" s="225" t="str">
        <f t="shared" si="3472"/>
        <v>n/a</v>
      </c>
      <c r="AZ250" s="225" t="str">
        <f t="shared" si="3472"/>
        <v>n/a</v>
      </c>
      <c r="BA250" s="225" t="str">
        <f t="shared" si="3472"/>
        <v>n/a</v>
      </c>
      <c r="BB250" s="225" t="str">
        <f t="shared" si="3472"/>
        <v>n/a</v>
      </c>
      <c r="BC250" s="225" t="str">
        <f t="shared" si="3472"/>
        <v>n/a</v>
      </c>
      <c r="BD250" s="225" t="str">
        <f t="shared" si="3472"/>
        <v>n/a</v>
      </c>
      <c r="BE250" s="225" t="str">
        <f t="shared" si="3472"/>
        <v>n/a</v>
      </c>
      <c r="BF250" s="225" t="str">
        <f t="shared" si="3472"/>
        <v>n/a</v>
      </c>
      <c r="BG250" s="214" t="str">
        <f t="shared" si="3472"/>
        <v>n/a</v>
      </c>
      <c r="BH250" s="225" t="str">
        <f t="shared" si="3472"/>
        <v>n/a</v>
      </c>
      <c r="BI250" s="225" t="str">
        <f t="shared" si="3472"/>
        <v>n/a</v>
      </c>
      <c r="BJ250" s="225" t="str">
        <f t="shared" si="3472"/>
        <v>n/a</v>
      </c>
      <c r="BK250" s="225" t="str">
        <f t="shared" si="3472"/>
        <v>n/a</v>
      </c>
      <c r="BL250" s="225" t="str">
        <f t="shared" si="3472"/>
        <v>n/a</v>
      </c>
      <c r="BM250" s="225" t="str">
        <f t="shared" si="3472"/>
        <v>n/a</v>
      </c>
      <c r="BN250" s="225" t="str">
        <f t="shared" si="3472"/>
        <v>n/a</v>
      </c>
      <c r="BO250" s="225" t="str">
        <f t="shared" si="3472"/>
        <v>n/a</v>
      </c>
      <c r="BP250" s="225" t="str">
        <f t="shared" si="3472"/>
        <v>n/a</v>
      </c>
      <c r="BQ250" s="225" t="str">
        <f t="shared" si="3472"/>
        <v>n/a</v>
      </c>
      <c r="BR250" s="225" t="str">
        <f t="shared" si="3472"/>
        <v>n/a</v>
      </c>
      <c r="BS250" s="214" t="str">
        <f t="shared" si="3472"/>
        <v>n/a</v>
      </c>
      <c r="BT250" s="225" t="str">
        <f t="shared" ref="BT250:DC250" si="3473">++IFERROR((BT244-BT248)/BT244,"n/a")</f>
        <v>n/a</v>
      </c>
      <c r="BU250" s="225" t="str">
        <f t="shared" si="3473"/>
        <v>n/a</v>
      </c>
      <c r="BV250" s="225" t="str">
        <f t="shared" si="3473"/>
        <v>n/a</v>
      </c>
      <c r="BW250" s="225" t="str">
        <f t="shared" si="3473"/>
        <v>n/a</v>
      </c>
      <c r="BX250" s="225" t="str">
        <f t="shared" si="3473"/>
        <v>n/a</v>
      </c>
      <c r="BY250" s="225" t="str">
        <f t="shared" si="3473"/>
        <v>n/a</v>
      </c>
      <c r="BZ250" s="225" t="str">
        <f t="shared" si="3473"/>
        <v>n/a</v>
      </c>
      <c r="CA250" s="225" t="str">
        <f t="shared" si="3473"/>
        <v>n/a</v>
      </c>
      <c r="CB250" s="225" t="str">
        <f t="shared" si="3473"/>
        <v>n/a</v>
      </c>
      <c r="CC250" s="225" t="str">
        <f t="shared" si="3473"/>
        <v>n/a</v>
      </c>
      <c r="CD250" s="225" t="str">
        <f t="shared" si="3473"/>
        <v>n/a</v>
      </c>
      <c r="CE250" s="214" t="str">
        <f t="shared" si="3473"/>
        <v>n/a</v>
      </c>
      <c r="CF250" s="225" t="str">
        <f t="shared" si="3473"/>
        <v>n/a</v>
      </c>
      <c r="CG250" s="225" t="str">
        <f t="shared" si="3473"/>
        <v>n/a</v>
      </c>
      <c r="CH250" s="225" t="str">
        <f t="shared" si="3473"/>
        <v>n/a</v>
      </c>
      <c r="CI250" s="225" t="str">
        <f t="shared" si="3473"/>
        <v>n/a</v>
      </c>
      <c r="CJ250" s="225" t="str">
        <f t="shared" si="3473"/>
        <v>n/a</v>
      </c>
      <c r="CK250" s="225" t="str">
        <f t="shared" si="3473"/>
        <v>n/a</v>
      </c>
      <c r="CL250" s="225" t="str">
        <f t="shared" si="3473"/>
        <v>n/a</v>
      </c>
      <c r="CM250" s="225" t="str">
        <f t="shared" si="3473"/>
        <v>n/a</v>
      </c>
      <c r="CN250" s="225" t="str">
        <f t="shared" si="3473"/>
        <v>n/a</v>
      </c>
      <c r="CO250" s="225" t="str">
        <f t="shared" si="3473"/>
        <v>n/a</v>
      </c>
      <c r="CP250" s="225" t="str">
        <f t="shared" si="3473"/>
        <v>n/a</v>
      </c>
      <c r="CQ250" s="214" t="str">
        <f t="shared" si="3473"/>
        <v>n/a</v>
      </c>
      <c r="CR250" s="225" t="str">
        <f t="shared" si="3473"/>
        <v>n/a</v>
      </c>
      <c r="CS250" s="225" t="str">
        <f t="shared" si="3473"/>
        <v>n/a</v>
      </c>
      <c r="CT250" s="225" t="str">
        <f t="shared" si="3473"/>
        <v>n/a</v>
      </c>
      <c r="CU250" s="225" t="str">
        <f t="shared" si="3473"/>
        <v>n/a</v>
      </c>
      <c r="CV250" s="225" t="str">
        <f t="shared" si="3473"/>
        <v>n/a</v>
      </c>
      <c r="CW250" s="225" t="str">
        <f t="shared" si="3473"/>
        <v>n/a</v>
      </c>
      <c r="CX250" s="225" t="str">
        <f t="shared" si="3473"/>
        <v>n/a</v>
      </c>
      <c r="CY250" s="225" t="str">
        <f t="shared" si="3473"/>
        <v>n/a</v>
      </c>
      <c r="CZ250" s="225" t="str">
        <f t="shared" si="3473"/>
        <v>n/a</v>
      </c>
      <c r="DA250" s="225" t="str">
        <f t="shared" si="3473"/>
        <v>n/a</v>
      </c>
      <c r="DB250" s="225" t="str">
        <f t="shared" si="3473"/>
        <v>n/a</v>
      </c>
      <c r="DC250" s="214" t="str">
        <f t="shared" si="3473"/>
        <v>n/a</v>
      </c>
    </row>
    <row r="251" spans="1:107" x14ac:dyDescent="0.3">
      <c r="G251" s="203"/>
      <c r="K251" s="203"/>
      <c r="W251" s="203"/>
      <c r="AI251" s="203"/>
      <c r="AU251" s="203"/>
      <c r="BG251" s="203"/>
      <c r="BS251" s="203"/>
      <c r="CE251" s="203"/>
      <c r="CQ251" s="203"/>
      <c r="DC251" s="203"/>
    </row>
    <row r="252" spans="1:107" x14ac:dyDescent="0.3">
      <c r="G252" s="203"/>
      <c r="K252" s="203"/>
      <c r="W252" s="203"/>
      <c r="AI252" s="203"/>
      <c r="AU252" s="203"/>
      <c r="BG252" s="203"/>
      <c r="BS252" s="203"/>
      <c r="CE252" s="203"/>
      <c r="CQ252" s="203"/>
      <c r="DC252" s="203"/>
    </row>
    <row r="253" spans="1:107" x14ac:dyDescent="0.3">
      <c r="A253" s="319"/>
      <c r="B253" s="319" t="s">
        <v>0</v>
      </c>
      <c r="C253" s="166" t="s">
        <v>513</v>
      </c>
      <c r="D253" s="365"/>
      <c r="E253" s="365"/>
      <c r="F253" s="365"/>
      <c r="G253" s="365"/>
      <c r="H253" s="365"/>
      <c r="I253" s="365"/>
      <c r="J253" s="365"/>
      <c r="K253" s="365"/>
      <c r="L253" s="365"/>
      <c r="M253" s="365"/>
      <c r="N253" s="365"/>
      <c r="O253" s="365"/>
      <c r="P253" s="365"/>
      <c r="Q253" s="365"/>
      <c r="R253" s="365"/>
      <c r="S253" s="365"/>
      <c r="T253" s="365"/>
      <c r="U253" s="365"/>
      <c r="V253" s="365"/>
      <c r="W253" s="365"/>
      <c r="X253" s="365"/>
      <c r="Y253" s="365"/>
      <c r="Z253" s="365"/>
      <c r="AA253" s="365"/>
      <c r="AB253" s="365"/>
      <c r="AC253" s="365"/>
      <c r="AD253" s="365"/>
      <c r="AE253" s="365"/>
      <c r="AF253" s="365"/>
      <c r="AG253" s="365"/>
      <c r="AH253" s="365"/>
      <c r="AI253" s="365"/>
      <c r="AJ253" s="365"/>
      <c r="AK253" s="365"/>
      <c r="AL253" s="365"/>
      <c r="AM253" s="365"/>
      <c r="AN253" s="365"/>
      <c r="AO253" s="365"/>
      <c r="AP253" s="365"/>
      <c r="AQ253" s="365"/>
      <c r="AR253" s="365"/>
      <c r="AS253" s="365"/>
      <c r="AT253" s="365"/>
      <c r="AU253" s="365"/>
      <c r="AV253" s="365"/>
      <c r="AW253" s="365"/>
      <c r="AX253" s="365"/>
      <c r="AY253" s="365"/>
      <c r="AZ253" s="365"/>
      <c r="BA253" s="365"/>
      <c r="BB253" s="365"/>
      <c r="BC253" s="365"/>
      <c r="BD253" s="365"/>
      <c r="BE253" s="365"/>
      <c r="BF253" s="365"/>
      <c r="BG253" s="365"/>
      <c r="BH253" s="365"/>
      <c r="BI253" s="365"/>
      <c r="BJ253" s="365"/>
      <c r="BK253" s="365"/>
      <c r="BL253" s="365"/>
      <c r="BM253" s="365"/>
      <c r="BN253" s="365"/>
      <c r="BO253" s="365"/>
      <c r="BP253" s="365"/>
      <c r="BQ253" s="365"/>
      <c r="BR253" s="365"/>
      <c r="BS253" s="365"/>
      <c r="BT253" s="365"/>
      <c r="BU253" s="365"/>
      <c r="BV253" s="365"/>
      <c r="BW253" s="365"/>
      <c r="BX253" s="365"/>
      <c r="BY253" s="365"/>
      <c r="BZ253" s="365"/>
      <c r="CA253" s="365"/>
      <c r="CB253" s="365"/>
      <c r="CC253" s="365"/>
      <c r="CD253" s="365"/>
      <c r="CE253" s="365"/>
      <c r="CF253" s="365"/>
      <c r="CG253" s="365"/>
      <c r="CH253" s="365"/>
      <c r="CI253" s="365"/>
      <c r="CJ253" s="365"/>
      <c r="CK253" s="365"/>
      <c r="CL253" s="365"/>
      <c r="CM253" s="365"/>
      <c r="CN253" s="365"/>
      <c r="CO253" s="365"/>
      <c r="CP253" s="365"/>
      <c r="CQ253" s="365"/>
      <c r="CR253" s="365"/>
      <c r="CS253" s="365"/>
      <c r="CT253" s="365"/>
      <c r="CU253" s="365"/>
      <c r="CV253" s="365"/>
      <c r="CW253" s="365"/>
      <c r="CX253" s="365"/>
      <c r="CY253" s="365"/>
      <c r="CZ253" s="365"/>
      <c r="DA253" s="365"/>
      <c r="DB253" s="365"/>
      <c r="DC253" s="366"/>
    </row>
    <row r="254" spans="1:107" ht="5.15" customHeight="1" x14ac:dyDescent="0.3">
      <c r="G254" s="203"/>
      <c r="K254" s="203"/>
      <c r="W254" s="203"/>
      <c r="AI254" s="203"/>
      <c r="AU254" s="203"/>
      <c r="BG254" s="203"/>
      <c r="BS254" s="203"/>
      <c r="CE254" s="203"/>
      <c r="CQ254" s="203"/>
      <c r="DC254" s="203"/>
    </row>
    <row r="255" spans="1:107" x14ac:dyDescent="0.3">
      <c r="C255" s="193" t="str">
        <f>++C$10</f>
        <v>Revenue</v>
      </c>
      <c r="G255" s="400">
        <f>++G108</f>
        <v>0</v>
      </c>
      <c r="H255" s="400">
        <f t="shared" ref="H255:BS255" si="3474">++H108</f>
        <v>0</v>
      </c>
      <c r="I255" s="400">
        <f t="shared" si="3474"/>
        <v>0</v>
      </c>
      <c r="J255" s="400">
        <f t="shared" si="3474"/>
        <v>0</v>
      </c>
      <c r="K255" s="400">
        <f t="shared" si="3474"/>
        <v>0</v>
      </c>
      <c r="L255" s="400">
        <f t="shared" si="3474"/>
        <v>0</v>
      </c>
      <c r="M255" s="400">
        <f t="shared" si="3474"/>
        <v>0</v>
      </c>
      <c r="N255" s="400">
        <f t="shared" si="3474"/>
        <v>0</v>
      </c>
      <c r="O255" s="400">
        <f t="shared" si="3474"/>
        <v>0</v>
      </c>
      <c r="P255" s="400">
        <f t="shared" si="3474"/>
        <v>0</v>
      </c>
      <c r="Q255" s="400">
        <f t="shared" si="3474"/>
        <v>0</v>
      </c>
      <c r="R255" s="400">
        <f t="shared" si="3474"/>
        <v>0</v>
      </c>
      <c r="S255" s="400">
        <f t="shared" si="3474"/>
        <v>0</v>
      </c>
      <c r="T255" s="400">
        <f t="shared" si="3474"/>
        <v>0</v>
      </c>
      <c r="U255" s="400">
        <f t="shared" si="3474"/>
        <v>0</v>
      </c>
      <c r="V255" s="400">
        <f t="shared" si="3474"/>
        <v>0</v>
      </c>
      <c r="W255" s="400">
        <f t="shared" si="3474"/>
        <v>0</v>
      </c>
      <c r="X255" s="400">
        <f t="shared" si="3474"/>
        <v>0</v>
      </c>
      <c r="Y255" s="400">
        <f t="shared" si="3474"/>
        <v>0</v>
      </c>
      <c r="Z255" s="400">
        <f t="shared" si="3474"/>
        <v>0</v>
      </c>
      <c r="AA255" s="400">
        <f t="shared" si="3474"/>
        <v>0</v>
      </c>
      <c r="AB255" s="400">
        <f t="shared" si="3474"/>
        <v>0</v>
      </c>
      <c r="AC255" s="400">
        <f t="shared" si="3474"/>
        <v>0</v>
      </c>
      <c r="AD255" s="400">
        <f t="shared" si="3474"/>
        <v>0</v>
      </c>
      <c r="AE255" s="400">
        <f t="shared" si="3474"/>
        <v>0</v>
      </c>
      <c r="AF255" s="400">
        <f t="shared" si="3474"/>
        <v>0</v>
      </c>
      <c r="AG255" s="400">
        <f t="shared" si="3474"/>
        <v>0</v>
      </c>
      <c r="AH255" s="400">
        <f t="shared" si="3474"/>
        <v>0</v>
      </c>
      <c r="AI255" s="400">
        <f t="shared" si="3474"/>
        <v>0</v>
      </c>
      <c r="AJ255" s="400">
        <f t="shared" si="3474"/>
        <v>0</v>
      </c>
      <c r="AK255" s="400">
        <f t="shared" si="3474"/>
        <v>0</v>
      </c>
      <c r="AL255" s="400">
        <f t="shared" si="3474"/>
        <v>0</v>
      </c>
      <c r="AM255" s="400">
        <f t="shared" si="3474"/>
        <v>0</v>
      </c>
      <c r="AN255" s="400">
        <f t="shared" si="3474"/>
        <v>0</v>
      </c>
      <c r="AO255" s="400">
        <f t="shared" si="3474"/>
        <v>0</v>
      </c>
      <c r="AP255" s="400">
        <f t="shared" si="3474"/>
        <v>0</v>
      </c>
      <c r="AQ255" s="400">
        <f t="shared" si="3474"/>
        <v>0</v>
      </c>
      <c r="AR255" s="400">
        <f t="shared" si="3474"/>
        <v>0</v>
      </c>
      <c r="AS255" s="400">
        <f t="shared" si="3474"/>
        <v>0</v>
      </c>
      <c r="AT255" s="400">
        <f t="shared" si="3474"/>
        <v>0</v>
      </c>
      <c r="AU255" s="400">
        <f t="shared" si="3474"/>
        <v>0</v>
      </c>
      <c r="AV255" s="400">
        <f t="shared" si="3474"/>
        <v>0</v>
      </c>
      <c r="AW255" s="400">
        <f t="shared" si="3474"/>
        <v>0</v>
      </c>
      <c r="AX255" s="400">
        <f t="shared" si="3474"/>
        <v>0</v>
      </c>
      <c r="AY255" s="400">
        <f t="shared" si="3474"/>
        <v>0</v>
      </c>
      <c r="AZ255" s="400">
        <f t="shared" si="3474"/>
        <v>0</v>
      </c>
      <c r="BA255" s="400">
        <f t="shared" si="3474"/>
        <v>0</v>
      </c>
      <c r="BB255" s="400">
        <f t="shared" si="3474"/>
        <v>0</v>
      </c>
      <c r="BC255" s="400">
        <f t="shared" si="3474"/>
        <v>0</v>
      </c>
      <c r="BD255" s="400">
        <f t="shared" si="3474"/>
        <v>0</v>
      </c>
      <c r="BE255" s="400">
        <f t="shared" si="3474"/>
        <v>0</v>
      </c>
      <c r="BF255" s="400">
        <f t="shared" si="3474"/>
        <v>0</v>
      </c>
      <c r="BG255" s="400">
        <f t="shared" si="3474"/>
        <v>0</v>
      </c>
      <c r="BH255" s="400">
        <f t="shared" si="3474"/>
        <v>0</v>
      </c>
      <c r="BI255" s="400">
        <f t="shared" si="3474"/>
        <v>0</v>
      </c>
      <c r="BJ255" s="400">
        <f t="shared" si="3474"/>
        <v>0</v>
      </c>
      <c r="BK255" s="400">
        <f t="shared" si="3474"/>
        <v>0</v>
      </c>
      <c r="BL255" s="400">
        <f t="shared" si="3474"/>
        <v>0</v>
      </c>
      <c r="BM255" s="400">
        <f t="shared" si="3474"/>
        <v>0</v>
      </c>
      <c r="BN255" s="400">
        <f t="shared" si="3474"/>
        <v>0</v>
      </c>
      <c r="BO255" s="400">
        <f t="shared" si="3474"/>
        <v>0</v>
      </c>
      <c r="BP255" s="400">
        <f t="shared" si="3474"/>
        <v>0</v>
      </c>
      <c r="BQ255" s="400">
        <f t="shared" si="3474"/>
        <v>0</v>
      </c>
      <c r="BR255" s="400">
        <f t="shared" si="3474"/>
        <v>0</v>
      </c>
      <c r="BS255" s="400">
        <f t="shared" si="3474"/>
        <v>0</v>
      </c>
      <c r="BT255" s="400">
        <f t="shared" ref="BT255:DC255" si="3475">++BT108</f>
        <v>0</v>
      </c>
      <c r="BU255" s="400">
        <f t="shared" si="3475"/>
        <v>0</v>
      </c>
      <c r="BV255" s="400">
        <f t="shared" si="3475"/>
        <v>0</v>
      </c>
      <c r="BW255" s="400">
        <f t="shared" si="3475"/>
        <v>0</v>
      </c>
      <c r="BX255" s="400">
        <f t="shared" si="3475"/>
        <v>0</v>
      </c>
      <c r="BY255" s="400">
        <f t="shared" si="3475"/>
        <v>0</v>
      </c>
      <c r="BZ255" s="400">
        <f t="shared" si="3475"/>
        <v>0</v>
      </c>
      <c r="CA255" s="400">
        <f t="shared" si="3475"/>
        <v>0</v>
      </c>
      <c r="CB255" s="400">
        <f t="shared" si="3475"/>
        <v>0</v>
      </c>
      <c r="CC255" s="400">
        <f t="shared" si="3475"/>
        <v>0</v>
      </c>
      <c r="CD255" s="400">
        <f t="shared" si="3475"/>
        <v>0</v>
      </c>
      <c r="CE255" s="400">
        <f t="shared" si="3475"/>
        <v>0</v>
      </c>
      <c r="CF255" s="400">
        <f t="shared" si="3475"/>
        <v>0</v>
      </c>
      <c r="CG255" s="400">
        <f t="shared" si="3475"/>
        <v>0</v>
      </c>
      <c r="CH255" s="400">
        <f t="shared" si="3475"/>
        <v>0</v>
      </c>
      <c r="CI255" s="400">
        <f t="shared" si="3475"/>
        <v>0</v>
      </c>
      <c r="CJ255" s="400">
        <f t="shared" si="3475"/>
        <v>0</v>
      </c>
      <c r="CK255" s="400">
        <f t="shared" si="3475"/>
        <v>0</v>
      </c>
      <c r="CL255" s="400">
        <f t="shared" si="3475"/>
        <v>0</v>
      </c>
      <c r="CM255" s="400">
        <f t="shared" si="3475"/>
        <v>0</v>
      </c>
      <c r="CN255" s="400">
        <f t="shared" si="3475"/>
        <v>0</v>
      </c>
      <c r="CO255" s="400">
        <f t="shared" si="3475"/>
        <v>0</v>
      </c>
      <c r="CP255" s="400">
        <f t="shared" si="3475"/>
        <v>0</v>
      </c>
      <c r="CQ255" s="400">
        <f t="shared" si="3475"/>
        <v>0</v>
      </c>
      <c r="CR255" s="400">
        <f t="shared" si="3475"/>
        <v>0</v>
      </c>
      <c r="CS255" s="400">
        <f t="shared" si="3475"/>
        <v>0</v>
      </c>
      <c r="CT255" s="400">
        <f t="shared" si="3475"/>
        <v>0</v>
      </c>
      <c r="CU255" s="400">
        <f t="shared" si="3475"/>
        <v>0</v>
      </c>
      <c r="CV255" s="400">
        <f t="shared" si="3475"/>
        <v>0</v>
      </c>
      <c r="CW255" s="400">
        <f t="shared" si="3475"/>
        <v>0</v>
      </c>
      <c r="CX255" s="400">
        <f t="shared" si="3475"/>
        <v>0</v>
      </c>
      <c r="CY255" s="400">
        <f t="shared" si="3475"/>
        <v>0</v>
      </c>
      <c r="CZ255" s="400">
        <f t="shared" si="3475"/>
        <v>0</v>
      </c>
      <c r="DA255" s="400">
        <f t="shared" si="3475"/>
        <v>0</v>
      </c>
      <c r="DB255" s="400">
        <f t="shared" si="3475"/>
        <v>0</v>
      </c>
      <c r="DC255" s="400">
        <f t="shared" si="3475"/>
        <v>0</v>
      </c>
    </row>
    <row r="256" spans="1:107" x14ac:dyDescent="0.3">
      <c r="C256" s="321" t="str">
        <f>++C$11</f>
        <v>% y/y</v>
      </c>
      <c r="G256" s="122" t="s">
        <v>47</v>
      </c>
      <c r="H256" s="122" t="s">
        <v>47</v>
      </c>
      <c r="I256" s="122" t="s">
        <v>47</v>
      </c>
      <c r="J256" s="122" t="s">
        <v>47</v>
      </c>
      <c r="K256" s="214" t="str">
        <f>++IFERROR(K255/G255-1,"n/a")</f>
        <v>n/a</v>
      </c>
      <c r="L256" s="122" t="s">
        <v>47</v>
      </c>
      <c r="M256" s="122" t="s">
        <v>47</v>
      </c>
      <c r="N256" s="225" t="str">
        <f>++IFERROR(N255/H255-1,"n/a")</f>
        <v>n/a</v>
      </c>
      <c r="O256" s="122" t="s">
        <v>47</v>
      </c>
      <c r="P256" s="122" t="s">
        <v>47</v>
      </c>
      <c r="Q256" s="225" t="str">
        <f>++IFERROR(Q255/I255-1,"n/a")</f>
        <v>n/a</v>
      </c>
      <c r="R256" s="122" t="s">
        <v>47</v>
      </c>
      <c r="S256" s="122" t="s">
        <v>47</v>
      </c>
      <c r="T256" s="225" t="str">
        <f>++IFERROR(T255/J255-1,"n/a")</f>
        <v>n/a</v>
      </c>
      <c r="U256" s="122" t="s">
        <v>47</v>
      </c>
      <c r="V256" s="122" t="s">
        <v>47</v>
      </c>
      <c r="W256" s="214" t="str">
        <f t="shared" ref="W256:BB256" si="3476">++IFERROR(W255/K255-1,"n/a")</f>
        <v>n/a</v>
      </c>
      <c r="X256" s="225" t="str">
        <f t="shared" si="3476"/>
        <v>n/a</v>
      </c>
      <c r="Y256" s="225" t="str">
        <f t="shared" si="3476"/>
        <v>n/a</v>
      </c>
      <c r="Z256" s="225" t="str">
        <f t="shared" si="3476"/>
        <v>n/a</v>
      </c>
      <c r="AA256" s="225" t="str">
        <f t="shared" si="3476"/>
        <v>n/a</v>
      </c>
      <c r="AB256" s="225" t="str">
        <f t="shared" si="3476"/>
        <v>n/a</v>
      </c>
      <c r="AC256" s="225" t="str">
        <f t="shared" si="3476"/>
        <v>n/a</v>
      </c>
      <c r="AD256" s="225" t="str">
        <f t="shared" si="3476"/>
        <v>n/a</v>
      </c>
      <c r="AE256" s="225" t="str">
        <f t="shared" si="3476"/>
        <v>n/a</v>
      </c>
      <c r="AF256" s="225" t="str">
        <f t="shared" si="3476"/>
        <v>n/a</v>
      </c>
      <c r="AG256" s="225" t="str">
        <f t="shared" si="3476"/>
        <v>n/a</v>
      </c>
      <c r="AH256" s="225" t="str">
        <f t="shared" si="3476"/>
        <v>n/a</v>
      </c>
      <c r="AI256" s="214" t="str">
        <f t="shared" si="3476"/>
        <v>n/a</v>
      </c>
      <c r="AJ256" s="225" t="str">
        <f t="shared" si="3476"/>
        <v>n/a</v>
      </c>
      <c r="AK256" s="225" t="str">
        <f t="shared" si="3476"/>
        <v>n/a</v>
      </c>
      <c r="AL256" s="225" t="str">
        <f t="shared" si="3476"/>
        <v>n/a</v>
      </c>
      <c r="AM256" s="225" t="str">
        <f t="shared" si="3476"/>
        <v>n/a</v>
      </c>
      <c r="AN256" s="225" t="str">
        <f t="shared" si="3476"/>
        <v>n/a</v>
      </c>
      <c r="AO256" s="225" t="str">
        <f t="shared" si="3476"/>
        <v>n/a</v>
      </c>
      <c r="AP256" s="225" t="str">
        <f t="shared" si="3476"/>
        <v>n/a</v>
      </c>
      <c r="AQ256" s="225" t="str">
        <f t="shared" si="3476"/>
        <v>n/a</v>
      </c>
      <c r="AR256" s="225" t="str">
        <f t="shared" si="3476"/>
        <v>n/a</v>
      </c>
      <c r="AS256" s="225" t="str">
        <f t="shared" si="3476"/>
        <v>n/a</v>
      </c>
      <c r="AT256" s="225" t="str">
        <f t="shared" si="3476"/>
        <v>n/a</v>
      </c>
      <c r="AU256" s="214" t="str">
        <f t="shared" si="3476"/>
        <v>n/a</v>
      </c>
      <c r="AV256" s="225" t="str">
        <f t="shared" si="3476"/>
        <v>n/a</v>
      </c>
      <c r="AW256" s="225" t="str">
        <f t="shared" si="3476"/>
        <v>n/a</v>
      </c>
      <c r="AX256" s="225" t="str">
        <f t="shared" si="3476"/>
        <v>n/a</v>
      </c>
      <c r="AY256" s="225" t="str">
        <f t="shared" si="3476"/>
        <v>n/a</v>
      </c>
      <c r="AZ256" s="225" t="str">
        <f t="shared" si="3476"/>
        <v>n/a</v>
      </c>
      <c r="BA256" s="225" t="str">
        <f t="shared" si="3476"/>
        <v>n/a</v>
      </c>
      <c r="BB256" s="225" t="str">
        <f t="shared" si="3476"/>
        <v>n/a</v>
      </c>
      <c r="BC256" s="225" t="str">
        <f t="shared" ref="BC256:CH256" si="3477">++IFERROR(BC255/AQ255-1,"n/a")</f>
        <v>n/a</v>
      </c>
      <c r="BD256" s="225" t="str">
        <f t="shared" si="3477"/>
        <v>n/a</v>
      </c>
      <c r="BE256" s="225" t="str">
        <f t="shared" si="3477"/>
        <v>n/a</v>
      </c>
      <c r="BF256" s="225" t="str">
        <f t="shared" si="3477"/>
        <v>n/a</v>
      </c>
      <c r="BG256" s="214" t="str">
        <f t="shared" si="3477"/>
        <v>n/a</v>
      </c>
      <c r="BH256" s="225" t="str">
        <f t="shared" si="3477"/>
        <v>n/a</v>
      </c>
      <c r="BI256" s="225" t="str">
        <f t="shared" si="3477"/>
        <v>n/a</v>
      </c>
      <c r="BJ256" s="225" t="str">
        <f t="shared" si="3477"/>
        <v>n/a</v>
      </c>
      <c r="BK256" s="225" t="str">
        <f t="shared" si="3477"/>
        <v>n/a</v>
      </c>
      <c r="BL256" s="225" t="str">
        <f t="shared" si="3477"/>
        <v>n/a</v>
      </c>
      <c r="BM256" s="225" t="str">
        <f t="shared" si="3477"/>
        <v>n/a</v>
      </c>
      <c r="BN256" s="225" t="str">
        <f t="shared" si="3477"/>
        <v>n/a</v>
      </c>
      <c r="BO256" s="225" t="str">
        <f t="shared" si="3477"/>
        <v>n/a</v>
      </c>
      <c r="BP256" s="225" t="str">
        <f t="shared" si="3477"/>
        <v>n/a</v>
      </c>
      <c r="BQ256" s="225" t="str">
        <f t="shared" si="3477"/>
        <v>n/a</v>
      </c>
      <c r="BR256" s="225" t="str">
        <f t="shared" si="3477"/>
        <v>n/a</v>
      </c>
      <c r="BS256" s="214" t="str">
        <f t="shared" si="3477"/>
        <v>n/a</v>
      </c>
      <c r="BT256" s="225" t="str">
        <f t="shared" si="3477"/>
        <v>n/a</v>
      </c>
      <c r="BU256" s="225" t="str">
        <f t="shared" si="3477"/>
        <v>n/a</v>
      </c>
      <c r="BV256" s="225" t="str">
        <f t="shared" si="3477"/>
        <v>n/a</v>
      </c>
      <c r="BW256" s="225" t="str">
        <f t="shared" si="3477"/>
        <v>n/a</v>
      </c>
      <c r="BX256" s="225" t="str">
        <f t="shared" si="3477"/>
        <v>n/a</v>
      </c>
      <c r="BY256" s="225" t="str">
        <f t="shared" si="3477"/>
        <v>n/a</v>
      </c>
      <c r="BZ256" s="225" t="str">
        <f t="shared" si="3477"/>
        <v>n/a</v>
      </c>
      <c r="CA256" s="225" t="str">
        <f t="shared" si="3477"/>
        <v>n/a</v>
      </c>
      <c r="CB256" s="225" t="str">
        <f t="shared" si="3477"/>
        <v>n/a</v>
      </c>
      <c r="CC256" s="225" t="str">
        <f t="shared" si="3477"/>
        <v>n/a</v>
      </c>
      <c r="CD256" s="225" t="str">
        <f t="shared" si="3477"/>
        <v>n/a</v>
      </c>
      <c r="CE256" s="214" t="str">
        <f t="shared" si="3477"/>
        <v>n/a</v>
      </c>
      <c r="CF256" s="225" t="str">
        <f t="shared" si="3477"/>
        <v>n/a</v>
      </c>
      <c r="CG256" s="225" t="str">
        <f t="shared" si="3477"/>
        <v>n/a</v>
      </c>
      <c r="CH256" s="225" t="str">
        <f t="shared" si="3477"/>
        <v>n/a</v>
      </c>
      <c r="CI256" s="225" t="str">
        <f t="shared" ref="CI256:DN256" si="3478">++IFERROR(CI255/BW255-1,"n/a")</f>
        <v>n/a</v>
      </c>
      <c r="CJ256" s="225" t="str">
        <f t="shared" si="3478"/>
        <v>n/a</v>
      </c>
      <c r="CK256" s="225" t="str">
        <f t="shared" si="3478"/>
        <v>n/a</v>
      </c>
      <c r="CL256" s="225" t="str">
        <f t="shared" si="3478"/>
        <v>n/a</v>
      </c>
      <c r="CM256" s="225" t="str">
        <f t="shared" si="3478"/>
        <v>n/a</v>
      </c>
      <c r="CN256" s="225" t="str">
        <f t="shared" si="3478"/>
        <v>n/a</v>
      </c>
      <c r="CO256" s="225" t="str">
        <f t="shared" si="3478"/>
        <v>n/a</v>
      </c>
      <c r="CP256" s="225" t="str">
        <f t="shared" si="3478"/>
        <v>n/a</v>
      </c>
      <c r="CQ256" s="214" t="str">
        <f t="shared" si="3478"/>
        <v>n/a</v>
      </c>
      <c r="CR256" s="225" t="str">
        <f t="shared" si="3478"/>
        <v>n/a</v>
      </c>
      <c r="CS256" s="225" t="str">
        <f t="shared" si="3478"/>
        <v>n/a</v>
      </c>
      <c r="CT256" s="225" t="str">
        <f t="shared" si="3478"/>
        <v>n/a</v>
      </c>
      <c r="CU256" s="225" t="str">
        <f t="shared" si="3478"/>
        <v>n/a</v>
      </c>
      <c r="CV256" s="225" t="str">
        <f t="shared" si="3478"/>
        <v>n/a</v>
      </c>
      <c r="CW256" s="225" t="str">
        <f t="shared" si="3478"/>
        <v>n/a</v>
      </c>
      <c r="CX256" s="225" t="str">
        <f t="shared" si="3478"/>
        <v>n/a</v>
      </c>
      <c r="CY256" s="225" t="str">
        <f t="shared" si="3478"/>
        <v>n/a</v>
      </c>
      <c r="CZ256" s="225" t="str">
        <f t="shared" si="3478"/>
        <v>n/a</v>
      </c>
      <c r="DA256" s="225" t="str">
        <f t="shared" si="3478"/>
        <v>n/a</v>
      </c>
      <c r="DB256" s="225" t="str">
        <f t="shared" si="3478"/>
        <v>n/a</v>
      </c>
      <c r="DC256" s="214" t="str">
        <f t="shared" si="3478"/>
        <v>n/a</v>
      </c>
    </row>
    <row r="257" spans="3:107" x14ac:dyDescent="0.3">
      <c r="G257" s="203"/>
      <c r="K257" s="203"/>
      <c r="W257" s="203"/>
      <c r="AI257" s="203"/>
      <c r="AU257" s="203"/>
      <c r="BG257" s="203"/>
      <c r="BS257" s="203"/>
      <c r="CE257" s="203"/>
      <c r="CQ257" s="203"/>
      <c r="DC257" s="203"/>
    </row>
    <row r="258" spans="3:107" x14ac:dyDescent="0.3">
      <c r="C258" s="193" t="str">
        <f>++C$13</f>
        <v>Gross Profit</v>
      </c>
      <c r="G258" s="400">
        <f>++G111</f>
        <v>0</v>
      </c>
      <c r="H258" s="400">
        <f t="shared" ref="H258:BS258" si="3479">++H111</f>
        <v>0</v>
      </c>
      <c r="I258" s="400">
        <f t="shared" si="3479"/>
        <v>0</v>
      </c>
      <c r="J258" s="400">
        <f t="shared" si="3479"/>
        <v>0</v>
      </c>
      <c r="K258" s="400">
        <f t="shared" si="3479"/>
        <v>0</v>
      </c>
      <c r="L258" s="400">
        <f t="shared" si="3479"/>
        <v>0</v>
      </c>
      <c r="M258" s="400">
        <f t="shared" si="3479"/>
        <v>0</v>
      </c>
      <c r="N258" s="400">
        <f t="shared" si="3479"/>
        <v>0</v>
      </c>
      <c r="O258" s="400">
        <f t="shared" si="3479"/>
        <v>0</v>
      </c>
      <c r="P258" s="400">
        <f t="shared" si="3479"/>
        <v>0</v>
      </c>
      <c r="Q258" s="400">
        <f t="shared" si="3479"/>
        <v>0</v>
      </c>
      <c r="R258" s="400">
        <f t="shared" si="3479"/>
        <v>0</v>
      </c>
      <c r="S258" s="400">
        <f t="shared" si="3479"/>
        <v>0</v>
      </c>
      <c r="T258" s="400">
        <f t="shared" si="3479"/>
        <v>0</v>
      </c>
      <c r="U258" s="400">
        <f t="shared" si="3479"/>
        <v>0</v>
      </c>
      <c r="V258" s="400">
        <f t="shared" si="3479"/>
        <v>0</v>
      </c>
      <c r="W258" s="400">
        <f t="shared" si="3479"/>
        <v>0</v>
      </c>
      <c r="X258" s="400">
        <f t="shared" si="3479"/>
        <v>0</v>
      </c>
      <c r="Y258" s="400">
        <f t="shared" si="3479"/>
        <v>0</v>
      </c>
      <c r="Z258" s="400">
        <f t="shared" si="3479"/>
        <v>0</v>
      </c>
      <c r="AA258" s="400">
        <f t="shared" si="3479"/>
        <v>0</v>
      </c>
      <c r="AB258" s="400">
        <f t="shared" si="3479"/>
        <v>0</v>
      </c>
      <c r="AC258" s="400">
        <f t="shared" si="3479"/>
        <v>0</v>
      </c>
      <c r="AD258" s="400">
        <f t="shared" si="3479"/>
        <v>0</v>
      </c>
      <c r="AE258" s="400">
        <f t="shared" si="3479"/>
        <v>0</v>
      </c>
      <c r="AF258" s="400">
        <f t="shared" si="3479"/>
        <v>0</v>
      </c>
      <c r="AG258" s="400">
        <f t="shared" si="3479"/>
        <v>0</v>
      </c>
      <c r="AH258" s="400">
        <f t="shared" si="3479"/>
        <v>0</v>
      </c>
      <c r="AI258" s="400">
        <f t="shared" si="3479"/>
        <v>0</v>
      </c>
      <c r="AJ258" s="400">
        <f t="shared" si="3479"/>
        <v>0</v>
      </c>
      <c r="AK258" s="400">
        <f t="shared" si="3479"/>
        <v>0</v>
      </c>
      <c r="AL258" s="400">
        <f t="shared" si="3479"/>
        <v>0</v>
      </c>
      <c r="AM258" s="400">
        <f t="shared" si="3479"/>
        <v>0</v>
      </c>
      <c r="AN258" s="400">
        <f t="shared" si="3479"/>
        <v>0</v>
      </c>
      <c r="AO258" s="400">
        <f t="shared" si="3479"/>
        <v>0</v>
      </c>
      <c r="AP258" s="400">
        <f t="shared" si="3479"/>
        <v>0</v>
      </c>
      <c r="AQ258" s="400">
        <f t="shared" si="3479"/>
        <v>0</v>
      </c>
      <c r="AR258" s="400">
        <f t="shared" si="3479"/>
        <v>0</v>
      </c>
      <c r="AS258" s="400">
        <f t="shared" si="3479"/>
        <v>0</v>
      </c>
      <c r="AT258" s="400">
        <f t="shared" si="3479"/>
        <v>0</v>
      </c>
      <c r="AU258" s="400">
        <f t="shared" si="3479"/>
        <v>0</v>
      </c>
      <c r="AV258" s="400">
        <f t="shared" si="3479"/>
        <v>0</v>
      </c>
      <c r="AW258" s="400">
        <f t="shared" si="3479"/>
        <v>0</v>
      </c>
      <c r="AX258" s="400">
        <f t="shared" si="3479"/>
        <v>0</v>
      </c>
      <c r="AY258" s="400">
        <f t="shared" si="3479"/>
        <v>0</v>
      </c>
      <c r="AZ258" s="400">
        <f t="shared" si="3479"/>
        <v>0</v>
      </c>
      <c r="BA258" s="400">
        <f t="shared" si="3479"/>
        <v>0</v>
      </c>
      <c r="BB258" s="400">
        <f t="shared" si="3479"/>
        <v>0</v>
      </c>
      <c r="BC258" s="400">
        <f t="shared" si="3479"/>
        <v>0</v>
      </c>
      <c r="BD258" s="400">
        <f t="shared" si="3479"/>
        <v>0</v>
      </c>
      <c r="BE258" s="400">
        <f t="shared" si="3479"/>
        <v>0</v>
      </c>
      <c r="BF258" s="400">
        <f t="shared" si="3479"/>
        <v>0</v>
      </c>
      <c r="BG258" s="400">
        <f t="shared" si="3479"/>
        <v>0</v>
      </c>
      <c r="BH258" s="400">
        <f t="shared" si="3479"/>
        <v>0</v>
      </c>
      <c r="BI258" s="400">
        <f t="shared" si="3479"/>
        <v>0</v>
      </c>
      <c r="BJ258" s="400">
        <f t="shared" si="3479"/>
        <v>0</v>
      </c>
      <c r="BK258" s="400">
        <f t="shared" si="3479"/>
        <v>0</v>
      </c>
      <c r="BL258" s="400">
        <f t="shared" si="3479"/>
        <v>0</v>
      </c>
      <c r="BM258" s="400">
        <f t="shared" si="3479"/>
        <v>0</v>
      </c>
      <c r="BN258" s="400">
        <f t="shared" si="3479"/>
        <v>0</v>
      </c>
      <c r="BO258" s="400">
        <f t="shared" si="3479"/>
        <v>0</v>
      </c>
      <c r="BP258" s="400">
        <f t="shared" si="3479"/>
        <v>0</v>
      </c>
      <c r="BQ258" s="400">
        <f t="shared" si="3479"/>
        <v>0</v>
      </c>
      <c r="BR258" s="400">
        <f t="shared" si="3479"/>
        <v>0</v>
      </c>
      <c r="BS258" s="400">
        <f t="shared" si="3479"/>
        <v>0</v>
      </c>
      <c r="BT258" s="400">
        <f t="shared" ref="BT258:DC258" si="3480">++BT111</f>
        <v>0</v>
      </c>
      <c r="BU258" s="400">
        <f t="shared" si="3480"/>
        <v>0</v>
      </c>
      <c r="BV258" s="400">
        <f t="shared" si="3480"/>
        <v>0</v>
      </c>
      <c r="BW258" s="400">
        <f t="shared" si="3480"/>
        <v>0</v>
      </c>
      <c r="BX258" s="400">
        <f t="shared" si="3480"/>
        <v>0</v>
      </c>
      <c r="BY258" s="400">
        <f t="shared" si="3480"/>
        <v>0</v>
      </c>
      <c r="BZ258" s="400">
        <f t="shared" si="3480"/>
        <v>0</v>
      </c>
      <c r="CA258" s="400">
        <f t="shared" si="3480"/>
        <v>0</v>
      </c>
      <c r="CB258" s="400">
        <f t="shared" si="3480"/>
        <v>0</v>
      </c>
      <c r="CC258" s="400">
        <f t="shared" si="3480"/>
        <v>0</v>
      </c>
      <c r="CD258" s="400">
        <f t="shared" si="3480"/>
        <v>0</v>
      </c>
      <c r="CE258" s="400">
        <f t="shared" si="3480"/>
        <v>0</v>
      </c>
      <c r="CF258" s="400">
        <f t="shared" si="3480"/>
        <v>0</v>
      </c>
      <c r="CG258" s="400">
        <f t="shared" si="3480"/>
        <v>0</v>
      </c>
      <c r="CH258" s="400">
        <f t="shared" si="3480"/>
        <v>0</v>
      </c>
      <c r="CI258" s="400">
        <f t="shared" si="3480"/>
        <v>0</v>
      </c>
      <c r="CJ258" s="400">
        <f t="shared" si="3480"/>
        <v>0</v>
      </c>
      <c r="CK258" s="400">
        <f t="shared" si="3480"/>
        <v>0</v>
      </c>
      <c r="CL258" s="400">
        <f t="shared" si="3480"/>
        <v>0</v>
      </c>
      <c r="CM258" s="400">
        <f t="shared" si="3480"/>
        <v>0</v>
      </c>
      <c r="CN258" s="400">
        <f t="shared" si="3480"/>
        <v>0</v>
      </c>
      <c r="CO258" s="400">
        <f t="shared" si="3480"/>
        <v>0</v>
      </c>
      <c r="CP258" s="400">
        <f t="shared" si="3480"/>
        <v>0</v>
      </c>
      <c r="CQ258" s="400">
        <f t="shared" si="3480"/>
        <v>0</v>
      </c>
      <c r="CR258" s="400">
        <f t="shared" si="3480"/>
        <v>0</v>
      </c>
      <c r="CS258" s="400">
        <f t="shared" si="3480"/>
        <v>0</v>
      </c>
      <c r="CT258" s="400">
        <f t="shared" si="3480"/>
        <v>0</v>
      </c>
      <c r="CU258" s="400">
        <f t="shared" si="3480"/>
        <v>0</v>
      </c>
      <c r="CV258" s="400">
        <f t="shared" si="3480"/>
        <v>0</v>
      </c>
      <c r="CW258" s="400">
        <f t="shared" si="3480"/>
        <v>0</v>
      </c>
      <c r="CX258" s="400">
        <f t="shared" si="3480"/>
        <v>0</v>
      </c>
      <c r="CY258" s="400">
        <f t="shared" si="3480"/>
        <v>0</v>
      </c>
      <c r="CZ258" s="400">
        <f t="shared" si="3480"/>
        <v>0</v>
      </c>
      <c r="DA258" s="400">
        <f t="shared" si="3480"/>
        <v>0</v>
      </c>
      <c r="DB258" s="400">
        <f t="shared" si="3480"/>
        <v>0</v>
      </c>
      <c r="DC258" s="400">
        <f t="shared" si="3480"/>
        <v>0</v>
      </c>
    </row>
    <row r="259" spans="3:107" x14ac:dyDescent="0.3">
      <c r="C259" s="321" t="str">
        <f>++C$14</f>
        <v>% margin</v>
      </c>
      <c r="G259" s="214" t="str">
        <f>++IFERROR(G258/G255,"n/a")</f>
        <v>n/a</v>
      </c>
      <c r="H259" s="225" t="str">
        <f t="shared" ref="H259" si="3481">++IFERROR(H258/H255,"n/a")</f>
        <v>n/a</v>
      </c>
      <c r="I259" s="225" t="str">
        <f t="shared" ref="I259" si="3482">++IFERROR(I258/I255,"n/a")</f>
        <v>n/a</v>
      </c>
      <c r="J259" s="225" t="str">
        <f t="shared" ref="J259" si="3483">++IFERROR(J258/J255,"n/a")</f>
        <v>n/a</v>
      </c>
      <c r="K259" s="214" t="str">
        <f t="shared" ref="K259" si="3484">++IFERROR(K258/K255,"n/a")</f>
        <v>n/a</v>
      </c>
      <c r="L259" s="225" t="str">
        <f t="shared" ref="L259" si="3485">++IFERROR(L258/L255,"n/a")</f>
        <v>n/a</v>
      </c>
      <c r="M259" s="225" t="str">
        <f t="shared" ref="M259" si="3486">++IFERROR(M258/M255,"n/a")</f>
        <v>n/a</v>
      </c>
      <c r="N259" s="225" t="str">
        <f t="shared" ref="N259" si="3487">++IFERROR(N258/N255,"n/a")</f>
        <v>n/a</v>
      </c>
      <c r="O259" s="225" t="str">
        <f t="shared" ref="O259" si="3488">++IFERROR(O258/O255,"n/a")</f>
        <v>n/a</v>
      </c>
      <c r="P259" s="225" t="str">
        <f t="shared" ref="P259" si="3489">++IFERROR(P258/P255,"n/a")</f>
        <v>n/a</v>
      </c>
      <c r="Q259" s="225" t="str">
        <f t="shared" ref="Q259" si="3490">++IFERROR(Q258/Q255,"n/a")</f>
        <v>n/a</v>
      </c>
      <c r="R259" s="225" t="str">
        <f t="shared" ref="R259" si="3491">++IFERROR(R258/R255,"n/a")</f>
        <v>n/a</v>
      </c>
      <c r="S259" s="225" t="str">
        <f t="shared" ref="S259" si="3492">++IFERROR(S258/S255,"n/a")</f>
        <v>n/a</v>
      </c>
      <c r="T259" s="225" t="str">
        <f t="shared" ref="T259" si="3493">++IFERROR(T258/T255,"n/a")</f>
        <v>n/a</v>
      </c>
      <c r="U259" s="225" t="str">
        <f t="shared" ref="U259" si="3494">++IFERROR(U258/U255,"n/a")</f>
        <v>n/a</v>
      </c>
      <c r="V259" s="225" t="str">
        <f t="shared" ref="V259" si="3495">++IFERROR(V258/V255,"n/a")</f>
        <v>n/a</v>
      </c>
      <c r="W259" s="214" t="str">
        <f t="shared" ref="W259" si="3496">++IFERROR(W258/W255,"n/a")</f>
        <v>n/a</v>
      </c>
      <c r="X259" s="225" t="str">
        <f t="shared" ref="X259" si="3497">++IFERROR(X258/X255,"n/a")</f>
        <v>n/a</v>
      </c>
      <c r="Y259" s="225" t="str">
        <f t="shared" ref="Y259" si="3498">++IFERROR(Y258/Y255,"n/a")</f>
        <v>n/a</v>
      </c>
      <c r="Z259" s="225" t="str">
        <f t="shared" ref="Z259" si="3499">++IFERROR(Z258/Z255,"n/a")</f>
        <v>n/a</v>
      </c>
      <c r="AA259" s="225" t="str">
        <f t="shared" ref="AA259" si="3500">++IFERROR(AA258/AA255,"n/a")</f>
        <v>n/a</v>
      </c>
      <c r="AB259" s="225" t="str">
        <f t="shared" ref="AB259" si="3501">++IFERROR(AB258/AB255,"n/a")</f>
        <v>n/a</v>
      </c>
      <c r="AC259" s="225" t="str">
        <f t="shared" ref="AC259" si="3502">++IFERROR(AC258/AC255,"n/a")</f>
        <v>n/a</v>
      </c>
      <c r="AD259" s="225" t="str">
        <f t="shared" ref="AD259" si="3503">++IFERROR(AD258/AD255,"n/a")</f>
        <v>n/a</v>
      </c>
      <c r="AE259" s="225" t="str">
        <f t="shared" ref="AE259" si="3504">++IFERROR(AE258/AE255,"n/a")</f>
        <v>n/a</v>
      </c>
      <c r="AF259" s="225" t="str">
        <f t="shared" ref="AF259" si="3505">++IFERROR(AF258/AF255,"n/a")</f>
        <v>n/a</v>
      </c>
      <c r="AG259" s="225" t="str">
        <f t="shared" ref="AG259" si="3506">++IFERROR(AG258/AG255,"n/a")</f>
        <v>n/a</v>
      </c>
      <c r="AH259" s="225" t="str">
        <f t="shared" ref="AH259" si="3507">++IFERROR(AH258/AH255,"n/a")</f>
        <v>n/a</v>
      </c>
      <c r="AI259" s="214" t="str">
        <f t="shared" ref="AI259" si="3508">++IFERROR(AI258/AI255,"n/a")</f>
        <v>n/a</v>
      </c>
      <c r="AJ259" s="225" t="str">
        <f t="shared" ref="AJ259" si="3509">++IFERROR(AJ258/AJ255,"n/a")</f>
        <v>n/a</v>
      </c>
      <c r="AK259" s="225" t="str">
        <f t="shared" ref="AK259" si="3510">++IFERROR(AK258/AK255,"n/a")</f>
        <v>n/a</v>
      </c>
      <c r="AL259" s="225" t="str">
        <f t="shared" ref="AL259" si="3511">++IFERROR(AL258/AL255,"n/a")</f>
        <v>n/a</v>
      </c>
      <c r="AM259" s="225" t="str">
        <f t="shared" ref="AM259" si="3512">++IFERROR(AM258/AM255,"n/a")</f>
        <v>n/a</v>
      </c>
      <c r="AN259" s="225" t="str">
        <f t="shared" ref="AN259" si="3513">++IFERROR(AN258/AN255,"n/a")</f>
        <v>n/a</v>
      </c>
      <c r="AO259" s="225" t="str">
        <f t="shared" ref="AO259" si="3514">++IFERROR(AO258/AO255,"n/a")</f>
        <v>n/a</v>
      </c>
      <c r="AP259" s="225" t="str">
        <f t="shared" ref="AP259" si="3515">++IFERROR(AP258/AP255,"n/a")</f>
        <v>n/a</v>
      </c>
      <c r="AQ259" s="225" t="str">
        <f t="shared" ref="AQ259" si="3516">++IFERROR(AQ258/AQ255,"n/a")</f>
        <v>n/a</v>
      </c>
      <c r="AR259" s="225" t="str">
        <f t="shared" ref="AR259" si="3517">++IFERROR(AR258/AR255,"n/a")</f>
        <v>n/a</v>
      </c>
      <c r="AS259" s="225" t="str">
        <f t="shared" ref="AS259" si="3518">++IFERROR(AS258/AS255,"n/a")</f>
        <v>n/a</v>
      </c>
      <c r="AT259" s="225" t="str">
        <f t="shared" ref="AT259" si="3519">++IFERROR(AT258/AT255,"n/a")</f>
        <v>n/a</v>
      </c>
      <c r="AU259" s="214" t="str">
        <f t="shared" ref="AU259" si="3520">++IFERROR(AU258/AU255,"n/a")</f>
        <v>n/a</v>
      </c>
      <c r="AV259" s="225" t="str">
        <f t="shared" ref="AV259" si="3521">++IFERROR(AV258/AV255,"n/a")</f>
        <v>n/a</v>
      </c>
      <c r="AW259" s="225" t="str">
        <f t="shared" ref="AW259" si="3522">++IFERROR(AW258/AW255,"n/a")</f>
        <v>n/a</v>
      </c>
      <c r="AX259" s="225" t="str">
        <f t="shared" ref="AX259" si="3523">++IFERROR(AX258/AX255,"n/a")</f>
        <v>n/a</v>
      </c>
      <c r="AY259" s="225" t="str">
        <f t="shared" ref="AY259" si="3524">++IFERROR(AY258/AY255,"n/a")</f>
        <v>n/a</v>
      </c>
      <c r="AZ259" s="225" t="str">
        <f t="shared" ref="AZ259" si="3525">++IFERROR(AZ258/AZ255,"n/a")</f>
        <v>n/a</v>
      </c>
      <c r="BA259" s="225" t="str">
        <f t="shared" ref="BA259" si="3526">++IFERROR(BA258/BA255,"n/a")</f>
        <v>n/a</v>
      </c>
      <c r="BB259" s="225" t="str">
        <f t="shared" ref="BB259" si="3527">++IFERROR(BB258/BB255,"n/a")</f>
        <v>n/a</v>
      </c>
      <c r="BC259" s="225" t="str">
        <f t="shared" ref="BC259" si="3528">++IFERROR(BC258/BC255,"n/a")</f>
        <v>n/a</v>
      </c>
      <c r="BD259" s="225" t="str">
        <f t="shared" ref="BD259" si="3529">++IFERROR(BD258/BD255,"n/a")</f>
        <v>n/a</v>
      </c>
      <c r="BE259" s="225" t="str">
        <f t="shared" ref="BE259" si="3530">++IFERROR(BE258/BE255,"n/a")</f>
        <v>n/a</v>
      </c>
      <c r="BF259" s="225" t="str">
        <f t="shared" ref="BF259" si="3531">++IFERROR(BF258/BF255,"n/a")</f>
        <v>n/a</v>
      </c>
      <c r="BG259" s="214" t="str">
        <f t="shared" ref="BG259" si="3532">++IFERROR(BG258/BG255,"n/a")</f>
        <v>n/a</v>
      </c>
      <c r="BH259" s="225" t="str">
        <f t="shared" ref="BH259" si="3533">++IFERROR(BH258/BH255,"n/a")</f>
        <v>n/a</v>
      </c>
      <c r="BI259" s="225" t="str">
        <f t="shared" ref="BI259" si="3534">++IFERROR(BI258/BI255,"n/a")</f>
        <v>n/a</v>
      </c>
      <c r="BJ259" s="225" t="str">
        <f t="shared" ref="BJ259" si="3535">++IFERROR(BJ258/BJ255,"n/a")</f>
        <v>n/a</v>
      </c>
      <c r="BK259" s="225" t="str">
        <f t="shared" ref="BK259" si="3536">++IFERROR(BK258/BK255,"n/a")</f>
        <v>n/a</v>
      </c>
      <c r="BL259" s="225" t="str">
        <f t="shared" ref="BL259" si="3537">++IFERROR(BL258/BL255,"n/a")</f>
        <v>n/a</v>
      </c>
      <c r="BM259" s="225" t="str">
        <f t="shared" ref="BM259" si="3538">++IFERROR(BM258/BM255,"n/a")</f>
        <v>n/a</v>
      </c>
      <c r="BN259" s="225" t="str">
        <f t="shared" ref="BN259" si="3539">++IFERROR(BN258/BN255,"n/a")</f>
        <v>n/a</v>
      </c>
      <c r="BO259" s="225" t="str">
        <f t="shared" ref="BO259" si="3540">++IFERROR(BO258/BO255,"n/a")</f>
        <v>n/a</v>
      </c>
      <c r="BP259" s="225" t="str">
        <f t="shared" ref="BP259" si="3541">++IFERROR(BP258/BP255,"n/a")</f>
        <v>n/a</v>
      </c>
      <c r="BQ259" s="225" t="str">
        <f t="shared" ref="BQ259" si="3542">++IFERROR(BQ258/BQ255,"n/a")</f>
        <v>n/a</v>
      </c>
      <c r="BR259" s="225" t="str">
        <f t="shared" ref="BR259" si="3543">++IFERROR(BR258/BR255,"n/a")</f>
        <v>n/a</v>
      </c>
      <c r="BS259" s="214" t="str">
        <f t="shared" ref="BS259" si="3544">++IFERROR(BS258/BS255,"n/a")</f>
        <v>n/a</v>
      </c>
      <c r="BT259" s="225" t="str">
        <f t="shared" ref="BT259" si="3545">++IFERROR(BT258/BT255,"n/a")</f>
        <v>n/a</v>
      </c>
      <c r="BU259" s="225" t="str">
        <f t="shared" ref="BU259" si="3546">++IFERROR(BU258/BU255,"n/a")</f>
        <v>n/a</v>
      </c>
      <c r="BV259" s="225" t="str">
        <f t="shared" ref="BV259" si="3547">++IFERROR(BV258/BV255,"n/a")</f>
        <v>n/a</v>
      </c>
      <c r="BW259" s="225" t="str">
        <f t="shared" ref="BW259" si="3548">++IFERROR(BW258/BW255,"n/a")</f>
        <v>n/a</v>
      </c>
      <c r="BX259" s="225" t="str">
        <f t="shared" ref="BX259" si="3549">++IFERROR(BX258/BX255,"n/a")</f>
        <v>n/a</v>
      </c>
      <c r="BY259" s="225" t="str">
        <f t="shared" ref="BY259" si="3550">++IFERROR(BY258/BY255,"n/a")</f>
        <v>n/a</v>
      </c>
      <c r="BZ259" s="225" t="str">
        <f t="shared" ref="BZ259" si="3551">++IFERROR(BZ258/BZ255,"n/a")</f>
        <v>n/a</v>
      </c>
      <c r="CA259" s="225" t="str">
        <f t="shared" ref="CA259" si="3552">++IFERROR(CA258/CA255,"n/a")</f>
        <v>n/a</v>
      </c>
      <c r="CB259" s="225" t="str">
        <f t="shared" ref="CB259" si="3553">++IFERROR(CB258/CB255,"n/a")</f>
        <v>n/a</v>
      </c>
      <c r="CC259" s="225" t="str">
        <f t="shared" ref="CC259" si="3554">++IFERROR(CC258/CC255,"n/a")</f>
        <v>n/a</v>
      </c>
      <c r="CD259" s="225" t="str">
        <f t="shared" ref="CD259" si="3555">++IFERROR(CD258/CD255,"n/a")</f>
        <v>n/a</v>
      </c>
      <c r="CE259" s="214" t="str">
        <f t="shared" ref="CE259" si="3556">++IFERROR(CE258/CE255,"n/a")</f>
        <v>n/a</v>
      </c>
      <c r="CF259" s="225" t="str">
        <f t="shared" ref="CF259" si="3557">++IFERROR(CF258/CF255,"n/a")</f>
        <v>n/a</v>
      </c>
      <c r="CG259" s="225" t="str">
        <f t="shared" ref="CG259" si="3558">++IFERROR(CG258/CG255,"n/a")</f>
        <v>n/a</v>
      </c>
      <c r="CH259" s="225" t="str">
        <f t="shared" ref="CH259" si="3559">++IFERROR(CH258/CH255,"n/a")</f>
        <v>n/a</v>
      </c>
      <c r="CI259" s="225" t="str">
        <f t="shared" ref="CI259" si="3560">++IFERROR(CI258/CI255,"n/a")</f>
        <v>n/a</v>
      </c>
      <c r="CJ259" s="225" t="str">
        <f t="shared" ref="CJ259" si="3561">++IFERROR(CJ258/CJ255,"n/a")</f>
        <v>n/a</v>
      </c>
      <c r="CK259" s="225" t="str">
        <f t="shared" ref="CK259" si="3562">++IFERROR(CK258/CK255,"n/a")</f>
        <v>n/a</v>
      </c>
      <c r="CL259" s="225" t="str">
        <f t="shared" ref="CL259" si="3563">++IFERROR(CL258/CL255,"n/a")</f>
        <v>n/a</v>
      </c>
      <c r="CM259" s="225" t="str">
        <f t="shared" ref="CM259" si="3564">++IFERROR(CM258/CM255,"n/a")</f>
        <v>n/a</v>
      </c>
      <c r="CN259" s="225" t="str">
        <f t="shared" ref="CN259" si="3565">++IFERROR(CN258/CN255,"n/a")</f>
        <v>n/a</v>
      </c>
      <c r="CO259" s="225" t="str">
        <f t="shared" ref="CO259" si="3566">++IFERROR(CO258/CO255,"n/a")</f>
        <v>n/a</v>
      </c>
      <c r="CP259" s="225" t="str">
        <f t="shared" ref="CP259" si="3567">++IFERROR(CP258/CP255,"n/a")</f>
        <v>n/a</v>
      </c>
      <c r="CQ259" s="214" t="str">
        <f t="shared" ref="CQ259" si="3568">++IFERROR(CQ258/CQ255,"n/a")</f>
        <v>n/a</v>
      </c>
      <c r="CR259" s="225" t="str">
        <f t="shared" ref="CR259" si="3569">++IFERROR(CR258/CR255,"n/a")</f>
        <v>n/a</v>
      </c>
      <c r="CS259" s="225" t="str">
        <f t="shared" ref="CS259" si="3570">++IFERROR(CS258/CS255,"n/a")</f>
        <v>n/a</v>
      </c>
      <c r="CT259" s="225" t="str">
        <f t="shared" ref="CT259" si="3571">++IFERROR(CT258/CT255,"n/a")</f>
        <v>n/a</v>
      </c>
      <c r="CU259" s="225" t="str">
        <f t="shared" ref="CU259" si="3572">++IFERROR(CU258/CU255,"n/a")</f>
        <v>n/a</v>
      </c>
      <c r="CV259" s="225" t="str">
        <f t="shared" ref="CV259" si="3573">++IFERROR(CV258/CV255,"n/a")</f>
        <v>n/a</v>
      </c>
      <c r="CW259" s="225" t="str">
        <f t="shared" ref="CW259" si="3574">++IFERROR(CW258/CW255,"n/a")</f>
        <v>n/a</v>
      </c>
      <c r="CX259" s="225" t="str">
        <f t="shared" ref="CX259" si="3575">++IFERROR(CX258/CX255,"n/a")</f>
        <v>n/a</v>
      </c>
      <c r="CY259" s="225" t="str">
        <f t="shared" ref="CY259" si="3576">++IFERROR(CY258/CY255,"n/a")</f>
        <v>n/a</v>
      </c>
      <c r="CZ259" s="225" t="str">
        <f t="shared" ref="CZ259" si="3577">++IFERROR(CZ258/CZ255,"n/a")</f>
        <v>n/a</v>
      </c>
      <c r="DA259" s="225" t="str">
        <f t="shared" ref="DA259" si="3578">++IFERROR(DA258/DA255,"n/a")</f>
        <v>n/a</v>
      </c>
      <c r="DB259" s="225" t="str">
        <f t="shared" ref="DB259" si="3579">++IFERROR(DB258/DB255,"n/a")</f>
        <v>n/a</v>
      </c>
      <c r="DC259" s="214" t="str">
        <f t="shared" ref="DC259" si="3580">++IFERROR(DC258/DC255,"n/a")</f>
        <v>n/a</v>
      </c>
    </row>
    <row r="260" spans="3:107" x14ac:dyDescent="0.3">
      <c r="C260" s="321" t="str">
        <f>++C$15</f>
        <v>% y/y</v>
      </c>
      <c r="G260" s="122" t="s">
        <v>47</v>
      </c>
      <c r="H260" s="122" t="s">
        <v>47</v>
      </c>
      <c r="I260" s="122" t="s">
        <v>47</v>
      </c>
      <c r="J260" s="122" t="s">
        <v>47</v>
      </c>
      <c r="K260" s="214" t="str">
        <f>++IFERROR(K258/G258-1,"n/a")</f>
        <v>n/a</v>
      </c>
      <c r="L260" s="122" t="s">
        <v>47</v>
      </c>
      <c r="M260" s="122" t="s">
        <v>47</v>
      </c>
      <c r="N260" s="225" t="str">
        <f>++IFERROR(N258/H258-1,"n/a")</f>
        <v>n/a</v>
      </c>
      <c r="O260" s="122" t="s">
        <v>47</v>
      </c>
      <c r="P260" s="122" t="s">
        <v>47</v>
      </c>
      <c r="Q260" s="225" t="str">
        <f>++IFERROR(Q258/I258-1,"n/a")</f>
        <v>n/a</v>
      </c>
      <c r="R260" s="122" t="s">
        <v>47</v>
      </c>
      <c r="S260" s="122" t="s">
        <v>47</v>
      </c>
      <c r="T260" s="225" t="str">
        <f>++IFERROR(T258/J258-1,"n/a")</f>
        <v>n/a</v>
      </c>
      <c r="U260" s="122" t="s">
        <v>47</v>
      </c>
      <c r="V260" s="122" t="s">
        <v>47</v>
      </c>
      <c r="W260" s="214" t="str">
        <f t="shared" ref="W260:BB260" si="3581">++IFERROR(W258/K258-1,"n/a")</f>
        <v>n/a</v>
      </c>
      <c r="X260" s="225" t="str">
        <f t="shared" si="3581"/>
        <v>n/a</v>
      </c>
      <c r="Y260" s="225" t="str">
        <f t="shared" si="3581"/>
        <v>n/a</v>
      </c>
      <c r="Z260" s="225" t="str">
        <f t="shared" si="3581"/>
        <v>n/a</v>
      </c>
      <c r="AA260" s="225" t="str">
        <f t="shared" si="3581"/>
        <v>n/a</v>
      </c>
      <c r="AB260" s="225" t="str">
        <f t="shared" si="3581"/>
        <v>n/a</v>
      </c>
      <c r="AC260" s="225" t="str">
        <f t="shared" si="3581"/>
        <v>n/a</v>
      </c>
      <c r="AD260" s="225" t="str">
        <f t="shared" si="3581"/>
        <v>n/a</v>
      </c>
      <c r="AE260" s="225" t="str">
        <f t="shared" si="3581"/>
        <v>n/a</v>
      </c>
      <c r="AF260" s="225" t="str">
        <f t="shared" si="3581"/>
        <v>n/a</v>
      </c>
      <c r="AG260" s="225" t="str">
        <f t="shared" si="3581"/>
        <v>n/a</v>
      </c>
      <c r="AH260" s="225" t="str">
        <f t="shared" si="3581"/>
        <v>n/a</v>
      </c>
      <c r="AI260" s="214" t="str">
        <f t="shared" si="3581"/>
        <v>n/a</v>
      </c>
      <c r="AJ260" s="225" t="str">
        <f t="shared" si="3581"/>
        <v>n/a</v>
      </c>
      <c r="AK260" s="225" t="str">
        <f t="shared" si="3581"/>
        <v>n/a</v>
      </c>
      <c r="AL260" s="225" t="str">
        <f t="shared" si="3581"/>
        <v>n/a</v>
      </c>
      <c r="AM260" s="225" t="str">
        <f t="shared" si="3581"/>
        <v>n/a</v>
      </c>
      <c r="AN260" s="225" t="str">
        <f t="shared" si="3581"/>
        <v>n/a</v>
      </c>
      <c r="AO260" s="225" t="str">
        <f t="shared" si="3581"/>
        <v>n/a</v>
      </c>
      <c r="AP260" s="225" t="str">
        <f t="shared" si="3581"/>
        <v>n/a</v>
      </c>
      <c r="AQ260" s="225" t="str">
        <f t="shared" si="3581"/>
        <v>n/a</v>
      </c>
      <c r="AR260" s="225" t="str">
        <f t="shared" si="3581"/>
        <v>n/a</v>
      </c>
      <c r="AS260" s="225" t="str">
        <f t="shared" si="3581"/>
        <v>n/a</v>
      </c>
      <c r="AT260" s="225" t="str">
        <f t="shared" si="3581"/>
        <v>n/a</v>
      </c>
      <c r="AU260" s="214" t="str">
        <f t="shared" si="3581"/>
        <v>n/a</v>
      </c>
      <c r="AV260" s="225" t="str">
        <f t="shared" si="3581"/>
        <v>n/a</v>
      </c>
      <c r="AW260" s="225" t="str">
        <f t="shared" si="3581"/>
        <v>n/a</v>
      </c>
      <c r="AX260" s="225" t="str">
        <f t="shared" si="3581"/>
        <v>n/a</v>
      </c>
      <c r="AY260" s="225" t="str">
        <f t="shared" si="3581"/>
        <v>n/a</v>
      </c>
      <c r="AZ260" s="225" t="str">
        <f t="shared" si="3581"/>
        <v>n/a</v>
      </c>
      <c r="BA260" s="225" t="str">
        <f t="shared" si="3581"/>
        <v>n/a</v>
      </c>
      <c r="BB260" s="225" t="str">
        <f t="shared" si="3581"/>
        <v>n/a</v>
      </c>
      <c r="BC260" s="225" t="str">
        <f t="shared" ref="BC260:CH260" si="3582">++IFERROR(BC258/AQ258-1,"n/a")</f>
        <v>n/a</v>
      </c>
      <c r="BD260" s="225" t="str">
        <f t="shared" si="3582"/>
        <v>n/a</v>
      </c>
      <c r="BE260" s="225" t="str">
        <f t="shared" si="3582"/>
        <v>n/a</v>
      </c>
      <c r="BF260" s="225" t="str">
        <f t="shared" si="3582"/>
        <v>n/a</v>
      </c>
      <c r="BG260" s="214" t="str">
        <f t="shared" si="3582"/>
        <v>n/a</v>
      </c>
      <c r="BH260" s="225" t="str">
        <f t="shared" si="3582"/>
        <v>n/a</v>
      </c>
      <c r="BI260" s="225" t="str">
        <f t="shared" si="3582"/>
        <v>n/a</v>
      </c>
      <c r="BJ260" s="225" t="str">
        <f t="shared" si="3582"/>
        <v>n/a</v>
      </c>
      <c r="BK260" s="225" t="str">
        <f t="shared" si="3582"/>
        <v>n/a</v>
      </c>
      <c r="BL260" s="225" t="str">
        <f t="shared" si="3582"/>
        <v>n/a</v>
      </c>
      <c r="BM260" s="225" t="str">
        <f t="shared" si="3582"/>
        <v>n/a</v>
      </c>
      <c r="BN260" s="225" t="str">
        <f t="shared" si="3582"/>
        <v>n/a</v>
      </c>
      <c r="BO260" s="225" t="str">
        <f t="shared" si="3582"/>
        <v>n/a</v>
      </c>
      <c r="BP260" s="225" t="str">
        <f t="shared" si="3582"/>
        <v>n/a</v>
      </c>
      <c r="BQ260" s="225" t="str">
        <f t="shared" si="3582"/>
        <v>n/a</v>
      </c>
      <c r="BR260" s="225" t="str">
        <f t="shared" si="3582"/>
        <v>n/a</v>
      </c>
      <c r="BS260" s="214" t="str">
        <f t="shared" si="3582"/>
        <v>n/a</v>
      </c>
      <c r="BT260" s="225" t="str">
        <f t="shared" si="3582"/>
        <v>n/a</v>
      </c>
      <c r="BU260" s="225" t="str">
        <f t="shared" si="3582"/>
        <v>n/a</v>
      </c>
      <c r="BV260" s="225" t="str">
        <f t="shared" si="3582"/>
        <v>n/a</v>
      </c>
      <c r="BW260" s="225" t="str">
        <f t="shared" si="3582"/>
        <v>n/a</v>
      </c>
      <c r="BX260" s="225" t="str">
        <f t="shared" si="3582"/>
        <v>n/a</v>
      </c>
      <c r="BY260" s="225" t="str">
        <f t="shared" si="3582"/>
        <v>n/a</v>
      </c>
      <c r="BZ260" s="225" t="str">
        <f t="shared" si="3582"/>
        <v>n/a</v>
      </c>
      <c r="CA260" s="225" t="str">
        <f t="shared" si="3582"/>
        <v>n/a</v>
      </c>
      <c r="CB260" s="225" t="str">
        <f t="shared" si="3582"/>
        <v>n/a</v>
      </c>
      <c r="CC260" s="225" t="str">
        <f t="shared" si="3582"/>
        <v>n/a</v>
      </c>
      <c r="CD260" s="225" t="str">
        <f t="shared" si="3582"/>
        <v>n/a</v>
      </c>
      <c r="CE260" s="214" t="str">
        <f t="shared" si="3582"/>
        <v>n/a</v>
      </c>
      <c r="CF260" s="225" t="str">
        <f t="shared" si="3582"/>
        <v>n/a</v>
      </c>
      <c r="CG260" s="225" t="str">
        <f t="shared" si="3582"/>
        <v>n/a</v>
      </c>
      <c r="CH260" s="225" t="str">
        <f t="shared" si="3582"/>
        <v>n/a</v>
      </c>
      <c r="CI260" s="225" t="str">
        <f t="shared" ref="CI260:DN260" si="3583">++IFERROR(CI258/BW258-1,"n/a")</f>
        <v>n/a</v>
      </c>
      <c r="CJ260" s="225" t="str">
        <f t="shared" si="3583"/>
        <v>n/a</v>
      </c>
      <c r="CK260" s="225" t="str">
        <f t="shared" si="3583"/>
        <v>n/a</v>
      </c>
      <c r="CL260" s="225" t="str">
        <f t="shared" si="3583"/>
        <v>n/a</v>
      </c>
      <c r="CM260" s="225" t="str">
        <f t="shared" si="3583"/>
        <v>n/a</v>
      </c>
      <c r="CN260" s="225" t="str">
        <f t="shared" si="3583"/>
        <v>n/a</v>
      </c>
      <c r="CO260" s="225" t="str">
        <f t="shared" si="3583"/>
        <v>n/a</v>
      </c>
      <c r="CP260" s="225" t="str">
        <f t="shared" si="3583"/>
        <v>n/a</v>
      </c>
      <c r="CQ260" s="214" t="str">
        <f t="shared" si="3583"/>
        <v>n/a</v>
      </c>
      <c r="CR260" s="225" t="str">
        <f t="shared" si="3583"/>
        <v>n/a</v>
      </c>
      <c r="CS260" s="225" t="str">
        <f t="shared" si="3583"/>
        <v>n/a</v>
      </c>
      <c r="CT260" s="225" t="str">
        <f t="shared" si="3583"/>
        <v>n/a</v>
      </c>
      <c r="CU260" s="225" t="str">
        <f t="shared" si="3583"/>
        <v>n/a</v>
      </c>
      <c r="CV260" s="225" t="str">
        <f t="shared" si="3583"/>
        <v>n/a</v>
      </c>
      <c r="CW260" s="225" t="str">
        <f t="shared" si="3583"/>
        <v>n/a</v>
      </c>
      <c r="CX260" s="225" t="str">
        <f t="shared" si="3583"/>
        <v>n/a</v>
      </c>
      <c r="CY260" s="225" t="str">
        <f t="shared" si="3583"/>
        <v>n/a</v>
      </c>
      <c r="CZ260" s="225" t="str">
        <f t="shared" si="3583"/>
        <v>n/a</v>
      </c>
      <c r="DA260" s="225" t="str">
        <f t="shared" si="3583"/>
        <v>n/a</v>
      </c>
      <c r="DB260" s="225" t="str">
        <f t="shared" si="3583"/>
        <v>n/a</v>
      </c>
      <c r="DC260" s="214" t="str">
        <f t="shared" si="3583"/>
        <v>n/a</v>
      </c>
    </row>
    <row r="261" spans="3:107" x14ac:dyDescent="0.3">
      <c r="G261" s="203"/>
      <c r="K261" s="203"/>
      <c r="W261" s="203"/>
      <c r="AI261" s="203"/>
      <c r="AU261" s="203"/>
      <c r="BG261" s="203"/>
      <c r="BS261" s="203"/>
      <c r="CE261" s="203"/>
      <c r="CQ261" s="203"/>
      <c r="DC261" s="203"/>
    </row>
    <row r="262" spans="3:107" x14ac:dyDescent="0.3">
      <c r="C262" s="101" t="str">
        <f>++C$17</f>
        <v>[Operating Expense]</v>
      </c>
      <c r="G262" s="45">
        <f>++G115</f>
        <v>0</v>
      </c>
      <c r="H262" s="45">
        <f t="shared" ref="H262:BS265" si="3584">++H115</f>
        <v>0</v>
      </c>
      <c r="I262" s="45">
        <f t="shared" si="3584"/>
        <v>0</v>
      </c>
      <c r="J262" s="45">
        <f t="shared" si="3584"/>
        <v>0</v>
      </c>
      <c r="K262" s="45">
        <f t="shared" si="3584"/>
        <v>0</v>
      </c>
      <c r="L262" s="45">
        <f t="shared" si="3584"/>
        <v>0</v>
      </c>
      <c r="M262" s="45">
        <f t="shared" si="3584"/>
        <v>0</v>
      </c>
      <c r="N262" s="45">
        <f t="shared" si="3584"/>
        <v>0</v>
      </c>
      <c r="O262" s="45">
        <f t="shared" si="3584"/>
        <v>0</v>
      </c>
      <c r="P262" s="45">
        <f t="shared" si="3584"/>
        <v>0</v>
      </c>
      <c r="Q262" s="45">
        <f t="shared" si="3584"/>
        <v>0</v>
      </c>
      <c r="R262" s="45">
        <f t="shared" si="3584"/>
        <v>0</v>
      </c>
      <c r="S262" s="45">
        <f t="shared" si="3584"/>
        <v>0</v>
      </c>
      <c r="T262" s="45">
        <f t="shared" si="3584"/>
        <v>0</v>
      </c>
      <c r="U262" s="45">
        <f t="shared" si="3584"/>
        <v>0</v>
      </c>
      <c r="V262" s="45">
        <f t="shared" si="3584"/>
        <v>0</v>
      </c>
      <c r="W262" s="45">
        <f t="shared" si="3584"/>
        <v>0</v>
      </c>
      <c r="X262" s="45">
        <f t="shared" si="3584"/>
        <v>0</v>
      </c>
      <c r="Y262" s="45">
        <f t="shared" si="3584"/>
        <v>0</v>
      </c>
      <c r="Z262" s="45">
        <f t="shared" si="3584"/>
        <v>0</v>
      </c>
      <c r="AA262" s="45">
        <f t="shared" si="3584"/>
        <v>0</v>
      </c>
      <c r="AB262" s="45">
        <f t="shared" si="3584"/>
        <v>0</v>
      </c>
      <c r="AC262" s="45">
        <f t="shared" si="3584"/>
        <v>0</v>
      </c>
      <c r="AD262" s="45">
        <f t="shared" si="3584"/>
        <v>0</v>
      </c>
      <c r="AE262" s="45">
        <f t="shared" si="3584"/>
        <v>0</v>
      </c>
      <c r="AF262" s="45">
        <f t="shared" si="3584"/>
        <v>0</v>
      </c>
      <c r="AG262" s="45">
        <f t="shared" si="3584"/>
        <v>0</v>
      </c>
      <c r="AH262" s="45">
        <f t="shared" si="3584"/>
        <v>0</v>
      </c>
      <c r="AI262" s="45">
        <f t="shared" si="3584"/>
        <v>0</v>
      </c>
      <c r="AJ262" s="45">
        <f t="shared" si="3584"/>
        <v>0</v>
      </c>
      <c r="AK262" s="45">
        <f t="shared" si="3584"/>
        <v>0</v>
      </c>
      <c r="AL262" s="45">
        <f t="shared" si="3584"/>
        <v>0</v>
      </c>
      <c r="AM262" s="45">
        <f t="shared" si="3584"/>
        <v>0</v>
      </c>
      <c r="AN262" s="45">
        <f t="shared" si="3584"/>
        <v>0</v>
      </c>
      <c r="AO262" s="45">
        <f t="shared" si="3584"/>
        <v>0</v>
      </c>
      <c r="AP262" s="45">
        <f t="shared" si="3584"/>
        <v>0</v>
      </c>
      <c r="AQ262" s="45">
        <f t="shared" si="3584"/>
        <v>0</v>
      </c>
      <c r="AR262" s="45">
        <f t="shared" si="3584"/>
        <v>0</v>
      </c>
      <c r="AS262" s="45">
        <f t="shared" si="3584"/>
        <v>0</v>
      </c>
      <c r="AT262" s="45">
        <f t="shared" si="3584"/>
        <v>0</v>
      </c>
      <c r="AU262" s="45">
        <f t="shared" si="3584"/>
        <v>0</v>
      </c>
      <c r="AV262" s="45">
        <f t="shared" si="3584"/>
        <v>0</v>
      </c>
      <c r="AW262" s="45">
        <f t="shared" si="3584"/>
        <v>0</v>
      </c>
      <c r="AX262" s="45">
        <f t="shared" si="3584"/>
        <v>0</v>
      </c>
      <c r="AY262" s="45">
        <f t="shared" si="3584"/>
        <v>0</v>
      </c>
      <c r="AZ262" s="45">
        <f t="shared" si="3584"/>
        <v>0</v>
      </c>
      <c r="BA262" s="45">
        <f t="shared" si="3584"/>
        <v>0</v>
      </c>
      <c r="BB262" s="45">
        <f t="shared" si="3584"/>
        <v>0</v>
      </c>
      <c r="BC262" s="45">
        <f t="shared" si="3584"/>
        <v>0</v>
      </c>
      <c r="BD262" s="45">
        <f t="shared" si="3584"/>
        <v>0</v>
      </c>
      <c r="BE262" s="45">
        <f t="shared" si="3584"/>
        <v>0</v>
      </c>
      <c r="BF262" s="45">
        <f t="shared" si="3584"/>
        <v>0</v>
      </c>
      <c r="BG262" s="45">
        <f t="shared" si="3584"/>
        <v>0</v>
      </c>
      <c r="BH262" s="45">
        <f t="shared" si="3584"/>
        <v>0</v>
      </c>
      <c r="BI262" s="45">
        <f t="shared" si="3584"/>
        <v>0</v>
      </c>
      <c r="BJ262" s="45">
        <f t="shared" si="3584"/>
        <v>0</v>
      </c>
      <c r="BK262" s="45">
        <f t="shared" si="3584"/>
        <v>0</v>
      </c>
      <c r="BL262" s="45">
        <f t="shared" si="3584"/>
        <v>0</v>
      </c>
      <c r="BM262" s="45">
        <f t="shared" si="3584"/>
        <v>0</v>
      </c>
      <c r="BN262" s="45">
        <f t="shared" si="3584"/>
        <v>0</v>
      </c>
      <c r="BO262" s="45">
        <f t="shared" si="3584"/>
        <v>0</v>
      </c>
      <c r="BP262" s="45">
        <f t="shared" si="3584"/>
        <v>0</v>
      </c>
      <c r="BQ262" s="45">
        <f t="shared" si="3584"/>
        <v>0</v>
      </c>
      <c r="BR262" s="45">
        <f t="shared" si="3584"/>
        <v>0</v>
      </c>
      <c r="BS262" s="45">
        <f t="shared" si="3584"/>
        <v>0</v>
      </c>
      <c r="BT262" s="45">
        <f t="shared" ref="BT262:DC262" si="3585">++BT115</f>
        <v>0</v>
      </c>
      <c r="BU262" s="45">
        <f t="shared" si="3585"/>
        <v>0</v>
      </c>
      <c r="BV262" s="45">
        <f t="shared" si="3585"/>
        <v>0</v>
      </c>
      <c r="BW262" s="45">
        <f t="shared" si="3585"/>
        <v>0</v>
      </c>
      <c r="BX262" s="45">
        <f t="shared" si="3585"/>
        <v>0</v>
      </c>
      <c r="BY262" s="45">
        <f t="shared" si="3585"/>
        <v>0</v>
      </c>
      <c r="BZ262" s="45">
        <f t="shared" si="3585"/>
        <v>0</v>
      </c>
      <c r="CA262" s="45">
        <f t="shared" si="3585"/>
        <v>0</v>
      </c>
      <c r="CB262" s="45">
        <f t="shared" si="3585"/>
        <v>0</v>
      </c>
      <c r="CC262" s="45">
        <f t="shared" si="3585"/>
        <v>0</v>
      </c>
      <c r="CD262" s="45">
        <f t="shared" si="3585"/>
        <v>0</v>
      </c>
      <c r="CE262" s="45">
        <f t="shared" si="3585"/>
        <v>0</v>
      </c>
      <c r="CF262" s="45">
        <f t="shared" si="3585"/>
        <v>0</v>
      </c>
      <c r="CG262" s="45">
        <f t="shared" si="3585"/>
        <v>0</v>
      </c>
      <c r="CH262" s="45">
        <f t="shared" si="3585"/>
        <v>0</v>
      </c>
      <c r="CI262" s="45">
        <f t="shared" si="3585"/>
        <v>0</v>
      </c>
      <c r="CJ262" s="45">
        <f t="shared" si="3585"/>
        <v>0</v>
      </c>
      <c r="CK262" s="45">
        <f t="shared" si="3585"/>
        <v>0</v>
      </c>
      <c r="CL262" s="45">
        <f t="shared" si="3585"/>
        <v>0</v>
      </c>
      <c r="CM262" s="45">
        <f t="shared" si="3585"/>
        <v>0</v>
      </c>
      <c r="CN262" s="45">
        <f t="shared" si="3585"/>
        <v>0</v>
      </c>
      <c r="CO262" s="45">
        <f t="shared" si="3585"/>
        <v>0</v>
      </c>
      <c r="CP262" s="45">
        <f t="shared" si="3585"/>
        <v>0</v>
      </c>
      <c r="CQ262" s="45">
        <f t="shared" si="3585"/>
        <v>0</v>
      </c>
      <c r="CR262" s="45">
        <f t="shared" si="3585"/>
        <v>0</v>
      </c>
      <c r="CS262" s="45">
        <f t="shared" si="3585"/>
        <v>0</v>
      </c>
      <c r="CT262" s="45">
        <f t="shared" si="3585"/>
        <v>0</v>
      </c>
      <c r="CU262" s="45">
        <f t="shared" si="3585"/>
        <v>0</v>
      </c>
      <c r="CV262" s="45">
        <f t="shared" si="3585"/>
        <v>0</v>
      </c>
      <c r="CW262" s="45">
        <f t="shared" si="3585"/>
        <v>0</v>
      </c>
      <c r="CX262" s="45">
        <f t="shared" si="3585"/>
        <v>0</v>
      </c>
      <c r="CY262" s="45">
        <f t="shared" si="3585"/>
        <v>0</v>
      </c>
      <c r="CZ262" s="45">
        <f t="shared" si="3585"/>
        <v>0</v>
      </c>
      <c r="DA262" s="45">
        <f t="shared" si="3585"/>
        <v>0</v>
      </c>
      <c r="DB262" s="45">
        <f t="shared" si="3585"/>
        <v>0</v>
      </c>
      <c r="DC262" s="45">
        <f t="shared" si="3585"/>
        <v>0</v>
      </c>
    </row>
    <row r="263" spans="3:107" x14ac:dyDescent="0.3">
      <c r="C263" s="101" t="str">
        <f>++C$18</f>
        <v>[Operating Expense]</v>
      </c>
      <c r="G263" s="45">
        <f>++G116</f>
        <v>0</v>
      </c>
      <c r="H263" s="45">
        <f t="shared" si="3584"/>
        <v>0</v>
      </c>
      <c r="I263" s="45">
        <f t="shared" si="3584"/>
        <v>0</v>
      </c>
      <c r="J263" s="45">
        <f t="shared" si="3584"/>
        <v>0</v>
      </c>
      <c r="K263" s="45">
        <f t="shared" si="3584"/>
        <v>0</v>
      </c>
      <c r="L263" s="45">
        <f t="shared" si="3584"/>
        <v>0</v>
      </c>
      <c r="M263" s="45">
        <f t="shared" si="3584"/>
        <v>0</v>
      </c>
      <c r="N263" s="45">
        <f t="shared" si="3584"/>
        <v>0</v>
      </c>
      <c r="O263" s="45">
        <f t="shared" si="3584"/>
        <v>0</v>
      </c>
      <c r="P263" s="45">
        <f t="shared" si="3584"/>
        <v>0</v>
      </c>
      <c r="Q263" s="45">
        <f t="shared" si="3584"/>
        <v>0</v>
      </c>
      <c r="R263" s="45">
        <f t="shared" si="3584"/>
        <v>0</v>
      </c>
      <c r="S263" s="45">
        <f t="shared" si="3584"/>
        <v>0</v>
      </c>
      <c r="T263" s="45">
        <f t="shared" si="3584"/>
        <v>0</v>
      </c>
      <c r="U263" s="45">
        <f t="shared" si="3584"/>
        <v>0</v>
      </c>
      <c r="V263" s="45">
        <f t="shared" si="3584"/>
        <v>0</v>
      </c>
      <c r="W263" s="45">
        <f t="shared" si="3584"/>
        <v>0</v>
      </c>
      <c r="X263" s="45">
        <f t="shared" si="3584"/>
        <v>0</v>
      </c>
      <c r="Y263" s="45">
        <f t="shared" si="3584"/>
        <v>0</v>
      </c>
      <c r="Z263" s="45">
        <f t="shared" si="3584"/>
        <v>0</v>
      </c>
      <c r="AA263" s="45">
        <f t="shared" si="3584"/>
        <v>0</v>
      </c>
      <c r="AB263" s="45">
        <f t="shared" si="3584"/>
        <v>0</v>
      </c>
      <c r="AC263" s="45">
        <f t="shared" si="3584"/>
        <v>0</v>
      </c>
      <c r="AD263" s="45">
        <f t="shared" si="3584"/>
        <v>0</v>
      </c>
      <c r="AE263" s="45">
        <f t="shared" si="3584"/>
        <v>0</v>
      </c>
      <c r="AF263" s="45">
        <f t="shared" si="3584"/>
        <v>0</v>
      </c>
      <c r="AG263" s="45">
        <f t="shared" si="3584"/>
        <v>0</v>
      </c>
      <c r="AH263" s="45">
        <f t="shared" si="3584"/>
        <v>0</v>
      </c>
      <c r="AI263" s="45">
        <f t="shared" si="3584"/>
        <v>0</v>
      </c>
      <c r="AJ263" s="45">
        <f t="shared" si="3584"/>
        <v>0</v>
      </c>
      <c r="AK263" s="45">
        <f t="shared" si="3584"/>
        <v>0</v>
      </c>
      <c r="AL263" s="45">
        <f t="shared" si="3584"/>
        <v>0</v>
      </c>
      <c r="AM263" s="45">
        <f t="shared" si="3584"/>
        <v>0</v>
      </c>
      <c r="AN263" s="45">
        <f t="shared" si="3584"/>
        <v>0</v>
      </c>
      <c r="AO263" s="45">
        <f t="shared" si="3584"/>
        <v>0</v>
      </c>
      <c r="AP263" s="45">
        <f t="shared" si="3584"/>
        <v>0</v>
      </c>
      <c r="AQ263" s="45">
        <f t="shared" si="3584"/>
        <v>0</v>
      </c>
      <c r="AR263" s="45">
        <f t="shared" si="3584"/>
        <v>0</v>
      </c>
      <c r="AS263" s="45">
        <f t="shared" si="3584"/>
        <v>0</v>
      </c>
      <c r="AT263" s="45">
        <f t="shared" si="3584"/>
        <v>0</v>
      </c>
      <c r="AU263" s="45">
        <f t="shared" si="3584"/>
        <v>0</v>
      </c>
      <c r="AV263" s="45">
        <f t="shared" si="3584"/>
        <v>0</v>
      </c>
      <c r="AW263" s="45">
        <f t="shared" si="3584"/>
        <v>0</v>
      </c>
      <c r="AX263" s="45">
        <f t="shared" si="3584"/>
        <v>0</v>
      </c>
      <c r="AY263" s="45">
        <f t="shared" si="3584"/>
        <v>0</v>
      </c>
      <c r="AZ263" s="45">
        <f t="shared" si="3584"/>
        <v>0</v>
      </c>
      <c r="BA263" s="45">
        <f t="shared" si="3584"/>
        <v>0</v>
      </c>
      <c r="BB263" s="45">
        <f t="shared" si="3584"/>
        <v>0</v>
      </c>
      <c r="BC263" s="45">
        <f t="shared" si="3584"/>
        <v>0</v>
      </c>
      <c r="BD263" s="45">
        <f t="shared" si="3584"/>
        <v>0</v>
      </c>
      <c r="BE263" s="45">
        <f t="shared" si="3584"/>
        <v>0</v>
      </c>
      <c r="BF263" s="45">
        <f t="shared" si="3584"/>
        <v>0</v>
      </c>
      <c r="BG263" s="45">
        <f t="shared" si="3584"/>
        <v>0</v>
      </c>
      <c r="BH263" s="45">
        <f t="shared" si="3584"/>
        <v>0</v>
      </c>
      <c r="BI263" s="45">
        <f t="shared" si="3584"/>
        <v>0</v>
      </c>
      <c r="BJ263" s="45">
        <f t="shared" si="3584"/>
        <v>0</v>
      </c>
      <c r="BK263" s="45">
        <f t="shared" si="3584"/>
        <v>0</v>
      </c>
      <c r="BL263" s="45">
        <f t="shared" si="3584"/>
        <v>0</v>
      </c>
      <c r="BM263" s="45">
        <f t="shared" si="3584"/>
        <v>0</v>
      </c>
      <c r="BN263" s="45">
        <f t="shared" si="3584"/>
        <v>0</v>
      </c>
      <c r="BO263" s="45">
        <f t="shared" si="3584"/>
        <v>0</v>
      </c>
      <c r="BP263" s="45">
        <f t="shared" si="3584"/>
        <v>0</v>
      </c>
      <c r="BQ263" s="45">
        <f t="shared" si="3584"/>
        <v>0</v>
      </c>
      <c r="BR263" s="45">
        <f t="shared" si="3584"/>
        <v>0</v>
      </c>
      <c r="BS263" s="45">
        <f t="shared" si="3584"/>
        <v>0</v>
      </c>
      <c r="BT263" s="45">
        <f t="shared" ref="BT263:DC263" si="3586">++BT116</f>
        <v>0</v>
      </c>
      <c r="BU263" s="45">
        <f t="shared" si="3586"/>
        <v>0</v>
      </c>
      <c r="BV263" s="45">
        <f t="shared" si="3586"/>
        <v>0</v>
      </c>
      <c r="BW263" s="45">
        <f t="shared" si="3586"/>
        <v>0</v>
      </c>
      <c r="BX263" s="45">
        <f t="shared" si="3586"/>
        <v>0</v>
      </c>
      <c r="BY263" s="45">
        <f t="shared" si="3586"/>
        <v>0</v>
      </c>
      <c r="BZ263" s="45">
        <f t="shared" si="3586"/>
        <v>0</v>
      </c>
      <c r="CA263" s="45">
        <f t="shared" si="3586"/>
        <v>0</v>
      </c>
      <c r="CB263" s="45">
        <f t="shared" si="3586"/>
        <v>0</v>
      </c>
      <c r="CC263" s="45">
        <f t="shared" si="3586"/>
        <v>0</v>
      </c>
      <c r="CD263" s="45">
        <f t="shared" si="3586"/>
        <v>0</v>
      </c>
      <c r="CE263" s="45">
        <f t="shared" si="3586"/>
        <v>0</v>
      </c>
      <c r="CF263" s="45">
        <f t="shared" si="3586"/>
        <v>0</v>
      </c>
      <c r="CG263" s="45">
        <f t="shared" si="3586"/>
        <v>0</v>
      </c>
      <c r="CH263" s="45">
        <f t="shared" si="3586"/>
        <v>0</v>
      </c>
      <c r="CI263" s="45">
        <f t="shared" si="3586"/>
        <v>0</v>
      </c>
      <c r="CJ263" s="45">
        <f t="shared" si="3586"/>
        <v>0</v>
      </c>
      <c r="CK263" s="45">
        <f t="shared" si="3586"/>
        <v>0</v>
      </c>
      <c r="CL263" s="45">
        <f t="shared" si="3586"/>
        <v>0</v>
      </c>
      <c r="CM263" s="45">
        <f t="shared" si="3586"/>
        <v>0</v>
      </c>
      <c r="CN263" s="45">
        <f t="shared" si="3586"/>
        <v>0</v>
      </c>
      <c r="CO263" s="45">
        <f t="shared" si="3586"/>
        <v>0</v>
      </c>
      <c r="CP263" s="45">
        <f t="shared" si="3586"/>
        <v>0</v>
      </c>
      <c r="CQ263" s="45">
        <f t="shared" si="3586"/>
        <v>0</v>
      </c>
      <c r="CR263" s="45">
        <f t="shared" si="3586"/>
        <v>0</v>
      </c>
      <c r="CS263" s="45">
        <f t="shared" si="3586"/>
        <v>0</v>
      </c>
      <c r="CT263" s="45">
        <f t="shared" si="3586"/>
        <v>0</v>
      </c>
      <c r="CU263" s="45">
        <f t="shared" si="3586"/>
        <v>0</v>
      </c>
      <c r="CV263" s="45">
        <f t="shared" si="3586"/>
        <v>0</v>
      </c>
      <c r="CW263" s="45">
        <f t="shared" si="3586"/>
        <v>0</v>
      </c>
      <c r="CX263" s="45">
        <f t="shared" si="3586"/>
        <v>0</v>
      </c>
      <c r="CY263" s="45">
        <f t="shared" si="3586"/>
        <v>0</v>
      </c>
      <c r="CZ263" s="45">
        <f t="shared" si="3586"/>
        <v>0</v>
      </c>
      <c r="DA263" s="45">
        <f t="shared" si="3586"/>
        <v>0</v>
      </c>
      <c r="DB263" s="45">
        <f t="shared" si="3586"/>
        <v>0</v>
      </c>
      <c r="DC263" s="45">
        <f t="shared" si="3586"/>
        <v>0</v>
      </c>
    </row>
    <row r="264" spans="3:107" x14ac:dyDescent="0.3">
      <c r="C264" s="101" t="str">
        <f>++C$19</f>
        <v>[Operating Expense]</v>
      </c>
      <c r="G264" s="45">
        <f>++G117</f>
        <v>0</v>
      </c>
      <c r="H264" s="45">
        <f t="shared" si="3584"/>
        <v>0</v>
      </c>
      <c r="I264" s="45">
        <f t="shared" si="3584"/>
        <v>0</v>
      </c>
      <c r="J264" s="45">
        <f t="shared" si="3584"/>
        <v>0</v>
      </c>
      <c r="K264" s="45">
        <f t="shared" si="3584"/>
        <v>0</v>
      </c>
      <c r="L264" s="45">
        <f t="shared" si="3584"/>
        <v>0</v>
      </c>
      <c r="M264" s="45">
        <f t="shared" si="3584"/>
        <v>0</v>
      </c>
      <c r="N264" s="45">
        <f t="shared" si="3584"/>
        <v>0</v>
      </c>
      <c r="O264" s="45">
        <f t="shared" si="3584"/>
        <v>0</v>
      </c>
      <c r="P264" s="45">
        <f t="shared" si="3584"/>
        <v>0</v>
      </c>
      <c r="Q264" s="45">
        <f t="shared" si="3584"/>
        <v>0</v>
      </c>
      <c r="R264" s="45">
        <f t="shared" si="3584"/>
        <v>0</v>
      </c>
      <c r="S264" s="45">
        <f t="shared" si="3584"/>
        <v>0</v>
      </c>
      <c r="T264" s="45">
        <f t="shared" si="3584"/>
        <v>0</v>
      </c>
      <c r="U264" s="45">
        <f t="shared" si="3584"/>
        <v>0</v>
      </c>
      <c r="V264" s="45">
        <f t="shared" si="3584"/>
        <v>0</v>
      </c>
      <c r="W264" s="45">
        <f t="shared" si="3584"/>
        <v>0</v>
      </c>
      <c r="X264" s="45">
        <f t="shared" si="3584"/>
        <v>0</v>
      </c>
      <c r="Y264" s="45">
        <f t="shared" si="3584"/>
        <v>0</v>
      </c>
      <c r="Z264" s="45">
        <f t="shared" si="3584"/>
        <v>0</v>
      </c>
      <c r="AA264" s="45">
        <f t="shared" si="3584"/>
        <v>0</v>
      </c>
      <c r="AB264" s="45">
        <f t="shared" si="3584"/>
        <v>0</v>
      </c>
      <c r="AC264" s="45">
        <f t="shared" si="3584"/>
        <v>0</v>
      </c>
      <c r="AD264" s="45">
        <f t="shared" si="3584"/>
        <v>0</v>
      </c>
      <c r="AE264" s="45">
        <f t="shared" si="3584"/>
        <v>0</v>
      </c>
      <c r="AF264" s="45">
        <f t="shared" si="3584"/>
        <v>0</v>
      </c>
      <c r="AG264" s="45">
        <f t="shared" si="3584"/>
        <v>0</v>
      </c>
      <c r="AH264" s="45">
        <f t="shared" si="3584"/>
        <v>0</v>
      </c>
      <c r="AI264" s="45">
        <f t="shared" si="3584"/>
        <v>0</v>
      </c>
      <c r="AJ264" s="45">
        <f t="shared" si="3584"/>
        <v>0</v>
      </c>
      <c r="AK264" s="45">
        <f t="shared" si="3584"/>
        <v>0</v>
      </c>
      <c r="AL264" s="45">
        <f t="shared" si="3584"/>
        <v>0</v>
      </c>
      <c r="AM264" s="45">
        <f t="shared" si="3584"/>
        <v>0</v>
      </c>
      <c r="AN264" s="45">
        <f t="shared" si="3584"/>
        <v>0</v>
      </c>
      <c r="AO264" s="45">
        <f t="shared" si="3584"/>
        <v>0</v>
      </c>
      <c r="AP264" s="45">
        <f t="shared" si="3584"/>
        <v>0</v>
      </c>
      <c r="AQ264" s="45">
        <f t="shared" si="3584"/>
        <v>0</v>
      </c>
      <c r="AR264" s="45">
        <f t="shared" si="3584"/>
        <v>0</v>
      </c>
      <c r="AS264" s="45">
        <f t="shared" si="3584"/>
        <v>0</v>
      </c>
      <c r="AT264" s="45">
        <f t="shared" si="3584"/>
        <v>0</v>
      </c>
      <c r="AU264" s="45">
        <f t="shared" si="3584"/>
        <v>0</v>
      </c>
      <c r="AV264" s="45">
        <f t="shared" si="3584"/>
        <v>0</v>
      </c>
      <c r="AW264" s="45">
        <f t="shared" si="3584"/>
        <v>0</v>
      </c>
      <c r="AX264" s="45">
        <f t="shared" si="3584"/>
        <v>0</v>
      </c>
      <c r="AY264" s="45">
        <f t="shared" si="3584"/>
        <v>0</v>
      </c>
      <c r="AZ264" s="45">
        <f t="shared" si="3584"/>
        <v>0</v>
      </c>
      <c r="BA264" s="45">
        <f t="shared" si="3584"/>
        <v>0</v>
      </c>
      <c r="BB264" s="45">
        <f t="shared" si="3584"/>
        <v>0</v>
      </c>
      <c r="BC264" s="45">
        <f t="shared" si="3584"/>
        <v>0</v>
      </c>
      <c r="BD264" s="45">
        <f t="shared" si="3584"/>
        <v>0</v>
      </c>
      <c r="BE264" s="45">
        <f t="shared" si="3584"/>
        <v>0</v>
      </c>
      <c r="BF264" s="45">
        <f t="shared" si="3584"/>
        <v>0</v>
      </c>
      <c r="BG264" s="45">
        <f t="shared" si="3584"/>
        <v>0</v>
      </c>
      <c r="BH264" s="45">
        <f t="shared" si="3584"/>
        <v>0</v>
      </c>
      <c r="BI264" s="45">
        <f t="shared" si="3584"/>
        <v>0</v>
      </c>
      <c r="BJ264" s="45">
        <f t="shared" si="3584"/>
        <v>0</v>
      </c>
      <c r="BK264" s="45">
        <f t="shared" si="3584"/>
        <v>0</v>
      </c>
      <c r="BL264" s="45">
        <f t="shared" si="3584"/>
        <v>0</v>
      </c>
      <c r="BM264" s="45">
        <f t="shared" si="3584"/>
        <v>0</v>
      </c>
      <c r="BN264" s="45">
        <f t="shared" si="3584"/>
        <v>0</v>
      </c>
      <c r="BO264" s="45">
        <f t="shared" si="3584"/>
        <v>0</v>
      </c>
      <c r="BP264" s="45">
        <f t="shared" si="3584"/>
        <v>0</v>
      </c>
      <c r="BQ264" s="45">
        <f t="shared" si="3584"/>
        <v>0</v>
      </c>
      <c r="BR264" s="45">
        <f t="shared" si="3584"/>
        <v>0</v>
      </c>
      <c r="BS264" s="45">
        <f t="shared" si="3584"/>
        <v>0</v>
      </c>
      <c r="BT264" s="45">
        <f t="shared" ref="BT264:DC264" si="3587">++BT117</f>
        <v>0</v>
      </c>
      <c r="BU264" s="45">
        <f t="shared" si="3587"/>
        <v>0</v>
      </c>
      <c r="BV264" s="45">
        <f t="shared" si="3587"/>
        <v>0</v>
      </c>
      <c r="BW264" s="45">
        <f t="shared" si="3587"/>
        <v>0</v>
      </c>
      <c r="BX264" s="45">
        <f t="shared" si="3587"/>
        <v>0</v>
      </c>
      <c r="BY264" s="45">
        <f t="shared" si="3587"/>
        <v>0</v>
      </c>
      <c r="BZ264" s="45">
        <f t="shared" si="3587"/>
        <v>0</v>
      </c>
      <c r="CA264" s="45">
        <f t="shared" si="3587"/>
        <v>0</v>
      </c>
      <c r="CB264" s="45">
        <f t="shared" si="3587"/>
        <v>0</v>
      </c>
      <c r="CC264" s="45">
        <f t="shared" si="3587"/>
        <v>0</v>
      </c>
      <c r="CD264" s="45">
        <f t="shared" si="3587"/>
        <v>0</v>
      </c>
      <c r="CE264" s="45">
        <f t="shared" si="3587"/>
        <v>0</v>
      </c>
      <c r="CF264" s="45">
        <f t="shared" si="3587"/>
        <v>0</v>
      </c>
      <c r="CG264" s="45">
        <f t="shared" si="3587"/>
        <v>0</v>
      </c>
      <c r="CH264" s="45">
        <f t="shared" si="3587"/>
        <v>0</v>
      </c>
      <c r="CI264" s="45">
        <f t="shared" si="3587"/>
        <v>0</v>
      </c>
      <c r="CJ264" s="45">
        <f t="shared" si="3587"/>
        <v>0</v>
      </c>
      <c r="CK264" s="45">
        <f t="shared" si="3587"/>
        <v>0</v>
      </c>
      <c r="CL264" s="45">
        <f t="shared" si="3587"/>
        <v>0</v>
      </c>
      <c r="CM264" s="45">
        <f t="shared" si="3587"/>
        <v>0</v>
      </c>
      <c r="CN264" s="45">
        <f t="shared" si="3587"/>
        <v>0</v>
      </c>
      <c r="CO264" s="45">
        <f t="shared" si="3587"/>
        <v>0</v>
      </c>
      <c r="CP264" s="45">
        <f t="shared" si="3587"/>
        <v>0</v>
      </c>
      <c r="CQ264" s="45">
        <f t="shared" si="3587"/>
        <v>0</v>
      </c>
      <c r="CR264" s="45">
        <f t="shared" si="3587"/>
        <v>0</v>
      </c>
      <c r="CS264" s="45">
        <f t="shared" si="3587"/>
        <v>0</v>
      </c>
      <c r="CT264" s="45">
        <f t="shared" si="3587"/>
        <v>0</v>
      </c>
      <c r="CU264" s="45">
        <f t="shared" si="3587"/>
        <v>0</v>
      </c>
      <c r="CV264" s="45">
        <f t="shared" si="3587"/>
        <v>0</v>
      </c>
      <c r="CW264" s="45">
        <f t="shared" si="3587"/>
        <v>0</v>
      </c>
      <c r="CX264" s="45">
        <f t="shared" si="3587"/>
        <v>0</v>
      </c>
      <c r="CY264" s="45">
        <f t="shared" si="3587"/>
        <v>0</v>
      </c>
      <c r="CZ264" s="45">
        <f t="shared" si="3587"/>
        <v>0</v>
      </c>
      <c r="DA264" s="45">
        <f t="shared" si="3587"/>
        <v>0</v>
      </c>
      <c r="DB264" s="45">
        <f t="shared" si="3587"/>
        <v>0</v>
      </c>
      <c r="DC264" s="45">
        <f t="shared" si="3587"/>
        <v>0</v>
      </c>
    </row>
    <row r="265" spans="3:107" x14ac:dyDescent="0.3">
      <c r="C265" s="101" t="str">
        <f>++C$20</f>
        <v>Depreciation</v>
      </c>
      <c r="G265" s="45">
        <f>++G118</f>
        <v>0</v>
      </c>
      <c r="H265" s="45">
        <f t="shared" si="3584"/>
        <v>0</v>
      </c>
      <c r="I265" s="45">
        <f t="shared" si="3584"/>
        <v>0</v>
      </c>
      <c r="J265" s="45">
        <f t="shared" si="3584"/>
        <v>0</v>
      </c>
      <c r="K265" s="45">
        <f t="shared" si="3584"/>
        <v>0</v>
      </c>
      <c r="L265" s="45">
        <f t="shared" si="3584"/>
        <v>0</v>
      </c>
      <c r="M265" s="45">
        <f t="shared" si="3584"/>
        <v>0</v>
      </c>
      <c r="N265" s="45">
        <f t="shared" si="3584"/>
        <v>0</v>
      </c>
      <c r="O265" s="45">
        <f t="shared" si="3584"/>
        <v>0</v>
      </c>
      <c r="P265" s="45">
        <f t="shared" si="3584"/>
        <v>0</v>
      </c>
      <c r="Q265" s="45">
        <f t="shared" si="3584"/>
        <v>0</v>
      </c>
      <c r="R265" s="45">
        <f t="shared" si="3584"/>
        <v>0</v>
      </c>
      <c r="S265" s="45">
        <f t="shared" si="3584"/>
        <v>0</v>
      </c>
      <c r="T265" s="45">
        <f t="shared" si="3584"/>
        <v>0</v>
      </c>
      <c r="U265" s="45">
        <f t="shared" si="3584"/>
        <v>0</v>
      </c>
      <c r="V265" s="45">
        <f t="shared" si="3584"/>
        <v>0</v>
      </c>
      <c r="W265" s="45">
        <f t="shared" si="3584"/>
        <v>0</v>
      </c>
      <c r="X265" s="45">
        <f t="shared" si="3584"/>
        <v>0</v>
      </c>
      <c r="Y265" s="45">
        <f t="shared" si="3584"/>
        <v>0</v>
      </c>
      <c r="Z265" s="45">
        <f t="shared" si="3584"/>
        <v>0</v>
      </c>
      <c r="AA265" s="45">
        <f t="shared" si="3584"/>
        <v>0</v>
      </c>
      <c r="AB265" s="45">
        <f t="shared" si="3584"/>
        <v>0</v>
      </c>
      <c r="AC265" s="45">
        <f t="shared" si="3584"/>
        <v>0</v>
      </c>
      <c r="AD265" s="45">
        <f t="shared" si="3584"/>
        <v>0</v>
      </c>
      <c r="AE265" s="45">
        <f t="shared" si="3584"/>
        <v>0</v>
      </c>
      <c r="AF265" s="45">
        <f t="shared" si="3584"/>
        <v>0</v>
      </c>
      <c r="AG265" s="45">
        <f t="shared" si="3584"/>
        <v>0</v>
      </c>
      <c r="AH265" s="45">
        <f t="shared" si="3584"/>
        <v>0</v>
      </c>
      <c r="AI265" s="45">
        <f t="shared" si="3584"/>
        <v>0</v>
      </c>
      <c r="AJ265" s="45">
        <f t="shared" si="3584"/>
        <v>0</v>
      </c>
      <c r="AK265" s="45">
        <f t="shared" si="3584"/>
        <v>0</v>
      </c>
      <c r="AL265" s="45">
        <f t="shared" si="3584"/>
        <v>0</v>
      </c>
      <c r="AM265" s="45">
        <f t="shared" si="3584"/>
        <v>0</v>
      </c>
      <c r="AN265" s="45">
        <f t="shared" si="3584"/>
        <v>0</v>
      </c>
      <c r="AO265" s="45">
        <f t="shared" si="3584"/>
        <v>0</v>
      </c>
      <c r="AP265" s="45">
        <f t="shared" si="3584"/>
        <v>0</v>
      </c>
      <c r="AQ265" s="45">
        <f t="shared" si="3584"/>
        <v>0</v>
      </c>
      <c r="AR265" s="45">
        <f t="shared" si="3584"/>
        <v>0</v>
      </c>
      <c r="AS265" s="45">
        <f t="shared" si="3584"/>
        <v>0</v>
      </c>
      <c r="AT265" s="45">
        <f t="shared" si="3584"/>
        <v>0</v>
      </c>
      <c r="AU265" s="45">
        <f t="shared" si="3584"/>
        <v>0</v>
      </c>
      <c r="AV265" s="45">
        <f t="shared" si="3584"/>
        <v>0</v>
      </c>
      <c r="AW265" s="45">
        <f t="shared" si="3584"/>
        <v>0</v>
      </c>
      <c r="AX265" s="45">
        <f t="shared" si="3584"/>
        <v>0</v>
      </c>
      <c r="AY265" s="45">
        <f t="shared" si="3584"/>
        <v>0</v>
      </c>
      <c r="AZ265" s="45">
        <f t="shared" si="3584"/>
        <v>0</v>
      </c>
      <c r="BA265" s="45">
        <f t="shared" si="3584"/>
        <v>0</v>
      </c>
      <c r="BB265" s="45">
        <f t="shared" si="3584"/>
        <v>0</v>
      </c>
      <c r="BC265" s="45">
        <f t="shared" si="3584"/>
        <v>0</v>
      </c>
      <c r="BD265" s="45">
        <f t="shared" si="3584"/>
        <v>0</v>
      </c>
      <c r="BE265" s="45">
        <f t="shared" si="3584"/>
        <v>0</v>
      </c>
      <c r="BF265" s="45">
        <f t="shared" si="3584"/>
        <v>0</v>
      </c>
      <c r="BG265" s="45">
        <f t="shared" si="3584"/>
        <v>0</v>
      </c>
      <c r="BH265" s="45">
        <f t="shared" si="3584"/>
        <v>0</v>
      </c>
      <c r="BI265" s="45">
        <f t="shared" si="3584"/>
        <v>0</v>
      </c>
      <c r="BJ265" s="45">
        <f t="shared" si="3584"/>
        <v>0</v>
      </c>
      <c r="BK265" s="45">
        <f t="shared" si="3584"/>
        <v>0</v>
      </c>
      <c r="BL265" s="45">
        <f t="shared" si="3584"/>
        <v>0</v>
      </c>
      <c r="BM265" s="45">
        <f t="shared" si="3584"/>
        <v>0</v>
      </c>
      <c r="BN265" s="45">
        <f t="shared" si="3584"/>
        <v>0</v>
      </c>
      <c r="BO265" s="45">
        <f t="shared" si="3584"/>
        <v>0</v>
      </c>
      <c r="BP265" s="45">
        <f t="shared" si="3584"/>
        <v>0</v>
      </c>
      <c r="BQ265" s="45">
        <f t="shared" si="3584"/>
        <v>0</v>
      </c>
      <c r="BR265" s="45">
        <f t="shared" si="3584"/>
        <v>0</v>
      </c>
      <c r="BS265" s="45">
        <f t="shared" ref="BS265:DC265" si="3588">++BS118</f>
        <v>0</v>
      </c>
      <c r="BT265" s="45">
        <f t="shared" si="3588"/>
        <v>0</v>
      </c>
      <c r="BU265" s="45">
        <f t="shared" si="3588"/>
        <v>0</v>
      </c>
      <c r="BV265" s="45">
        <f t="shared" si="3588"/>
        <v>0</v>
      </c>
      <c r="BW265" s="45">
        <f t="shared" si="3588"/>
        <v>0</v>
      </c>
      <c r="BX265" s="45">
        <f t="shared" si="3588"/>
        <v>0</v>
      </c>
      <c r="BY265" s="45">
        <f t="shared" si="3588"/>
        <v>0</v>
      </c>
      <c r="BZ265" s="45">
        <f t="shared" si="3588"/>
        <v>0</v>
      </c>
      <c r="CA265" s="45">
        <f t="shared" si="3588"/>
        <v>0</v>
      </c>
      <c r="CB265" s="45">
        <f t="shared" si="3588"/>
        <v>0</v>
      </c>
      <c r="CC265" s="45">
        <f t="shared" si="3588"/>
        <v>0</v>
      </c>
      <c r="CD265" s="45">
        <f t="shared" si="3588"/>
        <v>0</v>
      </c>
      <c r="CE265" s="45">
        <f t="shared" si="3588"/>
        <v>0</v>
      </c>
      <c r="CF265" s="45">
        <f t="shared" si="3588"/>
        <v>0</v>
      </c>
      <c r="CG265" s="45">
        <f t="shared" si="3588"/>
        <v>0</v>
      </c>
      <c r="CH265" s="45">
        <f t="shared" si="3588"/>
        <v>0</v>
      </c>
      <c r="CI265" s="45">
        <f t="shared" si="3588"/>
        <v>0</v>
      </c>
      <c r="CJ265" s="45">
        <f t="shared" si="3588"/>
        <v>0</v>
      </c>
      <c r="CK265" s="45">
        <f t="shared" si="3588"/>
        <v>0</v>
      </c>
      <c r="CL265" s="45">
        <f t="shared" si="3588"/>
        <v>0</v>
      </c>
      <c r="CM265" s="45">
        <f t="shared" si="3588"/>
        <v>0</v>
      </c>
      <c r="CN265" s="45">
        <f t="shared" si="3588"/>
        <v>0</v>
      </c>
      <c r="CO265" s="45">
        <f t="shared" si="3588"/>
        <v>0</v>
      </c>
      <c r="CP265" s="45">
        <f t="shared" si="3588"/>
        <v>0</v>
      </c>
      <c r="CQ265" s="45">
        <f t="shared" si="3588"/>
        <v>0</v>
      </c>
      <c r="CR265" s="45">
        <f t="shared" si="3588"/>
        <v>0</v>
      </c>
      <c r="CS265" s="45">
        <f t="shared" si="3588"/>
        <v>0</v>
      </c>
      <c r="CT265" s="45">
        <f t="shared" si="3588"/>
        <v>0</v>
      </c>
      <c r="CU265" s="45">
        <f t="shared" si="3588"/>
        <v>0</v>
      </c>
      <c r="CV265" s="45">
        <f t="shared" si="3588"/>
        <v>0</v>
      </c>
      <c r="CW265" s="45">
        <f t="shared" si="3588"/>
        <v>0</v>
      </c>
      <c r="CX265" s="45">
        <f t="shared" si="3588"/>
        <v>0</v>
      </c>
      <c r="CY265" s="45">
        <f t="shared" si="3588"/>
        <v>0</v>
      </c>
      <c r="CZ265" s="45">
        <f t="shared" si="3588"/>
        <v>0</v>
      </c>
      <c r="DA265" s="45">
        <f t="shared" si="3588"/>
        <v>0</v>
      </c>
      <c r="DB265" s="45">
        <f t="shared" si="3588"/>
        <v>0</v>
      </c>
      <c r="DC265" s="45">
        <f t="shared" si="3588"/>
        <v>0</v>
      </c>
    </row>
    <row r="266" spans="3:107" x14ac:dyDescent="0.3">
      <c r="C266" s="101" t="str">
        <f>++C$21</f>
        <v>Amortization</v>
      </c>
      <c r="G266" s="45">
        <f>++G119</f>
        <v>0</v>
      </c>
      <c r="H266" s="45">
        <f t="shared" ref="H266:BS266" si="3589">++H119</f>
        <v>0</v>
      </c>
      <c r="I266" s="45">
        <f t="shared" si="3589"/>
        <v>0</v>
      </c>
      <c r="J266" s="45">
        <f t="shared" si="3589"/>
        <v>0</v>
      </c>
      <c r="K266" s="45">
        <f t="shared" si="3589"/>
        <v>0</v>
      </c>
      <c r="L266" s="45">
        <f t="shared" si="3589"/>
        <v>0</v>
      </c>
      <c r="M266" s="45">
        <f t="shared" si="3589"/>
        <v>0</v>
      </c>
      <c r="N266" s="45">
        <f t="shared" si="3589"/>
        <v>0</v>
      </c>
      <c r="O266" s="45">
        <f t="shared" si="3589"/>
        <v>0</v>
      </c>
      <c r="P266" s="45">
        <f t="shared" si="3589"/>
        <v>0</v>
      </c>
      <c r="Q266" s="45">
        <f t="shared" si="3589"/>
        <v>0</v>
      </c>
      <c r="R266" s="45">
        <f t="shared" si="3589"/>
        <v>0</v>
      </c>
      <c r="S266" s="45">
        <f t="shared" si="3589"/>
        <v>0</v>
      </c>
      <c r="T266" s="45">
        <f t="shared" si="3589"/>
        <v>0</v>
      </c>
      <c r="U266" s="45">
        <f t="shared" si="3589"/>
        <v>0</v>
      </c>
      <c r="V266" s="45">
        <f t="shared" si="3589"/>
        <v>0</v>
      </c>
      <c r="W266" s="45">
        <f t="shared" si="3589"/>
        <v>0</v>
      </c>
      <c r="X266" s="45">
        <f t="shared" si="3589"/>
        <v>0</v>
      </c>
      <c r="Y266" s="45">
        <f t="shared" si="3589"/>
        <v>0</v>
      </c>
      <c r="Z266" s="45">
        <f t="shared" si="3589"/>
        <v>0</v>
      </c>
      <c r="AA266" s="45">
        <f t="shared" si="3589"/>
        <v>0</v>
      </c>
      <c r="AB266" s="45">
        <f t="shared" si="3589"/>
        <v>0</v>
      </c>
      <c r="AC266" s="45">
        <f t="shared" si="3589"/>
        <v>0</v>
      </c>
      <c r="AD266" s="45">
        <f t="shared" si="3589"/>
        <v>0</v>
      </c>
      <c r="AE266" s="45">
        <f t="shared" si="3589"/>
        <v>0</v>
      </c>
      <c r="AF266" s="45">
        <f t="shared" si="3589"/>
        <v>0</v>
      </c>
      <c r="AG266" s="45">
        <f t="shared" si="3589"/>
        <v>0</v>
      </c>
      <c r="AH266" s="45">
        <f t="shared" si="3589"/>
        <v>0</v>
      </c>
      <c r="AI266" s="45">
        <f t="shared" si="3589"/>
        <v>0</v>
      </c>
      <c r="AJ266" s="45">
        <f t="shared" si="3589"/>
        <v>0</v>
      </c>
      <c r="AK266" s="45">
        <f t="shared" si="3589"/>
        <v>0</v>
      </c>
      <c r="AL266" s="45">
        <f t="shared" si="3589"/>
        <v>0</v>
      </c>
      <c r="AM266" s="45">
        <f t="shared" si="3589"/>
        <v>0</v>
      </c>
      <c r="AN266" s="45">
        <f t="shared" si="3589"/>
        <v>0</v>
      </c>
      <c r="AO266" s="45">
        <f t="shared" si="3589"/>
        <v>0</v>
      </c>
      <c r="AP266" s="45">
        <f t="shared" si="3589"/>
        <v>0</v>
      </c>
      <c r="AQ266" s="45">
        <f t="shared" si="3589"/>
        <v>0</v>
      </c>
      <c r="AR266" s="45">
        <f t="shared" si="3589"/>
        <v>0</v>
      </c>
      <c r="AS266" s="45">
        <f t="shared" si="3589"/>
        <v>0</v>
      </c>
      <c r="AT266" s="45">
        <f t="shared" si="3589"/>
        <v>0</v>
      </c>
      <c r="AU266" s="45">
        <f t="shared" si="3589"/>
        <v>0</v>
      </c>
      <c r="AV266" s="45">
        <f t="shared" si="3589"/>
        <v>0</v>
      </c>
      <c r="AW266" s="45">
        <f t="shared" si="3589"/>
        <v>0</v>
      </c>
      <c r="AX266" s="45">
        <f t="shared" si="3589"/>
        <v>0</v>
      </c>
      <c r="AY266" s="45">
        <f t="shared" si="3589"/>
        <v>0</v>
      </c>
      <c r="AZ266" s="45">
        <f t="shared" si="3589"/>
        <v>0</v>
      </c>
      <c r="BA266" s="45">
        <f t="shared" si="3589"/>
        <v>0</v>
      </c>
      <c r="BB266" s="45">
        <f t="shared" si="3589"/>
        <v>0</v>
      </c>
      <c r="BC266" s="45">
        <f t="shared" si="3589"/>
        <v>0</v>
      </c>
      <c r="BD266" s="45">
        <f t="shared" si="3589"/>
        <v>0</v>
      </c>
      <c r="BE266" s="45">
        <f t="shared" si="3589"/>
        <v>0</v>
      </c>
      <c r="BF266" s="45">
        <f t="shared" si="3589"/>
        <v>0</v>
      </c>
      <c r="BG266" s="45">
        <f t="shared" si="3589"/>
        <v>0</v>
      </c>
      <c r="BH266" s="45">
        <f t="shared" si="3589"/>
        <v>0</v>
      </c>
      <c r="BI266" s="45">
        <f t="shared" si="3589"/>
        <v>0</v>
      </c>
      <c r="BJ266" s="45">
        <f t="shared" si="3589"/>
        <v>0</v>
      </c>
      <c r="BK266" s="45">
        <f t="shared" si="3589"/>
        <v>0</v>
      </c>
      <c r="BL266" s="45">
        <f t="shared" si="3589"/>
        <v>0</v>
      </c>
      <c r="BM266" s="45">
        <f t="shared" si="3589"/>
        <v>0</v>
      </c>
      <c r="BN266" s="45">
        <f t="shared" si="3589"/>
        <v>0</v>
      </c>
      <c r="BO266" s="45">
        <f t="shared" si="3589"/>
        <v>0</v>
      </c>
      <c r="BP266" s="45">
        <f t="shared" si="3589"/>
        <v>0</v>
      </c>
      <c r="BQ266" s="45">
        <f t="shared" si="3589"/>
        <v>0</v>
      </c>
      <c r="BR266" s="45">
        <f t="shared" si="3589"/>
        <v>0</v>
      </c>
      <c r="BS266" s="45">
        <f t="shared" si="3589"/>
        <v>0</v>
      </c>
      <c r="BT266" s="45">
        <f t="shared" ref="BT266:DC266" si="3590">++BT119</f>
        <v>0</v>
      </c>
      <c r="BU266" s="45">
        <f t="shared" si="3590"/>
        <v>0</v>
      </c>
      <c r="BV266" s="45">
        <f t="shared" si="3590"/>
        <v>0</v>
      </c>
      <c r="BW266" s="45">
        <f t="shared" si="3590"/>
        <v>0</v>
      </c>
      <c r="BX266" s="45">
        <f t="shared" si="3590"/>
        <v>0</v>
      </c>
      <c r="BY266" s="45">
        <f t="shared" si="3590"/>
        <v>0</v>
      </c>
      <c r="BZ266" s="45">
        <f t="shared" si="3590"/>
        <v>0</v>
      </c>
      <c r="CA266" s="45">
        <f t="shared" si="3590"/>
        <v>0</v>
      </c>
      <c r="CB266" s="45">
        <f t="shared" si="3590"/>
        <v>0</v>
      </c>
      <c r="CC266" s="45">
        <f t="shared" si="3590"/>
        <v>0</v>
      </c>
      <c r="CD266" s="45">
        <f t="shared" si="3590"/>
        <v>0</v>
      </c>
      <c r="CE266" s="45">
        <f t="shared" si="3590"/>
        <v>0</v>
      </c>
      <c r="CF266" s="45">
        <f t="shared" si="3590"/>
        <v>0</v>
      </c>
      <c r="CG266" s="45">
        <f t="shared" si="3590"/>
        <v>0</v>
      </c>
      <c r="CH266" s="45">
        <f t="shared" si="3590"/>
        <v>0</v>
      </c>
      <c r="CI266" s="45">
        <f t="shared" si="3590"/>
        <v>0</v>
      </c>
      <c r="CJ266" s="45">
        <f t="shared" si="3590"/>
        <v>0</v>
      </c>
      <c r="CK266" s="45">
        <f t="shared" si="3590"/>
        <v>0</v>
      </c>
      <c r="CL266" s="45">
        <f t="shared" si="3590"/>
        <v>0</v>
      </c>
      <c r="CM266" s="45">
        <f t="shared" si="3590"/>
        <v>0</v>
      </c>
      <c r="CN266" s="45">
        <f t="shared" si="3590"/>
        <v>0</v>
      </c>
      <c r="CO266" s="45">
        <f t="shared" si="3590"/>
        <v>0</v>
      </c>
      <c r="CP266" s="45">
        <f t="shared" si="3590"/>
        <v>0</v>
      </c>
      <c r="CQ266" s="45">
        <f t="shared" si="3590"/>
        <v>0</v>
      </c>
      <c r="CR266" s="45">
        <f t="shared" si="3590"/>
        <v>0</v>
      </c>
      <c r="CS266" s="45">
        <f t="shared" si="3590"/>
        <v>0</v>
      </c>
      <c r="CT266" s="45">
        <f t="shared" si="3590"/>
        <v>0</v>
      </c>
      <c r="CU266" s="45">
        <f t="shared" si="3590"/>
        <v>0</v>
      </c>
      <c r="CV266" s="45">
        <f t="shared" si="3590"/>
        <v>0</v>
      </c>
      <c r="CW266" s="45">
        <f t="shared" si="3590"/>
        <v>0</v>
      </c>
      <c r="CX266" s="45">
        <f t="shared" si="3590"/>
        <v>0</v>
      </c>
      <c r="CY266" s="45">
        <f t="shared" si="3590"/>
        <v>0</v>
      </c>
      <c r="CZ266" s="45">
        <f t="shared" si="3590"/>
        <v>0</v>
      </c>
      <c r="DA266" s="45">
        <f t="shared" si="3590"/>
        <v>0</v>
      </c>
      <c r="DB266" s="45">
        <f t="shared" si="3590"/>
        <v>0</v>
      </c>
      <c r="DC266" s="45">
        <f t="shared" si="3590"/>
        <v>0</v>
      </c>
    </row>
    <row r="267" spans="3:107" x14ac:dyDescent="0.3">
      <c r="C267" s="101" t="str">
        <f>++C$22</f>
        <v>Other Operating Expense (Income)</v>
      </c>
      <c r="G267" s="374">
        <f>++(G258-G268)-SUM(G262:G266)</f>
        <v>0</v>
      </c>
      <c r="H267" s="200">
        <f t="shared" ref="H267:BS267" si="3591">++(H258-H268)-SUM(H262:H266)</f>
        <v>0</v>
      </c>
      <c r="I267" s="200">
        <f t="shared" si="3591"/>
        <v>0</v>
      </c>
      <c r="J267" s="200">
        <f t="shared" si="3591"/>
        <v>0</v>
      </c>
      <c r="K267" s="374">
        <f t="shared" si="3591"/>
        <v>0</v>
      </c>
      <c r="L267" s="200">
        <f t="shared" si="3591"/>
        <v>0</v>
      </c>
      <c r="M267" s="200">
        <f t="shared" si="3591"/>
        <v>0</v>
      </c>
      <c r="N267" s="200">
        <f t="shared" si="3591"/>
        <v>0</v>
      </c>
      <c r="O267" s="200">
        <f t="shared" si="3591"/>
        <v>0</v>
      </c>
      <c r="P267" s="200">
        <f t="shared" si="3591"/>
        <v>0</v>
      </c>
      <c r="Q267" s="200">
        <f t="shared" si="3591"/>
        <v>0</v>
      </c>
      <c r="R267" s="200">
        <f t="shared" si="3591"/>
        <v>0</v>
      </c>
      <c r="S267" s="200">
        <f t="shared" si="3591"/>
        <v>0</v>
      </c>
      <c r="T267" s="200">
        <f t="shared" si="3591"/>
        <v>0</v>
      </c>
      <c r="U267" s="200">
        <f t="shared" si="3591"/>
        <v>0</v>
      </c>
      <c r="V267" s="200">
        <f t="shared" si="3591"/>
        <v>0</v>
      </c>
      <c r="W267" s="374">
        <f t="shared" si="3591"/>
        <v>0</v>
      </c>
      <c r="X267" s="200">
        <f t="shared" si="3591"/>
        <v>0</v>
      </c>
      <c r="Y267" s="200">
        <f t="shared" si="3591"/>
        <v>0</v>
      </c>
      <c r="Z267" s="200">
        <f t="shared" si="3591"/>
        <v>0</v>
      </c>
      <c r="AA267" s="200">
        <f t="shared" si="3591"/>
        <v>0</v>
      </c>
      <c r="AB267" s="200">
        <f t="shared" si="3591"/>
        <v>0</v>
      </c>
      <c r="AC267" s="200">
        <f t="shared" si="3591"/>
        <v>0</v>
      </c>
      <c r="AD267" s="200">
        <f t="shared" si="3591"/>
        <v>0</v>
      </c>
      <c r="AE267" s="200">
        <f t="shared" si="3591"/>
        <v>0</v>
      </c>
      <c r="AF267" s="200">
        <f t="shared" si="3591"/>
        <v>0</v>
      </c>
      <c r="AG267" s="200">
        <f t="shared" si="3591"/>
        <v>0</v>
      </c>
      <c r="AH267" s="200">
        <f t="shared" si="3591"/>
        <v>0</v>
      </c>
      <c r="AI267" s="374">
        <f t="shared" si="3591"/>
        <v>0</v>
      </c>
      <c r="AJ267" s="200">
        <f t="shared" si="3591"/>
        <v>0</v>
      </c>
      <c r="AK267" s="200">
        <f t="shared" si="3591"/>
        <v>0</v>
      </c>
      <c r="AL267" s="200">
        <f t="shared" si="3591"/>
        <v>0</v>
      </c>
      <c r="AM267" s="200">
        <f t="shared" si="3591"/>
        <v>0</v>
      </c>
      <c r="AN267" s="200">
        <f t="shared" si="3591"/>
        <v>0</v>
      </c>
      <c r="AO267" s="200">
        <f t="shared" si="3591"/>
        <v>0</v>
      </c>
      <c r="AP267" s="200">
        <f t="shared" si="3591"/>
        <v>0</v>
      </c>
      <c r="AQ267" s="200">
        <f t="shared" si="3591"/>
        <v>0</v>
      </c>
      <c r="AR267" s="200">
        <f t="shared" si="3591"/>
        <v>0</v>
      </c>
      <c r="AS267" s="200">
        <f t="shared" si="3591"/>
        <v>0</v>
      </c>
      <c r="AT267" s="200">
        <f t="shared" si="3591"/>
        <v>0</v>
      </c>
      <c r="AU267" s="374">
        <f t="shared" si="3591"/>
        <v>0</v>
      </c>
      <c r="AV267" s="200">
        <f t="shared" si="3591"/>
        <v>0</v>
      </c>
      <c r="AW267" s="200">
        <f t="shared" si="3591"/>
        <v>0</v>
      </c>
      <c r="AX267" s="200">
        <f t="shared" si="3591"/>
        <v>0</v>
      </c>
      <c r="AY267" s="200">
        <f t="shared" si="3591"/>
        <v>0</v>
      </c>
      <c r="AZ267" s="200">
        <f t="shared" si="3591"/>
        <v>0</v>
      </c>
      <c r="BA267" s="200">
        <f t="shared" si="3591"/>
        <v>0</v>
      </c>
      <c r="BB267" s="200">
        <f t="shared" si="3591"/>
        <v>0</v>
      </c>
      <c r="BC267" s="200">
        <f t="shared" si="3591"/>
        <v>0</v>
      </c>
      <c r="BD267" s="200">
        <f t="shared" si="3591"/>
        <v>0</v>
      </c>
      <c r="BE267" s="200">
        <f t="shared" si="3591"/>
        <v>0</v>
      </c>
      <c r="BF267" s="200">
        <f t="shared" si="3591"/>
        <v>0</v>
      </c>
      <c r="BG267" s="374">
        <f t="shared" si="3591"/>
        <v>0</v>
      </c>
      <c r="BH267" s="200">
        <f t="shared" si="3591"/>
        <v>0</v>
      </c>
      <c r="BI267" s="200">
        <f t="shared" si="3591"/>
        <v>0</v>
      </c>
      <c r="BJ267" s="200">
        <f t="shared" si="3591"/>
        <v>0</v>
      </c>
      <c r="BK267" s="200">
        <f t="shared" si="3591"/>
        <v>0</v>
      </c>
      <c r="BL267" s="200">
        <f t="shared" si="3591"/>
        <v>0</v>
      </c>
      <c r="BM267" s="200">
        <f t="shared" si="3591"/>
        <v>0</v>
      </c>
      <c r="BN267" s="200">
        <f t="shared" si="3591"/>
        <v>0</v>
      </c>
      <c r="BO267" s="200">
        <f t="shared" si="3591"/>
        <v>0</v>
      </c>
      <c r="BP267" s="200">
        <f t="shared" si="3591"/>
        <v>0</v>
      </c>
      <c r="BQ267" s="200">
        <f t="shared" si="3591"/>
        <v>0</v>
      </c>
      <c r="BR267" s="200">
        <f t="shared" si="3591"/>
        <v>0</v>
      </c>
      <c r="BS267" s="374">
        <f t="shared" si="3591"/>
        <v>0</v>
      </c>
      <c r="BT267" s="200">
        <f t="shared" ref="BT267:DC267" si="3592">++(BT258-BT268)-SUM(BT262:BT266)</f>
        <v>0</v>
      </c>
      <c r="BU267" s="200">
        <f t="shared" si="3592"/>
        <v>0</v>
      </c>
      <c r="BV267" s="200">
        <f t="shared" si="3592"/>
        <v>0</v>
      </c>
      <c r="BW267" s="200">
        <f t="shared" si="3592"/>
        <v>0</v>
      </c>
      <c r="BX267" s="200">
        <f t="shared" si="3592"/>
        <v>0</v>
      </c>
      <c r="BY267" s="200">
        <f t="shared" si="3592"/>
        <v>0</v>
      </c>
      <c r="BZ267" s="200">
        <f t="shared" si="3592"/>
        <v>0</v>
      </c>
      <c r="CA267" s="200">
        <f t="shared" si="3592"/>
        <v>0</v>
      </c>
      <c r="CB267" s="200">
        <f t="shared" si="3592"/>
        <v>0</v>
      </c>
      <c r="CC267" s="200">
        <f t="shared" si="3592"/>
        <v>0</v>
      </c>
      <c r="CD267" s="200">
        <f t="shared" si="3592"/>
        <v>0</v>
      </c>
      <c r="CE267" s="374">
        <f t="shared" si="3592"/>
        <v>0</v>
      </c>
      <c r="CF267" s="200">
        <f t="shared" si="3592"/>
        <v>0</v>
      </c>
      <c r="CG267" s="200">
        <f t="shared" si="3592"/>
        <v>0</v>
      </c>
      <c r="CH267" s="200">
        <f t="shared" si="3592"/>
        <v>0</v>
      </c>
      <c r="CI267" s="200">
        <f t="shared" si="3592"/>
        <v>0</v>
      </c>
      <c r="CJ267" s="200">
        <f t="shared" si="3592"/>
        <v>0</v>
      </c>
      <c r="CK267" s="200">
        <f t="shared" si="3592"/>
        <v>0</v>
      </c>
      <c r="CL267" s="200">
        <f t="shared" si="3592"/>
        <v>0</v>
      </c>
      <c r="CM267" s="200">
        <f t="shared" si="3592"/>
        <v>0</v>
      </c>
      <c r="CN267" s="200">
        <f t="shared" si="3592"/>
        <v>0</v>
      </c>
      <c r="CO267" s="200">
        <f t="shared" si="3592"/>
        <v>0</v>
      </c>
      <c r="CP267" s="200">
        <f t="shared" si="3592"/>
        <v>0</v>
      </c>
      <c r="CQ267" s="374">
        <f t="shared" si="3592"/>
        <v>0</v>
      </c>
      <c r="CR267" s="200">
        <f t="shared" si="3592"/>
        <v>0</v>
      </c>
      <c r="CS267" s="200">
        <f t="shared" si="3592"/>
        <v>0</v>
      </c>
      <c r="CT267" s="200">
        <f t="shared" si="3592"/>
        <v>0</v>
      </c>
      <c r="CU267" s="200">
        <f t="shared" si="3592"/>
        <v>0</v>
      </c>
      <c r="CV267" s="200">
        <f t="shared" si="3592"/>
        <v>0</v>
      </c>
      <c r="CW267" s="200">
        <f t="shared" si="3592"/>
        <v>0</v>
      </c>
      <c r="CX267" s="200">
        <f t="shared" si="3592"/>
        <v>0</v>
      </c>
      <c r="CY267" s="200">
        <f t="shared" si="3592"/>
        <v>0</v>
      </c>
      <c r="CZ267" s="200">
        <f t="shared" si="3592"/>
        <v>0</v>
      </c>
      <c r="DA267" s="200">
        <f t="shared" si="3592"/>
        <v>0</v>
      </c>
      <c r="DB267" s="200">
        <f t="shared" si="3592"/>
        <v>0</v>
      </c>
      <c r="DC267" s="374">
        <f t="shared" si="3592"/>
        <v>0</v>
      </c>
    </row>
    <row r="268" spans="3:107" x14ac:dyDescent="0.3">
      <c r="C268" s="231" t="str">
        <f>++C$23</f>
        <v>Operating Income (Loss)</v>
      </c>
      <c r="D268" s="191"/>
      <c r="E268" s="191"/>
      <c r="G268" s="239">
        <f>++SUM(G272:G274)</f>
        <v>0</v>
      </c>
      <c r="H268" s="232">
        <f t="shared" ref="H268:BS268" si="3593">++SUM(H272:H274)</f>
        <v>0</v>
      </c>
      <c r="I268" s="232">
        <f t="shared" si="3593"/>
        <v>0</v>
      </c>
      <c r="J268" s="232">
        <f t="shared" si="3593"/>
        <v>0</v>
      </c>
      <c r="K268" s="239">
        <f t="shared" si="3593"/>
        <v>0</v>
      </c>
      <c r="L268" s="232">
        <f t="shared" si="3593"/>
        <v>0</v>
      </c>
      <c r="M268" s="232">
        <f t="shared" si="3593"/>
        <v>0</v>
      </c>
      <c r="N268" s="232">
        <f t="shared" si="3593"/>
        <v>0</v>
      </c>
      <c r="O268" s="232">
        <f t="shared" si="3593"/>
        <v>0</v>
      </c>
      <c r="P268" s="232">
        <f t="shared" si="3593"/>
        <v>0</v>
      </c>
      <c r="Q268" s="232">
        <f t="shared" si="3593"/>
        <v>0</v>
      </c>
      <c r="R268" s="232">
        <f t="shared" si="3593"/>
        <v>0</v>
      </c>
      <c r="S268" s="232">
        <f t="shared" si="3593"/>
        <v>0</v>
      </c>
      <c r="T268" s="232">
        <f t="shared" si="3593"/>
        <v>0</v>
      </c>
      <c r="U268" s="232">
        <f t="shared" si="3593"/>
        <v>0</v>
      </c>
      <c r="V268" s="232">
        <f t="shared" si="3593"/>
        <v>0</v>
      </c>
      <c r="W268" s="239">
        <f t="shared" si="3593"/>
        <v>0</v>
      </c>
      <c r="X268" s="232">
        <f t="shared" si="3593"/>
        <v>0</v>
      </c>
      <c r="Y268" s="232">
        <f t="shared" si="3593"/>
        <v>0</v>
      </c>
      <c r="Z268" s="232">
        <f t="shared" si="3593"/>
        <v>0</v>
      </c>
      <c r="AA268" s="232">
        <f t="shared" si="3593"/>
        <v>0</v>
      </c>
      <c r="AB268" s="232">
        <f t="shared" si="3593"/>
        <v>0</v>
      </c>
      <c r="AC268" s="232">
        <f t="shared" si="3593"/>
        <v>0</v>
      </c>
      <c r="AD268" s="232">
        <f t="shared" si="3593"/>
        <v>0</v>
      </c>
      <c r="AE268" s="232">
        <f t="shared" si="3593"/>
        <v>0</v>
      </c>
      <c r="AF268" s="232">
        <f t="shared" si="3593"/>
        <v>0</v>
      </c>
      <c r="AG268" s="232">
        <f t="shared" si="3593"/>
        <v>0</v>
      </c>
      <c r="AH268" s="232">
        <f t="shared" si="3593"/>
        <v>0</v>
      </c>
      <c r="AI268" s="239">
        <f t="shared" si="3593"/>
        <v>0</v>
      </c>
      <c r="AJ268" s="232">
        <f t="shared" si="3593"/>
        <v>0</v>
      </c>
      <c r="AK268" s="232">
        <f t="shared" si="3593"/>
        <v>0</v>
      </c>
      <c r="AL268" s="232">
        <f t="shared" si="3593"/>
        <v>0</v>
      </c>
      <c r="AM268" s="232">
        <f t="shared" si="3593"/>
        <v>0</v>
      </c>
      <c r="AN268" s="232">
        <f t="shared" si="3593"/>
        <v>0</v>
      </c>
      <c r="AO268" s="232">
        <f t="shared" si="3593"/>
        <v>0</v>
      </c>
      <c r="AP268" s="232">
        <f t="shared" si="3593"/>
        <v>0</v>
      </c>
      <c r="AQ268" s="232">
        <f t="shared" si="3593"/>
        <v>0</v>
      </c>
      <c r="AR268" s="232">
        <f t="shared" si="3593"/>
        <v>0</v>
      </c>
      <c r="AS268" s="232">
        <f t="shared" si="3593"/>
        <v>0</v>
      </c>
      <c r="AT268" s="232">
        <f t="shared" si="3593"/>
        <v>0</v>
      </c>
      <c r="AU268" s="239">
        <f t="shared" si="3593"/>
        <v>0</v>
      </c>
      <c r="AV268" s="232">
        <f t="shared" si="3593"/>
        <v>0</v>
      </c>
      <c r="AW268" s="232">
        <f t="shared" si="3593"/>
        <v>0</v>
      </c>
      <c r="AX268" s="232">
        <f t="shared" si="3593"/>
        <v>0</v>
      </c>
      <c r="AY268" s="232">
        <f t="shared" si="3593"/>
        <v>0</v>
      </c>
      <c r="AZ268" s="232">
        <f t="shared" si="3593"/>
        <v>0</v>
      </c>
      <c r="BA268" s="232">
        <f t="shared" si="3593"/>
        <v>0</v>
      </c>
      <c r="BB268" s="232">
        <f t="shared" si="3593"/>
        <v>0</v>
      </c>
      <c r="BC268" s="232">
        <f t="shared" si="3593"/>
        <v>0</v>
      </c>
      <c r="BD268" s="232">
        <f t="shared" si="3593"/>
        <v>0</v>
      </c>
      <c r="BE268" s="232">
        <f t="shared" si="3593"/>
        <v>0</v>
      </c>
      <c r="BF268" s="232">
        <f t="shared" si="3593"/>
        <v>0</v>
      </c>
      <c r="BG268" s="239">
        <f t="shared" si="3593"/>
        <v>0</v>
      </c>
      <c r="BH268" s="232">
        <f t="shared" si="3593"/>
        <v>0</v>
      </c>
      <c r="BI268" s="232">
        <f t="shared" si="3593"/>
        <v>0</v>
      </c>
      <c r="BJ268" s="232">
        <f t="shared" si="3593"/>
        <v>0</v>
      </c>
      <c r="BK268" s="232">
        <f t="shared" si="3593"/>
        <v>0</v>
      </c>
      <c r="BL268" s="232">
        <f t="shared" si="3593"/>
        <v>0</v>
      </c>
      <c r="BM268" s="232">
        <f t="shared" si="3593"/>
        <v>0</v>
      </c>
      <c r="BN268" s="232">
        <f t="shared" si="3593"/>
        <v>0</v>
      </c>
      <c r="BO268" s="232">
        <f t="shared" si="3593"/>
        <v>0</v>
      </c>
      <c r="BP268" s="232">
        <f t="shared" si="3593"/>
        <v>0</v>
      </c>
      <c r="BQ268" s="232">
        <f t="shared" si="3593"/>
        <v>0</v>
      </c>
      <c r="BR268" s="232">
        <f t="shared" si="3593"/>
        <v>0</v>
      </c>
      <c r="BS268" s="239">
        <f t="shared" si="3593"/>
        <v>0</v>
      </c>
      <c r="BT268" s="232">
        <f t="shared" ref="BT268:DC268" si="3594">++SUM(BT272:BT274)</f>
        <v>0</v>
      </c>
      <c r="BU268" s="232">
        <f t="shared" si="3594"/>
        <v>0</v>
      </c>
      <c r="BV268" s="232">
        <f t="shared" si="3594"/>
        <v>0</v>
      </c>
      <c r="BW268" s="232">
        <f t="shared" si="3594"/>
        <v>0</v>
      </c>
      <c r="BX268" s="232">
        <f t="shared" si="3594"/>
        <v>0</v>
      </c>
      <c r="BY268" s="232">
        <f t="shared" si="3594"/>
        <v>0</v>
      </c>
      <c r="BZ268" s="232">
        <f t="shared" si="3594"/>
        <v>0</v>
      </c>
      <c r="CA268" s="232">
        <f t="shared" si="3594"/>
        <v>0</v>
      </c>
      <c r="CB268" s="232">
        <f t="shared" si="3594"/>
        <v>0</v>
      </c>
      <c r="CC268" s="232">
        <f t="shared" si="3594"/>
        <v>0</v>
      </c>
      <c r="CD268" s="232">
        <f t="shared" si="3594"/>
        <v>0</v>
      </c>
      <c r="CE268" s="239">
        <f t="shared" si="3594"/>
        <v>0</v>
      </c>
      <c r="CF268" s="232">
        <f t="shared" si="3594"/>
        <v>0</v>
      </c>
      <c r="CG268" s="232">
        <f t="shared" si="3594"/>
        <v>0</v>
      </c>
      <c r="CH268" s="232">
        <f t="shared" si="3594"/>
        <v>0</v>
      </c>
      <c r="CI268" s="232">
        <f t="shared" si="3594"/>
        <v>0</v>
      </c>
      <c r="CJ268" s="232">
        <f t="shared" si="3594"/>
        <v>0</v>
      </c>
      <c r="CK268" s="232">
        <f t="shared" si="3594"/>
        <v>0</v>
      </c>
      <c r="CL268" s="232">
        <f t="shared" si="3594"/>
        <v>0</v>
      </c>
      <c r="CM268" s="232">
        <f t="shared" si="3594"/>
        <v>0</v>
      </c>
      <c r="CN268" s="232">
        <f t="shared" si="3594"/>
        <v>0</v>
      </c>
      <c r="CO268" s="232">
        <f t="shared" si="3594"/>
        <v>0</v>
      </c>
      <c r="CP268" s="232">
        <f t="shared" si="3594"/>
        <v>0</v>
      </c>
      <c r="CQ268" s="239">
        <f t="shared" si="3594"/>
        <v>0</v>
      </c>
      <c r="CR268" s="232">
        <f t="shared" si="3594"/>
        <v>0</v>
      </c>
      <c r="CS268" s="232">
        <f t="shared" si="3594"/>
        <v>0</v>
      </c>
      <c r="CT268" s="232">
        <f t="shared" si="3594"/>
        <v>0</v>
      </c>
      <c r="CU268" s="232">
        <f t="shared" si="3594"/>
        <v>0</v>
      </c>
      <c r="CV268" s="232">
        <f t="shared" si="3594"/>
        <v>0</v>
      </c>
      <c r="CW268" s="232">
        <f t="shared" si="3594"/>
        <v>0</v>
      </c>
      <c r="CX268" s="232">
        <f t="shared" si="3594"/>
        <v>0</v>
      </c>
      <c r="CY268" s="232">
        <f t="shared" si="3594"/>
        <v>0</v>
      </c>
      <c r="CZ268" s="232">
        <f t="shared" si="3594"/>
        <v>0</v>
      </c>
      <c r="DA268" s="232">
        <f t="shared" si="3594"/>
        <v>0</v>
      </c>
      <c r="DB268" s="232">
        <f t="shared" si="3594"/>
        <v>0</v>
      </c>
      <c r="DC268" s="239">
        <f t="shared" si="3594"/>
        <v>0</v>
      </c>
    </row>
    <row r="269" spans="3:107" x14ac:dyDescent="0.3">
      <c r="C269" s="321" t="str">
        <f>++C$24</f>
        <v>% margin</v>
      </c>
      <c r="G269" s="214" t="str">
        <f>++IFERROR(G268/G255,"n/a")</f>
        <v>n/a</v>
      </c>
      <c r="H269" s="225" t="str">
        <f t="shared" ref="H269" si="3595">++IFERROR(H268/H255,"n/a")</f>
        <v>n/a</v>
      </c>
      <c r="I269" s="225" t="str">
        <f t="shared" ref="I269" si="3596">++IFERROR(I268/I255,"n/a")</f>
        <v>n/a</v>
      </c>
      <c r="J269" s="225" t="str">
        <f t="shared" ref="J269" si="3597">++IFERROR(J268/J255,"n/a")</f>
        <v>n/a</v>
      </c>
      <c r="K269" s="214" t="str">
        <f t="shared" ref="K269" si="3598">++IFERROR(K268/K255,"n/a")</f>
        <v>n/a</v>
      </c>
      <c r="L269" s="225" t="str">
        <f t="shared" ref="L269" si="3599">++IFERROR(L268/L255,"n/a")</f>
        <v>n/a</v>
      </c>
      <c r="M269" s="225" t="str">
        <f t="shared" ref="M269" si="3600">++IFERROR(M268/M255,"n/a")</f>
        <v>n/a</v>
      </c>
      <c r="N269" s="225" t="str">
        <f t="shared" ref="N269" si="3601">++IFERROR(N268/N255,"n/a")</f>
        <v>n/a</v>
      </c>
      <c r="O269" s="225" t="str">
        <f t="shared" ref="O269" si="3602">++IFERROR(O268/O255,"n/a")</f>
        <v>n/a</v>
      </c>
      <c r="P269" s="225" t="str">
        <f t="shared" ref="P269" si="3603">++IFERROR(P268/P255,"n/a")</f>
        <v>n/a</v>
      </c>
      <c r="Q269" s="225" t="str">
        <f t="shared" ref="Q269" si="3604">++IFERROR(Q268/Q255,"n/a")</f>
        <v>n/a</v>
      </c>
      <c r="R269" s="225" t="str">
        <f t="shared" ref="R269" si="3605">++IFERROR(R268/R255,"n/a")</f>
        <v>n/a</v>
      </c>
      <c r="S269" s="225" t="str">
        <f t="shared" ref="S269" si="3606">++IFERROR(S268/S255,"n/a")</f>
        <v>n/a</v>
      </c>
      <c r="T269" s="225" t="str">
        <f t="shared" ref="T269" si="3607">++IFERROR(T268/T255,"n/a")</f>
        <v>n/a</v>
      </c>
      <c r="U269" s="225" t="str">
        <f t="shared" ref="U269" si="3608">++IFERROR(U268/U255,"n/a")</f>
        <v>n/a</v>
      </c>
      <c r="V269" s="225" t="str">
        <f t="shared" ref="V269" si="3609">++IFERROR(V268/V255,"n/a")</f>
        <v>n/a</v>
      </c>
      <c r="W269" s="214" t="str">
        <f t="shared" ref="W269" si="3610">++IFERROR(W268/W255,"n/a")</f>
        <v>n/a</v>
      </c>
      <c r="X269" s="225" t="str">
        <f t="shared" ref="X269" si="3611">++IFERROR(X268/X255,"n/a")</f>
        <v>n/a</v>
      </c>
      <c r="Y269" s="225" t="str">
        <f t="shared" ref="Y269" si="3612">++IFERROR(Y268/Y255,"n/a")</f>
        <v>n/a</v>
      </c>
      <c r="Z269" s="225" t="str">
        <f t="shared" ref="Z269" si="3613">++IFERROR(Z268/Z255,"n/a")</f>
        <v>n/a</v>
      </c>
      <c r="AA269" s="225" t="str">
        <f t="shared" ref="AA269" si="3614">++IFERROR(AA268/AA255,"n/a")</f>
        <v>n/a</v>
      </c>
      <c r="AB269" s="225" t="str">
        <f t="shared" ref="AB269" si="3615">++IFERROR(AB268/AB255,"n/a")</f>
        <v>n/a</v>
      </c>
      <c r="AC269" s="225" t="str">
        <f t="shared" ref="AC269" si="3616">++IFERROR(AC268/AC255,"n/a")</f>
        <v>n/a</v>
      </c>
      <c r="AD269" s="225" t="str">
        <f t="shared" ref="AD269" si="3617">++IFERROR(AD268/AD255,"n/a")</f>
        <v>n/a</v>
      </c>
      <c r="AE269" s="225" t="str">
        <f t="shared" ref="AE269" si="3618">++IFERROR(AE268/AE255,"n/a")</f>
        <v>n/a</v>
      </c>
      <c r="AF269" s="225" t="str">
        <f t="shared" ref="AF269" si="3619">++IFERROR(AF268/AF255,"n/a")</f>
        <v>n/a</v>
      </c>
      <c r="AG269" s="225" t="str">
        <f t="shared" ref="AG269" si="3620">++IFERROR(AG268/AG255,"n/a")</f>
        <v>n/a</v>
      </c>
      <c r="AH269" s="225" t="str">
        <f t="shared" ref="AH269" si="3621">++IFERROR(AH268/AH255,"n/a")</f>
        <v>n/a</v>
      </c>
      <c r="AI269" s="214" t="str">
        <f t="shared" ref="AI269" si="3622">++IFERROR(AI268/AI255,"n/a")</f>
        <v>n/a</v>
      </c>
      <c r="AJ269" s="225" t="str">
        <f t="shared" ref="AJ269" si="3623">++IFERROR(AJ268/AJ255,"n/a")</f>
        <v>n/a</v>
      </c>
      <c r="AK269" s="225" t="str">
        <f t="shared" ref="AK269" si="3624">++IFERROR(AK268/AK255,"n/a")</f>
        <v>n/a</v>
      </c>
      <c r="AL269" s="225" t="str">
        <f t="shared" ref="AL269" si="3625">++IFERROR(AL268/AL255,"n/a")</f>
        <v>n/a</v>
      </c>
      <c r="AM269" s="225" t="str">
        <f t="shared" ref="AM269" si="3626">++IFERROR(AM268/AM255,"n/a")</f>
        <v>n/a</v>
      </c>
      <c r="AN269" s="225" t="str">
        <f t="shared" ref="AN269" si="3627">++IFERROR(AN268/AN255,"n/a")</f>
        <v>n/a</v>
      </c>
      <c r="AO269" s="225" t="str">
        <f t="shared" ref="AO269" si="3628">++IFERROR(AO268/AO255,"n/a")</f>
        <v>n/a</v>
      </c>
      <c r="AP269" s="225" t="str">
        <f t="shared" ref="AP269" si="3629">++IFERROR(AP268/AP255,"n/a")</f>
        <v>n/a</v>
      </c>
      <c r="AQ269" s="225" t="str">
        <f t="shared" ref="AQ269" si="3630">++IFERROR(AQ268/AQ255,"n/a")</f>
        <v>n/a</v>
      </c>
      <c r="AR269" s="225" t="str">
        <f t="shared" ref="AR269" si="3631">++IFERROR(AR268/AR255,"n/a")</f>
        <v>n/a</v>
      </c>
      <c r="AS269" s="225" t="str">
        <f t="shared" ref="AS269" si="3632">++IFERROR(AS268/AS255,"n/a")</f>
        <v>n/a</v>
      </c>
      <c r="AT269" s="225" t="str">
        <f t="shared" ref="AT269" si="3633">++IFERROR(AT268/AT255,"n/a")</f>
        <v>n/a</v>
      </c>
      <c r="AU269" s="214" t="str">
        <f t="shared" ref="AU269" si="3634">++IFERROR(AU268/AU255,"n/a")</f>
        <v>n/a</v>
      </c>
      <c r="AV269" s="225" t="str">
        <f t="shared" ref="AV269" si="3635">++IFERROR(AV268/AV255,"n/a")</f>
        <v>n/a</v>
      </c>
      <c r="AW269" s="225" t="str">
        <f t="shared" ref="AW269" si="3636">++IFERROR(AW268/AW255,"n/a")</f>
        <v>n/a</v>
      </c>
      <c r="AX269" s="225" t="str">
        <f t="shared" ref="AX269" si="3637">++IFERROR(AX268/AX255,"n/a")</f>
        <v>n/a</v>
      </c>
      <c r="AY269" s="225" t="str">
        <f t="shared" ref="AY269" si="3638">++IFERROR(AY268/AY255,"n/a")</f>
        <v>n/a</v>
      </c>
      <c r="AZ269" s="225" t="str">
        <f t="shared" ref="AZ269" si="3639">++IFERROR(AZ268/AZ255,"n/a")</f>
        <v>n/a</v>
      </c>
      <c r="BA269" s="225" t="str">
        <f t="shared" ref="BA269" si="3640">++IFERROR(BA268/BA255,"n/a")</f>
        <v>n/a</v>
      </c>
      <c r="BB269" s="225" t="str">
        <f t="shared" ref="BB269" si="3641">++IFERROR(BB268/BB255,"n/a")</f>
        <v>n/a</v>
      </c>
      <c r="BC269" s="225" t="str">
        <f t="shared" ref="BC269" si="3642">++IFERROR(BC268/BC255,"n/a")</f>
        <v>n/a</v>
      </c>
      <c r="BD269" s="225" t="str">
        <f t="shared" ref="BD269" si="3643">++IFERROR(BD268/BD255,"n/a")</f>
        <v>n/a</v>
      </c>
      <c r="BE269" s="225" t="str">
        <f t="shared" ref="BE269" si="3644">++IFERROR(BE268/BE255,"n/a")</f>
        <v>n/a</v>
      </c>
      <c r="BF269" s="225" t="str">
        <f t="shared" ref="BF269" si="3645">++IFERROR(BF268/BF255,"n/a")</f>
        <v>n/a</v>
      </c>
      <c r="BG269" s="214" t="str">
        <f t="shared" ref="BG269" si="3646">++IFERROR(BG268/BG255,"n/a")</f>
        <v>n/a</v>
      </c>
      <c r="BH269" s="225" t="str">
        <f t="shared" ref="BH269" si="3647">++IFERROR(BH268/BH255,"n/a")</f>
        <v>n/a</v>
      </c>
      <c r="BI269" s="225" t="str">
        <f t="shared" ref="BI269" si="3648">++IFERROR(BI268/BI255,"n/a")</f>
        <v>n/a</v>
      </c>
      <c r="BJ269" s="225" t="str">
        <f t="shared" ref="BJ269" si="3649">++IFERROR(BJ268/BJ255,"n/a")</f>
        <v>n/a</v>
      </c>
      <c r="BK269" s="225" t="str">
        <f t="shared" ref="BK269" si="3650">++IFERROR(BK268/BK255,"n/a")</f>
        <v>n/a</v>
      </c>
      <c r="BL269" s="225" t="str">
        <f t="shared" ref="BL269" si="3651">++IFERROR(BL268/BL255,"n/a")</f>
        <v>n/a</v>
      </c>
      <c r="BM269" s="225" t="str">
        <f t="shared" ref="BM269" si="3652">++IFERROR(BM268/BM255,"n/a")</f>
        <v>n/a</v>
      </c>
      <c r="BN269" s="225" t="str">
        <f t="shared" ref="BN269" si="3653">++IFERROR(BN268/BN255,"n/a")</f>
        <v>n/a</v>
      </c>
      <c r="BO269" s="225" t="str">
        <f t="shared" ref="BO269" si="3654">++IFERROR(BO268/BO255,"n/a")</f>
        <v>n/a</v>
      </c>
      <c r="BP269" s="225" t="str">
        <f t="shared" ref="BP269" si="3655">++IFERROR(BP268/BP255,"n/a")</f>
        <v>n/a</v>
      </c>
      <c r="BQ269" s="225" t="str">
        <f t="shared" ref="BQ269" si="3656">++IFERROR(BQ268/BQ255,"n/a")</f>
        <v>n/a</v>
      </c>
      <c r="BR269" s="225" t="str">
        <f t="shared" ref="BR269" si="3657">++IFERROR(BR268/BR255,"n/a")</f>
        <v>n/a</v>
      </c>
      <c r="BS269" s="214" t="str">
        <f t="shared" ref="BS269" si="3658">++IFERROR(BS268/BS255,"n/a")</f>
        <v>n/a</v>
      </c>
      <c r="BT269" s="225" t="str">
        <f t="shared" ref="BT269" si="3659">++IFERROR(BT268/BT255,"n/a")</f>
        <v>n/a</v>
      </c>
      <c r="BU269" s="225" t="str">
        <f t="shared" ref="BU269" si="3660">++IFERROR(BU268/BU255,"n/a")</f>
        <v>n/a</v>
      </c>
      <c r="BV269" s="225" t="str">
        <f t="shared" ref="BV269" si="3661">++IFERROR(BV268/BV255,"n/a")</f>
        <v>n/a</v>
      </c>
      <c r="BW269" s="225" t="str">
        <f t="shared" ref="BW269" si="3662">++IFERROR(BW268/BW255,"n/a")</f>
        <v>n/a</v>
      </c>
      <c r="BX269" s="225" t="str">
        <f t="shared" ref="BX269" si="3663">++IFERROR(BX268/BX255,"n/a")</f>
        <v>n/a</v>
      </c>
      <c r="BY269" s="225" t="str">
        <f t="shared" ref="BY269" si="3664">++IFERROR(BY268/BY255,"n/a")</f>
        <v>n/a</v>
      </c>
      <c r="BZ269" s="225" t="str">
        <f t="shared" ref="BZ269" si="3665">++IFERROR(BZ268/BZ255,"n/a")</f>
        <v>n/a</v>
      </c>
      <c r="CA269" s="225" t="str">
        <f t="shared" ref="CA269" si="3666">++IFERROR(CA268/CA255,"n/a")</f>
        <v>n/a</v>
      </c>
      <c r="CB269" s="225" t="str">
        <f t="shared" ref="CB269" si="3667">++IFERROR(CB268/CB255,"n/a")</f>
        <v>n/a</v>
      </c>
      <c r="CC269" s="225" t="str">
        <f t="shared" ref="CC269" si="3668">++IFERROR(CC268/CC255,"n/a")</f>
        <v>n/a</v>
      </c>
      <c r="CD269" s="225" t="str">
        <f t="shared" ref="CD269" si="3669">++IFERROR(CD268/CD255,"n/a")</f>
        <v>n/a</v>
      </c>
      <c r="CE269" s="214" t="str">
        <f t="shared" ref="CE269" si="3670">++IFERROR(CE268/CE255,"n/a")</f>
        <v>n/a</v>
      </c>
      <c r="CF269" s="225" t="str">
        <f t="shared" ref="CF269" si="3671">++IFERROR(CF268/CF255,"n/a")</f>
        <v>n/a</v>
      </c>
      <c r="CG269" s="225" t="str">
        <f t="shared" ref="CG269" si="3672">++IFERROR(CG268/CG255,"n/a")</f>
        <v>n/a</v>
      </c>
      <c r="CH269" s="225" t="str">
        <f t="shared" ref="CH269" si="3673">++IFERROR(CH268/CH255,"n/a")</f>
        <v>n/a</v>
      </c>
      <c r="CI269" s="225" t="str">
        <f t="shared" ref="CI269" si="3674">++IFERROR(CI268/CI255,"n/a")</f>
        <v>n/a</v>
      </c>
      <c r="CJ269" s="225" t="str">
        <f t="shared" ref="CJ269" si="3675">++IFERROR(CJ268/CJ255,"n/a")</f>
        <v>n/a</v>
      </c>
      <c r="CK269" s="225" t="str">
        <f t="shared" ref="CK269" si="3676">++IFERROR(CK268/CK255,"n/a")</f>
        <v>n/a</v>
      </c>
      <c r="CL269" s="225" t="str">
        <f t="shared" ref="CL269" si="3677">++IFERROR(CL268/CL255,"n/a")</f>
        <v>n/a</v>
      </c>
      <c r="CM269" s="225" t="str">
        <f t="shared" ref="CM269" si="3678">++IFERROR(CM268/CM255,"n/a")</f>
        <v>n/a</v>
      </c>
      <c r="CN269" s="225" t="str">
        <f t="shared" ref="CN269" si="3679">++IFERROR(CN268/CN255,"n/a")</f>
        <v>n/a</v>
      </c>
      <c r="CO269" s="225" t="str">
        <f t="shared" ref="CO269" si="3680">++IFERROR(CO268/CO255,"n/a")</f>
        <v>n/a</v>
      </c>
      <c r="CP269" s="225" t="str">
        <f t="shared" ref="CP269" si="3681">++IFERROR(CP268/CP255,"n/a")</f>
        <v>n/a</v>
      </c>
      <c r="CQ269" s="214" t="str">
        <f t="shared" ref="CQ269" si="3682">++IFERROR(CQ268/CQ255,"n/a")</f>
        <v>n/a</v>
      </c>
      <c r="CR269" s="225" t="str">
        <f t="shared" ref="CR269" si="3683">++IFERROR(CR268/CR255,"n/a")</f>
        <v>n/a</v>
      </c>
      <c r="CS269" s="225" t="str">
        <f t="shared" ref="CS269" si="3684">++IFERROR(CS268/CS255,"n/a")</f>
        <v>n/a</v>
      </c>
      <c r="CT269" s="225" t="str">
        <f t="shared" ref="CT269" si="3685">++IFERROR(CT268/CT255,"n/a")</f>
        <v>n/a</v>
      </c>
      <c r="CU269" s="225" t="str">
        <f t="shared" ref="CU269" si="3686">++IFERROR(CU268/CU255,"n/a")</f>
        <v>n/a</v>
      </c>
      <c r="CV269" s="225" t="str">
        <f t="shared" ref="CV269" si="3687">++IFERROR(CV268/CV255,"n/a")</f>
        <v>n/a</v>
      </c>
      <c r="CW269" s="225" t="str">
        <f t="shared" ref="CW269" si="3688">++IFERROR(CW268/CW255,"n/a")</f>
        <v>n/a</v>
      </c>
      <c r="CX269" s="225" t="str">
        <f t="shared" ref="CX269" si="3689">++IFERROR(CX268/CX255,"n/a")</f>
        <v>n/a</v>
      </c>
      <c r="CY269" s="225" t="str">
        <f t="shared" ref="CY269" si="3690">++IFERROR(CY268/CY255,"n/a")</f>
        <v>n/a</v>
      </c>
      <c r="CZ269" s="225" t="str">
        <f t="shared" ref="CZ269" si="3691">++IFERROR(CZ268/CZ255,"n/a")</f>
        <v>n/a</v>
      </c>
      <c r="DA269" s="225" t="str">
        <f t="shared" ref="DA269" si="3692">++IFERROR(DA268/DA255,"n/a")</f>
        <v>n/a</v>
      </c>
      <c r="DB269" s="225" t="str">
        <f t="shared" ref="DB269" si="3693">++IFERROR(DB268/DB255,"n/a")</f>
        <v>n/a</v>
      </c>
      <c r="DC269" s="214" t="str">
        <f t="shared" ref="DC269" si="3694">++IFERROR(DC268/DC255,"n/a")</f>
        <v>n/a</v>
      </c>
    </row>
    <row r="270" spans="3:107" x14ac:dyDescent="0.3">
      <c r="C270" s="321" t="str">
        <f>++C$25</f>
        <v>% y/y</v>
      </c>
      <c r="G270" s="122" t="s">
        <v>47</v>
      </c>
      <c r="H270" s="122" t="s">
        <v>47</v>
      </c>
      <c r="I270" s="122" t="s">
        <v>47</v>
      </c>
      <c r="J270" s="122" t="s">
        <v>47</v>
      </c>
      <c r="K270" s="214" t="str">
        <f>++IFERROR(K268/G268-1,"n/a")</f>
        <v>n/a</v>
      </c>
      <c r="L270" s="122" t="s">
        <v>47</v>
      </c>
      <c r="M270" s="122" t="s">
        <v>47</v>
      </c>
      <c r="N270" s="225" t="str">
        <f>++IFERROR(N268/H268-1,"n/a")</f>
        <v>n/a</v>
      </c>
      <c r="O270" s="122" t="s">
        <v>47</v>
      </c>
      <c r="P270" s="122" t="s">
        <v>47</v>
      </c>
      <c r="Q270" s="225" t="str">
        <f>++IFERROR(Q268/I268-1,"n/a")</f>
        <v>n/a</v>
      </c>
      <c r="R270" s="122" t="s">
        <v>47</v>
      </c>
      <c r="S270" s="122" t="s">
        <v>47</v>
      </c>
      <c r="T270" s="225" t="str">
        <f>++IFERROR(T268/J268-1,"n/a")</f>
        <v>n/a</v>
      </c>
      <c r="U270" s="122" t="s">
        <v>47</v>
      </c>
      <c r="V270" s="122" t="s">
        <v>47</v>
      </c>
      <c r="W270" s="214" t="str">
        <f t="shared" ref="W270:BB270" si="3695">++IFERROR(W268/K268-1,"n/a")</f>
        <v>n/a</v>
      </c>
      <c r="X270" s="225" t="str">
        <f t="shared" si="3695"/>
        <v>n/a</v>
      </c>
      <c r="Y270" s="225" t="str">
        <f t="shared" si="3695"/>
        <v>n/a</v>
      </c>
      <c r="Z270" s="225" t="str">
        <f t="shared" si="3695"/>
        <v>n/a</v>
      </c>
      <c r="AA270" s="225" t="str">
        <f t="shared" si="3695"/>
        <v>n/a</v>
      </c>
      <c r="AB270" s="225" t="str">
        <f t="shared" si="3695"/>
        <v>n/a</v>
      </c>
      <c r="AC270" s="225" t="str">
        <f t="shared" si="3695"/>
        <v>n/a</v>
      </c>
      <c r="AD270" s="225" t="str">
        <f t="shared" si="3695"/>
        <v>n/a</v>
      </c>
      <c r="AE270" s="225" t="str">
        <f t="shared" si="3695"/>
        <v>n/a</v>
      </c>
      <c r="AF270" s="225" t="str">
        <f t="shared" si="3695"/>
        <v>n/a</v>
      </c>
      <c r="AG270" s="225" t="str">
        <f t="shared" si="3695"/>
        <v>n/a</v>
      </c>
      <c r="AH270" s="225" t="str">
        <f t="shared" si="3695"/>
        <v>n/a</v>
      </c>
      <c r="AI270" s="214" t="str">
        <f t="shared" si="3695"/>
        <v>n/a</v>
      </c>
      <c r="AJ270" s="225" t="str">
        <f t="shared" si="3695"/>
        <v>n/a</v>
      </c>
      <c r="AK270" s="225" t="str">
        <f t="shared" si="3695"/>
        <v>n/a</v>
      </c>
      <c r="AL270" s="225" t="str">
        <f t="shared" si="3695"/>
        <v>n/a</v>
      </c>
      <c r="AM270" s="225" t="str">
        <f t="shared" si="3695"/>
        <v>n/a</v>
      </c>
      <c r="AN270" s="225" t="str">
        <f t="shared" si="3695"/>
        <v>n/a</v>
      </c>
      <c r="AO270" s="225" t="str">
        <f t="shared" si="3695"/>
        <v>n/a</v>
      </c>
      <c r="AP270" s="225" t="str">
        <f t="shared" si="3695"/>
        <v>n/a</v>
      </c>
      <c r="AQ270" s="225" t="str">
        <f t="shared" si="3695"/>
        <v>n/a</v>
      </c>
      <c r="AR270" s="225" t="str">
        <f t="shared" si="3695"/>
        <v>n/a</v>
      </c>
      <c r="AS270" s="225" t="str">
        <f t="shared" si="3695"/>
        <v>n/a</v>
      </c>
      <c r="AT270" s="225" t="str">
        <f t="shared" si="3695"/>
        <v>n/a</v>
      </c>
      <c r="AU270" s="214" t="str">
        <f t="shared" si="3695"/>
        <v>n/a</v>
      </c>
      <c r="AV270" s="225" t="str">
        <f t="shared" si="3695"/>
        <v>n/a</v>
      </c>
      <c r="AW270" s="225" t="str">
        <f t="shared" si="3695"/>
        <v>n/a</v>
      </c>
      <c r="AX270" s="225" t="str">
        <f t="shared" si="3695"/>
        <v>n/a</v>
      </c>
      <c r="AY270" s="225" t="str">
        <f t="shared" si="3695"/>
        <v>n/a</v>
      </c>
      <c r="AZ270" s="225" t="str">
        <f t="shared" si="3695"/>
        <v>n/a</v>
      </c>
      <c r="BA270" s="225" t="str">
        <f t="shared" si="3695"/>
        <v>n/a</v>
      </c>
      <c r="BB270" s="225" t="str">
        <f t="shared" si="3695"/>
        <v>n/a</v>
      </c>
      <c r="BC270" s="225" t="str">
        <f t="shared" ref="BC270:CH270" si="3696">++IFERROR(BC268/AQ268-1,"n/a")</f>
        <v>n/a</v>
      </c>
      <c r="BD270" s="225" t="str">
        <f t="shared" si="3696"/>
        <v>n/a</v>
      </c>
      <c r="BE270" s="225" t="str">
        <f t="shared" si="3696"/>
        <v>n/a</v>
      </c>
      <c r="BF270" s="225" t="str">
        <f t="shared" si="3696"/>
        <v>n/a</v>
      </c>
      <c r="BG270" s="214" t="str">
        <f t="shared" si="3696"/>
        <v>n/a</v>
      </c>
      <c r="BH270" s="225" t="str">
        <f t="shared" si="3696"/>
        <v>n/a</v>
      </c>
      <c r="BI270" s="225" t="str">
        <f t="shared" si="3696"/>
        <v>n/a</v>
      </c>
      <c r="BJ270" s="225" t="str">
        <f t="shared" si="3696"/>
        <v>n/a</v>
      </c>
      <c r="BK270" s="225" t="str">
        <f t="shared" si="3696"/>
        <v>n/a</v>
      </c>
      <c r="BL270" s="225" t="str">
        <f t="shared" si="3696"/>
        <v>n/a</v>
      </c>
      <c r="BM270" s="225" t="str">
        <f t="shared" si="3696"/>
        <v>n/a</v>
      </c>
      <c r="BN270" s="225" t="str">
        <f t="shared" si="3696"/>
        <v>n/a</v>
      </c>
      <c r="BO270" s="225" t="str">
        <f t="shared" si="3696"/>
        <v>n/a</v>
      </c>
      <c r="BP270" s="225" t="str">
        <f t="shared" si="3696"/>
        <v>n/a</v>
      </c>
      <c r="BQ270" s="225" t="str">
        <f t="shared" si="3696"/>
        <v>n/a</v>
      </c>
      <c r="BR270" s="225" t="str">
        <f t="shared" si="3696"/>
        <v>n/a</v>
      </c>
      <c r="BS270" s="214" t="str">
        <f t="shared" si="3696"/>
        <v>n/a</v>
      </c>
      <c r="BT270" s="225" t="str">
        <f t="shared" si="3696"/>
        <v>n/a</v>
      </c>
      <c r="BU270" s="225" t="str">
        <f t="shared" si="3696"/>
        <v>n/a</v>
      </c>
      <c r="BV270" s="225" t="str">
        <f t="shared" si="3696"/>
        <v>n/a</v>
      </c>
      <c r="BW270" s="225" t="str">
        <f t="shared" si="3696"/>
        <v>n/a</v>
      </c>
      <c r="BX270" s="225" t="str">
        <f t="shared" si="3696"/>
        <v>n/a</v>
      </c>
      <c r="BY270" s="225" t="str">
        <f t="shared" si="3696"/>
        <v>n/a</v>
      </c>
      <c r="BZ270" s="225" t="str">
        <f t="shared" si="3696"/>
        <v>n/a</v>
      </c>
      <c r="CA270" s="225" t="str">
        <f t="shared" si="3696"/>
        <v>n/a</v>
      </c>
      <c r="CB270" s="225" t="str">
        <f t="shared" si="3696"/>
        <v>n/a</v>
      </c>
      <c r="CC270" s="225" t="str">
        <f t="shared" si="3696"/>
        <v>n/a</v>
      </c>
      <c r="CD270" s="225" t="str">
        <f t="shared" si="3696"/>
        <v>n/a</v>
      </c>
      <c r="CE270" s="214" t="str">
        <f t="shared" si="3696"/>
        <v>n/a</v>
      </c>
      <c r="CF270" s="225" t="str">
        <f t="shared" si="3696"/>
        <v>n/a</v>
      </c>
      <c r="CG270" s="225" t="str">
        <f t="shared" si="3696"/>
        <v>n/a</v>
      </c>
      <c r="CH270" s="225" t="str">
        <f t="shared" si="3696"/>
        <v>n/a</v>
      </c>
      <c r="CI270" s="225" t="str">
        <f t="shared" ref="CI270:DN270" si="3697">++IFERROR(CI268/BW268-1,"n/a")</f>
        <v>n/a</v>
      </c>
      <c r="CJ270" s="225" t="str">
        <f t="shared" si="3697"/>
        <v>n/a</v>
      </c>
      <c r="CK270" s="225" t="str">
        <f t="shared" si="3697"/>
        <v>n/a</v>
      </c>
      <c r="CL270" s="225" t="str">
        <f t="shared" si="3697"/>
        <v>n/a</v>
      </c>
      <c r="CM270" s="225" t="str">
        <f t="shared" si="3697"/>
        <v>n/a</v>
      </c>
      <c r="CN270" s="225" t="str">
        <f t="shared" si="3697"/>
        <v>n/a</v>
      </c>
      <c r="CO270" s="225" t="str">
        <f t="shared" si="3697"/>
        <v>n/a</v>
      </c>
      <c r="CP270" s="225" t="str">
        <f t="shared" si="3697"/>
        <v>n/a</v>
      </c>
      <c r="CQ270" s="214" t="str">
        <f t="shared" si="3697"/>
        <v>n/a</v>
      </c>
      <c r="CR270" s="225" t="str">
        <f t="shared" si="3697"/>
        <v>n/a</v>
      </c>
      <c r="CS270" s="225" t="str">
        <f t="shared" si="3697"/>
        <v>n/a</v>
      </c>
      <c r="CT270" s="225" t="str">
        <f t="shared" si="3697"/>
        <v>n/a</v>
      </c>
      <c r="CU270" s="225" t="str">
        <f t="shared" si="3697"/>
        <v>n/a</v>
      </c>
      <c r="CV270" s="225" t="str">
        <f t="shared" si="3697"/>
        <v>n/a</v>
      </c>
      <c r="CW270" s="225" t="str">
        <f t="shared" si="3697"/>
        <v>n/a</v>
      </c>
      <c r="CX270" s="225" t="str">
        <f t="shared" si="3697"/>
        <v>n/a</v>
      </c>
      <c r="CY270" s="225" t="str">
        <f t="shared" si="3697"/>
        <v>n/a</v>
      </c>
      <c r="CZ270" s="225" t="str">
        <f t="shared" si="3697"/>
        <v>n/a</v>
      </c>
      <c r="DA270" s="225" t="str">
        <f t="shared" si="3697"/>
        <v>n/a</v>
      </c>
      <c r="DB270" s="225" t="str">
        <f t="shared" si="3697"/>
        <v>n/a</v>
      </c>
      <c r="DC270" s="214" t="str">
        <f t="shared" si="3697"/>
        <v>n/a</v>
      </c>
    </row>
    <row r="271" spans="3:107" x14ac:dyDescent="0.3">
      <c r="G271" s="203"/>
      <c r="K271" s="203"/>
      <c r="W271" s="203"/>
      <c r="AI271" s="203"/>
      <c r="AU271" s="203"/>
      <c r="BG271" s="203"/>
      <c r="BS271" s="203"/>
      <c r="CE271" s="203"/>
      <c r="CQ271" s="203"/>
      <c r="DC271" s="203"/>
    </row>
    <row r="272" spans="3:107" x14ac:dyDescent="0.3">
      <c r="C272" s="101" t="str">
        <f>++C$27</f>
        <v>Interest Expense (Income)</v>
      </c>
      <c r="G272" s="45">
        <f>++G125</f>
        <v>0</v>
      </c>
      <c r="H272" s="45">
        <f t="shared" ref="H272:BS272" si="3698">++H125</f>
        <v>0</v>
      </c>
      <c r="I272" s="45">
        <f t="shared" si="3698"/>
        <v>0</v>
      </c>
      <c r="J272" s="45">
        <f t="shared" si="3698"/>
        <v>0</v>
      </c>
      <c r="K272" s="45">
        <f t="shared" si="3698"/>
        <v>0</v>
      </c>
      <c r="L272" s="45">
        <f t="shared" si="3698"/>
        <v>0</v>
      </c>
      <c r="M272" s="45">
        <f t="shared" si="3698"/>
        <v>0</v>
      </c>
      <c r="N272" s="45">
        <f t="shared" si="3698"/>
        <v>0</v>
      </c>
      <c r="O272" s="45">
        <f t="shared" si="3698"/>
        <v>0</v>
      </c>
      <c r="P272" s="45">
        <f t="shared" si="3698"/>
        <v>0</v>
      </c>
      <c r="Q272" s="45">
        <f t="shared" si="3698"/>
        <v>0</v>
      </c>
      <c r="R272" s="45">
        <f t="shared" si="3698"/>
        <v>0</v>
      </c>
      <c r="S272" s="45">
        <f t="shared" si="3698"/>
        <v>0</v>
      </c>
      <c r="T272" s="45">
        <f t="shared" si="3698"/>
        <v>0</v>
      </c>
      <c r="U272" s="45">
        <f t="shared" si="3698"/>
        <v>0</v>
      </c>
      <c r="V272" s="45">
        <f t="shared" si="3698"/>
        <v>0</v>
      </c>
      <c r="W272" s="45">
        <f t="shared" si="3698"/>
        <v>0</v>
      </c>
      <c r="X272" s="45">
        <f t="shared" si="3698"/>
        <v>0</v>
      </c>
      <c r="Y272" s="45">
        <f t="shared" si="3698"/>
        <v>0</v>
      </c>
      <c r="Z272" s="45">
        <f t="shared" si="3698"/>
        <v>0</v>
      </c>
      <c r="AA272" s="45">
        <f t="shared" si="3698"/>
        <v>0</v>
      </c>
      <c r="AB272" s="45">
        <f t="shared" si="3698"/>
        <v>0</v>
      </c>
      <c r="AC272" s="45">
        <f t="shared" si="3698"/>
        <v>0</v>
      </c>
      <c r="AD272" s="45">
        <f t="shared" si="3698"/>
        <v>0</v>
      </c>
      <c r="AE272" s="45">
        <f t="shared" si="3698"/>
        <v>0</v>
      </c>
      <c r="AF272" s="45">
        <f t="shared" si="3698"/>
        <v>0</v>
      </c>
      <c r="AG272" s="45">
        <f t="shared" si="3698"/>
        <v>0</v>
      </c>
      <c r="AH272" s="45">
        <f t="shared" si="3698"/>
        <v>0</v>
      </c>
      <c r="AI272" s="45">
        <f t="shared" si="3698"/>
        <v>0</v>
      </c>
      <c r="AJ272" s="45">
        <f t="shared" si="3698"/>
        <v>0</v>
      </c>
      <c r="AK272" s="45">
        <f t="shared" si="3698"/>
        <v>0</v>
      </c>
      <c r="AL272" s="45">
        <f t="shared" si="3698"/>
        <v>0</v>
      </c>
      <c r="AM272" s="45">
        <f t="shared" si="3698"/>
        <v>0</v>
      </c>
      <c r="AN272" s="45">
        <f t="shared" si="3698"/>
        <v>0</v>
      </c>
      <c r="AO272" s="45">
        <f t="shared" si="3698"/>
        <v>0</v>
      </c>
      <c r="AP272" s="45">
        <f t="shared" si="3698"/>
        <v>0</v>
      </c>
      <c r="AQ272" s="45">
        <f t="shared" si="3698"/>
        <v>0</v>
      </c>
      <c r="AR272" s="45">
        <f t="shared" si="3698"/>
        <v>0</v>
      </c>
      <c r="AS272" s="45">
        <f t="shared" si="3698"/>
        <v>0</v>
      </c>
      <c r="AT272" s="45">
        <f t="shared" si="3698"/>
        <v>0</v>
      </c>
      <c r="AU272" s="45">
        <f t="shared" si="3698"/>
        <v>0</v>
      </c>
      <c r="AV272" s="45">
        <f t="shared" si="3698"/>
        <v>0</v>
      </c>
      <c r="AW272" s="45">
        <f t="shared" si="3698"/>
        <v>0</v>
      </c>
      <c r="AX272" s="45">
        <f t="shared" si="3698"/>
        <v>0</v>
      </c>
      <c r="AY272" s="45">
        <f t="shared" si="3698"/>
        <v>0</v>
      </c>
      <c r="AZ272" s="45">
        <f t="shared" si="3698"/>
        <v>0</v>
      </c>
      <c r="BA272" s="45">
        <f t="shared" si="3698"/>
        <v>0</v>
      </c>
      <c r="BB272" s="45">
        <f t="shared" si="3698"/>
        <v>0</v>
      </c>
      <c r="BC272" s="45">
        <f t="shared" si="3698"/>
        <v>0</v>
      </c>
      <c r="BD272" s="45">
        <f t="shared" si="3698"/>
        <v>0</v>
      </c>
      <c r="BE272" s="45">
        <f t="shared" si="3698"/>
        <v>0</v>
      </c>
      <c r="BF272" s="45">
        <f t="shared" si="3698"/>
        <v>0</v>
      </c>
      <c r="BG272" s="45">
        <f t="shared" si="3698"/>
        <v>0</v>
      </c>
      <c r="BH272" s="45">
        <f t="shared" si="3698"/>
        <v>0</v>
      </c>
      <c r="BI272" s="45">
        <f t="shared" si="3698"/>
        <v>0</v>
      </c>
      <c r="BJ272" s="45">
        <f t="shared" si="3698"/>
        <v>0</v>
      </c>
      <c r="BK272" s="45">
        <f t="shared" si="3698"/>
        <v>0</v>
      </c>
      <c r="BL272" s="45">
        <f t="shared" si="3698"/>
        <v>0</v>
      </c>
      <c r="BM272" s="45">
        <f t="shared" si="3698"/>
        <v>0</v>
      </c>
      <c r="BN272" s="45">
        <f t="shared" si="3698"/>
        <v>0</v>
      </c>
      <c r="BO272" s="45">
        <f t="shared" si="3698"/>
        <v>0</v>
      </c>
      <c r="BP272" s="45">
        <f t="shared" si="3698"/>
        <v>0</v>
      </c>
      <c r="BQ272" s="45">
        <f t="shared" si="3698"/>
        <v>0</v>
      </c>
      <c r="BR272" s="45">
        <f t="shared" si="3698"/>
        <v>0</v>
      </c>
      <c r="BS272" s="45">
        <f t="shared" si="3698"/>
        <v>0</v>
      </c>
      <c r="BT272" s="45">
        <f t="shared" ref="BT272:DC272" si="3699">++BT125</f>
        <v>0</v>
      </c>
      <c r="BU272" s="45">
        <f t="shared" si="3699"/>
        <v>0</v>
      </c>
      <c r="BV272" s="45">
        <f t="shared" si="3699"/>
        <v>0</v>
      </c>
      <c r="BW272" s="45">
        <f t="shared" si="3699"/>
        <v>0</v>
      </c>
      <c r="BX272" s="45">
        <f t="shared" si="3699"/>
        <v>0</v>
      </c>
      <c r="BY272" s="45">
        <f t="shared" si="3699"/>
        <v>0</v>
      </c>
      <c r="BZ272" s="45">
        <f t="shared" si="3699"/>
        <v>0</v>
      </c>
      <c r="CA272" s="45">
        <f t="shared" si="3699"/>
        <v>0</v>
      </c>
      <c r="CB272" s="45">
        <f t="shared" si="3699"/>
        <v>0</v>
      </c>
      <c r="CC272" s="45">
        <f t="shared" si="3699"/>
        <v>0</v>
      </c>
      <c r="CD272" s="45">
        <f t="shared" si="3699"/>
        <v>0</v>
      </c>
      <c r="CE272" s="45">
        <f t="shared" si="3699"/>
        <v>0</v>
      </c>
      <c r="CF272" s="45">
        <f t="shared" si="3699"/>
        <v>0</v>
      </c>
      <c r="CG272" s="45">
        <f t="shared" si="3699"/>
        <v>0</v>
      </c>
      <c r="CH272" s="45">
        <f t="shared" si="3699"/>
        <v>0</v>
      </c>
      <c r="CI272" s="45">
        <f t="shared" si="3699"/>
        <v>0</v>
      </c>
      <c r="CJ272" s="45">
        <f t="shared" si="3699"/>
        <v>0</v>
      </c>
      <c r="CK272" s="45">
        <f t="shared" si="3699"/>
        <v>0</v>
      </c>
      <c r="CL272" s="45">
        <f t="shared" si="3699"/>
        <v>0</v>
      </c>
      <c r="CM272" s="45">
        <f t="shared" si="3699"/>
        <v>0</v>
      </c>
      <c r="CN272" s="45">
        <f t="shared" si="3699"/>
        <v>0</v>
      </c>
      <c r="CO272" s="45">
        <f t="shared" si="3699"/>
        <v>0</v>
      </c>
      <c r="CP272" s="45">
        <f t="shared" si="3699"/>
        <v>0</v>
      </c>
      <c r="CQ272" s="45">
        <f t="shared" si="3699"/>
        <v>0</v>
      </c>
      <c r="CR272" s="45">
        <f t="shared" si="3699"/>
        <v>0</v>
      </c>
      <c r="CS272" s="45">
        <f t="shared" si="3699"/>
        <v>0</v>
      </c>
      <c r="CT272" s="45">
        <f t="shared" si="3699"/>
        <v>0</v>
      </c>
      <c r="CU272" s="45">
        <f t="shared" si="3699"/>
        <v>0</v>
      </c>
      <c r="CV272" s="45">
        <f t="shared" si="3699"/>
        <v>0</v>
      </c>
      <c r="CW272" s="45">
        <f t="shared" si="3699"/>
        <v>0</v>
      </c>
      <c r="CX272" s="45">
        <f t="shared" si="3699"/>
        <v>0</v>
      </c>
      <c r="CY272" s="45">
        <f t="shared" si="3699"/>
        <v>0</v>
      </c>
      <c r="CZ272" s="45">
        <f t="shared" si="3699"/>
        <v>0</v>
      </c>
      <c r="DA272" s="45">
        <f t="shared" si="3699"/>
        <v>0</v>
      </c>
      <c r="DB272" s="45">
        <f t="shared" si="3699"/>
        <v>0</v>
      </c>
      <c r="DC272" s="45">
        <f t="shared" si="3699"/>
        <v>0</v>
      </c>
    </row>
    <row r="273" spans="3:107" x14ac:dyDescent="0.3">
      <c r="C273" s="101" t="str">
        <f>++C$28</f>
        <v>Other Expense (Income)</v>
      </c>
      <c r="G273" s="45">
        <f>++G126</f>
        <v>0</v>
      </c>
      <c r="H273" s="45">
        <f t="shared" ref="H273:BS273" si="3700">++H126</f>
        <v>0</v>
      </c>
      <c r="I273" s="45">
        <f t="shared" si="3700"/>
        <v>0</v>
      </c>
      <c r="J273" s="45">
        <f t="shared" si="3700"/>
        <v>0</v>
      </c>
      <c r="K273" s="45">
        <f t="shared" si="3700"/>
        <v>0</v>
      </c>
      <c r="L273" s="45">
        <f t="shared" si="3700"/>
        <v>0</v>
      </c>
      <c r="M273" s="45">
        <f t="shared" si="3700"/>
        <v>0</v>
      </c>
      <c r="N273" s="45">
        <f t="shared" si="3700"/>
        <v>0</v>
      </c>
      <c r="O273" s="45">
        <f t="shared" si="3700"/>
        <v>0</v>
      </c>
      <c r="P273" s="45">
        <f t="shared" si="3700"/>
        <v>0</v>
      </c>
      <c r="Q273" s="45">
        <f t="shared" si="3700"/>
        <v>0</v>
      </c>
      <c r="R273" s="45">
        <f t="shared" si="3700"/>
        <v>0</v>
      </c>
      <c r="S273" s="45">
        <f t="shared" si="3700"/>
        <v>0</v>
      </c>
      <c r="T273" s="45">
        <f t="shared" si="3700"/>
        <v>0</v>
      </c>
      <c r="U273" s="45">
        <f t="shared" si="3700"/>
        <v>0</v>
      </c>
      <c r="V273" s="45">
        <f t="shared" si="3700"/>
        <v>0</v>
      </c>
      <c r="W273" s="45">
        <f t="shared" si="3700"/>
        <v>0</v>
      </c>
      <c r="X273" s="45">
        <f t="shared" si="3700"/>
        <v>0</v>
      </c>
      <c r="Y273" s="45">
        <f t="shared" si="3700"/>
        <v>0</v>
      </c>
      <c r="Z273" s="45">
        <f t="shared" si="3700"/>
        <v>0</v>
      </c>
      <c r="AA273" s="45">
        <f t="shared" si="3700"/>
        <v>0</v>
      </c>
      <c r="AB273" s="45">
        <f t="shared" si="3700"/>
        <v>0</v>
      </c>
      <c r="AC273" s="45">
        <f t="shared" si="3700"/>
        <v>0</v>
      </c>
      <c r="AD273" s="45">
        <f t="shared" si="3700"/>
        <v>0</v>
      </c>
      <c r="AE273" s="45">
        <f t="shared" si="3700"/>
        <v>0</v>
      </c>
      <c r="AF273" s="45">
        <f t="shared" si="3700"/>
        <v>0</v>
      </c>
      <c r="AG273" s="45">
        <f t="shared" si="3700"/>
        <v>0</v>
      </c>
      <c r="AH273" s="45">
        <f t="shared" si="3700"/>
        <v>0</v>
      </c>
      <c r="AI273" s="45">
        <f t="shared" si="3700"/>
        <v>0</v>
      </c>
      <c r="AJ273" s="45">
        <f t="shared" si="3700"/>
        <v>0</v>
      </c>
      <c r="AK273" s="45">
        <f t="shared" si="3700"/>
        <v>0</v>
      </c>
      <c r="AL273" s="45">
        <f t="shared" si="3700"/>
        <v>0</v>
      </c>
      <c r="AM273" s="45">
        <f t="shared" si="3700"/>
        <v>0</v>
      </c>
      <c r="AN273" s="45">
        <f t="shared" si="3700"/>
        <v>0</v>
      </c>
      <c r="AO273" s="45">
        <f t="shared" si="3700"/>
        <v>0</v>
      </c>
      <c r="AP273" s="45">
        <f t="shared" si="3700"/>
        <v>0</v>
      </c>
      <c r="AQ273" s="45">
        <f t="shared" si="3700"/>
        <v>0</v>
      </c>
      <c r="AR273" s="45">
        <f t="shared" si="3700"/>
        <v>0</v>
      </c>
      <c r="AS273" s="45">
        <f t="shared" si="3700"/>
        <v>0</v>
      </c>
      <c r="AT273" s="45">
        <f t="shared" si="3700"/>
        <v>0</v>
      </c>
      <c r="AU273" s="45">
        <f t="shared" si="3700"/>
        <v>0</v>
      </c>
      <c r="AV273" s="45">
        <f t="shared" si="3700"/>
        <v>0</v>
      </c>
      <c r="AW273" s="45">
        <f t="shared" si="3700"/>
        <v>0</v>
      </c>
      <c r="AX273" s="45">
        <f t="shared" si="3700"/>
        <v>0</v>
      </c>
      <c r="AY273" s="45">
        <f t="shared" si="3700"/>
        <v>0</v>
      </c>
      <c r="AZ273" s="45">
        <f t="shared" si="3700"/>
        <v>0</v>
      </c>
      <c r="BA273" s="45">
        <f t="shared" si="3700"/>
        <v>0</v>
      </c>
      <c r="BB273" s="45">
        <f t="shared" si="3700"/>
        <v>0</v>
      </c>
      <c r="BC273" s="45">
        <f t="shared" si="3700"/>
        <v>0</v>
      </c>
      <c r="BD273" s="45">
        <f t="shared" si="3700"/>
        <v>0</v>
      </c>
      <c r="BE273" s="45">
        <f t="shared" si="3700"/>
        <v>0</v>
      </c>
      <c r="BF273" s="45">
        <f t="shared" si="3700"/>
        <v>0</v>
      </c>
      <c r="BG273" s="45">
        <f t="shared" si="3700"/>
        <v>0</v>
      </c>
      <c r="BH273" s="45">
        <f t="shared" si="3700"/>
        <v>0</v>
      </c>
      <c r="BI273" s="45">
        <f t="shared" si="3700"/>
        <v>0</v>
      </c>
      <c r="BJ273" s="45">
        <f t="shared" si="3700"/>
        <v>0</v>
      </c>
      <c r="BK273" s="45">
        <f t="shared" si="3700"/>
        <v>0</v>
      </c>
      <c r="BL273" s="45">
        <f t="shared" si="3700"/>
        <v>0</v>
      </c>
      <c r="BM273" s="45">
        <f t="shared" si="3700"/>
        <v>0</v>
      </c>
      <c r="BN273" s="45">
        <f t="shared" si="3700"/>
        <v>0</v>
      </c>
      <c r="BO273" s="45">
        <f t="shared" si="3700"/>
        <v>0</v>
      </c>
      <c r="BP273" s="45">
        <f t="shared" si="3700"/>
        <v>0</v>
      </c>
      <c r="BQ273" s="45">
        <f t="shared" si="3700"/>
        <v>0</v>
      </c>
      <c r="BR273" s="45">
        <f t="shared" si="3700"/>
        <v>0</v>
      </c>
      <c r="BS273" s="45">
        <f t="shared" si="3700"/>
        <v>0</v>
      </c>
      <c r="BT273" s="45">
        <f t="shared" ref="BT273:DC273" si="3701">++BT126</f>
        <v>0</v>
      </c>
      <c r="BU273" s="45">
        <f t="shared" si="3701"/>
        <v>0</v>
      </c>
      <c r="BV273" s="45">
        <f t="shared" si="3701"/>
        <v>0</v>
      </c>
      <c r="BW273" s="45">
        <f t="shared" si="3701"/>
        <v>0</v>
      </c>
      <c r="BX273" s="45">
        <f t="shared" si="3701"/>
        <v>0</v>
      </c>
      <c r="BY273" s="45">
        <f t="shared" si="3701"/>
        <v>0</v>
      </c>
      <c r="BZ273" s="45">
        <f t="shared" si="3701"/>
        <v>0</v>
      </c>
      <c r="CA273" s="45">
        <f t="shared" si="3701"/>
        <v>0</v>
      </c>
      <c r="CB273" s="45">
        <f t="shared" si="3701"/>
        <v>0</v>
      </c>
      <c r="CC273" s="45">
        <f t="shared" si="3701"/>
        <v>0</v>
      </c>
      <c r="CD273" s="45">
        <f t="shared" si="3701"/>
        <v>0</v>
      </c>
      <c r="CE273" s="45">
        <f t="shared" si="3701"/>
        <v>0</v>
      </c>
      <c r="CF273" s="45">
        <f t="shared" si="3701"/>
        <v>0</v>
      </c>
      <c r="CG273" s="45">
        <f t="shared" si="3701"/>
        <v>0</v>
      </c>
      <c r="CH273" s="45">
        <f t="shared" si="3701"/>
        <v>0</v>
      </c>
      <c r="CI273" s="45">
        <f t="shared" si="3701"/>
        <v>0</v>
      </c>
      <c r="CJ273" s="45">
        <f t="shared" si="3701"/>
        <v>0</v>
      </c>
      <c r="CK273" s="45">
        <f t="shared" si="3701"/>
        <v>0</v>
      </c>
      <c r="CL273" s="45">
        <f t="shared" si="3701"/>
        <v>0</v>
      </c>
      <c r="CM273" s="45">
        <f t="shared" si="3701"/>
        <v>0</v>
      </c>
      <c r="CN273" s="45">
        <f t="shared" si="3701"/>
        <v>0</v>
      </c>
      <c r="CO273" s="45">
        <f t="shared" si="3701"/>
        <v>0</v>
      </c>
      <c r="CP273" s="45">
        <f t="shared" si="3701"/>
        <v>0</v>
      </c>
      <c r="CQ273" s="45">
        <f t="shared" si="3701"/>
        <v>0</v>
      </c>
      <c r="CR273" s="45">
        <f t="shared" si="3701"/>
        <v>0</v>
      </c>
      <c r="CS273" s="45">
        <f t="shared" si="3701"/>
        <v>0</v>
      </c>
      <c r="CT273" s="45">
        <f t="shared" si="3701"/>
        <v>0</v>
      </c>
      <c r="CU273" s="45">
        <f t="shared" si="3701"/>
        <v>0</v>
      </c>
      <c r="CV273" s="45">
        <f t="shared" si="3701"/>
        <v>0</v>
      </c>
      <c r="CW273" s="45">
        <f t="shared" si="3701"/>
        <v>0</v>
      </c>
      <c r="CX273" s="45">
        <f t="shared" si="3701"/>
        <v>0</v>
      </c>
      <c r="CY273" s="45">
        <f t="shared" si="3701"/>
        <v>0</v>
      </c>
      <c r="CZ273" s="45">
        <f t="shared" si="3701"/>
        <v>0</v>
      </c>
      <c r="DA273" s="45">
        <f t="shared" si="3701"/>
        <v>0</v>
      </c>
      <c r="DB273" s="45">
        <f t="shared" si="3701"/>
        <v>0</v>
      </c>
      <c r="DC273" s="45">
        <f t="shared" si="3701"/>
        <v>0</v>
      </c>
    </row>
    <row r="274" spans="3:107" x14ac:dyDescent="0.3">
      <c r="C274" s="231" t="str">
        <f>++C$29</f>
        <v>Pre-Tax Income (Loss)</v>
      </c>
      <c r="D274" s="191"/>
      <c r="E274" s="191"/>
      <c r="G274" s="239">
        <f>++SUM(G278,G281)</f>
        <v>0</v>
      </c>
      <c r="H274" s="232">
        <f t="shared" ref="H274:BS274" si="3702">++SUM(H278,H281)</f>
        <v>0</v>
      </c>
      <c r="I274" s="232">
        <f t="shared" si="3702"/>
        <v>0</v>
      </c>
      <c r="J274" s="232">
        <f t="shared" si="3702"/>
        <v>0</v>
      </c>
      <c r="K274" s="239">
        <f t="shared" si="3702"/>
        <v>0</v>
      </c>
      <c r="L274" s="232">
        <f t="shared" si="3702"/>
        <v>0</v>
      </c>
      <c r="M274" s="232">
        <f t="shared" si="3702"/>
        <v>0</v>
      </c>
      <c r="N274" s="232">
        <f t="shared" si="3702"/>
        <v>0</v>
      </c>
      <c r="O274" s="232">
        <f t="shared" si="3702"/>
        <v>0</v>
      </c>
      <c r="P274" s="232">
        <f t="shared" si="3702"/>
        <v>0</v>
      </c>
      <c r="Q274" s="232">
        <f t="shared" si="3702"/>
        <v>0</v>
      </c>
      <c r="R274" s="232">
        <f t="shared" si="3702"/>
        <v>0</v>
      </c>
      <c r="S274" s="232">
        <f t="shared" si="3702"/>
        <v>0</v>
      </c>
      <c r="T274" s="232">
        <f t="shared" si="3702"/>
        <v>0</v>
      </c>
      <c r="U274" s="232">
        <f t="shared" si="3702"/>
        <v>0</v>
      </c>
      <c r="V274" s="232">
        <f t="shared" si="3702"/>
        <v>0</v>
      </c>
      <c r="W274" s="239">
        <f t="shared" si="3702"/>
        <v>0</v>
      </c>
      <c r="X274" s="232">
        <f t="shared" si="3702"/>
        <v>0</v>
      </c>
      <c r="Y274" s="232">
        <f t="shared" si="3702"/>
        <v>0</v>
      </c>
      <c r="Z274" s="232">
        <f t="shared" si="3702"/>
        <v>0</v>
      </c>
      <c r="AA274" s="232">
        <f t="shared" si="3702"/>
        <v>0</v>
      </c>
      <c r="AB274" s="232">
        <f t="shared" si="3702"/>
        <v>0</v>
      </c>
      <c r="AC274" s="232">
        <f t="shared" si="3702"/>
        <v>0</v>
      </c>
      <c r="AD274" s="232">
        <f t="shared" si="3702"/>
        <v>0</v>
      </c>
      <c r="AE274" s="232">
        <f t="shared" si="3702"/>
        <v>0</v>
      </c>
      <c r="AF274" s="232">
        <f t="shared" si="3702"/>
        <v>0</v>
      </c>
      <c r="AG274" s="232">
        <f t="shared" si="3702"/>
        <v>0</v>
      </c>
      <c r="AH274" s="232">
        <f t="shared" si="3702"/>
        <v>0</v>
      </c>
      <c r="AI274" s="239">
        <f t="shared" si="3702"/>
        <v>0</v>
      </c>
      <c r="AJ274" s="232">
        <f t="shared" si="3702"/>
        <v>0</v>
      </c>
      <c r="AK274" s="232">
        <f t="shared" si="3702"/>
        <v>0</v>
      </c>
      <c r="AL274" s="232">
        <f t="shared" si="3702"/>
        <v>0</v>
      </c>
      <c r="AM274" s="232">
        <f t="shared" si="3702"/>
        <v>0</v>
      </c>
      <c r="AN274" s="232">
        <f t="shared" si="3702"/>
        <v>0</v>
      </c>
      <c r="AO274" s="232">
        <f t="shared" si="3702"/>
        <v>0</v>
      </c>
      <c r="AP274" s="232">
        <f t="shared" si="3702"/>
        <v>0</v>
      </c>
      <c r="AQ274" s="232">
        <f t="shared" si="3702"/>
        <v>0</v>
      </c>
      <c r="AR274" s="232">
        <f t="shared" si="3702"/>
        <v>0</v>
      </c>
      <c r="AS274" s="232">
        <f t="shared" si="3702"/>
        <v>0</v>
      </c>
      <c r="AT274" s="232">
        <f t="shared" si="3702"/>
        <v>0</v>
      </c>
      <c r="AU274" s="239">
        <f t="shared" si="3702"/>
        <v>0</v>
      </c>
      <c r="AV274" s="232">
        <f t="shared" si="3702"/>
        <v>0</v>
      </c>
      <c r="AW274" s="232">
        <f t="shared" si="3702"/>
        <v>0</v>
      </c>
      <c r="AX274" s="232">
        <f t="shared" si="3702"/>
        <v>0</v>
      </c>
      <c r="AY274" s="232">
        <f t="shared" si="3702"/>
        <v>0</v>
      </c>
      <c r="AZ274" s="232">
        <f t="shared" si="3702"/>
        <v>0</v>
      </c>
      <c r="BA274" s="232">
        <f t="shared" si="3702"/>
        <v>0</v>
      </c>
      <c r="BB274" s="232">
        <f t="shared" si="3702"/>
        <v>0</v>
      </c>
      <c r="BC274" s="232">
        <f t="shared" si="3702"/>
        <v>0</v>
      </c>
      <c r="BD274" s="232">
        <f t="shared" si="3702"/>
        <v>0</v>
      </c>
      <c r="BE274" s="232">
        <f t="shared" si="3702"/>
        <v>0</v>
      </c>
      <c r="BF274" s="232">
        <f t="shared" si="3702"/>
        <v>0</v>
      </c>
      <c r="BG274" s="239">
        <f t="shared" si="3702"/>
        <v>0</v>
      </c>
      <c r="BH274" s="232">
        <f t="shared" si="3702"/>
        <v>0</v>
      </c>
      <c r="BI274" s="232">
        <f t="shared" si="3702"/>
        <v>0</v>
      </c>
      <c r="BJ274" s="232">
        <f t="shared" si="3702"/>
        <v>0</v>
      </c>
      <c r="BK274" s="232">
        <f t="shared" si="3702"/>
        <v>0</v>
      </c>
      <c r="BL274" s="232">
        <f t="shared" si="3702"/>
        <v>0</v>
      </c>
      <c r="BM274" s="232">
        <f t="shared" si="3702"/>
        <v>0</v>
      </c>
      <c r="BN274" s="232">
        <f t="shared" si="3702"/>
        <v>0</v>
      </c>
      <c r="BO274" s="232">
        <f t="shared" si="3702"/>
        <v>0</v>
      </c>
      <c r="BP274" s="232">
        <f t="shared" si="3702"/>
        <v>0</v>
      </c>
      <c r="BQ274" s="232">
        <f t="shared" si="3702"/>
        <v>0</v>
      </c>
      <c r="BR274" s="232">
        <f t="shared" si="3702"/>
        <v>0</v>
      </c>
      <c r="BS274" s="239">
        <f t="shared" si="3702"/>
        <v>0</v>
      </c>
      <c r="BT274" s="232">
        <f t="shared" ref="BT274:DC274" si="3703">++SUM(BT278,BT281)</f>
        <v>0</v>
      </c>
      <c r="BU274" s="232">
        <f t="shared" si="3703"/>
        <v>0</v>
      </c>
      <c r="BV274" s="232">
        <f t="shared" si="3703"/>
        <v>0</v>
      </c>
      <c r="BW274" s="232">
        <f t="shared" si="3703"/>
        <v>0</v>
      </c>
      <c r="BX274" s="232">
        <f t="shared" si="3703"/>
        <v>0</v>
      </c>
      <c r="BY274" s="232">
        <f t="shared" si="3703"/>
        <v>0</v>
      </c>
      <c r="BZ274" s="232">
        <f t="shared" si="3703"/>
        <v>0</v>
      </c>
      <c r="CA274" s="232">
        <f t="shared" si="3703"/>
        <v>0</v>
      </c>
      <c r="CB274" s="232">
        <f t="shared" si="3703"/>
        <v>0</v>
      </c>
      <c r="CC274" s="232">
        <f t="shared" si="3703"/>
        <v>0</v>
      </c>
      <c r="CD274" s="232">
        <f t="shared" si="3703"/>
        <v>0</v>
      </c>
      <c r="CE274" s="239">
        <f t="shared" si="3703"/>
        <v>0</v>
      </c>
      <c r="CF274" s="232">
        <f t="shared" si="3703"/>
        <v>0</v>
      </c>
      <c r="CG274" s="232">
        <f t="shared" si="3703"/>
        <v>0</v>
      </c>
      <c r="CH274" s="232">
        <f t="shared" si="3703"/>
        <v>0</v>
      </c>
      <c r="CI274" s="232">
        <f t="shared" si="3703"/>
        <v>0</v>
      </c>
      <c r="CJ274" s="232">
        <f t="shared" si="3703"/>
        <v>0</v>
      </c>
      <c r="CK274" s="232">
        <f t="shared" si="3703"/>
        <v>0</v>
      </c>
      <c r="CL274" s="232">
        <f t="shared" si="3703"/>
        <v>0</v>
      </c>
      <c r="CM274" s="232">
        <f t="shared" si="3703"/>
        <v>0</v>
      </c>
      <c r="CN274" s="232">
        <f t="shared" si="3703"/>
        <v>0</v>
      </c>
      <c r="CO274" s="232">
        <f t="shared" si="3703"/>
        <v>0</v>
      </c>
      <c r="CP274" s="232">
        <f t="shared" si="3703"/>
        <v>0</v>
      </c>
      <c r="CQ274" s="239">
        <f t="shared" si="3703"/>
        <v>0</v>
      </c>
      <c r="CR274" s="232">
        <f t="shared" si="3703"/>
        <v>0</v>
      </c>
      <c r="CS274" s="232">
        <f t="shared" si="3703"/>
        <v>0</v>
      </c>
      <c r="CT274" s="232">
        <f t="shared" si="3703"/>
        <v>0</v>
      </c>
      <c r="CU274" s="232">
        <f t="shared" si="3703"/>
        <v>0</v>
      </c>
      <c r="CV274" s="232">
        <f t="shared" si="3703"/>
        <v>0</v>
      </c>
      <c r="CW274" s="232">
        <f t="shared" si="3703"/>
        <v>0</v>
      </c>
      <c r="CX274" s="232">
        <f t="shared" si="3703"/>
        <v>0</v>
      </c>
      <c r="CY274" s="232">
        <f t="shared" si="3703"/>
        <v>0</v>
      </c>
      <c r="CZ274" s="232">
        <f t="shared" si="3703"/>
        <v>0</v>
      </c>
      <c r="DA274" s="232">
        <f t="shared" si="3703"/>
        <v>0</v>
      </c>
      <c r="DB274" s="232">
        <f t="shared" si="3703"/>
        <v>0</v>
      </c>
      <c r="DC274" s="239">
        <f t="shared" si="3703"/>
        <v>0</v>
      </c>
    </row>
    <row r="275" spans="3:107" x14ac:dyDescent="0.3">
      <c r="C275" s="321" t="str">
        <f>++C$30</f>
        <v>% margin</v>
      </c>
      <c r="G275" s="214" t="str">
        <f>++IFERROR(G274/G255,"n/a")</f>
        <v>n/a</v>
      </c>
      <c r="H275" s="225" t="str">
        <f t="shared" ref="H275" si="3704">++IFERROR(H274/H255,"n/a")</f>
        <v>n/a</v>
      </c>
      <c r="I275" s="225" t="str">
        <f t="shared" ref="I275" si="3705">++IFERROR(I274/I255,"n/a")</f>
        <v>n/a</v>
      </c>
      <c r="J275" s="225" t="str">
        <f t="shared" ref="J275" si="3706">++IFERROR(J274/J255,"n/a")</f>
        <v>n/a</v>
      </c>
      <c r="K275" s="214" t="str">
        <f t="shared" ref="K275" si="3707">++IFERROR(K274/K255,"n/a")</f>
        <v>n/a</v>
      </c>
      <c r="L275" s="225" t="str">
        <f t="shared" ref="L275" si="3708">++IFERROR(L274/L255,"n/a")</f>
        <v>n/a</v>
      </c>
      <c r="M275" s="225" t="str">
        <f t="shared" ref="M275" si="3709">++IFERROR(M274/M255,"n/a")</f>
        <v>n/a</v>
      </c>
      <c r="N275" s="225" t="str">
        <f t="shared" ref="N275" si="3710">++IFERROR(N274/N255,"n/a")</f>
        <v>n/a</v>
      </c>
      <c r="O275" s="225" t="str">
        <f t="shared" ref="O275" si="3711">++IFERROR(O274/O255,"n/a")</f>
        <v>n/a</v>
      </c>
      <c r="P275" s="225" t="str">
        <f t="shared" ref="P275" si="3712">++IFERROR(P274/P255,"n/a")</f>
        <v>n/a</v>
      </c>
      <c r="Q275" s="225" t="str">
        <f t="shared" ref="Q275" si="3713">++IFERROR(Q274/Q255,"n/a")</f>
        <v>n/a</v>
      </c>
      <c r="R275" s="225" t="str">
        <f t="shared" ref="R275" si="3714">++IFERROR(R274/R255,"n/a")</f>
        <v>n/a</v>
      </c>
      <c r="S275" s="225" t="str">
        <f t="shared" ref="S275" si="3715">++IFERROR(S274/S255,"n/a")</f>
        <v>n/a</v>
      </c>
      <c r="T275" s="225" t="str">
        <f t="shared" ref="T275" si="3716">++IFERROR(T274/T255,"n/a")</f>
        <v>n/a</v>
      </c>
      <c r="U275" s="225" t="str">
        <f t="shared" ref="U275" si="3717">++IFERROR(U274/U255,"n/a")</f>
        <v>n/a</v>
      </c>
      <c r="V275" s="225" t="str">
        <f t="shared" ref="V275" si="3718">++IFERROR(V274/V255,"n/a")</f>
        <v>n/a</v>
      </c>
      <c r="W275" s="214" t="str">
        <f t="shared" ref="W275" si="3719">++IFERROR(W274/W255,"n/a")</f>
        <v>n/a</v>
      </c>
      <c r="X275" s="225" t="str">
        <f t="shared" ref="X275" si="3720">++IFERROR(X274/X255,"n/a")</f>
        <v>n/a</v>
      </c>
      <c r="Y275" s="225" t="str">
        <f t="shared" ref="Y275" si="3721">++IFERROR(Y274/Y255,"n/a")</f>
        <v>n/a</v>
      </c>
      <c r="Z275" s="225" t="str">
        <f t="shared" ref="Z275" si="3722">++IFERROR(Z274/Z255,"n/a")</f>
        <v>n/a</v>
      </c>
      <c r="AA275" s="225" t="str">
        <f t="shared" ref="AA275" si="3723">++IFERROR(AA274/AA255,"n/a")</f>
        <v>n/a</v>
      </c>
      <c r="AB275" s="225" t="str">
        <f t="shared" ref="AB275" si="3724">++IFERROR(AB274/AB255,"n/a")</f>
        <v>n/a</v>
      </c>
      <c r="AC275" s="225" t="str">
        <f t="shared" ref="AC275" si="3725">++IFERROR(AC274/AC255,"n/a")</f>
        <v>n/a</v>
      </c>
      <c r="AD275" s="225" t="str">
        <f t="shared" ref="AD275" si="3726">++IFERROR(AD274/AD255,"n/a")</f>
        <v>n/a</v>
      </c>
      <c r="AE275" s="225" t="str">
        <f t="shared" ref="AE275" si="3727">++IFERROR(AE274/AE255,"n/a")</f>
        <v>n/a</v>
      </c>
      <c r="AF275" s="225" t="str">
        <f t="shared" ref="AF275" si="3728">++IFERROR(AF274/AF255,"n/a")</f>
        <v>n/a</v>
      </c>
      <c r="AG275" s="225" t="str">
        <f t="shared" ref="AG275" si="3729">++IFERROR(AG274/AG255,"n/a")</f>
        <v>n/a</v>
      </c>
      <c r="AH275" s="225" t="str">
        <f t="shared" ref="AH275" si="3730">++IFERROR(AH274/AH255,"n/a")</f>
        <v>n/a</v>
      </c>
      <c r="AI275" s="214" t="str">
        <f t="shared" ref="AI275" si="3731">++IFERROR(AI274/AI255,"n/a")</f>
        <v>n/a</v>
      </c>
      <c r="AJ275" s="225" t="str">
        <f t="shared" ref="AJ275" si="3732">++IFERROR(AJ274/AJ255,"n/a")</f>
        <v>n/a</v>
      </c>
      <c r="AK275" s="225" t="str">
        <f t="shared" ref="AK275" si="3733">++IFERROR(AK274/AK255,"n/a")</f>
        <v>n/a</v>
      </c>
      <c r="AL275" s="225" t="str">
        <f t="shared" ref="AL275" si="3734">++IFERROR(AL274/AL255,"n/a")</f>
        <v>n/a</v>
      </c>
      <c r="AM275" s="225" t="str">
        <f t="shared" ref="AM275" si="3735">++IFERROR(AM274/AM255,"n/a")</f>
        <v>n/a</v>
      </c>
      <c r="AN275" s="225" t="str">
        <f t="shared" ref="AN275" si="3736">++IFERROR(AN274/AN255,"n/a")</f>
        <v>n/a</v>
      </c>
      <c r="AO275" s="225" t="str">
        <f t="shared" ref="AO275" si="3737">++IFERROR(AO274/AO255,"n/a")</f>
        <v>n/a</v>
      </c>
      <c r="AP275" s="225" t="str">
        <f t="shared" ref="AP275" si="3738">++IFERROR(AP274/AP255,"n/a")</f>
        <v>n/a</v>
      </c>
      <c r="AQ275" s="225" t="str">
        <f t="shared" ref="AQ275" si="3739">++IFERROR(AQ274/AQ255,"n/a")</f>
        <v>n/a</v>
      </c>
      <c r="AR275" s="225" t="str">
        <f t="shared" ref="AR275" si="3740">++IFERROR(AR274/AR255,"n/a")</f>
        <v>n/a</v>
      </c>
      <c r="AS275" s="225" t="str">
        <f t="shared" ref="AS275" si="3741">++IFERROR(AS274/AS255,"n/a")</f>
        <v>n/a</v>
      </c>
      <c r="AT275" s="225" t="str">
        <f t="shared" ref="AT275" si="3742">++IFERROR(AT274/AT255,"n/a")</f>
        <v>n/a</v>
      </c>
      <c r="AU275" s="214" t="str">
        <f t="shared" ref="AU275" si="3743">++IFERROR(AU274/AU255,"n/a")</f>
        <v>n/a</v>
      </c>
      <c r="AV275" s="225" t="str">
        <f t="shared" ref="AV275" si="3744">++IFERROR(AV274/AV255,"n/a")</f>
        <v>n/a</v>
      </c>
      <c r="AW275" s="225" t="str">
        <f t="shared" ref="AW275" si="3745">++IFERROR(AW274/AW255,"n/a")</f>
        <v>n/a</v>
      </c>
      <c r="AX275" s="225" t="str">
        <f t="shared" ref="AX275" si="3746">++IFERROR(AX274/AX255,"n/a")</f>
        <v>n/a</v>
      </c>
      <c r="AY275" s="225" t="str">
        <f t="shared" ref="AY275" si="3747">++IFERROR(AY274/AY255,"n/a")</f>
        <v>n/a</v>
      </c>
      <c r="AZ275" s="225" t="str">
        <f t="shared" ref="AZ275" si="3748">++IFERROR(AZ274/AZ255,"n/a")</f>
        <v>n/a</v>
      </c>
      <c r="BA275" s="225" t="str">
        <f t="shared" ref="BA275" si="3749">++IFERROR(BA274/BA255,"n/a")</f>
        <v>n/a</v>
      </c>
      <c r="BB275" s="225" t="str">
        <f t="shared" ref="BB275" si="3750">++IFERROR(BB274/BB255,"n/a")</f>
        <v>n/a</v>
      </c>
      <c r="BC275" s="225" t="str">
        <f t="shared" ref="BC275" si="3751">++IFERROR(BC274/BC255,"n/a")</f>
        <v>n/a</v>
      </c>
      <c r="BD275" s="225" t="str">
        <f t="shared" ref="BD275" si="3752">++IFERROR(BD274/BD255,"n/a")</f>
        <v>n/a</v>
      </c>
      <c r="BE275" s="225" t="str">
        <f t="shared" ref="BE275" si="3753">++IFERROR(BE274/BE255,"n/a")</f>
        <v>n/a</v>
      </c>
      <c r="BF275" s="225" t="str">
        <f t="shared" ref="BF275" si="3754">++IFERROR(BF274/BF255,"n/a")</f>
        <v>n/a</v>
      </c>
      <c r="BG275" s="214" t="str">
        <f t="shared" ref="BG275" si="3755">++IFERROR(BG274/BG255,"n/a")</f>
        <v>n/a</v>
      </c>
      <c r="BH275" s="225" t="str">
        <f t="shared" ref="BH275" si="3756">++IFERROR(BH274/BH255,"n/a")</f>
        <v>n/a</v>
      </c>
      <c r="BI275" s="225" t="str">
        <f t="shared" ref="BI275" si="3757">++IFERROR(BI274/BI255,"n/a")</f>
        <v>n/a</v>
      </c>
      <c r="BJ275" s="225" t="str">
        <f t="shared" ref="BJ275" si="3758">++IFERROR(BJ274/BJ255,"n/a")</f>
        <v>n/a</v>
      </c>
      <c r="BK275" s="225" t="str">
        <f t="shared" ref="BK275" si="3759">++IFERROR(BK274/BK255,"n/a")</f>
        <v>n/a</v>
      </c>
      <c r="BL275" s="225" t="str">
        <f t="shared" ref="BL275" si="3760">++IFERROR(BL274/BL255,"n/a")</f>
        <v>n/a</v>
      </c>
      <c r="BM275" s="225" t="str">
        <f t="shared" ref="BM275" si="3761">++IFERROR(BM274/BM255,"n/a")</f>
        <v>n/a</v>
      </c>
      <c r="BN275" s="225" t="str">
        <f t="shared" ref="BN275" si="3762">++IFERROR(BN274/BN255,"n/a")</f>
        <v>n/a</v>
      </c>
      <c r="BO275" s="225" t="str">
        <f t="shared" ref="BO275" si="3763">++IFERROR(BO274/BO255,"n/a")</f>
        <v>n/a</v>
      </c>
      <c r="BP275" s="225" t="str">
        <f t="shared" ref="BP275" si="3764">++IFERROR(BP274/BP255,"n/a")</f>
        <v>n/a</v>
      </c>
      <c r="BQ275" s="225" t="str">
        <f t="shared" ref="BQ275" si="3765">++IFERROR(BQ274/BQ255,"n/a")</f>
        <v>n/a</v>
      </c>
      <c r="BR275" s="225" t="str">
        <f t="shared" ref="BR275" si="3766">++IFERROR(BR274/BR255,"n/a")</f>
        <v>n/a</v>
      </c>
      <c r="BS275" s="214" t="str">
        <f t="shared" ref="BS275" si="3767">++IFERROR(BS274/BS255,"n/a")</f>
        <v>n/a</v>
      </c>
      <c r="BT275" s="225" t="str">
        <f t="shared" ref="BT275" si="3768">++IFERROR(BT274/BT255,"n/a")</f>
        <v>n/a</v>
      </c>
      <c r="BU275" s="225" t="str">
        <f t="shared" ref="BU275" si="3769">++IFERROR(BU274/BU255,"n/a")</f>
        <v>n/a</v>
      </c>
      <c r="BV275" s="225" t="str">
        <f t="shared" ref="BV275" si="3770">++IFERROR(BV274/BV255,"n/a")</f>
        <v>n/a</v>
      </c>
      <c r="BW275" s="225" t="str">
        <f t="shared" ref="BW275" si="3771">++IFERROR(BW274/BW255,"n/a")</f>
        <v>n/a</v>
      </c>
      <c r="BX275" s="225" t="str">
        <f t="shared" ref="BX275" si="3772">++IFERROR(BX274/BX255,"n/a")</f>
        <v>n/a</v>
      </c>
      <c r="BY275" s="225" t="str">
        <f t="shared" ref="BY275" si="3773">++IFERROR(BY274/BY255,"n/a")</f>
        <v>n/a</v>
      </c>
      <c r="BZ275" s="225" t="str">
        <f t="shared" ref="BZ275" si="3774">++IFERROR(BZ274/BZ255,"n/a")</f>
        <v>n/a</v>
      </c>
      <c r="CA275" s="225" t="str">
        <f t="shared" ref="CA275" si="3775">++IFERROR(CA274/CA255,"n/a")</f>
        <v>n/a</v>
      </c>
      <c r="CB275" s="225" t="str">
        <f t="shared" ref="CB275" si="3776">++IFERROR(CB274/CB255,"n/a")</f>
        <v>n/a</v>
      </c>
      <c r="CC275" s="225" t="str">
        <f t="shared" ref="CC275" si="3777">++IFERROR(CC274/CC255,"n/a")</f>
        <v>n/a</v>
      </c>
      <c r="CD275" s="225" t="str">
        <f t="shared" ref="CD275" si="3778">++IFERROR(CD274/CD255,"n/a")</f>
        <v>n/a</v>
      </c>
      <c r="CE275" s="214" t="str">
        <f t="shared" ref="CE275" si="3779">++IFERROR(CE274/CE255,"n/a")</f>
        <v>n/a</v>
      </c>
      <c r="CF275" s="225" t="str">
        <f t="shared" ref="CF275" si="3780">++IFERROR(CF274/CF255,"n/a")</f>
        <v>n/a</v>
      </c>
      <c r="CG275" s="225" t="str">
        <f t="shared" ref="CG275" si="3781">++IFERROR(CG274/CG255,"n/a")</f>
        <v>n/a</v>
      </c>
      <c r="CH275" s="225" t="str">
        <f t="shared" ref="CH275" si="3782">++IFERROR(CH274/CH255,"n/a")</f>
        <v>n/a</v>
      </c>
      <c r="CI275" s="225" t="str">
        <f t="shared" ref="CI275" si="3783">++IFERROR(CI274/CI255,"n/a")</f>
        <v>n/a</v>
      </c>
      <c r="CJ275" s="225" t="str">
        <f t="shared" ref="CJ275" si="3784">++IFERROR(CJ274/CJ255,"n/a")</f>
        <v>n/a</v>
      </c>
      <c r="CK275" s="225" t="str">
        <f t="shared" ref="CK275" si="3785">++IFERROR(CK274/CK255,"n/a")</f>
        <v>n/a</v>
      </c>
      <c r="CL275" s="225" t="str">
        <f t="shared" ref="CL275" si="3786">++IFERROR(CL274/CL255,"n/a")</f>
        <v>n/a</v>
      </c>
      <c r="CM275" s="225" t="str">
        <f t="shared" ref="CM275" si="3787">++IFERROR(CM274/CM255,"n/a")</f>
        <v>n/a</v>
      </c>
      <c r="CN275" s="225" t="str">
        <f t="shared" ref="CN275" si="3788">++IFERROR(CN274/CN255,"n/a")</f>
        <v>n/a</v>
      </c>
      <c r="CO275" s="225" t="str">
        <f t="shared" ref="CO275" si="3789">++IFERROR(CO274/CO255,"n/a")</f>
        <v>n/a</v>
      </c>
      <c r="CP275" s="225" t="str">
        <f t="shared" ref="CP275" si="3790">++IFERROR(CP274/CP255,"n/a")</f>
        <v>n/a</v>
      </c>
      <c r="CQ275" s="214" t="str">
        <f t="shared" ref="CQ275" si="3791">++IFERROR(CQ274/CQ255,"n/a")</f>
        <v>n/a</v>
      </c>
      <c r="CR275" s="225" t="str">
        <f t="shared" ref="CR275" si="3792">++IFERROR(CR274/CR255,"n/a")</f>
        <v>n/a</v>
      </c>
      <c r="CS275" s="225" t="str">
        <f t="shared" ref="CS275" si="3793">++IFERROR(CS274/CS255,"n/a")</f>
        <v>n/a</v>
      </c>
      <c r="CT275" s="225" t="str">
        <f t="shared" ref="CT275" si="3794">++IFERROR(CT274/CT255,"n/a")</f>
        <v>n/a</v>
      </c>
      <c r="CU275" s="225" t="str">
        <f t="shared" ref="CU275" si="3795">++IFERROR(CU274/CU255,"n/a")</f>
        <v>n/a</v>
      </c>
      <c r="CV275" s="225" t="str">
        <f t="shared" ref="CV275" si="3796">++IFERROR(CV274/CV255,"n/a")</f>
        <v>n/a</v>
      </c>
      <c r="CW275" s="225" t="str">
        <f t="shared" ref="CW275" si="3797">++IFERROR(CW274/CW255,"n/a")</f>
        <v>n/a</v>
      </c>
      <c r="CX275" s="225" t="str">
        <f t="shared" ref="CX275" si="3798">++IFERROR(CX274/CX255,"n/a")</f>
        <v>n/a</v>
      </c>
      <c r="CY275" s="225" t="str">
        <f t="shared" ref="CY275" si="3799">++IFERROR(CY274/CY255,"n/a")</f>
        <v>n/a</v>
      </c>
      <c r="CZ275" s="225" t="str">
        <f t="shared" ref="CZ275" si="3800">++IFERROR(CZ274/CZ255,"n/a")</f>
        <v>n/a</v>
      </c>
      <c r="DA275" s="225" t="str">
        <f t="shared" ref="DA275" si="3801">++IFERROR(DA274/DA255,"n/a")</f>
        <v>n/a</v>
      </c>
      <c r="DB275" s="225" t="str">
        <f t="shared" ref="DB275" si="3802">++IFERROR(DB274/DB255,"n/a")</f>
        <v>n/a</v>
      </c>
      <c r="DC275" s="214" t="str">
        <f t="shared" ref="DC275" si="3803">++IFERROR(DC274/DC255,"n/a")</f>
        <v>n/a</v>
      </c>
    </row>
    <row r="276" spans="3:107" x14ac:dyDescent="0.3">
      <c r="C276" s="321" t="str">
        <f>++C$31</f>
        <v>% y/y</v>
      </c>
      <c r="G276" s="122" t="s">
        <v>47</v>
      </c>
      <c r="H276" s="122" t="s">
        <v>47</v>
      </c>
      <c r="I276" s="122" t="s">
        <v>47</v>
      </c>
      <c r="J276" s="122" t="s">
        <v>47</v>
      </c>
      <c r="K276" s="214" t="str">
        <f>++IFERROR(K274/G274-1,"n/a")</f>
        <v>n/a</v>
      </c>
      <c r="L276" s="122" t="s">
        <v>47</v>
      </c>
      <c r="M276" s="122" t="s">
        <v>47</v>
      </c>
      <c r="N276" s="225" t="str">
        <f>++IFERROR(N274/H274-1,"n/a")</f>
        <v>n/a</v>
      </c>
      <c r="O276" s="122" t="s">
        <v>47</v>
      </c>
      <c r="P276" s="122" t="s">
        <v>47</v>
      </c>
      <c r="Q276" s="225" t="str">
        <f>++IFERROR(Q274/I274-1,"n/a")</f>
        <v>n/a</v>
      </c>
      <c r="R276" s="122" t="s">
        <v>47</v>
      </c>
      <c r="S276" s="122" t="s">
        <v>47</v>
      </c>
      <c r="T276" s="225" t="str">
        <f>++IFERROR(T274/J274-1,"n/a")</f>
        <v>n/a</v>
      </c>
      <c r="U276" s="122" t="s">
        <v>47</v>
      </c>
      <c r="V276" s="122" t="s">
        <v>47</v>
      </c>
      <c r="W276" s="214" t="str">
        <f t="shared" ref="W276:BB276" si="3804">++IFERROR(W274/K274-1,"n/a")</f>
        <v>n/a</v>
      </c>
      <c r="X276" s="225" t="str">
        <f t="shared" si="3804"/>
        <v>n/a</v>
      </c>
      <c r="Y276" s="225" t="str">
        <f t="shared" si="3804"/>
        <v>n/a</v>
      </c>
      <c r="Z276" s="225" t="str">
        <f t="shared" si="3804"/>
        <v>n/a</v>
      </c>
      <c r="AA276" s="225" t="str">
        <f t="shared" si="3804"/>
        <v>n/a</v>
      </c>
      <c r="AB276" s="225" t="str">
        <f t="shared" si="3804"/>
        <v>n/a</v>
      </c>
      <c r="AC276" s="225" t="str">
        <f t="shared" si="3804"/>
        <v>n/a</v>
      </c>
      <c r="AD276" s="225" t="str">
        <f t="shared" si="3804"/>
        <v>n/a</v>
      </c>
      <c r="AE276" s="225" t="str">
        <f t="shared" si="3804"/>
        <v>n/a</v>
      </c>
      <c r="AF276" s="225" t="str">
        <f t="shared" si="3804"/>
        <v>n/a</v>
      </c>
      <c r="AG276" s="225" t="str">
        <f t="shared" si="3804"/>
        <v>n/a</v>
      </c>
      <c r="AH276" s="225" t="str">
        <f t="shared" si="3804"/>
        <v>n/a</v>
      </c>
      <c r="AI276" s="214" t="str">
        <f t="shared" si="3804"/>
        <v>n/a</v>
      </c>
      <c r="AJ276" s="225" t="str">
        <f t="shared" si="3804"/>
        <v>n/a</v>
      </c>
      <c r="AK276" s="225" t="str">
        <f t="shared" si="3804"/>
        <v>n/a</v>
      </c>
      <c r="AL276" s="225" t="str">
        <f t="shared" si="3804"/>
        <v>n/a</v>
      </c>
      <c r="AM276" s="225" t="str">
        <f t="shared" si="3804"/>
        <v>n/a</v>
      </c>
      <c r="AN276" s="225" t="str">
        <f t="shared" si="3804"/>
        <v>n/a</v>
      </c>
      <c r="AO276" s="225" t="str">
        <f t="shared" si="3804"/>
        <v>n/a</v>
      </c>
      <c r="AP276" s="225" t="str">
        <f t="shared" si="3804"/>
        <v>n/a</v>
      </c>
      <c r="AQ276" s="225" t="str">
        <f t="shared" si="3804"/>
        <v>n/a</v>
      </c>
      <c r="AR276" s="225" t="str">
        <f t="shared" si="3804"/>
        <v>n/a</v>
      </c>
      <c r="AS276" s="225" t="str">
        <f t="shared" si="3804"/>
        <v>n/a</v>
      </c>
      <c r="AT276" s="225" t="str">
        <f t="shared" si="3804"/>
        <v>n/a</v>
      </c>
      <c r="AU276" s="214" t="str">
        <f t="shared" si="3804"/>
        <v>n/a</v>
      </c>
      <c r="AV276" s="225" t="str">
        <f t="shared" si="3804"/>
        <v>n/a</v>
      </c>
      <c r="AW276" s="225" t="str">
        <f t="shared" si="3804"/>
        <v>n/a</v>
      </c>
      <c r="AX276" s="225" t="str">
        <f t="shared" si="3804"/>
        <v>n/a</v>
      </c>
      <c r="AY276" s="225" t="str">
        <f t="shared" si="3804"/>
        <v>n/a</v>
      </c>
      <c r="AZ276" s="225" t="str">
        <f t="shared" si="3804"/>
        <v>n/a</v>
      </c>
      <c r="BA276" s="225" t="str">
        <f t="shared" si="3804"/>
        <v>n/a</v>
      </c>
      <c r="BB276" s="225" t="str">
        <f t="shared" si="3804"/>
        <v>n/a</v>
      </c>
      <c r="BC276" s="225" t="str">
        <f t="shared" ref="BC276:CH276" si="3805">++IFERROR(BC274/AQ274-1,"n/a")</f>
        <v>n/a</v>
      </c>
      <c r="BD276" s="225" t="str">
        <f t="shared" si="3805"/>
        <v>n/a</v>
      </c>
      <c r="BE276" s="225" t="str">
        <f t="shared" si="3805"/>
        <v>n/a</v>
      </c>
      <c r="BF276" s="225" t="str">
        <f t="shared" si="3805"/>
        <v>n/a</v>
      </c>
      <c r="BG276" s="214" t="str">
        <f t="shared" si="3805"/>
        <v>n/a</v>
      </c>
      <c r="BH276" s="225" t="str">
        <f t="shared" si="3805"/>
        <v>n/a</v>
      </c>
      <c r="BI276" s="225" t="str">
        <f t="shared" si="3805"/>
        <v>n/a</v>
      </c>
      <c r="BJ276" s="225" t="str">
        <f t="shared" si="3805"/>
        <v>n/a</v>
      </c>
      <c r="BK276" s="225" t="str">
        <f t="shared" si="3805"/>
        <v>n/a</v>
      </c>
      <c r="BL276" s="225" t="str">
        <f t="shared" si="3805"/>
        <v>n/a</v>
      </c>
      <c r="BM276" s="225" t="str">
        <f t="shared" si="3805"/>
        <v>n/a</v>
      </c>
      <c r="BN276" s="225" t="str">
        <f t="shared" si="3805"/>
        <v>n/a</v>
      </c>
      <c r="BO276" s="225" t="str">
        <f t="shared" si="3805"/>
        <v>n/a</v>
      </c>
      <c r="BP276" s="225" t="str">
        <f t="shared" si="3805"/>
        <v>n/a</v>
      </c>
      <c r="BQ276" s="225" t="str">
        <f t="shared" si="3805"/>
        <v>n/a</v>
      </c>
      <c r="BR276" s="225" t="str">
        <f t="shared" si="3805"/>
        <v>n/a</v>
      </c>
      <c r="BS276" s="214" t="str">
        <f t="shared" si="3805"/>
        <v>n/a</v>
      </c>
      <c r="BT276" s="225" t="str">
        <f t="shared" si="3805"/>
        <v>n/a</v>
      </c>
      <c r="BU276" s="225" t="str">
        <f t="shared" si="3805"/>
        <v>n/a</v>
      </c>
      <c r="BV276" s="225" t="str">
        <f t="shared" si="3805"/>
        <v>n/a</v>
      </c>
      <c r="BW276" s="225" t="str">
        <f t="shared" si="3805"/>
        <v>n/a</v>
      </c>
      <c r="BX276" s="225" t="str">
        <f t="shared" si="3805"/>
        <v>n/a</v>
      </c>
      <c r="BY276" s="225" t="str">
        <f t="shared" si="3805"/>
        <v>n/a</v>
      </c>
      <c r="BZ276" s="225" t="str">
        <f t="shared" si="3805"/>
        <v>n/a</v>
      </c>
      <c r="CA276" s="225" t="str">
        <f t="shared" si="3805"/>
        <v>n/a</v>
      </c>
      <c r="CB276" s="225" t="str">
        <f t="shared" si="3805"/>
        <v>n/a</v>
      </c>
      <c r="CC276" s="225" t="str">
        <f t="shared" si="3805"/>
        <v>n/a</v>
      </c>
      <c r="CD276" s="225" t="str">
        <f t="shared" si="3805"/>
        <v>n/a</v>
      </c>
      <c r="CE276" s="214" t="str">
        <f t="shared" si="3805"/>
        <v>n/a</v>
      </c>
      <c r="CF276" s="225" t="str">
        <f t="shared" si="3805"/>
        <v>n/a</v>
      </c>
      <c r="CG276" s="225" t="str">
        <f t="shared" si="3805"/>
        <v>n/a</v>
      </c>
      <c r="CH276" s="225" t="str">
        <f t="shared" si="3805"/>
        <v>n/a</v>
      </c>
      <c r="CI276" s="225" t="str">
        <f t="shared" ref="CI276:DN276" si="3806">++IFERROR(CI274/BW274-1,"n/a")</f>
        <v>n/a</v>
      </c>
      <c r="CJ276" s="225" t="str">
        <f t="shared" si="3806"/>
        <v>n/a</v>
      </c>
      <c r="CK276" s="225" t="str">
        <f t="shared" si="3806"/>
        <v>n/a</v>
      </c>
      <c r="CL276" s="225" t="str">
        <f t="shared" si="3806"/>
        <v>n/a</v>
      </c>
      <c r="CM276" s="225" t="str">
        <f t="shared" si="3806"/>
        <v>n/a</v>
      </c>
      <c r="CN276" s="225" t="str">
        <f t="shared" si="3806"/>
        <v>n/a</v>
      </c>
      <c r="CO276" s="225" t="str">
        <f t="shared" si="3806"/>
        <v>n/a</v>
      </c>
      <c r="CP276" s="225" t="str">
        <f t="shared" si="3806"/>
        <v>n/a</v>
      </c>
      <c r="CQ276" s="214" t="str">
        <f t="shared" si="3806"/>
        <v>n/a</v>
      </c>
      <c r="CR276" s="225" t="str">
        <f t="shared" si="3806"/>
        <v>n/a</v>
      </c>
      <c r="CS276" s="225" t="str">
        <f t="shared" si="3806"/>
        <v>n/a</v>
      </c>
      <c r="CT276" s="225" t="str">
        <f t="shared" si="3806"/>
        <v>n/a</v>
      </c>
      <c r="CU276" s="225" t="str">
        <f t="shared" si="3806"/>
        <v>n/a</v>
      </c>
      <c r="CV276" s="225" t="str">
        <f t="shared" si="3806"/>
        <v>n/a</v>
      </c>
      <c r="CW276" s="225" t="str">
        <f t="shared" si="3806"/>
        <v>n/a</v>
      </c>
      <c r="CX276" s="225" t="str">
        <f t="shared" si="3806"/>
        <v>n/a</v>
      </c>
      <c r="CY276" s="225" t="str">
        <f t="shared" si="3806"/>
        <v>n/a</v>
      </c>
      <c r="CZ276" s="225" t="str">
        <f t="shared" si="3806"/>
        <v>n/a</v>
      </c>
      <c r="DA276" s="225" t="str">
        <f t="shared" si="3806"/>
        <v>n/a</v>
      </c>
      <c r="DB276" s="225" t="str">
        <f t="shared" si="3806"/>
        <v>n/a</v>
      </c>
      <c r="DC276" s="214" t="str">
        <f t="shared" si="3806"/>
        <v>n/a</v>
      </c>
    </row>
    <row r="277" spans="3:107" x14ac:dyDescent="0.3">
      <c r="G277" s="203"/>
      <c r="K277" s="203"/>
      <c r="W277" s="203"/>
      <c r="AI277" s="203"/>
      <c r="AU277" s="203"/>
      <c r="BG277" s="203"/>
      <c r="BS277" s="203"/>
      <c r="CE277" s="203"/>
      <c r="CQ277" s="203"/>
      <c r="DC277" s="203"/>
    </row>
    <row r="278" spans="3:107" x14ac:dyDescent="0.3">
      <c r="C278" s="101" t="str">
        <f>++C$33</f>
        <v>Tax Expense (Benefit)</v>
      </c>
      <c r="G278" s="45">
        <v>0</v>
      </c>
      <c r="H278" s="45">
        <v>0</v>
      </c>
      <c r="I278" s="45">
        <v>0</v>
      </c>
      <c r="J278" s="45">
        <v>0</v>
      </c>
      <c r="K278" s="45">
        <v>0</v>
      </c>
      <c r="L278" s="45">
        <v>0</v>
      </c>
      <c r="M278" s="45">
        <v>0</v>
      </c>
      <c r="N278" s="45">
        <v>0</v>
      </c>
      <c r="O278" s="45">
        <v>0</v>
      </c>
      <c r="P278" s="45">
        <v>0</v>
      </c>
      <c r="Q278" s="45">
        <v>0</v>
      </c>
      <c r="R278" s="45">
        <v>0</v>
      </c>
      <c r="S278" s="45">
        <v>0</v>
      </c>
      <c r="T278" s="45">
        <v>0</v>
      </c>
      <c r="U278" s="45">
        <v>0</v>
      </c>
      <c r="V278" s="45">
        <v>0</v>
      </c>
      <c r="W278" s="45">
        <v>0</v>
      </c>
      <c r="X278" s="45">
        <v>0</v>
      </c>
      <c r="Y278" s="45">
        <v>0</v>
      </c>
      <c r="Z278" s="45">
        <v>0</v>
      </c>
      <c r="AA278" s="45">
        <v>0</v>
      </c>
      <c r="AB278" s="45">
        <v>0</v>
      </c>
      <c r="AC278" s="45">
        <v>0</v>
      </c>
      <c r="AD278" s="45">
        <v>0</v>
      </c>
      <c r="AE278" s="45">
        <v>0</v>
      </c>
      <c r="AF278" s="45">
        <v>0</v>
      </c>
      <c r="AG278" s="45">
        <v>0</v>
      </c>
      <c r="AH278" s="45">
        <v>0</v>
      </c>
      <c r="AI278" s="45">
        <v>0</v>
      </c>
      <c r="AJ278" s="45">
        <v>0</v>
      </c>
      <c r="AK278" s="45">
        <v>0</v>
      </c>
      <c r="AL278" s="45">
        <v>0</v>
      </c>
      <c r="AM278" s="45">
        <v>0</v>
      </c>
      <c r="AN278" s="45">
        <v>0</v>
      </c>
      <c r="AO278" s="45">
        <v>0</v>
      </c>
      <c r="AP278" s="45">
        <v>0</v>
      </c>
      <c r="AQ278" s="45">
        <v>0</v>
      </c>
      <c r="AR278" s="45">
        <v>0</v>
      </c>
      <c r="AS278" s="45">
        <v>0</v>
      </c>
      <c r="AT278" s="45">
        <v>0</v>
      </c>
      <c r="AU278" s="45">
        <v>0</v>
      </c>
      <c r="AV278" s="45">
        <v>0</v>
      </c>
      <c r="AW278" s="45">
        <v>0</v>
      </c>
      <c r="AX278" s="45">
        <v>0</v>
      </c>
      <c r="AY278" s="45">
        <v>0</v>
      </c>
      <c r="AZ278" s="45">
        <v>0</v>
      </c>
      <c r="BA278" s="45">
        <v>0</v>
      </c>
      <c r="BB278" s="45">
        <v>0</v>
      </c>
      <c r="BC278" s="45">
        <v>0</v>
      </c>
      <c r="BD278" s="45">
        <v>0</v>
      </c>
      <c r="BE278" s="45">
        <v>0</v>
      </c>
      <c r="BF278" s="45">
        <v>0</v>
      </c>
      <c r="BG278" s="45">
        <v>0</v>
      </c>
      <c r="BH278" s="45">
        <v>0</v>
      </c>
      <c r="BI278" s="45">
        <v>0</v>
      </c>
      <c r="BJ278" s="45">
        <v>0</v>
      </c>
      <c r="BK278" s="45">
        <v>0</v>
      </c>
      <c r="BL278" s="45">
        <v>0</v>
      </c>
      <c r="BM278" s="45">
        <v>0</v>
      </c>
      <c r="BN278" s="45">
        <v>0</v>
      </c>
      <c r="BO278" s="45">
        <v>0</v>
      </c>
      <c r="BP278" s="45">
        <v>0</v>
      </c>
      <c r="BQ278" s="45">
        <v>0</v>
      </c>
      <c r="BR278" s="45">
        <v>0</v>
      </c>
      <c r="BS278" s="45">
        <v>0</v>
      </c>
      <c r="BT278" s="45">
        <v>0</v>
      </c>
      <c r="BU278" s="45">
        <v>0</v>
      </c>
      <c r="BV278" s="45">
        <v>0</v>
      </c>
      <c r="BW278" s="45">
        <v>0</v>
      </c>
      <c r="BX278" s="45">
        <v>0</v>
      </c>
      <c r="BY278" s="45">
        <v>0</v>
      </c>
      <c r="BZ278" s="45">
        <v>0</v>
      </c>
      <c r="CA278" s="45">
        <v>0</v>
      </c>
      <c r="CB278" s="45">
        <v>0</v>
      </c>
      <c r="CC278" s="45">
        <v>0</v>
      </c>
      <c r="CD278" s="45">
        <v>0</v>
      </c>
      <c r="CE278" s="45">
        <v>0</v>
      </c>
      <c r="CF278" s="45">
        <v>0</v>
      </c>
      <c r="CG278" s="45">
        <v>0</v>
      </c>
      <c r="CH278" s="45">
        <v>0</v>
      </c>
      <c r="CI278" s="45">
        <v>0</v>
      </c>
      <c r="CJ278" s="45">
        <v>0</v>
      </c>
      <c r="CK278" s="45">
        <v>0</v>
      </c>
      <c r="CL278" s="45">
        <v>0</v>
      </c>
      <c r="CM278" s="45">
        <v>0</v>
      </c>
      <c r="CN278" s="45">
        <v>0</v>
      </c>
      <c r="CO278" s="45">
        <v>0</v>
      </c>
      <c r="CP278" s="45">
        <v>0</v>
      </c>
      <c r="CQ278" s="45">
        <v>0</v>
      </c>
      <c r="CR278" s="45">
        <v>0</v>
      </c>
      <c r="CS278" s="45">
        <v>0</v>
      </c>
      <c r="CT278" s="45">
        <v>0</v>
      </c>
      <c r="CU278" s="45">
        <v>0</v>
      </c>
      <c r="CV278" s="45">
        <v>0</v>
      </c>
      <c r="CW278" s="45">
        <v>0</v>
      </c>
      <c r="CX278" s="45">
        <v>0</v>
      </c>
      <c r="CY278" s="45">
        <v>0</v>
      </c>
      <c r="CZ278" s="45">
        <v>0</v>
      </c>
      <c r="DA278" s="45">
        <v>0</v>
      </c>
      <c r="DB278" s="45">
        <v>0</v>
      </c>
      <c r="DC278" s="45">
        <v>0</v>
      </c>
    </row>
    <row r="279" spans="3:107" x14ac:dyDescent="0.3">
      <c r="C279" s="321" t="str">
        <f>++C$34</f>
        <v>% effective rate</v>
      </c>
      <c r="G279" s="214" t="str">
        <f>++IFERROR(G278/G274,"n/a")</f>
        <v>n/a</v>
      </c>
      <c r="H279" s="225" t="str">
        <f t="shared" ref="H279" si="3807">++IFERROR(H278/H274,"n/a")</f>
        <v>n/a</v>
      </c>
      <c r="I279" s="225" t="str">
        <f t="shared" ref="I279" si="3808">++IFERROR(I278/I274,"n/a")</f>
        <v>n/a</v>
      </c>
      <c r="J279" s="225" t="str">
        <f t="shared" ref="J279" si="3809">++IFERROR(J278/J274,"n/a")</f>
        <v>n/a</v>
      </c>
      <c r="K279" s="214" t="str">
        <f t="shared" ref="K279" si="3810">++IFERROR(K278/K274,"n/a")</f>
        <v>n/a</v>
      </c>
      <c r="L279" s="225" t="str">
        <f t="shared" ref="L279" si="3811">++IFERROR(L278/L274,"n/a")</f>
        <v>n/a</v>
      </c>
      <c r="M279" s="225" t="str">
        <f t="shared" ref="M279" si="3812">++IFERROR(M278/M274,"n/a")</f>
        <v>n/a</v>
      </c>
      <c r="N279" s="225" t="str">
        <f t="shared" ref="N279" si="3813">++IFERROR(N278/N274,"n/a")</f>
        <v>n/a</v>
      </c>
      <c r="O279" s="225" t="str">
        <f t="shared" ref="O279" si="3814">++IFERROR(O278/O274,"n/a")</f>
        <v>n/a</v>
      </c>
      <c r="P279" s="225" t="str">
        <f t="shared" ref="P279" si="3815">++IFERROR(P278/P274,"n/a")</f>
        <v>n/a</v>
      </c>
      <c r="Q279" s="225" t="str">
        <f t="shared" ref="Q279" si="3816">++IFERROR(Q278/Q274,"n/a")</f>
        <v>n/a</v>
      </c>
      <c r="R279" s="225" t="str">
        <f t="shared" ref="R279" si="3817">++IFERROR(R278/R274,"n/a")</f>
        <v>n/a</v>
      </c>
      <c r="S279" s="225" t="str">
        <f t="shared" ref="S279" si="3818">++IFERROR(S278/S274,"n/a")</f>
        <v>n/a</v>
      </c>
      <c r="T279" s="225" t="str">
        <f t="shared" ref="T279" si="3819">++IFERROR(T278/T274,"n/a")</f>
        <v>n/a</v>
      </c>
      <c r="U279" s="225" t="str">
        <f t="shared" ref="U279" si="3820">++IFERROR(U278/U274,"n/a")</f>
        <v>n/a</v>
      </c>
      <c r="V279" s="225" t="str">
        <f t="shared" ref="V279" si="3821">++IFERROR(V278/V274,"n/a")</f>
        <v>n/a</v>
      </c>
      <c r="W279" s="214" t="str">
        <f t="shared" ref="W279" si="3822">++IFERROR(W278/W274,"n/a")</f>
        <v>n/a</v>
      </c>
      <c r="X279" s="225" t="str">
        <f t="shared" ref="X279" si="3823">++IFERROR(X278/X274,"n/a")</f>
        <v>n/a</v>
      </c>
      <c r="Y279" s="225" t="str">
        <f t="shared" ref="Y279" si="3824">++IFERROR(Y278/Y274,"n/a")</f>
        <v>n/a</v>
      </c>
      <c r="Z279" s="225" t="str">
        <f t="shared" ref="Z279" si="3825">++IFERROR(Z278/Z274,"n/a")</f>
        <v>n/a</v>
      </c>
      <c r="AA279" s="225" t="str">
        <f t="shared" ref="AA279" si="3826">++IFERROR(AA278/AA274,"n/a")</f>
        <v>n/a</v>
      </c>
      <c r="AB279" s="225" t="str">
        <f t="shared" ref="AB279" si="3827">++IFERROR(AB278/AB274,"n/a")</f>
        <v>n/a</v>
      </c>
      <c r="AC279" s="225" t="str">
        <f t="shared" ref="AC279" si="3828">++IFERROR(AC278/AC274,"n/a")</f>
        <v>n/a</v>
      </c>
      <c r="AD279" s="225" t="str">
        <f t="shared" ref="AD279" si="3829">++IFERROR(AD278/AD274,"n/a")</f>
        <v>n/a</v>
      </c>
      <c r="AE279" s="225" t="str">
        <f t="shared" ref="AE279" si="3830">++IFERROR(AE278/AE274,"n/a")</f>
        <v>n/a</v>
      </c>
      <c r="AF279" s="225" t="str">
        <f t="shared" ref="AF279" si="3831">++IFERROR(AF278/AF274,"n/a")</f>
        <v>n/a</v>
      </c>
      <c r="AG279" s="225" t="str">
        <f t="shared" ref="AG279" si="3832">++IFERROR(AG278/AG274,"n/a")</f>
        <v>n/a</v>
      </c>
      <c r="AH279" s="225" t="str">
        <f t="shared" ref="AH279" si="3833">++IFERROR(AH278/AH274,"n/a")</f>
        <v>n/a</v>
      </c>
      <c r="AI279" s="214" t="str">
        <f t="shared" ref="AI279" si="3834">++IFERROR(AI278/AI274,"n/a")</f>
        <v>n/a</v>
      </c>
      <c r="AJ279" s="225" t="str">
        <f t="shared" ref="AJ279" si="3835">++IFERROR(AJ278/AJ274,"n/a")</f>
        <v>n/a</v>
      </c>
      <c r="AK279" s="225" t="str">
        <f t="shared" ref="AK279" si="3836">++IFERROR(AK278/AK274,"n/a")</f>
        <v>n/a</v>
      </c>
      <c r="AL279" s="225" t="str">
        <f t="shared" ref="AL279" si="3837">++IFERROR(AL278/AL274,"n/a")</f>
        <v>n/a</v>
      </c>
      <c r="AM279" s="225" t="str">
        <f t="shared" ref="AM279" si="3838">++IFERROR(AM278/AM274,"n/a")</f>
        <v>n/a</v>
      </c>
      <c r="AN279" s="225" t="str">
        <f t="shared" ref="AN279" si="3839">++IFERROR(AN278/AN274,"n/a")</f>
        <v>n/a</v>
      </c>
      <c r="AO279" s="225" t="str">
        <f t="shared" ref="AO279" si="3840">++IFERROR(AO278/AO274,"n/a")</f>
        <v>n/a</v>
      </c>
      <c r="AP279" s="225" t="str">
        <f t="shared" ref="AP279" si="3841">++IFERROR(AP278/AP274,"n/a")</f>
        <v>n/a</v>
      </c>
      <c r="AQ279" s="225" t="str">
        <f t="shared" ref="AQ279" si="3842">++IFERROR(AQ278/AQ274,"n/a")</f>
        <v>n/a</v>
      </c>
      <c r="AR279" s="225" t="str">
        <f t="shared" ref="AR279" si="3843">++IFERROR(AR278/AR274,"n/a")</f>
        <v>n/a</v>
      </c>
      <c r="AS279" s="225" t="str">
        <f t="shared" ref="AS279" si="3844">++IFERROR(AS278/AS274,"n/a")</f>
        <v>n/a</v>
      </c>
      <c r="AT279" s="225" t="str">
        <f t="shared" ref="AT279" si="3845">++IFERROR(AT278/AT274,"n/a")</f>
        <v>n/a</v>
      </c>
      <c r="AU279" s="214" t="str">
        <f t="shared" ref="AU279" si="3846">++IFERROR(AU278/AU274,"n/a")</f>
        <v>n/a</v>
      </c>
      <c r="AV279" s="225" t="str">
        <f t="shared" ref="AV279" si="3847">++IFERROR(AV278/AV274,"n/a")</f>
        <v>n/a</v>
      </c>
      <c r="AW279" s="225" t="str">
        <f t="shared" ref="AW279" si="3848">++IFERROR(AW278/AW274,"n/a")</f>
        <v>n/a</v>
      </c>
      <c r="AX279" s="225" t="str">
        <f t="shared" ref="AX279" si="3849">++IFERROR(AX278/AX274,"n/a")</f>
        <v>n/a</v>
      </c>
      <c r="AY279" s="225" t="str">
        <f t="shared" ref="AY279" si="3850">++IFERROR(AY278/AY274,"n/a")</f>
        <v>n/a</v>
      </c>
      <c r="AZ279" s="225" t="str">
        <f t="shared" ref="AZ279" si="3851">++IFERROR(AZ278/AZ274,"n/a")</f>
        <v>n/a</v>
      </c>
      <c r="BA279" s="225" t="str">
        <f t="shared" ref="BA279" si="3852">++IFERROR(BA278/BA274,"n/a")</f>
        <v>n/a</v>
      </c>
      <c r="BB279" s="225" t="str">
        <f t="shared" ref="BB279" si="3853">++IFERROR(BB278/BB274,"n/a")</f>
        <v>n/a</v>
      </c>
      <c r="BC279" s="225" t="str">
        <f t="shared" ref="BC279" si="3854">++IFERROR(BC278/BC274,"n/a")</f>
        <v>n/a</v>
      </c>
      <c r="BD279" s="225" t="str">
        <f t="shared" ref="BD279" si="3855">++IFERROR(BD278/BD274,"n/a")</f>
        <v>n/a</v>
      </c>
      <c r="BE279" s="225" t="str">
        <f t="shared" ref="BE279" si="3856">++IFERROR(BE278/BE274,"n/a")</f>
        <v>n/a</v>
      </c>
      <c r="BF279" s="225" t="str">
        <f t="shared" ref="BF279" si="3857">++IFERROR(BF278/BF274,"n/a")</f>
        <v>n/a</v>
      </c>
      <c r="BG279" s="214" t="str">
        <f t="shared" ref="BG279" si="3858">++IFERROR(BG278/BG274,"n/a")</f>
        <v>n/a</v>
      </c>
      <c r="BH279" s="225" t="str">
        <f t="shared" ref="BH279" si="3859">++IFERROR(BH278/BH274,"n/a")</f>
        <v>n/a</v>
      </c>
      <c r="BI279" s="225" t="str">
        <f t="shared" ref="BI279" si="3860">++IFERROR(BI278/BI274,"n/a")</f>
        <v>n/a</v>
      </c>
      <c r="BJ279" s="225" t="str">
        <f t="shared" ref="BJ279" si="3861">++IFERROR(BJ278/BJ274,"n/a")</f>
        <v>n/a</v>
      </c>
      <c r="BK279" s="225" t="str">
        <f t="shared" ref="BK279" si="3862">++IFERROR(BK278/BK274,"n/a")</f>
        <v>n/a</v>
      </c>
      <c r="BL279" s="225" t="str">
        <f t="shared" ref="BL279" si="3863">++IFERROR(BL278/BL274,"n/a")</f>
        <v>n/a</v>
      </c>
      <c r="BM279" s="225" t="str">
        <f t="shared" ref="BM279" si="3864">++IFERROR(BM278/BM274,"n/a")</f>
        <v>n/a</v>
      </c>
      <c r="BN279" s="225" t="str">
        <f t="shared" ref="BN279" si="3865">++IFERROR(BN278/BN274,"n/a")</f>
        <v>n/a</v>
      </c>
      <c r="BO279" s="225" t="str">
        <f t="shared" ref="BO279" si="3866">++IFERROR(BO278/BO274,"n/a")</f>
        <v>n/a</v>
      </c>
      <c r="BP279" s="225" t="str">
        <f t="shared" ref="BP279" si="3867">++IFERROR(BP278/BP274,"n/a")</f>
        <v>n/a</v>
      </c>
      <c r="BQ279" s="225" t="str">
        <f t="shared" ref="BQ279" si="3868">++IFERROR(BQ278/BQ274,"n/a")</f>
        <v>n/a</v>
      </c>
      <c r="BR279" s="225" t="str">
        <f t="shared" ref="BR279" si="3869">++IFERROR(BR278/BR274,"n/a")</f>
        <v>n/a</v>
      </c>
      <c r="BS279" s="214" t="str">
        <f t="shared" ref="BS279" si="3870">++IFERROR(BS278/BS274,"n/a")</f>
        <v>n/a</v>
      </c>
      <c r="BT279" s="225" t="str">
        <f t="shared" ref="BT279" si="3871">++IFERROR(BT278/BT274,"n/a")</f>
        <v>n/a</v>
      </c>
      <c r="BU279" s="225" t="str">
        <f t="shared" ref="BU279" si="3872">++IFERROR(BU278/BU274,"n/a")</f>
        <v>n/a</v>
      </c>
      <c r="BV279" s="225" t="str">
        <f t="shared" ref="BV279" si="3873">++IFERROR(BV278/BV274,"n/a")</f>
        <v>n/a</v>
      </c>
      <c r="BW279" s="225" t="str">
        <f t="shared" ref="BW279" si="3874">++IFERROR(BW278/BW274,"n/a")</f>
        <v>n/a</v>
      </c>
      <c r="BX279" s="225" t="str">
        <f t="shared" ref="BX279" si="3875">++IFERROR(BX278/BX274,"n/a")</f>
        <v>n/a</v>
      </c>
      <c r="BY279" s="225" t="str">
        <f t="shared" ref="BY279" si="3876">++IFERROR(BY278/BY274,"n/a")</f>
        <v>n/a</v>
      </c>
      <c r="BZ279" s="225" t="str">
        <f t="shared" ref="BZ279" si="3877">++IFERROR(BZ278/BZ274,"n/a")</f>
        <v>n/a</v>
      </c>
      <c r="CA279" s="225" t="str">
        <f t="shared" ref="CA279" si="3878">++IFERROR(CA278/CA274,"n/a")</f>
        <v>n/a</v>
      </c>
      <c r="CB279" s="225" t="str">
        <f t="shared" ref="CB279" si="3879">++IFERROR(CB278/CB274,"n/a")</f>
        <v>n/a</v>
      </c>
      <c r="CC279" s="225" t="str">
        <f t="shared" ref="CC279" si="3880">++IFERROR(CC278/CC274,"n/a")</f>
        <v>n/a</v>
      </c>
      <c r="CD279" s="225" t="str">
        <f t="shared" ref="CD279" si="3881">++IFERROR(CD278/CD274,"n/a")</f>
        <v>n/a</v>
      </c>
      <c r="CE279" s="214" t="str">
        <f t="shared" ref="CE279" si="3882">++IFERROR(CE278/CE274,"n/a")</f>
        <v>n/a</v>
      </c>
      <c r="CF279" s="225" t="str">
        <f t="shared" ref="CF279" si="3883">++IFERROR(CF278/CF274,"n/a")</f>
        <v>n/a</v>
      </c>
      <c r="CG279" s="225" t="str">
        <f t="shared" ref="CG279" si="3884">++IFERROR(CG278/CG274,"n/a")</f>
        <v>n/a</v>
      </c>
      <c r="CH279" s="225" t="str">
        <f t="shared" ref="CH279" si="3885">++IFERROR(CH278/CH274,"n/a")</f>
        <v>n/a</v>
      </c>
      <c r="CI279" s="225" t="str">
        <f t="shared" ref="CI279" si="3886">++IFERROR(CI278/CI274,"n/a")</f>
        <v>n/a</v>
      </c>
      <c r="CJ279" s="225" t="str">
        <f t="shared" ref="CJ279" si="3887">++IFERROR(CJ278/CJ274,"n/a")</f>
        <v>n/a</v>
      </c>
      <c r="CK279" s="225" t="str">
        <f t="shared" ref="CK279" si="3888">++IFERROR(CK278/CK274,"n/a")</f>
        <v>n/a</v>
      </c>
      <c r="CL279" s="225" t="str">
        <f t="shared" ref="CL279" si="3889">++IFERROR(CL278/CL274,"n/a")</f>
        <v>n/a</v>
      </c>
      <c r="CM279" s="225" t="str">
        <f t="shared" ref="CM279" si="3890">++IFERROR(CM278/CM274,"n/a")</f>
        <v>n/a</v>
      </c>
      <c r="CN279" s="225" t="str">
        <f t="shared" ref="CN279" si="3891">++IFERROR(CN278/CN274,"n/a")</f>
        <v>n/a</v>
      </c>
      <c r="CO279" s="225" t="str">
        <f t="shared" ref="CO279" si="3892">++IFERROR(CO278/CO274,"n/a")</f>
        <v>n/a</v>
      </c>
      <c r="CP279" s="225" t="str">
        <f t="shared" ref="CP279" si="3893">++IFERROR(CP278/CP274,"n/a")</f>
        <v>n/a</v>
      </c>
      <c r="CQ279" s="214" t="str">
        <f t="shared" ref="CQ279" si="3894">++IFERROR(CQ278/CQ274,"n/a")</f>
        <v>n/a</v>
      </c>
      <c r="CR279" s="225" t="str">
        <f t="shared" ref="CR279" si="3895">++IFERROR(CR278/CR274,"n/a")</f>
        <v>n/a</v>
      </c>
      <c r="CS279" s="225" t="str">
        <f t="shared" ref="CS279" si="3896">++IFERROR(CS278/CS274,"n/a")</f>
        <v>n/a</v>
      </c>
      <c r="CT279" s="225" t="str">
        <f t="shared" ref="CT279" si="3897">++IFERROR(CT278/CT274,"n/a")</f>
        <v>n/a</v>
      </c>
      <c r="CU279" s="225" t="str">
        <f t="shared" ref="CU279" si="3898">++IFERROR(CU278/CU274,"n/a")</f>
        <v>n/a</v>
      </c>
      <c r="CV279" s="225" t="str">
        <f t="shared" ref="CV279" si="3899">++IFERROR(CV278/CV274,"n/a")</f>
        <v>n/a</v>
      </c>
      <c r="CW279" s="225" t="str">
        <f t="shared" ref="CW279" si="3900">++IFERROR(CW278/CW274,"n/a")</f>
        <v>n/a</v>
      </c>
      <c r="CX279" s="225" t="str">
        <f t="shared" ref="CX279" si="3901">++IFERROR(CX278/CX274,"n/a")</f>
        <v>n/a</v>
      </c>
      <c r="CY279" s="225" t="str">
        <f t="shared" ref="CY279" si="3902">++IFERROR(CY278/CY274,"n/a")</f>
        <v>n/a</v>
      </c>
      <c r="CZ279" s="225" t="str">
        <f t="shared" ref="CZ279" si="3903">++IFERROR(CZ278/CZ274,"n/a")</f>
        <v>n/a</v>
      </c>
      <c r="DA279" s="225" t="str">
        <f t="shared" ref="DA279" si="3904">++IFERROR(DA278/DA274,"n/a")</f>
        <v>n/a</v>
      </c>
      <c r="DB279" s="225" t="str">
        <f t="shared" ref="DB279" si="3905">++IFERROR(DB278/DB274,"n/a")</f>
        <v>n/a</v>
      </c>
      <c r="DC279" s="214" t="str">
        <f t="shared" ref="DC279" si="3906">++IFERROR(DC278/DC274,"n/a")</f>
        <v>n/a</v>
      </c>
    </row>
    <row r="280" spans="3:107" x14ac:dyDescent="0.3">
      <c r="G280" s="203"/>
      <c r="K280" s="203"/>
      <c r="W280" s="203"/>
      <c r="AI280" s="203"/>
      <c r="AU280" s="203"/>
      <c r="BG280" s="203"/>
      <c r="BS280" s="203"/>
      <c r="CE280" s="203"/>
      <c r="CQ280" s="203"/>
      <c r="DC280" s="203"/>
    </row>
    <row r="281" spans="3:107" ht="13.5" thickBot="1" x14ac:dyDescent="0.35">
      <c r="C281" s="369" t="str">
        <f>++C$36</f>
        <v>Net Income</v>
      </c>
      <c r="D281" s="370"/>
      <c r="E281" s="370"/>
      <c r="G281" s="435">
        <f>++G134</f>
        <v>0</v>
      </c>
      <c r="H281" s="435">
        <f t="shared" ref="H281:BS281" si="3907">++H134</f>
        <v>0</v>
      </c>
      <c r="I281" s="435">
        <f t="shared" si="3907"/>
        <v>0</v>
      </c>
      <c r="J281" s="435">
        <f t="shared" si="3907"/>
        <v>0</v>
      </c>
      <c r="K281" s="435">
        <f t="shared" si="3907"/>
        <v>0</v>
      </c>
      <c r="L281" s="435">
        <f t="shared" si="3907"/>
        <v>0</v>
      </c>
      <c r="M281" s="435">
        <f t="shared" si="3907"/>
        <v>0</v>
      </c>
      <c r="N281" s="435">
        <f t="shared" si="3907"/>
        <v>0</v>
      </c>
      <c r="O281" s="435">
        <f t="shared" si="3907"/>
        <v>0</v>
      </c>
      <c r="P281" s="435">
        <f t="shared" si="3907"/>
        <v>0</v>
      </c>
      <c r="Q281" s="435">
        <f t="shared" si="3907"/>
        <v>0</v>
      </c>
      <c r="R281" s="435">
        <f t="shared" si="3907"/>
        <v>0</v>
      </c>
      <c r="S281" s="435">
        <f t="shared" si="3907"/>
        <v>0</v>
      </c>
      <c r="T281" s="435">
        <f t="shared" si="3907"/>
        <v>0</v>
      </c>
      <c r="U281" s="435">
        <f t="shared" si="3907"/>
        <v>0</v>
      </c>
      <c r="V281" s="435">
        <f t="shared" si="3907"/>
        <v>0</v>
      </c>
      <c r="W281" s="435">
        <f t="shared" si="3907"/>
        <v>0</v>
      </c>
      <c r="X281" s="435">
        <f t="shared" si="3907"/>
        <v>0</v>
      </c>
      <c r="Y281" s="435">
        <f t="shared" si="3907"/>
        <v>0</v>
      </c>
      <c r="Z281" s="435">
        <f t="shared" si="3907"/>
        <v>0</v>
      </c>
      <c r="AA281" s="435">
        <f t="shared" si="3907"/>
        <v>0</v>
      </c>
      <c r="AB281" s="435">
        <f t="shared" si="3907"/>
        <v>0</v>
      </c>
      <c r="AC281" s="435">
        <f t="shared" si="3907"/>
        <v>0</v>
      </c>
      <c r="AD281" s="435">
        <f t="shared" si="3907"/>
        <v>0</v>
      </c>
      <c r="AE281" s="435">
        <f t="shared" si="3907"/>
        <v>0</v>
      </c>
      <c r="AF281" s="435">
        <f t="shared" si="3907"/>
        <v>0</v>
      </c>
      <c r="AG281" s="435">
        <f t="shared" si="3907"/>
        <v>0</v>
      </c>
      <c r="AH281" s="435">
        <f t="shared" si="3907"/>
        <v>0</v>
      </c>
      <c r="AI281" s="435">
        <f t="shared" si="3907"/>
        <v>0</v>
      </c>
      <c r="AJ281" s="435">
        <f t="shared" si="3907"/>
        <v>0</v>
      </c>
      <c r="AK281" s="435">
        <f t="shared" si="3907"/>
        <v>0</v>
      </c>
      <c r="AL281" s="435">
        <f t="shared" si="3907"/>
        <v>0</v>
      </c>
      <c r="AM281" s="435">
        <f t="shared" si="3907"/>
        <v>0</v>
      </c>
      <c r="AN281" s="435">
        <f t="shared" si="3907"/>
        <v>0</v>
      </c>
      <c r="AO281" s="435">
        <f t="shared" si="3907"/>
        <v>0</v>
      </c>
      <c r="AP281" s="435">
        <f t="shared" si="3907"/>
        <v>0</v>
      </c>
      <c r="AQ281" s="435">
        <f t="shared" si="3907"/>
        <v>0</v>
      </c>
      <c r="AR281" s="435">
        <f t="shared" si="3907"/>
        <v>0</v>
      </c>
      <c r="AS281" s="435">
        <f t="shared" si="3907"/>
        <v>0</v>
      </c>
      <c r="AT281" s="435">
        <f t="shared" si="3907"/>
        <v>0</v>
      </c>
      <c r="AU281" s="435">
        <f t="shared" si="3907"/>
        <v>0</v>
      </c>
      <c r="AV281" s="435">
        <f t="shared" si="3907"/>
        <v>0</v>
      </c>
      <c r="AW281" s="435">
        <f t="shared" si="3907"/>
        <v>0</v>
      </c>
      <c r="AX281" s="435">
        <f t="shared" si="3907"/>
        <v>0</v>
      </c>
      <c r="AY281" s="435">
        <f t="shared" si="3907"/>
        <v>0</v>
      </c>
      <c r="AZ281" s="435">
        <f t="shared" si="3907"/>
        <v>0</v>
      </c>
      <c r="BA281" s="435">
        <f t="shared" si="3907"/>
        <v>0</v>
      </c>
      <c r="BB281" s="435">
        <f t="shared" si="3907"/>
        <v>0</v>
      </c>
      <c r="BC281" s="435">
        <f t="shared" si="3907"/>
        <v>0</v>
      </c>
      <c r="BD281" s="435">
        <f t="shared" si="3907"/>
        <v>0</v>
      </c>
      <c r="BE281" s="435">
        <f t="shared" si="3907"/>
        <v>0</v>
      </c>
      <c r="BF281" s="435">
        <f t="shared" si="3907"/>
        <v>0</v>
      </c>
      <c r="BG281" s="435">
        <f t="shared" si="3907"/>
        <v>0</v>
      </c>
      <c r="BH281" s="435">
        <f t="shared" si="3907"/>
        <v>0</v>
      </c>
      <c r="BI281" s="435">
        <f t="shared" si="3907"/>
        <v>0</v>
      </c>
      <c r="BJ281" s="435">
        <f t="shared" si="3907"/>
        <v>0</v>
      </c>
      <c r="BK281" s="435">
        <f t="shared" si="3907"/>
        <v>0</v>
      </c>
      <c r="BL281" s="435">
        <f t="shared" si="3907"/>
        <v>0</v>
      </c>
      <c r="BM281" s="435">
        <f t="shared" si="3907"/>
        <v>0</v>
      </c>
      <c r="BN281" s="435">
        <f t="shared" si="3907"/>
        <v>0</v>
      </c>
      <c r="BO281" s="435">
        <f t="shared" si="3907"/>
        <v>0</v>
      </c>
      <c r="BP281" s="435">
        <f t="shared" si="3907"/>
        <v>0</v>
      </c>
      <c r="BQ281" s="435">
        <f t="shared" si="3907"/>
        <v>0</v>
      </c>
      <c r="BR281" s="435">
        <f t="shared" si="3907"/>
        <v>0</v>
      </c>
      <c r="BS281" s="435">
        <f t="shared" si="3907"/>
        <v>0</v>
      </c>
      <c r="BT281" s="435">
        <f t="shared" ref="BT281:DC281" si="3908">++BT134</f>
        <v>0</v>
      </c>
      <c r="BU281" s="435">
        <f t="shared" si="3908"/>
        <v>0</v>
      </c>
      <c r="BV281" s="435">
        <f t="shared" si="3908"/>
        <v>0</v>
      </c>
      <c r="BW281" s="435">
        <f t="shared" si="3908"/>
        <v>0</v>
      </c>
      <c r="BX281" s="435">
        <f t="shared" si="3908"/>
        <v>0</v>
      </c>
      <c r="BY281" s="435">
        <f t="shared" si="3908"/>
        <v>0</v>
      </c>
      <c r="BZ281" s="435">
        <f t="shared" si="3908"/>
        <v>0</v>
      </c>
      <c r="CA281" s="435">
        <f t="shared" si="3908"/>
        <v>0</v>
      </c>
      <c r="CB281" s="435">
        <f t="shared" si="3908"/>
        <v>0</v>
      </c>
      <c r="CC281" s="435">
        <f t="shared" si="3908"/>
        <v>0</v>
      </c>
      <c r="CD281" s="435">
        <f t="shared" si="3908"/>
        <v>0</v>
      </c>
      <c r="CE281" s="435">
        <f t="shared" si="3908"/>
        <v>0</v>
      </c>
      <c r="CF281" s="435">
        <f t="shared" si="3908"/>
        <v>0</v>
      </c>
      <c r="CG281" s="435">
        <f t="shared" si="3908"/>
        <v>0</v>
      </c>
      <c r="CH281" s="435">
        <f t="shared" si="3908"/>
        <v>0</v>
      </c>
      <c r="CI281" s="435">
        <f t="shared" si="3908"/>
        <v>0</v>
      </c>
      <c r="CJ281" s="435">
        <f t="shared" si="3908"/>
        <v>0</v>
      </c>
      <c r="CK281" s="435">
        <f t="shared" si="3908"/>
        <v>0</v>
      </c>
      <c r="CL281" s="435">
        <f t="shared" si="3908"/>
        <v>0</v>
      </c>
      <c r="CM281" s="435">
        <f t="shared" si="3908"/>
        <v>0</v>
      </c>
      <c r="CN281" s="435">
        <f t="shared" si="3908"/>
        <v>0</v>
      </c>
      <c r="CO281" s="435">
        <f t="shared" si="3908"/>
        <v>0</v>
      </c>
      <c r="CP281" s="435">
        <f t="shared" si="3908"/>
        <v>0</v>
      </c>
      <c r="CQ281" s="435">
        <f t="shared" si="3908"/>
        <v>0</v>
      </c>
      <c r="CR281" s="435">
        <f t="shared" si="3908"/>
        <v>0</v>
      </c>
      <c r="CS281" s="435">
        <f t="shared" si="3908"/>
        <v>0</v>
      </c>
      <c r="CT281" s="435">
        <f t="shared" si="3908"/>
        <v>0</v>
      </c>
      <c r="CU281" s="435">
        <f t="shared" si="3908"/>
        <v>0</v>
      </c>
      <c r="CV281" s="435">
        <f t="shared" si="3908"/>
        <v>0</v>
      </c>
      <c r="CW281" s="435">
        <f t="shared" si="3908"/>
        <v>0</v>
      </c>
      <c r="CX281" s="435">
        <f t="shared" si="3908"/>
        <v>0</v>
      </c>
      <c r="CY281" s="435">
        <f t="shared" si="3908"/>
        <v>0</v>
      </c>
      <c r="CZ281" s="435">
        <f t="shared" si="3908"/>
        <v>0</v>
      </c>
      <c r="DA281" s="435">
        <f t="shared" si="3908"/>
        <v>0</v>
      </c>
      <c r="DB281" s="435">
        <f t="shared" si="3908"/>
        <v>0</v>
      </c>
      <c r="DC281" s="435">
        <f t="shared" si="3908"/>
        <v>0</v>
      </c>
    </row>
    <row r="282" spans="3:107" ht="13.5" thickTop="1" x14ac:dyDescent="0.3">
      <c r="C282" s="321" t="str">
        <f>++C$37</f>
        <v>% margin</v>
      </c>
      <c r="G282" s="214" t="str">
        <f>++IFERROR(G281/G255,"n/a")</f>
        <v>n/a</v>
      </c>
      <c r="H282" s="225" t="str">
        <f t="shared" ref="H282" si="3909">++IFERROR(H281/H255,"n/a")</f>
        <v>n/a</v>
      </c>
      <c r="I282" s="225" t="str">
        <f t="shared" ref="I282" si="3910">++IFERROR(I281/I255,"n/a")</f>
        <v>n/a</v>
      </c>
      <c r="J282" s="225" t="str">
        <f t="shared" ref="J282" si="3911">++IFERROR(J281/J255,"n/a")</f>
        <v>n/a</v>
      </c>
      <c r="K282" s="214" t="str">
        <f t="shared" ref="K282" si="3912">++IFERROR(K281/K255,"n/a")</f>
        <v>n/a</v>
      </c>
      <c r="L282" s="225" t="str">
        <f t="shared" ref="L282" si="3913">++IFERROR(L281/L255,"n/a")</f>
        <v>n/a</v>
      </c>
      <c r="M282" s="225" t="str">
        <f t="shared" ref="M282" si="3914">++IFERROR(M281/M255,"n/a")</f>
        <v>n/a</v>
      </c>
      <c r="N282" s="225" t="str">
        <f t="shared" ref="N282" si="3915">++IFERROR(N281/N255,"n/a")</f>
        <v>n/a</v>
      </c>
      <c r="O282" s="225" t="str">
        <f t="shared" ref="O282" si="3916">++IFERROR(O281/O255,"n/a")</f>
        <v>n/a</v>
      </c>
      <c r="P282" s="225" t="str">
        <f t="shared" ref="P282" si="3917">++IFERROR(P281/P255,"n/a")</f>
        <v>n/a</v>
      </c>
      <c r="Q282" s="225" t="str">
        <f t="shared" ref="Q282" si="3918">++IFERROR(Q281/Q255,"n/a")</f>
        <v>n/a</v>
      </c>
      <c r="R282" s="225" t="str">
        <f t="shared" ref="R282" si="3919">++IFERROR(R281/R255,"n/a")</f>
        <v>n/a</v>
      </c>
      <c r="S282" s="225" t="str">
        <f t="shared" ref="S282" si="3920">++IFERROR(S281/S255,"n/a")</f>
        <v>n/a</v>
      </c>
      <c r="T282" s="225" t="str">
        <f t="shared" ref="T282" si="3921">++IFERROR(T281/T255,"n/a")</f>
        <v>n/a</v>
      </c>
      <c r="U282" s="225" t="str">
        <f t="shared" ref="U282" si="3922">++IFERROR(U281/U255,"n/a")</f>
        <v>n/a</v>
      </c>
      <c r="V282" s="225" t="str">
        <f t="shared" ref="V282" si="3923">++IFERROR(V281/V255,"n/a")</f>
        <v>n/a</v>
      </c>
      <c r="W282" s="214" t="str">
        <f t="shared" ref="W282" si="3924">++IFERROR(W281/W255,"n/a")</f>
        <v>n/a</v>
      </c>
      <c r="X282" s="225" t="str">
        <f t="shared" ref="X282" si="3925">++IFERROR(X281/X255,"n/a")</f>
        <v>n/a</v>
      </c>
      <c r="Y282" s="225" t="str">
        <f t="shared" ref="Y282" si="3926">++IFERROR(Y281/Y255,"n/a")</f>
        <v>n/a</v>
      </c>
      <c r="Z282" s="225" t="str">
        <f t="shared" ref="Z282" si="3927">++IFERROR(Z281/Z255,"n/a")</f>
        <v>n/a</v>
      </c>
      <c r="AA282" s="225" t="str">
        <f t="shared" ref="AA282" si="3928">++IFERROR(AA281/AA255,"n/a")</f>
        <v>n/a</v>
      </c>
      <c r="AB282" s="225" t="str">
        <f t="shared" ref="AB282" si="3929">++IFERROR(AB281/AB255,"n/a")</f>
        <v>n/a</v>
      </c>
      <c r="AC282" s="225" t="str">
        <f t="shared" ref="AC282" si="3930">++IFERROR(AC281/AC255,"n/a")</f>
        <v>n/a</v>
      </c>
      <c r="AD282" s="225" t="str">
        <f t="shared" ref="AD282" si="3931">++IFERROR(AD281/AD255,"n/a")</f>
        <v>n/a</v>
      </c>
      <c r="AE282" s="225" t="str">
        <f t="shared" ref="AE282" si="3932">++IFERROR(AE281/AE255,"n/a")</f>
        <v>n/a</v>
      </c>
      <c r="AF282" s="225" t="str">
        <f t="shared" ref="AF282" si="3933">++IFERROR(AF281/AF255,"n/a")</f>
        <v>n/a</v>
      </c>
      <c r="AG282" s="225" t="str">
        <f t="shared" ref="AG282" si="3934">++IFERROR(AG281/AG255,"n/a")</f>
        <v>n/a</v>
      </c>
      <c r="AH282" s="225" t="str">
        <f t="shared" ref="AH282" si="3935">++IFERROR(AH281/AH255,"n/a")</f>
        <v>n/a</v>
      </c>
      <c r="AI282" s="214" t="str">
        <f t="shared" ref="AI282" si="3936">++IFERROR(AI281/AI255,"n/a")</f>
        <v>n/a</v>
      </c>
      <c r="AJ282" s="225" t="str">
        <f t="shared" ref="AJ282" si="3937">++IFERROR(AJ281/AJ255,"n/a")</f>
        <v>n/a</v>
      </c>
      <c r="AK282" s="225" t="str">
        <f t="shared" ref="AK282" si="3938">++IFERROR(AK281/AK255,"n/a")</f>
        <v>n/a</v>
      </c>
      <c r="AL282" s="225" t="str">
        <f t="shared" ref="AL282" si="3939">++IFERROR(AL281/AL255,"n/a")</f>
        <v>n/a</v>
      </c>
      <c r="AM282" s="225" t="str">
        <f t="shared" ref="AM282" si="3940">++IFERROR(AM281/AM255,"n/a")</f>
        <v>n/a</v>
      </c>
      <c r="AN282" s="225" t="str">
        <f t="shared" ref="AN282" si="3941">++IFERROR(AN281/AN255,"n/a")</f>
        <v>n/a</v>
      </c>
      <c r="AO282" s="225" t="str">
        <f t="shared" ref="AO282" si="3942">++IFERROR(AO281/AO255,"n/a")</f>
        <v>n/a</v>
      </c>
      <c r="AP282" s="225" t="str">
        <f t="shared" ref="AP282" si="3943">++IFERROR(AP281/AP255,"n/a")</f>
        <v>n/a</v>
      </c>
      <c r="AQ282" s="225" t="str">
        <f t="shared" ref="AQ282" si="3944">++IFERROR(AQ281/AQ255,"n/a")</f>
        <v>n/a</v>
      </c>
      <c r="AR282" s="225" t="str">
        <f t="shared" ref="AR282" si="3945">++IFERROR(AR281/AR255,"n/a")</f>
        <v>n/a</v>
      </c>
      <c r="AS282" s="225" t="str">
        <f t="shared" ref="AS282" si="3946">++IFERROR(AS281/AS255,"n/a")</f>
        <v>n/a</v>
      </c>
      <c r="AT282" s="225" t="str">
        <f t="shared" ref="AT282" si="3947">++IFERROR(AT281/AT255,"n/a")</f>
        <v>n/a</v>
      </c>
      <c r="AU282" s="214" t="str">
        <f t="shared" ref="AU282" si="3948">++IFERROR(AU281/AU255,"n/a")</f>
        <v>n/a</v>
      </c>
      <c r="AV282" s="225" t="str">
        <f t="shared" ref="AV282" si="3949">++IFERROR(AV281/AV255,"n/a")</f>
        <v>n/a</v>
      </c>
      <c r="AW282" s="225" t="str">
        <f t="shared" ref="AW282" si="3950">++IFERROR(AW281/AW255,"n/a")</f>
        <v>n/a</v>
      </c>
      <c r="AX282" s="225" t="str">
        <f t="shared" ref="AX282" si="3951">++IFERROR(AX281/AX255,"n/a")</f>
        <v>n/a</v>
      </c>
      <c r="AY282" s="225" t="str">
        <f t="shared" ref="AY282" si="3952">++IFERROR(AY281/AY255,"n/a")</f>
        <v>n/a</v>
      </c>
      <c r="AZ282" s="225" t="str">
        <f t="shared" ref="AZ282" si="3953">++IFERROR(AZ281/AZ255,"n/a")</f>
        <v>n/a</v>
      </c>
      <c r="BA282" s="225" t="str">
        <f t="shared" ref="BA282" si="3954">++IFERROR(BA281/BA255,"n/a")</f>
        <v>n/a</v>
      </c>
      <c r="BB282" s="225" t="str">
        <f t="shared" ref="BB282" si="3955">++IFERROR(BB281/BB255,"n/a")</f>
        <v>n/a</v>
      </c>
      <c r="BC282" s="225" t="str">
        <f t="shared" ref="BC282" si="3956">++IFERROR(BC281/BC255,"n/a")</f>
        <v>n/a</v>
      </c>
      <c r="BD282" s="225" t="str">
        <f t="shared" ref="BD282" si="3957">++IFERROR(BD281/BD255,"n/a")</f>
        <v>n/a</v>
      </c>
      <c r="BE282" s="225" t="str">
        <f t="shared" ref="BE282" si="3958">++IFERROR(BE281/BE255,"n/a")</f>
        <v>n/a</v>
      </c>
      <c r="BF282" s="225" t="str">
        <f t="shared" ref="BF282" si="3959">++IFERROR(BF281/BF255,"n/a")</f>
        <v>n/a</v>
      </c>
      <c r="BG282" s="214" t="str">
        <f t="shared" ref="BG282" si="3960">++IFERROR(BG281/BG255,"n/a")</f>
        <v>n/a</v>
      </c>
      <c r="BH282" s="225" t="str">
        <f t="shared" ref="BH282" si="3961">++IFERROR(BH281/BH255,"n/a")</f>
        <v>n/a</v>
      </c>
      <c r="BI282" s="225" t="str">
        <f t="shared" ref="BI282" si="3962">++IFERROR(BI281/BI255,"n/a")</f>
        <v>n/a</v>
      </c>
      <c r="BJ282" s="225" t="str">
        <f t="shared" ref="BJ282" si="3963">++IFERROR(BJ281/BJ255,"n/a")</f>
        <v>n/a</v>
      </c>
      <c r="BK282" s="225" t="str">
        <f t="shared" ref="BK282" si="3964">++IFERROR(BK281/BK255,"n/a")</f>
        <v>n/a</v>
      </c>
      <c r="BL282" s="225" t="str">
        <f t="shared" ref="BL282" si="3965">++IFERROR(BL281/BL255,"n/a")</f>
        <v>n/a</v>
      </c>
      <c r="BM282" s="225" t="str">
        <f t="shared" ref="BM282" si="3966">++IFERROR(BM281/BM255,"n/a")</f>
        <v>n/a</v>
      </c>
      <c r="BN282" s="225" t="str">
        <f t="shared" ref="BN282" si="3967">++IFERROR(BN281/BN255,"n/a")</f>
        <v>n/a</v>
      </c>
      <c r="BO282" s="225" t="str">
        <f t="shared" ref="BO282" si="3968">++IFERROR(BO281/BO255,"n/a")</f>
        <v>n/a</v>
      </c>
      <c r="BP282" s="225" t="str">
        <f t="shared" ref="BP282" si="3969">++IFERROR(BP281/BP255,"n/a")</f>
        <v>n/a</v>
      </c>
      <c r="BQ282" s="225" t="str">
        <f t="shared" ref="BQ282" si="3970">++IFERROR(BQ281/BQ255,"n/a")</f>
        <v>n/a</v>
      </c>
      <c r="BR282" s="225" t="str">
        <f t="shared" ref="BR282" si="3971">++IFERROR(BR281/BR255,"n/a")</f>
        <v>n/a</v>
      </c>
      <c r="BS282" s="214" t="str">
        <f t="shared" ref="BS282" si="3972">++IFERROR(BS281/BS255,"n/a")</f>
        <v>n/a</v>
      </c>
      <c r="BT282" s="225" t="str">
        <f t="shared" ref="BT282" si="3973">++IFERROR(BT281/BT255,"n/a")</f>
        <v>n/a</v>
      </c>
      <c r="BU282" s="225" t="str">
        <f t="shared" ref="BU282" si="3974">++IFERROR(BU281/BU255,"n/a")</f>
        <v>n/a</v>
      </c>
      <c r="BV282" s="225" t="str">
        <f t="shared" ref="BV282" si="3975">++IFERROR(BV281/BV255,"n/a")</f>
        <v>n/a</v>
      </c>
      <c r="BW282" s="225" t="str">
        <f t="shared" ref="BW282" si="3976">++IFERROR(BW281/BW255,"n/a")</f>
        <v>n/a</v>
      </c>
      <c r="BX282" s="225" t="str">
        <f t="shared" ref="BX282" si="3977">++IFERROR(BX281/BX255,"n/a")</f>
        <v>n/a</v>
      </c>
      <c r="BY282" s="225" t="str">
        <f t="shared" ref="BY282" si="3978">++IFERROR(BY281/BY255,"n/a")</f>
        <v>n/a</v>
      </c>
      <c r="BZ282" s="225" t="str">
        <f t="shared" ref="BZ282" si="3979">++IFERROR(BZ281/BZ255,"n/a")</f>
        <v>n/a</v>
      </c>
      <c r="CA282" s="225" t="str">
        <f t="shared" ref="CA282" si="3980">++IFERROR(CA281/CA255,"n/a")</f>
        <v>n/a</v>
      </c>
      <c r="CB282" s="225" t="str">
        <f t="shared" ref="CB282" si="3981">++IFERROR(CB281/CB255,"n/a")</f>
        <v>n/a</v>
      </c>
      <c r="CC282" s="225" t="str">
        <f t="shared" ref="CC282" si="3982">++IFERROR(CC281/CC255,"n/a")</f>
        <v>n/a</v>
      </c>
      <c r="CD282" s="225" t="str">
        <f t="shared" ref="CD282" si="3983">++IFERROR(CD281/CD255,"n/a")</f>
        <v>n/a</v>
      </c>
      <c r="CE282" s="214" t="str">
        <f t="shared" ref="CE282" si="3984">++IFERROR(CE281/CE255,"n/a")</f>
        <v>n/a</v>
      </c>
      <c r="CF282" s="225" t="str">
        <f t="shared" ref="CF282" si="3985">++IFERROR(CF281/CF255,"n/a")</f>
        <v>n/a</v>
      </c>
      <c r="CG282" s="225" t="str">
        <f t="shared" ref="CG282" si="3986">++IFERROR(CG281/CG255,"n/a")</f>
        <v>n/a</v>
      </c>
      <c r="CH282" s="225" t="str">
        <f t="shared" ref="CH282" si="3987">++IFERROR(CH281/CH255,"n/a")</f>
        <v>n/a</v>
      </c>
      <c r="CI282" s="225" t="str">
        <f t="shared" ref="CI282" si="3988">++IFERROR(CI281/CI255,"n/a")</f>
        <v>n/a</v>
      </c>
      <c r="CJ282" s="225" t="str">
        <f t="shared" ref="CJ282" si="3989">++IFERROR(CJ281/CJ255,"n/a")</f>
        <v>n/a</v>
      </c>
      <c r="CK282" s="225" t="str">
        <f t="shared" ref="CK282" si="3990">++IFERROR(CK281/CK255,"n/a")</f>
        <v>n/a</v>
      </c>
      <c r="CL282" s="225" t="str">
        <f t="shared" ref="CL282" si="3991">++IFERROR(CL281/CL255,"n/a")</f>
        <v>n/a</v>
      </c>
      <c r="CM282" s="225" t="str">
        <f t="shared" ref="CM282" si="3992">++IFERROR(CM281/CM255,"n/a")</f>
        <v>n/a</v>
      </c>
      <c r="CN282" s="225" t="str">
        <f t="shared" ref="CN282" si="3993">++IFERROR(CN281/CN255,"n/a")</f>
        <v>n/a</v>
      </c>
      <c r="CO282" s="225" t="str">
        <f t="shared" ref="CO282" si="3994">++IFERROR(CO281/CO255,"n/a")</f>
        <v>n/a</v>
      </c>
      <c r="CP282" s="225" t="str">
        <f t="shared" ref="CP282" si="3995">++IFERROR(CP281/CP255,"n/a")</f>
        <v>n/a</v>
      </c>
      <c r="CQ282" s="214" t="str">
        <f t="shared" ref="CQ282" si="3996">++IFERROR(CQ281/CQ255,"n/a")</f>
        <v>n/a</v>
      </c>
      <c r="CR282" s="225" t="str">
        <f t="shared" ref="CR282" si="3997">++IFERROR(CR281/CR255,"n/a")</f>
        <v>n/a</v>
      </c>
      <c r="CS282" s="225" t="str">
        <f t="shared" ref="CS282" si="3998">++IFERROR(CS281/CS255,"n/a")</f>
        <v>n/a</v>
      </c>
      <c r="CT282" s="225" t="str">
        <f t="shared" ref="CT282" si="3999">++IFERROR(CT281/CT255,"n/a")</f>
        <v>n/a</v>
      </c>
      <c r="CU282" s="225" t="str">
        <f t="shared" ref="CU282" si="4000">++IFERROR(CU281/CU255,"n/a")</f>
        <v>n/a</v>
      </c>
      <c r="CV282" s="225" t="str">
        <f t="shared" ref="CV282" si="4001">++IFERROR(CV281/CV255,"n/a")</f>
        <v>n/a</v>
      </c>
      <c r="CW282" s="225" t="str">
        <f t="shared" ref="CW282" si="4002">++IFERROR(CW281/CW255,"n/a")</f>
        <v>n/a</v>
      </c>
      <c r="CX282" s="225" t="str">
        <f t="shared" ref="CX282" si="4003">++IFERROR(CX281/CX255,"n/a")</f>
        <v>n/a</v>
      </c>
      <c r="CY282" s="225" t="str">
        <f t="shared" ref="CY282" si="4004">++IFERROR(CY281/CY255,"n/a")</f>
        <v>n/a</v>
      </c>
      <c r="CZ282" s="225" t="str">
        <f t="shared" ref="CZ282" si="4005">++IFERROR(CZ281/CZ255,"n/a")</f>
        <v>n/a</v>
      </c>
      <c r="DA282" s="225" t="str">
        <f t="shared" ref="DA282" si="4006">++IFERROR(DA281/DA255,"n/a")</f>
        <v>n/a</v>
      </c>
      <c r="DB282" s="225" t="str">
        <f t="shared" ref="DB282" si="4007">++IFERROR(DB281/DB255,"n/a")</f>
        <v>n/a</v>
      </c>
      <c r="DC282" s="214" t="str">
        <f t="shared" ref="DC282" si="4008">++IFERROR(DC281/DC255,"n/a")</f>
        <v>n/a</v>
      </c>
    </row>
    <row r="283" spans="3:107" x14ac:dyDescent="0.3">
      <c r="C283" s="321" t="str">
        <f>++C$38</f>
        <v>% y/y</v>
      </c>
      <c r="G283" s="122" t="s">
        <v>47</v>
      </c>
      <c r="H283" s="122" t="s">
        <v>47</v>
      </c>
      <c r="I283" s="122" t="s">
        <v>47</v>
      </c>
      <c r="J283" s="122" t="s">
        <v>47</v>
      </c>
      <c r="K283" s="214" t="str">
        <f>++IFERROR(K281/G281-1,"n/a")</f>
        <v>n/a</v>
      </c>
      <c r="L283" s="122" t="s">
        <v>47</v>
      </c>
      <c r="M283" s="122" t="s">
        <v>47</v>
      </c>
      <c r="N283" s="225" t="str">
        <f>++IFERROR(N281/H281-1,"n/a")</f>
        <v>n/a</v>
      </c>
      <c r="O283" s="122" t="s">
        <v>47</v>
      </c>
      <c r="P283" s="122" t="s">
        <v>47</v>
      </c>
      <c r="Q283" s="225" t="str">
        <f>++IFERROR(Q281/I281-1,"n/a")</f>
        <v>n/a</v>
      </c>
      <c r="R283" s="122" t="s">
        <v>47</v>
      </c>
      <c r="S283" s="122" t="s">
        <v>47</v>
      </c>
      <c r="T283" s="225" t="str">
        <f>++IFERROR(T281/J281-1,"n/a")</f>
        <v>n/a</v>
      </c>
      <c r="U283" s="122" t="s">
        <v>47</v>
      </c>
      <c r="V283" s="122" t="s">
        <v>47</v>
      </c>
      <c r="W283" s="214" t="str">
        <f t="shared" ref="W283:BB283" si="4009">++IFERROR(W281/K281-1,"n/a")</f>
        <v>n/a</v>
      </c>
      <c r="X283" s="225" t="str">
        <f t="shared" si="4009"/>
        <v>n/a</v>
      </c>
      <c r="Y283" s="225" t="str">
        <f t="shared" si="4009"/>
        <v>n/a</v>
      </c>
      <c r="Z283" s="225" t="str">
        <f t="shared" si="4009"/>
        <v>n/a</v>
      </c>
      <c r="AA283" s="225" t="str">
        <f t="shared" si="4009"/>
        <v>n/a</v>
      </c>
      <c r="AB283" s="225" t="str">
        <f t="shared" si="4009"/>
        <v>n/a</v>
      </c>
      <c r="AC283" s="225" t="str">
        <f t="shared" si="4009"/>
        <v>n/a</v>
      </c>
      <c r="AD283" s="225" t="str">
        <f t="shared" si="4009"/>
        <v>n/a</v>
      </c>
      <c r="AE283" s="225" t="str">
        <f t="shared" si="4009"/>
        <v>n/a</v>
      </c>
      <c r="AF283" s="225" t="str">
        <f t="shared" si="4009"/>
        <v>n/a</v>
      </c>
      <c r="AG283" s="225" t="str">
        <f t="shared" si="4009"/>
        <v>n/a</v>
      </c>
      <c r="AH283" s="225" t="str">
        <f t="shared" si="4009"/>
        <v>n/a</v>
      </c>
      <c r="AI283" s="214" t="str">
        <f t="shared" si="4009"/>
        <v>n/a</v>
      </c>
      <c r="AJ283" s="225" t="str">
        <f t="shared" si="4009"/>
        <v>n/a</v>
      </c>
      <c r="AK283" s="225" t="str">
        <f t="shared" si="4009"/>
        <v>n/a</v>
      </c>
      <c r="AL283" s="225" t="str">
        <f t="shared" si="4009"/>
        <v>n/a</v>
      </c>
      <c r="AM283" s="225" t="str">
        <f t="shared" si="4009"/>
        <v>n/a</v>
      </c>
      <c r="AN283" s="225" t="str">
        <f t="shared" si="4009"/>
        <v>n/a</v>
      </c>
      <c r="AO283" s="225" t="str">
        <f t="shared" si="4009"/>
        <v>n/a</v>
      </c>
      <c r="AP283" s="225" t="str">
        <f t="shared" si="4009"/>
        <v>n/a</v>
      </c>
      <c r="AQ283" s="225" t="str">
        <f t="shared" si="4009"/>
        <v>n/a</v>
      </c>
      <c r="AR283" s="225" t="str">
        <f t="shared" si="4009"/>
        <v>n/a</v>
      </c>
      <c r="AS283" s="225" t="str">
        <f t="shared" si="4009"/>
        <v>n/a</v>
      </c>
      <c r="AT283" s="225" t="str">
        <f t="shared" si="4009"/>
        <v>n/a</v>
      </c>
      <c r="AU283" s="214" t="str">
        <f t="shared" si="4009"/>
        <v>n/a</v>
      </c>
      <c r="AV283" s="225" t="str">
        <f t="shared" si="4009"/>
        <v>n/a</v>
      </c>
      <c r="AW283" s="225" t="str">
        <f t="shared" si="4009"/>
        <v>n/a</v>
      </c>
      <c r="AX283" s="225" t="str">
        <f t="shared" si="4009"/>
        <v>n/a</v>
      </c>
      <c r="AY283" s="225" t="str">
        <f t="shared" si="4009"/>
        <v>n/a</v>
      </c>
      <c r="AZ283" s="225" t="str">
        <f t="shared" si="4009"/>
        <v>n/a</v>
      </c>
      <c r="BA283" s="225" t="str">
        <f t="shared" si="4009"/>
        <v>n/a</v>
      </c>
      <c r="BB283" s="225" t="str">
        <f t="shared" si="4009"/>
        <v>n/a</v>
      </c>
      <c r="BC283" s="225" t="str">
        <f t="shared" ref="BC283:CH283" si="4010">++IFERROR(BC281/AQ281-1,"n/a")</f>
        <v>n/a</v>
      </c>
      <c r="BD283" s="225" t="str">
        <f t="shared" si="4010"/>
        <v>n/a</v>
      </c>
      <c r="BE283" s="225" t="str">
        <f t="shared" si="4010"/>
        <v>n/a</v>
      </c>
      <c r="BF283" s="225" t="str">
        <f t="shared" si="4010"/>
        <v>n/a</v>
      </c>
      <c r="BG283" s="214" t="str">
        <f t="shared" si="4010"/>
        <v>n/a</v>
      </c>
      <c r="BH283" s="225" t="str">
        <f t="shared" si="4010"/>
        <v>n/a</v>
      </c>
      <c r="BI283" s="225" t="str">
        <f t="shared" si="4010"/>
        <v>n/a</v>
      </c>
      <c r="BJ283" s="225" t="str">
        <f t="shared" si="4010"/>
        <v>n/a</v>
      </c>
      <c r="BK283" s="225" t="str">
        <f t="shared" si="4010"/>
        <v>n/a</v>
      </c>
      <c r="BL283" s="225" t="str">
        <f t="shared" si="4010"/>
        <v>n/a</v>
      </c>
      <c r="BM283" s="225" t="str">
        <f t="shared" si="4010"/>
        <v>n/a</v>
      </c>
      <c r="BN283" s="225" t="str">
        <f t="shared" si="4010"/>
        <v>n/a</v>
      </c>
      <c r="BO283" s="225" t="str">
        <f t="shared" si="4010"/>
        <v>n/a</v>
      </c>
      <c r="BP283" s="225" t="str">
        <f t="shared" si="4010"/>
        <v>n/a</v>
      </c>
      <c r="BQ283" s="225" t="str">
        <f t="shared" si="4010"/>
        <v>n/a</v>
      </c>
      <c r="BR283" s="225" t="str">
        <f t="shared" si="4010"/>
        <v>n/a</v>
      </c>
      <c r="BS283" s="214" t="str">
        <f t="shared" si="4010"/>
        <v>n/a</v>
      </c>
      <c r="BT283" s="225" t="str">
        <f t="shared" si="4010"/>
        <v>n/a</v>
      </c>
      <c r="BU283" s="225" t="str">
        <f t="shared" si="4010"/>
        <v>n/a</v>
      </c>
      <c r="BV283" s="225" t="str">
        <f t="shared" si="4010"/>
        <v>n/a</v>
      </c>
      <c r="BW283" s="225" t="str">
        <f t="shared" si="4010"/>
        <v>n/a</v>
      </c>
      <c r="BX283" s="225" t="str">
        <f t="shared" si="4010"/>
        <v>n/a</v>
      </c>
      <c r="BY283" s="225" t="str">
        <f t="shared" si="4010"/>
        <v>n/a</v>
      </c>
      <c r="BZ283" s="225" t="str">
        <f t="shared" si="4010"/>
        <v>n/a</v>
      </c>
      <c r="CA283" s="225" t="str">
        <f t="shared" si="4010"/>
        <v>n/a</v>
      </c>
      <c r="CB283" s="225" t="str">
        <f t="shared" si="4010"/>
        <v>n/a</v>
      </c>
      <c r="CC283" s="225" t="str">
        <f t="shared" si="4010"/>
        <v>n/a</v>
      </c>
      <c r="CD283" s="225" t="str">
        <f t="shared" si="4010"/>
        <v>n/a</v>
      </c>
      <c r="CE283" s="214" t="str">
        <f t="shared" si="4010"/>
        <v>n/a</v>
      </c>
      <c r="CF283" s="225" t="str">
        <f t="shared" si="4010"/>
        <v>n/a</v>
      </c>
      <c r="CG283" s="225" t="str">
        <f t="shared" si="4010"/>
        <v>n/a</v>
      </c>
      <c r="CH283" s="225" t="str">
        <f t="shared" si="4010"/>
        <v>n/a</v>
      </c>
      <c r="CI283" s="225" t="str">
        <f t="shared" ref="CI283:DN283" si="4011">++IFERROR(CI281/BW281-1,"n/a")</f>
        <v>n/a</v>
      </c>
      <c r="CJ283" s="225" t="str">
        <f t="shared" si="4011"/>
        <v>n/a</v>
      </c>
      <c r="CK283" s="225" t="str">
        <f t="shared" si="4011"/>
        <v>n/a</v>
      </c>
      <c r="CL283" s="225" t="str">
        <f t="shared" si="4011"/>
        <v>n/a</v>
      </c>
      <c r="CM283" s="225" t="str">
        <f t="shared" si="4011"/>
        <v>n/a</v>
      </c>
      <c r="CN283" s="225" t="str">
        <f t="shared" si="4011"/>
        <v>n/a</v>
      </c>
      <c r="CO283" s="225" t="str">
        <f t="shared" si="4011"/>
        <v>n/a</v>
      </c>
      <c r="CP283" s="225" t="str">
        <f t="shared" si="4011"/>
        <v>n/a</v>
      </c>
      <c r="CQ283" s="214" t="str">
        <f t="shared" si="4011"/>
        <v>n/a</v>
      </c>
      <c r="CR283" s="225" t="str">
        <f t="shared" si="4011"/>
        <v>n/a</v>
      </c>
      <c r="CS283" s="225" t="str">
        <f t="shared" si="4011"/>
        <v>n/a</v>
      </c>
      <c r="CT283" s="225" t="str">
        <f t="shared" si="4011"/>
        <v>n/a</v>
      </c>
      <c r="CU283" s="225" t="str">
        <f t="shared" si="4011"/>
        <v>n/a</v>
      </c>
      <c r="CV283" s="225" t="str">
        <f t="shared" si="4011"/>
        <v>n/a</v>
      </c>
      <c r="CW283" s="225" t="str">
        <f t="shared" si="4011"/>
        <v>n/a</v>
      </c>
      <c r="CX283" s="225" t="str">
        <f t="shared" si="4011"/>
        <v>n/a</v>
      </c>
      <c r="CY283" s="225" t="str">
        <f t="shared" si="4011"/>
        <v>n/a</v>
      </c>
      <c r="CZ283" s="225" t="str">
        <f t="shared" si="4011"/>
        <v>n/a</v>
      </c>
      <c r="DA283" s="225" t="str">
        <f t="shared" si="4011"/>
        <v>n/a</v>
      </c>
      <c r="DB283" s="225" t="str">
        <f t="shared" si="4011"/>
        <v>n/a</v>
      </c>
      <c r="DC283" s="214" t="str">
        <f t="shared" si="4011"/>
        <v>n/a</v>
      </c>
    </row>
    <row r="284" spans="3:107" x14ac:dyDescent="0.3">
      <c r="G284" s="203"/>
      <c r="K284" s="203"/>
      <c r="W284" s="203"/>
      <c r="AI284" s="203"/>
      <c r="AU284" s="203"/>
      <c r="BG284" s="203"/>
      <c r="BS284" s="203"/>
      <c r="CE284" s="203"/>
      <c r="CQ284" s="203"/>
      <c r="DC284" s="203"/>
    </row>
    <row r="285" spans="3:107" x14ac:dyDescent="0.3">
      <c r="C285" s="101" t="str">
        <f>++C$40</f>
        <v>Interest Expense (Income)</v>
      </c>
      <c r="G285" s="374">
        <f>++G272</f>
        <v>0</v>
      </c>
      <c r="H285" s="200">
        <f t="shared" ref="H285:BS285" si="4012">++H272</f>
        <v>0</v>
      </c>
      <c r="I285" s="200">
        <f t="shared" si="4012"/>
        <v>0</v>
      </c>
      <c r="J285" s="200">
        <f t="shared" si="4012"/>
        <v>0</v>
      </c>
      <c r="K285" s="374">
        <f t="shared" si="4012"/>
        <v>0</v>
      </c>
      <c r="L285" s="200">
        <f t="shared" si="4012"/>
        <v>0</v>
      </c>
      <c r="M285" s="200">
        <f t="shared" si="4012"/>
        <v>0</v>
      </c>
      <c r="N285" s="200">
        <f t="shared" si="4012"/>
        <v>0</v>
      </c>
      <c r="O285" s="200">
        <f t="shared" si="4012"/>
        <v>0</v>
      </c>
      <c r="P285" s="200">
        <f t="shared" si="4012"/>
        <v>0</v>
      </c>
      <c r="Q285" s="200">
        <f t="shared" si="4012"/>
        <v>0</v>
      </c>
      <c r="R285" s="200">
        <f t="shared" si="4012"/>
        <v>0</v>
      </c>
      <c r="S285" s="200">
        <f t="shared" si="4012"/>
        <v>0</v>
      </c>
      <c r="T285" s="200">
        <f t="shared" si="4012"/>
        <v>0</v>
      </c>
      <c r="U285" s="200">
        <f t="shared" si="4012"/>
        <v>0</v>
      </c>
      <c r="V285" s="200">
        <f t="shared" si="4012"/>
        <v>0</v>
      </c>
      <c r="W285" s="374">
        <f t="shared" si="4012"/>
        <v>0</v>
      </c>
      <c r="X285" s="200">
        <f t="shared" si="4012"/>
        <v>0</v>
      </c>
      <c r="Y285" s="200">
        <f t="shared" si="4012"/>
        <v>0</v>
      </c>
      <c r="Z285" s="200">
        <f t="shared" si="4012"/>
        <v>0</v>
      </c>
      <c r="AA285" s="200">
        <f t="shared" si="4012"/>
        <v>0</v>
      </c>
      <c r="AB285" s="200">
        <f t="shared" si="4012"/>
        <v>0</v>
      </c>
      <c r="AC285" s="200">
        <f t="shared" si="4012"/>
        <v>0</v>
      </c>
      <c r="AD285" s="200">
        <f t="shared" si="4012"/>
        <v>0</v>
      </c>
      <c r="AE285" s="200">
        <f t="shared" si="4012"/>
        <v>0</v>
      </c>
      <c r="AF285" s="200">
        <f t="shared" si="4012"/>
        <v>0</v>
      </c>
      <c r="AG285" s="200">
        <f t="shared" si="4012"/>
        <v>0</v>
      </c>
      <c r="AH285" s="200">
        <f t="shared" si="4012"/>
        <v>0</v>
      </c>
      <c r="AI285" s="374">
        <f t="shared" si="4012"/>
        <v>0</v>
      </c>
      <c r="AJ285" s="200">
        <f t="shared" si="4012"/>
        <v>0</v>
      </c>
      <c r="AK285" s="200">
        <f t="shared" si="4012"/>
        <v>0</v>
      </c>
      <c r="AL285" s="200">
        <f t="shared" si="4012"/>
        <v>0</v>
      </c>
      <c r="AM285" s="200">
        <f t="shared" si="4012"/>
        <v>0</v>
      </c>
      <c r="AN285" s="200">
        <f t="shared" si="4012"/>
        <v>0</v>
      </c>
      <c r="AO285" s="200">
        <f t="shared" si="4012"/>
        <v>0</v>
      </c>
      <c r="AP285" s="200">
        <f t="shared" si="4012"/>
        <v>0</v>
      </c>
      <c r="AQ285" s="200">
        <f t="shared" si="4012"/>
        <v>0</v>
      </c>
      <c r="AR285" s="200">
        <f t="shared" si="4012"/>
        <v>0</v>
      </c>
      <c r="AS285" s="200">
        <f t="shared" si="4012"/>
        <v>0</v>
      </c>
      <c r="AT285" s="200">
        <f t="shared" si="4012"/>
        <v>0</v>
      </c>
      <c r="AU285" s="374">
        <f t="shared" si="4012"/>
        <v>0</v>
      </c>
      <c r="AV285" s="200">
        <f t="shared" si="4012"/>
        <v>0</v>
      </c>
      <c r="AW285" s="200">
        <f t="shared" si="4012"/>
        <v>0</v>
      </c>
      <c r="AX285" s="200">
        <f t="shared" si="4012"/>
        <v>0</v>
      </c>
      <c r="AY285" s="200">
        <f t="shared" si="4012"/>
        <v>0</v>
      </c>
      <c r="AZ285" s="200">
        <f t="shared" si="4012"/>
        <v>0</v>
      </c>
      <c r="BA285" s="200">
        <f t="shared" si="4012"/>
        <v>0</v>
      </c>
      <c r="BB285" s="200">
        <f t="shared" si="4012"/>
        <v>0</v>
      </c>
      <c r="BC285" s="200">
        <f t="shared" si="4012"/>
        <v>0</v>
      </c>
      <c r="BD285" s="200">
        <f t="shared" si="4012"/>
        <v>0</v>
      </c>
      <c r="BE285" s="200">
        <f t="shared" si="4012"/>
        <v>0</v>
      </c>
      <c r="BF285" s="200">
        <f t="shared" si="4012"/>
        <v>0</v>
      </c>
      <c r="BG285" s="374">
        <f t="shared" si="4012"/>
        <v>0</v>
      </c>
      <c r="BH285" s="200">
        <f t="shared" si="4012"/>
        <v>0</v>
      </c>
      <c r="BI285" s="200">
        <f t="shared" si="4012"/>
        <v>0</v>
      </c>
      <c r="BJ285" s="200">
        <f t="shared" si="4012"/>
        <v>0</v>
      </c>
      <c r="BK285" s="200">
        <f t="shared" si="4012"/>
        <v>0</v>
      </c>
      <c r="BL285" s="200">
        <f t="shared" si="4012"/>
        <v>0</v>
      </c>
      <c r="BM285" s="200">
        <f t="shared" si="4012"/>
        <v>0</v>
      </c>
      <c r="BN285" s="200">
        <f t="shared" si="4012"/>
        <v>0</v>
      </c>
      <c r="BO285" s="200">
        <f t="shared" si="4012"/>
        <v>0</v>
      </c>
      <c r="BP285" s="200">
        <f t="shared" si="4012"/>
        <v>0</v>
      </c>
      <c r="BQ285" s="200">
        <f t="shared" si="4012"/>
        <v>0</v>
      </c>
      <c r="BR285" s="200">
        <f t="shared" si="4012"/>
        <v>0</v>
      </c>
      <c r="BS285" s="374">
        <f t="shared" si="4012"/>
        <v>0</v>
      </c>
      <c r="BT285" s="200">
        <f t="shared" ref="BT285:DC285" si="4013">++BT272</f>
        <v>0</v>
      </c>
      <c r="BU285" s="200">
        <f t="shared" si="4013"/>
        <v>0</v>
      </c>
      <c r="BV285" s="200">
        <f t="shared" si="4013"/>
        <v>0</v>
      </c>
      <c r="BW285" s="200">
        <f t="shared" si="4013"/>
        <v>0</v>
      </c>
      <c r="BX285" s="200">
        <f t="shared" si="4013"/>
        <v>0</v>
      </c>
      <c r="BY285" s="200">
        <f t="shared" si="4013"/>
        <v>0</v>
      </c>
      <c r="BZ285" s="200">
        <f t="shared" si="4013"/>
        <v>0</v>
      </c>
      <c r="CA285" s="200">
        <f t="shared" si="4013"/>
        <v>0</v>
      </c>
      <c r="CB285" s="200">
        <f t="shared" si="4013"/>
        <v>0</v>
      </c>
      <c r="CC285" s="200">
        <f t="shared" si="4013"/>
        <v>0</v>
      </c>
      <c r="CD285" s="200">
        <f t="shared" si="4013"/>
        <v>0</v>
      </c>
      <c r="CE285" s="374">
        <f t="shared" si="4013"/>
        <v>0</v>
      </c>
      <c r="CF285" s="200">
        <f t="shared" si="4013"/>
        <v>0</v>
      </c>
      <c r="CG285" s="200">
        <f t="shared" si="4013"/>
        <v>0</v>
      </c>
      <c r="CH285" s="200">
        <f t="shared" si="4013"/>
        <v>0</v>
      </c>
      <c r="CI285" s="200">
        <f t="shared" si="4013"/>
        <v>0</v>
      </c>
      <c r="CJ285" s="200">
        <f t="shared" si="4013"/>
        <v>0</v>
      </c>
      <c r="CK285" s="200">
        <f t="shared" si="4013"/>
        <v>0</v>
      </c>
      <c r="CL285" s="200">
        <f t="shared" si="4013"/>
        <v>0</v>
      </c>
      <c r="CM285" s="200">
        <f t="shared" si="4013"/>
        <v>0</v>
      </c>
      <c r="CN285" s="200">
        <f t="shared" si="4013"/>
        <v>0</v>
      </c>
      <c r="CO285" s="200">
        <f t="shared" si="4013"/>
        <v>0</v>
      </c>
      <c r="CP285" s="200">
        <f t="shared" si="4013"/>
        <v>0</v>
      </c>
      <c r="CQ285" s="374">
        <f t="shared" si="4013"/>
        <v>0</v>
      </c>
      <c r="CR285" s="200">
        <f t="shared" si="4013"/>
        <v>0</v>
      </c>
      <c r="CS285" s="200">
        <f t="shared" si="4013"/>
        <v>0</v>
      </c>
      <c r="CT285" s="200">
        <f t="shared" si="4013"/>
        <v>0</v>
      </c>
      <c r="CU285" s="200">
        <f t="shared" si="4013"/>
        <v>0</v>
      </c>
      <c r="CV285" s="200">
        <f t="shared" si="4013"/>
        <v>0</v>
      </c>
      <c r="CW285" s="200">
        <f t="shared" si="4013"/>
        <v>0</v>
      </c>
      <c r="CX285" s="200">
        <f t="shared" si="4013"/>
        <v>0</v>
      </c>
      <c r="CY285" s="200">
        <f t="shared" si="4013"/>
        <v>0</v>
      </c>
      <c r="CZ285" s="200">
        <f t="shared" si="4013"/>
        <v>0</v>
      </c>
      <c r="DA285" s="200">
        <f t="shared" si="4013"/>
        <v>0</v>
      </c>
      <c r="DB285" s="200">
        <f t="shared" si="4013"/>
        <v>0</v>
      </c>
      <c r="DC285" s="374">
        <f t="shared" si="4013"/>
        <v>0</v>
      </c>
    </row>
    <row r="286" spans="3:107" x14ac:dyDescent="0.3">
      <c r="C286" s="101" t="str">
        <f>++C$41</f>
        <v>Tax Expense (Benefit)</v>
      </c>
      <c r="G286" s="374">
        <f>++G278</f>
        <v>0</v>
      </c>
      <c r="H286" s="200">
        <f t="shared" ref="H286:BS286" si="4014">++H278</f>
        <v>0</v>
      </c>
      <c r="I286" s="200">
        <f t="shared" si="4014"/>
        <v>0</v>
      </c>
      <c r="J286" s="200">
        <f t="shared" si="4014"/>
        <v>0</v>
      </c>
      <c r="K286" s="374">
        <f t="shared" si="4014"/>
        <v>0</v>
      </c>
      <c r="L286" s="200">
        <f t="shared" si="4014"/>
        <v>0</v>
      </c>
      <c r="M286" s="200">
        <f t="shared" si="4014"/>
        <v>0</v>
      </c>
      <c r="N286" s="200">
        <f t="shared" si="4014"/>
        <v>0</v>
      </c>
      <c r="O286" s="200">
        <f t="shared" si="4014"/>
        <v>0</v>
      </c>
      <c r="P286" s="200">
        <f t="shared" si="4014"/>
        <v>0</v>
      </c>
      <c r="Q286" s="200">
        <f t="shared" si="4014"/>
        <v>0</v>
      </c>
      <c r="R286" s="200">
        <f t="shared" si="4014"/>
        <v>0</v>
      </c>
      <c r="S286" s="200">
        <f t="shared" si="4014"/>
        <v>0</v>
      </c>
      <c r="T286" s="200">
        <f t="shared" si="4014"/>
        <v>0</v>
      </c>
      <c r="U286" s="200">
        <f t="shared" si="4014"/>
        <v>0</v>
      </c>
      <c r="V286" s="200">
        <f t="shared" si="4014"/>
        <v>0</v>
      </c>
      <c r="W286" s="374">
        <f t="shared" si="4014"/>
        <v>0</v>
      </c>
      <c r="X286" s="200">
        <f t="shared" si="4014"/>
        <v>0</v>
      </c>
      <c r="Y286" s="200">
        <f t="shared" si="4014"/>
        <v>0</v>
      </c>
      <c r="Z286" s="200">
        <f t="shared" si="4014"/>
        <v>0</v>
      </c>
      <c r="AA286" s="200">
        <f t="shared" si="4014"/>
        <v>0</v>
      </c>
      <c r="AB286" s="200">
        <f t="shared" si="4014"/>
        <v>0</v>
      </c>
      <c r="AC286" s="200">
        <f t="shared" si="4014"/>
        <v>0</v>
      </c>
      <c r="AD286" s="200">
        <f t="shared" si="4014"/>
        <v>0</v>
      </c>
      <c r="AE286" s="200">
        <f t="shared" si="4014"/>
        <v>0</v>
      </c>
      <c r="AF286" s="200">
        <f t="shared" si="4014"/>
        <v>0</v>
      </c>
      <c r="AG286" s="200">
        <f t="shared" si="4014"/>
        <v>0</v>
      </c>
      <c r="AH286" s="200">
        <f t="shared" si="4014"/>
        <v>0</v>
      </c>
      <c r="AI286" s="374">
        <f t="shared" si="4014"/>
        <v>0</v>
      </c>
      <c r="AJ286" s="200">
        <f t="shared" si="4014"/>
        <v>0</v>
      </c>
      <c r="AK286" s="200">
        <f t="shared" si="4014"/>
        <v>0</v>
      </c>
      <c r="AL286" s="200">
        <f t="shared" si="4014"/>
        <v>0</v>
      </c>
      <c r="AM286" s="200">
        <f t="shared" si="4014"/>
        <v>0</v>
      </c>
      <c r="AN286" s="200">
        <f t="shared" si="4014"/>
        <v>0</v>
      </c>
      <c r="AO286" s="200">
        <f t="shared" si="4014"/>
        <v>0</v>
      </c>
      <c r="AP286" s="200">
        <f t="shared" si="4014"/>
        <v>0</v>
      </c>
      <c r="AQ286" s="200">
        <f t="shared" si="4014"/>
        <v>0</v>
      </c>
      <c r="AR286" s="200">
        <f t="shared" si="4014"/>
        <v>0</v>
      </c>
      <c r="AS286" s="200">
        <f t="shared" si="4014"/>
        <v>0</v>
      </c>
      <c r="AT286" s="200">
        <f t="shared" si="4014"/>
        <v>0</v>
      </c>
      <c r="AU286" s="374">
        <f t="shared" si="4014"/>
        <v>0</v>
      </c>
      <c r="AV286" s="200">
        <f t="shared" si="4014"/>
        <v>0</v>
      </c>
      <c r="AW286" s="200">
        <f t="shared" si="4014"/>
        <v>0</v>
      </c>
      <c r="AX286" s="200">
        <f t="shared" si="4014"/>
        <v>0</v>
      </c>
      <c r="AY286" s="200">
        <f t="shared" si="4014"/>
        <v>0</v>
      </c>
      <c r="AZ286" s="200">
        <f t="shared" si="4014"/>
        <v>0</v>
      </c>
      <c r="BA286" s="200">
        <f t="shared" si="4014"/>
        <v>0</v>
      </c>
      <c r="BB286" s="200">
        <f t="shared" si="4014"/>
        <v>0</v>
      </c>
      <c r="BC286" s="200">
        <f t="shared" si="4014"/>
        <v>0</v>
      </c>
      <c r="BD286" s="200">
        <f t="shared" si="4014"/>
        <v>0</v>
      </c>
      <c r="BE286" s="200">
        <f t="shared" si="4014"/>
        <v>0</v>
      </c>
      <c r="BF286" s="200">
        <f t="shared" si="4014"/>
        <v>0</v>
      </c>
      <c r="BG286" s="374">
        <f t="shared" si="4014"/>
        <v>0</v>
      </c>
      <c r="BH286" s="200">
        <f t="shared" si="4014"/>
        <v>0</v>
      </c>
      <c r="BI286" s="200">
        <f t="shared" si="4014"/>
        <v>0</v>
      </c>
      <c r="BJ286" s="200">
        <f t="shared" si="4014"/>
        <v>0</v>
      </c>
      <c r="BK286" s="200">
        <f t="shared" si="4014"/>
        <v>0</v>
      </c>
      <c r="BL286" s="200">
        <f t="shared" si="4014"/>
        <v>0</v>
      </c>
      <c r="BM286" s="200">
        <f t="shared" si="4014"/>
        <v>0</v>
      </c>
      <c r="BN286" s="200">
        <f t="shared" si="4014"/>
        <v>0</v>
      </c>
      <c r="BO286" s="200">
        <f t="shared" si="4014"/>
        <v>0</v>
      </c>
      <c r="BP286" s="200">
        <f t="shared" si="4014"/>
        <v>0</v>
      </c>
      <c r="BQ286" s="200">
        <f t="shared" si="4014"/>
        <v>0</v>
      </c>
      <c r="BR286" s="200">
        <f t="shared" si="4014"/>
        <v>0</v>
      </c>
      <c r="BS286" s="374">
        <f t="shared" si="4014"/>
        <v>0</v>
      </c>
      <c r="BT286" s="200">
        <f t="shared" ref="BT286:DC286" si="4015">++BT278</f>
        <v>0</v>
      </c>
      <c r="BU286" s="200">
        <f t="shared" si="4015"/>
        <v>0</v>
      </c>
      <c r="BV286" s="200">
        <f t="shared" si="4015"/>
        <v>0</v>
      </c>
      <c r="BW286" s="200">
        <f t="shared" si="4015"/>
        <v>0</v>
      </c>
      <c r="BX286" s="200">
        <f t="shared" si="4015"/>
        <v>0</v>
      </c>
      <c r="BY286" s="200">
        <f t="shared" si="4015"/>
        <v>0</v>
      </c>
      <c r="BZ286" s="200">
        <f t="shared" si="4015"/>
        <v>0</v>
      </c>
      <c r="CA286" s="200">
        <f t="shared" si="4015"/>
        <v>0</v>
      </c>
      <c r="CB286" s="200">
        <f t="shared" si="4015"/>
        <v>0</v>
      </c>
      <c r="CC286" s="200">
        <f t="shared" si="4015"/>
        <v>0</v>
      </c>
      <c r="CD286" s="200">
        <f t="shared" si="4015"/>
        <v>0</v>
      </c>
      <c r="CE286" s="374">
        <f t="shared" si="4015"/>
        <v>0</v>
      </c>
      <c r="CF286" s="200">
        <f t="shared" si="4015"/>
        <v>0</v>
      </c>
      <c r="CG286" s="200">
        <f t="shared" si="4015"/>
        <v>0</v>
      </c>
      <c r="CH286" s="200">
        <f t="shared" si="4015"/>
        <v>0</v>
      </c>
      <c r="CI286" s="200">
        <f t="shared" si="4015"/>
        <v>0</v>
      </c>
      <c r="CJ286" s="200">
        <f t="shared" si="4015"/>
        <v>0</v>
      </c>
      <c r="CK286" s="200">
        <f t="shared" si="4015"/>
        <v>0</v>
      </c>
      <c r="CL286" s="200">
        <f t="shared" si="4015"/>
        <v>0</v>
      </c>
      <c r="CM286" s="200">
        <f t="shared" si="4015"/>
        <v>0</v>
      </c>
      <c r="CN286" s="200">
        <f t="shared" si="4015"/>
        <v>0</v>
      </c>
      <c r="CO286" s="200">
        <f t="shared" si="4015"/>
        <v>0</v>
      </c>
      <c r="CP286" s="200">
        <f t="shared" si="4015"/>
        <v>0</v>
      </c>
      <c r="CQ286" s="374">
        <f t="shared" si="4015"/>
        <v>0</v>
      </c>
      <c r="CR286" s="200">
        <f t="shared" si="4015"/>
        <v>0</v>
      </c>
      <c r="CS286" s="200">
        <f t="shared" si="4015"/>
        <v>0</v>
      </c>
      <c r="CT286" s="200">
        <f t="shared" si="4015"/>
        <v>0</v>
      </c>
      <c r="CU286" s="200">
        <f t="shared" si="4015"/>
        <v>0</v>
      </c>
      <c r="CV286" s="200">
        <f t="shared" si="4015"/>
        <v>0</v>
      </c>
      <c r="CW286" s="200">
        <f t="shared" si="4015"/>
        <v>0</v>
      </c>
      <c r="CX286" s="200">
        <f t="shared" si="4015"/>
        <v>0</v>
      </c>
      <c r="CY286" s="200">
        <f t="shared" si="4015"/>
        <v>0</v>
      </c>
      <c r="CZ286" s="200">
        <f t="shared" si="4015"/>
        <v>0</v>
      </c>
      <c r="DA286" s="200">
        <f t="shared" si="4015"/>
        <v>0</v>
      </c>
      <c r="DB286" s="200">
        <f t="shared" si="4015"/>
        <v>0</v>
      </c>
      <c r="DC286" s="374">
        <f t="shared" si="4015"/>
        <v>0</v>
      </c>
    </row>
    <row r="287" spans="3:107" x14ac:dyDescent="0.3">
      <c r="C287" s="101" t="str">
        <f>++C$42</f>
        <v>Depreciation</v>
      </c>
      <c r="G287" s="374">
        <f>++G265</f>
        <v>0</v>
      </c>
      <c r="H287" s="200">
        <f t="shared" ref="H287:BS287" si="4016">++H265</f>
        <v>0</v>
      </c>
      <c r="I287" s="200">
        <f t="shared" si="4016"/>
        <v>0</v>
      </c>
      <c r="J287" s="200">
        <f t="shared" si="4016"/>
        <v>0</v>
      </c>
      <c r="K287" s="374">
        <f t="shared" si="4016"/>
        <v>0</v>
      </c>
      <c r="L287" s="200">
        <f t="shared" si="4016"/>
        <v>0</v>
      </c>
      <c r="M287" s="200">
        <f t="shared" si="4016"/>
        <v>0</v>
      </c>
      <c r="N287" s="200">
        <f t="shared" si="4016"/>
        <v>0</v>
      </c>
      <c r="O287" s="200">
        <f t="shared" si="4016"/>
        <v>0</v>
      </c>
      <c r="P287" s="200">
        <f t="shared" si="4016"/>
        <v>0</v>
      </c>
      <c r="Q287" s="200">
        <f t="shared" si="4016"/>
        <v>0</v>
      </c>
      <c r="R287" s="200">
        <f t="shared" si="4016"/>
        <v>0</v>
      </c>
      <c r="S287" s="200">
        <f t="shared" si="4016"/>
        <v>0</v>
      </c>
      <c r="T287" s="200">
        <f t="shared" si="4016"/>
        <v>0</v>
      </c>
      <c r="U287" s="200">
        <f t="shared" si="4016"/>
        <v>0</v>
      </c>
      <c r="V287" s="200">
        <f t="shared" si="4016"/>
        <v>0</v>
      </c>
      <c r="W287" s="374">
        <f t="shared" si="4016"/>
        <v>0</v>
      </c>
      <c r="X287" s="200">
        <f t="shared" si="4016"/>
        <v>0</v>
      </c>
      <c r="Y287" s="200">
        <f t="shared" si="4016"/>
        <v>0</v>
      </c>
      <c r="Z287" s="200">
        <f t="shared" si="4016"/>
        <v>0</v>
      </c>
      <c r="AA287" s="200">
        <f t="shared" si="4016"/>
        <v>0</v>
      </c>
      <c r="AB287" s="200">
        <f t="shared" si="4016"/>
        <v>0</v>
      </c>
      <c r="AC287" s="200">
        <f t="shared" si="4016"/>
        <v>0</v>
      </c>
      <c r="AD287" s="200">
        <f t="shared" si="4016"/>
        <v>0</v>
      </c>
      <c r="AE287" s="200">
        <f t="shared" si="4016"/>
        <v>0</v>
      </c>
      <c r="AF287" s="200">
        <f t="shared" si="4016"/>
        <v>0</v>
      </c>
      <c r="AG287" s="200">
        <f t="shared" si="4016"/>
        <v>0</v>
      </c>
      <c r="AH287" s="200">
        <f t="shared" si="4016"/>
        <v>0</v>
      </c>
      <c r="AI287" s="374">
        <f t="shared" si="4016"/>
        <v>0</v>
      </c>
      <c r="AJ287" s="200">
        <f t="shared" si="4016"/>
        <v>0</v>
      </c>
      <c r="AK287" s="200">
        <f t="shared" si="4016"/>
        <v>0</v>
      </c>
      <c r="AL287" s="200">
        <f t="shared" si="4016"/>
        <v>0</v>
      </c>
      <c r="AM287" s="200">
        <f t="shared" si="4016"/>
        <v>0</v>
      </c>
      <c r="AN287" s="200">
        <f t="shared" si="4016"/>
        <v>0</v>
      </c>
      <c r="AO287" s="200">
        <f t="shared" si="4016"/>
        <v>0</v>
      </c>
      <c r="AP287" s="200">
        <f t="shared" si="4016"/>
        <v>0</v>
      </c>
      <c r="AQ287" s="200">
        <f t="shared" si="4016"/>
        <v>0</v>
      </c>
      <c r="AR287" s="200">
        <f t="shared" si="4016"/>
        <v>0</v>
      </c>
      <c r="AS287" s="200">
        <f t="shared" si="4016"/>
        <v>0</v>
      </c>
      <c r="AT287" s="200">
        <f t="shared" si="4016"/>
        <v>0</v>
      </c>
      <c r="AU287" s="374">
        <f t="shared" si="4016"/>
        <v>0</v>
      </c>
      <c r="AV287" s="200">
        <f t="shared" si="4016"/>
        <v>0</v>
      </c>
      <c r="AW287" s="200">
        <f t="shared" si="4016"/>
        <v>0</v>
      </c>
      <c r="AX287" s="200">
        <f t="shared" si="4016"/>
        <v>0</v>
      </c>
      <c r="AY287" s="200">
        <f t="shared" si="4016"/>
        <v>0</v>
      </c>
      <c r="AZ287" s="200">
        <f t="shared" si="4016"/>
        <v>0</v>
      </c>
      <c r="BA287" s="200">
        <f t="shared" si="4016"/>
        <v>0</v>
      </c>
      <c r="BB287" s="200">
        <f t="shared" si="4016"/>
        <v>0</v>
      </c>
      <c r="BC287" s="200">
        <f t="shared" si="4016"/>
        <v>0</v>
      </c>
      <c r="BD287" s="200">
        <f t="shared" si="4016"/>
        <v>0</v>
      </c>
      <c r="BE287" s="200">
        <f t="shared" si="4016"/>
        <v>0</v>
      </c>
      <c r="BF287" s="200">
        <f t="shared" si="4016"/>
        <v>0</v>
      </c>
      <c r="BG287" s="374">
        <f t="shared" si="4016"/>
        <v>0</v>
      </c>
      <c r="BH287" s="200">
        <f t="shared" si="4016"/>
        <v>0</v>
      </c>
      <c r="BI287" s="200">
        <f t="shared" si="4016"/>
        <v>0</v>
      </c>
      <c r="BJ287" s="200">
        <f t="shared" si="4016"/>
        <v>0</v>
      </c>
      <c r="BK287" s="200">
        <f t="shared" si="4016"/>
        <v>0</v>
      </c>
      <c r="BL287" s="200">
        <f t="shared" si="4016"/>
        <v>0</v>
      </c>
      <c r="BM287" s="200">
        <f t="shared" si="4016"/>
        <v>0</v>
      </c>
      <c r="BN287" s="200">
        <f t="shared" si="4016"/>
        <v>0</v>
      </c>
      <c r="BO287" s="200">
        <f t="shared" si="4016"/>
        <v>0</v>
      </c>
      <c r="BP287" s="200">
        <f t="shared" si="4016"/>
        <v>0</v>
      </c>
      <c r="BQ287" s="200">
        <f t="shared" si="4016"/>
        <v>0</v>
      </c>
      <c r="BR287" s="200">
        <f t="shared" si="4016"/>
        <v>0</v>
      </c>
      <c r="BS287" s="374">
        <f t="shared" si="4016"/>
        <v>0</v>
      </c>
      <c r="BT287" s="200">
        <f t="shared" ref="BT287:DC287" si="4017">++BT265</f>
        <v>0</v>
      </c>
      <c r="BU287" s="200">
        <f t="shared" si="4017"/>
        <v>0</v>
      </c>
      <c r="BV287" s="200">
        <f t="shared" si="4017"/>
        <v>0</v>
      </c>
      <c r="BW287" s="200">
        <f t="shared" si="4017"/>
        <v>0</v>
      </c>
      <c r="BX287" s="200">
        <f t="shared" si="4017"/>
        <v>0</v>
      </c>
      <c r="BY287" s="200">
        <f t="shared" si="4017"/>
        <v>0</v>
      </c>
      <c r="BZ287" s="200">
        <f t="shared" si="4017"/>
        <v>0</v>
      </c>
      <c r="CA287" s="200">
        <f t="shared" si="4017"/>
        <v>0</v>
      </c>
      <c r="CB287" s="200">
        <f t="shared" si="4017"/>
        <v>0</v>
      </c>
      <c r="CC287" s="200">
        <f t="shared" si="4017"/>
        <v>0</v>
      </c>
      <c r="CD287" s="200">
        <f t="shared" si="4017"/>
        <v>0</v>
      </c>
      <c r="CE287" s="374">
        <f t="shared" si="4017"/>
        <v>0</v>
      </c>
      <c r="CF287" s="200">
        <f t="shared" si="4017"/>
        <v>0</v>
      </c>
      <c r="CG287" s="200">
        <f t="shared" si="4017"/>
        <v>0</v>
      </c>
      <c r="CH287" s="200">
        <f t="shared" si="4017"/>
        <v>0</v>
      </c>
      <c r="CI287" s="200">
        <f t="shared" si="4017"/>
        <v>0</v>
      </c>
      <c r="CJ287" s="200">
        <f t="shared" si="4017"/>
        <v>0</v>
      </c>
      <c r="CK287" s="200">
        <f t="shared" si="4017"/>
        <v>0</v>
      </c>
      <c r="CL287" s="200">
        <f t="shared" si="4017"/>
        <v>0</v>
      </c>
      <c r="CM287" s="200">
        <f t="shared" si="4017"/>
        <v>0</v>
      </c>
      <c r="CN287" s="200">
        <f t="shared" si="4017"/>
        <v>0</v>
      </c>
      <c r="CO287" s="200">
        <f t="shared" si="4017"/>
        <v>0</v>
      </c>
      <c r="CP287" s="200">
        <f t="shared" si="4017"/>
        <v>0</v>
      </c>
      <c r="CQ287" s="374">
        <f t="shared" si="4017"/>
        <v>0</v>
      </c>
      <c r="CR287" s="200">
        <f t="shared" si="4017"/>
        <v>0</v>
      </c>
      <c r="CS287" s="200">
        <f t="shared" si="4017"/>
        <v>0</v>
      </c>
      <c r="CT287" s="200">
        <f t="shared" si="4017"/>
        <v>0</v>
      </c>
      <c r="CU287" s="200">
        <f t="shared" si="4017"/>
        <v>0</v>
      </c>
      <c r="CV287" s="200">
        <f t="shared" si="4017"/>
        <v>0</v>
      </c>
      <c r="CW287" s="200">
        <f t="shared" si="4017"/>
        <v>0</v>
      </c>
      <c r="CX287" s="200">
        <f t="shared" si="4017"/>
        <v>0</v>
      </c>
      <c r="CY287" s="200">
        <f t="shared" si="4017"/>
        <v>0</v>
      </c>
      <c r="CZ287" s="200">
        <f t="shared" si="4017"/>
        <v>0</v>
      </c>
      <c r="DA287" s="200">
        <f t="shared" si="4017"/>
        <v>0</v>
      </c>
      <c r="DB287" s="200">
        <f t="shared" si="4017"/>
        <v>0</v>
      </c>
      <c r="DC287" s="374">
        <f t="shared" si="4017"/>
        <v>0</v>
      </c>
    </row>
    <row r="288" spans="3:107" x14ac:dyDescent="0.3">
      <c r="C288" s="101" t="str">
        <f>++C$43</f>
        <v>Amortization</v>
      </c>
      <c r="G288" s="374">
        <f t="shared" ref="G288:BR288" si="4018">++G266</f>
        <v>0</v>
      </c>
      <c r="H288" s="200">
        <f t="shared" si="4018"/>
        <v>0</v>
      </c>
      <c r="I288" s="200">
        <f t="shared" si="4018"/>
        <v>0</v>
      </c>
      <c r="J288" s="200">
        <f t="shared" si="4018"/>
        <v>0</v>
      </c>
      <c r="K288" s="374">
        <f t="shared" si="4018"/>
        <v>0</v>
      </c>
      <c r="L288" s="200">
        <f t="shared" si="4018"/>
        <v>0</v>
      </c>
      <c r="M288" s="200">
        <f t="shared" si="4018"/>
        <v>0</v>
      </c>
      <c r="N288" s="200">
        <f t="shared" si="4018"/>
        <v>0</v>
      </c>
      <c r="O288" s="200">
        <f t="shared" si="4018"/>
        <v>0</v>
      </c>
      <c r="P288" s="200">
        <f t="shared" si="4018"/>
        <v>0</v>
      </c>
      <c r="Q288" s="200">
        <f t="shared" si="4018"/>
        <v>0</v>
      </c>
      <c r="R288" s="200">
        <f t="shared" si="4018"/>
        <v>0</v>
      </c>
      <c r="S288" s="200">
        <f t="shared" si="4018"/>
        <v>0</v>
      </c>
      <c r="T288" s="200">
        <f t="shared" si="4018"/>
        <v>0</v>
      </c>
      <c r="U288" s="200">
        <f t="shared" si="4018"/>
        <v>0</v>
      </c>
      <c r="V288" s="200">
        <f t="shared" si="4018"/>
        <v>0</v>
      </c>
      <c r="W288" s="374">
        <f t="shared" si="4018"/>
        <v>0</v>
      </c>
      <c r="X288" s="200">
        <f t="shared" si="4018"/>
        <v>0</v>
      </c>
      <c r="Y288" s="200">
        <f t="shared" si="4018"/>
        <v>0</v>
      </c>
      <c r="Z288" s="200">
        <f t="shared" si="4018"/>
        <v>0</v>
      </c>
      <c r="AA288" s="200">
        <f t="shared" si="4018"/>
        <v>0</v>
      </c>
      <c r="AB288" s="200">
        <f t="shared" si="4018"/>
        <v>0</v>
      </c>
      <c r="AC288" s="200">
        <f t="shared" si="4018"/>
        <v>0</v>
      </c>
      <c r="AD288" s="200">
        <f t="shared" si="4018"/>
        <v>0</v>
      </c>
      <c r="AE288" s="200">
        <f t="shared" si="4018"/>
        <v>0</v>
      </c>
      <c r="AF288" s="200">
        <f t="shared" si="4018"/>
        <v>0</v>
      </c>
      <c r="AG288" s="200">
        <f t="shared" si="4018"/>
        <v>0</v>
      </c>
      <c r="AH288" s="200">
        <f t="shared" si="4018"/>
        <v>0</v>
      </c>
      <c r="AI288" s="374">
        <f t="shared" si="4018"/>
        <v>0</v>
      </c>
      <c r="AJ288" s="200">
        <f t="shared" si="4018"/>
        <v>0</v>
      </c>
      <c r="AK288" s="200">
        <f t="shared" si="4018"/>
        <v>0</v>
      </c>
      <c r="AL288" s="200">
        <f t="shared" si="4018"/>
        <v>0</v>
      </c>
      <c r="AM288" s="200">
        <f t="shared" si="4018"/>
        <v>0</v>
      </c>
      <c r="AN288" s="200">
        <f t="shared" si="4018"/>
        <v>0</v>
      </c>
      <c r="AO288" s="200">
        <f t="shared" si="4018"/>
        <v>0</v>
      </c>
      <c r="AP288" s="200">
        <f t="shared" si="4018"/>
        <v>0</v>
      </c>
      <c r="AQ288" s="200">
        <f t="shared" si="4018"/>
        <v>0</v>
      </c>
      <c r="AR288" s="200">
        <f t="shared" si="4018"/>
        <v>0</v>
      </c>
      <c r="AS288" s="200">
        <f t="shared" si="4018"/>
        <v>0</v>
      </c>
      <c r="AT288" s="200">
        <f t="shared" si="4018"/>
        <v>0</v>
      </c>
      <c r="AU288" s="374">
        <f t="shared" si="4018"/>
        <v>0</v>
      </c>
      <c r="AV288" s="200">
        <f t="shared" si="4018"/>
        <v>0</v>
      </c>
      <c r="AW288" s="200">
        <f t="shared" si="4018"/>
        <v>0</v>
      </c>
      <c r="AX288" s="200">
        <f t="shared" si="4018"/>
        <v>0</v>
      </c>
      <c r="AY288" s="200">
        <f t="shared" si="4018"/>
        <v>0</v>
      </c>
      <c r="AZ288" s="200">
        <f t="shared" si="4018"/>
        <v>0</v>
      </c>
      <c r="BA288" s="200">
        <f t="shared" si="4018"/>
        <v>0</v>
      </c>
      <c r="BB288" s="200">
        <f t="shared" si="4018"/>
        <v>0</v>
      </c>
      <c r="BC288" s="200">
        <f t="shared" si="4018"/>
        <v>0</v>
      </c>
      <c r="BD288" s="200">
        <f t="shared" si="4018"/>
        <v>0</v>
      </c>
      <c r="BE288" s="200">
        <f t="shared" si="4018"/>
        <v>0</v>
      </c>
      <c r="BF288" s="200">
        <f t="shared" si="4018"/>
        <v>0</v>
      </c>
      <c r="BG288" s="374">
        <f t="shared" si="4018"/>
        <v>0</v>
      </c>
      <c r="BH288" s="200">
        <f t="shared" si="4018"/>
        <v>0</v>
      </c>
      <c r="BI288" s="200">
        <f t="shared" si="4018"/>
        <v>0</v>
      </c>
      <c r="BJ288" s="200">
        <f t="shared" si="4018"/>
        <v>0</v>
      </c>
      <c r="BK288" s="200">
        <f t="shared" si="4018"/>
        <v>0</v>
      </c>
      <c r="BL288" s="200">
        <f t="shared" si="4018"/>
        <v>0</v>
      </c>
      <c r="BM288" s="200">
        <f t="shared" si="4018"/>
        <v>0</v>
      </c>
      <c r="BN288" s="200">
        <f t="shared" si="4018"/>
        <v>0</v>
      </c>
      <c r="BO288" s="200">
        <f t="shared" si="4018"/>
        <v>0</v>
      </c>
      <c r="BP288" s="200">
        <f t="shared" si="4018"/>
        <v>0</v>
      </c>
      <c r="BQ288" s="200">
        <f t="shared" si="4018"/>
        <v>0</v>
      </c>
      <c r="BR288" s="200">
        <f t="shared" si="4018"/>
        <v>0</v>
      </c>
      <c r="BS288" s="374">
        <f t="shared" ref="BS288:DC288" si="4019">++BS266</f>
        <v>0</v>
      </c>
      <c r="BT288" s="200">
        <f t="shared" si="4019"/>
        <v>0</v>
      </c>
      <c r="BU288" s="200">
        <f t="shared" si="4019"/>
        <v>0</v>
      </c>
      <c r="BV288" s="200">
        <f t="shared" si="4019"/>
        <v>0</v>
      </c>
      <c r="BW288" s="200">
        <f t="shared" si="4019"/>
        <v>0</v>
      </c>
      <c r="BX288" s="200">
        <f t="shared" si="4019"/>
        <v>0</v>
      </c>
      <c r="BY288" s="200">
        <f t="shared" si="4019"/>
        <v>0</v>
      </c>
      <c r="BZ288" s="200">
        <f t="shared" si="4019"/>
        <v>0</v>
      </c>
      <c r="CA288" s="200">
        <f t="shared" si="4019"/>
        <v>0</v>
      </c>
      <c r="CB288" s="200">
        <f t="shared" si="4019"/>
        <v>0</v>
      </c>
      <c r="CC288" s="200">
        <f t="shared" si="4019"/>
        <v>0</v>
      </c>
      <c r="CD288" s="200">
        <f t="shared" si="4019"/>
        <v>0</v>
      </c>
      <c r="CE288" s="374">
        <f t="shared" si="4019"/>
        <v>0</v>
      </c>
      <c r="CF288" s="200">
        <f t="shared" si="4019"/>
        <v>0</v>
      </c>
      <c r="CG288" s="200">
        <f t="shared" si="4019"/>
        <v>0</v>
      </c>
      <c r="CH288" s="200">
        <f t="shared" si="4019"/>
        <v>0</v>
      </c>
      <c r="CI288" s="200">
        <f t="shared" si="4019"/>
        <v>0</v>
      </c>
      <c r="CJ288" s="200">
        <f t="shared" si="4019"/>
        <v>0</v>
      </c>
      <c r="CK288" s="200">
        <f t="shared" si="4019"/>
        <v>0</v>
      </c>
      <c r="CL288" s="200">
        <f t="shared" si="4019"/>
        <v>0</v>
      </c>
      <c r="CM288" s="200">
        <f t="shared" si="4019"/>
        <v>0</v>
      </c>
      <c r="CN288" s="200">
        <f t="shared" si="4019"/>
        <v>0</v>
      </c>
      <c r="CO288" s="200">
        <f t="shared" si="4019"/>
        <v>0</v>
      </c>
      <c r="CP288" s="200">
        <f t="shared" si="4019"/>
        <v>0</v>
      </c>
      <c r="CQ288" s="374">
        <f t="shared" si="4019"/>
        <v>0</v>
      </c>
      <c r="CR288" s="200">
        <f t="shared" si="4019"/>
        <v>0</v>
      </c>
      <c r="CS288" s="200">
        <f t="shared" si="4019"/>
        <v>0</v>
      </c>
      <c r="CT288" s="200">
        <f t="shared" si="4019"/>
        <v>0</v>
      </c>
      <c r="CU288" s="200">
        <f t="shared" si="4019"/>
        <v>0</v>
      </c>
      <c r="CV288" s="200">
        <f t="shared" si="4019"/>
        <v>0</v>
      </c>
      <c r="CW288" s="200">
        <f t="shared" si="4019"/>
        <v>0</v>
      </c>
      <c r="CX288" s="200">
        <f t="shared" si="4019"/>
        <v>0</v>
      </c>
      <c r="CY288" s="200">
        <f t="shared" si="4019"/>
        <v>0</v>
      </c>
      <c r="CZ288" s="200">
        <f t="shared" si="4019"/>
        <v>0</v>
      </c>
      <c r="DA288" s="200">
        <f t="shared" si="4019"/>
        <v>0</v>
      </c>
      <c r="DB288" s="200">
        <f t="shared" si="4019"/>
        <v>0</v>
      </c>
      <c r="DC288" s="374">
        <f t="shared" si="4019"/>
        <v>0</v>
      </c>
    </row>
    <row r="289" spans="1:107" x14ac:dyDescent="0.3">
      <c r="C289" s="231" t="str">
        <f>++C$44</f>
        <v>Reported EBITDA</v>
      </c>
      <c r="D289" s="191"/>
      <c r="E289" s="191"/>
      <c r="G289" s="239">
        <f>++SUM(G285:G288)</f>
        <v>0</v>
      </c>
      <c r="H289" s="232">
        <f t="shared" ref="H289:BS289" si="4020">++SUM(H285:H288)</f>
        <v>0</v>
      </c>
      <c r="I289" s="232">
        <f t="shared" si="4020"/>
        <v>0</v>
      </c>
      <c r="J289" s="232">
        <f t="shared" si="4020"/>
        <v>0</v>
      </c>
      <c r="K289" s="239">
        <f t="shared" si="4020"/>
        <v>0</v>
      </c>
      <c r="L289" s="232">
        <f t="shared" si="4020"/>
        <v>0</v>
      </c>
      <c r="M289" s="232">
        <f t="shared" si="4020"/>
        <v>0</v>
      </c>
      <c r="N289" s="232">
        <f t="shared" si="4020"/>
        <v>0</v>
      </c>
      <c r="O289" s="232">
        <f t="shared" si="4020"/>
        <v>0</v>
      </c>
      <c r="P289" s="232">
        <f t="shared" si="4020"/>
        <v>0</v>
      </c>
      <c r="Q289" s="232">
        <f t="shared" si="4020"/>
        <v>0</v>
      </c>
      <c r="R289" s="232">
        <f t="shared" si="4020"/>
        <v>0</v>
      </c>
      <c r="S289" s="232">
        <f t="shared" si="4020"/>
        <v>0</v>
      </c>
      <c r="T289" s="232">
        <f t="shared" si="4020"/>
        <v>0</v>
      </c>
      <c r="U289" s="232">
        <f t="shared" si="4020"/>
        <v>0</v>
      </c>
      <c r="V289" s="232">
        <f t="shared" si="4020"/>
        <v>0</v>
      </c>
      <c r="W289" s="239">
        <f t="shared" si="4020"/>
        <v>0</v>
      </c>
      <c r="X289" s="232">
        <f t="shared" si="4020"/>
        <v>0</v>
      </c>
      <c r="Y289" s="232">
        <f t="shared" si="4020"/>
        <v>0</v>
      </c>
      <c r="Z289" s="232">
        <f t="shared" si="4020"/>
        <v>0</v>
      </c>
      <c r="AA289" s="232">
        <f t="shared" si="4020"/>
        <v>0</v>
      </c>
      <c r="AB289" s="232">
        <f t="shared" si="4020"/>
        <v>0</v>
      </c>
      <c r="AC289" s="232">
        <f t="shared" si="4020"/>
        <v>0</v>
      </c>
      <c r="AD289" s="232">
        <f t="shared" si="4020"/>
        <v>0</v>
      </c>
      <c r="AE289" s="232">
        <f t="shared" si="4020"/>
        <v>0</v>
      </c>
      <c r="AF289" s="232">
        <f t="shared" si="4020"/>
        <v>0</v>
      </c>
      <c r="AG289" s="232">
        <f t="shared" si="4020"/>
        <v>0</v>
      </c>
      <c r="AH289" s="232">
        <f t="shared" si="4020"/>
        <v>0</v>
      </c>
      <c r="AI289" s="239">
        <f t="shared" si="4020"/>
        <v>0</v>
      </c>
      <c r="AJ289" s="232">
        <f t="shared" si="4020"/>
        <v>0</v>
      </c>
      <c r="AK289" s="232">
        <f t="shared" si="4020"/>
        <v>0</v>
      </c>
      <c r="AL289" s="232">
        <f t="shared" si="4020"/>
        <v>0</v>
      </c>
      <c r="AM289" s="232">
        <f t="shared" si="4020"/>
        <v>0</v>
      </c>
      <c r="AN289" s="232">
        <f t="shared" si="4020"/>
        <v>0</v>
      </c>
      <c r="AO289" s="232">
        <f t="shared" si="4020"/>
        <v>0</v>
      </c>
      <c r="AP289" s="232">
        <f t="shared" si="4020"/>
        <v>0</v>
      </c>
      <c r="AQ289" s="232">
        <f t="shared" si="4020"/>
        <v>0</v>
      </c>
      <c r="AR289" s="232">
        <f t="shared" si="4020"/>
        <v>0</v>
      </c>
      <c r="AS289" s="232">
        <f t="shared" si="4020"/>
        <v>0</v>
      </c>
      <c r="AT289" s="232">
        <f t="shared" si="4020"/>
        <v>0</v>
      </c>
      <c r="AU289" s="239">
        <f t="shared" si="4020"/>
        <v>0</v>
      </c>
      <c r="AV289" s="232">
        <f t="shared" si="4020"/>
        <v>0</v>
      </c>
      <c r="AW289" s="232">
        <f t="shared" si="4020"/>
        <v>0</v>
      </c>
      <c r="AX289" s="232">
        <f t="shared" si="4020"/>
        <v>0</v>
      </c>
      <c r="AY289" s="232">
        <f t="shared" si="4020"/>
        <v>0</v>
      </c>
      <c r="AZ289" s="232">
        <f t="shared" si="4020"/>
        <v>0</v>
      </c>
      <c r="BA289" s="232">
        <f t="shared" si="4020"/>
        <v>0</v>
      </c>
      <c r="BB289" s="232">
        <f t="shared" si="4020"/>
        <v>0</v>
      </c>
      <c r="BC289" s="232">
        <f t="shared" si="4020"/>
        <v>0</v>
      </c>
      <c r="BD289" s="232">
        <f t="shared" si="4020"/>
        <v>0</v>
      </c>
      <c r="BE289" s="232">
        <f t="shared" si="4020"/>
        <v>0</v>
      </c>
      <c r="BF289" s="232">
        <f t="shared" si="4020"/>
        <v>0</v>
      </c>
      <c r="BG289" s="239">
        <f t="shared" si="4020"/>
        <v>0</v>
      </c>
      <c r="BH289" s="232">
        <f t="shared" si="4020"/>
        <v>0</v>
      </c>
      <c r="BI289" s="232">
        <f t="shared" si="4020"/>
        <v>0</v>
      </c>
      <c r="BJ289" s="232">
        <f t="shared" si="4020"/>
        <v>0</v>
      </c>
      <c r="BK289" s="232">
        <f t="shared" si="4020"/>
        <v>0</v>
      </c>
      <c r="BL289" s="232">
        <f t="shared" si="4020"/>
        <v>0</v>
      </c>
      <c r="BM289" s="232">
        <f t="shared" si="4020"/>
        <v>0</v>
      </c>
      <c r="BN289" s="232">
        <f t="shared" si="4020"/>
        <v>0</v>
      </c>
      <c r="BO289" s="232">
        <f t="shared" si="4020"/>
        <v>0</v>
      </c>
      <c r="BP289" s="232">
        <f t="shared" si="4020"/>
        <v>0</v>
      </c>
      <c r="BQ289" s="232">
        <f t="shared" si="4020"/>
        <v>0</v>
      </c>
      <c r="BR289" s="232">
        <f t="shared" si="4020"/>
        <v>0</v>
      </c>
      <c r="BS289" s="239">
        <f t="shared" si="4020"/>
        <v>0</v>
      </c>
      <c r="BT289" s="232">
        <f t="shared" ref="BT289:DC289" si="4021">++SUM(BT285:BT288)</f>
        <v>0</v>
      </c>
      <c r="BU289" s="232">
        <f t="shared" si="4021"/>
        <v>0</v>
      </c>
      <c r="BV289" s="232">
        <f t="shared" si="4021"/>
        <v>0</v>
      </c>
      <c r="BW289" s="232">
        <f t="shared" si="4021"/>
        <v>0</v>
      </c>
      <c r="BX289" s="232">
        <f t="shared" si="4021"/>
        <v>0</v>
      </c>
      <c r="BY289" s="232">
        <f t="shared" si="4021"/>
        <v>0</v>
      </c>
      <c r="BZ289" s="232">
        <f t="shared" si="4021"/>
        <v>0</v>
      </c>
      <c r="CA289" s="232">
        <f t="shared" si="4021"/>
        <v>0</v>
      </c>
      <c r="CB289" s="232">
        <f t="shared" si="4021"/>
        <v>0</v>
      </c>
      <c r="CC289" s="232">
        <f t="shared" si="4021"/>
        <v>0</v>
      </c>
      <c r="CD289" s="232">
        <f t="shared" si="4021"/>
        <v>0</v>
      </c>
      <c r="CE289" s="239">
        <f t="shared" si="4021"/>
        <v>0</v>
      </c>
      <c r="CF289" s="232">
        <f t="shared" si="4021"/>
        <v>0</v>
      </c>
      <c r="CG289" s="232">
        <f t="shared" si="4021"/>
        <v>0</v>
      </c>
      <c r="CH289" s="232">
        <f t="shared" si="4021"/>
        <v>0</v>
      </c>
      <c r="CI289" s="232">
        <f t="shared" si="4021"/>
        <v>0</v>
      </c>
      <c r="CJ289" s="232">
        <f t="shared" si="4021"/>
        <v>0</v>
      </c>
      <c r="CK289" s="232">
        <f t="shared" si="4021"/>
        <v>0</v>
      </c>
      <c r="CL289" s="232">
        <f t="shared" si="4021"/>
        <v>0</v>
      </c>
      <c r="CM289" s="232">
        <f t="shared" si="4021"/>
        <v>0</v>
      </c>
      <c r="CN289" s="232">
        <f t="shared" si="4021"/>
        <v>0</v>
      </c>
      <c r="CO289" s="232">
        <f t="shared" si="4021"/>
        <v>0</v>
      </c>
      <c r="CP289" s="232">
        <f t="shared" si="4021"/>
        <v>0</v>
      </c>
      <c r="CQ289" s="239">
        <f t="shared" si="4021"/>
        <v>0</v>
      </c>
      <c r="CR289" s="232">
        <f t="shared" si="4021"/>
        <v>0</v>
      </c>
      <c r="CS289" s="232">
        <f t="shared" si="4021"/>
        <v>0</v>
      </c>
      <c r="CT289" s="232">
        <f t="shared" si="4021"/>
        <v>0</v>
      </c>
      <c r="CU289" s="232">
        <f t="shared" si="4021"/>
        <v>0</v>
      </c>
      <c r="CV289" s="232">
        <f t="shared" si="4021"/>
        <v>0</v>
      </c>
      <c r="CW289" s="232">
        <f t="shared" si="4021"/>
        <v>0</v>
      </c>
      <c r="CX289" s="232">
        <f t="shared" si="4021"/>
        <v>0</v>
      </c>
      <c r="CY289" s="232">
        <f t="shared" si="4021"/>
        <v>0</v>
      </c>
      <c r="CZ289" s="232">
        <f t="shared" si="4021"/>
        <v>0</v>
      </c>
      <c r="DA289" s="232">
        <f t="shared" si="4021"/>
        <v>0</v>
      </c>
      <c r="DB289" s="232">
        <f t="shared" si="4021"/>
        <v>0</v>
      </c>
      <c r="DC289" s="239">
        <f t="shared" si="4021"/>
        <v>0</v>
      </c>
    </row>
    <row r="290" spans="1:107" x14ac:dyDescent="0.3">
      <c r="C290" s="321" t="str">
        <f>++C$45</f>
        <v>% margin</v>
      </c>
      <c r="G290" s="214" t="str">
        <f>++IFERROR(G289/G255,"n/a")</f>
        <v>n/a</v>
      </c>
      <c r="H290" s="225" t="str">
        <f t="shared" ref="H290" si="4022">++IFERROR(H289/H255,"n/a")</f>
        <v>n/a</v>
      </c>
      <c r="I290" s="225" t="str">
        <f t="shared" ref="I290" si="4023">++IFERROR(I289/I255,"n/a")</f>
        <v>n/a</v>
      </c>
      <c r="J290" s="225" t="str">
        <f t="shared" ref="J290" si="4024">++IFERROR(J289/J255,"n/a")</f>
        <v>n/a</v>
      </c>
      <c r="K290" s="214" t="str">
        <f t="shared" ref="K290" si="4025">++IFERROR(K289/K255,"n/a")</f>
        <v>n/a</v>
      </c>
      <c r="L290" s="225" t="str">
        <f t="shared" ref="L290" si="4026">++IFERROR(L289/L255,"n/a")</f>
        <v>n/a</v>
      </c>
      <c r="M290" s="225" t="str">
        <f t="shared" ref="M290" si="4027">++IFERROR(M289/M255,"n/a")</f>
        <v>n/a</v>
      </c>
      <c r="N290" s="225" t="str">
        <f t="shared" ref="N290" si="4028">++IFERROR(N289/N255,"n/a")</f>
        <v>n/a</v>
      </c>
      <c r="O290" s="225" t="str">
        <f t="shared" ref="O290" si="4029">++IFERROR(O289/O255,"n/a")</f>
        <v>n/a</v>
      </c>
      <c r="P290" s="225" t="str">
        <f t="shared" ref="P290" si="4030">++IFERROR(P289/P255,"n/a")</f>
        <v>n/a</v>
      </c>
      <c r="Q290" s="225" t="str">
        <f t="shared" ref="Q290" si="4031">++IFERROR(Q289/Q255,"n/a")</f>
        <v>n/a</v>
      </c>
      <c r="R290" s="225" t="str">
        <f t="shared" ref="R290" si="4032">++IFERROR(R289/R255,"n/a")</f>
        <v>n/a</v>
      </c>
      <c r="S290" s="225" t="str">
        <f t="shared" ref="S290" si="4033">++IFERROR(S289/S255,"n/a")</f>
        <v>n/a</v>
      </c>
      <c r="T290" s="225" t="str">
        <f t="shared" ref="T290" si="4034">++IFERROR(T289/T255,"n/a")</f>
        <v>n/a</v>
      </c>
      <c r="U290" s="225" t="str">
        <f t="shared" ref="U290" si="4035">++IFERROR(U289/U255,"n/a")</f>
        <v>n/a</v>
      </c>
      <c r="V290" s="225" t="str">
        <f t="shared" ref="V290" si="4036">++IFERROR(V289/V255,"n/a")</f>
        <v>n/a</v>
      </c>
      <c r="W290" s="214" t="str">
        <f t="shared" ref="W290" si="4037">++IFERROR(W289/W255,"n/a")</f>
        <v>n/a</v>
      </c>
      <c r="X290" s="225" t="str">
        <f t="shared" ref="X290" si="4038">++IFERROR(X289/X255,"n/a")</f>
        <v>n/a</v>
      </c>
      <c r="Y290" s="225" t="str">
        <f t="shared" ref="Y290" si="4039">++IFERROR(Y289/Y255,"n/a")</f>
        <v>n/a</v>
      </c>
      <c r="Z290" s="225" t="str">
        <f t="shared" ref="Z290" si="4040">++IFERROR(Z289/Z255,"n/a")</f>
        <v>n/a</v>
      </c>
      <c r="AA290" s="225" t="str">
        <f t="shared" ref="AA290" si="4041">++IFERROR(AA289/AA255,"n/a")</f>
        <v>n/a</v>
      </c>
      <c r="AB290" s="225" t="str">
        <f t="shared" ref="AB290" si="4042">++IFERROR(AB289/AB255,"n/a")</f>
        <v>n/a</v>
      </c>
      <c r="AC290" s="225" t="str">
        <f t="shared" ref="AC290" si="4043">++IFERROR(AC289/AC255,"n/a")</f>
        <v>n/a</v>
      </c>
      <c r="AD290" s="225" t="str">
        <f t="shared" ref="AD290" si="4044">++IFERROR(AD289/AD255,"n/a")</f>
        <v>n/a</v>
      </c>
      <c r="AE290" s="225" t="str">
        <f t="shared" ref="AE290" si="4045">++IFERROR(AE289/AE255,"n/a")</f>
        <v>n/a</v>
      </c>
      <c r="AF290" s="225" t="str">
        <f t="shared" ref="AF290" si="4046">++IFERROR(AF289/AF255,"n/a")</f>
        <v>n/a</v>
      </c>
      <c r="AG290" s="225" t="str">
        <f t="shared" ref="AG290" si="4047">++IFERROR(AG289/AG255,"n/a")</f>
        <v>n/a</v>
      </c>
      <c r="AH290" s="225" t="str">
        <f t="shared" ref="AH290" si="4048">++IFERROR(AH289/AH255,"n/a")</f>
        <v>n/a</v>
      </c>
      <c r="AI290" s="214" t="str">
        <f t="shared" ref="AI290" si="4049">++IFERROR(AI289/AI255,"n/a")</f>
        <v>n/a</v>
      </c>
      <c r="AJ290" s="225" t="str">
        <f t="shared" ref="AJ290" si="4050">++IFERROR(AJ289/AJ255,"n/a")</f>
        <v>n/a</v>
      </c>
      <c r="AK290" s="225" t="str">
        <f t="shared" ref="AK290" si="4051">++IFERROR(AK289/AK255,"n/a")</f>
        <v>n/a</v>
      </c>
      <c r="AL290" s="225" t="str">
        <f t="shared" ref="AL290" si="4052">++IFERROR(AL289/AL255,"n/a")</f>
        <v>n/a</v>
      </c>
      <c r="AM290" s="225" t="str">
        <f t="shared" ref="AM290" si="4053">++IFERROR(AM289/AM255,"n/a")</f>
        <v>n/a</v>
      </c>
      <c r="AN290" s="225" t="str">
        <f t="shared" ref="AN290" si="4054">++IFERROR(AN289/AN255,"n/a")</f>
        <v>n/a</v>
      </c>
      <c r="AO290" s="225" t="str">
        <f t="shared" ref="AO290" si="4055">++IFERROR(AO289/AO255,"n/a")</f>
        <v>n/a</v>
      </c>
      <c r="AP290" s="225" t="str">
        <f t="shared" ref="AP290" si="4056">++IFERROR(AP289/AP255,"n/a")</f>
        <v>n/a</v>
      </c>
      <c r="AQ290" s="225" t="str">
        <f t="shared" ref="AQ290" si="4057">++IFERROR(AQ289/AQ255,"n/a")</f>
        <v>n/a</v>
      </c>
      <c r="AR290" s="225" t="str">
        <f t="shared" ref="AR290" si="4058">++IFERROR(AR289/AR255,"n/a")</f>
        <v>n/a</v>
      </c>
      <c r="AS290" s="225" t="str">
        <f t="shared" ref="AS290" si="4059">++IFERROR(AS289/AS255,"n/a")</f>
        <v>n/a</v>
      </c>
      <c r="AT290" s="225" t="str">
        <f t="shared" ref="AT290" si="4060">++IFERROR(AT289/AT255,"n/a")</f>
        <v>n/a</v>
      </c>
      <c r="AU290" s="214" t="str">
        <f t="shared" ref="AU290" si="4061">++IFERROR(AU289/AU255,"n/a")</f>
        <v>n/a</v>
      </c>
      <c r="AV290" s="225" t="str">
        <f t="shared" ref="AV290" si="4062">++IFERROR(AV289/AV255,"n/a")</f>
        <v>n/a</v>
      </c>
      <c r="AW290" s="225" t="str">
        <f t="shared" ref="AW290" si="4063">++IFERROR(AW289/AW255,"n/a")</f>
        <v>n/a</v>
      </c>
      <c r="AX290" s="225" t="str">
        <f t="shared" ref="AX290" si="4064">++IFERROR(AX289/AX255,"n/a")</f>
        <v>n/a</v>
      </c>
      <c r="AY290" s="225" t="str">
        <f t="shared" ref="AY290" si="4065">++IFERROR(AY289/AY255,"n/a")</f>
        <v>n/a</v>
      </c>
      <c r="AZ290" s="225" t="str">
        <f t="shared" ref="AZ290" si="4066">++IFERROR(AZ289/AZ255,"n/a")</f>
        <v>n/a</v>
      </c>
      <c r="BA290" s="225" t="str">
        <f t="shared" ref="BA290" si="4067">++IFERROR(BA289/BA255,"n/a")</f>
        <v>n/a</v>
      </c>
      <c r="BB290" s="225" t="str">
        <f t="shared" ref="BB290" si="4068">++IFERROR(BB289/BB255,"n/a")</f>
        <v>n/a</v>
      </c>
      <c r="BC290" s="225" t="str">
        <f t="shared" ref="BC290" si="4069">++IFERROR(BC289/BC255,"n/a")</f>
        <v>n/a</v>
      </c>
      <c r="BD290" s="225" t="str">
        <f t="shared" ref="BD290" si="4070">++IFERROR(BD289/BD255,"n/a")</f>
        <v>n/a</v>
      </c>
      <c r="BE290" s="225" t="str">
        <f t="shared" ref="BE290" si="4071">++IFERROR(BE289/BE255,"n/a")</f>
        <v>n/a</v>
      </c>
      <c r="BF290" s="225" t="str">
        <f t="shared" ref="BF290" si="4072">++IFERROR(BF289/BF255,"n/a")</f>
        <v>n/a</v>
      </c>
      <c r="BG290" s="214" t="str">
        <f t="shared" ref="BG290" si="4073">++IFERROR(BG289/BG255,"n/a")</f>
        <v>n/a</v>
      </c>
      <c r="BH290" s="225" t="str">
        <f t="shared" ref="BH290" si="4074">++IFERROR(BH289/BH255,"n/a")</f>
        <v>n/a</v>
      </c>
      <c r="BI290" s="225" t="str">
        <f t="shared" ref="BI290" si="4075">++IFERROR(BI289/BI255,"n/a")</f>
        <v>n/a</v>
      </c>
      <c r="BJ290" s="225" t="str">
        <f t="shared" ref="BJ290" si="4076">++IFERROR(BJ289/BJ255,"n/a")</f>
        <v>n/a</v>
      </c>
      <c r="BK290" s="225" t="str">
        <f t="shared" ref="BK290" si="4077">++IFERROR(BK289/BK255,"n/a")</f>
        <v>n/a</v>
      </c>
      <c r="BL290" s="225" t="str">
        <f t="shared" ref="BL290" si="4078">++IFERROR(BL289/BL255,"n/a")</f>
        <v>n/a</v>
      </c>
      <c r="BM290" s="225" t="str">
        <f t="shared" ref="BM290" si="4079">++IFERROR(BM289/BM255,"n/a")</f>
        <v>n/a</v>
      </c>
      <c r="BN290" s="225" t="str">
        <f t="shared" ref="BN290" si="4080">++IFERROR(BN289/BN255,"n/a")</f>
        <v>n/a</v>
      </c>
      <c r="BO290" s="225" t="str">
        <f t="shared" ref="BO290" si="4081">++IFERROR(BO289/BO255,"n/a")</f>
        <v>n/a</v>
      </c>
      <c r="BP290" s="225" t="str">
        <f t="shared" ref="BP290" si="4082">++IFERROR(BP289/BP255,"n/a")</f>
        <v>n/a</v>
      </c>
      <c r="BQ290" s="225" t="str">
        <f t="shared" ref="BQ290" si="4083">++IFERROR(BQ289/BQ255,"n/a")</f>
        <v>n/a</v>
      </c>
      <c r="BR290" s="225" t="str">
        <f t="shared" ref="BR290" si="4084">++IFERROR(BR289/BR255,"n/a")</f>
        <v>n/a</v>
      </c>
      <c r="BS290" s="214" t="str">
        <f t="shared" ref="BS290" si="4085">++IFERROR(BS289/BS255,"n/a")</f>
        <v>n/a</v>
      </c>
      <c r="BT290" s="225" t="str">
        <f t="shared" ref="BT290" si="4086">++IFERROR(BT289/BT255,"n/a")</f>
        <v>n/a</v>
      </c>
      <c r="BU290" s="225" t="str">
        <f t="shared" ref="BU290" si="4087">++IFERROR(BU289/BU255,"n/a")</f>
        <v>n/a</v>
      </c>
      <c r="BV290" s="225" t="str">
        <f t="shared" ref="BV290" si="4088">++IFERROR(BV289/BV255,"n/a")</f>
        <v>n/a</v>
      </c>
      <c r="BW290" s="225" t="str">
        <f t="shared" ref="BW290" si="4089">++IFERROR(BW289/BW255,"n/a")</f>
        <v>n/a</v>
      </c>
      <c r="BX290" s="225" t="str">
        <f t="shared" ref="BX290" si="4090">++IFERROR(BX289/BX255,"n/a")</f>
        <v>n/a</v>
      </c>
      <c r="BY290" s="225" t="str">
        <f t="shared" ref="BY290" si="4091">++IFERROR(BY289/BY255,"n/a")</f>
        <v>n/a</v>
      </c>
      <c r="BZ290" s="225" t="str">
        <f t="shared" ref="BZ290" si="4092">++IFERROR(BZ289/BZ255,"n/a")</f>
        <v>n/a</v>
      </c>
      <c r="CA290" s="225" t="str">
        <f t="shared" ref="CA290" si="4093">++IFERROR(CA289/CA255,"n/a")</f>
        <v>n/a</v>
      </c>
      <c r="CB290" s="225" t="str">
        <f t="shared" ref="CB290" si="4094">++IFERROR(CB289/CB255,"n/a")</f>
        <v>n/a</v>
      </c>
      <c r="CC290" s="225" t="str">
        <f t="shared" ref="CC290" si="4095">++IFERROR(CC289/CC255,"n/a")</f>
        <v>n/a</v>
      </c>
      <c r="CD290" s="225" t="str">
        <f t="shared" ref="CD290" si="4096">++IFERROR(CD289/CD255,"n/a")</f>
        <v>n/a</v>
      </c>
      <c r="CE290" s="214" t="str">
        <f t="shared" ref="CE290" si="4097">++IFERROR(CE289/CE255,"n/a")</f>
        <v>n/a</v>
      </c>
      <c r="CF290" s="225" t="str">
        <f t="shared" ref="CF290" si="4098">++IFERROR(CF289/CF255,"n/a")</f>
        <v>n/a</v>
      </c>
      <c r="CG290" s="225" t="str">
        <f t="shared" ref="CG290" si="4099">++IFERROR(CG289/CG255,"n/a")</f>
        <v>n/a</v>
      </c>
      <c r="CH290" s="225" t="str">
        <f t="shared" ref="CH290" si="4100">++IFERROR(CH289/CH255,"n/a")</f>
        <v>n/a</v>
      </c>
      <c r="CI290" s="225" t="str">
        <f t="shared" ref="CI290" si="4101">++IFERROR(CI289/CI255,"n/a")</f>
        <v>n/a</v>
      </c>
      <c r="CJ290" s="225" t="str">
        <f t="shared" ref="CJ290" si="4102">++IFERROR(CJ289/CJ255,"n/a")</f>
        <v>n/a</v>
      </c>
      <c r="CK290" s="225" t="str">
        <f t="shared" ref="CK290" si="4103">++IFERROR(CK289/CK255,"n/a")</f>
        <v>n/a</v>
      </c>
      <c r="CL290" s="225" t="str">
        <f t="shared" ref="CL290" si="4104">++IFERROR(CL289/CL255,"n/a")</f>
        <v>n/a</v>
      </c>
      <c r="CM290" s="225" t="str">
        <f t="shared" ref="CM290" si="4105">++IFERROR(CM289/CM255,"n/a")</f>
        <v>n/a</v>
      </c>
      <c r="CN290" s="225" t="str">
        <f t="shared" ref="CN290" si="4106">++IFERROR(CN289/CN255,"n/a")</f>
        <v>n/a</v>
      </c>
      <c r="CO290" s="225" t="str">
        <f t="shared" ref="CO290" si="4107">++IFERROR(CO289/CO255,"n/a")</f>
        <v>n/a</v>
      </c>
      <c r="CP290" s="225" t="str">
        <f t="shared" ref="CP290" si="4108">++IFERROR(CP289/CP255,"n/a")</f>
        <v>n/a</v>
      </c>
      <c r="CQ290" s="214" t="str">
        <f t="shared" ref="CQ290" si="4109">++IFERROR(CQ289/CQ255,"n/a")</f>
        <v>n/a</v>
      </c>
      <c r="CR290" s="225" t="str">
        <f t="shared" ref="CR290" si="4110">++IFERROR(CR289/CR255,"n/a")</f>
        <v>n/a</v>
      </c>
      <c r="CS290" s="225" t="str">
        <f t="shared" ref="CS290" si="4111">++IFERROR(CS289/CS255,"n/a")</f>
        <v>n/a</v>
      </c>
      <c r="CT290" s="225" t="str">
        <f t="shared" ref="CT290" si="4112">++IFERROR(CT289/CT255,"n/a")</f>
        <v>n/a</v>
      </c>
      <c r="CU290" s="225" t="str">
        <f t="shared" ref="CU290" si="4113">++IFERROR(CU289/CU255,"n/a")</f>
        <v>n/a</v>
      </c>
      <c r="CV290" s="225" t="str">
        <f t="shared" ref="CV290" si="4114">++IFERROR(CV289/CV255,"n/a")</f>
        <v>n/a</v>
      </c>
      <c r="CW290" s="225" t="str">
        <f t="shared" ref="CW290" si="4115">++IFERROR(CW289/CW255,"n/a")</f>
        <v>n/a</v>
      </c>
      <c r="CX290" s="225" t="str">
        <f t="shared" ref="CX290" si="4116">++IFERROR(CX289/CX255,"n/a")</f>
        <v>n/a</v>
      </c>
      <c r="CY290" s="225" t="str">
        <f t="shared" ref="CY290" si="4117">++IFERROR(CY289/CY255,"n/a")</f>
        <v>n/a</v>
      </c>
      <c r="CZ290" s="225" t="str">
        <f t="shared" ref="CZ290" si="4118">++IFERROR(CZ289/CZ255,"n/a")</f>
        <v>n/a</v>
      </c>
      <c r="DA290" s="225" t="str">
        <f t="shared" ref="DA290" si="4119">++IFERROR(DA289/DA255,"n/a")</f>
        <v>n/a</v>
      </c>
      <c r="DB290" s="225" t="str">
        <f t="shared" ref="DB290" si="4120">++IFERROR(DB289/DB255,"n/a")</f>
        <v>n/a</v>
      </c>
      <c r="DC290" s="214" t="str">
        <f t="shared" ref="DC290" si="4121">++IFERROR(DC289/DC255,"n/a")</f>
        <v>n/a</v>
      </c>
    </row>
    <row r="291" spans="1:107" x14ac:dyDescent="0.3">
      <c r="C291" s="321" t="str">
        <f>++C$46</f>
        <v>% y/y</v>
      </c>
      <c r="G291" s="122" t="s">
        <v>47</v>
      </c>
      <c r="H291" s="122" t="s">
        <v>47</v>
      </c>
      <c r="I291" s="122" t="s">
        <v>47</v>
      </c>
      <c r="J291" s="122" t="s">
        <v>47</v>
      </c>
      <c r="K291" s="214" t="str">
        <f>++IFERROR(K289/G289-1,"n/a")</f>
        <v>n/a</v>
      </c>
      <c r="L291" s="122" t="s">
        <v>47</v>
      </c>
      <c r="M291" s="122" t="s">
        <v>47</v>
      </c>
      <c r="N291" s="225" t="str">
        <f>++IFERROR(N289/H289-1,"n/a")</f>
        <v>n/a</v>
      </c>
      <c r="O291" s="122" t="s">
        <v>47</v>
      </c>
      <c r="P291" s="122" t="s">
        <v>47</v>
      </c>
      <c r="Q291" s="225" t="str">
        <f>++IFERROR(Q289/I289-1,"n/a")</f>
        <v>n/a</v>
      </c>
      <c r="R291" s="122" t="s">
        <v>47</v>
      </c>
      <c r="S291" s="122" t="s">
        <v>47</v>
      </c>
      <c r="T291" s="225" t="str">
        <f>++IFERROR(T289/J289-1,"n/a")</f>
        <v>n/a</v>
      </c>
      <c r="U291" s="122" t="s">
        <v>47</v>
      </c>
      <c r="V291" s="122" t="s">
        <v>47</v>
      </c>
      <c r="W291" s="214" t="str">
        <f t="shared" ref="W291:BB291" si="4122">++IFERROR(W289/K289-1,"n/a")</f>
        <v>n/a</v>
      </c>
      <c r="X291" s="225" t="str">
        <f t="shared" si="4122"/>
        <v>n/a</v>
      </c>
      <c r="Y291" s="225" t="str">
        <f t="shared" si="4122"/>
        <v>n/a</v>
      </c>
      <c r="Z291" s="225" t="str">
        <f t="shared" si="4122"/>
        <v>n/a</v>
      </c>
      <c r="AA291" s="225" t="str">
        <f t="shared" si="4122"/>
        <v>n/a</v>
      </c>
      <c r="AB291" s="225" t="str">
        <f t="shared" si="4122"/>
        <v>n/a</v>
      </c>
      <c r="AC291" s="225" t="str">
        <f t="shared" si="4122"/>
        <v>n/a</v>
      </c>
      <c r="AD291" s="225" t="str">
        <f t="shared" si="4122"/>
        <v>n/a</v>
      </c>
      <c r="AE291" s="225" t="str">
        <f t="shared" si="4122"/>
        <v>n/a</v>
      </c>
      <c r="AF291" s="225" t="str">
        <f t="shared" si="4122"/>
        <v>n/a</v>
      </c>
      <c r="AG291" s="225" t="str">
        <f t="shared" si="4122"/>
        <v>n/a</v>
      </c>
      <c r="AH291" s="225" t="str">
        <f t="shared" si="4122"/>
        <v>n/a</v>
      </c>
      <c r="AI291" s="214" t="str">
        <f t="shared" si="4122"/>
        <v>n/a</v>
      </c>
      <c r="AJ291" s="225" t="str">
        <f t="shared" si="4122"/>
        <v>n/a</v>
      </c>
      <c r="AK291" s="225" t="str">
        <f t="shared" si="4122"/>
        <v>n/a</v>
      </c>
      <c r="AL291" s="225" t="str">
        <f t="shared" si="4122"/>
        <v>n/a</v>
      </c>
      <c r="AM291" s="225" t="str">
        <f t="shared" si="4122"/>
        <v>n/a</v>
      </c>
      <c r="AN291" s="225" t="str">
        <f t="shared" si="4122"/>
        <v>n/a</v>
      </c>
      <c r="AO291" s="225" t="str">
        <f t="shared" si="4122"/>
        <v>n/a</v>
      </c>
      <c r="AP291" s="225" t="str">
        <f t="shared" si="4122"/>
        <v>n/a</v>
      </c>
      <c r="AQ291" s="225" t="str">
        <f t="shared" si="4122"/>
        <v>n/a</v>
      </c>
      <c r="AR291" s="225" t="str">
        <f t="shared" si="4122"/>
        <v>n/a</v>
      </c>
      <c r="AS291" s="225" t="str">
        <f t="shared" si="4122"/>
        <v>n/a</v>
      </c>
      <c r="AT291" s="225" t="str">
        <f t="shared" si="4122"/>
        <v>n/a</v>
      </c>
      <c r="AU291" s="214" t="str">
        <f t="shared" si="4122"/>
        <v>n/a</v>
      </c>
      <c r="AV291" s="225" t="str">
        <f t="shared" si="4122"/>
        <v>n/a</v>
      </c>
      <c r="AW291" s="225" t="str">
        <f t="shared" si="4122"/>
        <v>n/a</v>
      </c>
      <c r="AX291" s="225" t="str">
        <f t="shared" si="4122"/>
        <v>n/a</v>
      </c>
      <c r="AY291" s="225" t="str">
        <f t="shared" si="4122"/>
        <v>n/a</v>
      </c>
      <c r="AZ291" s="225" t="str">
        <f t="shared" si="4122"/>
        <v>n/a</v>
      </c>
      <c r="BA291" s="225" t="str">
        <f t="shared" si="4122"/>
        <v>n/a</v>
      </c>
      <c r="BB291" s="225" t="str">
        <f t="shared" si="4122"/>
        <v>n/a</v>
      </c>
      <c r="BC291" s="225" t="str">
        <f t="shared" ref="BC291:CH291" si="4123">++IFERROR(BC289/AQ289-1,"n/a")</f>
        <v>n/a</v>
      </c>
      <c r="BD291" s="225" t="str">
        <f t="shared" si="4123"/>
        <v>n/a</v>
      </c>
      <c r="BE291" s="225" t="str">
        <f t="shared" si="4123"/>
        <v>n/a</v>
      </c>
      <c r="BF291" s="225" t="str">
        <f t="shared" si="4123"/>
        <v>n/a</v>
      </c>
      <c r="BG291" s="214" t="str">
        <f t="shared" si="4123"/>
        <v>n/a</v>
      </c>
      <c r="BH291" s="225" t="str">
        <f t="shared" si="4123"/>
        <v>n/a</v>
      </c>
      <c r="BI291" s="225" t="str">
        <f t="shared" si="4123"/>
        <v>n/a</v>
      </c>
      <c r="BJ291" s="225" t="str">
        <f t="shared" si="4123"/>
        <v>n/a</v>
      </c>
      <c r="BK291" s="225" t="str">
        <f t="shared" si="4123"/>
        <v>n/a</v>
      </c>
      <c r="BL291" s="225" t="str">
        <f t="shared" si="4123"/>
        <v>n/a</v>
      </c>
      <c r="BM291" s="225" t="str">
        <f t="shared" si="4123"/>
        <v>n/a</v>
      </c>
      <c r="BN291" s="225" t="str">
        <f t="shared" si="4123"/>
        <v>n/a</v>
      </c>
      <c r="BO291" s="225" t="str">
        <f t="shared" si="4123"/>
        <v>n/a</v>
      </c>
      <c r="BP291" s="225" t="str">
        <f t="shared" si="4123"/>
        <v>n/a</v>
      </c>
      <c r="BQ291" s="225" t="str">
        <f t="shared" si="4123"/>
        <v>n/a</v>
      </c>
      <c r="BR291" s="225" t="str">
        <f t="shared" si="4123"/>
        <v>n/a</v>
      </c>
      <c r="BS291" s="214" t="str">
        <f t="shared" si="4123"/>
        <v>n/a</v>
      </c>
      <c r="BT291" s="225" t="str">
        <f t="shared" si="4123"/>
        <v>n/a</v>
      </c>
      <c r="BU291" s="225" t="str">
        <f t="shared" si="4123"/>
        <v>n/a</v>
      </c>
      <c r="BV291" s="225" t="str">
        <f t="shared" si="4123"/>
        <v>n/a</v>
      </c>
      <c r="BW291" s="225" t="str">
        <f t="shared" si="4123"/>
        <v>n/a</v>
      </c>
      <c r="BX291" s="225" t="str">
        <f t="shared" si="4123"/>
        <v>n/a</v>
      </c>
      <c r="BY291" s="225" t="str">
        <f t="shared" si="4123"/>
        <v>n/a</v>
      </c>
      <c r="BZ291" s="225" t="str">
        <f t="shared" si="4123"/>
        <v>n/a</v>
      </c>
      <c r="CA291" s="225" t="str">
        <f t="shared" si="4123"/>
        <v>n/a</v>
      </c>
      <c r="CB291" s="225" t="str">
        <f t="shared" si="4123"/>
        <v>n/a</v>
      </c>
      <c r="CC291" s="225" t="str">
        <f t="shared" si="4123"/>
        <v>n/a</v>
      </c>
      <c r="CD291" s="225" t="str">
        <f t="shared" si="4123"/>
        <v>n/a</v>
      </c>
      <c r="CE291" s="214" t="str">
        <f t="shared" si="4123"/>
        <v>n/a</v>
      </c>
      <c r="CF291" s="225" t="str">
        <f t="shared" si="4123"/>
        <v>n/a</v>
      </c>
      <c r="CG291" s="225" t="str">
        <f t="shared" si="4123"/>
        <v>n/a</v>
      </c>
      <c r="CH291" s="225" t="str">
        <f t="shared" si="4123"/>
        <v>n/a</v>
      </c>
      <c r="CI291" s="225" t="str">
        <f t="shared" ref="CI291:DN291" si="4124">++IFERROR(CI289/BW289-1,"n/a")</f>
        <v>n/a</v>
      </c>
      <c r="CJ291" s="225" t="str">
        <f t="shared" si="4124"/>
        <v>n/a</v>
      </c>
      <c r="CK291" s="225" t="str">
        <f t="shared" si="4124"/>
        <v>n/a</v>
      </c>
      <c r="CL291" s="225" t="str">
        <f t="shared" si="4124"/>
        <v>n/a</v>
      </c>
      <c r="CM291" s="225" t="str">
        <f t="shared" si="4124"/>
        <v>n/a</v>
      </c>
      <c r="CN291" s="225" t="str">
        <f t="shared" si="4124"/>
        <v>n/a</v>
      </c>
      <c r="CO291" s="225" t="str">
        <f t="shared" si="4124"/>
        <v>n/a</v>
      </c>
      <c r="CP291" s="225" t="str">
        <f t="shared" si="4124"/>
        <v>n/a</v>
      </c>
      <c r="CQ291" s="214" t="str">
        <f t="shared" si="4124"/>
        <v>n/a</v>
      </c>
      <c r="CR291" s="225" t="str">
        <f t="shared" si="4124"/>
        <v>n/a</v>
      </c>
      <c r="CS291" s="225" t="str">
        <f t="shared" si="4124"/>
        <v>n/a</v>
      </c>
      <c r="CT291" s="225" t="str">
        <f t="shared" si="4124"/>
        <v>n/a</v>
      </c>
      <c r="CU291" s="225" t="str">
        <f t="shared" si="4124"/>
        <v>n/a</v>
      </c>
      <c r="CV291" s="225" t="str">
        <f t="shared" si="4124"/>
        <v>n/a</v>
      </c>
      <c r="CW291" s="225" t="str">
        <f t="shared" si="4124"/>
        <v>n/a</v>
      </c>
      <c r="CX291" s="225" t="str">
        <f t="shared" si="4124"/>
        <v>n/a</v>
      </c>
      <c r="CY291" s="225" t="str">
        <f t="shared" si="4124"/>
        <v>n/a</v>
      </c>
      <c r="CZ291" s="225" t="str">
        <f t="shared" si="4124"/>
        <v>n/a</v>
      </c>
      <c r="DA291" s="225" t="str">
        <f t="shared" si="4124"/>
        <v>n/a</v>
      </c>
      <c r="DB291" s="225" t="str">
        <f t="shared" si="4124"/>
        <v>n/a</v>
      </c>
      <c r="DC291" s="214" t="str">
        <f t="shared" si="4124"/>
        <v>n/a</v>
      </c>
    </row>
    <row r="292" spans="1:107" x14ac:dyDescent="0.3">
      <c r="G292" s="203"/>
      <c r="K292" s="203"/>
      <c r="W292" s="203"/>
      <c r="AI292" s="203"/>
      <c r="AU292" s="203"/>
      <c r="BG292" s="203"/>
      <c r="BS292" s="203"/>
      <c r="CE292" s="203"/>
      <c r="CQ292" s="203"/>
      <c r="DC292" s="203"/>
    </row>
    <row r="293" spans="1:107" x14ac:dyDescent="0.3">
      <c r="C293" s="193" t="str">
        <f>++C$48</f>
        <v>CA EBITDA</v>
      </c>
      <c r="G293" s="400">
        <f>++G146</f>
        <v>0</v>
      </c>
      <c r="H293" s="400">
        <f t="shared" ref="H293:BS293" si="4125">++H146</f>
        <v>0</v>
      </c>
      <c r="I293" s="400">
        <f t="shared" si="4125"/>
        <v>0</v>
      </c>
      <c r="J293" s="400">
        <f t="shared" si="4125"/>
        <v>0</v>
      </c>
      <c r="K293" s="400">
        <f t="shared" si="4125"/>
        <v>0</v>
      </c>
      <c r="L293" s="400">
        <f t="shared" si="4125"/>
        <v>0</v>
      </c>
      <c r="M293" s="400">
        <f t="shared" si="4125"/>
        <v>0</v>
      </c>
      <c r="N293" s="400">
        <f t="shared" si="4125"/>
        <v>0</v>
      </c>
      <c r="O293" s="400">
        <f t="shared" si="4125"/>
        <v>0</v>
      </c>
      <c r="P293" s="400">
        <f t="shared" si="4125"/>
        <v>0</v>
      </c>
      <c r="Q293" s="400">
        <f t="shared" si="4125"/>
        <v>0</v>
      </c>
      <c r="R293" s="400">
        <f t="shared" si="4125"/>
        <v>0</v>
      </c>
      <c r="S293" s="400">
        <f t="shared" si="4125"/>
        <v>0</v>
      </c>
      <c r="T293" s="400">
        <f t="shared" si="4125"/>
        <v>0</v>
      </c>
      <c r="U293" s="400">
        <f t="shared" si="4125"/>
        <v>0</v>
      </c>
      <c r="V293" s="400">
        <f t="shared" si="4125"/>
        <v>0</v>
      </c>
      <c r="W293" s="400">
        <f t="shared" si="4125"/>
        <v>0</v>
      </c>
      <c r="X293" s="400">
        <f t="shared" si="4125"/>
        <v>0</v>
      </c>
      <c r="Y293" s="400">
        <f t="shared" si="4125"/>
        <v>0</v>
      </c>
      <c r="Z293" s="400">
        <f t="shared" si="4125"/>
        <v>0</v>
      </c>
      <c r="AA293" s="400">
        <f t="shared" si="4125"/>
        <v>0</v>
      </c>
      <c r="AB293" s="400">
        <f t="shared" si="4125"/>
        <v>0</v>
      </c>
      <c r="AC293" s="400">
        <f t="shared" si="4125"/>
        <v>0</v>
      </c>
      <c r="AD293" s="400">
        <f t="shared" si="4125"/>
        <v>0</v>
      </c>
      <c r="AE293" s="400">
        <f t="shared" si="4125"/>
        <v>0</v>
      </c>
      <c r="AF293" s="400">
        <f t="shared" si="4125"/>
        <v>0</v>
      </c>
      <c r="AG293" s="400">
        <f t="shared" si="4125"/>
        <v>0</v>
      </c>
      <c r="AH293" s="400">
        <f t="shared" si="4125"/>
        <v>0</v>
      </c>
      <c r="AI293" s="400">
        <f t="shared" si="4125"/>
        <v>0</v>
      </c>
      <c r="AJ293" s="400">
        <f t="shared" si="4125"/>
        <v>0</v>
      </c>
      <c r="AK293" s="400">
        <f t="shared" si="4125"/>
        <v>0</v>
      </c>
      <c r="AL293" s="400">
        <f t="shared" si="4125"/>
        <v>0</v>
      </c>
      <c r="AM293" s="400">
        <f t="shared" si="4125"/>
        <v>0</v>
      </c>
      <c r="AN293" s="400">
        <f t="shared" si="4125"/>
        <v>0</v>
      </c>
      <c r="AO293" s="400">
        <f t="shared" si="4125"/>
        <v>0</v>
      </c>
      <c r="AP293" s="400">
        <f t="shared" si="4125"/>
        <v>0</v>
      </c>
      <c r="AQ293" s="400">
        <f t="shared" si="4125"/>
        <v>0</v>
      </c>
      <c r="AR293" s="400">
        <f t="shared" si="4125"/>
        <v>0</v>
      </c>
      <c r="AS293" s="400">
        <f t="shared" si="4125"/>
        <v>0</v>
      </c>
      <c r="AT293" s="400">
        <f t="shared" si="4125"/>
        <v>0</v>
      </c>
      <c r="AU293" s="400">
        <f t="shared" si="4125"/>
        <v>0</v>
      </c>
      <c r="AV293" s="400">
        <f t="shared" si="4125"/>
        <v>0</v>
      </c>
      <c r="AW293" s="400">
        <f t="shared" si="4125"/>
        <v>0</v>
      </c>
      <c r="AX293" s="400">
        <f t="shared" si="4125"/>
        <v>0</v>
      </c>
      <c r="AY293" s="400">
        <f t="shared" si="4125"/>
        <v>0</v>
      </c>
      <c r="AZ293" s="400">
        <f t="shared" si="4125"/>
        <v>0</v>
      </c>
      <c r="BA293" s="400">
        <f t="shared" si="4125"/>
        <v>0</v>
      </c>
      <c r="BB293" s="400">
        <f t="shared" si="4125"/>
        <v>0</v>
      </c>
      <c r="BC293" s="400">
        <f t="shared" si="4125"/>
        <v>0</v>
      </c>
      <c r="BD293" s="400">
        <f t="shared" si="4125"/>
        <v>0</v>
      </c>
      <c r="BE293" s="400">
        <f t="shared" si="4125"/>
        <v>0</v>
      </c>
      <c r="BF293" s="400">
        <f t="shared" si="4125"/>
        <v>0</v>
      </c>
      <c r="BG293" s="400">
        <f t="shared" si="4125"/>
        <v>0</v>
      </c>
      <c r="BH293" s="400">
        <f t="shared" si="4125"/>
        <v>0</v>
      </c>
      <c r="BI293" s="400">
        <f t="shared" si="4125"/>
        <v>0</v>
      </c>
      <c r="BJ293" s="400">
        <f t="shared" si="4125"/>
        <v>0</v>
      </c>
      <c r="BK293" s="400">
        <f t="shared" si="4125"/>
        <v>0</v>
      </c>
      <c r="BL293" s="400">
        <f t="shared" si="4125"/>
        <v>0</v>
      </c>
      <c r="BM293" s="400">
        <f t="shared" si="4125"/>
        <v>0</v>
      </c>
      <c r="BN293" s="400">
        <f t="shared" si="4125"/>
        <v>0</v>
      </c>
      <c r="BO293" s="400">
        <f t="shared" si="4125"/>
        <v>0</v>
      </c>
      <c r="BP293" s="400">
        <f t="shared" si="4125"/>
        <v>0</v>
      </c>
      <c r="BQ293" s="400">
        <f t="shared" si="4125"/>
        <v>0</v>
      </c>
      <c r="BR293" s="400">
        <f t="shared" si="4125"/>
        <v>0</v>
      </c>
      <c r="BS293" s="400">
        <f t="shared" si="4125"/>
        <v>0</v>
      </c>
      <c r="BT293" s="400">
        <f t="shared" ref="BT293:DC293" si="4126">++BT146</f>
        <v>0</v>
      </c>
      <c r="BU293" s="400">
        <f t="shared" si="4126"/>
        <v>0</v>
      </c>
      <c r="BV293" s="400">
        <f t="shared" si="4126"/>
        <v>0</v>
      </c>
      <c r="BW293" s="400">
        <f t="shared" si="4126"/>
        <v>0</v>
      </c>
      <c r="BX293" s="400">
        <f t="shared" si="4126"/>
        <v>0</v>
      </c>
      <c r="BY293" s="400">
        <f t="shared" si="4126"/>
        <v>0</v>
      </c>
      <c r="BZ293" s="400">
        <f t="shared" si="4126"/>
        <v>0</v>
      </c>
      <c r="CA293" s="400">
        <f t="shared" si="4126"/>
        <v>0</v>
      </c>
      <c r="CB293" s="400">
        <f t="shared" si="4126"/>
        <v>0</v>
      </c>
      <c r="CC293" s="400">
        <f t="shared" si="4126"/>
        <v>0</v>
      </c>
      <c r="CD293" s="400">
        <f t="shared" si="4126"/>
        <v>0</v>
      </c>
      <c r="CE293" s="400">
        <f t="shared" si="4126"/>
        <v>0</v>
      </c>
      <c r="CF293" s="400">
        <f t="shared" si="4126"/>
        <v>0</v>
      </c>
      <c r="CG293" s="400">
        <f t="shared" si="4126"/>
        <v>0</v>
      </c>
      <c r="CH293" s="400">
        <f t="shared" si="4126"/>
        <v>0</v>
      </c>
      <c r="CI293" s="400">
        <f t="shared" si="4126"/>
        <v>0</v>
      </c>
      <c r="CJ293" s="400">
        <f t="shared" si="4126"/>
        <v>0</v>
      </c>
      <c r="CK293" s="400">
        <f t="shared" si="4126"/>
        <v>0</v>
      </c>
      <c r="CL293" s="400">
        <f t="shared" si="4126"/>
        <v>0</v>
      </c>
      <c r="CM293" s="400">
        <f t="shared" si="4126"/>
        <v>0</v>
      </c>
      <c r="CN293" s="400">
        <f t="shared" si="4126"/>
        <v>0</v>
      </c>
      <c r="CO293" s="400">
        <f t="shared" si="4126"/>
        <v>0</v>
      </c>
      <c r="CP293" s="400">
        <f t="shared" si="4126"/>
        <v>0</v>
      </c>
      <c r="CQ293" s="400">
        <f t="shared" si="4126"/>
        <v>0</v>
      </c>
      <c r="CR293" s="400">
        <f t="shared" si="4126"/>
        <v>0</v>
      </c>
      <c r="CS293" s="400">
        <f t="shared" si="4126"/>
        <v>0</v>
      </c>
      <c r="CT293" s="400">
        <f t="shared" si="4126"/>
        <v>0</v>
      </c>
      <c r="CU293" s="400">
        <f t="shared" si="4126"/>
        <v>0</v>
      </c>
      <c r="CV293" s="400">
        <f t="shared" si="4126"/>
        <v>0</v>
      </c>
      <c r="CW293" s="400">
        <f t="shared" si="4126"/>
        <v>0</v>
      </c>
      <c r="CX293" s="400">
        <f t="shared" si="4126"/>
        <v>0</v>
      </c>
      <c r="CY293" s="400">
        <f t="shared" si="4126"/>
        <v>0</v>
      </c>
      <c r="CZ293" s="400">
        <f t="shared" si="4126"/>
        <v>0</v>
      </c>
      <c r="DA293" s="400">
        <f t="shared" si="4126"/>
        <v>0</v>
      </c>
      <c r="DB293" s="400">
        <f t="shared" si="4126"/>
        <v>0</v>
      </c>
      <c r="DC293" s="400">
        <f t="shared" si="4126"/>
        <v>0</v>
      </c>
    </row>
    <row r="294" spans="1:107" x14ac:dyDescent="0.3">
      <c r="C294" s="321" t="str">
        <f>++C$49</f>
        <v>% margin</v>
      </c>
      <c r="G294" s="214" t="str">
        <f>++IFERROR(G293/G255,"n/a")</f>
        <v>n/a</v>
      </c>
      <c r="H294" s="225" t="str">
        <f t="shared" ref="H294" si="4127">++IFERROR(H293/H255,"n/a")</f>
        <v>n/a</v>
      </c>
      <c r="I294" s="225" t="str">
        <f t="shared" ref="I294" si="4128">++IFERROR(I293/I255,"n/a")</f>
        <v>n/a</v>
      </c>
      <c r="J294" s="225" t="str">
        <f t="shared" ref="J294" si="4129">++IFERROR(J293/J255,"n/a")</f>
        <v>n/a</v>
      </c>
      <c r="K294" s="214" t="str">
        <f t="shared" ref="K294" si="4130">++IFERROR(K293/K255,"n/a")</f>
        <v>n/a</v>
      </c>
      <c r="L294" s="225" t="str">
        <f t="shared" ref="L294" si="4131">++IFERROR(L293/L255,"n/a")</f>
        <v>n/a</v>
      </c>
      <c r="M294" s="225" t="str">
        <f t="shared" ref="M294" si="4132">++IFERROR(M293/M255,"n/a")</f>
        <v>n/a</v>
      </c>
      <c r="N294" s="225" t="str">
        <f t="shared" ref="N294" si="4133">++IFERROR(N293/N255,"n/a")</f>
        <v>n/a</v>
      </c>
      <c r="O294" s="225" t="str">
        <f t="shared" ref="O294" si="4134">++IFERROR(O293/O255,"n/a")</f>
        <v>n/a</v>
      </c>
      <c r="P294" s="225" t="str">
        <f t="shared" ref="P294" si="4135">++IFERROR(P293/P255,"n/a")</f>
        <v>n/a</v>
      </c>
      <c r="Q294" s="225" t="str">
        <f t="shared" ref="Q294" si="4136">++IFERROR(Q293/Q255,"n/a")</f>
        <v>n/a</v>
      </c>
      <c r="R294" s="225" t="str">
        <f t="shared" ref="R294" si="4137">++IFERROR(R293/R255,"n/a")</f>
        <v>n/a</v>
      </c>
      <c r="S294" s="225" t="str">
        <f t="shared" ref="S294" si="4138">++IFERROR(S293/S255,"n/a")</f>
        <v>n/a</v>
      </c>
      <c r="T294" s="225" t="str">
        <f t="shared" ref="T294" si="4139">++IFERROR(T293/T255,"n/a")</f>
        <v>n/a</v>
      </c>
      <c r="U294" s="225" t="str">
        <f t="shared" ref="U294" si="4140">++IFERROR(U293/U255,"n/a")</f>
        <v>n/a</v>
      </c>
      <c r="V294" s="225" t="str">
        <f t="shared" ref="V294" si="4141">++IFERROR(V293/V255,"n/a")</f>
        <v>n/a</v>
      </c>
      <c r="W294" s="214" t="str">
        <f t="shared" ref="W294" si="4142">++IFERROR(W293/W255,"n/a")</f>
        <v>n/a</v>
      </c>
      <c r="X294" s="225" t="str">
        <f t="shared" ref="X294" si="4143">++IFERROR(X293/X255,"n/a")</f>
        <v>n/a</v>
      </c>
      <c r="Y294" s="225" t="str">
        <f t="shared" ref="Y294" si="4144">++IFERROR(Y293/Y255,"n/a")</f>
        <v>n/a</v>
      </c>
      <c r="Z294" s="225" t="str">
        <f t="shared" ref="Z294" si="4145">++IFERROR(Z293/Z255,"n/a")</f>
        <v>n/a</v>
      </c>
      <c r="AA294" s="225" t="str">
        <f t="shared" ref="AA294" si="4146">++IFERROR(AA293/AA255,"n/a")</f>
        <v>n/a</v>
      </c>
      <c r="AB294" s="225" t="str">
        <f t="shared" ref="AB294" si="4147">++IFERROR(AB293/AB255,"n/a")</f>
        <v>n/a</v>
      </c>
      <c r="AC294" s="225" t="str">
        <f t="shared" ref="AC294" si="4148">++IFERROR(AC293/AC255,"n/a")</f>
        <v>n/a</v>
      </c>
      <c r="AD294" s="225" t="str">
        <f t="shared" ref="AD294" si="4149">++IFERROR(AD293/AD255,"n/a")</f>
        <v>n/a</v>
      </c>
      <c r="AE294" s="225" t="str">
        <f t="shared" ref="AE294" si="4150">++IFERROR(AE293/AE255,"n/a")</f>
        <v>n/a</v>
      </c>
      <c r="AF294" s="225" t="str">
        <f t="shared" ref="AF294" si="4151">++IFERROR(AF293/AF255,"n/a")</f>
        <v>n/a</v>
      </c>
      <c r="AG294" s="225" t="str">
        <f t="shared" ref="AG294" si="4152">++IFERROR(AG293/AG255,"n/a")</f>
        <v>n/a</v>
      </c>
      <c r="AH294" s="225" t="str">
        <f t="shared" ref="AH294" si="4153">++IFERROR(AH293/AH255,"n/a")</f>
        <v>n/a</v>
      </c>
      <c r="AI294" s="214" t="str">
        <f t="shared" ref="AI294" si="4154">++IFERROR(AI293/AI255,"n/a")</f>
        <v>n/a</v>
      </c>
      <c r="AJ294" s="225" t="str">
        <f t="shared" ref="AJ294" si="4155">++IFERROR(AJ293/AJ255,"n/a")</f>
        <v>n/a</v>
      </c>
      <c r="AK294" s="225" t="str">
        <f t="shared" ref="AK294" si="4156">++IFERROR(AK293/AK255,"n/a")</f>
        <v>n/a</v>
      </c>
      <c r="AL294" s="225" t="str">
        <f t="shared" ref="AL294" si="4157">++IFERROR(AL293/AL255,"n/a")</f>
        <v>n/a</v>
      </c>
      <c r="AM294" s="225" t="str">
        <f t="shared" ref="AM294" si="4158">++IFERROR(AM293/AM255,"n/a")</f>
        <v>n/a</v>
      </c>
      <c r="AN294" s="225" t="str">
        <f t="shared" ref="AN294" si="4159">++IFERROR(AN293/AN255,"n/a")</f>
        <v>n/a</v>
      </c>
      <c r="AO294" s="225" t="str">
        <f t="shared" ref="AO294" si="4160">++IFERROR(AO293/AO255,"n/a")</f>
        <v>n/a</v>
      </c>
      <c r="AP294" s="225" t="str">
        <f t="shared" ref="AP294" si="4161">++IFERROR(AP293/AP255,"n/a")</f>
        <v>n/a</v>
      </c>
      <c r="AQ294" s="225" t="str">
        <f t="shared" ref="AQ294" si="4162">++IFERROR(AQ293/AQ255,"n/a")</f>
        <v>n/a</v>
      </c>
      <c r="AR294" s="225" t="str">
        <f t="shared" ref="AR294" si="4163">++IFERROR(AR293/AR255,"n/a")</f>
        <v>n/a</v>
      </c>
      <c r="AS294" s="225" t="str">
        <f t="shared" ref="AS294" si="4164">++IFERROR(AS293/AS255,"n/a")</f>
        <v>n/a</v>
      </c>
      <c r="AT294" s="225" t="str">
        <f t="shared" ref="AT294" si="4165">++IFERROR(AT293/AT255,"n/a")</f>
        <v>n/a</v>
      </c>
      <c r="AU294" s="214" t="str">
        <f t="shared" ref="AU294" si="4166">++IFERROR(AU293/AU255,"n/a")</f>
        <v>n/a</v>
      </c>
      <c r="AV294" s="225" t="str">
        <f t="shared" ref="AV294" si="4167">++IFERROR(AV293/AV255,"n/a")</f>
        <v>n/a</v>
      </c>
      <c r="AW294" s="225" t="str">
        <f t="shared" ref="AW294" si="4168">++IFERROR(AW293/AW255,"n/a")</f>
        <v>n/a</v>
      </c>
      <c r="AX294" s="225" t="str">
        <f t="shared" ref="AX294" si="4169">++IFERROR(AX293/AX255,"n/a")</f>
        <v>n/a</v>
      </c>
      <c r="AY294" s="225" t="str">
        <f t="shared" ref="AY294" si="4170">++IFERROR(AY293/AY255,"n/a")</f>
        <v>n/a</v>
      </c>
      <c r="AZ294" s="225" t="str">
        <f t="shared" ref="AZ294" si="4171">++IFERROR(AZ293/AZ255,"n/a")</f>
        <v>n/a</v>
      </c>
      <c r="BA294" s="225" t="str">
        <f t="shared" ref="BA294" si="4172">++IFERROR(BA293/BA255,"n/a")</f>
        <v>n/a</v>
      </c>
      <c r="BB294" s="225" t="str">
        <f t="shared" ref="BB294" si="4173">++IFERROR(BB293/BB255,"n/a")</f>
        <v>n/a</v>
      </c>
      <c r="BC294" s="225" t="str">
        <f t="shared" ref="BC294" si="4174">++IFERROR(BC293/BC255,"n/a")</f>
        <v>n/a</v>
      </c>
      <c r="BD294" s="225" t="str">
        <f t="shared" ref="BD294" si="4175">++IFERROR(BD293/BD255,"n/a")</f>
        <v>n/a</v>
      </c>
      <c r="BE294" s="225" t="str">
        <f t="shared" ref="BE294" si="4176">++IFERROR(BE293/BE255,"n/a")</f>
        <v>n/a</v>
      </c>
      <c r="BF294" s="225" t="str">
        <f t="shared" ref="BF294" si="4177">++IFERROR(BF293/BF255,"n/a")</f>
        <v>n/a</v>
      </c>
      <c r="BG294" s="214" t="str">
        <f t="shared" ref="BG294" si="4178">++IFERROR(BG293/BG255,"n/a")</f>
        <v>n/a</v>
      </c>
      <c r="BH294" s="225" t="str">
        <f t="shared" ref="BH294" si="4179">++IFERROR(BH293/BH255,"n/a")</f>
        <v>n/a</v>
      </c>
      <c r="BI294" s="225" t="str">
        <f t="shared" ref="BI294" si="4180">++IFERROR(BI293/BI255,"n/a")</f>
        <v>n/a</v>
      </c>
      <c r="BJ294" s="225" t="str">
        <f t="shared" ref="BJ294" si="4181">++IFERROR(BJ293/BJ255,"n/a")</f>
        <v>n/a</v>
      </c>
      <c r="BK294" s="225" t="str">
        <f t="shared" ref="BK294" si="4182">++IFERROR(BK293/BK255,"n/a")</f>
        <v>n/a</v>
      </c>
      <c r="BL294" s="225" t="str">
        <f t="shared" ref="BL294" si="4183">++IFERROR(BL293/BL255,"n/a")</f>
        <v>n/a</v>
      </c>
      <c r="BM294" s="225" t="str">
        <f t="shared" ref="BM294" si="4184">++IFERROR(BM293/BM255,"n/a")</f>
        <v>n/a</v>
      </c>
      <c r="BN294" s="225" t="str">
        <f t="shared" ref="BN294" si="4185">++IFERROR(BN293/BN255,"n/a")</f>
        <v>n/a</v>
      </c>
      <c r="BO294" s="225" t="str">
        <f t="shared" ref="BO294" si="4186">++IFERROR(BO293/BO255,"n/a")</f>
        <v>n/a</v>
      </c>
      <c r="BP294" s="225" t="str">
        <f t="shared" ref="BP294" si="4187">++IFERROR(BP293/BP255,"n/a")</f>
        <v>n/a</v>
      </c>
      <c r="BQ294" s="225" t="str">
        <f t="shared" ref="BQ294" si="4188">++IFERROR(BQ293/BQ255,"n/a")</f>
        <v>n/a</v>
      </c>
      <c r="BR294" s="225" t="str">
        <f t="shared" ref="BR294" si="4189">++IFERROR(BR293/BR255,"n/a")</f>
        <v>n/a</v>
      </c>
      <c r="BS294" s="214" t="str">
        <f t="shared" ref="BS294" si="4190">++IFERROR(BS293/BS255,"n/a")</f>
        <v>n/a</v>
      </c>
      <c r="BT294" s="225" t="str">
        <f t="shared" ref="BT294" si="4191">++IFERROR(BT293/BT255,"n/a")</f>
        <v>n/a</v>
      </c>
      <c r="BU294" s="225" t="str">
        <f t="shared" ref="BU294" si="4192">++IFERROR(BU293/BU255,"n/a")</f>
        <v>n/a</v>
      </c>
      <c r="BV294" s="225" t="str">
        <f t="shared" ref="BV294" si="4193">++IFERROR(BV293/BV255,"n/a")</f>
        <v>n/a</v>
      </c>
      <c r="BW294" s="225" t="str">
        <f t="shared" ref="BW294" si="4194">++IFERROR(BW293/BW255,"n/a")</f>
        <v>n/a</v>
      </c>
      <c r="BX294" s="225" t="str">
        <f t="shared" ref="BX294" si="4195">++IFERROR(BX293/BX255,"n/a")</f>
        <v>n/a</v>
      </c>
      <c r="BY294" s="225" t="str">
        <f t="shared" ref="BY294" si="4196">++IFERROR(BY293/BY255,"n/a")</f>
        <v>n/a</v>
      </c>
      <c r="BZ294" s="225" t="str">
        <f t="shared" ref="BZ294" si="4197">++IFERROR(BZ293/BZ255,"n/a")</f>
        <v>n/a</v>
      </c>
      <c r="CA294" s="225" t="str">
        <f t="shared" ref="CA294" si="4198">++IFERROR(CA293/CA255,"n/a")</f>
        <v>n/a</v>
      </c>
      <c r="CB294" s="225" t="str">
        <f t="shared" ref="CB294" si="4199">++IFERROR(CB293/CB255,"n/a")</f>
        <v>n/a</v>
      </c>
      <c r="CC294" s="225" t="str">
        <f t="shared" ref="CC294" si="4200">++IFERROR(CC293/CC255,"n/a")</f>
        <v>n/a</v>
      </c>
      <c r="CD294" s="225" t="str">
        <f t="shared" ref="CD294" si="4201">++IFERROR(CD293/CD255,"n/a")</f>
        <v>n/a</v>
      </c>
      <c r="CE294" s="214" t="str">
        <f t="shared" ref="CE294" si="4202">++IFERROR(CE293/CE255,"n/a")</f>
        <v>n/a</v>
      </c>
      <c r="CF294" s="225" t="str">
        <f t="shared" ref="CF294" si="4203">++IFERROR(CF293/CF255,"n/a")</f>
        <v>n/a</v>
      </c>
      <c r="CG294" s="225" t="str">
        <f t="shared" ref="CG294" si="4204">++IFERROR(CG293/CG255,"n/a")</f>
        <v>n/a</v>
      </c>
      <c r="CH294" s="225" t="str">
        <f t="shared" ref="CH294" si="4205">++IFERROR(CH293/CH255,"n/a")</f>
        <v>n/a</v>
      </c>
      <c r="CI294" s="225" t="str">
        <f t="shared" ref="CI294" si="4206">++IFERROR(CI293/CI255,"n/a")</f>
        <v>n/a</v>
      </c>
      <c r="CJ294" s="225" t="str">
        <f t="shared" ref="CJ294" si="4207">++IFERROR(CJ293/CJ255,"n/a")</f>
        <v>n/a</v>
      </c>
      <c r="CK294" s="225" t="str">
        <f t="shared" ref="CK294" si="4208">++IFERROR(CK293/CK255,"n/a")</f>
        <v>n/a</v>
      </c>
      <c r="CL294" s="225" t="str">
        <f t="shared" ref="CL294" si="4209">++IFERROR(CL293/CL255,"n/a")</f>
        <v>n/a</v>
      </c>
      <c r="CM294" s="225" t="str">
        <f t="shared" ref="CM294" si="4210">++IFERROR(CM293/CM255,"n/a")</f>
        <v>n/a</v>
      </c>
      <c r="CN294" s="225" t="str">
        <f t="shared" ref="CN294" si="4211">++IFERROR(CN293/CN255,"n/a")</f>
        <v>n/a</v>
      </c>
      <c r="CO294" s="225" t="str">
        <f t="shared" ref="CO294" si="4212">++IFERROR(CO293/CO255,"n/a")</f>
        <v>n/a</v>
      </c>
      <c r="CP294" s="225" t="str">
        <f t="shared" ref="CP294" si="4213">++IFERROR(CP293/CP255,"n/a")</f>
        <v>n/a</v>
      </c>
      <c r="CQ294" s="214" t="str">
        <f t="shared" ref="CQ294" si="4214">++IFERROR(CQ293/CQ255,"n/a")</f>
        <v>n/a</v>
      </c>
      <c r="CR294" s="225" t="str">
        <f t="shared" ref="CR294" si="4215">++IFERROR(CR293/CR255,"n/a")</f>
        <v>n/a</v>
      </c>
      <c r="CS294" s="225" t="str">
        <f t="shared" ref="CS294" si="4216">++IFERROR(CS293/CS255,"n/a")</f>
        <v>n/a</v>
      </c>
      <c r="CT294" s="225" t="str">
        <f t="shared" ref="CT294" si="4217">++IFERROR(CT293/CT255,"n/a")</f>
        <v>n/a</v>
      </c>
      <c r="CU294" s="225" t="str">
        <f t="shared" ref="CU294" si="4218">++IFERROR(CU293/CU255,"n/a")</f>
        <v>n/a</v>
      </c>
      <c r="CV294" s="225" t="str">
        <f t="shared" ref="CV294" si="4219">++IFERROR(CV293/CV255,"n/a")</f>
        <v>n/a</v>
      </c>
      <c r="CW294" s="225" t="str">
        <f t="shared" ref="CW294" si="4220">++IFERROR(CW293/CW255,"n/a")</f>
        <v>n/a</v>
      </c>
      <c r="CX294" s="225" t="str">
        <f t="shared" ref="CX294" si="4221">++IFERROR(CX293/CX255,"n/a")</f>
        <v>n/a</v>
      </c>
      <c r="CY294" s="225" t="str">
        <f t="shared" ref="CY294" si="4222">++IFERROR(CY293/CY255,"n/a")</f>
        <v>n/a</v>
      </c>
      <c r="CZ294" s="225" t="str">
        <f t="shared" ref="CZ294" si="4223">++IFERROR(CZ293/CZ255,"n/a")</f>
        <v>n/a</v>
      </c>
      <c r="DA294" s="225" t="str">
        <f t="shared" ref="DA294" si="4224">++IFERROR(DA293/DA255,"n/a")</f>
        <v>n/a</v>
      </c>
      <c r="DB294" s="225" t="str">
        <f t="shared" ref="DB294" si="4225">++IFERROR(DB293/DB255,"n/a")</f>
        <v>n/a</v>
      </c>
      <c r="DC294" s="214" t="str">
        <f t="shared" ref="DC294" si="4226">++IFERROR(DC293/DC255,"n/a")</f>
        <v>n/a</v>
      </c>
    </row>
    <row r="295" spans="1:107" x14ac:dyDescent="0.3">
      <c r="C295" s="321" t="str">
        <f>++C$50</f>
        <v>% y/y</v>
      </c>
      <c r="G295" s="122" t="s">
        <v>47</v>
      </c>
      <c r="H295" s="122" t="s">
        <v>47</v>
      </c>
      <c r="I295" s="122" t="s">
        <v>47</v>
      </c>
      <c r="J295" s="122" t="s">
        <v>47</v>
      </c>
      <c r="K295" s="214" t="str">
        <f>++IFERROR(K293/G293-1,"n/a")</f>
        <v>n/a</v>
      </c>
      <c r="L295" s="122" t="s">
        <v>47</v>
      </c>
      <c r="M295" s="122" t="s">
        <v>47</v>
      </c>
      <c r="N295" s="225" t="str">
        <f>++IFERROR(N293/H293-1,"n/a")</f>
        <v>n/a</v>
      </c>
      <c r="O295" s="122" t="s">
        <v>47</v>
      </c>
      <c r="P295" s="122" t="s">
        <v>47</v>
      </c>
      <c r="Q295" s="225" t="str">
        <f>++IFERROR(Q293/I293-1,"n/a")</f>
        <v>n/a</v>
      </c>
      <c r="R295" s="122" t="s">
        <v>47</v>
      </c>
      <c r="S295" s="122" t="s">
        <v>47</v>
      </c>
      <c r="T295" s="225" t="str">
        <f>++IFERROR(T293/J293-1,"n/a")</f>
        <v>n/a</v>
      </c>
      <c r="U295" s="122" t="s">
        <v>47</v>
      </c>
      <c r="V295" s="122" t="s">
        <v>47</v>
      </c>
      <c r="W295" s="214" t="str">
        <f t="shared" ref="W295:BB295" si="4227">++IFERROR(W293/K293-1,"n/a")</f>
        <v>n/a</v>
      </c>
      <c r="X295" s="225" t="str">
        <f t="shared" si="4227"/>
        <v>n/a</v>
      </c>
      <c r="Y295" s="225" t="str">
        <f t="shared" si="4227"/>
        <v>n/a</v>
      </c>
      <c r="Z295" s="225" t="str">
        <f t="shared" si="4227"/>
        <v>n/a</v>
      </c>
      <c r="AA295" s="225" t="str">
        <f t="shared" si="4227"/>
        <v>n/a</v>
      </c>
      <c r="AB295" s="225" t="str">
        <f t="shared" si="4227"/>
        <v>n/a</v>
      </c>
      <c r="AC295" s="225" t="str">
        <f t="shared" si="4227"/>
        <v>n/a</v>
      </c>
      <c r="AD295" s="225" t="str">
        <f t="shared" si="4227"/>
        <v>n/a</v>
      </c>
      <c r="AE295" s="225" t="str">
        <f t="shared" si="4227"/>
        <v>n/a</v>
      </c>
      <c r="AF295" s="225" t="str">
        <f t="shared" si="4227"/>
        <v>n/a</v>
      </c>
      <c r="AG295" s="225" t="str">
        <f t="shared" si="4227"/>
        <v>n/a</v>
      </c>
      <c r="AH295" s="225" t="str">
        <f t="shared" si="4227"/>
        <v>n/a</v>
      </c>
      <c r="AI295" s="214" t="str">
        <f t="shared" si="4227"/>
        <v>n/a</v>
      </c>
      <c r="AJ295" s="225" t="str">
        <f t="shared" si="4227"/>
        <v>n/a</v>
      </c>
      <c r="AK295" s="225" t="str">
        <f t="shared" si="4227"/>
        <v>n/a</v>
      </c>
      <c r="AL295" s="225" t="str">
        <f t="shared" si="4227"/>
        <v>n/a</v>
      </c>
      <c r="AM295" s="225" t="str">
        <f t="shared" si="4227"/>
        <v>n/a</v>
      </c>
      <c r="AN295" s="225" t="str">
        <f t="shared" si="4227"/>
        <v>n/a</v>
      </c>
      <c r="AO295" s="225" t="str">
        <f t="shared" si="4227"/>
        <v>n/a</v>
      </c>
      <c r="AP295" s="225" t="str">
        <f t="shared" si="4227"/>
        <v>n/a</v>
      </c>
      <c r="AQ295" s="225" t="str">
        <f t="shared" si="4227"/>
        <v>n/a</v>
      </c>
      <c r="AR295" s="225" t="str">
        <f t="shared" si="4227"/>
        <v>n/a</v>
      </c>
      <c r="AS295" s="225" t="str">
        <f t="shared" si="4227"/>
        <v>n/a</v>
      </c>
      <c r="AT295" s="225" t="str">
        <f t="shared" si="4227"/>
        <v>n/a</v>
      </c>
      <c r="AU295" s="214" t="str">
        <f t="shared" si="4227"/>
        <v>n/a</v>
      </c>
      <c r="AV295" s="225" t="str">
        <f t="shared" si="4227"/>
        <v>n/a</v>
      </c>
      <c r="AW295" s="225" t="str">
        <f t="shared" si="4227"/>
        <v>n/a</v>
      </c>
      <c r="AX295" s="225" t="str">
        <f t="shared" si="4227"/>
        <v>n/a</v>
      </c>
      <c r="AY295" s="225" t="str">
        <f t="shared" si="4227"/>
        <v>n/a</v>
      </c>
      <c r="AZ295" s="225" t="str">
        <f t="shared" si="4227"/>
        <v>n/a</v>
      </c>
      <c r="BA295" s="225" t="str">
        <f t="shared" si="4227"/>
        <v>n/a</v>
      </c>
      <c r="BB295" s="225" t="str">
        <f t="shared" si="4227"/>
        <v>n/a</v>
      </c>
      <c r="BC295" s="225" t="str">
        <f t="shared" ref="BC295:CH295" si="4228">++IFERROR(BC293/AQ293-1,"n/a")</f>
        <v>n/a</v>
      </c>
      <c r="BD295" s="225" t="str">
        <f t="shared" si="4228"/>
        <v>n/a</v>
      </c>
      <c r="BE295" s="225" t="str">
        <f t="shared" si="4228"/>
        <v>n/a</v>
      </c>
      <c r="BF295" s="225" t="str">
        <f t="shared" si="4228"/>
        <v>n/a</v>
      </c>
      <c r="BG295" s="214" t="str">
        <f t="shared" si="4228"/>
        <v>n/a</v>
      </c>
      <c r="BH295" s="225" t="str">
        <f t="shared" si="4228"/>
        <v>n/a</v>
      </c>
      <c r="BI295" s="225" t="str">
        <f t="shared" si="4228"/>
        <v>n/a</v>
      </c>
      <c r="BJ295" s="225" t="str">
        <f t="shared" si="4228"/>
        <v>n/a</v>
      </c>
      <c r="BK295" s="225" t="str">
        <f t="shared" si="4228"/>
        <v>n/a</v>
      </c>
      <c r="BL295" s="225" t="str">
        <f t="shared" si="4228"/>
        <v>n/a</v>
      </c>
      <c r="BM295" s="225" t="str">
        <f t="shared" si="4228"/>
        <v>n/a</v>
      </c>
      <c r="BN295" s="225" t="str">
        <f t="shared" si="4228"/>
        <v>n/a</v>
      </c>
      <c r="BO295" s="225" t="str">
        <f t="shared" si="4228"/>
        <v>n/a</v>
      </c>
      <c r="BP295" s="225" t="str">
        <f t="shared" si="4228"/>
        <v>n/a</v>
      </c>
      <c r="BQ295" s="225" t="str">
        <f t="shared" si="4228"/>
        <v>n/a</v>
      </c>
      <c r="BR295" s="225" t="str">
        <f t="shared" si="4228"/>
        <v>n/a</v>
      </c>
      <c r="BS295" s="214" t="str">
        <f t="shared" si="4228"/>
        <v>n/a</v>
      </c>
      <c r="BT295" s="225" t="str">
        <f t="shared" si="4228"/>
        <v>n/a</v>
      </c>
      <c r="BU295" s="225" t="str">
        <f t="shared" si="4228"/>
        <v>n/a</v>
      </c>
      <c r="BV295" s="225" t="str">
        <f t="shared" si="4228"/>
        <v>n/a</v>
      </c>
      <c r="BW295" s="225" t="str">
        <f t="shared" si="4228"/>
        <v>n/a</v>
      </c>
      <c r="BX295" s="225" t="str">
        <f t="shared" si="4228"/>
        <v>n/a</v>
      </c>
      <c r="BY295" s="225" t="str">
        <f t="shared" si="4228"/>
        <v>n/a</v>
      </c>
      <c r="BZ295" s="225" t="str">
        <f t="shared" si="4228"/>
        <v>n/a</v>
      </c>
      <c r="CA295" s="225" t="str">
        <f t="shared" si="4228"/>
        <v>n/a</v>
      </c>
      <c r="CB295" s="225" t="str">
        <f t="shared" si="4228"/>
        <v>n/a</v>
      </c>
      <c r="CC295" s="225" t="str">
        <f t="shared" si="4228"/>
        <v>n/a</v>
      </c>
      <c r="CD295" s="225" t="str">
        <f t="shared" si="4228"/>
        <v>n/a</v>
      </c>
      <c r="CE295" s="214" t="str">
        <f t="shared" si="4228"/>
        <v>n/a</v>
      </c>
      <c r="CF295" s="225" t="str">
        <f t="shared" si="4228"/>
        <v>n/a</v>
      </c>
      <c r="CG295" s="225" t="str">
        <f t="shared" si="4228"/>
        <v>n/a</v>
      </c>
      <c r="CH295" s="225" t="str">
        <f t="shared" si="4228"/>
        <v>n/a</v>
      </c>
      <c r="CI295" s="225" t="str">
        <f t="shared" ref="CI295:DN295" si="4229">++IFERROR(CI293/BW293-1,"n/a")</f>
        <v>n/a</v>
      </c>
      <c r="CJ295" s="225" t="str">
        <f t="shared" si="4229"/>
        <v>n/a</v>
      </c>
      <c r="CK295" s="225" t="str">
        <f t="shared" si="4229"/>
        <v>n/a</v>
      </c>
      <c r="CL295" s="225" t="str">
        <f t="shared" si="4229"/>
        <v>n/a</v>
      </c>
      <c r="CM295" s="225" t="str">
        <f t="shared" si="4229"/>
        <v>n/a</v>
      </c>
      <c r="CN295" s="225" t="str">
        <f t="shared" si="4229"/>
        <v>n/a</v>
      </c>
      <c r="CO295" s="225" t="str">
        <f t="shared" si="4229"/>
        <v>n/a</v>
      </c>
      <c r="CP295" s="225" t="str">
        <f t="shared" si="4229"/>
        <v>n/a</v>
      </c>
      <c r="CQ295" s="214" t="str">
        <f t="shared" si="4229"/>
        <v>n/a</v>
      </c>
      <c r="CR295" s="225" t="str">
        <f t="shared" si="4229"/>
        <v>n/a</v>
      </c>
      <c r="CS295" s="225" t="str">
        <f t="shared" si="4229"/>
        <v>n/a</v>
      </c>
      <c r="CT295" s="225" t="str">
        <f t="shared" si="4229"/>
        <v>n/a</v>
      </c>
      <c r="CU295" s="225" t="str">
        <f t="shared" si="4229"/>
        <v>n/a</v>
      </c>
      <c r="CV295" s="225" t="str">
        <f t="shared" si="4229"/>
        <v>n/a</v>
      </c>
      <c r="CW295" s="225" t="str">
        <f t="shared" si="4229"/>
        <v>n/a</v>
      </c>
      <c r="CX295" s="225" t="str">
        <f t="shared" si="4229"/>
        <v>n/a</v>
      </c>
      <c r="CY295" s="225" t="str">
        <f t="shared" si="4229"/>
        <v>n/a</v>
      </c>
      <c r="CZ295" s="225" t="str">
        <f t="shared" si="4229"/>
        <v>n/a</v>
      </c>
      <c r="DA295" s="225" t="str">
        <f t="shared" si="4229"/>
        <v>n/a</v>
      </c>
      <c r="DB295" s="225" t="str">
        <f t="shared" si="4229"/>
        <v>n/a</v>
      </c>
      <c r="DC295" s="214" t="str">
        <f t="shared" si="4229"/>
        <v>n/a</v>
      </c>
    </row>
    <row r="296" spans="1:107" x14ac:dyDescent="0.3">
      <c r="G296" s="203"/>
      <c r="K296" s="203"/>
      <c r="W296" s="203"/>
      <c r="AI296" s="203"/>
      <c r="AU296" s="203"/>
      <c r="BG296" s="203"/>
      <c r="BS296" s="203"/>
      <c r="CE296" s="203"/>
      <c r="CQ296" s="203"/>
      <c r="DC296" s="203"/>
    </row>
    <row r="297" spans="1:107" x14ac:dyDescent="0.3">
      <c r="C297" s="193" t="str">
        <f>++C$52</f>
        <v>Capital Expenditures</v>
      </c>
      <c r="G297" s="400">
        <f>++G150</f>
        <v>0</v>
      </c>
      <c r="H297" s="400">
        <f t="shared" ref="H297:BS297" si="4230">++H150</f>
        <v>0</v>
      </c>
      <c r="I297" s="400">
        <f t="shared" si="4230"/>
        <v>0</v>
      </c>
      <c r="J297" s="400">
        <f t="shared" si="4230"/>
        <v>0</v>
      </c>
      <c r="K297" s="400">
        <f t="shared" si="4230"/>
        <v>0</v>
      </c>
      <c r="L297" s="400">
        <f t="shared" si="4230"/>
        <v>0</v>
      </c>
      <c r="M297" s="400">
        <f t="shared" si="4230"/>
        <v>0</v>
      </c>
      <c r="N297" s="400">
        <f t="shared" si="4230"/>
        <v>0</v>
      </c>
      <c r="O297" s="400">
        <f t="shared" si="4230"/>
        <v>0</v>
      </c>
      <c r="P297" s="400">
        <f t="shared" si="4230"/>
        <v>0</v>
      </c>
      <c r="Q297" s="400">
        <f t="shared" si="4230"/>
        <v>0</v>
      </c>
      <c r="R297" s="400">
        <f t="shared" si="4230"/>
        <v>0</v>
      </c>
      <c r="S297" s="400">
        <f t="shared" si="4230"/>
        <v>0</v>
      </c>
      <c r="T297" s="400">
        <f t="shared" si="4230"/>
        <v>0</v>
      </c>
      <c r="U297" s="400">
        <f t="shared" si="4230"/>
        <v>0</v>
      </c>
      <c r="V297" s="400">
        <f t="shared" si="4230"/>
        <v>0</v>
      </c>
      <c r="W297" s="400">
        <f t="shared" si="4230"/>
        <v>0</v>
      </c>
      <c r="X297" s="400">
        <f t="shared" si="4230"/>
        <v>0</v>
      </c>
      <c r="Y297" s="400">
        <f t="shared" si="4230"/>
        <v>0</v>
      </c>
      <c r="Z297" s="400">
        <f t="shared" si="4230"/>
        <v>0</v>
      </c>
      <c r="AA297" s="400">
        <f t="shared" si="4230"/>
        <v>0</v>
      </c>
      <c r="AB297" s="400">
        <f t="shared" si="4230"/>
        <v>0</v>
      </c>
      <c r="AC297" s="400">
        <f t="shared" si="4230"/>
        <v>0</v>
      </c>
      <c r="AD297" s="400">
        <f t="shared" si="4230"/>
        <v>0</v>
      </c>
      <c r="AE297" s="400">
        <f t="shared" si="4230"/>
        <v>0</v>
      </c>
      <c r="AF297" s="400">
        <f t="shared" si="4230"/>
        <v>0</v>
      </c>
      <c r="AG297" s="400">
        <f t="shared" si="4230"/>
        <v>0</v>
      </c>
      <c r="AH297" s="400">
        <f t="shared" si="4230"/>
        <v>0</v>
      </c>
      <c r="AI297" s="400">
        <f t="shared" si="4230"/>
        <v>0</v>
      </c>
      <c r="AJ297" s="400">
        <f t="shared" si="4230"/>
        <v>0</v>
      </c>
      <c r="AK297" s="400">
        <f t="shared" si="4230"/>
        <v>0</v>
      </c>
      <c r="AL297" s="400">
        <f t="shared" si="4230"/>
        <v>0</v>
      </c>
      <c r="AM297" s="400">
        <f t="shared" si="4230"/>
        <v>0</v>
      </c>
      <c r="AN297" s="400">
        <f t="shared" si="4230"/>
        <v>0</v>
      </c>
      <c r="AO297" s="400">
        <f t="shared" si="4230"/>
        <v>0</v>
      </c>
      <c r="AP297" s="400">
        <f t="shared" si="4230"/>
        <v>0</v>
      </c>
      <c r="AQ297" s="400">
        <f t="shared" si="4230"/>
        <v>0</v>
      </c>
      <c r="AR297" s="400">
        <f t="shared" si="4230"/>
        <v>0</v>
      </c>
      <c r="AS297" s="400">
        <f t="shared" si="4230"/>
        <v>0</v>
      </c>
      <c r="AT297" s="400">
        <f t="shared" si="4230"/>
        <v>0</v>
      </c>
      <c r="AU297" s="400">
        <f t="shared" si="4230"/>
        <v>0</v>
      </c>
      <c r="AV297" s="400">
        <f t="shared" si="4230"/>
        <v>0</v>
      </c>
      <c r="AW297" s="400">
        <f t="shared" si="4230"/>
        <v>0</v>
      </c>
      <c r="AX297" s="400">
        <f t="shared" si="4230"/>
        <v>0</v>
      </c>
      <c r="AY297" s="400">
        <f t="shared" si="4230"/>
        <v>0</v>
      </c>
      <c r="AZ297" s="400">
        <f t="shared" si="4230"/>
        <v>0</v>
      </c>
      <c r="BA297" s="400">
        <f t="shared" si="4230"/>
        <v>0</v>
      </c>
      <c r="BB297" s="400">
        <f t="shared" si="4230"/>
        <v>0</v>
      </c>
      <c r="BC297" s="400">
        <f t="shared" si="4230"/>
        <v>0</v>
      </c>
      <c r="BD297" s="400">
        <f t="shared" si="4230"/>
        <v>0</v>
      </c>
      <c r="BE297" s="400">
        <f t="shared" si="4230"/>
        <v>0</v>
      </c>
      <c r="BF297" s="400">
        <f t="shared" si="4230"/>
        <v>0</v>
      </c>
      <c r="BG297" s="400">
        <f t="shared" si="4230"/>
        <v>0</v>
      </c>
      <c r="BH297" s="400">
        <f t="shared" si="4230"/>
        <v>0</v>
      </c>
      <c r="BI297" s="400">
        <f t="shared" si="4230"/>
        <v>0</v>
      </c>
      <c r="BJ297" s="400">
        <f t="shared" si="4230"/>
        <v>0</v>
      </c>
      <c r="BK297" s="400">
        <f t="shared" si="4230"/>
        <v>0</v>
      </c>
      <c r="BL297" s="400">
        <f t="shared" si="4230"/>
        <v>0</v>
      </c>
      <c r="BM297" s="400">
        <f t="shared" si="4230"/>
        <v>0</v>
      </c>
      <c r="BN297" s="400">
        <f t="shared" si="4230"/>
        <v>0</v>
      </c>
      <c r="BO297" s="400">
        <f t="shared" si="4230"/>
        <v>0</v>
      </c>
      <c r="BP297" s="400">
        <f t="shared" si="4230"/>
        <v>0</v>
      </c>
      <c r="BQ297" s="400">
        <f t="shared" si="4230"/>
        <v>0</v>
      </c>
      <c r="BR297" s="400">
        <f t="shared" si="4230"/>
        <v>0</v>
      </c>
      <c r="BS297" s="400">
        <f t="shared" si="4230"/>
        <v>0</v>
      </c>
      <c r="BT297" s="400">
        <f t="shared" ref="BT297:DC297" si="4231">++BT150</f>
        <v>0</v>
      </c>
      <c r="BU297" s="400">
        <f t="shared" si="4231"/>
        <v>0</v>
      </c>
      <c r="BV297" s="400">
        <f t="shared" si="4231"/>
        <v>0</v>
      </c>
      <c r="BW297" s="400">
        <f t="shared" si="4231"/>
        <v>0</v>
      </c>
      <c r="BX297" s="400">
        <f t="shared" si="4231"/>
        <v>0</v>
      </c>
      <c r="BY297" s="400">
        <f t="shared" si="4231"/>
        <v>0</v>
      </c>
      <c r="BZ297" s="400">
        <f t="shared" si="4231"/>
        <v>0</v>
      </c>
      <c r="CA297" s="400">
        <f t="shared" si="4231"/>
        <v>0</v>
      </c>
      <c r="CB297" s="400">
        <f t="shared" si="4231"/>
        <v>0</v>
      </c>
      <c r="CC297" s="400">
        <f t="shared" si="4231"/>
        <v>0</v>
      </c>
      <c r="CD297" s="400">
        <f t="shared" si="4231"/>
        <v>0</v>
      </c>
      <c r="CE297" s="400">
        <f t="shared" si="4231"/>
        <v>0</v>
      </c>
      <c r="CF297" s="400">
        <f t="shared" si="4231"/>
        <v>0</v>
      </c>
      <c r="CG297" s="400">
        <f t="shared" si="4231"/>
        <v>0</v>
      </c>
      <c r="CH297" s="400">
        <f t="shared" si="4231"/>
        <v>0</v>
      </c>
      <c r="CI297" s="400">
        <f t="shared" si="4231"/>
        <v>0</v>
      </c>
      <c r="CJ297" s="400">
        <f t="shared" si="4231"/>
        <v>0</v>
      </c>
      <c r="CK297" s="400">
        <f t="shared" si="4231"/>
        <v>0</v>
      </c>
      <c r="CL297" s="400">
        <f t="shared" si="4231"/>
        <v>0</v>
      </c>
      <c r="CM297" s="400">
        <f t="shared" si="4231"/>
        <v>0</v>
      </c>
      <c r="CN297" s="400">
        <f t="shared" si="4231"/>
        <v>0</v>
      </c>
      <c r="CO297" s="400">
        <f t="shared" si="4231"/>
        <v>0</v>
      </c>
      <c r="CP297" s="400">
        <f t="shared" si="4231"/>
        <v>0</v>
      </c>
      <c r="CQ297" s="400">
        <f t="shared" si="4231"/>
        <v>0</v>
      </c>
      <c r="CR297" s="400">
        <f t="shared" si="4231"/>
        <v>0</v>
      </c>
      <c r="CS297" s="400">
        <f t="shared" si="4231"/>
        <v>0</v>
      </c>
      <c r="CT297" s="400">
        <f t="shared" si="4231"/>
        <v>0</v>
      </c>
      <c r="CU297" s="400">
        <f t="shared" si="4231"/>
        <v>0</v>
      </c>
      <c r="CV297" s="400">
        <f t="shared" si="4231"/>
        <v>0</v>
      </c>
      <c r="CW297" s="400">
        <f t="shared" si="4231"/>
        <v>0</v>
      </c>
      <c r="CX297" s="400">
        <f t="shared" si="4231"/>
        <v>0</v>
      </c>
      <c r="CY297" s="400">
        <f t="shared" si="4231"/>
        <v>0</v>
      </c>
      <c r="CZ297" s="400">
        <f t="shared" si="4231"/>
        <v>0</v>
      </c>
      <c r="DA297" s="400">
        <f t="shared" si="4231"/>
        <v>0</v>
      </c>
      <c r="DB297" s="400">
        <f t="shared" si="4231"/>
        <v>0</v>
      </c>
      <c r="DC297" s="400">
        <f t="shared" si="4231"/>
        <v>0</v>
      </c>
    </row>
    <row r="298" spans="1:107" x14ac:dyDescent="0.3">
      <c r="C298" s="321" t="str">
        <f>++C$53</f>
        <v>% revenue</v>
      </c>
      <c r="G298" s="214" t="str">
        <f>++IFERROR(G297/G255,"n/a")</f>
        <v>n/a</v>
      </c>
      <c r="H298" s="225" t="str">
        <f t="shared" ref="H298" si="4232">++IFERROR(H297/H255,"n/a")</f>
        <v>n/a</v>
      </c>
      <c r="I298" s="225" t="str">
        <f t="shared" ref="I298" si="4233">++IFERROR(I297/I255,"n/a")</f>
        <v>n/a</v>
      </c>
      <c r="J298" s="225" t="str">
        <f t="shared" ref="J298" si="4234">++IFERROR(J297/J255,"n/a")</f>
        <v>n/a</v>
      </c>
      <c r="K298" s="214" t="str">
        <f t="shared" ref="K298" si="4235">++IFERROR(K297/K255,"n/a")</f>
        <v>n/a</v>
      </c>
      <c r="L298" s="225" t="str">
        <f t="shared" ref="L298" si="4236">++IFERROR(L297/L255,"n/a")</f>
        <v>n/a</v>
      </c>
      <c r="M298" s="225" t="str">
        <f t="shared" ref="M298" si="4237">++IFERROR(M297/M255,"n/a")</f>
        <v>n/a</v>
      </c>
      <c r="N298" s="225" t="str">
        <f t="shared" ref="N298" si="4238">++IFERROR(N297/N255,"n/a")</f>
        <v>n/a</v>
      </c>
      <c r="O298" s="225" t="str">
        <f t="shared" ref="O298" si="4239">++IFERROR(O297/O255,"n/a")</f>
        <v>n/a</v>
      </c>
      <c r="P298" s="225" t="str">
        <f t="shared" ref="P298" si="4240">++IFERROR(P297/P255,"n/a")</f>
        <v>n/a</v>
      </c>
      <c r="Q298" s="225" t="str">
        <f t="shared" ref="Q298" si="4241">++IFERROR(Q297/Q255,"n/a")</f>
        <v>n/a</v>
      </c>
      <c r="R298" s="225" t="str">
        <f t="shared" ref="R298" si="4242">++IFERROR(R297/R255,"n/a")</f>
        <v>n/a</v>
      </c>
      <c r="S298" s="225" t="str">
        <f t="shared" ref="S298" si="4243">++IFERROR(S297/S255,"n/a")</f>
        <v>n/a</v>
      </c>
      <c r="T298" s="225" t="str">
        <f t="shared" ref="T298" si="4244">++IFERROR(T297/T255,"n/a")</f>
        <v>n/a</v>
      </c>
      <c r="U298" s="225" t="str">
        <f t="shared" ref="U298" si="4245">++IFERROR(U297/U255,"n/a")</f>
        <v>n/a</v>
      </c>
      <c r="V298" s="225" t="str">
        <f t="shared" ref="V298" si="4246">++IFERROR(V297/V255,"n/a")</f>
        <v>n/a</v>
      </c>
      <c r="W298" s="214" t="str">
        <f t="shared" ref="W298" si="4247">++IFERROR(W297/W255,"n/a")</f>
        <v>n/a</v>
      </c>
      <c r="X298" s="225" t="str">
        <f t="shared" ref="X298" si="4248">++IFERROR(X297/X255,"n/a")</f>
        <v>n/a</v>
      </c>
      <c r="Y298" s="225" t="str">
        <f t="shared" ref="Y298" si="4249">++IFERROR(Y297/Y255,"n/a")</f>
        <v>n/a</v>
      </c>
      <c r="Z298" s="225" t="str">
        <f t="shared" ref="Z298" si="4250">++IFERROR(Z297/Z255,"n/a")</f>
        <v>n/a</v>
      </c>
      <c r="AA298" s="225" t="str">
        <f t="shared" ref="AA298" si="4251">++IFERROR(AA297/AA255,"n/a")</f>
        <v>n/a</v>
      </c>
      <c r="AB298" s="225" t="str">
        <f t="shared" ref="AB298" si="4252">++IFERROR(AB297/AB255,"n/a")</f>
        <v>n/a</v>
      </c>
      <c r="AC298" s="225" t="str">
        <f t="shared" ref="AC298" si="4253">++IFERROR(AC297/AC255,"n/a")</f>
        <v>n/a</v>
      </c>
      <c r="AD298" s="225" t="str">
        <f t="shared" ref="AD298" si="4254">++IFERROR(AD297/AD255,"n/a")</f>
        <v>n/a</v>
      </c>
      <c r="AE298" s="225" t="str">
        <f t="shared" ref="AE298" si="4255">++IFERROR(AE297/AE255,"n/a")</f>
        <v>n/a</v>
      </c>
      <c r="AF298" s="225" t="str">
        <f t="shared" ref="AF298" si="4256">++IFERROR(AF297/AF255,"n/a")</f>
        <v>n/a</v>
      </c>
      <c r="AG298" s="225" t="str">
        <f t="shared" ref="AG298" si="4257">++IFERROR(AG297/AG255,"n/a")</f>
        <v>n/a</v>
      </c>
      <c r="AH298" s="225" t="str">
        <f t="shared" ref="AH298" si="4258">++IFERROR(AH297/AH255,"n/a")</f>
        <v>n/a</v>
      </c>
      <c r="AI298" s="214" t="str">
        <f t="shared" ref="AI298" si="4259">++IFERROR(AI297/AI255,"n/a")</f>
        <v>n/a</v>
      </c>
      <c r="AJ298" s="225" t="str">
        <f t="shared" ref="AJ298" si="4260">++IFERROR(AJ297/AJ255,"n/a")</f>
        <v>n/a</v>
      </c>
      <c r="AK298" s="225" t="str">
        <f t="shared" ref="AK298" si="4261">++IFERROR(AK297/AK255,"n/a")</f>
        <v>n/a</v>
      </c>
      <c r="AL298" s="225" t="str">
        <f t="shared" ref="AL298" si="4262">++IFERROR(AL297/AL255,"n/a")</f>
        <v>n/a</v>
      </c>
      <c r="AM298" s="225" t="str">
        <f t="shared" ref="AM298" si="4263">++IFERROR(AM297/AM255,"n/a")</f>
        <v>n/a</v>
      </c>
      <c r="AN298" s="225" t="str">
        <f t="shared" ref="AN298" si="4264">++IFERROR(AN297/AN255,"n/a")</f>
        <v>n/a</v>
      </c>
      <c r="AO298" s="225" t="str">
        <f t="shared" ref="AO298" si="4265">++IFERROR(AO297/AO255,"n/a")</f>
        <v>n/a</v>
      </c>
      <c r="AP298" s="225" t="str">
        <f t="shared" ref="AP298" si="4266">++IFERROR(AP297/AP255,"n/a")</f>
        <v>n/a</v>
      </c>
      <c r="AQ298" s="225" t="str">
        <f t="shared" ref="AQ298" si="4267">++IFERROR(AQ297/AQ255,"n/a")</f>
        <v>n/a</v>
      </c>
      <c r="AR298" s="225" t="str">
        <f t="shared" ref="AR298" si="4268">++IFERROR(AR297/AR255,"n/a")</f>
        <v>n/a</v>
      </c>
      <c r="AS298" s="225" t="str">
        <f t="shared" ref="AS298" si="4269">++IFERROR(AS297/AS255,"n/a")</f>
        <v>n/a</v>
      </c>
      <c r="AT298" s="225" t="str">
        <f t="shared" ref="AT298" si="4270">++IFERROR(AT297/AT255,"n/a")</f>
        <v>n/a</v>
      </c>
      <c r="AU298" s="214" t="str">
        <f t="shared" ref="AU298" si="4271">++IFERROR(AU297/AU255,"n/a")</f>
        <v>n/a</v>
      </c>
      <c r="AV298" s="225" t="str">
        <f t="shared" ref="AV298" si="4272">++IFERROR(AV297/AV255,"n/a")</f>
        <v>n/a</v>
      </c>
      <c r="AW298" s="225" t="str">
        <f t="shared" ref="AW298" si="4273">++IFERROR(AW297/AW255,"n/a")</f>
        <v>n/a</v>
      </c>
      <c r="AX298" s="225" t="str">
        <f t="shared" ref="AX298" si="4274">++IFERROR(AX297/AX255,"n/a")</f>
        <v>n/a</v>
      </c>
      <c r="AY298" s="225" t="str">
        <f t="shared" ref="AY298" si="4275">++IFERROR(AY297/AY255,"n/a")</f>
        <v>n/a</v>
      </c>
      <c r="AZ298" s="225" t="str">
        <f t="shared" ref="AZ298" si="4276">++IFERROR(AZ297/AZ255,"n/a")</f>
        <v>n/a</v>
      </c>
      <c r="BA298" s="225" t="str">
        <f t="shared" ref="BA298" si="4277">++IFERROR(BA297/BA255,"n/a")</f>
        <v>n/a</v>
      </c>
      <c r="BB298" s="225" t="str">
        <f t="shared" ref="BB298" si="4278">++IFERROR(BB297/BB255,"n/a")</f>
        <v>n/a</v>
      </c>
      <c r="BC298" s="225" t="str">
        <f t="shared" ref="BC298" si="4279">++IFERROR(BC297/BC255,"n/a")</f>
        <v>n/a</v>
      </c>
      <c r="BD298" s="225" t="str">
        <f t="shared" ref="BD298" si="4280">++IFERROR(BD297/BD255,"n/a")</f>
        <v>n/a</v>
      </c>
      <c r="BE298" s="225" t="str">
        <f t="shared" ref="BE298" si="4281">++IFERROR(BE297/BE255,"n/a")</f>
        <v>n/a</v>
      </c>
      <c r="BF298" s="225" t="str">
        <f t="shared" ref="BF298" si="4282">++IFERROR(BF297/BF255,"n/a")</f>
        <v>n/a</v>
      </c>
      <c r="BG298" s="214" t="str">
        <f t="shared" ref="BG298" si="4283">++IFERROR(BG297/BG255,"n/a")</f>
        <v>n/a</v>
      </c>
      <c r="BH298" s="225" t="str">
        <f t="shared" ref="BH298" si="4284">++IFERROR(BH297/BH255,"n/a")</f>
        <v>n/a</v>
      </c>
      <c r="BI298" s="225" t="str">
        <f t="shared" ref="BI298" si="4285">++IFERROR(BI297/BI255,"n/a")</f>
        <v>n/a</v>
      </c>
      <c r="BJ298" s="225" t="str">
        <f t="shared" ref="BJ298" si="4286">++IFERROR(BJ297/BJ255,"n/a")</f>
        <v>n/a</v>
      </c>
      <c r="BK298" s="225" t="str">
        <f t="shared" ref="BK298" si="4287">++IFERROR(BK297/BK255,"n/a")</f>
        <v>n/a</v>
      </c>
      <c r="BL298" s="225" t="str">
        <f t="shared" ref="BL298" si="4288">++IFERROR(BL297/BL255,"n/a")</f>
        <v>n/a</v>
      </c>
      <c r="BM298" s="225" t="str">
        <f t="shared" ref="BM298" si="4289">++IFERROR(BM297/BM255,"n/a")</f>
        <v>n/a</v>
      </c>
      <c r="BN298" s="225" t="str">
        <f t="shared" ref="BN298" si="4290">++IFERROR(BN297/BN255,"n/a")</f>
        <v>n/a</v>
      </c>
      <c r="BO298" s="225" t="str">
        <f t="shared" ref="BO298" si="4291">++IFERROR(BO297/BO255,"n/a")</f>
        <v>n/a</v>
      </c>
      <c r="BP298" s="225" t="str">
        <f t="shared" ref="BP298" si="4292">++IFERROR(BP297/BP255,"n/a")</f>
        <v>n/a</v>
      </c>
      <c r="BQ298" s="225" t="str">
        <f t="shared" ref="BQ298" si="4293">++IFERROR(BQ297/BQ255,"n/a")</f>
        <v>n/a</v>
      </c>
      <c r="BR298" s="225" t="str">
        <f t="shared" ref="BR298" si="4294">++IFERROR(BR297/BR255,"n/a")</f>
        <v>n/a</v>
      </c>
      <c r="BS298" s="214" t="str">
        <f t="shared" ref="BS298" si="4295">++IFERROR(BS297/BS255,"n/a")</f>
        <v>n/a</v>
      </c>
      <c r="BT298" s="225" t="str">
        <f t="shared" ref="BT298" si="4296">++IFERROR(BT297/BT255,"n/a")</f>
        <v>n/a</v>
      </c>
      <c r="BU298" s="225" t="str">
        <f t="shared" ref="BU298" si="4297">++IFERROR(BU297/BU255,"n/a")</f>
        <v>n/a</v>
      </c>
      <c r="BV298" s="225" t="str">
        <f t="shared" ref="BV298" si="4298">++IFERROR(BV297/BV255,"n/a")</f>
        <v>n/a</v>
      </c>
      <c r="BW298" s="225" t="str">
        <f t="shared" ref="BW298" si="4299">++IFERROR(BW297/BW255,"n/a")</f>
        <v>n/a</v>
      </c>
      <c r="BX298" s="225" t="str">
        <f t="shared" ref="BX298" si="4300">++IFERROR(BX297/BX255,"n/a")</f>
        <v>n/a</v>
      </c>
      <c r="BY298" s="225" t="str">
        <f t="shared" ref="BY298" si="4301">++IFERROR(BY297/BY255,"n/a")</f>
        <v>n/a</v>
      </c>
      <c r="BZ298" s="225" t="str">
        <f t="shared" ref="BZ298" si="4302">++IFERROR(BZ297/BZ255,"n/a")</f>
        <v>n/a</v>
      </c>
      <c r="CA298" s="225" t="str">
        <f t="shared" ref="CA298" si="4303">++IFERROR(CA297/CA255,"n/a")</f>
        <v>n/a</v>
      </c>
      <c r="CB298" s="225" t="str">
        <f t="shared" ref="CB298" si="4304">++IFERROR(CB297/CB255,"n/a")</f>
        <v>n/a</v>
      </c>
      <c r="CC298" s="225" t="str">
        <f t="shared" ref="CC298" si="4305">++IFERROR(CC297/CC255,"n/a")</f>
        <v>n/a</v>
      </c>
      <c r="CD298" s="225" t="str">
        <f t="shared" ref="CD298" si="4306">++IFERROR(CD297/CD255,"n/a")</f>
        <v>n/a</v>
      </c>
      <c r="CE298" s="214" t="str">
        <f t="shared" ref="CE298" si="4307">++IFERROR(CE297/CE255,"n/a")</f>
        <v>n/a</v>
      </c>
      <c r="CF298" s="225" t="str">
        <f t="shared" ref="CF298" si="4308">++IFERROR(CF297/CF255,"n/a")</f>
        <v>n/a</v>
      </c>
      <c r="CG298" s="225" t="str">
        <f t="shared" ref="CG298" si="4309">++IFERROR(CG297/CG255,"n/a")</f>
        <v>n/a</v>
      </c>
      <c r="CH298" s="225" t="str">
        <f t="shared" ref="CH298" si="4310">++IFERROR(CH297/CH255,"n/a")</f>
        <v>n/a</v>
      </c>
      <c r="CI298" s="225" t="str">
        <f t="shared" ref="CI298" si="4311">++IFERROR(CI297/CI255,"n/a")</f>
        <v>n/a</v>
      </c>
      <c r="CJ298" s="225" t="str">
        <f t="shared" ref="CJ298" si="4312">++IFERROR(CJ297/CJ255,"n/a")</f>
        <v>n/a</v>
      </c>
      <c r="CK298" s="225" t="str">
        <f t="shared" ref="CK298" si="4313">++IFERROR(CK297/CK255,"n/a")</f>
        <v>n/a</v>
      </c>
      <c r="CL298" s="225" t="str">
        <f t="shared" ref="CL298" si="4314">++IFERROR(CL297/CL255,"n/a")</f>
        <v>n/a</v>
      </c>
      <c r="CM298" s="225" t="str">
        <f t="shared" ref="CM298" si="4315">++IFERROR(CM297/CM255,"n/a")</f>
        <v>n/a</v>
      </c>
      <c r="CN298" s="225" t="str">
        <f t="shared" ref="CN298" si="4316">++IFERROR(CN297/CN255,"n/a")</f>
        <v>n/a</v>
      </c>
      <c r="CO298" s="225" t="str">
        <f t="shared" ref="CO298" si="4317">++IFERROR(CO297/CO255,"n/a")</f>
        <v>n/a</v>
      </c>
      <c r="CP298" s="225" t="str">
        <f t="shared" ref="CP298" si="4318">++IFERROR(CP297/CP255,"n/a")</f>
        <v>n/a</v>
      </c>
      <c r="CQ298" s="214" t="str">
        <f t="shared" ref="CQ298" si="4319">++IFERROR(CQ297/CQ255,"n/a")</f>
        <v>n/a</v>
      </c>
      <c r="CR298" s="225" t="str">
        <f t="shared" ref="CR298" si="4320">++IFERROR(CR297/CR255,"n/a")</f>
        <v>n/a</v>
      </c>
      <c r="CS298" s="225" t="str">
        <f t="shared" ref="CS298" si="4321">++IFERROR(CS297/CS255,"n/a")</f>
        <v>n/a</v>
      </c>
      <c r="CT298" s="225" t="str">
        <f t="shared" ref="CT298" si="4322">++IFERROR(CT297/CT255,"n/a")</f>
        <v>n/a</v>
      </c>
      <c r="CU298" s="225" t="str">
        <f t="shared" ref="CU298" si="4323">++IFERROR(CU297/CU255,"n/a")</f>
        <v>n/a</v>
      </c>
      <c r="CV298" s="225" t="str">
        <f t="shared" ref="CV298" si="4324">++IFERROR(CV297/CV255,"n/a")</f>
        <v>n/a</v>
      </c>
      <c r="CW298" s="225" t="str">
        <f t="shared" ref="CW298" si="4325">++IFERROR(CW297/CW255,"n/a")</f>
        <v>n/a</v>
      </c>
      <c r="CX298" s="225" t="str">
        <f t="shared" ref="CX298" si="4326">++IFERROR(CX297/CX255,"n/a")</f>
        <v>n/a</v>
      </c>
      <c r="CY298" s="225" t="str">
        <f t="shared" ref="CY298" si="4327">++IFERROR(CY297/CY255,"n/a")</f>
        <v>n/a</v>
      </c>
      <c r="CZ298" s="225" t="str">
        <f t="shared" ref="CZ298" si="4328">++IFERROR(CZ297/CZ255,"n/a")</f>
        <v>n/a</v>
      </c>
      <c r="DA298" s="225" t="str">
        <f t="shared" ref="DA298" si="4329">++IFERROR(DA297/DA255,"n/a")</f>
        <v>n/a</v>
      </c>
      <c r="DB298" s="225" t="str">
        <f t="shared" ref="DB298" si="4330">++IFERROR(DB297/DB255,"n/a")</f>
        <v>n/a</v>
      </c>
      <c r="DC298" s="214" t="str">
        <f t="shared" ref="DC298" si="4331">++IFERROR(DC297/DC255,"n/a")</f>
        <v>n/a</v>
      </c>
    </row>
    <row r="299" spans="1:107" x14ac:dyDescent="0.3">
      <c r="C299" s="321" t="str">
        <f>++C$54</f>
        <v>% FCF conversion</v>
      </c>
      <c r="G299" s="214" t="str">
        <f>++IFERROR((G293-G297)/G293,"n/a")</f>
        <v>n/a</v>
      </c>
      <c r="H299" s="225" t="str">
        <f t="shared" ref="H299:BS299" si="4332">++IFERROR((H293-H297)/H293,"n/a")</f>
        <v>n/a</v>
      </c>
      <c r="I299" s="225" t="str">
        <f t="shared" si="4332"/>
        <v>n/a</v>
      </c>
      <c r="J299" s="225" t="str">
        <f t="shared" si="4332"/>
        <v>n/a</v>
      </c>
      <c r="K299" s="214" t="str">
        <f t="shared" si="4332"/>
        <v>n/a</v>
      </c>
      <c r="L299" s="225" t="str">
        <f t="shared" si="4332"/>
        <v>n/a</v>
      </c>
      <c r="M299" s="225" t="str">
        <f t="shared" si="4332"/>
        <v>n/a</v>
      </c>
      <c r="N299" s="225" t="str">
        <f t="shared" si="4332"/>
        <v>n/a</v>
      </c>
      <c r="O299" s="225" t="str">
        <f t="shared" si="4332"/>
        <v>n/a</v>
      </c>
      <c r="P299" s="225" t="str">
        <f t="shared" si="4332"/>
        <v>n/a</v>
      </c>
      <c r="Q299" s="225" t="str">
        <f t="shared" si="4332"/>
        <v>n/a</v>
      </c>
      <c r="R299" s="225" t="str">
        <f t="shared" si="4332"/>
        <v>n/a</v>
      </c>
      <c r="S299" s="225" t="str">
        <f t="shared" si="4332"/>
        <v>n/a</v>
      </c>
      <c r="T299" s="225" t="str">
        <f t="shared" si="4332"/>
        <v>n/a</v>
      </c>
      <c r="U299" s="225" t="str">
        <f t="shared" si="4332"/>
        <v>n/a</v>
      </c>
      <c r="V299" s="225" t="str">
        <f t="shared" si="4332"/>
        <v>n/a</v>
      </c>
      <c r="W299" s="214" t="str">
        <f t="shared" si="4332"/>
        <v>n/a</v>
      </c>
      <c r="X299" s="225" t="str">
        <f t="shared" si="4332"/>
        <v>n/a</v>
      </c>
      <c r="Y299" s="225" t="str">
        <f t="shared" si="4332"/>
        <v>n/a</v>
      </c>
      <c r="Z299" s="225" t="str">
        <f t="shared" si="4332"/>
        <v>n/a</v>
      </c>
      <c r="AA299" s="225" t="str">
        <f t="shared" si="4332"/>
        <v>n/a</v>
      </c>
      <c r="AB299" s="225" t="str">
        <f t="shared" si="4332"/>
        <v>n/a</v>
      </c>
      <c r="AC299" s="225" t="str">
        <f t="shared" si="4332"/>
        <v>n/a</v>
      </c>
      <c r="AD299" s="225" t="str">
        <f t="shared" si="4332"/>
        <v>n/a</v>
      </c>
      <c r="AE299" s="225" t="str">
        <f t="shared" si="4332"/>
        <v>n/a</v>
      </c>
      <c r="AF299" s="225" t="str">
        <f t="shared" si="4332"/>
        <v>n/a</v>
      </c>
      <c r="AG299" s="225" t="str">
        <f t="shared" si="4332"/>
        <v>n/a</v>
      </c>
      <c r="AH299" s="225" t="str">
        <f t="shared" si="4332"/>
        <v>n/a</v>
      </c>
      <c r="AI299" s="214" t="str">
        <f t="shared" si="4332"/>
        <v>n/a</v>
      </c>
      <c r="AJ299" s="225" t="str">
        <f t="shared" si="4332"/>
        <v>n/a</v>
      </c>
      <c r="AK299" s="225" t="str">
        <f t="shared" si="4332"/>
        <v>n/a</v>
      </c>
      <c r="AL299" s="225" t="str">
        <f t="shared" si="4332"/>
        <v>n/a</v>
      </c>
      <c r="AM299" s="225" t="str">
        <f t="shared" si="4332"/>
        <v>n/a</v>
      </c>
      <c r="AN299" s="225" t="str">
        <f t="shared" si="4332"/>
        <v>n/a</v>
      </c>
      <c r="AO299" s="225" t="str">
        <f t="shared" si="4332"/>
        <v>n/a</v>
      </c>
      <c r="AP299" s="225" t="str">
        <f t="shared" si="4332"/>
        <v>n/a</v>
      </c>
      <c r="AQ299" s="225" t="str">
        <f t="shared" si="4332"/>
        <v>n/a</v>
      </c>
      <c r="AR299" s="225" t="str">
        <f t="shared" si="4332"/>
        <v>n/a</v>
      </c>
      <c r="AS299" s="225" t="str">
        <f t="shared" si="4332"/>
        <v>n/a</v>
      </c>
      <c r="AT299" s="225" t="str">
        <f t="shared" si="4332"/>
        <v>n/a</v>
      </c>
      <c r="AU299" s="214" t="str">
        <f t="shared" si="4332"/>
        <v>n/a</v>
      </c>
      <c r="AV299" s="225" t="str">
        <f t="shared" si="4332"/>
        <v>n/a</v>
      </c>
      <c r="AW299" s="225" t="str">
        <f t="shared" si="4332"/>
        <v>n/a</v>
      </c>
      <c r="AX299" s="225" t="str">
        <f t="shared" si="4332"/>
        <v>n/a</v>
      </c>
      <c r="AY299" s="225" t="str">
        <f t="shared" si="4332"/>
        <v>n/a</v>
      </c>
      <c r="AZ299" s="225" t="str">
        <f t="shared" si="4332"/>
        <v>n/a</v>
      </c>
      <c r="BA299" s="225" t="str">
        <f t="shared" si="4332"/>
        <v>n/a</v>
      </c>
      <c r="BB299" s="225" t="str">
        <f t="shared" si="4332"/>
        <v>n/a</v>
      </c>
      <c r="BC299" s="225" t="str">
        <f t="shared" si="4332"/>
        <v>n/a</v>
      </c>
      <c r="BD299" s="225" t="str">
        <f t="shared" si="4332"/>
        <v>n/a</v>
      </c>
      <c r="BE299" s="225" t="str">
        <f t="shared" si="4332"/>
        <v>n/a</v>
      </c>
      <c r="BF299" s="225" t="str">
        <f t="shared" si="4332"/>
        <v>n/a</v>
      </c>
      <c r="BG299" s="214" t="str">
        <f t="shared" si="4332"/>
        <v>n/a</v>
      </c>
      <c r="BH299" s="225" t="str">
        <f t="shared" si="4332"/>
        <v>n/a</v>
      </c>
      <c r="BI299" s="225" t="str">
        <f t="shared" si="4332"/>
        <v>n/a</v>
      </c>
      <c r="BJ299" s="225" t="str">
        <f t="shared" si="4332"/>
        <v>n/a</v>
      </c>
      <c r="BK299" s="225" t="str">
        <f t="shared" si="4332"/>
        <v>n/a</v>
      </c>
      <c r="BL299" s="225" t="str">
        <f t="shared" si="4332"/>
        <v>n/a</v>
      </c>
      <c r="BM299" s="225" t="str">
        <f t="shared" si="4332"/>
        <v>n/a</v>
      </c>
      <c r="BN299" s="225" t="str">
        <f t="shared" si="4332"/>
        <v>n/a</v>
      </c>
      <c r="BO299" s="225" t="str">
        <f t="shared" si="4332"/>
        <v>n/a</v>
      </c>
      <c r="BP299" s="225" t="str">
        <f t="shared" si="4332"/>
        <v>n/a</v>
      </c>
      <c r="BQ299" s="225" t="str">
        <f t="shared" si="4332"/>
        <v>n/a</v>
      </c>
      <c r="BR299" s="225" t="str">
        <f t="shared" si="4332"/>
        <v>n/a</v>
      </c>
      <c r="BS299" s="214" t="str">
        <f t="shared" si="4332"/>
        <v>n/a</v>
      </c>
      <c r="BT299" s="225" t="str">
        <f t="shared" ref="BT299:DC299" si="4333">++IFERROR((BT293-BT297)/BT293,"n/a")</f>
        <v>n/a</v>
      </c>
      <c r="BU299" s="225" t="str">
        <f t="shared" si="4333"/>
        <v>n/a</v>
      </c>
      <c r="BV299" s="225" t="str">
        <f t="shared" si="4333"/>
        <v>n/a</v>
      </c>
      <c r="BW299" s="225" t="str">
        <f t="shared" si="4333"/>
        <v>n/a</v>
      </c>
      <c r="BX299" s="225" t="str">
        <f t="shared" si="4333"/>
        <v>n/a</v>
      </c>
      <c r="BY299" s="225" t="str">
        <f t="shared" si="4333"/>
        <v>n/a</v>
      </c>
      <c r="BZ299" s="225" t="str">
        <f t="shared" si="4333"/>
        <v>n/a</v>
      </c>
      <c r="CA299" s="225" t="str">
        <f t="shared" si="4333"/>
        <v>n/a</v>
      </c>
      <c r="CB299" s="225" t="str">
        <f t="shared" si="4333"/>
        <v>n/a</v>
      </c>
      <c r="CC299" s="225" t="str">
        <f t="shared" si="4333"/>
        <v>n/a</v>
      </c>
      <c r="CD299" s="225" t="str">
        <f t="shared" si="4333"/>
        <v>n/a</v>
      </c>
      <c r="CE299" s="214" t="str">
        <f t="shared" si="4333"/>
        <v>n/a</v>
      </c>
      <c r="CF299" s="225" t="str">
        <f t="shared" si="4333"/>
        <v>n/a</v>
      </c>
      <c r="CG299" s="225" t="str">
        <f t="shared" si="4333"/>
        <v>n/a</v>
      </c>
      <c r="CH299" s="225" t="str">
        <f t="shared" si="4333"/>
        <v>n/a</v>
      </c>
      <c r="CI299" s="225" t="str">
        <f t="shared" si="4333"/>
        <v>n/a</v>
      </c>
      <c r="CJ299" s="225" t="str">
        <f t="shared" si="4333"/>
        <v>n/a</v>
      </c>
      <c r="CK299" s="225" t="str">
        <f t="shared" si="4333"/>
        <v>n/a</v>
      </c>
      <c r="CL299" s="225" t="str">
        <f t="shared" si="4333"/>
        <v>n/a</v>
      </c>
      <c r="CM299" s="225" t="str">
        <f t="shared" si="4333"/>
        <v>n/a</v>
      </c>
      <c r="CN299" s="225" t="str">
        <f t="shared" si="4333"/>
        <v>n/a</v>
      </c>
      <c r="CO299" s="225" t="str">
        <f t="shared" si="4333"/>
        <v>n/a</v>
      </c>
      <c r="CP299" s="225" t="str">
        <f t="shared" si="4333"/>
        <v>n/a</v>
      </c>
      <c r="CQ299" s="214" t="str">
        <f t="shared" si="4333"/>
        <v>n/a</v>
      </c>
      <c r="CR299" s="225" t="str">
        <f t="shared" si="4333"/>
        <v>n/a</v>
      </c>
      <c r="CS299" s="225" t="str">
        <f t="shared" si="4333"/>
        <v>n/a</v>
      </c>
      <c r="CT299" s="225" t="str">
        <f t="shared" si="4333"/>
        <v>n/a</v>
      </c>
      <c r="CU299" s="225" t="str">
        <f t="shared" si="4333"/>
        <v>n/a</v>
      </c>
      <c r="CV299" s="225" t="str">
        <f t="shared" si="4333"/>
        <v>n/a</v>
      </c>
      <c r="CW299" s="225" t="str">
        <f t="shared" si="4333"/>
        <v>n/a</v>
      </c>
      <c r="CX299" s="225" t="str">
        <f t="shared" si="4333"/>
        <v>n/a</v>
      </c>
      <c r="CY299" s="225" t="str">
        <f t="shared" si="4333"/>
        <v>n/a</v>
      </c>
      <c r="CZ299" s="225" t="str">
        <f t="shared" si="4333"/>
        <v>n/a</v>
      </c>
      <c r="DA299" s="225" t="str">
        <f t="shared" si="4333"/>
        <v>n/a</v>
      </c>
      <c r="DB299" s="225" t="str">
        <f t="shared" si="4333"/>
        <v>n/a</v>
      </c>
      <c r="DC299" s="214" t="str">
        <f t="shared" si="4333"/>
        <v>n/a</v>
      </c>
    </row>
    <row r="300" spans="1:107" x14ac:dyDescent="0.3">
      <c r="G300" s="203"/>
      <c r="K300" s="203"/>
      <c r="W300" s="203"/>
      <c r="AI300" s="203"/>
      <c r="AU300" s="203"/>
      <c r="BG300" s="203"/>
      <c r="BS300" s="203"/>
      <c r="CE300" s="203"/>
      <c r="CQ300" s="203"/>
      <c r="DC300" s="203"/>
    </row>
    <row r="301" spans="1:107" x14ac:dyDescent="0.3">
      <c r="G301" s="203"/>
      <c r="K301" s="203"/>
      <c r="W301" s="203"/>
      <c r="AI301" s="203"/>
      <c r="AU301" s="203"/>
      <c r="BG301" s="203"/>
      <c r="BS301" s="203"/>
      <c r="CE301" s="203"/>
      <c r="CQ301" s="203"/>
      <c r="DC301" s="203"/>
    </row>
    <row r="302" spans="1:107" x14ac:dyDescent="0.3">
      <c r="A302" s="319" t="s">
        <v>0</v>
      </c>
      <c r="B302" s="319" t="s">
        <v>0</v>
      </c>
      <c r="C302" s="166" t="s">
        <v>119</v>
      </c>
      <c r="D302" s="365"/>
      <c r="E302" s="365"/>
      <c r="F302" s="365"/>
      <c r="G302" s="365"/>
      <c r="H302" s="365"/>
      <c r="I302" s="365"/>
      <c r="J302" s="365"/>
      <c r="K302" s="365"/>
      <c r="L302" s="365"/>
      <c r="M302" s="365"/>
      <c r="N302" s="365"/>
      <c r="O302" s="365"/>
      <c r="P302" s="365"/>
      <c r="Q302" s="365"/>
      <c r="R302" s="365"/>
      <c r="S302" s="365"/>
      <c r="T302" s="365"/>
      <c r="U302" s="365"/>
      <c r="V302" s="365"/>
      <c r="W302" s="365"/>
      <c r="X302" s="365"/>
      <c r="Y302" s="365"/>
      <c r="Z302" s="365"/>
      <c r="AA302" s="365"/>
      <c r="AB302" s="365"/>
      <c r="AC302" s="365"/>
      <c r="AD302" s="365"/>
      <c r="AE302" s="365"/>
      <c r="AF302" s="365"/>
      <c r="AG302" s="365"/>
      <c r="AH302" s="365"/>
      <c r="AI302" s="365"/>
      <c r="AJ302" s="365"/>
      <c r="AK302" s="365"/>
      <c r="AL302" s="365"/>
      <c r="AM302" s="365"/>
      <c r="AN302" s="365"/>
      <c r="AO302" s="365"/>
      <c r="AP302" s="365"/>
      <c r="AQ302" s="365"/>
      <c r="AR302" s="365"/>
      <c r="AS302" s="365"/>
      <c r="AT302" s="365"/>
      <c r="AU302" s="365"/>
      <c r="AV302" s="365"/>
      <c r="AW302" s="365"/>
      <c r="AX302" s="365"/>
      <c r="AY302" s="365"/>
      <c r="AZ302" s="365"/>
      <c r="BA302" s="365"/>
      <c r="BB302" s="365"/>
      <c r="BC302" s="365"/>
      <c r="BD302" s="365"/>
      <c r="BE302" s="365"/>
      <c r="BF302" s="365"/>
      <c r="BG302" s="365"/>
      <c r="BH302" s="365"/>
      <c r="BI302" s="365"/>
      <c r="BJ302" s="365"/>
      <c r="BK302" s="365"/>
      <c r="BL302" s="365"/>
      <c r="BM302" s="365"/>
      <c r="BN302" s="365"/>
      <c r="BO302" s="365"/>
      <c r="BP302" s="365"/>
      <c r="BQ302" s="365"/>
      <c r="BR302" s="365"/>
      <c r="BS302" s="365"/>
      <c r="BT302" s="365"/>
      <c r="BU302" s="365"/>
      <c r="BV302" s="365"/>
      <c r="BW302" s="365"/>
      <c r="BX302" s="365"/>
      <c r="BY302" s="365"/>
      <c r="BZ302" s="365"/>
      <c r="CA302" s="365"/>
      <c r="CB302" s="365"/>
      <c r="CC302" s="365"/>
      <c r="CD302" s="365"/>
      <c r="CE302" s="365"/>
      <c r="CF302" s="365"/>
      <c r="CG302" s="365"/>
      <c r="CH302" s="365"/>
      <c r="CI302" s="365"/>
      <c r="CJ302" s="365"/>
      <c r="CK302" s="365"/>
      <c r="CL302" s="365"/>
      <c r="CM302" s="365"/>
      <c r="CN302" s="365"/>
      <c r="CO302" s="365"/>
      <c r="CP302" s="365"/>
      <c r="CQ302" s="365"/>
      <c r="CR302" s="365"/>
      <c r="CS302" s="365"/>
      <c r="CT302" s="365"/>
      <c r="CU302" s="365"/>
      <c r="CV302" s="365"/>
      <c r="CW302" s="365"/>
      <c r="CX302" s="365"/>
      <c r="CY302" s="365"/>
      <c r="CZ302" s="365"/>
      <c r="DA302" s="365"/>
      <c r="DB302" s="365"/>
      <c r="DC302" s="366"/>
    </row>
    <row r="303" spans="1:107" ht="5.15" customHeight="1" x14ac:dyDescent="0.3">
      <c r="G303" s="401"/>
      <c r="K303" s="203"/>
      <c r="W303" s="203"/>
      <c r="AI303" s="203"/>
      <c r="AU303" s="203"/>
      <c r="BG303" s="203"/>
      <c r="BS303" s="203"/>
      <c r="CE303" s="203"/>
      <c r="CQ303" s="203"/>
      <c r="DC303" s="203"/>
    </row>
    <row r="304" spans="1:107" x14ac:dyDescent="0.3">
      <c r="C304" s="193" t="str">
        <f>++C$10</f>
        <v>Revenue</v>
      </c>
      <c r="G304" s="400">
        <f>++G10</f>
        <v>0</v>
      </c>
      <c r="H304" s="400">
        <f t="shared" ref="H304:BS304" si="4334">++H10</f>
        <v>0</v>
      </c>
      <c r="I304" s="400">
        <f t="shared" si="4334"/>
        <v>0</v>
      </c>
      <c r="J304" s="400">
        <f t="shared" si="4334"/>
        <v>0</v>
      </c>
      <c r="K304" s="400">
        <f t="shared" si="4334"/>
        <v>0</v>
      </c>
      <c r="L304" s="400">
        <f t="shared" si="4334"/>
        <v>0</v>
      </c>
      <c r="M304" s="400">
        <f t="shared" si="4334"/>
        <v>0</v>
      </c>
      <c r="N304" s="400">
        <f t="shared" si="4334"/>
        <v>0</v>
      </c>
      <c r="O304" s="400">
        <f t="shared" si="4334"/>
        <v>0</v>
      </c>
      <c r="P304" s="400">
        <f t="shared" si="4334"/>
        <v>0</v>
      </c>
      <c r="Q304" s="400">
        <f t="shared" si="4334"/>
        <v>0</v>
      </c>
      <c r="R304" s="400">
        <f t="shared" si="4334"/>
        <v>0</v>
      </c>
      <c r="S304" s="400">
        <f t="shared" si="4334"/>
        <v>0</v>
      </c>
      <c r="T304" s="400">
        <f t="shared" si="4334"/>
        <v>0</v>
      </c>
      <c r="U304" s="400">
        <f t="shared" si="4334"/>
        <v>0</v>
      </c>
      <c r="V304" s="400">
        <f t="shared" si="4334"/>
        <v>0</v>
      </c>
      <c r="W304" s="400">
        <f t="shared" si="4334"/>
        <v>0</v>
      </c>
      <c r="X304" s="400">
        <f t="shared" si="4334"/>
        <v>0</v>
      </c>
      <c r="Y304" s="400">
        <f t="shared" si="4334"/>
        <v>0</v>
      </c>
      <c r="Z304" s="400">
        <f t="shared" si="4334"/>
        <v>0</v>
      </c>
      <c r="AA304" s="400">
        <f t="shared" si="4334"/>
        <v>0</v>
      </c>
      <c r="AB304" s="400">
        <f t="shared" si="4334"/>
        <v>0</v>
      </c>
      <c r="AC304" s="400">
        <f t="shared" si="4334"/>
        <v>0</v>
      </c>
      <c r="AD304" s="400">
        <f t="shared" si="4334"/>
        <v>0</v>
      </c>
      <c r="AE304" s="400">
        <f t="shared" si="4334"/>
        <v>0</v>
      </c>
      <c r="AF304" s="400">
        <f t="shared" si="4334"/>
        <v>0</v>
      </c>
      <c r="AG304" s="400">
        <f t="shared" si="4334"/>
        <v>0</v>
      </c>
      <c r="AH304" s="400">
        <f t="shared" si="4334"/>
        <v>0</v>
      </c>
      <c r="AI304" s="400">
        <f t="shared" si="4334"/>
        <v>0</v>
      </c>
      <c r="AJ304" s="400">
        <f t="shared" si="4334"/>
        <v>0</v>
      </c>
      <c r="AK304" s="400">
        <f t="shared" si="4334"/>
        <v>0</v>
      </c>
      <c r="AL304" s="400">
        <f t="shared" si="4334"/>
        <v>0</v>
      </c>
      <c r="AM304" s="400">
        <f t="shared" si="4334"/>
        <v>0</v>
      </c>
      <c r="AN304" s="400">
        <f t="shared" si="4334"/>
        <v>0</v>
      </c>
      <c r="AO304" s="400">
        <f t="shared" si="4334"/>
        <v>0</v>
      </c>
      <c r="AP304" s="400">
        <f t="shared" si="4334"/>
        <v>0</v>
      </c>
      <c r="AQ304" s="400">
        <f t="shared" si="4334"/>
        <v>0</v>
      </c>
      <c r="AR304" s="400">
        <f t="shared" si="4334"/>
        <v>0</v>
      </c>
      <c r="AS304" s="400">
        <f t="shared" si="4334"/>
        <v>0</v>
      </c>
      <c r="AT304" s="400">
        <f t="shared" si="4334"/>
        <v>0</v>
      </c>
      <c r="AU304" s="400">
        <f t="shared" si="4334"/>
        <v>0</v>
      </c>
      <c r="AV304" s="400">
        <f t="shared" si="4334"/>
        <v>0</v>
      </c>
      <c r="AW304" s="400">
        <f t="shared" si="4334"/>
        <v>0</v>
      </c>
      <c r="AX304" s="400">
        <f t="shared" si="4334"/>
        <v>0</v>
      </c>
      <c r="AY304" s="400">
        <f t="shared" si="4334"/>
        <v>0</v>
      </c>
      <c r="AZ304" s="400">
        <f t="shared" si="4334"/>
        <v>0</v>
      </c>
      <c r="BA304" s="400">
        <f t="shared" si="4334"/>
        <v>0</v>
      </c>
      <c r="BB304" s="400">
        <f t="shared" si="4334"/>
        <v>0</v>
      </c>
      <c r="BC304" s="400">
        <f t="shared" si="4334"/>
        <v>0</v>
      </c>
      <c r="BD304" s="400">
        <f t="shared" si="4334"/>
        <v>0</v>
      </c>
      <c r="BE304" s="400">
        <f t="shared" si="4334"/>
        <v>0</v>
      </c>
      <c r="BF304" s="400">
        <f t="shared" si="4334"/>
        <v>0</v>
      </c>
      <c r="BG304" s="400">
        <f t="shared" si="4334"/>
        <v>0</v>
      </c>
      <c r="BH304" s="400">
        <f t="shared" si="4334"/>
        <v>0</v>
      </c>
      <c r="BI304" s="400">
        <f t="shared" si="4334"/>
        <v>0</v>
      </c>
      <c r="BJ304" s="400">
        <f t="shared" si="4334"/>
        <v>0</v>
      </c>
      <c r="BK304" s="400">
        <f t="shared" si="4334"/>
        <v>0</v>
      </c>
      <c r="BL304" s="400">
        <f t="shared" si="4334"/>
        <v>0</v>
      </c>
      <c r="BM304" s="400">
        <f t="shared" si="4334"/>
        <v>0</v>
      </c>
      <c r="BN304" s="400">
        <f t="shared" si="4334"/>
        <v>0</v>
      </c>
      <c r="BO304" s="400">
        <f t="shared" si="4334"/>
        <v>0</v>
      </c>
      <c r="BP304" s="400">
        <f t="shared" si="4334"/>
        <v>0</v>
      </c>
      <c r="BQ304" s="400">
        <f t="shared" si="4334"/>
        <v>0</v>
      </c>
      <c r="BR304" s="400">
        <f t="shared" si="4334"/>
        <v>0</v>
      </c>
      <c r="BS304" s="400">
        <f t="shared" si="4334"/>
        <v>0</v>
      </c>
      <c r="BT304" s="400">
        <f t="shared" ref="BT304:DC304" si="4335">++BT10</f>
        <v>0</v>
      </c>
      <c r="BU304" s="400">
        <f t="shared" si="4335"/>
        <v>0</v>
      </c>
      <c r="BV304" s="400">
        <f t="shared" si="4335"/>
        <v>0</v>
      </c>
      <c r="BW304" s="400">
        <f t="shared" si="4335"/>
        <v>0</v>
      </c>
      <c r="BX304" s="400">
        <f t="shared" si="4335"/>
        <v>0</v>
      </c>
      <c r="BY304" s="400">
        <f t="shared" si="4335"/>
        <v>0</v>
      </c>
      <c r="BZ304" s="400">
        <f t="shared" si="4335"/>
        <v>0</v>
      </c>
      <c r="CA304" s="400">
        <f t="shared" si="4335"/>
        <v>0</v>
      </c>
      <c r="CB304" s="400">
        <f t="shared" si="4335"/>
        <v>0</v>
      </c>
      <c r="CC304" s="400">
        <f t="shared" si="4335"/>
        <v>0</v>
      </c>
      <c r="CD304" s="400">
        <f t="shared" si="4335"/>
        <v>0</v>
      </c>
      <c r="CE304" s="400">
        <f t="shared" si="4335"/>
        <v>0</v>
      </c>
      <c r="CF304" s="400">
        <f t="shared" si="4335"/>
        <v>0</v>
      </c>
      <c r="CG304" s="400">
        <f t="shared" si="4335"/>
        <v>0</v>
      </c>
      <c r="CH304" s="400">
        <f t="shared" si="4335"/>
        <v>0</v>
      </c>
      <c r="CI304" s="400">
        <f t="shared" si="4335"/>
        <v>0</v>
      </c>
      <c r="CJ304" s="400">
        <f t="shared" si="4335"/>
        <v>0</v>
      </c>
      <c r="CK304" s="400">
        <f t="shared" si="4335"/>
        <v>0</v>
      </c>
      <c r="CL304" s="400">
        <f t="shared" si="4335"/>
        <v>0</v>
      </c>
      <c r="CM304" s="400">
        <f t="shared" si="4335"/>
        <v>0</v>
      </c>
      <c r="CN304" s="400">
        <f t="shared" si="4335"/>
        <v>0</v>
      </c>
      <c r="CO304" s="400">
        <f t="shared" si="4335"/>
        <v>0</v>
      </c>
      <c r="CP304" s="400">
        <f t="shared" si="4335"/>
        <v>0</v>
      </c>
      <c r="CQ304" s="400">
        <f t="shared" si="4335"/>
        <v>0</v>
      </c>
      <c r="CR304" s="400">
        <f t="shared" si="4335"/>
        <v>0</v>
      </c>
      <c r="CS304" s="400">
        <f t="shared" si="4335"/>
        <v>0</v>
      </c>
      <c r="CT304" s="400">
        <f t="shared" si="4335"/>
        <v>0</v>
      </c>
      <c r="CU304" s="400">
        <f t="shared" si="4335"/>
        <v>0</v>
      </c>
      <c r="CV304" s="400">
        <f t="shared" si="4335"/>
        <v>0</v>
      </c>
      <c r="CW304" s="400">
        <f t="shared" si="4335"/>
        <v>0</v>
      </c>
      <c r="CX304" s="400">
        <f t="shared" si="4335"/>
        <v>0</v>
      </c>
      <c r="CY304" s="400">
        <f t="shared" si="4335"/>
        <v>0</v>
      </c>
      <c r="CZ304" s="400">
        <f t="shared" si="4335"/>
        <v>0</v>
      </c>
      <c r="DA304" s="400">
        <f t="shared" si="4335"/>
        <v>0</v>
      </c>
      <c r="DB304" s="400">
        <f t="shared" si="4335"/>
        <v>0</v>
      </c>
      <c r="DC304" s="400">
        <f t="shared" si="4335"/>
        <v>0</v>
      </c>
    </row>
    <row r="305" spans="3:107" x14ac:dyDescent="0.3">
      <c r="C305" s="321" t="str">
        <f>++C$11</f>
        <v>% y/y</v>
      </c>
      <c r="G305" s="122" t="s">
        <v>47</v>
      </c>
      <c r="H305" s="122" t="s">
        <v>47</v>
      </c>
      <c r="I305" s="122" t="s">
        <v>47</v>
      </c>
      <c r="J305" s="122" t="s">
        <v>47</v>
      </c>
      <c r="K305" s="214" t="str">
        <f>++IFERROR(K304/G304-1,"n/a")</f>
        <v>n/a</v>
      </c>
      <c r="L305" s="122" t="s">
        <v>47</v>
      </c>
      <c r="M305" s="122" t="s">
        <v>47</v>
      </c>
      <c r="N305" s="225" t="str">
        <f>++IFERROR(N304/H304-1,"n/a")</f>
        <v>n/a</v>
      </c>
      <c r="O305" s="122" t="s">
        <v>47</v>
      </c>
      <c r="P305" s="122" t="s">
        <v>47</v>
      </c>
      <c r="Q305" s="225" t="str">
        <f>++IFERROR(Q304/I304-1,"n/a")</f>
        <v>n/a</v>
      </c>
      <c r="R305" s="122" t="s">
        <v>47</v>
      </c>
      <c r="S305" s="122" t="s">
        <v>47</v>
      </c>
      <c r="T305" s="225" t="str">
        <f>++IFERROR(T304/J304-1,"n/a")</f>
        <v>n/a</v>
      </c>
      <c r="U305" s="122" t="s">
        <v>47</v>
      </c>
      <c r="V305" s="122" t="s">
        <v>47</v>
      </c>
      <c r="W305" s="214" t="str">
        <f t="shared" ref="W305:BB305" si="4336">++IFERROR(W304/K304-1,"n/a")</f>
        <v>n/a</v>
      </c>
      <c r="X305" s="225" t="str">
        <f t="shared" si="4336"/>
        <v>n/a</v>
      </c>
      <c r="Y305" s="225" t="str">
        <f t="shared" si="4336"/>
        <v>n/a</v>
      </c>
      <c r="Z305" s="225" t="str">
        <f t="shared" si="4336"/>
        <v>n/a</v>
      </c>
      <c r="AA305" s="225" t="str">
        <f t="shared" si="4336"/>
        <v>n/a</v>
      </c>
      <c r="AB305" s="225" t="str">
        <f t="shared" si="4336"/>
        <v>n/a</v>
      </c>
      <c r="AC305" s="225" t="str">
        <f t="shared" si="4336"/>
        <v>n/a</v>
      </c>
      <c r="AD305" s="225" t="str">
        <f t="shared" si="4336"/>
        <v>n/a</v>
      </c>
      <c r="AE305" s="225" t="str">
        <f t="shared" si="4336"/>
        <v>n/a</v>
      </c>
      <c r="AF305" s="225" t="str">
        <f t="shared" si="4336"/>
        <v>n/a</v>
      </c>
      <c r="AG305" s="225" t="str">
        <f t="shared" si="4336"/>
        <v>n/a</v>
      </c>
      <c r="AH305" s="225" t="str">
        <f t="shared" si="4336"/>
        <v>n/a</v>
      </c>
      <c r="AI305" s="214" t="str">
        <f t="shared" si="4336"/>
        <v>n/a</v>
      </c>
      <c r="AJ305" s="225" t="str">
        <f t="shared" si="4336"/>
        <v>n/a</v>
      </c>
      <c r="AK305" s="225" t="str">
        <f t="shared" si="4336"/>
        <v>n/a</v>
      </c>
      <c r="AL305" s="225" t="str">
        <f t="shared" si="4336"/>
        <v>n/a</v>
      </c>
      <c r="AM305" s="225" t="str">
        <f t="shared" si="4336"/>
        <v>n/a</v>
      </c>
      <c r="AN305" s="225" t="str">
        <f t="shared" si="4336"/>
        <v>n/a</v>
      </c>
      <c r="AO305" s="225" t="str">
        <f t="shared" si="4336"/>
        <v>n/a</v>
      </c>
      <c r="AP305" s="225" t="str">
        <f t="shared" si="4336"/>
        <v>n/a</v>
      </c>
      <c r="AQ305" s="225" t="str">
        <f t="shared" si="4336"/>
        <v>n/a</v>
      </c>
      <c r="AR305" s="225" t="str">
        <f t="shared" si="4336"/>
        <v>n/a</v>
      </c>
      <c r="AS305" s="225" t="str">
        <f t="shared" si="4336"/>
        <v>n/a</v>
      </c>
      <c r="AT305" s="225" t="str">
        <f t="shared" si="4336"/>
        <v>n/a</v>
      </c>
      <c r="AU305" s="214" t="str">
        <f t="shared" si="4336"/>
        <v>n/a</v>
      </c>
      <c r="AV305" s="225" t="str">
        <f t="shared" si="4336"/>
        <v>n/a</v>
      </c>
      <c r="AW305" s="225" t="str">
        <f t="shared" si="4336"/>
        <v>n/a</v>
      </c>
      <c r="AX305" s="225" t="str">
        <f t="shared" si="4336"/>
        <v>n/a</v>
      </c>
      <c r="AY305" s="225" t="str">
        <f t="shared" si="4336"/>
        <v>n/a</v>
      </c>
      <c r="AZ305" s="225" t="str">
        <f t="shared" si="4336"/>
        <v>n/a</v>
      </c>
      <c r="BA305" s="225" t="str">
        <f t="shared" si="4336"/>
        <v>n/a</v>
      </c>
      <c r="BB305" s="225" t="str">
        <f t="shared" si="4336"/>
        <v>n/a</v>
      </c>
      <c r="BC305" s="225" t="str">
        <f t="shared" ref="BC305:CH305" si="4337">++IFERROR(BC304/AQ304-1,"n/a")</f>
        <v>n/a</v>
      </c>
      <c r="BD305" s="225" t="str">
        <f t="shared" si="4337"/>
        <v>n/a</v>
      </c>
      <c r="BE305" s="225" t="str">
        <f t="shared" si="4337"/>
        <v>n/a</v>
      </c>
      <c r="BF305" s="225" t="str">
        <f t="shared" si="4337"/>
        <v>n/a</v>
      </c>
      <c r="BG305" s="214" t="str">
        <f t="shared" si="4337"/>
        <v>n/a</v>
      </c>
      <c r="BH305" s="225" t="str">
        <f t="shared" si="4337"/>
        <v>n/a</v>
      </c>
      <c r="BI305" s="225" t="str">
        <f t="shared" si="4337"/>
        <v>n/a</v>
      </c>
      <c r="BJ305" s="225" t="str">
        <f t="shared" si="4337"/>
        <v>n/a</v>
      </c>
      <c r="BK305" s="225" t="str">
        <f t="shared" si="4337"/>
        <v>n/a</v>
      </c>
      <c r="BL305" s="225" t="str">
        <f t="shared" si="4337"/>
        <v>n/a</v>
      </c>
      <c r="BM305" s="225" t="str">
        <f t="shared" si="4337"/>
        <v>n/a</v>
      </c>
      <c r="BN305" s="225" t="str">
        <f t="shared" si="4337"/>
        <v>n/a</v>
      </c>
      <c r="BO305" s="225" t="str">
        <f t="shared" si="4337"/>
        <v>n/a</v>
      </c>
      <c r="BP305" s="225" t="str">
        <f t="shared" si="4337"/>
        <v>n/a</v>
      </c>
      <c r="BQ305" s="225" t="str">
        <f t="shared" si="4337"/>
        <v>n/a</v>
      </c>
      <c r="BR305" s="225" t="str">
        <f t="shared" si="4337"/>
        <v>n/a</v>
      </c>
      <c r="BS305" s="214" t="str">
        <f t="shared" si="4337"/>
        <v>n/a</v>
      </c>
      <c r="BT305" s="225" t="str">
        <f t="shared" si="4337"/>
        <v>n/a</v>
      </c>
      <c r="BU305" s="225" t="str">
        <f t="shared" si="4337"/>
        <v>n/a</v>
      </c>
      <c r="BV305" s="225" t="str">
        <f t="shared" si="4337"/>
        <v>n/a</v>
      </c>
      <c r="BW305" s="225" t="str">
        <f t="shared" si="4337"/>
        <v>n/a</v>
      </c>
      <c r="BX305" s="225" t="str">
        <f t="shared" si="4337"/>
        <v>n/a</v>
      </c>
      <c r="BY305" s="225" t="str">
        <f t="shared" si="4337"/>
        <v>n/a</v>
      </c>
      <c r="BZ305" s="225" t="str">
        <f t="shared" si="4337"/>
        <v>n/a</v>
      </c>
      <c r="CA305" s="225" t="str">
        <f t="shared" si="4337"/>
        <v>n/a</v>
      </c>
      <c r="CB305" s="225" t="str">
        <f t="shared" si="4337"/>
        <v>n/a</v>
      </c>
      <c r="CC305" s="225" t="str">
        <f t="shared" si="4337"/>
        <v>n/a</v>
      </c>
      <c r="CD305" s="225" t="str">
        <f t="shared" si="4337"/>
        <v>n/a</v>
      </c>
      <c r="CE305" s="214" t="str">
        <f t="shared" si="4337"/>
        <v>n/a</v>
      </c>
      <c r="CF305" s="225" t="str">
        <f t="shared" si="4337"/>
        <v>n/a</v>
      </c>
      <c r="CG305" s="225" t="str">
        <f t="shared" si="4337"/>
        <v>n/a</v>
      </c>
      <c r="CH305" s="225" t="str">
        <f t="shared" si="4337"/>
        <v>n/a</v>
      </c>
      <c r="CI305" s="225" t="str">
        <f t="shared" ref="CI305:DN305" si="4338">++IFERROR(CI304/BW304-1,"n/a")</f>
        <v>n/a</v>
      </c>
      <c r="CJ305" s="225" t="str">
        <f t="shared" si="4338"/>
        <v>n/a</v>
      </c>
      <c r="CK305" s="225" t="str">
        <f t="shared" si="4338"/>
        <v>n/a</v>
      </c>
      <c r="CL305" s="225" t="str">
        <f t="shared" si="4338"/>
        <v>n/a</v>
      </c>
      <c r="CM305" s="225" t="str">
        <f t="shared" si="4338"/>
        <v>n/a</v>
      </c>
      <c r="CN305" s="225" t="str">
        <f t="shared" si="4338"/>
        <v>n/a</v>
      </c>
      <c r="CO305" s="225" t="str">
        <f t="shared" si="4338"/>
        <v>n/a</v>
      </c>
      <c r="CP305" s="225" t="str">
        <f t="shared" si="4338"/>
        <v>n/a</v>
      </c>
      <c r="CQ305" s="214" t="str">
        <f t="shared" si="4338"/>
        <v>n/a</v>
      </c>
      <c r="CR305" s="225" t="str">
        <f t="shared" si="4338"/>
        <v>n/a</v>
      </c>
      <c r="CS305" s="225" t="str">
        <f t="shared" si="4338"/>
        <v>n/a</v>
      </c>
      <c r="CT305" s="225" t="str">
        <f t="shared" si="4338"/>
        <v>n/a</v>
      </c>
      <c r="CU305" s="225" t="str">
        <f t="shared" si="4338"/>
        <v>n/a</v>
      </c>
      <c r="CV305" s="225" t="str">
        <f t="shared" si="4338"/>
        <v>n/a</v>
      </c>
      <c r="CW305" s="225" t="str">
        <f t="shared" si="4338"/>
        <v>n/a</v>
      </c>
      <c r="CX305" s="225" t="str">
        <f t="shared" si="4338"/>
        <v>n/a</v>
      </c>
      <c r="CY305" s="225" t="str">
        <f t="shared" si="4338"/>
        <v>n/a</v>
      </c>
      <c r="CZ305" s="225" t="str">
        <f t="shared" si="4338"/>
        <v>n/a</v>
      </c>
      <c r="DA305" s="225" t="str">
        <f t="shared" si="4338"/>
        <v>n/a</v>
      </c>
      <c r="DB305" s="225" t="str">
        <f t="shared" si="4338"/>
        <v>n/a</v>
      </c>
      <c r="DC305" s="214" t="str">
        <f t="shared" si="4338"/>
        <v>n/a</v>
      </c>
    </row>
    <row r="306" spans="3:107" x14ac:dyDescent="0.3">
      <c r="G306" s="203"/>
      <c r="K306" s="203"/>
      <c r="W306" s="203"/>
      <c r="AI306" s="203"/>
      <c r="AU306" s="203"/>
      <c r="BG306" s="203"/>
      <c r="BS306" s="203"/>
      <c r="CE306" s="203"/>
      <c r="CQ306" s="203"/>
      <c r="DC306" s="203"/>
    </row>
    <row r="307" spans="3:107" x14ac:dyDescent="0.3">
      <c r="C307" s="193" t="str">
        <f>++C$13</f>
        <v>Gross Profit</v>
      </c>
      <c r="G307" s="400">
        <f>++G13</f>
        <v>0</v>
      </c>
      <c r="H307" s="400">
        <f t="shared" ref="H307:BS307" si="4339">++H13</f>
        <v>0</v>
      </c>
      <c r="I307" s="400">
        <f t="shared" si="4339"/>
        <v>0</v>
      </c>
      <c r="J307" s="400">
        <f t="shared" si="4339"/>
        <v>0</v>
      </c>
      <c r="K307" s="400">
        <f t="shared" si="4339"/>
        <v>0</v>
      </c>
      <c r="L307" s="400">
        <f t="shared" si="4339"/>
        <v>0</v>
      </c>
      <c r="M307" s="400">
        <f t="shared" si="4339"/>
        <v>0</v>
      </c>
      <c r="N307" s="400">
        <f t="shared" si="4339"/>
        <v>0</v>
      </c>
      <c r="O307" s="400">
        <f t="shared" si="4339"/>
        <v>0</v>
      </c>
      <c r="P307" s="400">
        <f t="shared" si="4339"/>
        <v>0</v>
      </c>
      <c r="Q307" s="400">
        <f t="shared" si="4339"/>
        <v>0</v>
      </c>
      <c r="R307" s="400">
        <f t="shared" si="4339"/>
        <v>0</v>
      </c>
      <c r="S307" s="400">
        <f t="shared" si="4339"/>
        <v>0</v>
      </c>
      <c r="T307" s="400">
        <f t="shared" si="4339"/>
        <v>0</v>
      </c>
      <c r="U307" s="400">
        <f t="shared" si="4339"/>
        <v>0</v>
      </c>
      <c r="V307" s="400">
        <f t="shared" si="4339"/>
        <v>0</v>
      </c>
      <c r="W307" s="400">
        <f t="shared" si="4339"/>
        <v>0</v>
      </c>
      <c r="X307" s="400">
        <f t="shared" si="4339"/>
        <v>0</v>
      </c>
      <c r="Y307" s="400">
        <f t="shared" si="4339"/>
        <v>0</v>
      </c>
      <c r="Z307" s="400">
        <f t="shared" si="4339"/>
        <v>0</v>
      </c>
      <c r="AA307" s="400">
        <f t="shared" si="4339"/>
        <v>0</v>
      </c>
      <c r="AB307" s="400">
        <f t="shared" si="4339"/>
        <v>0</v>
      </c>
      <c r="AC307" s="400">
        <f t="shared" si="4339"/>
        <v>0</v>
      </c>
      <c r="AD307" s="400">
        <f t="shared" si="4339"/>
        <v>0</v>
      </c>
      <c r="AE307" s="400">
        <f t="shared" si="4339"/>
        <v>0</v>
      </c>
      <c r="AF307" s="400">
        <f t="shared" si="4339"/>
        <v>0</v>
      </c>
      <c r="AG307" s="400">
        <f t="shared" si="4339"/>
        <v>0</v>
      </c>
      <c r="AH307" s="400">
        <f t="shared" si="4339"/>
        <v>0</v>
      </c>
      <c r="AI307" s="400">
        <f t="shared" si="4339"/>
        <v>0</v>
      </c>
      <c r="AJ307" s="400">
        <f t="shared" si="4339"/>
        <v>0</v>
      </c>
      <c r="AK307" s="400">
        <f t="shared" si="4339"/>
        <v>0</v>
      </c>
      <c r="AL307" s="400">
        <f t="shared" si="4339"/>
        <v>0</v>
      </c>
      <c r="AM307" s="400">
        <f t="shared" si="4339"/>
        <v>0</v>
      </c>
      <c r="AN307" s="400">
        <f t="shared" si="4339"/>
        <v>0</v>
      </c>
      <c r="AO307" s="400">
        <f t="shared" si="4339"/>
        <v>0</v>
      </c>
      <c r="AP307" s="400">
        <f t="shared" si="4339"/>
        <v>0</v>
      </c>
      <c r="AQ307" s="400">
        <f t="shared" si="4339"/>
        <v>0</v>
      </c>
      <c r="AR307" s="400">
        <f t="shared" si="4339"/>
        <v>0</v>
      </c>
      <c r="AS307" s="400">
        <f t="shared" si="4339"/>
        <v>0</v>
      </c>
      <c r="AT307" s="400">
        <f t="shared" si="4339"/>
        <v>0</v>
      </c>
      <c r="AU307" s="400">
        <f t="shared" si="4339"/>
        <v>0</v>
      </c>
      <c r="AV307" s="400">
        <f t="shared" si="4339"/>
        <v>0</v>
      </c>
      <c r="AW307" s="400">
        <f t="shared" si="4339"/>
        <v>0</v>
      </c>
      <c r="AX307" s="400">
        <f t="shared" si="4339"/>
        <v>0</v>
      </c>
      <c r="AY307" s="400">
        <f t="shared" si="4339"/>
        <v>0</v>
      </c>
      <c r="AZ307" s="400">
        <f t="shared" si="4339"/>
        <v>0</v>
      </c>
      <c r="BA307" s="400">
        <f t="shared" si="4339"/>
        <v>0</v>
      </c>
      <c r="BB307" s="400">
        <f t="shared" si="4339"/>
        <v>0</v>
      </c>
      <c r="BC307" s="400">
        <f t="shared" si="4339"/>
        <v>0</v>
      </c>
      <c r="BD307" s="400">
        <f t="shared" si="4339"/>
        <v>0</v>
      </c>
      <c r="BE307" s="400">
        <f t="shared" si="4339"/>
        <v>0</v>
      </c>
      <c r="BF307" s="400">
        <f t="shared" si="4339"/>
        <v>0</v>
      </c>
      <c r="BG307" s="400">
        <f t="shared" si="4339"/>
        <v>0</v>
      </c>
      <c r="BH307" s="400">
        <f t="shared" si="4339"/>
        <v>0</v>
      </c>
      <c r="BI307" s="400">
        <f t="shared" si="4339"/>
        <v>0</v>
      </c>
      <c r="BJ307" s="400">
        <f t="shared" si="4339"/>
        <v>0</v>
      </c>
      <c r="BK307" s="400">
        <f t="shared" si="4339"/>
        <v>0</v>
      </c>
      <c r="BL307" s="400">
        <f t="shared" si="4339"/>
        <v>0</v>
      </c>
      <c r="BM307" s="400">
        <f t="shared" si="4339"/>
        <v>0</v>
      </c>
      <c r="BN307" s="400">
        <f t="shared" si="4339"/>
        <v>0</v>
      </c>
      <c r="BO307" s="400">
        <f t="shared" si="4339"/>
        <v>0</v>
      </c>
      <c r="BP307" s="400">
        <f t="shared" si="4339"/>
        <v>0</v>
      </c>
      <c r="BQ307" s="400">
        <f t="shared" si="4339"/>
        <v>0</v>
      </c>
      <c r="BR307" s="400">
        <f t="shared" si="4339"/>
        <v>0</v>
      </c>
      <c r="BS307" s="400">
        <f t="shared" si="4339"/>
        <v>0</v>
      </c>
      <c r="BT307" s="400">
        <f t="shared" ref="BT307:DC307" si="4340">++BT13</f>
        <v>0</v>
      </c>
      <c r="BU307" s="400">
        <f t="shared" si="4340"/>
        <v>0</v>
      </c>
      <c r="BV307" s="400">
        <f t="shared" si="4340"/>
        <v>0</v>
      </c>
      <c r="BW307" s="400">
        <f t="shared" si="4340"/>
        <v>0</v>
      </c>
      <c r="BX307" s="400">
        <f t="shared" si="4340"/>
        <v>0</v>
      </c>
      <c r="BY307" s="400">
        <f t="shared" si="4340"/>
        <v>0</v>
      </c>
      <c r="BZ307" s="400">
        <f t="shared" si="4340"/>
        <v>0</v>
      </c>
      <c r="CA307" s="400">
        <f t="shared" si="4340"/>
        <v>0</v>
      </c>
      <c r="CB307" s="400">
        <f t="shared" si="4340"/>
        <v>0</v>
      </c>
      <c r="CC307" s="400">
        <f t="shared" si="4340"/>
        <v>0</v>
      </c>
      <c r="CD307" s="400">
        <f t="shared" si="4340"/>
        <v>0</v>
      </c>
      <c r="CE307" s="400">
        <f t="shared" si="4340"/>
        <v>0</v>
      </c>
      <c r="CF307" s="400">
        <f t="shared" si="4340"/>
        <v>0</v>
      </c>
      <c r="CG307" s="400">
        <f t="shared" si="4340"/>
        <v>0</v>
      </c>
      <c r="CH307" s="400">
        <f t="shared" si="4340"/>
        <v>0</v>
      </c>
      <c r="CI307" s="400">
        <f t="shared" si="4340"/>
        <v>0</v>
      </c>
      <c r="CJ307" s="400">
        <f t="shared" si="4340"/>
        <v>0</v>
      </c>
      <c r="CK307" s="400">
        <f t="shared" si="4340"/>
        <v>0</v>
      </c>
      <c r="CL307" s="400">
        <f t="shared" si="4340"/>
        <v>0</v>
      </c>
      <c r="CM307" s="400">
        <f t="shared" si="4340"/>
        <v>0</v>
      </c>
      <c r="CN307" s="400">
        <f t="shared" si="4340"/>
        <v>0</v>
      </c>
      <c r="CO307" s="400">
        <f t="shared" si="4340"/>
        <v>0</v>
      </c>
      <c r="CP307" s="400">
        <f t="shared" si="4340"/>
        <v>0</v>
      </c>
      <c r="CQ307" s="400">
        <f t="shared" si="4340"/>
        <v>0</v>
      </c>
      <c r="CR307" s="400">
        <f t="shared" si="4340"/>
        <v>0</v>
      </c>
      <c r="CS307" s="400">
        <f t="shared" si="4340"/>
        <v>0</v>
      </c>
      <c r="CT307" s="400">
        <f t="shared" si="4340"/>
        <v>0</v>
      </c>
      <c r="CU307" s="400">
        <f t="shared" si="4340"/>
        <v>0</v>
      </c>
      <c r="CV307" s="400">
        <f t="shared" si="4340"/>
        <v>0</v>
      </c>
      <c r="CW307" s="400">
        <f t="shared" si="4340"/>
        <v>0</v>
      </c>
      <c r="CX307" s="400">
        <f t="shared" si="4340"/>
        <v>0</v>
      </c>
      <c r="CY307" s="400">
        <f t="shared" si="4340"/>
        <v>0</v>
      </c>
      <c r="CZ307" s="400">
        <f t="shared" si="4340"/>
        <v>0</v>
      </c>
      <c r="DA307" s="400">
        <f t="shared" si="4340"/>
        <v>0</v>
      </c>
      <c r="DB307" s="400">
        <f t="shared" si="4340"/>
        <v>0</v>
      </c>
      <c r="DC307" s="400">
        <f t="shared" si="4340"/>
        <v>0</v>
      </c>
    </row>
    <row r="308" spans="3:107" x14ac:dyDescent="0.3">
      <c r="C308" s="321" t="str">
        <f>++C$14</f>
        <v>% margin</v>
      </c>
      <c r="G308" s="214" t="str">
        <f>++IFERROR(G307/G304,"n/a")</f>
        <v>n/a</v>
      </c>
      <c r="H308" s="225" t="str">
        <f t="shared" ref="H308" si="4341">++IFERROR(H307/H304,"n/a")</f>
        <v>n/a</v>
      </c>
      <c r="I308" s="225" t="str">
        <f t="shared" ref="I308" si="4342">++IFERROR(I307/I304,"n/a")</f>
        <v>n/a</v>
      </c>
      <c r="J308" s="225" t="str">
        <f t="shared" ref="J308" si="4343">++IFERROR(J307/J304,"n/a")</f>
        <v>n/a</v>
      </c>
      <c r="K308" s="214" t="str">
        <f t="shared" ref="K308" si="4344">++IFERROR(K307/K304,"n/a")</f>
        <v>n/a</v>
      </c>
      <c r="L308" s="225" t="str">
        <f t="shared" ref="L308" si="4345">++IFERROR(L307/L304,"n/a")</f>
        <v>n/a</v>
      </c>
      <c r="M308" s="225" t="str">
        <f t="shared" ref="M308" si="4346">++IFERROR(M307/M304,"n/a")</f>
        <v>n/a</v>
      </c>
      <c r="N308" s="225" t="str">
        <f t="shared" ref="N308" si="4347">++IFERROR(N307/N304,"n/a")</f>
        <v>n/a</v>
      </c>
      <c r="O308" s="225" t="str">
        <f t="shared" ref="O308" si="4348">++IFERROR(O307/O304,"n/a")</f>
        <v>n/a</v>
      </c>
      <c r="P308" s="225" t="str">
        <f t="shared" ref="P308" si="4349">++IFERROR(P307/P304,"n/a")</f>
        <v>n/a</v>
      </c>
      <c r="Q308" s="225" t="str">
        <f t="shared" ref="Q308" si="4350">++IFERROR(Q307/Q304,"n/a")</f>
        <v>n/a</v>
      </c>
      <c r="R308" s="225" t="str">
        <f t="shared" ref="R308" si="4351">++IFERROR(R307/R304,"n/a")</f>
        <v>n/a</v>
      </c>
      <c r="S308" s="225" t="str">
        <f t="shared" ref="S308" si="4352">++IFERROR(S307/S304,"n/a")</f>
        <v>n/a</v>
      </c>
      <c r="T308" s="225" t="str">
        <f t="shared" ref="T308" si="4353">++IFERROR(T307/T304,"n/a")</f>
        <v>n/a</v>
      </c>
      <c r="U308" s="225" t="str">
        <f t="shared" ref="U308" si="4354">++IFERROR(U307/U304,"n/a")</f>
        <v>n/a</v>
      </c>
      <c r="V308" s="225" t="str">
        <f t="shared" ref="V308" si="4355">++IFERROR(V307/V304,"n/a")</f>
        <v>n/a</v>
      </c>
      <c r="W308" s="214" t="str">
        <f t="shared" ref="W308" si="4356">++IFERROR(W307/W304,"n/a")</f>
        <v>n/a</v>
      </c>
      <c r="X308" s="225" t="str">
        <f t="shared" ref="X308" si="4357">++IFERROR(X307/X304,"n/a")</f>
        <v>n/a</v>
      </c>
      <c r="Y308" s="225" t="str">
        <f t="shared" ref="Y308" si="4358">++IFERROR(Y307/Y304,"n/a")</f>
        <v>n/a</v>
      </c>
      <c r="Z308" s="225" t="str">
        <f t="shared" ref="Z308" si="4359">++IFERROR(Z307/Z304,"n/a")</f>
        <v>n/a</v>
      </c>
      <c r="AA308" s="225" t="str">
        <f t="shared" ref="AA308" si="4360">++IFERROR(AA307/AA304,"n/a")</f>
        <v>n/a</v>
      </c>
      <c r="AB308" s="225" t="str">
        <f t="shared" ref="AB308" si="4361">++IFERROR(AB307/AB304,"n/a")</f>
        <v>n/a</v>
      </c>
      <c r="AC308" s="225" t="str">
        <f t="shared" ref="AC308" si="4362">++IFERROR(AC307/AC304,"n/a")</f>
        <v>n/a</v>
      </c>
      <c r="AD308" s="225" t="str">
        <f t="shared" ref="AD308" si="4363">++IFERROR(AD307/AD304,"n/a")</f>
        <v>n/a</v>
      </c>
      <c r="AE308" s="225" t="str">
        <f t="shared" ref="AE308" si="4364">++IFERROR(AE307/AE304,"n/a")</f>
        <v>n/a</v>
      </c>
      <c r="AF308" s="225" t="str">
        <f t="shared" ref="AF308" si="4365">++IFERROR(AF307/AF304,"n/a")</f>
        <v>n/a</v>
      </c>
      <c r="AG308" s="225" t="str">
        <f t="shared" ref="AG308" si="4366">++IFERROR(AG307/AG304,"n/a")</f>
        <v>n/a</v>
      </c>
      <c r="AH308" s="225" t="str">
        <f t="shared" ref="AH308" si="4367">++IFERROR(AH307/AH304,"n/a")</f>
        <v>n/a</v>
      </c>
      <c r="AI308" s="214" t="str">
        <f t="shared" ref="AI308" si="4368">++IFERROR(AI307/AI304,"n/a")</f>
        <v>n/a</v>
      </c>
      <c r="AJ308" s="225" t="str">
        <f t="shared" ref="AJ308" si="4369">++IFERROR(AJ307/AJ304,"n/a")</f>
        <v>n/a</v>
      </c>
      <c r="AK308" s="225" t="str">
        <f t="shared" ref="AK308" si="4370">++IFERROR(AK307/AK304,"n/a")</f>
        <v>n/a</v>
      </c>
      <c r="AL308" s="225" t="str">
        <f t="shared" ref="AL308" si="4371">++IFERROR(AL307/AL304,"n/a")</f>
        <v>n/a</v>
      </c>
      <c r="AM308" s="225" t="str">
        <f t="shared" ref="AM308" si="4372">++IFERROR(AM307/AM304,"n/a")</f>
        <v>n/a</v>
      </c>
      <c r="AN308" s="225" t="str">
        <f t="shared" ref="AN308" si="4373">++IFERROR(AN307/AN304,"n/a")</f>
        <v>n/a</v>
      </c>
      <c r="AO308" s="225" t="str">
        <f t="shared" ref="AO308" si="4374">++IFERROR(AO307/AO304,"n/a")</f>
        <v>n/a</v>
      </c>
      <c r="AP308" s="225" t="str">
        <f t="shared" ref="AP308" si="4375">++IFERROR(AP307/AP304,"n/a")</f>
        <v>n/a</v>
      </c>
      <c r="AQ308" s="225" t="str">
        <f t="shared" ref="AQ308" si="4376">++IFERROR(AQ307/AQ304,"n/a")</f>
        <v>n/a</v>
      </c>
      <c r="AR308" s="225" t="str">
        <f t="shared" ref="AR308" si="4377">++IFERROR(AR307/AR304,"n/a")</f>
        <v>n/a</v>
      </c>
      <c r="AS308" s="225" t="str">
        <f t="shared" ref="AS308" si="4378">++IFERROR(AS307/AS304,"n/a")</f>
        <v>n/a</v>
      </c>
      <c r="AT308" s="225" t="str">
        <f t="shared" ref="AT308" si="4379">++IFERROR(AT307/AT304,"n/a")</f>
        <v>n/a</v>
      </c>
      <c r="AU308" s="214" t="str">
        <f t="shared" ref="AU308" si="4380">++IFERROR(AU307/AU304,"n/a")</f>
        <v>n/a</v>
      </c>
      <c r="AV308" s="225" t="str">
        <f t="shared" ref="AV308" si="4381">++IFERROR(AV307/AV304,"n/a")</f>
        <v>n/a</v>
      </c>
      <c r="AW308" s="225" t="str">
        <f t="shared" ref="AW308" si="4382">++IFERROR(AW307/AW304,"n/a")</f>
        <v>n/a</v>
      </c>
      <c r="AX308" s="225" t="str">
        <f t="shared" ref="AX308" si="4383">++IFERROR(AX307/AX304,"n/a")</f>
        <v>n/a</v>
      </c>
      <c r="AY308" s="225" t="str">
        <f t="shared" ref="AY308" si="4384">++IFERROR(AY307/AY304,"n/a")</f>
        <v>n/a</v>
      </c>
      <c r="AZ308" s="225" t="str">
        <f t="shared" ref="AZ308" si="4385">++IFERROR(AZ307/AZ304,"n/a")</f>
        <v>n/a</v>
      </c>
      <c r="BA308" s="225" t="str">
        <f t="shared" ref="BA308" si="4386">++IFERROR(BA307/BA304,"n/a")</f>
        <v>n/a</v>
      </c>
      <c r="BB308" s="225" t="str">
        <f t="shared" ref="BB308" si="4387">++IFERROR(BB307/BB304,"n/a")</f>
        <v>n/a</v>
      </c>
      <c r="BC308" s="225" t="str">
        <f t="shared" ref="BC308" si="4388">++IFERROR(BC307/BC304,"n/a")</f>
        <v>n/a</v>
      </c>
      <c r="BD308" s="225" t="str">
        <f t="shared" ref="BD308" si="4389">++IFERROR(BD307/BD304,"n/a")</f>
        <v>n/a</v>
      </c>
      <c r="BE308" s="225" t="str">
        <f t="shared" ref="BE308" si="4390">++IFERROR(BE307/BE304,"n/a")</f>
        <v>n/a</v>
      </c>
      <c r="BF308" s="225" t="str">
        <f t="shared" ref="BF308" si="4391">++IFERROR(BF307/BF304,"n/a")</f>
        <v>n/a</v>
      </c>
      <c r="BG308" s="214" t="str">
        <f t="shared" ref="BG308" si="4392">++IFERROR(BG307/BG304,"n/a")</f>
        <v>n/a</v>
      </c>
      <c r="BH308" s="225" t="str">
        <f t="shared" ref="BH308" si="4393">++IFERROR(BH307/BH304,"n/a")</f>
        <v>n/a</v>
      </c>
      <c r="BI308" s="225" t="str">
        <f t="shared" ref="BI308" si="4394">++IFERROR(BI307/BI304,"n/a")</f>
        <v>n/a</v>
      </c>
      <c r="BJ308" s="225" t="str">
        <f t="shared" ref="BJ308" si="4395">++IFERROR(BJ307/BJ304,"n/a")</f>
        <v>n/a</v>
      </c>
      <c r="BK308" s="225" t="str">
        <f t="shared" ref="BK308" si="4396">++IFERROR(BK307/BK304,"n/a")</f>
        <v>n/a</v>
      </c>
      <c r="BL308" s="225" t="str">
        <f t="shared" ref="BL308" si="4397">++IFERROR(BL307/BL304,"n/a")</f>
        <v>n/a</v>
      </c>
      <c r="BM308" s="225" t="str">
        <f t="shared" ref="BM308" si="4398">++IFERROR(BM307/BM304,"n/a")</f>
        <v>n/a</v>
      </c>
      <c r="BN308" s="225" t="str">
        <f t="shared" ref="BN308" si="4399">++IFERROR(BN307/BN304,"n/a")</f>
        <v>n/a</v>
      </c>
      <c r="BO308" s="225" t="str">
        <f t="shared" ref="BO308" si="4400">++IFERROR(BO307/BO304,"n/a")</f>
        <v>n/a</v>
      </c>
      <c r="BP308" s="225" t="str">
        <f t="shared" ref="BP308" si="4401">++IFERROR(BP307/BP304,"n/a")</f>
        <v>n/a</v>
      </c>
      <c r="BQ308" s="225" t="str">
        <f t="shared" ref="BQ308" si="4402">++IFERROR(BQ307/BQ304,"n/a")</f>
        <v>n/a</v>
      </c>
      <c r="BR308" s="225" t="str">
        <f t="shared" ref="BR308" si="4403">++IFERROR(BR307/BR304,"n/a")</f>
        <v>n/a</v>
      </c>
      <c r="BS308" s="214" t="str">
        <f t="shared" ref="BS308" si="4404">++IFERROR(BS307/BS304,"n/a")</f>
        <v>n/a</v>
      </c>
      <c r="BT308" s="225" t="str">
        <f t="shared" ref="BT308" si="4405">++IFERROR(BT307/BT304,"n/a")</f>
        <v>n/a</v>
      </c>
      <c r="BU308" s="225" t="str">
        <f t="shared" ref="BU308" si="4406">++IFERROR(BU307/BU304,"n/a")</f>
        <v>n/a</v>
      </c>
      <c r="BV308" s="225" t="str">
        <f t="shared" ref="BV308" si="4407">++IFERROR(BV307/BV304,"n/a")</f>
        <v>n/a</v>
      </c>
      <c r="BW308" s="225" t="str">
        <f t="shared" ref="BW308" si="4408">++IFERROR(BW307/BW304,"n/a")</f>
        <v>n/a</v>
      </c>
      <c r="BX308" s="225" t="str">
        <f t="shared" ref="BX308" si="4409">++IFERROR(BX307/BX304,"n/a")</f>
        <v>n/a</v>
      </c>
      <c r="BY308" s="225" t="str">
        <f t="shared" ref="BY308" si="4410">++IFERROR(BY307/BY304,"n/a")</f>
        <v>n/a</v>
      </c>
      <c r="BZ308" s="225" t="str">
        <f t="shared" ref="BZ308" si="4411">++IFERROR(BZ307/BZ304,"n/a")</f>
        <v>n/a</v>
      </c>
      <c r="CA308" s="225" t="str">
        <f t="shared" ref="CA308" si="4412">++IFERROR(CA307/CA304,"n/a")</f>
        <v>n/a</v>
      </c>
      <c r="CB308" s="225" t="str">
        <f t="shared" ref="CB308" si="4413">++IFERROR(CB307/CB304,"n/a")</f>
        <v>n/a</v>
      </c>
      <c r="CC308" s="225" t="str">
        <f t="shared" ref="CC308" si="4414">++IFERROR(CC307/CC304,"n/a")</f>
        <v>n/a</v>
      </c>
      <c r="CD308" s="225" t="str">
        <f t="shared" ref="CD308" si="4415">++IFERROR(CD307/CD304,"n/a")</f>
        <v>n/a</v>
      </c>
      <c r="CE308" s="214" t="str">
        <f t="shared" ref="CE308" si="4416">++IFERROR(CE307/CE304,"n/a")</f>
        <v>n/a</v>
      </c>
      <c r="CF308" s="225" t="str">
        <f t="shared" ref="CF308" si="4417">++IFERROR(CF307/CF304,"n/a")</f>
        <v>n/a</v>
      </c>
      <c r="CG308" s="225" t="str">
        <f t="shared" ref="CG308" si="4418">++IFERROR(CG307/CG304,"n/a")</f>
        <v>n/a</v>
      </c>
      <c r="CH308" s="225" t="str">
        <f t="shared" ref="CH308" si="4419">++IFERROR(CH307/CH304,"n/a")</f>
        <v>n/a</v>
      </c>
      <c r="CI308" s="225" t="str">
        <f t="shared" ref="CI308" si="4420">++IFERROR(CI307/CI304,"n/a")</f>
        <v>n/a</v>
      </c>
      <c r="CJ308" s="225" t="str">
        <f t="shared" ref="CJ308" si="4421">++IFERROR(CJ307/CJ304,"n/a")</f>
        <v>n/a</v>
      </c>
      <c r="CK308" s="225" t="str">
        <f t="shared" ref="CK308" si="4422">++IFERROR(CK307/CK304,"n/a")</f>
        <v>n/a</v>
      </c>
      <c r="CL308" s="225" t="str">
        <f t="shared" ref="CL308" si="4423">++IFERROR(CL307/CL304,"n/a")</f>
        <v>n/a</v>
      </c>
      <c r="CM308" s="225" t="str">
        <f t="shared" ref="CM308" si="4424">++IFERROR(CM307/CM304,"n/a")</f>
        <v>n/a</v>
      </c>
      <c r="CN308" s="225" t="str">
        <f t="shared" ref="CN308" si="4425">++IFERROR(CN307/CN304,"n/a")</f>
        <v>n/a</v>
      </c>
      <c r="CO308" s="225" t="str">
        <f t="shared" ref="CO308" si="4426">++IFERROR(CO307/CO304,"n/a")</f>
        <v>n/a</v>
      </c>
      <c r="CP308" s="225" t="str">
        <f t="shared" ref="CP308" si="4427">++IFERROR(CP307/CP304,"n/a")</f>
        <v>n/a</v>
      </c>
      <c r="CQ308" s="214" t="str">
        <f t="shared" ref="CQ308" si="4428">++IFERROR(CQ307/CQ304,"n/a")</f>
        <v>n/a</v>
      </c>
      <c r="CR308" s="225" t="str">
        <f t="shared" ref="CR308" si="4429">++IFERROR(CR307/CR304,"n/a")</f>
        <v>n/a</v>
      </c>
      <c r="CS308" s="225" t="str">
        <f t="shared" ref="CS308" si="4430">++IFERROR(CS307/CS304,"n/a")</f>
        <v>n/a</v>
      </c>
      <c r="CT308" s="225" t="str">
        <f t="shared" ref="CT308" si="4431">++IFERROR(CT307/CT304,"n/a")</f>
        <v>n/a</v>
      </c>
      <c r="CU308" s="225" t="str">
        <f t="shared" ref="CU308" si="4432">++IFERROR(CU307/CU304,"n/a")</f>
        <v>n/a</v>
      </c>
      <c r="CV308" s="225" t="str">
        <f t="shared" ref="CV308" si="4433">++IFERROR(CV307/CV304,"n/a")</f>
        <v>n/a</v>
      </c>
      <c r="CW308" s="225" t="str">
        <f t="shared" ref="CW308" si="4434">++IFERROR(CW307/CW304,"n/a")</f>
        <v>n/a</v>
      </c>
      <c r="CX308" s="225" t="str">
        <f t="shared" ref="CX308" si="4435">++IFERROR(CX307/CX304,"n/a")</f>
        <v>n/a</v>
      </c>
      <c r="CY308" s="225" t="str">
        <f t="shared" ref="CY308" si="4436">++IFERROR(CY307/CY304,"n/a")</f>
        <v>n/a</v>
      </c>
      <c r="CZ308" s="225" t="str">
        <f t="shared" ref="CZ308" si="4437">++IFERROR(CZ307/CZ304,"n/a")</f>
        <v>n/a</v>
      </c>
      <c r="DA308" s="225" t="str">
        <f t="shared" ref="DA308" si="4438">++IFERROR(DA307/DA304,"n/a")</f>
        <v>n/a</v>
      </c>
      <c r="DB308" s="225" t="str">
        <f t="shared" ref="DB308" si="4439">++IFERROR(DB307/DB304,"n/a")</f>
        <v>n/a</v>
      </c>
      <c r="DC308" s="214" t="str">
        <f t="shared" ref="DC308" si="4440">++IFERROR(DC307/DC304,"n/a")</f>
        <v>n/a</v>
      </c>
    </row>
    <row r="309" spans="3:107" x14ac:dyDescent="0.3">
      <c r="C309" s="321" t="str">
        <f>++C$15</f>
        <v>% y/y</v>
      </c>
      <c r="G309" s="122" t="s">
        <v>47</v>
      </c>
      <c r="H309" s="122" t="s">
        <v>47</v>
      </c>
      <c r="I309" s="122" t="s">
        <v>47</v>
      </c>
      <c r="J309" s="122" t="s">
        <v>47</v>
      </c>
      <c r="K309" s="214" t="str">
        <f>++IFERROR(K307/G307-1,"n/a")</f>
        <v>n/a</v>
      </c>
      <c r="L309" s="122" t="s">
        <v>47</v>
      </c>
      <c r="M309" s="122" t="s">
        <v>47</v>
      </c>
      <c r="N309" s="225" t="str">
        <f>++IFERROR(N307/H307-1,"n/a")</f>
        <v>n/a</v>
      </c>
      <c r="O309" s="122" t="s">
        <v>47</v>
      </c>
      <c r="P309" s="122" t="s">
        <v>47</v>
      </c>
      <c r="Q309" s="225" t="str">
        <f>++IFERROR(Q307/I307-1,"n/a")</f>
        <v>n/a</v>
      </c>
      <c r="R309" s="122" t="s">
        <v>47</v>
      </c>
      <c r="S309" s="122" t="s">
        <v>47</v>
      </c>
      <c r="T309" s="225" t="str">
        <f>++IFERROR(T307/J307-1,"n/a")</f>
        <v>n/a</v>
      </c>
      <c r="U309" s="122" t="s">
        <v>47</v>
      </c>
      <c r="V309" s="122" t="s">
        <v>47</v>
      </c>
      <c r="W309" s="214" t="str">
        <f t="shared" ref="W309:BB309" si="4441">++IFERROR(W307/K307-1,"n/a")</f>
        <v>n/a</v>
      </c>
      <c r="X309" s="225" t="str">
        <f t="shared" si="4441"/>
        <v>n/a</v>
      </c>
      <c r="Y309" s="225" t="str">
        <f t="shared" si="4441"/>
        <v>n/a</v>
      </c>
      <c r="Z309" s="225" t="str">
        <f t="shared" si="4441"/>
        <v>n/a</v>
      </c>
      <c r="AA309" s="225" t="str">
        <f t="shared" si="4441"/>
        <v>n/a</v>
      </c>
      <c r="AB309" s="225" t="str">
        <f t="shared" si="4441"/>
        <v>n/a</v>
      </c>
      <c r="AC309" s="225" t="str">
        <f t="shared" si="4441"/>
        <v>n/a</v>
      </c>
      <c r="AD309" s="225" t="str">
        <f t="shared" si="4441"/>
        <v>n/a</v>
      </c>
      <c r="AE309" s="225" t="str">
        <f t="shared" si="4441"/>
        <v>n/a</v>
      </c>
      <c r="AF309" s="225" t="str">
        <f t="shared" si="4441"/>
        <v>n/a</v>
      </c>
      <c r="AG309" s="225" t="str">
        <f t="shared" si="4441"/>
        <v>n/a</v>
      </c>
      <c r="AH309" s="225" t="str">
        <f t="shared" si="4441"/>
        <v>n/a</v>
      </c>
      <c r="AI309" s="214" t="str">
        <f t="shared" si="4441"/>
        <v>n/a</v>
      </c>
      <c r="AJ309" s="225" t="str">
        <f t="shared" si="4441"/>
        <v>n/a</v>
      </c>
      <c r="AK309" s="225" t="str">
        <f t="shared" si="4441"/>
        <v>n/a</v>
      </c>
      <c r="AL309" s="225" t="str">
        <f t="shared" si="4441"/>
        <v>n/a</v>
      </c>
      <c r="AM309" s="225" t="str">
        <f t="shared" si="4441"/>
        <v>n/a</v>
      </c>
      <c r="AN309" s="225" t="str">
        <f t="shared" si="4441"/>
        <v>n/a</v>
      </c>
      <c r="AO309" s="225" t="str">
        <f t="shared" si="4441"/>
        <v>n/a</v>
      </c>
      <c r="AP309" s="225" t="str">
        <f t="shared" si="4441"/>
        <v>n/a</v>
      </c>
      <c r="AQ309" s="225" t="str">
        <f t="shared" si="4441"/>
        <v>n/a</v>
      </c>
      <c r="AR309" s="225" t="str">
        <f t="shared" si="4441"/>
        <v>n/a</v>
      </c>
      <c r="AS309" s="225" t="str">
        <f t="shared" si="4441"/>
        <v>n/a</v>
      </c>
      <c r="AT309" s="225" t="str">
        <f t="shared" si="4441"/>
        <v>n/a</v>
      </c>
      <c r="AU309" s="214" t="str">
        <f t="shared" si="4441"/>
        <v>n/a</v>
      </c>
      <c r="AV309" s="225" t="str">
        <f t="shared" si="4441"/>
        <v>n/a</v>
      </c>
      <c r="AW309" s="225" t="str">
        <f t="shared" si="4441"/>
        <v>n/a</v>
      </c>
      <c r="AX309" s="225" t="str">
        <f t="shared" si="4441"/>
        <v>n/a</v>
      </c>
      <c r="AY309" s="225" t="str">
        <f t="shared" si="4441"/>
        <v>n/a</v>
      </c>
      <c r="AZ309" s="225" t="str">
        <f t="shared" si="4441"/>
        <v>n/a</v>
      </c>
      <c r="BA309" s="225" t="str">
        <f t="shared" si="4441"/>
        <v>n/a</v>
      </c>
      <c r="BB309" s="225" t="str">
        <f t="shared" si="4441"/>
        <v>n/a</v>
      </c>
      <c r="BC309" s="225" t="str">
        <f t="shared" ref="BC309:CH309" si="4442">++IFERROR(BC307/AQ307-1,"n/a")</f>
        <v>n/a</v>
      </c>
      <c r="BD309" s="225" t="str">
        <f t="shared" si="4442"/>
        <v>n/a</v>
      </c>
      <c r="BE309" s="225" t="str">
        <f t="shared" si="4442"/>
        <v>n/a</v>
      </c>
      <c r="BF309" s="225" t="str">
        <f t="shared" si="4442"/>
        <v>n/a</v>
      </c>
      <c r="BG309" s="214" t="str">
        <f t="shared" si="4442"/>
        <v>n/a</v>
      </c>
      <c r="BH309" s="225" t="str">
        <f t="shared" si="4442"/>
        <v>n/a</v>
      </c>
      <c r="BI309" s="225" t="str">
        <f t="shared" si="4442"/>
        <v>n/a</v>
      </c>
      <c r="BJ309" s="225" t="str">
        <f t="shared" si="4442"/>
        <v>n/a</v>
      </c>
      <c r="BK309" s="225" t="str">
        <f t="shared" si="4442"/>
        <v>n/a</v>
      </c>
      <c r="BL309" s="225" t="str">
        <f t="shared" si="4442"/>
        <v>n/a</v>
      </c>
      <c r="BM309" s="225" t="str">
        <f t="shared" si="4442"/>
        <v>n/a</v>
      </c>
      <c r="BN309" s="225" t="str">
        <f t="shared" si="4442"/>
        <v>n/a</v>
      </c>
      <c r="BO309" s="225" t="str">
        <f t="shared" si="4442"/>
        <v>n/a</v>
      </c>
      <c r="BP309" s="225" t="str">
        <f t="shared" si="4442"/>
        <v>n/a</v>
      </c>
      <c r="BQ309" s="225" t="str">
        <f t="shared" si="4442"/>
        <v>n/a</v>
      </c>
      <c r="BR309" s="225" t="str">
        <f t="shared" si="4442"/>
        <v>n/a</v>
      </c>
      <c r="BS309" s="214" t="str">
        <f t="shared" si="4442"/>
        <v>n/a</v>
      </c>
      <c r="BT309" s="225" t="str">
        <f t="shared" si="4442"/>
        <v>n/a</v>
      </c>
      <c r="BU309" s="225" t="str">
        <f t="shared" si="4442"/>
        <v>n/a</v>
      </c>
      <c r="BV309" s="225" t="str">
        <f t="shared" si="4442"/>
        <v>n/a</v>
      </c>
      <c r="BW309" s="225" t="str">
        <f t="shared" si="4442"/>
        <v>n/a</v>
      </c>
      <c r="BX309" s="225" t="str">
        <f t="shared" si="4442"/>
        <v>n/a</v>
      </c>
      <c r="BY309" s="225" t="str">
        <f t="shared" si="4442"/>
        <v>n/a</v>
      </c>
      <c r="BZ309" s="225" t="str">
        <f t="shared" si="4442"/>
        <v>n/a</v>
      </c>
      <c r="CA309" s="225" t="str">
        <f t="shared" si="4442"/>
        <v>n/a</v>
      </c>
      <c r="CB309" s="225" t="str">
        <f t="shared" si="4442"/>
        <v>n/a</v>
      </c>
      <c r="CC309" s="225" t="str">
        <f t="shared" si="4442"/>
        <v>n/a</v>
      </c>
      <c r="CD309" s="225" t="str">
        <f t="shared" si="4442"/>
        <v>n/a</v>
      </c>
      <c r="CE309" s="214" t="str">
        <f t="shared" si="4442"/>
        <v>n/a</v>
      </c>
      <c r="CF309" s="225" t="str">
        <f t="shared" si="4442"/>
        <v>n/a</v>
      </c>
      <c r="CG309" s="225" t="str">
        <f t="shared" si="4442"/>
        <v>n/a</v>
      </c>
      <c r="CH309" s="225" t="str">
        <f t="shared" si="4442"/>
        <v>n/a</v>
      </c>
      <c r="CI309" s="225" t="str">
        <f t="shared" ref="CI309:DN309" si="4443">++IFERROR(CI307/BW307-1,"n/a")</f>
        <v>n/a</v>
      </c>
      <c r="CJ309" s="225" t="str">
        <f t="shared" si="4443"/>
        <v>n/a</v>
      </c>
      <c r="CK309" s="225" t="str">
        <f t="shared" si="4443"/>
        <v>n/a</v>
      </c>
      <c r="CL309" s="225" t="str">
        <f t="shared" si="4443"/>
        <v>n/a</v>
      </c>
      <c r="CM309" s="225" t="str">
        <f t="shared" si="4443"/>
        <v>n/a</v>
      </c>
      <c r="CN309" s="225" t="str">
        <f t="shared" si="4443"/>
        <v>n/a</v>
      </c>
      <c r="CO309" s="225" t="str">
        <f t="shared" si="4443"/>
        <v>n/a</v>
      </c>
      <c r="CP309" s="225" t="str">
        <f t="shared" si="4443"/>
        <v>n/a</v>
      </c>
      <c r="CQ309" s="214" t="str">
        <f t="shared" si="4443"/>
        <v>n/a</v>
      </c>
      <c r="CR309" s="225" t="str">
        <f t="shared" si="4443"/>
        <v>n/a</v>
      </c>
      <c r="CS309" s="225" t="str">
        <f t="shared" si="4443"/>
        <v>n/a</v>
      </c>
      <c r="CT309" s="225" t="str">
        <f t="shared" si="4443"/>
        <v>n/a</v>
      </c>
      <c r="CU309" s="225" t="str">
        <f t="shared" si="4443"/>
        <v>n/a</v>
      </c>
      <c r="CV309" s="225" t="str">
        <f t="shared" si="4443"/>
        <v>n/a</v>
      </c>
      <c r="CW309" s="225" t="str">
        <f t="shared" si="4443"/>
        <v>n/a</v>
      </c>
      <c r="CX309" s="225" t="str">
        <f t="shared" si="4443"/>
        <v>n/a</v>
      </c>
      <c r="CY309" s="225" t="str">
        <f t="shared" si="4443"/>
        <v>n/a</v>
      </c>
      <c r="CZ309" s="225" t="str">
        <f t="shared" si="4443"/>
        <v>n/a</v>
      </c>
      <c r="DA309" s="225" t="str">
        <f t="shared" si="4443"/>
        <v>n/a</v>
      </c>
      <c r="DB309" s="225" t="str">
        <f t="shared" si="4443"/>
        <v>n/a</v>
      </c>
      <c r="DC309" s="214" t="str">
        <f t="shared" si="4443"/>
        <v>n/a</v>
      </c>
    </row>
    <row r="310" spans="3:107" x14ac:dyDescent="0.3">
      <c r="G310" s="203"/>
      <c r="K310" s="203"/>
      <c r="W310" s="203"/>
      <c r="AI310" s="203"/>
      <c r="AU310" s="203"/>
      <c r="BG310" s="203"/>
      <c r="BS310" s="203"/>
      <c r="CE310" s="203"/>
      <c r="CQ310" s="203"/>
      <c r="DC310" s="203"/>
    </row>
    <row r="311" spans="3:107" x14ac:dyDescent="0.3">
      <c r="C311" s="101" t="str">
        <f>++C$17</f>
        <v>[Operating Expense]</v>
      </c>
      <c r="G311" s="45">
        <f>++G17</f>
        <v>0</v>
      </c>
      <c r="H311" s="45">
        <f t="shared" ref="H311:BS314" si="4444">++H17</f>
        <v>0</v>
      </c>
      <c r="I311" s="45">
        <f t="shared" si="4444"/>
        <v>0</v>
      </c>
      <c r="J311" s="45">
        <f t="shared" si="4444"/>
        <v>0</v>
      </c>
      <c r="K311" s="45">
        <f t="shared" si="4444"/>
        <v>0</v>
      </c>
      <c r="L311" s="45">
        <f t="shared" si="4444"/>
        <v>0</v>
      </c>
      <c r="M311" s="45">
        <f t="shared" si="4444"/>
        <v>0</v>
      </c>
      <c r="N311" s="45">
        <f t="shared" si="4444"/>
        <v>0</v>
      </c>
      <c r="O311" s="45">
        <f t="shared" si="4444"/>
        <v>0</v>
      </c>
      <c r="P311" s="45">
        <f t="shared" si="4444"/>
        <v>0</v>
      </c>
      <c r="Q311" s="45">
        <f t="shared" si="4444"/>
        <v>0</v>
      </c>
      <c r="R311" s="45">
        <f t="shared" si="4444"/>
        <v>0</v>
      </c>
      <c r="S311" s="45">
        <f t="shared" si="4444"/>
        <v>0</v>
      </c>
      <c r="T311" s="45">
        <f t="shared" si="4444"/>
        <v>0</v>
      </c>
      <c r="U311" s="45">
        <f t="shared" si="4444"/>
        <v>0</v>
      </c>
      <c r="V311" s="45">
        <f t="shared" si="4444"/>
        <v>0</v>
      </c>
      <c r="W311" s="45">
        <f t="shared" si="4444"/>
        <v>0</v>
      </c>
      <c r="X311" s="45">
        <f t="shared" si="4444"/>
        <v>0</v>
      </c>
      <c r="Y311" s="45">
        <f t="shared" si="4444"/>
        <v>0</v>
      </c>
      <c r="Z311" s="45">
        <f t="shared" si="4444"/>
        <v>0</v>
      </c>
      <c r="AA311" s="45">
        <f t="shared" si="4444"/>
        <v>0</v>
      </c>
      <c r="AB311" s="45">
        <f t="shared" si="4444"/>
        <v>0</v>
      </c>
      <c r="AC311" s="45">
        <f t="shared" si="4444"/>
        <v>0</v>
      </c>
      <c r="AD311" s="45">
        <f t="shared" si="4444"/>
        <v>0</v>
      </c>
      <c r="AE311" s="45">
        <f t="shared" si="4444"/>
        <v>0</v>
      </c>
      <c r="AF311" s="45">
        <f t="shared" si="4444"/>
        <v>0</v>
      </c>
      <c r="AG311" s="45">
        <f t="shared" si="4444"/>
        <v>0</v>
      </c>
      <c r="AH311" s="45">
        <f t="shared" si="4444"/>
        <v>0</v>
      </c>
      <c r="AI311" s="45">
        <f t="shared" si="4444"/>
        <v>0</v>
      </c>
      <c r="AJ311" s="45">
        <f t="shared" si="4444"/>
        <v>0</v>
      </c>
      <c r="AK311" s="45">
        <f t="shared" si="4444"/>
        <v>0</v>
      </c>
      <c r="AL311" s="45">
        <f t="shared" si="4444"/>
        <v>0</v>
      </c>
      <c r="AM311" s="45">
        <f t="shared" si="4444"/>
        <v>0</v>
      </c>
      <c r="AN311" s="45">
        <f t="shared" si="4444"/>
        <v>0</v>
      </c>
      <c r="AO311" s="45">
        <f t="shared" si="4444"/>
        <v>0</v>
      </c>
      <c r="AP311" s="45">
        <f t="shared" si="4444"/>
        <v>0</v>
      </c>
      <c r="AQ311" s="45">
        <f t="shared" si="4444"/>
        <v>0</v>
      </c>
      <c r="AR311" s="45">
        <f t="shared" si="4444"/>
        <v>0</v>
      </c>
      <c r="AS311" s="45">
        <f t="shared" si="4444"/>
        <v>0</v>
      </c>
      <c r="AT311" s="45">
        <f t="shared" si="4444"/>
        <v>0</v>
      </c>
      <c r="AU311" s="45">
        <f t="shared" si="4444"/>
        <v>0</v>
      </c>
      <c r="AV311" s="45">
        <f t="shared" si="4444"/>
        <v>0</v>
      </c>
      <c r="AW311" s="45">
        <f t="shared" si="4444"/>
        <v>0</v>
      </c>
      <c r="AX311" s="45">
        <f t="shared" si="4444"/>
        <v>0</v>
      </c>
      <c r="AY311" s="45">
        <f t="shared" si="4444"/>
        <v>0</v>
      </c>
      <c r="AZ311" s="45">
        <f t="shared" si="4444"/>
        <v>0</v>
      </c>
      <c r="BA311" s="45">
        <f t="shared" si="4444"/>
        <v>0</v>
      </c>
      <c r="BB311" s="45">
        <f t="shared" si="4444"/>
        <v>0</v>
      </c>
      <c r="BC311" s="45">
        <f t="shared" si="4444"/>
        <v>0</v>
      </c>
      <c r="BD311" s="45">
        <f t="shared" si="4444"/>
        <v>0</v>
      </c>
      <c r="BE311" s="45">
        <f t="shared" si="4444"/>
        <v>0</v>
      </c>
      <c r="BF311" s="45">
        <f t="shared" si="4444"/>
        <v>0</v>
      </c>
      <c r="BG311" s="45">
        <f t="shared" si="4444"/>
        <v>0</v>
      </c>
      <c r="BH311" s="45">
        <f t="shared" si="4444"/>
        <v>0</v>
      </c>
      <c r="BI311" s="45">
        <f t="shared" si="4444"/>
        <v>0</v>
      </c>
      <c r="BJ311" s="45">
        <f t="shared" si="4444"/>
        <v>0</v>
      </c>
      <c r="BK311" s="45">
        <f t="shared" si="4444"/>
        <v>0</v>
      </c>
      <c r="BL311" s="45">
        <f t="shared" si="4444"/>
        <v>0</v>
      </c>
      <c r="BM311" s="45">
        <f t="shared" si="4444"/>
        <v>0</v>
      </c>
      <c r="BN311" s="45">
        <f t="shared" si="4444"/>
        <v>0</v>
      </c>
      <c r="BO311" s="45">
        <f t="shared" si="4444"/>
        <v>0</v>
      </c>
      <c r="BP311" s="45">
        <f t="shared" si="4444"/>
        <v>0</v>
      </c>
      <c r="BQ311" s="45">
        <f t="shared" si="4444"/>
        <v>0</v>
      </c>
      <c r="BR311" s="45">
        <f t="shared" si="4444"/>
        <v>0</v>
      </c>
      <c r="BS311" s="45">
        <f t="shared" si="4444"/>
        <v>0</v>
      </c>
      <c r="BT311" s="45">
        <f t="shared" ref="BT311:DC315" si="4445">++BT17</f>
        <v>0</v>
      </c>
      <c r="BU311" s="45">
        <f t="shared" si="4445"/>
        <v>0</v>
      </c>
      <c r="BV311" s="45">
        <f t="shared" si="4445"/>
        <v>0</v>
      </c>
      <c r="BW311" s="45">
        <f t="shared" si="4445"/>
        <v>0</v>
      </c>
      <c r="BX311" s="45">
        <f t="shared" si="4445"/>
        <v>0</v>
      </c>
      <c r="BY311" s="45">
        <f t="shared" si="4445"/>
        <v>0</v>
      </c>
      <c r="BZ311" s="45">
        <f t="shared" si="4445"/>
        <v>0</v>
      </c>
      <c r="CA311" s="45">
        <f t="shared" si="4445"/>
        <v>0</v>
      </c>
      <c r="CB311" s="45">
        <f t="shared" si="4445"/>
        <v>0</v>
      </c>
      <c r="CC311" s="45">
        <f t="shared" si="4445"/>
        <v>0</v>
      </c>
      <c r="CD311" s="45">
        <f t="shared" si="4445"/>
        <v>0</v>
      </c>
      <c r="CE311" s="45">
        <f t="shared" si="4445"/>
        <v>0</v>
      </c>
      <c r="CF311" s="45">
        <f t="shared" si="4445"/>
        <v>0</v>
      </c>
      <c r="CG311" s="45">
        <f t="shared" si="4445"/>
        <v>0</v>
      </c>
      <c r="CH311" s="45">
        <f t="shared" si="4445"/>
        <v>0</v>
      </c>
      <c r="CI311" s="45">
        <f t="shared" si="4445"/>
        <v>0</v>
      </c>
      <c r="CJ311" s="45">
        <f t="shared" si="4445"/>
        <v>0</v>
      </c>
      <c r="CK311" s="45">
        <f t="shared" si="4445"/>
        <v>0</v>
      </c>
      <c r="CL311" s="45">
        <f t="shared" si="4445"/>
        <v>0</v>
      </c>
      <c r="CM311" s="45">
        <f t="shared" si="4445"/>
        <v>0</v>
      </c>
      <c r="CN311" s="45">
        <f t="shared" si="4445"/>
        <v>0</v>
      </c>
      <c r="CO311" s="45">
        <f t="shared" si="4445"/>
        <v>0</v>
      </c>
      <c r="CP311" s="45">
        <f t="shared" si="4445"/>
        <v>0</v>
      </c>
      <c r="CQ311" s="45">
        <f t="shared" si="4445"/>
        <v>0</v>
      </c>
      <c r="CR311" s="45">
        <f t="shared" si="4445"/>
        <v>0</v>
      </c>
      <c r="CS311" s="45">
        <f t="shared" si="4445"/>
        <v>0</v>
      </c>
      <c r="CT311" s="45">
        <f t="shared" si="4445"/>
        <v>0</v>
      </c>
      <c r="CU311" s="45">
        <f t="shared" si="4445"/>
        <v>0</v>
      </c>
      <c r="CV311" s="45">
        <f t="shared" si="4445"/>
        <v>0</v>
      </c>
      <c r="CW311" s="45">
        <f t="shared" si="4445"/>
        <v>0</v>
      </c>
      <c r="CX311" s="45">
        <f t="shared" si="4445"/>
        <v>0</v>
      </c>
      <c r="CY311" s="45">
        <f t="shared" si="4445"/>
        <v>0</v>
      </c>
      <c r="CZ311" s="45">
        <f t="shared" si="4445"/>
        <v>0</v>
      </c>
      <c r="DA311" s="45">
        <f t="shared" si="4445"/>
        <v>0</v>
      </c>
      <c r="DB311" s="45">
        <f t="shared" si="4445"/>
        <v>0</v>
      </c>
      <c r="DC311" s="45">
        <f t="shared" si="4445"/>
        <v>0</v>
      </c>
    </row>
    <row r="312" spans="3:107" x14ac:dyDescent="0.3">
      <c r="C312" s="101" t="str">
        <f>++C$18</f>
        <v>[Operating Expense]</v>
      </c>
      <c r="G312" s="45">
        <f>++G18</f>
        <v>0</v>
      </c>
      <c r="H312" s="45">
        <f t="shared" si="4444"/>
        <v>0</v>
      </c>
      <c r="I312" s="45">
        <f t="shared" si="4444"/>
        <v>0</v>
      </c>
      <c r="J312" s="45">
        <f t="shared" si="4444"/>
        <v>0</v>
      </c>
      <c r="K312" s="45">
        <f t="shared" si="4444"/>
        <v>0</v>
      </c>
      <c r="L312" s="45">
        <f t="shared" si="4444"/>
        <v>0</v>
      </c>
      <c r="M312" s="45">
        <f t="shared" si="4444"/>
        <v>0</v>
      </c>
      <c r="N312" s="45">
        <f t="shared" si="4444"/>
        <v>0</v>
      </c>
      <c r="O312" s="45">
        <f t="shared" si="4444"/>
        <v>0</v>
      </c>
      <c r="P312" s="45">
        <f t="shared" si="4444"/>
        <v>0</v>
      </c>
      <c r="Q312" s="45">
        <f t="shared" si="4444"/>
        <v>0</v>
      </c>
      <c r="R312" s="45">
        <f t="shared" si="4444"/>
        <v>0</v>
      </c>
      <c r="S312" s="45">
        <f t="shared" si="4444"/>
        <v>0</v>
      </c>
      <c r="T312" s="45">
        <f t="shared" si="4444"/>
        <v>0</v>
      </c>
      <c r="U312" s="45">
        <f t="shared" si="4444"/>
        <v>0</v>
      </c>
      <c r="V312" s="45">
        <f t="shared" si="4444"/>
        <v>0</v>
      </c>
      <c r="W312" s="45">
        <f t="shared" si="4444"/>
        <v>0</v>
      </c>
      <c r="X312" s="45">
        <f t="shared" si="4444"/>
        <v>0</v>
      </c>
      <c r="Y312" s="45">
        <f t="shared" si="4444"/>
        <v>0</v>
      </c>
      <c r="Z312" s="45">
        <f t="shared" si="4444"/>
        <v>0</v>
      </c>
      <c r="AA312" s="45">
        <f t="shared" si="4444"/>
        <v>0</v>
      </c>
      <c r="AB312" s="45">
        <f t="shared" si="4444"/>
        <v>0</v>
      </c>
      <c r="AC312" s="45">
        <f t="shared" si="4444"/>
        <v>0</v>
      </c>
      <c r="AD312" s="45">
        <f t="shared" si="4444"/>
        <v>0</v>
      </c>
      <c r="AE312" s="45">
        <f t="shared" si="4444"/>
        <v>0</v>
      </c>
      <c r="AF312" s="45">
        <f t="shared" si="4444"/>
        <v>0</v>
      </c>
      <c r="AG312" s="45">
        <f t="shared" si="4444"/>
        <v>0</v>
      </c>
      <c r="AH312" s="45">
        <f t="shared" si="4444"/>
        <v>0</v>
      </c>
      <c r="AI312" s="45">
        <f t="shared" si="4444"/>
        <v>0</v>
      </c>
      <c r="AJ312" s="45">
        <f t="shared" si="4444"/>
        <v>0</v>
      </c>
      <c r="AK312" s="45">
        <f t="shared" si="4444"/>
        <v>0</v>
      </c>
      <c r="AL312" s="45">
        <f t="shared" si="4444"/>
        <v>0</v>
      </c>
      <c r="AM312" s="45">
        <f t="shared" si="4444"/>
        <v>0</v>
      </c>
      <c r="AN312" s="45">
        <f t="shared" si="4444"/>
        <v>0</v>
      </c>
      <c r="AO312" s="45">
        <f t="shared" si="4444"/>
        <v>0</v>
      </c>
      <c r="AP312" s="45">
        <f t="shared" si="4444"/>
        <v>0</v>
      </c>
      <c r="AQ312" s="45">
        <f t="shared" si="4444"/>
        <v>0</v>
      </c>
      <c r="AR312" s="45">
        <f t="shared" si="4444"/>
        <v>0</v>
      </c>
      <c r="AS312" s="45">
        <f t="shared" si="4444"/>
        <v>0</v>
      </c>
      <c r="AT312" s="45">
        <f t="shared" si="4444"/>
        <v>0</v>
      </c>
      <c r="AU312" s="45">
        <f t="shared" si="4444"/>
        <v>0</v>
      </c>
      <c r="AV312" s="45">
        <f t="shared" si="4444"/>
        <v>0</v>
      </c>
      <c r="AW312" s="45">
        <f t="shared" si="4444"/>
        <v>0</v>
      </c>
      <c r="AX312" s="45">
        <f t="shared" si="4444"/>
        <v>0</v>
      </c>
      <c r="AY312" s="45">
        <f t="shared" si="4444"/>
        <v>0</v>
      </c>
      <c r="AZ312" s="45">
        <f t="shared" si="4444"/>
        <v>0</v>
      </c>
      <c r="BA312" s="45">
        <f t="shared" si="4444"/>
        <v>0</v>
      </c>
      <c r="BB312" s="45">
        <f t="shared" si="4444"/>
        <v>0</v>
      </c>
      <c r="BC312" s="45">
        <f t="shared" si="4444"/>
        <v>0</v>
      </c>
      <c r="BD312" s="45">
        <f t="shared" si="4444"/>
        <v>0</v>
      </c>
      <c r="BE312" s="45">
        <f t="shared" si="4444"/>
        <v>0</v>
      </c>
      <c r="BF312" s="45">
        <f t="shared" si="4444"/>
        <v>0</v>
      </c>
      <c r="BG312" s="45">
        <f t="shared" si="4444"/>
        <v>0</v>
      </c>
      <c r="BH312" s="45">
        <f t="shared" si="4444"/>
        <v>0</v>
      </c>
      <c r="BI312" s="45">
        <f t="shared" si="4444"/>
        <v>0</v>
      </c>
      <c r="BJ312" s="45">
        <f t="shared" si="4444"/>
        <v>0</v>
      </c>
      <c r="BK312" s="45">
        <f t="shared" si="4444"/>
        <v>0</v>
      </c>
      <c r="BL312" s="45">
        <f t="shared" si="4444"/>
        <v>0</v>
      </c>
      <c r="BM312" s="45">
        <f t="shared" si="4444"/>
        <v>0</v>
      </c>
      <c r="BN312" s="45">
        <f t="shared" si="4444"/>
        <v>0</v>
      </c>
      <c r="BO312" s="45">
        <f t="shared" si="4444"/>
        <v>0</v>
      </c>
      <c r="BP312" s="45">
        <f t="shared" si="4444"/>
        <v>0</v>
      </c>
      <c r="BQ312" s="45">
        <f t="shared" si="4444"/>
        <v>0</v>
      </c>
      <c r="BR312" s="45">
        <f t="shared" si="4444"/>
        <v>0</v>
      </c>
      <c r="BS312" s="45">
        <f t="shared" si="4444"/>
        <v>0</v>
      </c>
      <c r="BT312" s="45">
        <f t="shared" si="4445"/>
        <v>0</v>
      </c>
      <c r="BU312" s="45">
        <f t="shared" si="4445"/>
        <v>0</v>
      </c>
      <c r="BV312" s="45">
        <f t="shared" si="4445"/>
        <v>0</v>
      </c>
      <c r="BW312" s="45">
        <f t="shared" si="4445"/>
        <v>0</v>
      </c>
      <c r="BX312" s="45">
        <f t="shared" si="4445"/>
        <v>0</v>
      </c>
      <c r="BY312" s="45">
        <f t="shared" si="4445"/>
        <v>0</v>
      </c>
      <c r="BZ312" s="45">
        <f t="shared" si="4445"/>
        <v>0</v>
      </c>
      <c r="CA312" s="45">
        <f t="shared" si="4445"/>
        <v>0</v>
      </c>
      <c r="CB312" s="45">
        <f t="shared" si="4445"/>
        <v>0</v>
      </c>
      <c r="CC312" s="45">
        <f t="shared" si="4445"/>
        <v>0</v>
      </c>
      <c r="CD312" s="45">
        <f t="shared" si="4445"/>
        <v>0</v>
      </c>
      <c r="CE312" s="45">
        <f t="shared" si="4445"/>
        <v>0</v>
      </c>
      <c r="CF312" s="45">
        <f t="shared" si="4445"/>
        <v>0</v>
      </c>
      <c r="CG312" s="45">
        <f t="shared" si="4445"/>
        <v>0</v>
      </c>
      <c r="CH312" s="45">
        <f t="shared" si="4445"/>
        <v>0</v>
      </c>
      <c r="CI312" s="45">
        <f t="shared" si="4445"/>
        <v>0</v>
      </c>
      <c r="CJ312" s="45">
        <f t="shared" si="4445"/>
        <v>0</v>
      </c>
      <c r="CK312" s="45">
        <f t="shared" si="4445"/>
        <v>0</v>
      </c>
      <c r="CL312" s="45">
        <f t="shared" si="4445"/>
        <v>0</v>
      </c>
      <c r="CM312" s="45">
        <f t="shared" si="4445"/>
        <v>0</v>
      </c>
      <c r="CN312" s="45">
        <f t="shared" si="4445"/>
        <v>0</v>
      </c>
      <c r="CO312" s="45">
        <f t="shared" si="4445"/>
        <v>0</v>
      </c>
      <c r="CP312" s="45">
        <f t="shared" si="4445"/>
        <v>0</v>
      </c>
      <c r="CQ312" s="45">
        <f t="shared" si="4445"/>
        <v>0</v>
      </c>
      <c r="CR312" s="45">
        <f t="shared" si="4445"/>
        <v>0</v>
      </c>
      <c r="CS312" s="45">
        <f t="shared" si="4445"/>
        <v>0</v>
      </c>
      <c r="CT312" s="45">
        <f t="shared" si="4445"/>
        <v>0</v>
      </c>
      <c r="CU312" s="45">
        <f t="shared" si="4445"/>
        <v>0</v>
      </c>
      <c r="CV312" s="45">
        <f t="shared" si="4445"/>
        <v>0</v>
      </c>
      <c r="CW312" s="45">
        <f t="shared" si="4445"/>
        <v>0</v>
      </c>
      <c r="CX312" s="45">
        <f t="shared" si="4445"/>
        <v>0</v>
      </c>
      <c r="CY312" s="45">
        <f t="shared" si="4445"/>
        <v>0</v>
      </c>
      <c r="CZ312" s="45">
        <f t="shared" si="4445"/>
        <v>0</v>
      </c>
      <c r="DA312" s="45">
        <f t="shared" si="4445"/>
        <v>0</v>
      </c>
      <c r="DB312" s="45">
        <f t="shared" si="4445"/>
        <v>0</v>
      </c>
      <c r="DC312" s="45">
        <f t="shared" si="4445"/>
        <v>0</v>
      </c>
    </row>
    <row r="313" spans="3:107" x14ac:dyDescent="0.3">
      <c r="C313" s="101" t="str">
        <f>++C$19</f>
        <v>[Operating Expense]</v>
      </c>
      <c r="G313" s="45">
        <f>++G19</f>
        <v>0</v>
      </c>
      <c r="H313" s="45">
        <f t="shared" si="4444"/>
        <v>0</v>
      </c>
      <c r="I313" s="45">
        <f t="shared" si="4444"/>
        <v>0</v>
      </c>
      <c r="J313" s="45">
        <f t="shared" si="4444"/>
        <v>0</v>
      </c>
      <c r="K313" s="45">
        <f t="shared" si="4444"/>
        <v>0</v>
      </c>
      <c r="L313" s="45">
        <f t="shared" si="4444"/>
        <v>0</v>
      </c>
      <c r="M313" s="45">
        <f t="shared" si="4444"/>
        <v>0</v>
      </c>
      <c r="N313" s="45">
        <f t="shared" si="4444"/>
        <v>0</v>
      </c>
      <c r="O313" s="45">
        <f t="shared" si="4444"/>
        <v>0</v>
      </c>
      <c r="P313" s="45">
        <f t="shared" si="4444"/>
        <v>0</v>
      </c>
      <c r="Q313" s="45">
        <f t="shared" si="4444"/>
        <v>0</v>
      </c>
      <c r="R313" s="45">
        <f t="shared" si="4444"/>
        <v>0</v>
      </c>
      <c r="S313" s="45">
        <f t="shared" si="4444"/>
        <v>0</v>
      </c>
      <c r="T313" s="45">
        <f t="shared" si="4444"/>
        <v>0</v>
      </c>
      <c r="U313" s="45">
        <f t="shared" si="4444"/>
        <v>0</v>
      </c>
      <c r="V313" s="45">
        <f t="shared" si="4444"/>
        <v>0</v>
      </c>
      <c r="W313" s="45">
        <f t="shared" si="4444"/>
        <v>0</v>
      </c>
      <c r="X313" s="45">
        <f t="shared" si="4444"/>
        <v>0</v>
      </c>
      <c r="Y313" s="45">
        <f t="shared" si="4444"/>
        <v>0</v>
      </c>
      <c r="Z313" s="45">
        <f t="shared" si="4444"/>
        <v>0</v>
      </c>
      <c r="AA313" s="45">
        <f t="shared" si="4444"/>
        <v>0</v>
      </c>
      <c r="AB313" s="45">
        <f t="shared" si="4444"/>
        <v>0</v>
      </c>
      <c r="AC313" s="45">
        <f t="shared" si="4444"/>
        <v>0</v>
      </c>
      <c r="AD313" s="45">
        <f t="shared" si="4444"/>
        <v>0</v>
      </c>
      <c r="AE313" s="45">
        <f t="shared" si="4444"/>
        <v>0</v>
      </c>
      <c r="AF313" s="45">
        <f t="shared" si="4444"/>
        <v>0</v>
      </c>
      <c r="AG313" s="45">
        <f t="shared" si="4444"/>
        <v>0</v>
      </c>
      <c r="AH313" s="45">
        <f t="shared" si="4444"/>
        <v>0</v>
      </c>
      <c r="AI313" s="45">
        <f t="shared" si="4444"/>
        <v>0</v>
      </c>
      <c r="AJ313" s="45">
        <f t="shared" si="4444"/>
        <v>0</v>
      </c>
      <c r="AK313" s="45">
        <f t="shared" si="4444"/>
        <v>0</v>
      </c>
      <c r="AL313" s="45">
        <f t="shared" si="4444"/>
        <v>0</v>
      </c>
      <c r="AM313" s="45">
        <f t="shared" si="4444"/>
        <v>0</v>
      </c>
      <c r="AN313" s="45">
        <f t="shared" si="4444"/>
        <v>0</v>
      </c>
      <c r="AO313" s="45">
        <f t="shared" si="4444"/>
        <v>0</v>
      </c>
      <c r="AP313" s="45">
        <f t="shared" si="4444"/>
        <v>0</v>
      </c>
      <c r="AQ313" s="45">
        <f t="shared" si="4444"/>
        <v>0</v>
      </c>
      <c r="AR313" s="45">
        <f t="shared" si="4444"/>
        <v>0</v>
      </c>
      <c r="AS313" s="45">
        <f t="shared" si="4444"/>
        <v>0</v>
      </c>
      <c r="AT313" s="45">
        <f t="shared" si="4444"/>
        <v>0</v>
      </c>
      <c r="AU313" s="45">
        <f t="shared" si="4444"/>
        <v>0</v>
      </c>
      <c r="AV313" s="45">
        <f t="shared" si="4444"/>
        <v>0</v>
      </c>
      <c r="AW313" s="45">
        <f t="shared" si="4444"/>
        <v>0</v>
      </c>
      <c r="AX313" s="45">
        <f t="shared" si="4444"/>
        <v>0</v>
      </c>
      <c r="AY313" s="45">
        <f t="shared" si="4444"/>
        <v>0</v>
      </c>
      <c r="AZ313" s="45">
        <f t="shared" si="4444"/>
        <v>0</v>
      </c>
      <c r="BA313" s="45">
        <f t="shared" si="4444"/>
        <v>0</v>
      </c>
      <c r="BB313" s="45">
        <f t="shared" si="4444"/>
        <v>0</v>
      </c>
      <c r="BC313" s="45">
        <f t="shared" si="4444"/>
        <v>0</v>
      </c>
      <c r="BD313" s="45">
        <f t="shared" si="4444"/>
        <v>0</v>
      </c>
      <c r="BE313" s="45">
        <f t="shared" si="4444"/>
        <v>0</v>
      </c>
      <c r="BF313" s="45">
        <f t="shared" si="4444"/>
        <v>0</v>
      </c>
      <c r="BG313" s="45">
        <f t="shared" si="4444"/>
        <v>0</v>
      </c>
      <c r="BH313" s="45">
        <f t="shared" si="4444"/>
        <v>0</v>
      </c>
      <c r="BI313" s="45">
        <f t="shared" si="4444"/>
        <v>0</v>
      </c>
      <c r="BJ313" s="45">
        <f t="shared" si="4444"/>
        <v>0</v>
      </c>
      <c r="BK313" s="45">
        <f t="shared" si="4444"/>
        <v>0</v>
      </c>
      <c r="BL313" s="45">
        <f t="shared" si="4444"/>
        <v>0</v>
      </c>
      <c r="BM313" s="45">
        <f t="shared" si="4444"/>
        <v>0</v>
      </c>
      <c r="BN313" s="45">
        <f t="shared" si="4444"/>
        <v>0</v>
      </c>
      <c r="BO313" s="45">
        <f t="shared" si="4444"/>
        <v>0</v>
      </c>
      <c r="BP313" s="45">
        <f t="shared" si="4444"/>
        <v>0</v>
      </c>
      <c r="BQ313" s="45">
        <f t="shared" si="4444"/>
        <v>0</v>
      </c>
      <c r="BR313" s="45">
        <f t="shared" si="4444"/>
        <v>0</v>
      </c>
      <c r="BS313" s="45">
        <f t="shared" si="4444"/>
        <v>0</v>
      </c>
      <c r="BT313" s="45">
        <f t="shared" si="4445"/>
        <v>0</v>
      </c>
      <c r="BU313" s="45">
        <f t="shared" si="4445"/>
        <v>0</v>
      </c>
      <c r="BV313" s="45">
        <f t="shared" si="4445"/>
        <v>0</v>
      </c>
      <c r="BW313" s="45">
        <f t="shared" si="4445"/>
        <v>0</v>
      </c>
      <c r="BX313" s="45">
        <f t="shared" si="4445"/>
        <v>0</v>
      </c>
      <c r="BY313" s="45">
        <f t="shared" si="4445"/>
        <v>0</v>
      </c>
      <c r="BZ313" s="45">
        <f t="shared" si="4445"/>
        <v>0</v>
      </c>
      <c r="CA313" s="45">
        <f t="shared" si="4445"/>
        <v>0</v>
      </c>
      <c r="CB313" s="45">
        <f t="shared" si="4445"/>
        <v>0</v>
      </c>
      <c r="CC313" s="45">
        <f t="shared" si="4445"/>
        <v>0</v>
      </c>
      <c r="CD313" s="45">
        <f t="shared" si="4445"/>
        <v>0</v>
      </c>
      <c r="CE313" s="45">
        <f t="shared" si="4445"/>
        <v>0</v>
      </c>
      <c r="CF313" s="45">
        <f t="shared" si="4445"/>
        <v>0</v>
      </c>
      <c r="CG313" s="45">
        <f t="shared" si="4445"/>
        <v>0</v>
      </c>
      <c r="CH313" s="45">
        <f t="shared" si="4445"/>
        <v>0</v>
      </c>
      <c r="CI313" s="45">
        <f t="shared" si="4445"/>
        <v>0</v>
      </c>
      <c r="CJ313" s="45">
        <f t="shared" si="4445"/>
        <v>0</v>
      </c>
      <c r="CK313" s="45">
        <f t="shared" si="4445"/>
        <v>0</v>
      </c>
      <c r="CL313" s="45">
        <f t="shared" si="4445"/>
        <v>0</v>
      </c>
      <c r="CM313" s="45">
        <f t="shared" si="4445"/>
        <v>0</v>
      </c>
      <c r="CN313" s="45">
        <f t="shared" si="4445"/>
        <v>0</v>
      </c>
      <c r="CO313" s="45">
        <f t="shared" si="4445"/>
        <v>0</v>
      </c>
      <c r="CP313" s="45">
        <f t="shared" si="4445"/>
        <v>0</v>
      </c>
      <c r="CQ313" s="45">
        <f t="shared" si="4445"/>
        <v>0</v>
      </c>
      <c r="CR313" s="45">
        <f t="shared" si="4445"/>
        <v>0</v>
      </c>
      <c r="CS313" s="45">
        <f t="shared" si="4445"/>
        <v>0</v>
      </c>
      <c r="CT313" s="45">
        <f t="shared" si="4445"/>
        <v>0</v>
      </c>
      <c r="CU313" s="45">
        <f t="shared" si="4445"/>
        <v>0</v>
      </c>
      <c r="CV313" s="45">
        <f t="shared" si="4445"/>
        <v>0</v>
      </c>
      <c r="CW313" s="45">
        <f t="shared" si="4445"/>
        <v>0</v>
      </c>
      <c r="CX313" s="45">
        <f t="shared" si="4445"/>
        <v>0</v>
      </c>
      <c r="CY313" s="45">
        <f t="shared" si="4445"/>
        <v>0</v>
      </c>
      <c r="CZ313" s="45">
        <f t="shared" si="4445"/>
        <v>0</v>
      </c>
      <c r="DA313" s="45">
        <f t="shared" si="4445"/>
        <v>0</v>
      </c>
      <c r="DB313" s="45">
        <f t="shared" si="4445"/>
        <v>0</v>
      </c>
      <c r="DC313" s="45">
        <f t="shared" si="4445"/>
        <v>0</v>
      </c>
    </row>
    <row r="314" spans="3:107" x14ac:dyDescent="0.3">
      <c r="C314" s="101" t="str">
        <f>++C$20</f>
        <v>Depreciation</v>
      </c>
      <c r="G314" s="45">
        <f>++G20</f>
        <v>0</v>
      </c>
      <c r="H314" s="45">
        <f t="shared" si="4444"/>
        <v>0</v>
      </c>
      <c r="I314" s="45">
        <f t="shared" si="4444"/>
        <v>0</v>
      </c>
      <c r="J314" s="45">
        <f t="shared" si="4444"/>
        <v>0</v>
      </c>
      <c r="K314" s="45">
        <f t="shared" si="4444"/>
        <v>0</v>
      </c>
      <c r="L314" s="45">
        <f t="shared" si="4444"/>
        <v>0</v>
      </c>
      <c r="M314" s="45">
        <f t="shared" si="4444"/>
        <v>0</v>
      </c>
      <c r="N314" s="45">
        <f t="shared" si="4444"/>
        <v>0</v>
      </c>
      <c r="O314" s="45">
        <f t="shared" si="4444"/>
        <v>0</v>
      </c>
      <c r="P314" s="45">
        <f t="shared" si="4444"/>
        <v>0</v>
      </c>
      <c r="Q314" s="45">
        <f t="shared" si="4444"/>
        <v>0</v>
      </c>
      <c r="R314" s="45">
        <f t="shared" si="4444"/>
        <v>0</v>
      </c>
      <c r="S314" s="45">
        <f t="shared" si="4444"/>
        <v>0</v>
      </c>
      <c r="T314" s="45">
        <f t="shared" si="4444"/>
        <v>0</v>
      </c>
      <c r="U314" s="45">
        <f t="shared" si="4444"/>
        <v>0</v>
      </c>
      <c r="V314" s="45">
        <f t="shared" si="4444"/>
        <v>0</v>
      </c>
      <c r="W314" s="45">
        <f t="shared" si="4444"/>
        <v>0</v>
      </c>
      <c r="X314" s="45">
        <f t="shared" si="4444"/>
        <v>0</v>
      </c>
      <c r="Y314" s="45">
        <f t="shared" si="4444"/>
        <v>0</v>
      </c>
      <c r="Z314" s="45">
        <f t="shared" si="4444"/>
        <v>0</v>
      </c>
      <c r="AA314" s="45">
        <f t="shared" si="4444"/>
        <v>0</v>
      </c>
      <c r="AB314" s="45">
        <f t="shared" si="4444"/>
        <v>0</v>
      </c>
      <c r="AC314" s="45">
        <f t="shared" si="4444"/>
        <v>0</v>
      </c>
      <c r="AD314" s="45">
        <f t="shared" si="4444"/>
        <v>0</v>
      </c>
      <c r="AE314" s="45">
        <f t="shared" si="4444"/>
        <v>0</v>
      </c>
      <c r="AF314" s="45">
        <f t="shared" si="4444"/>
        <v>0</v>
      </c>
      <c r="AG314" s="45">
        <f t="shared" si="4444"/>
        <v>0</v>
      </c>
      <c r="AH314" s="45">
        <f t="shared" si="4444"/>
        <v>0</v>
      </c>
      <c r="AI314" s="45">
        <f t="shared" si="4444"/>
        <v>0</v>
      </c>
      <c r="AJ314" s="45">
        <f t="shared" si="4444"/>
        <v>0</v>
      </c>
      <c r="AK314" s="45">
        <f t="shared" si="4444"/>
        <v>0</v>
      </c>
      <c r="AL314" s="45">
        <f t="shared" si="4444"/>
        <v>0</v>
      </c>
      <c r="AM314" s="45">
        <f t="shared" si="4444"/>
        <v>0</v>
      </c>
      <c r="AN314" s="45">
        <f t="shared" si="4444"/>
        <v>0</v>
      </c>
      <c r="AO314" s="45">
        <f t="shared" si="4444"/>
        <v>0</v>
      </c>
      <c r="AP314" s="45">
        <f t="shared" si="4444"/>
        <v>0</v>
      </c>
      <c r="AQ314" s="45">
        <f t="shared" si="4444"/>
        <v>0</v>
      </c>
      <c r="AR314" s="45">
        <f t="shared" si="4444"/>
        <v>0</v>
      </c>
      <c r="AS314" s="45">
        <f t="shared" si="4444"/>
        <v>0</v>
      </c>
      <c r="AT314" s="45">
        <f t="shared" si="4444"/>
        <v>0</v>
      </c>
      <c r="AU314" s="45">
        <f t="shared" si="4444"/>
        <v>0</v>
      </c>
      <c r="AV314" s="45">
        <f t="shared" si="4444"/>
        <v>0</v>
      </c>
      <c r="AW314" s="45">
        <f t="shared" si="4444"/>
        <v>0</v>
      </c>
      <c r="AX314" s="45">
        <f t="shared" si="4444"/>
        <v>0</v>
      </c>
      <c r="AY314" s="45">
        <f t="shared" si="4444"/>
        <v>0</v>
      </c>
      <c r="AZ314" s="45">
        <f t="shared" si="4444"/>
        <v>0</v>
      </c>
      <c r="BA314" s="45">
        <f t="shared" si="4444"/>
        <v>0</v>
      </c>
      <c r="BB314" s="45">
        <f t="shared" si="4444"/>
        <v>0</v>
      </c>
      <c r="BC314" s="45">
        <f t="shared" si="4444"/>
        <v>0</v>
      </c>
      <c r="BD314" s="45">
        <f t="shared" si="4444"/>
        <v>0</v>
      </c>
      <c r="BE314" s="45">
        <f t="shared" si="4444"/>
        <v>0</v>
      </c>
      <c r="BF314" s="45">
        <f t="shared" si="4444"/>
        <v>0</v>
      </c>
      <c r="BG314" s="45">
        <f t="shared" si="4444"/>
        <v>0</v>
      </c>
      <c r="BH314" s="45">
        <f t="shared" si="4444"/>
        <v>0</v>
      </c>
      <c r="BI314" s="45">
        <f t="shared" si="4444"/>
        <v>0</v>
      </c>
      <c r="BJ314" s="45">
        <f t="shared" si="4444"/>
        <v>0</v>
      </c>
      <c r="BK314" s="45">
        <f t="shared" si="4444"/>
        <v>0</v>
      </c>
      <c r="BL314" s="45">
        <f t="shared" si="4444"/>
        <v>0</v>
      </c>
      <c r="BM314" s="45">
        <f t="shared" si="4444"/>
        <v>0</v>
      </c>
      <c r="BN314" s="45">
        <f t="shared" si="4444"/>
        <v>0</v>
      </c>
      <c r="BO314" s="45">
        <f t="shared" si="4444"/>
        <v>0</v>
      </c>
      <c r="BP314" s="45">
        <f t="shared" si="4444"/>
        <v>0</v>
      </c>
      <c r="BQ314" s="45">
        <f t="shared" si="4444"/>
        <v>0</v>
      </c>
      <c r="BR314" s="45">
        <f t="shared" si="4444"/>
        <v>0</v>
      </c>
      <c r="BS314" s="45">
        <f t="shared" ref="BS314" si="4446">++BS20</f>
        <v>0</v>
      </c>
      <c r="BT314" s="45">
        <f t="shared" si="4445"/>
        <v>0</v>
      </c>
      <c r="BU314" s="45">
        <f t="shared" si="4445"/>
        <v>0</v>
      </c>
      <c r="BV314" s="45">
        <f t="shared" si="4445"/>
        <v>0</v>
      </c>
      <c r="BW314" s="45">
        <f t="shared" si="4445"/>
        <v>0</v>
      </c>
      <c r="BX314" s="45">
        <f t="shared" si="4445"/>
        <v>0</v>
      </c>
      <c r="BY314" s="45">
        <f t="shared" si="4445"/>
        <v>0</v>
      </c>
      <c r="BZ314" s="45">
        <f t="shared" si="4445"/>
        <v>0</v>
      </c>
      <c r="CA314" s="45">
        <f t="shared" si="4445"/>
        <v>0</v>
      </c>
      <c r="CB314" s="45">
        <f t="shared" si="4445"/>
        <v>0</v>
      </c>
      <c r="CC314" s="45">
        <f t="shared" si="4445"/>
        <v>0</v>
      </c>
      <c r="CD314" s="45">
        <f t="shared" si="4445"/>
        <v>0</v>
      </c>
      <c r="CE314" s="45">
        <f t="shared" si="4445"/>
        <v>0</v>
      </c>
      <c r="CF314" s="45">
        <f t="shared" si="4445"/>
        <v>0</v>
      </c>
      <c r="CG314" s="45">
        <f t="shared" si="4445"/>
        <v>0</v>
      </c>
      <c r="CH314" s="45">
        <f t="shared" si="4445"/>
        <v>0</v>
      </c>
      <c r="CI314" s="45">
        <f t="shared" si="4445"/>
        <v>0</v>
      </c>
      <c r="CJ314" s="45">
        <f t="shared" si="4445"/>
        <v>0</v>
      </c>
      <c r="CK314" s="45">
        <f t="shared" si="4445"/>
        <v>0</v>
      </c>
      <c r="CL314" s="45">
        <f t="shared" si="4445"/>
        <v>0</v>
      </c>
      <c r="CM314" s="45">
        <f t="shared" si="4445"/>
        <v>0</v>
      </c>
      <c r="CN314" s="45">
        <f t="shared" si="4445"/>
        <v>0</v>
      </c>
      <c r="CO314" s="45">
        <f t="shared" si="4445"/>
        <v>0</v>
      </c>
      <c r="CP314" s="45">
        <f t="shared" si="4445"/>
        <v>0</v>
      </c>
      <c r="CQ314" s="45">
        <f t="shared" si="4445"/>
        <v>0</v>
      </c>
      <c r="CR314" s="45">
        <f t="shared" si="4445"/>
        <v>0</v>
      </c>
      <c r="CS314" s="45">
        <f t="shared" si="4445"/>
        <v>0</v>
      </c>
      <c r="CT314" s="45">
        <f t="shared" si="4445"/>
        <v>0</v>
      </c>
      <c r="CU314" s="45">
        <f t="shared" si="4445"/>
        <v>0</v>
      </c>
      <c r="CV314" s="45">
        <f t="shared" si="4445"/>
        <v>0</v>
      </c>
      <c r="CW314" s="45">
        <f t="shared" si="4445"/>
        <v>0</v>
      </c>
      <c r="CX314" s="45">
        <f t="shared" si="4445"/>
        <v>0</v>
      </c>
      <c r="CY314" s="45">
        <f t="shared" si="4445"/>
        <v>0</v>
      </c>
      <c r="CZ314" s="45">
        <f t="shared" si="4445"/>
        <v>0</v>
      </c>
      <c r="DA314" s="45">
        <f t="shared" si="4445"/>
        <v>0</v>
      </c>
      <c r="DB314" s="45">
        <f t="shared" si="4445"/>
        <v>0</v>
      </c>
      <c r="DC314" s="45">
        <f t="shared" si="4445"/>
        <v>0</v>
      </c>
    </row>
    <row r="315" spans="3:107" x14ac:dyDescent="0.3">
      <c r="C315" s="101" t="str">
        <f>++C$21</f>
        <v>Amortization</v>
      </c>
      <c r="G315" s="45">
        <f>++G21</f>
        <v>0</v>
      </c>
      <c r="H315" s="45">
        <f t="shared" ref="H315:BS315" si="4447">++H21</f>
        <v>0</v>
      </c>
      <c r="I315" s="45">
        <f t="shared" si="4447"/>
        <v>0</v>
      </c>
      <c r="J315" s="45">
        <f t="shared" si="4447"/>
        <v>0</v>
      </c>
      <c r="K315" s="45">
        <f t="shared" si="4447"/>
        <v>0</v>
      </c>
      <c r="L315" s="45">
        <f t="shared" si="4447"/>
        <v>0</v>
      </c>
      <c r="M315" s="45">
        <f t="shared" si="4447"/>
        <v>0</v>
      </c>
      <c r="N315" s="45">
        <f t="shared" si="4447"/>
        <v>0</v>
      </c>
      <c r="O315" s="45">
        <f t="shared" si="4447"/>
        <v>0</v>
      </c>
      <c r="P315" s="45">
        <f t="shared" si="4447"/>
        <v>0</v>
      </c>
      <c r="Q315" s="45">
        <f t="shared" si="4447"/>
        <v>0</v>
      </c>
      <c r="R315" s="45">
        <f t="shared" si="4447"/>
        <v>0</v>
      </c>
      <c r="S315" s="45">
        <f t="shared" si="4447"/>
        <v>0</v>
      </c>
      <c r="T315" s="45">
        <f t="shared" si="4447"/>
        <v>0</v>
      </c>
      <c r="U315" s="45">
        <f t="shared" si="4447"/>
        <v>0</v>
      </c>
      <c r="V315" s="45">
        <f t="shared" si="4447"/>
        <v>0</v>
      </c>
      <c r="W315" s="45">
        <f t="shared" si="4447"/>
        <v>0</v>
      </c>
      <c r="X315" s="45">
        <f t="shared" si="4447"/>
        <v>0</v>
      </c>
      <c r="Y315" s="45">
        <f t="shared" si="4447"/>
        <v>0</v>
      </c>
      <c r="Z315" s="45">
        <f t="shared" si="4447"/>
        <v>0</v>
      </c>
      <c r="AA315" s="45">
        <f t="shared" si="4447"/>
        <v>0</v>
      </c>
      <c r="AB315" s="45">
        <f t="shared" si="4447"/>
        <v>0</v>
      </c>
      <c r="AC315" s="45">
        <f t="shared" si="4447"/>
        <v>0</v>
      </c>
      <c r="AD315" s="45">
        <f t="shared" si="4447"/>
        <v>0</v>
      </c>
      <c r="AE315" s="45">
        <f t="shared" si="4447"/>
        <v>0</v>
      </c>
      <c r="AF315" s="45">
        <f t="shared" si="4447"/>
        <v>0</v>
      </c>
      <c r="AG315" s="45">
        <f t="shared" si="4447"/>
        <v>0</v>
      </c>
      <c r="AH315" s="45">
        <f t="shared" si="4447"/>
        <v>0</v>
      </c>
      <c r="AI315" s="45">
        <f t="shared" si="4447"/>
        <v>0</v>
      </c>
      <c r="AJ315" s="45">
        <f t="shared" si="4447"/>
        <v>0</v>
      </c>
      <c r="AK315" s="45">
        <f t="shared" si="4447"/>
        <v>0</v>
      </c>
      <c r="AL315" s="45">
        <f t="shared" si="4447"/>
        <v>0</v>
      </c>
      <c r="AM315" s="45">
        <f t="shared" si="4447"/>
        <v>0</v>
      </c>
      <c r="AN315" s="45">
        <f t="shared" si="4447"/>
        <v>0</v>
      </c>
      <c r="AO315" s="45">
        <f t="shared" si="4447"/>
        <v>0</v>
      </c>
      <c r="AP315" s="45">
        <f t="shared" si="4447"/>
        <v>0</v>
      </c>
      <c r="AQ315" s="45">
        <f t="shared" si="4447"/>
        <v>0</v>
      </c>
      <c r="AR315" s="45">
        <f t="shared" si="4447"/>
        <v>0</v>
      </c>
      <c r="AS315" s="45">
        <f t="shared" si="4447"/>
        <v>0</v>
      </c>
      <c r="AT315" s="45">
        <f t="shared" si="4447"/>
        <v>0</v>
      </c>
      <c r="AU315" s="45">
        <f t="shared" si="4447"/>
        <v>0</v>
      </c>
      <c r="AV315" s="45">
        <f t="shared" si="4447"/>
        <v>0</v>
      </c>
      <c r="AW315" s="45">
        <f t="shared" si="4447"/>
        <v>0</v>
      </c>
      <c r="AX315" s="45">
        <f t="shared" si="4447"/>
        <v>0</v>
      </c>
      <c r="AY315" s="45">
        <f t="shared" si="4447"/>
        <v>0</v>
      </c>
      <c r="AZ315" s="45">
        <f t="shared" si="4447"/>
        <v>0</v>
      </c>
      <c r="BA315" s="45">
        <f t="shared" si="4447"/>
        <v>0</v>
      </c>
      <c r="BB315" s="45">
        <f t="shared" si="4447"/>
        <v>0</v>
      </c>
      <c r="BC315" s="45">
        <f t="shared" si="4447"/>
        <v>0</v>
      </c>
      <c r="BD315" s="45">
        <f t="shared" si="4447"/>
        <v>0</v>
      </c>
      <c r="BE315" s="45">
        <f t="shared" si="4447"/>
        <v>0</v>
      </c>
      <c r="BF315" s="45">
        <f t="shared" si="4447"/>
        <v>0</v>
      </c>
      <c r="BG315" s="45">
        <f t="shared" si="4447"/>
        <v>0</v>
      </c>
      <c r="BH315" s="45">
        <f t="shared" si="4447"/>
        <v>0</v>
      </c>
      <c r="BI315" s="45">
        <f t="shared" si="4447"/>
        <v>0</v>
      </c>
      <c r="BJ315" s="45">
        <f t="shared" si="4447"/>
        <v>0</v>
      </c>
      <c r="BK315" s="45">
        <f t="shared" si="4447"/>
        <v>0</v>
      </c>
      <c r="BL315" s="45">
        <f t="shared" si="4447"/>
        <v>0</v>
      </c>
      <c r="BM315" s="45">
        <f t="shared" si="4447"/>
        <v>0</v>
      </c>
      <c r="BN315" s="45">
        <f t="shared" si="4447"/>
        <v>0</v>
      </c>
      <c r="BO315" s="45">
        <f t="shared" si="4447"/>
        <v>0</v>
      </c>
      <c r="BP315" s="45">
        <f t="shared" si="4447"/>
        <v>0</v>
      </c>
      <c r="BQ315" s="45">
        <f t="shared" si="4447"/>
        <v>0</v>
      </c>
      <c r="BR315" s="45">
        <f t="shared" si="4447"/>
        <v>0</v>
      </c>
      <c r="BS315" s="45">
        <f t="shared" si="4447"/>
        <v>0</v>
      </c>
      <c r="BT315" s="45">
        <f t="shared" si="4445"/>
        <v>0</v>
      </c>
      <c r="BU315" s="45">
        <f t="shared" si="4445"/>
        <v>0</v>
      </c>
      <c r="BV315" s="45">
        <f t="shared" si="4445"/>
        <v>0</v>
      </c>
      <c r="BW315" s="45">
        <f t="shared" si="4445"/>
        <v>0</v>
      </c>
      <c r="BX315" s="45">
        <f t="shared" si="4445"/>
        <v>0</v>
      </c>
      <c r="BY315" s="45">
        <f t="shared" si="4445"/>
        <v>0</v>
      </c>
      <c r="BZ315" s="45">
        <f t="shared" si="4445"/>
        <v>0</v>
      </c>
      <c r="CA315" s="45">
        <f t="shared" si="4445"/>
        <v>0</v>
      </c>
      <c r="CB315" s="45">
        <f t="shared" si="4445"/>
        <v>0</v>
      </c>
      <c r="CC315" s="45">
        <f t="shared" si="4445"/>
        <v>0</v>
      </c>
      <c r="CD315" s="45">
        <f t="shared" si="4445"/>
        <v>0</v>
      </c>
      <c r="CE315" s="45">
        <f t="shared" si="4445"/>
        <v>0</v>
      </c>
      <c r="CF315" s="45">
        <f t="shared" si="4445"/>
        <v>0</v>
      </c>
      <c r="CG315" s="45">
        <f t="shared" si="4445"/>
        <v>0</v>
      </c>
      <c r="CH315" s="45">
        <f t="shared" si="4445"/>
        <v>0</v>
      </c>
      <c r="CI315" s="45">
        <f t="shared" si="4445"/>
        <v>0</v>
      </c>
      <c r="CJ315" s="45">
        <f t="shared" si="4445"/>
        <v>0</v>
      </c>
      <c r="CK315" s="45">
        <f t="shared" si="4445"/>
        <v>0</v>
      </c>
      <c r="CL315" s="45">
        <f t="shared" si="4445"/>
        <v>0</v>
      </c>
      <c r="CM315" s="45">
        <f t="shared" si="4445"/>
        <v>0</v>
      </c>
      <c r="CN315" s="45">
        <f t="shared" si="4445"/>
        <v>0</v>
      </c>
      <c r="CO315" s="45">
        <f t="shared" si="4445"/>
        <v>0</v>
      </c>
      <c r="CP315" s="45">
        <f t="shared" si="4445"/>
        <v>0</v>
      </c>
      <c r="CQ315" s="45">
        <f t="shared" si="4445"/>
        <v>0</v>
      </c>
      <c r="CR315" s="45">
        <f t="shared" si="4445"/>
        <v>0</v>
      </c>
      <c r="CS315" s="45">
        <f t="shared" si="4445"/>
        <v>0</v>
      </c>
      <c r="CT315" s="45">
        <f t="shared" si="4445"/>
        <v>0</v>
      </c>
      <c r="CU315" s="45">
        <f t="shared" si="4445"/>
        <v>0</v>
      </c>
      <c r="CV315" s="45">
        <f t="shared" si="4445"/>
        <v>0</v>
      </c>
      <c r="CW315" s="45">
        <f t="shared" si="4445"/>
        <v>0</v>
      </c>
      <c r="CX315" s="45">
        <f t="shared" si="4445"/>
        <v>0</v>
      </c>
      <c r="CY315" s="45">
        <f t="shared" si="4445"/>
        <v>0</v>
      </c>
      <c r="CZ315" s="45">
        <f t="shared" si="4445"/>
        <v>0</v>
      </c>
      <c r="DA315" s="45">
        <f t="shared" si="4445"/>
        <v>0</v>
      </c>
      <c r="DB315" s="45">
        <f t="shared" si="4445"/>
        <v>0</v>
      </c>
      <c r="DC315" s="45">
        <f t="shared" si="4445"/>
        <v>0</v>
      </c>
    </row>
    <row r="316" spans="3:107" x14ac:dyDescent="0.3">
      <c r="C316" s="101" t="str">
        <f>++C$22</f>
        <v>Other Operating Expense (Income)</v>
      </c>
      <c r="G316" s="374">
        <f>++(G307-G317)-SUM(G311:G315)</f>
        <v>0</v>
      </c>
      <c r="H316" s="200">
        <f t="shared" ref="H316:BS316" si="4448">++(H307-H317)-SUM(H311:H315)</f>
        <v>0</v>
      </c>
      <c r="I316" s="200">
        <f t="shared" si="4448"/>
        <v>0</v>
      </c>
      <c r="J316" s="200">
        <f t="shared" si="4448"/>
        <v>0</v>
      </c>
      <c r="K316" s="374">
        <f t="shared" si="4448"/>
        <v>0</v>
      </c>
      <c r="L316" s="200">
        <f t="shared" si="4448"/>
        <v>0</v>
      </c>
      <c r="M316" s="200">
        <f t="shared" si="4448"/>
        <v>0</v>
      </c>
      <c r="N316" s="200">
        <f t="shared" si="4448"/>
        <v>0</v>
      </c>
      <c r="O316" s="200">
        <f t="shared" si="4448"/>
        <v>0</v>
      </c>
      <c r="P316" s="200">
        <f t="shared" si="4448"/>
        <v>0</v>
      </c>
      <c r="Q316" s="200">
        <f t="shared" si="4448"/>
        <v>0</v>
      </c>
      <c r="R316" s="200">
        <f t="shared" si="4448"/>
        <v>0</v>
      </c>
      <c r="S316" s="200">
        <f t="shared" si="4448"/>
        <v>0</v>
      </c>
      <c r="T316" s="200">
        <f t="shared" si="4448"/>
        <v>0</v>
      </c>
      <c r="U316" s="200">
        <f t="shared" si="4448"/>
        <v>0</v>
      </c>
      <c r="V316" s="200">
        <f t="shared" si="4448"/>
        <v>0</v>
      </c>
      <c r="W316" s="374">
        <f t="shared" si="4448"/>
        <v>0</v>
      </c>
      <c r="X316" s="200">
        <f t="shared" si="4448"/>
        <v>0</v>
      </c>
      <c r="Y316" s="200">
        <f t="shared" si="4448"/>
        <v>0</v>
      </c>
      <c r="Z316" s="200">
        <f t="shared" si="4448"/>
        <v>0</v>
      </c>
      <c r="AA316" s="200">
        <f t="shared" si="4448"/>
        <v>0</v>
      </c>
      <c r="AB316" s="200">
        <f t="shared" si="4448"/>
        <v>0</v>
      </c>
      <c r="AC316" s="200">
        <f t="shared" si="4448"/>
        <v>0</v>
      </c>
      <c r="AD316" s="200">
        <f t="shared" si="4448"/>
        <v>0</v>
      </c>
      <c r="AE316" s="200">
        <f t="shared" si="4448"/>
        <v>0</v>
      </c>
      <c r="AF316" s="200">
        <f t="shared" si="4448"/>
        <v>0</v>
      </c>
      <c r="AG316" s="200">
        <f t="shared" si="4448"/>
        <v>0</v>
      </c>
      <c r="AH316" s="200">
        <f t="shared" si="4448"/>
        <v>0</v>
      </c>
      <c r="AI316" s="374">
        <f t="shared" si="4448"/>
        <v>0</v>
      </c>
      <c r="AJ316" s="200">
        <f t="shared" si="4448"/>
        <v>0</v>
      </c>
      <c r="AK316" s="200">
        <f t="shared" si="4448"/>
        <v>0</v>
      </c>
      <c r="AL316" s="200">
        <f t="shared" si="4448"/>
        <v>0</v>
      </c>
      <c r="AM316" s="200">
        <f t="shared" si="4448"/>
        <v>0</v>
      </c>
      <c r="AN316" s="200">
        <f t="shared" si="4448"/>
        <v>0</v>
      </c>
      <c r="AO316" s="200">
        <f t="shared" si="4448"/>
        <v>0</v>
      </c>
      <c r="AP316" s="200">
        <f t="shared" si="4448"/>
        <v>0</v>
      </c>
      <c r="AQ316" s="200">
        <f t="shared" si="4448"/>
        <v>0</v>
      </c>
      <c r="AR316" s="200">
        <f t="shared" si="4448"/>
        <v>0</v>
      </c>
      <c r="AS316" s="200">
        <f t="shared" si="4448"/>
        <v>0</v>
      </c>
      <c r="AT316" s="200">
        <f t="shared" si="4448"/>
        <v>0</v>
      </c>
      <c r="AU316" s="374">
        <f t="shared" si="4448"/>
        <v>0</v>
      </c>
      <c r="AV316" s="200">
        <f t="shared" si="4448"/>
        <v>0</v>
      </c>
      <c r="AW316" s="200">
        <f t="shared" si="4448"/>
        <v>0</v>
      </c>
      <c r="AX316" s="200">
        <f t="shared" si="4448"/>
        <v>0</v>
      </c>
      <c r="AY316" s="200">
        <f t="shared" si="4448"/>
        <v>0</v>
      </c>
      <c r="AZ316" s="200">
        <f t="shared" si="4448"/>
        <v>0</v>
      </c>
      <c r="BA316" s="200">
        <f t="shared" si="4448"/>
        <v>0</v>
      </c>
      <c r="BB316" s="200">
        <f t="shared" si="4448"/>
        <v>0</v>
      </c>
      <c r="BC316" s="200">
        <f t="shared" si="4448"/>
        <v>0</v>
      </c>
      <c r="BD316" s="200">
        <f t="shared" si="4448"/>
        <v>0</v>
      </c>
      <c r="BE316" s="200">
        <f t="shared" si="4448"/>
        <v>0</v>
      </c>
      <c r="BF316" s="200">
        <f t="shared" si="4448"/>
        <v>0</v>
      </c>
      <c r="BG316" s="374">
        <f t="shared" si="4448"/>
        <v>0</v>
      </c>
      <c r="BH316" s="200">
        <f t="shared" si="4448"/>
        <v>0</v>
      </c>
      <c r="BI316" s="200">
        <f t="shared" si="4448"/>
        <v>0</v>
      </c>
      <c r="BJ316" s="200">
        <f t="shared" si="4448"/>
        <v>0</v>
      </c>
      <c r="BK316" s="200">
        <f t="shared" si="4448"/>
        <v>0</v>
      </c>
      <c r="BL316" s="200">
        <f t="shared" si="4448"/>
        <v>0</v>
      </c>
      <c r="BM316" s="200">
        <f t="shared" si="4448"/>
        <v>0</v>
      </c>
      <c r="BN316" s="200">
        <f t="shared" si="4448"/>
        <v>0</v>
      </c>
      <c r="BO316" s="200">
        <f t="shared" si="4448"/>
        <v>0</v>
      </c>
      <c r="BP316" s="200">
        <f t="shared" si="4448"/>
        <v>0</v>
      </c>
      <c r="BQ316" s="200">
        <f t="shared" si="4448"/>
        <v>0</v>
      </c>
      <c r="BR316" s="200">
        <f t="shared" si="4448"/>
        <v>0</v>
      </c>
      <c r="BS316" s="374">
        <f t="shared" si="4448"/>
        <v>0</v>
      </c>
      <c r="BT316" s="200">
        <f t="shared" ref="BT316:DC316" si="4449">++(BT307-BT317)-SUM(BT311:BT315)</f>
        <v>0</v>
      </c>
      <c r="BU316" s="200">
        <f t="shared" si="4449"/>
        <v>0</v>
      </c>
      <c r="BV316" s="200">
        <f t="shared" si="4449"/>
        <v>0</v>
      </c>
      <c r="BW316" s="200">
        <f t="shared" si="4449"/>
        <v>0</v>
      </c>
      <c r="BX316" s="200">
        <f t="shared" si="4449"/>
        <v>0</v>
      </c>
      <c r="BY316" s="200">
        <f t="shared" si="4449"/>
        <v>0</v>
      </c>
      <c r="BZ316" s="200">
        <f t="shared" si="4449"/>
        <v>0</v>
      </c>
      <c r="CA316" s="200">
        <f t="shared" si="4449"/>
        <v>0</v>
      </c>
      <c r="CB316" s="200">
        <f t="shared" si="4449"/>
        <v>0</v>
      </c>
      <c r="CC316" s="200">
        <f t="shared" si="4449"/>
        <v>0</v>
      </c>
      <c r="CD316" s="200">
        <f t="shared" si="4449"/>
        <v>0</v>
      </c>
      <c r="CE316" s="374">
        <f t="shared" si="4449"/>
        <v>0</v>
      </c>
      <c r="CF316" s="200">
        <f t="shared" si="4449"/>
        <v>0</v>
      </c>
      <c r="CG316" s="200">
        <f t="shared" si="4449"/>
        <v>0</v>
      </c>
      <c r="CH316" s="200">
        <f t="shared" si="4449"/>
        <v>0</v>
      </c>
      <c r="CI316" s="200">
        <f t="shared" si="4449"/>
        <v>0</v>
      </c>
      <c r="CJ316" s="200">
        <f t="shared" si="4449"/>
        <v>0</v>
      </c>
      <c r="CK316" s="200">
        <f t="shared" si="4449"/>
        <v>0</v>
      </c>
      <c r="CL316" s="200">
        <f t="shared" si="4449"/>
        <v>0</v>
      </c>
      <c r="CM316" s="200">
        <f t="shared" si="4449"/>
        <v>0</v>
      </c>
      <c r="CN316" s="200">
        <f t="shared" si="4449"/>
        <v>0</v>
      </c>
      <c r="CO316" s="200">
        <f t="shared" si="4449"/>
        <v>0</v>
      </c>
      <c r="CP316" s="200">
        <f t="shared" si="4449"/>
        <v>0</v>
      </c>
      <c r="CQ316" s="374">
        <f t="shared" si="4449"/>
        <v>0</v>
      </c>
      <c r="CR316" s="200">
        <f t="shared" si="4449"/>
        <v>0</v>
      </c>
      <c r="CS316" s="200">
        <f t="shared" si="4449"/>
        <v>0</v>
      </c>
      <c r="CT316" s="200">
        <f t="shared" si="4449"/>
        <v>0</v>
      </c>
      <c r="CU316" s="200">
        <f t="shared" si="4449"/>
        <v>0</v>
      </c>
      <c r="CV316" s="200">
        <f t="shared" si="4449"/>
        <v>0</v>
      </c>
      <c r="CW316" s="200">
        <f t="shared" si="4449"/>
        <v>0</v>
      </c>
      <c r="CX316" s="200">
        <f t="shared" si="4449"/>
        <v>0</v>
      </c>
      <c r="CY316" s="200">
        <f t="shared" si="4449"/>
        <v>0</v>
      </c>
      <c r="CZ316" s="200">
        <f t="shared" si="4449"/>
        <v>0</v>
      </c>
      <c r="DA316" s="200">
        <f t="shared" si="4449"/>
        <v>0</v>
      </c>
      <c r="DB316" s="200">
        <f t="shared" si="4449"/>
        <v>0</v>
      </c>
      <c r="DC316" s="374">
        <f t="shared" si="4449"/>
        <v>0</v>
      </c>
    </row>
    <row r="317" spans="3:107" x14ac:dyDescent="0.3">
      <c r="C317" s="231" t="str">
        <f>++C$23</f>
        <v>Operating Income (Loss)</v>
      </c>
      <c r="D317" s="191"/>
      <c r="E317" s="191"/>
      <c r="G317" s="239">
        <f>++SUM(G321:G323)</f>
        <v>0</v>
      </c>
      <c r="H317" s="232">
        <f t="shared" ref="H317:BS317" si="4450">++SUM(H321:H323)</f>
        <v>0</v>
      </c>
      <c r="I317" s="232">
        <f t="shared" si="4450"/>
        <v>0</v>
      </c>
      <c r="J317" s="232">
        <f t="shared" si="4450"/>
        <v>0</v>
      </c>
      <c r="K317" s="239">
        <f t="shared" si="4450"/>
        <v>0</v>
      </c>
      <c r="L317" s="232">
        <f t="shared" si="4450"/>
        <v>0</v>
      </c>
      <c r="M317" s="232">
        <f t="shared" si="4450"/>
        <v>0</v>
      </c>
      <c r="N317" s="232">
        <f t="shared" si="4450"/>
        <v>0</v>
      </c>
      <c r="O317" s="232">
        <f t="shared" si="4450"/>
        <v>0</v>
      </c>
      <c r="P317" s="232">
        <f t="shared" si="4450"/>
        <v>0</v>
      </c>
      <c r="Q317" s="232">
        <f t="shared" si="4450"/>
        <v>0</v>
      </c>
      <c r="R317" s="232">
        <f t="shared" si="4450"/>
        <v>0</v>
      </c>
      <c r="S317" s="232">
        <f t="shared" si="4450"/>
        <v>0</v>
      </c>
      <c r="T317" s="232">
        <f t="shared" si="4450"/>
        <v>0</v>
      </c>
      <c r="U317" s="232">
        <f t="shared" si="4450"/>
        <v>0</v>
      </c>
      <c r="V317" s="232">
        <f t="shared" si="4450"/>
        <v>0</v>
      </c>
      <c r="W317" s="239">
        <f t="shared" si="4450"/>
        <v>0</v>
      </c>
      <c r="X317" s="232">
        <f t="shared" si="4450"/>
        <v>0</v>
      </c>
      <c r="Y317" s="232">
        <f t="shared" si="4450"/>
        <v>0</v>
      </c>
      <c r="Z317" s="232">
        <f t="shared" si="4450"/>
        <v>0</v>
      </c>
      <c r="AA317" s="232">
        <f t="shared" si="4450"/>
        <v>0</v>
      </c>
      <c r="AB317" s="232">
        <f t="shared" si="4450"/>
        <v>0</v>
      </c>
      <c r="AC317" s="232">
        <f t="shared" si="4450"/>
        <v>0</v>
      </c>
      <c r="AD317" s="232">
        <f t="shared" si="4450"/>
        <v>0</v>
      </c>
      <c r="AE317" s="232">
        <f t="shared" si="4450"/>
        <v>0</v>
      </c>
      <c r="AF317" s="232">
        <f t="shared" si="4450"/>
        <v>0</v>
      </c>
      <c r="AG317" s="232">
        <f t="shared" si="4450"/>
        <v>0</v>
      </c>
      <c r="AH317" s="232">
        <f t="shared" si="4450"/>
        <v>0</v>
      </c>
      <c r="AI317" s="239">
        <f t="shared" si="4450"/>
        <v>0</v>
      </c>
      <c r="AJ317" s="232">
        <f t="shared" si="4450"/>
        <v>0</v>
      </c>
      <c r="AK317" s="232">
        <f t="shared" si="4450"/>
        <v>0</v>
      </c>
      <c r="AL317" s="232">
        <f t="shared" si="4450"/>
        <v>0</v>
      </c>
      <c r="AM317" s="232">
        <f t="shared" si="4450"/>
        <v>0</v>
      </c>
      <c r="AN317" s="232">
        <f t="shared" si="4450"/>
        <v>0</v>
      </c>
      <c r="AO317" s="232">
        <f t="shared" si="4450"/>
        <v>0</v>
      </c>
      <c r="AP317" s="232">
        <f t="shared" si="4450"/>
        <v>0</v>
      </c>
      <c r="AQ317" s="232">
        <f t="shared" si="4450"/>
        <v>0</v>
      </c>
      <c r="AR317" s="232">
        <f t="shared" si="4450"/>
        <v>0</v>
      </c>
      <c r="AS317" s="232">
        <f t="shared" si="4450"/>
        <v>0</v>
      </c>
      <c r="AT317" s="232">
        <f t="shared" si="4450"/>
        <v>0</v>
      </c>
      <c r="AU317" s="239">
        <f t="shared" si="4450"/>
        <v>0</v>
      </c>
      <c r="AV317" s="232">
        <f t="shared" si="4450"/>
        <v>0</v>
      </c>
      <c r="AW317" s="232">
        <f t="shared" si="4450"/>
        <v>0</v>
      </c>
      <c r="AX317" s="232">
        <f t="shared" si="4450"/>
        <v>0</v>
      </c>
      <c r="AY317" s="232">
        <f t="shared" si="4450"/>
        <v>0</v>
      </c>
      <c r="AZ317" s="232">
        <f t="shared" si="4450"/>
        <v>0</v>
      </c>
      <c r="BA317" s="232">
        <f t="shared" si="4450"/>
        <v>0</v>
      </c>
      <c r="BB317" s="232">
        <f t="shared" si="4450"/>
        <v>0</v>
      </c>
      <c r="BC317" s="232">
        <f t="shared" si="4450"/>
        <v>0</v>
      </c>
      <c r="BD317" s="232">
        <f t="shared" si="4450"/>
        <v>0</v>
      </c>
      <c r="BE317" s="232">
        <f t="shared" si="4450"/>
        <v>0</v>
      </c>
      <c r="BF317" s="232">
        <f t="shared" si="4450"/>
        <v>0</v>
      </c>
      <c r="BG317" s="239">
        <f t="shared" si="4450"/>
        <v>0</v>
      </c>
      <c r="BH317" s="232">
        <f t="shared" si="4450"/>
        <v>0</v>
      </c>
      <c r="BI317" s="232">
        <f t="shared" si="4450"/>
        <v>0</v>
      </c>
      <c r="BJ317" s="232">
        <f t="shared" si="4450"/>
        <v>0</v>
      </c>
      <c r="BK317" s="232">
        <f t="shared" si="4450"/>
        <v>0</v>
      </c>
      <c r="BL317" s="232">
        <f t="shared" si="4450"/>
        <v>0</v>
      </c>
      <c r="BM317" s="232">
        <f t="shared" si="4450"/>
        <v>0</v>
      </c>
      <c r="BN317" s="232">
        <f t="shared" si="4450"/>
        <v>0</v>
      </c>
      <c r="BO317" s="232">
        <f t="shared" si="4450"/>
        <v>0</v>
      </c>
      <c r="BP317" s="232">
        <f t="shared" si="4450"/>
        <v>0</v>
      </c>
      <c r="BQ317" s="232">
        <f t="shared" si="4450"/>
        <v>0</v>
      </c>
      <c r="BR317" s="232">
        <f t="shared" si="4450"/>
        <v>0</v>
      </c>
      <c r="BS317" s="239">
        <f t="shared" si="4450"/>
        <v>0</v>
      </c>
      <c r="BT317" s="232">
        <f t="shared" ref="BT317:DC317" si="4451">++SUM(BT321:BT323)</f>
        <v>0</v>
      </c>
      <c r="BU317" s="232">
        <f t="shared" si="4451"/>
        <v>0</v>
      </c>
      <c r="BV317" s="232">
        <f t="shared" si="4451"/>
        <v>0</v>
      </c>
      <c r="BW317" s="232">
        <f t="shared" si="4451"/>
        <v>0</v>
      </c>
      <c r="BX317" s="232">
        <f t="shared" si="4451"/>
        <v>0</v>
      </c>
      <c r="BY317" s="232">
        <f t="shared" si="4451"/>
        <v>0</v>
      </c>
      <c r="BZ317" s="232">
        <f t="shared" si="4451"/>
        <v>0</v>
      </c>
      <c r="CA317" s="232">
        <f t="shared" si="4451"/>
        <v>0</v>
      </c>
      <c r="CB317" s="232">
        <f t="shared" si="4451"/>
        <v>0</v>
      </c>
      <c r="CC317" s="232">
        <f t="shared" si="4451"/>
        <v>0</v>
      </c>
      <c r="CD317" s="232">
        <f t="shared" si="4451"/>
        <v>0</v>
      </c>
      <c r="CE317" s="239">
        <f t="shared" si="4451"/>
        <v>0</v>
      </c>
      <c r="CF317" s="232">
        <f t="shared" si="4451"/>
        <v>0</v>
      </c>
      <c r="CG317" s="232">
        <f t="shared" si="4451"/>
        <v>0</v>
      </c>
      <c r="CH317" s="232">
        <f t="shared" si="4451"/>
        <v>0</v>
      </c>
      <c r="CI317" s="232">
        <f t="shared" si="4451"/>
        <v>0</v>
      </c>
      <c r="CJ317" s="232">
        <f t="shared" si="4451"/>
        <v>0</v>
      </c>
      <c r="CK317" s="232">
        <f t="shared" si="4451"/>
        <v>0</v>
      </c>
      <c r="CL317" s="232">
        <f t="shared" si="4451"/>
        <v>0</v>
      </c>
      <c r="CM317" s="232">
        <f t="shared" si="4451"/>
        <v>0</v>
      </c>
      <c r="CN317" s="232">
        <f t="shared" si="4451"/>
        <v>0</v>
      </c>
      <c r="CO317" s="232">
        <f t="shared" si="4451"/>
        <v>0</v>
      </c>
      <c r="CP317" s="232">
        <f t="shared" si="4451"/>
        <v>0</v>
      </c>
      <c r="CQ317" s="239">
        <f t="shared" si="4451"/>
        <v>0</v>
      </c>
      <c r="CR317" s="232">
        <f t="shared" si="4451"/>
        <v>0</v>
      </c>
      <c r="CS317" s="232">
        <f t="shared" si="4451"/>
        <v>0</v>
      </c>
      <c r="CT317" s="232">
        <f t="shared" si="4451"/>
        <v>0</v>
      </c>
      <c r="CU317" s="232">
        <f t="shared" si="4451"/>
        <v>0</v>
      </c>
      <c r="CV317" s="232">
        <f t="shared" si="4451"/>
        <v>0</v>
      </c>
      <c r="CW317" s="232">
        <f t="shared" si="4451"/>
        <v>0</v>
      </c>
      <c r="CX317" s="232">
        <f t="shared" si="4451"/>
        <v>0</v>
      </c>
      <c r="CY317" s="232">
        <f t="shared" si="4451"/>
        <v>0</v>
      </c>
      <c r="CZ317" s="232">
        <f t="shared" si="4451"/>
        <v>0</v>
      </c>
      <c r="DA317" s="232">
        <f t="shared" si="4451"/>
        <v>0</v>
      </c>
      <c r="DB317" s="232">
        <f t="shared" si="4451"/>
        <v>0</v>
      </c>
      <c r="DC317" s="239">
        <f t="shared" si="4451"/>
        <v>0</v>
      </c>
    </row>
    <row r="318" spans="3:107" x14ac:dyDescent="0.3">
      <c r="C318" s="321" t="str">
        <f>++C$24</f>
        <v>% margin</v>
      </c>
      <c r="G318" s="214" t="str">
        <f>++IFERROR(G317/G304,"n/a")</f>
        <v>n/a</v>
      </c>
      <c r="H318" s="225" t="str">
        <f t="shared" ref="H318" si="4452">++IFERROR(H317/H304,"n/a")</f>
        <v>n/a</v>
      </c>
      <c r="I318" s="225" t="str">
        <f t="shared" ref="I318" si="4453">++IFERROR(I317/I304,"n/a")</f>
        <v>n/a</v>
      </c>
      <c r="J318" s="225" t="str">
        <f t="shared" ref="J318" si="4454">++IFERROR(J317/J304,"n/a")</f>
        <v>n/a</v>
      </c>
      <c r="K318" s="214" t="str">
        <f t="shared" ref="K318" si="4455">++IFERROR(K317/K304,"n/a")</f>
        <v>n/a</v>
      </c>
      <c r="L318" s="225" t="str">
        <f t="shared" ref="L318" si="4456">++IFERROR(L317/L304,"n/a")</f>
        <v>n/a</v>
      </c>
      <c r="M318" s="225" t="str">
        <f t="shared" ref="M318" si="4457">++IFERROR(M317/M304,"n/a")</f>
        <v>n/a</v>
      </c>
      <c r="N318" s="225" t="str">
        <f t="shared" ref="N318" si="4458">++IFERROR(N317/N304,"n/a")</f>
        <v>n/a</v>
      </c>
      <c r="O318" s="225" t="str">
        <f t="shared" ref="O318" si="4459">++IFERROR(O317/O304,"n/a")</f>
        <v>n/a</v>
      </c>
      <c r="P318" s="225" t="str">
        <f t="shared" ref="P318" si="4460">++IFERROR(P317/P304,"n/a")</f>
        <v>n/a</v>
      </c>
      <c r="Q318" s="225" t="str">
        <f t="shared" ref="Q318" si="4461">++IFERROR(Q317/Q304,"n/a")</f>
        <v>n/a</v>
      </c>
      <c r="R318" s="225" t="str">
        <f t="shared" ref="R318" si="4462">++IFERROR(R317/R304,"n/a")</f>
        <v>n/a</v>
      </c>
      <c r="S318" s="225" t="str">
        <f t="shared" ref="S318" si="4463">++IFERROR(S317/S304,"n/a")</f>
        <v>n/a</v>
      </c>
      <c r="T318" s="225" t="str">
        <f t="shared" ref="T318" si="4464">++IFERROR(T317/T304,"n/a")</f>
        <v>n/a</v>
      </c>
      <c r="U318" s="225" t="str">
        <f t="shared" ref="U318" si="4465">++IFERROR(U317/U304,"n/a")</f>
        <v>n/a</v>
      </c>
      <c r="V318" s="225" t="str">
        <f t="shared" ref="V318" si="4466">++IFERROR(V317/V304,"n/a")</f>
        <v>n/a</v>
      </c>
      <c r="W318" s="214" t="str">
        <f t="shared" ref="W318" si="4467">++IFERROR(W317/W304,"n/a")</f>
        <v>n/a</v>
      </c>
      <c r="X318" s="225" t="str">
        <f t="shared" ref="X318" si="4468">++IFERROR(X317/X304,"n/a")</f>
        <v>n/a</v>
      </c>
      <c r="Y318" s="225" t="str">
        <f t="shared" ref="Y318" si="4469">++IFERROR(Y317/Y304,"n/a")</f>
        <v>n/a</v>
      </c>
      <c r="Z318" s="225" t="str">
        <f t="shared" ref="Z318" si="4470">++IFERROR(Z317/Z304,"n/a")</f>
        <v>n/a</v>
      </c>
      <c r="AA318" s="225" t="str">
        <f t="shared" ref="AA318" si="4471">++IFERROR(AA317/AA304,"n/a")</f>
        <v>n/a</v>
      </c>
      <c r="AB318" s="225" t="str">
        <f t="shared" ref="AB318" si="4472">++IFERROR(AB317/AB304,"n/a")</f>
        <v>n/a</v>
      </c>
      <c r="AC318" s="225" t="str">
        <f t="shared" ref="AC318" si="4473">++IFERROR(AC317/AC304,"n/a")</f>
        <v>n/a</v>
      </c>
      <c r="AD318" s="225" t="str">
        <f t="shared" ref="AD318" si="4474">++IFERROR(AD317/AD304,"n/a")</f>
        <v>n/a</v>
      </c>
      <c r="AE318" s="225" t="str">
        <f t="shared" ref="AE318" si="4475">++IFERROR(AE317/AE304,"n/a")</f>
        <v>n/a</v>
      </c>
      <c r="AF318" s="225" t="str">
        <f t="shared" ref="AF318" si="4476">++IFERROR(AF317/AF304,"n/a")</f>
        <v>n/a</v>
      </c>
      <c r="AG318" s="225" t="str">
        <f t="shared" ref="AG318" si="4477">++IFERROR(AG317/AG304,"n/a")</f>
        <v>n/a</v>
      </c>
      <c r="AH318" s="225" t="str">
        <f t="shared" ref="AH318" si="4478">++IFERROR(AH317/AH304,"n/a")</f>
        <v>n/a</v>
      </c>
      <c r="AI318" s="214" t="str">
        <f t="shared" ref="AI318" si="4479">++IFERROR(AI317/AI304,"n/a")</f>
        <v>n/a</v>
      </c>
      <c r="AJ318" s="225" t="str">
        <f t="shared" ref="AJ318" si="4480">++IFERROR(AJ317/AJ304,"n/a")</f>
        <v>n/a</v>
      </c>
      <c r="AK318" s="225" t="str">
        <f t="shared" ref="AK318" si="4481">++IFERROR(AK317/AK304,"n/a")</f>
        <v>n/a</v>
      </c>
      <c r="AL318" s="225" t="str">
        <f t="shared" ref="AL318" si="4482">++IFERROR(AL317/AL304,"n/a")</f>
        <v>n/a</v>
      </c>
      <c r="AM318" s="225" t="str">
        <f t="shared" ref="AM318" si="4483">++IFERROR(AM317/AM304,"n/a")</f>
        <v>n/a</v>
      </c>
      <c r="AN318" s="225" t="str">
        <f t="shared" ref="AN318" si="4484">++IFERROR(AN317/AN304,"n/a")</f>
        <v>n/a</v>
      </c>
      <c r="AO318" s="225" t="str">
        <f t="shared" ref="AO318" si="4485">++IFERROR(AO317/AO304,"n/a")</f>
        <v>n/a</v>
      </c>
      <c r="AP318" s="225" t="str">
        <f t="shared" ref="AP318" si="4486">++IFERROR(AP317/AP304,"n/a")</f>
        <v>n/a</v>
      </c>
      <c r="AQ318" s="225" t="str">
        <f t="shared" ref="AQ318" si="4487">++IFERROR(AQ317/AQ304,"n/a")</f>
        <v>n/a</v>
      </c>
      <c r="AR318" s="225" t="str">
        <f t="shared" ref="AR318" si="4488">++IFERROR(AR317/AR304,"n/a")</f>
        <v>n/a</v>
      </c>
      <c r="AS318" s="225" t="str">
        <f t="shared" ref="AS318" si="4489">++IFERROR(AS317/AS304,"n/a")</f>
        <v>n/a</v>
      </c>
      <c r="AT318" s="225" t="str">
        <f t="shared" ref="AT318" si="4490">++IFERROR(AT317/AT304,"n/a")</f>
        <v>n/a</v>
      </c>
      <c r="AU318" s="214" t="str">
        <f t="shared" ref="AU318" si="4491">++IFERROR(AU317/AU304,"n/a")</f>
        <v>n/a</v>
      </c>
      <c r="AV318" s="225" t="str">
        <f t="shared" ref="AV318" si="4492">++IFERROR(AV317/AV304,"n/a")</f>
        <v>n/a</v>
      </c>
      <c r="AW318" s="225" t="str">
        <f t="shared" ref="AW318" si="4493">++IFERROR(AW317/AW304,"n/a")</f>
        <v>n/a</v>
      </c>
      <c r="AX318" s="225" t="str">
        <f t="shared" ref="AX318" si="4494">++IFERROR(AX317/AX304,"n/a")</f>
        <v>n/a</v>
      </c>
      <c r="AY318" s="225" t="str">
        <f t="shared" ref="AY318" si="4495">++IFERROR(AY317/AY304,"n/a")</f>
        <v>n/a</v>
      </c>
      <c r="AZ318" s="225" t="str">
        <f t="shared" ref="AZ318" si="4496">++IFERROR(AZ317/AZ304,"n/a")</f>
        <v>n/a</v>
      </c>
      <c r="BA318" s="225" t="str">
        <f t="shared" ref="BA318" si="4497">++IFERROR(BA317/BA304,"n/a")</f>
        <v>n/a</v>
      </c>
      <c r="BB318" s="225" t="str">
        <f t="shared" ref="BB318" si="4498">++IFERROR(BB317/BB304,"n/a")</f>
        <v>n/a</v>
      </c>
      <c r="BC318" s="225" t="str">
        <f t="shared" ref="BC318" si="4499">++IFERROR(BC317/BC304,"n/a")</f>
        <v>n/a</v>
      </c>
      <c r="BD318" s="225" t="str">
        <f t="shared" ref="BD318" si="4500">++IFERROR(BD317/BD304,"n/a")</f>
        <v>n/a</v>
      </c>
      <c r="BE318" s="225" t="str">
        <f t="shared" ref="BE318" si="4501">++IFERROR(BE317/BE304,"n/a")</f>
        <v>n/a</v>
      </c>
      <c r="BF318" s="225" t="str">
        <f t="shared" ref="BF318" si="4502">++IFERROR(BF317/BF304,"n/a")</f>
        <v>n/a</v>
      </c>
      <c r="BG318" s="214" t="str">
        <f t="shared" ref="BG318" si="4503">++IFERROR(BG317/BG304,"n/a")</f>
        <v>n/a</v>
      </c>
      <c r="BH318" s="225" t="str">
        <f t="shared" ref="BH318" si="4504">++IFERROR(BH317/BH304,"n/a")</f>
        <v>n/a</v>
      </c>
      <c r="BI318" s="225" t="str">
        <f t="shared" ref="BI318" si="4505">++IFERROR(BI317/BI304,"n/a")</f>
        <v>n/a</v>
      </c>
      <c r="BJ318" s="225" t="str">
        <f t="shared" ref="BJ318" si="4506">++IFERROR(BJ317/BJ304,"n/a")</f>
        <v>n/a</v>
      </c>
      <c r="BK318" s="225" t="str">
        <f t="shared" ref="BK318" si="4507">++IFERROR(BK317/BK304,"n/a")</f>
        <v>n/a</v>
      </c>
      <c r="BL318" s="225" t="str">
        <f t="shared" ref="BL318" si="4508">++IFERROR(BL317/BL304,"n/a")</f>
        <v>n/a</v>
      </c>
      <c r="BM318" s="225" t="str">
        <f t="shared" ref="BM318" si="4509">++IFERROR(BM317/BM304,"n/a")</f>
        <v>n/a</v>
      </c>
      <c r="BN318" s="225" t="str">
        <f t="shared" ref="BN318" si="4510">++IFERROR(BN317/BN304,"n/a")</f>
        <v>n/a</v>
      </c>
      <c r="BO318" s="225" t="str">
        <f t="shared" ref="BO318" si="4511">++IFERROR(BO317/BO304,"n/a")</f>
        <v>n/a</v>
      </c>
      <c r="BP318" s="225" t="str">
        <f t="shared" ref="BP318" si="4512">++IFERROR(BP317/BP304,"n/a")</f>
        <v>n/a</v>
      </c>
      <c r="BQ318" s="225" t="str">
        <f t="shared" ref="BQ318" si="4513">++IFERROR(BQ317/BQ304,"n/a")</f>
        <v>n/a</v>
      </c>
      <c r="BR318" s="225" t="str">
        <f t="shared" ref="BR318" si="4514">++IFERROR(BR317/BR304,"n/a")</f>
        <v>n/a</v>
      </c>
      <c r="BS318" s="214" t="str">
        <f t="shared" ref="BS318" si="4515">++IFERROR(BS317/BS304,"n/a")</f>
        <v>n/a</v>
      </c>
      <c r="BT318" s="225" t="str">
        <f t="shared" ref="BT318" si="4516">++IFERROR(BT317/BT304,"n/a")</f>
        <v>n/a</v>
      </c>
      <c r="BU318" s="225" t="str">
        <f t="shared" ref="BU318" si="4517">++IFERROR(BU317/BU304,"n/a")</f>
        <v>n/a</v>
      </c>
      <c r="BV318" s="225" t="str">
        <f t="shared" ref="BV318" si="4518">++IFERROR(BV317/BV304,"n/a")</f>
        <v>n/a</v>
      </c>
      <c r="BW318" s="225" t="str">
        <f t="shared" ref="BW318" si="4519">++IFERROR(BW317/BW304,"n/a")</f>
        <v>n/a</v>
      </c>
      <c r="BX318" s="225" t="str">
        <f t="shared" ref="BX318" si="4520">++IFERROR(BX317/BX304,"n/a")</f>
        <v>n/a</v>
      </c>
      <c r="BY318" s="225" t="str">
        <f t="shared" ref="BY318" si="4521">++IFERROR(BY317/BY304,"n/a")</f>
        <v>n/a</v>
      </c>
      <c r="BZ318" s="225" t="str">
        <f t="shared" ref="BZ318" si="4522">++IFERROR(BZ317/BZ304,"n/a")</f>
        <v>n/a</v>
      </c>
      <c r="CA318" s="225" t="str">
        <f t="shared" ref="CA318" si="4523">++IFERROR(CA317/CA304,"n/a")</f>
        <v>n/a</v>
      </c>
      <c r="CB318" s="225" t="str">
        <f t="shared" ref="CB318" si="4524">++IFERROR(CB317/CB304,"n/a")</f>
        <v>n/a</v>
      </c>
      <c r="CC318" s="225" t="str">
        <f t="shared" ref="CC318" si="4525">++IFERROR(CC317/CC304,"n/a")</f>
        <v>n/a</v>
      </c>
      <c r="CD318" s="225" t="str">
        <f t="shared" ref="CD318" si="4526">++IFERROR(CD317/CD304,"n/a")</f>
        <v>n/a</v>
      </c>
      <c r="CE318" s="214" t="str">
        <f t="shared" ref="CE318" si="4527">++IFERROR(CE317/CE304,"n/a")</f>
        <v>n/a</v>
      </c>
      <c r="CF318" s="225" t="str">
        <f t="shared" ref="CF318" si="4528">++IFERROR(CF317/CF304,"n/a")</f>
        <v>n/a</v>
      </c>
      <c r="CG318" s="225" t="str">
        <f t="shared" ref="CG318" si="4529">++IFERROR(CG317/CG304,"n/a")</f>
        <v>n/a</v>
      </c>
      <c r="CH318" s="225" t="str">
        <f t="shared" ref="CH318" si="4530">++IFERROR(CH317/CH304,"n/a")</f>
        <v>n/a</v>
      </c>
      <c r="CI318" s="225" t="str">
        <f t="shared" ref="CI318" si="4531">++IFERROR(CI317/CI304,"n/a")</f>
        <v>n/a</v>
      </c>
      <c r="CJ318" s="225" t="str">
        <f t="shared" ref="CJ318" si="4532">++IFERROR(CJ317/CJ304,"n/a")</f>
        <v>n/a</v>
      </c>
      <c r="CK318" s="225" t="str">
        <f t="shared" ref="CK318" si="4533">++IFERROR(CK317/CK304,"n/a")</f>
        <v>n/a</v>
      </c>
      <c r="CL318" s="225" t="str">
        <f t="shared" ref="CL318" si="4534">++IFERROR(CL317/CL304,"n/a")</f>
        <v>n/a</v>
      </c>
      <c r="CM318" s="225" t="str">
        <f t="shared" ref="CM318" si="4535">++IFERROR(CM317/CM304,"n/a")</f>
        <v>n/a</v>
      </c>
      <c r="CN318" s="225" t="str">
        <f t="shared" ref="CN318" si="4536">++IFERROR(CN317/CN304,"n/a")</f>
        <v>n/a</v>
      </c>
      <c r="CO318" s="225" t="str">
        <f t="shared" ref="CO318" si="4537">++IFERROR(CO317/CO304,"n/a")</f>
        <v>n/a</v>
      </c>
      <c r="CP318" s="225" t="str">
        <f t="shared" ref="CP318" si="4538">++IFERROR(CP317/CP304,"n/a")</f>
        <v>n/a</v>
      </c>
      <c r="CQ318" s="214" t="str">
        <f t="shared" ref="CQ318" si="4539">++IFERROR(CQ317/CQ304,"n/a")</f>
        <v>n/a</v>
      </c>
      <c r="CR318" s="225" t="str">
        <f t="shared" ref="CR318" si="4540">++IFERROR(CR317/CR304,"n/a")</f>
        <v>n/a</v>
      </c>
      <c r="CS318" s="225" t="str">
        <f t="shared" ref="CS318" si="4541">++IFERROR(CS317/CS304,"n/a")</f>
        <v>n/a</v>
      </c>
      <c r="CT318" s="225" t="str">
        <f t="shared" ref="CT318" si="4542">++IFERROR(CT317/CT304,"n/a")</f>
        <v>n/a</v>
      </c>
      <c r="CU318" s="225" t="str">
        <f t="shared" ref="CU318" si="4543">++IFERROR(CU317/CU304,"n/a")</f>
        <v>n/a</v>
      </c>
      <c r="CV318" s="225" t="str">
        <f t="shared" ref="CV318" si="4544">++IFERROR(CV317/CV304,"n/a")</f>
        <v>n/a</v>
      </c>
      <c r="CW318" s="225" t="str">
        <f t="shared" ref="CW318" si="4545">++IFERROR(CW317/CW304,"n/a")</f>
        <v>n/a</v>
      </c>
      <c r="CX318" s="225" t="str">
        <f t="shared" ref="CX318" si="4546">++IFERROR(CX317/CX304,"n/a")</f>
        <v>n/a</v>
      </c>
      <c r="CY318" s="225" t="str">
        <f t="shared" ref="CY318" si="4547">++IFERROR(CY317/CY304,"n/a")</f>
        <v>n/a</v>
      </c>
      <c r="CZ318" s="225" t="str">
        <f t="shared" ref="CZ318" si="4548">++IFERROR(CZ317/CZ304,"n/a")</f>
        <v>n/a</v>
      </c>
      <c r="DA318" s="225" t="str">
        <f t="shared" ref="DA318" si="4549">++IFERROR(DA317/DA304,"n/a")</f>
        <v>n/a</v>
      </c>
      <c r="DB318" s="225" t="str">
        <f t="shared" ref="DB318" si="4550">++IFERROR(DB317/DB304,"n/a")</f>
        <v>n/a</v>
      </c>
      <c r="DC318" s="214" t="str">
        <f t="shared" ref="DC318" si="4551">++IFERROR(DC317/DC304,"n/a")</f>
        <v>n/a</v>
      </c>
    </row>
    <row r="319" spans="3:107" x14ac:dyDescent="0.3">
      <c r="C319" s="321" t="str">
        <f>++C$25</f>
        <v>% y/y</v>
      </c>
      <c r="G319" s="122" t="s">
        <v>47</v>
      </c>
      <c r="H319" s="122" t="s">
        <v>47</v>
      </c>
      <c r="I319" s="122" t="s">
        <v>47</v>
      </c>
      <c r="J319" s="122" t="s">
        <v>47</v>
      </c>
      <c r="K319" s="214" t="str">
        <f>++IFERROR(K317/G317-1,"n/a")</f>
        <v>n/a</v>
      </c>
      <c r="L319" s="122" t="s">
        <v>47</v>
      </c>
      <c r="M319" s="122" t="s">
        <v>47</v>
      </c>
      <c r="N319" s="225" t="str">
        <f>++IFERROR(N317/H317-1,"n/a")</f>
        <v>n/a</v>
      </c>
      <c r="O319" s="122" t="s">
        <v>47</v>
      </c>
      <c r="P319" s="122" t="s">
        <v>47</v>
      </c>
      <c r="Q319" s="225" t="str">
        <f>++IFERROR(Q317/I317-1,"n/a")</f>
        <v>n/a</v>
      </c>
      <c r="R319" s="122" t="s">
        <v>47</v>
      </c>
      <c r="S319" s="122" t="s">
        <v>47</v>
      </c>
      <c r="T319" s="225" t="str">
        <f>++IFERROR(T317/J317-1,"n/a")</f>
        <v>n/a</v>
      </c>
      <c r="U319" s="122" t="s">
        <v>47</v>
      </c>
      <c r="V319" s="122" t="s">
        <v>47</v>
      </c>
      <c r="W319" s="214" t="str">
        <f t="shared" ref="W319:BB319" si="4552">++IFERROR(W317/K317-1,"n/a")</f>
        <v>n/a</v>
      </c>
      <c r="X319" s="225" t="str">
        <f t="shared" si="4552"/>
        <v>n/a</v>
      </c>
      <c r="Y319" s="225" t="str">
        <f t="shared" si="4552"/>
        <v>n/a</v>
      </c>
      <c r="Z319" s="225" t="str">
        <f t="shared" si="4552"/>
        <v>n/a</v>
      </c>
      <c r="AA319" s="225" t="str">
        <f t="shared" si="4552"/>
        <v>n/a</v>
      </c>
      <c r="AB319" s="225" t="str">
        <f t="shared" si="4552"/>
        <v>n/a</v>
      </c>
      <c r="AC319" s="225" t="str">
        <f t="shared" si="4552"/>
        <v>n/a</v>
      </c>
      <c r="AD319" s="225" t="str">
        <f t="shared" si="4552"/>
        <v>n/a</v>
      </c>
      <c r="AE319" s="225" t="str">
        <f t="shared" si="4552"/>
        <v>n/a</v>
      </c>
      <c r="AF319" s="225" t="str">
        <f t="shared" si="4552"/>
        <v>n/a</v>
      </c>
      <c r="AG319" s="225" t="str">
        <f t="shared" si="4552"/>
        <v>n/a</v>
      </c>
      <c r="AH319" s="225" t="str">
        <f t="shared" si="4552"/>
        <v>n/a</v>
      </c>
      <c r="AI319" s="214" t="str">
        <f t="shared" si="4552"/>
        <v>n/a</v>
      </c>
      <c r="AJ319" s="225" t="str">
        <f t="shared" si="4552"/>
        <v>n/a</v>
      </c>
      <c r="AK319" s="225" t="str">
        <f t="shared" si="4552"/>
        <v>n/a</v>
      </c>
      <c r="AL319" s="225" t="str">
        <f t="shared" si="4552"/>
        <v>n/a</v>
      </c>
      <c r="AM319" s="225" t="str">
        <f t="shared" si="4552"/>
        <v>n/a</v>
      </c>
      <c r="AN319" s="225" t="str">
        <f t="shared" si="4552"/>
        <v>n/a</v>
      </c>
      <c r="AO319" s="225" t="str">
        <f t="shared" si="4552"/>
        <v>n/a</v>
      </c>
      <c r="AP319" s="225" t="str">
        <f t="shared" si="4552"/>
        <v>n/a</v>
      </c>
      <c r="AQ319" s="225" t="str">
        <f t="shared" si="4552"/>
        <v>n/a</v>
      </c>
      <c r="AR319" s="225" t="str">
        <f t="shared" si="4552"/>
        <v>n/a</v>
      </c>
      <c r="AS319" s="225" t="str">
        <f t="shared" si="4552"/>
        <v>n/a</v>
      </c>
      <c r="AT319" s="225" t="str">
        <f t="shared" si="4552"/>
        <v>n/a</v>
      </c>
      <c r="AU319" s="214" t="str">
        <f t="shared" si="4552"/>
        <v>n/a</v>
      </c>
      <c r="AV319" s="225" t="str">
        <f t="shared" si="4552"/>
        <v>n/a</v>
      </c>
      <c r="AW319" s="225" t="str">
        <f t="shared" si="4552"/>
        <v>n/a</v>
      </c>
      <c r="AX319" s="225" t="str">
        <f t="shared" si="4552"/>
        <v>n/a</v>
      </c>
      <c r="AY319" s="225" t="str">
        <f t="shared" si="4552"/>
        <v>n/a</v>
      </c>
      <c r="AZ319" s="225" t="str">
        <f t="shared" si="4552"/>
        <v>n/a</v>
      </c>
      <c r="BA319" s="225" t="str">
        <f t="shared" si="4552"/>
        <v>n/a</v>
      </c>
      <c r="BB319" s="225" t="str">
        <f t="shared" si="4552"/>
        <v>n/a</v>
      </c>
      <c r="BC319" s="225" t="str">
        <f t="shared" ref="BC319:CH319" si="4553">++IFERROR(BC317/AQ317-1,"n/a")</f>
        <v>n/a</v>
      </c>
      <c r="BD319" s="225" t="str">
        <f t="shared" si="4553"/>
        <v>n/a</v>
      </c>
      <c r="BE319" s="225" t="str">
        <f t="shared" si="4553"/>
        <v>n/a</v>
      </c>
      <c r="BF319" s="225" t="str">
        <f t="shared" si="4553"/>
        <v>n/a</v>
      </c>
      <c r="BG319" s="214" t="str">
        <f t="shared" si="4553"/>
        <v>n/a</v>
      </c>
      <c r="BH319" s="225" t="str">
        <f t="shared" si="4553"/>
        <v>n/a</v>
      </c>
      <c r="BI319" s="225" t="str">
        <f t="shared" si="4553"/>
        <v>n/a</v>
      </c>
      <c r="BJ319" s="225" t="str">
        <f t="shared" si="4553"/>
        <v>n/a</v>
      </c>
      <c r="BK319" s="225" t="str">
        <f t="shared" si="4553"/>
        <v>n/a</v>
      </c>
      <c r="BL319" s="225" t="str">
        <f t="shared" si="4553"/>
        <v>n/a</v>
      </c>
      <c r="BM319" s="225" t="str">
        <f t="shared" si="4553"/>
        <v>n/a</v>
      </c>
      <c r="BN319" s="225" t="str">
        <f t="shared" si="4553"/>
        <v>n/a</v>
      </c>
      <c r="BO319" s="225" t="str">
        <f t="shared" si="4553"/>
        <v>n/a</v>
      </c>
      <c r="BP319" s="225" t="str">
        <f t="shared" si="4553"/>
        <v>n/a</v>
      </c>
      <c r="BQ319" s="225" t="str">
        <f t="shared" si="4553"/>
        <v>n/a</v>
      </c>
      <c r="BR319" s="225" t="str">
        <f t="shared" si="4553"/>
        <v>n/a</v>
      </c>
      <c r="BS319" s="214" t="str">
        <f t="shared" si="4553"/>
        <v>n/a</v>
      </c>
      <c r="BT319" s="225" t="str">
        <f t="shared" si="4553"/>
        <v>n/a</v>
      </c>
      <c r="BU319" s="225" t="str">
        <f t="shared" si="4553"/>
        <v>n/a</v>
      </c>
      <c r="BV319" s="225" t="str">
        <f t="shared" si="4553"/>
        <v>n/a</v>
      </c>
      <c r="BW319" s="225" t="str">
        <f t="shared" si="4553"/>
        <v>n/a</v>
      </c>
      <c r="BX319" s="225" t="str">
        <f t="shared" si="4553"/>
        <v>n/a</v>
      </c>
      <c r="BY319" s="225" t="str">
        <f t="shared" si="4553"/>
        <v>n/a</v>
      </c>
      <c r="BZ319" s="225" t="str">
        <f t="shared" si="4553"/>
        <v>n/a</v>
      </c>
      <c r="CA319" s="225" t="str">
        <f t="shared" si="4553"/>
        <v>n/a</v>
      </c>
      <c r="CB319" s="225" t="str">
        <f t="shared" si="4553"/>
        <v>n/a</v>
      </c>
      <c r="CC319" s="225" t="str">
        <f t="shared" si="4553"/>
        <v>n/a</v>
      </c>
      <c r="CD319" s="225" t="str">
        <f t="shared" si="4553"/>
        <v>n/a</v>
      </c>
      <c r="CE319" s="214" t="str">
        <f t="shared" si="4553"/>
        <v>n/a</v>
      </c>
      <c r="CF319" s="225" t="str">
        <f t="shared" si="4553"/>
        <v>n/a</v>
      </c>
      <c r="CG319" s="225" t="str">
        <f t="shared" si="4553"/>
        <v>n/a</v>
      </c>
      <c r="CH319" s="225" t="str">
        <f t="shared" si="4553"/>
        <v>n/a</v>
      </c>
      <c r="CI319" s="225" t="str">
        <f t="shared" ref="CI319:DN319" si="4554">++IFERROR(CI317/BW317-1,"n/a")</f>
        <v>n/a</v>
      </c>
      <c r="CJ319" s="225" t="str">
        <f t="shared" si="4554"/>
        <v>n/a</v>
      </c>
      <c r="CK319" s="225" t="str">
        <f t="shared" si="4554"/>
        <v>n/a</v>
      </c>
      <c r="CL319" s="225" t="str">
        <f t="shared" si="4554"/>
        <v>n/a</v>
      </c>
      <c r="CM319" s="225" t="str">
        <f t="shared" si="4554"/>
        <v>n/a</v>
      </c>
      <c r="CN319" s="225" t="str">
        <f t="shared" si="4554"/>
        <v>n/a</v>
      </c>
      <c r="CO319" s="225" t="str">
        <f t="shared" si="4554"/>
        <v>n/a</v>
      </c>
      <c r="CP319" s="225" t="str">
        <f t="shared" si="4554"/>
        <v>n/a</v>
      </c>
      <c r="CQ319" s="214" t="str">
        <f t="shared" si="4554"/>
        <v>n/a</v>
      </c>
      <c r="CR319" s="225" t="str">
        <f t="shared" si="4554"/>
        <v>n/a</v>
      </c>
      <c r="CS319" s="225" t="str">
        <f t="shared" si="4554"/>
        <v>n/a</v>
      </c>
      <c r="CT319" s="225" t="str">
        <f t="shared" si="4554"/>
        <v>n/a</v>
      </c>
      <c r="CU319" s="225" t="str">
        <f t="shared" si="4554"/>
        <v>n/a</v>
      </c>
      <c r="CV319" s="225" t="str">
        <f t="shared" si="4554"/>
        <v>n/a</v>
      </c>
      <c r="CW319" s="225" t="str">
        <f t="shared" si="4554"/>
        <v>n/a</v>
      </c>
      <c r="CX319" s="225" t="str">
        <f t="shared" si="4554"/>
        <v>n/a</v>
      </c>
      <c r="CY319" s="225" t="str">
        <f t="shared" si="4554"/>
        <v>n/a</v>
      </c>
      <c r="CZ319" s="225" t="str">
        <f t="shared" si="4554"/>
        <v>n/a</v>
      </c>
      <c r="DA319" s="225" t="str">
        <f t="shared" si="4554"/>
        <v>n/a</v>
      </c>
      <c r="DB319" s="225" t="str">
        <f t="shared" si="4554"/>
        <v>n/a</v>
      </c>
      <c r="DC319" s="214" t="str">
        <f t="shared" si="4554"/>
        <v>n/a</v>
      </c>
    </row>
    <row r="320" spans="3:107" x14ac:dyDescent="0.3">
      <c r="G320" s="203"/>
      <c r="K320" s="203"/>
      <c r="W320" s="203"/>
      <c r="AI320" s="203"/>
      <c r="AU320" s="203"/>
      <c r="BG320" s="203"/>
      <c r="BS320" s="203"/>
      <c r="CE320" s="203"/>
      <c r="CQ320" s="203"/>
      <c r="DC320" s="203"/>
    </row>
    <row r="321" spans="3:107" x14ac:dyDescent="0.3">
      <c r="C321" s="101" t="str">
        <f>++C$27</f>
        <v>Interest Expense (Income)</v>
      </c>
      <c r="G321" s="45">
        <f>++G27</f>
        <v>0</v>
      </c>
      <c r="H321" s="45">
        <f t="shared" ref="H321:BS322" si="4555">++H27</f>
        <v>0</v>
      </c>
      <c r="I321" s="45">
        <f t="shared" si="4555"/>
        <v>0</v>
      </c>
      <c r="J321" s="45">
        <f t="shared" si="4555"/>
        <v>0</v>
      </c>
      <c r="K321" s="45">
        <f t="shared" si="4555"/>
        <v>0</v>
      </c>
      <c r="L321" s="45">
        <f t="shared" si="4555"/>
        <v>0</v>
      </c>
      <c r="M321" s="45">
        <f t="shared" si="4555"/>
        <v>0</v>
      </c>
      <c r="N321" s="45">
        <f t="shared" si="4555"/>
        <v>0</v>
      </c>
      <c r="O321" s="45">
        <f t="shared" si="4555"/>
        <v>0</v>
      </c>
      <c r="P321" s="45">
        <f t="shared" si="4555"/>
        <v>0</v>
      </c>
      <c r="Q321" s="45">
        <f t="shared" si="4555"/>
        <v>0</v>
      </c>
      <c r="R321" s="45">
        <f t="shared" si="4555"/>
        <v>0</v>
      </c>
      <c r="S321" s="45">
        <f t="shared" si="4555"/>
        <v>0</v>
      </c>
      <c r="T321" s="45">
        <f t="shared" si="4555"/>
        <v>0</v>
      </c>
      <c r="U321" s="45">
        <f t="shared" si="4555"/>
        <v>0</v>
      </c>
      <c r="V321" s="45">
        <f t="shared" si="4555"/>
        <v>0</v>
      </c>
      <c r="W321" s="45">
        <f t="shared" si="4555"/>
        <v>0</v>
      </c>
      <c r="X321" s="45">
        <f t="shared" si="4555"/>
        <v>0</v>
      </c>
      <c r="Y321" s="45">
        <f t="shared" si="4555"/>
        <v>0</v>
      </c>
      <c r="Z321" s="45">
        <f t="shared" si="4555"/>
        <v>0</v>
      </c>
      <c r="AA321" s="45">
        <f t="shared" si="4555"/>
        <v>0</v>
      </c>
      <c r="AB321" s="45">
        <f t="shared" si="4555"/>
        <v>0</v>
      </c>
      <c r="AC321" s="45">
        <f t="shared" si="4555"/>
        <v>0</v>
      </c>
      <c r="AD321" s="45">
        <f t="shared" si="4555"/>
        <v>0</v>
      </c>
      <c r="AE321" s="45">
        <f t="shared" si="4555"/>
        <v>0</v>
      </c>
      <c r="AF321" s="45">
        <f t="shared" si="4555"/>
        <v>0</v>
      </c>
      <c r="AG321" s="45">
        <f t="shared" si="4555"/>
        <v>0</v>
      </c>
      <c r="AH321" s="45">
        <f t="shared" si="4555"/>
        <v>0</v>
      </c>
      <c r="AI321" s="45">
        <f t="shared" si="4555"/>
        <v>0</v>
      </c>
      <c r="AJ321" s="45">
        <f t="shared" si="4555"/>
        <v>0</v>
      </c>
      <c r="AK321" s="45">
        <f t="shared" si="4555"/>
        <v>0</v>
      </c>
      <c r="AL321" s="45">
        <f t="shared" si="4555"/>
        <v>0</v>
      </c>
      <c r="AM321" s="45">
        <f t="shared" si="4555"/>
        <v>0</v>
      </c>
      <c r="AN321" s="45">
        <f t="shared" si="4555"/>
        <v>0</v>
      </c>
      <c r="AO321" s="45">
        <f t="shared" si="4555"/>
        <v>0</v>
      </c>
      <c r="AP321" s="45">
        <f t="shared" si="4555"/>
        <v>0</v>
      </c>
      <c r="AQ321" s="45">
        <f t="shared" si="4555"/>
        <v>0</v>
      </c>
      <c r="AR321" s="45">
        <f t="shared" si="4555"/>
        <v>0</v>
      </c>
      <c r="AS321" s="45">
        <f t="shared" si="4555"/>
        <v>0</v>
      </c>
      <c r="AT321" s="45">
        <f t="shared" si="4555"/>
        <v>0</v>
      </c>
      <c r="AU321" s="45">
        <f t="shared" si="4555"/>
        <v>0</v>
      </c>
      <c r="AV321" s="45">
        <f t="shared" si="4555"/>
        <v>0</v>
      </c>
      <c r="AW321" s="45">
        <f t="shared" si="4555"/>
        <v>0</v>
      </c>
      <c r="AX321" s="45">
        <f t="shared" si="4555"/>
        <v>0</v>
      </c>
      <c r="AY321" s="45">
        <f t="shared" si="4555"/>
        <v>0</v>
      </c>
      <c r="AZ321" s="45">
        <f t="shared" si="4555"/>
        <v>0</v>
      </c>
      <c r="BA321" s="45">
        <f t="shared" si="4555"/>
        <v>0</v>
      </c>
      <c r="BB321" s="45">
        <f t="shared" si="4555"/>
        <v>0</v>
      </c>
      <c r="BC321" s="45">
        <f t="shared" si="4555"/>
        <v>0</v>
      </c>
      <c r="BD321" s="45">
        <f t="shared" si="4555"/>
        <v>0</v>
      </c>
      <c r="BE321" s="45">
        <f t="shared" si="4555"/>
        <v>0</v>
      </c>
      <c r="BF321" s="45">
        <f t="shared" si="4555"/>
        <v>0</v>
      </c>
      <c r="BG321" s="45">
        <f t="shared" si="4555"/>
        <v>0</v>
      </c>
      <c r="BH321" s="45">
        <f t="shared" si="4555"/>
        <v>0</v>
      </c>
      <c r="BI321" s="45">
        <f t="shared" si="4555"/>
        <v>0</v>
      </c>
      <c r="BJ321" s="45">
        <f t="shared" si="4555"/>
        <v>0</v>
      </c>
      <c r="BK321" s="45">
        <f t="shared" si="4555"/>
        <v>0</v>
      </c>
      <c r="BL321" s="45">
        <f t="shared" si="4555"/>
        <v>0</v>
      </c>
      <c r="BM321" s="45">
        <f t="shared" si="4555"/>
        <v>0</v>
      </c>
      <c r="BN321" s="45">
        <f t="shared" si="4555"/>
        <v>0</v>
      </c>
      <c r="BO321" s="45">
        <f t="shared" si="4555"/>
        <v>0</v>
      </c>
      <c r="BP321" s="45">
        <f t="shared" si="4555"/>
        <v>0</v>
      </c>
      <c r="BQ321" s="45">
        <f t="shared" si="4555"/>
        <v>0</v>
      </c>
      <c r="BR321" s="45">
        <f t="shared" si="4555"/>
        <v>0</v>
      </c>
      <c r="BS321" s="45">
        <f t="shared" si="4555"/>
        <v>0</v>
      </c>
      <c r="BT321" s="45">
        <f t="shared" ref="BT321:DC322" si="4556">++BT27</f>
        <v>0</v>
      </c>
      <c r="BU321" s="45">
        <f t="shared" si="4556"/>
        <v>0</v>
      </c>
      <c r="BV321" s="45">
        <f t="shared" si="4556"/>
        <v>0</v>
      </c>
      <c r="BW321" s="45">
        <f t="shared" si="4556"/>
        <v>0</v>
      </c>
      <c r="BX321" s="45">
        <f t="shared" si="4556"/>
        <v>0</v>
      </c>
      <c r="BY321" s="45">
        <f t="shared" si="4556"/>
        <v>0</v>
      </c>
      <c r="BZ321" s="45">
        <f t="shared" si="4556"/>
        <v>0</v>
      </c>
      <c r="CA321" s="45">
        <f t="shared" si="4556"/>
        <v>0</v>
      </c>
      <c r="CB321" s="45">
        <f t="shared" si="4556"/>
        <v>0</v>
      </c>
      <c r="CC321" s="45">
        <f t="shared" si="4556"/>
        <v>0</v>
      </c>
      <c r="CD321" s="45">
        <f t="shared" si="4556"/>
        <v>0</v>
      </c>
      <c r="CE321" s="45">
        <f t="shared" si="4556"/>
        <v>0</v>
      </c>
      <c r="CF321" s="45">
        <f t="shared" si="4556"/>
        <v>0</v>
      </c>
      <c r="CG321" s="45">
        <f t="shared" si="4556"/>
        <v>0</v>
      </c>
      <c r="CH321" s="45">
        <f t="shared" si="4556"/>
        <v>0</v>
      </c>
      <c r="CI321" s="45">
        <f t="shared" si="4556"/>
        <v>0</v>
      </c>
      <c r="CJ321" s="45">
        <f t="shared" si="4556"/>
        <v>0</v>
      </c>
      <c r="CK321" s="45">
        <f t="shared" si="4556"/>
        <v>0</v>
      </c>
      <c r="CL321" s="45">
        <f t="shared" si="4556"/>
        <v>0</v>
      </c>
      <c r="CM321" s="45">
        <f t="shared" si="4556"/>
        <v>0</v>
      </c>
      <c r="CN321" s="45">
        <f t="shared" si="4556"/>
        <v>0</v>
      </c>
      <c r="CO321" s="45">
        <f t="shared" si="4556"/>
        <v>0</v>
      </c>
      <c r="CP321" s="45">
        <f t="shared" si="4556"/>
        <v>0</v>
      </c>
      <c r="CQ321" s="45">
        <f t="shared" si="4556"/>
        <v>0</v>
      </c>
      <c r="CR321" s="45">
        <f t="shared" si="4556"/>
        <v>0</v>
      </c>
      <c r="CS321" s="45">
        <f t="shared" si="4556"/>
        <v>0</v>
      </c>
      <c r="CT321" s="45">
        <f t="shared" si="4556"/>
        <v>0</v>
      </c>
      <c r="CU321" s="45">
        <f t="shared" si="4556"/>
        <v>0</v>
      </c>
      <c r="CV321" s="45">
        <f t="shared" si="4556"/>
        <v>0</v>
      </c>
      <c r="CW321" s="45">
        <f t="shared" si="4556"/>
        <v>0</v>
      </c>
      <c r="CX321" s="45">
        <f t="shared" si="4556"/>
        <v>0</v>
      </c>
      <c r="CY321" s="45">
        <f t="shared" si="4556"/>
        <v>0</v>
      </c>
      <c r="CZ321" s="45">
        <f t="shared" si="4556"/>
        <v>0</v>
      </c>
      <c r="DA321" s="45">
        <f t="shared" si="4556"/>
        <v>0</v>
      </c>
      <c r="DB321" s="45">
        <f t="shared" si="4556"/>
        <v>0</v>
      </c>
      <c r="DC321" s="45">
        <f t="shared" si="4556"/>
        <v>0</v>
      </c>
    </row>
    <row r="322" spans="3:107" x14ac:dyDescent="0.3">
      <c r="C322" s="101" t="str">
        <f>++C$28</f>
        <v>Other Expense (Income)</v>
      </c>
      <c r="G322" s="45">
        <f>++G28</f>
        <v>0</v>
      </c>
      <c r="H322" s="45">
        <f t="shared" si="4555"/>
        <v>0</v>
      </c>
      <c r="I322" s="45">
        <f t="shared" si="4555"/>
        <v>0</v>
      </c>
      <c r="J322" s="45">
        <f t="shared" si="4555"/>
        <v>0</v>
      </c>
      <c r="K322" s="45">
        <f t="shared" si="4555"/>
        <v>0</v>
      </c>
      <c r="L322" s="45">
        <f t="shared" si="4555"/>
        <v>0</v>
      </c>
      <c r="M322" s="45">
        <f t="shared" si="4555"/>
        <v>0</v>
      </c>
      <c r="N322" s="45">
        <f t="shared" si="4555"/>
        <v>0</v>
      </c>
      <c r="O322" s="45">
        <f t="shared" si="4555"/>
        <v>0</v>
      </c>
      <c r="P322" s="45">
        <f t="shared" si="4555"/>
        <v>0</v>
      </c>
      <c r="Q322" s="45">
        <f t="shared" si="4555"/>
        <v>0</v>
      </c>
      <c r="R322" s="45">
        <f t="shared" si="4555"/>
        <v>0</v>
      </c>
      <c r="S322" s="45">
        <f t="shared" si="4555"/>
        <v>0</v>
      </c>
      <c r="T322" s="45">
        <f t="shared" si="4555"/>
        <v>0</v>
      </c>
      <c r="U322" s="45">
        <f t="shared" si="4555"/>
        <v>0</v>
      </c>
      <c r="V322" s="45">
        <f t="shared" si="4555"/>
        <v>0</v>
      </c>
      <c r="W322" s="45">
        <f t="shared" si="4555"/>
        <v>0</v>
      </c>
      <c r="X322" s="45">
        <f t="shared" si="4555"/>
        <v>0</v>
      </c>
      <c r="Y322" s="45">
        <f t="shared" si="4555"/>
        <v>0</v>
      </c>
      <c r="Z322" s="45">
        <f t="shared" si="4555"/>
        <v>0</v>
      </c>
      <c r="AA322" s="45">
        <f t="shared" si="4555"/>
        <v>0</v>
      </c>
      <c r="AB322" s="45">
        <f t="shared" si="4555"/>
        <v>0</v>
      </c>
      <c r="AC322" s="45">
        <f t="shared" si="4555"/>
        <v>0</v>
      </c>
      <c r="AD322" s="45">
        <f t="shared" si="4555"/>
        <v>0</v>
      </c>
      <c r="AE322" s="45">
        <f t="shared" si="4555"/>
        <v>0</v>
      </c>
      <c r="AF322" s="45">
        <f t="shared" si="4555"/>
        <v>0</v>
      </c>
      <c r="AG322" s="45">
        <f t="shared" si="4555"/>
        <v>0</v>
      </c>
      <c r="AH322" s="45">
        <f t="shared" si="4555"/>
        <v>0</v>
      </c>
      <c r="AI322" s="45">
        <f t="shared" si="4555"/>
        <v>0</v>
      </c>
      <c r="AJ322" s="45">
        <f t="shared" si="4555"/>
        <v>0</v>
      </c>
      <c r="AK322" s="45">
        <f t="shared" si="4555"/>
        <v>0</v>
      </c>
      <c r="AL322" s="45">
        <f t="shared" si="4555"/>
        <v>0</v>
      </c>
      <c r="AM322" s="45">
        <f t="shared" si="4555"/>
        <v>0</v>
      </c>
      <c r="AN322" s="45">
        <f t="shared" si="4555"/>
        <v>0</v>
      </c>
      <c r="AO322" s="45">
        <f t="shared" si="4555"/>
        <v>0</v>
      </c>
      <c r="AP322" s="45">
        <f t="shared" si="4555"/>
        <v>0</v>
      </c>
      <c r="AQ322" s="45">
        <f t="shared" si="4555"/>
        <v>0</v>
      </c>
      <c r="AR322" s="45">
        <f t="shared" si="4555"/>
        <v>0</v>
      </c>
      <c r="AS322" s="45">
        <f t="shared" si="4555"/>
        <v>0</v>
      </c>
      <c r="AT322" s="45">
        <f t="shared" si="4555"/>
        <v>0</v>
      </c>
      <c r="AU322" s="45">
        <f t="shared" si="4555"/>
        <v>0</v>
      </c>
      <c r="AV322" s="45">
        <f t="shared" si="4555"/>
        <v>0</v>
      </c>
      <c r="AW322" s="45">
        <f t="shared" si="4555"/>
        <v>0</v>
      </c>
      <c r="AX322" s="45">
        <f t="shared" si="4555"/>
        <v>0</v>
      </c>
      <c r="AY322" s="45">
        <f t="shared" si="4555"/>
        <v>0</v>
      </c>
      <c r="AZ322" s="45">
        <f t="shared" si="4555"/>
        <v>0</v>
      </c>
      <c r="BA322" s="45">
        <f t="shared" si="4555"/>
        <v>0</v>
      </c>
      <c r="BB322" s="45">
        <f t="shared" si="4555"/>
        <v>0</v>
      </c>
      <c r="BC322" s="45">
        <f t="shared" si="4555"/>
        <v>0</v>
      </c>
      <c r="BD322" s="45">
        <f t="shared" si="4555"/>
        <v>0</v>
      </c>
      <c r="BE322" s="45">
        <f t="shared" si="4555"/>
        <v>0</v>
      </c>
      <c r="BF322" s="45">
        <f t="shared" si="4555"/>
        <v>0</v>
      </c>
      <c r="BG322" s="45">
        <f t="shared" si="4555"/>
        <v>0</v>
      </c>
      <c r="BH322" s="45">
        <f t="shared" si="4555"/>
        <v>0</v>
      </c>
      <c r="BI322" s="45">
        <f t="shared" si="4555"/>
        <v>0</v>
      </c>
      <c r="BJ322" s="45">
        <f t="shared" si="4555"/>
        <v>0</v>
      </c>
      <c r="BK322" s="45">
        <f t="shared" si="4555"/>
        <v>0</v>
      </c>
      <c r="BL322" s="45">
        <f t="shared" si="4555"/>
        <v>0</v>
      </c>
      <c r="BM322" s="45">
        <f t="shared" si="4555"/>
        <v>0</v>
      </c>
      <c r="BN322" s="45">
        <f t="shared" si="4555"/>
        <v>0</v>
      </c>
      <c r="BO322" s="45">
        <f t="shared" si="4555"/>
        <v>0</v>
      </c>
      <c r="BP322" s="45">
        <f t="shared" si="4555"/>
        <v>0</v>
      </c>
      <c r="BQ322" s="45">
        <f t="shared" si="4555"/>
        <v>0</v>
      </c>
      <c r="BR322" s="45">
        <f t="shared" si="4555"/>
        <v>0</v>
      </c>
      <c r="BS322" s="45">
        <f t="shared" si="4555"/>
        <v>0</v>
      </c>
      <c r="BT322" s="45">
        <f t="shared" si="4556"/>
        <v>0</v>
      </c>
      <c r="BU322" s="45">
        <f t="shared" si="4556"/>
        <v>0</v>
      </c>
      <c r="BV322" s="45">
        <f t="shared" si="4556"/>
        <v>0</v>
      </c>
      <c r="BW322" s="45">
        <f t="shared" si="4556"/>
        <v>0</v>
      </c>
      <c r="BX322" s="45">
        <f t="shared" si="4556"/>
        <v>0</v>
      </c>
      <c r="BY322" s="45">
        <f t="shared" si="4556"/>
        <v>0</v>
      </c>
      <c r="BZ322" s="45">
        <f t="shared" si="4556"/>
        <v>0</v>
      </c>
      <c r="CA322" s="45">
        <f t="shared" si="4556"/>
        <v>0</v>
      </c>
      <c r="CB322" s="45">
        <f t="shared" si="4556"/>
        <v>0</v>
      </c>
      <c r="CC322" s="45">
        <f t="shared" si="4556"/>
        <v>0</v>
      </c>
      <c r="CD322" s="45">
        <f t="shared" si="4556"/>
        <v>0</v>
      </c>
      <c r="CE322" s="45">
        <f t="shared" si="4556"/>
        <v>0</v>
      </c>
      <c r="CF322" s="45">
        <f t="shared" si="4556"/>
        <v>0</v>
      </c>
      <c r="CG322" s="45">
        <f t="shared" si="4556"/>
        <v>0</v>
      </c>
      <c r="CH322" s="45">
        <f t="shared" si="4556"/>
        <v>0</v>
      </c>
      <c r="CI322" s="45">
        <f t="shared" si="4556"/>
        <v>0</v>
      </c>
      <c r="CJ322" s="45">
        <f t="shared" si="4556"/>
        <v>0</v>
      </c>
      <c r="CK322" s="45">
        <f t="shared" si="4556"/>
        <v>0</v>
      </c>
      <c r="CL322" s="45">
        <f t="shared" si="4556"/>
        <v>0</v>
      </c>
      <c r="CM322" s="45">
        <f t="shared" si="4556"/>
        <v>0</v>
      </c>
      <c r="CN322" s="45">
        <f t="shared" si="4556"/>
        <v>0</v>
      </c>
      <c r="CO322" s="45">
        <f t="shared" si="4556"/>
        <v>0</v>
      </c>
      <c r="CP322" s="45">
        <f t="shared" si="4556"/>
        <v>0</v>
      </c>
      <c r="CQ322" s="45">
        <f t="shared" si="4556"/>
        <v>0</v>
      </c>
      <c r="CR322" s="45">
        <f t="shared" si="4556"/>
        <v>0</v>
      </c>
      <c r="CS322" s="45">
        <f t="shared" si="4556"/>
        <v>0</v>
      </c>
      <c r="CT322" s="45">
        <f t="shared" si="4556"/>
        <v>0</v>
      </c>
      <c r="CU322" s="45">
        <f t="shared" si="4556"/>
        <v>0</v>
      </c>
      <c r="CV322" s="45">
        <f t="shared" si="4556"/>
        <v>0</v>
      </c>
      <c r="CW322" s="45">
        <f t="shared" si="4556"/>
        <v>0</v>
      </c>
      <c r="CX322" s="45">
        <f t="shared" si="4556"/>
        <v>0</v>
      </c>
      <c r="CY322" s="45">
        <f t="shared" si="4556"/>
        <v>0</v>
      </c>
      <c r="CZ322" s="45">
        <f t="shared" si="4556"/>
        <v>0</v>
      </c>
      <c r="DA322" s="45">
        <f t="shared" si="4556"/>
        <v>0</v>
      </c>
      <c r="DB322" s="45">
        <f t="shared" si="4556"/>
        <v>0</v>
      </c>
      <c r="DC322" s="45">
        <f t="shared" si="4556"/>
        <v>0</v>
      </c>
    </row>
    <row r="323" spans="3:107" x14ac:dyDescent="0.3">
      <c r="C323" s="231" t="str">
        <f>++C$29</f>
        <v>Pre-Tax Income (Loss)</v>
      </c>
      <c r="D323" s="191"/>
      <c r="E323" s="191"/>
      <c r="G323" s="239">
        <f>++SUM(G327,G330)</f>
        <v>0</v>
      </c>
      <c r="H323" s="232">
        <f t="shared" ref="H323:BS323" si="4557">++SUM(H327,H330)</f>
        <v>0</v>
      </c>
      <c r="I323" s="232">
        <f t="shared" si="4557"/>
        <v>0</v>
      </c>
      <c r="J323" s="232">
        <f t="shared" si="4557"/>
        <v>0</v>
      </c>
      <c r="K323" s="239">
        <f t="shared" si="4557"/>
        <v>0</v>
      </c>
      <c r="L323" s="232">
        <f t="shared" si="4557"/>
        <v>0</v>
      </c>
      <c r="M323" s="232">
        <f t="shared" si="4557"/>
        <v>0</v>
      </c>
      <c r="N323" s="232">
        <f t="shared" si="4557"/>
        <v>0</v>
      </c>
      <c r="O323" s="232">
        <f t="shared" si="4557"/>
        <v>0</v>
      </c>
      <c r="P323" s="232">
        <f t="shared" si="4557"/>
        <v>0</v>
      </c>
      <c r="Q323" s="232">
        <f t="shared" si="4557"/>
        <v>0</v>
      </c>
      <c r="R323" s="232">
        <f t="shared" si="4557"/>
        <v>0</v>
      </c>
      <c r="S323" s="232">
        <f t="shared" si="4557"/>
        <v>0</v>
      </c>
      <c r="T323" s="232">
        <f t="shared" si="4557"/>
        <v>0</v>
      </c>
      <c r="U323" s="232">
        <f t="shared" si="4557"/>
        <v>0</v>
      </c>
      <c r="V323" s="232">
        <f t="shared" si="4557"/>
        <v>0</v>
      </c>
      <c r="W323" s="239">
        <f t="shared" si="4557"/>
        <v>0</v>
      </c>
      <c r="X323" s="232">
        <f t="shared" si="4557"/>
        <v>0</v>
      </c>
      <c r="Y323" s="232">
        <f t="shared" si="4557"/>
        <v>0</v>
      </c>
      <c r="Z323" s="232">
        <f t="shared" si="4557"/>
        <v>0</v>
      </c>
      <c r="AA323" s="232">
        <f t="shared" si="4557"/>
        <v>0</v>
      </c>
      <c r="AB323" s="232">
        <f t="shared" si="4557"/>
        <v>0</v>
      </c>
      <c r="AC323" s="232">
        <f t="shared" si="4557"/>
        <v>0</v>
      </c>
      <c r="AD323" s="232">
        <f t="shared" si="4557"/>
        <v>0</v>
      </c>
      <c r="AE323" s="232">
        <f t="shared" si="4557"/>
        <v>0</v>
      </c>
      <c r="AF323" s="232">
        <f t="shared" si="4557"/>
        <v>0</v>
      </c>
      <c r="AG323" s="232">
        <f t="shared" si="4557"/>
        <v>0</v>
      </c>
      <c r="AH323" s="232">
        <f t="shared" si="4557"/>
        <v>0</v>
      </c>
      <c r="AI323" s="239">
        <f t="shared" si="4557"/>
        <v>0</v>
      </c>
      <c r="AJ323" s="232">
        <f t="shared" si="4557"/>
        <v>0</v>
      </c>
      <c r="AK323" s="232">
        <f t="shared" si="4557"/>
        <v>0</v>
      </c>
      <c r="AL323" s="232">
        <f t="shared" si="4557"/>
        <v>0</v>
      </c>
      <c r="AM323" s="232">
        <f t="shared" si="4557"/>
        <v>0</v>
      </c>
      <c r="AN323" s="232">
        <f t="shared" si="4557"/>
        <v>0</v>
      </c>
      <c r="AO323" s="232">
        <f t="shared" si="4557"/>
        <v>0</v>
      </c>
      <c r="AP323" s="232">
        <f t="shared" si="4557"/>
        <v>0</v>
      </c>
      <c r="AQ323" s="232">
        <f t="shared" si="4557"/>
        <v>0</v>
      </c>
      <c r="AR323" s="232">
        <f t="shared" si="4557"/>
        <v>0</v>
      </c>
      <c r="AS323" s="232">
        <f t="shared" si="4557"/>
        <v>0</v>
      </c>
      <c r="AT323" s="232">
        <f t="shared" si="4557"/>
        <v>0</v>
      </c>
      <c r="AU323" s="239">
        <f t="shared" si="4557"/>
        <v>0</v>
      </c>
      <c r="AV323" s="232">
        <f t="shared" si="4557"/>
        <v>0</v>
      </c>
      <c r="AW323" s="232">
        <f t="shared" si="4557"/>
        <v>0</v>
      </c>
      <c r="AX323" s="232">
        <f t="shared" si="4557"/>
        <v>0</v>
      </c>
      <c r="AY323" s="232">
        <f t="shared" si="4557"/>
        <v>0</v>
      </c>
      <c r="AZ323" s="232">
        <f t="shared" si="4557"/>
        <v>0</v>
      </c>
      <c r="BA323" s="232">
        <f t="shared" si="4557"/>
        <v>0</v>
      </c>
      <c r="BB323" s="232">
        <f t="shared" si="4557"/>
        <v>0</v>
      </c>
      <c r="BC323" s="232">
        <f t="shared" si="4557"/>
        <v>0</v>
      </c>
      <c r="BD323" s="232">
        <f t="shared" si="4557"/>
        <v>0</v>
      </c>
      <c r="BE323" s="232">
        <f t="shared" si="4557"/>
        <v>0</v>
      </c>
      <c r="BF323" s="232">
        <f t="shared" si="4557"/>
        <v>0</v>
      </c>
      <c r="BG323" s="239">
        <f t="shared" si="4557"/>
        <v>0</v>
      </c>
      <c r="BH323" s="232">
        <f t="shared" si="4557"/>
        <v>0</v>
      </c>
      <c r="BI323" s="232">
        <f t="shared" si="4557"/>
        <v>0</v>
      </c>
      <c r="BJ323" s="232">
        <f t="shared" si="4557"/>
        <v>0</v>
      </c>
      <c r="BK323" s="232">
        <f t="shared" si="4557"/>
        <v>0</v>
      </c>
      <c r="BL323" s="232">
        <f t="shared" si="4557"/>
        <v>0</v>
      </c>
      <c r="BM323" s="232">
        <f t="shared" si="4557"/>
        <v>0</v>
      </c>
      <c r="BN323" s="232">
        <f t="shared" si="4557"/>
        <v>0</v>
      </c>
      <c r="BO323" s="232">
        <f t="shared" si="4557"/>
        <v>0</v>
      </c>
      <c r="BP323" s="232">
        <f t="shared" si="4557"/>
        <v>0</v>
      </c>
      <c r="BQ323" s="232">
        <f t="shared" si="4557"/>
        <v>0</v>
      </c>
      <c r="BR323" s="232">
        <f t="shared" si="4557"/>
        <v>0</v>
      </c>
      <c r="BS323" s="239">
        <f t="shared" si="4557"/>
        <v>0</v>
      </c>
      <c r="BT323" s="232">
        <f t="shared" ref="BT323:DC323" si="4558">++SUM(BT327,BT330)</f>
        <v>0</v>
      </c>
      <c r="BU323" s="232">
        <f t="shared" si="4558"/>
        <v>0</v>
      </c>
      <c r="BV323" s="232">
        <f t="shared" si="4558"/>
        <v>0</v>
      </c>
      <c r="BW323" s="232">
        <f t="shared" si="4558"/>
        <v>0</v>
      </c>
      <c r="BX323" s="232">
        <f t="shared" si="4558"/>
        <v>0</v>
      </c>
      <c r="BY323" s="232">
        <f t="shared" si="4558"/>
        <v>0</v>
      </c>
      <c r="BZ323" s="232">
        <f t="shared" si="4558"/>
        <v>0</v>
      </c>
      <c r="CA323" s="232">
        <f t="shared" si="4558"/>
        <v>0</v>
      </c>
      <c r="CB323" s="232">
        <f t="shared" si="4558"/>
        <v>0</v>
      </c>
      <c r="CC323" s="232">
        <f t="shared" si="4558"/>
        <v>0</v>
      </c>
      <c r="CD323" s="232">
        <f t="shared" si="4558"/>
        <v>0</v>
      </c>
      <c r="CE323" s="239">
        <f t="shared" si="4558"/>
        <v>0</v>
      </c>
      <c r="CF323" s="232">
        <f t="shared" si="4558"/>
        <v>0</v>
      </c>
      <c r="CG323" s="232">
        <f t="shared" si="4558"/>
        <v>0</v>
      </c>
      <c r="CH323" s="232">
        <f t="shared" si="4558"/>
        <v>0</v>
      </c>
      <c r="CI323" s="232">
        <f t="shared" si="4558"/>
        <v>0</v>
      </c>
      <c r="CJ323" s="232">
        <f t="shared" si="4558"/>
        <v>0</v>
      </c>
      <c r="CK323" s="232">
        <f t="shared" si="4558"/>
        <v>0</v>
      </c>
      <c r="CL323" s="232">
        <f t="shared" si="4558"/>
        <v>0</v>
      </c>
      <c r="CM323" s="232">
        <f t="shared" si="4558"/>
        <v>0</v>
      </c>
      <c r="CN323" s="232">
        <f t="shared" si="4558"/>
        <v>0</v>
      </c>
      <c r="CO323" s="232">
        <f t="shared" si="4558"/>
        <v>0</v>
      </c>
      <c r="CP323" s="232">
        <f t="shared" si="4558"/>
        <v>0</v>
      </c>
      <c r="CQ323" s="239">
        <f t="shared" si="4558"/>
        <v>0</v>
      </c>
      <c r="CR323" s="232">
        <f t="shared" si="4558"/>
        <v>0</v>
      </c>
      <c r="CS323" s="232">
        <f t="shared" si="4558"/>
        <v>0</v>
      </c>
      <c r="CT323" s="232">
        <f t="shared" si="4558"/>
        <v>0</v>
      </c>
      <c r="CU323" s="232">
        <f t="shared" si="4558"/>
        <v>0</v>
      </c>
      <c r="CV323" s="232">
        <f t="shared" si="4558"/>
        <v>0</v>
      </c>
      <c r="CW323" s="232">
        <f t="shared" si="4558"/>
        <v>0</v>
      </c>
      <c r="CX323" s="232">
        <f t="shared" si="4558"/>
        <v>0</v>
      </c>
      <c r="CY323" s="232">
        <f t="shared" si="4558"/>
        <v>0</v>
      </c>
      <c r="CZ323" s="232">
        <f t="shared" si="4558"/>
        <v>0</v>
      </c>
      <c r="DA323" s="232">
        <f t="shared" si="4558"/>
        <v>0</v>
      </c>
      <c r="DB323" s="232">
        <f t="shared" si="4558"/>
        <v>0</v>
      </c>
      <c r="DC323" s="239">
        <f t="shared" si="4558"/>
        <v>0</v>
      </c>
    </row>
    <row r="324" spans="3:107" x14ac:dyDescent="0.3">
      <c r="C324" s="321" t="str">
        <f>++C$30</f>
        <v>% margin</v>
      </c>
      <c r="G324" s="214" t="str">
        <f>++IFERROR(G323/G304,"n/a")</f>
        <v>n/a</v>
      </c>
      <c r="H324" s="225" t="str">
        <f t="shared" ref="H324" si="4559">++IFERROR(H323/H304,"n/a")</f>
        <v>n/a</v>
      </c>
      <c r="I324" s="225" t="str">
        <f t="shared" ref="I324" si="4560">++IFERROR(I323/I304,"n/a")</f>
        <v>n/a</v>
      </c>
      <c r="J324" s="225" t="str">
        <f t="shared" ref="J324" si="4561">++IFERROR(J323/J304,"n/a")</f>
        <v>n/a</v>
      </c>
      <c r="K324" s="214" t="str">
        <f t="shared" ref="K324" si="4562">++IFERROR(K323/K304,"n/a")</f>
        <v>n/a</v>
      </c>
      <c r="L324" s="225" t="str">
        <f t="shared" ref="L324" si="4563">++IFERROR(L323/L304,"n/a")</f>
        <v>n/a</v>
      </c>
      <c r="M324" s="225" t="str">
        <f t="shared" ref="M324" si="4564">++IFERROR(M323/M304,"n/a")</f>
        <v>n/a</v>
      </c>
      <c r="N324" s="225" t="str">
        <f t="shared" ref="N324" si="4565">++IFERROR(N323/N304,"n/a")</f>
        <v>n/a</v>
      </c>
      <c r="O324" s="225" t="str">
        <f t="shared" ref="O324" si="4566">++IFERROR(O323/O304,"n/a")</f>
        <v>n/a</v>
      </c>
      <c r="P324" s="225" t="str">
        <f t="shared" ref="P324" si="4567">++IFERROR(P323/P304,"n/a")</f>
        <v>n/a</v>
      </c>
      <c r="Q324" s="225" t="str">
        <f t="shared" ref="Q324" si="4568">++IFERROR(Q323/Q304,"n/a")</f>
        <v>n/a</v>
      </c>
      <c r="R324" s="225" t="str">
        <f t="shared" ref="R324" si="4569">++IFERROR(R323/R304,"n/a")</f>
        <v>n/a</v>
      </c>
      <c r="S324" s="225" t="str">
        <f t="shared" ref="S324" si="4570">++IFERROR(S323/S304,"n/a")</f>
        <v>n/a</v>
      </c>
      <c r="T324" s="225" t="str">
        <f t="shared" ref="T324" si="4571">++IFERROR(T323/T304,"n/a")</f>
        <v>n/a</v>
      </c>
      <c r="U324" s="225" t="str">
        <f t="shared" ref="U324" si="4572">++IFERROR(U323/U304,"n/a")</f>
        <v>n/a</v>
      </c>
      <c r="V324" s="225" t="str">
        <f t="shared" ref="V324" si="4573">++IFERROR(V323/V304,"n/a")</f>
        <v>n/a</v>
      </c>
      <c r="W324" s="214" t="str">
        <f t="shared" ref="W324" si="4574">++IFERROR(W323/W304,"n/a")</f>
        <v>n/a</v>
      </c>
      <c r="X324" s="225" t="str">
        <f t="shared" ref="X324" si="4575">++IFERROR(X323/X304,"n/a")</f>
        <v>n/a</v>
      </c>
      <c r="Y324" s="225" t="str">
        <f t="shared" ref="Y324" si="4576">++IFERROR(Y323/Y304,"n/a")</f>
        <v>n/a</v>
      </c>
      <c r="Z324" s="225" t="str">
        <f t="shared" ref="Z324" si="4577">++IFERROR(Z323/Z304,"n/a")</f>
        <v>n/a</v>
      </c>
      <c r="AA324" s="225" t="str">
        <f t="shared" ref="AA324" si="4578">++IFERROR(AA323/AA304,"n/a")</f>
        <v>n/a</v>
      </c>
      <c r="AB324" s="225" t="str">
        <f t="shared" ref="AB324" si="4579">++IFERROR(AB323/AB304,"n/a")</f>
        <v>n/a</v>
      </c>
      <c r="AC324" s="225" t="str">
        <f t="shared" ref="AC324" si="4580">++IFERROR(AC323/AC304,"n/a")</f>
        <v>n/a</v>
      </c>
      <c r="AD324" s="225" t="str">
        <f t="shared" ref="AD324" si="4581">++IFERROR(AD323/AD304,"n/a")</f>
        <v>n/a</v>
      </c>
      <c r="AE324" s="225" t="str">
        <f t="shared" ref="AE324" si="4582">++IFERROR(AE323/AE304,"n/a")</f>
        <v>n/a</v>
      </c>
      <c r="AF324" s="225" t="str">
        <f t="shared" ref="AF324" si="4583">++IFERROR(AF323/AF304,"n/a")</f>
        <v>n/a</v>
      </c>
      <c r="AG324" s="225" t="str">
        <f t="shared" ref="AG324" si="4584">++IFERROR(AG323/AG304,"n/a")</f>
        <v>n/a</v>
      </c>
      <c r="AH324" s="225" t="str">
        <f t="shared" ref="AH324" si="4585">++IFERROR(AH323/AH304,"n/a")</f>
        <v>n/a</v>
      </c>
      <c r="AI324" s="214" t="str">
        <f t="shared" ref="AI324" si="4586">++IFERROR(AI323/AI304,"n/a")</f>
        <v>n/a</v>
      </c>
      <c r="AJ324" s="225" t="str">
        <f t="shared" ref="AJ324" si="4587">++IFERROR(AJ323/AJ304,"n/a")</f>
        <v>n/a</v>
      </c>
      <c r="AK324" s="225" t="str">
        <f t="shared" ref="AK324" si="4588">++IFERROR(AK323/AK304,"n/a")</f>
        <v>n/a</v>
      </c>
      <c r="AL324" s="225" t="str">
        <f t="shared" ref="AL324" si="4589">++IFERROR(AL323/AL304,"n/a")</f>
        <v>n/a</v>
      </c>
      <c r="AM324" s="225" t="str">
        <f t="shared" ref="AM324" si="4590">++IFERROR(AM323/AM304,"n/a")</f>
        <v>n/a</v>
      </c>
      <c r="AN324" s="225" t="str">
        <f t="shared" ref="AN324" si="4591">++IFERROR(AN323/AN304,"n/a")</f>
        <v>n/a</v>
      </c>
      <c r="AO324" s="225" t="str">
        <f t="shared" ref="AO324" si="4592">++IFERROR(AO323/AO304,"n/a")</f>
        <v>n/a</v>
      </c>
      <c r="AP324" s="225" t="str">
        <f t="shared" ref="AP324" si="4593">++IFERROR(AP323/AP304,"n/a")</f>
        <v>n/a</v>
      </c>
      <c r="AQ324" s="225" t="str">
        <f t="shared" ref="AQ324" si="4594">++IFERROR(AQ323/AQ304,"n/a")</f>
        <v>n/a</v>
      </c>
      <c r="AR324" s="225" t="str">
        <f t="shared" ref="AR324" si="4595">++IFERROR(AR323/AR304,"n/a")</f>
        <v>n/a</v>
      </c>
      <c r="AS324" s="225" t="str">
        <f t="shared" ref="AS324" si="4596">++IFERROR(AS323/AS304,"n/a")</f>
        <v>n/a</v>
      </c>
      <c r="AT324" s="225" t="str">
        <f t="shared" ref="AT324" si="4597">++IFERROR(AT323/AT304,"n/a")</f>
        <v>n/a</v>
      </c>
      <c r="AU324" s="214" t="str">
        <f t="shared" ref="AU324" si="4598">++IFERROR(AU323/AU304,"n/a")</f>
        <v>n/a</v>
      </c>
      <c r="AV324" s="225" t="str">
        <f t="shared" ref="AV324" si="4599">++IFERROR(AV323/AV304,"n/a")</f>
        <v>n/a</v>
      </c>
      <c r="AW324" s="225" t="str">
        <f t="shared" ref="AW324" si="4600">++IFERROR(AW323/AW304,"n/a")</f>
        <v>n/a</v>
      </c>
      <c r="AX324" s="225" t="str">
        <f t="shared" ref="AX324" si="4601">++IFERROR(AX323/AX304,"n/a")</f>
        <v>n/a</v>
      </c>
      <c r="AY324" s="225" t="str">
        <f t="shared" ref="AY324" si="4602">++IFERROR(AY323/AY304,"n/a")</f>
        <v>n/a</v>
      </c>
      <c r="AZ324" s="225" t="str">
        <f t="shared" ref="AZ324" si="4603">++IFERROR(AZ323/AZ304,"n/a")</f>
        <v>n/a</v>
      </c>
      <c r="BA324" s="225" t="str">
        <f t="shared" ref="BA324" si="4604">++IFERROR(BA323/BA304,"n/a")</f>
        <v>n/a</v>
      </c>
      <c r="BB324" s="225" t="str">
        <f t="shared" ref="BB324" si="4605">++IFERROR(BB323/BB304,"n/a")</f>
        <v>n/a</v>
      </c>
      <c r="BC324" s="225" t="str">
        <f t="shared" ref="BC324" si="4606">++IFERROR(BC323/BC304,"n/a")</f>
        <v>n/a</v>
      </c>
      <c r="BD324" s="225" t="str">
        <f t="shared" ref="BD324" si="4607">++IFERROR(BD323/BD304,"n/a")</f>
        <v>n/a</v>
      </c>
      <c r="BE324" s="225" t="str">
        <f t="shared" ref="BE324" si="4608">++IFERROR(BE323/BE304,"n/a")</f>
        <v>n/a</v>
      </c>
      <c r="BF324" s="225" t="str">
        <f t="shared" ref="BF324" si="4609">++IFERROR(BF323/BF304,"n/a")</f>
        <v>n/a</v>
      </c>
      <c r="BG324" s="214" t="str">
        <f t="shared" ref="BG324" si="4610">++IFERROR(BG323/BG304,"n/a")</f>
        <v>n/a</v>
      </c>
      <c r="BH324" s="225" t="str">
        <f t="shared" ref="BH324" si="4611">++IFERROR(BH323/BH304,"n/a")</f>
        <v>n/a</v>
      </c>
      <c r="BI324" s="225" t="str">
        <f t="shared" ref="BI324" si="4612">++IFERROR(BI323/BI304,"n/a")</f>
        <v>n/a</v>
      </c>
      <c r="BJ324" s="225" t="str">
        <f t="shared" ref="BJ324" si="4613">++IFERROR(BJ323/BJ304,"n/a")</f>
        <v>n/a</v>
      </c>
      <c r="BK324" s="225" t="str">
        <f t="shared" ref="BK324" si="4614">++IFERROR(BK323/BK304,"n/a")</f>
        <v>n/a</v>
      </c>
      <c r="BL324" s="225" t="str">
        <f t="shared" ref="BL324" si="4615">++IFERROR(BL323/BL304,"n/a")</f>
        <v>n/a</v>
      </c>
      <c r="BM324" s="225" t="str">
        <f t="shared" ref="BM324" si="4616">++IFERROR(BM323/BM304,"n/a")</f>
        <v>n/a</v>
      </c>
      <c r="BN324" s="225" t="str">
        <f t="shared" ref="BN324" si="4617">++IFERROR(BN323/BN304,"n/a")</f>
        <v>n/a</v>
      </c>
      <c r="BO324" s="225" t="str">
        <f t="shared" ref="BO324" si="4618">++IFERROR(BO323/BO304,"n/a")</f>
        <v>n/a</v>
      </c>
      <c r="BP324" s="225" t="str">
        <f t="shared" ref="BP324" si="4619">++IFERROR(BP323/BP304,"n/a")</f>
        <v>n/a</v>
      </c>
      <c r="BQ324" s="225" t="str">
        <f t="shared" ref="BQ324" si="4620">++IFERROR(BQ323/BQ304,"n/a")</f>
        <v>n/a</v>
      </c>
      <c r="BR324" s="225" t="str">
        <f t="shared" ref="BR324" si="4621">++IFERROR(BR323/BR304,"n/a")</f>
        <v>n/a</v>
      </c>
      <c r="BS324" s="214" t="str">
        <f t="shared" ref="BS324" si="4622">++IFERROR(BS323/BS304,"n/a")</f>
        <v>n/a</v>
      </c>
      <c r="BT324" s="225" t="str">
        <f t="shared" ref="BT324" si="4623">++IFERROR(BT323/BT304,"n/a")</f>
        <v>n/a</v>
      </c>
      <c r="BU324" s="225" t="str">
        <f t="shared" ref="BU324" si="4624">++IFERROR(BU323/BU304,"n/a")</f>
        <v>n/a</v>
      </c>
      <c r="BV324" s="225" t="str">
        <f t="shared" ref="BV324" si="4625">++IFERROR(BV323/BV304,"n/a")</f>
        <v>n/a</v>
      </c>
      <c r="BW324" s="225" t="str">
        <f t="shared" ref="BW324" si="4626">++IFERROR(BW323/BW304,"n/a")</f>
        <v>n/a</v>
      </c>
      <c r="BX324" s="225" t="str">
        <f t="shared" ref="BX324" si="4627">++IFERROR(BX323/BX304,"n/a")</f>
        <v>n/a</v>
      </c>
      <c r="BY324" s="225" t="str">
        <f t="shared" ref="BY324" si="4628">++IFERROR(BY323/BY304,"n/a")</f>
        <v>n/a</v>
      </c>
      <c r="BZ324" s="225" t="str">
        <f t="shared" ref="BZ324" si="4629">++IFERROR(BZ323/BZ304,"n/a")</f>
        <v>n/a</v>
      </c>
      <c r="CA324" s="225" t="str">
        <f t="shared" ref="CA324" si="4630">++IFERROR(CA323/CA304,"n/a")</f>
        <v>n/a</v>
      </c>
      <c r="CB324" s="225" t="str">
        <f t="shared" ref="CB324" si="4631">++IFERROR(CB323/CB304,"n/a")</f>
        <v>n/a</v>
      </c>
      <c r="CC324" s="225" t="str">
        <f t="shared" ref="CC324" si="4632">++IFERROR(CC323/CC304,"n/a")</f>
        <v>n/a</v>
      </c>
      <c r="CD324" s="225" t="str">
        <f t="shared" ref="CD324" si="4633">++IFERROR(CD323/CD304,"n/a")</f>
        <v>n/a</v>
      </c>
      <c r="CE324" s="214" t="str">
        <f t="shared" ref="CE324" si="4634">++IFERROR(CE323/CE304,"n/a")</f>
        <v>n/a</v>
      </c>
      <c r="CF324" s="225" t="str">
        <f t="shared" ref="CF324" si="4635">++IFERROR(CF323/CF304,"n/a")</f>
        <v>n/a</v>
      </c>
      <c r="CG324" s="225" t="str">
        <f t="shared" ref="CG324" si="4636">++IFERROR(CG323/CG304,"n/a")</f>
        <v>n/a</v>
      </c>
      <c r="CH324" s="225" t="str">
        <f t="shared" ref="CH324" si="4637">++IFERROR(CH323/CH304,"n/a")</f>
        <v>n/a</v>
      </c>
      <c r="CI324" s="225" t="str">
        <f t="shared" ref="CI324" si="4638">++IFERROR(CI323/CI304,"n/a")</f>
        <v>n/a</v>
      </c>
      <c r="CJ324" s="225" t="str">
        <f t="shared" ref="CJ324" si="4639">++IFERROR(CJ323/CJ304,"n/a")</f>
        <v>n/a</v>
      </c>
      <c r="CK324" s="225" t="str">
        <f t="shared" ref="CK324" si="4640">++IFERROR(CK323/CK304,"n/a")</f>
        <v>n/a</v>
      </c>
      <c r="CL324" s="225" t="str">
        <f t="shared" ref="CL324" si="4641">++IFERROR(CL323/CL304,"n/a")</f>
        <v>n/a</v>
      </c>
      <c r="CM324" s="225" t="str">
        <f t="shared" ref="CM324" si="4642">++IFERROR(CM323/CM304,"n/a")</f>
        <v>n/a</v>
      </c>
      <c r="CN324" s="225" t="str">
        <f t="shared" ref="CN324" si="4643">++IFERROR(CN323/CN304,"n/a")</f>
        <v>n/a</v>
      </c>
      <c r="CO324" s="225" t="str">
        <f t="shared" ref="CO324" si="4644">++IFERROR(CO323/CO304,"n/a")</f>
        <v>n/a</v>
      </c>
      <c r="CP324" s="225" t="str">
        <f t="shared" ref="CP324" si="4645">++IFERROR(CP323/CP304,"n/a")</f>
        <v>n/a</v>
      </c>
      <c r="CQ324" s="214" t="str">
        <f t="shared" ref="CQ324" si="4646">++IFERROR(CQ323/CQ304,"n/a")</f>
        <v>n/a</v>
      </c>
      <c r="CR324" s="225" t="str">
        <f t="shared" ref="CR324" si="4647">++IFERROR(CR323/CR304,"n/a")</f>
        <v>n/a</v>
      </c>
      <c r="CS324" s="225" t="str">
        <f t="shared" ref="CS324" si="4648">++IFERROR(CS323/CS304,"n/a")</f>
        <v>n/a</v>
      </c>
      <c r="CT324" s="225" t="str">
        <f t="shared" ref="CT324" si="4649">++IFERROR(CT323/CT304,"n/a")</f>
        <v>n/a</v>
      </c>
      <c r="CU324" s="225" t="str">
        <f t="shared" ref="CU324" si="4650">++IFERROR(CU323/CU304,"n/a")</f>
        <v>n/a</v>
      </c>
      <c r="CV324" s="225" t="str">
        <f t="shared" ref="CV324" si="4651">++IFERROR(CV323/CV304,"n/a")</f>
        <v>n/a</v>
      </c>
      <c r="CW324" s="225" t="str">
        <f t="shared" ref="CW324" si="4652">++IFERROR(CW323/CW304,"n/a")</f>
        <v>n/a</v>
      </c>
      <c r="CX324" s="225" t="str">
        <f t="shared" ref="CX324" si="4653">++IFERROR(CX323/CX304,"n/a")</f>
        <v>n/a</v>
      </c>
      <c r="CY324" s="225" t="str">
        <f t="shared" ref="CY324" si="4654">++IFERROR(CY323/CY304,"n/a")</f>
        <v>n/a</v>
      </c>
      <c r="CZ324" s="225" t="str">
        <f t="shared" ref="CZ324" si="4655">++IFERROR(CZ323/CZ304,"n/a")</f>
        <v>n/a</v>
      </c>
      <c r="DA324" s="225" t="str">
        <f t="shared" ref="DA324" si="4656">++IFERROR(DA323/DA304,"n/a")</f>
        <v>n/a</v>
      </c>
      <c r="DB324" s="225" t="str">
        <f t="shared" ref="DB324" si="4657">++IFERROR(DB323/DB304,"n/a")</f>
        <v>n/a</v>
      </c>
      <c r="DC324" s="214" t="str">
        <f t="shared" ref="DC324" si="4658">++IFERROR(DC323/DC304,"n/a")</f>
        <v>n/a</v>
      </c>
    </row>
    <row r="325" spans="3:107" x14ac:dyDescent="0.3">
      <c r="C325" s="321" t="str">
        <f>++C$31</f>
        <v>% y/y</v>
      </c>
      <c r="G325" s="122" t="s">
        <v>47</v>
      </c>
      <c r="H325" s="122" t="s">
        <v>47</v>
      </c>
      <c r="I325" s="122" t="s">
        <v>47</v>
      </c>
      <c r="J325" s="122" t="s">
        <v>47</v>
      </c>
      <c r="K325" s="214" t="str">
        <f>++IFERROR(K323/G323-1,"n/a")</f>
        <v>n/a</v>
      </c>
      <c r="L325" s="122" t="s">
        <v>47</v>
      </c>
      <c r="M325" s="122" t="s">
        <v>47</v>
      </c>
      <c r="N325" s="225" t="str">
        <f>++IFERROR(N323/H323-1,"n/a")</f>
        <v>n/a</v>
      </c>
      <c r="O325" s="122" t="s">
        <v>47</v>
      </c>
      <c r="P325" s="122" t="s">
        <v>47</v>
      </c>
      <c r="Q325" s="225" t="str">
        <f>++IFERROR(Q323/I323-1,"n/a")</f>
        <v>n/a</v>
      </c>
      <c r="R325" s="122" t="s">
        <v>47</v>
      </c>
      <c r="S325" s="122" t="s">
        <v>47</v>
      </c>
      <c r="T325" s="225" t="str">
        <f>++IFERROR(T323/J323-1,"n/a")</f>
        <v>n/a</v>
      </c>
      <c r="U325" s="122" t="s">
        <v>47</v>
      </c>
      <c r="V325" s="122" t="s">
        <v>47</v>
      </c>
      <c r="W325" s="214" t="str">
        <f t="shared" ref="W325:BB325" si="4659">++IFERROR(W323/K323-1,"n/a")</f>
        <v>n/a</v>
      </c>
      <c r="X325" s="225" t="str">
        <f t="shared" si="4659"/>
        <v>n/a</v>
      </c>
      <c r="Y325" s="225" t="str">
        <f t="shared" si="4659"/>
        <v>n/a</v>
      </c>
      <c r="Z325" s="225" t="str">
        <f t="shared" si="4659"/>
        <v>n/a</v>
      </c>
      <c r="AA325" s="225" t="str">
        <f t="shared" si="4659"/>
        <v>n/a</v>
      </c>
      <c r="AB325" s="225" t="str">
        <f t="shared" si="4659"/>
        <v>n/a</v>
      </c>
      <c r="AC325" s="225" t="str">
        <f t="shared" si="4659"/>
        <v>n/a</v>
      </c>
      <c r="AD325" s="225" t="str">
        <f t="shared" si="4659"/>
        <v>n/a</v>
      </c>
      <c r="AE325" s="225" t="str">
        <f t="shared" si="4659"/>
        <v>n/a</v>
      </c>
      <c r="AF325" s="225" t="str">
        <f t="shared" si="4659"/>
        <v>n/a</v>
      </c>
      <c r="AG325" s="225" t="str">
        <f t="shared" si="4659"/>
        <v>n/a</v>
      </c>
      <c r="AH325" s="225" t="str">
        <f t="shared" si="4659"/>
        <v>n/a</v>
      </c>
      <c r="AI325" s="214" t="str">
        <f t="shared" si="4659"/>
        <v>n/a</v>
      </c>
      <c r="AJ325" s="225" t="str">
        <f t="shared" si="4659"/>
        <v>n/a</v>
      </c>
      <c r="AK325" s="225" t="str">
        <f t="shared" si="4659"/>
        <v>n/a</v>
      </c>
      <c r="AL325" s="225" t="str">
        <f t="shared" si="4659"/>
        <v>n/a</v>
      </c>
      <c r="AM325" s="225" t="str">
        <f t="shared" si="4659"/>
        <v>n/a</v>
      </c>
      <c r="AN325" s="225" t="str">
        <f t="shared" si="4659"/>
        <v>n/a</v>
      </c>
      <c r="AO325" s="225" t="str">
        <f t="shared" si="4659"/>
        <v>n/a</v>
      </c>
      <c r="AP325" s="225" t="str">
        <f t="shared" si="4659"/>
        <v>n/a</v>
      </c>
      <c r="AQ325" s="225" t="str">
        <f t="shared" si="4659"/>
        <v>n/a</v>
      </c>
      <c r="AR325" s="225" t="str">
        <f t="shared" si="4659"/>
        <v>n/a</v>
      </c>
      <c r="AS325" s="225" t="str">
        <f t="shared" si="4659"/>
        <v>n/a</v>
      </c>
      <c r="AT325" s="225" t="str">
        <f t="shared" si="4659"/>
        <v>n/a</v>
      </c>
      <c r="AU325" s="214" t="str">
        <f t="shared" si="4659"/>
        <v>n/a</v>
      </c>
      <c r="AV325" s="225" t="str">
        <f t="shared" si="4659"/>
        <v>n/a</v>
      </c>
      <c r="AW325" s="225" t="str">
        <f t="shared" si="4659"/>
        <v>n/a</v>
      </c>
      <c r="AX325" s="225" t="str">
        <f t="shared" si="4659"/>
        <v>n/a</v>
      </c>
      <c r="AY325" s="225" t="str">
        <f t="shared" si="4659"/>
        <v>n/a</v>
      </c>
      <c r="AZ325" s="225" t="str">
        <f t="shared" si="4659"/>
        <v>n/a</v>
      </c>
      <c r="BA325" s="225" t="str">
        <f t="shared" si="4659"/>
        <v>n/a</v>
      </c>
      <c r="BB325" s="225" t="str">
        <f t="shared" si="4659"/>
        <v>n/a</v>
      </c>
      <c r="BC325" s="225" t="str">
        <f t="shared" ref="BC325:CH325" si="4660">++IFERROR(BC323/AQ323-1,"n/a")</f>
        <v>n/a</v>
      </c>
      <c r="BD325" s="225" t="str">
        <f t="shared" si="4660"/>
        <v>n/a</v>
      </c>
      <c r="BE325" s="225" t="str">
        <f t="shared" si="4660"/>
        <v>n/a</v>
      </c>
      <c r="BF325" s="225" t="str">
        <f t="shared" si="4660"/>
        <v>n/a</v>
      </c>
      <c r="BG325" s="214" t="str">
        <f t="shared" si="4660"/>
        <v>n/a</v>
      </c>
      <c r="BH325" s="225" t="str">
        <f t="shared" si="4660"/>
        <v>n/a</v>
      </c>
      <c r="BI325" s="225" t="str">
        <f t="shared" si="4660"/>
        <v>n/a</v>
      </c>
      <c r="BJ325" s="225" t="str">
        <f t="shared" si="4660"/>
        <v>n/a</v>
      </c>
      <c r="BK325" s="225" t="str">
        <f t="shared" si="4660"/>
        <v>n/a</v>
      </c>
      <c r="BL325" s="225" t="str">
        <f t="shared" si="4660"/>
        <v>n/a</v>
      </c>
      <c r="BM325" s="225" t="str">
        <f t="shared" si="4660"/>
        <v>n/a</v>
      </c>
      <c r="BN325" s="225" t="str">
        <f t="shared" si="4660"/>
        <v>n/a</v>
      </c>
      <c r="BO325" s="225" t="str">
        <f t="shared" si="4660"/>
        <v>n/a</v>
      </c>
      <c r="BP325" s="225" t="str">
        <f t="shared" si="4660"/>
        <v>n/a</v>
      </c>
      <c r="BQ325" s="225" t="str">
        <f t="shared" si="4660"/>
        <v>n/a</v>
      </c>
      <c r="BR325" s="225" t="str">
        <f t="shared" si="4660"/>
        <v>n/a</v>
      </c>
      <c r="BS325" s="214" t="str">
        <f t="shared" si="4660"/>
        <v>n/a</v>
      </c>
      <c r="BT325" s="225" t="str">
        <f t="shared" si="4660"/>
        <v>n/a</v>
      </c>
      <c r="BU325" s="225" t="str">
        <f t="shared" si="4660"/>
        <v>n/a</v>
      </c>
      <c r="BV325" s="225" t="str">
        <f t="shared" si="4660"/>
        <v>n/a</v>
      </c>
      <c r="BW325" s="225" t="str">
        <f t="shared" si="4660"/>
        <v>n/a</v>
      </c>
      <c r="BX325" s="225" t="str">
        <f t="shared" si="4660"/>
        <v>n/a</v>
      </c>
      <c r="BY325" s="225" t="str">
        <f t="shared" si="4660"/>
        <v>n/a</v>
      </c>
      <c r="BZ325" s="225" t="str">
        <f t="shared" si="4660"/>
        <v>n/a</v>
      </c>
      <c r="CA325" s="225" t="str">
        <f t="shared" si="4660"/>
        <v>n/a</v>
      </c>
      <c r="CB325" s="225" t="str">
        <f t="shared" si="4660"/>
        <v>n/a</v>
      </c>
      <c r="CC325" s="225" t="str">
        <f t="shared" si="4660"/>
        <v>n/a</v>
      </c>
      <c r="CD325" s="225" t="str">
        <f t="shared" si="4660"/>
        <v>n/a</v>
      </c>
      <c r="CE325" s="214" t="str">
        <f t="shared" si="4660"/>
        <v>n/a</v>
      </c>
      <c r="CF325" s="225" t="str">
        <f t="shared" si="4660"/>
        <v>n/a</v>
      </c>
      <c r="CG325" s="225" t="str">
        <f t="shared" si="4660"/>
        <v>n/a</v>
      </c>
      <c r="CH325" s="225" t="str">
        <f t="shared" si="4660"/>
        <v>n/a</v>
      </c>
      <c r="CI325" s="225" t="str">
        <f t="shared" ref="CI325:DN325" si="4661">++IFERROR(CI323/BW323-1,"n/a")</f>
        <v>n/a</v>
      </c>
      <c r="CJ325" s="225" t="str">
        <f t="shared" si="4661"/>
        <v>n/a</v>
      </c>
      <c r="CK325" s="225" t="str">
        <f t="shared" si="4661"/>
        <v>n/a</v>
      </c>
      <c r="CL325" s="225" t="str">
        <f t="shared" si="4661"/>
        <v>n/a</v>
      </c>
      <c r="CM325" s="225" t="str">
        <f t="shared" si="4661"/>
        <v>n/a</v>
      </c>
      <c r="CN325" s="225" t="str">
        <f t="shared" si="4661"/>
        <v>n/a</v>
      </c>
      <c r="CO325" s="225" t="str">
        <f t="shared" si="4661"/>
        <v>n/a</v>
      </c>
      <c r="CP325" s="225" t="str">
        <f t="shared" si="4661"/>
        <v>n/a</v>
      </c>
      <c r="CQ325" s="214" t="str">
        <f t="shared" si="4661"/>
        <v>n/a</v>
      </c>
      <c r="CR325" s="225" t="str">
        <f t="shared" si="4661"/>
        <v>n/a</v>
      </c>
      <c r="CS325" s="225" t="str">
        <f t="shared" si="4661"/>
        <v>n/a</v>
      </c>
      <c r="CT325" s="225" t="str">
        <f t="shared" si="4661"/>
        <v>n/a</v>
      </c>
      <c r="CU325" s="225" t="str">
        <f t="shared" si="4661"/>
        <v>n/a</v>
      </c>
      <c r="CV325" s="225" t="str">
        <f t="shared" si="4661"/>
        <v>n/a</v>
      </c>
      <c r="CW325" s="225" t="str">
        <f t="shared" si="4661"/>
        <v>n/a</v>
      </c>
      <c r="CX325" s="225" t="str">
        <f t="shared" si="4661"/>
        <v>n/a</v>
      </c>
      <c r="CY325" s="225" t="str">
        <f t="shared" si="4661"/>
        <v>n/a</v>
      </c>
      <c r="CZ325" s="225" t="str">
        <f t="shared" si="4661"/>
        <v>n/a</v>
      </c>
      <c r="DA325" s="225" t="str">
        <f t="shared" si="4661"/>
        <v>n/a</v>
      </c>
      <c r="DB325" s="225" t="str">
        <f t="shared" si="4661"/>
        <v>n/a</v>
      </c>
      <c r="DC325" s="214" t="str">
        <f t="shared" si="4661"/>
        <v>n/a</v>
      </c>
    </row>
    <row r="326" spans="3:107" x14ac:dyDescent="0.3">
      <c r="G326" s="203"/>
      <c r="K326" s="203"/>
      <c r="W326" s="203"/>
      <c r="AI326" s="203"/>
      <c r="AU326" s="203"/>
      <c r="BG326" s="203"/>
      <c r="BS326" s="203"/>
      <c r="CE326" s="203"/>
      <c r="CQ326" s="203"/>
      <c r="DC326" s="203"/>
    </row>
    <row r="327" spans="3:107" x14ac:dyDescent="0.3">
      <c r="C327" s="101" t="str">
        <f>++C$33</f>
        <v>Tax Expense (Benefit)</v>
      </c>
      <c r="G327" s="45">
        <v>0</v>
      </c>
      <c r="H327" s="45">
        <v>0</v>
      </c>
      <c r="I327" s="45">
        <v>0</v>
      </c>
      <c r="J327" s="45">
        <v>0</v>
      </c>
      <c r="K327" s="45">
        <v>0</v>
      </c>
      <c r="L327" s="45">
        <v>0</v>
      </c>
      <c r="M327" s="45">
        <v>0</v>
      </c>
      <c r="N327" s="45">
        <v>0</v>
      </c>
      <c r="O327" s="45">
        <v>0</v>
      </c>
      <c r="P327" s="45">
        <v>0</v>
      </c>
      <c r="Q327" s="45">
        <v>0</v>
      </c>
      <c r="R327" s="45">
        <v>0</v>
      </c>
      <c r="S327" s="45">
        <v>0</v>
      </c>
      <c r="T327" s="45">
        <v>0</v>
      </c>
      <c r="U327" s="45">
        <v>0</v>
      </c>
      <c r="V327" s="45">
        <v>0</v>
      </c>
      <c r="W327" s="45">
        <v>0</v>
      </c>
      <c r="X327" s="45">
        <v>0</v>
      </c>
      <c r="Y327" s="45">
        <v>0</v>
      </c>
      <c r="Z327" s="45">
        <v>0</v>
      </c>
      <c r="AA327" s="45">
        <v>0</v>
      </c>
      <c r="AB327" s="45">
        <v>0</v>
      </c>
      <c r="AC327" s="45">
        <v>0</v>
      </c>
      <c r="AD327" s="45">
        <v>0</v>
      </c>
      <c r="AE327" s="45">
        <v>0</v>
      </c>
      <c r="AF327" s="45">
        <v>0</v>
      </c>
      <c r="AG327" s="45">
        <v>0</v>
      </c>
      <c r="AH327" s="45">
        <v>0</v>
      </c>
      <c r="AI327" s="45">
        <v>0</v>
      </c>
      <c r="AJ327" s="45">
        <v>0</v>
      </c>
      <c r="AK327" s="45">
        <v>0</v>
      </c>
      <c r="AL327" s="45">
        <v>0</v>
      </c>
      <c r="AM327" s="45">
        <v>0</v>
      </c>
      <c r="AN327" s="45">
        <v>0</v>
      </c>
      <c r="AO327" s="45">
        <v>0</v>
      </c>
      <c r="AP327" s="45">
        <v>0</v>
      </c>
      <c r="AQ327" s="45">
        <v>0</v>
      </c>
      <c r="AR327" s="45">
        <v>0</v>
      </c>
      <c r="AS327" s="45">
        <v>0</v>
      </c>
      <c r="AT327" s="45">
        <v>0</v>
      </c>
      <c r="AU327" s="45">
        <v>0</v>
      </c>
      <c r="AV327" s="45">
        <v>0</v>
      </c>
      <c r="AW327" s="45">
        <v>0</v>
      </c>
      <c r="AX327" s="45">
        <v>0</v>
      </c>
      <c r="AY327" s="45">
        <v>0</v>
      </c>
      <c r="AZ327" s="45">
        <v>0</v>
      </c>
      <c r="BA327" s="45">
        <v>0</v>
      </c>
      <c r="BB327" s="45">
        <v>0</v>
      </c>
      <c r="BC327" s="45">
        <v>0</v>
      </c>
      <c r="BD327" s="45">
        <v>0</v>
      </c>
      <c r="BE327" s="45">
        <v>0</v>
      </c>
      <c r="BF327" s="45">
        <v>0</v>
      </c>
      <c r="BG327" s="45">
        <v>0</v>
      </c>
      <c r="BH327" s="45">
        <v>0</v>
      </c>
      <c r="BI327" s="45">
        <v>0</v>
      </c>
      <c r="BJ327" s="45">
        <v>0</v>
      </c>
      <c r="BK327" s="45">
        <v>0</v>
      </c>
      <c r="BL327" s="45">
        <v>0</v>
      </c>
      <c r="BM327" s="45">
        <v>0</v>
      </c>
      <c r="BN327" s="45">
        <v>0</v>
      </c>
      <c r="BO327" s="45">
        <v>0</v>
      </c>
      <c r="BP327" s="45">
        <v>0</v>
      </c>
      <c r="BQ327" s="45">
        <v>0</v>
      </c>
      <c r="BR327" s="45">
        <v>0</v>
      </c>
      <c r="BS327" s="45">
        <v>0</v>
      </c>
      <c r="BT327" s="45">
        <v>0</v>
      </c>
      <c r="BU327" s="45">
        <v>0</v>
      </c>
      <c r="BV327" s="45">
        <v>0</v>
      </c>
      <c r="BW327" s="45">
        <v>0</v>
      </c>
      <c r="BX327" s="45">
        <v>0</v>
      </c>
      <c r="BY327" s="45">
        <v>0</v>
      </c>
      <c r="BZ327" s="45">
        <v>0</v>
      </c>
      <c r="CA327" s="45">
        <v>0</v>
      </c>
      <c r="CB327" s="45">
        <v>0</v>
      </c>
      <c r="CC327" s="45">
        <v>0</v>
      </c>
      <c r="CD327" s="45">
        <v>0</v>
      </c>
      <c r="CE327" s="45">
        <v>0</v>
      </c>
      <c r="CF327" s="45">
        <v>0</v>
      </c>
      <c r="CG327" s="45">
        <v>0</v>
      </c>
      <c r="CH327" s="45">
        <v>0</v>
      </c>
      <c r="CI327" s="45">
        <v>0</v>
      </c>
      <c r="CJ327" s="45">
        <v>0</v>
      </c>
      <c r="CK327" s="45">
        <v>0</v>
      </c>
      <c r="CL327" s="45">
        <v>0</v>
      </c>
      <c r="CM327" s="45">
        <v>0</v>
      </c>
      <c r="CN327" s="45">
        <v>0</v>
      </c>
      <c r="CO327" s="45">
        <v>0</v>
      </c>
      <c r="CP327" s="45">
        <v>0</v>
      </c>
      <c r="CQ327" s="45">
        <v>0</v>
      </c>
      <c r="CR327" s="45">
        <v>0</v>
      </c>
      <c r="CS327" s="45">
        <v>0</v>
      </c>
      <c r="CT327" s="45">
        <v>0</v>
      </c>
      <c r="CU327" s="45">
        <v>0</v>
      </c>
      <c r="CV327" s="45">
        <v>0</v>
      </c>
      <c r="CW327" s="45">
        <v>0</v>
      </c>
      <c r="CX327" s="45">
        <v>0</v>
      </c>
      <c r="CY327" s="45">
        <v>0</v>
      </c>
      <c r="CZ327" s="45">
        <v>0</v>
      </c>
      <c r="DA327" s="45">
        <v>0</v>
      </c>
      <c r="DB327" s="45">
        <v>0</v>
      </c>
      <c r="DC327" s="45">
        <v>0</v>
      </c>
    </row>
    <row r="328" spans="3:107" x14ac:dyDescent="0.3">
      <c r="C328" s="321" t="str">
        <f>++C$34</f>
        <v>% effective rate</v>
      </c>
      <c r="G328" s="214" t="str">
        <f>++IFERROR(G327/G323,"n/a")</f>
        <v>n/a</v>
      </c>
      <c r="H328" s="225" t="str">
        <f t="shared" ref="H328" si="4662">++IFERROR(H327/H323,"n/a")</f>
        <v>n/a</v>
      </c>
      <c r="I328" s="225" t="str">
        <f t="shared" ref="I328" si="4663">++IFERROR(I327/I323,"n/a")</f>
        <v>n/a</v>
      </c>
      <c r="J328" s="225" t="str">
        <f t="shared" ref="J328" si="4664">++IFERROR(J327/J323,"n/a")</f>
        <v>n/a</v>
      </c>
      <c r="K328" s="214" t="str">
        <f t="shared" ref="K328" si="4665">++IFERROR(K327/K323,"n/a")</f>
        <v>n/a</v>
      </c>
      <c r="L328" s="225" t="str">
        <f t="shared" ref="L328" si="4666">++IFERROR(L327/L323,"n/a")</f>
        <v>n/a</v>
      </c>
      <c r="M328" s="225" t="str">
        <f t="shared" ref="M328" si="4667">++IFERROR(M327/M323,"n/a")</f>
        <v>n/a</v>
      </c>
      <c r="N328" s="225" t="str">
        <f t="shared" ref="N328" si="4668">++IFERROR(N327/N323,"n/a")</f>
        <v>n/a</v>
      </c>
      <c r="O328" s="225" t="str">
        <f t="shared" ref="O328" si="4669">++IFERROR(O327/O323,"n/a")</f>
        <v>n/a</v>
      </c>
      <c r="P328" s="225" t="str">
        <f t="shared" ref="P328" si="4670">++IFERROR(P327/P323,"n/a")</f>
        <v>n/a</v>
      </c>
      <c r="Q328" s="225" t="str">
        <f t="shared" ref="Q328" si="4671">++IFERROR(Q327/Q323,"n/a")</f>
        <v>n/a</v>
      </c>
      <c r="R328" s="225" t="str">
        <f t="shared" ref="R328" si="4672">++IFERROR(R327/R323,"n/a")</f>
        <v>n/a</v>
      </c>
      <c r="S328" s="225" t="str">
        <f t="shared" ref="S328" si="4673">++IFERROR(S327/S323,"n/a")</f>
        <v>n/a</v>
      </c>
      <c r="T328" s="225" t="str">
        <f t="shared" ref="T328" si="4674">++IFERROR(T327/T323,"n/a")</f>
        <v>n/a</v>
      </c>
      <c r="U328" s="225" t="str">
        <f t="shared" ref="U328" si="4675">++IFERROR(U327/U323,"n/a")</f>
        <v>n/a</v>
      </c>
      <c r="V328" s="225" t="str">
        <f t="shared" ref="V328" si="4676">++IFERROR(V327/V323,"n/a")</f>
        <v>n/a</v>
      </c>
      <c r="W328" s="214" t="str">
        <f t="shared" ref="W328" si="4677">++IFERROR(W327/W323,"n/a")</f>
        <v>n/a</v>
      </c>
      <c r="X328" s="225" t="str">
        <f t="shared" ref="X328" si="4678">++IFERROR(X327/X323,"n/a")</f>
        <v>n/a</v>
      </c>
      <c r="Y328" s="225" t="str">
        <f t="shared" ref="Y328" si="4679">++IFERROR(Y327/Y323,"n/a")</f>
        <v>n/a</v>
      </c>
      <c r="Z328" s="225" t="str">
        <f t="shared" ref="Z328" si="4680">++IFERROR(Z327/Z323,"n/a")</f>
        <v>n/a</v>
      </c>
      <c r="AA328" s="225" t="str">
        <f t="shared" ref="AA328" si="4681">++IFERROR(AA327/AA323,"n/a")</f>
        <v>n/a</v>
      </c>
      <c r="AB328" s="225" t="str">
        <f t="shared" ref="AB328" si="4682">++IFERROR(AB327/AB323,"n/a")</f>
        <v>n/a</v>
      </c>
      <c r="AC328" s="225" t="str">
        <f t="shared" ref="AC328" si="4683">++IFERROR(AC327/AC323,"n/a")</f>
        <v>n/a</v>
      </c>
      <c r="AD328" s="225" t="str">
        <f t="shared" ref="AD328" si="4684">++IFERROR(AD327/AD323,"n/a")</f>
        <v>n/a</v>
      </c>
      <c r="AE328" s="225" t="str">
        <f t="shared" ref="AE328" si="4685">++IFERROR(AE327/AE323,"n/a")</f>
        <v>n/a</v>
      </c>
      <c r="AF328" s="225" t="str">
        <f t="shared" ref="AF328" si="4686">++IFERROR(AF327/AF323,"n/a")</f>
        <v>n/a</v>
      </c>
      <c r="AG328" s="225" t="str">
        <f t="shared" ref="AG328" si="4687">++IFERROR(AG327/AG323,"n/a")</f>
        <v>n/a</v>
      </c>
      <c r="AH328" s="225" t="str">
        <f t="shared" ref="AH328" si="4688">++IFERROR(AH327/AH323,"n/a")</f>
        <v>n/a</v>
      </c>
      <c r="AI328" s="214" t="str">
        <f t="shared" ref="AI328" si="4689">++IFERROR(AI327/AI323,"n/a")</f>
        <v>n/a</v>
      </c>
      <c r="AJ328" s="225" t="str">
        <f t="shared" ref="AJ328" si="4690">++IFERROR(AJ327/AJ323,"n/a")</f>
        <v>n/a</v>
      </c>
      <c r="AK328" s="225" t="str">
        <f t="shared" ref="AK328" si="4691">++IFERROR(AK327/AK323,"n/a")</f>
        <v>n/a</v>
      </c>
      <c r="AL328" s="225" t="str">
        <f t="shared" ref="AL328" si="4692">++IFERROR(AL327/AL323,"n/a")</f>
        <v>n/a</v>
      </c>
      <c r="AM328" s="225" t="str">
        <f t="shared" ref="AM328" si="4693">++IFERROR(AM327/AM323,"n/a")</f>
        <v>n/a</v>
      </c>
      <c r="AN328" s="225" t="str">
        <f t="shared" ref="AN328" si="4694">++IFERROR(AN327/AN323,"n/a")</f>
        <v>n/a</v>
      </c>
      <c r="AO328" s="225" t="str">
        <f t="shared" ref="AO328" si="4695">++IFERROR(AO327/AO323,"n/a")</f>
        <v>n/a</v>
      </c>
      <c r="AP328" s="225" t="str">
        <f t="shared" ref="AP328" si="4696">++IFERROR(AP327/AP323,"n/a")</f>
        <v>n/a</v>
      </c>
      <c r="AQ328" s="225" t="str">
        <f t="shared" ref="AQ328" si="4697">++IFERROR(AQ327/AQ323,"n/a")</f>
        <v>n/a</v>
      </c>
      <c r="AR328" s="225" t="str">
        <f t="shared" ref="AR328" si="4698">++IFERROR(AR327/AR323,"n/a")</f>
        <v>n/a</v>
      </c>
      <c r="AS328" s="225" t="str">
        <f t="shared" ref="AS328" si="4699">++IFERROR(AS327/AS323,"n/a")</f>
        <v>n/a</v>
      </c>
      <c r="AT328" s="225" t="str">
        <f t="shared" ref="AT328" si="4700">++IFERROR(AT327/AT323,"n/a")</f>
        <v>n/a</v>
      </c>
      <c r="AU328" s="214" t="str">
        <f t="shared" ref="AU328" si="4701">++IFERROR(AU327/AU323,"n/a")</f>
        <v>n/a</v>
      </c>
      <c r="AV328" s="225" t="str">
        <f t="shared" ref="AV328" si="4702">++IFERROR(AV327/AV323,"n/a")</f>
        <v>n/a</v>
      </c>
      <c r="AW328" s="225" t="str">
        <f t="shared" ref="AW328" si="4703">++IFERROR(AW327/AW323,"n/a")</f>
        <v>n/a</v>
      </c>
      <c r="AX328" s="225" t="str">
        <f t="shared" ref="AX328" si="4704">++IFERROR(AX327/AX323,"n/a")</f>
        <v>n/a</v>
      </c>
      <c r="AY328" s="225" t="str">
        <f t="shared" ref="AY328" si="4705">++IFERROR(AY327/AY323,"n/a")</f>
        <v>n/a</v>
      </c>
      <c r="AZ328" s="225" t="str">
        <f t="shared" ref="AZ328" si="4706">++IFERROR(AZ327/AZ323,"n/a")</f>
        <v>n/a</v>
      </c>
      <c r="BA328" s="225" t="str">
        <f t="shared" ref="BA328" si="4707">++IFERROR(BA327/BA323,"n/a")</f>
        <v>n/a</v>
      </c>
      <c r="BB328" s="225" t="str">
        <f t="shared" ref="BB328" si="4708">++IFERROR(BB327/BB323,"n/a")</f>
        <v>n/a</v>
      </c>
      <c r="BC328" s="225" t="str">
        <f t="shared" ref="BC328" si="4709">++IFERROR(BC327/BC323,"n/a")</f>
        <v>n/a</v>
      </c>
      <c r="BD328" s="225" t="str">
        <f t="shared" ref="BD328" si="4710">++IFERROR(BD327/BD323,"n/a")</f>
        <v>n/a</v>
      </c>
      <c r="BE328" s="225" t="str">
        <f t="shared" ref="BE328" si="4711">++IFERROR(BE327/BE323,"n/a")</f>
        <v>n/a</v>
      </c>
      <c r="BF328" s="225" t="str">
        <f t="shared" ref="BF328" si="4712">++IFERROR(BF327/BF323,"n/a")</f>
        <v>n/a</v>
      </c>
      <c r="BG328" s="214" t="str">
        <f t="shared" ref="BG328" si="4713">++IFERROR(BG327/BG323,"n/a")</f>
        <v>n/a</v>
      </c>
      <c r="BH328" s="225" t="str">
        <f t="shared" ref="BH328" si="4714">++IFERROR(BH327/BH323,"n/a")</f>
        <v>n/a</v>
      </c>
      <c r="BI328" s="225" t="str">
        <f t="shared" ref="BI328" si="4715">++IFERROR(BI327/BI323,"n/a")</f>
        <v>n/a</v>
      </c>
      <c r="BJ328" s="225" t="str">
        <f t="shared" ref="BJ328" si="4716">++IFERROR(BJ327/BJ323,"n/a")</f>
        <v>n/a</v>
      </c>
      <c r="BK328" s="225" t="str">
        <f t="shared" ref="BK328" si="4717">++IFERROR(BK327/BK323,"n/a")</f>
        <v>n/a</v>
      </c>
      <c r="BL328" s="225" t="str">
        <f t="shared" ref="BL328" si="4718">++IFERROR(BL327/BL323,"n/a")</f>
        <v>n/a</v>
      </c>
      <c r="BM328" s="225" t="str">
        <f t="shared" ref="BM328" si="4719">++IFERROR(BM327/BM323,"n/a")</f>
        <v>n/a</v>
      </c>
      <c r="BN328" s="225" t="str">
        <f t="shared" ref="BN328" si="4720">++IFERROR(BN327/BN323,"n/a")</f>
        <v>n/a</v>
      </c>
      <c r="BO328" s="225" t="str">
        <f t="shared" ref="BO328" si="4721">++IFERROR(BO327/BO323,"n/a")</f>
        <v>n/a</v>
      </c>
      <c r="BP328" s="225" t="str">
        <f t="shared" ref="BP328" si="4722">++IFERROR(BP327/BP323,"n/a")</f>
        <v>n/a</v>
      </c>
      <c r="BQ328" s="225" t="str">
        <f t="shared" ref="BQ328" si="4723">++IFERROR(BQ327/BQ323,"n/a")</f>
        <v>n/a</v>
      </c>
      <c r="BR328" s="225" t="str">
        <f t="shared" ref="BR328" si="4724">++IFERROR(BR327/BR323,"n/a")</f>
        <v>n/a</v>
      </c>
      <c r="BS328" s="214" t="str">
        <f t="shared" ref="BS328" si="4725">++IFERROR(BS327/BS323,"n/a")</f>
        <v>n/a</v>
      </c>
      <c r="BT328" s="225" t="str">
        <f t="shared" ref="BT328" si="4726">++IFERROR(BT327/BT323,"n/a")</f>
        <v>n/a</v>
      </c>
      <c r="BU328" s="225" t="str">
        <f t="shared" ref="BU328" si="4727">++IFERROR(BU327/BU323,"n/a")</f>
        <v>n/a</v>
      </c>
      <c r="BV328" s="225" t="str">
        <f t="shared" ref="BV328" si="4728">++IFERROR(BV327/BV323,"n/a")</f>
        <v>n/a</v>
      </c>
      <c r="BW328" s="225" t="str">
        <f t="shared" ref="BW328" si="4729">++IFERROR(BW327/BW323,"n/a")</f>
        <v>n/a</v>
      </c>
      <c r="BX328" s="225" t="str">
        <f t="shared" ref="BX328" si="4730">++IFERROR(BX327/BX323,"n/a")</f>
        <v>n/a</v>
      </c>
      <c r="BY328" s="225" t="str">
        <f t="shared" ref="BY328" si="4731">++IFERROR(BY327/BY323,"n/a")</f>
        <v>n/a</v>
      </c>
      <c r="BZ328" s="225" t="str">
        <f t="shared" ref="BZ328" si="4732">++IFERROR(BZ327/BZ323,"n/a")</f>
        <v>n/a</v>
      </c>
      <c r="CA328" s="225" t="str">
        <f t="shared" ref="CA328" si="4733">++IFERROR(CA327/CA323,"n/a")</f>
        <v>n/a</v>
      </c>
      <c r="CB328" s="225" t="str">
        <f t="shared" ref="CB328" si="4734">++IFERROR(CB327/CB323,"n/a")</f>
        <v>n/a</v>
      </c>
      <c r="CC328" s="225" t="str">
        <f t="shared" ref="CC328" si="4735">++IFERROR(CC327/CC323,"n/a")</f>
        <v>n/a</v>
      </c>
      <c r="CD328" s="225" t="str">
        <f t="shared" ref="CD328" si="4736">++IFERROR(CD327/CD323,"n/a")</f>
        <v>n/a</v>
      </c>
      <c r="CE328" s="214" t="str">
        <f t="shared" ref="CE328" si="4737">++IFERROR(CE327/CE323,"n/a")</f>
        <v>n/a</v>
      </c>
      <c r="CF328" s="225" t="str">
        <f t="shared" ref="CF328" si="4738">++IFERROR(CF327/CF323,"n/a")</f>
        <v>n/a</v>
      </c>
      <c r="CG328" s="225" t="str">
        <f t="shared" ref="CG328" si="4739">++IFERROR(CG327/CG323,"n/a")</f>
        <v>n/a</v>
      </c>
      <c r="CH328" s="225" t="str">
        <f t="shared" ref="CH328" si="4740">++IFERROR(CH327/CH323,"n/a")</f>
        <v>n/a</v>
      </c>
      <c r="CI328" s="225" t="str">
        <f t="shared" ref="CI328" si="4741">++IFERROR(CI327/CI323,"n/a")</f>
        <v>n/a</v>
      </c>
      <c r="CJ328" s="225" t="str">
        <f t="shared" ref="CJ328" si="4742">++IFERROR(CJ327/CJ323,"n/a")</f>
        <v>n/a</v>
      </c>
      <c r="CK328" s="225" t="str">
        <f t="shared" ref="CK328" si="4743">++IFERROR(CK327/CK323,"n/a")</f>
        <v>n/a</v>
      </c>
      <c r="CL328" s="225" t="str">
        <f t="shared" ref="CL328" si="4744">++IFERROR(CL327/CL323,"n/a")</f>
        <v>n/a</v>
      </c>
      <c r="CM328" s="225" t="str">
        <f t="shared" ref="CM328" si="4745">++IFERROR(CM327/CM323,"n/a")</f>
        <v>n/a</v>
      </c>
      <c r="CN328" s="225" t="str">
        <f t="shared" ref="CN328" si="4746">++IFERROR(CN327/CN323,"n/a")</f>
        <v>n/a</v>
      </c>
      <c r="CO328" s="225" t="str">
        <f t="shared" ref="CO328" si="4747">++IFERROR(CO327/CO323,"n/a")</f>
        <v>n/a</v>
      </c>
      <c r="CP328" s="225" t="str">
        <f t="shared" ref="CP328" si="4748">++IFERROR(CP327/CP323,"n/a")</f>
        <v>n/a</v>
      </c>
      <c r="CQ328" s="214" t="str">
        <f t="shared" ref="CQ328" si="4749">++IFERROR(CQ327/CQ323,"n/a")</f>
        <v>n/a</v>
      </c>
      <c r="CR328" s="225" t="str">
        <f t="shared" ref="CR328" si="4750">++IFERROR(CR327/CR323,"n/a")</f>
        <v>n/a</v>
      </c>
      <c r="CS328" s="225" t="str">
        <f t="shared" ref="CS328" si="4751">++IFERROR(CS327/CS323,"n/a")</f>
        <v>n/a</v>
      </c>
      <c r="CT328" s="225" t="str">
        <f t="shared" ref="CT328" si="4752">++IFERROR(CT327/CT323,"n/a")</f>
        <v>n/a</v>
      </c>
      <c r="CU328" s="225" t="str">
        <f t="shared" ref="CU328" si="4753">++IFERROR(CU327/CU323,"n/a")</f>
        <v>n/a</v>
      </c>
      <c r="CV328" s="225" t="str">
        <f t="shared" ref="CV328" si="4754">++IFERROR(CV327/CV323,"n/a")</f>
        <v>n/a</v>
      </c>
      <c r="CW328" s="225" t="str">
        <f t="shared" ref="CW328" si="4755">++IFERROR(CW327/CW323,"n/a")</f>
        <v>n/a</v>
      </c>
      <c r="CX328" s="225" t="str">
        <f t="shared" ref="CX328" si="4756">++IFERROR(CX327/CX323,"n/a")</f>
        <v>n/a</v>
      </c>
      <c r="CY328" s="225" t="str">
        <f t="shared" ref="CY328" si="4757">++IFERROR(CY327/CY323,"n/a")</f>
        <v>n/a</v>
      </c>
      <c r="CZ328" s="225" t="str">
        <f t="shared" ref="CZ328" si="4758">++IFERROR(CZ327/CZ323,"n/a")</f>
        <v>n/a</v>
      </c>
      <c r="DA328" s="225" t="str">
        <f t="shared" ref="DA328" si="4759">++IFERROR(DA327/DA323,"n/a")</f>
        <v>n/a</v>
      </c>
      <c r="DB328" s="225" t="str">
        <f t="shared" ref="DB328" si="4760">++IFERROR(DB327/DB323,"n/a")</f>
        <v>n/a</v>
      </c>
      <c r="DC328" s="214" t="str">
        <f t="shared" ref="DC328" si="4761">++IFERROR(DC327/DC323,"n/a")</f>
        <v>n/a</v>
      </c>
    </row>
    <row r="329" spans="3:107" x14ac:dyDescent="0.3">
      <c r="G329" s="203"/>
      <c r="K329" s="203"/>
      <c r="W329" s="203"/>
      <c r="AI329" s="203"/>
      <c r="AU329" s="203"/>
      <c r="BG329" s="203"/>
      <c r="BS329" s="203"/>
      <c r="CE329" s="203"/>
      <c r="CQ329" s="203"/>
      <c r="DC329" s="203"/>
    </row>
    <row r="330" spans="3:107" ht="13.5" thickBot="1" x14ac:dyDescent="0.35">
      <c r="C330" s="369" t="str">
        <f>++C$36</f>
        <v>Net Income</v>
      </c>
      <c r="D330" s="370"/>
      <c r="E330" s="370"/>
      <c r="G330" s="435">
        <f>++G36</f>
        <v>0</v>
      </c>
      <c r="H330" s="435">
        <f t="shared" ref="H330:BS330" si="4762">++H36</f>
        <v>0</v>
      </c>
      <c r="I330" s="435">
        <f t="shared" si="4762"/>
        <v>0</v>
      </c>
      <c r="J330" s="435">
        <f t="shared" si="4762"/>
        <v>0</v>
      </c>
      <c r="K330" s="435">
        <f t="shared" si="4762"/>
        <v>0</v>
      </c>
      <c r="L330" s="435">
        <f t="shared" si="4762"/>
        <v>0</v>
      </c>
      <c r="M330" s="435">
        <f t="shared" si="4762"/>
        <v>0</v>
      </c>
      <c r="N330" s="435">
        <f t="shared" si="4762"/>
        <v>0</v>
      </c>
      <c r="O330" s="435">
        <f t="shared" si="4762"/>
        <v>0</v>
      </c>
      <c r="P330" s="435">
        <f t="shared" si="4762"/>
        <v>0</v>
      </c>
      <c r="Q330" s="435">
        <f t="shared" si="4762"/>
        <v>0</v>
      </c>
      <c r="R330" s="435">
        <f t="shared" si="4762"/>
        <v>0</v>
      </c>
      <c r="S330" s="435">
        <f t="shared" si="4762"/>
        <v>0</v>
      </c>
      <c r="T330" s="435">
        <f t="shared" si="4762"/>
        <v>0</v>
      </c>
      <c r="U330" s="435">
        <f t="shared" si="4762"/>
        <v>0</v>
      </c>
      <c r="V330" s="435">
        <f t="shared" si="4762"/>
        <v>0</v>
      </c>
      <c r="W330" s="435">
        <f t="shared" si="4762"/>
        <v>0</v>
      </c>
      <c r="X330" s="435">
        <f t="shared" si="4762"/>
        <v>0</v>
      </c>
      <c r="Y330" s="435">
        <f t="shared" si="4762"/>
        <v>0</v>
      </c>
      <c r="Z330" s="435">
        <f t="shared" si="4762"/>
        <v>0</v>
      </c>
      <c r="AA330" s="435">
        <f t="shared" si="4762"/>
        <v>0</v>
      </c>
      <c r="AB330" s="435">
        <f t="shared" si="4762"/>
        <v>0</v>
      </c>
      <c r="AC330" s="435">
        <f t="shared" si="4762"/>
        <v>0</v>
      </c>
      <c r="AD330" s="435">
        <f t="shared" si="4762"/>
        <v>0</v>
      </c>
      <c r="AE330" s="435">
        <f t="shared" si="4762"/>
        <v>0</v>
      </c>
      <c r="AF330" s="435">
        <f t="shared" si="4762"/>
        <v>0</v>
      </c>
      <c r="AG330" s="435">
        <f t="shared" si="4762"/>
        <v>0</v>
      </c>
      <c r="AH330" s="435">
        <f t="shared" si="4762"/>
        <v>0</v>
      </c>
      <c r="AI330" s="435">
        <f t="shared" si="4762"/>
        <v>0</v>
      </c>
      <c r="AJ330" s="435">
        <f t="shared" si="4762"/>
        <v>0</v>
      </c>
      <c r="AK330" s="435">
        <f t="shared" si="4762"/>
        <v>0</v>
      </c>
      <c r="AL330" s="435">
        <f t="shared" si="4762"/>
        <v>0</v>
      </c>
      <c r="AM330" s="435">
        <f t="shared" si="4762"/>
        <v>0</v>
      </c>
      <c r="AN330" s="435">
        <f t="shared" si="4762"/>
        <v>0</v>
      </c>
      <c r="AO330" s="435">
        <f t="shared" si="4762"/>
        <v>0</v>
      </c>
      <c r="AP330" s="435">
        <f t="shared" si="4762"/>
        <v>0</v>
      </c>
      <c r="AQ330" s="435">
        <f t="shared" si="4762"/>
        <v>0</v>
      </c>
      <c r="AR330" s="435">
        <f t="shared" si="4762"/>
        <v>0</v>
      </c>
      <c r="AS330" s="435">
        <f t="shared" si="4762"/>
        <v>0</v>
      </c>
      <c r="AT330" s="435">
        <f t="shared" si="4762"/>
        <v>0</v>
      </c>
      <c r="AU330" s="435">
        <f t="shared" si="4762"/>
        <v>0</v>
      </c>
      <c r="AV330" s="435">
        <f t="shared" si="4762"/>
        <v>0</v>
      </c>
      <c r="AW330" s="435">
        <f t="shared" si="4762"/>
        <v>0</v>
      </c>
      <c r="AX330" s="435">
        <f t="shared" si="4762"/>
        <v>0</v>
      </c>
      <c r="AY330" s="435">
        <f t="shared" si="4762"/>
        <v>0</v>
      </c>
      <c r="AZ330" s="435">
        <f t="shared" si="4762"/>
        <v>0</v>
      </c>
      <c r="BA330" s="435">
        <f t="shared" si="4762"/>
        <v>0</v>
      </c>
      <c r="BB330" s="435">
        <f t="shared" si="4762"/>
        <v>0</v>
      </c>
      <c r="BC330" s="435">
        <f t="shared" si="4762"/>
        <v>0</v>
      </c>
      <c r="BD330" s="435">
        <f t="shared" si="4762"/>
        <v>0</v>
      </c>
      <c r="BE330" s="435">
        <f t="shared" si="4762"/>
        <v>0</v>
      </c>
      <c r="BF330" s="435">
        <f t="shared" si="4762"/>
        <v>0</v>
      </c>
      <c r="BG330" s="435">
        <f t="shared" si="4762"/>
        <v>0</v>
      </c>
      <c r="BH330" s="435">
        <f t="shared" si="4762"/>
        <v>0</v>
      </c>
      <c r="BI330" s="435">
        <f t="shared" si="4762"/>
        <v>0</v>
      </c>
      <c r="BJ330" s="435">
        <f t="shared" si="4762"/>
        <v>0</v>
      </c>
      <c r="BK330" s="435">
        <f t="shared" si="4762"/>
        <v>0</v>
      </c>
      <c r="BL330" s="435">
        <f t="shared" si="4762"/>
        <v>0</v>
      </c>
      <c r="BM330" s="435">
        <f t="shared" si="4762"/>
        <v>0</v>
      </c>
      <c r="BN330" s="435">
        <f t="shared" si="4762"/>
        <v>0</v>
      </c>
      <c r="BO330" s="435">
        <f t="shared" si="4762"/>
        <v>0</v>
      </c>
      <c r="BP330" s="435">
        <f t="shared" si="4762"/>
        <v>0</v>
      </c>
      <c r="BQ330" s="435">
        <f t="shared" si="4762"/>
        <v>0</v>
      </c>
      <c r="BR330" s="435">
        <f t="shared" si="4762"/>
        <v>0</v>
      </c>
      <c r="BS330" s="435">
        <f t="shared" si="4762"/>
        <v>0</v>
      </c>
      <c r="BT330" s="435">
        <f t="shared" ref="BT330:DC330" si="4763">++BT36</f>
        <v>0</v>
      </c>
      <c r="BU330" s="435">
        <f t="shared" si="4763"/>
        <v>0</v>
      </c>
      <c r="BV330" s="435">
        <f t="shared" si="4763"/>
        <v>0</v>
      </c>
      <c r="BW330" s="435">
        <f t="shared" si="4763"/>
        <v>0</v>
      </c>
      <c r="BX330" s="435">
        <f t="shared" si="4763"/>
        <v>0</v>
      </c>
      <c r="BY330" s="435">
        <f t="shared" si="4763"/>
        <v>0</v>
      </c>
      <c r="BZ330" s="435">
        <f t="shared" si="4763"/>
        <v>0</v>
      </c>
      <c r="CA330" s="435">
        <f t="shared" si="4763"/>
        <v>0</v>
      </c>
      <c r="CB330" s="435">
        <f t="shared" si="4763"/>
        <v>0</v>
      </c>
      <c r="CC330" s="435">
        <f t="shared" si="4763"/>
        <v>0</v>
      </c>
      <c r="CD330" s="435">
        <f t="shared" si="4763"/>
        <v>0</v>
      </c>
      <c r="CE330" s="435">
        <f t="shared" si="4763"/>
        <v>0</v>
      </c>
      <c r="CF330" s="435">
        <f t="shared" si="4763"/>
        <v>0</v>
      </c>
      <c r="CG330" s="435">
        <f t="shared" si="4763"/>
        <v>0</v>
      </c>
      <c r="CH330" s="435">
        <f t="shared" si="4763"/>
        <v>0</v>
      </c>
      <c r="CI330" s="435">
        <f t="shared" si="4763"/>
        <v>0</v>
      </c>
      <c r="CJ330" s="435">
        <f t="shared" si="4763"/>
        <v>0</v>
      </c>
      <c r="CK330" s="435">
        <f t="shared" si="4763"/>
        <v>0</v>
      </c>
      <c r="CL330" s="435">
        <f t="shared" si="4763"/>
        <v>0</v>
      </c>
      <c r="CM330" s="435">
        <f t="shared" si="4763"/>
        <v>0</v>
      </c>
      <c r="CN330" s="435">
        <f t="shared" si="4763"/>
        <v>0</v>
      </c>
      <c r="CO330" s="435">
        <f t="shared" si="4763"/>
        <v>0</v>
      </c>
      <c r="CP330" s="435">
        <f t="shared" si="4763"/>
        <v>0</v>
      </c>
      <c r="CQ330" s="435">
        <f t="shared" si="4763"/>
        <v>0</v>
      </c>
      <c r="CR330" s="435">
        <f t="shared" si="4763"/>
        <v>0</v>
      </c>
      <c r="CS330" s="435">
        <f t="shared" si="4763"/>
        <v>0</v>
      </c>
      <c r="CT330" s="435">
        <f t="shared" si="4763"/>
        <v>0</v>
      </c>
      <c r="CU330" s="435">
        <f t="shared" si="4763"/>
        <v>0</v>
      </c>
      <c r="CV330" s="435">
        <f t="shared" si="4763"/>
        <v>0</v>
      </c>
      <c r="CW330" s="435">
        <f t="shared" si="4763"/>
        <v>0</v>
      </c>
      <c r="CX330" s="435">
        <f t="shared" si="4763"/>
        <v>0</v>
      </c>
      <c r="CY330" s="435">
        <f t="shared" si="4763"/>
        <v>0</v>
      </c>
      <c r="CZ330" s="435">
        <f t="shared" si="4763"/>
        <v>0</v>
      </c>
      <c r="DA330" s="435">
        <f t="shared" si="4763"/>
        <v>0</v>
      </c>
      <c r="DB330" s="435">
        <f t="shared" si="4763"/>
        <v>0</v>
      </c>
      <c r="DC330" s="435">
        <f t="shared" si="4763"/>
        <v>0</v>
      </c>
    </row>
    <row r="331" spans="3:107" ht="13.5" thickTop="1" x14ac:dyDescent="0.3">
      <c r="C331" s="321" t="str">
        <f>++C$37</f>
        <v>% margin</v>
      </c>
      <c r="G331" s="214" t="str">
        <f>++IFERROR(G330/G304,"n/a")</f>
        <v>n/a</v>
      </c>
      <c r="H331" s="225" t="str">
        <f t="shared" ref="H331" si="4764">++IFERROR(H330/H304,"n/a")</f>
        <v>n/a</v>
      </c>
      <c r="I331" s="225" t="str">
        <f t="shared" ref="I331" si="4765">++IFERROR(I330/I304,"n/a")</f>
        <v>n/a</v>
      </c>
      <c r="J331" s="225" t="str">
        <f t="shared" ref="J331" si="4766">++IFERROR(J330/J304,"n/a")</f>
        <v>n/a</v>
      </c>
      <c r="K331" s="214" t="str">
        <f t="shared" ref="K331" si="4767">++IFERROR(K330/K304,"n/a")</f>
        <v>n/a</v>
      </c>
      <c r="L331" s="225" t="str">
        <f t="shared" ref="L331" si="4768">++IFERROR(L330/L304,"n/a")</f>
        <v>n/a</v>
      </c>
      <c r="M331" s="225" t="str">
        <f t="shared" ref="M331" si="4769">++IFERROR(M330/M304,"n/a")</f>
        <v>n/a</v>
      </c>
      <c r="N331" s="225" t="str">
        <f t="shared" ref="N331" si="4770">++IFERROR(N330/N304,"n/a")</f>
        <v>n/a</v>
      </c>
      <c r="O331" s="225" t="str">
        <f t="shared" ref="O331" si="4771">++IFERROR(O330/O304,"n/a")</f>
        <v>n/a</v>
      </c>
      <c r="P331" s="225" t="str">
        <f t="shared" ref="P331" si="4772">++IFERROR(P330/P304,"n/a")</f>
        <v>n/a</v>
      </c>
      <c r="Q331" s="225" t="str">
        <f t="shared" ref="Q331" si="4773">++IFERROR(Q330/Q304,"n/a")</f>
        <v>n/a</v>
      </c>
      <c r="R331" s="225" t="str">
        <f t="shared" ref="R331" si="4774">++IFERROR(R330/R304,"n/a")</f>
        <v>n/a</v>
      </c>
      <c r="S331" s="225" t="str">
        <f t="shared" ref="S331" si="4775">++IFERROR(S330/S304,"n/a")</f>
        <v>n/a</v>
      </c>
      <c r="T331" s="225" t="str">
        <f t="shared" ref="T331" si="4776">++IFERROR(T330/T304,"n/a")</f>
        <v>n/a</v>
      </c>
      <c r="U331" s="225" t="str">
        <f t="shared" ref="U331" si="4777">++IFERROR(U330/U304,"n/a")</f>
        <v>n/a</v>
      </c>
      <c r="V331" s="225" t="str">
        <f t="shared" ref="V331" si="4778">++IFERROR(V330/V304,"n/a")</f>
        <v>n/a</v>
      </c>
      <c r="W331" s="214" t="str">
        <f t="shared" ref="W331" si="4779">++IFERROR(W330/W304,"n/a")</f>
        <v>n/a</v>
      </c>
      <c r="X331" s="225" t="str">
        <f t="shared" ref="X331" si="4780">++IFERROR(X330/X304,"n/a")</f>
        <v>n/a</v>
      </c>
      <c r="Y331" s="225" t="str">
        <f t="shared" ref="Y331" si="4781">++IFERROR(Y330/Y304,"n/a")</f>
        <v>n/a</v>
      </c>
      <c r="Z331" s="225" t="str">
        <f t="shared" ref="Z331" si="4782">++IFERROR(Z330/Z304,"n/a")</f>
        <v>n/a</v>
      </c>
      <c r="AA331" s="225" t="str">
        <f t="shared" ref="AA331" si="4783">++IFERROR(AA330/AA304,"n/a")</f>
        <v>n/a</v>
      </c>
      <c r="AB331" s="225" t="str">
        <f t="shared" ref="AB331" si="4784">++IFERROR(AB330/AB304,"n/a")</f>
        <v>n/a</v>
      </c>
      <c r="AC331" s="225" t="str">
        <f t="shared" ref="AC331" si="4785">++IFERROR(AC330/AC304,"n/a")</f>
        <v>n/a</v>
      </c>
      <c r="AD331" s="225" t="str">
        <f t="shared" ref="AD331" si="4786">++IFERROR(AD330/AD304,"n/a")</f>
        <v>n/a</v>
      </c>
      <c r="AE331" s="225" t="str">
        <f t="shared" ref="AE331" si="4787">++IFERROR(AE330/AE304,"n/a")</f>
        <v>n/a</v>
      </c>
      <c r="AF331" s="225" t="str">
        <f t="shared" ref="AF331" si="4788">++IFERROR(AF330/AF304,"n/a")</f>
        <v>n/a</v>
      </c>
      <c r="AG331" s="225" t="str">
        <f t="shared" ref="AG331" si="4789">++IFERROR(AG330/AG304,"n/a")</f>
        <v>n/a</v>
      </c>
      <c r="AH331" s="225" t="str">
        <f t="shared" ref="AH331" si="4790">++IFERROR(AH330/AH304,"n/a")</f>
        <v>n/a</v>
      </c>
      <c r="AI331" s="214" t="str">
        <f t="shared" ref="AI331" si="4791">++IFERROR(AI330/AI304,"n/a")</f>
        <v>n/a</v>
      </c>
      <c r="AJ331" s="225" t="str">
        <f t="shared" ref="AJ331" si="4792">++IFERROR(AJ330/AJ304,"n/a")</f>
        <v>n/a</v>
      </c>
      <c r="AK331" s="225" t="str">
        <f t="shared" ref="AK331" si="4793">++IFERROR(AK330/AK304,"n/a")</f>
        <v>n/a</v>
      </c>
      <c r="AL331" s="225" t="str">
        <f t="shared" ref="AL331" si="4794">++IFERROR(AL330/AL304,"n/a")</f>
        <v>n/a</v>
      </c>
      <c r="AM331" s="225" t="str">
        <f t="shared" ref="AM331" si="4795">++IFERROR(AM330/AM304,"n/a")</f>
        <v>n/a</v>
      </c>
      <c r="AN331" s="225" t="str">
        <f t="shared" ref="AN331" si="4796">++IFERROR(AN330/AN304,"n/a")</f>
        <v>n/a</v>
      </c>
      <c r="AO331" s="225" t="str">
        <f t="shared" ref="AO331" si="4797">++IFERROR(AO330/AO304,"n/a")</f>
        <v>n/a</v>
      </c>
      <c r="AP331" s="225" t="str">
        <f t="shared" ref="AP331" si="4798">++IFERROR(AP330/AP304,"n/a")</f>
        <v>n/a</v>
      </c>
      <c r="AQ331" s="225" t="str">
        <f t="shared" ref="AQ331" si="4799">++IFERROR(AQ330/AQ304,"n/a")</f>
        <v>n/a</v>
      </c>
      <c r="AR331" s="225" t="str">
        <f t="shared" ref="AR331" si="4800">++IFERROR(AR330/AR304,"n/a")</f>
        <v>n/a</v>
      </c>
      <c r="AS331" s="225" t="str">
        <f t="shared" ref="AS331" si="4801">++IFERROR(AS330/AS304,"n/a")</f>
        <v>n/a</v>
      </c>
      <c r="AT331" s="225" t="str">
        <f t="shared" ref="AT331" si="4802">++IFERROR(AT330/AT304,"n/a")</f>
        <v>n/a</v>
      </c>
      <c r="AU331" s="214" t="str">
        <f t="shared" ref="AU331" si="4803">++IFERROR(AU330/AU304,"n/a")</f>
        <v>n/a</v>
      </c>
      <c r="AV331" s="225" t="str">
        <f t="shared" ref="AV331" si="4804">++IFERROR(AV330/AV304,"n/a")</f>
        <v>n/a</v>
      </c>
      <c r="AW331" s="225" t="str">
        <f t="shared" ref="AW331" si="4805">++IFERROR(AW330/AW304,"n/a")</f>
        <v>n/a</v>
      </c>
      <c r="AX331" s="225" t="str">
        <f t="shared" ref="AX331" si="4806">++IFERROR(AX330/AX304,"n/a")</f>
        <v>n/a</v>
      </c>
      <c r="AY331" s="225" t="str">
        <f t="shared" ref="AY331" si="4807">++IFERROR(AY330/AY304,"n/a")</f>
        <v>n/a</v>
      </c>
      <c r="AZ331" s="225" t="str">
        <f t="shared" ref="AZ331" si="4808">++IFERROR(AZ330/AZ304,"n/a")</f>
        <v>n/a</v>
      </c>
      <c r="BA331" s="225" t="str">
        <f t="shared" ref="BA331" si="4809">++IFERROR(BA330/BA304,"n/a")</f>
        <v>n/a</v>
      </c>
      <c r="BB331" s="225" t="str">
        <f t="shared" ref="BB331" si="4810">++IFERROR(BB330/BB304,"n/a")</f>
        <v>n/a</v>
      </c>
      <c r="BC331" s="225" t="str">
        <f t="shared" ref="BC331" si="4811">++IFERROR(BC330/BC304,"n/a")</f>
        <v>n/a</v>
      </c>
      <c r="BD331" s="225" t="str">
        <f t="shared" ref="BD331" si="4812">++IFERROR(BD330/BD304,"n/a")</f>
        <v>n/a</v>
      </c>
      <c r="BE331" s="225" t="str">
        <f t="shared" ref="BE331" si="4813">++IFERROR(BE330/BE304,"n/a")</f>
        <v>n/a</v>
      </c>
      <c r="BF331" s="225" t="str">
        <f t="shared" ref="BF331" si="4814">++IFERROR(BF330/BF304,"n/a")</f>
        <v>n/a</v>
      </c>
      <c r="BG331" s="214" t="str">
        <f t="shared" ref="BG331" si="4815">++IFERROR(BG330/BG304,"n/a")</f>
        <v>n/a</v>
      </c>
      <c r="BH331" s="225" t="str">
        <f t="shared" ref="BH331" si="4816">++IFERROR(BH330/BH304,"n/a")</f>
        <v>n/a</v>
      </c>
      <c r="BI331" s="225" t="str">
        <f t="shared" ref="BI331" si="4817">++IFERROR(BI330/BI304,"n/a")</f>
        <v>n/a</v>
      </c>
      <c r="BJ331" s="225" t="str">
        <f t="shared" ref="BJ331" si="4818">++IFERROR(BJ330/BJ304,"n/a")</f>
        <v>n/a</v>
      </c>
      <c r="BK331" s="225" t="str">
        <f t="shared" ref="BK331" si="4819">++IFERROR(BK330/BK304,"n/a")</f>
        <v>n/a</v>
      </c>
      <c r="BL331" s="225" t="str">
        <f t="shared" ref="BL331" si="4820">++IFERROR(BL330/BL304,"n/a")</f>
        <v>n/a</v>
      </c>
      <c r="BM331" s="225" t="str">
        <f t="shared" ref="BM331" si="4821">++IFERROR(BM330/BM304,"n/a")</f>
        <v>n/a</v>
      </c>
      <c r="BN331" s="225" t="str">
        <f t="shared" ref="BN331" si="4822">++IFERROR(BN330/BN304,"n/a")</f>
        <v>n/a</v>
      </c>
      <c r="BO331" s="225" t="str">
        <f t="shared" ref="BO331" si="4823">++IFERROR(BO330/BO304,"n/a")</f>
        <v>n/a</v>
      </c>
      <c r="BP331" s="225" t="str">
        <f t="shared" ref="BP331" si="4824">++IFERROR(BP330/BP304,"n/a")</f>
        <v>n/a</v>
      </c>
      <c r="BQ331" s="225" t="str">
        <f t="shared" ref="BQ331" si="4825">++IFERROR(BQ330/BQ304,"n/a")</f>
        <v>n/a</v>
      </c>
      <c r="BR331" s="225" t="str">
        <f t="shared" ref="BR331" si="4826">++IFERROR(BR330/BR304,"n/a")</f>
        <v>n/a</v>
      </c>
      <c r="BS331" s="214" t="str">
        <f t="shared" ref="BS331" si="4827">++IFERROR(BS330/BS304,"n/a")</f>
        <v>n/a</v>
      </c>
      <c r="BT331" s="225" t="str">
        <f t="shared" ref="BT331" si="4828">++IFERROR(BT330/BT304,"n/a")</f>
        <v>n/a</v>
      </c>
      <c r="BU331" s="225" t="str">
        <f t="shared" ref="BU331" si="4829">++IFERROR(BU330/BU304,"n/a")</f>
        <v>n/a</v>
      </c>
      <c r="BV331" s="225" t="str">
        <f t="shared" ref="BV331" si="4830">++IFERROR(BV330/BV304,"n/a")</f>
        <v>n/a</v>
      </c>
      <c r="BW331" s="225" t="str">
        <f t="shared" ref="BW331" si="4831">++IFERROR(BW330/BW304,"n/a")</f>
        <v>n/a</v>
      </c>
      <c r="BX331" s="225" t="str">
        <f t="shared" ref="BX331" si="4832">++IFERROR(BX330/BX304,"n/a")</f>
        <v>n/a</v>
      </c>
      <c r="BY331" s="225" t="str">
        <f t="shared" ref="BY331" si="4833">++IFERROR(BY330/BY304,"n/a")</f>
        <v>n/a</v>
      </c>
      <c r="BZ331" s="225" t="str">
        <f t="shared" ref="BZ331" si="4834">++IFERROR(BZ330/BZ304,"n/a")</f>
        <v>n/a</v>
      </c>
      <c r="CA331" s="225" t="str">
        <f t="shared" ref="CA331" si="4835">++IFERROR(CA330/CA304,"n/a")</f>
        <v>n/a</v>
      </c>
      <c r="CB331" s="225" t="str">
        <f t="shared" ref="CB331" si="4836">++IFERROR(CB330/CB304,"n/a")</f>
        <v>n/a</v>
      </c>
      <c r="CC331" s="225" t="str">
        <f t="shared" ref="CC331" si="4837">++IFERROR(CC330/CC304,"n/a")</f>
        <v>n/a</v>
      </c>
      <c r="CD331" s="225" t="str">
        <f t="shared" ref="CD331" si="4838">++IFERROR(CD330/CD304,"n/a")</f>
        <v>n/a</v>
      </c>
      <c r="CE331" s="214" t="str">
        <f t="shared" ref="CE331" si="4839">++IFERROR(CE330/CE304,"n/a")</f>
        <v>n/a</v>
      </c>
      <c r="CF331" s="225" t="str">
        <f t="shared" ref="CF331" si="4840">++IFERROR(CF330/CF304,"n/a")</f>
        <v>n/a</v>
      </c>
      <c r="CG331" s="225" t="str">
        <f t="shared" ref="CG331" si="4841">++IFERROR(CG330/CG304,"n/a")</f>
        <v>n/a</v>
      </c>
      <c r="CH331" s="225" t="str">
        <f t="shared" ref="CH331" si="4842">++IFERROR(CH330/CH304,"n/a")</f>
        <v>n/a</v>
      </c>
      <c r="CI331" s="225" t="str">
        <f t="shared" ref="CI331" si="4843">++IFERROR(CI330/CI304,"n/a")</f>
        <v>n/a</v>
      </c>
      <c r="CJ331" s="225" t="str">
        <f t="shared" ref="CJ331" si="4844">++IFERROR(CJ330/CJ304,"n/a")</f>
        <v>n/a</v>
      </c>
      <c r="CK331" s="225" t="str">
        <f t="shared" ref="CK331" si="4845">++IFERROR(CK330/CK304,"n/a")</f>
        <v>n/a</v>
      </c>
      <c r="CL331" s="225" t="str">
        <f t="shared" ref="CL331" si="4846">++IFERROR(CL330/CL304,"n/a")</f>
        <v>n/a</v>
      </c>
      <c r="CM331" s="225" t="str">
        <f t="shared" ref="CM331" si="4847">++IFERROR(CM330/CM304,"n/a")</f>
        <v>n/a</v>
      </c>
      <c r="CN331" s="225" t="str">
        <f t="shared" ref="CN331" si="4848">++IFERROR(CN330/CN304,"n/a")</f>
        <v>n/a</v>
      </c>
      <c r="CO331" s="225" t="str">
        <f t="shared" ref="CO331" si="4849">++IFERROR(CO330/CO304,"n/a")</f>
        <v>n/a</v>
      </c>
      <c r="CP331" s="225" t="str">
        <f t="shared" ref="CP331" si="4850">++IFERROR(CP330/CP304,"n/a")</f>
        <v>n/a</v>
      </c>
      <c r="CQ331" s="214" t="str">
        <f t="shared" ref="CQ331" si="4851">++IFERROR(CQ330/CQ304,"n/a")</f>
        <v>n/a</v>
      </c>
      <c r="CR331" s="225" t="str">
        <f t="shared" ref="CR331" si="4852">++IFERROR(CR330/CR304,"n/a")</f>
        <v>n/a</v>
      </c>
      <c r="CS331" s="225" t="str">
        <f t="shared" ref="CS331" si="4853">++IFERROR(CS330/CS304,"n/a")</f>
        <v>n/a</v>
      </c>
      <c r="CT331" s="225" t="str">
        <f t="shared" ref="CT331" si="4854">++IFERROR(CT330/CT304,"n/a")</f>
        <v>n/a</v>
      </c>
      <c r="CU331" s="225" t="str">
        <f t="shared" ref="CU331" si="4855">++IFERROR(CU330/CU304,"n/a")</f>
        <v>n/a</v>
      </c>
      <c r="CV331" s="225" t="str">
        <f t="shared" ref="CV331" si="4856">++IFERROR(CV330/CV304,"n/a")</f>
        <v>n/a</v>
      </c>
      <c r="CW331" s="225" t="str">
        <f t="shared" ref="CW331" si="4857">++IFERROR(CW330/CW304,"n/a")</f>
        <v>n/a</v>
      </c>
      <c r="CX331" s="225" t="str">
        <f t="shared" ref="CX331" si="4858">++IFERROR(CX330/CX304,"n/a")</f>
        <v>n/a</v>
      </c>
      <c r="CY331" s="225" t="str">
        <f t="shared" ref="CY331" si="4859">++IFERROR(CY330/CY304,"n/a")</f>
        <v>n/a</v>
      </c>
      <c r="CZ331" s="225" t="str">
        <f t="shared" ref="CZ331" si="4860">++IFERROR(CZ330/CZ304,"n/a")</f>
        <v>n/a</v>
      </c>
      <c r="DA331" s="225" t="str">
        <f t="shared" ref="DA331" si="4861">++IFERROR(DA330/DA304,"n/a")</f>
        <v>n/a</v>
      </c>
      <c r="DB331" s="225" t="str">
        <f t="shared" ref="DB331" si="4862">++IFERROR(DB330/DB304,"n/a")</f>
        <v>n/a</v>
      </c>
      <c r="DC331" s="214" t="str">
        <f t="shared" ref="DC331" si="4863">++IFERROR(DC330/DC304,"n/a")</f>
        <v>n/a</v>
      </c>
    </row>
    <row r="332" spans="3:107" x14ac:dyDescent="0.3">
      <c r="C332" s="321" t="str">
        <f>++C$38</f>
        <v>% y/y</v>
      </c>
      <c r="G332" s="122" t="s">
        <v>47</v>
      </c>
      <c r="H332" s="122" t="s">
        <v>47</v>
      </c>
      <c r="I332" s="122" t="s">
        <v>47</v>
      </c>
      <c r="J332" s="122" t="s">
        <v>47</v>
      </c>
      <c r="K332" s="214" t="str">
        <f>++IFERROR(K330/G330-1,"n/a")</f>
        <v>n/a</v>
      </c>
      <c r="L332" s="122" t="s">
        <v>47</v>
      </c>
      <c r="M332" s="122" t="s">
        <v>47</v>
      </c>
      <c r="N332" s="225" t="str">
        <f>++IFERROR(N330/H330-1,"n/a")</f>
        <v>n/a</v>
      </c>
      <c r="O332" s="122" t="s">
        <v>47</v>
      </c>
      <c r="P332" s="122" t="s">
        <v>47</v>
      </c>
      <c r="Q332" s="225" t="str">
        <f>++IFERROR(Q330/I330-1,"n/a")</f>
        <v>n/a</v>
      </c>
      <c r="R332" s="122" t="s">
        <v>47</v>
      </c>
      <c r="S332" s="122" t="s">
        <v>47</v>
      </c>
      <c r="T332" s="225" t="str">
        <f>++IFERROR(T330/J330-1,"n/a")</f>
        <v>n/a</v>
      </c>
      <c r="U332" s="122" t="s">
        <v>47</v>
      </c>
      <c r="V332" s="122" t="s">
        <v>47</v>
      </c>
      <c r="W332" s="214" t="str">
        <f t="shared" ref="W332:BB332" si="4864">++IFERROR(W330/K330-1,"n/a")</f>
        <v>n/a</v>
      </c>
      <c r="X332" s="225" t="str">
        <f t="shared" si="4864"/>
        <v>n/a</v>
      </c>
      <c r="Y332" s="225" t="str">
        <f t="shared" si="4864"/>
        <v>n/a</v>
      </c>
      <c r="Z332" s="225" t="str">
        <f t="shared" si="4864"/>
        <v>n/a</v>
      </c>
      <c r="AA332" s="225" t="str">
        <f t="shared" si="4864"/>
        <v>n/a</v>
      </c>
      <c r="AB332" s="225" t="str">
        <f t="shared" si="4864"/>
        <v>n/a</v>
      </c>
      <c r="AC332" s="225" t="str">
        <f t="shared" si="4864"/>
        <v>n/a</v>
      </c>
      <c r="AD332" s="225" t="str">
        <f t="shared" si="4864"/>
        <v>n/a</v>
      </c>
      <c r="AE332" s="225" t="str">
        <f t="shared" si="4864"/>
        <v>n/a</v>
      </c>
      <c r="AF332" s="225" t="str">
        <f t="shared" si="4864"/>
        <v>n/a</v>
      </c>
      <c r="AG332" s="225" t="str">
        <f t="shared" si="4864"/>
        <v>n/a</v>
      </c>
      <c r="AH332" s="225" t="str">
        <f t="shared" si="4864"/>
        <v>n/a</v>
      </c>
      <c r="AI332" s="214" t="str">
        <f t="shared" si="4864"/>
        <v>n/a</v>
      </c>
      <c r="AJ332" s="225" t="str">
        <f t="shared" si="4864"/>
        <v>n/a</v>
      </c>
      <c r="AK332" s="225" t="str">
        <f t="shared" si="4864"/>
        <v>n/a</v>
      </c>
      <c r="AL332" s="225" t="str">
        <f t="shared" si="4864"/>
        <v>n/a</v>
      </c>
      <c r="AM332" s="225" t="str">
        <f t="shared" si="4864"/>
        <v>n/a</v>
      </c>
      <c r="AN332" s="225" t="str">
        <f t="shared" si="4864"/>
        <v>n/a</v>
      </c>
      <c r="AO332" s="225" t="str">
        <f t="shared" si="4864"/>
        <v>n/a</v>
      </c>
      <c r="AP332" s="225" t="str">
        <f t="shared" si="4864"/>
        <v>n/a</v>
      </c>
      <c r="AQ332" s="225" t="str">
        <f t="shared" si="4864"/>
        <v>n/a</v>
      </c>
      <c r="AR332" s="225" t="str">
        <f t="shared" si="4864"/>
        <v>n/a</v>
      </c>
      <c r="AS332" s="225" t="str">
        <f t="shared" si="4864"/>
        <v>n/a</v>
      </c>
      <c r="AT332" s="225" t="str">
        <f t="shared" si="4864"/>
        <v>n/a</v>
      </c>
      <c r="AU332" s="214" t="str">
        <f t="shared" si="4864"/>
        <v>n/a</v>
      </c>
      <c r="AV332" s="225" t="str">
        <f t="shared" si="4864"/>
        <v>n/a</v>
      </c>
      <c r="AW332" s="225" t="str">
        <f t="shared" si="4864"/>
        <v>n/a</v>
      </c>
      <c r="AX332" s="225" t="str">
        <f t="shared" si="4864"/>
        <v>n/a</v>
      </c>
      <c r="AY332" s="225" t="str">
        <f t="shared" si="4864"/>
        <v>n/a</v>
      </c>
      <c r="AZ332" s="225" t="str">
        <f t="shared" si="4864"/>
        <v>n/a</v>
      </c>
      <c r="BA332" s="225" t="str">
        <f t="shared" si="4864"/>
        <v>n/a</v>
      </c>
      <c r="BB332" s="225" t="str">
        <f t="shared" si="4864"/>
        <v>n/a</v>
      </c>
      <c r="BC332" s="225" t="str">
        <f t="shared" ref="BC332:CH332" si="4865">++IFERROR(BC330/AQ330-1,"n/a")</f>
        <v>n/a</v>
      </c>
      <c r="BD332" s="225" t="str">
        <f t="shared" si="4865"/>
        <v>n/a</v>
      </c>
      <c r="BE332" s="225" t="str">
        <f t="shared" si="4865"/>
        <v>n/a</v>
      </c>
      <c r="BF332" s="225" t="str">
        <f t="shared" si="4865"/>
        <v>n/a</v>
      </c>
      <c r="BG332" s="214" t="str">
        <f t="shared" si="4865"/>
        <v>n/a</v>
      </c>
      <c r="BH332" s="225" t="str">
        <f t="shared" si="4865"/>
        <v>n/a</v>
      </c>
      <c r="BI332" s="225" t="str">
        <f t="shared" si="4865"/>
        <v>n/a</v>
      </c>
      <c r="BJ332" s="225" t="str">
        <f t="shared" si="4865"/>
        <v>n/a</v>
      </c>
      <c r="BK332" s="225" t="str">
        <f t="shared" si="4865"/>
        <v>n/a</v>
      </c>
      <c r="BL332" s="225" t="str">
        <f t="shared" si="4865"/>
        <v>n/a</v>
      </c>
      <c r="BM332" s="225" t="str">
        <f t="shared" si="4865"/>
        <v>n/a</v>
      </c>
      <c r="BN332" s="225" t="str">
        <f t="shared" si="4865"/>
        <v>n/a</v>
      </c>
      <c r="BO332" s="225" t="str">
        <f t="shared" si="4865"/>
        <v>n/a</v>
      </c>
      <c r="BP332" s="225" t="str">
        <f t="shared" si="4865"/>
        <v>n/a</v>
      </c>
      <c r="BQ332" s="225" t="str">
        <f t="shared" si="4865"/>
        <v>n/a</v>
      </c>
      <c r="BR332" s="225" t="str">
        <f t="shared" si="4865"/>
        <v>n/a</v>
      </c>
      <c r="BS332" s="214" t="str">
        <f t="shared" si="4865"/>
        <v>n/a</v>
      </c>
      <c r="BT332" s="225" t="str">
        <f t="shared" si="4865"/>
        <v>n/a</v>
      </c>
      <c r="BU332" s="225" t="str">
        <f t="shared" si="4865"/>
        <v>n/a</v>
      </c>
      <c r="BV332" s="225" t="str">
        <f t="shared" si="4865"/>
        <v>n/a</v>
      </c>
      <c r="BW332" s="225" t="str">
        <f t="shared" si="4865"/>
        <v>n/a</v>
      </c>
      <c r="BX332" s="225" t="str">
        <f t="shared" si="4865"/>
        <v>n/a</v>
      </c>
      <c r="BY332" s="225" t="str">
        <f t="shared" si="4865"/>
        <v>n/a</v>
      </c>
      <c r="BZ332" s="225" t="str">
        <f t="shared" si="4865"/>
        <v>n/a</v>
      </c>
      <c r="CA332" s="225" t="str">
        <f t="shared" si="4865"/>
        <v>n/a</v>
      </c>
      <c r="CB332" s="225" t="str">
        <f t="shared" si="4865"/>
        <v>n/a</v>
      </c>
      <c r="CC332" s="225" t="str">
        <f t="shared" si="4865"/>
        <v>n/a</v>
      </c>
      <c r="CD332" s="225" t="str">
        <f t="shared" si="4865"/>
        <v>n/a</v>
      </c>
      <c r="CE332" s="214" t="str">
        <f t="shared" si="4865"/>
        <v>n/a</v>
      </c>
      <c r="CF332" s="225" t="str">
        <f t="shared" si="4865"/>
        <v>n/a</v>
      </c>
      <c r="CG332" s="225" t="str">
        <f t="shared" si="4865"/>
        <v>n/a</v>
      </c>
      <c r="CH332" s="225" t="str">
        <f t="shared" si="4865"/>
        <v>n/a</v>
      </c>
      <c r="CI332" s="225" t="str">
        <f t="shared" ref="CI332:DN332" si="4866">++IFERROR(CI330/BW330-1,"n/a")</f>
        <v>n/a</v>
      </c>
      <c r="CJ332" s="225" t="str">
        <f t="shared" si="4866"/>
        <v>n/a</v>
      </c>
      <c r="CK332" s="225" t="str">
        <f t="shared" si="4866"/>
        <v>n/a</v>
      </c>
      <c r="CL332" s="225" t="str">
        <f t="shared" si="4866"/>
        <v>n/a</v>
      </c>
      <c r="CM332" s="225" t="str">
        <f t="shared" si="4866"/>
        <v>n/a</v>
      </c>
      <c r="CN332" s="225" t="str">
        <f t="shared" si="4866"/>
        <v>n/a</v>
      </c>
      <c r="CO332" s="225" t="str">
        <f t="shared" si="4866"/>
        <v>n/a</v>
      </c>
      <c r="CP332" s="225" t="str">
        <f t="shared" si="4866"/>
        <v>n/a</v>
      </c>
      <c r="CQ332" s="214" t="str">
        <f t="shared" si="4866"/>
        <v>n/a</v>
      </c>
      <c r="CR332" s="225" t="str">
        <f t="shared" si="4866"/>
        <v>n/a</v>
      </c>
      <c r="CS332" s="225" t="str">
        <f t="shared" si="4866"/>
        <v>n/a</v>
      </c>
      <c r="CT332" s="225" t="str">
        <f t="shared" si="4866"/>
        <v>n/a</v>
      </c>
      <c r="CU332" s="225" t="str">
        <f t="shared" si="4866"/>
        <v>n/a</v>
      </c>
      <c r="CV332" s="225" t="str">
        <f t="shared" si="4866"/>
        <v>n/a</v>
      </c>
      <c r="CW332" s="225" t="str">
        <f t="shared" si="4866"/>
        <v>n/a</v>
      </c>
      <c r="CX332" s="225" t="str">
        <f t="shared" si="4866"/>
        <v>n/a</v>
      </c>
      <c r="CY332" s="225" t="str">
        <f t="shared" si="4866"/>
        <v>n/a</v>
      </c>
      <c r="CZ332" s="225" t="str">
        <f t="shared" si="4866"/>
        <v>n/a</v>
      </c>
      <c r="DA332" s="225" t="str">
        <f t="shared" si="4866"/>
        <v>n/a</v>
      </c>
      <c r="DB332" s="225" t="str">
        <f t="shared" si="4866"/>
        <v>n/a</v>
      </c>
      <c r="DC332" s="214" t="str">
        <f t="shared" si="4866"/>
        <v>n/a</v>
      </c>
    </row>
    <row r="333" spans="3:107" x14ac:dyDescent="0.3">
      <c r="G333" s="203"/>
      <c r="K333" s="203"/>
      <c r="W333" s="203"/>
      <c r="AI333" s="203"/>
      <c r="AU333" s="203"/>
      <c r="BG333" s="203"/>
      <c r="BS333" s="203"/>
      <c r="CE333" s="203"/>
      <c r="CQ333" s="203"/>
      <c r="DC333" s="203"/>
    </row>
    <row r="334" spans="3:107" x14ac:dyDescent="0.3">
      <c r="C334" s="101" t="str">
        <f>++C$40</f>
        <v>Interest Expense (Income)</v>
      </c>
      <c r="G334" s="374">
        <f>++G321</f>
        <v>0</v>
      </c>
      <c r="H334" s="200">
        <f t="shared" ref="H334:BS334" si="4867">++H321</f>
        <v>0</v>
      </c>
      <c r="I334" s="200">
        <f t="shared" si="4867"/>
        <v>0</v>
      </c>
      <c r="J334" s="200">
        <f t="shared" si="4867"/>
        <v>0</v>
      </c>
      <c r="K334" s="374">
        <f t="shared" si="4867"/>
        <v>0</v>
      </c>
      <c r="L334" s="200">
        <f t="shared" si="4867"/>
        <v>0</v>
      </c>
      <c r="M334" s="200">
        <f t="shared" si="4867"/>
        <v>0</v>
      </c>
      <c r="N334" s="200">
        <f t="shared" si="4867"/>
        <v>0</v>
      </c>
      <c r="O334" s="200">
        <f t="shared" si="4867"/>
        <v>0</v>
      </c>
      <c r="P334" s="200">
        <f t="shared" si="4867"/>
        <v>0</v>
      </c>
      <c r="Q334" s="200">
        <f t="shared" si="4867"/>
        <v>0</v>
      </c>
      <c r="R334" s="200">
        <f t="shared" si="4867"/>
        <v>0</v>
      </c>
      <c r="S334" s="200">
        <f t="shared" si="4867"/>
        <v>0</v>
      </c>
      <c r="T334" s="200">
        <f t="shared" si="4867"/>
        <v>0</v>
      </c>
      <c r="U334" s="200">
        <f t="shared" si="4867"/>
        <v>0</v>
      </c>
      <c r="V334" s="200">
        <f t="shared" si="4867"/>
        <v>0</v>
      </c>
      <c r="W334" s="374">
        <f t="shared" si="4867"/>
        <v>0</v>
      </c>
      <c r="X334" s="200">
        <f t="shared" si="4867"/>
        <v>0</v>
      </c>
      <c r="Y334" s="200">
        <f t="shared" si="4867"/>
        <v>0</v>
      </c>
      <c r="Z334" s="200">
        <f t="shared" si="4867"/>
        <v>0</v>
      </c>
      <c r="AA334" s="200">
        <f t="shared" si="4867"/>
        <v>0</v>
      </c>
      <c r="AB334" s="200">
        <f t="shared" si="4867"/>
        <v>0</v>
      </c>
      <c r="AC334" s="200">
        <f t="shared" si="4867"/>
        <v>0</v>
      </c>
      <c r="AD334" s="200">
        <f t="shared" si="4867"/>
        <v>0</v>
      </c>
      <c r="AE334" s="200">
        <f t="shared" si="4867"/>
        <v>0</v>
      </c>
      <c r="AF334" s="200">
        <f t="shared" si="4867"/>
        <v>0</v>
      </c>
      <c r="AG334" s="200">
        <f t="shared" si="4867"/>
        <v>0</v>
      </c>
      <c r="AH334" s="200">
        <f t="shared" si="4867"/>
        <v>0</v>
      </c>
      <c r="AI334" s="374">
        <f t="shared" si="4867"/>
        <v>0</v>
      </c>
      <c r="AJ334" s="200">
        <f t="shared" si="4867"/>
        <v>0</v>
      </c>
      <c r="AK334" s="200">
        <f t="shared" si="4867"/>
        <v>0</v>
      </c>
      <c r="AL334" s="200">
        <f t="shared" si="4867"/>
        <v>0</v>
      </c>
      <c r="AM334" s="200">
        <f t="shared" si="4867"/>
        <v>0</v>
      </c>
      <c r="AN334" s="200">
        <f t="shared" si="4867"/>
        <v>0</v>
      </c>
      <c r="AO334" s="200">
        <f t="shared" si="4867"/>
        <v>0</v>
      </c>
      <c r="AP334" s="200">
        <f t="shared" si="4867"/>
        <v>0</v>
      </c>
      <c r="AQ334" s="200">
        <f t="shared" si="4867"/>
        <v>0</v>
      </c>
      <c r="AR334" s="200">
        <f t="shared" si="4867"/>
        <v>0</v>
      </c>
      <c r="AS334" s="200">
        <f t="shared" si="4867"/>
        <v>0</v>
      </c>
      <c r="AT334" s="200">
        <f t="shared" si="4867"/>
        <v>0</v>
      </c>
      <c r="AU334" s="374">
        <f t="shared" si="4867"/>
        <v>0</v>
      </c>
      <c r="AV334" s="200">
        <f t="shared" si="4867"/>
        <v>0</v>
      </c>
      <c r="AW334" s="200">
        <f t="shared" si="4867"/>
        <v>0</v>
      </c>
      <c r="AX334" s="200">
        <f t="shared" si="4867"/>
        <v>0</v>
      </c>
      <c r="AY334" s="200">
        <f t="shared" si="4867"/>
        <v>0</v>
      </c>
      <c r="AZ334" s="200">
        <f t="shared" si="4867"/>
        <v>0</v>
      </c>
      <c r="BA334" s="200">
        <f t="shared" si="4867"/>
        <v>0</v>
      </c>
      <c r="BB334" s="200">
        <f t="shared" si="4867"/>
        <v>0</v>
      </c>
      <c r="BC334" s="200">
        <f t="shared" si="4867"/>
        <v>0</v>
      </c>
      <c r="BD334" s="200">
        <f t="shared" si="4867"/>
        <v>0</v>
      </c>
      <c r="BE334" s="200">
        <f t="shared" si="4867"/>
        <v>0</v>
      </c>
      <c r="BF334" s="200">
        <f t="shared" si="4867"/>
        <v>0</v>
      </c>
      <c r="BG334" s="374">
        <f t="shared" si="4867"/>
        <v>0</v>
      </c>
      <c r="BH334" s="200">
        <f t="shared" si="4867"/>
        <v>0</v>
      </c>
      <c r="BI334" s="200">
        <f t="shared" si="4867"/>
        <v>0</v>
      </c>
      <c r="BJ334" s="200">
        <f t="shared" si="4867"/>
        <v>0</v>
      </c>
      <c r="BK334" s="200">
        <f t="shared" si="4867"/>
        <v>0</v>
      </c>
      <c r="BL334" s="200">
        <f t="shared" si="4867"/>
        <v>0</v>
      </c>
      <c r="BM334" s="200">
        <f t="shared" si="4867"/>
        <v>0</v>
      </c>
      <c r="BN334" s="200">
        <f t="shared" si="4867"/>
        <v>0</v>
      </c>
      <c r="BO334" s="200">
        <f t="shared" si="4867"/>
        <v>0</v>
      </c>
      <c r="BP334" s="200">
        <f t="shared" si="4867"/>
        <v>0</v>
      </c>
      <c r="BQ334" s="200">
        <f t="shared" si="4867"/>
        <v>0</v>
      </c>
      <c r="BR334" s="200">
        <f t="shared" si="4867"/>
        <v>0</v>
      </c>
      <c r="BS334" s="374">
        <f t="shared" si="4867"/>
        <v>0</v>
      </c>
      <c r="BT334" s="200">
        <f t="shared" ref="BT334:DC334" si="4868">++BT321</f>
        <v>0</v>
      </c>
      <c r="BU334" s="200">
        <f t="shared" si="4868"/>
        <v>0</v>
      </c>
      <c r="BV334" s="200">
        <f t="shared" si="4868"/>
        <v>0</v>
      </c>
      <c r="BW334" s="200">
        <f t="shared" si="4868"/>
        <v>0</v>
      </c>
      <c r="BX334" s="200">
        <f t="shared" si="4868"/>
        <v>0</v>
      </c>
      <c r="BY334" s="200">
        <f t="shared" si="4868"/>
        <v>0</v>
      </c>
      <c r="BZ334" s="200">
        <f t="shared" si="4868"/>
        <v>0</v>
      </c>
      <c r="CA334" s="200">
        <f t="shared" si="4868"/>
        <v>0</v>
      </c>
      <c r="CB334" s="200">
        <f t="shared" si="4868"/>
        <v>0</v>
      </c>
      <c r="CC334" s="200">
        <f t="shared" si="4868"/>
        <v>0</v>
      </c>
      <c r="CD334" s="200">
        <f t="shared" si="4868"/>
        <v>0</v>
      </c>
      <c r="CE334" s="374">
        <f t="shared" si="4868"/>
        <v>0</v>
      </c>
      <c r="CF334" s="200">
        <f t="shared" si="4868"/>
        <v>0</v>
      </c>
      <c r="CG334" s="200">
        <f t="shared" si="4868"/>
        <v>0</v>
      </c>
      <c r="CH334" s="200">
        <f t="shared" si="4868"/>
        <v>0</v>
      </c>
      <c r="CI334" s="200">
        <f t="shared" si="4868"/>
        <v>0</v>
      </c>
      <c r="CJ334" s="200">
        <f t="shared" si="4868"/>
        <v>0</v>
      </c>
      <c r="CK334" s="200">
        <f t="shared" si="4868"/>
        <v>0</v>
      </c>
      <c r="CL334" s="200">
        <f t="shared" si="4868"/>
        <v>0</v>
      </c>
      <c r="CM334" s="200">
        <f t="shared" si="4868"/>
        <v>0</v>
      </c>
      <c r="CN334" s="200">
        <f t="shared" si="4868"/>
        <v>0</v>
      </c>
      <c r="CO334" s="200">
        <f t="shared" si="4868"/>
        <v>0</v>
      </c>
      <c r="CP334" s="200">
        <f t="shared" si="4868"/>
        <v>0</v>
      </c>
      <c r="CQ334" s="374">
        <f t="shared" si="4868"/>
        <v>0</v>
      </c>
      <c r="CR334" s="200">
        <f t="shared" si="4868"/>
        <v>0</v>
      </c>
      <c r="CS334" s="200">
        <f t="shared" si="4868"/>
        <v>0</v>
      </c>
      <c r="CT334" s="200">
        <f t="shared" si="4868"/>
        <v>0</v>
      </c>
      <c r="CU334" s="200">
        <f t="shared" si="4868"/>
        <v>0</v>
      </c>
      <c r="CV334" s="200">
        <f t="shared" si="4868"/>
        <v>0</v>
      </c>
      <c r="CW334" s="200">
        <f t="shared" si="4868"/>
        <v>0</v>
      </c>
      <c r="CX334" s="200">
        <f t="shared" si="4868"/>
        <v>0</v>
      </c>
      <c r="CY334" s="200">
        <f t="shared" si="4868"/>
        <v>0</v>
      </c>
      <c r="CZ334" s="200">
        <f t="shared" si="4868"/>
        <v>0</v>
      </c>
      <c r="DA334" s="200">
        <f t="shared" si="4868"/>
        <v>0</v>
      </c>
      <c r="DB334" s="200">
        <f t="shared" si="4868"/>
        <v>0</v>
      </c>
      <c r="DC334" s="374">
        <f t="shared" si="4868"/>
        <v>0</v>
      </c>
    </row>
    <row r="335" spans="3:107" x14ac:dyDescent="0.3">
      <c r="C335" s="101" t="str">
        <f>++C$41</f>
        <v>Tax Expense (Benefit)</v>
      </c>
      <c r="G335" s="374">
        <f>++G327</f>
        <v>0</v>
      </c>
      <c r="H335" s="200">
        <f t="shared" ref="H335:BS335" si="4869">++H327</f>
        <v>0</v>
      </c>
      <c r="I335" s="200">
        <f t="shared" si="4869"/>
        <v>0</v>
      </c>
      <c r="J335" s="200">
        <f t="shared" si="4869"/>
        <v>0</v>
      </c>
      <c r="K335" s="374">
        <f t="shared" si="4869"/>
        <v>0</v>
      </c>
      <c r="L335" s="200">
        <f t="shared" si="4869"/>
        <v>0</v>
      </c>
      <c r="M335" s="200">
        <f t="shared" si="4869"/>
        <v>0</v>
      </c>
      <c r="N335" s="200">
        <f t="shared" si="4869"/>
        <v>0</v>
      </c>
      <c r="O335" s="200">
        <f t="shared" si="4869"/>
        <v>0</v>
      </c>
      <c r="P335" s="200">
        <f t="shared" si="4869"/>
        <v>0</v>
      </c>
      <c r="Q335" s="200">
        <f t="shared" si="4869"/>
        <v>0</v>
      </c>
      <c r="R335" s="200">
        <f t="shared" si="4869"/>
        <v>0</v>
      </c>
      <c r="S335" s="200">
        <f t="shared" si="4869"/>
        <v>0</v>
      </c>
      <c r="T335" s="200">
        <f t="shared" si="4869"/>
        <v>0</v>
      </c>
      <c r="U335" s="200">
        <f t="shared" si="4869"/>
        <v>0</v>
      </c>
      <c r="V335" s="200">
        <f t="shared" si="4869"/>
        <v>0</v>
      </c>
      <c r="W335" s="374">
        <f t="shared" si="4869"/>
        <v>0</v>
      </c>
      <c r="X335" s="200">
        <f t="shared" si="4869"/>
        <v>0</v>
      </c>
      <c r="Y335" s="200">
        <f t="shared" si="4869"/>
        <v>0</v>
      </c>
      <c r="Z335" s="200">
        <f t="shared" si="4869"/>
        <v>0</v>
      </c>
      <c r="AA335" s="200">
        <f t="shared" si="4869"/>
        <v>0</v>
      </c>
      <c r="AB335" s="200">
        <f t="shared" si="4869"/>
        <v>0</v>
      </c>
      <c r="AC335" s="200">
        <f t="shared" si="4869"/>
        <v>0</v>
      </c>
      <c r="AD335" s="200">
        <f t="shared" si="4869"/>
        <v>0</v>
      </c>
      <c r="AE335" s="200">
        <f t="shared" si="4869"/>
        <v>0</v>
      </c>
      <c r="AF335" s="200">
        <f t="shared" si="4869"/>
        <v>0</v>
      </c>
      <c r="AG335" s="200">
        <f t="shared" si="4869"/>
        <v>0</v>
      </c>
      <c r="AH335" s="200">
        <f t="shared" si="4869"/>
        <v>0</v>
      </c>
      <c r="AI335" s="374">
        <f t="shared" si="4869"/>
        <v>0</v>
      </c>
      <c r="AJ335" s="200">
        <f t="shared" si="4869"/>
        <v>0</v>
      </c>
      <c r="AK335" s="200">
        <f t="shared" si="4869"/>
        <v>0</v>
      </c>
      <c r="AL335" s="200">
        <f t="shared" si="4869"/>
        <v>0</v>
      </c>
      <c r="AM335" s="200">
        <f t="shared" si="4869"/>
        <v>0</v>
      </c>
      <c r="AN335" s="200">
        <f t="shared" si="4869"/>
        <v>0</v>
      </c>
      <c r="AO335" s="200">
        <f t="shared" si="4869"/>
        <v>0</v>
      </c>
      <c r="AP335" s="200">
        <f t="shared" si="4869"/>
        <v>0</v>
      </c>
      <c r="AQ335" s="200">
        <f t="shared" si="4869"/>
        <v>0</v>
      </c>
      <c r="AR335" s="200">
        <f t="shared" si="4869"/>
        <v>0</v>
      </c>
      <c r="AS335" s="200">
        <f t="shared" si="4869"/>
        <v>0</v>
      </c>
      <c r="AT335" s="200">
        <f t="shared" si="4869"/>
        <v>0</v>
      </c>
      <c r="AU335" s="374">
        <f t="shared" si="4869"/>
        <v>0</v>
      </c>
      <c r="AV335" s="200">
        <f t="shared" si="4869"/>
        <v>0</v>
      </c>
      <c r="AW335" s="200">
        <f t="shared" si="4869"/>
        <v>0</v>
      </c>
      <c r="AX335" s="200">
        <f t="shared" si="4869"/>
        <v>0</v>
      </c>
      <c r="AY335" s="200">
        <f t="shared" si="4869"/>
        <v>0</v>
      </c>
      <c r="AZ335" s="200">
        <f t="shared" si="4869"/>
        <v>0</v>
      </c>
      <c r="BA335" s="200">
        <f t="shared" si="4869"/>
        <v>0</v>
      </c>
      <c r="BB335" s="200">
        <f t="shared" si="4869"/>
        <v>0</v>
      </c>
      <c r="BC335" s="200">
        <f t="shared" si="4869"/>
        <v>0</v>
      </c>
      <c r="BD335" s="200">
        <f t="shared" si="4869"/>
        <v>0</v>
      </c>
      <c r="BE335" s="200">
        <f t="shared" si="4869"/>
        <v>0</v>
      </c>
      <c r="BF335" s="200">
        <f t="shared" si="4869"/>
        <v>0</v>
      </c>
      <c r="BG335" s="374">
        <f t="shared" si="4869"/>
        <v>0</v>
      </c>
      <c r="BH335" s="200">
        <f t="shared" si="4869"/>
        <v>0</v>
      </c>
      <c r="BI335" s="200">
        <f t="shared" si="4869"/>
        <v>0</v>
      </c>
      <c r="BJ335" s="200">
        <f t="shared" si="4869"/>
        <v>0</v>
      </c>
      <c r="BK335" s="200">
        <f t="shared" si="4869"/>
        <v>0</v>
      </c>
      <c r="BL335" s="200">
        <f t="shared" si="4869"/>
        <v>0</v>
      </c>
      <c r="BM335" s="200">
        <f t="shared" si="4869"/>
        <v>0</v>
      </c>
      <c r="BN335" s="200">
        <f t="shared" si="4869"/>
        <v>0</v>
      </c>
      <c r="BO335" s="200">
        <f t="shared" si="4869"/>
        <v>0</v>
      </c>
      <c r="BP335" s="200">
        <f t="shared" si="4869"/>
        <v>0</v>
      </c>
      <c r="BQ335" s="200">
        <f t="shared" si="4869"/>
        <v>0</v>
      </c>
      <c r="BR335" s="200">
        <f t="shared" si="4869"/>
        <v>0</v>
      </c>
      <c r="BS335" s="374">
        <f t="shared" si="4869"/>
        <v>0</v>
      </c>
      <c r="BT335" s="200">
        <f t="shared" ref="BT335:DC335" si="4870">++BT327</f>
        <v>0</v>
      </c>
      <c r="BU335" s="200">
        <f t="shared" si="4870"/>
        <v>0</v>
      </c>
      <c r="BV335" s="200">
        <f t="shared" si="4870"/>
        <v>0</v>
      </c>
      <c r="BW335" s="200">
        <f t="shared" si="4870"/>
        <v>0</v>
      </c>
      <c r="BX335" s="200">
        <f t="shared" si="4870"/>
        <v>0</v>
      </c>
      <c r="BY335" s="200">
        <f t="shared" si="4870"/>
        <v>0</v>
      </c>
      <c r="BZ335" s="200">
        <f t="shared" si="4870"/>
        <v>0</v>
      </c>
      <c r="CA335" s="200">
        <f t="shared" si="4870"/>
        <v>0</v>
      </c>
      <c r="CB335" s="200">
        <f t="shared" si="4870"/>
        <v>0</v>
      </c>
      <c r="CC335" s="200">
        <f t="shared" si="4870"/>
        <v>0</v>
      </c>
      <c r="CD335" s="200">
        <f t="shared" si="4870"/>
        <v>0</v>
      </c>
      <c r="CE335" s="374">
        <f t="shared" si="4870"/>
        <v>0</v>
      </c>
      <c r="CF335" s="200">
        <f t="shared" si="4870"/>
        <v>0</v>
      </c>
      <c r="CG335" s="200">
        <f t="shared" si="4870"/>
        <v>0</v>
      </c>
      <c r="CH335" s="200">
        <f t="shared" si="4870"/>
        <v>0</v>
      </c>
      <c r="CI335" s="200">
        <f t="shared" si="4870"/>
        <v>0</v>
      </c>
      <c r="CJ335" s="200">
        <f t="shared" si="4870"/>
        <v>0</v>
      </c>
      <c r="CK335" s="200">
        <f t="shared" si="4870"/>
        <v>0</v>
      </c>
      <c r="CL335" s="200">
        <f t="shared" si="4870"/>
        <v>0</v>
      </c>
      <c r="CM335" s="200">
        <f t="shared" si="4870"/>
        <v>0</v>
      </c>
      <c r="CN335" s="200">
        <f t="shared" si="4870"/>
        <v>0</v>
      </c>
      <c r="CO335" s="200">
        <f t="shared" si="4870"/>
        <v>0</v>
      </c>
      <c r="CP335" s="200">
        <f t="shared" si="4870"/>
        <v>0</v>
      </c>
      <c r="CQ335" s="374">
        <f t="shared" si="4870"/>
        <v>0</v>
      </c>
      <c r="CR335" s="200">
        <f t="shared" si="4870"/>
        <v>0</v>
      </c>
      <c r="CS335" s="200">
        <f t="shared" si="4870"/>
        <v>0</v>
      </c>
      <c r="CT335" s="200">
        <f t="shared" si="4870"/>
        <v>0</v>
      </c>
      <c r="CU335" s="200">
        <f t="shared" si="4870"/>
        <v>0</v>
      </c>
      <c r="CV335" s="200">
        <f t="shared" si="4870"/>
        <v>0</v>
      </c>
      <c r="CW335" s="200">
        <f t="shared" si="4870"/>
        <v>0</v>
      </c>
      <c r="CX335" s="200">
        <f t="shared" si="4870"/>
        <v>0</v>
      </c>
      <c r="CY335" s="200">
        <f t="shared" si="4870"/>
        <v>0</v>
      </c>
      <c r="CZ335" s="200">
        <f t="shared" si="4870"/>
        <v>0</v>
      </c>
      <c r="DA335" s="200">
        <f t="shared" si="4870"/>
        <v>0</v>
      </c>
      <c r="DB335" s="200">
        <f t="shared" si="4870"/>
        <v>0</v>
      </c>
      <c r="DC335" s="374">
        <f t="shared" si="4870"/>
        <v>0</v>
      </c>
    </row>
    <row r="336" spans="3:107" x14ac:dyDescent="0.3">
      <c r="C336" s="101" t="str">
        <f>++C$42</f>
        <v>Depreciation</v>
      </c>
      <c r="G336" s="374">
        <f>++G314</f>
        <v>0</v>
      </c>
      <c r="H336" s="200">
        <f t="shared" ref="H336:BS336" si="4871">++H314</f>
        <v>0</v>
      </c>
      <c r="I336" s="200">
        <f t="shared" si="4871"/>
        <v>0</v>
      </c>
      <c r="J336" s="200">
        <f t="shared" si="4871"/>
        <v>0</v>
      </c>
      <c r="K336" s="374">
        <f t="shared" si="4871"/>
        <v>0</v>
      </c>
      <c r="L336" s="200">
        <f t="shared" si="4871"/>
        <v>0</v>
      </c>
      <c r="M336" s="200">
        <f t="shared" si="4871"/>
        <v>0</v>
      </c>
      <c r="N336" s="200">
        <f t="shared" si="4871"/>
        <v>0</v>
      </c>
      <c r="O336" s="200">
        <f t="shared" si="4871"/>
        <v>0</v>
      </c>
      <c r="P336" s="200">
        <f t="shared" si="4871"/>
        <v>0</v>
      </c>
      <c r="Q336" s="200">
        <f t="shared" si="4871"/>
        <v>0</v>
      </c>
      <c r="R336" s="200">
        <f t="shared" si="4871"/>
        <v>0</v>
      </c>
      <c r="S336" s="200">
        <f t="shared" si="4871"/>
        <v>0</v>
      </c>
      <c r="T336" s="200">
        <f t="shared" si="4871"/>
        <v>0</v>
      </c>
      <c r="U336" s="200">
        <f t="shared" si="4871"/>
        <v>0</v>
      </c>
      <c r="V336" s="200">
        <f t="shared" si="4871"/>
        <v>0</v>
      </c>
      <c r="W336" s="374">
        <f t="shared" si="4871"/>
        <v>0</v>
      </c>
      <c r="X336" s="200">
        <f t="shared" si="4871"/>
        <v>0</v>
      </c>
      <c r="Y336" s="200">
        <f t="shared" si="4871"/>
        <v>0</v>
      </c>
      <c r="Z336" s="200">
        <f t="shared" si="4871"/>
        <v>0</v>
      </c>
      <c r="AA336" s="200">
        <f t="shared" si="4871"/>
        <v>0</v>
      </c>
      <c r="AB336" s="200">
        <f t="shared" si="4871"/>
        <v>0</v>
      </c>
      <c r="AC336" s="200">
        <f t="shared" si="4871"/>
        <v>0</v>
      </c>
      <c r="AD336" s="200">
        <f t="shared" si="4871"/>
        <v>0</v>
      </c>
      <c r="AE336" s="200">
        <f t="shared" si="4871"/>
        <v>0</v>
      </c>
      <c r="AF336" s="200">
        <f t="shared" si="4871"/>
        <v>0</v>
      </c>
      <c r="AG336" s="200">
        <f t="shared" si="4871"/>
        <v>0</v>
      </c>
      <c r="AH336" s="200">
        <f t="shared" si="4871"/>
        <v>0</v>
      </c>
      <c r="AI336" s="374">
        <f t="shared" si="4871"/>
        <v>0</v>
      </c>
      <c r="AJ336" s="200">
        <f t="shared" si="4871"/>
        <v>0</v>
      </c>
      <c r="AK336" s="200">
        <f t="shared" si="4871"/>
        <v>0</v>
      </c>
      <c r="AL336" s="200">
        <f t="shared" si="4871"/>
        <v>0</v>
      </c>
      <c r="AM336" s="200">
        <f t="shared" si="4871"/>
        <v>0</v>
      </c>
      <c r="AN336" s="200">
        <f t="shared" si="4871"/>
        <v>0</v>
      </c>
      <c r="AO336" s="200">
        <f t="shared" si="4871"/>
        <v>0</v>
      </c>
      <c r="AP336" s="200">
        <f t="shared" si="4871"/>
        <v>0</v>
      </c>
      <c r="AQ336" s="200">
        <f t="shared" si="4871"/>
        <v>0</v>
      </c>
      <c r="AR336" s="200">
        <f t="shared" si="4871"/>
        <v>0</v>
      </c>
      <c r="AS336" s="200">
        <f t="shared" si="4871"/>
        <v>0</v>
      </c>
      <c r="AT336" s="200">
        <f t="shared" si="4871"/>
        <v>0</v>
      </c>
      <c r="AU336" s="374">
        <f t="shared" si="4871"/>
        <v>0</v>
      </c>
      <c r="AV336" s="200">
        <f t="shared" si="4871"/>
        <v>0</v>
      </c>
      <c r="AW336" s="200">
        <f t="shared" si="4871"/>
        <v>0</v>
      </c>
      <c r="AX336" s="200">
        <f t="shared" si="4871"/>
        <v>0</v>
      </c>
      <c r="AY336" s="200">
        <f t="shared" si="4871"/>
        <v>0</v>
      </c>
      <c r="AZ336" s="200">
        <f t="shared" si="4871"/>
        <v>0</v>
      </c>
      <c r="BA336" s="200">
        <f t="shared" si="4871"/>
        <v>0</v>
      </c>
      <c r="BB336" s="200">
        <f t="shared" si="4871"/>
        <v>0</v>
      </c>
      <c r="BC336" s="200">
        <f t="shared" si="4871"/>
        <v>0</v>
      </c>
      <c r="BD336" s="200">
        <f t="shared" si="4871"/>
        <v>0</v>
      </c>
      <c r="BE336" s="200">
        <f t="shared" si="4871"/>
        <v>0</v>
      </c>
      <c r="BF336" s="200">
        <f t="shared" si="4871"/>
        <v>0</v>
      </c>
      <c r="BG336" s="374">
        <f t="shared" si="4871"/>
        <v>0</v>
      </c>
      <c r="BH336" s="200">
        <f t="shared" si="4871"/>
        <v>0</v>
      </c>
      <c r="BI336" s="200">
        <f t="shared" si="4871"/>
        <v>0</v>
      </c>
      <c r="BJ336" s="200">
        <f t="shared" si="4871"/>
        <v>0</v>
      </c>
      <c r="BK336" s="200">
        <f t="shared" si="4871"/>
        <v>0</v>
      </c>
      <c r="BL336" s="200">
        <f t="shared" si="4871"/>
        <v>0</v>
      </c>
      <c r="BM336" s="200">
        <f t="shared" si="4871"/>
        <v>0</v>
      </c>
      <c r="BN336" s="200">
        <f t="shared" si="4871"/>
        <v>0</v>
      </c>
      <c r="BO336" s="200">
        <f t="shared" si="4871"/>
        <v>0</v>
      </c>
      <c r="BP336" s="200">
        <f t="shared" si="4871"/>
        <v>0</v>
      </c>
      <c r="BQ336" s="200">
        <f t="shared" si="4871"/>
        <v>0</v>
      </c>
      <c r="BR336" s="200">
        <f t="shared" si="4871"/>
        <v>0</v>
      </c>
      <c r="BS336" s="374">
        <f t="shared" si="4871"/>
        <v>0</v>
      </c>
      <c r="BT336" s="200">
        <f t="shared" ref="BT336:DC336" si="4872">++BT314</f>
        <v>0</v>
      </c>
      <c r="BU336" s="200">
        <f t="shared" si="4872"/>
        <v>0</v>
      </c>
      <c r="BV336" s="200">
        <f t="shared" si="4872"/>
        <v>0</v>
      </c>
      <c r="BW336" s="200">
        <f t="shared" si="4872"/>
        <v>0</v>
      </c>
      <c r="BX336" s="200">
        <f t="shared" si="4872"/>
        <v>0</v>
      </c>
      <c r="BY336" s="200">
        <f t="shared" si="4872"/>
        <v>0</v>
      </c>
      <c r="BZ336" s="200">
        <f t="shared" si="4872"/>
        <v>0</v>
      </c>
      <c r="CA336" s="200">
        <f t="shared" si="4872"/>
        <v>0</v>
      </c>
      <c r="CB336" s="200">
        <f t="shared" si="4872"/>
        <v>0</v>
      </c>
      <c r="CC336" s="200">
        <f t="shared" si="4872"/>
        <v>0</v>
      </c>
      <c r="CD336" s="200">
        <f t="shared" si="4872"/>
        <v>0</v>
      </c>
      <c r="CE336" s="374">
        <f t="shared" si="4872"/>
        <v>0</v>
      </c>
      <c r="CF336" s="200">
        <f t="shared" si="4872"/>
        <v>0</v>
      </c>
      <c r="CG336" s="200">
        <f t="shared" si="4872"/>
        <v>0</v>
      </c>
      <c r="CH336" s="200">
        <f t="shared" si="4872"/>
        <v>0</v>
      </c>
      <c r="CI336" s="200">
        <f t="shared" si="4872"/>
        <v>0</v>
      </c>
      <c r="CJ336" s="200">
        <f t="shared" si="4872"/>
        <v>0</v>
      </c>
      <c r="CK336" s="200">
        <f t="shared" si="4872"/>
        <v>0</v>
      </c>
      <c r="CL336" s="200">
        <f t="shared" si="4872"/>
        <v>0</v>
      </c>
      <c r="CM336" s="200">
        <f t="shared" si="4872"/>
        <v>0</v>
      </c>
      <c r="CN336" s="200">
        <f t="shared" si="4872"/>
        <v>0</v>
      </c>
      <c r="CO336" s="200">
        <f t="shared" si="4872"/>
        <v>0</v>
      </c>
      <c r="CP336" s="200">
        <f t="shared" si="4872"/>
        <v>0</v>
      </c>
      <c r="CQ336" s="374">
        <f t="shared" si="4872"/>
        <v>0</v>
      </c>
      <c r="CR336" s="200">
        <f t="shared" si="4872"/>
        <v>0</v>
      </c>
      <c r="CS336" s="200">
        <f t="shared" si="4872"/>
        <v>0</v>
      </c>
      <c r="CT336" s="200">
        <f t="shared" si="4872"/>
        <v>0</v>
      </c>
      <c r="CU336" s="200">
        <f t="shared" si="4872"/>
        <v>0</v>
      </c>
      <c r="CV336" s="200">
        <f t="shared" si="4872"/>
        <v>0</v>
      </c>
      <c r="CW336" s="200">
        <f t="shared" si="4872"/>
        <v>0</v>
      </c>
      <c r="CX336" s="200">
        <f t="shared" si="4872"/>
        <v>0</v>
      </c>
      <c r="CY336" s="200">
        <f t="shared" si="4872"/>
        <v>0</v>
      </c>
      <c r="CZ336" s="200">
        <f t="shared" si="4872"/>
        <v>0</v>
      </c>
      <c r="DA336" s="200">
        <f t="shared" si="4872"/>
        <v>0</v>
      </c>
      <c r="DB336" s="200">
        <f t="shared" si="4872"/>
        <v>0</v>
      </c>
      <c r="DC336" s="374">
        <f t="shared" si="4872"/>
        <v>0</v>
      </c>
    </row>
    <row r="337" spans="1:107" x14ac:dyDescent="0.3">
      <c r="C337" s="101" t="str">
        <f>++C$43</f>
        <v>Amortization</v>
      </c>
      <c r="G337" s="374">
        <f t="shared" ref="G337:BR337" si="4873">++G315</f>
        <v>0</v>
      </c>
      <c r="H337" s="200">
        <f t="shared" si="4873"/>
        <v>0</v>
      </c>
      <c r="I337" s="200">
        <f t="shared" si="4873"/>
        <v>0</v>
      </c>
      <c r="J337" s="200">
        <f t="shared" si="4873"/>
        <v>0</v>
      </c>
      <c r="K337" s="374">
        <f t="shared" si="4873"/>
        <v>0</v>
      </c>
      <c r="L337" s="200">
        <f t="shared" si="4873"/>
        <v>0</v>
      </c>
      <c r="M337" s="200">
        <f t="shared" si="4873"/>
        <v>0</v>
      </c>
      <c r="N337" s="200">
        <f t="shared" si="4873"/>
        <v>0</v>
      </c>
      <c r="O337" s="200">
        <f t="shared" si="4873"/>
        <v>0</v>
      </c>
      <c r="P337" s="200">
        <f t="shared" si="4873"/>
        <v>0</v>
      </c>
      <c r="Q337" s="200">
        <f t="shared" si="4873"/>
        <v>0</v>
      </c>
      <c r="R337" s="200">
        <f t="shared" si="4873"/>
        <v>0</v>
      </c>
      <c r="S337" s="200">
        <f t="shared" si="4873"/>
        <v>0</v>
      </c>
      <c r="T337" s="200">
        <f t="shared" si="4873"/>
        <v>0</v>
      </c>
      <c r="U337" s="200">
        <f t="shared" si="4873"/>
        <v>0</v>
      </c>
      <c r="V337" s="200">
        <f t="shared" si="4873"/>
        <v>0</v>
      </c>
      <c r="W337" s="374">
        <f t="shared" si="4873"/>
        <v>0</v>
      </c>
      <c r="X337" s="200">
        <f t="shared" si="4873"/>
        <v>0</v>
      </c>
      <c r="Y337" s="200">
        <f t="shared" si="4873"/>
        <v>0</v>
      </c>
      <c r="Z337" s="200">
        <f t="shared" si="4873"/>
        <v>0</v>
      </c>
      <c r="AA337" s="200">
        <f t="shared" si="4873"/>
        <v>0</v>
      </c>
      <c r="AB337" s="200">
        <f t="shared" si="4873"/>
        <v>0</v>
      </c>
      <c r="AC337" s="200">
        <f t="shared" si="4873"/>
        <v>0</v>
      </c>
      <c r="AD337" s="200">
        <f t="shared" si="4873"/>
        <v>0</v>
      </c>
      <c r="AE337" s="200">
        <f t="shared" si="4873"/>
        <v>0</v>
      </c>
      <c r="AF337" s="200">
        <f t="shared" si="4873"/>
        <v>0</v>
      </c>
      <c r="AG337" s="200">
        <f t="shared" si="4873"/>
        <v>0</v>
      </c>
      <c r="AH337" s="200">
        <f t="shared" si="4873"/>
        <v>0</v>
      </c>
      <c r="AI337" s="374">
        <f t="shared" si="4873"/>
        <v>0</v>
      </c>
      <c r="AJ337" s="200">
        <f t="shared" si="4873"/>
        <v>0</v>
      </c>
      <c r="AK337" s="200">
        <f t="shared" si="4873"/>
        <v>0</v>
      </c>
      <c r="AL337" s="200">
        <f t="shared" si="4873"/>
        <v>0</v>
      </c>
      <c r="AM337" s="200">
        <f t="shared" si="4873"/>
        <v>0</v>
      </c>
      <c r="AN337" s="200">
        <f t="shared" si="4873"/>
        <v>0</v>
      </c>
      <c r="AO337" s="200">
        <f t="shared" si="4873"/>
        <v>0</v>
      </c>
      <c r="AP337" s="200">
        <f t="shared" si="4873"/>
        <v>0</v>
      </c>
      <c r="AQ337" s="200">
        <f t="shared" si="4873"/>
        <v>0</v>
      </c>
      <c r="AR337" s="200">
        <f t="shared" si="4873"/>
        <v>0</v>
      </c>
      <c r="AS337" s="200">
        <f t="shared" si="4873"/>
        <v>0</v>
      </c>
      <c r="AT337" s="200">
        <f t="shared" si="4873"/>
        <v>0</v>
      </c>
      <c r="AU337" s="374">
        <f t="shared" si="4873"/>
        <v>0</v>
      </c>
      <c r="AV337" s="200">
        <f t="shared" si="4873"/>
        <v>0</v>
      </c>
      <c r="AW337" s="200">
        <f t="shared" si="4873"/>
        <v>0</v>
      </c>
      <c r="AX337" s="200">
        <f t="shared" si="4873"/>
        <v>0</v>
      </c>
      <c r="AY337" s="200">
        <f t="shared" si="4873"/>
        <v>0</v>
      </c>
      <c r="AZ337" s="200">
        <f t="shared" si="4873"/>
        <v>0</v>
      </c>
      <c r="BA337" s="200">
        <f t="shared" si="4873"/>
        <v>0</v>
      </c>
      <c r="BB337" s="200">
        <f t="shared" si="4873"/>
        <v>0</v>
      </c>
      <c r="BC337" s="200">
        <f t="shared" si="4873"/>
        <v>0</v>
      </c>
      <c r="BD337" s="200">
        <f t="shared" si="4873"/>
        <v>0</v>
      </c>
      <c r="BE337" s="200">
        <f t="shared" si="4873"/>
        <v>0</v>
      </c>
      <c r="BF337" s="200">
        <f t="shared" si="4873"/>
        <v>0</v>
      </c>
      <c r="BG337" s="374">
        <f t="shared" si="4873"/>
        <v>0</v>
      </c>
      <c r="BH337" s="200">
        <f t="shared" si="4873"/>
        <v>0</v>
      </c>
      <c r="BI337" s="200">
        <f t="shared" si="4873"/>
        <v>0</v>
      </c>
      <c r="BJ337" s="200">
        <f t="shared" si="4873"/>
        <v>0</v>
      </c>
      <c r="BK337" s="200">
        <f t="shared" si="4873"/>
        <v>0</v>
      </c>
      <c r="BL337" s="200">
        <f t="shared" si="4873"/>
        <v>0</v>
      </c>
      <c r="BM337" s="200">
        <f t="shared" si="4873"/>
        <v>0</v>
      </c>
      <c r="BN337" s="200">
        <f t="shared" si="4873"/>
        <v>0</v>
      </c>
      <c r="BO337" s="200">
        <f t="shared" si="4873"/>
        <v>0</v>
      </c>
      <c r="BP337" s="200">
        <f t="shared" si="4873"/>
        <v>0</v>
      </c>
      <c r="BQ337" s="200">
        <f t="shared" si="4873"/>
        <v>0</v>
      </c>
      <c r="BR337" s="200">
        <f t="shared" si="4873"/>
        <v>0</v>
      </c>
      <c r="BS337" s="374">
        <f t="shared" ref="BS337:DC337" si="4874">++BS315</f>
        <v>0</v>
      </c>
      <c r="BT337" s="200">
        <f t="shared" si="4874"/>
        <v>0</v>
      </c>
      <c r="BU337" s="200">
        <f t="shared" si="4874"/>
        <v>0</v>
      </c>
      <c r="BV337" s="200">
        <f t="shared" si="4874"/>
        <v>0</v>
      </c>
      <c r="BW337" s="200">
        <f t="shared" si="4874"/>
        <v>0</v>
      </c>
      <c r="BX337" s="200">
        <f t="shared" si="4874"/>
        <v>0</v>
      </c>
      <c r="BY337" s="200">
        <f t="shared" si="4874"/>
        <v>0</v>
      </c>
      <c r="BZ337" s="200">
        <f t="shared" si="4874"/>
        <v>0</v>
      </c>
      <c r="CA337" s="200">
        <f t="shared" si="4874"/>
        <v>0</v>
      </c>
      <c r="CB337" s="200">
        <f t="shared" si="4874"/>
        <v>0</v>
      </c>
      <c r="CC337" s="200">
        <f t="shared" si="4874"/>
        <v>0</v>
      </c>
      <c r="CD337" s="200">
        <f t="shared" si="4874"/>
        <v>0</v>
      </c>
      <c r="CE337" s="374">
        <f t="shared" si="4874"/>
        <v>0</v>
      </c>
      <c r="CF337" s="200">
        <f t="shared" si="4874"/>
        <v>0</v>
      </c>
      <c r="CG337" s="200">
        <f t="shared" si="4874"/>
        <v>0</v>
      </c>
      <c r="CH337" s="200">
        <f t="shared" si="4874"/>
        <v>0</v>
      </c>
      <c r="CI337" s="200">
        <f t="shared" si="4874"/>
        <v>0</v>
      </c>
      <c r="CJ337" s="200">
        <f t="shared" si="4874"/>
        <v>0</v>
      </c>
      <c r="CK337" s="200">
        <f t="shared" si="4874"/>
        <v>0</v>
      </c>
      <c r="CL337" s="200">
        <f t="shared" si="4874"/>
        <v>0</v>
      </c>
      <c r="CM337" s="200">
        <f t="shared" si="4874"/>
        <v>0</v>
      </c>
      <c r="CN337" s="200">
        <f t="shared" si="4874"/>
        <v>0</v>
      </c>
      <c r="CO337" s="200">
        <f t="shared" si="4874"/>
        <v>0</v>
      </c>
      <c r="CP337" s="200">
        <f t="shared" si="4874"/>
        <v>0</v>
      </c>
      <c r="CQ337" s="374">
        <f t="shared" si="4874"/>
        <v>0</v>
      </c>
      <c r="CR337" s="200">
        <f t="shared" si="4874"/>
        <v>0</v>
      </c>
      <c r="CS337" s="200">
        <f t="shared" si="4874"/>
        <v>0</v>
      </c>
      <c r="CT337" s="200">
        <f t="shared" si="4874"/>
        <v>0</v>
      </c>
      <c r="CU337" s="200">
        <f t="shared" si="4874"/>
        <v>0</v>
      </c>
      <c r="CV337" s="200">
        <f t="shared" si="4874"/>
        <v>0</v>
      </c>
      <c r="CW337" s="200">
        <f t="shared" si="4874"/>
        <v>0</v>
      </c>
      <c r="CX337" s="200">
        <f t="shared" si="4874"/>
        <v>0</v>
      </c>
      <c r="CY337" s="200">
        <f t="shared" si="4874"/>
        <v>0</v>
      </c>
      <c r="CZ337" s="200">
        <f t="shared" si="4874"/>
        <v>0</v>
      </c>
      <c r="DA337" s="200">
        <f t="shared" si="4874"/>
        <v>0</v>
      </c>
      <c r="DB337" s="200">
        <f t="shared" si="4874"/>
        <v>0</v>
      </c>
      <c r="DC337" s="374">
        <f t="shared" si="4874"/>
        <v>0</v>
      </c>
    </row>
    <row r="338" spans="1:107" x14ac:dyDescent="0.3">
      <c r="C338" s="231" t="str">
        <f>++C$44</f>
        <v>Reported EBITDA</v>
      </c>
      <c r="D338" s="191"/>
      <c r="E338" s="191"/>
      <c r="G338" s="239">
        <f>++SUM(G334:G337)</f>
        <v>0</v>
      </c>
      <c r="H338" s="232">
        <f t="shared" ref="H338:BS338" si="4875">++SUM(H334:H337)</f>
        <v>0</v>
      </c>
      <c r="I338" s="232">
        <f t="shared" si="4875"/>
        <v>0</v>
      </c>
      <c r="J338" s="232">
        <f t="shared" si="4875"/>
        <v>0</v>
      </c>
      <c r="K338" s="239">
        <f t="shared" si="4875"/>
        <v>0</v>
      </c>
      <c r="L338" s="232">
        <f t="shared" si="4875"/>
        <v>0</v>
      </c>
      <c r="M338" s="232">
        <f t="shared" si="4875"/>
        <v>0</v>
      </c>
      <c r="N338" s="232">
        <f t="shared" si="4875"/>
        <v>0</v>
      </c>
      <c r="O338" s="232">
        <f t="shared" si="4875"/>
        <v>0</v>
      </c>
      <c r="P338" s="232">
        <f t="shared" si="4875"/>
        <v>0</v>
      </c>
      <c r="Q338" s="232">
        <f t="shared" si="4875"/>
        <v>0</v>
      </c>
      <c r="R338" s="232">
        <f t="shared" si="4875"/>
        <v>0</v>
      </c>
      <c r="S338" s="232">
        <f t="shared" si="4875"/>
        <v>0</v>
      </c>
      <c r="T338" s="232">
        <f t="shared" si="4875"/>
        <v>0</v>
      </c>
      <c r="U338" s="232">
        <f t="shared" si="4875"/>
        <v>0</v>
      </c>
      <c r="V338" s="232">
        <f t="shared" si="4875"/>
        <v>0</v>
      </c>
      <c r="W338" s="239">
        <f t="shared" si="4875"/>
        <v>0</v>
      </c>
      <c r="X338" s="232">
        <f t="shared" si="4875"/>
        <v>0</v>
      </c>
      <c r="Y338" s="232">
        <f t="shared" si="4875"/>
        <v>0</v>
      </c>
      <c r="Z338" s="232">
        <f t="shared" si="4875"/>
        <v>0</v>
      </c>
      <c r="AA338" s="232">
        <f t="shared" si="4875"/>
        <v>0</v>
      </c>
      <c r="AB338" s="232">
        <f t="shared" si="4875"/>
        <v>0</v>
      </c>
      <c r="AC338" s="232">
        <f t="shared" si="4875"/>
        <v>0</v>
      </c>
      <c r="AD338" s="232">
        <f t="shared" si="4875"/>
        <v>0</v>
      </c>
      <c r="AE338" s="232">
        <f t="shared" si="4875"/>
        <v>0</v>
      </c>
      <c r="AF338" s="232">
        <f t="shared" si="4875"/>
        <v>0</v>
      </c>
      <c r="AG338" s="232">
        <f t="shared" si="4875"/>
        <v>0</v>
      </c>
      <c r="AH338" s="232">
        <f t="shared" si="4875"/>
        <v>0</v>
      </c>
      <c r="AI338" s="239">
        <f t="shared" si="4875"/>
        <v>0</v>
      </c>
      <c r="AJ338" s="232">
        <f t="shared" si="4875"/>
        <v>0</v>
      </c>
      <c r="AK338" s="232">
        <f t="shared" si="4875"/>
        <v>0</v>
      </c>
      <c r="AL338" s="232">
        <f t="shared" si="4875"/>
        <v>0</v>
      </c>
      <c r="AM338" s="232">
        <f t="shared" si="4875"/>
        <v>0</v>
      </c>
      <c r="AN338" s="232">
        <f t="shared" si="4875"/>
        <v>0</v>
      </c>
      <c r="AO338" s="232">
        <f t="shared" si="4875"/>
        <v>0</v>
      </c>
      <c r="AP338" s="232">
        <f t="shared" si="4875"/>
        <v>0</v>
      </c>
      <c r="AQ338" s="232">
        <f t="shared" si="4875"/>
        <v>0</v>
      </c>
      <c r="AR338" s="232">
        <f t="shared" si="4875"/>
        <v>0</v>
      </c>
      <c r="AS338" s="232">
        <f t="shared" si="4875"/>
        <v>0</v>
      </c>
      <c r="AT338" s="232">
        <f t="shared" si="4875"/>
        <v>0</v>
      </c>
      <c r="AU338" s="239">
        <f t="shared" si="4875"/>
        <v>0</v>
      </c>
      <c r="AV338" s="232">
        <f t="shared" si="4875"/>
        <v>0</v>
      </c>
      <c r="AW338" s="232">
        <f t="shared" si="4875"/>
        <v>0</v>
      </c>
      <c r="AX338" s="232">
        <f t="shared" si="4875"/>
        <v>0</v>
      </c>
      <c r="AY338" s="232">
        <f t="shared" si="4875"/>
        <v>0</v>
      </c>
      <c r="AZ338" s="232">
        <f t="shared" si="4875"/>
        <v>0</v>
      </c>
      <c r="BA338" s="232">
        <f t="shared" si="4875"/>
        <v>0</v>
      </c>
      <c r="BB338" s="232">
        <f t="shared" si="4875"/>
        <v>0</v>
      </c>
      <c r="BC338" s="232">
        <f t="shared" si="4875"/>
        <v>0</v>
      </c>
      <c r="BD338" s="232">
        <f t="shared" si="4875"/>
        <v>0</v>
      </c>
      <c r="BE338" s="232">
        <f t="shared" si="4875"/>
        <v>0</v>
      </c>
      <c r="BF338" s="232">
        <f t="shared" si="4875"/>
        <v>0</v>
      </c>
      <c r="BG338" s="239">
        <f t="shared" si="4875"/>
        <v>0</v>
      </c>
      <c r="BH338" s="232">
        <f t="shared" si="4875"/>
        <v>0</v>
      </c>
      <c r="BI338" s="232">
        <f t="shared" si="4875"/>
        <v>0</v>
      </c>
      <c r="BJ338" s="232">
        <f t="shared" si="4875"/>
        <v>0</v>
      </c>
      <c r="BK338" s="232">
        <f t="shared" si="4875"/>
        <v>0</v>
      </c>
      <c r="BL338" s="232">
        <f t="shared" si="4875"/>
        <v>0</v>
      </c>
      <c r="BM338" s="232">
        <f t="shared" si="4875"/>
        <v>0</v>
      </c>
      <c r="BN338" s="232">
        <f t="shared" si="4875"/>
        <v>0</v>
      </c>
      <c r="BO338" s="232">
        <f t="shared" si="4875"/>
        <v>0</v>
      </c>
      <c r="BP338" s="232">
        <f t="shared" si="4875"/>
        <v>0</v>
      </c>
      <c r="BQ338" s="232">
        <f t="shared" si="4875"/>
        <v>0</v>
      </c>
      <c r="BR338" s="232">
        <f t="shared" si="4875"/>
        <v>0</v>
      </c>
      <c r="BS338" s="239">
        <f t="shared" si="4875"/>
        <v>0</v>
      </c>
      <c r="BT338" s="232">
        <f t="shared" ref="BT338:DC338" si="4876">++SUM(BT334:BT337)</f>
        <v>0</v>
      </c>
      <c r="BU338" s="232">
        <f t="shared" si="4876"/>
        <v>0</v>
      </c>
      <c r="BV338" s="232">
        <f t="shared" si="4876"/>
        <v>0</v>
      </c>
      <c r="BW338" s="232">
        <f t="shared" si="4876"/>
        <v>0</v>
      </c>
      <c r="BX338" s="232">
        <f t="shared" si="4876"/>
        <v>0</v>
      </c>
      <c r="BY338" s="232">
        <f t="shared" si="4876"/>
        <v>0</v>
      </c>
      <c r="BZ338" s="232">
        <f t="shared" si="4876"/>
        <v>0</v>
      </c>
      <c r="CA338" s="232">
        <f t="shared" si="4876"/>
        <v>0</v>
      </c>
      <c r="CB338" s="232">
        <f t="shared" si="4876"/>
        <v>0</v>
      </c>
      <c r="CC338" s="232">
        <f t="shared" si="4876"/>
        <v>0</v>
      </c>
      <c r="CD338" s="232">
        <f t="shared" si="4876"/>
        <v>0</v>
      </c>
      <c r="CE338" s="239">
        <f t="shared" si="4876"/>
        <v>0</v>
      </c>
      <c r="CF338" s="232">
        <f t="shared" si="4876"/>
        <v>0</v>
      </c>
      <c r="CG338" s="232">
        <f t="shared" si="4876"/>
        <v>0</v>
      </c>
      <c r="CH338" s="232">
        <f t="shared" si="4876"/>
        <v>0</v>
      </c>
      <c r="CI338" s="232">
        <f t="shared" si="4876"/>
        <v>0</v>
      </c>
      <c r="CJ338" s="232">
        <f t="shared" si="4876"/>
        <v>0</v>
      </c>
      <c r="CK338" s="232">
        <f t="shared" si="4876"/>
        <v>0</v>
      </c>
      <c r="CL338" s="232">
        <f t="shared" si="4876"/>
        <v>0</v>
      </c>
      <c r="CM338" s="232">
        <f t="shared" si="4876"/>
        <v>0</v>
      </c>
      <c r="CN338" s="232">
        <f t="shared" si="4876"/>
        <v>0</v>
      </c>
      <c r="CO338" s="232">
        <f t="shared" si="4876"/>
        <v>0</v>
      </c>
      <c r="CP338" s="232">
        <f t="shared" si="4876"/>
        <v>0</v>
      </c>
      <c r="CQ338" s="239">
        <f t="shared" si="4876"/>
        <v>0</v>
      </c>
      <c r="CR338" s="232">
        <f t="shared" si="4876"/>
        <v>0</v>
      </c>
      <c r="CS338" s="232">
        <f t="shared" si="4876"/>
        <v>0</v>
      </c>
      <c r="CT338" s="232">
        <f t="shared" si="4876"/>
        <v>0</v>
      </c>
      <c r="CU338" s="232">
        <f t="shared" si="4876"/>
        <v>0</v>
      </c>
      <c r="CV338" s="232">
        <f t="shared" si="4876"/>
        <v>0</v>
      </c>
      <c r="CW338" s="232">
        <f t="shared" si="4876"/>
        <v>0</v>
      </c>
      <c r="CX338" s="232">
        <f t="shared" si="4876"/>
        <v>0</v>
      </c>
      <c r="CY338" s="232">
        <f t="shared" si="4876"/>
        <v>0</v>
      </c>
      <c r="CZ338" s="232">
        <f t="shared" si="4876"/>
        <v>0</v>
      </c>
      <c r="DA338" s="232">
        <f t="shared" si="4876"/>
        <v>0</v>
      </c>
      <c r="DB338" s="232">
        <f t="shared" si="4876"/>
        <v>0</v>
      </c>
      <c r="DC338" s="239">
        <f t="shared" si="4876"/>
        <v>0</v>
      </c>
    </row>
    <row r="339" spans="1:107" x14ac:dyDescent="0.3">
      <c r="C339" s="321" t="str">
        <f>++C$45</f>
        <v>% margin</v>
      </c>
      <c r="G339" s="214" t="str">
        <f>++IFERROR(G338/G304,"n/a")</f>
        <v>n/a</v>
      </c>
      <c r="H339" s="225" t="str">
        <f t="shared" ref="H339" si="4877">++IFERROR(H338/H304,"n/a")</f>
        <v>n/a</v>
      </c>
      <c r="I339" s="225" t="str">
        <f t="shared" ref="I339" si="4878">++IFERROR(I338/I304,"n/a")</f>
        <v>n/a</v>
      </c>
      <c r="J339" s="225" t="str">
        <f t="shared" ref="J339" si="4879">++IFERROR(J338/J304,"n/a")</f>
        <v>n/a</v>
      </c>
      <c r="K339" s="214" t="str">
        <f t="shared" ref="K339" si="4880">++IFERROR(K338/K304,"n/a")</f>
        <v>n/a</v>
      </c>
      <c r="L339" s="225" t="str">
        <f t="shared" ref="L339" si="4881">++IFERROR(L338/L304,"n/a")</f>
        <v>n/a</v>
      </c>
      <c r="M339" s="225" t="str">
        <f t="shared" ref="M339" si="4882">++IFERROR(M338/M304,"n/a")</f>
        <v>n/a</v>
      </c>
      <c r="N339" s="225" t="str">
        <f t="shared" ref="N339" si="4883">++IFERROR(N338/N304,"n/a")</f>
        <v>n/a</v>
      </c>
      <c r="O339" s="225" t="str">
        <f t="shared" ref="O339" si="4884">++IFERROR(O338/O304,"n/a")</f>
        <v>n/a</v>
      </c>
      <c r="P339" s="225" t="str">
        <f t="shared" ref="P339" si="4885">++IFERROR(P338/P304,"n/a")</f>
        <v>n/a</v>
      </c>
      <c r="Q339" s="225" t="str">
        <f t="shared" ref="Q339" si="4886">++IFERROR(Q338/Q304,"n/a")</f>
        <v>n/a</v>
      </c>
      <c r="R339" s="225" t="str">
        <f t="shared" ref="R339" si="4887">++IFERROR(R338/R304,"n/a")</f>
        <v>n/a</v>
      </c>
      <c r="S339" s="225" t="str">
        <f t="shared" ref="S339" si="4888">++IFERROR(S338/S304,"n/a")</f>
        <v>n/a</v>
      </c>
      <c r="T339" s="225" t="str">
        <f t="shared" ref="T339" si="4889">++IFERROR(T338/T304,"n/a")</f>
        <v>n/a</v>
      </c>
      <c r="U339" s="225" t="str">
        <f t="shared" ref="U339" si="4890">++IFERROR(U338/U304,"n/a")</f>
        <v>n/a</v>
      </c>
      <c r="V339" s="225" t="str">
        <f t="shared" ref="V339" si="4891">++IFERROR(V338/V304,"n/a")</f>
        <v>n/a</v>
      </c>
      <c r="W339" s="214" t="str">
        <f t="shared" ref="W339" si="4892">++IFERROR(W338/W304,"n/a")</f>
        <v>n/a</v>
      </c>
      <c r="X339" s="225" t="str">
        <f t="shared" ref="X339" si="4893">++IFERROR(X338/X304,"n/a")</f>
        <v>n/a</v>
      </c>
      <c r="Y339" s="225" t="str">
        <f t="shared" ref="Y339" si="4894">++IFERROR(Y338/Y304,"n/a")</f>
        <v>n/a</v>
      </c>
      <c r="Z339" s="225" t="str">
        <f t="shared" ref="Z339" si="4895">++IFERROR(Z338/Z304,"n/a")</f>
        <v>n/a</v>
      </c>
      <c r="AA339" s="225" t="str">
        <f t="shared" ref="AA339" si="4896">++IFERROR(AA338/AA304,"n/a")</f>
        <v>n/a</v>
      </c>
      <c r="AB339" s="225" t="str">
        <f t="shared" ref="AB339" si="4897">++IFERROR(AB338/AB304,"n/a")</f>
        <v>n/a</v>
      </c>
      <c r="AC339" s="225" t="str">
        <f t="shared" ref="AC339" si="4898">++IFERROR(AC338/AC304,"n/a")</f>
        <v>n/a</v>
      </c>
      <c r="AD339" s="225" t="str">
        <f t="shared" ref="AD339" si="4899">++IFERROR(AD338/AD304,"n/a")</f>
        <v>n/a</v>
      </c>
      <c r="AE339" s="225" t="str">
        <f t="shared" ref="AE339" si="4900">++IFERROR(AE338/AE304,"n/a")</f>
        <v>n/a</v>
      </c>
      <c r="AF339" s="225" t="str">
        <f t="shared" ref="AF339" si="4901">++IFERROR(AF338/AF304,"n/a")</f>
        <v>n/a</v>
      </c>
      <c r="AG339" s="225" t="str">
        <f t="shared" ref="AG339" si="4902">++IFERROR(AG338/AG304,"n/a")</f>
        <v>n/a</v>
      </c>
      <c r="AH339" s="225" t="str">
        <f t="shared" ref="AH339" si="4903">++IFERROR(AH338/AH304,"n/a")</f>
        <v>n/a</v>
      </c>
      <c r="AI339" s="214" t="str">
        <f t="shared" ref="AI339" si="4904">++IFERROR(AI338/AI304,"n/a")</f>
        <v>n/a</v>
      </c>
      <c r="AJ339" s="225" t="str">
        <f t="shared" ref="AJ339" si="4905">++IFERROR(AJ338/AJ304,"n/a")</f>
        <v>n/a</v>
      </c>
      <c r="AK339" s="225" t="str">
        <f t="shared" ref="AK339" si="4906">++IFERROR(AK338/AK304,"n/a")</f>
        <v>n/a</v>
      </c>
      <c r="AL339" s="225" t="str">
        <f t="shared" ref="AL339" si="4907">++IFERROR(AL338/AL304,"n/a")</f>
        <v>n/a</v>
      </c>
      <c r="AM339" s="225" t="str">
        <f t="shared" ref="AM339" si="4908">++IFERROR(AM338/AM304,"n/a")</f>
        <v>n/a</v>
      </c>
      <c r="AN339" s="225" t="str">
        <f t="shared" ref="AN339" si="4909">++IFERROR(AN338/AN304,"n/a")</f>
        <v>n/a</v>
      </c>
      <c r="AO339" s="225" t="str">
        <f t="shared" ref="AO339" si="4910">++IFERROR(AO338/AO304,"n/a")</f>
        <v>n/a</v>
      </c>
      <c r="AP339" s="225" t="str">
        <f t="shared" ref="AP339" si="4911">++IFERROR(AP338/AP304,"n/a")</f>
        <v>n/a</v>
      </c>
      <c r="AQ339" s="225" t="str">
        <f t="shared" ref="AQ339" si="4912">++IFERROR(AQ338/AQ304,"n/a")</f>
        <v>n/a</v>
      </c>
      <c r="AR339" s="225" t="str">
        <f t="shared" ref="AR339" si="4913">++IFERROR(AR338/AR304,"n/a")</f>
        <v>n/a</v>
      </c>
      <c r="AS339" s="225" t="str">
        <f t="shared" ref="AS339" si="4914">++IFERROR(AS338/AS304,"n/a")</f>
        <v>n/a</v>
      </c>
      <c r="AT339" s="225" t="str">
        <f t="shared" ref="AT339" si="4915">++IFERROR(AT338/AT304,"n/a")</f>
        <v>n/a</v>
      </c>
      <c r="AU339" s="214" t="str">
        <f t="shared" ref="AU339" si="4916">++IFERROR(AU338/AU304,"n/a")</f>
        <v>n/a</v>
      </c>
      <c r="AV339" s="225" t="str">
        <f t="shared" ref="AV339" si="4917">++IFERROR(AV338/AV304,"n/a")</f>
        <v>n/a</v>
      </c>
      <c r="AW339" s="225" t="str">
        <f t="shared" ref="AW339" si="4918">++IFERROR(AW338/AW304,"n/a")</f>
        <v>n/a</v>
      </c>
      <c r="AX339" s="225" t="str">
        <f t="shared" ref="AX339" si="4919">++IFERROR(AX338/AX304,"n/a")</f>
        <v>n/a</v>
      </c>
      <c r="AY339" s="225" t="str">
        <f t="shared" ref="AY339" si="4920">++IFERROR(AY338/AY304,"n/a")</f>
        <v>n/a</v>
      </c>
      <c r="AZ339" s="225" t="str">
        <f t="shared" ref="AZ339" si="4921">++IFERROR(AZ338/AZ304,"n/a")</f>
        <v>n/a</v>
      </c>
      <c r="BA339" s="225" t="str">
        <f t="shared" ref="BA339" si="4922">++IFERROR(BA338/BA304,"n/a")</f>
        <v>n/a</v>
      </c>
      <c r="BB339" s="225" t="str">
        <f t="shared" ref="BB339" si="4923">++IFERROR(BB338/BB304,"n/a")</f>
        <v>n/a</v>
      </c>
      <c r="BC339" s="225" t="str">
        <f t="shared" ref="BC339" si="4924">++IFERROR(BC338/BC304,"n/a")</f>
        <v>n/a</v>
      </c>
      <c r="BD339" s="225" t="str">
        <f t="shared" ref="BD339" si="4925">++IFERROR(BD338/BD304,"n/a")</f>
        <v>n/a</v>
      </c>
      <c r="BE339" s="225" t="str">
        <f t="shared" ref="BE339" si="4926">++IFERROR(BE338/BE304,"n/a")</f>
        <v>n/a</v>
      </c>
      <c r="BF339" s="225" t="str">
        <f t="shared" ref="BF339" si="4927">++IFERROR(BF338/BF304,"n/a")</f>
        <v>n/a</v>
      </c>
      <c r="BG339" s="214" t="str">
        <f t="shared" ref="BG339" si="4928">++IFERROR(BG338/BG304,"n/a")</f>
        <v>n/a</v>
      </c>
      <c r="BH339" s="225" t="str">
        <f t="shared" ref="BH339" si="4929">++IFERROR(BH338/BH304,"n/a")</f>
        <v>n/a</v>
      </c>
      <c r="BI339" s="225" t="str">
        <f t="shared" ref="BI339" si="4930">++IFERROR(BI338/BI304,"n/a")</f>
        <v>n/a</v>
      </c>
      <c r="BJ339" s="225" t="str">
        <f t="shared" ref="BJ339" si="4931">++IFERROR(BJ338/BJ304,"n/a")</f>
        <v>n/a</v>
      </c>
      <c r="BK339" s="225" t="str">
        <f t="shared" ref="BK339" si="4932">++IFERROR(BK338/BK304,"n/a")</f>
        <v>n/a</v>
      </c>
      <c r="BL339" s="225" t="str">
        <f t="shared" ref="BL339" si="4933">++IFERROR(BL338/BL304,"n/a")</f>
        <v>n/a</v>
      </c>
      <c r="BM339" s="225" t="str">
        <f t="shared" ref="BM339" si="4934">++IFERROR(BM338/BM304,"n/a")</f>
        <v>n/a</v>
      </c>
      <c r="BN339" s="225" t="str">
        <f t="shared" ref="BN339" si="4935">++IFERROR(BN338/BN304,"n/a")</f>
        <v>n/a</v>
      </c>
      <c r="BO339" s="225" t="str">
        <f t="shared" ref="BO339" si="4936">++IFERROR(BO338/BO304,"n/a")</f>
        <v>n/a</v>
      </c>
      <c r="BP339" s="225" t="str">
        <f t="shared" ref="BP339" si="4937">++IFERROR(BP338/BP304,"n/a")</f>
        <v>n/a</v>
      </c>
      <c r="BQ339" s="225" t="str">
        <f t="shared" ref="BQ339" si="4938">++IFERROR(BQ338/BQ304,"n/a")</f>
        <v>n/a</v>
      </c>
      <c r="BR339" s="225" t="str">
        <f t="shared" ref="BR339" si="4939">++IFERROR(BR338/BR304,"n/a")</f>
        <v>n/a</v>
      </c>
      <c r="BS339" s="214" t="str">
        <f t="shared" ref="BS339" si="4940">++IFERROR(BS338/BS304,"n/a")</f>
        <v>n/a</v>
      </c>
      <c r="BT339" s="225" t="str">
        <f t="shared" ref="BT339" si="4941">++IFERROR(BT338/BT304,"n/a")</f>
        <v>n/a</v>
      </c>
      <c r="BU339" s="225" t="str">
        <f t="shared" ref="BU339" si="4942">++IFERROR(BU338/BU304,"n/a")</f>
        <v>n/a</v>
      </c>
      <c r="BV339" s="225" t="str">
        <f t="shared" ref="BV339" si="4943">++IFERROR(BV338/BV304,"n/a")</f>
        <v>n/a</v>
      </c>
      <c r="BW339" s="225" t="str">
        <f t="shared" ref="BW339" si="4944">++IFERROR(BW338/BW304,"n/a")</f>
        <v>n/a</v>
      </c>
      <c r="BX339" s="225" t="str">
        <f t="shared" ref="BX339" si="4945">++IFERROR(BX338/BX304,"n/a")</f>
        <v>n/a</v>
      </c>
      <c r="BY339" s="225" t="str">
        <f t="shared" ref="BY339" si="4946">++IFERROR(BY338/BY304,"n/a")</f>
        <v>n/a</v>
      </c>
      <c r="BZ339" s="225" t="str">
        <f t="shared" ref="BZ339" si="4947">++IFERROR(BZ338/BZ304,"n/a")</f>
        <v>n/a</v>
      </c>
      <c r="CA339" s="225" t="str">
        <f t="shared" ref="CA339" si="4948">++IFERROR(CA338/CA304,"n/a")</f>
        <v>n/a</v>
      </c>
      <c r="CB339" s="225" t="str">
        <f t="shared" ref="CB339" si="4949">++IFERROR(CB338/CB304,"n/a")</f>
        <v>n/a</v>
      </c>
      <c r="CC339" s="225" t="str">
        <f t="shared" ref="CC339" si="4950">++IFERROR(CC338/CC304,"n/a")</f>
        <v>n/a</v>
      </c>
      <c r="CD339" s="225" t="str">
        <f t="shared" ref="CD339" si="4951">++IFERROR(CD338/CD304,"n/a")</f>
        <v>n/a</v>
      </c>
      <c r="CE339" s="214" t="str">
        <f t="shared" ref="CE339" si="4952">++IFERROR(CE338/CE304,"n/a")</f>
        <v>n/a</v>
      </c>
      <c r="CF339" s="225" t="str">
        <f t="shared" ref="CF339" si="4953">++IFERROR(CF338/CF304,"n/a")</f>
        <v>n/a</v>
      </c>
      <c r="CG339" s="225" t="str">
        <f t="shared" ref="CG339" si="4954">++IFERROR(CG338/CG304,"n/a")</f>
        <v>n/a</v>
      </c>
      <c r="CH339" s="225" t="str">
        <f t="shared" ref="CH339" si="4955">++IFERROR(CH338/CH304,"n/a")</f>
        <v>n/a</v>
      </c>
      <c r="CI339" s="225" t="str">
        <f t="shared" ref="CI339" si="4956">++IFERROR(CI338/CI304,"n/a")</f>
        <v>n/a</v>
      </c>
      <c r="CJ339" s="225" t="str">
        <f t="shared" ref="CJ339" si="4957">++IFERROR(CJ338/CJ304,"n/a")</f>
        <v>n/a</v>
      </c>
      <c r="CK339" s="225" t="str">
        <f t="shared" ref="CK339" si="4958">++IFERROR(CK338/CK304,"n/a")</f>
        <v>n/a</v>
      </c>
      <c r="CL339" s="225" t="str">
        <f t="shared" ref="CL339" si="4959">++IFERROR(CL338/CL304,"n/a")</f>
        <v>n/a</v>
      </c>
      <c r="CM339" s="225" t="str">
        <f t="shared" ref="CM339" si="4960">++IFERROR(CM338/CM304,"n/a")</f>
        <v>n/a</v>
      </c>
      <c r="CN339" s="225" t="str">
        <f t="shared" ref="CN339" si="4961">++IFERROR(CN338/CN304,"n/a")</f>
        <v>n/a</v>
      </c>
      <c r="CO339" s="225" t="str">
        <f t="shared" ref="CO339" si="4962">++IFERROR(CO338/CO304,"n/a")</f>
        <v>n/a</v>
      </c>
      <c r="CP339" s="225" t="str">
        <f t="shared" ref="CP339" si="4963">++IFERROR(CP338/CP304,"n/a")</f>
        <v>n/a</v>
      </c>
      <c r="CQ339" s="214" t="str">
        <f t="shared" ref="CQ339" si="4964">++IFERROR(CQ338/CQ304,"n/a")</f>
        <v>n/a</v>
      </c>
      <c r="CR339" s="225" t="str">
        <f t="shared" ref="CR339" si="4965">++IFERROR(CR338/CR304,"n/a")</f>
        <v>n/a</v>
      </c>
      <c r="CS339" s="225" t="str">
        <f t="shared" ref="CS339" si="4966">++IFERROR(CS338/CS304,"n/a")</f>
        <v>n/a</v>
      </c>
      <c r="CT339" s="225" t="str">
        <f t="shared" ref="CT339" si="4967">++IFERROR(CT338/CT304,"n/a")</f>
        <v>n/a</v>
      </c>
      <c r="CU339" s="225" t="str">
        <f t="shared" ref="CU339" si="4968">++IFERROR(CU338/CU304,"n/a")</f>
        <v>n/a</v>
      </c>
      <c r="CV339" s="225" t="str">
        <f t="shared" ref="CV339" si="4969">++IFERROR(CV338/CV304,"n/a")</f>
        <v>n/a</v>
      </c>
      <c r="CW339" s="225" t="str">
        <f t="shared" ref="CW339" si="4970">++IFERROR(CW338/CW304,"n/a")</f>
        <v>n/a</v>
      </c>
      <c r="CX339" s="225" t="str">
        <f t="shared" ref="CX339" si="4971">++IFERROR(CX338/CX304,"n/a")</f>
        <v>n/a</v>
      </c>
      <c r="CY339" s="225" t="str">
        <f t="shared" ref="CY339" si="4972">++IFERROR(CY338/CY304,"n/a")</f>
        <v>n/a</v>
      </c>
      <c r="CZ339" s="225" t="str">
        <f t="shared" ref="CZ339" si="4973">++IFERROR(CZ338/CZ304,"n/a")</f>
        <v>n/a</v>
      </c>
      <c r="DA339" s="225" t="str">
        <f t="shared" ref="DA339" si="4974">++IFERROR(DA338/DA304,"n/a")</f>
        <v>n/a</v>
      </c>
      <c r="DB339" s="225" t="str">
        <f t="shared" ref="DB339" si="4975">++IFERROR(DB338/DB304,"n/a")</f>
        <v>n/a</v>
      </c>
      <c r="DC339" s="214" t="str">
        <f t="shared" ref="DC339" si="4976">++IFERROR(DC338/DC304,"n/a")</f>
        <v>n/a</v>
      </c>
    </row>
    <row r="340" spans="1:107" x14ac:dyDescent="0.3">
      <c r="C340" s="321" t="str">
        <f>++C$46</f>
        <v>% y/y</v>
      </c>
      <c r="G340" s="122" t="s">
        <v>47</v>
      </c>
      <c r="H340" s="122" t="s">
        <v>47</v>
      </c>
      <c r="I340" s="122" t="s">
        <v>47</v>
      </c>
      <c r="J340" s="122" t="s">
        <v>47</v>
      </c>
      <c r="K340" s="214" t="str">
        <f>++IFERROR(K338/G338-1,"n/a")</f>
        <v>n/a</v>
      </c>
      <c r="L340" s="122" t="s">
        <v>47</v>
      </c>
      <c r="M340" s="122" t="s">
        <v>47</v>
      </c>
      <c r="N340" s="225" t="str">
        <f>++IFERROR(N338/H338-1,"n/a")</f>
        <v>n/a</v>
      </c>
      <c r="O340" s="122" t="s">
        <v>47</v>
      </c>
      <c r="P340" s="122" t="s">
        <v>47</v>
      </c>
      <c r="Q340" s="225" t="str">
        <f>++IFERROR(Q338/I338-1,"n/a")</f>
        <v>n/a</v>
      </c>
      <c r="R340" s="122" t="s">
        <v>47</v>
      </c>
      <c r="S340" s="122" t="s">
        <v>47</v>
      </c>
      <c r="T340" s="225" t="str">
        <f>++IFERROR(T338/J338-1,"n/a")</f>
        <v>n/a</v>
      </c>
      <c r="U340" s="122" t="s">
        <v>47</v>
      </c>
      <c r="V340" s="122" t="s">
        <v>47</v>
      </c>
      <c r="W340" s="214" t="str">
        <f t="shared" ref="W340:BB340" si="4977">++IFERROR(W338/K338-1,"n/a")</f>
        <v>n/a</v>
      </c>
      <c r="X340" s="225" t="str">
        <f t="shared" si="4977"/>
        <v>n/a</v>
      </c>
      <c r="Y340" s="225" t="str">
        <f t="shared" si="4977"/>
        <v>n/a</v>
      </c>
      <c r="Z340" s="225" t="str">
        <f t="shared" si="4977"/>
        <v>n/a</v>
      </c>
      <c r="AA340" s="225" t="str">
        <f t="shared" si="4977"/>
        <v>n/a</v>
      </c>
      <c r="AB340" s="225" t="str">
        <f t="shared" si="4977"/>
        <v>n/a</v>
      </c>
      <c r="AC340" s="225" t="str">
        <f t="shared" si="4977"/>
        <v>n/a</v>
      </c>
      <c r="AD340" s="225" t="str">
        <f t="shared" si="4977"/>
        <v>n/a</v>
      </c>
      <c r="AE340" s="225" t="str">
        <f t="shared" si="4977"/>
        <v>n/a</v>
      </c>
      <c r="AF340" s="225" t="str">
        <f t="shared" si="4977"/>
        <v>n/a</v>
      </c>
      <c r="AG340" s="225" t="str">
        <f t="shared" si="4977"/>
        <v>n/a</v>
      </c>
      <c r="AH340" s="225" t="str">
        <f t="shared" si="4977"/>
        <v>n/a</v>
      </c>
      <c r="AI340" s="214" t="str">
        <f t="shared" si="4977"/>
        <v>n/a</v>
      </c>
      <c r="AJ340" s="225" t="str">
        <f t="shared" si="4977"/>
        <v>n/a</v>
      </c>
      <c r="AK340" s="225" t="str">
        <f t="shared" si="4977"/>
        <v>n/a</v>
      </c>
      <c r="AL340" s="225" t="str">
        <f t="shared" si="4977"/>
        <v>n/a</v>
      </c>
      <c r="AM340" s="225" t="str">
        <f t="shared" si="4977"/>
        <v>n/a</v>
      </c>
      <c r="AN340" s="225" t="str">
        <f t="shared" si="4977"/>
        <v>n/a</v>
      </c>
      <c r="AO340" s="225" t="str">
        <f t="shared" si="4977"/>
        <v>n/a</v>
      </c>
      <c r="AP340" s="225" t="str">
        <f t="shared" si="4977"/>
        <v>n/a</v>
      </c>
      <c r="AQ340" s="225" t="str">
        <f t="shared" si="4977"/>
        <v>n/a</v>
      </c>
      <c r="AR340" s="225" t="str">
        <f t="shared" si="4977"/>
        <v>n/a</v>
      </c>
      <c r="AS340" s="225" t="str">
        <f t="shared" si="4977"/>
        <v>n/a</v>
      </c>
      <c r="AT340" s="225" t="str">
        <f t="shared" si="4977"/>
        <v>n/a</v>
      </c>
      <c r="AU340" s="214" t="str">
        <f t="shared" si="4977"/>
        <v>n/a</v>
      </c>
      <c r="AV340" s="225" t="str">
        <f t="shared" si="4977"/>
        <v>n/a</v>
      </c>
      <c r="AW340" s="225" t="str">
        <f t="shared" si="4977"/>
        <v>n/a</v>
      </c>
      <c r="AX340" s="225" t="str">
        <f t="shared" si="4977"/>
        <v>n/a</v>
      </c>
      <c r="AY340" s="225" t="str">
        <f t="shared" si="4977"/>
        <v>n/a</v>
      </c>
      <c r="AZ340" s="225" t="str">
        <f t="shared" si="4977"/>
        <v>n/a</v>
      </c>
      <c r="BA340" s="225" t="str">
        <f t="shared" si="4977"/>
        <v>n/a</v>
      </c>
      <c r="BB340" s="225" t="str">
        <f t="shared" si="4977"/>
        <v>n/a</v>
      </c>
      <c r="BC340" s="225" t="str">
        <f t="shared" ref="BC340:CH340" si="4978">++IFERROR(BC338/AQ338-1,"n/a")</f>
        <v>n/a</v>
      </c>
      <c r="BD340" s="225" t="str">
        <f t="shared" si="4978"/>
        <v>n/a</v>
      </c>
      <c r="BE340" s="225" t="str">
        <f t="shared" si="4978"/>
        <v>n/a</v>
      </c>
      <c r="BF340" s="225" t="str">
        <f t="shared" si="4978"/>
        <v>n/a</v>
      </c>
      <c r="BG340" s="214" t="str">
        <f t="shared" si="4978"/>
        <v>n/a</v>
      </c>
      <c r="BH340" s="225" t="str">
        <f t="shared" si="4978"/>
        <v>n/a</v>
      </c>
      <c r="BI340" s="225" t="str">
        <f t="shared" si="4978"/>
        <v>n/a</v>
      </c>
      <c r="BJ340" s="225" t="str">
        <f t="shared" si="4978"/>
        <v>n/a</v>
      </c>
      <c r="BK340" s="225" t="str">
        <f t="shared" si="4978"/>
        <v>n/a</v>
      </c>
      <c r="BL340" s="225" t="str">
        <f t="shared" si="4978"/>
        <v>n/a</v>
      </c>
      <c r="BM340" s="225" t="str">
        <f t="shared" si="4978"/>
        <v>n/a</v>
      </c>
      <c r="BN340" s="225" t="str">
        <f t="shared" si="4978"/>
        <v>n/a</v>
      </c>
      <c r="BO340" s="225" t="str">
        <f t="shared" si="4978"/>
        <v>n/a</v>
      </c>
      <c r="BP340" s="225" t="str">
        <f t="shared" si="4978"/>
        <v>n/a</v>
      </c>
      <c r="BQ340" s="225" t="str">
        <f t="shared" si="4978"/>
        <v>n/a</v>
      </c>
      <c r="BR340" s="225" t="str">
        <f t="shared" si="4978"/>
        <v>n/a</v>
      </c>
      <c r="BS340" s="214" t="str">
        <f t="shared" si="4978"/>
        <v>n/a</v>
      </c>
      <c r="BT340" s="225" t="str">
        <f t="shared" si="4978"/>
        <v>n/a</v>
      </c>
      <c r="BU340" s="225" t="str">
        <f t="shared" si="4978"/>
        <v>n/a</v>
      </c>
      <c r="BV340" s="225" t="str">
        <f t="shared" si="4978"/>
        <v>n/a</v>
      </c>
      <c r="BW340" s="225" t="str">
        <f t="shared" si="4978"/>
        <v>n/a</v>
      </c>
      <c r="BX340" s="225" t="str">
        <f t="shared" si="4978"/>
        <v>n/a</v>
      </c>
      <c r="BY340" s="225" t="str">
        <f t="shared" si="4978"/>
        <v>n/a</v>
      </c>
      <c r="BZ340" s="225" t="str">
        <f t="shared" si="4978"/>
        <v>n/a</v>
      </c>
      <c r="CA340" s="225" t="str">
        <f t="shared" si="4978"/>
        <v>n/a</v>
      </c>
      <c r="CB340" s="225" t="str">
        <f t="shared" si="4978"/>
        <v>n/a</v>
      </c>
      <c r="CC340" s="225" t="str">
        <f t="shared" si="4978"/>
        <v>n/a</v>
      </c>
      <c r="CD340" s="225" t="str">
        <f t="shared" si="4978"/>
        <v>n/a</v>
      </c>
      <c r="CE340" s="214" t="str">
        <f t="shared" si="4978"/>
        <v>n/a</v>
      </c>
      <c r="CF340" s="225" t="str">
        <f t="shared" si="4978"/>
        <v>n/a</v>
      </c>
      <c r="CG340" s="225" t="str">
        <f t="shared" si="4978"/>
        <v>n/a</v>
      </c>
      <c r="CH340" s="225" t="str">
        <f t="shared" si="4978"/>
        <v>n/a</v>
      </c>
      <c r="CI340" s="225" t="str">
        <f t="shared" ref="CI340:DN340" si="4979">++IFERROR(CI338/BW338-1,"n/a")</f>
        <v>n/a</v>
      </c>
      <c r="CJ340" s="225" t="str">
        <f t="shared" si="4979"/>
        <v>n/a</v>
      </c>
      <c r="CK340" s="225" t="str">
        <f t="shared" si="4979"/>
        <v>n/a</v>
      </c>
      <c r="CL340" s="225" t="str">
        <f t="shared" si="4979"/>
        <v>n/a</v>
      </c>
      <c r="CM340" s="225" t="str">
        <f t="shared" si="4979"/>
        <v>n/a</v>
      </c>
      <c r="CN340" s="225" t="str">
        <f t="shared" si="4979"/>
        <v>n/a</v>
      </c>
      <c r="CO340" s="225" t="str">
        <f t="shared" si="4979"/>
        <v>n/a</v>
      </c>
      <c r="CP340" s="225" t="str">
        <f t="shared" si="4979"/>
        <v>n/a</v>
      </c>
      <c r="CQ340" s="214" t="str">
        <f t="shared" si="4979"/>
        <v>n/a</v>
      </c>
      <c r="CR340" s="225" t="str">
        <f t="shared" si="4979"/>
        <v>n/a</v>
      </c>
      <c r="CS340" s="225" t="str">
        <f t="shared" si="4979"/>
        <v>n/a</v>
      </c>
      <c r="CT340" s="225" t="str">
        <f t="shared" si="4979"/>
        <v>n/a</v>
      </c>
      <c r="CU340" s="225" t="str">
        <f t="shared" si="4979"/>
        <v>n/a</v>
      </c>
      <c r="CV340" s="225" t="str">
        <f t="shared" si="4979"/>
        <v>n/a</v>
      </c>
      <c r="CW340" s="225" t="str">
        <f t="shared" si="4979"/>
        <v>n/a</v>
      </c>
      <c r="CX340" s="225" t="str">
        <f t="shared" si="4979"/>
        <v>n/a</v>
      </c>
      <c r="CY340" s="225" t="str">
        <f t="shared" si="4979"/>
        <v>n/a</v>
      </c>
      <c r="CZ340" s="225" t="str">
        <f t="shared" si="4979"/>
        <v>n/a</v>
      </c>
      <c r="DA340" s="225" t="str">
        <f t="shared" si="4979"/>
        <v>n/a</v>
      </c>
      <c r="DB340" s="225" t="str">
        <f t="shared" si="4979"/>
        <v>n/a</v>
      </c>
      <c r="DC340" s="214" t="str">
        <f t="shared" si="4979"/>
        <v>n/a</v>
      </c>
    </row>
    <row r="341" spans="1:107" x14ac:dyDescent="0.3">
      <c r="G341" s="203"/>
      <c r="K341" s="203"/>
      <c r="W341" s="203"/>
      <c r="AI341" s="203"/>
      <c r="AU341" s="203"/>
      <c r="BG341" s="203"/>
      <c r="BS341" s="203"/>
      <c r="CE341" s="203"/>
      <c r="CQ341" s="203"/>
      <c r="DC341" s="203"/>
    </row>
    <row r="342" spans="1:107" x14ac:dyDescent="0.3">
      <c r="C342" s="193" t="str">
        <f>++C$48</f>
        <v>CA EBITDA</v>
      </c>
      <c r="G342" s="400">
        <f>++G48</f>
        <v>0</v>
      </c>
      <c r="H342" s="400">
        <f t="shared" ref="H342:BS342" si="4980">++H48</f>
        <v>0</v>
      </c>
      <c r="I342" s="400">
        <f t="shared" si="4980"/>
        <v>0</v>
      </c>
      <c r="J342" s="400">
        <f t="shared" si="4980"/>
        <v>0</v>
      </c>
      <c r="K342" s="400">
        <f t="shared" si="4980"/>
        <v>0</v>
      </c>
      <c r="L342" s="400">
        <f t="shared" si="4980"/>
        <v>0</v>
      </c>
      <c r="M342" s="400">
        <f t="shared" si="4980"/>
        <v>0</v>
      </c>
      <c r="N342" s="400">
        <f t="shared" si="4980"/>
        <v>0</v>
      </c>
      <c r="O342" s="400">
        <f t="shared" si="4980"/>
        <v>0</v>
      </c>
      <c r="P342" s="400">
        <f t="shared" si="4980"/>
        <v>0</v>
      </c>
      <c r="Q342" s="400">
        <f t="shared" si="4980"/>
        <v>0</v>
      </c>
      <c r="R342" s="400">
        <f t="shared" si="4980"/>
        <v>0</v>
      </c>
      <c r="S342" s="400">
        <f t="shared" si="4980"/>
        <v>0</v>
      </c>
      <c r="T342" s="400">
        <f t="shared" si="4980"/>
        <v>0</v>
      </c>
      <c r="U342" s="400">
        <f t="shared" si="4980"/>
        <v>0</v>
      </c>
      <c r="V342" s="400">
        <f t="shared" si="4980"/>
        <v>0</v>
      </c>
      <c r="W342" s="400">
        <f t="shared" si="4980"/>
        <v>0</v>
      </c>
      <c r="X342" s="400">
        <f t="shared" si="4980"/>
        <v>0</v>
      </c>
      <c r="Y342" s="400">
        <f t="shared" si="4980"/>
        <v>0</v>
      </c>
      <c r="Z342" s="400">
        <f t="shared" si="4980"/>
        <v>0</v>
      </c>
      <c r="AA342" s="400">
        <f t="shared" si="4980"/>
        <v>0</v>
      </c>
      <c r="AB342" s="400">
        <f t="shared" si="4980"/>
        <v>0</v>
      </c>
      <c r="AC342" s="400">
        <f t="shared" si="4980"/>
        <v>0</v>
      </c>
      <c r="AD342" s="400">
        <f t="shared" si="4980"/>
        <v>0</v>
      </c>
      <c r="AE342" s="400">
        <f t="shared" si="4980"/>
        <v>0</v>
      </c>
      <c r="AF342" s="400">
        <f t="shared" si="4980"/>
        <v>0</v>
      </c>
      <c r="AG342" s="400">
        <f t="shared" si="4980"/>
        <v>0</v>
      </c>
      <c r="AH342" s="400">
        <f t="shared" si="4980"/>
        <v>0</v>
      </c>
      <c r="AI342" s="400">
        <f t="shared" si="4980"/>
        <v>0</v>
      </c>
      <c r="AJ342" s="400">
        <f t="shared" si="4980"/>
        <v>0</v>
      </c>
      <c r="AK342" s="400">
        <f t="shared" si="4980"/>
        <v>0</v>
      </c>
      <c r="AL342" s="400">
        <f t="shared" si="4980"/>
        <v>0</v>
      </c>
      <c r="AM342" s="400">
        <f t="shared" si="4980"/>
        <v>0</v>
      </c>
      <c r="AN342" s="400">
        <f t="shared" si="4980"/>
        <v>0</v>
      </c>
      <c r="AO342" s="400">
        <f t="shared" si="4980"/>
        <v>0</v>
      </c>
      <c r="AP342" s="400">
        <f t="shared" si="4980"/>
        <v>0</v>
      </c>
      <c r="AQ342" s="400">
        <f t="shared" si="4980"/>
        <v>0</v>
      </c>
      <c r="AR342" s="400">
        <f t="shared" si="4980"/>
        <v>0</v>
      </c>
      <c r="AS342" s="400">
        <f t="shared" si="4980"/>
        <v>0</v>
      </c>
      <c r="AT342" s="400">
        <f t="shared" si="4980"/>
        <v>0</v>
      </c>
      <c r="AU342" s="400">
        <f t="shared" si="4980"/>
        <v>0</v>
      </c>
      <c r="AV342" s="400">
        <f t="shared" si="4980"/>
        <v>0</v>
      </c>
      <c r="AW342" s="400">
        <f t="shared" si="4980"/>
        <v>0</v>
      </c>
      <c r="AX342" s="400">
        <f t="shared" si="4980"/>
        <v>0</v>
      </c>
      <c r="AY342" s="400">
        <f t="shared" si="4980"/>
        <v>0</v>
      </c>
      <c r="AZ342" s="400">
        <f t="shared" si="4980"/>
        <v>0</v>
      </c>
      <c r="BA342" s="400">
        <f t="shared" si="4980"/>
        <v>0</v>
      </c>
      <c r="BB342" s="400">
        <f t="shared" si="4980"/>
        <v>0</v>
      </c>
      <c r="BC342" s="400">
        <f t="shared" si="4980"/>
        <v>0</v>
      </c>
      <c r="BD342" s="400">
        <f t="shared" si="4980"/>
        <v>0</v>
      </c>
      <c r="BE342" s="400">
        <f t="shared" si="4980"/>
        <v>0</v>
      </c>
      <c r="BF342" s="400">
        <f t="shared" si="4980"/>
        <v>0</v>
      </c>
      <c r="BG342" s="400">
        <f t="shared" si="4980"/>
        <v>0</v>
      </c>
      <c r="BH342" s="400">
        <f t="shared" si="4980"/>
        <v>0</v>
      </c>
      <c r="BI342" s="400">
        <f t="shared" si="4980"/>
        <v>0</v>
      </c>
      <c r="BJ342" s="400">
        <f t="shared" si="4980"/>
        <v>0</v>
      </c>
      <c r="BK342" s="400">
        <f t="shared" si="4980"/>
        <v>0</v>
      </c>
      <c r="BL342" s="400">
        <f t="shared" si="4980"/>
        <v>0</v>
      </c>
      <c r="BM342" s="400">
        <f t="shared" si="4980"/>
        <v>0</v>
      </c>
      <c r="BN342" s="400">
        <f t="shared" si="4980"/>
        <v>0</v>
      </c>
      <c r="BO342" s="400">
        <f t="shared" si="4980"/>
        <v>0</v>
      </c>
      <c r="BP342" s="400">
        <f t="shared" si="4980"/>
        <v>0</v>
      </c>
      <c r="BQ342" s="400">
        <f t="shared" si="4980"/>
        <v>0</v>
      </c>
      <c r="BR342" s="400">
        <f t="shared" si="4980"/>
        <v>0</v>
      </c>
      <c r="BS342" s="400">
        <f t="shared" si="4980"/>
        <v>0</v>
      </c>
      <c r="BT342" s="400">
        <f t="shared" ref="BT342:DC342" si="4981">++BT48</f>
        <v>0</v>
      </c>
      <c r="BU342" s="400">
        <f t="shared" si="4981"/>
        <v>0</v>
      </c>
      <c r="BV342" s="400">
        <f t="shared" si="4981"/>
        <v>0</v>
      </c>
      <c r="BW342" s="400">
        <f t="shared" si="4981"/>
        <v>0</v>
      </c>
      <c r="BX342" s="400">
        <f t="shared" si="4981"/>
        <v>0</v>
      </c>
      <c r="BY342" s="400">
        <f t="shared" si="4981"/>
        <v>0</v>
      </c>
      <c r="BZ342" s="400">
        <f t="shared" si="4981"/>
        <v>0</v>
      </c>
      <c r="CA342" s="400">
        <f t="shared" si="4981"/>
        <v>0</v>
      </c>
      <c r="CB342" s="400">
        <f t="shared" si="4981"/>
        <v>0</v>
      </c>
      <c r="CC342" s="400">
        <f t="shared" si="4981"/>
        <v>0</v>
      </c>
      <c r="CD342" s="400">
        <f t="shared" si="4981"/>
        <v>0</v>
      </c>
      <c r="CE342" s="400">
        <f t="shared" si="4981"/>
        <v>0</v>
      </c>
      <c r="CF342" s="400">
        <f t="shared" si="4981"/>
        <v>0</v>
      </c>
      <c r="CG342" s="400">
        <f t="shared" si="4981"/>
        <v>0</v>
      </c>
      <c r="CH342" s="400">
        <f t="shared" si="4981"/>
        <v>0</v>
      </c>
      <c r="CI342" s="400">
        <f t="shared" si="4981"/>
        <v>0</v>
      </c>
      <c r="CJ342" s="400">
        <f t="shared" si="4981"/>
        <v>0</v>
      </c>
      <c r="CK342" s="400">
        <f t="shared" si="4981"/>
        <v>0</v>
      </c>
      <c r="CL342" s="400">
        <f t="shared" si="4981"/>
        <v>0</v>
      </c>
      <c r="CM342" s="400">
        <f t="shared" si="4981"/>
        <v>0</v>
      </c>
      <c r="CN342" s="400">
        <f t="shared" si="4981"/>
        <v>0</v>
      </c>
      <c r="CO342" s="400">
        <f t="shared" si="4981"/>
        <v>0</v>
      </c>
      <c r="CP342" s="400">
        <f t="shared" si="4981"/>
        <v>0</v>
      </c>
      <c r="CQ342" s="400">
        <f t="shared" si="4981"/>
        <v>0</v>
      </c>
      <c r="CR342" s="400">
        <f t="shared" si="4981"/>
        <v>0</v>
      </c>
      <c r="CS342" s="400">
        <f t="shared" si="4981"/>
        <v>0</v>
      </c>
      <c r="CT342" s="400">
        <f t="shared" si="4981"/>
        <v>0</v>
      </c>
      <c r="CU342" s="400">
        <f t="shared" si="4981"/>
        <v>0</v>
      </c>
      <c r="CV342" s="400">
        <f t="shared" si="4981"/>
        <v>0</v>
      </c>
      <c r="CW342" s="400">
        <f t="shared" si="4981"/>
        <v>0</v>
      </c>
      <c r="CX342" s="400">
        <f t="shared" si="4981"/>
        <v>0</v>
      </c>
      <c r="CY342" s="400">
        <f t="shared" si="4981"/>
        <v>0</v>
      </c>
      <c r="CZ342" s="400">
        <f t="shared" si="4981"/>
        <v>0</v>
      </c>
      <c r="DA342" s="400">
        <f t="shared" si="4981"/>
        <v>0</v>
      </c>
      <c r="DB342" s="400">
        <f t="shared" si="4981"/>
        <v>0</v>
      </c>
      <c r="DC342" s="400">
        <f t="shared" si="4981"/>
        <v>0</v>
      </c>
    </row>
    <row r="343" spans="1:107" x14ac:dyDescent="0.3">
      <c r="C343" s="321" t="str">
        <f>++C$49</f>
        <v>% margin</v>
      </c>
      <c r="G343" s="214" t="str">
        <f>++IFERROR(G342/G304,"n/a")</f>
        <v>n/a</v>
      </c>
      <c r="H343" s="225" t="str">
        <f t="shared" ref="H343" si="4982">++IFERROR(H342/H304,"n/a")</f>
        <v>n/a</v>
      </c>
      <c r="I343" s="225" t="str">
        <f t="shared" ref="I343" si="4983">++IFERROR(I342/I304,"n/a")</f>
        <v>n/a</v>
      </c>
      <c r="J343" s="225" t="str">
        <f t="shared" ref="J343" si="4984">++IFERROR(J342/J304,"n/a")</f>
        <v>n/a</v>
      </c>
      <c r="K343" s="214" t="str">
        <f t="shared" ref="K343" si="4985">++IFERROR(K342/K304,"n/a")</f>
        <v>n/a</v>
      </c>
      <c r="L343" s="225" t="str">
        <f t="shared" ref="L343" si="4986">++IFERROR(L342/L304,"n/a")</f>
        <v>n/a</v>
      </c>
      <c r="M343" s="225" t="str">
        <f t="shared" ref="M343" si="4987">++IFERROR(M342/M304,"n/a")</f>
        <v>n/a</v>
      </c>
      <c r="N343" s="225" t="str">
        <f t="shared" ref="N343" si="4988">++IFERROR(N342/N304,"n/a")</f>
        <v>n/a</v>
      </c>
      <c r="O343" s="225" t="str">
        <f t="shared" ref="O343" si="4989">++IFERROR(O342/O304,"n/a")</f>
        <v>n/a</v>
      </c>
      <c r="P343" s="225" t="str">
        <f t="shared" ref="P343" si="4990">++IFERROR(P342/P304,"n/a")</f>
        <v>n/a</v>
      </c>
      <c r="Q343" s="225" t="str">
        <f t="shared" ref="Q343" si="4991">++IFERROR(Q342/Q304,"n/a")</f>
        <v>n/a</v>
      </c>
      <c r="R343" s="225" t="str">
        <f t="shared" ref="R343" si="4992">++IFERROR(R342/R304,"n/a")</f>
        <v>n/a</v>
      </c>
      <c r="S343" s="225" t="str">
        <f t="shared" ref="S343" si="4993">++IFERROR(S342/S304,"n/a")</f>
        <v>n/a</v>
      </c>
      <c r="T343" s="225" t="str">
        <f t="shared" ref="T343" si="4994">++IFERROR(T342/T304,"n/a")</f>
        <v>n/a</v>
      </c>
      <c r="U343" s="225" t="str">
        <f t="shared" ref="U343" si="4995">++IFERROR(U342/U304,"n/a")</f>
        <v>n/a</v>
      </c>
      <c r="V343" s="225" t="str">
        <f t="shared" ref="V343" si="4996">++IFERROR(V342/V304,"n/a")</f>
        <v>n/a</v>
      </c>
      <c r="W343" s="214" t="str">
        <f t="shared" ref="W343" si="4997">++IFERROR(W342/W304,"n/a")</f>
        <v>n/a</v>
      </c>
      <c r="X343" s="225" t="str">
        <f t="shared" ref="X343" si="4998">++IFERROR(X342/X304,"n/a")</f>
        <v>n/a</v>
      </c>
      <c r="Y343" s="225" t="str">
        <f t="shared" ref="Y343" si="4999">++IFERROR(Y342/Y304,"n/a")</f>
        <v>n/a</v>
      </c>
      <c r="Z343" s="225" t="str">
        <f t="shared" ref="Z343" si="5000">++IFERROR(Z342/Z304,"n/a")</f>
        <v>n/a</v>
      </c>
      <c r="AA343" s="225" t="str">
        <f t="shared" ref="AA343" si="5001">++IFERROR(AA342/AA304,"n/a")</f>
        <v>n/a</v>
      </c>
      <c r="AB343" s="225" t="str">
        <f t="shared" ref="AB343" si="5002">++IFERROR(AB342/AB304,"n/a")</f>
        <v>n/a</v>
      </c>
      <c r="AC343" s="225" t="str">
        <f t="shared" ref="AC343" si="5003">++IFERROR(AC342/AC304,"n/a")</f>
        <v>n/a</v>
      </c>
      <c r="AD343" s="225" t="str">
        <f t="shared" ref="AD343" si="5004">++IFERROR(AD342/AD304,"n/a")</f>
        <v>n/a</v>
      </c>
      <c r="AE343" s="225" t="str">
        <f t="shared" ref="AE343" si="5005">++IFERROR(AE342/AE304,"n/a")</f>
        <v>n/a</v>
      </c>
      <c r="AF343" s="225" t="str">
        <f t="shared" ref="AF343" si="5006">++IFERROR(AF342/AF304,"n/a")</f>
        <v>n/a</v>
      </c>
      <c r="AG343" s="225" t="str">
        <f t="shared" ref="AG343" si="5007">++IFERROR(AG342/AG304,"n/a")</f>
        <v>n/a</v>
      </c>
      <c r="AH343" s="225" t="str">
        <f t="shared" ref="AH343" si="5008">++IFERROR(AH342/AH304,"n/a")</f>
        <v>n/a</v>
      </c>
      <c r="AI343" s="214" t="str">
        <f t="shared" ref="AI343" si="5009">++IFERROR(AI342/AI304,"n/a")</f>
        <v>n/a</v>
      </c>
      <c r="AJ343" s="225" t="str">
        <f t="shared" ref="AJ343" si="5010">++IFERROR(AJ342/AJ304,"n/a")</f>
        <v>n/a</v>
      </c>
      <c r="AK343" s="225" t="str">
        <f t="shared" ref="AK343" si="5011">++IFERROR(AK342/AK304,"n/a")</f>
        <v>n/a</v>
      </c>
      <c r="AL343" s="225" t="str">
        <f t="shared" ref="AL343" si="5012">++IFERROR(AL342/AL304,"n/a")</f>
        <v>n/a</v>
      </c>
      <c r="AM343" s="225" t="str">
        <f t="shared" ref="AM343" si="5013">++IFERROR(AM342/AM304,"n/a")</f>
        <v>n/a</v>
      </c>
      <c r="AN343" s="225" t="str">
        <f t="shared" ref="AN343" si="5014">++IFERROR(AN342/AN304,"n/a")</f>
        <v>n/a</v>
      </c>
      <c r="AO343" s="225" t="str">
        <f t="shared" ref="AO343" si="5015">++IFERROR(AO342/AO304,"n/a")</f>
        <v>n/a</v>
      </c>
      <c r="AP343" s="225" t="str">
        <f t="shared" ref="AP343" si="5016">++IFERROR(AP342/AP304,"n/a")</f>
        <v>n/a</v>
      </c>
      <c r="AQ343" s="225" t="str">
        <f t="shared" ref="AQ343" si="5017">++IFERROR(AQ342/AQ304,"n/a")</f>
        <v>n/a</v>
      </c>
      <c r="AR343" s="225" t="str">
        <f t="shared" ref="AR343" si="5018">++IFERROR(AR342/AR304,"n/a")</f>
        <v>n/a</v>
      </c>
      <c r="AS343" s="225" t="str">
        <f t="shared" ref="AS343" si="5019">++IFERROR(AS342/AS304,"n/a")</f>
        <v>n/a</v>
      </c>
      <c r="AT343" s="225" t="str">
        <f t="shared" ref="AT343" si="5020">++IFERROR(AT342/AT304,"n/a")</f>
        <v>n/a</v>
      </c>
      <c r="AU343" s="214" t="str">
        <f t="shared" ref="AU343" si="5021">++IFERROR(AU342/AU304,"n/a")</f>
        <v>n/a</v>
      </c>
      <c r="AV343" s="225" t="str">
        <f t="shared" ref="AV343" si="5022">++IFERROR(AV342/AV304,"n/a")</f>
        <v>n/a</v>
      </c>
      <c r="AW343" s="225" t="str">
        <f t="shared" ref="AW343" si="5023">++IFERROR(AW342/AW304,"n/a")</f>
        <v>n/a</v>
      </c>
      <c r="AX343" s="225" t="str">
        <f t="shared" ref="AX343" si="5024">++IFERROR(AX342/AX304,"n/a")</f>
        <v>n/a</v>
      </c>
      <c r="AY343" s="225" t="str">
        <f t="shared" ref="AY343" si="5025">++IFERROR(AY342/AY304,"n/a")</f>
        <v>n/a</v>
      </c>
      <c r="AZ343" s="225" t="str">
        <f t="shared" ref="AZ343" si="5026">++IFERROR(AZ342/AZ304,"n/a")</f>
        <v>n/a</v>
      </c>
      <c r="BA343" s="225" t="str">
        <f t="shared" ref="BA343" si="5027">++IFERROR(BA342/BA304,"n/a")</f>
        <v>n/a</v>
      </c>
      <c r="BB343" s="225" t="str">
        <f t="shared" ref="BB343" si="5028">++IFERROR(BB342/BB304,"n/a")</f>
        <v>n/a</v>
      </c>
      <c r="BC343" s="225" t="str">
        <f t="shared" ref="BC343" si="5029">++IFERROR(BC342/BC304,"n/a")</f>
        <v>n/a</v>
      </c>
      <c r="BD343" s="225" t="str">
        <f t="shared" ref="BD343" si="5030">++IFERROR(BD342/BD304,"n/a")</f>
        <v>n/a</v>
      </c>
      <c r="BE343" s="225" t="str">
        <f t="shared" ref="BE343" si="5031">++IFERROR(BE342/BE304,"n/a")</f>
        <v>n/a</v>
      </c>
      <c r="BF343" s="225" t="str">
        <f t="shared" ref="BF343" si="5032">++IFERROR(BF342/BF304,"n/a")</f>
        <v>n/a</v>
      </c>
      <c r="BG343" s="214" t="str">
        <f t="shared" ref="BG343" si="5033">++IFERROR(BG342/BG304,"n/a")</f>
        <v>n/a</v>
      </c>
      <c r="BH343" s="225" t="str">
        <f t="shared" ref="BH343" si="5034">++IFERROR(BH342/BH304,"n/a")</f>
        <v>n/a</v>
      </c>
      <c r="BI343" s="225" t="str">
        <f t="shared" ref="BI343" si="5035">++IFERROR(BI342/BI304,"n/a")</f>
        <v>n/a</v>
      </c>
      <c r="BJ343" s="225" t="str">
        <f t="shared" ref="BJ343" si="5036">++IFERROR(BJ342/BJ304,"n/a")</f>
        <v>n/a</v>
      </c>
      <c r="BK343" s="225" t="str">
        <f t="shared" ref="BK343" si="5037">++IFERROR(BK342/BK304,"n/a")</f>
        <v>n/a</v>
      </c>
      <c r="BL343" s="225" t="str">
        <f t="shared" ref="BL343" si="5038">++IFERROR(BL342/BL304,"n/a")</f>
        <v>n/a</v>
      </c>
      <c r="BM343" s="225" t="str">
        <f t="shared" ref="BM343" si="5039">++IFERROR(BM342/BM304,"n/a")</f>
        <v>n/a</v>
      </c>
      <c r="BN343" s="225" t="str">
        <f t="shared" ref="BN343" si="5040">++IFERROR(BN342/BN304,"n/a")</f>
        <v>n/a</v>
      </c>
      <c r="BO343" s="225" t="str">
        <f t="shared" ref="BO343" si="5041">++IFERROR(BO342/BO304,"n/a")</f>
        <v>n/a</v>
      </c>
      <c r="BP343" s="225" t="str">
        <f t="shared" ref="BP343" si="5042">++IFERROR(BP342/BP304,"n/a")</f>
        <v>n/a</v>
      </c>
      <c r="BQ343" s="225" t="str">
        <f t="shared" ref="BQ343" si="5043">++IFERROR(BQ342/BQ304,"n/a")</f>
        <v>n/a</v>
      </c>
      <c r="BR343" s="225" t="str">
        <f t="shared" ref="BR343" si="5044">++IFERROR(BR342/BR304,"n/a")</f>
        <v>n/a</v>
      </c>
      <c r="BS343" s="214" t="str">
        <f t="shared" ref="BS343" si="5045">++IFERROR(BS342/BS304,"n/a")</f>
        <v>n/a</v>
      </c>
      <c r="BT343" s="225" t="str">
        <f t="shared" ref="BT343" si="5046">++IFERROR(BT342/BT304,"n/a")</f>
        <v>n/a</v>
      </c>
      <c r="BU343" s="225" t="str">
        <f t="shared" ref="BU343" si="5047">++IFERROR(BU342/BU304,"n/a")</f>
        <v>n/a</v>
      </c>
      <c r="BV343" s="225" t="str">
        <f t="shared" ref="BV343" si="5048">++IFERROR(BV342/BV304,"n/a")</f>
        <v>n/a</v>
      </c>
      <c r="BW343" s="225" t="str">
        <f t="shared" ref="BW343" si="5049">++IFERROR(BW342/BW304,"n/a")</f>
        <v>n/a</v>
      </c>
      <c r="BX343" s="225" t="str">
        <f t="shared" ref="BX343" si="5050">++IFERROR(BX342/BX304,"n/a")</f>
        <v>n/a</v>
      </c>
      <c r="BY343" s="225" t="str">
        <f t="shared" ref="BY343" si="5051">++IFERROR(BY342/BY304,"n/a")</f>
        <v>n/a</v>
      </c>
      <c r="BZ343" s="225" t="str">
        <f t="shared" ref="BZ343" si="5052">++IFERROR(BZ342/BZ304,"n/a")</f>
        <v>n/a</v>
      </c>
      <c r="CA343" s="225" t="str">
        <f t="shared" ref="CA343" si="5053">++IFERROR(CA342/CA304,"n/a")</f>
        <v>n/a</v>
      </c>
      <c r="CB343" s="225" t="str">
        <f t="shared" ref="CB343" si="5054">++IFERROR(CB342/CB304,"n/a")</f>
        <v>n/a</v>
      </c>
      <c r="CC343" s="225" t="str">
        <f t="shared" ref="CC343" si="5055">++IFERROR(CC342/CC304,"n/a")</f>
        <v>n/a</v>
      </c>
      <c r="CD343" s="225" t="str">
        <f t="shared" ref="CD343" si="5056">++IFERROR(CD342/CD304,"n/a")</f>
        <v>n/a</v>
      </c>
      <c r="CE343" s="214" t="str">
        <f t="shared" ref="CE343" si="5057">++IFERROR(CE342/CE304,"n/a")</f>
        <v>n/a</v>
      </c>
      <c r="CF343" s="225" t="str">
        <f t="shared" ref="CF343" si="5058">++IFERROR(CF342/CF304,"n/a")</f>
        <v>n/a</v>
      </c>
      <c r="CG343" s="225" t="str">
        <f t="shared" ref="CG343" si="5059">++IFERROR(CG342/CG304,"n/a")</f>
        <v>n/a</v>
      </c>
      <c r="CH343" s="225" t="str">
        <f t="shared" ref="CH343" si="5060">++IFERROR(CH342/CH304,"n/a")</f>
        <v>n/a</v>
      </c>
      <c r="CI343" s="225" t="str">
        <f t="shared" ref="CI343" si="5061">++IFERROR(CI342/CI304,"n/a")</f>
        <v>n/a</v>
      </c>
      <c r="CJ343" s="225" t="str">
        <f t="shared" ref="CJ343" si="5062">++IFERROR(CJ342/CJ304,"n/a")</f>
        <v>n/a</v>
      </c>
      <c r="CK343" s="225" t="str">
        <f t="shared" ref="CK343" si="5063">++IFERROR(CK342/CK304,"n/a")</f>
        <v>n/a</v>
      </c>
      <c r="CL343" s="225" t="str">
        <f t="shared" ref="CL343" si="5064">++IFERROR(CL342/CL304,"n/a")</f>
        <v>n/a</v>
      </c>
      <c r="CM343" s="225" t="str">
        <f t="shared" ref="CM343" si="5065">++IFERROR(CM342/CM304,"n/a")</f>
        <v>n/a</v>
      </c>
      <c r="CN343" s="225" t="str">
        <f t="shared" ref="CN343" si="5066">++IFERROR(CN342/CN304,"n/a")</f>
        <v>n/a</v>
      </c>
      <c r="CO343" s="225" t="str">
        <f t="shared" ref="CO343" si="5067">++IFERROR(CO342/CO304,"n/a")</f>
        <v>n/a</v>
      </c>
      <c r="CP343" s="225" t="str">
        <f t="shared" ref="CP343" si="5068">++IFERROR(CP342/CP304,"n/a")</f>
        <v>n/a</v>
      </c>
      <c r="CQ343" s="214" t="str">
        <f t="shared" ref="CQ343" si="5069">++IFERROR(CQ342/CQ304,"n/a")</f>
        <v>n/a</v>
      </c>
      <c r="CR343" s="225" t="str">
        <f t="shared" ref="CR343" si="5070">++IFERROR(CR342/CR304,"n/a")</f>
        <v>n/a</v>
      </c>
      <c r="CS343" s="225" t="str">
        <f t="shared" ref="CS343" si="5071">++IFERROR(CS342/CS304,"n/a")</f>
        <v>n/a</v>
      </c>
      <c r="CT343" s="225" t="str">
        <f t="shared" ref="CT343" si="5072">++IFERROR(CT342/CT304,"n/a")</f>
        <v>n/a</v>
      </c>
      <c r="CU343" s="225" t="str">
        <f t="shared" ref="CU343" si="5073">++IFERROR(CU342/CU304,"n/a")</f>
        <v>n/a</v>
      </c>
      <c r="CV343" s="225" t="str">
        <f t="shared" ref="CV343" si="5074">++IFERROR(CV342/CV304,"n/a")</f>
        <v>n/a</v>
      </c>
      <c r="CW343" s="225" t="str">
        <f t="shared" ref="CW343" si="5075">++IFERROR(CW342/CW304,"n/a")</f>
        <v>n/a</v>
      </c>
      <c r="CX343" s="225" t="str">
        <f t="shared" ref="CX343" si="5076">++IFERROR(CX342/CX304,"n/a")</f>
        <v>n/a</v>
      </c>
      <c r="CY343" s="225" t="str">
        <f t="shared" ref="CY343" si="5077">++IFERROR(CY342/CY304,"n/a")</f>
        <v>n/a</v>
      </c>
      <c r="CZ343" s="225" t="str">
        <f t="shared" ref="CZ343" si="5078">++IFERROR(CZ342/CZ304,"n/a")</f>
        <v>n/a</v>
      </c>
      <c r="DA343" s="225" t="str">
        <f t="shared" ref="DA343" si="5079">++IFERROR(DA342/DA304,"n/a")</f>
        <v>n/a</v>
      </c>
      <c r="DB343" s="225" t="str">
        <f t="shared" ref="DB343" si="5080">++IFERROR(DB342/DB304,"n/a")</f>
        <v>n/a</v>
      </c>
      <c r="DC343" s="214" t="str">
        <f t="shared" ref="DC343" si="5081">++IFERROR(DC342/DC304,"n/a")</f>
        <v>n/a</v>
      </c>
    </row>
    <row r="344" spans="1:107" x14ac:dyDescent="0.3">
      <c r="C344" s="321" t="str">
        <f>++C$50</f>
        <v>% y/y</v>
      </c>
      <c r="G344" s="122" t="s">
        <v>47</v>
      </c>
      <c r="H344" s="122" t="s">
        <v>47</v>
      </c>
      <c r="I344" s="122" t="s">
        <v>47</v>
      </c>
      <c r="J344" s="122" t="s">
        <v>47</v>
      </c>
      <c r="K344" s="214" t="str">
        <f>++IFERROR(K342/G342-1,"n/a")</f>
        <v>n/a</v>
      </c>
      <c r="L344" s="122" t="s">
        <v>47</v>
      </c>
      <c r="M344" s="122" t="s">
        <v>47</v>
      </c>
      <c r="N344" s="225" t="str">
        <f>++IFERROR(N342/H342-1,"n/a")</f>
        <v>n/a</v>
      </c>
      <c r="O344" s="122" t="s">
        <v>47</v>
      </c>
      <c r="P344" s="122" t="s">
        <v>47</v>
      </c>
      <c r="Q344" s="225" t="str">
        <f>++IFERROR(Q342/I342-1,"n/a")</f>
        <v>n/a</v>
      </c>
      <c r="R344" s="122" t="s">
        <v>47</v>
      </c>
      <c r="S344" s="122" t="s">
        <v>47</v>
      </c>
      <c r="T344" s="225" t="str">
        <f>++IFERROR(T342/J342-1,"n/a")</f>
        <v>n/a</v>
      </c>
      <c r="U344" s="122" t="s">
        <v>47</v>
      </c>
      <c r="V344" s="122" t="s">
        <v>47</v>
      </c>
      <c r="W344" s="214" t="str">
        <f t="shared" ref="W344:BB344" si="5082">++IFERROR(W342/K342-1,"n/a")</f>
        <v>n/a</v>
      </c>
      <c r="X344" s="225" t="str">
        <f t="shared" si="5082"/>
        <v>n/a</v>
      </c>
      <c r="Y344" s="225" t="str">
        <f t="shared" si="5082"/>
        <v>n/a</v>
      </c>
      <c r="Z344" s="225" t="str">
        <f t="shared" si="5082"/>
        <v>n/a</v>
      </c>
      <c r="AA344" s="225" t="str">
        <f t="shared" si="5082"/>
        <v>n/a</v>
      </c>
      <c r="AB344" s="225" t="str">
        <f t="shared" si="5082"/>
        <v>n/a</v>
      </c>
      <c r="AC344" s="225" t="str">
        <f t="shared" si="5082"/>
        <v>n/a</v>
      </c>
      <c r="AD344" s="225" t="str">
        <f t="shared" si="5082"/>
        <v>n/a</v>
      </c>
      <c r="AE344" s="225" t="str">
        <f t="shared" si="5082"/>
        <v>n/a</v>
      </c>
      <c r="AF344" s="225" t="str">
        <f t="shared" si="5082"/>
        <v>n/a</v>
      </c>
      <c r="AG344" s="225" t="str">
        <f t="shared" si="5082"/>
        <v>n/a</v>
      </c>
      <c r="AH344" s="225" t="str">
        <f t="shared" si="5082"/>
        <v>n/a</v>
      </c>
      <c r="AI344" s="214" t="str">
        <f t="shared" si="5082"/>
        <v>n/a</v>
      </c>
      <c r="AJ344" s="225" t="str">
        <f t="shared" si="5082"/>
        <v>n/a</v>
      </c>
      <c r="AK344" s="225" t="str">
        <f t="shared" si="5082"/>
        <v>n/a</v>
      </c>
      <c r="AL344" s="225" t="str">
        <f t="shared" si="5082"/>
        <v>n/a</v>
      </c>
      <c r="AM344" s="225" t="str">
        <f t="shared" si="5082"/>
        <v>n/a</v>
      </c>
      <c r="AN344" s="225" t="str">
        <f t="shared" si="5082"/>
        <v>n/a</v>
      </c>
      <c r="AO344" s="225" t="str">
        <f t="shared" si="5082"/>
        <v>n/a</v>
      </c>
      <c r="AP344" s="225" t="str">
        <f t="shared" si="5082"/>
        <v>n/a</v>
      </c>
      <c r="AQ344" s="225" t="str">
        <f t="shared" si="5082"/>
        <v>n/a</v>
      </c>
      <c r="AR344" s="225" t="str">
        <f t="shared" si="5082"/>
        <v>n/a</v>
      </c>
      <c r="AS344" s="225" t="str">
        <f t="shared" si="5082"/>
        <v>n/a</v>
      </c>
      <c r="AT344" s="225" t="str">
        <f t="shared" si="5082"/>
        <v>n/a</v>
      </c>
      <c r="AU344" s="214" t="str">
        <f t="shared" si="5082"/>
        <v>n/a</v>
      </c>
      <c r="AV344" s="225" t="str">
        <f t="shared" si="5082"/>
        <v>n/a</v>
      </c>
      <c r="AW344" s="225" t="str">
        <f t="shared" si="5082"/>
        <v>n/a</v>
      </c>
      <c r="AX344" s="225" t="str">
        <f t="shared" si="5082"/>
        <v>n/a</v>
      </c>
      <c r="AY344" s="225" t="str">
        <f t="shared" si="5082"/>
        <v>n/a</v>
      </c>
      <c r="AZ344" s="225" t="str">
        <f t="shared" si="5082"/>
        <v>n/a</v>
      </c>
      <c r="BA344" s="225" t="str">
        <f t="shared" si="5082"/>
        <v>n/a</v>
      </c>
      <c r="BB344" s="225" t="str">
        <f t="shared" si="5082"/>
        <v>n/a</v>
      </c>
      <c r="BC344" s="225" t="str">
        <f t="shared" ref="BC344:CH344" si="5083">++IFERROR(BC342/AQ342-1,"n/a")</f>
        <v>n/a</v>
      </c>
      <c r="BD344" s="225" t="str">
        <f t="shared" si="5083"/>
        <v>n/a</v>
      </c>
      <c r="BE344" s="225" t="str">
        <f t="shared" si="5083"/>
        <v>n/a</v>
      </c>
      <c r="BF344" s="225" t="str">
        <f t="shared" si="5083"/>
        <v>n/a</v>
      </c>
      <c r="BG344" s="214" t="str">
        <f t="shared" si="5083"/>
        <v>n/a</v>
      </c>
      <c r="BH344" s="225" t="str">
        <f t="shared" si="5083"/>
        <v>n/a</v>
      </c>
      <c r="BI344" s="225" t="str">
        <f t="shared" si="5083"/>
        <v>n/a</v>
      </c>
      <c r="BJ344" s="225" t="str">
        <f t="shared" si="5083"/>
        <v>n/a</v>
      </c>
      <c r="BK344" s="225" t="str">
        <f t="shared" si="5083"/>
        <v>n/a</v>
      </c>
      <c r="BL344" s="225" t="str">
        <f t="shared" si="5083"/>
        <v>n/a</v>
      </c>
      <c r="BM344" s="225" t="str">
        <f t="shared" si="5083"/>
        <v>n/a</v>
      </c>
      <c r="BN344" s="225" t="str">
        <f t="shared" si="5083"/>
        <v>n/a</v>
      </c>
      <c r="BO344" s="225" t="str">
        <f t="shared" si="5083"/>
        <v>n/a</v>
      </c>
      <c r="BP344" s="225" t="str">
        <f t="shared" si="5083"/>
        <v>n/a</v>
      </c>
      <c r="BQ344" s="225" t="str">
        <f t="shared" si="5083"/>
        <v>n/a</v>
      </c>
      <c r="BR344" s="225" t="str">
        <f t="shared" si="5083"/>
        <v>n/a</v>
      </c>
      <c r="BS344" s="214" t="str">
        <f t="shared" si="5083"/>
        <v>n/a</v>
      </c>
      <c r="BT344" s="225" t="str">
        <f t="shared" si="5083"/>
        <v>n/a</v>
      </c>
      <c r="BU344" s="225" t="str">
        <f t="shared" si="5083"/>
        <v>n/a</v>
      </c>
      <c r="BV344" s="225" t="str">
        <f t="shared" si="5083"/>
        <v>n/a</v>
      </c>
      <c r="BW344" s="225" t="str">
        <f t="shared" si="5083"/>
        <v>n/a</v>
      </c>
      <c r="BX344" s="225" t="str">
        <f t="shared" si="5083"/>
        <v>n/a</v>
      </c>
      <c r="BY344" s="225" t="str">
        <f t="shared" si="5083"/>
        <v>n/a</v>
      </c>
      <c r="BZ344" s="225" t="str">
        <f t="shared" si="5083"/>
        <v>n/a</v>
      </c>
      <c r="CA344" s="225" t="str">
        <f t="shared" si="5083"/>
        <v>n/a</v>
      </c>
      <c r="CB344" s="225" t="str">
        <f t="shared" si="5083"/>
        <v>n/a</v>
      </c>
      <c r="CC344" s="225" t="str">
        <f t="shared" si="5083"/>
        <v>n/a</v>
      </c>
      <c r="CD344" s="225" t="str">
        <f t="shared" si="5083"/>
        <v>n/a</v>
      </c>
      <c r="CE344" s="214" t="str">
        <f t="shared" si="5083"/>
        <v>n/a</v>
      </c>
      <c r="CF344" s="225" t="str">
        <f t="shared" si="5083"/>
        <v>n/a</v>
      </c>
      <c r="CG344" s="225" t="str">
        <f t="shared" si="5083"/>
        <v>n/a</v>
      </c>
      <c r="CH344" s="225" t="str">
        <f t="shared" si="5083"/>
        <v>n/a</v>
      </c>
      <c r="CI344" s="225" t="str">
        <f t="shared" ref="CI344:DN344" si="5084">++IFERROR(CI342/BW342-1,"n/a")</f>
        <v>n/a</v>
      </c>
      <c r="CJ344" s="225" t="str">
        <f t="shared" si="5084"/>
        <v>n/a</v>
      </c>
      <c r="CK344" s="225" t="str">
        <f t="shared" si="5084"/>
        <v>n/a</v>
      </c>
      <c r="CL344" s="225" t="str">
        <f t="shared" si="5084"/>
        <v>n/a</v>
      </c>
      <c r="CM344" s="225" t="str">
        <f t="shared" si="5084"/>
        <v>n/a</v>
      </c>
      <c r="CN344" s="225" t="str">
        <f t="shared" si="5084"/>
        <v>n/a</v>
      </c>
      <c r="CO344" s="225" t="str">
        <f t="shared" si="5084"/>
        <v>n/a</v>
      </c>
      <c r="CP344" s="225" t="str">
        <f t="shared" si="5084"/>
        <v>n/a</v>
      </c>
      <c r="CQ344" s="214" t="str">
        <f t="shared" si="5084"/>
        <v>n/a</v>
      </c>
      <c r="CR344" s="225" t="str">
        <f t="shared" si="5084"/>
        <v>n/a</v>
      </c>
      <c r="CS344" s="225" t="str">
        <f t="shared" si="5084"/>
        <v>n/a</v>
      </c>
      <c r="CT344" s="225" t="str">
        <f t="shared" si="5084"/>
        <v>n/a</v>
      </c>
      <c r="CU344" s="225" t="str">
        <f t="shared" si="5084"/>
        <v>n/a</v>
      </c>
      <c r="CV344" s="225" t="str">
        <f t="shared" si="5084"/>
        <v>n/a</v>
      </c>
      <c r="CW344" s="225" t="str">
        <f t="shared" si="5084"/>
        <v>n/a</v>
      </c>
      <c r="CX344" s="225" t="str">
        <f t="shared" si="5084"/>
        <v>n/a</v>
      </c>
      <c r="CY344" s="225" t="str">
        <f t="shared" si="5084"/>
        <v>n/a</v>
      </c>
      <c r="CZ344" s="225" t="str">
        <f t="shared" si="5084"/>
        <v>n/a</v>
      </c>
      <c r="DA344" s="225" t="str">
        <f t="shared" si="5084"/>
        <v>n/a</v>
      </c>
      <c r="DB344" s="225" t="str">
        <f t="shared" si="5084"/>
        <v>n/a</v>
      </c>
      <c r="DC344" s="214" t="str">
        <f t="shared" si="5084"/>
        <v>n/a</v>
      </c>
    </row>
    <row r="345" spans="1:107" x14ac:dyDescent="0.3">
      <c r="G345" s="203"/>
      <c r="K345" s="203"/>
      <c r="W345" s="203"/>
      <c r="AI345" s="203"/>
      <c r="AU345" s="203"/>
      <c r="BG345" s="203"/>
      <c r="BS345" s="203"/>
      <c r="CE345" s="203"/>
      <c r="CQ345" s="203"/>
      <c r="DC345" s="203"/>
    </row>
    <row r="346" spans="1:107" x14ac:dyDescent="0.3">
      <c r="C346" s="193" t="str">
        <f>++C$52</f>
        <v>Capital Expenditures</v>
      </c>
      <c r="G346" s="400">
        <f>++G52</f>
        <v>0</v>
      </c>
      <c r="H346" s="400">
        <f t="shared" ref="H346:BS346" si="5085">++H52</f>
        <v>0</v>
      </c>
      <c r="I346" s="400">
        <f t="shared" si="5085"/>
        <v>0</v>
      </c>
      <c r="J346" s="400">
        <f t="shared" si="5085"/>
        <v>0</v>
      </c>
      <c r="K346" s="400">
        <f t="shared" si="5085"/>
        <v>0</v>
      </c>
      <c r="L346" s="400">
        <f t="shared" si="5085"/>
        <v>0</v>
      </c>
      <c r="M346" s="400">
        <f t="shared" si="5085"/>
        <v>0</v>
      </c>
      <c r="N346" s="400">
        <f t="shared" si="5085"/>
        <v>0</v>
      </c>
      <c r="O346" s="400">
        <f t="shared" si="5085"/>
        <v>0</v>
      </c>
      <c r="P346" s="400">
        <f t="shared" si="5085"/>
        <v>0</v>
      </c>
      <c r="Q346" s="400">
        <f t="shared" si="5085"/>
        <v>0</v>
      </c>
      <c r="R346" s="400">
        <f t="shared" si="5085"/>
        <v>0</v>
      </c>
      <c r="S346" s="400">
        <f t="shared" si="5085"/>
        <v>0</v>
      </c>
      <c r="T346" s="400">
        <f t="shared" si="5085"/>
        <v>0</v>
      </c>
      <c r="U346" s="400">
        <f t="shared" si="5085"/>
        <v>0</v>
      </c>
      <c r="V346" s="400">
        <f t="shared" si="5085"/>
        <v>0</v>
      </c>
      <c r="W346" s="400">
        <f t="shared" si="5085"/>
        <v>0</v>
      </c>
      <c r="X346" s="400">
        <f t="shared" si="5085"/>
        <v>0</v>
      </c>
      <c r="Y346" s="400">
        <f t="shared" si="5085"/>
        <v>0</v>
      </c>
      <c r="Z346" s="400">
        <f t="shared" si="5085"/>
        <v>0</v>
      </c>
      <c r="AA346" s="400">
        <f t="shared" si="5085"/>
        <v>0</v>
      </c>
      <c r="AB346" s="400">
        <f t="shared" si="5085"/>
        <v>0</v>
      </c>
      <c r="AC346" s="400">
        <f t="shared" si="5085"/>
        <v>0</v>
      </c>
      <c r="AD346" s="400">
        <f t="shared" si="5085"/>
        <v>0</v>
      </c>
      <c r="AE346" s="400">
        <f t="shared" si="5085"/>
        <v>0</v>
      </c>
      <c r="AF346" s="400">
        <f t="shared" si="5085"/>
        <v>0</v>
      </c>
      <c r="AG346" s="400">
        <f t="shared" si="5085"/>
        <v>0</v>
      </c>
      <c r="AH346" s="400">
        <f t="shared" si="5085"/>
        <v>0</v>
      </c>
      <c r="AI346" s="400">
        <f t="shared" si="5085"/>
        <v>0</v>
      </c>
      <c r="AJ346" s="400">
        <f t="shared" si="5085"/>
        <v>0</v>
      </c>
      <c r="AK346" s="400">
        <f t="shared" si="5085"/>
        <v>0</v>
      </c>
      <c r="AL346" s="400">
        <f t="shared" si="5085"/>
        <v>0</v>
      </c>
      <c r="AM346" s="400">
        <f t="shared" si="5085"/>
        <v>0</v>
      </c>
      <c r="AN346" s="400">
        <f t="shared" si="5085"/>
        <v>0</v>
      </c>
      <c r="AO346" s="400">
        <f t="shared" si="5085"/>
        <v>0</v>
      </c>
      <c r="AP346" s="400">
        <f t="shared" si="5085"/>
        <v>0</v>
      </c>
      <c r="AQ346" s="400">
        <f t="shared" si="5085"/>
        <v>0</v>
      </c>
      <c r="AR346" s="400">
        <f t="shared" si="5085"/>
        <v>0</v>
      </c>
      <c r="AS346" s="400">
        <f t="shared" si="5085"/>
        <v>0</v>
      </c>
      <c r="AT346" s="400">
        <f t="shared" si="5085"/>
        <v>0</v>
      </c>
      <c r="AU346" s="400">
        <f t="shared" si="5085"/>
        <v>0</v>
      </c>
      <c r="AV346" s="400">
        <f t="shared" si="5085"/>
        <v>0</v>
      </c>
      <c r="AW346" s="400">
        <f t="shared" si="5085"/>
        <v>0</v>
      </c>
      <c r="AX346" s="400">
        <f t="shared" si="5085"/>
        <v>0</v>
      </c>
      <c r="AY346" s="400">
        <f t="shared" si="5085"/>
        <v>0</v>
      </c>
      <c r="AZ346" s="400">
        <f t="shared" si="5085"/>
        <v>0</v>
      </c>
      <c r="BA346" s="400">
        <f t="shared" si="5085"/>
        <v>0</v>
      </c>
      <c r="BB346" s="400">
        <f t="shared" si="5085"/>
        <v>0</v>
      </c>
      <c r="BC346" s="400">
        <f t="shared" si="5085"/>
        <v>0</v>
      </c>
      <c r="BD346" s="400">
        <f t="shared" si="5085"/>
        <v>0</v>
      </c>
      <c r="BE346" s="400">
        <f t="shared" si="5085"/>
        <v>0</v>
      </c>
      <c r="BF346" s="400">
        <f t="shared" si="5085"/>
        <v>0</v>
      </c>
      <c r="BG346" s="400">
        <f t="shared" si="5085"/>
        <v>0</v>
      </c>
      <c r="BH346" s="400">
        <f t="shared" si="5085"/>
        <v>0</v>
      </c>
      <c r="BI346" s="400">
        <f t="shared" si="5085"/>
        <v>0</v>
      </c>
      <c r="BJ346" s="400">
        <f t="shared" si="5085"/>
        <v>0</v>
      </c>
      <c r="BK346" s="400">
        <f t="shared" si="5085"/>
        <v>0</v>
      </c>
      <c r="BL346" s="400">
        <f t="shared" si="5085"/>
        <v>0</v>
      </c>
      <c r="BM346" s="400">
        <f t="shared" si="5085"/>
        <v>0</v>
      </c>
      <c r="BN346" s="400">
        <f t="shared" si="5085"/>
        <v>0</v>
      </c>
      <c r="BO346" s="400">
        <f t="shared" si="5085"/>
        <v>0</v>
      </c>
      <c r="BP346" s="400">
        <f t="shared" si="5085"/>
        <v>0</v>
      </c>
      <c r="BQ346" s="400">
        <f t="shared" si="5085"/>
        <v>0</v>
      </c>
      <c r="BR346" s="400">
        <f t="shared" si="5085"/>
        <v>0</v>
      </c>
      <c r="BS346" s="400">
        <f t="shared" si="5085"/>
        <v>0</v>
      </c>
      <c r="BT346" s="400">
        <f t="shared" ref="BT346:DC346" si="5086">++BT52</f>
        <v>0</v>
      </c>
      <c r="BU346" s="400">
        <f t="shared" si="5086"/>
        <v>0</v>
      </c>
      <c r="BV346" s="400">
        <f t="shared" si="5086"/>
        <v>0</v>
      </c>
      <c r="BW346" s="400">
        <f t="shared" si="5086"/>
        <v>0</v>
      </c>
      <c r="BX346" s="400">
        <f t="shared" si="5086"/>
        <v>0</v>
      </c>
      <c r="BY346" s="400">
        <f t="shared" si="5086"/>
        <v>0</v>
      </c>
      <c r="BZ346" s="400">
        <f t="shared" si="5086"/>
        <v>0</v>
      </c>
      <c r="CA346" s="400">
        <f t="shared" si="5086"/>
        <v>0</v>
      </c>
      <c r="CB346" s="400">
        <f t="shared" si="5086"/>
        <v>0</v>
      </c>
      <c r="CC346" s="400">
        <f t="shared" si="5086"/>
        <v>0</v>
      </c>
      <c r="CD346" s="400">
        <f t="shared" si="5086"/>
        <v>0</v>
      </c>
      <c r="CE346" s="400">
        <f t="shared" si="5086"/>
        <v>0</v>
      </c>
      <c r="CF346" s="400">
        <f t="shared" si="5086"/>
        <v>0</v>
      </c>
      <c r="CG346" s="400">
        <f t="shared" si="5086"/>
        <v>0</v>
      </c>
      <c r="CH346" s="400">
        <f t="shared" si="5086"/>
        <v>0</v>
      </c>
      <c r="CI346" s="400">
        <f t="shared" si="5086"/>
        <v>0</v>
      </c>
      <c r="CJ346" s="400">
        <f t="shared" si="5086"/>
        <v>0</v>
      </c>
      <c r="CK346" s="400">
        <f t="shared" si="5086"/>
        <v>0</v>
      </c>
      <c r="CL346" s="400">
        <f t="shared" si="5086"/>
        <v>0</v>
      </c>
      <c r="CM346" s="400">
        <f t="shared" si="5086"/>
        <v>0</v>
      </c>
      <c r="CN346" s="400">
        <f t="shared" si="5086"/>
        <v>0</v>
      </c>
      <c r="CO346" s="400">
        <f t="shared" si="5086"/>
        <v>0</v>
      </c>
      <c r="CP346" s="400">
        <f t="shared" si="5086"/>
        <v>0</v>
      </c>
      <c r="CQ346" s="400">
        <f t="shared" si="5086"/>
        <v>0</v>
      </c>
      <c r="CR346" s="400">
        <f t="shared" si="5086"/>
        <v>0</v>
      </c>
      <c r="CS346" s="400">
        <f t="shared" si="5086"/>
        <v>0</v>
      </c>
      <c r="CT346" s="400">
        <f t="shared" si="5086"/>
        <v>0</v>
      </c>
      <c r="CU346" s="400">
        <f t="shared" si="5086"/>
        <v>0</v>
      </c>
      <c r="CV346" s="400">
        <f t="shared" si="5086"/>
        <v>0</v>
      </c>
      <c r="CW346" s="400">
        <f t="shared" si="5086"/>
        <v>0</v>
      </c>
      <c r="CX346" s="400">
        <f t="shared" si="5086"/>
        <v>0</v>
      </c>
      <c r="CY346" s="400">
        <f t="shared" si="5086"/>
        <v>0</v>
      </c>
      <c r="CZ346" s="400">
        <f t="shared" si="5086"/>
        <v>0</v>
      </c>
      <c r="DA346" s="400">
        <f t="shared" si="5086"/>
        <v>0</v>
      </c>
      <c r="DB346" s="400">
        <f t="shared" si="5086"/>
        <v>0</v>
      </c>
      <c r="DC346" s="400">
        <f t="shared" si="5086"/>
        <v>0</v>
      </c>
    </row>
    <row r="347" spans="1:107" x14ac:dyDescent="0.3">
      <c r="C347" s="321" t="str">
        <f>++C$53</f>
        <v>% revenue</v>
      </c>
      <c r="G347" s="214" t="str">
        <f>++IFERROR(G346/G304,"n/a")</f>
        <v>n/a</v>
      </c>
      <c r="H347" s="225" t="str">
        <f t="shared" ref="H347" si="5087">++IFERROR(H346/H304,"n/a")</f>
        <v>n/a</v>
      </c>
      <c r="I347" s="225" t="str">
        <f t="shared" ref="I347" si="5088">++IFERROR(I346/I304,"n/a")</f>
        <v>n/a</v>
      </c>
      <c r="J347" s="225" t="str">
        <f t="shared" ref="J347" si="5089">++IFERROR(J346/J304,"n/a")</f>
        <v>n/a</v>
      </c>
      <c r="K347" s="214" t="str">
        <f t="shared" ref="K347" si="5090">++IFERROR(K346/K304,"n/a")</f>
        <v>n/a</v>
      </c>
      <c r="L347" s="225" t="str">
        <f t="shared" ref="L347" si="5091">++IFERROR(L346/L304,"n/a")</f>
        <v>n/a</v>
      </c>
      <c r="M347" s="225" t="str">
        <f t="shared" ref="M347" si="5092">++IFERROR(M346/M304,"n/a")</f>
        <v>n/a</v>
      </c>
      <c r="N347" s="225" t="str">
        <f t="shared" ref="N347" si="5093">++IFERROR(N346/N304,"n/a")</f>
        <v>n/a</v>
      </c>
      <c r="O347" s="225" t="str">
        <f t="shared" ref="O347" si="5094">++IFERROR(O346/O304,"n/a")</f>
        <v>n/a</v>
      </c>
      <c r="P347" s="225" t="str">
        <f t="shared" ref="P347" si="5095">++IFERROR(P346/P304,"n/a")</f>
        <v>n/a</v>
      </c>
      <c r="Q347" s="225" t="str">
        <f t="shared" ref="Q347" si="5096">++IFERROR(Q346/Q304,"n/a")</f>
        <v>n/a</v>
      </c>
      <c r="R347" s="225" t="str">
        <f t="shared" ref="R347" si="5097">++IFERROR(R346/R304,"n/a")</f>
        <v>n/a</v>
      </c>
      <c r="S347" s="225" t="str">
        <f t="shared" ref="S347" si="5098">++IFERROR(S346/S304,"n/a")</f>
        <v>n/a</v>
      </c>
      <c r="T347" s="225" t="str">
        <f t="shared" ref="T347" si="5099">++IFERROR(T346/T304,"n/a")</f>
        <v>n/a</v>
      </c>
      <c r="U347" s="225" t="str">
        <f t="shared" ref="U347" si="5100">++IFERROR(U346/U304,"n/a")</f>
        <v>n/a</v>
      </c>
      <c r="V347" s="225" t="str">
        <f t="shared" ref="V347" si="5101">++IFERROR(V346/V304,"n/a")</f>
        <v>n/a</v>
      </c>
      <c r="W347" s="214" t="str">
        <f t="shared" ref="W347" si="5102">++IFERROR(W346/W304,"n/a")</f>
        <v>n/a</v>
      </c>
      <c r="X347" s="225" t="str">
        <f t="shared" ref="X347" si="5103">++IFERROR(X346/X304,"n/a")</f>
        <v>n/a</v>
      </c>
      <c r="Y347" s="225" t="str">
        <f t="shared" ref="Y347" si="5104">++IFERROR(Y346/Y304,"n/a")</f>
        <v>n/a</v>
      </c>
      <c r="Z347" s="225" t="str">
        <f t="shared" ref="Z347" si="5105">++IFERROR(Z346/Z304,"n/a")</f>
        <v>n/a</v>
      </c>
      <c r="AA347" s="225" t="str">
        <f t="shared" ref="AA347" si="5106">++IFERROR(AA346/AA304,"n/a")</f>
        <v>n/a</v>
      </c>
      <c r="AB347" s="225" t="str">
        <f t="shared" ref="AB347" si="5107">++IFERROR(AB346/AB304,"n/a")</f>
        <v>n/a</v>
      </c>
      <c r="AC347" s="225" t="str">
        <f t="shared" ref="AC347" si="5108">++IFERROR(AC346/AC304,"n/a")</f>
        <v>n/a</v>
      </c>
      <c r="AD347" s="225" t="str">
        <f t="shared" ref="AD347" si="5109">++IFERROR(AD346/AD304,"n/a")</f>
        <v>n/a</v>
      </c>
      <c r="AE347" s="225" t="str">
        <f t="shared" ref="AE347" si="5110">++IFERROR(AE346/AE304,"n/a")</f>
        <v>n/a</v>
      </c>
      <c r="AF347" s="225" t="str">
        <f t="shared" ref="AF347" si="5111">++IFERROR(AF346/AF304,"n/a")</f>
        <v>n/a</v>
      </c>
      <c r="AG347" s="225" t="str">
        <f t="shared" ref="AG347" si="5112">++IFERROR(AG346/AG304,"n/a")</f>
        <v>n/a</v>
      </c>
      <c r="AH347" s="225" t="str">
        <f t="shared" ref="AH347" si="5113">++IFERROR(AH346/AH304,"n/a")</f>
        <v>n/a</v>
      </c>
      <c r="AI347" s="214" t="str">
        <f t="shared" ref="AI347" si="5114">++IFERROR(AI346/AI304,"n/a")</f>
        <v>n/a</v>
      </c>
      <c r="AJ347" s="225" t="str">
        <f t="shared" ref="AJ347" si="5115">++IFERROR(AJ346/AJ304,"n/a")</f>
        <v>n/a</v>
      </c>
      <c r="AK347" s="225" t="str">
        <f t="shared" ref="AK347" si="5116">++IFERROR(AK346/AK304,"n/a")</f>
        <v>n/a</v>
      </c>
      <c r="AL347" s="225" t="str">
        <f t="shared" ref="AL347" si="5117">++IFERROR(AL346/AL304,"n/a")</f>
        <v>n/a</v>
      </c>
      <c r="AM347" s="225" t="str">
        <f t="shared" ref="AM347" si="5118">++IFERROR(AM346/AM304,"n/a")</f>
        <v>n/a</v>
      </c>
      <c r="AN347" s="225" t="str">
        <f t="shared" ref="AN347" si="5119">++IFERROR(AN346/AN304,"n/a")</f>
        <v>n/a</v>
      </c>
      <c r="AO347" s="225" t="str">
        <f t="shared" ref="AO347" si="5120">++IFERROR(AO346/AO304,"n/a")</f>
        <v>n/a</v>
      </c>
      <c r="AP347" s="225" t="str">
        <f t="shared" ref="AP347" si="5121">++IFERROR(AP346/AP304,"n/a")</f>
        <v>n/a</v>
      </c>
      <c r="AQ347" s="225" t="str">
        <f t="shared" ref="AQ347" si="5122">++IFERROR(AQ346/AQ304,"n/a")</f>
        <v>n/a</v>
      </c>
      <c r="AR347" s="225" t="str">
        <f t="shared" ref="AR347" si="5123">++IFERROR(AR346/AR304,"n/a")</f>
        <v>n/a</v>
      </c>
      <c r="AS347" s="225" t="str">
        <f t="shared" ref="AS347" si="5124">++IFERROR(AS346/AS304,"n/a")</f>
        <v>n/a</v>
      </c>
      <c r="AT347" s="225" t="str">
        <f t="shared" ref="AT347" si="5125">++IFERROR(AT346/AT304,"n/a")</f>
        <v>n/a</v>
      </c>
      <c r="AU347" s="214" t="str">
        <f t="shared" ref="AU347" si="5126">++IFERROR(AU346/AU304,"n/a")</f>
        <v>n/a</v>
      </c>
      <c r="AV347" s="225" t="str">
        <f t="shared" ref="AV347" si="5127">++IFERROR(AV346/AV304,"n/a")</f>
        <v>n/a</v>
      </c>
      <c r="AW347" s="225" t="str">
        <f t="shared" ref="AW347" si="5128">++IFERROR(AW346/AW304,"n/a")</f>
        <v>n/a</v>
      </c>
      <c r="AX347" s="225" t="str">
        <f t="shared" ref="AX347" si="5129">++IFERROR(AX346/AX304,"n/a")</f>
        <v>n/a</v>
      </c>
      <c r="AY347" s="225" t="str">
        <f t="shared" ref="AY347" si="5130">++IFERROR(AY346/AY304,"n/a")</f>
        <v>n/a</v>
      </c>
      <c r="AZ347" s="225" t="str">
        <f t="shared" ref="AZ347" si="5131">++IFERROR(AZ346/AZ304,"n/a")</f>
        <v>n/a</v>
      </c>
      <c r="BA347" s="225" t="str">
        <f t="shared" ref="BA347" si="5132">++IFERROR(BA346/BA304,"n/a")</f>
        <v>n/a</v>
      </c>
      <c r="BB347" s="225" t="str">
        <f t="shared" ref="BB347" si="5133">++IFERROR(BB346/BB304,"n/a")</f>
        <v>n/a</v>
      </c>
      <c r="BC347" s="225" t="str">
        <f t="shared" ref="BC347" si="5134">++IFERROR(BC346/BC304,"n/a")</f>
        <v>n/a</v>
      </c>
      <c r="BD347" s="225" t="str">
        <f t="shared" ref="BD347" si="5135">++IFERROR(BD346/BD304,"n/a")</f>
        <v>n/a</v>
      </c>
      <c r="BE347" s="225" t="str">
        <f t="shared" ref="BE347" si="5136">++IFERROR(BE346/BE304,"n/a")</f>
        <v>n/a</v>
      </c>
      <c r="BF347" s="225" t="str">
        <f t="shared" ref="BF347" si="5137">++IFERROR(BF346/BF304,"n/a")</f>
        <v>n/a</v>
      </c>
      <c r="BG347" s="214" t="str">
        <f t="shared" ref="BG347" si="5138">++IFERROR(BG346/BG304,"n/a")</f>
        <v>n/a</v>
      </c>
      <c r="BH347" s="225" t="str">
        <f t="shared" ref="BH347" si="5139">++IFERROR(BH346/BH304,"n/a")</f>
        <v>n/a</v>
      </c>
      <c r="BI347" s="225" t="str">
        <f t="shared" ref="BI347" si="5140">++IFERROR(BI346/BI304,"n/a")</f>
        <v>n/a</v>
      </c>
      <c r="BJ347" s="225" t="str">
        <f t="shared" ref="BJ347" si="5141">++IFERROR(BJ346/BJ304,"n/a")</f>
        <v>n/a</v>
      </c>
      <c r="BK347" s="225" t="str">
        <f t="shared" ref="BK347" si="5142">++IFERROR(BK346/BK304,"n/a")</f>
        <v>n/a</v>
      </c>
      <c r="BL347" s="225" t="str">
        <f t="shared" ref="BL347" si="5143">++IFERROR(BL346/BL304,"n/a")</f>
        <v>n/a</v>
      </c>
      <c r="BM347" s="225" t="str">
        <f t="shared" ref="BM347" si="5144">++IFERROR(BM346/BM304,"n/a")</f>
        <v>n/a</v>
      </c>
      <c r="BN347" s="225" t="str">
        <f t="shared" ref="BN347" si="5145">++IFERROR(BN346/BN304,"n/a")</f>
        <v>n/a</v>
      </c>
      <c r="BO347" s="225" t="str">
        <f t="shared" ref="BO347" si="5146">++IFERROR(BO346/BO304,"n/a")</f>
        <v>n/a</v>
      </c>
      <c r="BP347" s="225" t="str">
        <f t="shared" ref="BP347" si="5147">++IFERROR(BP346/BP304,"n/a")</f>
        <v>n/a</v>
      </c>
      <c r="BQ347" s="225" t="str">
        <f t="shared" ref="BQ347" si="5148">++IFERROR(BQ346/BQ304,"n/a")</f>
        <v>n/a</v>
      </c>
      <c r="BR347" s="225" t="str">
        <f t="shared" ref="BR347" si="5149">++IFERROR(BR346/BR304,"n/a")</f>
        <v>n/a</v>
      </c>
      <c r="BS347" s="214" t="str">
        <f t="shared" ref="BS347" si="5150">++IFERROR(BS346/BS304,"n/a")</f>
        <v>n/a</v>
      </c>
      <c r="BT347" s="225" t="str">
        <f t="shared" ref="BT347" si="5151">++IFERROR(BT346/BT304,"n/a")</f>
        <v>n/a</v>
      </c>
      <c r="BU347" s="225" t="str">
        <f t="shared" ref="BU347" si="5152">++IFERROR(BU346/BU304,"n/a")</f>
        <v>n/a</v>
      </c>
      <c r="BV347" s="225" t="str">
        <f t="shared" ref="BV347" si="5153">++IFERROR(BV346/BV304,"n/a")</f>
        <v>n/a</v>
      </c>
      <c r="BW347" s="225" t="str">
        <f t="shared" ref="BW347" si="5154">++IFERROR(BW346/BW304,"n/a")</f>
        <v>n/a</v>
      </c>
      <c r="BX347" s="225" t="str">
        <f t="shared" ref="BX347" si="5155">++IFERROR(BX346/BX304,"n/a")</f>
        <v>n/a</v>
      </c>
      <c r="BY347" s="225" t="str">
        <f t="shared" ref="BY347" si="5156">++IFERROR(BY346/BY304,"n/a")</f>
        <v>n/a</v>
      </c>
      <c r="BZ347" s="225" t="str">
        <f t="shared" ref="BZ347" si="5157">++IFERROR(BZ346/BZ304,"n/a")</f>
        <v>n/a</v>
      </c>
      <c r="CA347" s="225" t="str">
        <f t="shared" ref="CA347" si="5158">++IFERROR(CA346/CA304,"n/a")</f>
        <v>n/a</v>
      </c>
      <c r="CB347" s="225" t="str">
        <f t="shared" ref="CB347" si="5159">++IFERROR(CB346/CB304,"n/a")</f>
        <v>n/a</v>
      </c>
      <c r="CC347" s="225" t="str">
        <f t="shared" ref="CC347" si="5160">++IFERROR(CC346/CC304,"n/a")</f>
        <v>n/a</v>
      </c>
      <c r="CD347" s="225" t="str">
        <f t="shared" ref="CD347" si="5161">++IFERROR(CD346/CD304,"n/a")</f>
        <v>n/a</v>
      </c>
      <c r="CE347" s="214" t="str">
        <f t="shared" ref="CE347" si="5162">++IFERROR(CE346/CE304,"n/a")</f>
        <v>n/a</v>
      </c>
      <c r="CF347" s="225" t="str">
        <f t="shared" ref="CF347" si="5163">++IFERROR(CF346/CF304,"n/a")</f>
        <v>n/a</v>
      </c>
      <c r="CG347" s="225" t="str">
        <f t="shared" ref="CG347" si="5164">++IFERROR(CG346/CG304,"n/a")</f>
        <v>n/a</v>
      </c>
      <c r="CH347" s="225" t="str">
        <f t="shared" ref="CH347" si="5165">++IFERROR(CH346/CH304,"n/a")</f>
        <v>n/a</v>
      </c>
      <c r="CI347" s="225" t="str">
        <f t="shared" ref="CI347" si="5166">++IFERROR(CI346/CI304,"n/a")</f>
        <v>n/a</v>
      </c>
      <c r="CJ347" s="225" t="str">
        <f t="shared" ref="CJ347" si="5167">++IFERROR(CJ346/CJ304,"n/a")</f>
        <v>n/a</v>
      </c>
      <c r="CK347" s="225" t="str">
        <f t="shared" ref="CK347" si="5168">++IFERROR(CK346/CK304,"n/a")</f>
        <v>n/a</v>
      </c>
      <c r="CL347" s="225" t="str">
        <f t="shared" ref="CL347" si="5169">++IFERROR(CL346/CL304,"n/a")</f>
        <v>n/a</v>
      </c>
      <c r="CM347" s="225" t="str">
        <f t="shared" ref="CM347" si="5170">++IFERROR(CM346/CM304,"n/a")</f>
        <v>n/a</v>
      </c>
      <c r="CN347" s="225" t="str">
        <f t="shared" ref="CN347" si="5171">++IFERROR(CN346/CN304,"n/a")</f>
        <v>n/a</v>
      </c>
      <c r="CO347" s="225" t="str">
        <f t="shared" ref="CO347" si="5172">++IFERROR(CO346/CO304,"n/a")</f>
        <v>n/a</v>
      </c>
      <c r="CP347" s="225" t="str">
        <f t="shared" ref="CP347" si="5173">++IFERROR(CP346/CP304,"n/a")</f>
        <v>n/a</v>
      </c>
      <c r="CQ347" s="214" t="str">
        <f t="shared" ref="CQ347" si="5174">++IFERROR(CQ346/CQ304,"n/a")</f>
        <v>n/a</v>
      </c>
      <c r="CR347" s="225" t="str">
        <f t="shared" ref="CR347" si="5175">++IFERROR(CR346/CR304,"n/a")</f>
        <v>n/a</v>
      </c>
      <c r="CS347" s="225" t="str">
        <f t="shared" ref="CS347" si="5176">++IFERROR(CS346/CS304,"n/a")</f>
        <v>n/a</v>
      </c>
      <c r="CT347" s="225" t="str">
        <f t="shared" ref="CT347" si="5177">++IFERROR(CT346/CT304,"n/a")</f>
        <v>n/a</v>
      </c>
      <c r="CU347" s="225" t="str">
        <f t="shared" ref="CU347" si="5178">++IFERROR(CU346/CU304,"n/a")</f>
        <v>n/a</v>
      </c>
      <c r="CV347" s="225" t="str">
        <f t="shared" ref="CV347" si="5179">++IFERROR(CV346/CV304,"n/a")</f>
        <v>n/a</v>
      </c>
      <c r="CW347" s="225" t="str">
        <f t="shared" ref="CW347" si="5180">++IFERROR(CW346/CW304,"n/a")</f>
        <v>n/a</v>
      </c>
      <c r="CX347" s="225" t="str">
        <f t="shared" ref="CX347" si="5181">++IFERROR(CX346/CX304,"n/a")</f>
        <v>n/a</v>
      </c>
      <c r="CY347" s="225" t="str">
        <f t="shared" ref="CY347" si="5182">++IFERROR(CY346/CY304,"n/a")</f>
        <v>n/a</v>
      </c>
      <c r="CZ347" s="225" t="str">
        <f t="shared" ref="CZ347" si="5183">++IFERROR(CZ346/CZ304,"n/a")</f>
        <v>n/a</v>
      </c>
      <c r="DA347" s="225" t="str">
        <f t="shared" ref="DA347" si="5184">++IFERROR(DA346/DA304,"n/a")</f>
        <v>n/a</v>
      </c>
      <c r="DB347" s="225" t="str">
        <f t="shared" ref="DB347" si="5185">++IFERROR(DB346/DB304,"n/a")</f>
        <v>n/a</v>
      </c>
      <c r="DC347" s="214" t="str">
        <f t="shared" ref="DC347" si="5186">++IFERROR(DC346/DC304,"n/a")</f>
        <v>n/a</v>
      </c>
    </row>
    <row r="348" spans="1:107" x14ac:dyDescent="0.3">
      <c r="C348" s="321" t="str">
        <f>++C$54</f>
        <v>% FCF conversion</v>
      </c>
      <c r="G348" s="214" t="str">
        <f>++IFERROR((G342-G346)/G342,"n/a")</f>
        <v>n/a</v>
      </c>
      <c r="H348" s="225" t="str">
        <f t="shared" ref="H348:BS348" si="5187">++IFERROR((H342-H346)/H342,"n/a")</f>
        <v>n/a</v>
      </c>
      <c r="I348" s="225" t="str">
        <f t="shared" si="5187"/>
        <v>n/a</v>
      </c>
      <c r="J348" s="225" t="str">
        <f t="shared" si="5187"/>
        <v>n/a</v>
      </c>
      <c r="K348" s="214" t="str">
        <f t="shared" si="5187"/>
        <v>n/a</v>
      </c>
      <c r="L348" s="225" t="str">
        <f t="shared" si="5187"/>
        <v>n/a</v>
      </c>
      <c r="M348" s="225" t="str">
        <f t="shared" si="5187"/>
        <v>n/a</v>
      </c>
      <c r="N348" s="225" t="str">
        <f t="shared" si="5187"/>
        <v>n/a</v>
      </c>
      <c r="O348" s="225" t="str">
        <f t="shared" si="5187"/>
        <v>n/a</v>
      </c>
      <c r="P348" s="225" t="str">
        <f t="shared" si="5187"/>
        <v>n/a</v>
      </c>
      <c r="Q348" s="225" t="str">
        <f t="shared" si="5187"/>
        <v>n/a</v>
      </c>
      <c r="R348" s="225" t="str">
        <f t="shared" si="5187"/>
        <v>n/a</v>
      </c>
      <c r="S348" s="225" t="str">
        <f t="shared" si="5187"/>
        <v>n/a</v>
      </c>
      <c r="T348" s="225" t="str">
        <f t="shared" si="5187"/>
        <v>n/a</v>
      </c>
      <c r="U348" s="225" t="str">
        <f t="shared" si="5187"/>
        <v>n/a</v>
      </c>
      <c r="V348" s="225" t="str">
        <f t="shared" si="5187"/>
        <v>n/a</v>
      </c>
      <c r="W348" s="214" t="str">
        <f t="shared" si="5187"/>
        <v>n/a</v>
      </c>
      <c r="X348" s="225" t="str">
        <f t="shared" si="5187"/>
        <v>n/a</v>
      </c>
      <c r="Y348" s="225" t="str">
        <f t="shared" si="5187"/>
        <v>n/a</v>
      </c>
      <c r="Z348" s="225" t="str">
        <f t="shared" si="5187"/>
        <v>n/a</v>
      </c>
      <c r="AA348" s="225" t="str">
        <f t="shared" si="5187"/>
        <v>n/a</v>
      </c>
      <c r="AB348" s="225" t="str">
        <f t="shared" si="5187"/>
        <v>n/a</v>
      </c>
      <c r="AC348" s="225" t="str">
        <f t="shared" si="5187"/>
        <v>n/a</v>
      </c>
      <c r="AD348" s="225" t="str">
        <f t="shared" si="5187"/>
        <v>n/a</v>
      </c>
      <c r="AE348" s="225" t="str">
        <f t="shared" si="5187"/>
        <v>n/a</v>
      </c>
      <c r="AF348" s="225" t="str">
        <f t="shared" si="5187"/>
        <v>n/a</v>
      </c>
      <c r="AG348" s="225" t="str">
        <f t="shared" si="5187"/>
        <v>n/a</v>
      </c>
      <c r="AH348" s="225" t="str">
        <f t="shared" si="5187"/>
        <v>n/a</v>
      </c>
      <c r="AI348" s="214" t="str">
        <f t="shared" si="5187"/>
        <v>n/a</v>
      </c>
      <c r="AJ348" s="225" t="str">
        <f t="shared" si="5187"/>
        <v>n/a</v>
      </c>
      <c r="AK348" s="225" t="str">
        <f t="shared" si="5187"/>
        <v>n/a</v>
      </c>
      <c r="AL348" s="225" t="str">
        <f t="shared" si="5187"/>
        <v>n/a</v>
      </c>
      <c r="AM348" s="225" t="str">
        <f t="shared" si="5187"/>
        <v>n/a</v>
      </c>
      <c r="AN348" s="225" t="str">
        <f t="shared" si="5187"/>
        <v>n/a</v>
      </c>
      <c r="AO348" s="225" t="str">
        <f t="shared" si="5187"/>
        <v>n/a</v>
      </c>
      <c r="AP348" s="225" t="str">
        <f t="shared" si="5187"/>
        <v>n/a</v>
      </c>
      <c r="AQ348" s="225" t="str">
        <f t="shared" si="5187"/>
        <v>n/a</v>
      </c>
      <c r="AR348" s="225" t="str">
        <f t="shared" si="5187"/>
        <v>n/a</v>
      </c>
      <c r="AS348" s="225" t="str">
        <f t="shared" si="5187"/>
        <v>n/a</v>
      </c>
      <c r="AT348" s="225" t="str">
        <f t="shared" si="5187"/>
        <v>n/a</v>
      </c>
      <c r="AU348" s="214" t="str">
        <f t="shared" si="5187"/>
        <v>n/a</v>
      </c>
      <c r="AV348" s="225" t="str">
        <f t="shared" si="5187"/>
        <v>n/a</v>
      </c>
      <c r="AW348" s="225" t="str">
        <f t="shared" si="5187"/>
        <v>n/a</v>
      </c>
      <c r="AX348" s="225" t="str">
        <f t="shared" si="5187"/>
        <v>n/a</v>
      </c>
      <c r="AY348" s="225" t="str">
        <f t="shared" si="5187"/>
        <v>n/a</v>
      </c>
      <c r="AZ348" s="225" t="str">
        <f t="shared" si="5187"/>
        <v>n/a</v>
      </c>
      <c r="BA348" s="225" t="str">
        <f t="shared" si="5187"/>
        <v>n/a</v>
      </c>
      <c r="BB348" s="225" t="str">
        <f t="shared" si="5187"/>
        <v>n/a</v>
      </c>
      <c r="BC348" s="225" t="str">
        <f t="shared" si="5187"/>
        <v>n/a</v>
      </c>
      <c r="BD348" s="225" t="str">
        <f t="shared" si="5187"/>
        <v>n/a</v>
      </c>
      <c r="BE348" s="225" t="str">
        <f t="shared" si="5187"/>
        <v>n/a</v>
      </c>
      <c r="BF348" s="225" t="str">
        <f t="shared" si="5187"/>
        <v>n/a</v>
      </c>
      <c r="BG348" s="214" t="str">
        <f t="shared" si="5187"/>
        <v>n/a</v>
      </c>
      <c r="BH348" s="225" t="str">
        <f t="shared" si="5187"/>
        <v>n/a</v>
      </c>
      <c r="BI348" s="225" t="str">
        <f t="shared" si="5187"/>
        <v>n/a</v>
      </c>
      <c r="BJ348" s="225" t="str">
        <f t="shared" si="5187"/>
        <v>n/a</v>
      </c>
      <c r="BK348" s="225" t="str">
        <f t="shared" si="5187"/>
        <v>n/a</v>
      </c>
      <c r="BL348" s="225" t="str">
        <f t="shared" si="5187"/>
        <v>n/a</v>
      </c>
      <c r="BM348" s="225" t="str">
        <f t="shared" si="5187"/>
        <v>n/a</v>
      </c>
      <c r="BN348" s="225" t="str">
        <f t="shared" si="5187"/>
        <v>n/a</v>
      </c>
      <c r="BO348" s="225" t="str">
        <f t="shared" si="5187"/>
        <v>n/a</v>
      </c>
      <c r="BP348" s="225" t="str">
        <f t="shared" si="5187"/>
        <v>n/a</v>
      </c>
      <c r="BQ348" s="225" t="str">
        <f t="shared" si="5187"/>
        <v>n/a</v>
      </c>
      <c r="BR348" s="225" t="str">
        <f t="shared" si="5187"/>
        <v>n/a</v>
      </c>
      <c r="BS348" s="214" t="str">
        <f t="shared" si="5187"/>
        <v>n/a</v>
      </c>
      <c r="BT348" s="225" t="str">
        <f t="shared" ref="BT348:DC348" si="5188">++IFERROR((BT342-BT346)/BT342,"n/a")</f>
        <v>n/a</v>
      </c>
      <c r="BU348" s="225" t="str">
        <f t="shared" si="5188"/>
        <v>n/a</v>
      </c>
      <c r="BV348" s="225" t="str">
        <f t="shared" si="5188"/>
        <v>n/a</v>
      </c>
      <c r="BW348" s="225" t="str">
        <f t="shared" si="5188"/>
        <v>n/a</v>
      </c>
      <c r="BX348" s="225" t="str">
        <f t="shared" si="5188"/>
        <v>n/a</v>
      </c>
      <c r="BY348" s="225" t="str">
        <f t="shared" si="5188"/>
        <v>n/a</v>
      </c>
      <c r="BZ348" s="225" t="str">
        <f t="shared" si="5188"/>
        <v>n/a</v>
      </c>
      <c r="CA348" s="225" t="str">
        <f t="shared" si="5188"/>
        <v>n/a</v>
      </c>
      <c r="CB348" s="225" t="str">
        <f t="shared" si="5188"/>
        <v>n/a</v>
      </c>
      <c r="CC348" s="225" t="str">
        <f t="shared" si="5188"/>
        <v>n/a</v>
      </c>
      <c r="CD348" s="225" t="str">
        <f t="shared" si="5188"/>
        <v>n/a</v>
      </c>
      <c r="CE348" s="214" t="str">
        <f t="shared" si="5188"/>
        <v>n/a</v>
      </c>
      <c r="CF348" s="225" t="str">
        <f t="shared" si="5188"/>
        <v>n/a</v>
      </c>
      <c r="CG348" s="225" t="str">
        <f t="shared" si="5188"/>
        <v>n/a</v>
      </c>
      <c r="CH348" s="225" t="str">
        <f t="shared" si="5188"/>
        <v>n/a</v>
      </c>
      <c r="CI348" s="225" t="str">
        <f t="shared" si="5188"/>
        <v>n/a</v>
      </c>
      <c r="CJ348" s="225" t="str">
        <f t="shared" si="5188"/>
        <v>n/a</v>
      </c>
      <c r="CK348" s="225" t="str">
        <f t="shared" si="5188"/>
        <v>n/a</v>
      </c>
      <c r="CL348" s="225" t="str">
        <f t="shared" si="5188"/>
        <v>n/a</v>
      </c>
      <c r="CM348" s="225" t="str">
        <f t="shared" si="5188"/>
        <v>n/a</v>
      </c>
      <c r="CN348" s="225" t="str">
        <f t="shared" si="5188"/>
        <v>n/a</v>
      </c>
      <c r="CO348" s="225" t="str">
        <f t="shared" si="5188"/>
        <v>n/a</v>
      </c>
      <c r="CP348" s="225" t="str">
        <f t="shared" si="5188"/>
        <v>n/a</v>
      </c>
      <c r="CQ348" s="214" t="str">
        <f t="shared" si="5188"/>
        <v>n/a</v>
      </c>
      <c r="CR348" s="225" t="str">
        <f t="shared" si="5188"/>
        <v>n/a</v>
      </c>
      <c r="CS348" s="225" t="str">
        <f t="shared" si="5188"/>
        <v>n/a</v>
      </c>
      <c r="CT348" s="225" t="str">
        <f t="shared" si="5188"/>
        <v>n/a</v>
      </c>
      <c r="CU348" s="225" t="str">
        <f t="shared" si="5188"/>
        <v>n/a</v>
      </c>
      <c r="CV348" s="225" t="str">
        <f t="shared" si="5188"/>
        <v>n/a</v>
      </c>
      <c r="CW348" s="225" t="str">
        <f t="shared" si="5188"/>
        <v>n/a</v>
      </c>
      <c r="CX348" s="225" t="str">
        <f t="shared" si="5188"/>
        <v>n/a</v>
      </c>
      <c r="CY348" s="225" t="str">
        <f t="shared" si="5188"/>
        <v>n/a</v>
      </c>
      <c r="CZ348" s="225" t="str">
        <f t="shared" si="5188"/>
        <v>n/a</v>
      </c>
      <c r="DA348" s="225" t="str">
        <f t="shared" si="5188"/>
        <v>n/a</v>
      </c>
      <c r="DB348" s="225" t="str">
        <f t="shared" si="5188"/>
        <v>n/a</v>
      </c>
      <c r="DC348" s="214" t="str">
        <f t="shared" si="5188"/>
        <v>n/a</v>
      </c>
    </row>
    <row r="349" spans="1:107" x14ac:dyDescent="0.3">
      <c r="G349" s="203"/>
      <c r="K349" s="203"/>
      <c r="W349" s="203"/>
      <c r="AI349" s="203"/>
      <c r="AU349" s="203"/>
      <c r="BG349" s="203"/>
      <c r="BS349" s="203"/>
      <c r="CE349" s="203"/>
      <c r="CQ349" s="203"/>
      <c r="DC349" s="203"/>
    </row>
    <row r="350" spans="1:107" x14ac:dyDescent="0.3">
      <c r="G350" s="203"/>
      <c r="K350" s="203"/>
      <c r="W350" s="203"/>
      <c r="AI350" s="203"/>
      <c r="AU350" s="203"/>
      <c r="BG350" s="203"/>
      <c r="BS350" s="203"/>
      <c r="CE350" s="203"/>
      <c r="CQ350" s="203"/>
      <c r="DC350" s="203"/>
    </row>
    <row r="351" spans="1:107" x14ac:dyDescent="0.3">
      <c r="A351" s="319"/>
      <c r="B351" s="319" t="s">
        <v>0</v>
      </c>
      <c r="C351" s="166" t="s">
        <v>118</v>
      </c>
      <c r="D351" s="365"/>
      <c r="E351" s="365"/>
      <c r="F351" s="365"/>
      <c r="G351" s="365"/>
      <c r="H351" s="365"/>
      <c r="I351" s="365"/>
      <c r="J351" s="365"/>
      <c r="K351" s="365"/>
      <c r="L351" s="365"/>
      <c r="M351" s="365"/>
      <c r="N351" s="365"/>
      <c r="O351" s="365"/>
      <c r="P351" s="365"/>
      <c r="Q351" s="365"/>
      <c r="R351" s="365"/>
      <c r="S351" s="365"/>
      <c r="T351" s="365"/>
      <c r="U351" s="365"/>
      <c r="V351" s="365"/>
      <c r="W351" s="365"/>
      <c r="X351" s="365"/>
      <c r="Y351" s="365"/>
      <c r="Z351" s="365"/>
      <c r="AA351" s="365"/>
      <c r="AB351" s="365"/>
      <c r="AC351" s="365"/>
      <c r="AD351" s="365"/>
      <c r="AE351" s="365"/>
      <c r="AF351" s="365"/>
      <c r="AG351" s="365"/>
      <c r="AH351" s="365"/>
      <c r="AI351" s="365"/>
      <c r="AJ351" s="365"/>
      <c r="AK351" s="365"/>
      <c r="AL351" s="365"/>
      <c r="AM351" s="365"/>
      <c r="AN351" s="365"/>
      <c r="AO351" s="365"/>
      <c r="AP351" s="365"/>
      <c r="AQ351" s="365"/>
      <c r="AR351" s="365"/>
      <c r="AS351" s="365"/>
      <c r="AT351" s="365"/>
      <c r="AU351" s="365"/>
      <c r="AV351" s="365"/>
      <c r="AW351" s="365"/>
      <c r="AX351" s="365"/>
      <c r="AY351" s="365"/>
      <c r="AZ351" s="365"/>
      <c r="BA351" s="365"/>
      <c r="BB351" s="365"/>
      <c r="BC351" s="365"/>
      <c r="BD351" s="365"/>
      <c r="BE351" s="365"/>
      <c r="BF351" s="365"/>
      <c r="BG351" s="365"/>
      <c r="BH351" s="365"/>
      <c r="BI351" s="365"/>
      <c r="BJ351" s="365"/>
      <c r="BK351" s="365"/>
      <c r="BL351" s="365"/>
      <c r="BM351" s="365"/>
      <c r="BN351" s="365"/>
      <c r="BO351" s="365"/>
      <c r="BP351" s="365"/>
      <c r="BQ351" s="365"/>
      <c r="BR351" s="365"/>
      <c r="BS351" s="365"/>
      <c r="BT351" s="365"/>
      <c r="BU351" s="365"/>
      <c r="BV351" s="365"/>
      <c r="BW351" s="365"/>
      <c r="BX351" s="365"/>
      <c r="BY351" s="365"/>
      <c r="BZ351" s="365"/>
      <c r="CA351" s="365"/>
      <c r="CB351" s="365"/>
      <c r="CC351" s="365"/>
      <c r="CD351" s="365"/>
      <c r="CE351" s="365"/>
      <c r="CF351" s="365"/>
      <c r="CG351" s="365"/>
      <c r="CH351" s="365"/>
      <c r="CI351" s="365"/>
      <c r="CJ351" s="365"/>
      <c r="CK351" s="365"/>
      <c r="CL351" s="365"/>
      <c r="CM351" s="365"/>
      <c r="CN351" s="365"/>
      <c r="CO351" s="365"/>
      <c r="CP351" s="365"/>
      <c r="CQ351" s="365"/>
      <c r="CR351" s="365"/>
      <c r="CS351" s="365"/>
      <c r="CT351" s="365"/>
      <c r="CU351" s="365"/>
      <c r="CV351" s="365"/>
      <c r="CW351" s="365"/>
      <c r="CX351" s="365"/>
      <c r="CY351" s="365"/>
      <c r="CZ351" s="365"/>
      <c r="DA351" s="365"/>
      <c r="DB351" s="365"/>
      <c r="DC351" s="366"/>
    </row>
    <row r="352" spans="1:107" ht="5.15" customHeight="1" x14ac:dyDescent="0.3">
      <c r="G352" s="203"/>
      <c r="K352" s="203"/>
      <c r="W352" s="203"/>
      <c r="AI352" s="203"/>
      <c r="AU352" s="203"/>
      <c r="BG352" s="203"/>
      <c r="BS352" s="203"/>
      <c r="CE352" s="203"/>
      <c r="CQ352" s="203"/>
      <c r="DC352" s="203"/>
    </row>
    <row r="353" spans="3:107" x14ac:dyDescent="0.3">
      <c r="C353" s="193" t="str">
        <f>++C$10</f>
        <v>Revenue</v>
      </c>
      <c r="G353" s="400">
        <f>++G59</f>
        <v>0</v>
      </c>
      <c r="H353" s="400">
        <f t="shared" ref="H353:BS353" si="5189">++H59</f>
        <v>0</v>
      </c>
      <c r="I353" s="400">
        <f t="shared" si="5189"/>
        <v>0</v>
      </c>
      <c r="J353" s="400">
        <f t="shared" si="5189"/>
        <v>0</v>
      </c>
      <c r="K353" s="400">
        <f t="shared" si="5189"/>
        <v>0</v>
      </c>
      <c r="L353" s="400">
        <f t="shared" si="5189"/>
        <v>0</v>
      </c>
      <c r="M353" s="400">
        <f t="shared" si="5189"/>
        <v>0</v>
      </c>
      <c r="N353" s="400">
        <f t="shared" si="5189"/>
        <v>0</v>
      </c>
      <c r="O353" s="400">
        <f t="shared" si="5189"/>
        <v>0</v>
      </c>
      <c r="P353" s="400">
        <f t="shared" si="5189"/>
        <v>0</v>
      </c>
      <c r="Q353" s="400">
        <f t="shared" si="5189"/>
        <v>0</v>
      </c>
      <c r="R353" s="400">
        <f t="shared" si="5189"/>
        <v>0</v>
      </c>
      <c r="S353" s="400">
        <f t="shared" si="5189"/>
        <v>0</v>
      </c>
      <c r="T353" s="400">
        <f t="shared" si="5189"/>
        <v>0</v>
      </c>
      <c r="U353" s="400">
        <f t="shared" si="5189"/>
        <v>0</v>
      </c>
      <c r="V353" s="400">
        <f t="shared" si="5189"/>
        <v>0</v>
      </c>
      <c r="W353" s="400">
        <f t="shared" si="5189"/>
        <v>0</v>
      </c>
      <c r="X353" s="400">
        <f t="shared" si="5189"/>
        <v>0</v>
      </c>
      <c r="Y353" s="400">
        <f t="shared" si="5189"/>
        <v>0</v>
      </c>
      <c r="Z353" s="400">
        <f t="shared" si="5189"/>
        <v>0</v>
      </c>
      <c r="AA353" s="400">
        <f t="shared" si="5189"/>
        <v>0</v>
      </c>
      <c r="AB353" s="400">
        <f t="shared" si="5189"/>
        <v>0</v>
      </c>
      <c r="AC353" s="400">
        <f t="shared" si="5189"/>
        <v>0</v>
      </c>
      <c r="AD353" s="400">
        <f t="shared" si="5189"/>
        <v>0</v>
      </c>
      <c r="AE353" s="400">
        <f t="shared" si="5189"/>
        <v>0</v>
      </c>
      <c r="AF353" s="400">
        <f t="shared" si="5189"/>
        <v>0</v>
      </c>
      <c r="AG353" s="400">
        <f t="shared" si="5189"/>
        <v>0</v>
      </c>
      <c r="AH353" s="400">
        <f t="shared" si="5189"/>
        <v>0</v>
      </c>
      <c r="AI353" s="400">
        <f t="shared" si="5189"/>
        <v>0</v>
      </c>
      <c r="AJ353" s="400">
        <f t="shared" si="5189"/>
        <v>0</v>
      </c>
      <c r="AK353" s="400">
        <f t="shared" si="5189"/>
        <v>0</v>
      </c>
      <c r="AL353" s="400">
        <f t="shared" si="5189"/>
        <v>0</v>
      </c>
      <c r="AM353" s="400">
        <f t="shared" si="5189"/>
        <v>0</v>
      </c>
      <c r="AN353" s="400">
        <f t="shared" si="5189"/>
        <v>0</v>
      </c>
      <c r="AO353" s="400">
        <f t="shared" si="5189"/>
        <v>0</v>
      </c>
      <c r="AP353" s="400">
        <f t="shared" si="5189"/>
        <v>0</v>
      </c>
      <c r="AQ353" s="400">
        <f t="shared" si="5189"/>
        <v>0</v>
      </c>
      <c r="AR353" s="400">
        <f t="shared" si="5189"/>
        <v>0</v>
      </c>
      <c r="AS353" s="400">
        <f t="shared" si="5189"/>
        <v>0</v>
      </c>
      <c r="AT353" s="400">
        <f t="shared" si="5189"/>
        <v>0</v>
      </c>
      <c r="AU353" s="400">
        <f t="shared" si="5189"/>
        <v>0</v>
      </c>
      <c r="AV353" s="400">
        <f t="shared" si="5189"/>
        <v>0</v>
      </c>
      <c r="AW353" s="400">
        <f t="shared" si="5189"/>
        <v>0</v>
      </c>
      <c r="AX353" s="400">
        <f t="shared" si="5189"/>
        <v>0</v>
      </c>
      <c r="AY353" s="400">
        <f t="shared" si="5189"/>
        <v>0</v>
      </c>
      <c r="AZ353" s="400">
        <f t="shared" si="5189"/>
        <v>0</v>
      </c>
      <c r="BA353" s="400">
        <f t="shared" si="5189"/>
        <v>0</v>
      </c>
      <c r="BB353" s="400">
        <f t="shared" si="5189"/>
        <v>0</v>
      </c>
      <c r="BC353" s="400">
        <f t="shared" si="5189"/>
        <v>0</v>
      </c>
      <c r="BD353" s="400">
        <f t="shared" si="5189"/>
        <v>0</v>
      </c>
      <c r="BE353" s="400">
        <f t="shared" si="5189"/>
        <v>0</v>
      </c>
      <c r="BF353" s="400">
        <f t="shared" si="5189"/>
        <v>0</v>
      </c>
      <c r="BG353" s="400">
        <f t="shared" si="5189"/>
        <v>0</v>
      </c>
      <c r="BH353" s="400">
        <f t="shared" si="5189"/>
        <v>0</v>
      </c>
      <c r="BI353" s="400">
        <f t="shared" si="5189"/>
        <v>0</v>
      </c>
      <c r="BJ353" s="400">
        <f t="shared" si="5189"/>
        <v>0</v>
      </c>
      <c r="BK353" s="400">
        <f t="shared" si="5189"/>
        <v>0</v>
      </c>
      <c r="BL353" s="400">
        <f t="shared" si="5189"/>
        <v>0</v>
      </c>
      <c r="BM353" s="400">
        <f t="shared" si="5189"/>
        <v>0</v>
      </c>
      <c r="BN353" s="400">
        <f t="shared" si="5189"/>
        <v>0</v>
      </c>
      <c r="BO353" s="400">
        <f t="shared" si="5189"/>
        <v>0</v>
      </c>
      <c r="BP353" s="400">
        <f t="shared" si="5189"/>
        <v>0</v>
      </c>
      <c r="BQ353" s="400">
        <f t="shared" si="5189"/>
        <v>0</v>
      </c>
      <c r="BR353" s="400">
        <f t="shared" si="5189"/>
        <v>0</v>
      </c>
      <c r="BS353" s="400">
        <f t="shared" si="5189"/>
        <v>0</v>
      </c>
      <c r="BT353" s="400">
        <f t="shared" ref="BT353:DC353" si="5190">++BT59</f>
        <v>0</v>
      </c>
      <c r="BU353" s="400">
        <f t="shared" si="5190"/>
        <v>0</v>
      </c>
      <c r="BV353" s="400">
        <f t="shared" si="5190"/>
        <v>0</v>
      </c>
      <c r="BW353" s="400">
        <f t="shared" si="5190"/>
        <v>0</v>
      </c>
      <c r="BX353" s="400">
        <f t="shared" si="5190"/>
        <v>0</v>
      </c>
      <c r="BY353" s="400">
        <f t="shared" si="5190"/>
        <v>0</v>
      </c>
      <c r="BZ353" s="400">
        <f t="shared" si="5190"/>
        <v>0</v>
      </c>
      <c r="CA353" s="400">
        <f t="shared" si="5190"/>
        <v>0</v>
      </c>
      <c r="CB353" s="400">
        <f t="shared" si="5190"/>
        <v>0</v>
      </c>
      <c r="CC353" s="400">
        <f t="shared" si="5190"/>
        <v>0</v>
      </c>
      <c r="CD353" s="400">
        <f t="shared" si="5190"/>
        <v>0</v>
      </c>
      <c r="CE353" s="400">
        <f t="shared" si="5190"/>
        <v>0</v>
      </c>
      <c r="CF353" s="400">
        <f t="shared" si="5190"/>
        <v>0</v>
      </c>
      <c r="CG353" s="400">
        <f t="shared" si="5190"/>
        <v>0</v>
      </c>
      <c r="CH353" s="400">
        <f t="shared" si="5190"/>
        <v>0</v>
      </c>
      <c r="CI353" s="400">
        <f t="shared" si="5190"/>
        <v>0</v>
      </c>
      <c r="CJ353" s="400">
        <f t="shared" si="5190"/>
        <v>0</v>
      </c>
      <c r="CK353" s="400">
        <f t="shared" si="5190"/>
        <v>0</v>
      </c>
      <c r="CL353" s="400">
        <f t="shared" si="5190"/>
        <v>0</v>
      </c>
      <c r="CM353" s="400">
        <f t="shared" si="5190"/>
        <v>0</v>
      </c>
      <c r="CN353" s="400">
        <f t="shared" si="5190"/>
        <v>0</v>
      </c>
      <c r="CO353" s="400">
        <f t="shared" si="5190"/>
        <v>0</v>
      </c>
      <c r="CP353" s="400">
        <f t="shared" si="5190"/>
        <v>0</v>
      </c>
      <c r="CQ353" s="400">
        <f t="shared" si="5190"/>
        <v>0</v>
      </c>
      <c r="CR353" s="400">
        <f t="shared" si="5190"/>
        <v>0</v>
      </c>
      <c r="CS353" s="400">
        <f t="shared" si="5190"/>
        <v>0</v>
      </c>
      <c r="CT353" s="400">
        <f t="shared" si="5190"/>
        <v>0</v>
      </c>
      <c r="CU353" s="400">
        <f t="shared" si="5190"/>
        <v>0</v>
      </c>
      <c r="CV353" s="400">
        <f t="shared" si="5190"/>
        <v>0</v>
      </c>
      <c r="CW353" s="400">
        <f t="shared" si="5190"/>
        <v>0</v>
      </c>
      <c r="CX353" s="400">
        <f t="shared" si="5190"/>
        <v>0</v>
      </c>
      <c r="CY353" s="400">
        <f t="shared" si="5190"/>
        <v>0</v>
      </c>
      <c r="CZ353" s="400">
        <f t="shared" si="5190"/>
        <v>0</v>
      </c>
      <c r="DA353" s="400">
        <f t="shared" si="5190"/>
        <v>0</v>
      </c>
      <c r="DB353" s="400">
        <f t="shared" si="5190"/>
        <v>0</v>
      </c>
      <c r="DC353" s="400">
        <f t="shared" si="5190"/>
        <v>0</v>
      </c>
    </row>
    <row r="354" spans="3:107" x14ac:dyDescent="0.3">
      <c r="C354" s="321" t="str">
        <f>++C$11</f>
        <v>% y/y</v>
      </c>
      <c r="G354" s="122" t="s">
        <v>47</v>
      </c>
      <c r="H354" s="122" t="s">
        <v>47</v>
      </c>
      <c r="I354" s="122" t="s">
        <v>47</v>
      </c>
      <c r="J354" s="122" t="s">
        <v>47</v>
      </c>
      <c r="K354" s="214" t="str">
        <f>++IFERROR(K353/G353-1,"n/a")</f>
        <v>n/a</v>
      </c>
      <c r="L354" s="122" t="s">
        <v>47</v>
      </c>
      <c r="M354" s="122" t="s">
        <v>47</v>
      </c>
      <c r="N354" s="225" t="str">
        <f>++IFERROR(N353/H353-1,"n/a")</f>
        <v>n/a</v>
      </c>
      <c r="O354" s="122" t="s">
        <v>47</v>
      </c>
      <c r="P354" s="122" t="s">
        <v>47</v>
      </c>
      <c r="Q354" s="225" t="str">
        <f>++IFERROR(Q353/I353-1,"n/a")</f>
        <v>n/a</v>
      </c>
      <c r="R354" s="122" t="s">
        <v>47</v>
      </c>
      <c r="S354" s="122" t="s">
        <v>47</v>
      </c>
      <c r="T354" s="225" t="str">
        <f>++IFERROR(T353/J353-1,"n/a")</f>
        <v>n/a</v>
      </c>
      <c r="U354" s="122" t="s">
        <v>47</v>
      </c>
      <c r="V354" s="122" t="s">
        <v>47</v>
      </c>
      <c r="W354" s="214" t="str">
        <f t="shared" ref="W354:BB354" si="5191">++IFERROR(W353/K353-1,"n/a")</f>
        <v>n/a</v>
      </c>
      <c r="X354" s="225" t="str">
        <f t="shared" si="5191"/>
        <v>n/a</v>
      </c>
      <c r="Y354" s="225" t="str">
        <f t="shared" si="5191"/>
        <v>n/a</v>
      </c>
      <c r="Z354" s="225" t="str">
        <f t="shared" si="5191"/>
        <v>n/a</v>
      </c>
      <c r="AA354" s="225" t="str">
        <f t="shared" si="5191"/>
        <v>n/a</v>
      </c>
      <c r="AB354" s="225" t="str">
        <f t="shared" si="5191"/>
        <v>n/a</v>
      </c>
      <c r="AC354" s="225" t="str">
        <f t="shared" si="5191"/>
        <v>n/a</v>
      </c>
      <c r="AD354" s="225" t="str">
        <f t="shared" si="5191"/>
        <v>n/a</v>
      </c>
      <c r="AE354" s="225" t="str">
        <f t="shared" si="5191"/>
        <v>n/a</v>
      </c>
      <c r="AF354" s="225" t="str">
        <f t="shared" si="5191"/>
        <v>n/a</v>
      </c>
      <c r="AG354" s="225" t="str">
        <f t="shared" si="5191"/>
        <v>n/a</v>
      </c>
      <c r="AH354" s="225" t="str">
        <f t="shared" si="5191"/>
        <v>n/a</v>
      </c>
      <c r="AI354" s="214" t="str">
        <f t="shared" si="5191"/>
        <v>n/a</v>
      </c>
      <c r="AJ354" s="225" t="str">
        <f t="shared" si="5191"/>
        <v>n/a</v>
      </c>
      <c r="AK354" s="225" t="str">
        <f t="shared" si="5191"/>
        <v>n/a</v>
      </c>
      <c r="AL354" s="225" t="str">
        <f t="shared" si="5191"/>
        <v>n/a</v>
      </c>
      <c r="AM354" s="225" t="str">
        <f t="shared" si="5191"/>
        <v>n/a</v>
      </c>
      <c r="AN354" s="225" t="str">
        <f t="shared" si="5191"/>
        <v>n/a</v>
      </c>
      <c r="AO354" s="225" t="str">
        <f t="shared" si="5191"/>
        <v>n/a</v>
      </c>
      <c r="AP354" s="225" t="str">
        <f t="shared" si="5191"/>
        <v>n/a</v>
      </c>
      <c r="AQ354" s="225" t="str">
        <f t="shared" si="5191"/>
        <v>n/a</v>
      </c>
      <c r="AR354" s="225" t="str">
        <f t="shared" si="5191"/>
        <v>n/a</v>
      </c>
      <c r="AS354" s="225" t="str">
        <f t="shared" si="5191"/>
        <v>n/a</v>
      </c>
      <c r="AT354" s="225" t="str">
        <f t="shared" si="5191"/>
        <v>n/a</v>
      </c>
      <c r="AU354" s="214" t="str">
        <f t="shared" si="5191"/>
        <v>n/a</v>
      </c>
      <c r="AV354" s="225" t="str">
        <f t="shared" si="5191"/>
        <v>n/a</v>
      </c>
      <c r="AW354" s="225" t="str">
        <f t="shared" si="5191"/>
        <v>n/a</v>
      </c>
      <c r="AX354" s="225" t="str">
        <f t="shared" si="5191"/>
        <v>n/a</v>
      </c>
      <c r="AY354" s="225" t="str">
        <f t="shared" si="5191"/>
        <v>n/a</v>
      </c>
      <c r="AZ354" s="225" t="str">
        <f t="shared" si="5191"/>
        <v>n/a</v>
      </c>
      <c r="BA354" s="225" t="str">
        <f t="shared" si="5191"/>
        <v>n/a</v>
      </c>
      <c r="BB354" s="225" t="str">
        <f t="shared" si="5191"/>
        <v>n/a</v>
      </c>
      <c r="BC354" s="225" t="str">
        <f t="shared" ref="BC354:CH354" si="5192">++IFERROR(BC353/AQ353-1,"n/a")</f>
        <v>n/a</v>
      </c>
      <c r="BD354" s="225" t="str">
        <f t="shared" si="5192"/>
        <v>n/a</v>
      </c>
      <c r="BE354" s="225" t="str">
        <f t="shared" si="5192"/>
        <v>n/a</v>
      </c>
      <c r="BF354" s="225" t="str">
        <f t="shared" si="5192"/>
        <v>n/a</v>
      </c>
      <c r="BG354" s="214" t="str">
        <f t="shared" si="5192"/>
        <v>n/a</v>
      </c>
      <c r="BH354" s="225" t="str">
        <f t="shared" si="5192"/>
        <v>n/a</v>
      </c>
      <c r="BI354" s="225" t="str">
        <f t="shared" si="5192"/>
        <v>n/a</v>
      </c>
      <c r="BJ354" s="225" t="str">
        <f t="shared" si="5192"/>
        <v>n/a</v>
      </c>
      <c r="BK354" s="225" t="str">
        <f t="shared" si="5192"/>
        <v>n/a</v>
      </c>
      <c r="BL354" s="225" t="str">
        <f t="shared" si="5192"/>
        <v>n/a</v>
      </c>
      <c r="BM354" s="225" t="str">
        <f t="shared" si="5192"/>
        <v>n/a</v>
      </c>
      <c r="BN354" s="225" t="str">
        <f t="shared" si="5192"/>
        <v>n/a</v>
      </c>
      <c r="BO354" s="225" t="str">
        <f t="shared" si="5192"/>
        <v>n/a</v>
      </c>
      <c r="BP354" s="225" t="str">
        <f t="shared" si="5192"/>
        <v>n/a</v>
      </c>
      <c r="BQ354" s="225" t="str">
        <f t="shared" si="5192"/>
        <v>n/a</v>
      </c>
      <c r="BR354" s="225" t="str">
        <f t="shared" si="5192"/>
        <v>n/a</v>
      </c>
      <c r="BS354" s="214" t="str">
        <f t="shared" si="5192"/>
        <v>n/a</v>
      </c>
      <c r="BT354" s="225" t="str">
        <f t="shared" si="5192"/>
        <v>n/a</v>
      </c>
      <c r="BU354" s="225" t="str">
        <f t="shared" si="5192"/>
        <v>n/a</v>
      </c>
      <c r="BV354" s="225" t="str">
        <f t="shared" si="5192"/>
        <v>n/a</v>
      </c>
      <c r="BW354" s="225" t="str">
        <f t="shared" si="5192"/>
        <v>n/a</v>
      </c>
      <c r="BX354" s="225" t="str">
        <f t="shared" si="5192"/>
        <v>n/a</v>
      </c>
      <c r="BY354" s="225" t="str">
        <f t="shared" si="5192"/>
        <v>n/a</v>
      </c>
      <c r="BZ354" s="225" t="str">
        <f t="shared" si="5192"/>
        <v>n/a</v>
      </c>
      <c r="CA354" s="225" t="str">
        <f t="shared" si="5192"/>
        <v>n/a</v>
      </c>
      <c r="CB354" s="225" t="str">
        <f t="shared" si="5192"/>
        <v>n/a</v>
      </c>
      <c r="CC354" s="225" t="str">
        <f t="shared" si="5192"/>
        <v>n/a</v>
      </c>
      <c r="CD354" s="225" t="str">
        <f t="shared" si="5192"/>
        <v>n/a</v>
      </c>
      <c r="CE354" s="214" t="str">
        <f t="shared" si="5192"/>
        <v>n/a</v>
      </c>
      <c r="CF354" s="225" t="str">
        <f t="shared" si="5192"/>
        <v>n/a</v>
      </c>
      <c r="CG354" s="225" t="str">
        <f t="shared" si="5192"/>
        <v>n/a</v>
      </c>
      <c r="CH354" s="225" t="str">
        <f t="shared" si="5192"/>
        <v>n/a</v>
      </c>
      <c r="CI354" s="225" t="str">
        <f t="shared" ref="CI354:DN354" si="5193">++IFERROR(CI353/BW353-1,"n/a")</f>
        <v>n/a</v>
      </c>
      <c r="CJ354" s="225" t="str">
        <f t="shared" si="5193"/>
        <v>n/a</v>
      </c>
      <c r="CK354" s="225" t="str">
        <f t="shared" si="5193"/>
        <v>n/a</v>
      </c>
      <c r="CL354" s="225" t="str">
        <f t="shared" si="5193"/>
        <v>n/a</v>
      </c>
      <c r="CM354" s="225" t="str">
        <f t="shared" si="5193"/>
        <v>n/a</v>
      </c>
      <c r="CN354" s="225" t="str">
        <f t="shared" si="5193"/>
        <v>n/a</v>
      </c>
      <c r="CO354" s="225" t="str">
        <f t="shared" si="5193"/>
        <v>n/a</v>
      </c>
      <c r="CP354" s="225" t="str">
        <f t="shared" si="5193"/>
        <v>n/a</v>
      </c>
      <c r="CQ354" s="214" t="str">
        <f t="shared" si="5193"/>
        <v>n/a</v>
      </c>
      <c r="CR354" s="225" t="str">
        <f t="shared" si="5193"/>
        <v>n/a</v>
      </c>
      <c r="CS354" s="225" t="str">
        <f t="shared" si="5193"/>
        <v>n/a</v>
      </c>
      <c r="CT354" s="225" t="str">
        <f t="shared" si="5193"/>
        <v>n/a</v>
      </c>
      <c r="CU354" s="225" t="str">
        <f t="shared" si="5193"/>
        <v>n/a</v>
      </c>
      <c r="CV354" s="225" t="str">
        <f t="shared" si="5193"/>
        <v>n/a</v>
      </c>
      <c r="CW354" s="225" t="str">
        <f t="shared" si="5193"/>
        <v>n/a</v>
      </c>
      <c r="CX354" s="225" t="str">
        <f t="shared" si="5193"/>
        <v>n/a</v>
      </c>
      <c r="CY354" s="225" t="str">
        <f t="shared" si="5193"/>
        <v>n/a</v>
      </c>
      <c r="CZ354" s="225" t="str">
        <f t="shared" si="5193"/>
        <v>n/a</v>
      </c>
      <c r="DA354" s="225" t="str">
        <f t="shared" si="5193"/>
        <v>n/a</v>
      </c>
      <c r="DB354" s="225" t="str">
        <f t="shared" si="5193"/>
        <v>n/a</v>
      </c>
      <c r="DC354" s="214" t="str">
        <f t="shared" si="5193"/>
        <v>n/a</v>
      </c>
    </row>
    <row r="355" spans="3:107" x14ac:dyDescent="0.3">
      <c r="G355" s="203"/>
      <c r="K355" s="203"/>
      <c r="W355" s="203"/>
      <c r="AI355" s="203"/>
      <c r="AU355" s="203"/>
      <c r="BG355" s="203"/>
      <c r="BS355" s="203"/>
      <c r="CE355" s="203"/>
      <c r="CQ355" s="203"/>
      <c r="DC355" s="203"/>
    </row>
    <row r="356" spans="3:107" x14ac:dyDescent="0.3">
      <c r="C356" s="193" t="str">
        <f>++C$13</f>
        <v>Gross Profit</v>
      </c>
      <c r="G356" s="400">
        <f>++G62</f>
        <v>0</v>
      </c>
      <c r="H356" s="400">
        <f t="shared" ref="H356:BS356" si="5194">++H62</f>
        <v>0</v>
      </c>
      <c r="I356" s="400">
        <f t="shared" si="5194"/>
        <v>0</v>
      </c>
      <c r="J356" s="400">
        <f t="shared" si="5194"/>
        <v>0</v>
      </c>
      <c r="K356" s="400">
        <f t="shared" si="5194"/>
        <v>0</v>
      </c>
      <c r="L356" s="400">
        <f t="shared" si="5194"/>
        <v>0</v>
      </c>
      <c r="M356" s="400">
        <f t="shared" si="5194"/>
        <v>0</v>
      </c>
      <c r="N356" s="400">
        <f t="shared" si="5194"/>
        <v>0</v>
      </c>
      <c r="O356" s="400">
        <f t="shared" si="5194"/>
        <v>0</v>
      </c>
      <c r="P356" s="400">
        <f t="shared" si="5194"/>
        <v>0</v>
      </c>
      <c r="Q356" s="400">
        <f t="shared" si="5194"/>
        <v>0</v>
      </c>
      <c r="R356" s="400">
        <f t="shared" si="5194"/>
        <v>0</v>
      </c>
      <c r="S356" s="400">
        <f t="shared" si="5194"/>
        <v>0</v>
      </c>
      <c r="T356" s="400">
        <f t="shared" si="5194"/>
        <v>0</v>
      </c>
      <c r="U356" s="400">
        <f t="shared" si="5194"/>
        <v>0</v>
      </c>
      <c r="V356" s="400">
        <f t="shared" si="5194"/>
        <v>0</v>
      </c>
      <c r="W356" s="400">
        <f t="shared" si="5194"/>
        <v>0</v>
      </c>
      <c r="X356" s="400">
        <f t="shared" si="5194"/>
        <v>0</v>
      </c>
      <c r="Y356" s="400">
        <f t="shared" si="5194"/>
        <v>0</v>
      </c>
      <c r="Z356" s="400">
        <f t="shared" si="5194"/>
        <v>0</v>
      </c>
      <c r="AA356" s="400">
        <f t="shared" si="5194"/>
        <v>0</v>
      </c>
      <c r="AB356" s="400">
        <f t="shared" si="5194"/>
        <v>0</v>
      </c>
      <c r="AC356" s="400">
        <f t="shared" si="5194"/>
        <v>0</v>
      </c>
      <c r="AD356" s="400">
        <f t="shared" si="5194"/>
        <v>0</v>
      </c>
      <c r="AE356" s="400">
        <f t="shared" si="5194"/>
        <v>0</v>
      </c>
      <c r="AF356" s="400">
        <f t="shared" si="5194"/>
        <v>0</v>
      </c>
      <c r="AG356" s="400">
        <f t="shared" si="5194"/>
        <v>0</v>
      </c>
      <c r="AH356" s="400">
        <f t="shared" si="5194"/>
        <v>0</v>
      </c>
      <c r="AI356" s="400">
        <f t="shared" si="5194"/>
        <v>0</v>
      </c>
      <c r="AJ356" s="400">
        <f t="shared" si="5194"/>
        <v>0</v>
      </c>
      <c r="AK356" s="400">
        <f t="shared" si="5194"/>
        <v>0</v>
      </c>
      <c r="AL356" s="400">
        <f t="shared" si="5194"/>
        <v>0</v>
      </c>
      <c r="AM356" s="400">
        <f t="shared" si="5194"/>
        <v>0</v>
      </c>
      <c r="AN356" s="400">
        <f t="shared" si="5194"/>
        <v>0</v>
      </c>
      <c r="AO356" s="400">
        <f t="shared" si="5194"/>
        <v>0</v>
      </c>
      <c r="AP356" s="400">
        <f t="shared" si="5194"/>
        <v>0</v>
      </c>
      <c r="AQ356" s="400">
        <f t="shared" si="5194"/>
        <v>0</v>
      </c>
      <c r="AR356" s="400">
        <f t="shared" si="5194"/>
        <v>0</v>
      </c>
      <c r="AS356" s="400">
        <f t="shared" si="5194"/>
        <v>0</v>
      </c>
      <c r="AT356" s="400">
        <f t="shared" si="5194"/>
        <v>0</v>
      </c>
      <c r="AU356" s="400">
        <f t="shared" si="5194"/>
        <v>0</v>
      </c>
      <c r="AV356" s="400">
        <f t="shared" si="5194"/>
        <v>0</v>
      </c>
      <c r="AW356" s="400">
        <f t="shared" si="5194"/>
        <v>0</v>
      </c>
      <c r="AX356" s="400">
        <f t="shared" si="5194"/>
        <v>0</v>
      </c>
      <c r="AY356" s="400">
        <f t="shared" si="5194"/>
        <v>0</v>
      </c>
      <c r="AZ356" s="400">
        <f t="shared" si="5194"/>
        <v>0</v>
      </c>
      <c r="BA356" s="400">
        <f t="shared" si="5194"/>
        <v>0</v>
      </c>
      <c r="BB356" s="400">
        <f t="shared" si="5194"/>
        <v>0</v>
      </c>
      <c r="BC356" s="400">
        <f t="shared" si="5194"/>
        <v>0</v>
      </c>
      <c r="BD356" s="400">
        <f t="shared" si="5194"/>
        <v>0</v>
      </c>
      <c r="BE356" s="400">
        <f t="shared" si="5194"/>
        <v>0</v>
      </c>
      <c r="BF356" s="400">
        <f t="shared" si="5194"/>
        <v>0</v>
      </c>
      <c r="BG356" s="400">
        <f t="shared" si="5194"/>
        <v>0</v>
      </c>
      <c r="BH356" s="400">
        <f t="shared" si="5194"/>
        <v>0</v>
      </c>
      <c r="BI356" s="400">
        <f t="shared" si="5194"/>
        <v>0</v>
      </c>
      <c r="BJ356" s="400">
        <f t="shared" si="5194"/>
        <v>0</v>
      </c>
      <c r="BK356" s="400">
        <f t="shared" si="5194"/>
        <v>0</v>
      </c>
      <c r="BL356" s="400">
        <f t="shared" si="5194"/>
        <v>0</v>
      </c>
      <c r="BM356" s="400">
        <f t="shared" si="5194"/>
        <v>0</v>
      </c>
      <c r="BN356" s="400">
        <f t="shared" si="5194"/>
        <v>0</v>
      </c>
      <c r="BO356" s="400">
        <f t="shared" si="5194"/>
        <v>0</v>
      </c>
      <c r="BP356" s="400">
        <f t="shared" si="5194"/>
        <v>0</v>
      </c>
      <c r="BQ356" s="400">
        <f t="shared" si="5194"/>
        <v>0</v>
      </c>
      <c r="BR356" s="400">
        <f t="shared" si="5194"/>
        <v>0</v>
      </c>
      <c r="BS356" s="400">
        <f t="shared" si="5194"/>
        <v>0</v>
      </c>
      <c r="BT356" s="400">
        <f t="shared" ref="BT356:DC356" si="5195">++BT62</f>
        <v>0</v>
      </c>
      <c r="BU356" s="400">
        <f t="shared" si="5195"/>
        <v>0</v>
      </c>
      <c r="BV356" s="400">
        <f t="shared" si="5195"/>
        <v>0</v>
      </c>
      <c r="BW356" s="400">
        <f t="shared" si="5195"/>
        <v>0</v>
      </c>
      <c r="BX356" s="400">
        <f t="shared" si="5195"/>
        <v>0</v>
      </c>
      <c r="BY356" s="400">
        <f t="shared" si="5195"/>
        <v>0</v>
      </c>
      <c r="BZ356" s="400">
        <f t="shared" si="5195"/>
        <v>0</v>
      </c>
      <c r="CA356" s="400">
        <f t="shared" si="5195"/>
        <v>0</v>
      </c>
      <c r="CB356" s="400">
        <f t="shared" si="5195"/>
        <v>0</v>
      </c>
      <c r="CC356" s="400">
        <f t="shared" si="5195"/>
        <v>0</v>
      </c>
      <c r="CD356" s="400">
        <f t="shared" si="5195"/>
        <v>0</v>
      </c>
      <c r="CE356" s="400">
        <f t="shared" si="5195"/>
        <v>0</v>
      </c>
      <c r="CF356" s="400">
        <f t="shared" si="5195"/>
        <v>0</v>
      </c>
      <c r="CG356" s="400">
        <f t="shared" si="5195"/>
        <v>0</v>
      </c>
      <c r="CH356" s="400">
        <f t="shared" si="5195"/>
        <v>0</v>
      </c>
      <c r="CI356" s="400">
        <f t="shared" si="5195"/>
        <v>0</v>
      </c>
      <c r="CJ356" s="400">
        <f t="shared" si="5195"/>
        <v>0</v>
      </c>
      <c r="CK356" s="400">
        <f t="shared" si="5195"/>
        <v>0</v>
      </c>
      <c r="CL356" s="400">
        <f t="shared" si="5195"/>
        <v>0</v>
      </c>
      <c r="CM356" s="400">
        <f t="shared" si="5195"/>
        <v>0</v>
      </c>
      <c r="CN356" s="400">
        <f t="shared" si="5195"/>
        <v>0</v>
      </c>
      <c r="CO356" s="400">
        <f t="shared" si="5195"/>
        <v>0</v>
      </c>
      <c r="CP356" s="400">
        <f t="shared" si="5195"/>
        <v>0</v>
      </c>
      <c r="CQ356" s="400">
        <f t="shared" si="5195"/>
        <v>0</v>
      </c>
      <c r="CR356" s="400">
        <f t="shared" si="5195"/>
        <v>0</v>
      </c>
      <c r="CS356" s="400">
        <f t="shared" si="5195"/>
        <v>0</v>
      </c>
      <c r="CT356" s="400">
        <f t="shared" si="5195"/>
        <v>0</v>
      </c>
      <c r="CU356" s="400">
        <f t="shared" si="5195"/>
        <v>0</v>
      </c>
      <c r="CV356" s="400">
        <f t="shared" si="5195"/>
        <v>0</v>
      </c>
      <c r="CW356" s="400">
        <f t="shared" si="5195"/>
        <v>0</v>
      </c>
      <c r="CX356" s="400">
        <f t="shared" si="5195"/>
        <v>0</v>
      </c>
      <c r="CY356" s="400">
        <f t="shared" si="5195"/>
        <v>0</v>
      </c>
      <c r="CZ356" s="400">
        <f t="shared" si="5195"/>
        <v>0</v>
      </c>
      <c r="DA356" s="400">
        <f t="shared" si="5195"/>
        <v>0</v>
      </c>
      <c r="DB356" s="400">
        <f t="shared" si="5195"/>
        <v>0</v>
      </c>
      <c r="DC356" s="400">
        <f t="shared" si="5195"/>
        <v>0</v>
      </c>
    </row>
    <row r="357" spans="3:107" x14ac:dyDescent="0.3">
      <c r="C357" s="321" t="str">
        <f>++C$14</f>
        <v>% margin</v>
      </c>
      <c r="G357" s="214" t="str">
        <f>++IFERROR(G356/G353,"n/a")</f>
        <v>n/a</v>
      </c>
      <c r="H357" s="225" t="str">
        <f t="shared" ref="H357" si="5196">++IFERROR(H356/H353,"n/a")</f>
        <v>n/a</v>
      </c>
      <c r="I357" s="225" t="str">
        <f t="shared" ref="I357" si="5197">++IFERROR(I356/I353,"n/a")</f>
        <v>n/a</v>
      </c>
      <c r="J357" s="225" t="str">
        <f t="shared" ref="J357" si="5198">++IFERROR(J356/J353,"n/a")</f>
        <v>n/a</v>
      </c>
      <c r="K357" s="214" t="str">
        <f t="shared" ref="K357" si="5199">++IFERROR(K356/K353,"n/a")</f>
        <v>n/a</v>
      </c>
      <c r="L357" s="225" t="str">
        <f t="shared" ref="L357" si="5200">++IFERROR(L356/L353,"n/a")</f>
        <v>n/a</v>
      </c>
      <c r="M357" s="225" t="str">
        <f t="shared" ref="M357" si="5201">++IFERROR(M356/M353,"n/a")</f>
        <v>n/a</v>
      </c>
      <c r="N357" s="225" t="str">
        <f t="shared" ref="N357" si="5202">++IFERROR(N356/N353,"n/a")</f>
        <v>n/a</v>
      </c>
      <c r="O357" s="225" t="str">
        <f t="shared" ref="O357" si="5203">++IFERROR(O356/O353,"n/a")</f>
        <v>n/a</v>
      </c>
      <c r="P357" s="225" t="str">
        <f t="shared" ref="P357" si="5204">++IFERROR(P356/P353,"n/a")</f>
        <v>n/a</v>
      </c>
      <c r="Q357" s="225" t="str">
        <f t="shared" ref="Q357" si="5205">++IFERROR(Q356/Q353,"n/a")</f>
        <v>n/a</v>
      </c>
      <c r="R357" s="225" t="str">
        <f t="shared" ref="R357" si="5206">++IFERROR(R356/R353,"n/a")</f>
        <v>n/a</v>
      </c>
      <c r="S357" s="225" t="str">
        <f t="shared" ref="S357" si="5207">++IFERROR(S356/S353,"n/a")</f>
        <v>n/a</v>
      </c>
      <c r="T357" s="225" t="str">
        <f t="shared" ref="T357" si="5208">++IFERROR(T356/T353,"n/a")</f>
        <v>n/a</v>
      </c>
      <c r="U357" s="225" t="str">
        <f t="shared" ref="U357" si="5209">++IFERROR(U356/U353,"n/a")</f>
        <v>n/a</v>
      </c>
      <c r="V357" s="225" t="str">
        <f t="shared" ref="V357" si="5210">++IFERROR(V356/V353,"n/a")</f>
        <v>n/a</v>
      </c>
      <c r="W357" s="214" t="str">
        <f t="shared" ref="W357" si="5211">++IFERROR(W356/W353,"n/a")</f>
        <v>n/a</v>
      </c>
      <c r="X357" s="225" t="str">
        <f t="shared" ref="X357" si="5212">++IFERROR(X356/X353,"n/a")</f>
        <v>n/a</v>
      </c>
      <c r="Y357" s="225" t="str">
        <f t="shared" ref="Y357" si="5213">++IFERROR(Y356/Y353,"n/a")</f>
        <v>n/a</v>
      </c>
      <c r="Z357" s="225" t="str">
        <f t="shared" ref="Z357" si="5214">++IFERROR(Z356/Z353,"n/a")</f>
        <v>n/a</v>
      </c>
      <c r="AA357" s="225" t="str">
        <f t="shared" ref="AA357" si="5215">++IFERROR(AA356/AA353,"n/a")</f>
        <v>n/a</v>
      </c>
      <c r="AB357" s="225" t="str">
        <f t="shared" ref="AB357" si="5216">++IFERROR(AB356/AB353,"n/a")</f>
        <v>n/a</v>
      </c>
      <c r="AC357" s="225" t="str">
        <f t="shared" ref="AC357" si="5217">++IFERROR(AC356/AC353,"n/a")</f>
        <v>n/a</v>
      </c>
      <c r="AD357" s="225" t="str">
        <f t="shared" ref="AD357" si="5218">++IFERROR(AD356/AD353,"n/a")</f>
        <v>n/a</v>
      </c>
      <c r="AE357" s="225" t="str">
        <f t="shared" ref="AE357" si="5219">++IFERROR(AE356/AE353,"n/a")</f>
        <v>n/a</v>
      </c>
      <c r="AF357" s="225" t="str">
        <f t="shared" ref="AF357" si="5220">++IFERROR(AF356/AF353,"n/a")</f>
        <v>n/a</v>
      </c>
      <c r="AG357" s="225" t="str">
        <f t="shared" ref="AG357" si="5221">++IFERROR(AG356/AG353,"n/a")</f>
        <v>n/a</v>
      </c>
      <c r="AH357" s="225" t="str">
        <f t="shared" ref="AH357" si="5222">++IFERROR(AH356/AH353,"n/a")</f>
        <v>n/a</v>
      </c>
      <c r="AI357" s="214" t="str">
        <f t="shared" ref="AI357" si="5223">++IFERROR(AI356/AI353,"n/a")</f>
        <v>n/a</v>
      </c>
      <c r="AJ357" s="225" t="str">
        <f t="shared" ref="AJ357" si="5224">++IFERROR(AJ356/AJ353,"n/a")</f>
        <v>n/a</v>
      </c>
      <c r="AK357" s="225" t="str">
        <f t="shared" ref="AK357" si="5225">++IFERROR(AK356/AK353,"n/a")</f>
        <v>n/a</v>
      </c>
      <c r="AL357" s="225" t="str">
        <f t="shared" ref="AL357" si="5226">++IFERROR(AL356/AL353,"n/a")</f>
        <v>n/a</v>
      </c>
      <c r="AM357" s="225" t="str">
        <f t="shared" ref="AM357" si="5227">++IFERROR(AM356/AM353,"n/a")</f>
        <v>n/a</v>
      </c>
      <c r="AN357" s="225" t="str">
        <f t="shared" ref="AN357" si="5228">++IFERROR(AN356/AN353,"n/a")</f>
        <v>n/a</v>
      </c>
      <c r="AO357" s="225" t="str">
        <f t="shared" ref="AO357" si="5229">++IFERROR(AO356/AO353,"n/a")</f>
        <v>n/a</v>
      </c>
      <c r="AP357" s="225" t="str">
        <f t="shared" ref="AP357" si="5230">++IFERROR(AP356/AP353,"n/a")</f>
        <v>n/a</v>
      </c>
      <c r="AQ357" s="225" t="str">
        <f t="shared" ref="AQ357" si="5231">++IFERROR(AQ356/AQ353,"n/a")</f>
        <v>n/a</v>
      </c>
      <c r="AR357" s="225" t="str">
        <f t="shared" ref="AR357" si="5232">++IFERROR(AR356/AR353,"n/a")</f>
        <v>n/a</v>
      </c>
      <c r="AS357" s="225" t="str">
        <f t="shared" ref="AS357" si="5233">++IFERROR(AS356/AS353,"n/a")</f>
        <v>n/a</v>
      </c>
      <c r="AT357" s="225" t="str">
        <f t="shared" ref="AT357" si="5234">++IFERROR(AT356/AT353,"n/a")</f>
        <v>n/a</v>
      </c>
      <c r="AU357" s="214" t="str">
        <f t="shared" ref="AU357" si="5235">++IFERROR(AU356/AU353,"n/a")</f>
        <v>n/a</v>
      </c>
      <c r="AV357" s="225" t="str">
        <f t="shared" ref="AV357" si="5236">++IFERROR(AV356/AV353,"n/a")</f>
        <v>n/a</v>
      </c>
      <c r="AW357" s="225" t="str">
        <f t="shared" ref="AW357" si="5237">++IFERROR(AW356/AW353,"n/a")</f>
        <v>n/a</v>
      </c>
      <c r="AX357" s="225" t="str">
        <f t="shared" ref="AX357" si="5238">++IFERROR(AX356/AX353,"n/a")</f>
        <v>n/a</v>
      </c>
      <c r="AY357" s="225" t="str">
        <f t="shared" ref="AY357" si="5239">++IFERROR(AY356/AY353,"n/a")</f>
        <v>n/a</v>
      </c>
      <c r="AZ357" s="225" t="str">
        <f t="shared" ref="AZ357" si="5240">++IFERROR(AZ356/AZ353,"n/a")</f>
        <v>n/a</v>
      </c>
      <c r="BA357" s="225" t="str">
        <f t="shared" ref="BA357" si="5241">++IFERROR(BA356/BA353,"n/a")</f>
        <v>n/a</v>
      </c>
      <c r="BB357" s="225" t="str">
        <f t="shared" ref="BB357" si="5242">++IFERROR(BB356/BB353,"n/a")</f>
        <v>n/a</v>
      </c>
      <c r="BC357" s="225" t="str">
        <f t="shared" ref="BC357" si="5243">++IFERROR(BC356/BC353,"n/a")</f>
        <v>n/a</v>
      </c>
      <c r="BD357" s="225" t="str">
        <f t="shared" ref="BD357" si="5244">++IFERROR(BD356/BD353,"n/a")</f>
        <v>n/a</v>
      </c>
      <c r="BE357" s="225" t="str">
        <f t="shared" ref="BE357" si="5245">++IFERROR(BE356/BE353,"n/a")</f>
        <v>n/a</v>
      </c>
      <c r="BF357" s="225" t="str">
        <f t="shared" ref="BF357" si="5246">++IFERROR(BF356/BF353,"n/a")</f>
        <v>n/a</v>
      </c>
      <c r="BG357" s="214" t="str">
        <f t="shared" ref="BG357" si="5247">++IFERROR(BG356/BG353,"n/a")</f>
        <v>n/a</v>
      </c>
      <c r="BH357" s="225" t="str">
        <f t="shared" ref="BH357" si="5248">++IFERROR(BH356/BH353,"n/a")</f>
        <v>n/a</v>
      </c>
      <c r="BI357" s="225" t="str">
        <f t="shared" ref="BI357" si="5249">++IFERROR(BI356/BI353,"n/a")</f>
        <v>n/a</v>
      </c>
      <c r="BJ357" s="225" t="str">
        <f t="shared" ref="BJ357" si="5250">++IFERROR(BJ356/BJ353,"n/a")</f>
        <v>n/a</v>
      </c>
      <c r="BK357" s="225" t="str">
        <f t="shared" ref="BK357" si="5251">++IFERROR(BK356/BK353,"n/a")</f>
        <v>n/a</v>
      </c>
      <c r="BL357" s="225" t="str">
        <f t="shared" ref="BL357" si="5252">++IFERROR(BL356/BL353,"n/a")</f>
        <v>n/a</v>
      </c>
      <c r="BM357" s="225" t="str">
        <f t="shared" ref="BM357" si="5253">++IFERROR(BM356/BM353,"n/a")</f>
        <v>n/a</v>
      </c>
      <c r="BN357" s="225" t="str">
        <f t="shared" ref="BN357" si="5254">++IFERROR(BN356/BN353,"n/a")</f>
        <v>n/a</v>
      </c>
      <c r="BO357" s="225" t="str">
        <f t="shared" ref="BO357" si="5255">++IFERROR(BO356/BO353,"n/a")</f>
        <v>n/a</v>
      </c>
      <c r="BP357" s="225" t="str">
        <f t="shared" ref="BP357" si="5256">++IFERROR(BP356/BP353,"n/a")</f>
        <v>n/a</v>
      </c>
      <c r="BQ357" s="225" t="str">
        <f t="shared" ref="BQ357" si="5257">++IFERROR(BQ356/BQ353,"n/a")</f>
        <v>n/a</v>
      </c>
      <c r="BR357" s="225" t="str">
        <f t="shared" ref="BR357" si="5258">++IFERROR(BR356/BR353,"n/a")</f>
        <v>n/a</v>
      </c>
      <c r="BS357" s="214" t="str">
        <f t="shared" ref="BS357" si="5259">++IFERROR(BS356/BS353,"n/a")</f>
        <v>n/a</v>
      </c>
      <c r="BT357" s="225" t="str">
        <f t="shared" ref="BT357" si="5260">++IFERROR(BT356/BT353,"n/a")</f>
        <v>n/a</v>
      </c>
      <c r="BU357" s="225" t="str">
        <f t="shared" ref="BU357" si="5261">++IFERROR(BU356/BU353,"n/a")</f>
        <v>n/a</v>
      </c>
      <c r="BV357" s="225" t="str">
        <f t="shared" ref="BV357" si="5262">++IFERROR(BV356/BV353,"n/a")</f>
        <v>n/a</v>
      </c>
      <c r="BW357" s="225" t="str">
        <f t="shared" ref="BW357" si="5263">++IFERROR(BW356/BW353,"n/a")</f>
        <v>n/a</v>
      </c>
      <c r="BX357" s="225" t="str">
        <f t="shared" ref="BX357" si="5264">++IFERROR(BX356/BX353,"n/a")</f>
        <v>n/a</v>
      </c>
      <c r="BY357" s="225" t="str">
        <f t="shared" ref="BY357" si="5265">++IFERROR(BY356/BY353,"n/a")</f>
        <v>n/a</v>
      </c>
      <c r="BZ357" s="225" t="str">
        <f t="shared" ref="BZ357" si="5266">++IFERROR(BZ356/BZ353,"n/a")</f>
        <v>n/a</v>
      </c>
      <c r="CA357" s="225" t="str">
        <f t="shared" ref="CA357" si="5267">++IFERROR(CA356/CA353,"n/a")</f>
        <v>n/a</v>
      </c>
      <c r="CB357" s="225" t="str">
        <f t="shared" ref="CB357" si="5268">++IFERROR(CB356/CB353,"n/a")</f>
        <v>n/a</v>
      </c>
      <c r="CC357" s="225" t="str">
        <f t="shared" ref="CC357" si="5269">++IFERROR(CC356/CC353,"n/a")</f>
        <v>n/a</v>
      </c>
      <c r="CD357" s="225" t="str">
        <f t="shared" ref="CD357" si="5270">++IFERROR(CD356/CD353,"n/a")</f>
        <v>n/a</v>
      </c>
      <c r="CE357" s="214" t="str">
        <f t="shared" ref="CE357" si="5271">++IFERROR(CE356/CE353,"n/a")</f>
        <v>n/a</v>
      </c>
      <c r="CF357" s="225" t="str">
        <f t="shared" ref="CF357" si="5272">++IFERROR(CF356/CF353,"n/a")</f>
        <v>n/a</v>
      </c>
      <c r="CG357" s="225" t="str">
        <f t="shared" ref="CG357" si="5273">++IFERROR(CG356/CG353,"n/a")</f>
        <v>n/a</v>
      </c>
      <c r="CH357" s="225" t="str">
        <f t="shared" ref="CH357" si="5274">++IFERROR(CH356/CH353,"n/a")</f>
        <v>n/a</v>
      </c>
      <c r="CI357" s="225" t="str">
        <f t="shared" ref="CI357" si="5275">++IFERROR(CI356/CI353,"n/a")</f>
        <v>n/a</v>
      </c>
      <c r="CJ357" s="225" t="str">
        <f t="shared" ref="CJ357" si="5276">++IFERROR(CJ356/CJ353,"n/a")</f>
        <v>n/a</v>
      </c>
      <c r="CK357" s="225" t="str">
        <f t="shared" ref="CK357" si="5277">++IFERROR(CK356/CK353,"n/a")</f>
        <v>n/a</v>
      </c>
      <c r="CL357" s="225" t="str">
        <f t="shared" ref="CL357" si="5278">++IFERROR(CL356/CL353,"n/a")</f>
        <v>n/a</v>
      </c>
      <c r="CM357" s="225" t="str">
        <f t="shared" ref="CM357" si="5279">++IFERROR(CM356/CM353,"n/a")</f>
        <v>n/a</v>
      </c>
      <c r="CN357" s="225" t="str">
        <f t="shared" ref="CN357" si="5280">++IFERROR(CN356/CN353,"n/a")</f>
        <v>n/a</v>
      </c>
      <c r="CO357" s="225" t="str">
        <f t="shared" ref="CO357" si="5281">++IFERROR(CO356/CO353,"n/a")</f>
        <v>n/a</v>
      </c>
      <c r="CP357" s="225" t="str">
        <f t="shared" ref="CP357" si="5282">++IFERROR(CP356/CP353,"n/a")</f>
        <v>n/a</v>
      </c>
      <c r="CQ357" s="214" t="str">
        <f t="shared" ref="CQ357" si="5283">++IFERROR(CQ356/CQ353,"n/a")</f>
        <v>n/a</v>
      </c>
      <c r="CR357" s="225" t="str">
        <f t="shared" ref="CR357" si="5284">++IFERROR(CR356/CR353,"n/a")</f>
        <v>n/a</v>
      </c>
      <c r="CS357" s="225" t="str">
        <f t="shared" ref="CS357" si="5285">++IFERROR(CS356/CS353,"n/a")</f>
        <v>n/a</v>
      </c>
      <c r="CT357" s="225" t="str">
        <f t="shared" ref="CT357" si="5286">++IFERROR(CT356/CT353,"n/a")</f>
        <v>n/a</v>
      </c>
      <c r="CU357" s="225" t="str">
        <f t="shared" ref="CU357" si="5287">++IFERROR(CU356/CU353,"n/a")</f>
        <v>n/a</v>
      </c>
      <c r="CV357" s="225" t="str">
        <f t="shared" ref="CV357" si="5288">++IFERROR(CV356/CV353,"n/a")</f>
        <v>n/a</v>
      </c>
      <c r="CW357" s="225" t="str">
        <f t="shared" ref="CW357" si="5289">++IFERROR(CW356/CW353,"n/a")</f>
        <v>n/a</v>
      </c>
      <c r="CX357" s="225" t="str">
        <f t="shared" ref="CX357" si="5290">++IFERROR(CX356/CX353,"n/a")</f>
        <v>n/a</v>
      </c>
      <c r="CY357" s="225" t="str">
        <f t="shared" ref="CY357" si="5291">++IFERROR(CY356/CY353,"n/a")</f>
        <v>n/a</v>
      </c>
      <c r="CZ357" s="225" t="str">
        <f t="shared" ref="CZ357" si="5292">++IFERROR(CZ356/CZ353,"n/a")</f>
        <v>n/a</v>
      </c>
      <c r="DA357" s="225" t="str">
        <f t="shared" ref="DA357" si="5293">++IFERROR(DA356/DA353,"n/a")</f>
        <v>n/a</v>
      </c>
      <c r="DB357" s="225" t="str">
        <f t="shared" ref="DB357" si="5294">++IFERROR(DB356/DB353,"n/a")</f>
        <v>n/a</v>
      </c>
      <c r="DC357" s="214" t="str">
        <f t="shared" ref="DC357" si="5295">++IFERROR(DC356/DC353,"n/a")</f>
        <v>n/a</v>
      </c>
    </row>
    <row r="358" spans="3:107" x14ac:dyDescent="0.3">
      <c r="C358" s="321" t="str">
        <f>++C$15</f>
        <v>% y/y</v>
      </c>
      <c r="G358" s="122" t="s">
        <v>47</v>
      </c>
      <c r="H358" s="122" t="s">
        <v>47</v>
      </c>
      <c r="I358" s="122" t="s">
        <v>47</v>
      </c>
      <c r="J358" s="122" t="s">
        <v>47</v>
      </c>
      <c r="K358" s="214" t="str">
        <f>++IFERROR(K356/G356-1,"n/a")</f>
        <v>n/a</v>
      </c>
      <c r="L358" s="122" t="s">
        <v>47</v>
      </c>
      <c r="M358" s="122" t="s">
        <v>47</v>
      </c>
      <c r="N358" s="225" t="str">
        <f>++IFERROR(N356/H356-1,"n/a")</f>
        <v>n/a</v>
      </c>
      <c r="O358" s="122" t="s">
        <v>47</v>
      </c>
      <c r="P358" s="122" t="s">
        <v>47</v>
      </c>
      <c r="Q358" s="225" t="str">
        <f>++IFERROR(Q356/I356-1,"n/a")</f>
        <v>n/a</v>
      </c>
      <c r="R358" s="122" t="s">
        <v>47</v>
      </c>
      <c r="S358" s="122" t="s">
        <v>47</v>
      </c>
      <c r="T358" s="225" t="str">
        <f>++IFERROR(T356/J356-1,"n/a")</f>
        <v>n/a</v>
      </c>
      <c r="U358" s="122" t="s">
        <v>47</v>
      </c>
      <c r="V358" s="122" t="s">
        <v>47</v>
      </c>
      <c r="W358" s="214" t="str">
        <f t="shared" ref="W358:BB358" si="5296">++IFERROR(W356/K356-1,"n/a")</f>
        <v>n/a</v>
      </c>
      <c r="X358" s="225" t="str">
        <f t="shared" si="5296"/>
        <v>n/a</v>
      </c>
      <c r="Y358" s="225" t="str">
        <f t="shared" si="5296"/>
        <v>n/a</v>
      </c>
      <c r="Z358" s="225" t="str">
        <f t="shared" si="5296"/>
        <v>n/a</v>
      </c>
      <c r="AA358" s="225" t="str">
        <f t="shared" si="5296"/>
        <v>n/a</v>
      </c>
      <c r="AB358" s="225" t="str">
        <f t="shared" si="5296"/>
        <v>n/a</v>
      </c>
      <c r="AC358" s="225" t="str">
        <f t="shared" si="5296"/>
        <v>n/a</v>
      </c>
      <c r="AD358" s="225" t="str">
        <f t="shared" si="5296"/>
        <v>n/a</v>
      </c>
      <c r="AE358" s="225" t="str">
        <f t="shared" si="5296"/>
        <v>n/a</v>
      </c>
      <c r="AF358" s="225" t="str">
        <f t="shared" si="5296"/>
        <v>n/a</v>
      </c>
      <c r="AG358" s="225" t="str">
        <f t="shared" si="5296"/>
        <v>n/a</v>
      </c>
      <c r="AH358" s="225" t="str">
        <f t="shared" si="5296"/>
        <v>n/a</v>
      </c>
      <c r="AI358" s="214" t="str">
        <f t="shared" si="5296"/>
        <v>n/a</v>
      </c>
      <c r="AJ358" s="225" t="str">
        <f t="shared" si="5296"/>
        <v>n/a</v>
      </c>
      <c r="AK358" s="225" t="str">
        <f t="shared" si="5296"/>
        <v>n/a</v>
      </c>
      <c r="AL358" s="225" t="str">
        <f t="shared" si="5296"/>
        <v>n/a</v>
      </c>
      <c r="AM358" s="225" t="str">
        <f t="shared" si="5296"/>
        <v>n/a</v>
      </c>
      <c r="AN358" s="225" t="str">
        <f t="shared" si="5296"/>
        <v>n/a</v>
      </c>
      <c r="AO358" s="225" t="str">
        <f t="shared" si="5296"/>
        <v>n/a</v>
      </c>
      <c r="AP358" s="225" t="str">
        <f t="shared" si="5296"/>
        <v>n/a</v>
      </c>
      <c r="AQ358" s="225" t="str">
        <f t="shared" si="5296"/>
        <v>n/a</v>
      </c>
      <c r="AR358" s="225" t="str">
        <f t="shared" si="5296"/>
        <v>n/a</v>
      </c>
      <c r="AS358" s="225" t="str">
        <f t="shared" si="5296"/>
        <v>n/a</v>
      </c>
      <c r="AT358" s="225" t="str">
        <f t="shared" si="5296"/>
        <v>n/a</v>
      </c>
      <c r="AU358" s="214" t="str">
        <f t="shared" si="5296"/>
        <v>n/a</v>
      </c>
      <c r="AV358" s="225" t="str">
        <f t="shared" si="5296"/>
        <v>n/a</v>
      </c>
      <c r="AW358" s="225" t="str">
        <f t="shared" si="5296"/>
        <v>n/a</v>
      </c>
      <c r="AX358" s="225" t="str">
        <f t="shared" si="5296"/>
        <v>n/a</v>
      </c>
      <c r="AY358" s="225" t="str">
        <f t="shared" si="5296"/>
        <v>n/a</v>
      </c>
      <c r="AZ358" s="225" t="str">
        <f t="shared" si="5296"/>
        <v>n/a</v>
      </c>
      <c r="BA358" s="225" t="str">
        <f t="shared" si="5296"/>
        <v>n/a</v>
      </c>
      <c r="BB358" s="225" t="str">
        <f t="shared" si="5296"/>
        <v>n/a</v>
      </c>
      <c r="BC358" s="225" t="str">
        <f t="shared" ref="BC358:CH358" si="5297">++IFERROR(BC356/AQ356-1,"n/a")</f>
        <v>n/a</v>
      </c>
      <c r="BD358" s="225" t="str">
        <f t="shared" si="5297"/>
        <v>n/a</v>
      </c>
      <c r="BE358" s="225" t="str">
        <f t="shared" si="5297"/>
        <v>n/a</v>
      </c>
      <c r="BF358" s="225" t="str">
        <f t="shared" si="5297"/>
        <v>n/a</v>
      </c>
      <c r="BG358" s="214" t="str">
        <f t="shared" si="5297"/>
        <v>n/a</v>
      </c>
      <c r="BH358" s="225" t="str">
        <f t="shared" si="5297"/>
        <v>n/a</v>
      </c>
      <c r="BI358" s="225" t="str">
        <f t="shared" si="5297"/>
        <v>n/a</v>
      </c>
      <c r="BJ358" s="225" t="str">
        <f t="shared" si="5297"/>
        <v>n/a</v>
      </c>
      <c r="BK358" s="225" t="str">
        <f t="shared" si="5297"/>
        <v>n/a</v>
      </c>
      <c r="BL358" s="225" t="str">
        <f t="shared" si="5297"/>
        <v>n/a</v>
      </c>
      <c r="BM358" s="225" t="str">
        <f t="shared" si="5297"/>
        <v>n/a</v>
      </c>
      <c r="BN358" s="225" t="str">
        <f t="shared" si="5297"/>
        <v>n/a</v>
      </c>
      <c r="BO358" s="225" t="str">
        <f t="shared" si="5297"/>
        <v>n/a</v>
      </c>
      <c r="BP358" s="225" t="str">
        <f t="shared" si="5297"/>
        <v>n/a</v>
      </c>
      <c r="BQ358" s="225" t="str">
        <f t="shared" si="5297"/>
        <v>n/a</v>
      </c>
      <c r="BR358" s="225" t="str">
        <f t="shared" si="5297"/>
        <v>n/a</v>
      </c>
      <c r="BS358" s="214" t="str">
        <f t="shared" si="5297"/>
        <v>n/a</v>
      </c>
      <c r="BT358" s="225" t="str">
        <f t="shared" si="5297"/>
        <v>n/a</v>
      </c>
      <c r="BU358" s="225" t="str">
        <f t="shared" si="5297"/>
        <v>n/a</v>
      </c>
      <c r="BV358" s="225" t="str">
        <f t="shared" si="5297"/>
        <v>n/a</v>
      </c>
      <c r="BW358" s="225" t="str">
        <f t="shared" si="5297"/>
        <v>n/a</v>
      </c>
      <c r="BX358" s="225" t="str">
        <f t="shared" si="5297"/>
        <v>n/a</v>
      </c>
      <c r="BY358" s="225" t="str">
        <f t="shared" si="5297"/>
        <v>n/a</v>
      </c>
      <c r="BZ358" s="225" t="str">
        <f t="shared" si="5297"/>
        <v>n/a</v>
      </c>
      <c r="CA358" s="225" t="str">
        <f t="shared" si="5297"/>
        <v>n/a</v>
      </c>
      <c r="CB358" s="225" t="str">
        <f t="shared" si="5297"/>
        <v>n/a</v>
      </c>
      <c r="CC358" s="225" t="str">
        <f t="shared" si="5297"/>
        <v>n/a</v>
      </c>
      <c r="CD358" s="225" t="str">
        <f t="shared" si="5297"/>
        <v>n/a</v>
      </c>
      <c r="CE358" s="214" t="str">
        <f t="shared" si="5297"/>
        <v>n/a</v>
      </c>
      <c r="CF358" s="225" t="str">
        <f t="shared" si="5297"/>
        <v>n/a</v>
      </c>
      <c r="CG358" s="225" t="str">
        <f t="shared" si="5297"/>
        <v>n/a</v>
      </c>
      <c r="CH358" s="225" t="str">
        <f t="shared" si="5297"/>
        <v>n/a</v>
      </c>
      <c r="CI358" s="225" t="str">
        <f t="shared" ref="CI358:DN358" si="5298">++IFERROR(CI356/BW356-1,"n/a")</f>
        <v>n/a</v>
      </c>
      <c r="CJ358" s="225" t="str">
        <f t="shared" si="5298"/>
        <v>n/a</v>
      </c>
      <c r="CK358" s="225" t="str">
        <f t="shared" si="5298"/>
        <v>n/a</v>
      </c>
      <c r="CL358" s="225" t="str">
        <f t="shared" si="5298"/>
        <v>n/a</v>
      </c>
      <c r="CM358" s="225" t="str">
        <f t="shared" si="5298"/>
        <v>n/a</v>
      </c>
      <c r="CN358" s="225" t="str">
        <f t="shared" si="5298"/>
        <v>n/a</v>
      </c>
      <c r="CO358" s="225" t="str">
        <f t="shared" si="5298"/>
        <v>n/a</v>
      </c>
      <c r="CP358" s="225" t="str">
        <f t="shared" si="5298"/>
        <v>n/a</v>
      </c>
      <c r="CQ358" s="214" t="str">
        <f t="shared" si="5298"/>
        <v>n/a</v>
      </c>
      <c r="CR358" s="225" t="str">
        <f t="shared" si="5298"/>
        <v>n/a</v>
      </c>
      <c r="CS358" s="225" t="str">
        <f t="shared" si="5298"/>
        <v>n/a</v>
      </c>
      <c r="CT358" s="225" t="str">
        <f t="shared" si="5298"/>
        <v>n/a</v>
      </c>
      <c r="CU358" s="225" t="str">
        <f t="shared" si="5298"/>
        <v>n/a</v>
      </c>
      <c r="CV358" s="225" t="str">
        <f t="shared" si="5298"/>
        <v>n/a</v>
      </c>
      <c r="CW358" s="225" t="str">
        <f t="shared" si="5298"/>
        <v>n/a</v>
      </c>
      <c r="CX358" s="225" t="str">
        <f t="shared" si="5298"/>
        <v>n/a</v>
      </c>
      <c r="CY358" s="225" t="str">
        <f t="shared" si="5298"/>
        <v>n/a</v>
      </c>
      <c r="CZ358" s="225" t="str">
        <f t="shared" si="5298"/>
        <v>n/a</v>
      </c>
      <c r="DA358" s="225" t="str">
        <f t="shared" si="5298"/>
        <v>n/a</v>
      </c>
      <c r="DB358" s="225" t="str">
        <f t="shared" si="5298"/>
        <v>n/a</v>
      </c>
      <c r="DC358" s="214" t="str">
        <f t="shared" si="5298"/>
        <v>n/a</v>
      </c>
    </row>
    <row r="359" spans="3:107" x14ac:dyDescent="0.3">
      <c r="G359" s="203"/>
      <c r="K359" s="203"/>
      <c r="W359" s="203"/>
      <c r="AI359" s="203"/>
      <c r="AU359" s="203"/>
      <c r="BG359" s="203"/>
      <c r="BS359" s="203"/>
      <c r="CE359" s="203"/>
      <c r="CQ359" s="203"/>
      <c r="DC359" s="203"/>
    </row>
    <row r="360" spans="3:107" x14ac:dyDescent="0.3">
      <c r="C360" s="101" t="str">
        <f>++C$17</f>
        <v>[Operating Expense]</v>
      </c>
      <c r="G360" s="45">
        <f>++G66</f>
        <v>0</v>
      </c>
      <c r="H360" s="45">
        <f t="shared" ref="H360:BS363" si="5299">++H66</f>
        <v>0</v>
      </c>
      <c r="I360" s="45">
        <f t="shared" si="5299"/>
        <v>0</v>
      </c>
      <c r="J360" s="45">
        <f t="shared" si="5299"/>
        <v>0</v>
      </c>
      <c r="K360" s="45">
        <f t="shared" si="5299"/>
        <v>0</v>
      </c>
      <c r="L360" s="45">
        <f t="shared" si="5299"/>
        <v>0</v>
      </c>
      <c r="M360" s="45">
        <f t="shared" si="5299"/>
        <v>0</v>
      </c>
      <c r="N360" s="45">
        <f t="shared" si="5299"/>
        <v>0</v>
      </c>
      <c r="O360" s="45">
        <f t="shared" si="5299"/>
        <v>0</v>
      </c>
      <c r="P360" s="45">
        <f t="shared" si="5299"/>
        <v>0</v>
      </c>
      <c r="Q360" s="45">
        <f t="shared" si="5299"/>
        <v>0</v>
      </c>
      <c r="R360" s="45">
        <f t="shared" si="5299"/>
        <v>0</v>
      </c>
      <c r="S360" s="45">
        <f t="shared" si="5299"/>
        <v>0</v>
      </c>
      <c r="T360" s="45">
        <f t="shared" si="5299"/>
        <v>0</v>
      </c>
      <c r="U360" s="45">
        <f t="shared" si="5299"/>
        <v>0</v>
      </c>
      <c r="V360" s="45">
        <f t="shared" si="5299"/>
        <v>0</v>
      </c>
      <c r="W360" s="45">
        <f t="shared" si="5299"/>
        <v>0</v>
      </c>
      <c r="X360" s="45">
        <f t="shared" si="5299"/>
        <v>0</v>
      </c>
      <c r="Y360" s="45">
        <f t="shared" si="5299"/>
        <v>0</v>
      </c>
      <c r="Z360" s="45">
        <f t="shared" si="5299"/>
        <v>0</v>
      </c>
      <c r="AA360" s="45">
        <f t="shared" si="5299"/>
        <v>0</v>
      </c>
      <c r="AB360" s="45">
        <f t="shared" si="5299"/>
        <v>0</v>
      </c>
      <c r="AC360" s="45">
        <f t="shared" si="5299"/>
        <v>0</v>
      </c>
      <c r="AD360" s="45">
        <f t="shared" si="5299"/>
        <v>0</v>
      </c>
      <c r="AE360" s="45">
        <f t="shared" si="5299"/>
        <v>0</v>
      </c>
      <c r="AF360" s="45">
        <f t="shared" si="5299"/>
        <v>0</v>
      </c>
      <c r="AG360" s="45">
        <f t="shared" si="5299"/>
        <v>0</v>
      </c>
      <c r="AH360" s="45">
        <f t="shared" si="5299"/>
        <v>0</v>
      </c>
      <c r="AI360" s="45">
        <f t="shared" si="5299"/>
        <v>0</v>
      </c>
      <c r="AJ360" s="45">
        <f t="shared" si="5299"/>
        <v>0</v>
      </c>
      <c r="AK360" s="45">
        <f t="shared" si="5299"/>
        <v>0</v>
      </c>
      <c r="AL360" s="45">
        <f t="shared" si="5299"/>
        <v>0</v>
      </c>
      <c r="AM360" s="45">
        <f t="shared" si="5299"/>
        <v>0</v>
      </c>
      <c r="AN360" s="45">
        <f t="shared" si="5299"/>
        <v>0</v>
      </c>
      <c r="AO360" s="45">
        <f t="shared" si="5299"/>
        <v>0</v>
      </c>
      <c r="AP360" s="45">
        <f t="shared" si="5299"/>
        <v>0</v>
      </c>
      <c r="AQ360" s="45">
        <f t="shared" si="5299"/>
        <v>0</v>
      </c>
      <c r="AR360" s="45">
        <f t="shared" si="5299"/>
        <v>0</v>
      </c>
      <c r="AS360" s="45">
        <f t="shared" si="5299"/>
        <v>0</v>
      </c>
      <c r="AT360" s="45">
        <f t="shared" si="5299"/>
        <v>0</v>
      </c>
      <c r="AU360" s="45">
        <f t="shared" si="5299"/>
        <v>0</v>
      </c>
      <c r="AV360" s="45">
        <f t="shared" si="5299"/>
        <v>0</v>
      </c>
      <c r="AW360" s="45">
        <f t="shared" si="5299"/>
        <v>0</v>
      </c>
      <c r="AX360" s="45">
        <f t="shared" si="5299"/>
        <v>0</v>
      </c>
      <c r="AY360" s="45">
        <f t="shared" si="5299"/>
        <v>0</v>
      </c>
      <c r="AZ360" s="45">
        <f t="shared" si="5299"/>
        <v>0</v>
      </c>
      <c r="BA360" s="45">
        <f t="shared" si="5299"/>
        <v>0</v>
      </c>
      <c r="BB360" s="45">
        <f t="shared" si="5299"/>
        <v>0</v>
      </c>
      <c r="BC360" s="45">
        <f t="shared" si="5299"/>
        <v>0</v>
      </c>
      <c r="BD360" s="45">
        <f t="shared" si="5299"/>
        <v>0</v>
      </c>
      <c r="BE360" s="45">
        <f t="shared" si="5299"/>
        <v>0</v>
      </c>
      <c r="BF360" s="45">
        <f t="shared" si="5299"/>
        <v>0</v>
      </c>
      <c r="BG360" s="45">
        <f t="shared" si="5299"/>
        <v>0</v>
      </c>
      <c r="BH360" s="45">
        <f t="shared" si="5299"/>
        <v>0</v>
      </c>
      <c r="BI360" s="45">
        <f t="shared" si="5299"/>
        <v>0</v>
      </c>
      <c r="BJ360" s="45">
        <f t="shared" si="5299"/>
        <v>0</v>
      </c>
      <c r="BK360" s="45">
        <f t="shared" si="5299"/>
        <v>0</v>
      </c>
      <c r="BL360" s="45">
        <f t="shared" si="5299"/>
        <v>0</v>
      </c>
      <c r="BM360" s="45">
        <f t="shared" si="5299"/>
        <v>0</v>
      </c>
      <c r="BN360" s="45">
        <f t="shared" si="5299"/>
        <v>0</v>
      </c>
      <c r="BO360" s="45">
        <f t="shared" si="5299"/>
        <v>0</v>
      </c>
      <c r="BP360" s="45">
        <f t="shared" si="5299"/>
        <v>0</v>
      </c>
      <c r="BQ360" s="45">
        <f t="shared" si="5299"/>
        <v>0</v>
      </c>
      <c r="BR360" s="45">
        <f t="shared" si="5299"/>
        <v>0</v>
      </c>
      <c r="BS360" s="45">
        <f t="shared" si="5299"/>
        <v>0</v>
      </c>
      <c r="BT360" s="45">
        <f t="shared" ref="BT360:DC360" si="5300">++BT66</f>
        <v>0</v>
      </c>
      <c r="BU360" s="45">
        <f t="shared" si="5300"/>
        <v>0</v>
      </c>
      <c r="BV360" s="45">
        <f t="shared" si="5300"/>
        <v>0</v>
      </c>
      <c r="BW360" s="45">
        <f t="shared" si="5300"/>
        <v>0</v>
      </c>
      <c r="BX360" s="45">
        <f t="shared" si="5300"/>
        <v>0</v>
      </c>
      <c r="BY360" s="45">
        <f t="shared" si="5300"/>
        <v>0</v>
      </c>
      <c r="BZ360" s="45">
        <f t="shared" si="5300"/>
        <v>0</v>
      </c>
      <c r="CA360" s="45">
        <f t="shared" si="5300"/>
        <v>0</v>
      </c>
      <c r="CB360" s="45">
        <f t="shared" si="5300"/>
        <v>0</v>
      </c>
      <c r="CC360" s="45">
        <f t="shared" si="5300"/>
        <v>0</v>
      </c>
      <c r="CD360" s="45">
        <f t="shared" si="5300"/>
        <v>0</v>
      </c>
      <c r="CE360" s="45">
        <f t="shared" si="5300"/>
        <v>0</v>
      </c>
      <c r="CF360" s="45">
        <f t="shared" si="5300"/>
        <v>0</v>
      </c>
      <c r="CG360" s="45">
        <f t="shared" si="5300"/>
        <v>0</v>
      </c>
      <c r="CH360" s="45">
        <f t="shared" si="5300"/>
        <v>0</v>
      </c>
      <c r="CI360" s="45">
        <f t="shared" si="5300"/>
        <v>0</v>
      </c>
      <c r="CJ360" s="45">
        <f t="shared" si="5300"/>
        <v>0</v>
      </c>
      <c r="CK360" s="45">
        <f t="shared" si="5300"/>
        <v>0</v>
      </c>
      <c r="CL360" s="45">
        <f t="shared" si="5300"/>
        <v>0</v>
      </c>
      <c r="CM360" s="45">
        <f t="shared" si="5300"/>
        <v>0</v>
      </c>
      <c r="CN360" s="45">
        <f t="shared" si="5300"/>
        <v>0</v>
      </c>
      <c r="CO360" s="45">
        <f t="shared" si="5300"/>
        <v>0</v>
      </c>
      <c r="CP360" s="45">
        <f t="shared" si="5300"/>
        <v>0</v>
      </c>
      <c r="CQ360" s="45">
        <f t="shared" si="5300"/>
        <v>0</v>
      </c>
      <c r="CR360" s="45">
        <f t="shared" si="5300"/>
        <v>0</v>
      </c>
      <c r="CS360" s="45">
        <f t="shared" si="5300"/>
        <v>0</v>
      </c>
      <c r="CT360" s="45">
        <f t="shared" si="5300"/>
        <v>0</v>
      </c>
      <c r="CU360" s="45">
        <f t="shared" si="5300"/>
        <v>0</v>
      </c>
      <c r="CV360" s="45">
        <f t="shared" si="5300"/>
        <v>0</v>
      </c>
      <c r="CW360" s="45">
        <f t="shared" si="5300"/>
        <v>0</v>
      </c>
      <c r="CX360" s="45">
        <f t="shared" si="5300"/>
        <v>0</v>
      </c>
      <c r="CY360" s="45">
        <f t="shared" si="5300"/>
        <v>0</v>
      </c>
      <c r="CZ360" s="45">
        <f t="shared" si="5300"/>
        <v>0</v>
      </c>
      <c r="DA360" s="45">
        <f t="shared" si="5300"/>
        <v>0</v>
      </c>
      <c r="DB360" s="45">
        <f t="shared" si="5300"/>
        <v>0</v>
      </c>
      <c r="DC360" s="45">
        <f t="shared" si="5300"/>
        <v>0</v>
      </c>
    </row>
    <row r="361" spans="3:107" x14ac:dyDescent="0.3">
      <c r="C361" s="101" t="str">
        <f>++C$18</f>
        <v>[Operating Expense]</v>
      </c>
      <c r="G361" s="45">
        <f>++G67</f>
        <v>0</v>
      </c>
      <c r="H361" s="45">
        <f t="shared" si="5299"/>
        <v>0</v>
      </c>
      <c r="I361" s="45">
        <f t="shared" si="5299"/>
        <v>0</v>
      </c>
      <c r="J361" s="45">
        <f t="shared" si="5299"/>
        <v>0</v>
      </c>
      <c r="K361" s="45">
        <f t="shared" si="5299"/>
        <v>0</v>
      </c>
      <c r="L361" s="45">
        <f t="shared" si="5299"/>
        <v>0</v>
      </c>
      <c r="M361" s="45">
        <f t="shared" si="5299"/>
        <v>0</v>
      </c>
      <c r="N361" s="45">
        <f t="shared" si="5299"/>
        <v>0</v>
      </c>
      <c r="O361" s="45">
        <f t="shared" si="5299"/>
        <v>0</v>
      </c>
      <c r="P361" s="45">
        <f t="shared" si="5299"/>
        <v>0</v>
      </c>
      <c r="Q361" s="45">
        <f t="shared" si="5299"/>
        <v>0</v>
      </c>
      <c r="R361" s="45">
        <f t="shared" si="5299"/>
        <v>0</v>
      </c>
      <c r="S361" s="45">
        <f t="shared" si="5299"/>
        <v>0</v>
      </c>
      <c r="T361" s="45">
        <f t="shared" si="5299"/>
        <v>0</v>
      </c>
      <c r="U361" s="45">
        <f t="shared" si="5299"/>
        <v>0</v>
      </c>
      <c r="V361" s="45">
        <f t="shared" si="5299"/>
        <v>0</v>
      </c>
      <c r="W361" s="45">
        <f t="shared" si="5299"/>
        <v>0</v>
      </c>
      <c r="X361" s="45">
        <f t="shared" si="5299"/>
        <v>0</v>
      </c>
      <c r="Y361" s="45">
        <f t="shared" si="5299"/>
        <v>0</v>
      </c>
      <c r="Z361" s="45">
        <f t="shared" si="5299"/>
        <v>0</v>
      </c>
      <c r="AA361" s="45">
        <f t="shared" si="5299"/>
        <v>0</v>
      </c>
      <c r="AB361" s="45">
        <f t="shared" si="5299"/>
        <v>0</v>
      </c>
      <c r="AC361" s="45">
        <f t="shared" si="5299"/>
        <v>0</v>
      </c>
      <c r="AD361" s="45">
        <f t="shared" si="5299"/>
        <v>0</v>
      </c>
      <c r="AE361" s="45">
        <f t="shared" si="5299"/>
        <v>0</v>
      </c>
      <c r="AF361" s="45">
        <f t="shared" si="5299"/>
        <v>0</v>
      </c>
      <c r="AG361" s="45">
        <f t="shared" si="5299"/>
        <v>0</v>
      </c>
      <c r="AH361" s="45">
        <f t="shared" si="5299"/>
        <v>0</v>
      </c>
      <c r="AI361" s="45">
        <f t="shared" si="5299"/>
        <v>0</v>
      </c>
      <c r="AJ361" s="45">
        <f t="shared" si="5299"/>
        <v>0</v>
      </c>
      <c r="AK361" s="45">
        <f t="shared" si="5299"/>
        <v>0</v>
      </c>
      <c r="AL361" s="45">
        <f t="shared" si="5299"/>
        <v>0</v>
      </c>
      <c r="AM361" s="45">
        <f t="shared" si="5299"/>
        <v>0</v>
      </c>
      <c r="AN361" s="45">
        <f t="shared" si="5299"/>
        <v>0</v>
      </c>
      <c r="AO361" s="45">
        <f t="shared" si="5299"/>
        <v>0</v>
      </c>
      <c r="AP361" s="45">
        <f t="shared" si="5299"/>
        <v>0</v>
      </c>
      <c r="AQ361" s="45">
        <f t="shared" si="5299"/>
        <v>0</v>
      </c>
      <c r="AR361" s="45">
        <f t="shared" si="5299"/>
        <v>0</v>
      </c>
      <c r="AS361" s="45">
        <f t="shared" si="5299"/>
        <v>0</v>
      </c>
      <c r="AT361" s="45">
        <f t="shared" si="5299"/>
        <v>0</v>
      </c>
      <c r="AU361" s="45">
        <f t="shared" si="5299"/>
        <v>0</v>
      </c>
      <c r="AV361" s="45">
        <f t="shared" si="5299"/>
        <v>0</v>
      </c>
      <c r="AW361" s="45">
        <f t="shared" si="5299"/>
        <v>0</v>
      </c>
      <c r="AX361" s="45">
        <f t="shared" si="5299"/>
        <v>0</v>
      </c>
      <c r="AY361" s="45">
        <f t="shared" si="5299"/>
        <v>0</v>
      </c>
      <c r="AZ361" s="45">
        <f t="shared" si="5299"/>
        <v>0</v>
      </c>
      <c r="BA361" s="45">
        <f t="shared" si="5299"/>
        <v>0</v>
      </c>
      <c r="BB361" s="45">
        <f t="shared" si="5299"/>
        <v>0</v>
      </c>
      <c r="BC361" s="45">
        <f t="shared" si="5299"/>
        <v>0</v>
      </c>
      <c r="BD361" s="45">
        <f t="shared" si="5299"/>
        <v>0</v>
      </c>
      <c r="BE361" s="45">
        <f t="shared" si="5299"/>
        <v>0</v>
      </c>
      <c r="BF361" s="45">
        <f t="shared" si="5299"/>
        <v>0</v>
      </c>
      <c r="BG361" s="45">
        <f t="shared" si="5299"/>
        <v>0</v>
      </c>
      <c r="BH361" s="45">
        <f t="shared" si="5299"/>
        <v>0</v>
      </c>
      <c r="BI361" s="45">
        <f t="shared" si="5299"/>
        <v>0</v>
      </c>
      <c r="BJ361" s="45">
        <f t="shared" si="5299"/>
        <v>0</v>
      </c>
      <c r="BK361" s="45">
        <f t="shared" si="5299"/>
        <v>0</v>
      </c>
      <c r="BL361" s="45">
        <f t="shared" si="5299"/>
        <v>0</v>
      </c>
      <c r="BM361" s="45">
        <f t="shared" si="5299"/>
        <v>0</v>
      </c>
      <c r="BN361" s="45">
        <f t="shared" si="5299"/>
        <v>0</v>
      </c>
      <c r="BO361" s="45">
        <f t="shared" si="5299"/>
        <v>0</v>
      </c>
      <c r="BP361" s="45">
        <f t="shared" si="5299"/>
        <v>0</v>
      </c>
      <c r="BQ361" s="45">
        <f t="shared" si="5299"/>
        <v>0</v>
      </c>
      <c r="BR361" s="45">
        <f t="shared" si="5299"/>
        <v>0</v>
      </c>
      <c r="BS361" s="45">
        <f t="shared" si="5299"/>
        <v>0</v>
      </c>
      <c r="BT361" s="45">
        <f t="shared" ref="BT361:DC361" si="5301">++BT67</f>
        <v>0</v>
      </c>
      <c r="BU361" s="45">
        <f t="shared" si="5301"/>
        <v>0</v>
      </c>
      <c r="BV361" s="45">
        <f t="shared" si="5301"/>
        <v>0</v>
      </c>
      <c r="BW361" s="45">
        <f t="shared" si="5301"/>
        <v>0</v>
      </c>
      <c r="BX361" s="45">
        <f t="shared" si="5301"/>
        <v>0</v>
      </c>
      <c r="BY361" s="45">
        <f t="shared" si="5301"/>
        <v>0</v>
      </c>
      <c r="BZ361" s="45">
        <f t="shared" si="5301"/>
        <v>0</v>
      </c>
      <c r="CA361" s="45">
        <f t="shared" si="5301"/>
        <v>0</v>
      </c>
      <c r="CB361" s="45">
        <f t="shared" si="5301"/>
        <v>0</v>
      </c>
      <c r="CC361" s="45">
        <f t="shared" si="5301"/>
        <v>0</v>
      </c>
      <c r="CD361" s="45">
        <f t="shared" si="5301"/>
        <v>0</v>
      </c>
      <c r="CE361" s="45">
        <f t="shared" si="5301"/>
        <v>0</v>
      </c>
      <c r="CF361" s="45">
        <f t="shared" si="5301"/>
        <v>0</v>
      </c>
      <c r="CG361" s="45">
        <f t="shared" si="5301"/>
        <v>0</v>
      </c>
      <c r="CH361" s="45">
        <f t="shared" si="5301"/>
        <v>0</v>
      </c>
      <c r="CI361" s="45">
        <f t="shared" si="5301"/>
        <v>0</v>
      </c>
      <c r="CJ361" s="45">
        <f t="shared" si="5301"/>
        <v>0</v>
      </c>
      <c r="CK361" s="45">
        <f t="shared" si="5301"/>
        <v>0</v>
      </c>
      <c r="CL361" s="45">
        <f t="shared" si="5301"/>
        <v>0</v>
      </c>
      <c r="CM361" s="45">
        <f t="shared" si="5301"/>
        <v>0</v>
      </c>
      <c r="CN361" s="45">
        <f t="shared" si="5301"/>
        <v>0</v>
      </c>
      <c r="CO361" s="45">
        <f t="shared" si="5301"/>
        <v>0</v>
      </c>
      <c r="CP361" s="45">
        <f t="shared" si="5301"/>
        <v>0</v>
      </c>
      <c r="CQ361" s="45">
        <f t="shared" si="5301"/>
        <v>0</v>
      </c>
      <c r="CR361" s="45">
        <f t="shared" si="5301"/>
        <v>0</v>
      </c>
      <c r="CS361" s="45">
        <f t="shared" si="5301"/>
        <v>0</v>
      </c>
      <c r="CT361" s="45">
        <f t="shared" si="5301"/>
        <v>0</v>
      </c>
      <c r="CU361" s="45">
        <f t="shared" si="5301"/>
        <v>0</v>
      </c>
      <c r="CV361" s="45">
        <f t="shared" si="5301"/>
        <v>0</v>
      </c>
      <c r="CW361" s="45">
        <f t="shared" si="5301"/>
        <v>0</v>
      </c>
      <c r="CX361" s="45">
        <f t="shared" si="5301"/>
        <v>0</v>
      </c>
      <c r="CY361" s="45">
        <f t="shared" si="5301"/>
        <v>0</v>
      </c>
      <c r="CZ361" s="45">
        <f t="shared" si="5301"/>
        <v>0</v>
      </c>
      <c r="DA361" s="45">
        <f t="shared" si="5301"/>
        <v>0</v>
      </c>
      <c r="DB361" s="45">
        <f t="shared" si="5301"/>
        <v>0</v>
      </c>
      <c r="DC361" s="45">
        <f t="shared" si="5301"/>
        <v>0</v>
      </c>
    </row>
    <row r="362" spans="3:107" x14ac:dyDescent="0.3">
      <c r="C362" s="101" t="str">
        <f>++C$19</f>
        <v>[Operating Expense]</v>
      </c>
      <c r="G362" s="45">
        <f>++G68</f>
        <v>0</v>
      </c>
      <c r="H362" s="45">
        <f t="shared" si="5299"/>
        <v>0</v>
      </c>
      <c r="I362" s="45">
        <f t="shared" si="5299"/>
        <v>0</v>
      </c>
      <c r="J362" s="45">
        <f t="shared" si="5299"/>
        <v>0</v>
      </c>
      <c r="K362" s="45">
        <f t="shared" si="5299"/>
        <v>0</v>
      </c>
      <c r="L362" s="45">
        <f t="shared" si="5299"/>
        <v>0</v>
      </c>
      <c r="M362" s="45">
        <f t="shared" si="5299"/>
        <v>0</v>
      </c>
      <c r="N362" s="45">
        <f t="shared" si="5299"/>
        <v>0</v>
      </c>
      <c r="O362" s="45">
        <f t="shared" si="5299"/>
        <v>0</v>
      </c>
      <c r="P362" s="45">
        <f t="shared" si="5299"/>
        <v>0</v>
      </c>
      <c r="Q362" s="45">
        <f t="shared" si="5299"/>
        <v>0</v>
      </c>
      <c r="R362" s="45">
        <f t="shared" si="5299"/>
        <v>0</v>
      </c>
      <c r="S362" s="45">
        <f t="shared" si="5299"/>
        <v>0</v>
      </c>
      <c r="T362" s="45">
        <f t="shared" si="5299"/>
        <v>0</v>
      </c>
      <c r="U362" s="45">
        <f t="shared" si="5299"/>
        <v>0</v>
      </c>
      <c r="V362" s="45">
        <f t="shared" si="5299"/>
        <v>0</v>
      </c>
      <c r="W362" s="45">
        <f t="shared" si="5299"/>
        <v>0</v>
      </c>
      <c r="X362" s="45">
        <f t="shared" si="5299"/>
        <v>0</v>
      </c>
      <c r="Y362" s="45">
        <f t="shared" si="5299"/>
        <v>0</v>
      </c>
      <c r="Z362" s="45">
        <f t="shared" si="5299"/>
        <v>0</v>
      </c>
      <c r="AA362" s="45">
        <f t="shared" si="5299"/>
        <v>0</v>
      </c>
      <c r="AB362" s="45">
        <f t="shared" si="5299"/>
        <v>0</v>
      </c>
      <c r="AC362" s="45">
        <f t="shared" si="5299"/>
        <v>0</v>
      </c>
      <c r="AD362" s="45">
        <f t="shared" si="5299"/>
        <v>0</v>
      </c>
      <c r="AE362" s="45">
        <f t="shared" si="5299"/>
        <v>0</v>
      </c>
      <c r="AF362" s="45">
        <f t="shared" si="5299"/>
        <v>0</v>
      </c>
      <c r="AG362" s="45">
        <f t="shared" si="5299"/>
        <v>0</v>
      </c>
      <c r="AH362" s="45">
        <f t="shared" si="5299"/>
        <v>0</v>
      </c>
      <c r="AI362" s="45">
        <f t="shared" si="5299"/>
        <v>0</v>
      </c>
      <c r="AJ362" s="45">
        <f t="shared" si="5299"/>
        <v>0</v>
      </c>
      <c r="AK362" s="45">
        <f t="shared" si="5299"/>
        <v>0</v>
      </c>
      <c r="AL362" s="45">
        <f t="shared" si="5299"/>
        <v>0</v>
      </c>
      <c r="AM362" s="45">
        <f t="shared" si="5299"/>
        <v>0</v>
      </c>
      <c r="AN362" s="45">
        <f t="shared" si="5299"/>
        <v>0</v>
      </c>
      <c r="AO362" s="45">
        <f t="shared" si="5299"/>
        <v>0</v>
      </c>
      <c r="AP362" s="45">
        <f t="shared" si="5299"/>
        <v>0</v>
      </c>
      <c r="AQ362" s="45">
        <f t="shared" si="5299"/>
        <v>0</v>
      </c>
      <c r="AR362" s="45">
        <f t="shared" si="5299"/>
        <v>0</v>
      </c>
      <c r="AS362" s="45">
        <f t="shared" si="5299"/>
        <v>0</v>
      </c>
      <c r="AT362" s="45">
        <f t="shared" si="5299"/>
        <v>0</v>
      </c>
      <c r="AU362" s="45">
        <f t="shared" si="5299"/>
        <v>0</v>
      </c>
      <c r="AV362" s="45">
        <f t="shared" si="5299"/>
        <v>0</v>
      </c>
      <c r="AW362" s="45">
        <f t="shared" si="5299"/>
        <v>0</v>
      </c>
      <c r="AX362" s="45">
        <f t="shared" si="5299"/>
        <v>0</v>
      </c>
      <c r="AY362" s="45">
        <f t="shared" si="5299"/>
        <v>0</v>
      </c>
      <c r="AZ362" s="45">
        <f t="shared" si="5299"/>
        <v>0</v>
      </c>
      <c r="BA362" s="45">
        <f t="shared" si="5299"/>
        <v>0</v>
      </c>
      <c r="BB362" s="45">
        <f t="shared" si="5299"/>
        <v>0</v>
      </c>
      <c r="BC362" s="45">
        <f t="shared" si="5299"/>
        <v>0</v>
      </c>
      <c r="BD362" s="45">
        <f t="shared" si="5299"/>
        <v>0</v>
      </c>
      <c r="BE362" s="45">
        <f t="shared" si="5299"/>
        <v>0</v>
      </c>
      <c r="BF362" s="45">
        <f t="shared" si="5299"/>
        <v>0</v>
      </c>
      <c r="BG362" s="45">
        <f t="shared" si="5299"/>
        <v>0</v>
      </c>
      <c r="BH362" s="45">
        <f t="shared" si="5299"/>
        <v>0</v>
      </c>
      <c r="BI362" s="45">
        <f t="shared" si="5299"/>
        <v>0</v>
      </c>
      <c r="BJ362" s="45">
        <f t="shared" si="5299"/>
        <v>0</v>
      </c>
      <c r="BK362" s="45">
        <f t="shared" si="5299"/>
        <v>0</v>
      </c>
      <c r="BL362" s="45">
        <f t="shared" si="5299"/>
        <v>0</v>
      </c>
      <c r="BM362" s="45">
        <f t="shared" si="5299"/>
        <v>0</v>
      </c>
      <c r="BN362" s="45">
        <f t="shared" si="5299"/>
        <v>0</v>
      </c>
      <c r="BO362" s="45">
        <f t="shared" si="5299"/>
        <v>0</v>
      </c>
      <c r="BP362" s="45">
        <f t="shared" si="5299"/>
        <v>0</v>
      </c>
      <c r="BQ362" s="45">
        <f t="shared" si="5299"/>
        <v>0</v>
      </c>
      <c r="BR362" s="45">
        <f t="shared" si="5299"/>
        <v>0</v>
      </c>
      <c r="BS362" s="45">
        <f t="shared" si="5299"/>
        <v>0</v>
      </c>
      <c r="BT362" s="45">
        <f t="shared" ref="BT362:DC362" si="5302">++BT68</f>
        <v>0</v>
      </c>
      <c r="BU362" s="45">
        <f t="shared" si="5302"/>
        <v>0</v>
      </c>
      <c r="BV362" s="45">
        <f t="shared" si="5302"/>
        <v>0</v>
      </c>
      <c r="BW362" s="45">
        <f t="shared" si="5302"/>
        <v>0</v>
      </c>
      <c r="BX362" s="45">
        <f t="shared" si="5302"/>
        <v>0</v>
      </c>
      <c r="BY362" s="45">
        <f t="shared" si="5302"/>
        <v>0</v>
      </c>
      <c r="BZ362" s="45">
        <f t="shared" si="5302"/>
        <v>0</v>
      </c>
      <c r="CA362" s="45">
        <f t="shared" si="5302"/>
        <v>0</v>
      </c>
      <c r="CB362" s="45">
        <f t="shared" si="5302"/>
        <v>0</v>
      </c>
      <c r="CC362" s="45">
        <f t="shared" si="5302"/>
        <v>0</v>
      </c>
      <c r="CD362" s="45">
        <f t="shared" si="5302"/>
        <v>0</v>
      </c>
      <c r="CE362" s="45">
        <f t="shared" si="5302"/>
        <v>0</v>
      </c>
      <c r="CF362" s="45">
        <f t="shared" si="5302"/>
        <v>0</v>
      </c>
      <c r="CG362" s="45">
        <f t="shared" si="5302"/>
        <v>0</v>
      </c>
      <c r="CH362" s="45">
        <f t="shared" si="5302"/>
        <v>0</v>
      </c>
      <c r="CI362" s="45">
        <f t="shared" si="5302"/>
        <v>0</v>
      </c>
      <c r="CJ362" s="45">
        <f t="shared" si="5302"/>
        <v>0</v>
      </c>
      <c r="CK362" s="45">
        <f t="shared" si="5302"/>
        <v>0</v>
      </c>
      <c r="CL362" s="45">
        <f t="shared" si="5302"/>
        <v>0</v>
      </c>
      <c r="CM362" s="45">
        <f t="shared" si="5302"/>
        <v>0</v>
      </c>
      <c r="CN362" s="45">
        <f t="shared" si="5302"/>
        <v>0</v>
      </c>
      <c r="CO362" s="45">
        <f t="shared" si="5302"/>
        <v>0</v>
      </c>
      <c r="CP362" s="45">
        <f t="shared" si="5302"/>
        <v>0</v>
      </c>
      <c r="CQ362" s="45">
        <f t="shared" si="5302"/>
        <v>0</v>
      </c>
      <c r="CR362" s="45">
        <f t="shared" si="5302"/>
        <v>0</v>
      </c>
      <c r="CS362" s="45">
        <f t="shared" si="5302"/>
        <v>0</v>
      </c>
      <c r="CT362" s="45">
        <f t="shared" si="5302"/>
        <v>0</v>
      </c>
      <c r="CU362" s="45">
        <f t="shared" si="5302"/>
        <v>0</v>
      </c>
      <c r="CV362" s="45">
        <f t="shared" si="5302"/>
        <v>0</v>
      </c>
      <c r="CW362" s="45">
        <f t="shared" si="5302"/>
        <v>0</v>
      </c>
      <c r="CX362" s="45">
        <f t="shared" si="5302"/>
        <v>0</v>
      </c>
      <c r="CY362" s="45">
        <f t="shared" si="5302"/>
        <v>0</v>
      </c>
      <c r="CZ362" s="45">
        <f t="shared" si="5302"/>
        <v>0</v>
      </c>
      <c r="DA362" s="45">
        <f t="shared" si="5302"/>
        <v>0</v>
      </c>
      <c r="DB362" s="45">
        <f t="shared" si="5302"/>
        <v>0</v>
      </c>
      <c r="DC362" s="45">
        <f t="shared" si="5302"/>
        <v>0</v>
      </c>
    </row>
    <row r="363" spans="3:107" x14ac:dyDescent="0.3">
      <c r="C363" s="101" t="str">
        <f>++C$20</f>
        <v>Depreciation</v>
      </c>
      <c r="G363" s="45">
        <f>++G69</f>
        <v>0</v>
      </c>
      <c r="H363" s="45">
        <f t="shared" si="5299"/>
        <v>0</v>
      </c>
      <c r="I363" s="45">
        <f t="shared" si="5299"/>
        <v>0</v>
      </c>
      <c r="J363" s="45">
        <f t="shared" si="5299"/>
        <v>0</v>
      </c>
      <c r="K363" s="45">
        <f t="shared" si="5299"/>
        <v>0</v>
      </c>
      <c r="L363" s="45">
        <f t="shared" si="5299"/>
        <v>0</v>
      </c>
      <c r="M363" s="45">
        <f t="shared" si="5299"/>
        <v>0</v>
      </c>
      <c r="N363" s="45">
        <f t="shared" si="5299"/>
        <v>0</v>
      </c>
      <c r="O363" s="45">
        <f t="shared" si="5299"/>
        <v>0</v>
      </c>
      <c r="P363" s="45">
        <f t="shared" si="5299"/>
        <v>0</v>
      </c>
      <c r="Q363" s="45">
        <f t="shared" si="5299"/>
        <v>0</v>
      </c>
      <c r="R363" s="45">
        <f t="shared" si="5299"/>
        <v>0</v>
      </c>
      <c r="S363" s="45">
        <f t="shared" si="5299"/>
        <v>0</v>
      </c>
      <c r="T363" s="45">
        <f t="shared" si="5299"/>
        <v>0</v>
      </c>
      <c r="U363" s="45">
        <f t="shared" si="5299"/>
        <v>0</v>
      </c>
      <c r="V363" s="45">
        <f t="shared" si="5299"/>
        <v>0</v>
      </c>
      <c r="W363" s="45">
        <f t="shared" si="5299"/>
        <v>0</v>
      </c>
      <c r="X363" s="45">
        <f t="shared" si="5299"/>
        <v>0</v>
      </c>
      <c r="Y363" s="45">
        <f t="shared" si="5299"/>
        <v>0</v>
      </c>
      <c r="Z363" s="45">
        <f t="shared" si="5299"/>
        <v>0</v>
      </c>
      <c r="AA363" s="45">
        <f t="shared" si="5299"/>
        <v>0</v>
      </c>
      <c r="AB363" s="45">
        <f t="shared" si="5299"/>
        <v>0</v>
      </c>
      <c r="AC363" s="45">
        <f t="shared" si="5299"/>
        <v>0</v>
      </c>
      <c r="AD363" s="45">
        <f t="shared" si="5299"/>
        <v>0</v>
      </c>
      <c r="AE363" s="45">
        <f t="shared" si="5299"/>
        <v>0</v>
      </c>
      <c r="AF363" s="45">
        <f t="shared" si="5299"/>
        <v>0</v>
      </c>
      <c r="AG363" s="45">
        <f t="shared" si="5299"/>
        <v>0</v>
      </c>
      <c r="AH363" s="45">
        <f t="shared" si="5299"/>
        <v>0</v>
      </c>
      <c r="AI363" s="45">
        <f t="shared" si="5299"/>
        <v>0</v>
      </c>
      <c r="AJ363" s="45">
        <f t="shared" si="5299"/>
        <v>0</v>
      </c>
      <c r="AK363" s="45">
        <f t="shared" si="5299"/>
        <v>0</v>
      </c>
      <c r="AL363" s="45">
        <f t="shared" si="5299"/>
        <v>0</v>
      </c>
      <c r="AM363" s="45">
        <f t="shared" si="5299"/>
        <v>0</v>
      </c>
      <c r="AN363" s="45">
        <f t="shared" si="5299"/>
        <v>0</v>
      </c>
      <c r="AO363" s="45">
        <f t="shared" si="5299"/>
        <v>0</v>
      </c>
      <c r="AP363" s="45">
        <f t="shared" si="5299"/>
        <v>0</v>
      </c>
      <c r="AQ363" s="45">
        <f t="shared" si="5299"/>
        <v>0</v>
      </c>
      <c r="AR363" s="45">
        <f t="shared" si="5299"/>
        <v>0</v>
      </c>
      <c r="AS363" s="45">
        <f t="shared" si="5299"/>
        <v>0</v>
      </c>
      <c r="AT363" s="45">
        <f t="shared" si="5299"/>
        <v>0</v>
      </c>
      <c r="AU363" s="45">
        <f t="shared" si="5299"/>
        <v>0</v>
      </c>
      <c r="AV363" s="45">
        <f t="shared" si="5299"/>
        <v>0</v>
      </c>
      <c r="AW363" s="45">
        <f t="shared" si="5299"/>
        <v>0</v>
      </c>
      <c r="AX363" s="45">
        <f t="shared" si="5299"/>
        <v>0</v>
      </c>
      <c r="AY363" s="45">
        <f t="shared" si="5299"/>
        <v>0</v>
      </c>
      <c r="AZ363" s="45">
        <f t="shared" si="5299"/>
        <v>0</v>
      </c>
      <c r="BA363" s="45">
        <f t="shared" si="5299"/>
        <v>0</v>
      </c>
      <c r="BB363" s="45">
        <f t="shared" si="5299"/>
        <v>0</v>
      </c>
      <c r="BC363" s="45">
        <f t="shared" si="5299"/>
        <v>0</v>
      </c>
      <c r="BD363" s="45">
        <f t="shared" si="5299"/>
        <v>0</v>
      </c>
      <c r="BE363" s="45">
        <f t="shared" si="5299"/>
        <v>0</v>
      </c>
      <c r="BF363" s="45">
        <f t="shared" si="5299"/>
        <v>0</v>
      </c>
      <c r="BG363" s="45">
        <f t="shared" si="5299"/>
        <v>0</v>
      </c>
      <c r="BH363" s="45">
        <f t="shared" si="5299"/>
        <v>0</v>
      </c>
      <c r="BI363" s="45">
        <f t="shared" si="5299"/>
        <v>0</v>
      </c>
      <c r="BJ363" s="45">
        <f t="shared" si="5299"/>
        <v>0</v>
      </c>
      <c r="BK363" s="45">
        <f t="shared" si="5299"/>
        <v>0</v>
      </c>
      <c r="BL363" s="45">
        <f t="shared" si="5299"/>
        <v>0</v>
      </c>
      <c r="BM363" s="45">
        <f t="shared" si="5299"/>
        <v>0</v>
      </c>
      <c r="BN363" s="45">
        <f t="shared" si="5299"/>
        <v>0</v>
      </c>
      <c r="BO363" s="45">
        <f t="shared" si="5299"/>
        <v>0</v>
      </c>
      <c r="BP363" s="45">
        <f t="shared" si="5299"/>
        <v>0</v>
      </c>
      <c r="BQ363" s="45">
        <f t="shared" si="5299"/>
        <v>0</v>
      </c>
      <c r="BR363" s="45">
        <f t="shared" si="5299"/>
        <v>0</v>
      </c>
      <c r="BS363" s="45">
        <f t="shared" ref="BS363:DC363" si="5303">++BS69</f>
        <v>0</v>
      </c>
      <c r="BT363" s="45">
        <f t="shared" si="5303"/>
        <v>0</v>
      </c>
      <c r="BU363" s="45">
        <f t="shared" si="5303"/>
        <v>0</v>
      </c>
      <c r="BV363" s="45">
        <f t="shared" si="5303"/>
        <v>0</v>
      </c>
      <c r="BW363" s="45">
        <f t="shared" si="5303"/>
        <v>0</v>
      </c>
      <c r="BX363" s="45">
        <f t="shared" si="5303"/>
        <v>0</v>
      </c>
      <c r="BY363" s="45">
        <f t="shared" si="5303"/>
        <v>0</v>
      </c>
      <c r="BZ363" s="45">
        <f t="shared" si="5303"/>
        <v>0</v>
      </c>
      <c r="CA363" s="45">
        <f t="shared" si="5303"/>
        <v>0</v>
      </c>
      <c r="CB363" s="45">
        <f t="shared" si="5303"/>
        <v>0</v>
      </c>
      <c r="CC363" s="45">
        <f t="shared" si="5303"/>
        <v>0</v>
      </c>
      <c r="CD363" s="45">
        <f t="shared" si="5303"/>
        <v>0</v>
      </c>
      <c r="CE363" s="45">
        <f t="shared" si="5303"/>
        <v>0</v>
      </c>
      <c r="CF363" s="45">
        <f t="shared" si="5303"/>
        <v>0</v>
      </c>
      <c r="CG363" s="45">
        <f t="shared" si="5303"/>
        <v>0</v>
      </c>
      <c r="CH363" s="45">
        <f t="shared" si="5303"/>
        <v>0</v>
      </c>
      <c r="CI363" s="45">
        <f t="shared" si="5303"/>
        <v>0</v>
      </c>
      <c r="CJ363" s="45">
        <f t="shared" si="5303"/>
        <v>0</v>
      </c>
      <c r="CK363" s="45">
        <f t="shared" si="5303"/>
        <v>0</v>
      </c>
      <c r="CL363" s="45">
        <f t="shared" si="5303"/>
        <v>0</v>
      </c>
      <c r="CM363" s="45">
        <f t="shared" si="5303"/>
        <v>0</v>
      </c>
      <c r="CN363" s="45">
        <f t="shared" si="5303"/>
        <v>0</v>
      </c>
      <c r="CO363" s="45">
        <f t="shared" si="5303"/>
        <v>0</v>
      </c>
      <c r="CP363" s="45">
        <f t="shared" si="5303"/>
        <v>0</v>
      </c>
      <c r="CQ363" s="45">
        <f t="shared" si="5303"/>
        <v>0</v>
      </c>
      <c r="CR363" s="45">
        <f t="shared" si="5303"/>
        <v>0</v>
      </c>
      <c r="CS363" s="45">
        <f t="shared" si="5303"/>
        <v>0</v>
      </c>
      <c r="CT363" s="45">
        <f t="shared" si="5303"/>
        <v>0</v>
      </c>
      <c r="CU363" s="45">
        <f t="shared" si="5303"/>
        <v>0</v>
      </c>
      <c r="CV363" s="45">
        <f t="shared" si="5303"/>
        <v>0</v>
      </c>
      <c r="CW363" s="45">
        <f t="shared" si="5303"/>
        <v>0</v>
      </c>
      <c r="CX363" s="45">
        <f t="shared" si="5303"/>
        <v>0</v>
      </c>
      <c r="CY363" s="45">
        <f t="shared" si="5303"/>
        <v>0</v>
      </c>
      <c r="CZ363" s="45">
        <f t="shared" si="5303"/>
        <v>0</v>
      </c>
      <c r="DA363" s="45">
        <f t="shared" si="5303"/>
        <v>0</v>
      </c>
      <c r="DB363" s="45">
        <f t="shared" si="5303"/>
        <v>0</v>
      </c>
      <c r="DC363" s="45">
        <f t="shared" si="5303"/>
        <v>0</v>
      </c>
    </row>
    <row r="364" spans="3:107" x14ac:dyDescent="0.3">
      <c r="C364" s="101" t="str">
        <f>++C$21</f>
        <v>Amortization</v>
      </c>
      <c r="G364" s="45">
        <f>++G70</f>
        <v>0</v>
      </c>
      <c r="H364" s="45">
        <f t="shared" ref="H364:BS364" si="5304">++H70</f>
        <v>0</v>
      </c>
      <c r="I364" s="45">
        <f t="shared" si="5304"/>
        <v>0</v>
      </c>
      <c r="J364" s="45">
        <f t="shared" si="5304"/>
        <v>0</v>
      </c>
      <c r="K364" s="45">
        <f t="shared" si="5304"/>
        <v>0</v>
      </c>
      <c r="L364" s="45">
        <f t="shared" si="5304"/>
        <v>0</v>
      </c>
      <c r="M364" s="45">
        <f t="shared" si="5304"/>
        <v>0</v>
      </c>
      <c r="N364" s="45">
        <f t="shared" si="5304"/>
        <v>0</v>
      </c>
      <c r="O364" s="45">
        <f t="shared" si="5304"/>
        <v>0</v>
      </c>
      <c r="P364" s="45">
        <f t="shared" si="5304"/>
        <v>0</v>
      </c>
      <c r="Q364" s="45">
        <f t="shared" si="5304"/>
        <v>0</v>
      </c>
      <c r="R364" s="45">
        <f t="shared" si="5304"/>
        <v>0</v>
      </c>
      <c r="S364" s="45">
        <f t="shared" si="5304"/>
        <v>0</v>
      </c>
      <c r="T364" s="45">
        <f t="shared" si="5304"/>
        <v>0</v>
      </c>
      <c r="U364" s="45">
        <f t="shared" si="5304"/>
        <v>0</v>
      </c>
      <c r="V364" s="45">
        <f t="shared" si="5304"/>
        <v>0</v>
      </c>
      <c r="W364" s="45">
        <f t="shared" si="5304"/>
        <v>0</v>
      </c>
      <c r="X364" s="45">
        <f t="shared" si="5304"/>
        <v>0</v>
      </c>
      <c r="Y364" s="45">
        <f t="shared" si="5304"/>
        <v>0</v>
      </c>
      <c r="Z364" s="45">
        <f t="shared" si="5304"/>
        <v>0</v>
      </c>
      <c r="AA364" s="45">
        <f t="shared" si="5304"/>
        <v>0</v>
      </c>
      <c r="AB364" s="45">
        <f t="shared" si="5304"/>
        <v>0</v>
      </c>
      <c r="AC364" s="45">
        <f t="shared" si="5304"/>
        <v>0</v>
      </c>
      <c r="AD364" s="45">
        <f t="shared" si="5304"/>
        <v>0</v>
      </c>
      <c r="AE364" s="45">
        <f t="shared" si="5304"/>
        <v>0</v>
      </c>
      <c r="AF364" s="45">
        <f t="shared" si="5304"/>
        <v>0</v>
      </c>
      <c r="AG364" s="45">
        <f t="shared" si="5304"/>
        <v>0</v>
      </c>
      <c r="AH364" s="45">
        <f t="shared" si="5304"/>
        <v>0</v>
      </c>
      <c r="AI364" s="45">
        <f t="shared" si="5304"/>
        <v>0</v>
      </c>
      <c r="AJ364" s="45">
        <f t="shared" si="5304"/>
        <v>0</v>
      </c>
      <c r="AK364" s="45">
        <f t="shared" si="5304"/>
        <v>0</v>
      </c>
      <c r="AL364" s="45">
        <f t="shared" si="5304"/>
        <v>0</v>
      </c>
      <c r="AM364" s="45">
        <f t="shared" si="5304"/>
        <v>0</v>
      </c>
      <c r="AN364" s="45">
        <f t="shared" si="5304"/>
        <v>0</v>
      </c>
      <c r="AO364" s="45">
        <f t="shared" si="5304"/>
        <v>0</v>
      </c>
      <c r="AP364" s="45">
        <f t="shared" si="5304"/>
        <v>0</v>
      </c>
      <c r="AQ364" s="45">
        <f t="shared" si="5304"/>
        <v>0</v>
      </c>
      <c r="AR364" s="45">
        <f t="shared" si="5304"/>
        <v>0</v>
      </c>
      <c r="AS364" s="45">
        <f t="shared" si="5304"/>
        <v>0</v>
      </c>
      <c r="AT364" s="45">
        <f t="shared" si="5304"/>
        <v>0</v>
      </c>
      <c r="AU364" s="45">
        <f t="shared" si="5304"/>
        <v>0</v>
      </c>
      <c r="AV364" s="45">
        <f t="shared" si="5304"/>
        <v>0</v>
      </c>
      <c r="AW364" s="45">
        <f t="shared" si="5304"/>
        <v>0</v>
      </c>
      <c r="AX364" s="45">
        <f t="shared" si="5304"/>
        <v>0</v>
      </c>
      <c r="AY364" s="45">
        <f t="shared" si="5304"/>
        <v>0</v>
      </c>
      <c r="AZ364" s="45">
        <f t="shared" si="5304"/>
        <v>0</v>
      </c>
      <c r="BA364" s="45">
        <f t="shared" si="5304"/>
        <v>0</v>
      </c>
      <c r="BB364" s="45">
        <f t="shared" si="5304"/>
        <v>0</v>
      </c>
      <c r="BC364" s="45">
        <f t="shared" si="5304"/>
        <v>0</v>
      </c>
      <c r="BD364" s="45">
        <f t="shared" si="5304"/>
        <v>0</v>
      </c>
      <c r="BE364" s="45">
        <f t="shared" si="5304"/>
        <v>0</v>
      </c>
      <c r="BF364" s="45">
        <f t="shared" si="5304"/>
        <v>0</v>
      </c>
      <c r="BG364" s="45">
        <f t="shared" si="5304"/>
        <v>0</v>
      </c>
      <c r="BH364" s="45">
        <f t="shared" si="5304"/>
        <v>0</v>
      </c>
      <c r="BI364" s="45">
        <f t="shared" si="5304"/>
        <v>0</v>
      </c>
      <c r="BJ364" s="45">
        <f t="shared" si="5304"/>
        <v>0</v>
      </c>
      <c r="BK364" s="45">
        <f t="shared" si="5304"/>
        <v>0</v>
      </c>
      <c r="BL364" s="45">
        <f t="shared" si="5304"/>
        <v>0</v>
      </c>
      <c r="BM364" s="45">
        <f t="shared" si="5304"/>
        <v>0</v>
      </c>
      <c r="BN364" s="45">
        <f t="shared" si="5304"/>
        <v>0</v>
      </c>
      <c r="BO364" s="45">
        <f t="shared" si="5304"/>
        <v>0</v>
      </c>
      <c r="BP364" s="45">
        <f t="shared" si="5304"/>
        <v>0</v>
      </c>
      <c r="BQ364" s="45">
        <f t="shared" si="5304"/>
        <v>0</v>
      </c>
      <c r="BR364" s="45">
        <f t="shared" si="5304"/>
        <v>0</v>
      </c>
      <c r="BS364" s="45">
        <f t="shared" si="5304"/>
        <v>0</v>
      </c>
      <c r="BT364" s="45">
        <f t="shared" ref="BT364:DC364" si="5305">++BT70</f>
        <v>0</v>
      </c>
      <c r="BU364" s="45">
        <f t="shared" si="5305"/>
        <v>0</v>
      </c>
      <c r="BV364" s="45">
        <f t="shared" si="5305"/>
        <v>0</v>
      </c>
      <c r="BW364" s="45">
        <f t="shared" si="5305"/>
        <v>0</v>
      </c>
      <c r="BX364" s="45">
        <f t="shared" si="5305"/>
        <v>0</v>
      </c>
      <c r="BY364" s="45">
        <f t="shared" si="5305"/>
        <v>0</v>
      </c>
      <c r="BZ364" s="45">
        <f t="shared" si="5305"/>
        <v>0</v>
      </c>
      <c r="CA364" s="45">
        <f t="shared" si="5305"/>
        <v>0</v>
      </c>
      <c r="CB364" s="45">
        <f t="shared" si="5305"/>
        <v>0</v>
      </c>
      <c r="CC364" s="45">
        <f t="shared" si="5305"/>
        <v>0</v>
      </c>
      <c r="CD364" s="45">
        <f t="shared" si="5305"/>
        <v>0</v>
      </c>
      <c r="CE364" s="45">
        <f t="shared" si="5305"/>
        <v>0</v>
      </c>
      <c r="CF364" s="45">
        <f t="shared" si="5305"/>
        <v>0</v>
      </c>
      <c r="CG364" s="45">
        <f t="shared" si="5305"/>
        <v>0</v>
      </c>
      <c r="CH364" s="45">
        <f t="shared" si="5305"/>
        <v>0</v>
      </c>
      <c r="CI364" s="45">
        <f t="shared" si="5305"/>
        <v>0</v>
      </c>
      <c r="CJ364" s="45">
        <f t="shared" si="5305"/>
        <v>0</v>
      </c>
      <c r="CK364" s="45">
        <f t="shared" si="5305"/>
        <v>0</v>
      </c>
      <c r="CL364" s="45">
        <f t="shared" si="5305"/>
        <v>0</v>
      </c>
      <c r="CM364" s="45">
        <f t="shared" si="5305"/>
        <v>0</v>
      </c>
      <c r="CN364" s="45">
        <f t="shared" si="5305"/>
        <v>0</v>
      </c>
      <c r="CO364" s="45">
        <f t="shared" si="5305"/>
        <v>0</v>
      </c>
      <c r="CP364" s="45">
        <f t="shared" si="5305"/>
        <v>0</v>
      </c>
      <c r="CQ364" s="45">
        <f t="shared" si="5305"/>
        <v>0</v>
      </c>
      <c r="CR364" s="45">
        <f t="shared" si="5305"/>
        <v>0</v>
      </c>
      <c r="CS364" s="45">
        <f t="shared" si="5305"/>
        <v>0</v>
      </c>
      <c r="CT364" s="45">
        <f t="shared" si="5305"/>
        <v>0</v>
      </c>
      <c r="CU364" s="45">
        <f t="shared" si="5305"/>
        <v>0</v>
      </c>
      <c r="CV364" s="45">
        <f t="shared" si="5305"/>
        <v>0</v>
      </c>
      <c r="CW364" s="45">
        <f t="shared" si="5305"/>
        <v>0</v>
      </c>
      <c r="CX364" s="45">
        <f t="shared" si="5305"/>
        <v>0</v>
      </c>
      <c r="CY364" s="45">
        <f t="shared" si="5305"/>
        <v>0</v>
      </c>
      <c r="CZ364" s="45">
        <f t="shared" si="5305"/>
        <v>0</v>
      </c>
      <c r="DA364" s="45">
        <f t="shared" si="5305"/>
        <v>0</v>
      </c>
      <c r="DB364" s="45">
        <f t="shared" si="5305"/>
        <v>0</v>
      </c>
      <c r="DC364" s="45">
        <f t="shared" si="5305"/>
        <v>0</v>
      </c>
    </row>
    <row r="365" spans="3:107" x14ac:dyDescent="0.3">
      <c r="C365" s="101" t="str">
        <f>++C$22</f>
        <v>Other Operating Expense (Income)</v>
      </c>
      <c r="G365" s="374">
        <f>++(G356-G366)-SUM(G360:G364)</f>
        <v>0</v>
      </c>
      <c r="H365" s="200">
        <f t="shared" ref="H365:BS365" si="5306">++(H356-H366)-SUM(H360:H364)</f>
        <v>0</v>
      </c>
      <c r="I365" s="200">
        <f t="shared" si="5306"/>
        <v>0</v>
      </c>
      <c r="J365" s="200">
        <f t="shared" si="5306"/>
        <v>0</v>
      </c>
      <c r="K365" s="374">
        <f t="shared" si="5306"/>
        <v>0</v>
      </c>
      <c r="L365" s="200">
        <f t="shared" si="5306"/>
        <v>0</v>
      </c>
      <c r="M365" s="200">
        <f t="shared" si="5306"/>
        <v>0</v>
      </c>
      <c r="N365" s="200">
        <f t="shared" si="5306"/>
        <v>0</v>
      </c>
      <c r="O365" s="200">
        <f t="shared" si="5306"/>
        <v>0</v>
      </c>
      <c r="P365" s="200">
        <f t="shared" si="5306"/>
        <v>0</v>
      </c>
      <c r="Q365" s="200">
        <f t="shared" si="5306"/>
        <v>0</v>
      </c>
      <c r="R365" s="200">
        <f t="shared" si="5306"/>
        <v>0</v>
      </c>
      <c r="S365" s="200">
        <f t="shared" si="5306"/>
        <v>0</v>
      </c>
      <c r="T365" s="200">
        <f t="shared" si="5306"/>
        <v>0</v>
      </c>
      <c r="U365" s="200">
        <f t="shared" si="5306"/>
        <v>0</v>
      </c>
      <c r="V365" s="200">
        <f t="shared" si="5306"/>
        <v>0</v>
      </c>
      <c r="W365" s="374">
        <f t="shared" si="5306"/>
        <v>0</v>
      </c>
      <c r="X365" s="200">
        <f t="shared" si="5306"/>
        <v>0</v>
      </c>
      <c r="Y365" s="200">
        <f t="shared" si="5306"/>
        <v>0</v>
      </c>
      <c r="Z365" s="200">
        <f t="shared" si="5306"/>
        <v>0</v>
      </c>
      <c r="AA365" s="200">
        <f t="shared" si="5306"/>
        <v>0</v>
      </c>
      <c r="AB365" s="200">
        <f t="shared" si="5306"/>
        <v>0</v>
      </c>
      <c r="AC365" s="200">
        <f t="shared" si="5306"/>
        <v>0</v>
      </c>
      <c r="AD365" s="200">
        <f t="shared" si="5306"/>
        <v>0</v>
      </c>
      <c r="AE365" s="200">
        <f t="shared" si="5306"/>
        <v>0</v>
      </c>
      <c r="AF365" s="200">
        <f t="shared" si="5306"/>
        <v>0</v>
      </c>
      <c r="AG365" s="200">
        <f t="shared" si="5306"/>
        <v>0</v>
      </c>
      <c r="AH365" s="200">
        <f t="shared" si="5306"/>
        <v>0</v>
      </c>
      <c r="AI365" s="374">
        <f t="shared" si="5306"/>
        <v>0</v>
      </c>
      <c r="AJ365" s="200">
        <f t="shared" si="5306"/>
        <v>0</v>
      </c>
      <c r="AK365" s="200">
        <f t="shared" si="5306"/>
        <v>0</v>
      </c>
      <c r="AL365" s="200">
        <f t="shared" si="5306"/>
        <v>0</v>
      </c>
      <c r="AM365" s="200">
        <f t="shared" si="5306"/>
        <v>0</v>
      </c>
      <c r="AN365" s="200">
        <f t="shared" si="5306"/>
        <v>0</v>
      </c>
      <c r="AO365" s="200">
        <f t="shared" si="5306"/>
        <v>0</v>
      </c>
      <c r="AP365" s="200">
        <f t="shared" si="5306"/>
        <v>0</v>
      </c>
      <c r="AQ365" s="200">
        <f t="shared" si="5306"/>
        <v>0</v>
      </c>
      <c r="AR365" s="200">
        <f t="shared" si="5306"/>
        <v>0</v>
      </c>
      <c r="AS365" s="200">
        <f t="shared" si="5306"/>
        <v>0</v>
      </c>
      <c r="AT365" s="200">
        <f t="shared" si="5306"/>
        <v>0</v>
      </c>
      <c r="AU365" s="374">
        <f t="shared" si="5306"/>
        <v>0</v>
      </c>
      <c r="AV365" s="200">
        <f t="shared" si="5306"/>
        <v>0</v>
      </c>
      <c r="AW365" s="200">
        <f t="shared" si="5306"/>
        <v>0</v>
      </c>
      <c r="AX365" s="200">
        <f t="shared" si="5306"/>
        <v>0</v>
      </c>
      <c r="AY365" s="200">
        <f t="shared" si="5306"/>
        <v>0</v>
      </c>
      <c r="AZ365" s="200">
        <f t="shared" si="5306"/>
        <v>0</v>
      </c>
      <c r="BA365" s="200">
        <f t="shared" si="5306"/>
        <v>0</v>
      </c>
      <c r="BB365" s="200">
        <f t="shared" si="5306"/>
        <v>0</v>
      </c>
      <c r="BC365" s="200">
        <f t="shared" si="5306"/>
        <v>0</v>
      </c>
      <c r="BD365" s="200">
        <f t="shared" si="5306"/>
        <v>0</v>
      </c>
      <c r="BE365" s="200">
        <f t="shared" si="5306"/>
        <v>0</v>
      </c>
      <c r="BF365" s="200">
        <f t="shared" si="5306"/>
        <v>0</v>
      </c>
      <c r="BG365" s="374">
        <f t="shared" si="5306"/>
        <v>0</v>
      </c>
      <c r="BH365" s="200">
        <f t="shared" si="5306"/>
        <v>0</v>
      </c>
      <c r="BI365" s="200">
        <f t="shared" si="5306"/>
        <v>0</v>
      </c>
      <c r="BJ365" s="200">
        <f t="shared" si="5306"/>
        <v>0</v>
      </c>
      <c r="BK365" s="200">
        <f t="shared" si="5306"/>
        <v>0</v>
      </c>
      <c r="BL365" s="200">
        <f t="shared" si="5306"/>
        <v>0</v>
      </c>
      <c r="BM365" s="200">
        <f t="shared" si="5306"/>
        <v>0</v>
      </c>
      <c r="BN365" s="200">
        <f t="shared" si="5306"/>
        <v>0</v>
      </c>
      <c r="BO365" s="200">
        <f t="shared" si="5306"/>
        <v>0</v>
      </c>
      <c r="BP365" s="200">
        <f t="shared" si="5306"/>
        <v>0</v>
      </c>
      <c r="BQ365" s="200">
        <f t="shared" si="5306"/>
        <v>0</v>
      </c>
      <c r="BR365" s="200">
        <f t="shared" si="5306"/>
        <v>0</v>
      </c>
      <c r="BS365" s="374">
        <f t="shared" si="5306"/>
        <v>0</v>
      </c>
      <c r="BT365" s="200">
        <f t="shared" ref="BT365:DC365" si="5307">++(BT356-BT366)-SUM(BT360:BT364)</f>
        <v>0</v>
      </c>
      <c r="BU365" s="200">
        <f t="shared" si="5307"/>
        <v>0</v>
      </c>
      <c r="BV365" s="200">
        <f t="shared" si="5307"/>
        <v>0</v>
      </c>
      <c r="BW365" s="200">
        <f t="shared" si="5307"/>
        <v>0</v>
      </c>
      <c r="BX365" s="200">
        <f t="shared" si="5307"/>
        <v>0</v>
      </c>
      <c r="BY365" s="200">
        <f t="shared" si="5307"/>
        <v>0</v>
      </c>
      <c r="BZ365" s="200">
        <f t="shared" si="5307"/>
        <v>0</v>
      </c>
      <c r="CA365" s="200">
        <f t="shared" si="5307"/>
        <v>0</v>
      </c>
      <c r="CB365" s="200">
        <f t="shared" si="5307"/>
        <v>0</v>
      </c>
      <c r="CC365" s="200">
        <f t="shared" si="5307"/>
        <v>0</v>
      </c>
      <c r="CD365" s="200">
        <f t="shared" si="5307"/>
        <v>0</v>
      </c>
      <c r="CE365" s="374">
        <f t="shared" si="5307"/>
        <v>0</v>
      </c>
      <c r="CF365" s="200">
        <f t="shared" si="5307"/>
        <v>0</v>
      </c>
      <c r="CG365" s="200">
        <f t="shared" si="5307"/>
        <v>0</v>
      </c>
      <c r="CH365" s="200">
        <f t="shared" si="5307"/>
        <v>0</v>
      </c>
      <c r="CI365" s="200">
        <f t="shared" si="5307"/>
        <v>0</v>
      </c>
      <c r="CJ365" s="200">
        <f t="shared" si="5307"/>
        <v>0</v>
      </c>
      <c r="CK365" s="200">
        <f t="shared" si="5307"/>
        <v>0</v>
      </c>
      <c r="CL365" s="200">
        <f t="shared" si="5307"/>
        <v>0</v>
      </c>
      <c r="CM365" s="200">
        <f t="shared" si="5307"/>
        <v>0</v>
      </c>
      <c r="CN365" s="200">
        <f t="shared" si="5307"/>
        <v>0</v>
      </c>
      <c r="CO365" s="200">
        <f t="shared" si="5307"/>
        <v>0</v>
      </c>
      <c r="CP365" s="200">
        <f t="shared" si="5307"/>
        <v>0</v>
      </c>
      <c r="CQ365" s="374">
        <f t="shared" si="5307"/>
        <v>0</v>
      </c>
      <c r="CR365" s="200">
        <f t="shared" si="5307"/>
        <v>0</v>
      </c>
      <c r="CS365" s="200">
        <f t="shared" si="5307"/>
        <v>0</v>
      </c>
      <c r="CT365" s="200">
        <f t="shared" si="5307"/>
        <v>0</v>
      </c>
      <c r="CU365" s="200">
        <f t="shared" si="5307"/>
        <v>0</v>
      </c>
      <c r="CV365" s="200">
        <f t="shared" si="5307"/>
        <v>0</v>
      </c>
      <c r="CW365" s="200">
        <f t="shared" si="5307"/>
        <v>0</v>
      </c>
      <c r="CX365" s="200">
        <f t="shared" si="5307"/>
        <v>0</v>
      </c>
      <c r="CY365" s="200">
        <f t="shared" si="5307"/>
        <v>0</v>
      </c>
      <c r="CZ365" s="200">
        <f t="shared" si="5307"/>
        <v>0</v>
      </c>
      <c r="DA365" s="200">
        <f t="shared" si="5307"/>
        <v>0</v>
      </c>
      <c r="DB365" s="200">
        <f t="shared" si="5307"/>
        <v>0</v>
      </c>
      <c r="DC365" s="374">
        <f t="shared" si="5307"/>
        <v>0</v>
      </c>
    </row>
    <row r="366" spans="3:107" x14ac:dyDescent="0.3">
      <c r="C366" s="231" t="str">
        <f>++C$23</f>
        <v>Operating Income (Loss)</v>
      </c>
      <c r="D366" s="191"/>
      <c r="E366" s="191"/>
      <c r="G366" s="239">
        <f>++SUM(G370:G372)</f>
        <v>0</v>
      </c>
      <c r="H366" s="232">
        <f t="shared" ref="H366:BS366" si="5308">++SUM(H370:H372)</f>
        <v>0</v>
      </c>
      <c r="I366" s="232">
        <f t="shared" si="5308"/>
        <v>0</v>
      </c>
      <c r="J366" s="232">
        <f t="shared" si="5308"/>
        <v>0</v>
      </c>
      <c r="K366" s="239">
        <f t="shared" si="5308"/>
        <v>0</v>
      </c>
      <c r="L366" s="232">
        <f t="shared" si="5308"/>
        <v>0</v>
      </c>
      <c r="M366" s="232">
        <f t="shared" si="5308"/>
        <v>0</v>
      </c>
      <c r="N366" s="232">
        <f t="shared" si="5308"/>
        <v>0</v>
      </c>
      <c r="O366" s="232">
        <f t="shared" si="5308"/>
        <v>0</v>
      </c>
      <c r="P366" s="232">
        <f t="shared" si="5308"/>
        <v>0</v>
      </c>
      <c r="Q366" s="232">
        <f t="shared" si="5308"/>
        <v>0</v>
      </c>
      <c r="R366" s="232">
        <f t="shared" si="5308"/>
        <v>0</v>
      </c>
      <c r="S366" s="232">
        <f t="shared" si="5308"/>
        <v>0</v>
      </c>
      <c r="T366" s="232">
        <f t="shared" si="5308"/>
        <v>0</v>
      </c>
      <c r="U366" s="232">
        <f t="shared" si="5308"/>
        <v>0</v>
      </c>
      <c r="V366" s="232">
        <f t="shared" si="5308"/>
        <v>0</v>
      </c>
      <c r="W366" s="239">
        <f t="shared" si="5308"/>
        <v>0</v>
      </c>
      <c r="X366" s="232">
        <f t="shared" si="5308"/>
        <v>0</v>
      </c>
      <c r="Y366" s="232">
        <f t="shared" si="5308"/>
        <v>0</v>
      </c>
      <c r="Z366" s="232">
        <f t="shared" si="5308"/>
        <v>0</v>
      </c>
      <c r="AA366" s="232">
        <f t="shared" si="5308"/>
        <v>0</v>
      </c>
      <c r="AB366" s="232">
        <f t="shared" si="5308"/>
        <v>0</v>
      </c>
      <c r="AC366" s="232">
        <f t="shared" si="5308"/>
        <v>0</v>
      </c>
      <c r="AD366" s="232">
        <f t="shared" si="5308"/>
        <v>0</v>
      </c>
      <c r="AE366" s="232">
        <f t="shared" si="5308"/>
        <v>0</v>
      </c>
      <c r="AF366" s="232">
        <f t="shared" si="5308"/>
        <v>0</v>
      </c>
      <c r="AG366" s="232">
        <f t="shared" si="5308"/>
        <v>0</v>
      </c>
      <c r="AH366" s="232">
        <f t="shared" si="5308"/>
        <v>0</v>
      </c>
      <c r="AI366" s="239">
        <f t="shared" si="5308"/>
        <v>0</v>
      </c>
      <c r="AJ366" s="232">
        <f t="shared" si="5308"/>
        <v>0</v>
      </c>
      <c r="AK366" s="232">
        <f t="shared" si="5308"/>
        <v>0</v>
      </c>
      <c r="AL366" s="232">
        <f t="shared" si="5308"/>
        <v>0</v>
      </c>
      <c r="AM366" s="232">
        <f t="shared" si="5308"/>
        <v>0</v>
      </c>
      <c r="AN366" s="232">
        <f t="shared" si="5308"/>
        <v>0</v>
      </c>
      <c r="AO366" s="232">
        <f t="shared" si="5308"/>
        <v>0</v>
      </c>
      <c r="AP366" s="232">
        <f t="shared" si="5308"/>
        <v>0</v>
      </c>
      <c r="AQ366" s="232">
        <f t="shared" si="5308"/>
        <v>0</v>
      </c>
      <c r="AR366" s="232">
        <f t="shared" si="5308"/>
        <v>0</v>
      </c>
      <c r="AS366" s="232">
        <f t="shared" si="5308"/>
        <v>0</v>
      </c>
      <c r="AT366" s="232">
        <f t="shared" si="5308"/>
        <v>0</v>
      </c>
      <c r="AU366" s="239">
        <f t="shared" si="5308"/>
        <v>0</v>
      </c>
      <c r="AV366" s="232">
        <f t="shared" si="5308"/>
        <v>0</v>
      </c>
      <c r="AW366" s="232">
        <f t="shared" si="5308"/>
        <v>0</v>
      </c>
      <c r="AX366" s="232">
        <f t="shared" si="5308"/>
        <v>0</v>
      </c>
      <c r="AY366" s="232">
        <f t="shared" si="5308"/>
        <v>0</v>
      </c>
      <c r="AZ366" s="232">
        <f t="shared" si="5308"/>
        <v>0</v>
      </c>
      <c r="BA366" s="232">
        <f t="shared" si="5308"/>
        <v>0</v>
      </c>
      <c r="BB366" s="232">
        <f t="shared" si="5308"/>
        <v>0</v>
      </c>
      <c r="BC366" s="232">
        <f t="shared" si="5308"/>
        <v>0</v>
      </c>
      <c r="BD366" s="232">
        <f t="shared" si="5308"/>
        <v>0</v>
      </c>
      <c r="BE366" s="232">
        <f t="shared" si="5308"/>
        <v>0</v>
      </c>
      <c r="BF366" s="232">
        <f t="shared" si="5308"/>
        <v>0</v>
      </c>
      <c r="BG366" s="239">
        <f t="shared" si="5308"/>
        <v>0</v>
      </c>
      <c r="BH366" s="232">
        <f t="shared" si="5308"/>
        <v>0</v>
      </c>
      <c r="BI366" s="232">
        <f t="shared" si="5308"/>
        <v>0</v>
      </c>
      <c r="BJ366" s="232">
        <f t="shared" si="5308"/>
        <v>0</v>
      </c>
      <c r="BK366" s="232">
        <f t="shared" si="5308"/>
        <v>0</v>
      </c>
      <c r="BL366" s="232">
        <f t="shared" si="5308"/>
        <v>0</v>
      </c>
      <c r="BM366" s="232">
        <f t="shared" si="5308"/>
        <v>0</v>
      </c>
      <c r="BN366" s="232">
        <f t="shared" si="5308"/>
        <v>0</v>
      </c>
      <c r="BO366" s="232">
        <f t="shared" si="5308"/>
        <v>0</v>
      </c>
      <c r="BP366" s="232">
        <f t="shared" si="5308"/>
        <v>0</v>
      </c>
      <c r="BQ366" s="232">
        <f t="shared" si="5308"/>
        <v>0</v>
      </c>
      <c r="BR366" s="232">
        <f t="shared" si="5308"/>
        <v>0</v>
      </c>
      <c r="BS366" s="239">
        <f t="shared" si="5308"/>
        <v>0</v>
      </c>
      <c r="BT366" s="232">
        <f t="shared" ref="BT366:DC366" si="5309">++SUM(BT370:BT372)</f>
        <v>0</v>
      </c>
      <c r="BU366" s="232">
        <f t="shared" si="5309"/>
        <v>0</v>
      </c>
      <c r="BV366" s="232">
        <f t="shared" si="5309"/>
        <v>0</v>
      </c>
      <c r="BW366" s="232">
        <f t="shared" si="5309"/>
        <v>0</v>
      </c>
      <c r="BX366" s="232">
        <f t="shared" si="5309"/>
        <v>0</v>
      </c>
      <c r="BY366" s="232">
        <f t="shared" si="5309"/>
        <v>0</v>
      </c>
      <c r="BZ366" s="232">
        <f t="shared" si="5309"/>
        <v>0</v>
      </c>
      <c r="CA366" s="232">
        <f t="shared" si="5309"/>
        <v>0</v>
      </c>
      <c r="CB366" s="232">
        <f t="shared" si="5309"/>
        <v>0</v>
      </c>
      <c r="CC366" s="232">
        <f t="shared" si="5309"/>
        <v>0</v>
      </c>
      <c r="CD366" s="232">
        <f t="shared" si="5309"/>
        <v>0</v>
      </c>
      <c r="CE366" s="239">
        <f t="shared" si="5309"/>
        <v>0</v>
      </c>
      <c r="CF366" s="232">
        <f t="shared" si="5309"/>
        <v>0</v>
      </c>
      <c r="CG366" s="232">
        <f t="shared" si="5309"/>
        <v>0</v>
      </c>
      <c r="CH366" s="232">
        <f t="shared" si="5309"/>
        <v>0</v>
      </c>
      <c r="CI366" s="232">
        <f t="shared" si="5309"/>
        <v>0</v>
      </c>
      <c r="CJ366" s="232">
        <f t="shared" si="5309"/>
        <v>0</v>
      </c>
      <c r="CK366" s="232">
        <f t="shared" si="5309"/>
        <v>0</v>
      </c>
      <c r="CL366" s="232">
        <f t="shared" si="5309"/>
        <v>0</v>
      </c>
      <c r="CM366" s="232">
        <f t="shared" si="5309"/>
        <v>0</v>
      </c>
      <c r="CN366" s="232">
        <f t="shared" si="5309"/>
        <v>0</v>
      </c>
      <c r="CO366" s="232">
        <f t="shared" si="5309"/>
        <v>0</v>
      </c>
      <c r="CP366" s="232">
        <f t="shared" si="5309"/>
        <v>0</v>
      </c>
      <c r="CQ366" s="239">
        <f t="shared" si="5309"/>
        <v>0</v>
      </c>
      <c r="CR366" s="232">
        <f t="shared" si="5309"/>
        <v>0</v>
      </c>
      <c r="CS366" s="232">
        <f t="shared" si="5309"/>
        <v>0</v>
      </c>
      <c r="CT366" s="232">
        <f t="shared" si="5309"/>
        <v>0</v>
      </c>
      <c r="CU366" s="232">
        <f t="shared" si="5309"/>
        <v>0</v>
      </c>
      <c r="CV366" s="232">
        <f t="shared" si="5309"/>
        <v>0</v>
      </c>
      <c r="CW366" s="232">
        <f t="shared" si="5309"/>
        <v>0</v>
      </c>
      <c r="CX366" s="232">
        <f t="shared" si="5309"/>
        <v>0</v>
      </c>
      <c r="CY366" s="232">
        <f t="shared" si="5309"/>
        <v>0</v>
      </c>
      <c r="CZ366" s="232">
        <f t="shared" si="5309"/>
        <v>0</v>
      </c>
      <c r="DA366" s="232">
        <f t="shared" si="5309"/>
        <v>0</v>
      </c>
      <c r="DB366" s="232">
        <f t="shared" si="5309"/>
        <v>0</v>
      </c>
      <c r="DC366" s="239">
        <f t="shared" si="5309"/>
        <v>0</v>
      </c>
    </row>
    <row r="367" spans="3:107" x14ac:dyDescent="0.3">
      <c r="C367" s="321" t="str">
        <f>++C$24</f>
        <v>% margin</v>
      </c>
      <c r="G367" s="214" t="str">
        <f>++IFERROR(G366/G353,"n/a")</f>
        <v>n/a</v>
      </c>
      <c r="H367" s="225" t="str">
        <f t="shared" ref="H367" si="5310">++IFERROR(H366/H353,"n/a")</f>
        <v>n/a</v>
      </c>
      <c r="I367" s="225" t="str">
        <f t="shared" ref="I367" si="5311">++IFERROR(I366/I353,"n/a")</f>
        <v>n/a</v>
      </c>
      <c r="J367" s="225" t="str">
        <f t="shared" ref="J367" si="5312">++IFERROR(J366/J353,"n/a")</f>
        <v>n/a</v>
      </c>
      <c r="K367" s="214" t="str">
        <f t="shared" ref="K367" si="5313">++IFERROR(K366/K353,"n/a")</f>
        <v>n/a</v>
      </c>
      <c r="L367" s="225" t="str">
        <f t="shared" ref="L367" si="5314">++IFERROR(L366/L353,"n/a")</f>
        <v>n/a</v>
      </c>
      <c r="M367" s="225" t="str">
        <f t="shared" ref="M367" si="5315">++IFERROR(M366/M353,"n/a")</f>
        <v>n/a</v>
      </c>
      <c r="N367" s="225" t="str">
        <f t="shared" ref="N367" si="5316">++IFERROR(N366/N353,"n/a")</f>
        <v>n/a</v>
      </c>
      <c r="O367" s="225" t="str">
        <f t="shared" ref="O367" si="5317">++IFERROR(O366/O353,"n/a")</f>
        <v>n/a</v>
      </c>
      <c r="P367" s="225" t="str">
        <f t="shared" ref="P367" si="5318">++IFERROR(P366/P353,"n/a")</f>
        <v>n/a</v>
      </c>
      <c r="Q367" s="225" t="str">
        <f t="shared" ref="Q367" si="5319">++IFERROR(Q366/Q353,"n/a")</f>
        <v>n/a</v>
      </c>
      <c r="R367" s="225" t="str">
        <f t="shared" ref="R367" si="5320">++IFERROR(R366/R353,"n/a")</f>
        <v>n/a</v>
      </c>
      <c r="S367" s="225" t="str">
        <f t="shared" ref="S367" si="5321">++IFERROR(S366/S353,"n/a")</f>
        <v>n/a</v>
      </c>
      <c r="T367" s="225" t="str">
        <f t="shared" ref="T367" si="5322">++IFERROR(T366/T353,"n/a")</f>
        <v>n/a</v>
      </c>
      <c r="U367" s="225" t="str">
        <f t="shared" ref="U367" si="5323">++IFERROR(U366/U353,"n/a")</f>
        <v>n/a</v>
      </c>
      <c r="V367" s="225" t="str">
        <f t="shared" ref="V367" si="5324">++IFERROR(V366/V353,"n/a")</f>
        <v>n/a</v>
      </c>
      <c r="W367" s="214" t="str">
        <f t="shared" ref="W367" si="5325">++IFERROR(W366/W353,"n/a")</f>
        <v>n/a</v>
      </c>
      <c r="X367" s="225" t="str">
        <f t="shared" ref="X367" si="5326">++IFERROR(X366/X353,"n/a")</f>
        <v>n/a</v>
      </c>
      <c r="Y367" s="225" t="str">
        <f t="shared" ref="Y367" si="5327">++IFERROR(Y366/Y353,"n/a")</f>
        <v>n/a</v>
      </c>
      <c r="Z367" s="225" t="str">
        <f t="shared" ref="Z367" si="5328">++IFERROR(Z366/Z353,"n/a")</f>
        <v>n/a</v>
      </c>
      <c r="AA367" s="225" t="str">
        <f t="shared" ref="AA367" si="5329">++IFERROR(AA366/AA353,"n/a")</f>
        <v>n/a</v>
      </c>
      <c r="AB367" s="225" t="str">
        <f t="shared" ref="AB367" si="5330">++IFERROR(AB366/AB353,"n/a")</f>
        <v>n/a</v>
      </c>
      <c r="AC367" s="225" t="str">
        <f t="shared" ref="AC367" si="5331">++IFERROR(AC366/AC353,"n/a")</f>
        <v>n/a</v>
      </c>
      <c r="AD367" s="225" t="str">
        <f t="shared" ref="AD367" si="5332">++IFERROR(AD366/AD353,"n/a")</f>
        <v>n/a</v>
      </c>
      <c r="AE367" s="225" t="str">
        <f t="shared" ref="AE367" si="5333">++IFERROR(AE366/AE353,"n/a")</f>
        <v>n/a</v>
      </c>
      <c r="AF367" s="225" t="str">
        <f t="shared" ref="AF367" si="5334">++IFERROR(AF366/AF353,"n/a")</f>
        <v>n/a</v>
      </c>
      <c r="AG367" s="225" t="str">
        <f t="shared" ref="AG367" si="5335">++IFERROR(AG366/AG353,"n/a")</f>
        <v>n/a</v>
      </c>
      <c r="AH367" s="225" t="str">
        <f t="shared" ref="AH367" si="5336">++IFERROR(AH366/AH353,"n/a")</f>
        <v>n/a</v>
      </c>
      <c r="AI367" s="214" t="str">
        <f t="shared" ref="AI367" si="5337">++IFERROR(AI366/AI353,"n/a")</f>
        <v>n/a</v>
      </c>
      <c r="AJ367" s="225" t="str">
        <f t="shared" ref="AJ367" si="5338">++IFERROR(AJ366/AJ353,"n/a")</f>
        <v>n/a</v>
      </c>
      <c r="AK367" s="225" t="str">
        <f t="shared" ref="AK367" si="5339">++IFERROR(AK366/AK353,"n/a")</f>
        <v>n/a</v>
      </c>
      <c r="AL367" s="225" t="str">
        <f t="shared" ref="AL367" si="5340">++IFERROR(AL366/AL353,"n/a")</f>
        <v>n/a</v>
      </c>
      <c r="AM367" s="225" t="str">
        <f t="shared" ref="AM367" si="5341">++IFERROR(AM366/AM353,"n/a")</f>
        <v>n/a</v>
      </c>
      <c r="AN367" s="225" t="str">
        <f t="shared" ref="AN367" si="5342">++IFERROR(AN366/AN353,"n/a")</f>
        <v>n/a</v>
      </c>
      <c r="AO367" s="225" t="str">
        <f t="shared" ref="AO367" si="5343">++IFERROR(AO366/AO353,"n/a")</f>
        <v>n/a</v>
      </c>
      <c r="AP367" s="225" t="str">
        <f t="shared" ref="AP367" si="5344">++IFERROR(AP366/AP353,"n/a")</f>
        <v>n/a</v>
      </c>
      <c r="AQ367" s="225" t="str">
        <f t="shared" ref="AQ367" si="5345">++IFERROR(AQ366/AQ353,"n/a")</f>
        <v>n/a</v>
      </c>
      <c r="AR367" s="225" t="str">
        <f t="shared" ref="AR367" si="5346">++IFERROR(AR366/AR353,"n/a")</f>
        <v>n/a</v>
      </c>
      <c r="AS367" s="225" t="str">
        <f t="shared" ref="AS367" si="5347">++IFERROR(AS366/AS353,"n/a")</f>
        <v>n/a</v>
      </c>
      <c r="AT367" s="225" t="str">
        <f t="shared" ref="AT367" si="5348">++IFERROR(AT366/AT353,"n/a")</f>
        <v>n/a</v>
      </c>
      <c r="AU367" s="214" t="str">
        <f t="shared" ref="AU367" si="5349">++IFERROR(AU366/AU353,"n/a")</f>
        <v>n/a</v>
      </c>
      <c r="AV367" s="225" t="str">
        <f t="shared" ref="AV367" si="5350">++IFERROR(AV366/AV353,"n/a")</f>
        <v>n/a</v>
      </c>
      <c r="AW367" s="225" t="str">
        <f t="shared" ref="AW367" si="5351">++IFERROR(AW366/AW353,"n/a")</f>
        <v>n/a</v>
      </c>
      <c r="AX367" s="225" t="str">
        <f t="shared" ref="AX367" si="5352">++IFERROR(AX366/AX353,"n/a")</f>
        <v>n/a</v>
      </c>
      <c r="AY367" s="225" t="str">
        <f t="shared" ref="AY367" si="5353">++IFERROR(AY366/AY353,"n/a")</f>
        <v>n/a</v>
      </c>
      <c r="AZ367" s="225" t="str">
        <f t="shared" ref="AZ367" si="5354">++IFERROR(AZ366/AZ353,"n/a")</f>
        <v>n/a</v>
      </c>
      <c r="BA367" s="225" t="str">
        <f t="shared" ref="BA367" si="5355">++IFERROR(BA366/BA353,"n/a")</f>
        <v>n/a</v>
      </c>
      <c r="BB367" s="225" t="str">
        <f t="shared" ref="BB367" si="5356">++IFERROR(BB366/BB353,"n/a")</f>
        <v>n/a</v>
      </c>
      <c r="BC367" s="225" t="str">
        <f t="shared" ref="BC367" si="5357">++IFERROR(BC366/BC353,"n/a")</f>
        <v>n/a</v>
      </c>
      <c r="BD367" s="225" t="str">
        <f t="shared" ref="BD367" si="5358">++IFERROR(BD366/BD353,"n/a")</f>
        <v>n/a</v>
      </c>
      <c r="BE367" s="225" t="str">
        <f t="shared" ref="BE367" si="5359">++IFERROR(BE366/BE353,"n/a")</f>
        <v>n/a</v>
      </c>
      <c r="BF367" s="225" t="str">
        <f t="shared" ref="BF367" si="5360">++IFERROR(BF366/BF353,"n/a")</f>
        <v>n/a</v>
      </c>
      <c r="BG367" s="214" t="str">
        <f t="shared" ref="BG367" si="5361">++IFERROR(BG366/BG353,"n/a")</f>
        <v>n/a</v>
      </c>
      <c r="BH367" s="225" t="str">
        <f t="shared" ref="BH367" si="5362">++IFERROR(BH366/BH353,"n/a")</f>
        <v>n/a</v>
      </c>
      <c r="BI367" s="225" t="str">
        <f t="shared" ref="BI367" si="5363">++IFERROR(BI366/BI353,"n/a")</f>
        <v>n/a</v>
      </c>
      <c r="BJ367" s="225" t="str">
        <f t="shared" ref="BJ367" si="5364">++IFERROR(BJ366/BJ353,"n/a")</f>
        <v>n/a</v>
      </c>
      <c r="BK367" s="225" t="str">
        <f t="shared" ref="BK367" si="5365">++IFERROR(BK366/BK353,"n/a")</f>
        <v>n/a</v>
      </c>
      <c r="BL367" s="225" t="str">
        <f t="shared" ref="BL367" si="5366">++IFERROR(BL366/BL353,"n/a")</f>
        <v>n/a</v>
      </c>
      <c r="BM367" s="225" t="str">
        <f t="shared" ref="BM367" si="5367">++IFERROR(BM366/BM353,"n/a")</f>
        <v>n/a</v>
      </c>
      <c r="BN367" s="225" t="str">
        <f t="shared" ref="BN367" si="5368">++IFERROR(BN366/BN353,"n/a")</f>
        <v>n/a</v>
      </c>
      <c r="BO367" s="225" t="str">
        <f t="shared" ref="BO367" si="5369">++IFERROR(BO366/BO353,"n/a")</f>
        <v>n/a</v>
      </c>
      <c r="BP367" s="225" t="str">
        <f t="shared" ref="BP367" si="5370">++IFERROR(BP366/BP353,"n/a")</f>
        <v>n/a</v>
      </c>
      <c r="BQ367" s="225" t="str">
        <f t="shared" ref="BQ367" si="5371">++IFERROR(BQ366/BQ353,"n/a")</f>
        <v>n/a</v>
      </c>
      <c r="BR367" s="225" t="str">
        <f t="shared" ref="BR367" si="5372">++IFERROR(BR366/BR353,"n/a")</f>
        <v>n/a</v>
      </c>
      <c r="BS367" s="214" t="str">
        <f t="shared" ref="BS367" si="5373">++IFERROR(BS366/BS353,"n/a")</f>
        <v>n/a</v>
      </c>
      <c r="BT367" s="225" t="str">
        <f t="shared" ref="BT367" si="5374">++IFERROR(BT366/BT353,"n/a")</f>
        <v>n/a</v>
      </c>
      <c r="BU367" s="225" t="str">
        <f t="shared" ref="BU367" si="5375">++IFERROR(BU366/BU353,"n/a")</f>
        <v>n/a</v>
      </c>
      <c r="BV367" s="225" t="str">
        <f t="shared" ref="BV367" si="5376">++IFERROR(BV366/BV353,"n/a")</f>
        <v>n/a</v>
      </c>
      <c r="BW367" s="225" t="str">
        <f t="shared" ref="BW367" si="5377">++IFERROR(BW366/BW353,"n/a")</f>
        <v>n/a</v>
      </c>
      <c r="BX367" s="225" t="str">
        <f t="shared" ref="BX367" si="5378">++IFERROR(BX366/BX353,"n/a")</f>
        <v>n/a</v>
      </c>
      <c r="BY367" s="225" t="str">
        <f t="shared" ref="BY367" si="5379">++IFERROR(BY366/BY353,"n/a")</f>
        <v>n/a</v>
      </c>
      <c r="BZ367" s="225" t="str">
        <f t="shared" ref="BZ367" si="5380">++IFERROR(BZ366/BZ353,"n/a")</f>
        <v>n/a</v>
      </c>
      <c r="CA367" s="225" t="str">
        <f t="shared" ref="CA367" si="5381">++IFERROR(CA366/CA353,"n/a")</f>
        <v>n/a</v>
      </c>
      <c r="CB367" s="225" t="str">
        <f t="shared" ref="CB367" si="5382">++IFERROR(CB366/CB353,"n/a")</f>
        <v>n/a</v>
      </c>
      <c r="CC367" s="225" t="str">
        <f t="shared" ref="CC367" si="5383">++IFERROR(CC366/CC353,"n/a")</f>
        <v>n/a</v>
      </c>
      <c r="CD367" s="225" t="str">
        <f t="shared" ref="CD367" si="5384">++IFERROR(CD366/CD353,"n/a")</f>
        <v>n/a</v>
      </c>
      <c r="CE367" s="214" t="str">
        <f t="shared" ref="CE367" si="5385">++IFERROR(CE366/CE353,"n/a")</f>
        <v>n/a</v>
      </c>
      <c r="CF367" s="225" t="str">
        <f t="shared" ref="CF367" si="5386">++IFERROR(CF366/CF353,"n/a")</f>
        <v>n/a</v>
      </c>
      <c r="CG367" s="225" t="str">
        <f t="shared" ref="CG367" si="5387">++IFERROR(CG366/CG353,"n/a")</f>
        <v>n/a</v>
      </c>
      <c r="CH367" s="225" t="str">
        <f t="shared" ref="CH367" si="5388">++IFERROR(CH366/CH353,"n/a")</f>
        <v>n/a</v>
      </c>
      <c r="CI367" s="225" t="str">
        <f t="shared" ref="CI367" si="5389">++IFERROR(CI366/CI353,"n/a")</f>
        <v>n/a</v>
      </c>
      <c r="CJ367" s="225" t="str">
        <f t="shared" ref="CJ367" si="5390">++IFERROR(CJ366/CJ353,"n/a")</f>
        <v>n/a</v>
      </c>
      <c r="CK367" s="225" t="str">
        <f t="shared" ref="CK367" si="5391">++IFERROR(CK366/CK353,"n/a")</f>
        <v>n/a</v>
      </c>
      <c r="CL367" s="225" t="str">
        <f t="shared" ref="CL367" si="5392">++IFERROR(CL366/CL353,"n/a")</f>
        <v>n/a</v>
      </c>
      <c r="CM367" s="225" t="str">
        <f t="shared" ref="CM367" si="5393">++IFERROR(CM366/CM353,"n/a")</f>
        <v>n/a</v>
      </c>
      <c r="CN367" s="225" t="str">
        <f t="shared" ref="CN367" si="5394">++IFERROR(CN366/CN353,"n/a")</f>
        <v>n/a</v>
      </c>
      <c r="CO367" s="225" t="str">
        <f t="shared" ref="CO367" si="5395">++IFERROR(CO366/CO353,"n/a")</f>
        <v>n/a</v>
      </c>
      <c r="CP367" s="225" t="str">
        <f t="shared" ref="CP367" si="5396">++IFERROR(CP366/CP353,"n/a")</f>
        <v>n/a</v>
      </c>
      <c r="CQ367" s="214" t="str">
        <f t="shared" ref="CQ367" si="5397">++IFERROR(CQ366/CQ353,"n/a")</f>
        <v>n/a</v>
      </c>
      <c r="CR367" s="225" t="str">
        <f t="shared" ref="CR367" si="5398">++IFERROR(CR366/CR353,"n/a")</f>
        <v>n/a</v>
      </c>
      <c r="CS367" s="225" t="str">
        <f t="shared" ref="CS367" si="5399">++IFERROR(CS366/CS353,"n/a")</f>
        <v>n/a</v>
      </c>
      <c r="CT367" s="225" t="str">
        <f t="shared" ref="CT367" si="5400">++IFERROR(CT366/CT353,"n/a")</f>
        <v>n/a</v>
      </c>
      <c r="CU367" s="225" t="str">
        <f t="shared" ref="CU367" si="5401">++IFERROR(CU366/CU353,"n/a")</f>
        <v>n/a</v>
      </c>
      <c r="CV367" s="225" t="str">
        <f t="shared" ref="CV367" si="5402">++IFERROR(CV366/CV353,"n/a")</f>
        <v>n/a</v>
      </c>
      <c r="CW367" s="225" t="str">
        <f t="shared" ref="CW367" si="5403">++IFERROR(CW366/CW353,"n/a")</f>
        <v>n/a</v>
      </c>
      <c r="CX367" s="225" t="str">
        <f t="shared" ref="CX367" si="5404">++IFERROR(CX366/CX353,"n/a")</f>
        <v>n/a</v>
      </c>
      <c r="CY367" s="225" t="str">
        <f t="shared" ref="CY367" si="5405">++IFERROR(CY366/CY353,"n/a")</f>
        <v>n/a</v>
      </c>
      <c r="CZ367" s="225" t="str">
        <f t="shared" ref="CZ367" si="5406">++IFERROR(CZ366/CZ353,"n/a")</f>
        <v>n/a</v>
      </c>
      <c r="DA367" s="225" t="str">
        <f t="shared" ref="DA367" si="5407">++IFERROR(DA366/DA353,"n/a")</f>
        <v>n/a</v>
      </c>
      <c r="DB367" s="225" t="str">
        <f t="shared" ref="DB367" si="5408">++IFERROR(DB366/DB353,"n/a")</f>
        <v>n/a</v>
      </c>
      <c r="DC367" s="214" t="str">
        <f t="shared" ref="DC367" si="5409">++IFERROR(DC366/DC353,"n/a")</f>
        <v>n/a</v>
      </c>
    </row>
    <row r="368" spans="3:107" x14ac:dyDescent="0.3">
      <c r="C368" s="321" t="str">
        <f>++C$25</f>
        <v>% y/y</v>
      </c>
      <c r="G368" s="122" t="s">
        <v>47</v>
      </c>
      <c r="H368" s="122" t="s">
        <v>47</v>
      </c>
      <c r="I368" s="122" t="s">
        <v>47</v>
      </c>
      <c r="J368" s="122" t="s">
        <v>47</v>
      </c>
      <c r="K368" s="214" t="str">
        <f>++IFERROR(K366/G366-1,"n/a")</f>
        <v>n/a</v>
      </c>
      <c r="L368" s="122" t="s">
        <v>47</v>
      </c>
      <c r="M368" s="122" t="s">
        <v>47</v>
      </c>
      <c r="N368" s="225" t="str">
        <f>++IFERROR(N366/H366-1,"n/a")</f>
        <v>n/a</v>
      </c>
      <c r="O368" s="122" t="s">
        <v>47</v>
      </c>
      <c r="P368" s="122" t="s">
        <v>47</v>
      </c>
      <c r="Q368" s="225" t="str">
        <f>++IFERROR(Q366/I366-1,"n/a")</f>
        <v>n/a</v>
      </c>
      <c r="R368" s="122" t="s">
        <v>47</v>
      </c>
      <c r="S368" s="122" t="s">
        <v>47</v>
      </c>
      <c r="T368" s="225" t="str">
        <f>++IFERROR(T366/J366-1,"n/a")</f>
        <v>n/a</v>
      </c>
      <c r="U368" s="122" t="s">
        <v>47</v>
      </c>
      <c r="V368" s="122" t="s">
        <v>47</v>
      </c>
      <c r="W368" s="214" t="str">
        <f t="shared" ref="W368:BB368" si="5410">++IFERROR(W366/K366-1,"n/a")</f>
        <v>n/a</v>
      </c>
      <c r="X368" s="225" t="str">
        <f t="shared" si="5410"/>
        <v>n/a</v>
      </c>
      <c r="Y368" s="225" t="str">
        <f t="shared" si="5410"/>
        <v>n/a</v>
      </c>
      <c r="Z368" s="225" t="str">
        <f t="shared" si="5410"/>
        <v>n/a</v>
      </c>
      <c r="AA368" s="225" t="str">
        <f t="shared" si="5410"/>
        <v>n/a</v>
      </c>
      <c r="AB368" s="225" t="str">
        <f t="shared" si="5410"/>
        <v>n/a</v>
      </c>
      <c r="AC368" s="225" t="str">
        <f t="shared" si="5410"/>
        <v>n/a</v>
      </c>
      <c r="AD368" s="225" t="str">
        <f t="shared" si="5410"/>
        <v>n/a</v>
      </c>
      <c r="AE368" s="225" t="str">
        <f t="shared" si="5410"/>
        <v>n/a</v>
      </c>
      <c r="AF368" s="225" t="str">
        <f t="shared" si="5410"/>
        <v>n/a</v>
      </c>
      <c r="AG368" s="225" t="str">
        <f t="shared" si="5410"/>
        <v>n/a</v>
      </c>
      <c r="AH368" s="225" t="str">
        <f t="shared" si="5410"/>
        <v>n/a</v>
      </c>
      <c r="AI368" s="214" t="str">
        <f t="shared" si="5410"/>
        <v>n/a</v>
      </c>
      <c r="AJ368" s="225" t="str">
        <f t="shared" si="5410"/>
        <v>n/a</v>
      </c>
      <c r="AK368" s="225" t="str">
        <f t="shared" si="5410"/>
        <v>n/a</v>
      </c>
      <c r="AL368" s="225" t="str">
        <f t="shared" si="5410"/>
        <v>n/a</v>
      </c>
      <c r="AM368" s="225" t="str">
        <f t="shared" si="5410"/>
        <v>n/a</v>
      </c>
      <c r="AN368" s="225" t="str">
        <f t="shared" si="5410"/>
        <v>n/a</v>
      </c>
      <c r="AO368" s="225" t="str">
        <f t="shared" si="5410"/>
        <v>n/a</v>
      </c>
      <c r="AP368" s="225" t="str">
        <f t="shared" si="5410"/>
        <v>n/a</v>
      </c>
      <c r="AQ368" s="225" t="str">
        <f t="shared" si="5410"/>
        <v>n/a</v>
      </c>
      <c r="AR368" s="225" t="str">
        <f t="shared" si="5410"/>
        <v>n/a</v>
      </c>
      <c r="AS368" s="225" t="str">
        <f t="shared" si="5410"/>
        <v>n/a</v>
      </c>
      <c r="AT368" s="225" t="str">
        <f t="shared" si="5410"/>
        <v>n/a</v>
      </c>
      <c r="AU368" s="214" t="str">
        <f t="shared" si="5410"/>
        <v>n/a</v>
      </c>
      <c r="AV368" s="225" t="str">
        <f t="shared" si="5410"/>
        <v>n/a</v>
      </c>
      <c r="AW368" s="225" t="str">
        <f t="shared" si="5410"/>
        <v>n/a</v>
      </c>
      <c r="AX368" s="225" t="str">
        <f t="shared" si="5410"/>
        <v>n/a</v>
      </c>
      <c r="AY368" s="225" t="str">
        <f t="shared" si="5410"/>
        <v>n/a</v>
      </c>
      <c r="AZ368" s="225" t="str">
        <f t="shared" si="5410"/>
        <v>n/a</v>
      </c>
      <c r="BA368" s="225" t="str">
        <f t="shared" si="5410"/>
        <v>n/a</v>
      </c>
      <c r="BB368" s="225" t="str">
        <f t="shared" si="5410"/>
        <v>n/a</v>
      </c>
      <c r="BC368" s="225" t="str">
        <f t="shared" ref="BC368:CH368" si="5411">++IFERROR(BC366/AQ366-1,"n/a")</f>
        <v>n/a</v>
      </c>
      <c r="BD368" s="225" t="str">
        <f t="shared" si="5411"/>
        <v>n/a</v>
      </c>
      <c r="BE368" s="225" t="str">
        <f t="shared" si="5411"/>
        <v>n/a</v>
      </c>
      <c r="BF368" s="225" t="str">
        <f t="shared" si="5411"/>
        <v>n/a</v>
      </c>
      <c r="BG368" s="214" t="str">
        <f t="shared" si="5411"/>
        <v>n/a</v>
      </c>
      <c r="BH368" s="225" t="str">
        <f t="shared" si="5411"/>
        <v>n/a</v>
      </c>
      <c r="BI368" s="225" t="str">
        <f t="shared" si="5411"/>
        <v>n/a</v>
      </c>
      <c r="BJ368" s="225" t="str">
        <f t="shared" si="5411"/>
        <v>n/a</v>
      </c>
      <c r="BK368" s="225" t="str">
        <f t="shared" si="5411"/>
        <v>n/a</v>
      </c>
      <c r="BL368" s="225" t="str">
        <f t="shared" si="5411"/>
        <v>n/a</v>
      </c>
      <c r="BM368" s="225" t="str">
        <f t="shared" si="5411"/>
        <v>n/a</v>
      </c>
      <c r="BN368" s="225" t="str">
        <f t="shared" si="5411"/>
        <v>n/a</v>
      </c>
      <c r="BO368" s="225" t="str">
        <f t="shared" si="5411"/>
        <v>n/a</v>
      </c>
      <c r="BP368" s="225" t="str">
        <f t="shared" si="5411"/>
        <v>n/a</v>
      </c>
      <c r="BQ368" s="225" t="str">
        <f t="shared" si="5411"/>
        <v>n/a</v>
      </c>
      <c r="BR368" s="225" t="str">
        <f t="shared" si="5411"/>
        <v>n/a</v>
      </c>
      <c r="BS368" s="214" t="str">
        <f t="shared" si="5411"/>
        <v>n/a</v>
      </c>
      <c r="BT368" s="225" t="str">
        <f t="shared" si="5411"/>
        <v>n/a</v>
      </c>
      <c r="BU368" s="225" t="str">
        <f t="shared" si="5411"/>
        <v>n/a</v>
      </c>
      <c r="BV368" s="225" t="str">
        <f t="shared" si="5411"/>
        <v>n/a</v>
      </c>
      <c r="BW368" s="225" t="str">
        <f t="shared" si="5411"/>
        <v>n/a</v>
      </c>
      <c r="BX368" s="225" t="str">
        <f t="shared" si="5411"/>
        <v>n/a</v>
      </c>
      <c r="BY368" s="225" t="str">
        <f t="shared" si="5411"/>
        <v>n/a</v>
      </c>
      <c r="BZ368" s="225" t="str">
        <f t="shared" si="5411"/>
        <v>n/a</v>
      </c>
      <c r="CA368" s="225" t="str">
        <f t="shared" si="5411"/>
        <v>n/a</v>
      </c>
      <c r="CB368" s="225" t="str">
        <f t="shared" si="5411"/>
        <v>n/a</v>
      </c>
      <c r="CC368" s="225" t="str">
        <f t="shared" si="5411"/>
        <v>n/a</v>
      </c>
      <c r="CD368" s="225" t="str">
        <f t="shared" si="5411"/>
        <v>n/a</v>
      </c>
      <c r="CE368" s="214" t="str">
        <f t="shared" si="5411"/>
        <v>n/a</v>
      </c>
      <c r="CF368" s="225" t="str">
        <f t="shared" si="5411"/>
        <v>n/a</v>
      </c>
      <c r="CG368" s="225" t="str">
        <f t="shared" si="5411"/>
        <v>n/a</v>
      </c>
      <c r="CH368" s="225" t="str">
        <f t="shared" si="5411"/>
        <v>n/a</v>
      </c>
      <c r="CI368" s="225" t="str">
        <f t="shared" ref="CI368:DN368" si="5412">++IFERROR(CI366/BW366-1,"n/a")</f>
        <v>n/a</v>
      </c>
      <c r="CJ368" s="225" t="str">
        <f t="shared" si="5412"/>
        <v>n/a</v>
      </c>
      <c r="CK368" s="225" t="str">
        <f t="shared" si="5412"/>
        <v>n/a</v>
      </c>
      <c r="CL368" s="225" t="str">
        <f t="shared" si="5412"/>
        <v>n/a</v>
      </c>
      <c r="CM368" s="225" t="str">
        <f t="shared" si="5412"/>
        <v>n/a</v>
      </c>
      <c r="CN368" s="225" t="str">
        <f t="shared" si="5412"/>
        <v>n/a</v>
      </c>
      <c r="CO368" s="225" t="str">
        <f t="shared" si="5412"/>
        <v>n/a</v>
      </c>
      <c r="CP368" s="225" t="str">
        <f t="shared" si="5412"/>
        <v>n/a</v>
      </c>
      <c r="CQ368" s="214" t="str">
        <f t="shared" si="5412"/>
        <v>n/a</v>
      </c>
      <c r="CR368" s="225" t="str">
        <f t="shared" si="5412"/>
        <v>n/a</v>
      </c>
      <c r="CS368" s="225" t="str">
        <f t="shared" si="5412"/>
        <v>n/a</v>
      </c>
      <c r="CT368" s="225" t="str">
        <f t="shared" si="5412"/>
        <v>n/a</v>
      </c>
      <c r="CU368" s="225" t="str">
        <f t="shared" si="5412"/>
        <v>n/a</v>
      </c>
      <c r="CV368" s="225" t="str">
        <f t="shared" si="5412"/>
        <v>n/a</v>
      </c>
      <c r="CW368" s="225" t="str">
        <f t="shared" si="5412"/>
        <v>n/a</v>
      </c>
      <c r="CX368" s="225" t="str">
        <f t="shared" si="5412"/>
        <v>n/a</v>
      </c>
      <c r="CY368" s="225" t="str">
        <f t="shared" si="5412"/>
        <v>n/a</v>
      </c>
      <c r="CZ368" s="225" t="str">
        <f t="shared" si="5412"/>
        <v>n/a</v>
      </c>
      <c r="DA368" s="225" t="str">
        <f t="shared" si="5412"/>
        <v>n/a</v>
      </c>
      <c r="DB368" s="225" t="str">
        <f t="shared" si="5412"/>
        <v>n/a</v>
      </c>
      <c r="DC368" s="214" t="str">
        <f t="shared" si="5412"/>
        <v>n/a</v>
      </c>
    </row>
    <row r="369" spans="3:107" x14ac:dyDescent="0.3">
      <c r="G369" s="203"/>
      <c r="K369" s="203"/>
      <c r="W369" s="203"/>
      <c r="AI369" s="203"/>
      <c r="AU369" s="203"/>
      <c r="BG369" s="203"/>
      <c r="BS369" s="203"/>
      <c r="CE369" s="203"/>
      <c r="CQ369" s="203"/>
      <c r="DC369" s="203"/>
    </row>
    <row r="370" spans="3:107" x14ac:dyDescent="0.3">
      <c r="C370" s="101" t="str">
        <f>++C$27</f>
        <v>Interest Expense (Income)</v>
      </c>
      <c r="G370" s="45">
        <f>++G76</f>
        <v>0</v>
      </c>
      <c r="H370" s="45">
        <f t="shared" ref="H370:BS370" si="5413">++H76</f>
        <v>0</v>
      </c>
      <c r="I370" s="45">
        <f t="shared" si="5413"/>
        <v>0</v>
      </c>
      <c r="J370" s="45">
        <f t="shared" si="5413"/>
        <v>0</v>
      </c>
      <c r="K370" s="45">
        <f t="shared" si="5413"/>
        <v>0</v>
      </c>
      <c r="L370" s="45">
        <f t="shared" si="5413"/>
        <v>0</v>
      </c>
      <c r="M370" s="45">
        <f t="shared" si="5413"/>
        <v>0</v>
      </c>
      <c r="N370" s="45">
        <f t="shared" si="5413"/>
        <v>0</v>
      </c>
      <c r="O370" s="45">
        <f t="shared" si="5413"/>
        <v>0</v>
      </c>
      <c r="P370" s="45">
        <f t="shared" si="5413"/>
        <v>0</v>
      </c>
      <c r="Q370" s="45">
        <f t="shared" si="5413"/>
        <v>0</v>
      </c>
      <c r="R370" s="45">
        <f t="shared" si="5413"/>
        <v>0</v>
      </c>
      <c r="S370" s="45">
        <f t="shared" si="5413"/>
        <v>0</v>
      </c>
      <c r="T370" s="45">
        <f t="shared" si="5413"/>
        <v>0</v>
      </c>
      <c r="U370" s="45">
        <f t="shared" si="5413"/>
        <v>0</v>
      </c>
      <c r="V370" s="45">
        <f t="shared" si="5413"/>
        <v>0</v>
      </c>
      <c r="W370" s="45">
        <f t="shared" si="5413"/>
        <v>0</v>
      </c>
      <c r="X370" s="45">
        <f t="shared" si="5413"/>
        <v>0</v>
      </c>
      <c r="Y370" s="45">
        <f t="shared" si="5413"/>
        <v>0</v>
      </c>
      <c r="Z370" s="45">
        <f t="shared" si="5413"/>
        <v>0</v>
      </c>
      <c r="AA370" s="45">
        <f t="shared" si="5413"/>
        <v>0</v>
      </c>
      <c r="AB370" s="45">
        <f t="shared" si="5413"/>
        <v>0</v>
      </c>
      <c r="AC370" s="45">
        <f t="shared" si="5413"/>
        <v>0</v>
      </c>
      <c r="AD370" s="45">
        <f t="shared" si="5413"/>
        <v>0</v>
      </c>
      <c r="AE370" s="45">
        <f t="shared" si="5413"/>
        <v>0</v>
      </c>
      <c r="AF370" s="45">
        <f t="shared" si="5413"/>
        <v>0</v>
      </c>
      <c r="AG370" s="45">
        <f t="shared" si="5413"/>
        <v>0</v>
      </c>
      <c r="AH370" s="45">
        <f t="shared" si="5413"/>
        <v>0</v>
      </c>
      <c r="AI370" s="45">
        <f t="shared" si="5413"/>
        <v>0</v>
      </c>
      <c r="AJ370" s="45">
        <f t="shared" si="5413"/>
        <v>0</v>
      </c>
      <c r="AK370" s="45">
        <f t="shared" si="5413"/>
        <v>0</v>
      </c>
      <c r="AL370" s="45">
        <f t="shared" si="5413"/>
        <v>0</v>
      </c>
      <c r="AM370" s="45">
        <f t="shared" si="5413"/>
        <v>0</v>
      </c>
      <c r="AN370" s="45">
        <f t="shared" si="5413"/>
        <v>0</v>
      </c>
      <c r="AO370" s="45">
        <f t="shared" si="5413"/>
        <v>0</v>
      </c>
      <c r="AP370" s="45">
        <f t="shared" si="5413"/>
        <v>0</v>
      </c>
      <c r="AQ370" s="45">
        <f t="shared" si="5413"/>
        <v>0</v>
      </c>
      <c r="AR370" s="45">
        <f t="shared" si="5413"/>
        <v>0</v>
      </c>
      <c r="AS370" s="45">
        <f t="shared" si="5413"/>
        <v>0</v>
      </c>
      <c r="AT370" s="45">
        <f t="shared" si="5413"/>
        <v>0</v>
      </c>
      <c r="AU370" s="45">
        <f t="shared" si="5413"/>
        <v>0</v>
      </c>
      <c r="AV370" s="45">
        <f t="shared" si="5413"/>
        <v>0</v>
      </c>
      <c r="AW370" s="45">
        <f t="shared" si="5413"/>
        <v>0</v>
      </c>
      <c r="AX370" s="45">
        <f t="shared" si="5413"/>
        <v>0</v>
      </c>
      <c r="AY370" s="45">
        <f t="shared" si="5413"/>
        <v>0</v>
      </c>
      <c r="AZ370" s="45">
        <f t="shared" si="5413"/>
        <v>0</v>
      </c>
      <c r="BA370" s="45">
        <f t="shared" si="5413"/>
        <v>0</v>
      </c>
      <c r="BB370" s="45">
        <f t="shared" si="5413"/>
        <v>0</v>
      </c>
      <c r="BC370" s="45">
        <f t="shared" si="5413"/>
        <v>0</v>
      </c>
      <c r="BD370" s="45">
        <f t="shared" si="5413"/>
        <v>0</v>
      </c>
      <c r="BE370" s="45">
        <f t="shared" si="5413"/>
        <v>0</v>
      </c>
      <c r="BF370" s="45">
        <f t="shared" si="5413"/>
        <v>0</v>
      </c>
      <c r="BG370" s="45">
        <f t="shared" si="5413"/>
        <v>0</v>
      </c>
      <c r="BH370" s="45">
        <f t="shared" si="5413"/>
        <v>0</v>
      </c>
      <c r="BI370" s="45">
        <f t="shared" si="5413"/>
        <v>0</v>
      </c>
      <c r="BJ370" s="45">
        <f t="shared" si="5413"/>
        <v>0</v>
      </c>
      <c r="BK370" s="45">
        <f t="shared" si="5413"/>
        <v>0</v>
      </c>
      <c r="BL370" s="45">
        <f t="shared" si="5413"/>
        <v>0</v>
      </c>
      <c r="BM370" s="45">
        <f t="shared" si="5413"/>
        <v>0</v>
      </c>
      <c r="BN370" s="45">
        <f t="shared" si="5413"/>
        <v>0</v>
      </c>
      <c r="BO370" s="45">
        <f t="shared" si="5413"/>
        <v>0</v>
      </c>
      <c r="BP370" s="45">
        <f t="shared" si="5413"/>
        <v>0</v>
      </c>
      <c r="BQ370" s="45">
        <f t="shared" si="5413"/>
        <v>0</v>
      </c>
      <c r="BR370" s="45">
        <f t="shared" si="5413"/>
        <v>0</v>
      </c>
      <c r="BS370" s="45">
        <f t="shared" si="5413"/>
        <v>0</v>
      </c>
      <c r="BT370" s="45">
        <f t="shared" ref="BT370:DC370" si="5414">++BT76</f>
        <v>0</v>
      </c>
      <c r="BU370" s="45">
        <f t="shared" si="5414"/>
        <v>0</v>
      </c>
      <c r="BV370" s="45">
        <f t="shared" si="5414"/>
        <v>0</v>
      </c>
      <c r="BW370" s="45">
        <f t="shared" si="5414"/>
        <v>0</v>
      </c>
      <c r="BX370" s="45">
        <f t="shared" si="5414"/>
        <v>0</v>
      </c>
      <c r="BY370" s="45">
        <f t="shared" si="5414"/>
        <v>0</v>
      </c>
      <c r="BZ370" s="45">
        <f t="shared" si="5414"/>
        <v>0</v>
      </c>
      <c r="CA370" s="45">
        <f t="shared" si="5414"/>
        <v>0</v>
      </c>
      <c r="CB370" s="45">
        <f t="shared" si="5414"/>
        <v>0</v>
      </c>
      <c r="CC370" s="45">
        <f t="shared" si="5414"/>
        <v>0</v>
      </c>
      <c r="CD370" s="45">
        <f t="shared" si="5414"/>
        <v>0</v>
      </c>
      <c r="CE370" s="45">
        <f t="shared" si="5414"/>
        <v>0</v>
      </c>
      <c r="CF370" s="45">
        <f t="shared" si="5414"/>
        <v>0</v>
      </c>
      <c r="CG370" s="45">
        <f t="shared" si="5414"/>
        <v>0</v>
      </c>
      <c r="CH370" s="45">
        <f t="shared" si="5414"/>
        <v>0</v>
      </c>
      <c r="CI370" s="45">
        <f t="shared" si="5414"/>
        <v>0</v>
      </c>
      <c r="CJ370" s="45">
        <f t="shared" si="5414"/>
        <v>0</v>
      </c>
      <c r="CK370" s="45">
        <f t="shared" si="5414"/>
        <v>0</v>
      </c>
      <c r="CL370" s="45">
        <f t="shared" si="5414"/>
        <v>0</v>
      </c>
      <c r="CM370" s="45">
        <f t="shared" si="5414"/>
        <v>0</v>
      </c>
      <c r="CN370" s="45">
        <f t="shared" si="5414"/>
        <v>0</v>
      </c>
      <c r="CO370" s="45">
        <f t="shared" si="5414"/>
        <v>0</v>
      </c>
      <c r="CP370" s="45">
        <f t="shared" si="5414"/>
        <v>0</v>
      </c>
      <c r="CQ370" s="45">
        <f t="shared" si="5414"/>
        <v>0</v>
      </c>
      <c r="CR370" s="45">
        <f t="shared" si="5414"/>
        <v>0</v>
      </c>
      <c r="CS370" s="45">
        <f t="shared" si="5414"/>
        <v>0</v>
      </c>
      <c r="CT370" s="45">
        <f t="shared" si="5414"/>
        <v>0</v>
      </c>
      <c r="CU370" s="45">
        <f t="shared" si="5414"/>
        <v>0</v>
      </c>
      <c r="CV370" s="45">
        <f t="shared" si="5414"/>
        <v>0</v>
      </c>
      <c r="CW370" s="45">
        <f t="shared" si="5414"/>
        <v>0</v>
      </c>
      <c r="CX370" s="45">
        <f t="shared" si="5414"/>
        <v>0</v>
      </c>
      <c r="CY370" s="45">
        <f t="shared" si="5414"/>
        <v>0</v>
      </c>
      <c r="CZ370" s="45">
        <f t="shared" si="5414"/>
        <v>0</v>
      </c>
      <c r="DA370" s="45">
        <f t="shared" si="5414"/>
        <v>0</v>
      </c>
      <c r="DB370" s="45">
        <f t="shared" si="5414"/>
        <v>0</v>
      </c>
      <c r="DC370" s="45">
        <f t="shared" si="5414"/>
        <v>0</v>
      </c>
    </row>
    <row r="371" spans="3:107" x14ac:dyDescent="0.3">
      <c r="C371" s="101" t="str">
        <f>++C$28</f>
        <v>Other Expense (Income)</v>
      </c>
      <c r="G371" s="45">
        <f>++G77</f>
        <v>0</v>
      </c>
      <c r="H371" s="45">
        <f t="shared" ref="H371:BS371" si="5415">++H77</f>
        <v>0</v>
      </c>
      <c r="I371" s="45">
        <f t="shared" si="5415"/>
        <v>0</v>
      </c>
      <c r="J371" s="45">
        <f t="shared" si="5415"/>
        <v>0</v>
      </c>
      <c r="K371" s="45">
        <f t="shared" si="5415"/>
        <v>0</v>
      </c>
      <c r="L371" s="45">
        <f t="shared" si="5415"/>
        <v>0</v>
      </c>
      <c r="M371" s="45">
        <f t="shared" si="5415"/>
        <v>0</v>
      </c>
      <c r="N371" s="45">
        <f t="shared" si="5415"/>
        <v>0</v>
      </c>
      <c r="O371" s="45">
        <f t="shared" si="5415"/>
        <v>0</v>
      </c>
      <c r="P371" s="45">
        <f t="shared" si="5415"/>
        <v>0</v>
      </c>
      <c r="Q371" s="45">
        <f t="shared" si="5415"/>
        <v>0</v>
      </c>
      <c r="R371" s="45">
        <f t="shared" si="5415"/>
        <v>0</v>
      </c>
      <c r="S371" s="45">
        <f t="shared" si="5415"/>
        <v>0</v>
      </c>
      <c r="T371" s="45">
        <f t="shared" si="5415"/>
        <v>0</v>
      </c>
      <c r="U371" s="45">
        <f t="shared" si="5415"/>
        <v>0</v>
      </c>
      <c r="V371" s="45">
        <f t="shared" si="5415"/>
        <v>0</v>
      </c>
      <c r="W371" s="45">
        <f t="shared" si="5415"/>
        <v>0</v>
      </c>
      <c r="X371" s="45">
        <f t="shared" si="5415"/>
        <v>0</v>
      </c>
      <c r="Y371" s="45">
        <f t="shared" si="5415"/>
        <v>0</v>
      </c>
      <c r="Z371" s="45">
        <f t="shared" si="5415"/>
        <v>0</v>
      </c>
      <c r="AA371" s="45">
        <f t="shared" si="5415"/>
        <v>0</v>
      </c>
      <c r="AB371" s="45">
        <f t="shared" si="5415"/>
        <v>0</v>
      </c>
      <c r="AC371" s="45">
        <f t="shared" si="5415"/>
        <v>0</v>
      </c>
      <c r="AD371" s="45">
        <f t="shared" si="5415"/>
        <v>0</v>
      </c>
      <c r="AE371" s="45">
        <f t="shared" si="5415"/>
        <v>0</v>
      </c>
      <c r="AF371" s="45">
        <f t="shared" si="5415"/>
        <v>0</v>
      </c>
      <c r="AG371" s="45">
        <f t="shared" si="5415"/>
        <v>0</v>
      </c>
      <c r="AH371" s="45">
        <f t="shared" si="5415"/>
        <v>0</v>
      </c>
      <c r="AI371" s="45">
        <f t="shared" si="5415"/>
        <v>0</v>
      </c>
      <c r="AJ371" s="45">
        <f t="shared" si="5415"/>
        <v>0</v>
      </c>
      <c r="AK371" s="45">
        <f t="shared" si="5415"/>
        <v>0</v>
      </c>
      <c r="AL371" s="45">
        <f t="shared" si="5415"/>
        <v>0</v>
      </c>
      <c r="AM371" s="45">
        <f t="shared" si="5415"/>
        <v>0</v>
      </c>
      <c r="AN371" s="45">
        <f t="shared" si="5415"/>
        <v>0</v>
      </c>
      <c r="AO371" s="45">
        <f t="shared" si="5415"/>
        <v>0</v>
      </c>
      <c r="AP371" s="45">
        <f t="shared" si="5415"/>
        <v>0</v>
      </c>
      <c r="AQ371" s="45">
        <f t="shared" si="5415"/>
        <v>0</v>
      </c>
      <c r="AR371" s="45">
        <f t="shared" si="5415"/>
        <v>0</v>
      </c>
      <c r="AS371" s="45">
        <f t="shared" si="5415"/>
        <v>0</v>
      </c>
      <c r="AT371" s="45">
        <f t="shared" si="5415"/>
        <v>0</v>
      </c>
      <c r="AU371" s="45">
        <f t="shared" si="5415"/>
        <v>0</v>
      </c>
      <c r="AV371" s="45">
        <f t="shared" si="5415"/>
        <v>0</v>
      </c>
      <c r="AW371" s="45">
        <f t="shared" si="5415"/>
        <v>0</v>
      </c>
      <c r="AX371" s="45">
        <f t="shared" si="5415"/>
        <v>0</v>
      </c>
      <c r="AY371" s="45">
        <f t="shared" si="5415"/>
        <v>0</v>
      </c>
      <c r="AZ371" s="45">
        <f t="shared" si="5415"/>
        <v>0</v>
      </c>
      <c r="BA371" s="45">
        <f t="shared" si="5415"/>
        <v>0</v>
      </c>
      <c r="BB371" s="45">
        <f t="shared" si="5415"/>
        <v>0</v>
      </c>
      <c r="BC371" s="45">
        <f t="shared" si="5415"/>
        <v>0</v>
      </c>
      <c r="BD371" s="45">
        <f t="shared" si="5415"/>
        <v>0</v>
      </c>
      <c r="BE371" s="45">
        <f t="shared" si="5415"/>
        <v>0</v>
      </c>
      <c r="BF371" s="45">
        <f t="shared" si="5415"/>
        <v>0</v>
      </c>
      <c r="BG371" s="45">
        <f t="shared" si="5415"/>
        <v>0</v>
      </c>
      <c r="BH371" s="45">
        <f t="shared" si="5415"/>
        <v>0</v>
      </c>
      <c r="BI371" s="45">
        <f t="shared" si="5415"/>
        <v>0</v>
      </c>
      <c r="BJ371" s="45">
        <f t="shared" si="5415"/>
        <v>0</v>
      </c>
      <c r="BK371" s="45">
        <f t="shared" si="5415"/>
        <v>0</v>
      </c>
      <c r="BL371" s="45">
        <f t="shared" si="5415"/>
        <v>0</v>
      </c>
      <c r="BM371" s="45">
        <f t="shared" si="5415"/>
        <v>0</v>
      </c>
      <c r="BN371" s="45">
        <f t="shared" si="5415"/>
        <v>0</v>
      </c>
      <c r="BO371" s="45">
        <f t="shared" si="5415"/>
        <v>0</v>
      </c>
      <c r="BP371" s="45">
        <f t="shared" si="5415"/>
        <v>0</v>
      </c>
      <c r="BQ371" s="45">
        <f t="shared" si="5415"/>
        <v>0</v>
      </c>
      <c r="BR371" s="45">
        <f t="shared" si="5415"/>
        <v>0</v>
      </c>
      <c r="BS371" s="45">
        <f t="shared" si="5415"/>
        <v>0</v>
      </c>
      <c r="BT371" s="45">
        <f t="shared" ref="BT371:DC371" si="5416">++BT77</f>
        <v>0</v>
      </c>
      <c r="BU371" s="45">
        <f t="shared" si="5416"/>
        <v>0</v>
      </c>
      <c r="BV371" s="45">
        <f t="shared" si="5416"/>
        <v>0</v>
      </c>
      <c r="BW371" s="45">
        <f t="shared" si="5416"/>
        <v>0</v>
      </c>
      <c r="BX371" s="45">
        <f t="shared" si="5416"/>
        <v>0</v>
      </c>
      <c r="BY371" s="45">
        <f t="shared" si="5416"/>
        <v>0</v>
      </c>
      <c r="BZ371" s="45">
        <f t="shared" si="5416"/>
        <v>0</v>
      </c>
      <c r="CA371" s="45">
        <f t="shared" si="5416"/>
        <v>0</v>
      </c>
      <c r="CB371" s="45">
        <f t="shared" si="5416"/>
        <v>0</v>
      </c>
      <c r="CC371" s="45">
        <f t="shared" si="5416"/>
        <v>0</v>
      </c>
      <c r="CD371" s="45">
        <f t="shared" si="5416"/>
        <v>0</v>
      </c>
      <c r="CE371" s="45">
        <f t="shared" si="5416"/>
        <v>0</v>
      </c>
      <c r="CF371" s="45">
        <f t="shared" si="5416"/>
        <v>0</v>
      </c>
      <c r="CG371" s="45">
        <f t="shared" si="5416"/>
        <v>0</v>
      </c>
      <c r="CH371" s="45">
        <f t="shared" si="5416"/>
        <v>0</v>
      </c>
      <c r="CI371" s="45">
        <f t="shared" si="5416"/>
        <v>0</v>
      </c>
      <c r="CJ371" s="45">
        <f t="shared" si="5416"/>
        <v>0</v>
      </c>
      <c r="CK371" s="45">
        <f t="shared" si="5416"/>
        <v>0</v>
      </c>
      <c r="CL371" s="45">
        <f t="shared" si="5416"/>
        <v>0</v>
      </c>
      <c r="CM371" s="45">
        <f t="shared" si="5416"/>
        <v>0</v>
      </c>
      <c r="CN371" s="45">
        <f t="shared" si="5416"/>
        <v>0</v>
      </c>
      <c r="CO371" s="45">
        <f t="shared" si="5416"/>
        <v>0</v>
      </c>
      <c r="CP371" s="45">
        <f t="shared" si="5416"/>
        <v>0</v>
      </c>
      <c r="CQ371" s="45">
        <f t="shared" si="5416"/>
        <v>0</v>
      </c>
      <c r="CR371" s="45">
        <f t="shared" si="5416"/>
        <v>0</v>
      </c>
      <c r="CS371" s="45">
        <f t="shared" si="5416"/>
        <v>0</v>
      </c>
      <c r="CT371" s="45">
        <f t="shared" si="5416"/>
        <v>0</v>
      </c>
      <c r="CU371" s="45">
        <f t="shared" si="5416"/>
        <v>0</v>
      </c>
      <c r="CV371" s="45">
        <f t="shared" si="5416"/>
        <v>0</v>
      </c>
      <c r="CW371" s="45">
        <f t="shared" si="5416"/>
        <v>0</v>
      </c>
      <c r="CX371" s="45">
        <f t="shared" si="5416"/>
        <v>0</v>
      </c>
      <c r="CY371" s="45">
        <f t="shared" si="5416"/>
        <v>0</v>
      </c>
      <c r="CZ371" s="45">
        <f t="shared" si="5416"/>
        <v>0</v>
      </c>
      <c r="DA371" s="45">
        <f t="shared" si="5416"/>
        <v>0</v>
      </c>
      <c r="DB371" s="45">
        <f t="shared" si="5416"/>
        <v>0</v>
      </c>
      <c r="DC371" s="45">
        <f t="shared" si="5416"/>
        <v>0</v>
      </c>
    </row>
    <row r="372" spans="3:107" x14ac:dyDescent="0.3">
      <c r="C372" s="231" t="str">
        <f>++C$29</f>
        <v>Pre-Tax Income (Loss)</v>
      </c>
      <c r="D372" s="191"/>
      <c r="E372" s="191"/>
      <c r="G372" s="239">
        <f>++SUM(G376,G379)</f>
        <v>0</v>
      </c>
      <c r="H372" s="232">
        <f t="shared" ref="H372:BS372" si="5417">++SUM(H376,H379)</f>
        <v>0</v>
      </c>
      <c r="I372" s="232">
        <f t="shared" si="5417"/>
        <v>0</v>
      </c>
      <c r="J372" s="232">
        <f t="shared" si="5417"/>
        <v>0</v>
      </c>
      <c r="K372" s="239">
        <f t="shared" si="5417"/>
        <v>0</v>
      </c>
      <c r="L372" s="232">
        <f t="shared" si="5417"/>
        <v>0</v>
      </c>
      <c r="M372" s="232">
        <f t="shared" si="5417"/>
        <v>0</v>
      </c>
      <c r="N372" s="232">
        <f t="shared" si="5417"/>
        <v>0</v>
      </c>
      <c r="O372" s="232">
        <f t="shared" si="5417"/>
        <v>0</v>
      </c>
      <c r="P372" s="232">
        <f t="shared" si="5417"/>
        <v>0</v>
      </c>
      <c r="Q372" s="232">
        <f t="shared" si="5417"/>
        <v>0</v>
      </c>
      <c r="R372" s="232">
        <f t="shared" si="5417"/>
        <v>0</v>
      </c>
      <c r="S372" s="232">
        <f t="shared" si="5417"/>
        <v>0</v>
      </c>
      <c r="T372" s="232">
        <f t="shared" si="5417"/>
        <v>0</v>
      </c>
      <c r="U372" s="232">
        <f t="shared" si="5417"/>
        <v>0</v>
      </c>
      <c r="V372" s="232">
        <f t="shared" si="5417"/>
        <v>0</v>
      </c>
      <c r="W372" s="239">
        <f t="shared" si="5417"/>
        <v>0</v>
      </c>
      <c r="X372" s="232">
        <f t="shared" si="5417"/>
        <v>0</v>
      </c>
      <c r="Y372" s="232">
        <f t="shared" si="5417"/>
        <v>0</v>
      </c>
      <c r="Z372" s="232">
        <f t="shared" si="5417"/>
        <v>0</v>
      </c>
      <c r="AA372" s="232">
        <f t="shared" si="5417"/>
        <v>0</v>
      </c>
      <c r="AB372" s="232">
        <f t="shared" si="5417"/>
        <v>0</v>
      </c>
      <c r="AC372" s="232">
        <f t="shared" si="5417"/>
        <v>0</v>
      </c>
      <c r="AD372" s="232">
        <f t="shared" si="5417"/>
        <v>0</v>
      </c>
      <c r="AE372" s="232">
        <f t="shared" si="5417"/>
        <v>0</v>
      </c>
      <c r="AF372" s="232">
        <f t="shared" si="5417"/>
        <v>0</v>
      </c>
      <c r="AG372" s="232">
        <f t="shared" si="5417"/>
        <v>0</v>
      </c>
      <c r="AH372" s="232">
        <f t="shared" si="5417"/>
        <v>0</v>
      </c>
      <c r="AI372" s="239">
        <f t="shared" si="5417"/>
        <v>0</v>
      </c>
      <c r="AJ372" s="232">
        <f t="shared" si="5417"/>
        <v>0</v>
      </c>
      <c r="AK372" s="232">
        <f t="shared" si="5417"/>
        <v>0</v>
      </c>
      <c r="AL372" s="232">
        <f t="shared" si="5417"/>
        <v>0</v>
      </c>
      <c r="AM372" s="232">
        <f t="shared" si="5417"/>
        <v>0</v>
      </c>
      <c r="AN372" s="232">
        <f t="shared" si="5417"/>
        <v>0</v>
      </c>
      <c r="AO372" s="232">
        <f t="shared" si="5417"/>
        <v>0</v>
      </c>
      <c r="AP372" s="232">
        <f t="shared" si="5417"/>
        <v>0</v>
      </c>
      <c r="AQ372" s="232">
        <f t="shared" si="5417"/>
        <v>0</v>
      </c>
      <c r="AR372" s="232">
        <f t="shared" si="5417"/>
        <v>0</v>
      </c>
      <c r="AS372" s="232">
        <f t="shared" si="5417"/>
        <v>0</v>
      </c>
      <c r="AT372" s="232">
        <f t="shared" si="5417"/>
        <v>0</v>
      </c>
      <c r="AU372" s="239">
        <f t="shared" si="5417"/>
        <v>0</v>
      </c>
      <c r="AV372" s="232">
        <f t="shared" si="5417"/>
        <v>0</v>
      </c>
      <c r="AW372" s="232">
        <f t="shared" si="5417"/>
        <v>0</v>
      </c>
      <c r="AX372" s="232">
        <f t="shared" si="5417"/>
        <v>0</v>
      </c>
      <c r="AY372" s="232">
        <f t="shared" si="5417"/>
        <v>0</v>
      </c>
      <c r="AZ372" s="232">
        <f t="shared" si="5417"/>
        <v>0</v>
      </c>
      <c r="BA372" s="232">
        <f t="shared" si="5417"/>
        <v>0</v>
      </c>
      <c r="BB372" s="232">
        <f t="shared" si="5417"/>
        <v>0</v>
      </c>
      <c r="BC372" s="232">
        <f t="shared" si="5417"/>
        <v>0</v>
      </c>
      <c r="BD372" s="232">
        <f t="shared" si="5417"/>
        <v>0</v>
      </c>
      <c r="BE372" s="232">
        <f t="shared" si="5417"/>
        <v>0</v>
      </c>
      <c r="BF372" s="232">
        <f t="shared" si="5417"/>
        <v>0</v>
      </c>
      <c r="BG372" s="239">
        <f t="shared" si="5417"/>
        <v>0</v>
      </c>
      <c r="BH372" s="232">
        <f t="shared" si="5417"/>
        <v>0</v>
      </c>
      <c r="BI372" s="232">
        <f t="shared" si="5417"/>
        <v>0</v>
      </c>
      <c r="BJ372" s="232">
        <f t="shared" si="5417"/>
        <v>0</v>
      </c>
      <c r="BK372" s="232">
        <f t="shared" si="5417"/>
        <v>0</v>
      </c>
      <c r="BL372" s="232">
        <f t="shared" si="5417"/>
        <v>0</v>
      </c>
      <c r="BM372" s="232">
        <f t="shared" si="5417"/>
        <v>0</v>
      </c>
      <c r="BN372" s="232">
        <f t="shared" si="5417"/>
        <v>0</v>
      </c>
      <c r="BO372" s="232">
        <f t="shared" si="5417"/>
        <v>0</v>
      </c>
      <c r="BP372" s="232">
        <f t="shared" si="5417"/>
        <v>0</v>
      </c>
      <c r="BQ372" s="232">
        <f t="shared" si="5417"/>
        <v>0</v>
      </c>
      <c r="BR372" s="232">
        <f t="shared" si="5417"/>
        <v>0</v>
      </c>
      <c r="BS372" s="239">
        <f t="shared" si="5417"/>
        <v>0</v>
      </c>
      <c r="BT372" s="232">
        <f t="shared" ref="BT372:DC372" si="5418">++SUM(BT376,BT379)</f>
        <v>0</v>
      </c>
      <c r="BU372" s="232">
        <f t="shared" si="5418"/>
        <v>0</v>
      </c>
      <c r="BV372" s="232">
        <f t="shared" si="5418"/>
        <v>0</v>
      </c>
      <c r="BW372" s="232">
        <f t="shared" si="5418"/>
        <v>0</v>
      </c>
      <c r="BX372" s="232">
        <f t="shared" si="5418"/>
        <v>0</v>
      </c>
      <c r="BY372" s="232">
        <f t="shared" si="5418"/>
        <v>0</v>
      </c>
      <c r="BZ372" s="232">
        <f t="shared" si="5418"/>
        <v>0</v>
      </c>
      <c r="CA372" s="232">
        <f t="shared" si="5418"/>
        <v>0</v>
      </c>
      <c r="CB372" s="232">
        <f t="shared" si="5418"/>
        <v>0</v>
      </c>
      <c r="CC372" s="232">
        <f t="shared" si="5418"/>
        <v>0</v>
      </c>
      <c r="CD372" s="232">
        <f t="shared" si="5418"/>
        <v>0</v>
      </c>
      <c r="CE372" s="239">
        <f t="shared" si="5418"/>
        <v>0</v>
      </c>
      <c r="CF372" s="232">
        <f t="shared" si="5418"/>
        <v>0</v>
      </c>
      <c r="CG372" s="232">
        <f t="shared" si="5418"/>
        <v>0</v>
      </c>
      <c r="CH372" s="232">
        <f t="shared" si="5418"/>
        <v>0</v>
      </c>
      <c r="CI372" s="232">
        <f t="shared" si="5418"/>
        <v>0</v>
      </c>
      <c r="CJ372" s="232">
        <f t="shared" si="5418"/>
        <v>0</v>
      </c>
      <c r="CK372" s="232">
        <f t="shared" si="5418"/>
        <v>0</v>
      </c>
      <c r="CL372" s="232">
        <f t="shared" si="5418"/>
        <v>0</v>
      </c>
      <c r="CM372" s="232">
        <f t="shared" si="5418"/>
        <v>0</v>
      </c>
      <c r="CN372" s="232">
        <f t="shared" si="5418"/>
        <v>0</v>
      </c>
      <c r="CO372" s="232">
        <f t="shared" si="5418"/>
        <v>0</v>
      </c>
      <c r="CP372" s="232">
        <f t="shared" si="5418"/>
        <v>0</v>
      </c>
      <c r="CQ372" s="239">
        <f t="shared" si="5418"/>
        <v>0</v>
      </c>
      <c r="CR372" s="232">
        <f t="shared" si="5418"/>
        <v>0</v>
      </c>
      <c r="CS372" s="232">
        <f t="shared" si="5418"/>
        <v>0</v>
      </c>
      <c r="CT372" s="232">
        <f t="shared" si="5418"/>
        <v>0</v>
      </c>
      <c r="CU372" s="232">
        <f t="shared" si="5418"/>
        <v>0</v>
      </c>
      <c r="CV372" s="232">
        <f t="shared" si="5418"/>
        <v>0</v>
      </c>
      <c r="CW372" s="232">
        <f t="shared" si="5418"/>
        <v>0</v>
      </c>
      <c r="CX372" s="232">
        <f t="shared" si="5418"/>
        <v>0</v>
      </c>
      <c r="CY372" s="232">
        <f t="shared" si="5418"/>
        <v>0</v>
      </c>
      <c r="CZ372" s="232">
        <f t="shared" si="5418"/>
        <v>0</v>
      </c>
      <c r="DA372" s="232">
        <f t="shared" si="5418"/>
        <v>0</v>
      </c>
      <c r="DB372" s="232">
        <f t="shared" si="5418"/>
        <v>0</v>
      </c>
      <c r="DC372" s="239">
        <f t="shared" si="5418"/>
        <v>0</v>
      </c>
    </row>
    <row r="373" spans="3:107" x14ac:dyDescent="0.3">
      <c r="C373" s="321" t="str">
        <f>++C$30</f>
        <v>% margin</v>
      </c>
      <c r="G373" s="214" t="str">
        <f>++IFERROR(G372/G353,"n/a")</f>
        <v>n/a</v>
      </c>
      <c r="H373" s="225" t="str">
        <f t="shared" ref="H373" si="5419">++IFERROR(H372/H353,"n/a")</f>
        <v>n/a</v>
      </c>
      <c r="I373" s="225" t="str">
        <f t="shared" ref="I373" si="5420">++IFERROR(I372/I353,"n/a")</f>
        <v>n/a</v>
      </c>
      <c r="J373" s="225" t="str">
        <f t="shared" ref="J373" si="5421">++IFERROR(J372/J353,"n/a")</f>
        <v>n/a</v>
      </c>
      <c r="K373" s="214" t="str">
        <f t="shared" ref="K373" si="5422">++IFERROR(K372/K353,"n/a")</f>
        <v>n/a</v>
      </c>
      <c r="L373" s="225" t="str">
        <f t="shared" ref="L373" si="5423">++IFERROR(L372/L353,"n/a")</f>
        <v>n/a</v>
      </c>
      <c r="M373" s="225" t="str">
        <f t="shared" ref="M373" si="5424">++IFERROR(M372/M353,"n/a")</f>
        <v>n/a</v>
      </c>
      <c r="N373" s="225" t="str">
        <f t="shared" ref="N373" si="5425">++IFERROR(N372/N353,"n/a")</f>
        <v>n/a</v>
      </c>
      <c r="O373" s="225" t="str">
        <f t="shared" ref="O373" si="5426">++IFERROR(O372/O353,"n/a")</f>
        <v>n/a</v>
      </c>
      <c r="P373" s="225" t="str">
        <f t="shared" ref="P373" si="5427">++IFERROR(P372/P353,"n/a")</f>
        <v>n/a</v>
      </c>
      <c r="Q373" s="225" t="str">
        <f t="shared" ref="Q373" si="5428">++IFERROR(Q372/Q353,"n/a")</f>
        <v>n/a</v>
      </c>
      <c r="R373" s="225" t="str">
        <f t="shared" ref="R373" si="5429">++IFERROR(R372/R353,"n/a")</f>
        <v>n/a</v>
      </c>
      <c r="S373" s="225" t="str">
        <f t="shared" ref="S373" si="5430">++IFERROR(S372/S353,"n/a")</f>
        <v>n/a</v>
      </c>
      <c r="T373" s="225" t="str">
        <f t="shared" ref="T373" si="5431">++IFERROR(T372/T353,"n/a")</f>
        <v>n/a</v>
      </c>
      <c r="U373" s="225" t="str">
        <f t="shared" ref="U373" si="5432">++IFERROR(U372/U353,"n/a")</f>
        <v>n/a</v>
      </c>
      <c r="V373" s="225" t="str">
        <f t="shared" ref="V373" si="5433">++IFERROR(V372/V353,"n/a")</f>
        <v>n/a</v>
      </c>
      <c r="W373" s="214" t="str">
        <f t="shared" ref="W373" si="5434">++IFERROR(W372/W353,"n/a")</f>
        <v>n/a</v>
      </c>
      <c r="X373" s="225" t="str">
        <f t="shared" ref="X373" si="5435">++IFERROR(X372/X353,"n/a")</f>
        <v>n/a</v>
      </c>
      <c r="Y373" s="225" t="str">
        <f t="shared" ref="Y373" si="5436">++IFERROR(Y372/Y353,"n/a")</f>
        <v>n/a</v>
      </c>
      <c r="Z373" s="225" t="str">
        <f t="shared" ref="Z373" si="5437">++IFERROR(Z372/Z353,"n/a")</f>
        <v>n/a</v>
      </c>
      <c r="AA373" s="225" t="str">
        <f t="shared" ref="AA373" si="5438">++IFERROR(AA372/AA353,"n/a")</f>
        <v>n/a</v>
      </c>
      <c r="AB373" s="225" t="str">
        <f t="shared" ref="AB373" si="5439">++IFERROR(AB372/AB353,"n/a")</f>
        <v>n/a</v>
      </c>
      <c r="AC373" s="225" t="str">
        <f t="shared" ref="AC373" si="5440">++IFERROR(AC372/AC353,"n/a")</f>
        <v>n/a</v>
      </c>
      <c r="AD373" s="225" t="str">
        <f t="shared" ref="AD373" si="5441">++IFERROR(AD372/AD353,"n/a")</f>
        <v>n/a</v>
      </c>
      <c r="AE373" s="225" t="str">
        <f t="shared" ref="AE373" si="5442">++IFERROR(AE372/AE353,"n/a")</f>
        <v>n/a</v>
      </c>
      <c r="AF373" s="225" t="str">
        <f t="shared" ref="AF373" si="5443">++IFERROR(AF372/AF353,"n/a")</f>
        <v>n/a</v>
      </c>
      <c r="AG373" s="225" t="str">
        <f t="shared" ref="AG373" si="5444">++IFERROR(AG372/AG353,"n/a")</f>
        <v>n/a</v>
      </c>
      <c r="AH373" s="225" t="str">
        <f t="shared" ref="AH373" si="5445">++IFERROR(AH372/AH353,"n/a")</f>
        <v>n/a</v>
      </c>
      <c r="AI373" s="214" t="str">
        <f t="shared" ref="AI373" si="5446">++IFERROR(AI372/AI353,"n/a")</f>
        <v>n/a</v>
      </c>
      <c r="AJ373" s="225" t="str">
        <f t="shared" ref="AJ373" si="5447">++IFERROR(AJ372/AJ353,"n/a")</f>
        <v>n/a</v>
      </c>
      <c r="AK373" s="225" t="str">
        <f t="shared" ref="AK373" si="5448">++IFERROR(AK372/AK353,"n/a")</f>
        <v>n/a</v>
      </c>
      <c r="AL373" s="225" t="str">
        <f t="shared" ref="AL373" si="5449">++IFERROR(AL372/AL353,"n/a")</f>
        <v>n/a</v>
      </c>
      <c r="AM373" s="225" t="str">
        <f t="shared" ref="AM373" si="5450">++IFERROR(AM372/AM353,"n/a")</f>
        <v>n/a</v>
      </c>
      <c r="AN373" s="225" t="str">
        <f t="shared" ref="AN373" si="5451">++IFERROR(AN372/AN353,"n/a")</f>
        <v>n/a</v>
      </c>
      <c r="AO373" s="225" t="str">
        <f t="shared" ref="AO373" si="5452">++IFERROR(AO372/AO353,"n/a")</f>
        <v>n/a</v>
      </c>
      <c r="AP373" s="225" t="str">
        <f t="shared" ref="AP373" si="5453">++IFERROR(AP372/AP353,"n/a")</f>
        <v>n/a</v>
      </c>
      <c r="AQ373" s="225" t="str">
        <f t="shared" ref="AQ373" si="5454">++IFERROR(AQ372/AQ353,"n/a")</f>
        <v>n/a</v>
      </c>
      <c r="AR373" s="225" t="str">
        <f t="shared" ref="AR373" si="5455">++IFERROR(AR372/AR353,"n/a")</f>
        <v>n/a</v>
      </c>
      <c r="AS373" s="225" t="str">
        <f t="shared" ref="AS373" si="5456">++IFERROR(AS372/AS353,"n/a")</f>
        <v>n/a</v>
      </c>
      <c r="AT373" s="225" t="str">
        <f t="shared" ref="AT373" si="5457">++IFERROR(AT372/AT353,"n/a")</f>
        <v>n/a</v>
      </c>
      <c r="AU373" s="214" t="str">
        <f t="shared" ref="AU373" si="5458">++IFERROR(AU372/AU353,"n/a")</f>
        <v>n/a</v>
      </c>
      <c r="AV373" s="225" t="str">
        <f t="shared" ref="AV373" si="5459">++IFERROR(AV372/AV353,"n/a")</f>
        <v>n/a</v>
      </c>
      <c r="AW373" s="225" t="str">
        <f t="shared" ref="AW373" si="5460">++IFERROR(AW372/AW353,"n/a")</f>
        <v>n/a</v>
      </c>
      <c r="AX373" s="225" t="str">
        <f t="shared" ref="AX373" si="5461">++IFERROR(AX372/AX353,"n/a")</f>
        <v>n/a</v>
      </c>
      <c r="AY373" s="225" t="str">
        <f t="shared" ref="AY373" si="5462">++IFERROR(AY372/AY353,"n/a")</f>
        <v>n/a</v>
      </c>
      <c r="AZ373" s="225" t="str">
        <f t="shared" ref="AZ373" si="5463">++IFERROR(AZ372/AZ353,"n/a")</f>
        <v>n/a</v>
      </c>
      <c r="BA373" s="225" t="str">
        <f t="shared" ref="BA373" si="5464">++IFERROR(BA372/BA353,"n/a")</f>
        <v>n/a</v>
      </c>
      <c r="BB373" s="225" t="str">
        <f t="shared" ref="BB373" si="5465">++IFERROR(BB372/BB353,"n/a")</f>
        <v>n/a</v>
      </c>
      <c r="BC373" s="225" t="str">
        <f t="shared" ref="BC373" si="5466">++IFERROR(BC372/BC353,"n/a")</f>
        <v>n/a</v>
      </c>
      <c r="BD373" s="225" t="str">
        <f t="shared" ref="BD373" si="5467">++IFERROR(BD372/BD353,"n/a")</f>
        <v>n/a</v>
      </c>
      <c r="BE373" s="225" t="str">
        <f t="shared" ref="BE373" si="5468">++IFERROR(BE372/BE353,"n/a")</f>
        <v>n/a</v>
      </c>
      <c r="BF373" s="225" t="str">
        <f t="shared" ref="BF373" si="5469">++IFERROR(BF372/BF353,"n/a")</f>
        <v>n/a</v>
      </c>
      <c r="BG373" s="214" t="str">
        <f t="shared" ref="BG373" si="5470">++IFERROR(BG372/BG353,"n/a")</f>
        <v>n/a</v>
      </c>
      <c r="BH373" s="225" t="str">
        <f t="shared" ref="BH373" si="5471">++IFERROR(BH372/BH353,"n/a")</f>
        <v>n/a</v>
      </c>
      <c r="BI373" s="225" t="str">
        <f t="shared" ref="BI373" si="5472">++IFERROR(BI372/BI353,"n/a")</f>
        <v>n/a</v>
      </c>
      <c r="BJ373" s="225" t="str">
        <f t="shared" ref="BJ373" si="5473">++IFERROR(BJ372/BJ353,"n/a")</f>
        <v>n/a</v>
      </c>
      <c r="BK373" s="225" t="str">
        <f t="shared" ref="BK373" si="5474">++IFERROR(BK372/BK353,"n/a")</f>
        <v>n/a</v>
      </c>
      <c r="BL373" s="225" t="str">
        <f t="shared" ref="BL373" si="5475">++IFERROR(BL372/BL353,"n/a")</f>
        <v>n/a</v>
      </c>
      <c r="BM373" s="225" t="str">
        <f t="shared" ref="BM373" si="5476">++IFERROR(BM372/BM353,"n/a")</f>
        <v>n/a</v>
      </c>
      <c r="BN373" s="225" t="str">
        <f t="shared" ref="BN373" si="5477">++IFERROR(BN372/BN353,"n/a")</f>
        <v>n/a</v>
      </c>
      <c r="BO373" s="225" t="str">
        <f t="shared" ref="BO373" si="5478">++IFERROR(BO372/BO353,"n/a")</f>
        <v>n/a</v>
      </c>
      <c r="BP373" s="225" t="str">
        <f t="shared" ref="BP373" si="5479">++IFERROR(BP372/BP353,"n/a")</f>
        <v>n/a</v>
      </c>
      <c r="BQ373" s="225" t="str">
        <f t="shared" ref="BQ373" si="5480">++IFERROR(BQ372/BQ353,"n/a")</f>
        <v>n/a</v>
      </c>
      <c r="BR373" s="225" t="str">
        <f t="shared" ref="BR373" si="5481">++IFERROR(BR372/BR353,"n/a")</f>
        <v>n/a</v>
      </c>
      <c r="BS373" s="214" t="str">
        <f t="shared" ref="BS373" si="5482">++IFERROR(BS372/BS353,"n/a")</f>
        <v>n/a</v>
      </c>
      <c r="BT373" s="225" t="str">
        <f t="shared" ref="BT373" si="5483">++IFERROR(BT372/BT353,"n/a")</f>
        <v>n/a</v>
      </c>
      <c r="BU373" s="225" t="str">
        <f t="shared" ref="BU373" si="5484">++IFERROR(BU372/BU353,"n/a")</f>
        <v>n/a</v>
      </c>
      <c r="BV373" s="225" t="str">
        <f t="shared" ref="BV373" si="5485">++IFERROR(BV372/BV353,"n/a")</f>
        <v>n/a</v>
      </c>
      <c r="BW373" s="225" t="str">
        <f t="shared" ref="BW373" si="5486">++IFERROR(BW372/BW353,"n/a")</f>
        <v>n/a</v>
      </c>
      <c r="BX373" s="225" t="str">
        <f t="shared" ref="BX373" si="5487">++IFERROR(BX372/BX353,"n/a")</f>
        <v>n/a</v>
      </c>
      <c r="BY373" s="225" t="str">
        <f t="shared" ref="BY373" si="5488">++IFERROR(BY372/BY353,"n/a")</f>
        <v>n/a</v>
      </c>
      <c r="BZ373" s="225" t="str">
        <f t="shared" ref="BZ373" si="5489">++IFERROR(BZ372/BZ353,"n/a")</f>
        <v>n/a</v>
      </c>
      <c r="CA373" s="225" t="str">
        <f t="shared" ref="CA373" si="5490">++IFERROR(CA372/CA353,"n/a")</f>
        <v>n/a</v>
      </c>
      <c r="CB373" s="225" t="str">
        <f t="shared" ref="CB373" si="5491">++IFERROR(CB372/CB353,"n/a")</f>
        <v>n/a</v>
      </c>
      <c r="CC373" s="225" t="str">
        <f t="shared" ref="CC373" si="5492">++IFERROR(CC372/CC353,"n/a")</f>
        <v>n/a</v>
      </c>
      <c r="CD373" s="225" t="str">
        <f t="shared" ref="CD373" si="5493">++IFERROR(CD372/CD353,"n/a")</f>
        <v>n/a</v>
      </c>
      <c r="CE373" s="214" t="str">
        <f t="shared" ref="CE373" si="5494">++IFERROR(CE372/CE353,"n/a")</f>
        <v>n/a</v>
      </c>
      <c r="CF373" s="225" t="str">
        <f t="shared" ref="CF373" si="5495">++IFERROR(CF372/CF353,"n/a")</f>
        <v>n/a</v>
      </c>
      <c r="CG373" s="225" t="str">
        <f t="shared" ref="CG373" si="5496">++IFERROR(CG372/CG353,"n/a")</f>
        <v>n/a</v>
      </c>
      <c r="CH373" s="225" t="str">
        <f t="shared" ref="CH373" si="5497">++IFERROR(CH372/CH353,"n/a")</f>
        <v>n/a</v>
      </c>
      <c r="CI373" s="225" t="str">
        <f t="shared" ref="CI373" si="5498">++IFERROR(CI372/CI353,"n/a")</f>
        <v>n/a</v>
      </c>
      <c r="CJ373" s="225" t="str">
        <f t="shared" ref="CJ373" si="5499">++IFERROR(CJ372/CJ353,"n/a")</f>
        <v>n/a</v>
      </c>
      <c r="CK373" s="225" t="str">
        <f t="shared" ref="CK373" si="5500">++IFERROR(CK372/CK353,"n/a")</f>
        <v>n/a</v>
      </c>
      <c r="CL373" s="225" t="str">
        <f t="shared" ref="CL373" si="5501">++IFERROR(CL372/CL353,"n/a")</f>
        <v>n/a</v>
      </c>
      <c r="CM373" s="225" t="str">
        <f t="shared" ref="CM373" si="5502">++IFERROR(CM372/CM353,"n/a")</f>
        <v>n/a</v>
      </c>
      <c r="CN373" s="225" t="str">
        <f t="shared" ref="CN373" si="5503">++IFERROR(CN372/CN353,"n/a")</f>
        <v>n/a</v>
      </c>
      <c r="CO373" s="225" t="str">
        <f t="shared" ref="CO373" si="5504">++IFERROR(CO372/CO353,"n/a")</f>
        <v>n/a</v>
      </c>
      <c r="CP373" s="225" t="str">
        <f t="shared" ref="CP373" si="5505">++IFERROR(CP372/CP353,"n/a")</f>
        <v>n/a</v>
      </c>
      <c r="CQ373" s="214" t="str">
        <f t="shared" ref="CQ373" si="5506">++IFERROR(CQ372/CQ353,"n/a")</f>
        <v>n/a</v>
      </c>
      <c r="CR373" s="225" t="str">
        <f t="shared" ref="CR373" si="5507">++IFERROR(CR372/CR353,"n/a")</f>
        <v>n/a</v>
      </c>
      <c r="CS373" s="225" t="str">
        <f t="shared" ref="CS373" si="5508">++IFERROR(CS372/CS353,"n/a")</f>
        <v>n/a</v>
      </c>
      <c r="CT373" s="225" t="str">
        <f t="shared" ref="CT373" si="5509">++IFERROR(CT372/CT353,"n/a")</f>
        <v>n/a</v>
      </c>
      <c r="CU373" s="225" t="str">
        <f t="shared" ref="CU373" si="5510">++IFERROR(CU372/CU353,"n/a")</f>
        <v>n/a</v>
      </c>
      <c r="CV373" s="225" t="str">
        <f t="shared" ref="CV373" si="5511">++IFERROR(CV372/CV353,"n/a")</f>
        <v>n/a</v>
      </c>
      <c r="CW373" s="225" t="str">
        <f t="shared" ref="CW373" si="5512">++IFERROR(CW372/CW353,"n/a")</f>
        <v>n/a</v>
      </c>
      <c r="CX373" s="225" t="str">
        <f t="shared" ref="CX373" si="5513">++IFERROR(CX372/CX353,"n/a")</f>
        <v>n/a</v>
      </c>
      <c r="CY373" s="225" t="str">
        <f t="shared" ref="CY373" si="5514">++IFERROR(CY372/CY353,"n/a")</f>
        <v>n/a</v>
      </c>
      <c r="CZ373" s="225" t="str">
        <f t="shared" ref="CZ373" si="5515">++IFERROR(CZ372/CZ353,"n/a")</f>
        <v>n/a</v>
      </c>
      <c r="DA373" s="225" t="str">
        <f t="shared" ref="DA373" si="5516">++IFERROR(DA372/DA353,"n/a")</f>
        <v>n/a</v>
      </c>
      <c r="DB373" s="225" t="str">
        <f t="shared" ref="DB373" si="5517">++IFERROR(DB372/DB353,"n/a")</f>
        <v>n/a</v>
      </c>
      <c r="DC373" s="214" t="str">
        <f t="shared" ref="DC373" si="5518">++IFERROR(DC372/DC353,"n/a")</f>
        <v>n/a</v>
      </c>
    </row>
    <row r="374" spans="3:107" x14ac:dyDescent="0.3">
      <c r="C374" s="321" t="str">
        <f>++C$31</f>
        <v>% y/y</v>
      </c>
      <c r="G374" s="122" t="s">
        <v>47</v>
      </c>
      <c r="H374" s="122" t="s">
        <v>47</v>
      </c>
      <c r="I374" s="122" t="s">
        <v>47</v>
      </c>
      <c r="J374" s="122" t="s">
        <v>47</v>
      </c>
      <c r="K374" s="214" t="str">
        <f>++IFERROR(K372/G372-1,"n/a")</f>
        <v>n/a</v>
      </c>
      <c r="L374" s="122" t="s">
        <v>47</v>
      </c>
      <c r="M374" s="122" t="s">
        <v>47</v>
      </c>
      <c r="N374" s="225" t="str">
        <f>++IFERROR(N372/H372-1,"n/a")</f>
        <v>n/a</v>
      </c>
      <c r="O374" s="122" t="s">
        <v>47</v>
      </c>
      <c r="P374" s="122" t="s">
        <v>47</v>
      </c>
      <c r="Q374" s="225" t="str">
        <f>++IFERROR(Q372/I372-1,"n/a")</f>
        <v>n/a</v>
      </c>
      <c r="R374" s="122" t="s">
        <v>47</v>
      </c>
      <c r="S374" s="122" t="s">
        <v>47</v>
      </c>
      <c r="T374" s="225" t="str">
        <f>++IFERROR(T372/J372-1,"n/a")</f>
        <v>n/a</v>
      </c>
      <c r="U374" s="122" t="s">
        <v>47</v>
      </c>
      <c r="V374" s="122" t="s">
        <v>47</v>
      </c>
      <c r="W374" s="214" t="str">
        <f t="shared" ref="W374:BB374" si="5519">++IFERROR(W372/K372-1,"n/a")</f>
        <v>n/a</v>
      </c>
      <c r="X374" s="225" t="str">
        <f t="shared" si="5519"/>
        <v>n/a</v>
      </c>
      <c r="Y374" s="225" t="str">
        <f t="shared" si="5519"/>
        <v>n/a</v>
      </c>
      <c r="Z374" s="225" t="str">
        <f t="shared" si="5519"/>
        <v>n/a</v>
      </c>
      <c r="AA374" s="225" t="str">
        <f t="shared" si="5519"/>
        <v>n/a</v>
      </c>
      <c r="AB374" s="225" t="str">
        <f t="shared" si="5519"/>
        <v>n/a</v>
      </c>
      <c r="AC374" s="225" t="str">
        <f t="shared" si="5519"/>
        <v>n/a</v>
      </c>
      <c r="AD374" s="225" t="str">
        <f t="shared" si="5519"/>
        <v>n/a</v>
      </c>
      <c r="AE374" s="225" t="str">
        <f t="shared" si="5519"/>
        <v>n/a</v>
      </c>
      <c r="AF374" s="225" t="str">
        <f t="shared" si="5519"/>
        <v>n/a</v>
      </c>
      <c r="AG374" s="225" t="str">
        <f t="shared" si="5519"/>
        <v>n/a</v>
      </c>
      <c r="AH374" s="225" t="str">
        <f t="shared" si="5519"/>
        <v>n/a</v>
      </c>
      <c r="AI374" s="214" t="str">
        <f t="shared" si="5519"/>
        <v>n/a</v>
      </c>
      <c r="AJ374" s="225" t="str">
        <f t="shared" si="5519"/>
        <v>n/a</v>
      </c>
      <c r="AK374" s="225" t="str">
        <f t="shared" si="5519"/>
        <v>n/a</v>
      </c>
      <c r="AL374" s="225" t="str">
        <f t="shared" si="5519"/>
        <v>n/a</v>
      </c>
      <c r="AM374" s="225" t="str">
        <f t="shared" si="5519"/>
        <v>n/a</v>
      </c>
      <c r="AN374" s="225" t="str">
        <f t="shared" si="5519"/>
        <v>n/a</v>
      </c>
      <c r="AO374" s="225" t="str">
        <f t="shared" si="5519"/>
        <v>n/a</v>
      </c>
      <c r="AP374" s="225" t="str">
        <f t="shared" si="5519"/>
        <v>n/a</v>
      </c>
      <c r="AQ374" s="225" t="str">
        <f t="shared" si="5519"/>
        <v>n/a</v>
      </c>
      <c r="AR374" s="225" t="str">
        <f t="shared" si="5519"/>
        <v>n/a</v>
      </c>
      <c r="AS374" s="225" t="str">
        <f t="shared" si="5519"/>
        <v>n/a</v>
      </c>
      <c r="AT374" s="225" t="str">
        <f t="shared" si="5519"/>
        <v>n/a</v>
      </c>
      <c r="AU374" s="214" t="str">
        <f t="shared" si="5519"/>
        <v>n/a</v>
      </c>
      <c r="AV374" s="225" t="str">
        <f t="shared" si="5519"/>
        <v>n/a</v>
      </c>
      <c r="AW374" s="225" t="str">
        <f t="shared" si="5519"/>
        <v>n/a</v>
      </c>
      <c r="AX374" s="225" t="str">
        <f t="shared" si="5519"/>
        <v>n/a</v>
      </c>
      <c r="AY374" s="225" t="str">
        <f t="shared" si="5519"/>
        <v>n/a</v>
      </c>
      <c r="AZ374" s="225" t="str">
        <f t="shared" si="5519"/>
        <v>n/a</v>
      </c>
      <c r="BA374" s="225" t="str">
        <f t="shared" si="5519"/>
        <v>n/a</v>
      </c>
      <c r="BB374" s="225" t="str">
        <f t="shared" si="5519"/>
        <v>n/a</v>
      </c>
      <c r="BC374" s="225" t="str">
        <f t="shared" ref="BC374:CH374" si="5520">++IFERROR(BC372/AQ372-1,"n/a")</f>
        <v>n/a</v>
      </c>
      <c r="BD374" s="225" t="str">
        <f t="shared" si="5520"/>
        <v>n/a</v>
      </c>
      <c r="BE374" s="225" t="str">
        <f t="shared" si="5520"/>
        <v>n/a</v>
      </c>
      <c r="BF374" s="225" t="str">
        <f t="shared" si="5520"/>
        <v>n/a</v>
      </c>
      <c r="BG374" s="214" t="str">
        <f t="shared" si="5520"/>
        <v>n/a</v>
      </c>
      <c r="BH374" s="225" t="str">
        <f t="shared" si="5520"/>
        <v>n/a</v>
      </c>
      <c r="BI374" s="225" t="str">
        <f t="shared" si="5520"/>
        <v>n/a</v>
      </c>
      <c r="BJ374" s="225" t="str">
        <f t="shared" si="5520"/>
        <v>n/a</v>
      </c>
      <c r="BK374" s="225" t="str">
        <f t="shared" si="5520"/>
        <v>n/a</v>
      </c>
      <c r="BL374" s="225" t="str">
        <f t="shared" si="5520"/>
        <v>n/a</v>
      </c>
      <c r="BM374" s="225" t="str">
        <f t="shared" si="5520"/>
        <v>n/a</v>
      </c>
      <c r="BN374" s="225" t="str">
        <f t="shared" si="5520"/>
        <v>n/a</v>
      </c>
      <c r="BO374" s="225" t="str">
        <f t="shared" si="5520"/>
        <v>n/a</v>
      </c>
      <c r="BP374" s="225" t="str">
        <f t="shared" si="5520"/>
        <v>n/a</v>
      </c>
      <c r="BQ374" s="225" t="str">
        <f t="shared" si="5520"/>
        <v>n/a</v>
      </c>
      <c r="BR374" s="225" t="str">
        <f t="shared" si="5520"/>
        <v>n/a</v>
      </c>
      <c r="BS374" s="214" t="str">
        <f t="shared" si="5520"/>
        <v>n/a</v>
      </c>
      <c r="BT374" s="225" t="str">
        <f t="shared" si="5520"/>
        <v>n/a</v>
      </c>
      <c r="BU374" s="225" t="str">
        <f t="shared" si="5520"/>
        <v>n/a</v>
      </c>
      <c r="BV374" s="225" t="str">
        <f t="shared" si="5520"/>
        <v>n/a</v>
      </c>
      <c r="BW374" s="225" t="str">
        <f t="shared" si="5520"/>
        <v>n/a</v>
      </c>
      <c r="BX374" s="225" t="str">
        <f t="shared" si="5520"/>
        <v>n/a</v>
      </c>
      <c r="BY374" s="225" t="str">
        <f t="shared" si="5520"/>
        <v>n/a</v>
      </c>
      <c r="BZ374" s="225" t="str">
        <f t="shared" si="5520"/>
        <v>n/a</v>
      </c>
      <c r="CA374" s="225" t="str">
        <f t="shared" si="5520"/>
        <v>n/a</v>
      </c>
      <c r="CB374" s="225" t="str">
        <f t="shared" si="5520"/>
        <v>n/a</v>
      </c>
      <c r="CC374" s="225" t="str">
        <f t="shared" si="5520"/>
        <v>n/a</v>
      </c>
      <c r="CD374" s="225" t="str">
        <f t="shared" si="5520"/>
        <v>n/a</v>
      </c>
      <c r="CE374" s="214" t="str">
        <f t="shared" si="5520"/>
        <v>n/a</v>
      </c>
      <c r="CF374" s="225" t="str">
        <f t="shared" si="5520"/>
        <v>n/a</v>
      </c>
      <c r="CG374" s="225" t="str">
        <f t="shared" si="5520"/>
        <v>n/a</v>
      </c>
      <c r="CH374" s="225" t="str">
        <f t="shared" si="5520"/>
        <v>n/a</v>
      </c>
      <c r="CI374" s="225" t="str">
        <f t="shared" ref="CI374:DN374" si="5521">++IFERROR(CI372/BW372-1,"n/a")</f>
        <v>n/a</v>
      </c>
      <c r="CJ374" s="225" t="str">
        <f t="shared" si="5521"/>
        <v>n/a</v>
      </c>
      <c r="CK374" s="225" t="str">
        <f t="shared" si="5521"/>
        <v>n/a</v>
      </c>
      <c r="CL374" s="225" t="str">
        <f t="shared" si="5521"/>
        <v>n/a</v>
      </c>
      <c r="CM374" s="225" t="str">
        <f t="shared" si="5521"/>
        <v>n/a</v>
      </c>
      <c r="CN374" s="225" t="str">
        <f t="shared" si="5521"/>
        <v>n/a</v>
      </c>
      <c r="CO374" s="225" t="str">
        <f t="shared" si="5521"/>
        <v>n/a</v>
      </c>
      <c r="CP374" s="225" t="str">
        <f t="shared" si="5521"/>
        <v>n/a</v>
      </c>
      <c r="CQ374" s="214" t="str">
        <f t="shared" si="5521"/>
        <v>n/a</v>
      </c>
      <c r="CR374" s="225" t="str">
        <f t="shared" si="5521"/>
        <v>n/a</v>
      </c>
      <c r="CS374" s="225" t="str">
        <f t="shared" si="5521"/>
        <v>n/a</v>
      </c>
      <c r="CT374" s="225" t="str">
        <f t="shared" si="5521"/>
        <v>n/a</v>
      </c>
      <c r="CU374" s="225" t="str">
        <f t="shared" si="5521"/>
        <v>n/a</v>
      </c>
      <c r="CV374" s="225" t="str">
        <f t="shared" si="5521"/>
        <v>n/a</v>
      </c>
      <c r="CW374" s="225" t="str">
        <f t="shared" si="5521"/>
        <v>n/a</v>
      </c>
      <c r="CX374" s="225" t="str">
        <f t="shared" si="5521"/>
        <v>n/a</v>
      </c>
      <c r="CY374" s="225" t="str">
        <f t="shared" si="5521"/>
        <v>n/a</v>
      </c>
      <c r="CZ374" s="225" t="str">
        <f t="shared" si="5521"/>
        <v>n/a</v>
      </c>
      <c r="DA374" s="225" t="str">
        <f t="shared" si="5521"/>
        <v>n/a</v>
      </c>
      <c r="DB374" s="225" t="str">
        <f t="shared" si="5521"/>
        <v>n/a</v>
      </c>
      <c r="DC374" s="214" t="str">
        <f t="shared" si="5521"/>
        <v>n/a</v>
      </c>
    </row>
    <row r="375" spans="3:107" x14ac:dyDescent="0.3">
      <c r="G375" s="203"/>
      <c r="K375" s="203"/>
      <c r="W375" s="203"/>
      <c r="AI375" s="203"/>
      <c r="AU375" s="203"/>
      <c r="BG375" s="203"/>
      <c r="BS375" s="203"/>
      <c r="CE375" s="203"/>
      <c r="CQ375" s="203"/>
      <c r="DC375" s="203"/>
    </row>
    <row r="376" spans="3:107" x14ac:dyDescent="0.3">
      <c r="C376" s="101" t="str">
        <f>++C$33</f>
        <v>Tax Expense (Benefit)</v>
      </c>
      <c r="G376" s="45">
        <v>0</v>
      </c>
      <c r="H376" s="45">
        <v>0</v>
      </c>
      <c r="I376" s="45">
        <v>0</v>
      </c>
      <c r="J376" s="45">
        <v>0</v>
      </c>
      <c r="K376" s="45">
        <v>0</v>
      </c>
      <c r="L376" s="45">
        <v>0</v>
      </c>
      <c r="M376" s="45">
        <v>0</v>
      </c>
      <c r="N376" s="45">
        <v>0</v>
      </c>
      <c r="O376" s="45">
        <v>0</v>
      </c>
      <c r="P376" s="45">
        <v>0</v>
      </c>
      <c r="Q376" s="45">
        <v>0</v>
      </c>
      <c r="R376" s="45">
        <v>0</v>
      </c>
      <c r="S376" s="45">
        <v>0</v>
      </c>
      <c r="T376" s="45">
        <v>0</v>
      </c>
      <c r="U376" s="45">
        <v>0</v>
      </c>
      <c r="V376" s="45">
        <v>0</v>
      </c>
      <c r="W376" s="45">
        <v>0</v>
      </c>
      <c r="X376" s="45">
        <v>0</v>
      </c>
      <c r="Y376" s="45">
        <v>0</v>
      </c>
      <c r="Z376" s="45">
        <v>0</v>
      </c>
      <c r="AA376" s="45">
        <v>0</v>
      </c>
      <c r="AB376" s="45">
        <v>0</v>
      </c>
      <c r="AC376" s="45">
        <v>0</v>
      </c>
      <c r="AD376" s="45">
        <v>0</v>
      </c>
      <c r="AE376" s="45">
        <v>0</v>
      </c>
      <c r="AF376" s="45">
        <v>0</v>
      </c>
      <c r="AG376" s="45">
        <v>0</v>
      </c>
      <c r="AH376" s="45">
        <v>0</v>
      </c>
      <c r="AI376" s="45">
        <v>0</v>
      </c>
      <c r="AJ376" s="45">
        <v>0</v>
      </c>
      <c r="AK376" s="45">
        <v>0</v>
      </c>
      <c r="AL376" s="45">
        <v>0</v>
      </c>
      <c r="AM376" s="45">
        <v>0</v>
      </c>
      <c r="AN376" s="45">
        <v>0</v>
      </c>
      <c r="AO376" s="45">
        <v>0</v>
      </c>
      <c r="AP376" s="45">
        <v>0</v>
      </c>
      <c r="AQ376" s="45">
        <v>0</v>
      </c>
      <c r="AR376" s="45">
        <v>0</v>
      </c>
      <c r="AS376" s="45">
        <v>0</v>
      </c>
      <c r="AT376" s="45">
        <v>0</v>
      </c>
      <c r="AU376" s="45">
        <v>0</v>
      </c>
      <c r="AV376" s="45">
        <v>0</v>
      </c>
      <c r="AW376" s="45">
        <v>0</v>
      </c>
      <c r="AX376" s="45">
        <v>0</v>
      </c>
      <c r="AY376" s="45">
        <v>0</v>
      </c>
      <c r="AZ376" s="45">
        <v>0</v>
      </c>
      <c r="BA376" s="45">
        <v>0</v>
      </c>
      <c r="BB376" s="45">
        <v>0</v>
      </c>
      <c r="BC376" s="45">
        <v>0</v>
      </c>
      <c r="BD376" s="45">
        <v>0</v>
      </c>
      <c r="BE376" s="45">
        <v>0</v>
      </c>
      <c r="BF376" s="45">
        <v>0</v>
      </c>
      <c r="BG376" s="45">
        <v>0</v>
      </c>
      <c r="BH376" s="45">
        <v>0</v>
      </c>
      <c r="BI376" s="45">
        <v>0</v>
      </c>
      <c r="BJ376" s="45">
        <v>0</v>
      </c>
      <c r="BK376" s="45">
        <v>0</v>
      </c>
      <c r="BL376" s="45">
        <v>0</v>
      </c>
      <c r="BM376" s="45">
        <v>0</v>
      </c>
      <c r="BN376" s="45">
        <v>0</v>
      </c>
      <c r="BO376" s="45">
        <v>0</v>
      </c>
      <c r="BP376" s="45">
        <v>0</v>
      </c>
      <c r="BQ376" s="45">
        <v>0</v>
      </c>
      <c r="BR376" s="45">
        <v>0</v>
      </c>
      <c r="BS376" s="45">
        <v>0</v>
      </c>
      <c r="BT376" s="45">
        <v>0</v>
      </c>
      <c r="BU376" s="45">
        <v>0</v>
      </c>
      <c r="BV376" s="45">
        <v>0</v>
      </c>
      <c r="BW376" s="45">
        <v>0</v>
      </c>
      <c r="BX376" s="45">
        <v>0</v>
      </c>
      <c r="BY376" s="45">
        <v>0</v>
      </c>
      <c r="BZ376" s="45">
        <v>0</v>
      </c>
      <c r="CA376" s="45">
        <v>0</v>
      </c>
      <c r="CB376" s="45">
        <v>0</v>
      </c>
      <c r="CC376" s="45">
        <v>0</v>
      </c>
      <c r="CD376" s="45">
        <v>0</v>
      </c>
      <c r="CE376" s="45">
        <v>0</v>
      </c>
      <c r="CF376" s="45">
        <v>0</v>
      </c>
      <c r="CG376" s="45">
        <v>0</v>
      </c>
      <c r="CH376" s="45">
        <v>0</v>
      </c>
      <c r="CI376" s="45">
        <v>0</v>
      </c>
      <c r="CJ376" s="45">
        <v>0</v>
      </c>
      <c r="CK376" s="45">
        <v>0</v>
      </c>
      <c r="CL376" s="45">
        <v>0</v>
      </c>
      <c r="CM376" s="45">
        <v>0</v>
      </c>
      <c r="CN376" s="45">
        <v>0</v>
      </c>
      <c r="CO376" s="45">
        <v>0</v>
      </c>
      <c r="CP376" s="45">
        <v>0</v>
      </c>
      <c r="CQ376" s="45">
        <v>0</v>
      </c>
      <c r="CR376" s="45">
        <v>0</v>
      </c>
      <c r="CS376" s="45">
        <v>0</v>
      </c>
      <c r="CT376" s="45">
        <v>0</v>
      </c>
      <c r="CU376" s="45">
        <v>0</v>
      </c>
      <c r="CV376" s="45">
        <v>0</v>
      </c>
      <c r="CW376" s="45">
        <v>0</v>
      </c>
      <c r="CX376" s="45">
        <v>0</v>
      </c>
      <c r="CY376" s="45">
        <v>0</v>
      </c>
      <c r="CZ376" s="45">
        <v>0</v>
      </c>
      <c r="DA376" s="45">
        <v>0</v>
      </c>
      <c r="DB376" s="45">
        <v>0</v>
      </c>
      <c r="DC376" s="45">
        <v>0</v>
      </c>
    </row>
    <row r="377" spans="3:107" x14ac:dyDescent="0.3">
      <c r="C377" s="321" t="str">
        <f>++C$34</f>
        <v>% effective rate</v>
      </c>
      <c r="G377" s="214" t="str">
        <f>++IFERROR(G376/G372,"n/a")</f>
        <v>n/a</v>
      </c>
      <c r="H377" s="225" t="str">
        <f t="shared" ref="H377" si="5522">++IFERROR(H376/H372,"n/a")</f>
        <v>n/a</v>
      </c>
      <c r="I377" s="225" t="str">
        <f t="shared" ref="I377" si="5523">++IFERROR(I376/I372,"n/a")</f>
        <v>n/a</v>
      </c>
      <c r="J377" s="225" t="str">
        <f t="shared" ref="J377" si="5524">++IFERROR(J376/J372,"n/a")</f>
        <v>n/a</v>
      </c>
      <c r="K377" s="214" t="str">
        <f t="shared" ref="K377" si="5525">++IFERROR(K376/K372,"n/a")</f>
        <v>n/a</v>
      </c>
      <c r="L377" s="225" t="str">
        <f t="shared" ref="L377" si="5526">++IFERROR(L376/L372,"n/a")</f>
        <v>n/a</v>
      </c>
      <c r="M377" s="225" t="str">
        <f t="shared" ref="M377" si="5527">++IFERROR(M376/M372,"n/a")</f>
        <v>n/a</v>
      </c>
      <c r="N377" s="225" t="str">
        <f t="shared" ref="N377" si="5528">++IFERROR(N376/N372,"n/a")</f>
        <v>n/a</v>
      </c>
      <c r="O377" s="225" t="str">
        <f t="shared" ref="O377" si="5529">++IFERROR(O376/O372,"n/a")</f>
        <v>n/a</v>
      </c>
      <c r="P377" s="225" t="str">
        <f t="shared" ref="P377" si="5530">++IFERROR(P376/P372,"n/a")</f>
        <v>n/a</v>
      </c>
      <c r="Q377" s="225" t="str">
        <f t="shared" ref="Q377" si="5531">++IFERROR(Q376/Q372,"n/a")</f>
        <v>n/a</v>
      </c>
      <c r="R377" s="225" t="str">
        <f t="shared" ref="R377" si="5532">++IFERROR(R376/R372,"n/a")</f>
        <v>n/a</v>
      </c>
      <c r="S377" s="225" t="str">
        <f t="shared" ref="S377" si="5533">++IFERROR(S376/S372,"n/a")</f>
        <v>n/a</v>
      </c>
      <c r="T377" s="225" t="str">
        <f t="shared" ref="T377" si="5534">++IFERROR(T376/T372,"n/a")</f>
        <v>n/a</v>
      </c>
      <c r="U377" s="225" t="str">
        <f t="shared" ref="U377" si="5535">++IFERROR(U376/U372,"n/a")</f>
        <v>n/a</v>
      </c>
      <c r="V377" s="225" t="str">
        <f t="shared" ref="V377" si="5536">++IFERROR(V376/V372,"n/a")</f>
        <v>n/a</v>
      </c>
      <c r="W377" s="214" t="str">
        <f t="shared" ref="W377" si="5537">++IFERROR(W376/W372,"n/a")</f>
        <v>n/a</v>
      </c>
      <c r="X377" s="225" t="str">
        <f t="shared" ref="X377" si="5538">++IFERROR(X376/X372,"n/a")</f>
        <v>n/a</v>
      </c>
      <c r="Y377" s="225" t="str">
        <f t="shared" ref="Y377" si="5539">++IFERROR(Y376/Y372,"n/a")</f>
        <v>n/a</v>
      </c>
      <c r="Z377" s="225" t="str">
        <f t="shared" ref="Z377" si="5540">++IFERROR(Z376/Z372,"n/a")</f>
        <v>n/a</v>
      </c>
      <c r="AA377" s="225" t="str">
        <f t="shared" ref="AA377" si="5541">++IFERROR(AA376/AA372,"n/a")</f>
        <v>n/a</v>
      </c>
      <c r="AB377" s="225" t="str">
        <f t="shared" ref="AB377" si="5542">++IFERROR(AB376/AB372,"n/a")</f>
        <v>n/a</v>
      </c>
      <c r="AC377" s="225" t="str">
        <f t="shared" ref="AC377" si="5543">++IFERROR(AC376/AC372,"n/a")</f>
        <v>n/a</v>
      </c>
      <c r="AD377" s="225" t="str">
        <f t="shared" ref="AD377" si="5544">++IFERROR(AD376/AD372,"n/a")</f>
        <v>n/a</v>
      </c>
      <c r="AE377" s="225" t="str">
        <f t="shared" ref="AE377" si="5545">++IFERROR(AE376/AE372,"n/a")</f>
        <v>n/a</v>
      </c>
      <c r="AF377" s="225" t="str">
        <f t="shared" ref="AF377" si="5546">++IFERROR(AF376/AF372,"n/a")</f>
        <v>n/a</v>
      </c>
      <c r="AG377" s="225" t="str">
        <f t="shared" ref="AG377" si="5547">++IFERROR(AG376/AG372,"n/a")</f>
        <v>n/a</v>
      </c>
      <c r="AH377" s="225" t="str">
        <f t="shared" ref="AH377" si="5548">++IFERROR(AH376/AH372,"n/a")</f>
        <v>n/a</v>
      </c>
      <c r="AI377" s="214" t="str">
        <f t="shared" ref="AI377" si="5549">++IFERROR(AI376/AI372,"n/a")</f>
        <v>n/a</v>
      </c>
      <c r="AJ377" s="225" t="str">
        <f t="shared" ref="AJ377" si="5550">++IFERROR(AJ376/AJ372,"n/a")</f>
        <v>n/a</v>
      </c>
      <c r="AK377" s="225" t="str">
        <f t="shared" ref="AK377" si="5551">++IFERROR(AK376/AK372,"n/a")</f>
        <v>n/a</v>
      </c>
      <c r="AL377" s="225" t="str">
        <f t="shared" ref="AL377" si="5552">++IFERROR(AL376/AL372,"n/a")</f>
        <v>n/a</v>
      </c>
      <c r="AM377" s="225" t="str">
        <f t="shared" ref="AM377" si="5553">++IFERROR(AM376/AM372,"n/a")</f>
        <v>n/a</v>
      </c>
      <c r="AN377" s="225" t="str">
        <f t="shared" ref="AN377" si="5554">++IFERROR(AN376/AN372,"n/a")</f>
        <v>n/a</v>
      </c>
      <c r="AO377" s="225" t="str">
        <f t="shared" ref="AO377" si="5555">++IFERROR(AO376/AO372,"n/a")</f>
        <v>n/a</v>
      </c>
      <c r="AP377" s="225" t="str">
        <f t="shared" ref="AP377" si="5556">++IFERROR(AP376/AP372,"n/a")</f>
        <v>n/a</v>
      </c>
      <c r="AQ377" s="225" t="str">
        <f t="shared" ref="AQ377" si="5557">++IFERROR(AQ376/AQ372,"n/a")</f>
        <v>n/a</v>
      </c>
      <c r="AR377" s="225" t="str">
        <f t="shared" ref="AR377" si="5558">++IFERROR(AR376/AR372,"n/a")</f>
        <v>n/a</v>
      </c>
      <c r="AS377" s="225" t="str">
        <f t="shared" ref="AS377" si="5559">++IFERROR(AS376/AS372,"n/a")</f>
        <v>n/a</v>
      </c>
      <c r="AT377" s="225" t="str">
        <f t="shared" ref="AT377" si="5560">++IFERROR(AT376/AT372,"n/a")</f>
        <v>n/a</v>
      </c>
      <c r="AU377" s="214" t="str">
        <f t="shared" ref="AU377" si="5561">++IFERROR(AU376/AU372,"n/a")</f>
        <v>n/a</v>
      </c>
      <c r="AV377" s="225" t="str">
        <f t="shared" ref="AV377" si="5562">++IFERROR(AV376/AV372,"n/a")</f>
        <v>n/a</v>
      </c>
      <c r="AW377" s="225" t="str">
        <f t="shared" ref="AW377" si="5563">++IFERROR(AW376/AW372,"n/a")</f>
        <v>n/a</v>
      </c>
      <c r="AX377" s="225" t="str">
        <f t="shared" ref="AX377" si="5564">++IFERROR(AX376/AX372,"n/a")</f>
        <v>n/a</v>
      </c>
      <c r="AY377" s="225" t="str">
        <f t="shared" ref="AY377" si="5565">++IFERROR(AY376/AY372,"n/a")</f>
        <v>n/a</v>
      </c>
      <c r="AZ377" s="225" t="str">
        <f t="shared" ref="AZ377" si="5566">++IFERROR(AZ376/AZ372,"n/a")</f>
        <v>n/a</v>
      </c>
      <c r="BA377" s="225" t="str">
        <f t="shared" ref="BA377" si="5567">++IFERROR(BA376/BA372,"n/a")</f>
        <v>n/a</v>
      </c>
      <c r="BB377" s="225" t="str">
        <f t="shared" ref="BB377" si="5568">++IFERROR(BB376/BB372,"n/a")</f>
        <v>n/a</v>
      </c>
      <c r="BC377" s="225" t="str">
        <f t="shared" ref="BC377" si="5569">++IFERROR(BC376/BC372,"n/a")</f>
        <v>n/a</v>
      </c>
      <c r="BD377" s="225" t="str">
        <f t="shared" ref="BD377" si="5570">++IFERROR(BD376/BD372,"n/a")</f>
        <v>n/a</v>
      </c>
      <c r="BE377" s="225" t="str">
        <f t="shared" ref="BE377" si="5571">++IFERROR(BE376/BE372,"n/a")</f>
        <v>n/a</v>
      </c>
      <c r="BF377" s="225" t="str">
        <f t="shared" ref="BF377" si="5572">++IFERROR(BF376/BF372,"n/a")</f>
        <v>n/a</v>
      </c>
      <c r="BG377" s="214" t="str">
        <f t="shared" ref="BG377" si="5573">++IFERROR(BG376/BG372,"n/a")</f>
        <v>n/a</v>
      </c>
      <c r="BH377" s="225" t="str">
        <f t="shared" ref="BH377" si="5574">++IFERROR(BH376/BH372,"n/a")</f>
        <v>n/a</v>
      </c>
      <c r="BI377" s="225" t="str">
        <f t="shared" ref="BI377" si="5575">++IFERROR(BI376/BI372,"n/a")</f>
        <v>n/a</v>
      </c>
      <c r="BJ377" s="225" t="str">
        <f t="shared" ref="BJ377" si="5576">++IFERROR(BJ376/BJ372,"n/a")</f>
        <v>n/a</v>
      </c>
      <c r="BK377" s="225" t="str">
        <f t="shared" ref="BK377" si="5577">++IFERROR(BK376/BK372,"n/a")</f>
        <v>n/a</v>
      </c>
      <c r="BL377" s="225" t="str">
        <f t="shared" ref="BL377" si="5578">++IFERROR(BL376/BL372,"n/a")</f>
        <v>n/a</v>
      </c>
      <c r="BM377" s="225" t="str">
        <f t="shared" ref="BM377" si="5579">++IFERROR(BM376/BM372,"n/a")</f>
        <v>n/a</v>
      </c>
      <c r="BN377" s="225" t="str">
        <f t="shared" ref="BN377" si="5580">++IFERROR(BN376/BN372,"n/a")</f>
        <v>n/a</v>
      </c>
      <c r="BO377" s="225" t="str">
        <f t="shared" ref="BO377" si="5581">++IFERROR(BO376/BO372,"n/a")</f>
        <v>n/a</v>
      </c>
      <c r="BP377" s="225" t="str">
        <f t="shared" ref="BP377" si="5582">++IFERROR(BP376/BP372,"n/a")</f>
        <v>n/a</v>
      </c>
      <c r="BQ377" s="225" t="str">
        <f t="shared" ref="BQ377" si="5583">++IFERROR(BQ376/BQ372,"n/a")</f>
        <v>n/a</v>
      </c>
      <c r="BR377" s="225" t="str">
        <f t="shared" ref="BR377" si="5584">++IFERROR(BR376/BR372,"n/a")</f>
        <v>n/a</v>
      </c>
      <c r="BS377" s="214" t="str">
        <f t="shared" ref="BS377" si="5585">++IFERROR(BS376/BS372,"n/a")</f>
        <v>n/a</v>
      </c>
      <c r="BT377" s="225" t="str">
        <f t="shared" ref="BT377" si="5586">++IFERROR(BT376/BT372,"n/a")</f>
        <v>n/a</v>
      </c>
      <c r="BU377" s="225" t="str">
        <f t="shared" ref="BU377" si="5587">++IFERROR(BU376/BU372,"n/a")</f>
        <v>n/a</v>
      </c>
      <c r="BV377" s="225" t="str">
        <f t="shared" ref="BV377" si="5588">++IFERROR(BV376/BV372,"n/a")</f>
        <v>n/a</v>
      </c>
      <c r="BW377" s="225" t="str">
        <f t="shared" ref="BW377" si="5589">++IFERROR(BW376/BW372,"n/a")</f>
        <v>n/a</v>
      </c>
      <c r="BX377" s="225" t="str">
        <f t="shared" ref="BX377" si="5590">++IFERROR(BX376/BX372,"n/a")</f>
        <v>n/a</v>
      </c>
      <c r="BY377" s="225" t="str">
        <f t="shared" ref="BY377" si="5591">++IFERROR(BY376/BY372,"n/a")</f>
        <v>n/a</v>
      </c>
      <c r="BZ377" s="225" t="str">
        <f t="shared" ref="BZ377" si="5592">++IFERROR(BZ376/BZ372,"n/a")</f>
        <v>n/a</v>
      </c>
      <c r="CA377" s="225" t="str">
        <f t="shared" ref="CA377" si="5593">++IFERROR(CA376/CA372,"n/a")</f>
        <v>n/a</v>
      </c>
      <c r="CB377" s="225" t="str">
        <f t="shared" ref="CB377" si="5594">++IFERROR(CB376/CB372,"n/a")</f>
        <v>n/a</v>
      </c>
      <c r="CC377" s="225" t="str">
        <f t="shared" ref="CC377" si="5595">++IFERROR(CC376/CC372,"n/a")</f>
        <v>n/a</v>
      </c>
      <c r="CD377" s="225" t="str">
        <f t="shared" ref="CD377" si="5596">++IFERROR(CD376/CD372,"n/a")</f>
        <v>n/a</v>
      </c>
      <c r="CE377" s="214" t="str">
        <f t="shared" ref="CE377" si="5597">++IFERROR(CE376/CE372,"n/a")</f>
        <v>n/a</v>
      </c>
      <c r="CF377" s="225" t="str">
        <f t="shared" ref="CF377" si="5598">++IFERROR(CF376/CF372,"n/a")</f>
        <v>n/a</v>
      </c>
      <c r="CG377" s="225" t="str">
        <f t="shared" ref="CG377" si="5599">++IFERROR(CG376/CG372,"n/a")</f>
        <v>n/a</v>
      </c>
      <c r="CH377" s="225" t="str">
        <f t="shared" ref="CH377" si="5600">++IFERROR(CH376/CH372,"n/a")</f>
        <v>n/a</v>
      </c>
      <c r="CI377" s="225" t="str">
        <f t="shared" ref="CI377" si="5601">++IFERROR(CI376/CI372,"n/a")</f>
        <v>n/a</v>
      </c>
      <c r="CJ377" s="225" t="str">
        <f t="shared" ref="CJ377" si="5602">++IFERROR(CJ376/CJ372,"n/a")</f>
        <v>n/a</v>
      </c>
      <c r="CK377" s="225" t="str">
        <f t="shared" ref="CK377" si="5603">++IFERROR(CK376/CK372,"n/a")</f>
        <v>n/a</v>
      </c>
      <c r="CL377" s="225" t="str">
        <f t="shared" ref="CL377" si="5604">++IFERROR(CL376/CL372,"n/a")</f>
        <v>n/a</v>
      </c>
      <c r="CM377" s="225" t="str">
        <f t="shared" ref="CM377" si="5605">++IFERROR(CM376/CM372,"n/a")</f>
        <v>n/a</v>
      </c>
      <c r="CN377" s="225" t="str">
        <f t="shared" ref="CN377" si="5606">++IFERROR(CN376/CN372,"n/a")</f>
        <v>n/a</v>
      </c>
      <c r="CO377" s="225" t="str">
        <f t="shared" ref="CO377" si="5607">++IFERROR(CO376/CO372,"n/a")</f>
        <v>n/a</v>
      </c>
      <c r="CP377" s="225" t="str">
        <f t="shared" ref="CP377" si="5608">++IFERROR(CP376/CP372,"n/a")</f>
        <v>n/a</v>
      </c>
      <c r="CQ377" s="214" t="str">
        <f t="shared" ref="CQ377" si="5609">++IFERROR(CQ376/CQ372,"n/a")</f>
        <v>n/a</v>
      </c>
      <c r="CR377" s="225" t="str">
        <f t="shared" ref="CR377" si="5610">++IFERROR(CR376/CR372,"n/a")</f>
        <v>n/a</v>
      </c>
      <c r="CS377" s="225" t="str">
        <f t="shared" ref="CS377" si="5611">++IFERROR(CS376/CS372,"n/a")</f>
        <v>n/a</v>
      </c>
      <c r="CT377" s="225" t="str">
        <f t="shared" ref="CT377" si="5612">++IFERROR(CT376/CT372,"n/a")</f>
        <v>n/a</v>
      </c>
      <c r="CU377" s="225" t="str">
        <f t="shared" ref="CU377" si="5613">++IFERROR(CU376/CU372,"n/a")</f>
        <v>n/a</v>
      </c>
      <c r="CV377" s="225" t="str">
        <f t="shared" ref="CV377" si="5614">++IFERROR(CV376/CV372,"n/a")</f>
        <v>n/a</v>
      </c>
      <c r="CW377" s="225" t="str">
        <f t="shared" ref="CW377" si="5615">++IFERROR(CW376/CW372,"n/a")</f>
        <v>n/a</v>
      </c>
      <c r="CX377" s="225" t="str">
        <f t="shared" ref="CX377" si="5616">++IFERROR(CX376/CX372,"n/a")</f>
        <v>n/a</v>
      </c>
      <c r="CY377" s="225" t="str">
        <f t="shared" ref="CY377" si="5617">++IFERROR(CY376/CY372,"n/a")</f>
        <v>n/a</v>
      </c>
      <c r="CZ377" s="225" t="str">
        <f t="shared" ref="CZ377" si="5618">++IFERROR(CZ376/CZ372,"n/a")</f>
        <v>n/a</v>
      </c>
      <c r="DA377" s="225" t="str">
        <f t="shared" ref="DA377" si="5619">++IFERROR(DA376/DA372,"n/a")</f>
        <v>n/a</v>
      </c>
      <c r="DB377" s="225" t="str">
        <f t="shared" ref="DB377" si="5620">++IFERROR(DB376/DB372,"n/a")</f>
        <v>n/a</v>
      </c>
      <c r="DC377" s="214" t="str">
        <f t="shared" ref="DC377" si="5621">++IFERROR(DC376/DC372,"n/a")</f>
        <v>n/a</v>
      </c>
    </row>
    <row r="378" spans="3:107" x14ac:dyDescent="0.3">
      <c r="G378" s="203"/>
      <c r="K378" s="203"/>
      <c r="W378" s="203"/>
      <c r="AI378" s="203"/>
      <c r="AU378" s="203"/>
      <c r="BG378" s="203"/>
      <c r="BS378" s="203"/>
      <c r="CE378" s="203"/>
      <c r="CQ378" s="203"/>
      <c r="DC378" s="203"/>
    </row>
    <row r="379" spans="3:107" ht="13.5" thickBot="1" x14ac:dyDescent="0.35">
      <c r="C379" s="369" t="str">
        <f>++C$36</f>
        <v>Net Income</v>
      </c>
      <c r="D379" s="370"/>
      <c r="E379" s="370"/>
      <c r="G379" s="435">
        <f>++G85</f>
        <v>0</v>
      </c>
      <c r="H379" s="435">
        <f t="shared" ref="H379:BS379" si="5622">++H85</f>
        <v>0</v>
      </c>
      <c r="I379" s="435">
        <f t="shared" si="5622"/>
        <v>0</v>
      </c>
      <c r="J379" s="435">
        <f t="shared" si="5622"/>
        <v>0</v>
      </c>
      <c r="K379" s="435">
        <f t="shared" si="5622"/>
        <v>0</v>
      </c>
      <c r="L379" s="435">
        <f t="shared" si="5622"/>
        <v>0</v>
      </c>
      <c r="M379" s="435">
        <f t="shared" si="5622"/>
        <v>0</v>
      </c>
      <c r="N379" s="435">
        <f t="shared" si="5622"/>
        <v>0</v>
      </c>
      <c r="O379" s="435">
        <f t="shared" si="5622"/>
        <v>0</v>
      </c>
      <c r="P379" s="435">
        <f t="shared" si="5622"/>
        <v>0</v>
      </c>
      <c r="Q379" s="435">
        <f t="shared" si="5622"/>
        <v>0</v>
      </c>
      <c r="R379" s="435">
        <f t="shared" si="5622"/>
        <v>0</v>
      </c>
      <c r="S379" s="435">
        <f t="shared" si="5622"/>
        <v>0</v>
      </c>
      <c r="T379" s="435">
        <f t="shared" si="5622"/>
        <v>0</v>
      </c>
      <c r="U379" s="435">
        <f t="shared" si="5622"/>
        <v>0</v>
      </c>
      <c r="V379" s="435">
        <f t="shared" si="5622"/>
        <v>0</v>
      </c>
      <c r="W379" s="435">
        <f t="shared" si="5622"/>
        <v>0</v>
      </c>
      <c r="X379" s="435">
        <f t="shared" si="5622"/>
        <v>0</v>
      </c>
      <c r="Y379" s="435">
        <f t="shared" si="5622"/>
        <v>0</v>
      </c>
      <c r="Z379" s="435">
        <f t="shared" si="5622"/>
        <v>0</v>
      </c>
      <c r="AA379" s="435">
        <f t="shared" si="5622"/>
        <v>0</v>
      </c>
      <c r="AB379" s="435">
        <f t="shared" si="5622"/>
        <v>0</v>
      </c>
      <c r="AC379" s="435">
        <f t="shared" si="5622"/>
        <v>0</v>
      </c>
      <c r="AD379" s="435">
        <f t="shared" si="5622"/>
        <v>0</v>
      </c>
      <c r="AE379" s="435">
        <f t="shared" si="5622"/>
        <v>0</v>
      </c>
      <c r="AF379" s="435">
        <f t="shared" si="5622"/>
        <v>0</v>
      </c>
      <c r="AG379" s="435">
        <f t="shared" si="5622"/>
        <v>0</v>
      </c>
      <c r="AH379" s="435">
        <f t="shared" si="5622"/>
        <v>0</v>
      </c>
      <c r="AI379" s="435">
        <f t="shared" si="5622"/>
        <v>0</v>
      </c>
      <c r="AJ379" s="435">
        <f t="shared" si="5622"/>
        <v>0</v>
      </c>
      <c r="AK379" s="435">
        <f t="shared" si="5622"/>
        <v>0</v>
      </c>
      <c r="AL379" s="435">
        <f t="shared" si="5622"/>
        <v>0</v>
      </c>
      <c r="AM379" s="435">
        <f t="shared" si="5622"/>
        <v>0</v>
      </c>
      <c r="AN379" s="435">
        <f t="shared" si="5622"/>
        <v>0</v>
      </c>
      <c r="AO379" s="435">
        <f t="shared" si="5622"/>
        <v>0</v>
      </c>
      <c r="AP379" s="435">
        <f t="shared" si="5622"/>
        <v>0</v>
      </c>
      <c r="AQ379" s="435">
        <f t="shared" si="5622"/>
        <v>0</v>
      </c>
      <c r="AR379" s="435">
        <f t="shared" si="5622"/>
        <v>0</v>
      </c>
      <c r="AS379" s="435">
        <f t="shared" si="5622"/>
        <v>0</v>
      </c>
      <c r="AT379" s="435">
        <f t="shared" si="5622"/>
        <v>0</v>
      </c>
      <c r="AU379" s="435">
        <f t="shared" si="5622"/>
        <v>0</v>
      </c>
      <c r="AV379" s="435">
        <f t="shared" si="5622"/>
        <v>0</v>
      </c>
      <c r="AW379" s="435">
        <f t="shared" si="5622"/>
        <v>0</v>
      </c>
      <c r="AX379" s="435">
        <f t="shared" si="5622"/>
        <v>0</v>
      </c>
      <c r="AY379" s="435">
        <f t="shared" si="5622"/>
        <v>0</v>
      </c>
      <c r="AZ379" s="435">
        <f t="shared" si="5622"/>
        <v>0</v>
      </c>
      <c r="BA379" s="435">
        <f t="shared" si="5622"/>
        <v>0</v>
      </c>
      <c r="BB379" s="435">
        <f t="shared" si="5622"/>
        <v>0</v>
      </c>
      <c r="BC379" s="435">
        <f t="shared" si="5622"/>
        <v>0</v>
      </c>
      <c r="BD379" s="435">
        <f t="shared" si="5622"/>
        <v>0</v>
      </c>
      <c r="BE379" s="435">
        <f t="shared" si="5622"/>
        <v>0</v>
      </c>
      <c r="BF379" s="435">
        <f t="shared" si="5622"/>
        <v>0</v>
      </c>
      <c r="BG379" s="435">
        <f t="shared" si="5622"/>
        <v>0</v>
      </c>
      <c r="BH379" s="435">
        <f t="shared" si="5622"/>
        <v>0</v>
      </c>
      <c r="BI379" s="435">
        <f t="shared" si="5622"/>
        <v>0</v>
      </c>
      <c r="BJ379" s="435">
        <f t="shared" si="5622"/>
        <v>0</v>
      </c>
      <c r="BK379" s="435">
        <f t="shared" si="5622"/>
        <v>0</v>
      </c>
      <c r="BL379" s="435">
        <f t="shared" si="5622"/>
        <v>0</v>
      </c>
      <c r="BM379" s="435">
        <f t="shared" si="5622"/>
        <v>0</v>
      </c>
      <c r="BN379" s="435">
        <f t="shared" si="5622"/>
        <v>0</v>
      </c>
      <c r="BO379" s="435">
        <f t="shared" si="5622"/>
        <v>0</v>
      </c>
      <c r="BP379" s="435">
        <f t="shared" si="5622"/>
        <v>0</v>
      </c>
      <c r="BQ379" s="435">
        <f t="shared" si="5622"/>
        <v>0</v>
      </c>
      <c r="BR379" s="435">
        <f t="shared" si="5622"/>
        <v>0</v>
      </c>
      <c r="BS379" s="435">
        <f t="shared" si="5622"/>
        <v>0</v>
      </c>
      <c r="BT379" s="435">
        <f t="shared" ref="BT379:DC379" si="5623">++BT85</f>
        <v>0</v>
      </c>
      <c r="BU379" s="435">
        <f t="shared" si="5623"/>
        <v>0</v>
      </c>
      <c r="BV379" s="435">
        <f t="shared" si="5623"/>
        <v>0</v>
      </c>
      <c r="BW379" s="435">
        <f t="shared" si="5623"/>
        <v>0</v>
      </c>
      <c r="BX379" s="435">
        <f t="shared" si="5623"/>
        <v>0</v>
      </c>
      <c r="BY379" s="435">
        <f t="shared" si="5623"/>
        <v>0</v>
      </c>
      <c r="BZ379" s="435">
        <f t="shared" si="5623"/>
        <v>0</v>
      </c>
      <c r="CA379" s="435">
        <f t="shared" si="5623"/>
        <v>0</v>
      </c>
      <c r="CB379" s="435">
        <f t="shared" si="5623"/>
        <v>0</v>
      </c>
      <c r="CC379" s="435">
        <f t="shared" si="5623"/>
        <v>0</v>
      </c>
      <c r="CD379" s="435">
        <f t="shared" si="5623"/>
        <v>0</v>
      </c>
      <c r="CE379" s="435">
        <f t="shared" si="5623"/>
        <v>0</v>
      </c>
      <c r="CF379" s="435">
        <f t="shared" si="5623"/>
        <v>0</v>
      </c>
      <c r="CG379" s="435">
        <f t="shared" si="5623"/>
        <v>0</v>
      </c>
      <c r="CH379" s="435">
        <f t="shared" si="5623"/>
        <v>0</v>
      </c>
      <c r="CI379" s="435">
        <f t="shared" si="5623"/>
        <v>0</v>
      </c>
      <c r="CJ379" s="435">
        <f t="shared" si="5623"/>
        <v>0</v>
      </c>
      <c r="CK379" s="435">
        <f t="shared" si="5623"/>
        <v>0</v>
      </c>
      <c r="CL379" s="435">
        <f t="shared" si="5623"/>
        <v>0</v>
      </c>
      <c r="CM379" s="435">
        <f t="shared" si="5623"/>
        <v>0</v>
      </c>
      <c r="CN379" s="435">
        <f t="shared" si="5623"/>
        <v>0</v>
      </c>
      <c r="CO379" s="435">
        <f t="shared" si="5623"/>
        <v>0</v>
      </c>
      <c r="CP379" s="435">
        <f t="shared" si="5623"/>
        <v>0</v>
      </c>
      <c r="CQ379" s="435">
        <f t="shared" si="5623"/>
        <v>0</v>
      </c>
      <c r="CR379" s="435">
        <f t="shared" si="5623"/>
        <v>0</v>
      </c>
      <c r="CS379" s="435">
        <f t="shared" si="5623"/>
        <v>0</v>
      </c>
      <c r="CT379" s="435">
        <f t="shared" si="5623"/>
        <v>0</v>
      </c>
      <c r="CU379" s="435">
        <f t="shared" si="5623"/>
        <v>0</v>
      </c>
      <c r="CV379" s="435">
        <f t="shared" si="5623"/>
        <v>0</v>
      </c>
      <c r="CW379" s="435">
        <f t="shared" si="5623"/>
        <v>0</v>
      </c>
      <c r="CX379" s="435">
        <f t="shared" si="5623"/>
        <v>0</v>
      </c>
      <c r="CY379" s="435">
        <f t="shared" si="5623"/>
        <v>0</v>
      </c>
      <c r="CZ379" s="435">
        <f t="shared" si="5623"/>
        <v>0</v>
      </c>
      <c r="DA379" s="435">
        <f t="shared" si="5623"/>
        <v>0</v>
      </c>
      <c r="DB379" s="435">
        <f t="shared" si="5623"/>
        <v>0</v>
      </c>
      <c r="DC379" s="435">
        <f t="shared" si="5623"/>
        <v>0</v>
      </c>
    </row>
    <row r="380" spans="3:107" ht="13.5" thickTop="1" x14ac:dyDescent="0.3">
      <c r="C380" s="321" t="str">
        <f>++C$37</f>
        <v>% margin</v>
      </c>
      <c r="G380" s="214" t="str">
        <f>++IFERROR(G379/G353,"n/a")</f>
        <v>n/a</v>
      </c>
      <c r="H380" s="225" t="str">
        <f t="shared" ref="H380" si="5624">++IFERROR(H379/H353,"n/a")</f>
        <v>n/a</v>
      </c>
      <c r="I380" s="225" t="str">
        <f t="shared" ref="I380" si="5625">++IFERROR(I379/I353,"n/a")</f>
        <v>n/a</v>
      </c>
      <c r="J380" s="225" t="str">
        <f t="shared" ref="J380" si="5626">++IFERROR(J379/J353,"n/a")</f>
        <v>n/a</v>
      </c>
      <c r="K380" s="214" t="str">
        <f t="shared" ref="K380" si="5627">++IFERROR(K379/K353,"n/a")</f>
        <v>n/a</v>
      </c>
      <c r="L380" s="225" t="str">
        <f t="shared" ref="L380" si="5628">++IFERROR(L379/L353,"n/a")</f>
        <v>n/a</v>
      </c>
      <c r="M380" s="225" t="str">
        <f t="shared" ref="M380" si="5629">++IFERROR(M379/M353,"n/a")</f>
        <v>n/a</v>
      </c>
      <c r="N380" s="225" t="str">
        <f t="shared" ref="N380" si="5630">++IFERROR(N379/N353,"n/a")</f>
        <v>n/a</v>
      </c>
      <c r="O380" s="225" t="str">
        <f t="shared" ref="O380" si="5631">++IFERROR(O379/O353,"n/a")</f>
        <v>n/a</v>
      </c>
      <c r="P380" s="225" t="str">
        <f t="shared" ref="P380" si="5632">++IFERROR(P379/P353,"n/a")</f>
        <v>n/a</v>
      </c>
      <c r="Q380" s="225" t="str">
        <f t="shared" ref="Q380" si="5633">++IFERROR(Q379/Q353,"n/a")</f>
        <v>n/a</v>
      </c>
      <c r="R380" s="225" t="str">
        <f t="shared" ref="R380" si="5634">++IFERROR(R379/R353,"n/a")</f>
        <v>n/a</v>
      </c>
      <c r="S380" s="225" t="str">
        <f t="shared" ref="S380" si="5635">++IFERROR(S379/S353,"n/a")</f>
        <v>n/a</v>
      </c>
      <c r="T380" s="225" t="str">
        <f t="shared" ref="T380" si="5636">++IFERROR(T379/T353,"n/a")</f>
        <v>n/a</v>
      </c>
      <c r="U380" s="225" t="str">
        <f t="shared" ref="U380" si="5637">++IFERROR(U379/U353,"n/a")</f>
        <v>n/a</v>
      </c>
      <c r="V380" s="225" t="str">
        <f t="shared" ref="V380" si="5638">++IFERROR(V379/V353,"n/a")</f>
        <v>n/a</v>
      </c>
      <c r="W380" s="214" t="str">
        <f t="shared" ref="W380" si="5639">++IFERROR(W379/W353,"n/a")</f>
        <v>n/a</v>
      </c>
      <c r="X380" s="225" t="str">
        <f t="shared" ref="X380" si="5640">++IFERROR(X379/X353,"n/a")</f>
        <v>n/a</v>
      </c>
      <c r="Y380" s="225" t="str">
        <f t="shared" ref="Y380" si="5641">++IFERROR(Y379/Y353,"n/a")</f>
        <v>n/a</v>
      </c>
      <c r="Z380" s="225" t="str">
        <f t="shared" ref="Z380" si="5642">++IFERROR(Z379/Z353,"n/a")</f>
        <v>n/a</v>
      </c>
      <c r="AA380" s="225" t="str">
        <f t="shared" ref="AA380" si="5643">++IFERROR(AA379/AA353,"n/a")</f>
        <v>n/a</v>
      </c>
      <c r="AB380" s="225" t="str">
        <f t="shared" ref="AB380" si="5644">++IFERROR(AB379/AB353,"n/a")</f>
        <v>n/a</v>
      </c>
      <c r="AC380" s="225" t="str">
        <f t="shared" ref="AC380" si="5645">++IFERROR(AC379/AC353,"n/a")</f>
        <v>n/a</v>
      </c>
      <c r="AD380" s="225" t="str">
        <f t="shared" ref="AD380" si="5646">++IFERROR(AD379/AD353,"n/a")</f>
        <v>n/a</v>
      </c>
      <c r="AE380" s="225" t="str">
        <f t="shared" ref="AE380" si="5647">++IFERROR(AE379/AE353,"n/a")</f>
        <v>n/a</v>
      </c>
      <c r="AF380" s="225" t="str">
        <f t="shared" ref="AF380" si="5648">++IFERROR(AF379/AF353,"n/a")</f>
        <v>n/a</v>
      </c>
      <c r="AG380" s="225" t="str">
        <f t="shared" ref="AG380" si="5649">++IFERROR(AG379/AG353,"n/a")</f>
        <v>n/a</v>
      </c>
      <c r="AH380" s="225" t="str">
        <f t="shared" ref="AH380" si="5650">++IFERROR(AH379/AH353,"n/a")</f>
        <v>n/a</v>
      </c>
      <c r="AI380" s="214" t="str">
        <f t="shared" ref="AI380" si="5651">++IFERROR(AI379/AI353,"n/a")</f>
        <v>n/a</v>
      </c>
      <c r="AJ380" s="225" t="str">
        <f t="shared" ref="AJ380" si="5652">++IFERROR(AJ379/AJ353,"n/a")</f>
        <v>n/a</v>
      </c>
      <c r="AK380" s="225" t="str">
        <f t="shared" ref="AK380" si="5653">++IFERROR(AK379/AK353,"n/a")</f>
        <v>n/a</v>
      </c>
      <c r="AL380" s="225" t="str">
        <f t="shared" ref="AL380" si="5654">++IFERROR(AL379/AL353,"n/a")</f>
        <v>n/a</v>
      </c>
      <c r="AM380" s="225" t="str">
        <f t="shared" ref="AM380" si="5655">++IFERROR(AM379/AM353,"n/a")</f>
        <v>n/a</v>
      </c>
      <c r="AN380" s="225" t="str">
        <f t="shared" ref="AN380" si="5656">++IFERROR(AN379/AN353,"n/a")</f>
        <v>n/a</v>
      </c>
      <c r="AO380" s="225" t="str">
        <f t="shared" ref="AO380" si="5657">++IFERROR(AO379/AO353,"n/a")</f>
        <v>n/a</v>
      </c>
      <c r="AP380" s="225" t="str">
        <f t="shared" ref="AP380" si="5658">++IFERROR(AP379/AP353,"n/a")</f>
        <v>n/a</v>
      </c>
      <c r="AQ380" s="225" t="str">
        <f t="shared" ref="AQ380" si="5659">++IFERROR(AQ379/AQ353,"n/a")</f>
        <v>n/a</v>
      </c>
      <c r="AR380" s="225" t="str">
        <f t="shared" ref="AR380" si="5660">++IFERROR(AR379/AR353,"n/a")</f>
        <v>n/a</v>
      </c>
      <c r="AS380" s="225" t="str">
        <f t="shared" ref="AS380" si="5661">++IFERROR(AS379/AS353,"n/a")</f>
        <v>n/a</v>
      </c>
      <c r="AT380" s="225" t="str">
        <f t="shared" ref="AT380" si="5662">++IFERROR(AT379/AT353,"n/a")</f>
        <v>n/a</v>
      </c>
      <c r="AU380" s="214" t="str">
        <f t="shared" ref="AU380" si="5663">++IFERROR(AU379/AU353,"n/a")</f>
        <v>n/a</v>
      </c>
      <c r="AV380" s="225" t="str">
        <f t="shared" ref="AV380" si="5664">++IFERROR(AV379/AV353,"n/a")</f>
        <v>n/a</v>
      </c>
      <c r="AW380" s="225" t="str">
        <f t="shared" ref="AW380" si="5665">++IFERROR(AW379/AW353,"n/a")</f>
        <v>n/a</v>
      </c>
      <c r="AX380" s="225" t="str">
        <f t="shared" ref="AX380" si="5666">++IFERROR(AX379/AX353,"n/a")</f>
        <v>n/a</v>
      </c>
      <c r="AY380" s="225" t="str">
        <f t="shared" ref="AY380" si="5667">++IFERROR(AY379/AY353,"n/a")</f>
        <v>n/a</v>
      </c>
      <c r="AZ380" s="225" t="str">
        <f t="shared" ref="AZ380" si="5668">++IFERROR(AZ379/AZ353,"n/a")</f>
        <v>n/a</v>
      </c>
      <c r="BA380" s="225" t="str">
        <f t="shared" ref="BA380" si="5669">++IFERROR(BA379/BA353,"n/a")</f>
        <v>n/a</v>
      </c>
      <c r="BB380" s="225" t="str">
        <f t="shared" ref="BB380" si="5670">++IFERROR(BB379/BB353,"n/a")</f>
        <v>n/a</v>
      </c>
      <c r="BC380" s="225" t="str">
        <f t="shared" ref="BC380" si="5671">++IFERROR(BC379/BC353,"n/a")</f>
        <v>n/a</v>
      </c>
      <c r="BD380" s="225" t="str">
        <f t="shared" ref="BD380" si="5672">++IFERROR(BD379/BD353,"n/a")</f>
        <v>n/a</v>
      </c>
      <c r="BE380" s="225" t="str">
        <f t="shared" ref="BE380" si="5673">++IFERROR(BE379/BE353,"n/a")</f>
        <v>n/a</v>
      </c>
      <c r="BF380" s="225" t="str">
        <f t="shared" ref="BF380" si="5674">++IFERROR(BF379/BF353,"n/a")</f>
        <v>n/a</v>
      </c>
      <c r="BG380" s="214" t="str">
        <f t="shared" ref="BG380" si="5675">++IFERROR(BG379/BG353,"n/a")</f>
        <v>n/a</v>
      </c>
      <c r="BH380" s="225" t="str">
        <f t="shared" ref="BH380" si="5676">++IFERROR(BH379/BH353,"n/a")</f>
        <v>n/a</v>
      </c>
      <c r="BI380" s="225" t="str">
        <f t="shared" ref="BI380" si="5677">++IFERROR(BI379/BI353,"n/a")</f>
        <v>n/a</v>
      </c>
      <c r="BJ380" s="225" t="str">
        <f t="shared" ref="BJ380" si="5678">++IFERROR(BJ379/BJ353,"n/a")</f>
        <v>n/a</v>
      </c>
      <c r="BK380" s="225" t="str">
        <f t="shared" ref="BK380" si="5679">++IFERROR(BK379/BK353,"n/a")</f>
        <v>n/a</v>
      </c>
      <c r="BL380" s="225" t="str">
        <f t="shared" ref="BL380" si="5680">++IFERROR(BL379/BL353,"n/a")</f>
        <v>n/a</v>
      </c>
      <c r="BM380" s="225" t="str">
        <f t="shared" ref="BM380" si="5681">++IFERROR(BM379/BM353,"n/a")</f>
        <v>n/a</v>
      </c>
      <c r="BN380" s="225" t="str">
        <f t="shared" ref="BN380" si="5682">++IFERROR(BN379/BN353,"n/a")</f>
        <v>n/a</v>
      </c>
      <c r="BO380" s="225" t="str">
        <f t="shared" ref="BO380" si="5683">++IFERROR(BO379/BO353,"n/a")</f>
        <v>n/a</v>
      </c>
      <c r="BP380" s="225" t="str">
        <f t="shared" ref="BP380" si="5684">++IFERROR(BP379/BP353,"n/a")</f>
        <v>n/a</v>
      </c>
      <c r="BQ380" s="225" t="str">
        <f t="shared" ref="BQ380" si="5685">++IFERROR(BQ379/BQ353,"n/a")</f>
        <v>n/a</v>
      </c>
      <c r="BR380" s="225" t="str">
        <f t="shared" ref="BR380" si="5686">++IFERROR(BR379/BR353,"n/a")</f>
        <v>n/a</v>
      </c>
      <c r="BS380" s="214" t="str">
        <f t="shared" ref="BS380" si="5687">++IFERROR(BS379/BS353,"n/a")</f>
        <v>n/a</v>
      </c>
      <c r="BT380" s="225" t="str">
        <f t="shared" ref="BT380" si="5688">++IFERROR(BT379/BT353,"n/a")</f>
        <v>n/a</v>
      </c>
      <c r="BU380" s="225" t="str">
        <f t="shared" ref="BU380" si="5689">++IFERROR(BU379/BU353,"n/a")</f>
        <v>n/a</v>
      </c>
      <c r="BV380" s="225" t="str">
        <f t="shared" ref="BV380" si="5690">++IFERROR(BV379/BV353,"n/a")</f>
        <v>n/a</v>
      </c>
      <c r="BW380" s="225" t="str">
        <f t="shared" ref="BW380" si="5691">++IFERROR(BW379/BW353,"n/a")</f>
        <v>n/a</v>
      </c>
      <c r="BX380" s="225" t="str">
        <f t="shared" ref="BX380" si="5692">++IFERROR(BX379/BX353,"n/a")</f>
        <v>n/a</v>
      </c>
      <c r="BY380" s="225" t="str">
        <f t="shared" ref="BY380" si="5693">++IFERROR(BY379/BY353,"n/a")</f>
        <v>n/a</v>
      </c>
      <c r="BZ380" s="225" t="str">
        <f t="shared" ref="BZ380" si="5694">++IFERROR(BZ379/BZ353,"n/a")</f>
        <v>n/a</v>
      </c>
      <c r="CA380" s="225" t="str">
        <f t="shared" ref="CA380" si="5695">++IFERROR(CA379/CA353,"n/a")</f>
        <v>n/a</v>
      </c>
      <c r="CB380" s="225" t="str">
        <f t="shared" ref="CB380" si="5696">++IFERROR(CB379/CB353,"n/a")</f>
        <v>n/a</v>
      </c>
      <c r="CC380" s="225" t="str">
        <f t="shared" ref="CC380" si="5697">++IFERROR(CC379/CC353,"n/a")</f>
        <v>n/a</v>
      </c>
      <c r="CD380" s="225" t="str">
        <f t="shared" ref="CD380" si="5698">++IFERROR(CD379/CD353,"n/a")</f>
        <v>n/a</v>
      </c>
      <c r="CE380" s="214" t="str">
        <f t="shared" ref="CE380" si="5699">++IFERROR(CE379/CE353,"n/a")</f>
        <v>n/a</v>
      </c>
      <c r="CF380" s="225" t="str">
        <f t="shared" ref="CF380" si="5700">++IFERROR(CF379/CF353,"n/a")</f>
        <v>n/a</v>
      </c>
      <c r="CG380" s="225" t="str">
        <f t="shared" ref="CG380" si="5701">++IFERROR(CG379/CG353,"n/a")</f>
        <v>n/a</v>
      </c>
      <c r="CH380" s="225" t="str">
        <f t="shared" ref="CH380" si="5702">++IFERROR(CH379/CH353,"n/a")</f>
        <v>n/a</v>
      </c>
      <c r="CI380" s="225" t="str">
        <f t="shared" ref="CI380" si="5703">++IFERROR(CI379/CI353,"n/a")</f>
        <v>n/a</v>
      </c>
      <c r="CJ380" s="225" t="str">
        <f t="shared" ref="CJ380" si="5704">++IFERROR(CJ379/CJ353,"n/a")</f>
        <v>n/a</v>
      </c>
      <c r="CK380" s="225" t="str">
        <f t="shared" ref="CK380" si="5705">++IFERROR(CK379/CK353,"n/a")</f>
        <v>n/a</v>
      </c>
      <c r="CL380" s="225" t="str">
        <f t="shared" ref="CL380" si="5706">++IFERROR(CL379/CL353,"n/a")</f>
        <v>n/a</v>
      </c>
      <c r="CM380" s="225" t="str">
        <f t="shared" ref="CM380" si="5707">++IFERROR(CM379/CM353,"n/a")</f>
        <v>n/a</v>
      </c>
      <c r="CN380" s="225" t="str">
        <f t="shared" ref="CN380" si="5708">++IFERROR(CN379/CN353,"n/a")</f>
        <v>n/a</v>
      </c>
      <c r="CO380" s="225" t="str">
        <f t="shared" ref="CO380" si="5709">++IFERROR(CO379/CO353,"n/a")</f>
        <v>n/a</v>
      </c>
      <c r="CP380" s="225" t="str">
        <f t="shared" ref="CP380" si="5710">++IFERROR(CP379/CP353,"n/a")</f>
        <v>n/a</v>
      </c>
      <c r="CQ380" s="214" t="str">
        <f t="shared" ref="CQ380" si="5711">++IFERROR(CQ379/CQ353,"n/a")</f>
        <v>n/a</v>
      </c>
      <c r="CR380" s="225" t="str">
        <f t="shared" ref="CR380" si="5712">++IFERROR(CR379/CR353,"n/a")</f>
        <v>n/a</v>
      </c>
      <c r="CS380" s="225" t="str">
        <f t="shared" ref="CS380" si="5713">++IFERROR(CS379/CS353,"n/a")</f>
        <v>n/a</v>
      </c>
      <c r="CT380" s="225" t="str">
        <f t="shared" ref="CT380" si="5714">++IFERROR(CT379/CT353,"n/a")</f>
        <v>n/a</v>
      </c>
      <c r="CU380" s="225" t="str">
        <f t="shared" ref="CU380" si="5715">++IFERROR(CU379/CU353,"n/a")</f>
        <v>n/a</v>
      </c>
      <c r="CV380" s="225" t="str">
        <f t="shared" ref="CV380" si="5716">++IFERROR(CV379/CV353,"n/a")</f>
        <v>n/a</v>
      </c>
      <c r="CW380" s="225" t="str">
        <f t="shared" ref="CW380" si="5717">++IFERROR(CW379/CW353,"n/a")</f>
        <v>n/a</v>
      </c>
      <c r="CX380" s="225" t="str">
        <f t="shared" ref="CX380" si="5718">++IFERROR(CX379/CX353,"n/a")</f>
        <v>n/a</v>
      </c>
      <c r="CY380" s="225" t="str">
        <f t="shared" ref="CY380" si="5719">++IFERROR(CY379/CY353,"n/a")</f>
        <v>n/a</v>
      </c>
      <c r="CZ380" s="225" t="str">
        <f t="shared" ref="CZ380" si="5720">++IFERROR(CZ379/CZ353,"n/a")</f>
        <v>n/a</v>
      </c>
      <c r="DA380" s="225" t="str">
        <f t="shared" ref="DA380" si="5721">++IFERROR(DA379/DA353,"n/a")</f>
        <v>n/a</v>
      </c>
      <c r="DB380" s="225" t="str">
        <f t="shared" ref="DB380" si="5722">++IFERROR(DB379/DB353,"n/a")</f>
        <v>n/a</v>
      </c>
      <c r="DC380" s="214" t="str">
        <f t="shared" ref="DC380" si="5723">++IFERROR(DC379/DC353,"n/a")</f>
        <v>n/a</v>
      </c>
    </row>
    <row r="381" spans="3:107" x14ac:dyDescent="0.3">
      <c r="C381" s="321" t="str">
        <f>++C$38</f>
        <v>% y/y</v>
      </c>
      <c r="G381" s="122" t="s">
        <v>47</v>
      </c>
      <c r="H381" s="122" t="s">
        <v>47</v>
      </c>
      <c r="I381" s="122" t="s">
        <v>47</v>
      </c>
      <c r="J381" s="122" t="s">
        <v>47</v>
      </c>
      <c r="K381" s="214" t="str">
        <f>++IFERROR(K379/G379-1,"n/a")</f>
        <v>n/a</v>
      </c>
      <c r="L381" s="122" t="s">
        <v>47</v>
      </c>
      <c r="M381" s="122" t="s">
        <v>47</v>
      </c>
      <c r="N381" s="225" t="str">
        <f>++IFERROR(N379/H379-1,"n/a")</f>
        <v>n/a</v>
      </c>
      <c r="O381" s="122" t="s">
        <v>47</v>
      </c>
      <c r="P381" s="122" t="s">
        <v>47</v>
      </c>
      <c r="Q381" s="225" t="str">
        <f>++IFERROR(Q379/I379-1,"n/a")</f>
        <v>n/a</v>
      </c>
      <c r="R381" s="122" t="s">
        <v>47</v>
      </c>
      <c r="S381" s="122" t="s">
        <v>47</v>
      </c>
      <c r="T381" s="225" t="str">
        <f>++IFERROR(T379/J379-1,"n/a")</f>
        <v>n/a</v>
      </c>
      <c r="U381" s="122" t="s">
        <v>47</v>
      </c>
      <c r="V381" s="122" t="s">
        <v>47</v>
      </c>
      <c r="W381" s="214" t="str">
        <f t="shared" ref="W381:BB381" si="5724">++IFERROR(W379/K379-1,"n/a")</f>
        <v>n/a</v>
      </c>
      <c r="X381" s="225" t="str">
        <f t="shared" si="5724"/>
        <v>n/a</v>
      </c>
      <c r="Y381" s="225" t="str">
        <f t="shared" si="5724"/>
        <v>n/a</v>
      </c>
      <c r="Z381" s="225" t="str">
        <f t="shared" si="5724"/>
        <v>n/a</v>
      </c>
      <c r="AA381" s="225" t="str">
        <f t="shared" si="5724"/>
        <v>n/a</v>
      </c>
      <c r="AB381" s="225" t="str">
        <f t="shared" si="5724"/>
        <v>n/a</v>
      </c>
      <c r="AC381" s="225" t="str">
        <f t="shared" si="5724"/>
        <v>n/a</v>
      </c>
      <c r="AD381" s="225" t="str">
        <f t="shared" si="5724"/>
        <v>n/a</v>
      </c>
      <c r="AE381" s="225" t="str">
        <f t="shared" si="5724"/>
        <v>n/a</v>
      </c>
      <c r="AF381" s="225" t="str">
        <f t="shared" si="5724"/>
        <v>n/a</v>
      </c>
      <c r="AG381" s="225" t="str">
        <f t="shared" si="5724"/>
        <v>n/a</v>
      </c>
      <c r="AH381" s="225" t="str">
        <f t="shared" si="5724"/>
        <v>n/a</v>
      </c>
      <c r="AI381" s="214" t="str">
        <f t="shared" si="5724"/>
        <v>n/a</v>
      </c>
      <c r="AJ381" s="225" t="str">
        <f t="shared" si="5724"/>
        <v>n/a</v>
      </c>
      <c r="AK381" s="225" t="str">
        <f t="shared" si="5724"/>
        <v>n/a</v>
      </c>
      <c r="AL381" s="225" t="str">
        <f t="shared" si="5724"/>
        <v>n/a</v>
      </c>
      <c r="AM381" s="225" t="str">
        <f t="shared" si="5724"/>
        <v>n/a</v>
      </c>
      <c r="AN381" s="225" t="str">
        <f t="shared" si="5724"/>
        <v>n/a</v>
      </c>
      <c r="AO381" s="225" t="str">
        <f t="shared" si="5724"/>
        <v>n/a</v>
      </c>
      <c r="AP381" s="225" t="str">
        <f t="shared" si="5724"/>
        <v>n/a</v>
      </c>
      <c r="AQ381" s="225" t="str">
        <f t="shared" si="5724"/>
        <v>n/a</v>
      </c>
      <c r="AR381" s="225" t="str">
        <f t="shared" si="5724"/>
        <v>n/a</v>
      </c>
      <c r="AS381" s="225" t="str">
        <f t="shared" si="5724"/>
        <v>n/a</v>
      </c>
      <c r="AT381" s="225" t="str">
        <f t="shared" si="5724"/>
        <v>n/a</v>
      </c>
      <c r="AU381" s="214" t="str">
        <f t="shared" si="5724"/>
        <v>n/a</v>
      </c>
      <c r="AV381" s="225" t="str">
        <f t="shared" si="5724"/>
        <v>n/a</v>
      </c>
      <c r="AW381" s="225" t="str">
        <f t="shared" si="5724"/>
        <v>n/a</v>
      </c>
      <c r="AX381" s="225" t="str">
        <f t="shared" si="5724"/>
        <v>n/a</v>
      </c>
      <c r="AY381" s="225" t="str">
        <f t="shared" si="5724"/>
        <v>n/a</v>
      </c>
      <c r="AZ381" s="225" t="str">
        <f t="shared" si="5724"/>
        <v>n/a</v>
      </c>
      <c r="BA381" s="225" t="str">
        <f t="shared" si="5724"/>
        <v>n/a</v>
      </c>
      <c r="BB381" s="225" t="str">
        <f t="shared" si="5724"/>
        <v>n/a</v>
      </c>
      <c r="BC381" s="225" t="str">
        <f t="shared" ref="BC381:CH381" si="5725">++IFERROR(BC379/AQ379-1,"n/a")</f>
        <v>n/a</v>
      </c>
      <c r="BD381" s="225" t="str">
        <f t="shared" si="5725"/>
        <v>n/a</v>
      </c>
      <c r="BE381" s="225" t="str">
        <f t="shared" si="5725"/>
        <v>n/a</v>
      </c>
      <c r="BF381" s="225" t="str">
        <f t="shared" si="5725"/>
        <v>n/a</v>
      </c>
      <c r="BG381" s="214" t="str">
        <f t="shared" si="5725"/>
        <v>n/a</v>
      </c>
      <c r="BH381" s="225" t="str">
        <f t="shared" si="5725"/>
        <v>n/a</v>
      </c>
      <c r="BI381" s="225" t="str">
        <f t="shared" si="5725"/>
        <v>n/a</v>
      </c>
      <c r="BJ381" s="225" t="str">
        <f t="shared" si="5725"/>
        <v>n/a</v>
      </c>
      <c r="BK381" s="225" t="str">
        <f t="shared" si="5725"/>
        <v>n/a</v>
      </c>
      <c r="BL381" s="225" t="str">
        <f t="shared" si="5725"/>
        <v>n/a</v>
      </c>
      <c r="BM381" s="225" t="str">
        <f t="shared" si="5725"/>
        <v>n/a</v>
      </c>
      <c r="BN381" s="225" t="str">
        <f t="shared" si="5725"/>
        <v>n/a</v>
      </c>
      <c r="BO381" s="225" t="str">
        <f t="shared" si="5725"/>
        <v>n/a</v>
      </c>
      <c r="BP381" s="225" t="str">
        <f t="shared" si="5725"/>
        <v>n/a</v>
      </c>
      <c r="BQ381" s="225" t="str">
        <f t="shared" si="5725"/>
        <v>n/a</v>
      </c>
      <c r="BR381" s="225" t="str">
        <f t="shared" si="5725"/>
        <v>n/a</v>
      </c>
      <c r="BS381" s="214" t="str">
        <f t="shared" si="5725"/>
        <v>n/a</v>
      </c>
      <c r="BT381" s="225" t="str">
        <f t="shared" si="5725"/>
        <v>n/a</v>
      </c>
      <c r="BU381" s="225" t="str">
        <f t="shared" si="5725"/>
        <v>n/a</v>
      </c>
      <c r="BV381" s="225" t="str">
        <f t="shared" si="5725"/>
        <v>n/a</v>
      </c>
      <c r="BW381" s="225" t="str">
        <f t="shared" si="5725"/>
        <v>n/a</v>
      </c>
      <c r="BX381" s="225" t="str">
        <f t="shared" si="5725"/>
        <v>n/a</v>
      </c>
      <c r="BY381" s="225" t="str">
        <f t="shared" si="5725"/>
        <v>n/a</v>
      </c>
      <c r="BZ381" s="225" t="str">
        <f t="shared" si="5725"/>
        <v>n/a</v>
      </c>
      <c r="CA381" s="225" t="str">
        <f t="shared" si="5725"/>
        <v>n/a</v>
      </c>
      <c r="CB381" s="225" t="str">
        <f t="shared" si="5725"/>
        <v>n/a</v>
      </c>
      <c r="CC381" s="225" t="str">
        <f t="shared" si="5725"/>
        <v>n/a</v>
      </c>
      <c r="CD381" s="225" t="str">
        <f t="shared" si="5725"/>
        <v>n/a</v>
      </c>
      <c r="CE381" s="214" t="str">
        <f t="shared" si="5725"/>
        <v>n/a</v>
      </c>
      <c r="CF381" s="225" t="str">
        <f t="shared" si="5725"/>
        <v>n/a</v>
      </c>
      <c r="CG381" s="225" t="str">
        <f t="shared" si="5725"/>
        <v>n/a</v>
      </c>
      <c r="CH381" s="225" t="str">
        <f t="shared" si="5725"/>
        <v>n/a</v>
      </c>
      <c r="CI381" s="225" t="str">
        <f t="shared" ref="CI381:DN381" si="5726">++IFERROR(CI379/BW379-1,"n/a")</f>
        <v>n/a</v>
      </c>
      <c r="CJ381" s="225" t="str">
        <f t="shared" si="5726"/>
        <v>n/a</v>
      </c>
      <c r="CK381" s="225" t="str">
        <f t="shared" si="5726"/>
        <v>n/a</v>
      </c>
      <c r="CL381" s="225" t="str">
        <f t="shared" si="5726"/>
        <v>n/a</v>
      </c>
      <c r="CM381" s="225" t="str">
        <f t="shared" si="5726"/>
        <v>n/a</v>
      </c>
      <c r="CN381" s="225" t="str">
        <f t="shared" si="5726"/>
        <v>n/a</v>
      </c>
      <c r="CO381" s="225" t="str">
        <f t="shared" si="5726"/>
        <v>n/a</v>
      </c>
      <c r="CP381" s="225" t="str">
        <f t="shared" si="5726"/>
        <v>n/a</v>
      </c>
      <c r="CQ381" s="214" t="str">
        <f t="shared" si="5726"/>
        <v>n/a</v>
      </c>
      <c r="CR381" s="225" t="str">
        <f t="shared" si="5726"/>
        <v>n/a</v>
      </c>
      <c r="CS381" s="225" t="str">
        <f t="shared" si="5726"/>
        <v>n/a</v>
      </c>
      <c r="CT381" s="225" t="str">
        <f t="shared" si="5726"/>
        <v>n/a</v>
      </c>
      <c r="CU381" s="225" t="str">
        <f t="shared" si="5726"/>
        <v>n/a</v>
      </c>
      <c r="CV381" s="225" t="str">
        <f t="shared" si="5726"/>
        <v>n/a</v>
      </c>
      <c r="CW381" s="225" t="str">
        <f t="shared" si="5726"/>
        <v>n/a</v>
      </c>
      <c r="CX381" s="225" t="str">
        <f t="shared" si="5726"/>
        <v>n/a</v>
      </c>
      <c r="CY381" s="225" t="str">
        <f t="shared" si="5726"/>
        <v>n/a</v>
      </c>
      <c r="CZ381" s="225" t="str">
        <f t="shared" si="5726"/>
        <v>n/a</v>
      </c>
      <c r="DA381" s="225" t="str">
        <f t="shared" si="5726"/>
        <v>n/a</v>
      </c>
      <c r="DB381" s="225" t="str">
        <f t="shared" si="5726"/>
        <v>n/a</v>
      </c>
      <c r="DC381" s="214" t="str">
        <f t="shared" si="5726"/>
        <v>n/a</v>
      </c>
    </row>
    <row r="382" spans="3:107" x14ac:dyDescent="0.3">
      <c r="G382" s="203"/>
      <c r="K382" s="203"/>
      <c r="W382" s="203"/>
      <c r="AI382" s="203"/>
      <c r="AU382" s="203"/>
      <c r="BG382" s="203"/>
      <c r="BS382" s="203"/>
      <c r="CE382" s="203"/>
      <c r="CQ382" s="203"/>
      <c r="DC382" s="203"/>
    </row>
    <row r="383" spans="3:107" x14ac:dyDescent="0.3">
      <c r="C383" s="101" t="str">
        <f>++C$40</f>
        <v>Interest Expense (Income)</v>
      </c>
      <c r="G383" s="374">
        <f>++G370</f>
        <v>0</v>
      </c>
      <c r="H383" s="200">
        <f t="shared" ref="H383:BS383" si="5727">++H370</f>
        <v>0</v>
      </c>
      <c r="I383" s="200">
        <f t="shared" si="5727"/>
        <v>0</v>
      </c>
      <c r="J383" s="200">
        <f t="shared" si="5727"/>
        <v>0</v>
      </c>
      <c r="K383" s="374">
        <f t="shared" si="5727"/>
        <v>0</v>
      </c>
      <c r="L383" s="200">
        <f t="shared" si="5727"/>
        <v>0</v>
      </c>
      <c r="M383" s="200">
        <f t="shared" si="5727"/>
        <v>0</v>
      </c>
      <c r="N383" s="200">
        <f t="shared" si="5727"/>
        <v>0</v>
      </c>
      <c r="O383" s="200">
        <f t="shared" si="5727"/>
        <v>0</v>
      </c>
      <c r="P383" s="200">
        <f t="shared" si="5727"/>
        <v>0</v>
      </c>
      <c r="Q383" s="200">
        <f t="shared" si="5727"/>
        <v>0</v>
      </c>
      <c r="R383" s="200">
        <f t="shared" si="5727"/>
        <v>0</v>
      </c>
      <c r="S383" s="200">
        <f t="shared" si="5727"/>
        <v>0</v>
      </c>
      <c r="T383" s="200">
        <f t="shared" si="5727"/>
        <v>0</v>
      </c>
      <c r="U383" s="200">
        <f t="shared" si="5727"/>
        <v>0</v>
      </c>
      <c r="V383" s="200">
        <f t="shared" si="5727"/>
        <v>0</v>
      </c>
      <c r="W383" s="374">
        <f t="shared" si="5727"/>
        <v>0</v>
      </c>
      <c r="X383" s="200">
        <f t="shared" si="5727"/>
        <v>0</v>
      </c>
      <c r="Y383" s="200">
        <f t="shared" si="5727"/>
        <v>0</v>
      </c>
      <c r="Z383" s="200">
        <f t="shared" si="5727"/>
        <v>0</v>
      </c>
      <c r="AA383" s="200">
        <f t="shared" si="5727"/>
        <v>0</v>
      </c>
      <c r="AB383" s="200">
        <f t="shared" si="5727"/>
        <v>0</v>
      </c>
      <c r="AC383" s="200">
        <f t="shared" si="5727"/>
        <v>0</v>
      </c>
      <c r="AD383" s="200">
        <f t="shared" si="5727"/>
        <v>0</v>
      </c>
      <c r="AE383" s="200">
        <f t="shared" si="5727"/>
        <v>0</v>
      </c>
      <c r="AF383" s="200">
        <f t="shared" si="5727"/>
        <v>0</v>
      </c>
      <c r="AG383" s="200">
        <f t="shared" si="5727"/>
        <v>0</v>
      </c>
      <c r="AH383" s="200">
        <f t="shared" si="5727"/>
        <v>0</v>
      </c>
      <c r="AI383" s="374">
        <f t="shared" si="5727"/>
        <v>0</v>
      </c>
      <c r="AJ383" s="200">
        <f t="shared" si="5727"/>
        <v>0</v>
      </c>
      <c r="AK383" s="200">
        <f t="shared" si="5727"/>
        <v>0</v>
      </c>
      <c r="AL383" s="200">
        <f t="shared" si="5727"/>
        <v>0</v>
      </c>
      <c r="AM383" s="200">
        <f t="shared" si="5727"/>
        <v>0</v>
      </c>
      <c r="AN383" s="200">
        <f t="shared" si="5727"/>
        <v>0</v>
      </c>
      <c r="AO383" s="200">
        <f t="shared" si="5727"/>
        <v>0</v>
      </c>
      <c r="AP383" s="200">
        <f t="shared" si="5727"/>
        <v>0</v>
      </c>
      <c r="AQ383" s="200">
        <f t="shared" si="5727"/>
        <v>0</v>
      </c>
      <c r="AR383" s="200">
        <f t="shared" si="5727"/>
        <v>0</v>
      </c>
      <c r="AS383" s="200">
        <f t="shared" si="5727"/>
        <v>0</v>
      </c>
      <c r="AT383" s="200">
        <f t="shared" si="5727"/>
        <v>0</v>
      </c>
      <c r="AU383" s="374">
        <f t="shared" si="5727"/>
        <v>0</v>
      </c>
      <c r="AV383" s="200">
        <f t="shared" si="5727"/>
        <v>0</v>
      </c>
      <c r="AW383" s="200">
        <f t="shared" si="5727"/>
        <v>0</v>
      </c>
      <c r="AX383" s="200">
        <f t="shared" si="5727"/>
        <v>0</v>
      </c>
      <c r="AY383" s="200">
        <f t="shared" si="5727"/>
        <v>0</v>
      </c>
      <c r="AZ383" s="200">
        <f t="shared" si="5727"/>
        <v>0</v>
      </c>
      <c r="BA383" s="200">
        <f t="shared" si="5727"/>
        <v>0</v>
      </c>
      <c r="BB383" s="200">
        <f t="shared" si="5727"/>
        <v>0</v>
      </c>
      <c r="BC383" s="200">
        <f t="shared" si="5727"/>
        <v>0</v>
      </c>
      <c r="BD383" s="200">
        <f t="shared" si="5727"/>
        <v>0</v>
      </c>
      <c r="BE383" s="200">
        <f t="shared" si="5727"/>
        <v>0</v>
      </c>
      <c r="BF383" s="200">
        <f t="shared" si="5727"/>
        <v>0</v>
      </c>
      <c r="BG383" s="374">
        <f t="shared" si="5727"/>
        <v>0</v>
      </c>
      <c r="BH383" s="200">
        <f t="shared" si="5727"/>
        <v>0</v>
      </c>
      <c r="BI383" s="200">
        <f t="shared" si="5727"/>
        <v>0</v>
      </c>
      <c r="BJ383" s="200">
        <f t="shared" si="5727"/>
        <v>0</v>
      </c>
      <c r="BK383" s="200">
        <f t="shared" si="5727"/>
        <v>0</v>
      </c>
      <c r="BL383" s="200">
        <f t="shared" si="5727"/>
        <v>0</v>
      </c>
      <c r="BM383" s="200">
        <f t="shared" si="5727"/>
        <v>0</v>
      </c>
      <c r="BN383" s="200">
        <f t="shared" si="5727"/>
        <v>0</v>
      </c>
      <c r="BO383" s="200">
        <f t="shared" si="5727"/>
        <v>0</v>
      </c>
      <c r="BP383" s="200">
        <f t="shared" si="5727"/>
        <v>0</v>
      </c>
      <c r="BQ383" s="200">
        <f t="shared" si="5727"/>
        <v>0</v>
      </c>
      <c r="BR383" s="200">
        <f t="shared" si="5727"/>
        <v>0</v>
      </c>
      <c r="BS383" s="374">
        <f t="shared" si="5727"/>
        <v>0</v>
      </c>
      <c r="BT383" s="200">
        <f t="shared" ref="BT383:DC383" si="5728">++BT370</f>
        <v>0</v>
      </c>
      <c r="BU383" s="200">
        <f t="shared" si="5728"/>
        <v>0</v>
      </c>
      <c r="BV383" s="200">
        <f t="shared" si="5728"/>
        <v>0</v>
      </c>
      <c r="BW383" s="200">
        <f t="shared" si="5728"/>
        <v>0</v>
      </c>
      <c r="BX383" s="200">
        <f t="shared" si="5728"/>
        <v>0</v>
      </c>
      <c r="BY383" s="200">
        <f t="shared" si="5728"/>
        <v>0</v>
      </c>
      <c r="BZ383" s="200">
        <f t="shared" si="5728"/>
        <v>0</v>
      </c>
      <c r="CA383" s="200">
        <f t="shared" si="5728"/>
        <v>0</v>
      </c>
      <c r="CB383" s="200">
        <f t="shared" si="5728"/>
        <v>0</v>
      </c>
      <c r="CC383" s="200">
        <f t="shared" si="5728"/>
        <v>0</v>
      </c>
      <c r="CD383" s="200">
        <f t="shared" si="5728"/>
        <v>0</v>
      </c>
      <c r="CE383" s="374">
        <f t="shared" si="5728"/>
        <v>0</v>
      </c>
      <c r="CF383" s="200">
        <f t="shared" si="5728"/>
        <v>0</v>
      </c>
      <c r="CG383" s="200">
        <f t="shared" si="5728"/>
        <v>0</v>
      </c>
      <c r="CH383" s="200">
        <f t="shared" si="5728"/>
        <v>0</v>
      </c>
      <c r="CI383" s="200">
        <f t="shared" si="5728"/>
        <v>0</v>
      </c>
      <c r="CJ383" s="200">
        <f t="shared" si="5728"/>
        <v>0</v>
      </c>
      <c r="CK383" s="200">
        <f t="shared" si="5728"/>
        <v>0</v>
      </c>
      <c r="CL383" s="200">
        <f t="shared" si="5728"/>
        <v>0</v>
      </c>
      <c r="CM383" s="200">
        <f t="shared" si="5728"/>
        <v>0</v>
      </c>
      <c r="CN383" s="200">
        <f t="shared" si="5728"/>
        <v>0</v>
      </c>
      <c r="CO383" s="200">
        <f t="shared" si="5728"/>
        <v>0</v>
      </c>
      <c r="CP383" s="200">
        <f t="shared" si="5728"/>
        <v>0</v>
      </c>
      <c r="CQ383" s="374">
        <f t="shared" si="5728"/>
        <v>0</v>
      </c>
      <c r="CR383" s="200">
        <f t="shared" si="5728"/>
        <v>0</v>
      </c>
      <c r="CS383" s="200">
        <f t="shared" si="5728"/>
        <v>0</v>
      </c>
      <c r="CT383" s="200">
        <f t="shared" si="5728"/>
        <v>0</v>
      </c>
      <c r="CU383" s="200">
        <f t="shared" si="5728"/>
        <v>0</v>
      </c>
      <c r="CV383" s="200">
        <f t="shared" si="5728"/>
        <v>0</v>
      </c>
      <c r="CW383" s="200">
        <f t="shared" si="5728"/>
        <v>0</v>
      </c>
      <c r="CX383" s="200">
        <f t="shared" si="5728"/>
        <v>0</v>
      </c>
      <c r="CY383" s="200">
        <f t="shared" si="5728"/>
        <v>0</v>
      </c>
      <c r="CZ383" s="200">
        <f t="shared" si="5728"/>
        <v>0</v>
      </c>
      <c r="DA383" s="200">
        <f t="shared" si="5728"/>
        <v>0</v>
      </c>
      <c r="DB383" s="200">
        <f t="shared" si="5728"/>
        <v>0</v>
      </c>
      <c r="DC383" s="374">
        <f t="shared" si="5728"/>
        <v>0</v>
      </c>
    </row>
    <row r="384" spans="3:107" x14ac:dyDescent="0.3">
      <c r="C384" s="101" t="str">
        <f>++C$41</f>
        <v>Tax Expense (Benefit)</v>
      </c>
      <c r="G384" s="374">
        <f>++G376</f>
        <v>0</v>
      </c>
      <c r="H384" s="200">
        <f t="shared" ref="H384:BS384" si="5729">++H376</f>
        <v>0</v>
      </c>
      <c r="I384" s="200">
        <f t="shared" si="5729"/>
        <v>0</v>
      </c>
      <c r="J384" s="200">
        <f t="shared" si="5729"/>
        <v>0</v>
      </c>
      <c r="K384" s="374">
        <f t="shared" si="5729"/>
        <v>0</v>
      </c>
      <c r="L384" s="200">
        <f t="shared" si="5729"/>
        <v>0</v>
      </c>
      <c r="M384" s="200">
        <f t="shared" si="5729"/>
        <v>0</v>
      </c>
      <c r="N384" s="200">
        <f t="shared" si="5729"/>
        <v>0</v>
      </c>
      <c r="O384" s="200">
        <f t="shared" si="5729"/>
        <v>0</v>
      </c>
      <c r="P384" s="200">
        <f t="shared" si="5729"/>
        <v>0</v>
      </c>
      <c r="Q384" s="200">
        <f t="shared" si="5729"/>
        <v>0</v>
      </c>
      <c r="R384" s="200">
        <f t="shared" si="5729"/>
        <v>0</v>
      </c>
      <c r="S384" s="200">
        <f t="shared" si="5729"/>
        <v>0</v>
      </c>
      <c r="T384" s="200">
        <f t="shared" si="5729"/>
        <v>0</v>
      </c>
      <c r="U384" s="200">
        <f t="shared" si="5729"/>
        <v>0</v>
      </c>
      <c r="V384" s="200">
        <f t="shared" si="5729"/>
        <v>0</v>
      </c>
      <c r="W384" s="374">
        <f t="shared" si="5729"/>
        <v>0</v>
      </c>
      <c r="X384" s="200">
        <f t="shared" si="5729"/>
        <v>0</v>
      </c>
      <c r="Y384" s="200">
        <f t="shared" si="5729"/>
        <v>0</v>
      </c>
      <c r="Z384" s="200">
        <f t="shared" si="5729"/>
        <v>0</v>
      </c>
      <c r="AA384" s="200">
        <f t="shared" si="5729"/>
        <v>0</v>
      </c>
      <c r="AB384" s="200">
        <f t="shared" si="5729"/>
        <v>0</v>
      </c>
      <c r="AC384" s="200">
        <f t="shared" si="5729"/>
        <v>0</v>
      </c>
      <c r="AD384" s="200">
        <f t="shared" si="5729"/>
        <v>0</v>
      </c>
      <c r="AE384" s="200">
        <f t="shared" si="5729"/>
        <v>0</v>
      </c>
      <c r="AF384" s="200">
        <f t="shared" si="5729"/>
        <v>0</v>
      </c>
      <c r="AG384" s="200">
        <f t="shared" si="5729"/>
        <v>0</v>
      </c>
      <c r="AH384" s="200">
        <f t="shared" si="5729"/>
        <v>0</v>
      </c>
      <c r="AI384" s="374">
        <f t="shared" si="5729"/>
        <v>0</v>
      </c>
      <c r="AJ384" s="200">
        <f t="shared" si="5729"/>
        <v>0</v>
      </c>
      <c r="AK384" s="200">
        <f t="shared" si="5729"/>
        <v>0</v>
      </c>
      <c r="AL384" s="200">
        <f t="shared" si="5729"/>
        <v>0</v>
      </c>
      <c r="AM384" s="200">
        <f t="shared" si="5729"/>
        <v>0</v>
      </c>
      <c r="AN384" s="200">
        <f t="shared" si="5729"/>
        <v>0</v>
      </c>
      <c r="AO384" s="200">
        <f t="shared" si="5729"/>
        <v>0</v>
      </c>
      <c r="AP384" s="200">
        <f t="shared" si="5729"/>
        <v>0</v>
      </c>
      <c r="AQ384" s="200">
        <f t="shared" si="5729"/>
        <v>0</v>
      </c>
      <c r="AR384" s="200">
        <f t="shared" si="5729"/>
        <v>0</v>
      </c>
      <c r="AS384" s="200">
        <f t="shared" si="5729"/>
        <v>0</v>
      </c>
      <c r="AT384" s="200">
        <f t="shared" si="5729"/>
        <v>0</v>
      </c>
      <c r="AU384" s="374">
        <f t="shared" si="5729"/>
        <v>0</v>
      </c>
      <c r="AV384" s="200">
        <f t="shared" si="5729"/>
        <v>0</v>
      </c>
      <c r="AW384" s="200">
        <f t="shared" si="5729"/>
        <v>0</v>
      </c>
      <c r="AX384" s="200">
        <f t="shared" si="5729"/>
        <v>0</v>
      </c>
      <c r="AY384" s="200">
        <f t="shared" si="5729"/>
        <v>0</v>
      </c>
      <c r="AZ384" s="200">
        <f t="shared" si="5729"/>
        <v>0</v>
      </c>
      <c r="BA384" s="200">
        <f t="shared" si="5729"/>
        <v>0</v>
      </c>
      <c r="BB384" s="200">
        <f t="shared" si="5729"/>
        <v>0</v>
      </c>
      <c r="BC384" s="200">
        <f t="shared" si="5729"/>
        <v>0</v>
      </c>
      <c r="BD384" s="200">
        <f t="shared" si="5729"/>
        <v>0</v>
      </c>
      <c r="BE384" s="200">
        <f t="shared" si="5729"/>
        <v>0</v>
      </c>
      <c r="BF384" s="200">
        <f t="shared" si="5729"/>
        <v>0</v>
      </c>
      <c r="BG384" s="374">
        <f t="shared" si="5729"/>
        <v>0</v>
      </c>
      <c r="BH384" s="200">
        <f t="shared" si="5729"/>
        <v>0</v>
      </c>
      <c r="BI384" s="200">
        <f t="shared" si="5729"/>
        <v>0</v>
      </c>
      <c r="BJ384" s="200">
        <f t="shared" si="5729"/>
        <v>0</v>
      </c>
      <c r="BK384" s="200">
        <f t="shared" si="5729"/>
        <v>0</v>
      </c>
      <c r="BL384" s="200">
        <f t="shared" si="5729"/>
        <v>0</v>
      </c>
      <c r="BM384" s="200">
        <f t="shared" si="5729"/>
        <v>0</v>
      </c>
      <c r="BN384" s="200">
        <f t="shared" si="5729"/>
        <v>0</v>
      </c>
      <c r="BO384" s="200">
        <f t="shared" si="5729"/>
        <v>0</v>
      </c>
      <c r="BP384" s="200">
        <f t="shared" si="5729"/>
        <v>0</v>
      </c>
      <c r="BQ384" s="200">
        <f t="shared" si="5729"/>
        <v>0</v>
      </c>
      <c r="BR384" s="200">
        <f t="shared" si="5729"/>
        <v>0</v>
      </c>
      <c r="BS384" s="374">
        <f t="shared" si="5729"/>
        <v>0</v>
      </c>
      <c r="BT384" s="200">
        <f t="shared" ref="BT384:DC384" si="5730">++BT376</f>
        <v>0</v>
      </c>
      <c r="BU384" s="200">
        <f t="shared" si="5730"/>
        <v>0</v>
      </c>
      <c r="BV384" s="200">
        <f t="shared" si="5730"/>
        <v>0</v>
      </c>
      <c r="BW384" s="200">
        <f t="shared" si="5730"/>
        <v>0</v>
      </c>
      <c r="BX384" s="200">
        <f t="shared" si="5730"/>
        <v>0</v>
      </c>
      <c r="BY384" s="200">
        <f t="shared" si="5730"/>
        <v>0</v>
      </c>
      <c r="BZ384" s="200">
        <f t="shared" si="5730"/>
        <v>0</v>
      </c>
      <c r="CA384" s="200">
        <f t="shared" si="5730"/>
        <v>0</v>
      </c>
      <c r="CB384" s="200">
        <f t="shared" si="5730"/>
        <v>0</v>
      </c>
      <c r="CC384" s="200">
        <f t="shared" si="5730"/>
        <v>0</v>
      </c>
      <c r="CD384" s="200">
        <f t="shared" si="5730"/>
        <v>0</v>
      </c>
      <c r="CE384" s="374">
        <f t="shared" si="5730"/>
        <v>0</v>
      </c>
      <c r="CF384" s="200">
        <f t="shared" si="5730"/>
        <v>0</v>
      </c>
      <c r="CG384" s="200">
        <f t="shared" si="5730"/>
        <v>0</v>
      </c>
      <c r="CH384" s="200">
        <f t="shared" si="5730"/>
        <v>0</v>
      </c>
      <c r="CI384" s="200">
        <f t="shared" si="5730"/>
        <v>0</v>
      </c>
      <c r="CJ384" s="200">
        <f t="shared" si="5730"/>
        <v>0</v>
      </c>
      <c r="CK384" s="200">
        <f t="shared" si="5730"/>
        <v>0</v>
      </c>
      <c r="CL384" s="200">
        <f t="shared" si="5730"/>
        <v>0</v>
      </c>
      <c r="CM384" s="200">
        <f t="shared" si="5730"/>
        <v>0</v>
      </c>
      <c r="CN384" s="200">
        <f t="shared" si="5730"/>
        <v>0</v>
      </c>
      <c r="CO384" s="200">
        <f t="shared" si="5730"/>
        <v>0</v>
      </c>
      <c r="CP384" s="200">
        <f t="shared" si="5730"/>
        <v>0</v>
      </c>
      <c r="CQ384" s="374">
        <f t="shared" si="5730"/>
        <v>0</v>
      </c>
      <c r="CR384" s="200">
        <f t="shared" si="5730"/>
        <v>0</v>
      </c>
      <c r="CS384" s="200">
        <f t="shared" si="5730"/>
        <v>0</v>
      </c>
      <c r="CT384" s="200">
        <f t="shared" si="5730"/>
        <v>0</v>
      </c>
      <c r="CU384" s="200">
        <f t="shared" si="5730"/>
        <v>0</v>
      </c>
      <c r="CV384" s="200">
        <f t="shared" si="5730"/>
        <v>0</v>
      </c>
      <c r="CW384" s="200">
        <f t="shared" si="5730"/>
        <v>0</v>
      </c>
      <c r="CX384" s="200">
        <f t="shared" si="5730"/>
        <v>0</v>
      </c>
      <c r="CY384" s="200">
        <f t="shared" si="5730"/>
        <v>0</v>
      </c>
      <c r="CZ384" s="200">
        <f t="shared" si="5730"/>
        <v>0</v>
      </c>
      <c r="DA384" s="200">
        <f t="shared" si="5730"/>
        <v>0</v>
      </c>
      <c r="DB384" s="200">
        <f t="shared" si="5730"/>
        <v>0</v>
      </c>
      <c r="DC384" s="374">
        <f t="shared" si="5730"/>
        <v>0</v>
      </c>
    </row>
    <row r="385" spans="1:107" x14ac:dyDescent="0.3">
      <c r="C385" s="101" t="str">
        <f>++C$42</f>
        <v>Depreciation</v>
      </c>
      <c r="G385" s="374">
        <f>++G363</f>
        <v>0</v>
      </c>
      <c r="H385" s="200">
        <f t="shared" ref="H385:BS385" si="5731">++H363</f>
        <v>0</v>
      </c>
      <c r="I385" s="200">
        <f t="shared" si="5731"/>
        <v>0</v>
      </c>
      <c r="J385" s="200">
        <f t="shared" si="5731"/>
        <v>0</v>
      </c>
      <c r="K385" s="374">
        <f t="shared" si="5731"/>
        <v>0</v>
      </c>
      <c r="L385" s="200">
        <f t="shared" si="5731"/>
        <v>0</v>
      </c>
      <c r="M385" s="200">
        <f t="shared" si="5731"/>
        <v>0</v>
      </c>
      <c r="N385" s="200">
        <f t="shared" si="5731"/>
        <v>0</v>
      </c>
      <c r="O385" s="200">
        <f t="shared" si="5731"/>
        <v>0</v>
      </c>
      <c r="P385" s="200">
        <f t="shared" si="5731"/>
        <v>0</v>
      </c>
      <c r="Q385" s="200">
        <f t="shared" si="5731"/>
        <v>0</v>
      </c>
      <c r="R385" s="200">
        <f t="shared" si="5731"/>
        <v>0</v>
      </c>
      <c r="S385" s="200">
        <f t="shared" si="5731"/>
        <v>0</v>
      </c>
      <c r="T385" s="200">
        <f t="shared" si="5731"/>
        <v>0</v>
      </c>
      <c r="U385" s="200">
        <f t="shared" si="5731"/>
        <v>0</v>
      </c>
      <c r="V385" s="200">
        <f t="shared" si="5731"/>
        <v>0</v>
      </c>
      <c r="W385" s="374">
        <f t="shared" si="5731"/>
        <v>0</v>
      </c>
      <c r="X385" s="200">
        <f t="shared" si="5731"/>
        <v>0</v>
      </c>
      <c r="Y385" s="200">
        <f t="shared" si="5731"/>
        <v>0</v>
      </c>
      <c r="Z385" s="200">
        <f t="shared" si="5731"/>
        <v>0</v>
      </c>
      <c r="AA385" s="200">
        <f t="shared" si="5731"/>
        <v>0</v>
      </c>
      <c r="AB385" s="200">
        <f t="shared" si="5731"/>
        <v>0</v>
      </c>
      <c r="AC385" s="200">
        <f t="shared" si="5731"/>
        <v>0</v>
      </c>
      <c r="AD385" s="200">
        <f t="shared" si="5731"/>
        <v>0</v>
      </c>
      <c r="AE385" s="200">
        <f t="shared" si="5731"/>
        <v>0</v>
      </c>
      <c r="AF385" s="200">
        <f t="shared" si="5731"/>
        <v>0</v>
      </c>
      <c r="AG385" s="200">
        <f t="shared" si="5731"/>
        <v>0</v>
      </c>
      <c r="AH385" s="200">
        <f t="shared" si="5731"/>
        <v>0</v>
      </c>
      <c r="AI385" s="374">
        <f t="shared" si="5731"/>
        <v>0</v>
      </c>
      <c r="AJ385" s="200">
        <f t="shared" si="5731"/>
        <v>0</v>
      </c>
      <c r="AK385" s="200">
        <f t="shared" si="5731"/>
        <v>0</v>
      </c>
      <c r="AL385" s="200">
        <f t="shared" si="5731"/>
        <v>0</v>
      </c>
      <c r="AM385" s="200">
        <f t="shared" si="5731"/>
        <v>0</v>
      </c>
      <c r="AN385" s="200">
        <f t="shared" si="5731"/>
        <v>0</v>
      </c>
      <c r="AO385" s="200">
        <f t="shared" si="5731"/>
        <v>0</v>
      </c>
      <c r="AP385" s="200">
        <f t="shared" si="5731"/>
        <v>0</v>
      </c>
      <c r="AQ385" s="200">
        <f t="shared" si="5731"/>
        <v>0</v>
      </c>
      <c r="AR385" s="200">
        <f t="shared" si="5731"/>
        <v>0</v>
      </c>
      <c r="AS385" s="200">
        <f t="shared" si="5731"/>
        <v>0</v>
      </c>
      <c r="AT385" s="200">
        <f t="shared" si="5731"/>
        <v>0</v>
      </c>
      <c r="AU385" s="374">
        <f t="shared" si="5731"/>
        <v>0</v>
      </c>
      <c r="AV385" s="200">
        <f t="shared" si="5731"/>
        <v>0</v>
      </c>
      <c r="AW385" s="200">
        <f t="shared" si="5731"/>
        <v>0</v>
      </c>
      <c r="AX385" s="200">
        <f t="shared" si="5731"/>
        <v>0</v>
      </c>
      <c r="AY385" s="200">
        <f t="shared" si="5731"/>
        <v>0</v>
      </c>
      <c r="AZ385" s="200">
        <f t="shared" si="5731"/>
        <v>0</v>
      </c>
      <c r="BA385" s="200">
        <f t="shared" si="5731"/>
        <v>0</v>
      </c>
      <c r="BB385" s="200">
        <f t="shared" si="5731"/>
        <v>0</v>
      </c>
      <c r="BC385" s="200">
        <f t="shared" si="5731"/>
        <v>0</v>
      </c>
      <c r="BD385" s="200">
        <f t="shared" si="5731"/>
        <v>0</v>
      </c>
      <c r="BE385" s="200">
        <f t="shared" si="5731"/>
        <v>0</v>
      </c>
      <c r="BF385" s="200">
        <f t="shared" si="5731"/>
        <v>0</v>
      </c>
      <c r="BG385" s="374">
        <f t="shared" si="5731"/>
        <v>0</v>
      </c>
      <c r="BH385" s="200">
        <f t="shared" si="5731"/>
        <v>0</v>
      </c>
      <c r="BI385" s="200">
        <f t="shared" si="5731"/>
        <v>0</v>
      </c>
      <c r="BJ385" s="200">
        <f t="shared" si="5731"/>
        <v>0</v>
      </c>
      <c r="BK385" s="200">
        <f t="shared" si="5731"/>
        <v>0</v>
      </c>
      <c r="BL385" s="200">
        <f t="shared" si="5731"/>
        <v>0</v>
      </c>
      <c r="BM385" s="200">
        <f t="shared" si="5731"/>
        <v>0</v>
      </c>
      <c r="BN385" s="200">
        <f t="shared" si="5731"/>
        <v>0</v>
      </c>
      <c r="BO385" s="200">
        <f t="shared" si="5731"/>
        <v>0</v>
      </c>
      <c r="BP385" s="200">
        <f t="shared" si="5731"/>
        <v>0</v>
      </c>
      <c r="BQ385" s="200">
        <f t="shared" si="5731"/>
        <v>0</v>
      </c>
      <c r="BR385" s="200">
        <f t="shared" si="5731"/>
        <v>0</v>
      </c>
      <c r="BS385" s="374">
        <f t="shared" si="5731"/>
        <v>0</v>
      </c>
      <c r="BT385" s="200">
        <f t="shared" ref="BT385:DC385" si="5732">++BT363</f>
        <v>0</v>
      </c>
      <c r="BU385" s="200">
        <f t="shared" si="5732"/>
        <v>0</v>
      </c>
      <c r="BV385" s="200">
        <f t="shared" si="5732"/>
        <v>0</v>
      </c>
      <c r="BW385" s="200">
        <f t="shared" si="5732"/>
        <v>0</v>
      </c>
      <c r="BX385" s="200">
        <f t="shared" si="5732"/>
        <v>0</v>
      </c>
      <c r="BY385" s="200">
        <f t="shared" si="5732"/>
        <v>0</v>
      </c>
      <c r="BZ385" s="200">
        <f t="shared" si="5732"/>
        <v>0</v>
      </c>
      <c r="CA385" s="200">
        <f t="shared" si="5732"/>
        <v>0</v>
      </c>
      <c r="CB385" s="200">
        <f t="shared" si="5732"/>
        <v>0</v>
      </c>
      <c r="CC385" s="200">
        <f t="shared" si="5732"/>
        <v>0</v>
      </c>
      <c r="CD385" s="200">
        <f t="shared" si="5732"/>
        <v>0</v>
      </c>
      <c r="CE385" s="374">
        <f t="shared" si="5732"/>
        <v>0</v>
      </c>
      <c r="CF385" s="200">
        <f t="shared" si="5732"/>
        <v>0</v>
      </c>
      <c r="CG385" s="200">
        <f t="shared" si="5732"/>
        <v>0</v>
      </c>
      <c r="CH385" s="200">
        <f t="shared" si="5732"/>
        <v>0</v>
      </c>
      <c r="CI385" s="200">
        <f t="shared" si="5732"/>
        <v>0</v>
      </c>
      <c r="CJ385" s="200">
        <f t="shared" si="5732"/>
        <v>0</v>
      </c>
      <c r="CK385" s="200">
        <f t="shared" si="5732"/>
        <v>0</v>
      </c>
      <c r="CL385" s="200">
        <f t="shared" si="5732"/>
        <v>0</v>
      </c>
      <c r="CM385" s="200">
        <f t="shared" si="5732"/>
        <v>0</v>
      </c>
      <c r="CN385" s="200">
        <f t="shared" si="5732"/>
        <v>0</v>
      </c>
      <c r="CO385" s="200">
        <f t="shared" si="5732"/>
        <v>0</v>
      </c>
      <c r="CP385" s="200">
        <f t="shared" si="5732"/>
        <v>0</v>
      </c>
      <c r="CQ385" s="374">
        <f t="shared" si="5732"/>
        <v>0</v>
      </c>
      <c r="CR385" s="200">
        <f t="shared" si="5732"/>
        <v>0</v>
      </c>
      <c r="CS385" s="200">
        <f t="shared" si="5732"/>
        <v>0</v>
      </c>
      <c r="CT385" s="200">
        <f t="shared" si="5732"/>
        <v>0</v>
      </c>
      <c r="CU385" s="200">
        <f t="shared" si="5732"/>
        <v>0</v>
      </c>
      <c r="CV385" s="200">
        <f t="shared" si="5732"/>
        <v>0</v>
      </c>
      <c r="CW385" s="200">
        <f t="shared" si="5732"/>
        <v>0</v>
      </c>
      <c r="CX385" s="200">
        <f t="shared" si="5732"/>
        <v>0</v>
      </c>
      <c r="CY385" s="200">
        <f t="shared" si="5732"/>
        <v>0</v>
      </c>
      <c r="CZ385" s="200">
        <f t="shared" si="5732"/>
        <v>0</v>
      </c>
      <c r="DA385" s="200">
        <f t="shared" si="5732"/>
        <v>0</v>
      </c>
      <c r="DB385" s="200">
        <f t="shared" si="5732"/>
        <v>0</v>
      </c>
      <c r="DC385" s="374">
        <f t="shared" si="5732"/>
        <v>0</v>
      </c>
    </row>
    <row r="386" spans="1:107" x14ac:dyDescent="0.3">
      <c r="C386" s="101" t="str">
        <f>++C$43</f>
        <v>Amortization</v>
      </c>
      <c r="G386" s="374">
        <f t="shared" ref="G386:BR386" si="5733">++G364</f>
        <v>0</v>
      </c>
      <c r="H386" s="200">
        <f t="shared" si="5733"/>
        <v>0</v>
      </c>
      <c r="I386" s="200">
        <f t="shared" si="5733"/>
        <v>0</v>
      </c>
      <c r="J386" s="200">
        <f t="shared" si="5733"/>
        <v>0</v>
      </c>
      <c r="K386" s="374">
        <f t="shared" si="5733"/>
        <v>0</v>
      </c>
      <c r="L386" s="200">
        <f t="shared" si="5733"/>
        <v>0</v>
      </c>
      <c r="M386" s="200">
        <f t="shared" si="5733"/>
        <v>0</v>
      </c>
      <c r="N386" s="200">
        <f t="shared" si="5733"/>
        <v>0</v>
      </c>
      <c r="O386" s="200">
        <f t="shared" si="5733"/>
        <v>0</v>
      </c>
      <c r="P386" s="200">
        <f t="shared" si="5733"/>
        <v>0</v>
      </c>
      <c r="Q386" s="200">
        <f t="shared" si="5733"/>
        <v>0</v>
      </c>
      <c r="R386" s="200">
        <f t="shared" si="5733"/>
        <v>0</v>
      </c>
      <c r="S386" s="200">
        <f t="shared" si="5733"/>
        <v>0</v>
      </c>
      <c r="T386" s="200">
        <f t="shared" si="5733"/>
        <v>0</v>
      </c>
      <c r="U386" s="200">
        <f t="shared" si="5733"/>
        <v>0</v>
      </c>
      <c r="V386" s="200">
        <f t="shared" si="5733"/>
        <v>0</v>
      </c>
      <c r="W386" s="374">
        <f t="shared" si="5733"/>
        <v>0</v>
      </c>
      <c r="X386" s="200">
        <f t="shared" si="5733"/>
        <v>0</v>
      </c>
      <c r="Y386" s="200">
        <f t="shared" si="5733"/>
        <v>0</v>
      </c>
      <c r="Z386" s="200">
        <f t="shared" si="5733"/>
        <v>0</v>
      </c>
      <c r="AA386" s="200">
        <f t="shared" si="5733"/>
        <v>0</v>
      </c>
      <c r="AB386" s="200">
        <f t="shared" si="5733"/>
        <v>0</v>
      </c>
      <c r="AC386" s="200">
        <f t="shared" si="5733"/>
        <v>0</v>
      </c>
      <c r="AD386" s="200">
        <f t="shared" si="5733"/>
        <v>0</v>
      </c>
      <c r="AE386" s="200">
        <f t="shared" si="5733"/>
        <v>0</v>
      </c>
      <c r="AF386" s="200">
        <f t="shared" si="5733"/>
        <v>0</v>
      </c>
      <c r="AG386" s="200">
        <f t="shared" si="5733"/>
        <v>0</v>
      </c>
      <c r="AH386" s="200">
        <f t="shared" si="5733"/>
        <v>0</v>
      </c>
      <c r="AI386" s="374">
        <f t="shared" si="5733"/>
        <v>0</v>
      </c>
      <c r="AJ386" s="200">
        <f t="shared" si="5733"/>
        <v>0</v>
      </c>
      <c r="AK386" s="200">
        <f t="shared" si="5733"/>
        <v>0</v>
      </c>
      <c r="AL386" s="200">
        <f t="shared" si="5733"/>
        <v>0</v>
      </c>
      <c r="AM386" s="200">
        <f t="shared" si="5733"/>
        <v>0</v>
      </c>
      <c r="AN386" s="200">
        <f t="shared" si="5733"/>
        <v>0</v>
      </c>
      <c r="AO386" s="200">
        <f t="shared" si="5733"/>
        <v>0</v>
      </c>
      <c r="AP386" s="200">
        <f t="shared" si="5733"/>
        <v>0</v>
      </c>
      <c r="AQ386" s="200">
        <f t="shared" si="5733"/>
        <v>0</v>
      </c>
      <c r="AR386" s="200">
        <f t="shared" si="5733"/>
        <v>0</v>
      </c>
      <c r="AS386" s="200">
        <f t="shared" si="5733"/>
        <v>0</v>
      </c>
      <c r="AT386" s="200">
        <f t="shared" si="5733"/>
        <v>0</v>
      </c>
      <c r="AU386" s="374">
        <f t="shared" si="5733"/>
        <v>0</v>
      </c>
      <c r="AV386" s="200">
        <f t="shared" si="5733"/>
        <v>0</v>
      </c>
      <c r="AW386" s="200">
        <f t="shared" si="5733"/>
        <v>0</v>
      </c>
      <c r="AX386" s="200">
        <f t="shared" si="5733"/>
        <v>0</v>
      </c>
      <c r="AY386" s="200">
        <f t="shared" si="5733"/>
        <v>0</v>
      </c>
      <c r="AZ386" s="200">
        <f t="shared" si="5733"/>
        <v>0</v>
      </c>
      <c r="BA386" s="200">
        <f t="shared" si="5733"/>
        <v>0</v>
      </c>
      <c r="BB386" s="200">
        <f t="shared" si="5733"/>
        <v>0</v>
      </c>
      <c r="BC386" s="200">
        <f t="shared" si="5733"/>
        <v>0</v>
      </c>
      <c r="BD386" s="200">
        <f t="shared" si="5733"/>
        <v>0</v>
      </c>
      <c r="BE386" s="200">
        <f t="shared" si="5733"/>
        <v>0</v>
      </c>
      <c r="BF386" s="200">
        <f t="shared" si="5733"/>
        <v>0</v>
      </c>
      <c r="BG386" s="374">
        <f t="shared" si="5733"/>
        <v>0</v>
      </c>
      <c r="BH386" s="200">
        <f t="shared" si="5733"/>
        <v>0</v>
      </c>
      <c r="BI386" s="200">
        <f t="shared" si="5733"/>
        <v>0</v>
      </c>
      <c r="BJ386" s="200">
        <f t="shared" si="5733"/>
        <v>0</v>
      </c>
      <c r="BK386" s="200">
        <f t="shared" si="5733"/>
        <v>0</v>
      </c>
      <c r="BL386" s="200">
        <f t="shared" si="5733"/>
        <v>0</v>
      </c>
      <c r="BM386" s="200">
        <f t="shared" si="5733"/>
        <v>0</v>
      </c>
      <c r="BN386" s="200">
        <f t="shared" si="5733"/>
        <v>0</v>
      </c>
      <c r="BO386" s="200">
        <f t="shared" si="5733"/>
        <v>0</v>
      </c>
      <c r="BP386" s="200">
        <f t="shared" si="5733"/>
        <v>0</v>
      </c>
      <c r="BQ386" s="200">
        <f t="shared" si="5733"/>
        <v>0</v>
      </c>
      <c r="BR386" s="200">
        <f t="shared" si="5733"/>
        <v>0</v>
      </c>
      <c r="BS386" s="374">
        <f t="shared" ref="BS386:DC386" si="5734">++BS364</f>
        <v>0</v>
      </c>
      <c r="BT386" s="200">
        <f t="shared" si="5734"/>
        <v>0</v>
      </c>
      <c r="BU386" s="200">
        <f t="shared" si="5734"/>
        <v>0</v>
      </c>
      <c r="BV386" s="200">
        <f t="shared" si="5734"/>
        <v>0</v>
      </c>
      <c r="BW386" s="200">
        <f t="shared" si="5734"/>
        <v>0</v>
      </c>
      <c r="BX386" s="200">
        <f t="shared" si="5734"/>
        <v>0</v>
      </c>
      <c r="BY386" s="200">
        <f t="shared" si="5734"/>
        <v>0</v>
      </c>
      <c r="BZ386" s="200">
        <f t="shared" si="5734"/>
        <v>0</v>
      </c>
      <c r="CA386" s="200">
        <f t="shared" si="5734"/>
        <v>0</v>
      </c>
      <c r="CB386" s="200">
        <f t="shared" si="5734"/>
        <v>0</v>
      </c>
      <c r="CC386" s="200">
        <f t="shared" si="5734"/>
        <v>0</v>
      </c>
      <c r="CD386" s="200">
        <f t="shared" si="5734"/>
        <v>0</v>
      </c>
      <c r="CE386" s="374">
        <f t="shared" si="5734"/>
        <v>0</v>
      </c>
      <c r="CF386" s="200">
        <f t="shared" si="5734"/>
        <v>0</v>
      </c>
      <c r="CG386" s="200">
        <f t="shared" si="5734"/>
        <v>0</v>
      </c>
      <c r="CH386" s="200">
        <f t="shared" si="5734"/>
        <v>0</v>
      </c>
      <c r="CI386" s="200">
        <f t="shared" si="5734"/>
        <v>0</v>
      </c>
      <c r="CJ386" s="200">
        <f t="shared" si="5734"/>
        <v>0</v>
      </c>
      <c r="CK386" s="200">
        <f t="shared" si="5734"/>
        <v>0</v>
      </c>
      <c r="CL386" s="200">
        <f t="shared" si="5734"/>
        <v>0</v>
      </c>
      <c r="CM386" s="200">
        <f t="shared" si="5734"/>
        <v>0</v>
      </c>
      <c r="CN386" s="200">
        <f t="shared" si="5734"/>
        <v>0</v>
      </c>
      <c r="CO386" s="200">
        <f t="shared" si="5734"/>
        <v>0</v>
      </c>
      <c r="CP386" s="200">
        <f t="shared" si="5734"/>
        <v>0</v>
      </c>
      <c r="CQ386" s="374">
        <f t="shared" si="5734"/>
        <v>0</v>
      </c>
      <c r="CR386" s="200">
        <f t="shared" si="5734"/>
        <v>0</v>
      </c>
      <c r="CS386" s="200">
        <f t="shared" si="5734"/>
        <v>0</v>
      </c>
      <c r="CT386" s="200">
        <f t="shared" si="5734"/>
        <v>0</v>
      </c>
      <c r="CU386" s="200">
        <f t="shared" si="5734"/>
        <v>0</v>
      </c>
      <c r="CV386" s="200">
        <f t="shared" si="5734"/>
        <v>0</v>
      </c>
      <c r="CW386" s="200">
        <f t="shared" si="5734"/>
        <v>0</v>
      </c>
      <c r="CX386" s="200">
        <f t="shared" si="5734"/>
        <v>0</v>
      </c>
      <c r="CY386" s="200">
        <f t="shared" si="5734"/>
        <v>0</v>
      </c>
      <c r="CZ386" s="200">
        <f t="shared" si="5734"/>
        <v>0</v>
      </c>
      <c r="DA386" s="200">
        <f t="shared" si="5734"/>
        <v>0</v>
      </c>
      <c r="DB386" s="200">
        <f t="shared" si="5734"/>
        <v>0</v>
      </c>
      <c r="DC386" s="374">
        <f t="shared" si="5734"/>
        <v>0</v>
      </c>
    </row>
    <row r="387" spans="1:107" x14ac:dyDescent="0.3">
      <c r="C387" s="231" t="str">
        <f>++C$44</f>
        <v>Reported EBITDA</v>
      </c>
      <c r="D387" s="191"/>
      <c r="E387" s="191"/>
      <c r="G387" s="239">
        <f>++SUM(G383:G386)</f>
        <v>0</v>
      </c>
      <c r="H387" s="232">
        <f t="shared" ref="H387:BS387" si="5735">++SUM(H383:H386)</f>
        <v>0</v>
      </c>
      <c r="I387" s="232">
        <f t="shared" si="5735"/>
        <v>0</v>
      </c>
      <c r="J387" s="232">
        <f t="shared" si="5735"/>
        <v>0</v>
      </c>
      <c r="K387" s="239">
        <f t="shared" si="5735"/>
        <v>0</v>
      </c>
      <c r="L387" s="232">
        <f t="shared" si="5735"/>
        <v>0</v>
      </c>
      <c r="M387" s="232">
        <f t="shared" si="5735"/>
        <v>0</v>
      </c>
      <c r="N387" s="232">
        <f t="shared" si="5735"/>
        <v>0</v>
      </c>
      <c r="O387" s="232">
        <f t="shared" si="5735"/>
        <v>0</v>
      </c>
      <c r="P387" s="232">
        <f t="shared" si="5735"/>
        <v>0</v>
      </c>
      <c r="Q387" s="232">
        <f t="shared" si="5735"/>
        <v>0</v>
      </c>
      <c r="R387" s="232">
        <f t="shared" si="5735"/>
        <v>0</v>
      </c>
      <c r="S387" s="232">
        <f t="shared" si="5735"/>
        <v>0</v>
      </c>
      <c r="T387" s="232">
        <f t="shared" si="5735"/>
        <v>0</v>
      </c>
      <c r="U387" s="232">
        <f t="shared" si="5735"/>
        <v>0</v>
      </c>
      <c r="V387" s="232">
        <f t="shared" si="5735"/>
        <v>0</v>
      </c>
      <c r="W387" s="239">
        <f t="shared" si="5735"/>
        <v>0</v>
      </c>
      <c r="X387" s="232">
        <f t="shared" si="5735"/>
        <v>0</v>
      </c>
      <c r="Y387" s="232">
        <f t="shared" si="5735"/>
        <v>0</v>
      </c>
      <c r="Z387" s="232">
        <f t="shared" si="5735"/>
        <v>0</v>
      </c>
      <c r="AA387" s="232">
        <f t="shared" si="5735"/>
        <v>0</v>
      </c>
      <c r="AB387" s="232">
        <f t="shared" si="5735"/>
        <v>0</v>
      </c>
      <c r="AC387" s="232">
        <f t="shared" si="5735"/>
        <v>0</v>
      </c>
      <c r="AD387" s="232">
        <f t="shared" si="5735"/>
        <v>0</v>
      </c>
      <c r="AE387" s="232">
        <f t="shared" si="5735"/>
        <v>0</v>
      </c>
      <c r="AF387" s="232">
        <f t="shared" si="5735"/>
        <v>0</v>
      </c>
      <c r="AG387" s="232">
        <f t="shared" si="5735"/>
        <v>0</v>
      </c>
      <c r="AH387" s="232">
        <f t="shared" si="5735"/>
        <v>0</v>
      </c>
      <c r="AI387" s="239">
        <f t="shared" si="5735"/>
        <v>0</v>
      </c>
      <c r="AJ387" s="232">
        <f t="shared" si="5735"/>
        <v>0</v>
      </c>
      <c r="AK387" s="232">
        <f t="shared" si="5735"/>
        <v>0</v>
      </c>
      <c r="AL387" s="232">
        <f t="shared" si="5735"/>
        <v>0</v>
      </c>
      <c r="AM387" s="232">
        <f t="shared" si="5735"/>
        <v>0</v>
      </c>
      <c r="AN387" s="232">
        <f t="shared" si="5735"/>
        <v>0</v>
      </c>
      <c r="AO387" s="232">
        <f t="shared" si="5735"/>
        <v>0</v>
      </c>
      <c r="AP387" s="232">
        <f t="shared" si="5735"/>
        <v>0</v>
      </c>
      <c r="AQ387" s="232">
        <f t="shared" si="5735"/>
        <v>0</v>
      </c>
      <c r="AR387" s="232">
        <f t="shared" si="5735"/>
        <v>0</v>
      </c>
      <c r="AS387" s="232">
        <f t="shared" si="5735"/>
        <v>0</v>
      </c>
      <c r="AT387" s="232">
        <f t="shared" si="5735"/>
        <v>0</v>
      </c>
      <c r="AU387" s="239">
        <f t="shared" si="5735"/>
        <v>0</v>
      </c>
      <c r="AV387" s="232">
        <f t="shared" si="5735"/>
        <v>0</v>
      </c>
      <c r="AW387" s="232">
        <f t="shared" si="5735"/>
        <v>0</v>
      </c>
      <c r="AX387" s="232">
        <f t="shared" si="5735"/>
        <v>0</v>
      </c>
      <c r="AY387" s="232">
        <f t="shared" si="5735"/>
        <v>0</v>
      </c>
      <c r="AZ387" s="232">
        <f t="shared" si="5735"/>
        <v>0</v>
      </c>
      <c r="BA387" s="232">
        <f t="shared" si="5735"/>
        <v>0</v>
      </c>
      <c r="BB387" s="232">
        <f t="shared" si="5735"/>
        <v>0</v>
      </c>
      <c r="BC387" s="232">
        <f t="shared" si="5735"/>
        <v>0</v>
      </c>
      <c r="BD387" s="232">
        <f t="shared" si="5735"/>
        <v>0</v>
      </c>
      <c r="BE387" s="232">
        <f t="shared" si="5735"/>
        <v>0</v>
      </c>
      <c r="BF387" s="232">
        <f t="shared" si="5735"/>
        <v>0</v>
      </c>
      <c r="BG387" s="239">
        <f t="shared" si="5735"/>
        <v>0</v>
      </c>
      <c r="BH387" s="232">
        <f t="shared" si="5735"/>
        <v>0</v>
      </c>
      <c r="BI387" s="232">
        <f t="shared" si="5735"/>
        <v>0</v>
      </c>
      <c r="BJ387" s="232">
        <f t="shared" si="5735"/>
        <v>0</v>
      </c>
      <c r="BK387" s="232">
        <f t="shared" si="5735"/>
        <v>0</v>
      </c>
      <c r="BL387" s="232">
        <f t="shared" si="5735"/>
        <v>0</v>
      </c>
      <c r="BM387" s="232">
        <f t="shared" si="5735"/>
        <v>0</v>
      </c>
      <c r="BN387" s="232">
        <f t="shared" si="5735"/>
        <v>0</v>
      </c>
      <c r="BO387" s="232">
        <f t="shared" si="5735"/>
        <v>0</v>
      </c>
      <c r="BP387" s="232">
        <f t="shared" si="5735"/>
        <v>0</v>
      </c>
      <c r="BQ387" s="232">
        <f t="shared" si="5735"/>
        <v>0</v>
      </c>
      <c r="BR387" s="232">
        <f t="shared" si="5735"/>
        <v>0</v>
      </c>
      <c r="BS387" s="239">
        <f t="shared" si="5735"/>
        <v>0</v>
      </c>
      <c r="BT387" s="232">
        <f t="shared" ref="BT387:DC387" si="5736">++SUM(BT383:BT386)</f>
        <v>0</v>
      </c>
      <c r="BU387" s="232">
        <f t="shared" si="5736"/>
        <v>0</v>
      </c>
      <c r="BV387" s="232">
        <f t="shared" si="5736"/>
        <v>0</v>
      </c>
      <c r="BW387" s="232">
        <f t="shared" si="5736"/>
        <v>0</v>
      </c>
      <c r="BX387" s="232">
        <f t="shared" si="5736"/>
        <v>0</v>
      </c>
      <c r="BY387" s="232">
        <f t="shared" si="5736"/>
        <v>0</v>
      </c>
      <c r="BZ387" s="232">
        <f t="shared" si="5736"/>
        <v>0</v>
      </c>
      <c r="CA387" s="232">
        <f t="shared" si="5736"/>
        <v>0</v>
      </c>
      <c r="CB387" s="232">
        <f t="shared" si="5736"/>
        <v>0</v>
      </c>
      <c r="CC387" s="232">
        <f t="shared" si="5736"/>
        <v>0</v>
      </c>
      <c r="CD387" s="232">
        <f t="shared" si="5736"/>
        <v>0</v>
      </c>
      <c r="CE387" s="239">
        <f t="shared" si="5736"/>
        <v>0</v>
      </c>
      <c r="CF387" s="232">
        <f t="shared" si="5736"/>
        <v>0</v>
      </c>
      <c r="CG387" s="232">
        <f t="shared" si="5736"/>
        <v>0</v>
      </c>
      <c r="CH387" s="232">
        <f t="shared" si="5736"/>
        <v>0</v>
      </c>
      <c r="CI387" s="232">
        <f t="shared" si="5736"/>
        <v>0</v>
      </c>
      <c r="CJ387" s="232">
        <f t="shared" si="5736"/>
        <v>0</v>
      </c>
      <c r="CK387" s="232">
        <f t="shared" si="5736"/>
        <v>0</v>
      </c>
      <c r="CL387" s="232">
        <f t="shared" si="5736"/>
        <v>0</v>
      </c>
      <c r="CM387" s="232">
        <f t="shared" si="5736"/>
        <v>0</v>
      </c>
      <c r="CN387" s="232">
        <f t="shared" si="5736"/>
        <v>0</v>
      </c>
      <c r="CO387" s="232">
        <f t="shared" si="5736"/>
        <v>0</v>
      </c>
      <c r="CP387" s="232">
        <f t="shared" si="5736"/>
        <v>0</v>
      </c>
      <c r="CQ387" s="239">
        <f t="shared" si="5736"/>
        <v>0</v>
      </c>
      <c r="CR387" s="232">
        <f t="shared" si="5736"/>
        <v>0</v>
      </c>
      <c r="CS387" s="232">
        <f t="shared" si="5736"/>
        <v>0</v>
      </c>
      <c r="CT387" s="232">
        <f t="shared" si="5736"/>
        <v>0</v>
      </c>
      <c r="CU387" s="232">
        <f t="shared" si="5736"/>
        <v>0</v>
      </c>
      <c r="CV387" s="232">
        <f t="shared" si="5736"/>
        <v>0</v>
      </c>
      <c r="CW387" s="232">
        <f t="shared" si="5736"/>
        <v>0</v>
      </c>
      <c r="CX387" s="232">
        <f t="shared" si="5736"/>
        <v>0</v>
      </c>
      <c r="CY387" s="232">
        <f t="shared" si="5736"/>
        <v>0</v>
      </c>
      <c r="CZ387" s="232">
        <f t="shared" si="5736"/>
        <v>0</v>
      </c>
      <c r="DA387" s="232">
        <f t="shared" si="5736"/>
        <v>0</v>
      </c>
      <c r="DB387" s="232">
        <f t="shared" si="5736"/>
        <v>0</v>
      </c>
      <c r="DC387" s="239">
        <f t="shared" si="5736"/>
        <v>0</v>
      </c>
    </row>
    <row r="388" spans="1:107" x14ac:dyDescent="0.3">
      <c r="C388" s="321" t="str">
        <f>++C$45</f>
        <v>% margin</v>
      </c>
      <c r="G388" s="214" t="str">
        <f>++IFERROR(G387/G353,"n/a")</f>
        <v>n/a</v>
      </c>
      <c r="H388" s="225" t="str">
        <f t="shared" ref="H388" si="5737">++IFERROR(H387/H353,"n/a")</f>
        <v>n/a</v>
      </c>
      <c r="I388" s="225" t="str">
        <f t="shared" ref="I388" si="5738">++IFERROR(I387/I353,"n/a")</f>
        <v>n/a</v>
      </c>
      <c r="J388" s="225" t="str">
        <f t="shared" ref="J388" si="5739">++IFERROR(J387/J353,"n/a")</f>
        <v>n/a</v>
      </c>
      <c r="K388" s="214" t="str">
        <f t="shared" ref="K388" si="5740">++IFERROR(K387/K353,"n/a")</f>
        <v>n/a</v>
      </c>
      <c r="L388" s="225" t="str">
        <f t="shared" ref="L388" si="5741">++IFERROR(L387/L353,"n/a")</f>
        <v>n/a</v>
      </c>
      <c r="M388" s="225" t="str">
        <f t="shared" ref="M388" si="5742">++IFERROR(M387/M353,"n/a")</f>
        <v>n/a</v>
      </c>
      <c r="N388" s="225" t="str">
        <f t="shared" ref="N388" si="5743">++IFERROR(N387/N353,"n/a")</f>
        <v>n/a</v>
      </c>
      <c r="O388" s="225" t="str">
        <f t="shared" ref="O388" si="5744">++IFERROR(O387/O353,"n/a")</f>
        <v>n/a</v>
      </c>
      <c r="P388" s="225" t="str">
        <f t="shared" ref="P388" si="5745">++IFERROR(P387/P353,"n/a")</f>
        <v>n/a</v>
      </c>
      <c r="Q388" s="225" t="str">
        <f t="shared" ref="Q388" si="5746">++IFERROR(Q387/Q353,"n/a")</f>
        <v>n/a</v>
      </c>
      <c r="R388" s="225" t="str">
        <f t="shared" ref="R388" si="5747">++IFERROR(R387/R353,"n/a")</f>
        <v>n/a</v>
      </c>
      <c r="S388" s="225" t="str">
        <f t="shared" ref="S388" si="5748">++IFERROR(S387/S353,"n/a")</f>
        <v>n/a</v>
      </c>
      <c r="T388" s="225" t="str">
        <f t="shared" ref="T388" si="5749">++IFERROR(T387/T353,"n/a")</f>
        <v>n/a</v>
      </c>
      <c r="U388" s="225" t="str">
        <f t="shared" ref="U388" si="5750">++IFERROR(U387/U353,"n/a")</f>
        <v>n/a</v>
      </c>
      <c r="V388" s="225" t="str">
        <f t="shared" ref="V388" si="5751">++IFERROR(V387/V353,"n/a")</f>
        <v>n/a</v>
      </c>
      <c r="W388" s="214" t="str">
        <f t="shared" ref="W388" si="5752">++IFERROR(W387/W353,"n/a")</f>
        <v>n/a</v>
      </c>
      <c r="X388" s="225" t="str">
        <f t="shared" ref="X388" si="5753">++IFERROR(X387/X353,"n/a")</f>
        <v>n/a</v>
      </c>
      <c r="Y388" s="225" t="str">
        <f t="shared" ref="Y388" si="5754">++IFERROR(Y387/Y353,"n/a")</f>
        <v>n/a</v>
      </c>
      <c r="Z388" s="225" t="str">
        <f t="shared" ref="Z388" si="5755">++IFERROR(Z387/Z353,"n/a")</f>
        <v>n/a</v>
      </c>
      <c r="AA388" s="225" t="str">
        <f t="shared" ref="AA388" si="5756">++IFERROR(AA387/AA353,"n/a")</f>
        <v>n/a</v>
      </c>
      <c r="AB388" s="225" t="str">
        <f t="shared" ref="AB388" si="5757">++IFERROR(AB387/AB353,"n/a")</f>
        <v>n/a</v>
      </c>
      <c r="AC388" s="225" t="str">
        <f t="shared" ref="AC388" si="5758">++IFERROR(AC387/AC353,"n/a")</f>
        <v>n/a</v>
      </c>
      <c r="AD388" s="225" t="str">
        <f t="shared" ref="AD388" si="5759">++IFERROR(AD387/AD353,"n/a")</f>
        <v>n/a</v>
      </c>
      <c r="AE388" s="225" t="str">
        <f t="shared" ref="AE388" si="5760">++IFERROR(AE387/AE353,"n/a")</f>
        <v>n/a</v>
      </c>
      <c r="AF388" s="225" t="str">
        <f t="shared" ref="AF388" si="5761">++IFERROR(AF387/AF353,"n/a")</f>
        <v>n/a</v>
      </c>
      <c r="AG388" s="225" t="str">
        <f t="shared" ref="AG388" si="5762">++IFERROR(AG387/AG353,"n/a")</f>
        <v>n/a</v>
      </c>
      <c r="AH388" s="225" t="str">
        <f t="shared" ref="AH388" si="5763">++IFERROR(AH387/AH353,"n/a")</f>
        <v>n/a</v>
      </c>
      <c r="AI388" s="214" t="str">
        <f t="shared" ref="AI388" si="5764">++IFERROR(AI387/AI353,"n/a")</f>
        <v>n/a</v>
      </c>
      <c r="AJ388" s="225" t="str">
        <f t="shared" ref="AJ388" si="5765">++IFERROR(AJ387/AJ353,"n/a")</f>
        <v>n/a</v>
      </c>
      <c r="AK388" s="225" t="str">
        <f t="shared" ref="AK388" si="5766">++IFERROR(AK387/AK353,"n/a")</f>
        <v>n/a</v>
      </c>
      <c r="AL388" s="225" t="str">
        <f t="shared" ref="AL388" si="5767">++IFERROR(AL387/AL353,"n/a")</f>
        <v>n/a</v>
      </c>
      <c r="AM388" s="225" t="str">
        <f t="shared" ref="AM388" si="5768">++IFERROR(AM387/AM353,"n/a")</f>
        <v>n/a</v>
      </c>
      <c r="AN388" s="225" t="str">
        <f t="shared" ref="AN388" si="5769">++IFERROR(AN387/AN353,"n/a")</f>
        <v>n/a</v>
      </c>
      <c r="AO388" s="225" t="str">
        <f t="shared" ref="AO388" si="5770">++IFERROR(AO387/AO353,"n/a")</f>
        <v>n/a</v>
      </c>
      <c r="AP388" s="225" t="str">
        <f t="shared" ref="AP388" si="5771">++IFERROR(AP387/AP353,"n/a")</f>
        <v>n/a</v>
      </c>
      <c r="AQ388" s="225" t="str">
        <f t="shared" ref="AQ388" si="5772">++IFERROR(AQ387/AQ353,"n/a")</f>
        <v>n/a</v>
      </c>
      <c r="AR388" s="225" t="str">
        <f t="shared" ref="AR388" si="5773">++IFERROR(AR387/AR353,"n/a")</f>
        <v>n/a</v>
      </c>
      <c r="AS388" s="225" t="str">
        <f t="shared" ref="AS388" si="5774">++IFERROR(AS387/AS353,"n/a")</f>
        <v>n/a</v>
      </c>
      <c r="AT388" s="225" t="str">
        <f t="shared" ref="AT388" si="5775">++IFERROR(AT387/AT353,"n/a")</f>
        <v>n/a</v>
      </c>
      <c r="AU388" s="214" t="str">
        <f t="shared" ref="AU388" si="5776">++IFERROR(AU387/AU353,"n/a")</f>
        <v>n/a</v>
      </c>
      <c r="AV388" s="225" t="str">
        <f t="shared" ref="AV388" si="5777">++IFERROR(AV387/AV353,"n/a")</f>
        <v>n/a</v>
      </c>
      <c r="AW388" s="225" t="str">
        <f t="shared" ref="AW388" si="5778">++IFERROR(AW387/AW353,"n/a")</f>
        <v>n/a</v>
      </c>
      <c r="AX388" s="225" t="str">
        <f t="shared" ref="AX388" si="5779">++IFERROR(AX387/AX353,"n/a")</f>
        <v>n/a</v>
      </c>
      <c r="AY388" s="225" t="str">
        <f t="shared" ref="AY388" si="5780">++IFERROR(AY387/AY353,"n/a")</f>
        <v>n/a</v>
      </c>
      <c r="AZ388" s="225" t="str">
        <f t="shared" ref="AZ388" si="5781">++IFERROR(AZ387/AZ353,"n/a")</f>
        <v>n/a</v>
      </c>
      <c r="BA388" s="225" t="str">
        <f t="shared" ref="BA388" si="5782">++IFERROR(BA387/BA353,"n/a")</f>
        <v>n/a</v>
      </c>
      <c r="BB388" s="225" t="str">
        <f t="shared" ref="BB388" si="5783">++IFERROR(BB387/BB353,"n/a")</f>
        <v>n/a</v>
      </c>
      <c r="BC388" s="225" t="str">
        <f t="shared" ref="BC388" si="5784">++IFERROR(BC387/BC353,"n/a")</f>
        <v>n/a</v>
      </c>
      <c r="BD388" s="225" t="str">
        <f t="shared" ref="BD388" si="5785">++IFERROR(BD387/BD353,"n/a")</f>
        <v>n/a</v>
      </c>
      <c r="BE388" s="225" t="str">
        <f t="shared" ref="BE388" si="5786">++IFERROR(BE387/BE353,"n/a")</f>
        <v>n/a</v>
      </c>
      <c r="BF388" s="225" t="str">
        <f t="shared" ref="BF388" si="5787">++IFERROR(BF387/BF353,"n/a")</f>
        <v>n/a</v>
      </c>
      <c r="BG388" s="214" t="str">
        <f t="shared" ref="BG388" si="5788">++IFERROR(BG387/BG353,"n/a")</f>
        <v>n/a</v>
      </c>
      <c r="BH388" s="225" t="str">
        <f t="shared" ref="BH388" si="5789">++IFERROR(BH387/BH353,"n/a")</f>
        <v>n/a</v>
      </c>
      <c r="BI388" s="225" t="str">
        <f t="shared" ref="BI388" si="5790">++IFERROR(BI387/BI353,"n/a")</f>
        <v>n/a</v>
      </c>
      <c r="BJ388" s="225" t="str">
        <f t="shared" ref="BJ388" si="5791">++IFERROR(BJ387/BJ353,"n/a")</f>
        <v>n/a</v>
      </c>
      <c r="BK388" s="225" t="str">
        <f t="shared" ref="BK388" si="5792">++IFERROR(BK387/BK353,"n/a")</f>
        <v>n/a</v>
      </c>
      <c r="BL388" s="225" t="str">
        <f t="shared" ref="BL388" si="5793">++IFERROR(BL387/BL353,"n/a")</f>
        <v>n/a</v>
      </c>
      <c r="BM388" s="225" t="str">
        <f t="shared" ref="BM388" si="5794">++IFERROR(BM387/BM353,"n/a")</f>
        <v>n/a</v>
      </c>
      <c r="BN388" s="225" t="str">
        <f t="shared" ref="BN388" si="5795">++IFERROR(BN387/BN353,"n/a")</f>
        <v>n/a</v>
      </c>
      <c r="BO388" s="225" t="str">
        <f t="shared" ref="BO388" si="5796">++IFERROR(BO387/BO353,"n/a")</f>
        <v>n/a</v>
      </c>
      <c r="BP388" s="225" t="str">
        <f t="shared" ref="BP388" si="5797">++IFERROR(BP387/BP353,"n/a")</f>
        <v>n/a</v>
      </c>
      <c r="BQ388" s="225" t="str">
        <f t="shared" ref="BQ388" si="5798">++IFERROR(BQ387/BQ353,"n/a")</f>
        <v>n/a</v>
      </c>
      <c r="BR388" s="225" t="str">
        <f t="shared" ref="BR388" si="5799">++IFERROR(BR387/BR353,"n/a")</f>
        <v>n/a</v>
      </c>
      <c r="BS388" s="214" t="str">
        <f t="shared" ref="BS388" si="5800">++IFERROR(BS387/BS353,"n/a")</f>
        <v>n/a</v>
      </c>
      <c r="BT388" s="225" t="str">
        <f t="shared" ref="BT388" si="5801">++IFERROR(BT387/BT353,"n/a")</f>
        <v>n/a</v>
      </c>
      <c r="BU388" s="225" t="str">
        <f t="shared" ref="BU388" si="5802">++IFERROR(BU387/BU353,"n/a")</f>
        <v>n/a</v>
      </c>
      <c r="BV388" s="225" t="str">
        <f t="shared" ref="BV388" si="5803">++IFERROR(BV387/BV353,"n/a")</f>
        <v>n/a</v>
      </c>
      <c r="BW388" s="225" t="str">
        <f t="shared" ref="BW388" si="5804">++IFERROR(BW387/BW353,"n/a")</f>
        <v>n/a</v>
      </c>
      <c r="BX388" s="225" t="str">
        <f t="shared" ref="BX388" si="5805">++IFERROR(BX387/BX353,"n/a")</f>
        <v>n/a</v>
      </c>
      <c r="BY388" s="225" t="str">
        <f t="shared" ref="BY388" si="5806">++IFERROR(BY387/BY353,"n/a")</f>
        <v>n/a</v>
      </c>
      <c r="BZ388" s="225" t="str">
        <f t="shared" ref="BZ388" si="5807">++IFERROR(BZ387/BZ353,"n/a")</f>
        <v>n/a</v>
      </c>
      <c r="CA388" s="225" t="str">
        <f t="shared" ref="CA388" si="5808">++IFERROR(CA387/CA353,"n/a")</f>
        <v>n/a</v>
      </c>
      <c r="CB388" s="225" t="str">
        <f t="shared" ref="CB388" si="5809">++IFERROR(CB387/CB353,"n/a")</f>
        <v>n/a</v>
      </c>
      <c r="CC388" s="225" t="str">
        <f t="shared" ref="CC388" si="5810">++IFERROR(CC387/CC353,"n/a")</f>
        <v>n/a</v>
      </c>
      <c r="CD388" s="225" t="str">
        <f t="shared" ref="CD388" si="5811">++IFERROR(CD387/CD353,"n/a")</f>
        <v>n/a</v>
      </c>
      <c r="CE388" s="214" t="str">
        <f t="shared" ref="CE388" si="5812">++IFERROR(CE387/CE353,"n/a")</f>
        <v>n/a</v>
      </c>
      <c r="CF388" s="225" t="str">
        <f t="shared" ref="CF388" si="5813">++IFERROR(CF387/CF353,"n/a")</f>
        <v>n/a</v>
      </c>
      <c r="CG388" s="225" t="str">
        <f t="shared" ref="CG388" si="5814">++IFERROR(CG387/CG353,"n/a")</f>
        <v>n/a</v>
      </c>
      <c r="CH388" s="225" t="str">
        <f t="shared" ref="CH388" si="5815">++IFERROR(CH387/CH353,"n/a")</f>
        <v>n/a</v>
      </c>
      <c r="CI388" s="225" t="str">
        <f t="shared" ref="CI388" si="5816">++IFERROR(CI387/CI353,"n/a")</f>
        <v>n/a</v>
      </c>
      <c r="CJ388" s="225" t="str">
        <f t="shared" ref="CJ388" si="5817">++IFERROR(CJ387/CJ353,"n/a")</f>
        <v>n/a</v>
      </c>
      <c r="CK388" s="225" t="str">
        <f t="shared" ref="CK388" si="5818">++IFERROR(CK387/CK353,"n/a")</f>
        <v>n/a</v>
      </c>
      <c r="CL388" s="225" t="str">
        <f t="shared" ref="CL388" si="5819">++IFERROR(CL387/CL353,"n/a")</f>
        <v>n/a</v>
      </c>
      <c r="CM388" s="225" t="str">
        <f t="shared" ref="CM388" si="5820">++IFERROR(CM387/CM353,"n/a")</f>
        <v>n/a</v>
      </c>
      <c r="CN388" s="225" t="str">
        <f t="shared" ref="CN388" si="5821">++IFERROR(CN387/CN353,"n/a")</f>
        <v>n/a</v>
      </c>
      <c r="CO388" s="225" t="str">
        <f t="shared" ref="CO388" si="5822">++IFERROR(CO387/CO353,"n/a")</f>
        <v>n/a</v>
      </c>
      <c r="CP388" s="225" t="str">
        <f t="shared" ref="CP388" si="5823">++IFERROR(CP387/CP353,"n/a")</f>
        <v>n/a</v>
      </c>
      <c r="CQ388" s="214" t="str">
        <f t="shared" ref="CQ388" si="5824">++IFERROR(CQ387/CQ353,"n/a")</f>
        <v>n/a</v>
      </c>
      <c r="CR388" s="225" t="str">
        <f t="shared" ref="CR388" si="5825">++IFERROR(CR387/CR353,"n/a")</f>
        <v>n/a</v>
      </c>
      <c r="CS388" s="225" t="str">
        <f t="shared" ref="CS388" si="5826">++IFERROR(CS387/CS353,"n/a")</f>
        <v>n/a</v>
      </c>
      <c r="CT388" s="225" t="str">
        <f t="shared" ref="CT388" si="5827">++IFERROR(CT387/CT353,"n/a")</f>
        <v>n/a</v>
      </c>
      <c r="CU388" s="225" t="str">
        <f t="shared" ref="CU388" si="5828">++IFERROR(CU387/CU353,"n/a")</f>
        <v>n/a</v>
      </c>
      <c r="CV388" s="225" t="str">
        <f t="shared" ref="CV388" si="5829">++IFERROR(CV387/CV353,"n/a")</f>
        <v>n/a</v>
      </c>
      <c r="CW388" s="225" t="str">
        <f t="shared" ref="CW388" si="5830">++IFERROR(CW387/CW353,"n/a")</f>
        <v>n/a</v>
      </c>
      <c r="CX388" s="225" t="str">
        <f t="shared" ref="CX388" si="5831">++IFERROR(CX387/CX353,"n/a")</f>
        <v>n/a</v>
      </c>
      <c r="CY388" s="225" t="str">
        <f t="shared" ref="CY388" si="5832">++IFERROR(CY387/CY353,"n/a")</f>
        <v>n/a</v>
      </c>
      <c r="CZ388" s="225" t="str">
        <f t="shared" ref="CZ388" si="5833">++IFERROR(CZ387/CZ353,"n/a")</f>
        <v>n/a</v>
      </c>
      <c r="DA388" s="225" t="str">
        <f t="shared" ref="DA388" si="5834">++IFERROR(DA387/DA353,"n/a")</f>
        <v>n/a</v>
      </c>
      <c r="DB388" s="225" t="str">
        <f t="shared" ref="DB388" si="5835">++IFERROR(DB387/DB353,"n/a")</f>
        <v>n/a</v>
      </c>
      <c r="DC388" s="214" t="str">
        <f t="shared" ref="DC388" si="5836">++IFERROR(DC387/DC353,"n/a")</f>
        <v>n/a</v>
      </c>
    </row>
    <row r="389" spans="1:107" x14ac:dyDescent="0.3">
      <c r="C389" s="321" t="str">
        <f>++C$46</f>
        <v>% y/y</v>
      </c>
      <c r="G389" s="122" t="s">
        <v>47</v>
      </c>
      <c r="H389" s="122" t="s">
        <v>47</v>
      </c>
      <c r="I389" s="122" t="s">
        <v>47</v>
      </c>
      <c r="J389" s="122" t="s">
        <v>47</v>
      </c>
      <c r="K389" s="214" t="str">
        <f>++IFERROR(K387/G387-1,"n/a")</f>
        <v>n/a</v>
      </c>
      <c r="L389" s="122" t="s">
        <v>47</v>
      </c>
      <c r="M389" s="122" t="s">
        <v>47</v>
      </c>
      <c r="N389" s="225" t="str">
        <f>++IFERROR(N387/H387-1,"n/a")</f>
        <v>n/a</v>
      </c>
      <c r="O389" s="122" t="s">
        <v>47</v>
      </c>
      <c r="P389" s="122" t="s">
        <v>47</v>
      </c>
      <c r="Q389" s="225" t="str">
        <f>++IFERROR(Q387/I387-1,"n/a")</f>
        <v>n/a</v>
      </c>
      <c r="R389" s="122" t="s">
        <v>47</v>
      </c>
      <c r="S389" s="122" t="s">
        <v>47</v>
      </c>
      <c r="T389" s="225" t="str">
        <f>++IFERROR(T387/J387-1,"n/a")</f>
        <v>n/a</v>
      </c>
      <c r="U389" s="122" t="s">
        <v>47</v>
      </c>
      <c r="V389" s="122" t="s">
        <v>47</v>
      </c>
      <c r="W389" s="214" t="str">
        <f t="shared" ref="W389:BB389" si="5837">++IFERROR(W387/K387-1,"n/a")</f>
        <v>n/a</v>
      </c>
      <c r="X389" s="225" t="str">
        <f t="shared" si="5837"/>
        <v>n/a</v>
      </c>
      <c r="Y389" s="225" t="str">
        <f t="shared" si="5837"/>
        <v>n/a</v>
      </c>
      <c r="Z389" s="225" t="str">
        <f t="shared" si="5837"/>
        <v>n/a</v>
      </c>
      <c r="AA389" s="225" t="str">
        <f t="shared" si="5837"/>
        <v>n/a</v>
      </c>
      <c r="AB389" s="225" t="str">
        <f t="shared" si="5837"/>
        <v>n/a</v>
      </c>
      <c r="AC389" s="225" t="str">
        <f t="shared" si="5837"/>
        <v>n/a</v>
      </c>
      <c r="AD389" s="225" t="str">
        <f t="shared" si="5837"/>
        <v>n/a</v>
      </c>
      <c r="AE389" s="225" t="str">
        <f t="shared" si="5837"/>
        <v>n/a</v>
      </c>
      <c r="AF389" s="225" t="str">
        <f t="shared" si="5837"/>
        <v>n/a</v>
      </c>
      <c r="AG389" s="225" t="str">
        <f t="shared" si="5837"/>
        <v>n/a</v>
      </c>
      <c r="AH389" s="225" t="str">
        <f t="shared" si="5837"/>
        <v>n/a</v>
      </c>
      <c r="AI389" s="214" t="str">
        <f t="shared" si="5837"/>
        <v>n/a</v>
      </c>
      <c r="AJ389" s="225" t="str">
        <f t="shared" si="5837"/>
        <v>n/a</v>
      </c>
      <c r="AK389" s="225" t="str">
        <f t="shared" si="5837"/>
        <v>n/a</v>
      </c>
      <c r="AL389" s="225" t="str">
        <f t="shared" si="5837"/>
        <v>n/a</v>
      </c>
      <c r="AM389" s="225" t="str">
        <f t="shared" si="5837"/>
        <v>n/a</v>
      </c>
      <c r="AN389" s="225" t="str">
        <f t="shared" si="5837"/>
        <v>n/a</v>
      </c>
      <c r="AO389" s="225" t="str">
        <f t="shared" si="5837"/>
        <v>n/a</v>
      </c>
      <c r="AP389" s="225" t="str">
        <f t="shared" si="5837"/>
        <v>n/a</v>
      </c>
      <c r="AQ389" s="225" t="str">
        <f t="shared" si="5837"/>
        <v>n/a</v>
      </c>
      <c r="AR389" s="225" t="str">
        <f t="shared" si="5837"/>
        <v>n/a</v>
      </c>
      <c r="AS389" s="225" t="str">
        <f t="shared" si="5837"/>
        <v>n/a</v>
      </c>
      <c r="AT389" s="225" t="str">
        <f t="shared" si="5837"/>
        <v>n/a</v>
      </c>
      <c r="AU389" s="214" t="str">
        <f t="shared" si="5837"/>
        <v>n/a</v>
      </c>
      <c r="AV389" s="225" t="str">
        <f t="shared" si="5837"/>
        <v>n/a</v>
      </c>
      <c r="AW389" s="225" t="str">
        <f t="shared" si="5837"/>
        <v>n/a</v>
      </c>
      <c r="AX389" s="225" t="str">
        <f t="shared" si="5837"/>
        <v>n/a</v>
      </c>
      <c r="AY389" s="225" t="str">
        <f t="shared" si="5837"/>
        <v>n/a</v>
      </c>
      <c r="AZ389" s="225" t="str">
        <f t="shared" si="5837"/>
        <v>n/a</v>
      </c>
      <c r="BA389" s="225" t="str">
        <f t="shared" si="5837"/>
        <v>n/a</v>
      </c>
      <c r="BB389" s="225" t="str">
        <f t="shared" si="5837"/>
        <v>n/a</v>
      </c>
      <c r="BC389" s="225" t="str">
        <f t="shared" ref="BC389:CH389" si="5838">++IFERROR(BC387/AQ387-1,"n/a")</f>
        <v>n/a</v>
      </c>
      <c r="BD389" s="225" t="str">
        <f t="shared" si="5838"/>
        <v>n/a</v>
      </c>
      <c r="BE389" s="225" t="str">
        <f t="shared" si="5838"/>
        <v>n/a</v>
      </c>
      <c r="BF389" s="225" t="str">
        <f t="shared" si="5838"/>
        <v>n/a</v>
      </c>
      <c r="BG389" s="214" t="str">
        <f t="shared" si="5838"/>
        <v>n/a</v>
      </c>
      <c r="BH389" s="225" t="str">
        <f t="shared" si="5838"/>
        <v>n/a</v>
      </c>
      <c r="BI389" s="225" t="str">
        <f t="shared" si="5838"/>
        <v>n/a</v>
      </c>
      <c r="BJ389" s="225" t="str">
        <f t="shared" si="5838"/>
        <v>n/a</v>
      </c>
      <c r="BK389" s="225" t="str">
        <f t="shared" si="5838"/>
        <v>n/a</v>
      </c>
      <c r="BL389" s="225" t="str">
        <f t="shared" si="5838"/>
        <v>n/a</v>
      </c>
      <c r="BM389" s="225" t="str">
        <f t="shared" si="5838"/>
        <v>n/a</v>
      </c>
      <c r="BN389" s="225" t="str">
        <f t="shared" si="5838"/>
        <v>n/a</v>
      </c>
      <c r="BO389" s="225" t="str">
        <f t="shared" si="5838"/>
        <v>n/a</v>
      </c>
      <c r="BP389" s="225" t="str">
        <f t="shared" si="5838"/>
        <v>n/a</v>
      </c>
      <c r="BQ389" s="225" t="str">
        <f t="shared" si="5838"/>
        <v>n/a</v>
      </c>
      <c r="BR389" s="225" t="str">
        <f t="shared" si="5838"/>
        <v>n/a</v>
      </c>
      <c r="BS389" s="214" t="str">
        <f t="shared" si="5838"/>
        <v>n/a</v>
      </c>
      <c r="BT389" s="225" t="str">
        <f t="shared" si="5838"/>
        <v>n/a</v>
      </c>
      <c r="BU389" s="225" t="str">
        <f t="shared" si="5838"/>
        <v>n/a</v>
      </c>
      <c r="BV389" s="225" t="str">
        <f t="shared" si="5838"/>
        <v>n/a</v>
      </c>
      <c r="BW389" s="225" t="str">
        <f t="shared" si="5838"/>
        <v>n/a</v>
      </c>
      <c r="BX389" s="225" t="str">
        <f t="shared" si="5838"/>
        <v>n/a</v>
      </c>
      <c r="BY389" s="225" t="str">
        <f t="shared" si="5838"/>
        <v>n/a</v>
      </c>
      <c r="BZ389" s="225" t="str">
        <f t="shared" si="5838"/>
        <v>n/a</v>
      </c>
      <c r="CA389" s="225" t="str">
        <f t="shared" si="5838"/>
        <v>n/a</v>
      </c>
      <c r="CB389" s="225" t="str">
        <f t="shared" si="5838"/>
        <v>n/a</v>
      </c>
      <c r="CC389" s="225" t="str">
        <f t="shared" si="5838"/>
        <v>n/a</v>
      </c>
      <c r="CD389" s="225" t="str">
        <f t="shared" si="5838"/>
        <v>n/a</v>
      </c>
      <c r="CE389" s="214" t="str">
        <f t="shared" si="5838"/>
        <v>n/a</v>
      </c>
      <c r="CF389" s="225" t="str">
        <f t="shared" si="5838"/>
        <v>n/a</v>
      </c>
      <c r="CG389" s="225" t="str">
        <f t="shared" si="5838"/>
        <v>n/a</v>
      </c>
      <c r="CH389" s="225" t="str">
        <f t="shared" si="5838"/>
        <v>n/a</v>
      </c>
      <c r="CI389" s="225" t="str">
        <f t="shared" ref="CI389:DN389" si="5839">++IFERROR(CI387/BW387-1,"n/a")</f>
        <v>n/a</v>
      </c>
      <c r="CJ389" s="225" t="str">
        <f t="shared" si="5839"/>
        <v>n/a</v>
      </c>
      <c r="CK389" s="225" t="str">
        <f t="shared" si="5839"/>
        <v>n/a</v>
      </c>
      <c r="CL389" s="225" t="str">
        <f t="shared" si="5839"/>
        <v>n/a</v>
      </c>
      <c r="CM389" s="225" t="str">
        <f t="shared" si="5839"/>
        <v>n/a</v>
      </c>
      <c r="CN389" s="225" t="str">
        <f t="shared" si="5839"/>
        <v>n/a</v>
      </c>
      <c r="CO389" s="225" t="str">
        <f t="shared" si="5839"/>
        <v>n/a</v>
      </c>
      <c r="CP389" s="225" t="str">
        <f t="shared" si="5839"/>
        <v>n/a</v>
      </c>
      <c r="CQ389" s="214" t="str">
        <f t="shared" si="5839"/>
        <v>n/a</v>
      </c>
      <c r="CR389" s="225" t="str">
        <f t="shared" si="5839"/>
        <v>n/a</v>
      </c>
      <c r="CS389" s="225" t="str">
        <f t="shared" si="5839"/>
        <v>n/a</v>
      </c>
      <c r="CT389" s="225" t="str">
        <f t="shared" si="5839"/>
        <v>n/a</v>
      </c>
      <c r="CU389" s="225" t="str">
        <f t="shared" si="5839"/>
        <v>n/a</v>
      </c>
      <c r="CV389" s="225" t="str">
        <f t="shared" si="5839"/>
        <v>n/a</v>
      </c>
      <c r="CW389" s="225" t="str">
        <f t="shared" si="5839"/>
        <v>n/a</v>
      </c>
      <c r="CX389" s="225" t="str">
        <f t="shared" si="5839"/>
        <v>n/a</v>
      </c>
      <c r="CY389" s="225" t="str">
        <f t="shared" si="5839"/>
        <v>n/a</v>
      </c>
      <c r="CZ389" s="225" t="str">
        <f t="shared" si="5839"/>
        <v>n/a</v>
      </c>
      <c r="DA389" s="225" t="str">
        <f t="shared" si="5839"/>
        <v>n/a</v>
      </c>
      <c r="DB389" s="225" t="str">
        <f t="shared" si="5839"/>
        <v>n/a</v>
      </c>
      <c r="DC389" s="214" t="str">
        <f t="shared" si="5839"/>
        <v>n/a</v>
      </c>
    </row>
    <row r="390" spans="1:107" x14ac:dyDescent="0.3">
      <c r="G390" s="203"/>
      <c r="K390" s="203"/>
      <c r="W390" s="203"/>
      <c r="AI390" s="203"/>
      <c r="AU390" s="203"/>
      <c r="BG390" s="203"/>
      <c r="BS390" s="203"/>
      <c r="CE390" s="203"/>
      <c r="CQ390" s="203"/>
      <c r="DC390" s="203"/>
    </row>
    <row r="391" spans="1:107" x14ac:dyDescent="0.3">
      <c r="C391" s="193" t="str">
        <f>++C$48</f>
        <v>CA EBITDA</v>
      </c>
      <c r="G391" s="400">
        <f>++G97</f>
        <v>0</v>
      </c>
      <c r="H391" s="400">
        <f t="shared" ref="H391:BS391" si="5840">++H97</f>
        <v>0</v>
      </c>
      <c r="I391" s="400">
        <f t="shared" si="5840"/>
        <v>0</v>
      </c>
      <c r="J391" s="400">
        <f t="shared" si="5840"/>
        <v>0</v>
      </c>
      <c r="K391" s="400">
        <f t="shared" si="5840"/>
        <v>0</v>
      </c>
      <c r="L391" s="400">
        <f t="shared" si="5840"/>
        <v>0</v>
      </c>
      <c r="M391" s="400">
        <f t="shared" si="5840"/>
        <v>0</v>
      </c>
      <c r="N391" s="400">
        <f t="shared" si="5840"/>
        <v>0</v>
      </c>
      <c r="O391" s="400">
        <f t="shared" si="5840"/>
        <v>0</v>
      </c>
      <c r="P391" s="400">
        <f t="shared" si="5840"/>
        <v>0</v>
      </c>
      <c r="Q391" s="400">
        <f t="shared" si="5840"/>
        <v>0</v>
      </c>
      <c r="R391" s="400">
        <f t="shared" si="5840"/>
        <v>0</v>
      </c>
      <c r="S391" s="400">
        <f t="shared" si="5840"/>
        <v>0</v>
      </c>
      <c r="T391" s="400">
        <f t="shared" si="5840"/>
        <v>0</v>
      </c>
      <c r="U391" s="400">
        <f t="shared" si="5840"/>
        <v>0</v>
      </c>
      <c r="V391" s="400">
        <f t="shared" si="5840"/>
        <v>0</v>
      </c>
      <c r="W391" s="400">
        <f t="shared" si="5840"/>
        <v>0</v>
      </c>
      <c r="X391" s="400">
        <f t="shared" si="5840"/>
        <v>0</v>
      </c>
      <c r="Y391" s="400">
        <f t="shared" si="5840"/>
        <v>0</v>
      </c>
      <c r="Z391" s="400">
        <f t="shared" si="5840"/>
        <v>0</v>
      </c>
      <c r="AA391" s="400">
        <f t="shared" si="5840"/>
        <v>0</v>
      </c>
      <c r="AB391" s="400">
        <f t="shared" si="5840"/>
        <v>0</v>
      </c>
      <c r="AC391" s="400">
        <f t="shared" si="5840"/>
        <v>0</v>
      </c>
      <c r="AD391" s="400">
        <f t="shared" si="5840"/>
        <v>0</v>
      </c>
      <c r="AE391" s="400">
        <f t="shared" si="5840"/>
        <v>0</v>
      </c>
      <c r="AF391" s="400">
        <f t="shared" si="5840"/>
        <v>0</v>
      </c>
      <c r="AG391" s="400">
        <f t="shared" si="5840"/>
        <v>0</v>
      </c>
      <c r="AH391" s="400">
        <f t="shared" si="5840"/>
        <v>0</v>
      </c>
      <c r="AI391" s="400">
        <f t="shared" si="5840"/>
        <v>0</v>
      </c>
      <c r="AJ391" s="400">
        <f t="shared" si="5840"/>
        <v>0</v>
      </c>
      <c r="AK391" s="400">
        <f t="shared" si="5840"/>
        <v>0</v>
      </c>
      <c r="AL391" s="400">
        <f t="shared" si="5840"/>
        <v>0</v>
      </c>
      <c r="AM391" s="400">
        <f t="shared" si="5840"/>
        <v>0</v>
      </c>
      <c r="AN391" s="400">
        <f t="shared" si="5840"/>
        <v>0</v>
      </c>
      <c r="AO391" s="400">
        <f t="shared" si="5840"/>
        <v>0</v>
      </c>
      <c r="AP391" s="400">
        <f t="shared" si="5840"/>
        <v>0</v>
      </c>
      <c r="AQ391" s="400">
        <f t="shared" si="5840"/>
        <v>0</v>
      </c>
      <c r="AR391" s="400">
        <f t="shared" si="5840"/>
        <v>0</v>
      </c>
      <c r="AS391" s="400">
        <f t="shared" si="5840"/>
        <v>0</v>
      </c>
      <c r="AT391" s="400">
        <f t="shared" si="5840"/>
        <v>0</v>
      </c>
      <c r="AU391" s="400">
        <f t="shared" si="5840"/>
        <v>0</v>
      </c>
      <c r="AV391" s="400">
        <f t="shared" si="5840"/>
        <v>0</v>
      </c>
      <c r="AW391" s="400">
        <f t="shared" si="5840"/>
        <v>0</v>
      </c>
      <c r="AX391" s="400">
        <f t="shared" si="5840"/>
        <v>0</v>
      </c>
      <c r="AY391" s="400">
        <f t="shared" si="5840"/>
        <v>0</v>
      </c>
      <c r="AZ391" s="400">
        <f t="shared" si="5840"/>
        <v>0</v>
      </c>
      <c r="BA391" s="400">
        <f t="shared" si="5840"/>
        <v>0</v>
      </c>
      <c r="BB391" s="400">
        <f t="shared" si="5840"/>
        <v>0</v>
      </c>
      <c r="BC391" s="400">
        <f t="shared" si="5840"/>
        <v>0</v>
      </c>
      <c r="BD391" s="400">
        <f t="shared" si="5840"/>
        <v>0</v>
      </c>
      <c r="BE391" s="400">
        <f t="shared" si="5840"/>
        <v>0</v>
      </c>
      <c r="BF391" s="400">
        <f t="shared" si="5840"/>
        <v>0</v>
      </c>
      <c r="BG391" s="400">
        <f t="shared" si="5840"/>
        <v>0</v>
      </c>
      <c r="BH391" s="400">
        <f t="shared" si="5840"/>
        <v>0</v>
      </c>
      <c r="BI391" s="400">
        <f t="shared" si="5840"/>
        <v>0</v>
      </c>
      <c r="BJ391" s="400">
        <f t="shared" si="5840"/>
        <v>0</v>
      </c>
      <c r="BK391" s="400">
        <f t="shared" si="5840"/>
        <v>0</v>
      </c>
      <c r="BL391" s="400">
        <f t="shared" si="5840"/>
        <v>0</v>
      </c>
      <c r="BM391" s="400">
        <f t="shared" si="5840"/>
        <v>0</v>
      </c>
      <c r="BN391" s="400">
        <f t="shared" si="5840"/>
        <v>0</v>
      </c>
      <c r="BO391" s="400">
        <f t="shared" si="5840"/>
        <v>0</v>
      </c>
      <c r="BP391" s="400">
        <f t="shared" si="5840"/>
        <v>0</v>
      </c>
      <c r="BQ391" s="400">
        <f t="shared" si="5840"/>
        <v>0</v>
      </c>
      <c r="BR391" s="400">
        <f t="shared" si="5840"/>
        <v>0</v>
      </c>
      <c r="BS391" s="400">
        <f t="shared" si="5840"/>
        <v>0</v>
      </c>
      <c r="BT391" s="400">
        <f t="shared" ref="BT391:DC391" si="5841">++BT97</f>
        <v>0</v>
      </c>
      <c r="BU391" s="400">
        <f t="shared" si="5841"/>
        <v>0</v>
      </c>
      <c r="BV391" s="400">
        <f t="shared" si="5841"/>
        <v>0</v>
      </c>
      <c r="BW391" s="400">
        <f t="shared" si="5841"/>
        <v>0</v>
      </c>
      <c r="BX391" s="400">
        <f t="shared" si="5841"/>
        <v>0</v>
      </c>
      <c r="BY391" s="400">
        <f t="shared" si="5841"/>
        <v>0</v>
      </c>
      <c r="BZ391" s="400">
        <f t="shared" si="5841"/>
        <v>0</v>
      </c>
      <c r="CA391" s="400">
        <f t="shared" si="5841"/>
        <v>0</v>
      </c>
      <c r="CB391" s="400">
        <f t="shared" si="5841"/>
        <v>0</v>
      </c>
      <c r="CC391" s="400">
        <f t="shared" si="5841"/>
        <v>0</v>
      </c>
      <c r="CD391" s="400">
        <f t="shared" si="5841"/>
        <v>0</v>
      </c>
      <c r="CE391" s="400">
        <f t="shared" si="5841"/>
        <v>0</v>
      </c>
      <c r="CF391" s="400">
        <f t="shared" si="5841"/>
        <v>0</v>
      </c>
      <c r="CG391" s="400">
        <f t="shared" si="5841"/>
        <v>0</v>
      </c>
      <c r="CH391" s="400">
        <f t="shared" si="5841"/>
        <v>0</v>
      </c>
      <c r="CI391" s="400">
        <f t="shared" si="5841"/>
        <v>0</v>
      </c>
      <c r="CJ391" s="400">
        <f t="shared" si="5841"/>
        <v>0</v>
      </c>
      <c r="CK391" s="400">
        <f t="shared" si="5841"/>
        <v>0</v>
      </c>
      <c r="CL391" s="400">
        <f t="shared" si="5841"/>
        <v>0</v>
      </c>
      <c r="CM391" s="400">
        <f t="shared" si="5841"/>
        <v>0</v>
      </c>
      <c r="CN391" s="400">
        <f t="shared" si="5841"/>
        <v>0</v>
      </c>
      <c r="CO391" s="400">
        <f t="shared" si="5841"/>
        <v>0</v>
      </c>
      <c r="CP391" s="400">
        <f t="shared" si="5841"/>
        <v>0</v>
      </c>
      <c r="CQ391" s="400">
        <f t="shared" si="5841"/>
        <v>0</v>
      </c>
      <c r="CR391" s="400">
        <f t="shared" si="5841"/>
        <v>0</v>
      </c>
      <c r="CS391" s="400">
        <f t="shared" si="5841"/>
        <v>0</v>
      </c>
      <c r="CT391" s="400">
        <f t="shared" si="5841"/>
        <v>0</v>
      </c>
      <c r="CU391" s="400">
        <f t="shared" si="5841"/>
        <v>0</v>
      </c>
      <c r="CV391" s="400">
        <f t="shared" si="5841"/>
        <v>0</v>
      </c>
      <c r="CW391" s="400">
        <f t="shared" si="5841"/>
        <v>0</v>
      </c>
      <c r="CX391" s="400">
        <f t="shared" si="5841"/>
        <v>0</v>
      </c>
      <c r="CY391" s="400">
        <f t="shared" si="5841"/>
        <v>0</v>
      </c>
      <c r="CZ391" s="400">
        <f t="shared" si="5841"/>
        <v>0</v>
      </c>
      <c r="DA391" s="400">
        <f t="shared" si="5841"/>
        <v>0</v>
      </c>
      <c r="DB391" s="400">
        <f t="shared" si="5841"/>
        <v>0</v>
      </c>
      <c r="DC391" s="400">
        <f t="shared" si="5841"/>
        <v>0</v>
      </c>
    </row>
    <row r="392" spans="1:107" x14ac:dyDescent="0.3">
      <c r="C392" s="321" t="str">
        <f>++C$49</f>
        <v>% margin</v>
      </c>
      <c r="G392" s="214" t="str">
        <f>++IFERROR(G391/G353,"n/a")</f>
        <v>n/a</v>
      </c>
      <c r="H392" s="225" t="str">
        <f t="shared" ref="H392" si="5842">++IFERROR(H391/H353,"n/a")</f>
        <v>n/a</v>
      </c>
      <c r="I392" s="225" t="str">
        <f t="shared" ref="I392" si="5843">++IFERROR(I391/I353,"n/a")</f>
        <v>n/a</v>
      </c>
      <c r="J392" s="225" t="str">
        <f t="shared" ref="J392" si="5844">++IFERROR(J391/J353,"n/a")</f>
        <v>n/a</v>
      </c>
      <c r="K392" s="214" t="str">
        <f t="shared" ref="K392" si="5845">++IFERROR(K391/K353,"n/a")</f>
        <v>n/a</v>
      </c>
      <c r="L392" s="225" t="str">
        <f t="shared" ref="L392" si="5846">++IFERROR(L391/L353,"n/a")</f>
        <v>n/a</v>
      </c>
      <c r="M392" s="225" t="str">
        <f t="shared" ref="M392" si="5847">++IFERROR(M391/M353,"n/a")</f>
        <v>n/a</v>
      </c>
      <c r="N392" s="225" t="str">
        <f t="shared" ref="N392" si="5848">++IFERROR(N391/N353,"n/a")</f>
        <v>n/a</v>
      </c>
      <c r="O392" s="225" t="str">
        <f t="shared" ref="O392" si="5849">++IFERROR(O391/O353,"n/a")</f>
        <v>n/a</v>
      </c>
      <c r="P392" s="225" t="str">
        <f t="shared" ref="P392" si="5850">++IFERROR(P391/P353,"n/a")</f>
        <v>n/a</v>
      </c>
      <c r="Q392" s="225" t="str">
        <f t="shared" ref="Q392" si="5851">++IFERROR(Q391/Q353,"n/a")</f>
        <v>n/a</v>
      </c>
      <c r="R392" s="225" t="str">
        <f t="shared" ref="R392" si="5852">++IFERROR(R391/R353,"n/a")</f>
        <v>n/a</v>
      </c>
      <c r="S392" s="225" t="str">
        <f t="shared" ref="S392" si="5853">++IFERROR(S391/S353,"n/a")</f>
        <v>n/a</v>
      </c>
      <c r="T392" s="225" t="str">
        <f t="shared" ref="T392" si="5854">++IFERROR(T391/T353,"n/a")</f>
        <v>n/a</v>
      </c>
      <c r="U392" s="225" t="str">
        <f t="shared" ref="U392" si="5855">++IFERROR(U391/U353,"n/a")</f>
        <v>n/a</v>
      </c>
      <c r="V392" s="225" t="str">
        <f t="shared" ref="V392" si="5856">++IFERROR(V391/V353,"n/a")</f>
        <v>n/a</v>
      </c>
      <c r="W392" s="214" t="str">
        <f t="shared" ref="W392" si="5857">++IFERROR(W391/W353,"n/a")</f>
        <v>n/a</v>
      </c>
      <c r="X392" s="225" t="str">
        <f t="shared" ref="X392" si="5858">++IFERROR(X391/X353,"n/a")</f>
        <v>n/a</v>
      </c>
      <c r="Y392" s="225" t="str">
        <f t="shared" ref="Y392" si="5859">++IFERROR(Y391/Y353,"n/a")</f>
        <v>n/a</v>
      </c>
      <c r="Z392" s="225" t="str">
        <f t="shared" ref="Z392" si="5860">++IFERROR(Z391/Z353,"n/a")</f>
        <v>n/a</v>
      </c>
      <c r="AA392" s="225" t="str">
        <f t="shared" ref="AA392" si="5861">++IFERROR(AA391/AA353,"n/a")</f>
        <v>n/a</v>
      </c>
      <c r="AB392" s="225" t="str">
        <f t="shared" ref="AB392" si="5862">++IFERROR(AB391/AB353,"n/a")</f>
        <v>n/a</v>
      </c>
      <c r="AC392" s="225" t="str">
        <f t="shared" ref="AC392" si="5863">++IFERROR(AC391/AC353,"n/a")</f>
        <v>n/a</v>
      </c>
      <c r="AD392" s="225" t="str">
        <f t="shared" ref="AD392" si="5864">++IFERROR(AD391/AD353,"n/a")</f>
        <v>n/a</v>
      </c>
      <c r="AE392" s="225" t="str">
        <f t="shared" ref="AE392" si="5865">++IFERROR(AE391/AE353,"n/a")</f>
        <v>n/a</v>
      </c>
      <c r="AF392" s="225" t="str">
        <f t="shared" ref="AF392" si="5866">++IFERROR(AF391/AF353,"n/a")</f>
        <v>n/a</v>
      </c>
      <c r="AG392" s="225" t="str">
        <f t="shared" ref="AG392" si="5867">++IFERROR(AG391/AG353,"n/a")</f>
        <v>n/a</v>
      </c>
      <c r="AH392" s="225" t="str">
        <f t="shared" ref="AH392" si="5868">++IFERROR(AH391/AH353,"n/a")</f>
        <v>n/a</v>
      </c>
      <c r="AI392" s="214" t="str">
        <f t="shared" ref="AI392" si="5869">++IFERROR(AI391/AI353,"n/a")</f>
        <v>n/a</v>
      </c>
      <c r="AJ392" s="225" t="str">
        <f t="shared" ref="AJ392" si="5870">++IFERROR(AJ391/AJ353,"n/a")</f>
        <v>n/a</v>
      </c>
      <c r="AK392" s="225" t="str">
        <f t="shared" ref="AK392" si="5871">++IFERROR(AK391/AK353,"n/a")</f>
        <v>n/a</v>
      </c>
      <c r="AL392" s="225" t="str">
        <f t="shared" ref="AL392" si="5872">++IFERROR(AL391/AL353,"n/a")</f>
        <v>n/a</v>
      </c>
      <c r="AM392" s="225" t="str">
        <f t="shared" ref="AM392" si="5873">++IFERROR(AM391/AM353,"n/a")</f>
        <v>n/a</v>
      </c>
      <c r="AN392" s="225" t="str">
        <f t="shared" ref="AN392" si="5874">++IFERROR(AN391/AN353,"n/a")</f>
        <v>n/a</v>
      </c>
      <c r="AO392" s="225" t="str">
        <f t="shared" ref="AO392" si="5875">++IFERROR(AO391/AO353,"n/a")</f>
        <v>n/a</v>
      </c>
      <c r="AP392" s="225" t="str">
        <f t="shared" ref="AP392" si="5876">++IFERROR(AP391/AP353,"n/a")</f>
        <v>n/a</v>
      </c>
      <c r="AQ392" s="225" t="str">
        <f t="shared" ref="AQ392" si="5877">++IFERROR(AQ391/AQ353,"n/a")</f>
        <v>n/a</v>
      </c>
      <c r="AR392" s="225" t="str">
        <f t="shared" ref="AR392" si="5878">++IFERROR(AR391/AR353,"n/a")</f>
        <v>n/a</v>
      </c>
      <c r="AS392" s="225" t="str">
        <f t="shared" ref="AS392" si="5879">++IFERROR(AS391/AS353,"n/a")</f>
        <v>n/a</v>
      </c>
      <c r="AT392" s="225" t="str">
        <f t="shared" ref="AT392" si="5880">++IFERROR(AT391/AT353,"n/a")</f>
        <v>n/a</v>
      </c>
      <c r="AU392" s="214" t="str">
        <f t="shared" ref="AU392" si="5881">++IFERROR(AU391/AU353,"n/a")</f>
        <v>n/a</v>
      </c>
      <c r="AV392" s="225" t="str">
        <f t="shared" ref="AV392" si="5882">++IFERROR(AV391/AV353,"n/a")</f>
        <v>n/a</v>
      </c>
      <c r="AW392" s="225" t="str">
        <f t="shared" ref="AW392" si="5883">++IFERROR(AW391/AW353,"n/a")</f>
        <v>n/a</v>
      </c>
      <c r="AX392" s="225" t="str">
        <f t="shared" ref="AX392" si="5884">++IFERROR(AX391/AX353,"n/a")</f>
        <v>n/a</v>
      </c>
      <c r="AY392" s="225" t="str">
        <f t="shared" ref="AY392" si="5885">++IFERROR(AY391/AY353,"n/a")</f>
        <v>n/a</v>
      </c>
      <c r="AZ392" s="225" t="str">
        <f t="shared" ref="AZ392" si="5886">++IFERROR(AZ391/AZ353,"n/a")</f>
        <v>n/a</v>
      </c>
      <c r="BA392" s="225" t="str">
        <f t="shared" ref="BA392" si="5887">++IFERROR(BA391/BA353,"n/a")</f>
        <v>n/a</v>
      </c>
      <c r="BB392" s="225" t="str">
        <f t="shared" ref="BB392" si="5888">++IFERROR(BB391/BB353,"n/a")</f>
        <v>n/a</v>
      </c>
      <c r="BC392" s="225" t="str">
        <f t="shared" ref="BC392" si="5889">++IFERROR(BC391/BC353,"n/a")</f>
        <v>n/a</v>
      </c>
      <c r="BD392" s="225" t="str">
        <f t="shared" ref="BD392" si="5890">++IFERROR(BD391/BD353,"n/a")</f>
        <v>n/a</v>
      </c>
      <c r="BE392" s="225" t="str">
        <f t="shared" ref="BE392" si="5891">++IFERROR(BE391/BE353,"n/a")</f>
        <v>n/a</v>
      </c>
      <c r="BF392" s="225" t="str">
        <f t="shared" ref="BF392" si="5892">++IFERROR(BF391/BF353,"n/a")</f>
        <v>n/a</v>
      </c>
      <c r="BG392" s="214" t="str">
        <f t="shared" ref="BG392" si="5893">++IFERROR(BG391/BG353,"n/a")</f>
        <v>n/a</v>
      </c>
      <c r="BH392" s="225" t="str">
        <f t="shared" ref="BH392" si="5894">++IFERROR(BH391/BH353,"n/a")</f>
        <v>n/a</v>
      </c>
      <c r="BI392" s="225" t="str">
        <f t="shared" ref="BI392" si="5895">++IFERROR(BI391/BI353,"n/a")</f>
        <v>n/a</v>
      </c>
      <c r="BJ392" s="225" t="str">
        <f t="shared" ref="BJ392" si="5896">++IFERROR(BJ391/BJ353,"n/a")</f>
        <v>n/a</v>
      </c>
      <c r="BK392" s="225" t="str">
        <f t="shared" ref="BK392" si="5897">++IFERROR(BK391/BK353,"n/a")</f>
        <v>n/a</v>
      </c>
      <c r="BL392" s="225" t="str">
        <f t="shared" ref="BL392" si="5898">++IFERROR(BL391/BL353,"n/a")</f>
        <v>n/a</v>
      </c>
      <c r="BM392" s="225" t="str">
        <f t="shared" ref="BM392" si="5899">++IFERROR(BM391/BM353,"n/a")</f>
        <v>n/a</v>
      </c>
      <c r="BN392" s="225" t="str">
        <f t="shared" ref="BN392" si="5900">++IFERROR(BN391/BN353,"n/a")</f>
        <v>n/a</v>
      </c>
      <c r="BO392" s="225" t="str">
        <f t="shared" ref="BO392" si="5901">++IFERROR(BO391/BO353,"n/a")</f>
        <v>n/a</v>
      </c>
      <c r="BP392" s="225" t="str">
        <f t="shared" ref="BP392" si="5902">++IFERROR(BP391/BP353,"n/a")</f>
        <v>n/a</v>
      </c>
      <c r="BQ392" s="225" t="str">
        <f t="shared" ref="BQ392" si="5903">++IFERROR(BQ391/BQ353,"n/a")</f>
        <v>n/a</v>
      </c>
      <c r="BR392" s="225" t="str">
        <f t="shared" ref="BR392" si="5904">++IFERROR(BR391/BR353,"n/a")</f>
        <v>n/a</v>
      </c>
      <c r="BS392" s="214" t="str">
        <f t="shared" ref="BS392" si="5905">++IFERROR(BS391/BS353,"n/a")</f>
        <v>n/a</v>
      </c>
      <c r="BT392" s="225" t="str">
        <f t="shared" ref="BT392" si="5906">++IFERROR(BT391/BT353,"n/a")</f>
        <v>n/a</v>
      </c>
      <c r="BU392" s="225" t="str">
        <f t="shared" ref="BU392" si="5907">++IFERROR(BU391/BU353,"n/a")</f>
        <v>n/a</v>
      </c>
      <c r="BV392" s="225" t="str">
        <f t="shared" ref="BV392" si="5908">++IFERROR(BV391/BV353,"n/a")</f>
        <v>n/a</v>
      </c>
      <c r="BW392" s="225" t="str">
        <f t="shared" ref="BW392" si="5909">++IFERROR(BW391/BW353,"n/a")</f>
        <v>n/a</v>
      </c>
      <c r="BX392" s="225" t="str">
        <f t="shared" ref="BX392" si="5910">++IFERROR(BX391/BX353,"n/a")</f>
        <v>n/a</v>
      </c>
      <c r="BY392" s="225" t="str">
        <f t="shared" ref="BY392" si="5911">++IFERROR(BY391/BY353,"n/a")</f>
        <v>n/a</v>
      </c>
      <c r="BZ392" s="225" t="str">
        <f t="shared" ref="BZ392" si="5912">++IFERROR(BZ391/BZ353,"n/a")</f>
        <v>n/a</v>
      </c>
      <c r="CA392" s="225" t="str">
        <f t="shared" ref="CA392" si="5913">++IFERROR(CA391/CA353,"n/a")</f>
        <v>n/a</v>
      </c>
      <c r="CB392" s="225" t="str">
        <f t="shared" ref="CB392" si="5914">++IFERROR(CB391/CB353,"n/a")</f>
        <v>n/a</v>
      </c>
      <c r="CC392" s="225" t="str">
        <f t="shared" ref="CC392" si="5915">++IFERROR(CC391/CC353,"n/a")</f>
        <v>n/a</v>
      </c>
      <c r="CD392" s="225" t="str">
        <f t="shared" ref="CD392" si="5916">++IFERROR(CD391/CD353,"n/a")</f>
        <v>n/a</v>
      </c>
      <c r="CE392" s="214" t="str">
        <f t="shared" ref="CE392" si="5917">++IFERROR(CE391/CE353,"n/a")</f>
        <v>n/a</v>
      </c>
      <c r="CF392" s="225" t="str">
        <f t="shared" ref="CF392" si="5918">++IFERROR(CF391/CF353,"n/a")</f>
        <v>n/a</v>
      </c>
      <c r="CG392" s="225" t="str">
        <f t="shared" ref="CG392" si="5919">++IFERROR(CG391/CG353,"n/a")</f>
        <v>n/a</v>
      </c>
      <c r="CH392" s="225" t="str">
        <f t="shared" ref="CH392" si="5920">++IFERROR(CH391/CH353,"n/a")</f>
        <v>n/a</v>
      </c>
      <c r="CI392" s="225" t="str">
        <f t="shared" ref="CI392" si="5921">++IFERROR(CI391/CI353,"n/a")</f>
        <v>n/a</v>
      </c>
      <c r="CJ392" s="225" t="str">
        <f t="shared" ref="CJ392" si="5922">++IFERROR(CJ391/CJ353,"n/a")</f>
        <v>n/a</v>
      </c>
      <c r="CK392" s="225" t="str">
        <f t="shared" ref="CK392" si="5923">++IFERROR(CK391/CK353,"n/a")</f>
        <v>n/a</v>
      </c>
      <c r="CL392" s="225" t="str">
        <f t="shared" ref="CL392" si="5924">++IFERROR(CL391/CL353,"n/a")</f>
        <v>n/a</v>
      </c>
      <c r="CM392" s="225" t="str">
        <f t="shared" ref="CM392" si="5925">++IFERROR(CM391/CM353,"n/a")</f>
        <v>n/a</v>
      </c>
      <c r="CN392" s="225" t="str">
        <f t="shared" ref="CN392" si="5926">++IFERROR(CN391/CN353,"n/a")</f>
        <v>n/a</v>
      </c>
      <c r="CO392" s="225" t="str">
        <f t="shared" ref="CO392" si="5927">++IFERROR(CO391/CO353,"n/a")</f>
        <v>n/a</v>
      </c>
      <c r="CP392" s="225" t="str">
        <f t="shared" ref="CP392" si="5928">++IFERROR(CP391/CP353,"n/a")</f>
        <v>n/a</v>
      </c>
      <c r="CQ392" s="214" t="str">
        <f t="shared" ref="CQ392" si="5929">++IFERROR(CQ391/CQ353,"n/a")</f>
        <v>n/a</v>
      </c>
      <c r="CR392" s="225" t="str">
        <f t="shared" ref="CR392" si="5930">++IFERROR(CR391/CR353,"n/a")</f>
        <v>n/a</v>
      </c>
      <c r="CS392" s="225" t="str">
        <f t="shared" ref="CS392" si="5931">++IFERROR(CS391/CS353,"n/a")</f>
        <v>n/a</v>
      </c>
      <c r="CT392" s="225" t="str">
        <f t="shared" ref="CT392" si="5932">++IFERROR(CT391/CT353,"n/a")</f>
        <v>n/a</v>
      </c>
      <c r="CU392" s="225" t="str">
        <f t="shared" ref="CU392" si="5933">++IFERROR(CU391/CU353,"n/a")</f>
        <v>n/a</v>
      </c>
      <c r="CV392" s="225" t="str">
        <f t="shared" ref="CV392" si="5934">++IFERROR(CV391/CV353,"n/a")</f>
        <v>n/a</v>
      </c>
      <c r="CW392" s="225" t="str">
        <f t="shared" ref="CW392" si="5935">++IFERROR(CW391/CW353,"n/a")</f>
        <v>n/a</v>
      </c>
      <c r="CX392" s="225" t="str">
        <f t="shared" ref="CX392" si="5936">++IFERROR(CX391/CX353,"n/a")</f>
        <v>n/a</v>
      </c>
      <c r="CY392" s="225" t="str">
        <f t="shared" ref="CY392" si="5937">++IFERROR(CY391/CY353,"n/a")</f>
        <v>n/a</v>
      </c>
      <c r="CZ392" s="225" t="str">
        <f t="shared" ref="CZ392" si="5938">++IFERROR(CZ391/CZ353,"n/a")</f>
        <v>n/a</v>
      </c>
      <c r="DA392" s="225" t="str">
        <f t="shared" ref="DA392" si="5939">++IFERROR(DA391/DA353,"n/a")</f>
        <v>n/a</v>
      </c>
      <c r="DB392" s="225" t="str">
        <f t="shared" ref="DB392" si="5940">++IFERROR(DB391/DB353,"n/a")</f>
        <v>n/a</v>
      </c>
      <c r="DC392" s="214" t="str">
        <f t="shared" ref="DC392" si="5941">++IFERROR(DC391/DC353,"n/a")</f>
        <v>n/a</v>
      </c>
    </row>
    <row r="393" spans="1:107" x14ac:dyDescent="0.3">
      <c r="C393" s="321" t="str">
        <f>++C$50</f>
        <v>% y/y</v>
      </c>
      <c r="G393" s="122" t="s">
        <v>47</v>
      </c>
      <c r="H393" s="122" t="s">
        <v>47</v>
      </c>
      <c r="I393" s="122" t="s">
        <v>47</v>
      </c>
      <c r="J393" s="122" t="s">
        <v>47</v>
      </c>
      <c r="K393" s="214" t="str">
        <f>++IFERROR(K391/G391-1,"n/a")</f>
        <v>n/a</v>
      </c>
      <c r="L393" s="122" t="s">
        <v>47</v>
      </c>
      <c r="M393" s="122" t="s">
        <v>47</v>
      </c>
      <c r="N393" s="225" t="str">
        <f>++IFERROR(N391/H391-1,"n/a")</f>
        <v>n/a</v>
      </c>
      <c r="O393" s="122" t="s">
        <v>47</v>
      </c>
      <c r="P393" s="122" t="s">
        <v>47</v>
      </c>
      <c r="Q393" s="225" t="str">
        <f>++IFERROR(Q391/I391-1,"n/a")</f>
        <v>n/a</v>
      </c>
      <c r="R393" s="122" t="s">
        <v>47</v>
      </c>
      <c r="S393" s="122" t="s">
        <v>47</v>
      </c>
      <c r="T393" s="225" t="str">
        <f>++IFERROR(T391/J391-1,"n/a")</f>
        <v>n/a</v>
      </c>
      <c r="U393" s="122" t="s">
        <v>47</v>
      </c>
      <c r="V393" s="122" t="s">
        <v>47</v>
      </c>
      <c r="W393" s="214" t="str">
        <f t="shared" ref="W393:BB393" si="5942">++IFERROR(W391/K391-1,"n/a")</f>
        <v>n/a</v>
      </c>
      <c r="X393" s="225" t="str">
        <f t="shared" si="5942"/>
        <v>n/a</v>
      </c>
      <c r="Y393" s="225" t="str">
        <f t="shared" si="5942"/>
        <v>n/a</v>
      </c>
      <c r="Z393" s="225" t="str">
        <f t="shared" si="5942"/>
        <v>n/a</v>
      </c>
      <c r="AA393" s="225" t="str">
        <f t="shared" si="5942"/>
        <v>n/a</v>
      </c>
      <c r="AB393" s="225" t="str">
        <f t="shared" si="5942"/>
        <v>n/a</v>
      </c>
      <c r="AC393" s="225" t="str">
        <f t="shared" si="5942"/>
        <v>n/a</v>
      </c>
      <c r="AD393" s="225" t="str">
        <f t="shared" si="5942"/>
        <v>n/a</v>
      </c>
      <c r="AE393" s="225" t="str">
        <f t="shared" si="5942"/>
        <v>n/a</v>
      </c>
      <c r="AF393" s="225" t="str">
        <f t="shared" si="5942"/>
        <v>n/a</v>
      </c>
      <c r="AG393" s="225" t="str">
        <f t="shared" si="5942"/>
        <v>n/a</v>
      </c>
      <c r="AH393" s="225" t="str">
        <f t="shared" si="5942"/>
        <v>n/a</v>
      </c>
      <c r="AI393" s="214" t="str">
        <f t="shared" si="5942"/>
        <v>n/a</v>
      </c>
      <c r="AJ393" s="225" t="str">
        <f t="shared" si="5942"/>
        <v>n/a</v>
      </c>
      <c r="AK393" s="225" t="str">
        <f t="shared" si="5942"/>
        <v>n/a</v>
      </c>
      <c r="AL393" s="225" t="str">
        <f t="shared" si="5942"/>
        <v>n/a</v>
      </c>
      <c r="AM393" s="225" t="str">
        <f t="shared" si="5942"/>
        <v>n/a</v>
      </c>
      <c r="AN393" s="225" t="str">
        <f t="shared" si="5942"/>
        <v>n/a</v>
      </c>
      <c r="AO393" s="225" t="str">
        <f t="shared" si="5942"/>
        <v>n/a</v>
      </c>
      <c r="AP393" s="225" t="str">
        <f t="shared" si="5942"/>
        <v>n/a</v>
      </c>
      <c r="AQ393" s="225" t="str">
        <f t="shared" si="5942"/>
        <v>n/a</v>
      </c>
      <c r="AR393" s="225" t="str">
        <f t="shared" si="5942"/>
        <v>n/a</v>
      </c>
      <c r="AS393" s="225" t="str">
        <f t="shared" si="5942"/>
        <v>n/a</v>
      </c>
      <c r="AT393" s="225" t="str">
        <f t="shared" si="5942"/>
        <v>n/a</v>
      </c>
      <c r="AU393" s="214" t="str">
        <f t="shared" si="5942"/>
        <v>n/a</v>
      </c>
      <c r="AV393" s="225" t="str">
        <f t="shared" si="5942"/>
        <v>n/a</v>
      </c>
      <c r="AW393" s="225" t="str">
        <f t="shared" si="5942"/>
        <v>n/a</v>
      </c>
      <c r="AX393" s="225" t="str">
        <f t="shared" si="5942"/>
        <v>n/a</v>
      </c>
      <c r="AY393" s="225" t="str">
        <f t="shared" si="5942"/>
        <v>n/a</v>
      </c>
      <c r="AZ393" s="225" t="str">
        <f t="shared" si="5942"/>
        <v>n/a</v>
      </c>
      <c r="BA393" s="225" t="str">
        <f t="shared" si="5942"/>
        <v>n/a</v>
      </c>
      <c r="BB393" s="225" t="str">
        <f t="shared" si="5942"/>
        <v>n/a</v>
      </c>
      <c r="BC393" s="225" t="str">
        <f t="shared" ref="BC393:CH393" si="5943">++IFERROR(BC391/AQ391-1,"n/a")</f>
        <v>n/a</v>
      </c>
      <c r="BD393" s="225" t="str">
        <f t="shared" si="5943"/>
        <v>n/a</v>
      </c>
      <c r="BE393" s="225" t="str">
        <f t="shared" si="5943"/>
        <v>n/a</v>
      </c>
      <c r="BF393" s="225" t="str">
        <f t="shared" si="5943"/>
        <v>n/a</v>
      </c>
      <c r="BG393" s="214" t="str">
        <f t="shared" si="5943"/>
        <v>n/a</v>
      </c>
      <c r="BH393" s="225" t="str">
        <f t="shared" si="5943"/>
        <v>n/a</v>
      </c>
      <c r="BI393" s="225" t="str">
        <f t="shared" si="5943"/>
        <v>n/a</v>
      </c>
      <c r="BJ393" s="225" t="str">
        <f t="shared" si="5943"/>
        <v>n/a</v>
      </c>
      <c r="BK393" s="225" t="str">
        <f t="shared" si="5943"/>
        <v>n/a</v>
      </c>
      <c r="BL393" s="225" t="str">
        <f t="shared" si="5943"/>
        <v>n/a</v>
      </c>
      <c r="BM393" s="225" t="str">
        <f t="shared" si="5943"/>
        <v>n/a</v>
      </c>
      <c r="BN393" s="225" t="str">
        <f t="shared" si="5943"/>
        <v>n/a</v>
      </c>
      <c r="BO393" s="225" t="str">
        <f t="shared" si="5943"/>
        <v>n/a</v>
      </c>
      <c r="BP393" s="225" t="str">
        <f t="shared" si="5943"/>
        <v>n/a</v>
      </c>
      <c r="BQ393" s="225" t="str">
        <f t="shared" si="5943"/>
        <v>n/a</v>
      </c>
      <c r="BR393" s="225" t="str">
        <f t="shared" si="5943"/>
        <v>n/a</v>
      </c>
      <c r="BS393" s="214" t="str">
        <f t="shared" si="5943"/>
        <v>n/a</v>
      </c>
      <c r="BT393" s="225" t="str">
        <f t="shared" si="5943"/>
        <v>n/a</v>
      </c>
      <c r="BU393" s="225" t="str">
        <f t="shared" si="5943"/>
        <v>n/a</v>
      </c>
      <c r="BV393" s="225" t="str">
        <f t="shared" si="5943"/>
        <v>n/a</v>
      </c>
      <c r="BW393" s="225" t="str">
        <f t="shared" si="5943"/>
        <v>n/a</v>
      </c>
      <c r="BX393" s="225" t="str">
        <f t="shared" si="5943"/>
        <v>n/a</v>
      </c>
      <c r="BY393" s="225" t="str">
        <f t="shared" si="5943"/>
        <v>n/a</v>
      </c>
      <c r="BZ393" s="225" t="str">
        <f t="shared" si="5943"/>
        <v>n/a</v>
      </c>
      <c r="CA393" s="225" t="str">
        <f t="shared" si="5943"/>
        <v>n/a</v>
      </c>
      <c r="CB393" s="225" t="str">
        <f t="shared" si="5943"/>
        <v>n/a</v>
      </c>
      <c r="CC393" s="225" t="str">
        <f t="shared" si="5943"/>
        <v>n/a</v>
      </c>
      <c r="CD393" s="225" t="str">
        <f t="shared" si="5943"/>
        <v>n/a</v>
      </c>
      <c r="CE393" s="214" t="str">
        <f t="shared" si="5943"/>
        <v>n/a</v>
      </c>
      <c r="CF393" s="225" t="str">
        <f t="shared" si="5943"/>
        <v>n/a</v>
      </c>
      <c r="CG393" s="225" t="str">
        <f t="shared" si="5943"/>
        <v>n/a</v>
      </c>
      <c r="CH393" s="225" t="str">
        <f t="shared" si="5943"/>
        <v>n/a</v>
      </c>
      <c r="CI393" s="225" t="str">
        <f t="shared" ref="CI393:DN393" si="5944">++IFERROR(CI391/BW391-1,"n/a")</f>
        <v>n/a</v>
      </c>
      <c r="CJ393" s="225" t="str">
        <f t="shared" si="5944"/>
        <v>n/a</v>
      </c>
      <c r="CK393" s="225" t="str">
        <f t="shared" si="5944"/>
        <v>n/a</v>
      </c>
      <c r="CL393" s="225" t="str">
        <f t="shared" si="5944"/>
        <v>n/a</v>
      </c>
      <c r="CM393" s="225" t="str">
        <f t="shared" si="5944"/>
        <v>n/a</v>
      </c>
      <c r="CN393" s="225" t="str">
        <f t="shared" si="5944"/>
        <v>n/a</v>
      </c>
      <c r="CO393" s="225" t="str">
        <f t="shared" si="5944"/>
        <v>n/a</v>
      </c>
      <c r="CP393" s="225" t="str">
        <f t="shared" si="5944"/>
        <v>n/a</v>
      </c>
      <c r="CQ393" s="214" t="str">
        <f t="shared" si="5944"/>
        <v>n/a</v>
      </c>
      <c r="CR393" s="225" t="str">
        <f t="shared" si="5944"/>
        <v>n/a</v>
      </c>
      <c r="CS393" s="225" t="str">
        <f t="shared" si="5944"/>
        <v>n/a</v>
      </c>
      <c r="CT393" s="225" t="str">
        <f t="shared" si="5944"/>
        <v>n/a</v>
      </c>
      <c r="CU393" s="225" t="str">
        <f t="shared" si="5944"/>
        <v>n/a</v>
      </c>
      <c r="CV393" s="225" t="str">
        <f t="shared" si="5944"/>
        <v>n/a</v>
      </c>
      <c r="CW393" s="225" t="str">
        <f t="shared" si="5944"/>
        <v>n/a</v>
      </c>
      <c r="CX393" s="225" t="str">
        <f t="shared" si="5944"/>
        <v>n/a</v>
      </c>
      <c r="CY393" s="225" t="str">
        <f t="shared" si="5944"/>
        <v>n/a</v>
      </c>
      <c r="CZ393" s="225" t="str">
        <f t="shared" si="5944"/>
        <v>n/a</v>
      </c>
      <c r="DA393" s="225" t="str">
        <f t="shared" si="5944"/>
        <v>n/a</v>
      </c>
      <c r="DB393" s="225" t="str">
        <f t="shared" si="5944"/>
        <v>n/a</v>
      </c>
      <c r="DC393" s="214" t="str">
        <f t="shared" si="5944"/>
        <v>n/a</v>
      </c>
    </row>
    <row r="394" spans="1:107" x14ac:dyDescent="0.3">
      <c r="G394" s="203"/>
      <c r="K394" s="203"/>
      <c r="W394" s="203"/>
      <c r="AI394" s="203"/>
      <c r="AU394" s="203"/>
      <c r="BG394" s="203"/>
      <c r="BS394" s="203"/>
      <c r="CE394" s="203"/>
      <c r="CQ394" s="203"/>
      <c r="DC394" s="203"/>
    </row>
    <row r="395" spans="1:107" x14ac:dyDescent="0.3">
      <c r="C395" s="193" t="str">
        <f>++C$52</f>
        <v>Capital Expenditures</v>
      </c>
      <c r="G395" s="400">
        <f>++G101</f>
        <v>0</v>
      </c>
      <c r="H395" s="400">
        <f t="shared" ref="H395:BS395" si="5945">++H101</f>
        <v>0</v>
      </c>
      <c r="I395" s="400">
        <f t="shared" si="5945"/>
        <v>0</v>
      </c>
      <c r="J395" s="400">
        <f t="shared" si="5945"/>
        <v>0</v>
      </c>
      <c r="K395" s="400">
        <f t="shared" si="5945"/>
        <v>0</v>
      </c>
      <c r="L395" s="400">
        <f t="shared" si="5945"/>
        <v>0</v>
      </c>
      <c r="M395" s="400">
        <f t="shared" si="5945"/>
        <v>0</v>
      </c>
      <c r="N395" s="400">
        <f t="shared" si="5945"/>
        <v>0</v>
      </c>
      <c r="O395" s="400">
        <f t="shared" si="5945"/>
        <v>0</v>
      </c>
      <c r="P395" s="400">
        <f t="shared" si="5945"/>
        <v>0</v>
      </c>
      <c r="Q395" s="400">
        <f t="shared" si="5945"/>
        <v>0</v>
      </c>
      <c r="R395" s="400">
        <f t="shared" si="5945"/>
        <v>0</v>
      </c>
      <c r="S395" s="400">
        <f t="shared" si="5945"/>
        <v>0</v>
      </c>
      <c r="T395" s="400">
        <f t="shared" si="5945"/>
        <v>0</v>
      </c>
      <c r="U395" s="400">
        <f t="shared" si="5945"/>
        <v>0</v>
      </c>
      <c r="V395" s="400">
        <f t="shared" si="5945"/>
        <v>0</v>
      </c>
      <c r="W395" s="400">
        <f t="shared" si="5945"/>
        <v>0</v>
      </c>
      <c r="X395" s="400">
        <f t="shared" si="5945"/>
        <v>0</v>
      </c>
      <c r="Y395" s="400">
        <f t="shared" si="5945"/>
        <v>0</v>
      </c>
      <c r="Z395" s="400">
        <f t="shared" si="5945"/>
        <v>0</v>
      </c>
      <c r="AA395" s="400">
        <f t="shared" si="5945"/>
        <v>0</v>
      </c>
      <c r="AB395" s="400">
        <f t="shared" si="5945"/>
        <v>0</v>
      </c>
      <c r="AC395" s="400">
        <f t="shared" si="5945"/>
        <v>0</v>
      </c>
      <c r="AD395" s="400">
        <f t="shared" si="5945"/>
        <v>0</v>
      </c>
      <c r="AE395" s="400">
        <f t="shared" si="5945"/>
        <v>0</v>
      </c>
      <c r="AF395" s="400">
        <f t="shared" si="5945"/>
        <v>0</v>
      </c>
      <c r="AG395" s="400">
        <f t="shared" si="5945"/>
        <v>0</v>
      </c>
      <c r="AH395" s="400">
        <f t="shared" si="5945"/>
        <v>0</v>
      </c>
      <c r="AI395" s="400">
        <f t="shared" si="5945"/>
        <v>0</v>
      </c>
      <c r="AJ395" s="400">
        <f t="shared" si="5945"/>
        <v>0</v>
      </c>
      <c r="AK395" s="400">
        <f t="shared" si="5945"/>
        <v>0</v>
      </c>
      <c r="AL395" s="400">
        <f t="shared" si="5945"/>
        <v>0</v>
      </c>
      <c r="AM395" s="400">
        <f t="shared" si="5945"/>
        <v>0</v>
      </c>
      <c r="AN395" s="400">
        <f t="shared" si="5945"/>
        <v>0</v>
      </c>
      <c r="AO395" s="400">
        <f t="shared" si="5945"/>
        <v>0</v>
      </c>
      <c r="AP395" s="400">
        <f t="shared" si="5945"/>
        <v>0</v>
      </c>
      <c r="AQ395" s="400">
        <f t="shared" si="5945"/>
        <v>0</v>
      </c>
      <c r="AR395" s="400">
        <f t="shared" si="5945"/>
        <v>0</v>
      </c>
      <c r="AS395" s="400">
        <f t="shared" si="5945"/>
        <v>0</v>
      </c>
      <c r="AT395" s="400">
        <f t="shared" si="5945"/>
        <v>0</v>
      </c>
      <c r="AU395" s="400">
        <f t="shared" si="5945"/>
        <v>0</v>
      </c>
      <c r="AV395" s="400">
        <f t="shared" si="5945"/>
        <v>0</v>
      </c>
      <c r="AW395" s="400">
        <f t="shared" si="5945"/>
        <v>0</v>
      </c>
      <c r="AX395" s="400">
        <f t="shared" si="5945"/>
        <v>0</v>
      </c>
      <c r="AY395" s="400">
        <f t="shared" si="5945"/>
        <v>0</v>
      </c>
      <c r="AZ395" s="400">
        <f t="shared" si="5945"/>
        <v>0</v>
      </c>
      <c r="BA395" s="400">
        <f t="shared" si="5945"/>
        <v>0</v>
      </c>
      <c r="BB395" s="400">
        <f t="shared" si="5945"/>
        <v>0</v>
      </c>
      <c r="BC395" s="400">
        <f t="shared" si="5945"/>
        <v>0</v>
      </c>
      <c r="BD395" s="400">
        <f t="shared" si="5945"/>
        <v>0</v>
      </c>
      <c r="BE395" s="400">
        <f t="shared" si="5945"/>
        <v>0</v>
      </c>
      <c r="BF395" s="400">
        <f t="shared" si="5945"/>
        <v>0</v>
      </c>
      <c r="BG395" s="400">
        <f t="shared" si="5945"/>
        <v>0</v>
      </c>
      <c r="BH395" s="400">
        <f t="shared" si="5945"/>
        <v>0</v>
      </c>
      <c r="BI395" s="400">
        <f t="shared" si="5945"/>
        <v>0</v>
      </c>
      <c r="BJ395" s="400">
        <f t="shared" si="5945"/>
        <v>0</v>
      </c>
      <c r="BK395" s="400">
        <f t="shared" si="5945"/>
        <v>0</v>
      </c>
      <c r="BL395" s="400">
        <f t="shared" si="5945"/>
        <v>0</v>
      </c>
      <c r="BM395" s="400">
        <f t="shared" si="5945"/>
        <v>0</v>
      </c>
      <c r="BN395" s="400">
        <f t="shared" si="5945"/>
        <v>0</v>
      </c>
      <c r="BO395" s="400">
        <f t="shared" si="5945"/>
        <v>0</v>
      </c>
      <c r="BP395" s="400">
        <f t="shared" si="5945"/>
        <v>0</v>
      </c>
      <c r="BQ395" s="400">
        <f t="shared" si="5945"/>
        <v>0</v>
      </c>
      <c r="BR395" s="400">
        <f t="shared" si="5945"/>
        <v>0</v>
      </c>
      <c r="BS395" s="400">
        <f t="shared" si="5945"/>
        <v>0</v>
      </c>
      <c r="BT395" s="400">
        <f t="shared" ref="BT395:DC395" si="5946">++BT101</f>
        <v>0</v>
      </c>
      <c r="BU395" s="400">
        <f t="shared" si="5946"/>
        <v>0</v>
      </c>
      <c r="BV395" s="400">
        <f t="shared" si="5946"/>
        <v>0</v>
      </c>
      <c r="BW395" s="400">
        <f t="shared" si="5946"/>
        <v>0</v>
      </c>
      <c r="BX395" s="400">
        <f t="shared" si="5946"/>
        <v>0</v>
      </c>
      <c r="BY395" s="400">
        <f t="shared" si="5946"/>
        <v>0</v>
      </c>
      <c r="BZ395" s="400">
        <f t="shared" si="5946"/>
        <v>0</v>
      </c>
      <c r="CA395" s="400">
        <f t="shared" si="5946"/>
        <v>0</v>
      </c>
      <c r="CB395" s="400">
        <f t="shared" si="5946"/>
        <v>0</v>
      </c>
      <c r="CC395" s="400">
        <f t="shared" si="5946"/>
        <v>0</v>
      </c>
      <c r="CD395" s="400">
        <f t="shared" si="5946"/>
        <v>0</v>
      </c>
      <c r="CE395" s="400">
        <f t="shared" si="5946"/>
        <v>0</v>
      </c>
      <c r="CF395" s="400">
        <f t="shared" si="5946"/>
        <v>0</v>
      </c>
      <c r="CG395" s="400">
        <f t="shared" si="5946"/>
        <v>0</v>
      </c>
      <c r="CH395" s="400">
        <f t="shared" si="5946"/>
        <v>0</v>
      </c>
      <c r="CI395" s="400">
        <f t="shared" si="5946"/>
        <v>0</v>
      </c>
      <c r="CJ395" s="400">
        <f t="shared" si="5946"/>
        <v>0</v>
      </c>
      <c r="CK395" s="400">
        <f t="shared" si="5946"/>
        <v>0</v>
      </c>
      <c r="CL395" s="400">
        <f t="shared" si="5946"/>
        <v>0</v>
      </c>
      <c r="CM395" s="400">
        <f t="shared" si="5946"/>
        <v>0</v>
      </c>
      <c r="CN395" s="400">
        <f t="shared" si="5946"/>
        <v>0</v>
      </c>
      <c r="CO395" s="400">
        <f t="shared" si="5946"/>
        <v>0</v>
      </c>
      <c r="CP395" s="400">
        <f t="shared" si="5946"/>
        <v>0</v>
      </c>
      <c r="CQ395" s="400">
        <f t="shared" si="5946"/>
        <v>0</v>
      </c>
      <c r="CR395" s="400">
        <f t="shared" si="5946"/>
        <v>0</v>
      </c>
      <c r="CS395" s="400">
        <f t="shared" si="5946"/>
        <v>0</v>
      </c>
      <c r="CT395" s="400">
        <f t="shared" si="5946"/>
        <v>0</v>
      </c>
      <c r="CU395" s="400">
        <f t="shared" si="5946"/>
        <v>0</v>
      </c>
      <c r="CV395" s="400">
        <f t="shared" si="5946"/>
        <v>0</v>
      </c>
      <c r="CW395" s="400">
        <f t="shared" si="5946"/>
        <v>0</v>
      </c>
      <c r="CX395" s="400">
        <f t="shared" si="5946"/>
        <v>0</v>
      </c>
      <c r="CY395" s="400">
        <f t="shared" si="5946"/>
        <v>0</v>
      </c>
      <c r="CZ395" s="400">
        <f t="shared" si="5946"/>
        <v>0</v>
      </c>
      <c r="DA395" s="400">
        <f t="shared" si="5946"/>
        <v>0</v>
      </c>
      <c r="DB395" s="400">
        <f t="shared" si="5946"/>
        <v>0</v>
      </c>
      <c r="DC395" s="400">
        <f t="shared" si="5946"/>
        <v>0</v>
      </c>
    </row>
    <row r="396" spans="1:107" x14ac:dyDescent="0.3">
      <c r="C396" s="321" t="str">
        <f>++C$53</f>
        <v>% revenue</v>
      </c>
      <c r="G396" s="214" t="str">
        <f>++IFERROR(G395/G353,"n/a")</f>
        <v>n/a</v>
      </c>
      <c r="H396" s="225" t="str">
        <f t="shared" ref="H396" si="5947">++IFERROR(H395/H353,"n/a")</f>
        <v>n/a</v>
      </c>
      <c r="I396" s="225" t="str">
        <f t="shared" ref="I396" si="5948">++IFERROR(I395/I353,"n/a")</f>
        <v>n/a</v>
      </c>
      <c r="J396" s="225" t="str">
        <f t="shared" ref="J396" si="5949">++IFERROR(J395/J353,"n/a")</f>
        <v>n/a</v>
      </c>
      <c r="K396" s="214" t="str">
        <f t="shared" ref="K396" si="5950">++IFERROR(K395/K353,"n/a")</f>
        <v>n/a</v>
      </c>
      <c r="L396" s="225" t="str">
        <f t="shared" ref="L396" si="5951">++IFERROR(L395/L353,"n/a")</f>
        <v>n/a</v>
      </c>
      <c r="M396" s="225" t="str">
        <f t="shared" ref="M396" si="5952">++IFERROR(M395/M353,"n/a")</f>
        <v>n/a</v>
      </c>
      <c r="N396" s="225" t="str">
        <f t="shared" ref="N396" si="5953">++IFERROR(N395/N353,"n/a")</f>
        <v>n/a</v>
      </c>
      <c r="O396" s="225" t="str">
        <f t="shared" ref="O396" si="5954">++IFERROR(O395/O353,"n/a")</f>
        <v>n/a</v>
      </c>
      <c r="P396" s="225" t="str">
        <f t="shared" ref="P396" si="5955">++IFERROR(P395/P353,"n/a")</f>
        <v>n/a</v>
      </c>
      <c r="Q396" s="225" t="str">
        <f t="shared" ref="Q396" si="5956">++IFERROR(Q395/Q353,"n/a")</f>
        <v>n/a</v>
      </c>
      <c r="R396" s="225" t="str">
        <f t="shared" ref="R396" si="5957">++IFERROR(R395/R353,"n/a")</f>
        <v>n/a</v>
      </c>
      <c r="S396" s="225" t="str">
        <f t="shared" ref="S396" si="5958">++IFERROR(S395/S353,"n/a")</f>
        <v>n/a</v>
      </c>
      <c r="T396" s="225" t="str">
        <f t="shared" ref="T396" si="5959">++IFERROR(T395/T353,"n/a")</f>
        <v>n/a</v>
      </c>
      <c r="U396" s="225" t="str">
        <f t="shared" ref="U396" si="5960">++IFERROR(U395/U353,"n/a")</f>
        <v>n/a</v>
      </c>
      <c r="V396" s="225" t="str">
        <f t="shared" ref="V396" si="5961">++IFERROR(V395/V353,"n/a")</f>
        <v>n/a</v>
      </c>
      <c r="W396" s="214" t="str">
        <f t="shared" ref="W396" si="5962">++IFERROR(W395/W353,"n/a")</f>
        <v>n/a</v>
      </c>
      <c r="X396" s="225" t="str">
        <f t="shared" ref="X396" si="5963">++IFERROR(X395/X353,"n/a")</f>
        <v>n/a</v>
      </c>
      <c r="Y396" s="225" t="str">
        <f t="shared" ref="Y396" si="5964">++IFERROR(Y395/Y353,"n/a")</f>
        <v>n/a</v>
      </c>
      <c r="Z396" s="225" t="str">
        <f t="shared" ref="Z396" si="5965">++IFERROR(Z395/Z353,"n/a")</f>
        <v>n/a</v>
      </c>
      <c r="AA396" s="225" t="str">
        <f t="shared" ref="AA396" si="5966">++IFERROR(AA395/AA353,"n/a")</f>
        <v>n/a</v>
      </c>
      <c r="AB396" s="225" t="str">
        <f t="shared" ref="AB396" si="5967">++IFERROR(AB395/AB353,"n/a")</f>
        <v>n/a</v>
      </c>
      <c r="AC396" s="225" t="str">
        <f t="shared" ref="AC396" si="5968">++IFERROR(AC395/AC353,"n/a")</f>
        <v>n/a</v>
      </c>
      <c r="AD396" s="225" t="str">
        <f t="shared" ref="AD396" si="5969">++IFERROR(AD395/AD353,"n/a")</f>
        <v>n/a</v>
      </c>
      <c r="AE396" s="225" t="str">
        <f t="shared" ref="AE396" si="5970">++IFERROR(AE395/AE353,"n/a")</f>
        <v>n/a</v>
      </c>
      <c r="AF396" s="225" t="str">
        <f t="shared" ref="AF396" si="5971">++IFERROR(AF395/AF353,"n/a")</f>
        <v>n/a</v>
      </c>
      <c r="AG396" s="225" t="str">
        <f t="shared" ref="AG396" si="5972">++IFERROR(AG395/AG353,"n/a")</f>
        <v>n/a</v>
      </c>
      <c r="AH396" s="225" t="str">
        <f t="shared" ref="AH396" si="5973">++IFERROR(AH395/AH353,"n/a")</f>
        <v>n/a</v>
      </c>
      <c r="AI396" s="214" t="str">
        <f t="shared" ref="AI396" si="5974">++IFERROR(AI395/AI353,"n/a")</f>
        <v>n/a</v>
      </c>
      <c r="AJ396" s="225" t="str">
        <f t="shared" ref="AJ396" si="5975">++IFERROR(AJ395/AJ353,"n/a")</f>
        <v>n/a</v>
      </c>
      <c r="AK396" s="225" t="str">
        <f t="shared" ref="AK396" si="5976">++IFERROR(AK395/AK353,"n/a")</f>
        <v>n/a</v>
      </c>
      <c r="AL396" s="225" t="str">
        <f t="shared" ref="AL396" si="5977">++IFERROR(AL395/AL353,"n/a")</f>
        <v>n/a</v>
      </c>
      <c r="AM396" s="225" t="str">
        <f t="shared" ref="AM396" si="5978">++IFERROR(AM395/AM353,"n/a")</f>
        <v>n/a</v>
      </c>
      <c r="AN396" s="225" t="str">
        <f t="shared" ref="AN396" si="5979">++IFERROR(AN395/AN353,"n/a")</f>
        <v>n/a</v>
      </c>
      <c r="AO396" s="225" t="str">
        <f t="shared" ref="AO396" si="5980">++IFERROR(AO395/AO353,"n/a")</f>
        <v>n/a</v>
      </c>
      <c r="AP396" s="225" t="str">
        <f t="shared" ref="AP396" si="5981">++IFERROR(AP395/AP353,"n/a")</f>
        <v>n/a</v>
      </c>
      <c r="AQ396" s="225" t="str">
        <f t="shared" ref="AQ396" si="5982">++IFERROR(AQ395/AQ353,"n/a")</f>
        <v>n/a</v>
      </c>
      <c r="AR396" s="225" t="str">
        <f t="shared" ref="AR396" si="5983">++IFERROR(AR395/AR353,"n/a")</f>
        <v>n/a</v>
      </c>
      <c r="AS396" s="225" t="str">
        <f t="shared" ref="AS396" si="5984">++IFERROR(AS395/AS353,"n/a")</f>
        <v>n/a</v>
      </c>
      <c r="AT396" s="225" t="str">
        <f t="shared" ref="AT396" si="5985">++IFERROR(AT395/AT353,"n/a")</f>
        <v>n/a</v>
      </c>
      <c r="AU396" s="214" t="str">
        <f t="shared" ref="AU396" si="5986">++IFERROR(AU395/AU353,"n/a")</f>
        <v>n/a</v>
      </c>
      <c r="AV396" s="225" t="str">
        <f t="shared" ref="AV396" si="5987">++IFERROR(AV395/AV353,"n/a")</f>
        <v>n/a</v>
      </c>
      <c r="AW396" s="225" t="str">
        <f t="shared" ref="AW396" si="5988">++IFERROR(AW395/AW353,"n/a")</f>
        <v>n/a</v>
      </c>
      <c r="AX396" s="225" t="str">
        <f t="shared" ref="AX396" si="5989">++IFERROR(AX395/AX353,"n/a")</f>
        <v>n/a</v>
      </c>
      <c r="AY396" s="225" t="str">
        <f t="shared" ref="AY396" si="5990">++IFERROR(AY395/AY353,"n/a")</f>
        <v>n/a</v>
      </c>
      <c r="AZ396" s="225" t="str">
        <f t="shared" ref="AZ396" si="5991">++IFERROR(AZ395/AZ353,"n/a")</f>
        <v>n/a</v>
      </c>
      <c r="BA396" s="225" t="str">
        <f t="shared" ref="BA396" si="5992">++IFERROR(BA395/BA353,"n/a")</f>
        <v>n/a</v>
      </c>
      <c r="BB396" s="225" t="str">
        <f t="shared" ref="BB396" si="5993">++IFERROR(BB395/BB353,"n/a")</f>
        <v>n/a</v>
      </c>
      <c r="BC396" s="225" t="str">
        <f t="shared" ref="BC396" si="5994">++IFERROR(BC395/BC353,"n/a")</f>
        <v>n/a</v>
      </c>
      <c r="BD396" s="225" t="str">
        <f t="shared" ref="BD396" si="5995">++IFERROR(BD395/BD353,"n/a")</f>
        <v>n/a</v>
      </c>
      <c r="BE396" s="225" t="str">
        <f t="shared" ref="BE396" si="5996">++IFERROR(BE395/BE353,"n/a")</f>
        <v>n/a</v>
      </c>
      <c r="BF396" s="225" t="str">
        <f t="shared" ref="BF396" si="5997">++IFERROR(BF395/BF353,"n/a")</f>
        <v>n/a</v>
      </c>
      <c r="BG396" s="214" t="str">
        <f t="shared" ref="BG396" si="5998">++IFERROR(BG395/BG353,"n/a")</f>
        <v>n/a</v>
      </c>
      <c r="BH396" s="225" t="str">
        <f t="shared" ref="BH396" si="5999">++IFERROR(BH395/BH353,"n/a")</f>
        <v>n/a</v>
      </c>
      <c r="BI396" s="225" t="str">
        <f t="shared" ref="BI396" si="6000">++IFERROR(BI395/BI353,"n/a")</f>
        <v>n/a</v>
      </c>
      <c r="BJ396" s="225" t="str">
        <f t="shared" ref="BJ396" si="6001">++IFERROR(BJ395/BJ353,"n/a")</f>
        <v>n/a</v>
      </c>
      <c r="BK396" s="225" t="str">
        <f t="shared" ref="BK396" si="6002">++IFERROR(BK395/BK353,"n/a")</f>
        <v>n/a</v>
      </c>
      <c r="BL396" s="225" t="str">
        <f t="shared" ref="BL396" si="6003">++IFERROR(BL395/BL353,"n/a")</f>
        <v>n/a</v>
      </c>
      <c r="BM396" s="225" t="str">
        <f t="shared" ref="BM396" si="6004">++IFERROR(BM395/BM353,"n/a")</f>
        <v>n/a</v>
      </c>
      <c r="BN396" s="225" t="str">
        <f t="shared" ref="BN396" si="6005">++IFERROR(BN395/BN353,"n/a")</f>
        <v>n/a</v>
      </c>
      <c r="BO396" s="225" t="str">
        <f t="shared" ref="BO396" si="6006">++IFERROR(BO395/BO353,"n/a")</f>
        <v>n/a</v>
      </c>
      <c r="BP396" s="225" t="str">
        <f t="shared" ref="BP396" si="6007">++IFERROR(BP395/BP353,"n/a")</f>
        <v>n/a</v>
      </c>
      <c r="BQ396" s="225" t="str">
        <f t="shared" ref="BQ396" si="6008">++IFERROR(BQ395/BQ353,"n/a")</f>
        <v>n/a</v>
      </c>
      <c r="BR396" s="225" t="str">
        <f t="shared" ref="BR396" si="6009">++IFERROR(BR395/BR353,"n/a")</f>
        <v>n/a</v>
      </c>
      <c r="BS396" s="214" t="str">
        <f t="shared" ref="BS396" si="6010">++IFERROR(BS395/BS353,"n/a")</f>
        <v>n/a</v>
      </c>
      <c r="BT396" s="225" t="str">
        <f t="shared" ref="BT396" si="6011">++IFERROR(BT395/BT353,"n/a")</f>
        <v>n/a</v>
      </c>
      <c r="BU396" s="225" t="str">
        <f t="shared" ref="BU396" si="6012">++IFERROR(BU395/BU353,"n/a")</f>
        <v>n/a</v>
      </c>
      <c r="BV396" s="225" t="str">
        <f t="shared" ref="BV396" si="6013">++IFERROR(BV395/BV353,"n/a")</f>
        <v>n/a</v>
      </c>
      <c r="BW396" s="225" t="str">
        <f t="shared" ref="BW396" si="6014">++IFERROR(BW395/BW353,"n/a")</f>
        <v>n/a</v>
      </c>
      <c r="BX396" s="225" t="str">
        <f t="shared" ref="BX396" si="6015">++IFERROR(BX395/BX353,"n/a")</f>
        <v>n/a</v>
      </c>
      <c r="BY396" s="225" t="str">
        <f t="shared" ref="BY396" si="6016">++IFERROR(BY395/BY353,"n/a")</f>
        <v>n/a</v>
      </c>
      <c r="BZ396" s="225" t="str">
        <f t="shared" ref="BZ396" si="6017">++IFERROR(BZ395/BZ353,"n/a")</f>
        <v>n/a</v>
      </c>
      <c r="CA396" s="225" t="str">
        <f t="shared" ref="CA396" si="6018">++IFERROR(CA395/CA353,"n/a")</f>
        <v>n/a</v>
      </c>
      <c r="CB396" s="225" t="str">
        <f t="shared" ref="CB396" si="6019">++IFERROR(CB395/CB353,"n/a")</f>
        <v>n/a</v>
      </c>
      <c r="CC396" s="225" t="str">
        <f t="shared" ref="CC396" si="6020">++IFERROR(CC395/CC353,"n/a")</f>
        <v>n/a</v>
      </c>
      <c r="CD396" s="225" t="str">
        <f t="shared" ref="CD396" si="6021">++IFERROR(CD395/CD353,"n/a")</f>
        <v>n/a</v>
      </c>
      <c r="CE396" s="214" t="str">
        <f t="shared" ref="CE396" si="6022">++IFERROR(CE395/CE353,"n/a")</f>
        <v>n/a</v>
      </c>
      <c r="CF396" s="225" t="str">
        <f t="shared" ref="CF396" si="6023">++IFERROR(CF395/CF353,"n/a")</f>
        <v>n/a</v>
      </c>
      <c r="CG396" s="225" t="str">
        <f t="shared" ref="CG396" si="6024">++IFERROR(CG395/CG353,"n/a")</f>
        <v>n/a</v>
      </c>
      <c r="CH396" s="225" t="str">
        <f t="shared" ref="CH396" si="6025">++IFERROR(CH395/CH353,"n/a")</f>
        <v>n/a</v>
      </c>
      <c r="CI396" s="225" t="str">
        <f t="shared" ref="CI396" si="6026">++IFERROR(CI395/CI353,"n/a")</f>
        <v>n/a</v>
      </c>
      <c r="CJ396" s="225" t="str">
        <f t="shared" ref="CJ396" si="6027">++IFERROR(CJ395/CJ353,"n/a")</f>
        <v>n/a</v>
      </c>
      <c r="CK396" s="225" t="str">
        <f t="shared" ref="CK396" si="6028">++IFERROR(CK395/CK353,"n/a")</f>
        <v>n/a</v>
      </c>
      <c r="CL396" s="225" t="str">
        <f t="shared" ref="CL396" si="6029">++IFERROR(CL395/CL353,"n/a")</f>
        <v>n/a</v>
      </c>
      <c r="CM396" s="225" t="str">
        <f t="shared" ref="CM396" si="6030">++IFERROR(CM395/CM353,"n/a")</f>
        <v>n/a</v>
      </c>
      <c r="CN396" s="225" t="str">
        <f t="shared" ref="CN396" si="6031">++IFERROR(CN395/CN353,"n/a")</f>
        <v>n/a</v>
      </c>
      <c r="CO396" s="225" t="str">
        <f t="shared" ref="CO396" si="6032">++IFERROR(CO395/CO353,"n/a")</f>
        <v>n/a</v>
      </c>
      <c r="CP396" s="225" t="str">
        <f t="shared" ref="CP396" si="6033">++IFERROR(CP395/CP353,"n/a")</f>
        <v>n/a</v>
      </c>
      <c r="CQ396" s="214" t="str">
        <f t="shared" ref="CQ396" si="6034">++IFERROR(CQ395/CQ353,"n/a")</f>
        <v>n/a</v>
      </c>
      <c r="CR396" s="225" t="str">
        <f t="shared" ref="CR396" si="6035">++IFERROR(CR395/CR353,"n/a")</f>
        <v>n/a</v>
      </c>
      <c r="CS396" s="225" t="str">
        <f t="shared" ref="CS396" si="6036">++IFERROR(CS395/CS353,"n/a")</f>
        <v>n/a</v>
      </c>
      <c r="CT396" s="225" t="str">
        <f t="shared" ref="CT396" si="6037">++IFERROR(CT395/CT353,"n/a")</f>
        <v>n/a</v>
      </c>
      <c r="CU396" s="225" t="str">
        <f t="shared" ref="CU396" si="6038">++IFERROR(CU395/CU353,"n/a")</f>
        <v>n/a</v>
      </c>
      <c r="CV396" s="225" t="str">
        <f t="shared" ref="CV396" si="6039">++IFERROR(CV395/CV353,"n/a")</f>
        <v>n/a</v>
      </c>
      <c r="CW396" s="225" t="str">
        <f t="shared" ref="CW396" si="6040">++IFERROR(CW395/CW353,"n/a")</f>
        <v>n/a</v>
      </c>
      <c r="CX396" s="225" t="str">
        <f t="shared" ref="CX396" si="6041">++IFERROR(CX395/CX353,"n/a")</f>
        <v>n/a</v>
      </c>
      <c r="CY396" s="225" t="str">
        <f t="shared" ref="CY396" si="6042">++IFERROR(CY395/CY353,"n/a")</f>
        <v>n/a</v>
      </c>
      <c r="CZ396" s="225" t="str">
        <f t="shared" ref="CZ396" si="6043">++IFERROR(CZ395/CZ353,"n/a")</f>
        <v>n/a</v>
      </c>
      <c r="DA396" s="225" t="str">
        <f t="shared" ref="DA396" si="6044">++IFERROR(DA395/DA353,"n/a")</f>
        <v>n/a</v>
      </c>
      <c r="DB396" s="225" t="str">
        <f t="shared" ref="DB396" si="6045">++IFERROR(DB395/DB353,"n/a")</f>
        <v>n/a</v>
      </c>
      <c r="DC396" s="214" t="str">
        <f t="shared" ref="DC396" si="6046">++IFERROR(DC395/DC353,"n/a")</f>
        <v>n/a</v>
      </c>
    </row>
    <row r="397" spans="1:107" x14ac:dyDescent="0.3">
      <c r="C397" s="321" t="str">
        <f>++C$54</f>
        <v>% FCF conversion</v>
      </c>
      <c r="G397" s="214" t="str">
        <f>++IFERROR((G391-G395)/G391,"n/a")</f>
        <v>n/a</v>
      </c>
      <c r="H397" s="225" t="str">
        <f t="shared" ref="H397:BS397" si="6047">++IFERROR((H391-H395)/H391,"n/a")</f>
        <v>n/a</v>
      </c>
      <c r="I397" s="225" t="str">
        <f t="shared" si="6047"/>
        <v>n/a</v>
      </c>
      <c r="J397" s="225" t="str">
        <f t="shared" si="6047"/>
        <v>n/a</v>
      </c>
      <c r="K397" s="214" t="str">
        <f t="shared" si="6047"/>
        <v>n/a</v>
      </c>
      <c r="L397" s="225" t="str">
        <f t="shared" si="6047"/>
        <v>n/a</v>
      </c>
      <c r="M397" s="225" t="str">
        <f t="shared" si="6047"/>
        <v>n/a</v>
      </c>
      <c r="N397" s="225" t="str">
        <f t="shared" si="6047"/>
        <v>n/a</v>
      </c>
      <c r="O397" s="225" t="str">
        <f t="shared" si="6047"/>
        <v>n/a</v>
      </c>
      <c r="P397" s="225" t="str">
        <f t="shared" si="6047"/>
        <v>n/a</v>
      </c>
      <c r="Q397" s="225" t="str">
        <f t="shared" si="6047"/>
        <v>n/a</v>
      </c>
      <c r="R397" s="225" t="str">
        <f t="shared" si="6047"/>
        <v>n/a</v>
      </c>
      <c r="S397" s="225" t="str">
        <f t="shared" si="6047"/>
        <v>n/a</v>
      </c>
      <c r="T397" s="225" t="str">
        <f t="shared" si="6047"/>
        <v>n/a</v>
      </c>
      <c r="U397" s="225" t="str">
        <f t="shared" si="6047"/>
        <v>n/a</v>
      </c>
      <c r="V397" s="225" t="str">
        <f t="shared" si="6047"/>
        <v>n/a</v>
      </c>
      <c r="W397" s="214" t="str">
        <f t="shared" si="6047"/>
        <v>n/a</v>
      </c>
      <c r="X397" s="225" t="str">
        <f t="shared" si="6047"/>
        <v>n/a</v>
      </c>
      <c r="Y397" s="225" t="str">
        <f t="shared" si="6047"/>
        <v>n/a</v>
      </c>
      <c r="Z397" s="225" t="str">
        <f t="shared" si="6047"/>
        <v>n/a</v>
      </c>
      <c r="AA397" s="225" t="str">
        <f t="shared" si="6047"/>
        <v>n/a</v>
      </c>
      <c r="AB397" s="225" t="str">
        <f t="shared" si="6047"/>
        <v>n/a</v>
      </c>
      <c r="AC397" s="225" t="str">
        <f t="shared" si="6047"/>
        <v>n/a</v>
      </c>
      <c r="AD397" s="225" t="str">
        <f t="shared" si="6047"/>
        <v>n/a</v>
      </c>
      <c r="AE397" s="225" t="str">
        <f t="shared" si="6047"/>
        <v>n/a</v>
      </c>
      <c r="AF397" s="225" t="str">
        <f t="shared" si="6047"/>
        <v>n/a</v>
      </c>
      <c r="AG397" s="225" t="str">
        <f t="shared" si="6047"/>
        <v>n/a</v>
      </c>
      <c r="AH397" s="225" t="str">
        <f t="shared" si="6047"/>
        <v>n/a</v>
      </c>
      <c r="AI397" s="214" t="str">
        <f t="shared" si="6047"/>
        <v>n/a</v>
      </c>
      <c r="AJ397" s="225" t="str">
        <f t="shared" si="6047"/>
        <v>n/a</v>
      </c>
      <c r="AK397" s="225" t="str">
        <f t="shared" si="6047"/>
        <v>n/a</v>
      </c>
      <c r="AL397" s="225" t="str">
        <f t="shared" si="6047"/>
        <v>n/a</v>
      </c>
      <c r="AM397" s="225" t="str">
        <f t="shared" si="6047"/>
        <v>n/a</v>
      </c>
      <c r="AN397" s="225" t="str">
        <f t="shared" si="6047"/>
        <v>n/a</v>
      </c>
      <c r="AO397" s="225" t="str">
        <f t="shared" si="6047"/>
        <v>n/a</v>
      </c>
      <c r="AP397" s="225" t="str">
        <f t="shared" si="6047"/>
        <v>n/a</v>
      </c>
      <c r="AQ397" s="225" t="str">
        <f t="shared" si="6047"/>
        <v>n/a</v>
      </c>
      <c r="AR397" s="225" t="str">
        <f t="shared" si="6047"/>
        <v>n/a</v>
      </c>
      <c r="AS397" s="225" t="str">
        <f t="shared" si="6047"/>
        <v>n/a</v>
      </c>
      <c r="AT397" s="225" t="str">
        <f t="shared" si="6047"/>
        <v>n/a</v>
      </c>
      <c r="AU397" s="214" t="str">
        <f t="shared" si="6047"/>
        <v>n/a</v>
      </c>
      <c r="AV397" s="225" t="str">
        <f t="shared" si="6047"/>
        <v>n/a</v>
      </c>
      <c r="AW397" s="225" t="str">
        <f t="shared" si="6047"/>
        <v>n/a</v>
      </c>
      <c r="AX397" s="225" t="str">
        <f t="shared" si="6047"/>
        <v>n/a</v>
      </c>
      <c r="AY397" s="225" t="str">
        <f t="shared" si="6047"/>
        <v>n/a</v>
      </c>
      <c r="AZ397" s="225" t="str">
        <f t="shared" si="6047"/>
        <v>n/a</v>
      </c>
      <c r="BA397" s="225" t="str">
        <f t="shared" si="6047"/>
        <v>n/a</v>
      </c>
      <c r="BB397" s="225" t="str">
        <f t="shared" si="6047"/>
        <v>n/a</v>
      </c>
      <c r="BC397" s="225" t="str">
        <f t="shared" si="6047"/>
        <v>n/a</v>
      </c>
      <c r="BD397" s="225" t="str">
        <f t="shared" si="6047"/>
        <v>n/a</v>
      </c>
      <c r="BE397" s="225" t="str">
        <f t="shared" si="6047"/>
        <v>n/a</v>
      </c>
      <c r="BF397" s="225" t="str">
        <f t="shared" si="6047"/>
        <v>n/a</v>
      </c>
      <c r="BG397" s="214" t="str">
        <f t="shared" si="6047"/>
        <v>n/a</v>
      </c>
      <c r="BH397" s="225" t="str">
        <f t="shared" si="6047"/>
        <v>n/a</v>
      </c>
      <c r="BI397" s="225" t="str">
        <f t="shared" si="6047"/>
        <v>n/a</v>
      </c>
      <c r="BJ397" s="225" t="str">
        <f t="shared" si="6047"/>
        <v>n/a</v>
      </c>
      <c r="BK397" s="225" t="str">
        <f t="shared" si="6047"/>
        <v>n/a</v>
      </c>
      <c r="BL397" s="225" t="str">
        <f t="shared" si="6047"/>
        <v>n/a</v>
      </c>
      <c r="BM397" s="225" t="str">
        <f t="shared" si="6047"/>
        <v>n/a</v>
      </c>
      <c r="BN397" s="225" t="str">
        <f t="shared" si="6047"/>
        <v>n/a</v>
      </c>
      <c r="BO397" s="225" t="str">
        <f t="shared" si="6047"/>
        <v>n/a</v>
      </c>
      <c r="BP397" s="225" t="str">
        <f t="shared" si="6047"/>
        <v>n/a</v>
      </c>
      <c r="BQ397" s="225" t="str">
        <f t="shared" si="6047"/>
        <v>n/a</v>
      </c>
      <c r="BR397" s="225" t="str">
        <f t="shared" si="6047"/>
        <v>n/a</v>
      </c>
      <c r="BS397" s="214" t="str">
        <f t="shared" si="6047"/>
        <v>n/a</v>
      </c>
      <c r="BT397" s="225" t="str">
        <f t="shared" ref="BT397:DC397" si="6048">++IFERROR((BT391-BT395)/BT391,"n/a")</f>
        <v>n/a</v>
      </c>
      <c r="BU397" s="225" t="str">
        <f t="shared" si="6048"/>
        <v>n/a</v>
      </c>
      <c r="BV397" s="225" t="str">
        <f t="shared" si="6048"/>
        <v>n/a</v>
      </c>
      <c r="BW397" s="225" t="str">
        <f t="shared" si="6048"/>
        <v>n/a</v>
      </c>
      <c r="BX397" s="225" t="str">
        <f t="shared" si="6048"/>
        <v>n/a</v>
      </c>
      <c r="BY397" s="225" t="str">
        <f t="shared" si="6048"/>
        <v>n/a</v>
      </c>
      <c r="BZ397" s="225" t="str">
        <f t="shared" si="6048"/>
        <v>n/a</v>
      </c>
      <c r="CA397" s="225" t="str">
        <f t="shared" si="6048"/>
        <v>n/a</v>
      </c>
      <c r="CB397" s="225" t="str">
        <f t="shared" si="6048"/>
        <v>n/a</v>
      </c>
      <c r="CC397" s="225" t="str">
        <f t="shared" si="6048"/>
        <v>n/a</v>
      </c>
      <c r="CD397" s="225" t="str">
        <f t="shared" si="6048"/>
        <v>n/a</v>
      </c>
      <c r="CE397" s="214" t="str">
        <f t="shared" si="6048"/>
        <v>n/a</v>
      </c>
      <c r="CF397" s="225" t="str">
        <f t="shared" si="6048"/>
        <v>n/a</v>
      </c>
      <c r="CG397" s="225" t="str">
        <f t="shared" si="6048"/>
        <v>n/a</v>
      </c>
      <c r="CH397" s="225" t="str">
        <f t="shared" si="6048"/>
        <v>n/a</v>
      </c>
      <c r="CI397" s="225" t="str">
        <f t="shared" si="6048"/>
        <v>n/a</v>
      </c>
      <c r="CJ397" s="225" t="str">
        <f t="shared" si="6048"/>
        <v>n/a</v>
      </c>
      <c r="CK397" s="225" t="str">
        <f t="shared" si="6048"/>
        <v>n/a</v>
      </c>
      <c r="CL397" s="225" t="str">
        <f t="shared" si="6048"/>
        <v>n/a</v>
      </c>
      <c r="CM397" s="225" t="str">
        <f t="shared" si="6048"/>
        <v>n/a</v>
      </c>
      <c r="CN397" s="225" t="str">
        <f t="shared" si="6048"/>
        <v>n/a</v>
      </c>
      <c r="CO397" s="225" t="str">
        <f t="shared" si="6048"/>
        <v>n/a</v>
      </c>
      <c r="CP397" s="225" t="str">
        <f t="shared" si="6048"/>
        <v>n/a</v>
      </c>
      <c r="CQ397" s="214" t="str">
        <f t="shared" si="6048"/>
        <v>n/a</v>
      </c>
      <c r="CR397" s="225" t="str">
        <f t="shared" si="6048"/>
        <v>n/a</v>
      </c>
      <c r="CS397" s="225" t="str">
        <f t="shared" si="6048"/>
        <v>n/a</v>
      </c>
      <c r="CT397" s="225" t="str">
        <f t="shared" si="6048"/>
        <v>n/a</v>
      </c>
      <c r="CU397" s="225" t="str">
        <f t="shared" si="6048"/>
        <v>n/a</v>
      </c>
      <c r="CV397" s="225" t="str">
        <f t="shared" si="6048"/>
        <v>n/a</v>
      </c>
      <c r="CW397" s="225" t="str">
        <f t="shared" si="6048"/>
        <v>n/a</v>
      </c>
      <c r="CX397" s="225" t="str">
        <f t="shared" si="6048"/>
        <v>n/a</v>
      </c>
      <c r="CY397" s="225" t="str">
        <f t="shared" si="6048"/>
        <v>n/a</v>
      </c>
      <c r="CZ397" s="225" t="str">
        <f t="shared" si="6048"/>
        <v>n/a</v>
      </c>
      <c r="DA397" s="225" t="str">
        <f t="shared" si="6048"/>
        <v>n/a</v>
      </c>
      <c r="DB397" s="225" t="str">
        <f t="shared" si="6048"/>
        <v>n/a</v>
      </c>
      <c r="DC397" s="214" t="str">
        <f t="shared" si="6048"/>
        <v>n/a</v>
      </c>
    </row>
    <row r="398" spans="1:107" x14ac:dyDescent="0.3">
      <c r="G398" s="203"/>
      <c r="K398" s="203"/>
      <c r="W398" s="203"/>
      <c r="AI398" s="203"/>
      <c r="AU398" s="203"/>
      <c r="BG398" s="203"/>
      <c r="BS398" s="203"/>
      <c r="CE398" s="203"/>
      <c r="CQ398" s="203"/>
      <c r="DC398" s="203"/>
    </row>
    <row r="399" spans="1:107" x14ac:dyDescent="0.3">
      <c r="G399" s="203"/>
      <c r="K399" s="203"/>
      <c r="W399" s="203"/>
      <c r="AI399" s="203"/>
      <c r="AU399" s="203"/>
      <c r="BG399" s="203"/>
      <c r="BS399" s="203"/>
      <c r="CE399" s="203"/>
      <c r="CQ399" s="203"/>
      <c r="DC399" s="203"/>
    </row>
    <row r="400" spans="1:107" x14ac:dyDescent="0.3">
      <c r="A400" s="319"/>
      <c r="B400" s="319" t="s">
        <v>0</v>
      </c>
      <c r="C400" s="166" t="s">
        <v>346</v>
      </c>
      <c r="D400" s="365"/>
      <c r="E400" s="365"/>
      <c r="F400" s="365"/>
      <c r="G400" s="365"/>
      <c r="H400" s="365"/>
      <c r="I400" s="365"/>
      <c r="J400" s="365"/>
      <c r="K400" s="365"/>
      <c r="L400" s="365"/>
      <c r="M400" s="365"/>
      <c r="N400" s="365"/>
      <c r="O400" s="365"/>
      <c r="P400" s="365"/>
      <c r="Q400" s="365"/>
      <c r="R400" s="365"/>
      <c r="S400" s="365"/>
      <c r="T400" s="365"/>
      <c r="U400" s="365"/>
      <c r="V400" s="365"/>
      <c r="W400" s="365"/>
      <c r="X400" s="365"/>
      <c r="Y400" s="365"/>
      <c r="Z400" s="365"/>
      <c r="AA400" s="365"/>
      <c r="AB400" s="365"/>
      <c r="AC400" s="365"/>
      <c r="AD400" s="365"/>
      <c r="AE400" s="365"/>
      <c r="AF400" s="365"/>
      <c r="AG400" s="365"/>
      <c r="AH400" s="365"/>
      <c r="AI400" s="365"/>
      <c r="AJ400" s="365"/>
      <c r="AK400" s="365"/>
      <c r="AL400" s="365"/>
      <c r="AM400" s="365"/>
      <c r="AN400" s="365"/>
      <c r="AO400" s="365"/>
      <c r="AP400" s="365"/>
      <c r="AQ400" s="365"/>
      <c r="AR400" s="365"/>
      <c r="AS400" s="365"/>
      <c r="AT400" s="365"/>
      <c r="AU400" s="365"/>
      <c r="AV400" s="365"/>
      <c r="AW400" s="365"/>
      <c r="AX400" s="365"/>
      <c r="AY400" s="365"/>
      <c r="AZ400" s="365"/>
      <c r="BA400" s="365"/>
      <c r="BB400" s="365"/>
      <c r="BC400" s="365"/>
      <c r="BD400" s="365"/>
      <c r="BE400" s="365"/>
      <c r="BF400" s="365"/>
      <c r="BG400" s="365"/>
      <c r="BH400" s="365"/>
      <c r="BI400" s="365"/>
      <c r="BJ400" s="365"/>
      <c r="BK400" s="365"/>
      <c r="BL400" s="365"/>
      <c r="BM400" s="365"/>
      <c r="BN400" s="365"/>
      <c r="BO400" s="365"/>
      <c r="BP400" s="365"/>
      <c r="BQ400" s="365"/>
      <c r="BR400" s="365"/>
      <c r="BS400" s="365"/>
      <c r="BT400" s="365"/>
      <c r="BU400" s="365"/>
      <c r="BV400" s="365"/>
      <c r="BW400" s="365"/>
      <c r="BX400" s="365"/>
      <c r="BY400" s="365"/>
      <c r="BZ400" s="365"/>
      <c r="CA400" s="365"/>
      <c r="CB400" s="365"/>
      <c r="CC400" s="365"/>
      <c r="CD400" s="365"/>
      <c r="CE400" s="365"/>
      <c r="CF400" s="365"/>
      <c r="CG400" s="365"/>
      <c r="CH400" s="365"/>
      <c r="CI400" s="365"/>
      <c r="CJ400" s="365"/>
      <c r="CK400" s="365"/>
      <c r="CL400" s="365"/>
      <c r="CM400" s="365"/>
      <c r="CN400" s="365"/>
      <c r="CO400" s="365"/>
      <c r="CP400" s="365"/>
      <c r="CQ400" s="365"/>
      <c r="CR400" s="365"/>
      <c r="CS400" s="365"/>
      <c r="CT400" s="365"/>
      <c r="CU400" s="365"/>
      <c r="CV400" s="365"/>
      <c r="CW400" s="365"/>
      <c r="CX400" s="365"/>
      <c r="CY400" s="365"/>
      <c r="CZ400" s="365"/>
      <c r="DA400" s="365"/>
      <c r="DB400" s="365"/>
      <c r="DC400" s="366"/>
    </row>
    <row r="401" spans="3:107" ht="5.15" customHeight="1" x14ac:dyDescent="0.3">
      <c r="G401" s="203"/>
      <c r="K401" s="203"/>
      <c r="W401" s="203"/>
      <c r="AI401" s="203"/>
      <c r="AU401" s="203"/>
      <c r="BG401" s="203"/>
      <c r="BS401" s="203"/>
      <c r="CE401" s="203"/>
      <c r="CQ401" s="203"/>
      <c r="DC401" s="203"/>
    </row>
    <row r="402" spans="3:107" x14ac:dyDescent="0.3">
      <c r="C402" s="193" t="str">
        <f>++C$10</f>
        <v>Revenue</v>
      </c>
      <c r="G402" s="400">
        <f>++G108</f>
        <v>0</v>
      </c>
      <c r="H402" s="400">
        <f t="shared" ref="H402:BS402" si="6049">++H108</f>
        <v>0</v>
      </c>
      <c r="I402" s="400">
        <f t="shared" si="6049"/>
        <v>0</v>
      </c>
      <c r="J402" s="400">
        <f t="shared" si="6049"/>
        <v>0</v>
      </c>
      <c r="K402" s="400">
        <f t="shared" si="6049"/>
        <v>0</v>
      </c>
      <c r="L402" s="400">
        <f t="shared" si="6049"/>
        <v>0</v>
      </c>
      <c r="M402" s="400">
        <f t="shared" si="6049"/>
        <v>0</v>
      </c>
      <c r="N402" s="400">
        <f t="shared" si="6049"/>
        <v>0</v>
      </c>
      <c r="O402" s="400">
        <f t="shared" si="6049"/>
        <v>0</v>
      </c>
      <c r="P402" s="400">
        <f t="shared" si="6049"/>
        <v>0</v>
      </c>
      <c r="Q402" s="400">
        <f t="shared" si="6049"/>
        <v>0</v>
      </c>
      <c r="R402" s="400">
        <f t="shared" si="6049"/>
        <v>0</v>
      </c>
      <c r="S402" s="400">
        <f t="shared" si="6049"/>
        <v>0</v>
      </c>
      <c r="T402" s="400">
        <f t="shared" si="6049"/>
        <v>0</v>
      </c>
      <c r="U402" s="400">
        <f t="shared" si="6049"/>
        <v>0</v>
      </c>
      <c r="V402" s="400">
        <f t="shared" si="6049"/>
        <v>0</v>
      </c>
      <c r="W402" s="400">
        <f t="shared" si="6049"/>
        <v>0</v>
      </c>
      <c r="X402" s="400">
        <f t="shared" si="6049"/>
        <v>0</v>
      </c>
      <c r="Y402" s="400">
        <f t="shared" si="6049"/>
        <v>0</v>
      </c>
      <c r="Z402" s="400">
        <f t="shared" si="6049"/>
        <v>0</v>
      </c>
      <c r="AA402" s="400">
        <f t="shared" si="6049"/>
        <v>0</v>
      </c>
      <c r="AB402" s="400">
        <f t="shared" si="6049"/>
        <v>0</v>
      </c>
      <c r="AC402" s="400">
        <f t="shared" si="6049"/>
        <v>0</v>
      </c>
      <c r="AD402" s="400">
        <f t="shared" si="6049"/>
        <v>0</v>
      </c>
      <c r="AE402" s="400">
        <f t="shared" si="6049"/>
        <v>0</v>
      </c>
      <c r="AF402" s="400">
        <f t="shared" si="6049"/>
        <v>0</v>
      </c>
      <c r="AG402" s="400">
        <f t="shared" si="6049"/>
        <v>0</v>
      </c>
      <c r="AH402" s="400">
        <f t="shared" si="6049"/>
        <v>0</v>
      </c>
      <c r="AI402" s="400">
        <f t="shared" si="6049"/>
        <v>0</v>
      </c>
      <c r="AJ402" s="400">
        <f t="shared" si="6049"/>
        <v>0</v>
      </c>
      <c r="AK402" s="400">
        <f t="shared" si="6049"/>
        <v>0</v>
      </c>
      <c r="AL402" s="400">
        <f t="shared" si="6049"/>
        <v>0</v>
      </c>
      <c r="AM402" s="400">
        <f t="shared" si="6049"/>
        <v>0</v>
      </c>
      <c r="AN402" s="400">
        <f t="shared" si="6049"/>
        <v>0</v>
      </c>
      <c r="AO402" s="400">
        <f t="shared" si="6049"/>
        <v>0</v>
      </c>
      <c r="AP402" s="400">
        <f t="shared" si="6049"/>
        <v>0</v>
      </c>
      <c r="AQ402" s="400">
        <f t="shared" si="6049"/>
        <v>0</v>
      </c>
      <c r="AR402" s="400">
        <f t="shared" si="6049"/>
        <v>0</v>
      </c>
      <c r="AS402" s="400">
        <f t="shared" si="6049"/>
        <v>0</v>
      </c>
      <c r="AT402" s="400">
        <f t="shared" si="6049"/>
        <v>0</v>
      </c>
      <c r="AU402" s="400">
        <f t="shared" si="6049"/>
        <v>0</v>
      </c>
      <c r="AV402" s="400">
        <f t="shared" si="6049"/>
        <v>0</v>
      </c>
      <c r="AW402" s="400">
        <f t="shared" si="6049"/>
        <v>0</v>
      </c>
      <c r="AX402" s="400">
        <f t="shared" si="6049"/>
        <v>0</v>
      </c>
      <c r="AY402" s="400">
        <f t="shared" si="6049"/>
        <v>0</v>
      </c>
      <c r="AZ402" s="400">
        <f t="shared" si="6049"/>
        <v>0</v>
      </c>
      <c r="BA402" s="400">
        <f t="shared" si="6049"/>
        <v>0</v>
      </c>
      <c r="BB402" s="400">
        <f t="shared" si="6049"/>
        <v>0</v>
      </c>
      <c r="BC402" s="400">
        <f t="shared" si="6049"/>
        <v>0</v>
      </c>
      <c r="BD402" s="400">
        <f t="shared" si="6049"/>
        <v>0</v>
      </c>
      <c r="BE402" s="400">
        <f t="shared" si="6049"/>
        <v>0</v>
      </c>
      <c r="BF402" s="400">
        <f t="shared" si="6049"/>
        <v>0</v>
      </c>
      <c r="BG402" s="400">
        <f t="shared" si="6049"/>
        <v>0</v>
      </c>
      <c r="BH402" s="400">
        <f t="shared" si="6049"/>
        <v>0</v>
      </c>
      <c r="BI402" s="400">
        <f t="shared" si="6049"/>
        <v>0</v>
      </c>
      <c r="BJ402" s="400">
        <f t="shared" si="6049"/>
        <v>0</v>
      </c>
      <c r="BK402" s="400">
        <f t="shared" si="6049"/>
        <v>0</v>
      </c>
      <c r="BL402" s="400">
        <f t="shared" si="6049"/>
        <v>0</v>
      </c>
      <c r="BM402" s="400">
        <f t="shared" si="6049"/>
        <v>0</v>
      </c>
      <c r="BN402" s="400">
        <f t="shared" si="6049"/>
        <v>0</v>
      </c>
      <c r="BO402" s="400">
        <f t="shared" si="6049"/>
        <v>0</v>
      </c>
      <c r="BP402" s="400">
        <f t="shared" si="6049"/>
        <v>0</v>
      </c>
      <c r="BQ402" s="400">
        <f t="shared" si="6049"/>
        <v>0</v>
      </c>
      <c r="BR402" s="400">
        <f t="shared" si="6049"/>
        <v>0</v>
      </c>
      <c r="BS402" s="400">
        <f t="shared" si="6049"/>
        <v>0</v>
      </c>
      <c r="BT402" s="400">
        <f t="shared" ref="BT402:DC402" si="6050">++BT108</f>
        <v>0</v>
      </c>
      <c r="BU402" s="400">
        <f t="shared" si="6050"/>
        <v>0</v>
      </c>
      <c r="BV402" s="400">
        <f t="shared" si="6050"/>
        <v>0</v>
      </c>
      <c r="BW402" s="400">
        <f t="shared" si="6050"/>
        <v>0</v>
      </c>
      <c r="BX402" s="400">
        <f t="shared" si="6050"/>
        <v>0</v>
      </c>
      <c r="BY402" s="400">
        <f t="shared" si="6050"/>
        <v>0</v>
      </c>
      <c r="BZ402" s="400">
        <f t="shared" si="6050"/>
        <v>0</v>
      </c>
      <c r="CA402" s="400">
        <f t="shared" si="6050"/>
        <v>0</v>
      </c>
      <c r="CB402" s="400">
        <f t="shared" si="6050"/>
        <v>0</v>
      </c>
      <c r="CC402" s="400">
        <f t="shared" si="6050"/>
        <v>0</v>
      </c>
      <c r="CD402" s="400">
        <f t="shared" si="6050"/>
        <v>0</v>
      </c>
      <c r="CE402" s="400">
        <f t="shared" si="6050"/>
        <v>0</v>
      </c>
      <c r="CF402" s="400">
        <f t="shared" si="6050"/>
        <v>0</v>
      </c>
      <c r="CG402" s="400">
        <f t="shared" si="6050"/>
        <v>0</v>
      </c>
      <c r="CH402" s="400">
        <f t="shared" si="6050"/>
        <v>0</v>
      </c>
      <c r="CI402" s="400">
        <f t="shared" si="6050"/>
        <v>0</v>
      </c>
      <c r="CJ402" s="400">
        <f t="shared" si="6050"/>
        <v>0</v>
      </c>
      <c r="CK402" s="400">
        <f t="shared" si="6050"/>
        <v>0</v>
      </c>
      <c r="CL402" s="400">
        <f t="shared" si="6050"/>
        <v>0</v>
      </c>
      <c r="CM402" s="400">
        <f t="shared" si="6050"/>
        <v>0</v>
      </c>
      <c r="CN402" s="400">
        <f t="shared" si="6050"/>
        <v>0</v>
      </c>
      <c r="CO402" s="400">
        <f t="shared" si="6050"/>
        <v>0</v>
      </c>
      <c r="CP402" s="400">
        <f t="shared" si="6050"/>
        <v>0</v>
      </c>
      <c r="CQ402" s="400">
        <f t="shared" si="6050"/>
        <v>0</v>
      </c>
      <c r="CR402" s="400">
        <f t="shared" si="6050"/>
        <v>0</v>
      </c>
      <c r="CS402" s="400">
        <f t="shared" si="6050"/>
        <v>0</v>
      </c>
      <c r="CT402" s="400">
        <f t="shared" si="6050"/>
        <v>0</v>
      </c>
      <c r="CU402" s="400">
        <f t="shared" si="6050"/>
        <v>0</v>
      </c>
      <c r="CV402" s="400">
        <f t="shared" si="6050"/>
        <v>0</v>
      </c>
      <c r="CW402" s="400">
        <f t="shared" si="6050"/>
        <v>0</v>
      </c>
      <c r="CX402" s="400">
        <f t="shared" si="6050"/>
        <v>0</v>
      </c>
      <c r="CY402" s="400">
        <f t="shared" si="6050"/>
        <v>0</v>
      </c>
      <c r="CZ402" s="400">
        <f t="shared" si="6050"/>
        <v>0</v>
      </c>
      <c r="DA402" s="400">
        <f t="shared" si="6050"/>
        <v>0</v>
      </c>
      <c r="DB402" s="400">
        <f t="shared" si="6050"/>
        <v>0</v>
      </c>
      <c r="DC402" s="400">
        <f t="shared" si="6050"/>
        <v>0</v>
      </c>
    </row>
    <row r="403" spans="3:107" x14ac:dyDescent="0.3">
      <c r="C403" s="321" t="str">
        <f>++C$11</f>
        <v>% y/y</v>
      </c>
      <c r="G403" s="122" t="s">
        <v>47</v>
      </c>
      <c r="H403" s="122" t="s">
        <v>47</v>
      </c>
      <c r="I403" s="122" t="s">
        <v>47</v>
      </c>
      <c r="J403" s="122" t="s">
        <v>47</v>
      </c>
      <c r="K403" s="214" t="str">
        <f>++IFERROR(K402/G402-1,"n/a")</f>
        <v>n/a</v>
      </c>
      <c r="L403" s="122" t="s">
        <v>47</v>
      </c>
      <c r="M403" s="122" t="s">
        <v>47</v>
      </c>
      <c r="N403" s="225" t="str">
        <f>++IFERROR(N402/H402-1,"n/a")</f>
        <v>n/a</v>
      </c>
      <c r="O403" s="122" t="s">
        <v>47</v>
      </c>
      <c r="P403" s="122" t="s">
        <v>47</v>
      </c>
      <c r="Q403" s="225" t="str">
        <f>++IFERROR(Q402/I402-1,"n/a")</f>
        <v>n/a</v>
      </c>
      <c r="R403" s="122" t="s">
        <v>47</v>
      </c>
      <c r="S403" s="122" t="s">
        <v>47</v>
      </c>
      <c r="T403" s="225" t="str">
        <f>++IFERROR(T402/J402-1,"n/a")</f>
        <v>n/a</v>
      </c>
      <c r="U403" s="122" t="s">
        <v>47</v>
      </c>
      <c r="V403" s="122" t="s">
        <v>47</v>
      </c>
      <c r="W403" s="214" t="str">
        <f t="shared" ref="W403:BB403" si="6051">++IFERROR(W402/K402-1,"n/a")</f>
        <v>n/a</v>
      </c>
      <c r="X403" s="225" t="str">
        <f t="shared" si="6051"/>
        <v>n/a</v>
      </c>
      <c r="Y403" s="225" t="str">
        <f t="shared" si="6051"/>
        <v>n/a</v>
      </c>
      <c r="Z403" s="225" t="str">
        <f t="shared" si="6051"/>
        <v>n/a</v>
      </c>
      <c r="AA403" s="225" t="str">
        <f t="shared" si="6051"/>
        <v>n/a</v>
      </c>
      <c r="AB403" s="225" t="str">
        <f t="shared" si="6051"/>
        <v>n/a</v>
      </c>
      <c r="AC403" s="225" t="str">
        <f t="shared" si="6051"/>
        <v>n/a</v>
      </c>
      <c r="AD403" s="225" t="str">
        <f t="shared" si="6051"/>
        <v>n/a</v>
      </c>
      <c r="AE403" s="225" t="str">
        <f t="shared" si="6051"/>
        <v>n/a</v>
      </c>
      <c r="AF403" s="225" t="str">
        <f t="shared" si="6051"/>
        <v>n/a</v>
      </c>
      <c r="AG403" s="225" t="str">
        <f t="shared" si="6051"/>
        <v>n/a</v>
      </c>
      <c r="AH403" s="225" t="str">
        <f t="shared" si="6051"/>
        <v>n/a</v>
      </c>
      <c r="AI403" s="214" t="str">
        <f t="shared" si="6051"/>
        <v>n/a</v>
      </c>
      <c r="AJ403" s="225" t="str">
        <f t="shared" si="6051"/>
        <v>n/a</v>
      </c>
      <c r="AK403" s="225" t="str">
        <f t="shared" si="6051"/>
        <v>n/a</v>
      </c>
      <c r="AL403" s="225" t="str">
        <f t="shared" si="6051"/>
        <v>n/a</v>
      </c>
      <c r="AM403" s="225" t="str">
        <f t="shared" si="6051"/>
        <v>n/a</v>
      </c>
      <c r="AN403" s="225" t="str">
        <f t="shared" si="6051"/>
        <v>n/a</v>
      </c>
      <c r="AO403" s="225" t="str">
        <f t="shared" si="6051"/>
        <v>n/a</v>
      </c>
      <c r="AP403" s="225" t="str">
        <f t="shared" si="6051"/>
        <v>n/a</v>
      </c>
      <c r="AQ403" s="225" t="str">
        <f t="shared" si="6051"/>
        <v>n/a</v>
      </c>
      <c r="AR403" s="225" t="str">
        <f t="shared" si="6051"/>
        <v>n/a</v>
      </c>
      <c r="AS403" s="225" t="str">
        <f t="shared" si="6051"/>
        <v>n/a</v>
      </c>
      <c r="AT403" s="225" t="str">
        <f t="shared" si="6051"/>
        <v>n/a</v>
      </c>
      <c r="AU403" s="214" t="str">
        <f t="shared" si="6051"/>
        <v>n/a</v>
      </c>
      <c r="AV403" s="225" t="str">
        <f t="shared" si="6051"/>
        <v>n/a</v>
      </c>
      <c r="AW403" s="225" t="str">
        <f t="shared" si="6051"/>
        <v>n/a</v>
      </c>
      <c r="AX403" s="225" t="str">
        <f t="shared" si="6051"/>
        <v>n/a</v>
      </c>
      <c r="AY403" s="225" t="str">
        <f t="shared" si="6051"/>
        <v>n/a</v>
      </c>
      <c r="AZ403" s="225" t="str">
        <f t="shared" si="6051"/>
        <v>n/a</v>
      </c>
      <c r="BA403" s="225" t="str">
        <f t="shared" si="6051"/>
        <v>n/a</v>
      </c>
      <c r="BB403" s="225" t="str">
        <f t="shared" si="6051"/>
        <v>n/a</v>
      </c>
      <c r="BC403" s="225" t="str">
        <f t="shared" ref="BC403:CH403" si="6052">++IFERROR(BC402/AQ402-1,"n/a")</f>
        <v>n/a</v>
      </c>
      <c r="BD403" s="225" t="str">
        <f t="shared" si="6052"/>
        <v>n/a</v>
      </c>
      <c r="BE403" s="225" t="str">
        <f t="shared" si="6052"/>
        <v>n/a</v>
      </c>
      <c r="BF403" s="225" t="str">
        <f t="shared" si="6052"/>
        <v>n/a</v>
      </c>
      <c r="BG403" s="214" t="str">
        <f t="shared" si="6052"/>
        <v>n/a</v>
      </c>
      <c r="BH403" s="225" t="str">
        <f t="shared" si="6052"/>
        <v>n/a</v>
      </c>
      <c r="BI403" s="225" t="str">
        <f t="shared" si="6052"/>
        <v>n/a</v>
      </c>
      <c r="BJ403" s="225" t="str">
        <f t="shared" si="6052"/>
        <v>n/a</v>
      </c>
      <c r="BK403" s="225" t="str">
        <f t="shared" si="6052"/>
        <v>n/a</v>
      </c>
      <c r="BL403" s="225" t="str">
        <f t="shared" si="6052"/>
        <v>n/a</v>
      </c>
      <c r="BM403" s="225" t="str">
        <f t="shared" si="6052"/>
        <v>n/a</v>
      </c>
      <c r="BN403" s="225" t="str">
        <f t="shared" si="6052"/>
        <v>n/a</v>
      </c>
      <c r="BO403" s="225" t="str">
        <f t="shared" si="6052"/>
        <v>n/a</v>
      </c>
      <c r="BP403" s="225" t="str">
        <f t="shared" si="6052"/>
        <v>n/a</v>
      </c>
      <c r="BQ403" s="225" t="str">
        <f t="shared" si="6052"/>
        <v>n/a</v>
      </c>
      <c r="BR403" s="225" t="str">
        <f t="shared" si="6052"/>
        <v>n/a</v>
      </c>
      <c r="BS403" s="214" t="str">
        <f t="shared" si="6052"/>
        <v>n/a</v>
      </c>
      <c r="BT403" s="225" t="str">
        <f t="shared" si="6052"/>
        <v>n/a</v>
      </c>
      <c r="BU403" s="225" t="str">
        <f t="shared" si="6052"/>
        <v>n/a</v>
      </c>
      <c r="BV403" s="225" t="str">
        <f t="shared" si="6052"/>
        <v>n/a</v>
      </c>
      <c r="BW403" s="225" t="str">
        <f t="shared" si="6052"/>
        <v>n/a</v>
      </c>
      <c r="BX403" s="225" t="str">
        <f t="shared" si="6052"/>
        <v>n/a</v>
      </c>
      <c r="BY403" s="225" t="str">
        <f t="shared" si="6052"/>
        <v>n/a</v>
      </c>
      <c r="BZ403" s="225" t="str">
        <f t="shared" si="6052"/>
        <v>n/a</v>
      </c>
      <c r="CA403" s="225" t="str">
        <f t="shared" si="6052"/>
        <v>n/a</v>
      </c>
      <c r="CB403" s="225" t="str">
        <f t="shared" si="6052"/>
        <v>n/a</v>
      </c>
      <c r="CC403" s="225" t="str">
        <f t="shared" si="6052"/>
        <v>n/a</v>
      </c>
      <c r="CD403" s="225" t="str">
        <f t="shared" si="6052"/>
        <v>n/a</v>
      </c>
      <c r="CE403" s="214" t="str">
        <f t="shared" si="6052"/>
        <v>n/a</v>
      </c>
      <c r="CF403" s="225" t="str">
        <f t="shared" si="6052"/>
        <v>n/a</v>
      </c>
      <c r="CG403" s="225" t="str">
        <f t="shared" si="6052"/>
        <v>n/a</v>
      </c>
      <c r="CH403" s="225" t="str">
        <f t="shared" si="6052"/>
        <v>n/a</v>
      </c>
      <c r="CI403" s="225" t="str">
        <f t="shared" ref="CI403:DN403" si="6053">++IFERROR(CI402/BW402-1,"n/a")</f>
        <v>n/a</v>
      </c>
      <c r="CJ403" s="225" t="str">
        <f t="shared" si="6053"/>
        <v>n/a</v>
      </c>
      <c r="CK403" s="225" t="str">
        <f t="shared" si="6053"/>
        <v>n/a</v>
      </c>
      <c r="CL403" s="225" t="str">
        <f t="shared" si="6053"/>
        <v>n/a</v>
      </c>
      <c r="CM403" s="225" t="str">
        <f t="shared" si="6053"/>
        <v>n/a</v>
      </c>
      <c r="CN403" s="225" t="str">
        <f t="shared" si="6053"/>
        <v>n/a</v>
      </c>
      <c r="CO403" s="225" t="str">
        <f t="shared" si="6053"/>
        <v>n/a</v>
      </c>
      <c r="CP403" s="225" t="str">
        <f t="shared" si="6053"/>
        <v>n/a</v>
      </c>
      <c r="CQ403" s="214" t="str">
        <f t="shared" si="6053"/>
        <v>n/a</v>
      </c>
      <c r="CR403" s="225" t="str">
        <f t="shared" si="6053"/>
        <v>n/a</v>
      </c>
      <c r="CS403" s="225" t="str">
        <f t="shared" si="6053"/>
        <v>n/a</v>
      </c>
      <c r="CT403" s="225" t="str">
        <f t="shared" si="6053"/>
        <v>n/a</v>
      </c>
      <c r="CU403" s="225" t="str">
        <f t="shared" si="6053"/>
        <v>n/a</v>
      </c>
      <c r="CV403" s="225" t="str">
        <f t="shared" si="6053"/>
        <v>n/a</v>
      </c>
      <c r="CW403" s="225" t="str">
        <f t="shared" si="6053"/>
        <v>n/a</v>
      </c>
      <c r="CX403" s="225" t="str">
        <f t="shared" si="6053"/>
        <v>n/a</v>
      </c>
      <c r="CY403" s="225" t="str">
        <f t="shared" si="6053"/>
        <v>n/a</v>
      </c>
      <c r="CZ403" s="225" t="str">
        <f t="shared" si="6053"/>
        <v>n/a</v>
      </c>
      <c r="DA403" s="225" t="str">
        <f t="shared" si="6053"/>
        <v>n/a</v>
      </c>
      <c r="DB403" s="225" t="str">
        <f t="shared" si="6053"/>
        <v>n/a</v>
      </c>
      <c r="DC403" s="214" t="str">
        <f t="shared" si="6053"/>
        <v>n/a</v>
      </c>
    </row>
    <row r="404" spans="3:107" x14ac:dyDescent="0.3">
      <c r="G404" s="203"/>
      <c r="K404" s="203"/>
      <c r="W404" s="203"/>
      <c r="AI404" s="203"/>
      <c r="AU404" s="203"/>
      <c r="BG404" s="203"/>
      <c r="BS404" s="203"/>
      <c r="CE404" s="203"/>
      <c r="CQ404" s="203"/>
      <c r="DC404" s="203"/>
    </row>
    <row r="405" spans="3:107" x14ac:dyDescent="0.3">
      <c r="C405" s="193" t="str">
        <f>++C$13</f>
        <v>Gross Profit</v>
      </c>
      <c r="G405" s="400">
        <f>++G111</f>
        <v>0</v>
      </c>
      <c r="H405" s="400">
        <f t="shared" ref="H405:BS405" si="6054">++H111</f>
        <v>0</v>
      </c>
      <c r="I405" s="400">
        <f t="shared" si="6054"/>
        <v>0</v>
      </c>
      <c r="J405" s="400">
        <f t="shared" si="6054"/>
        <v>0</v>
      </c>
      <c r="K405" s="400">
        <f t="shared" si="6054"/>
        <v>0</v>
      </c>
      <c r="L405" s="400">
        <f t="shared" si="6054"/>
        <v>0</v>
      </c>
      <c r="M405" s="400">
        <f t="shared" si="6054"/>
        <v>0</v>
      </c>
      <c r="N405" s="400">
        <f t="shared" si="6054"/>
        <v>0</v>
      </c>
      <c r="O405" s="400">
        <f t="shared" si="6054"/>
        <v>0</v>
      </c>
      <c r="P405" s="400">
        <f t="shared" si="6054"/>
        <v>0</v>
      </c>
      <c r="Q405" s="400">
        <f t="shared" si="6054"/>
        <v>0</v>
      </c>
      <c r="R405" s="400">
        <f t="shared" si="6054"/>
        <v>0</v>
      </c>
      <c r="S405" s="400">
        <f t="shared" si="6054"/>
        <v>0</v>
      </c>
      <c r="T405" s="400">
        <f t="shared" si="6054"/>
        <v>0</v>
      </c>
      <c r="U405" s="400">
        <f t="shared" si="6054"/>
        <v>0</v>
      </c>
      <c r="V405" s="400">
        <f t="shared" si="6054"/>
        <v>0</v>
      </c>
      <c r="W405" s="400">
        <f t="shared" si="6054"/>
        <v>0</v>
      </c>
      <c r="X405" s="400">
        <f t="shared" si="6054"/>
        <v>0</v>
      </c>
      <c r="Y405" s="400">
        <f t="shared" si="6054"/>
        <v>0</v>
      </c>
      <c r="Z405" s="400">
        <f t="shared" si="6054"/>
        <v>0</v>
      </c>
      <c r="AA405" s="400">
        <f t="shared" si="6054"/>
        <v>0</v>
      </c>
      <c r="AB405" s="400">
        <f t="shared" si="6054"/>
        <v>0</v>
      </c>
      <c r="AC405" s="400">
        <f t="shared" si="6054"/>
        <v>0</v>
      </c>
      <c r="AD405" s="400">
        <f t="shared" si="6054"/>
        <v>0</v>
      </c>
      <c r="AE405" s="400">
        <f t="shared" si="6054"/>
        <v>0</v>
      </c>
      <c r="AF405" s="400">
        <f t="shared" si="6054"/>
        <v>0</v>
      </c>
      <c r="AG405" s="400">
        <f t="shared" si="6054"/>
        <v>0</v>
      </c>
      <c r="AH405" s="400">
        <f t="shared" si="6054"/>
        <v>0</v>
      </c>
      <c r="AI405" s="400">
        <f t="shared" si="6054"/>
        <v>0</v>
      </c>
      <c r="AJ405" s="400">
        <f t="shared" si="6054"/>
        <v>0</v>
      </c>
      <c r="AK405" s="400">
        <f t="shared" si="6054"/>
        <v>0</v>
      </c>
      <c r="AL405" s="400">
        <f t="shared" si="6054"/>
        <v>0</v>
      </c>
      <c r="AM405" s="400">
        <f t="shared" si="6054"/>
        <v>0</v>
      </c>
      <c r="AN405" s="400">
        <f t="shared" si="6054"/>
        <v>0</v>
      </c>
      <c r="AO405" s="400">
        <f t="shared" si="6054"/>
        <v>0</v>
      </c>
      <c r="AP405" s="400">
        <f t="shared" si="6054"/>
        <v>0</v>
      </c>
      <c r="AQ405" s="400">
        <f t="shared" si="6054"/>
        <v>0</v>
      </c>
      <c r="AR405" s="400">
        <f t="shared" si="6054"/>
        <v>0</v>
      </c>
      <c r="AS405" s="400">
        <f t="shared" si="6054"/>
        <v>0</v>
      </c>
      <c r="AT405" s="400">
        <f t="shared" si="6054"/>
        <v>0</v>
      </c>
      <c r="AU405" s="400">
        <f t="shared" si="6054"/>
        <v>0</v>
      </c>
      <c r="AV405" s="400">
        <f t="shared" si="6054"/>
        <v>0</v>
      </c>
      <c r="AW405" s="400">
        <f t="shared" si="6054"/>
        <v>0</v>
      </c>
      <c r="AX405" s="400">
        <f t="shared" si="6054"/>
        <v>0</v>
      </c>
      <c r="AY405" s="400">
        <f t="shared" si="6054"/>
        <v>0</v>
      </c>
      <c r="AZ405" s="400">
        <f t="shared" si="6054"/>
        <v>0</v>
      </c>
      <c r="BA405" s="400">
        <f t="shared" si="6054"/>
        <v>0</v>
      </c>
      <c r="BB405" s="400">
        <f t="shared" si="6054"/>
        <v>0</v>
      </c>
      <c r="BC405" s="400">
        <f t="shared" si="6054"/>
        <v>0</v>
      </c>
      <c r="BD405" s="400">
        <f t="shared" si="6054"/>
        <v>0</v>
      </c>
      <c r="BE405" s="400">
        <f t="shared" si="6054"/>
        <v>0</v>
      </c>
      <c r="BF405" s="400">
        <f t="shared" si="6054"/>
        <v>0</v>
      </c>
      <c r="BG405" s="400">
        <f t="shared" si="6054"/>
        <v>0</v>
      </c>
      <c r="BH405" s="400">
        <f t="shared" si="6054"/>
        <v>0</v>
      </c>
      <c r="BI405" s="400">
        <f t="shared" si="6054"/>
        <v>0</v>
      </c>
      <c r="BJ405" s="400">
        <f t="shared" si="6054"/>
        <v>0</v>
      </c>
      <c r="BK405" s="400">
        <f t="shared" si="6054"/>
        <v>0</v>
      </c>
      <c r="BL405" s="400">
        <f t="shared" si="6054"/>
        <v>0</v>
      </c>
      <c r="BM405" s="400">
        <f t="shared" si="6054"/>
        <v>0</v>
      </c>
      <c r="BN405" s="400">
        <f t="shared" si="6054"/>
        <v>0</v>
      </c>
      <c r="BO405" s="400">
        <f t="shared" si="6054"/>
        <v>0</v>
      </c>
      <c r="BP405" s="400">
        <f t="shared" si="6054"/>
        <v>0</v>
      </c>
      <c r="BQ405" s="400">
        <f t="shared" si="6054"/>
        <v>0</v>
      </c>
      <c r="BR405" s="400">
        <f t="shared" si="6054"/>
        <v>0</v>
      </c>
      <c r="BS405" s="400">
        <f t="shared" si="6054"/>
        <v>0</v>
      </c>
      <c r="BT405" s="400">
        <f t="shared" ref="BT405:DC405" si="6055">++BT111</f>
        <v>0</v>
      </c>
      <c r="BU405" s="400">
        <f t="shared" si="6055"/>
        <v>0</v>
      </c>
      <c r="BV405" s="400">
        <f t="shared" si="6055"/>
        <v>0</v>
      </c>
      <c r="BW405" s="400">
        <f t="shared" si="6055"/>
        <v>0</v>
      </c>
      <c r="BX405" s="400">
        <f t="shared" si="6055"/>
        <v>0</v>
      </c>
      <c r="BY405" s="400">
        <f t="shared" si="6055"/>
        <v>0</v>
      </c>
      <c r="BZ405" s="400">
        <f t="shared" si="6055"/>
        <v>0</v>
      </c>
      <c r="CA405" s="400">
        <f t="shared" si="6055"/>
        <v>0</v>
      </c>
      <c r="CB405" s="400">
        <f t="shared" si="6055"/>
        <v>0</v>
      </c>
      <c r="CC405" s="400">
        <f t="shared" si="6055"/>
        <v>0</v>
      </c>
      <c r="CD405" s="400">
        <f t="shared" si="6055"/>
        <v>0</v>
      </c>
      <c r="CE405" s="400">
        <f t="shared" si="6055"/>
        <v>0</v>
      </c>
      <c r="CF405" s="400">
        <f t="shared" si="6055"/>
        <v>0</v>
      </c>
      <c r="CG405" s="400">
        <f t="shared" si="6055"/>
        <v>0</v>
      </c>
      <c r="CH405" s="400">
        <f t="shared" si="6055"/>
        <v>0</v>
      </c>
      <c r="CI405" s="400">
        <f t="shared" si="6055"/>
        <v>0</v>
      </c>
      <c r="CJ405" s="400">
        <f t="shared" si="6055"/>
        <v>0</v>
      </c>
      <c r="CK405" s="400">
        <f t="shared" si="6055"/>
        <v>0</v>
      </c>
      <c r="CL405" s="400">
        <f t="shared" si="6055"/>
        <v>0</v>
      </c>
      <c r="CM405" s="400">
        <f t="shared" si="6055"/>
        <v>0</v>
      </c>
      <c r="CN405" s="400">
        <f t="shared" si="6055"/>
        <v>0</v>
      </c>
      <c r="CO405" s="400">
        <f t="shared" si="6055"/>
        <v>0</v>
      </c>
      <c r="CP405" s="400">
        <f t="shared" si="6055"/>
        <v>0</v>
      </c>
      <c r="CQ405" s="400">
        <f t="shared" si="6055"/>
        <v>0</v>
      </c>
      <c r="CR405" s="400">
        <f t="shared" si="6055"/>
        <v>0</v>
      </c>
      <c r="CS405" s="400">
        <f t="shared" si="6055"/>
        <v>0</v>
      </c>
      <c r="CT405" s="400">
        <f t="shared" si="6055"/>
        <v>0</v>
      </c>
      <c r="CU405" s="400">
        <f t="shared" si="6055"/>
        <v>0</v>
      </c>
      <c r="CV405" s="400">
        <f t="shared" si="6055"/>
        <v>0</v>
      </c>
      <c r="CW405" s="400">
        <f t="shared" si="6055"/>
        <v>0</v>
      </c>
      <c r="CX405" s="400">
        <f t="shared" si="6055"/>
        <v>0</v>
      </c>
      <c r="CY405" s="400">
        <f t="shared" si="6055"/>
        <v>0</v>
      </c>
      <c r="CZ405" s="400">
        <f t="shared" si="6055"/>
        <v>0</v>
      </c>
      <c r="DA405" s="400">
        <f t="shared" si="6055"/>
        <v>0</v>
      </c>
      <c r="DB405" s="400">
        <f t="shared" si="6055"/>
        <v>0</v>
      </c>
      <c r="DC405" s="400">
        <f t="shared" si="6055"/>
        <v>0</v>
      </c>
    </row>
    <row r="406" spans="3:107" x14ac:dyDescent="0.3">
      <c r="C406" s="321" t="str">
        <f>++C$14</f>
        <v>% margin</v>
      </c>
      <c r="G406" s="214" t="str">
        <f>++IFERROR(G405/G402,"n/a")</f>
        <v>n/a</v>
      </c>
      <c r="H406" s="225" t="str">
        <f t="shared" ref="H406" si="6056">++IFERROR(H405/H402,"n/a")</f>
        <v>n/a</v>
      </c>
      <c r="I406" s="225" t="str">
        <f t="shared" ref="I406" si="6057">++IFERROR(I405/I402,"n/a")</f>
        <v>n/a</v>
      </c>
      <c r="J406" s="225" t="str">
        <f t="shared" ref="J406" si="6058">++IFERROR(J405/J402,"n/a")</f>
        <v>n/a</v>
      </c>
      <c r="K406" s="214" t="str">
        <f t="shared" ref="K406" si="6059">++IFERROR(K405/K402,"n/a")</f>
        <v>n/a</v>
      </c>
      <c r="L406" s="225" t="str">
        <f t="shared" ref="L406" si="6060">++IFERROR(L405/L402,"n/a")</f>
        <v>n/a</v>
      </c>
      <c r="M406" s="225" t="str">
        <f t="shared" ref="M406" si="6061">++IFERROR(M405/M402,"n/a")</f>
        <v>n/a</v>
      </c>
      <c r="N406" s="225" t="str">
        <f t="shared" ref="N406" si="6062">++IFERROR(N405/N402,"n/a")</f>
        <v>n/a</v>
      </c>
      <c r="O406" s="225" t="str">
        <f t="shared" ref="O406" si="6063">++IFERROR(O405/O402,"n/a")</f>
        <v>n/a</v>
      </c>
      <c r="P406" s="225" t="str">
        <f t="shared" ref="P406" si="6064">++IFERROR(P405/P402,"n/a")</f>
        <v>n/a</v>
      </c>
      <c r="Q406" s="225" t="str">
        <f t="shared" ref="Q406" si="6065">++IFERROR(Q405/Q402,"n/a")</f>
        <v>n/a</v>
      </c>
      <c r="R406" s="225" t="str">
        <f t="shared" ref="R406" si="6066">++IFERROR(R405/R402,"n/a")</f>
        <v>n/a</v>
      </c>
      <c r="S406" s="225" t="str">
        <f t="shared" ref="S406" si="6067">++IFERROR(S405/S402,"n/a")</f>
        <v>n/a</v>
      </c>
      <c r="T406" s="225" t="str">
        <f t="shared" ref="T406" si="6068">++IFERROR(T405/T402,"n/a")</f>
        <v>n/a</v>
      </c>
      <c r="U406" s="225" t="str">
        <f t="shared" ref="U406" si="6069">++IFERROR(U405/U402,"n/a")</f>
        <v>n/a</v>
      </c>
      <c r="V406" s="225" t="str">
        <f t="shared" ref="V406" si="6070">++IFERROR(V405/V402,"n/a")</f>
        <v>n/a</v>
      </c>
      <c r="W406" s="214" t="str">
        <f t="shared" ref="W406" si="6071">++IFERROR(W405/W402,"n/a")</f>
        <v>n/a</v>
      </c>
      <c r="X406" s="225" t="str">
        <f t="shared" ref="X406" si="6072">++IFERROR(X405/X402,"n/a")</f>
        <v>n/a</v>
      </c>
      <c r="Y406" s="225" t="str">
        <f t="shared" ref="Y406" si="6073">++IFERROR(Y405/Y402,"n/a")</f>
        <v>n/a</v>
      </c>
      <c r="Z406" s="225" t="str">
        <f t="shared" ref="Z406" si="6074">++IFERROR(Z405/Z402,"n/a")</f>
        <v>n/a</v>
      </c>
      <c r="AA406" s="225" t="str">
        <f t="shared" ref="AA406" si="6075">++IFERROR(AA405/AA402,"n/a")</f>
        <v>n/a</v>
      </c>
      <c r="AB406" s="225" t="str">
        <f t="shared" ref="AB406" si="6076">++IFERROR(AB405/AB402,"n/a")</f>
        <v>n/a</v>
      </c>
      <c r="AC406" s="225" t="str">
        <f t="shared" ref="AC406" si="6077">++IFERROR(AC405/AC402,"n/a")</f>
        <v>n/a</v>
      </c>
      <c r="AD406" s="225" t="str">
        <f t="shared" ref="AD406" si="6078">++IFERROR(AD405/AD402,"n/a")</f>
        <v>n/a</v>
      </c>
      <c r="AE406" s="225" t="str">
        <f t="shared" ref="AE406" si="6079">++IFERROR(AE405/AE402,"n/a")</f>
        <v>n/a</v>
      </c>
      <c r="AF406" s="225" t="str">
        <f t="shared" ref="AF406" si="6080">++IFERROR(AF405/AF402,"n/a")</f>
        <v>n/a</v>
      </c>
      <c r="AG406" s="225" t="str">
        <f t="shared" ref="AG406" si="6081">++IFERROR(AG405/AG402,"n/a")</f>
        <v>n/a</v>
      </c>
      <c r="AH406" s="225" t="str">
        <f t="shared" ref="AH406" si="6082">++IFERROR(AH405/AH402,"n/a")</f>
        <v>n/a</v>
      </c>
      <c r="AI406" s="214" t="str">
        <f t="shared" ref="AI406" si="6083">++IFERROR(AI405/AI402,"n/a")</f>
        <v>n/a</v>
      </c>
      <c r="AJ406" s="225" t="str">
        <f t="shared" ref="AJ406" si="6084">++IFERROR(AJ405/AJ402,"n/a")</f>
        <v>n/a</v>
      </c>
      <c r="AK406" s="225" t="str">
        <f t="shared" ref="AK406" si="6085">++IFERROR(AK405/AK402,"n/a")</f>
        <v>n/a</v>
      </c>
      <c r="AL406" s="225" t="str">
        <f t="shared" ref="AL406" si="6086">++IFERROR(AL405/AL402,"n/a")</f>
        <v>n/a</v>
      </c>
      <c r="AM406" s="225" t="str">
        <f t="shared" ref="AM406" si="6087">++IFERROR(AM405/AM402,"n/a")</f>
        <v>n/a</v>
      </c>
      <c r="AN406" s="225" t="str">
        <f t="shared" ref="AN406" si="6088">++IFERROR(AN405/AN402,"n/a")</f>
        <v>n/a</v>
      </c>
      <c r="AO406" s="225" t="str">
        <f t="shared" ref="AO406" si="6089">++IFERROR(AO405/AO402,"n/a")</f>
        <v>n/a</v>
      </c>
      <c r="AP406" s="225" t="str">
        <f t="shared" ref="AP406" si="6090">++IFERROR(AP405/AP402,"n/a")</f>
        <v>n/a</v>
      </c>
      <c r="AQ406" s="225" t="str">
        <f t="shared" ref="AQ406" si="6091">++IFERROR(AQ405/AQ402,"n/a")</f>
        <v>n/a</v>
      </c>
      <c r="AR406" s="225" t="str">
        <f t="shared" ref="AR406" si="6092">++IFERROR(AR405/AR402,"n/a")</f>
        <v>n/a</v>
      </c>
      <c r="AS406" s="225" t="str">
        <f t="shared" ref="AS406" si="6093">++IFERROR(AS405/AS402,"n/a")</f>
        <v>n/a</v>
      </c>
      <c r="AT406" s="225" t="str">
        <f t="shared" ref="AT406" si="6094">++IFERROR(AT405/AT402,"n/a")</f>
        <v>n/a</v>
      </c>
      <c r="AU406" s="214" t="str">
        <f t="shared" ref="AU406" si="6095">++IFERROR(AU405/AU402,"n/a")</f>
        <v>n/a</v>
      </c>
      <c r="AV406" s="225" t="str">
        <f t="shared" ref="AV406" si="6096">++IFERROR(AV405/AV402,"n/a")</f>
        <v>n/a</v>
      </c>
      <c r="AW406" s="225" t="str">
        <f t="shared" ref="AW406" si="6097">++IFERROR(AW405/AW402,"n/a")</f>
        <v>n/a</v>
      </c>
      <c r="AX406" s="225" t="str">
        <f t="shared" ref="AX406" si="6098">++IFERROR(AX405/AX402,"n/a")</f>
        <v>n/a</v>
      </c>
      <c r="AY406" s="225" t="str">
        <f t="shared" ref="AY406" si="6099">++IFERROR(AY405/AY402,"n/a")</f>
        <v>n/a</v>
      </c>
      <c r="AZ406" s="225" t="str">
        <f t="shared" ref="AZ406" si="6100">++IFERROR(AZ405/AZ402,"n/a")</f>
        <v>n/a</v>
      </c>
      <c r="BA406" s="225" t="str">
        <f t="shared" ref="BA406" si="6101">++IFERROR(BA405/BA402,"n/a")</f>
        <v>n/a</v>
      </c>
      <c r="BB406" s="225" t="str">
        <f t="shared" ref="BB406" si="6102">++IFERROR(BB405/BB402,"n/a")</f>
        <v>n/a</v>
      </c>
      <c r="BC406" s="225" t="str">
        <f t="shared" ref="BC406" si="6103">++IFERROR(BC405/BC402,"n/a")</f>
        <v>n/a</v>
      </c>
      <c r="BD406" s="225" t="str">
        <f t="shared" ref="BD406" si="6104">++IFERROR(BD405/BD402,"n/a")</f>
        <v>n/a</v>
      </c>
      <c r="BE406" s="225" t="str">
        <f t="shared" ref="BE406" si="6105">++IFERROR(BE405/BE402,"n/a")</f>
        <v>n/a</v>
      </c>
      <c r="BF406" s="225" t="str">
        <f t="shared" ref="BF406" si="6106">++IFERROR(BF405/BF402,"n/a")</f>
        <v>n/a</v>
      </c>
      <c r="BG406" s="214" t="str">
        <f t="shared" ref="BG406" si="6107">++IFERROR(BG405/BG402,"n/a")</f>
        <v>n/a</v>
      </c>
      <c r="BH406" s="225" t="str">
        <f t="shared" ref="BH406" si="6108">++IFERROR(BH405/BH402,"n/a")</f>
        <v>n/a</v>
      </c>
      <c r="BI406" s="225" t="str">
        <f t="shared" ref="BI406" si="6109">++IFERROR(BI405/BI402,"n/a")</f>
        <v>n/a</v>
      </c>
      <c r="BJ406" s="225" t="str">
        <f t="shared" ref="BJ406" si="6110">++IFERROR(BJ405/BJ402,"n/a")</f>
        <v>n/a</v>
      </c>
      <c r="BK406" s="225" t="str">
        <f t="shared" ref="BK406" si="6111">++IFERROR(BK405/BK402,"n/a")</f>
        <v>n/a</v>
      </c>
      <c r="BL406" s="225" t="str">
        <f t="shared" ref="BL406" si="6112">++IFERROR(BL405/BL402,"n/a")</f>
        <v>n/a</v>
      </c>
      <c r="BM406" s="225" t="str">
        <f t="shared" ref="BM406" si="6113">++IFERROR(BM405/BM402,"n/a")</f>
        <v>n/a</v>
      </c>
      <c r="BN406" s="225" t="str">
        <f t="shared" ref="BN406" si="6114">++IFERROR(BN405/BN402,"n/a")</f>
        <v>n/a</v>
      </c>
      <c r="BO406" s="225" t="str">
        <f t="shared" ref="BO406" si="6115">++IFERROR(BO405/BO402,"n/a")</f>
        <v>n/a</v>
      </c>
      <c r="BP406" s="225" t="str">
        <f t="shared" ref="BP406" si="6116">++IFERROR(BP405/BP402,"n/a")</f>
        <v>n/a</v>
      </c>
      <c r="BQ406" s="225" t="str">
        <f t="shared" ref="BQ406" si="6117">++IFERROR(BQ405/BQ402,"n/a")</f>
        <v>n/a</v>
      </c>
      <c r="BR406" s="225" t="str">
        <f t="shared" ref="BR406" si="6118">++IFERROR(BR405/BR402,"n/a")</f>
        <v>n/a</v>
      </c>
      <c r="BS406" s="214" t="str">
        <f t="shared" ref="BS406" si="6119">++IFERROR(BS405/BS402,"n/a")</f>
        <v>n/a</v>
      </c>
      <c r="BT406" s="225" t="str">
        <f t="shared" ref="BT406" si="6120">++IFERROR(BT405/BT402,"n/a")</f>
        <v>n/a</v>
      </c>
      <c r="BU406" s="225" t="str">
        <f t="shared" ref="BU406" si="6121">++IFERROR(BU405/BU402,"n/a")</f>
        <v>n/a</v>
      </c>
      <c r="BV406" s="225" t="str">
        <f t="shared" ref="BV406" si="6122">++IFERROR(BV405/BV402,"n/a")</f>
        <v>n/a</v>
      </c>
      <c r="BW406" s="225" t="str">
        <f t="shared" ref="BW406" si="6123">++IFERROR(BW405/BW402,"n/a")</f>
        <v>n/a</v>
      </c>
      <c r="BX406" s="225" t="str">
        <f t="shared" ref="BX406" si="6124">++IFERROR(BX405/BX402,"n/a")</f>
        <v>n/a</v>
      </c>
      <c r="BY406" s="225" t="str">
        <f t="shared" ref="BY406" si="6125">++IFERROR(BY405/BY402,"n/a")</f>
        <v>n/a</v>
      </c>
      <c r="BZ406" s="225" t="str">
        <f t="shared" ref="BZ406" si="6126">++IFERROR(BZ405/BZ402,"n/a")</f>
        <v>n/a</v>
      </c>
      <c r="CA406" s="225" t="str">
        <f t="shared" ref="CA406" si="6127">++IFERROR(CA405/CA402,"n/a")</f>
        <v>n/a</v>
      </c>
      <c r="CB406" s="225" t="str">
        <f t="shared" ref="CB406" si="6128">++IFERROR(CB405/CB402,"n/a")</f>
        <v>n/a</v>
      </c>
      <c r="CC406" s="225" t="str">
        <f t="shared" ref="CC406" si="6129">++IFERROR(CC405/CC402,"n/a")</f>
        <v>n/a</v>
      </c>
      <c r="CD406" s="225" t="str">
        <f t="shared" ref="CD406" si="6130">++IFERROR(CD405/CD402,"n/a")</f>
        <v>n/a</v>
      </c>
      <c r="CE406" s="214" t="str">
        <f t="shared" ref="CE406" si="6131">++IFERROR(CE405/CE402,"n/a")</f>
        <v>n/a</v>
      </c>
      <c r="CF406" s="225" t="str">
        <f t="shared" ref="CF406" si="6132">++IFERROR(CF405/CF402,"n/a")</f>
        <v>n/a</v>
      </c>
      <c r="CG406" s="225" t="str">
        <f t="shared" ref="CG406" si="6133">++IFERROR(CG405/CG402,"n/a")</f>
        <v>n/a</v>
      </c>
      <c r="CH406" s="225" t="str">
        <f t="shared" ref="CH406" si="6134">++IFERROR(CH405/CH402,"n/a")</f>
        <v>n/a</v>
      </c>
      <c r="CI406" s="225" t="str">
        <f t="shared" ref="CI406" si="6135">++IFERROR(CI405/CI402,"n/a")</f>
        <v>n/a</v>
      </c>
      <c r="CJ406" s="225" t="str">
        <f t="shared" ref="CJ406" si="6136">++IFERROR(CJ405/CJ402,"n/a")</f>
        <v>n/a</v>
      </c>
      <c r="CK406" s="225" t="str">
        <f t="shared" ref="CK406" si="6137">++IFERROR(CK405/CK402,"n/a")</f>
        <v>n/a</v>
      </c>
      <c r="CL406" s="225" t="str">
        <f t="shared" ref="CL406" si="6138">++IFERROR(CL405/CL402,"n/a")</f>
        <v>n/a</v>
      </c>
      <c r="CM406" s="225" t="str">
        <f t="shared" ref="CM406" si="6139">++IFERROR(CM405/CM402,"n/a")</f>
        <v>n/a</v>
      </c>
      <c r="CN406" s="225" t="str">
        <f t="shared" ref="CN406" si="6140">++IFERROR(CN405/CN402,"n/a")</f>
        <v>n/a</v>
      </c>
      <c r="CO406" s="225" t="str">
        <f t="shared" ref="CO406" si="6141">++IFERROR(CO405/CO402,"n/a")</f>
        <v>n/a</v>
      </c>
      <c r="CP406" s="225" t="str">
        <f t="shared" ref="CP406" si="6142">++IFERROR(CP405/CP402,"n/a")</f>
        <v>n/a</v>
      </c>
      <c r="CQ406" s="214" t="str">
        <f t="shared" ref="CQ406" si="6143">++IFERROR(CQ405/CQ402,"n/a")</f>
        <v>n/a</v>
      </c>
      <c r="CR406" s="225" t="str">
        <f t="shared" ref="CR406" si="6144">++IFERROR(CR405/CR402,"n/a")</f>
        <v>n/a</v>
      </c>
      <c r="CS406" s="225" t="str">
        <f t="shared" ref="CS406" si="6145">++IFERROR(CS405/CS402,"n/a")</f>
        <v>n/a</v>
      </c>
      <c r="CT406" s="225" t="str">
        <f t="shared" ref="CT406" si="6146">++IFERROR(CT405/CT402,"n/a")</f>
        <v>n/a</v>
      </c>
      <c r="CU406" s="225" t="str">
        <f t="shared" ref="CU406" si="6147">++IFERROR(CU405/CU402,"n/a")</f>
        <v>n/a</v>
      </c>
      <c r="CV406" s="225" t="str">
        <f t="shared" ref="CV406" si="6148">++IFERROR(CV405/CV402,"n/a")</f>
        <v>n/a</v>
      </c>
      <c r="CW406" s="225" t="str">
        <f t="shared" ref="CW406" si="6149">++IFERROR(CW405/CW402,"n/a")</f>
        <v>n/a</v>
      </c>
      <c r="CX406" s="225" t="str">
        <f t="shared" ref="CX406" si="6150">++IFERROR(CX405/CX402,"n/a")</f>
        <v>n/a</v>
      </c>
      <c r="CY406" s="225" t="str">
        <f t="shared" ref="CY406" si="6151">++IFERROR(CY405/CY402,"n/a")</f>
        <v>n/a</v>
      </c>
      <c r="CZ406" s="225" t="str">
        <f t="shared" ref="CZ406" si="6152">++IFERROR(CZ405/CZ402,"n/a")</f>
        <v>n/a</v>
      </c>
      <c r="DA406" s="225" t="str">
        <f t="shared" ref="DA406" si="6153">++IFERROR(DA405/DA402,"n/a")</f>
        <v>n/a</v>
      </c>
      <c r="DB406" s="225" t="str">
        <f t="shared" ref="DB406" si="6154">++IFERROR(DB405/DB402,"n/a")</f>
        <v>n/a</v>
      </c>
      <c r="DC406" s="214" t="str">
        <f t="shared" ref="DC406" si="6155">++IFERROR(DC405/DC402,"n/a")</f>
        <v>n/a</v>
      </c>
    </row>
    <row r="407" spans="3:107" x14ac:dyDescent="0.3">
      <c r="C407" s="321" t="str">
        <f>++C$15</f>
        <v>% y/y</v>
      </c>
      <c r="G407" s="122" t="s">
        <v>47</v>
      </c>
      <c r="H407" s="122" t="s">
        <v>47</v>
      </c>
      <c r="I407" s="122" t="s">
        <v>47</v>
      </c>
      <c r="J407" s="122" t="s">
        <v>47</v>
      </c>
      <c r="K407" s="214" t="str">
        <f>++IFERROR(K405/G405-1,"n/a")</f>
        <v>n/a</v>
      </c>
      <c r="L407" s="122" t="s">
        <v>47</v>
      </c>
      <c r="M407" s="122" t="s">
        <v>47</v>
      </c>
      <c r="N407" s="225" t="str">
        <f>++IFERROR(N405/H405-1,"n/a")</f>
        <v>n/a</v>
      </c>
      <c r="O407" s="122" t="s">
        <v>47</v>
      </c>
      <c r="P407" s="122" t="s">
        <v>47</v>
      </c>
      <c r="Q407" s="225" t="str">
        <f>++IFERROR(Q405/I405-1,"n/a")</f>
        <v>n/a</v>
      </c>
      <c r="R407" s="122" t="s">
        <v>47</v>
      </c>
      <c r="S407" s="122" t="s">
        <v>47</v>
      </c>
      <c r="T407" s="225" t="str">
        <f>++IFERROR(T405/J405-1,"n/a")</f>
        <v>n/a</v>
      </c>
      <c r="U407" s="122" t="s">
        <v>47</v>
      </c>
      <c r="V407" s="122" t="s">
        <v>47</v>
      </c>
      <c r="W407" s="214" t="str">
        <f t="shared" ref="W407:BB407" si="6156">++IFERROR(W405/K405-1,"n/a")</f>
        <v>n/a</v>
      </c>
      <c r="X407" s="225" t="str">
        <f t="shared" si="6156"/>
        <v>n/a</v>
      </c>
      <c r="Y407" s="225" t="str">
        <f t="shared" si="6156"/>
        <v>n/a</v>
      </c>
      <c r="Z407" s="225" t="str">
        <f t="shared" si="6156"/>
        <v>n/a</v>
      </c>
      <c r="AA407" s="225" t="str">
        <f t="shared" si="6156"/>
        <v>n/a</v>
      </c>
      <c r="AB407" s="225" t="str">
        <f t="shared" si="6156"/>
        <v>n/a</v>
      </c>
      <c r="AC407" s="225" t="str">
        <f t="shared" si="6156"/>
        <v>n/a</v>
      </c>
      <c r="AD407" s="225" t="str">
        <f t="shared" si="6156"/>
        <v>n/a</v>
      </c>
      <c r="AE407" s="225" t="str">
        <f t="shared" si="6156"/>
        <v>n/a</v>
      </c>
      <c r="AF407" s="225" t="str">
        <f t="shared" si="6156"/>
        <v>n/a</v>
      </c>
      <c r="AG407" s="225" t="str">
        <f t="shared" si="6156"/>
        <v>n/a</v>
      </c>
      <c r="AH407" s="225" t="str">
        <f t="shared" si="6156"/>
        <v>n/a</v>
      </c>
      <c r="AI407" s="214" t="str">
        <f t="shared" si="6156"/>
        <v>n/a</v>
      </c>
      <c r="AJ407" s="225" t="str">
        <f t="shared" si="6156"/>
        <v>n/a</v>
      </c>
      <c r="AK407" s="225" t="str">
        <f t="shared" si="6156"/>
        <v>n/a</v>
      </c>
      <c r="AL407" s="225" t="str">
        <f t="shared" si="6156"/>
        <v>n/a</v>
      </c>
      <c r="AM407" s="225" t="str">
        <f t="shared" si="6156"/>
        <v>n/a</v>
      </c>
      <c r="AN407" s="225" t="str">
        <f t="shared" si="6156"/>
        <v>n/a</v>
      </c>
      <c r="AO407" s="225" t="str">
        <f t="shared" si="6156"/>
        <v>n/a</v>
      </c>
      <c r="AP407" s="225" t="str">
        <f t="shared" si="6156"/>
        <v>n/a</v>
      </c>
      <c r="AQ407" s="225" t="str">
        <f t="shared" si="6156"/>
        <v>n/a</v>
      </c>
      <c r="AR407" s="225" t="str">
        <f t="shared" si="6156"/>
        <v>n/a</v>
      </c>
      <c r="AS407" s="225" t="str">
        <f t="shared" si="6156"/>
        <v>n/a</v>
      </c>
      <c r="AT407" s="225" t="str">
        <f t="shared" si="6156"/>
        <v>n/a</v>
      </c>
      <c r="AU407" s="214" t="str">
        <f t="shared" si="6156"/>
        <v>n/a</v>
      </c>
      <c r="AV407" s="225" t="str">
        <f t="shared" si="6156"/>
        <v>n/a</v>
      </c>
      <c r="AW407" s="225" t="str">
        <f t="shared" si="6156"/>
        <v>n/a</v>
      </c>
      <c r="AX407" s="225" t="str">
        <f t="shared" si="6156"/>
        <v>n/a</v>
      </c>
      <c r="AY407" s="225" t="str">
        <f t="shared" si="6156"/>
        <v>n/a</v>
      </c>
      <c r="AZ407" s="225" t="str">
        <f t="shared" si="6156"/>
        <v>n/a</v>
      </c>
      <c r="BA407" s="225" t="str">
        <f t="shared" si="6156"/>
        <v>n/a</v>
      </c>
      <c r="BB407" s="225" t="str">
        <f t="shared" si="6156"/>
        <v>n/a</v>
      </c>
      <c r="BC407" s="225" t="str">
        <f t="shared" ref="BC407:CH407" si="6157">++IFERROR(BC405/AQ405-1,"n/a")</f>
        <v>n/a</v>
      </c>
      <c r="BD407" s="225" t="str">
        <f t="shared" si="6157"/>
        <v>n/a</v>
      </c>
      <c r="BE407" s="225" t="str">
        <f t="shared" si="6157"/>
        <v>n/a</v>
      </c>
      <c r="BF407" s="225" t="str">
        <f t="shared" si="6157"/>
        <v>n/a</v>
      </c>
      <c r="BG407" s="214" t="str">
        <f t="shared" si="6157"/>
        <v>n/a</v>
      </c>
      <c r="BH407" s="225" t="str">
        <f t="shared" si="6157"/>
        <v>n/a</v>
      </c>
      <c r="BI407" s="225" t="str">
        <f t="shared" si="6157"/>
        <v>n/a</v>
      </c>
      <c r="BJ407" s="225" t="str">
        <f t="shared" si="6157"/>
        <v>n/a</v>
      </c>
      <c r="BK407" s="225" t="str">
        <f t="shared" si="6157"/>
        <v>n/a</v>
      </c>
      <c r="BL407" s="225" t="str">
        <f t="shared" si="6157"/>
        <v>n/a</v>
      </c>
      <c r="BM407" s="225" t="str">
        <f t="shared" si="6157"/>
        <v>n/a</v>
      </c>
      <c r="BN407" s="225" t="str">
        <f t="shared" si="6157"/>
        <v>n/a</v>
      </c>
      <c r="BO407" s="225" t="str">
        <f t="shared" si="6157"/>
        <v>n/a</v>
      </c>
      <c r="BP407" s="225" t="str">
        <f t="shared" si="6157"/>
        <v>n/a</v>
      </c>
      <c r="BQ407" s="225" t="str">
        <f t="shared" si="6157"/>
        <v>n/a</v>
      </c>
      <c r="BR407" s="225" t="str">
        <f t="shared" si="6157"/>
        <v>n/a</v>
      </c>
      <c r="BS407" s="214" t="str">
        <f t="shared" si="6157"/>
        <v>n/a</v>
      </c>
      <c r="BT407" s="225" t="str">
        <f t="shared" si="6157"/>
        <v>n/a</v>
      </c>
      <c r="BU407" s="225" t="str">
        <f t="shared" si="6157"/>
        <v>n/a</v>
      </c>
      <c r="BV407" s="225" t="str">
        <f t="shared" si="6157"/>
        <v>n/a</v>
      </c>
      <c r="BW407" s="225" t="str">
        <f t="shared" si="6157"/>
        <v>n/a</v>
      </c>
      <c r="BX407" s="225" t="str">
        <f t="shared" si="6157"/>
        <v>n/a</v>
      </c>
      <c r="BY407" s="225" t="str">
        <f t="shared" si="6157"/>
        <v>n/a</v>
      </c>
      <c r="BZ407" s="225" t="str">
        <f t="shared" si="6157"/>
        <v>n/a</v>
      </c>
      <c r="CA407" s="225" t="str">
        <f t="shared" si="6157"/>
        <v>n/a</v>
      </c>
      <c r="CB407" s="225" t="str">
        <f t="shared" si="6157"/>
        <v>n/a</v>
      </c>
      <c r="CC407" s="225" t="str">
        <f t="shared" si="6157"/>
        <v>n/a</v>
      </c>
      <c r="CD407" s="225" t="str">
        <f t="shared" si="6157"/>
        <v>n/a</v>
      </c>
      <c r="CE407" s="214" t="str">
        <f t="shared" si="6157"/>
        <v>n/a</v>
      </c>
      <c r="CF407" s="225" t="str">
        <f t="shared" si="6157"/>
        <v>n/a</v>
      </c>
      <c r="CG407" s="225" t="str">
        <f t="shared" si="6157"/>
        <v>n/a</v>
      </c>
      <c r="CH407" s="225" t="str">
        <f t="shared" si="6157"/>
        <v>n/a</v>
      </c>
      <c r="CI407" s="225" t="str">
        <f t="shared" ref="CI407:DN407" si="6158">++IFERROR(CI405/BW405-1,"n/a")</f>
        <v>n/a</v>
      </c>
      <c r="CJ407" s="225" t="str">
        <f t="shared" si="6158"/>
        <v>n/a</v>
      </c>
      <c r="CK407" s="225" t="str">
        <f t="shared" si="6158"/>
        <v>n/a</v>
      </c>
      <c r="CL407" s="225" t="str">
        <f t="shared" si="6158"/>
        <v>n/a</v>
      </c>
      <c r="CM407" s="225" t="str">
        <f t="shared" si="6158"/>
        <v>n/a</v>
      </c>
      <c r="CN407" s="225" t="str">
        <f t="shared" si="6158"/>
        <v>n/a</v>
      </c>
      <c r="CO407" s="225" t="str">
        <f t="shared" si="6158"/>
        <v>n/a</v>
      </c>
      <c r="CP407" s="225" t="str">
        <f t="shared" si="6158"/>
        <v>n/a</v>
      </c>
      <c r="CQ407" s="214" t="str">
        <f t="shared" si="6158"/>
        <v>n/a</v>
      </c>
      <c r="CR407" s="225" t="str">
        <f t="shared" si="6158"/>
        <v>n/a</v>
      </c>
      <c r="CS407" s="225" t="str">
        <f t="shared" si="6158"/>
        <v>n/a</v>
      </c>
      <c r="CT407" s="225" t="str">
        <f t="shared" si="6158"/>
        <v>n/a</v>
      </c>
      <c r="CU407" s="225" t="str">
        <f t="shared" si="6158"/>
        <v>n/a</v>
      </c>
      <c r="CV407" s="225" t="str">
        <f t="shared" si="6158"/>
        <v>n/a</v>
      </c>
      <c r="CW407" s="225" t="str">
        <f t="shared" si="6158"/>
        <v>n/a</v>
      </c>
      <c r="CX407" s="225" t="str">
        <f t="shared" si="6158"/>
        <v>n/a</v>
      </c>
      <c r="CY407" s="225" t="str">
        <f t="shared" si="6158"/>
        <v>n/a</v>
      </c>
      <c r="CZ407" s="225" t="str">
        <f t="shared" si="6158"/>
        <v>n/a</v>
      </c>
      <c r="DA407" s="225" t="str">
        <f t="shared" si="6158"/>
        <v>n/a</v>
      </c>
      <c r="DB407" s="225" t="str">
        <f t="shared" si="6158"/>
        <v>n/a</v>
      </c>
      <c r="DC407" s="214" t="str">
        <f t="shared" si="6158"/>
        <v>n/a</v>
      </c>
    </row>
    <row r="408" spans="3:107" x14ac:dyDescent="0.3">
      <c r="G408" s="203"/>
      <c r="K408" s="203"/>
      <c r="W408" s="203"/>
      <c r="AI408" s="203"/>
      <c r="AU408" s="203"/>
      <c r="BG408" s="203"/>
      <c r="BS408" s="203"/>
      <c r="CE408" s="203"/>
      <c r="CQ408" s="203"/>
      <c r="DC408" s="203"/>
    </row>
    <row r="409" spans="3:107" x14ac:dyDescent="0.3">
      <c r="C409" s="101" t="str">
        <f>++C$17</f>
        <v>[Operating Expense]</v>
      </c>
      <c r="G409" s="45">
        <f>++G115</f>
        <v>0</v>
      </c>
      <c r="H409" s="45">
        <f t="shared" ref="H409:BS412" si="6159">++H115</f>
        <v>0</v>
      </c>
      <c r="I409" s="45">
        <f t="shared" si="6159"/>
        <v>0</v>
      </c>
      <c r="J409" s="45">
        <f t="shared" si="6159"/>
        <v>0</v>
      </c>
      <c r="K409" s="45">
        <f t="shared" si="6159"/>
        <v>0</v>
      </c>
      <c r="L409" s="45">
        <f t="shared" si="6159"/>
        <v>0</v>
      </c>
      <c r="M409" s="45">
        <f t="shared" si="6159"/>
        <v>0</v>
      </c>
      <c r="N409" s="45">
        <f t="shared" si="6159"/>
        <v>0</v>
      </c>
      <c r="O409" s="45">
        <f t="shared" si="6159"/>
        <v>0</v>
      </c>
      <c r="P409" s="45">
        <f t="shared" si="6159"/>
        <v>0</v>
      </c>
      <c r="Q409" s="45">
        <f t="shared" si="6159"/>
        <v>0</v>
      </c>
      <c r="R409" s="45">
        <f t="shared" si="6159"/>
        <v>0</v>
      </c>
      <c r="S409" s="45">
        <f t="shared" si="6159"/>
        <v>0</v>
      </c>
      <c r="T409" s="45">
        <f t="shared" si="6159"/>
        <v>0</v>
      </c>
      <c r="U409" s="45">
        <f t="shared" si="6159"/>
        <v>0</v>
      </c>
      <c r="V409" s="45">
        <f t="shared" si="6159"/>
        <v>0</v>
      </c>
      <c r="W409" s="45">
        <f t="shared" si="6159"/>
        <v>0</v>
      </c>
      <c r="X409" s="45">
        <f t="shared" si="6159"/>
        <v>0</v>
      </c>
      <c r="Y409" s="45">
        <f t="shared" si="6159"/>
        <v>0</v>
      </c>
      <c r="Z409" s="45">
        <f t="shared" si="6159"/>
        <v>0</v>
      </c>
      <c r="AA409" s="45">
        <f t="shared" si="6159"/>
        <v>0</v>
      </c>
      <c r="AB409" s="45">
        <f t="shared" si="6159"/>
        <v>0</v>
      </c>
      <c r="AC409" s="45">
        <f t="shared" si="6159"/>
        <v>0</v>
      </c>
      <c r="AD409" s="45">
        <f t="shared" si="6159"/>
        <v>0</v>
      </c>
      <c r="AE409" s="45">
        <f t="shared" si="6159"/>
        <v>0</v>
      </c>
      <c r="AF409" s="45">
        <f t="shared" si="6159"/>
        <v>0</v>
      </c>
      <c r="AG409" s="45">
        <f t="shared" si="6159"/>
        <v>0</v>
      </c>
      <c r="AH409" s="45">
        <f t="shared" si="6159"/>
        <v>0</v>
      </c>
      <c r="AI409" s="45">
        <f t="shared" si="6159"/>
        <v>0</v>
      </c>
      <c r="AJ409" s="45">
        <f t="shared" si="6159"/>
        <v>0</v>
      </c>
      <c r="AK409" s="45">
        <f t="shared" si="6159"/>
        <v>0</v>
      </c>
      <c r="AL409" s="45">
        <f t="shared" si="6159"/>
        <v>0</v>
      </c>
      <c r="AM409" s="45">
        <f t="shared" si="6159"/>
        <v>0</v>
      </c>
      <c r="AN409" s="45">
        <f t="shared" si="6159"/>
        <v>0</v>
      </c>
      <c r="AO409" s="45">
        <f t="shared" si="6159"/>
        <v>0</v>
      </c>
      <c r="AP409" s="45">
        <f t="shared" si="6159"/>
        <v>0</v>
      </c>
      <c r="AQ409" s="45">
        <f t="shared" si="6159"/>
        <v>0</v>
      </c>
      <c r="AR409" s="45">
        <f t="shared" si="6159"/>
        <v>0</v>
      </c>
      <c r="AS409" s="45">
        <f t="shared" si="6159"/>
        <v>0</v>
      </c>
      <c r="AT409" s="45">
        <f t="shared" si="6159"/>
        <v>0</v>
      </c>
      <c r="AU409" s="45">
        <f t="shared" si="6159"/>
        <v>0</v>
      </c>
      <c r="AV409" s="45">
        <f t="shared" si="6159"/>
        <v>0</v>
      </c>
      <c r="AW409" s="45">
        <f t="shared" si="6159"/>
        <v>0</v>
      </c>
      <c r="AX409" s="45">
        <f t="shared" si="6159"/>
        <v>0</v>
      </c>
      <c r="AY409" s="45">
        <f t="shared" si="6159"/>
        <v>0</v>
      </c>
      <c r="AZ409" s="45">
        <f t="shared" si="6159"/>
        <v>0</v>
      </c>
      <c r="BA409" s="45">
        <f t="shared" si="6159"/>
        <v>0</v>
      </c>
      <c r="BB409" s="45">
        <f t="shared" si="6159"/>
        <v>0</v>
      </c>
      <c r="BC409" s="45">
        <f t="shared" si="6159"/>
        <v>0</v>
      </c>
      <c r="BD409" s="45">
        <f t="shared" si="6159"/>
        <v>0</v>
      </c>
      <c r="BE409" s="45">
        <f t="shared" si="6159"/>
        <v>0</v>
      </c>
      <c r="BF409" s="45">
        <f t="shared" si="6159"/>
        <v>0</v>
      </c>
      <c r="BG409" s="45">
        <f t="shared" si="6159"/>
        <v>0</v>
      </c>
      <c r="BH409" s="45">
        <f t="shared" si="6159"/>
        <v>0</v>
      </c>
      <c r="BI409" s="45">
        <f t="shared" si="6159"/>
        <v>0</v>
      </c>
      <c r="BJ409" s="45">
        <f t="shared" si="6159"/>
        <v>0</v>
      </c>
      <c r="BK409" s="45">
        <f t="shared" si="6159"/>
        <v>0</v>
      </c>
      <c r="BL409" s="45">
        <f t="shared" si="6159"/>
        <v>0</v>
      </c>
      <c r="BM409" s="45">
        <f t="shared" si="6159"/>
        <v>0</v>
      </c>
      <c r="BN409" s="45">
        <f t="shared" si="6159"/>
        <v>0</v>
      </c>
      <c r="BO409" s="45">
        <f t="shared" si="6159"/>
        <v>0</v>
      </c>
      <c r="BP409" s="45">
        <f t="shared" si="6159"/>
        <v>0</v>
      </c>
      <c r="BQ409" s="45">
        <f t="shared" si="6159"/>
        <v>0</v>
      </c>
      <c r="BR409" s="45">
        <f t="shared" si="6159"/>
        <v>0</v>
      </c>
      <c r="BS409" s="45">
        <f t="shared" si="6159"/>
        <v>0</v>
      </c>
      <c r="BT409" s="45">
        <f t="shared" ref="BT409:DC409" si="6160">++BT115</f>
        <v>0</v>
      </c>
      <c r="BU409" s="45">
        <f t="shared" si="6160"/>
        <v>0</v>
      </c>
      <c r="BV409" s="45">
        <f t="shared" si="6160"/>
        <v>0</v>
      </c>
      <c r="BW409" s="45">
        <f t="shared" si="6160"/>
        <v>0</v>
      </c>
      <c r="BX409" s="45">
        <f t="shared" si="6160"/>
        <v>0</v>
      </c>
      <c r="BY409" s="45">
        <f t="shared" si="6160"/>
        <v>0</v>
      </c>
      <c r="BZ409" s="45">
        <f t="shared" si="6160"/>
        <v>0</v>
      </c>
      <c r="CA409" s="45">
        <f t="shared" si="6160"/>
        <v>0</v>
      </c>
      <c r="CB409" s="45">
        <f t="shared" si="6160"/>
        <v>0</v>
      </c>
      <c r="CC409" s="45">
        <f t="shared" si="6160"/>
        <v>0</v>
      </c>
      <c r="CD409" s="45">
        <f t="shared" si="6160"/>
        <v>0</v>
      </c>
      <c r="CE409" s="45">
        <f t="shared" si="6160"/>
        <v>0</v>
      </c>
      <c r="CF409" s="45">
        <f t="shared" si="6160"/>
        <v>0</v>
      </c>
      <c r="CG409" s="45">
        <f t="shared" si="6160"/>
        <v>0</v>
      </c>
      <c r="CH409" s="45">
        <f t="shared" si="6160"/>
        <v>0</v>
      </c>
      <c r="CI409" s="45">
        <f t="shared" si="6160"/>
        <v>0</v>
      </c>
      <c r="CJ409" s="45">
        <f t="shared" si="6160"/>
        <v>0</v>
      </c>
      <c r="CK409" s="45">
        <f t="shared" si="6160"/>
        <v>0</v>
      </c>
      <c r="CL409" s="45">
        <f t="shared" si="6160"/>
        <v>0</v>
      </c>
      <c r="CM409" s="45">
        <f t="shared" si="6160"/>
        <v>0</v>
      </c>
      <c r="CN409" s="45">
        <f t="shared" si="6160"/>
        <v>0</v>
      </c>
      <c r="CO409" s="45">
        <f t="shared" si="6160"/>
        <v>0</v>
      </c>
      <c r="CP409" s="45">
        <f t="shared" si="6160"/>
        <v>0</v>
      </c>
      <c r="CQ409" s="45">
        <f t="shared" si="6160"/>
        <v>0</v>
      </c>
      <c r="CR409" s="45">
        <f t="shared" si="6160"/>
        <v>0</v>
      </c>
      <c r="CS409" s="45">
        <f t="shared" si="6160"/>
        <v>0</v>
      </c>
      <c r="CT409" s="45">
        <f t="shared" si="6160"/>
        <v>0</v>
      </c>
      <c r="CU409" s="45">
        <f t="shared" si="6160"/>
        <v>0</v>
      </c>
      <c r="CV409" s="45">
        <f t="shared" si="6160"/>
        <v>0</v>
      </c>
      <c r="CW409" s="45">
        <f t="shared" si="6160"/>
        <v>0</v>
      </c>
      <c r="CX409" s="45">
        <f t="shared" si="6160"/>
        <v>0</v>
      </c>
      <c r="CY409" s="45">
        <f t="shared" si="6160"/>
        <v>0</v>
      </c>
      <c r="CZ409" s="45">
        <f t="shared" si="6160"/>
        <v>0</v>
      </c>
      <c r="DA409" s="45">
        <f t="shared" si="6160"/>
        <v>0</v>
      </c>
      <c r="DB409" s="45">
        <f t="shared" si="6160"/>
        <v>0</v>
      </c>
      <c r="DC409" s="45">
        <f t="shared" si="6160"/>
        <v>0</v>
      </c>
    </row>
    <row r="410" spans="3:107" x14ac:dyDescent="0.3">
      <c r="C410" s="101" t="str">
        <f>++C$18</f>
        <v>[Operating Expense]</v>
      </c>
      <c r="G410" s="45">
        <f>++G116</f>
        <v>0</v>
      </c>
      <c r="H410" s="45">
        <f t="shared" si="6159"/>
        <v>0</v>
      </c>
      <c r="I410" s="45">
        <f t="shared" si="6159"/>
        <v>0</v>
      </c>
      <c r="J410" s="45">
        <f t="shared" si="6159"/>
        <v>0</v>
      </c>
      <c r="K410" s="45">
        <f t="shared" si="6159"/>
        <v>0</v>
      </c>
      <c r="L410" s="45">
        <f t="shared" si="6159"/>
        <v>0</v>
      </c>
      <c r="M410" s="45">
        <f t="shared" si="6159"/>
        <v>0</v>
      </c>
      <c r="N410" s="45">
        <f t="shared" si="6159"/>
        <v>0</v>
      </c>
      <c r="O410" s="45">
        <f t="shared" si="6159"/>
        <v>0</v>
      </c>
      <c r="P410" s="45">
        <f t="shared" si="6159"/>
        <v>0</v>
      </c>
      <c r="Q410" s="45">
        <f t="shared" si="6159"/>
        <v>0</v>
      </c>
      <c r="R410" s="45">
        <f t="shared" si="6159"/>
        <v>0</v>
      </c>
      <c r="S410" s="45">
        <f t="shared" si="6159"/>
        <v>0</v>
      </c>
      <c r="T410" s="45">
        <f t="shared" si="6159"/>
        <v>0</v>
      </c>
      <c r="U410" s="45">
        <f t="shared" si="6159"/>
        <v>0</v>
      </c>
      <c r="V410" s="45">
        <f t="shared" si="6159"/>
        <v>0</v>
      </c>
      <c r="W410" s="45">
        <f t="shared" si="6159"/>
        <v>0</v>
      </c>
      <c r="X410" s="45">
        <f t="shared" si="6159"/>
        <v>0</v>
      </c>
      <c r="Y410" s="45">
        <f t="shared" si="6159"/>
        <v>0</v>
      </c>
      <c r="Z410" s="45">
        <f t="shared" si="6159"/>
        <v>0</v>
      </c>
      <c r="AA410" s="45">
        <f t="shared" si="6159"/>
        <v>0</v>
      </c>
      <c r="AB410" s="45">
        <f t="shared" si="6159"/>
        <v>0</v>
      </c>
      <c r="AC410" s="45">
        <f t="shared" si="6159"/>
        <v>0</v>
      </c>
      <c r="AD410" s="45">
        <f t="shared" si="6159"/>
        <v>0</v>
      </c>
      <c r="AE410" s="45">
        <f t="shared" si="6159"/>
        <v>0</v>
      </c>
      <c r="AF410" s="45">
        <f t="shared" si="6159"/>
        <v>0</v>
      </c>
      <c r="AG410" s="45">
        <f t="shared" si="6159"/>
        <v>0</v>
      </c>
      <c r="AH410" s="45">
        <f t="shared" si="6159"/>
        <v>0</v>
      </c>
      <c r="AI410" s="45">
        <f t="shared" si="6159"/>
        <v>0</v>
      </c>
      <c r="AJ410" s="45">
        <f t="shared" si="6159"/>
        <v>0</v>
      </c>
      <c r="AK410" s="45">
        <f t="shared" si="6159"/>
        <v>0</v>
      </c>
      <c r="AL410" s="45">
        <f t="shared" si="6159"/>
        <v>0</v>
      </c>
      <c r="AM410" s="45">
        <f t="shared" si="6159"/>
        <v>0</v>
      </c>
      <c r="AN410" s="45">
        <f t="shared" si="6159"/>
        <v>0</v>
      </c>
      <c r="AO410" s="45">
        <f t="shared" si="6159"/>
        <v>0</v>
      </c>
      <c r="AP410" s="45">
        <f t="shared" si="6159"/>
        <v>0</v>
      </c>
      <c r="AQ410" s="45">
        <f t="shared" si="6159"/>
        <v>0</v>
      </c>
      <c r="AR410" s="45">
        <f t="shared" si="6159"/>
        <v>0</v>
      </c>
      <c r="AS410" s="45">
        <f t="shared" si="6159"/>
        <v>0</v>
      </c>
      <c r="AT410" s="45">
        <f t="shared" si="6159"/>
        <v>0</v>
      </c>
      <c r="AU410" s="45">
        <f t="shared" si="6159"/>
        <v>0</v>
      </c>
      <c r="AV410" s="45">
        <f t="shared" si="6159"/>
        <v>0</v>
      </c>
      <c r="AW410" s="45">
        <f t="shared" si="6159"/>
        <v>0</v>
      </c>
      <c r="AX410" s="45">
        <f t="shared" si="6159"/>
        <v>0</v>
      </c>
      <c r="AY410" s="45">
        <f t="shared" si="6159"/>
        <v>0</v>
      </c>
      <c r="AZ410" s="45">
        <f t="shared" si="6159"/>
        <v>0</v>
      </c>
      <c r="BA410" s="45">
        <f t="shared" si="6159"/>
        <v>0</v>
      </c>
      <c r="BB410" s="45">
        <f t="shared" si="6159"/>
        <v>0</v>
      </c>
      <c r="BC410" s="45">
        <f t="shared" si="6159"/>
        <v>0</v>
      </c>
      <c r="BD410" s="45">
        <f t="shared" si="6159"/>
        <v>0</v>
      </c>
      <c r="BE410" s="45">
        <f t="shared" si="6159"/>
        <v>0</v>
      </c>
      <c r="BF410" s="45">
        <f t="shared" si="6159"/>
        <v>0</v>
      </c>
      <c r="BG410" s="45">
        <f t="shared" si="6159"/>
        <v>0</v>
      </c>
      <c r="BH410" s="45">
        <f t="shared" si="6159"/>
        <v>0</v>
      </c>
      <c r="BI410" s="45">
        <f t="shared" si="6159"/>
        <v>0</v>
      </c>
      <c r="BJ410" s="45">
        <f t="shared" si="6159"/>
        <v>0</v>
      </c>
      <c r="BK410" s="45">
        <f t="shared" si="6159"/>
        <v>0</v>
      </c>
      <c r="BL410" s="45">
        <f t="shared" si="6159"/>
        <v>0</v>
      </c>
      <c r="BM410" s="45">
        <f t="shared" si="6159"/>
        <v>0</v>
      </c>
      <c r="BN410" s="45">
        <f t="shared" si="6159"/>
        <v>0</v>
      </c>
      <c r="BO410" s="45">
        <f t="shared" si="6159"/>
        <v>0</v>
      </c>
      <c r="BP410" s="45">
        <f t="shared" si="6159"/>
        <v>0</v>
      </c>
      <c r="BQ410" s="45">
        <f t="shared" si="6159"/>
        <v>0</v>
      </c>
      <c r="BR410" s="45">
        <f t="shared" si="6159"/>
        <v>0</v>
      </c>
      <c r="BS410" s="45">
        <f t="shared" si="6159"/>
        <v>0</v>
      </c>
      <c r="BT410" s="45">
        <f t="shared" ref="BT410:DC410" si="6161">++BT116</f>
        <v>0</v>
      </c>
      <c r="BU410" s="45">
        <f t="shared" si="6161"/>
        <v>0</v>
      </c>
      <c r="BV410" s="45">
        <f t="shared" si="6161"/>
        <v>0</v>
      </c>
      <c r="BW410" s="45">
        <f t="shared" si="6161"/>
        <v>0</v>
      </c>
      <c r="BX410" s="45">
        <f t="shared" si="6161"/>
        <v>0</v>
      </c>
      <c r="BY410" s="45">
        <f t="shared" si="6161"/>
        <v>0</v>
      </c>
      <c r="BZ410" s="45">
        <f t="shared" si="6161"/>
        <v>0</v>
      </c>
      <c r="CA410" s="45">
        <f t="shared" si="6161"/>
        <v>0</v>
      </c>
      <c r="CB410" s="45">
        <f t="shared" si="6161"/>
        <v>0</v>
      </c>
      <c r="CC410" s="45">
        <f t="shared" si="6161"/>
        <v>0</v>
      </c>
      <c r="CD410" s="45">
        <f t="shared" si="6161"/>
        <v>0</v>
      </c>
      <c r="CE410" s="45">
        <f t="shared" si="6161"/>
        <v>0</v>
      </c>
      <c r="CF410" s="45">
        <f t="shared" si="6161"/>
        <v>0</v>
      </c>
      <c r="CG410" s="45">
        <f t="shared" si="6161"/>
        <v>0</v>
      </c>
      <c r="CH410" s="45">
        <f t="shared" si="6161"/>
        <v>0</v>
      </c>
      <c r="CI410" s="45">
        <f t="shared" si="6161"/>
        <v>0</v>
      </c>
      <c r="CJ410" s="45">
        <f t="shared" si="6161"/>
        <v>0</v>
      </c>
      <c r="CK410" s="45">
        <f t="shared" si="6161"/>
        <v>0</v>
      </c>
      <c r="CL410" s="45">
        <f t="shared" si="6161"/>
        <v>0</v>
      </c>
      <c r="CM410" s="45">
        <f t="shared" si="6161"/>
        <v>0</v>
      </c>
      <c r="CN410" s="45">
        <f t="shared" si="6161"/>
        <v>0</v>
      </c>
      <c r="CO410" s="45">
        <f t="shared" si="6161"/>
        <v>0</v>
      </c>
      <c r="CP410" s="45">
        <f t="shared" si="6161"/>
        <v>0</v>
      </c>
      <c r="CQ410" s="45">
        <f t="shared" si="6161"/>
        <v>0</v>
      </c>
      <c r="CR410" s="45">
        <f t="shared" si="6161"/>
        <v>0</v>
      </c>
      <c r="CS410" s="45">
        <f t="shared" si="6161"/>
        <v>0</v>
      </c>
      <c r="CT410" s="45">
        <f t="shared" si="6161"/>
        <v>0</v>
      </c>
      <c r="CU410" s="45">
        <f t="shared" si="6161"/>
        <v>0</v>
      </c>
      <c r="CV410" s="45">
        <f t="shared" si="6161"/>
        <v>0</v>
      </c>
      <c r="CW410" s="45">
        <f t="shared" si="6161"/>
        <v>0</v>
      </c>
      <c r="CX410" s="45">
        <f t="shared" si="6161"/>
        <v>0</v>
      </c>
      <c r="CY410" s="45">
        <f t="shared" si="6161"/>
        <v>0</v>
      </c>
      <c r="CZ410" s="45">
        <f t="shared" si="6161"/>
        <v>0</v>
      </c>
      <c r="DA410" s="45">
        <f t="shared" si="6161"/>
        <v>0</v>
      </c>
      <c r="DB410" s="45">
        <f t="shared" si="6161"/>
        <v>0</v>
      </c>
      <c r="DC410" s="45">
        <f t="shared" si="6161"/>
        <v>0</v>
      </c>
    </row>
    <row r="411" spans="3:107" x14ac:dyDescent="0.3">
      <c r="C411" s="101" t="str">
        <f>++C$19</f>
        <v>[Operating Expense]</v>
      </c>
      <c r="G411" s="45">
        <f>++G117</f>
        <v>0</v>
      </c>
      <c r="H411" s="45">
        <f t="shared" si="6159"/>
        <v>0</v>
      </c>
      <c r="I411" s="45">
        <f t="shared" si="6159"/>
        <v>0</v>
      </c>
      <c r="J411" s="45">
        <f t="shared" si="6159"/>
        <v>0</v>
      </c>
      <c r="K411" s="45">
        <f t="shared" si="6159"/>
        <v>0</v>
      </c>
      <c r="L411" s="45">
        <f t="shared" si="6159"/>
        <v>0</v>
      </c>
      <c r="M411" s="45">
        <f t="shared" si="6159"/>
        <v>0</v>
      </c>
      <c r="N411" s="45">
        <f t="shared" si="6159"/>
        <v>0</v>
      </c>
      <c r="O411" s="45">
        <f t="shared" si="6159"/>
        <v>0</v>
      </c>
      <c r="P411" s="45">
        <f t="shared" si="6159"/>
        <v>0</v>
      </c>
      <c r="Q411" s="45">
        <f t="shared" si="6159"/>
        <v>0</v>
      </c>
      <c r="R411" s="45">
        <f t="shared" si="6159"/>
        <v>0</v>
      </c>
      <c r="S411" s="45">
        <f t="shared" si="6159"/>
        <v>0</v>
      </c>
      <c r="T411" s="45">
        <f t="shared" si="6159"/>
        <v>0</v>
      </c>
      <c r="U411" s="45">
        <f t="shared" si="6159"/>
        <v>0</v>
      </c>
      <c r="V411" s="45">
        <f t="shared" si="6159"/>
        <v>0</v>
      </c>
      <c r="W411" s="45">
        <f t="shared" si="6159"/>
        <v>0</v>
      </c>
      <c r="X411" s="45">
        <f t="shared" si="6159"/>
        <v>0</v>
      </c>
      <c r="Y411" s="45">
        <f t="shared" si="6159"/>
        <v>0</v>
      </c>
      <c r="Z411" s="45">
        <f t="shared" si="6159"/>
        <v>0</v>
      </c>
      <c r="AA411" s="45">
        <f t="shared" si="6159"/>
        <v>0</v>
      </c>
      <c r="AB411" s="45">
        <f t="shared" si="6159"/>
        <v>0</v>
      </c>
      <c r="AC411" s="45">
        <f t="shared" si="6159"/>
        <v>0</v>
      </c>
      <c r="AD411" s="45">
        <f t="shared" si="6159"/>
        <v>0</v>
      </c>
      <c r="AE411" s="45">
        <f t="shared" si="6159"/>
        <v>0</v>
      </c>
      <c r="AF411" s="45">
        <f t="shared" si="6159"/>
        <v>0</v>
      </c>
      <c r="AG411" s="45">
        <f t="shared" si="6159"/>
        <v>0</v>
      </c>
      <c r="AH411" s="45">
        <f t="shared" si="6159"/>
        <v>0</v>
      </c>
      <c r="AI411" s="45">
        <f t="shared" si="6159"/>
        <v>0</v>
      </c>
      <c r="AJ411" s="45">
        <f t="shared" si="6159"/>
        <v>0</v>
      </c>
      <c r="AK411" s="45">
        <f t="shared" si="6159"/>
        <v>0</v>
      </c>
      <c r="AL411" s="45">
        <f t="shared" si="6159"/>
        <v>0</v>
      </c>
      <c r="AM411" s="45">
        <f t="shared" si="6159"/>
        <v>0</v>
      </c>
      <c r="AN411" s="45">
        <f t="shared" si="6159"/>
        <v>0</v>
      </c>
      <c r="AO411" s="45">
        <f t="shared" si="6159"/>
        <v>0</v>
      </c>
      <c r="AP411" s="45">
        <f t="shared" si="6159"/>
        <v>0</v>
      </c>
      <c r="AQ411" s="45">
        <f t="shared" si="6159"/>
        <v>0</v>
      </c>
      <c r="AR411" s="45">
        <f t="shared" si="6159"/>
        <v>0</v>
      </c>
      <c r="AS411" s="45">
        <f t="shared" si="6159"/>
        <v>0</v>
      </c>
      <c r="AT411" s="45">
        <f t="shared" si="6159"/>
        <v>0</v>
      </c>
      <c r="AU411" s="45">
        <f t="shared" si="6159"/>
        <v>0</v>
      </c>
      <c r="AV411" s="45">
        <f t="shared" si="6159"/>
        <v>0</v>
      </c>
      <c r="AW411" s="45">
        <f t="shared" si="6159"/>
        <v>0</v>
      </c>
      <c r="AX411" s="45">
        <f t="shared" si="6159"/>
        <v>0</v>
      </c>
      <c r="AY411" s="45">
        <f t="shared" si="6159"/>
        <v>0</v>
      </c>
      <c r="AZ411" s="45">
        <f t="shared" si="6159"/>
        <v>0</v>
      </c>
      <c r="BA411" s="45">
        <f t="shared" si="6159"/>
        <v>0</v>
      </c>
      <c r="BB411" s="45">
        <f t="shared" si="6159"/>
        <v>0</v>
      </c>
      <c r="BC411" s="45">
        <f t="shared" si="6159"/>
        <v>0</v>
      </c>
      <c r="BD411" s="45">
        <f t="shared" si="6159"/>
        <v>0</v>
      </c>
      <c r="BE411" s="45">
        <f t="shared" si="6159"/>
        <v>0</v>
      </c>
      <c r="BF411" s="45">
        <f t="shared" si="6159"/>
        <v>0</v>
      </c>
      <c r="BG411" s="45">
        <f t="shared" si="6159"/>
        <v>0</v>
      </c>
      <c r="BH411" s="45">
        <f t="shared" si="6159"/>
        <v>0</v>
      </c>
      <c r="BI411" s="45">
        <f t="shared" si="6159"/>
        <v>0</v>
      </c>
      <c r="BJ411" s="45">
        <f t="shared" si="6159"/>
        <v>0</v>
      </c>
      <c r="BK411" s="45">
        <f t="shared" si="6159"/>
        <v>0</v>
      </c>
      <c r="BL411" s="45">
        <f t="shared" si="6159"/>
        <v>0</v>
      </c>
      <c r="BM411" s="45">
        <f t="shared" si="6159"/>
        <v>0</v>
      </c>
      <c r="BN411" s="45">
        <f t="shared" si="6159"/>
        <v>0</v>
      </c>
      <c r="BO411" s="45">
        <f t="shared" si="6159"/>
        <v>0</v>
      </c>
      <c r="BP411" s="45">
        <f t="shared" si="6159"/>
        <v>0</v>
      </c>
      <c r="BQ411" s="45">
        <f t="shared" si="6159"/>
        <v>0</v>
      </c>
      <c r="BR411" s="45">
        <f t="shared" si="6159"/>
        <v>0</v>
      </c>
      <c r="BS411" s="45">
        <f t="shared" si="6159"/>
        <v>0</v>
      </c>
      <c r="BT411" s="45">
        <f t="shared" ref="BT411:DC411" si="6162">++BT117</f>
        <v>0</v>
      </c>
      <c r="BU411" s="45">
        <f t="shared" si="6162"/>
        <v>0</v>
      </c>
      <c r="BV411" s="45">
        <f t="shared" si="6162"/>
        <v>0</v>
      </c>
      <c r="BW411" s="45">
        <f t="shared" si="6162"/>
        <v>0</v>
      </c>
      <c r="BX411" s="45">
        <f t="shared" si="6162"/>
        <v>0</v>
      </c>
      <c r="BY411" s="45">
        <f t="shared" si="6162"/>
        <v>0</v>
      </c>
      <c r="BZ411" s="45">
        <f t="shared" si="6162"/>
        <v>0</v>
      </c>
      <c r="CA411" s="45">
        <f t="shared" si="6162"/>
        <v>0</v>
      </c>
      <c r="CB411" s="45">
        <f t="shared" si="6162"/>
        <v>0</v>
      </c>
      <c r="CC411" s="45">
        <f t="shared" si="6162"/>
        <v>0</v>
      </c>
      <c r="CD411" s="45">
        <f t="shared" si="6162"/>
        <v>0</v>
      </c>
      <c r="CE411" s="45">
        <f t="shared" si="6162"/>
        <v>0</v>
      </c>
      <c r="CF411" s="45">
        <f t="shared" si="6162"/>
        <v>0</v>
      </c>
      <c r="CG411" s="45">
        <f t="shared" si="6162"/>
        <v>0</v>
      </c>
      <c r="CH411" s="45">
        <f t="shared" si="6162"/>
        <v>0</v>
      </c>
      <c r="CI411" s="45">
        <f t="shared" si="6162"/>
        <v>0</v>
      </c>
      <c r="CJ411" s="45">
        <f t="shared" si="6162"/>
        <v>0</v>
      </c>
      <c r="CK411" s="45">
        <f t="shared" si="6162"/>
        <v>0</v>
      </c>
      <c r="CL411" s="45">
        <f t="shared" si="6162"/>
        <v>0</v>
      </c>
      <c r="CM411" s="45">
        <f t="shared" si="6162"/>
        <v>0</v>
      </c>
      <c r="CN411" s="45">
        <f t="shared" si="6162"/>
        <v>0</v>
      </c>
      <c r="CO411" s="45">
        <f t="shared" si="6162"/>
        <v>0</v>
      </c>
      <c r="CP411" s="45">
        <f t="shared" si="6162"/>
        <v>0</v>
      </c>
      <c r="CQ411" s="45">
        <f t="shared" si="6162"/>
        <v>0</v>
      </c>
      <c r="CR411" s="45">
        <f t="shared" si="6162"/>
        <v>0</v>
      </c>
      <c r="CS411" s="45">
        <f t="shared" si="6162"/>
        <v>0</v>
      </c>
      <c r="CT411" s="45">
        <f t="shared" si="6162"/>
        <v>0</v>
      </c>
      <c r="CU411" s="45">
        <f t="shared" si="6162"/>
        <v>0</v>
      </c>
      <c r="CV411" s="45">
        <f t="shared" si="6162"/>
        <v>0</v>
      </c>
      <c r="CW411" s="45">
        <f t="shared" si="6162"/>
        <v>0</v>
      </c>
      <c r="CX411" s="45">
        <f t="shared" si="6162"/>
        <v>0</v>
      </c>
      <c r="CY411" s="45">
        <f t="shared" si="6162"/>
        <v>0</v>
      </c>
      <c r="CZ411" s="45">
        <f t="shared" si="6162"/>
        <v>0</v>
      </c>
      <c r="DA411" s="45">
        <f t="shared" si="6162"/>
        <v>0</v>
      </c>
      <c r="DB411" s="45">
        <f t="shared" si="6162"/>
        <v>0</v>
      </c>
      <c r="DC411" s="45">
        <f t="shared" si="6162"/>
        <v>0</v>
      </c>
    </row>
    <row r="412" spans="3:107" x14ac:dyDescent="0.3">
      <c r="C412" s="101" t="str">
        <f>++C$20</f>
        <v>Depreciation</v>
      </c>
      <c r="G412" s="45">
        <f>++G118</f>
        <v>0</v>
      </c>
      <c r="H412" s="45">
        <f t="shared" si="6159"/>
        <v>0</v>
      </c>
      <c r="I412" s="45">
        <f t="shared" si="6159"/>
        <v>0</v>
      </c>
      <c r="J412" s="45">
        <f t="shared" si="6159"/>
        <v>0</v>
      </c>
      <c r="K412" s="45">
        <f t="shared" si="6159"/>
        <v>0</v>
      </c>
      <c r="L412" s="45">
        <f t="shared" si="6159"/>
        <v>0</v>
      </c>
      <c r="M412" s="45">
        <f t="shared" si="6159"/>
        <v>0</v>
      </c>
      <c r="N412" s="45">
        <f t="shared" si="6159"/>
        <v>0</v>
      </c>
      <c r="O412" s="45">
        <f t="shared" si="6159"/>
        <v>0</v>
      </c>
      <c r="P412" s="45">
        <f t="shared" si="6159"/>
        <v>0</v>
      </c>
      <c r="Q412" s="45">
        <f t="shared" si="6159"/>
        <v>0</v>
      </c>
      <c r="R412" s="45">
        <f t="shared" si="6159"/>
        <v>0</v>
      </c>
      <c r="S412" s="45">
        <f t="shared" si="6159"/>
        <v>0</v>
      </c>
      <c r="T412" s="45">
        <f t="shared" si="6159"/>
        <v>0</v>
      </c>
      <c r="U412" s="45">
        <f t="shared" si="6159"/>
        <v>0</v>
      </c>
      <c r="V412" s="45">
        <f t="shared" si="6159"/>
        <v>0</v>
      </c>
      <c r="W412" s="45">
        <f t="shared" si="6159"/>
        <v>0</v>
      </c>
      <c r="X412" s="45">
        <f t="shared" si="6159"/>
        <v>0</v>
      </c>
      <c r="Y412" s="45">
        <f t="shared" si="6159"/>
        <v>0</v>
      </c>
      <c r="Z412" s="45">
        <f t="shared" si="6159"/>
        <v>0</v>
      </c>
      <c r="AA412" s="45">
        <f t="shared" si="6159"/>
        <v>0</v>
      </c>
      <c r="AB412" s="45">
        <f t="shared" si="6159"/>
        <v>0</v>
      </c>
      <c r="AC412" s="45">
        <f t="shared" si="6159"/>
        <v>0</v>
      </c>
      <c r="AD412" s="45">
        <f t="shared" si="6159"/>
        <v>0</v>
      </c>
      <c r="AE412" s="45">
        <f t="shared" si="6159"/>
        <v>0</v>
      </c>
      <c r="AF412" s="45">
        <f t="shared" si="6159"/>
        <v>0</v>
      </c>
      <c r="AG412" s="45">
        <f t="shared" si="6159"/>
        <v>0</v>
      </c>
      <c r="AH412" s="45">
        <f t="shared" si="6159"/>
        <v>0</v>
      </c>
      <c r="AI412" s="45">
        <f t="shared" si="6159"/>
        <v>0</v>
      </c>
      <c r="AJ412" s="45">
        <f t="shared" si="6159"/>
        <v>0</v>
      </c>
      <c r="AK412" s="45">
        <f t="shared" si="6159"/>
        <v>0</v>
      </c>
      <c r="AL412" s="45">
        <f t="shared" si="6159"/>
        <v>0</v>
      </c>
      <c r="AM412" s="45">
        <f t="shared" si="6159"/>
        <v>0</v>
      </c>
      <c r="AN412" s="45">
        <f t="shared" si="6159"/>
        <v>0</v>
      </c>
      <c r="AO412" s="45">
        <f t="shared" si="6159"/>
        <v>0</v>
      </c>
      <c r="AP412" s="45">
        <f t="shared" si="6159"/>
        <v>0</v>
      </c>
      <c r="AQ412" s="45">
        <f t="shared" si="6159"/>
        <v>0</v>
      </c>
      <c r="AR412" s="45">
        <f t="shared" si="6159"/>
        <v>0</v>
      </c>
      <c r="AS412" s="45">
        <f t="shared" si="6159"/>
        <v>0</v>
      </c>
      <c r="AT412" s="45">
        <f t="shared" si="6159"/>
        <v>0</v>
      </c>
      <c r="AU412" s="45">
        <f t="shared" si="6159"/>
        <v>0</v>
      </c>
      <c r="AV412" s="45">
        <f t="shared" si="6159"/>
        <v>0</v>
      </c>
      <c r="AW412" s="45">
        <f t="shared" si="6159"/>
        <v>0</v>
      </c>
      <c r="AX412" s="45">
        <f t="shared" si="6159"/>
        <v>0</v>
      </c>
      <c r="AY412" s="45">
        <f t="shared" si="6159"/>
        <v>0</v>
      </c>
      <c r="AZ412" s="45">
        <f t="shared" si="6159"/>
        <v>0</v>
      </c>
      <c r="BA412" s="45">
        <f t="shared" si="6159"/>
        <v>0</v>
      </c>
      <c r="BB412" s="45">
        <f t="shared" si="6159"/>
        <v>0</v>
      </c>
      <c r="BC412" s="45">
        <f t="shared" si="6159"/>
        <v>0</v>
      </c>
      <c r="BD412" s="45">
        <f t="shared" si="6159"/>
        <v>0</v>
      </c>
      <c r="BE412" s="45">
        <f t="shared" si="6159"/>
        <v>0</v>
      </c>
      <c r="BF412" s="45">
        <f t="shared" si="6159"/>
        <v>0</v>
      </c>
      <c r="BG412" s="45">
        <f t="shared" si="6159"/>
        <v>0</v>
      </c>
      <c r="BH412" s="45">
        <f t="shared" si="6159"/>
        <v>0</v>
      </c>
      <c r="BI412" s="45">
        <f t="shared" si="6159"/>
        <v>0</v>
      </c>
      <c r="BJ412" s="45">
        <f t="shared" si="6159"/>
        <v>0</v>
      </c>
      <c r="BK412" s="45">
        <f t="shared" si="6159"/>
        <v>0</v>
      </c>
      <c r="BL412" s="45">
        <f t="shared" si="6159"/>
        <v>0</v>
      </c>
      <c r="BM412" s="45">
        <f t="shared" si="6159"/>
        <v>0</v>
      </c>
      <c r="BN412" s="45">
        <f t="shared" si="6159"/>
        <v>0</v>
      </c>
      <c r="BO412" s="45">
        <f t="shared" si="6159"/>
        <v>0</v>
      </c>
      <c r="BP412" s="45">
        <f t="shared" si="6159"/>
        <v>0</v>
      </c>
      <c r="BQ412" s="45">
        <f t="shared" si="6159"/>
        <v>0</v>
      </c>
      <c r="BR412" s="45">
        <f t="shared" si="6159"/>
        <v>0</v>
      </c>
      <c r="BS412" s="45">
        <f t="shared" ref="BS412:DC412" si="6163">++BS118</f>
        <v>0</v>
      </c>
      <c r="BT412" s="45">
        <f t="shared" si="6163"/>
        <v>0</v>
      </c>
      <c r="BU412" s="45">
        <f t="shared" si="6163"/>
        <v>0</v>
      </c>
      <c r="BV412" s="45">
        <f t="shared" si="6163"/>
        <v>0</v>
      </c>
      <c r="BW412" s="45">
        <f t="shared" si="6163"/>
        <v>0</v>
      </c>
      <c r="BX412" s="45">
        <f t="shared" si="6163"/>
        <v>0</v>
      </c>
      <c r="BY412" s="45">
        <f t="shared" si="6163"/>
        <v>0</v>
      </c>
      <c r="BZ412" s="45">
        <f t="shared" si="6163"/>
        <v>0</v>
      </c>
      <c r="CA412" s="45">
        <f t="shared" si="6163"/>
        <v>0</v>
      </c>
      <c r="CB412" s="45">
        <f t="shared" si="6163"/>
        <v>0</v>
      </c>
      <c r="CC412" s="45">
        <f t="shared" si="6163"/>
        <v>0</v>
      </c>
      <c r="CD412" s="45">
        <f t="shared" si="6163"/>
        <v>0</v>
      </c>
      <c r="CE412" s="45">
        <f t="shared" si="6163"/>
        <v>0</v>
      </c>
      <c r="CF412" s="45">
        <f t="shared" si="6163"/>
        <v>0</v>
      </c>
      <c r="CG412" s="45">
        <f t="shared" si="6163"/>
        <v>0</v>
      </c>
      <c r="CH412" s="45">
        <f t="shared" si="6163"/>
        <v>0</v>
      </c>
      <c r="CI412" s="45">
        <f t="shared" si="6163"/>
        <v>0</v>
      </c>
      <c r="CJ412" s="45">
        <f t="shared" si="6163"/>
        <v>0</v>
      </c>
      <c r="CK412" s="45">
        <f t="shared" si="6163"/>
        <v>0</v>
      </c>
      <c r="CL412" s="45">
        <f t="shared" si="6163"/>
        <v>0</v>
      </c>
      <c r="CM412" s="45">
        <f t="shared" si="6163"/>
        <v>0</v>
      </c>
      <c r="CN412" s="45">
        <f t="shared" si="6163"/>
        <v>0</v>
      </c>
      <c r="CO412" s="45">
        <f t="shared" si="6163"/>
        <v>0</v>
      </c>
      <c r="CP412" s="45">
        <f t="shared" si="6163"/>
        <v>0</v>
      </c>
      <c r="CQ412" s="45">
        <f t="shared" si="6163"/>
        <v>0</v>
      </c>
      <c r="CR412" s="45">
        <f t="shared" si="6163"/>
        <v>0</v>
      </c>
      <c r="CS412" s="45">
        <f t="shared" si="6163"/>
        <v>0</v>
      </c>
      <c r="CT412" s="45">
        <f t="shared" si="6163"/>
        <v>0</v>
      </c>
      <c r="CU412" s="45">
        <f t="shared" si="6163"/>
        <v>0</v>
      </c>
      <c r="CV412" s="45">
        <f t="shared" si="6163"/>
        <v>0</v>
      </c>
      <c r="CW412" s="45">
        <f t="shared" si="6163"/>
        <v>0</v>
      </c>
      <c r="CX412" s="45">
        <f t="shared" si="6163"/>
        <v>0</v>
      </c>
      <c r="CY412" s="45">
        <f t="shared" si="6163"/>
        <v>0</v>
      </c>
      <c r="CZ412" s="45">
        <f t="shared" si="6163"/>
        <v>0</v>
      </c>
      <c r="DA412" s="45">
        <f t="shared" si="6163"/>
        <v>0</v>
      </c>
      <c r="DB412" s="45">
        <f t="shared" si="6163"/>
        <v>0</v>
      </c>
      <c r="DC412" s="45">
        <f t="shared" si="6163"/>
        <v>0</v>
      </c>
    </row>
    <row r="413" spans="3:107" x14ac:dyDescent="0.3">
      <c r="C413" s="101" t="str">
        <f>++C$21</f>
        <v>Amortization</v>
      </c>
      <c r="G413" s="45">
        <f>++G119</f>
        <v>0</v>
      </c>
      <c r="H413" s="45">
        <f t="shared" ref="H413:BS413" si="6164">++H119</f>
        <v>0</v>
      </c>
      <c r="I413" s="45">
        <f t="shared" si="6164"/>
        <v>0</v>
      </c>
      <c r="J413" s="45">
        <f t="shared" si="6164"/>
        <v>0</v>
      </c>
      <c r="K413" s="45">
        <f t="shared" si="6164"/>
        <v>0</v>
      </c>
      <c r="L413" s="45">
        <f t="shared" si="6164"/>
        <v>0</v>
      </c>
      <c r="M413" s="45">
        <f t="shared" si="6164"/>
        <v>0</v>
      </c>
      <c r="N413" s="45">
        <f t="shared" si="6164"/>
        <v>0</v>
      </c>
      <c r="O413" s="45">
        <f t="shared" si="6164"/>
        <v>0</v>
      </c>
      <c r="P413" s="45">
        <f t="shared" si="6164"/>
        <v>0</v>
      </c>
      <c r="Q413" s="45">
        <f t="shared" si="6164"/>
        <v>0</v>
      </c>
      <c r="R413" s="45">
        <f t="shared" si="6164"/>
        <v>0</v>
      </c>
      <c r="S413" s="45">
        <f t="shared" si="6164"/>
        <v>0</v>
      </c>
      <c r="T413" s="45">
        <f t="shared" si="6164"/>
        <v>0</v>
      </c>
      <c r="U413" s="45">
        <f t="shared" si="6164"/>
        <v>0</v>
      </c>
      <c r="V413" s="45">
        <f t="shared" si="6164"/>
        <v>0</v>
      </c>
      <c r="W413" s="45">
        <f t="shared" si="6164"/>
        <v>0</v>
      </c>
      <c r="X413" s="45">
        <f t="shared" si="6164"/>
        <v>0</v>
      </c>
      <c r="Y413" s="45">
        <f t="shared" si="6164"/>
        <v>0</v>
      </c>
      <c r="Z413" s="45">
        <f t="shared" si="6164"/>
        <v>0</v>
      </c>
      <c r="AA413" s="45">
        <f t="shared" si="6164"/>
        <v>0</v>
      </c>
      <c r="AB413" s="45">
        <f t="shared" si="6164"/>
        <v>0</v>
      </c>
      <c r="AC413" s="45">
        <f t="shared" si="6164"/>
        <v>0</v>
      </c>
      <c r="AD413" s="45">
        <f t="shared" si="6164"/>
        <v>0</v>
      </c>
      <c r="AE413" s="45">
        <f t="shared" si="6164"/>
        <v>0</v>
      </c>
      <c r="AF413" s="45">
        <f t="shared" si="6164"/>
        <v>0</v>
      </c>
      <c r="AG413" s="45">
        <f t="shared" si="6164"/>
        <v>0</v>
      </c>
      <c r="AH413" s="45">
        <f t="shared" si="6164"/>
        <v>0</v>
      </c>
      <c r="AI413" s="45">
        <f t="shared" si="6164"/>
        <v>0</v>
      </c>
      <c r="AJ413" s="45">
        <f t="shared" si="6164"/>
        <v>0</v>
      </c>
      <c r="AK413" s="45">
        <f t="shared" si="6164"/>
        <v>0</v>
      </c>
      <c r="AL413" s="45">
        <f t="shared" si="6164"/>
        <v>0</v>
      </c>
      <c r="AM413" s="45">
        <f t="shared" si="6164"/>
        <v>0</v>
      </c>
      <c r="AN413" s="45">
        <f t="shared" si="6164"/>
        <v>0</v>
      </c>
      <c r="AO413" s="45">
        <f t="shared" si="6164"/>
        <v>0</v>
      </c>
      <c r="AP413" s="45">
        <f t="shared" si="6164"/>
        <v>0</v>
      </c>
      <c r="AQ413" s="45">
        <f t="shared" si="6164"/>
        <v>0</v>
      </c>
      <c r="AR413" s="45">
        <f t="shared" si="6164"/>
        <v>0</v>
      </c>
      <c r="AS413" s="45">
        <f t="shared" si="6164"/>
        <v>0</v>
      </c>
      <c r="AT413" s="45">
        <f t="shared" si="6164"/>
        <v>0</v>
      </c>
      <c r="AU413" s="45">
        <f t="shared" si="6164"/>
        <v>0</v>
      </c>
      <c r="AV413" s="45">
        <f t="shared" si="6164"/>
        <v>0</v>
      </c>
      <c r="AW413" s="45">
        <f t="shared" si="6164"/>
        <v>0</v>
      </c>
      <c r="AX413" s="45">
        <f t="shared" si="6164"/>
        <v>0</v>
      </c>
      <c r="AY413" s="45">
        <f t="shared" si="6164"/>
        <v>0</v>
      </c>
      <c r="AZ413" s="45">
        <f t="shared" si="6164"/>
        <v>0</v>
      </c>
      <c r="BA413" s="45">
        <f t="shared" si="6164"/>
        <v>0</v>
      </c>
      <c r="BB413" s="45">
        <f t="shared" si="6164"/>
        <v>0</v>
      </c>
      <c r="BC413" s="45">
        <f t="shared" si="6164"/>
        <v>0</v>
      </c>
      <c r="BD413" s="45">
        <f t="shared" si="6164"/>
        <v>0</v>
      </c>
      <c r="BE413" s="45">
        <f t="shared" si="6164"/>
        <v>0</v>
      </c>
      <c r="BF413" s="45">
        <f t="shared" si="6164"/>
        <v>0</v>
      </c>
      <c r="BG413" s="45">
        <f t="shared" si="6164"/>
        <v>0</v>
      </c>
      <c r="BH413" s="45">
        <f t="shared" si="6164"/>
        <v>0</v>
      </c>
      <c r="BI413" s="45">
        <f t="shared" si="6164"/>
        <v>0</v>
      </c>
      <c r="BJ413" s="45">
        <f t="shared" si="6164"/>
        <v>0</v>
      </c>
      <c r="BK413" s="45">
        <f t="shared" si="6164"/>
        <v>0</v>
      </c>
      <c r="BL413" s="45">
        <f t="shared" si="6164"/>
        <v>0</v>
      </c>
      <c r="BM413" s="45">
        <f t="shared" si="6164"/>
        <v>0</v>
      </c>
      <c r="BN413" s="45">
        <f t="shared" si="6164"/>
        <v>0</v>
      </c>
      <c r="BO413" s="45">
        <f t="shared" si="6164"/>
        <v>0</v>
      </c>
      <c r="BP413" s="45">
        <f t="shared" si="6164"/>
        <v>0</v>
      </c>
      <c r="BQ413" s="45">
        <f t="shared" si="6164"/>
        <v>0</v>
      </c>
      <c r="BR413" s="45">
        <f t="shared" si="6164"/>
        <v>0</v>
      </c>
      <c r="BS413" s="45">
        <f t="shared" si="6164"/>
        <v>0</v>
      </c>
      <c r="BT413" s="45">
        <f t="shared" ref="BT413:DC413" si="6165">++BT119</f>
        <v>0</v>
      </c>
      <c r="BU413" s="45">
        <f t="shared" si="6165"/>
        <v>0</v>
      </c>
      <c r="BV413" s="45">
        <f t="shared" si="6165"/>
        <v>0</v>
      </c>
      <c r="BW413" s="45">
        <f t="shared" si="6165"/>
        <v>0</v>
      </c>
      <c r="BX413" s="45">
        <f t="shared" si="6165"/>
        <v>0</v>
      </c>
      <c r="BY413" s="45">
        <f t="shared" si="6165"/>
        <v>0</v>
      </c>
      <c r="BZ413" s="45">
        <f t="shared" si="6165"/>
        <v>0</v>
      </c>
      <c r="CA413" s="45">
        <f t="shared" si="6165"/>
        <v>0</v>
      </c>
      <c r="CB413" s="45">
        <f t="shared" si="6165"/>
        <v>0</v>
      </c>
      <c r="CC413" s="45">
        <f t="shared" si="6165"/>
        <v>0</v>
      </c>
      <c r="CD413" s="45">
        <f t="shared" si="6165"/>
        <v>0</v>
      </c>
      <c r="CE413" s="45">
        <f t="shared" si="6165"/>
        <v>0</v>
      </c>
      <c r="CF413" s="45">
        <f t="shared" si="6165"/>
        <v>0</v>
      </c>
      <c r="CG413" s="45">
        <f t="shared" si="6165"/>
        <v>0</v>
      </c>
      <c r="CH413" s="45">
        <f t="shared" si="6165"/>
        <v>0</v>
      </c>
      <c r="CI413" s="45">
        <f t="shared" si="6165"/>
        <v>0</v>
      </c>
      <c r="CJ413" s="45">
        <f t="shared" si="6165"/>
        <v>0</v>
      </c>
      <c r="CK413" s="45">
        <f t="shared" si="6165"/>
        <v>0</v>
      </c>
      <c r="CL413" s="45">
        <f t="shared" si="6165"/>
        <v>0</v>
      </c>
      <c r="CM413" s="45">
        <f t="shared" si="6165"/>
        <v>0</v>
      </c>
      <c r="CN413" s="45">
        <f t="shared" si="6165"/>
        <v>0</v>
      </c>
      <c r="CO413" s="45">
        <f t="shared" si="6165"/>
        <v>0</v>
      </c>
      <c r="CP413" s="45">
        <f t="shared" si="6165"/>
        <v>0</v>
      </c>
      <c r="CQ413" s="45">
        <f t="shared" si="6165"/>
        <v>0</v>
      </c>
      <c r="CR413" s="45">
        <f t="shared" si="6165"/>
        <v>0</v>
      </c>
      <c r="CS413" s="45">
        <f t="shared" si="6165"/>
        <v>0</v>
      </c>
      <c r="CT413" s="45">
        <f t="shared" si="6165"/>
        <v>0</v>
      </c>
      <c r="CU413" s="45">
        <f t="shared" si="6165"/>
        <v>0</v>
      </c>
      <c r="CV413" s="45">
        <f t="shared" si="6165"/>
        <v>0</v>
      </c>
      <c r="CW413" s="45">
        <f t="shared" si="6165"/>
        <v>0</v>
      </c>
      <c r="CX413" s="45">
        <f t="shared" si="6165"/>
        <v>0</v>
      </c>
      <c r="CY413" s="45">
        <f t="shared" si="6165"/>
        <v>0</v>
      </c>
      <c r="CZ413" s="45">
        <f t="shared" si="6165"/>
        <v>0</v>
      </c>
      <c r="DA413" s="45">
        <f t="shared" si="6165"/>
        <v>0</v>
      </c>
      <c r="DB413" s="45">
        <f t="shared" si="6165"/>
        <v>0</v>
      </c>
      <c r="DC413" s="45">
        <f t="shared" si="6165"/>
        <v>0</v>
      </c>
    </row>
    <row r="414" spans="3:107" x14ac:dyDescent="0.3">
      <c r="C414" s="101" t="str">
        <f>++C$22</f>
        <v>Other Operating Expense (Income)</v>
      </c>
      <c r="G414" s="374">
        <f>++(G405-G415)-SUM(G409:G413)</f>
        <v>0</v>
      </c>
      <c r="H414" s="200">
        <f t="shared" ref="H414:BS414" si="6166">++(H405-H415)-SUM(H409:H413)</f>
        <v>0</v>
      </c>
      <c r="I414" s="200">
        <f t="shared" si="6166"/>
        <v>0</v>
      </c>
      <c r="J414" s="200">
        <f t="shared" si="6166"/>
        <v>0</v>
      </c>
      <c r="K414" s="374">
        <f t="shared" si="6166"/>
        <v>0</v>
      </c>
      <c r="L414" s="200">
        <f t="shared" si="6166"/>
        <v>0</v>
      </c>
      <c r="M414" s="200">
        <f t="shared" si="6166"/>
        <v>0</v>
      </c>
      <c r="N414" s="200">
        <f t="shared" si="6166"/>
        <v>0</v>
      </c>
      <c r="O414" s="200">
        <f t="shared" si="6166"/>
        <v>0</v>
      </c>
      <c r="P414" s="200">
        <f t="shared" si="6166"/>
        <v>0</v>
      </c>
      <c r="Q414" s="200">
        <f t="shared" si="6166"/>
        <v>0</v>
      </c>
      <c r="R414" s="200">
        <f t="shared" si="6166"/>
        <v>0</v>
      </c>
      <c r="S414" s="200">
        <f t="shared" si="6166"/>
        <v>0</v>
      </c>
      <c r="T414" s="200">
        <f t="shared" si="6166"/>
        <v>0</v>
      </c>
      <c r="U414" s="200">
        <f t="shared" si="6166"/>
        <v>0</v>
      </c>
      <c r="V414" s="200">
        <f t="shared" si="6166"/>
        <v>0</v>
      </c>
      <c r="W414" s="374">
        <f t="shared" si="6166"/>
        <v>0</v>
      </c>
      <c r="X414" s="200">
        <f t="shared" si="6166"/>
        <v>0</v>
      </c>
      <c r="Y414" s="200">
        <f t="shared" si="6166"/>
        <v>0</v>
      </c>
      <c r="Z414" s="200">
        <f t="shared" si="6166"/>
        <v>0</v>
      </c>
      <c r="AA414" s="200">
        <f t="shared" si="6166"/>
        <v>0</v>
      </c>
      <c r="AB414" s="200">
        <f t="shared" si="6166"/>
        <v>0</v>
      </c>
      <c r="AC414" s="200">
        <f t="shared" si="6166"/>
        <v>0</v>
      </c>
      <c r="AD414" s="200">
        <f t="shared" si="6166"/>
        <v>0</v>
      </c>
      <c r="AE414" s="200">
        <f t="shared" si="6166"/>
        <v>0</v>
      </c>
      <c r="AF414" s="200">
        <f t="shared" si="6166"/>
        <v>0</v>
      </c>
      <c r="AG414" s="200">
        <f t="shared" si="6166"/>
        <v>0</v>
      </c>
      <c r="AH414" s="200">
        <f t="shared" si="6166"/>
        <v>0</v>
      </c>
      <c r="AI414" s="374">
        <f t="shared" si="6166"/>
        <v>0</v>
      </c>
      <c r="AJ414" s="200">
        <f t="shared" si="6166"/>
        <v>0</v>
      </c>
      <c r="AK414" s="200">
        <f t="shared" si="6166"/>
        <v>0</v>
      </c>
      <c r="AL414" s="200">
        <f t="shared" si="6166"/>
        <v>0</v>
      </c>
      <c r="AM414" s="200">
        <f t="shared" si="6166"/>
        <v>0</v>
      </c>
      <c r="AN414" s="200">
        <f t="shared" si="6166"/>
        <v>0</v>
      </c>
      <c r="AO414" s="200">
        <f t="shared" si="6166"/>
        <v>0</v>
      </c>
      <c r="AP414" s="200">
        <f t="shared" si="6166"/>
        <v>0</v>
      </c>
      <c r="AQ414" s="200">
        <f t="shared" si="6166"/>
        <v>0</v>
      </c>
      <c r="AR414" s="200">
        <f t="shared" si="6166"/>
        <v>0</v>
      </c>
      <c r="AS414" s="200">
        <f t="shared" si="6166"/>
        <v>0</v>
      </c>
      <c r="AT414" s="200">
        <f t="shared" si="6166"/>
        <v>0</v>
      </c>
      <c r="AU414" s="374">
        <f t="shared" si="6166"/>
        <v>0</v>
      </c>
      <c r="AV414" s="200">
        <f t="shared" si="6166"/>
        <v>0</v>
      </c>
      <c r="AW414" s="200">
        <f t="shared" si="6166"/>
        <v>0</v>
      </c>
      <c r="AX414" s="200">
        <f t="shared" si="6166"/>
        <v>0</v>
      </c>
      <c r="AY414" s="200">
        <f t="shared" si="6166"/>
        <v>0</v>
      </c>
      <c r="AZ414" s="200">
        <f t="shared" si="6166"/>
        <v>0</v>
      </c>
      <c r="BA414" s="200">
        <f t="shared" si="6166"/>
        <v>0</v>
      </c>
      <c r="BB414" s="200">
        <f t="shared" si="6166"/>
        <v>0</v>
      </c>
      <c r="BC414" s="200">
        <f t="shared" si="6166"/>
        <v>0</v>
      </c>
      <c r="BD414" s="200">
        <f t="shared" si="6166"/>
        <v>0</v>
      </c>
      <c r="BE414" s="200">
        <f t="shared" si="6166"/>
        <v>0</v>
      </c>
      <c r="BF414" s="200">
        <f t="shared" si="6166"/>
        <v>0</v>
      </c>
      <c r="BG414" s="374">
        <f t="shared" si="6166"/>
        <v>0</v>
      </c>
      <c r="BH414" s="200">
        <f t="shared" si="6166"/>
        <v>0</v>
      </c>
      <c r="BI414" s="200">
        <f t="shared" si="6166"/>
        <v>0</v>
      </c>
      <c r="BJ414" s="200">
        <f t="shared" si="6166"/>
        <v>0</v>
      </c>
      <c r="BK414" s="200">
        <f t="shared" si="6166"/>
        <v>0</v>
      </c>
      <c r="BL414" s="200">
        <f t="shared" si="6166"/>
        <v>0</v>
      </c>
      <c r="BM414" s="200">
        <f t="shared" si="6166"/>
        <v>0</v>
      </c>
      <c r="BN414" s="200">
        <f t="shared" si="6166"/>
        <v>0</v>
      </c>
      <c r="BO414" s="200">
        <f t="shared" si="6166"/>
        <v>0</v>
      </c>
      <c r="BP414" s="200">
        <f t="shared" si="6166"/>
        <v>0</v>
      </c>
      <c r="BQ414" s="200">
        <f t="shared" si="6166"/>
        <v>0</v>
      </c>
      <c r="BR414" s="200">
        <f t="shared" si="6166"/>
        <v>0</v>
      </c>
      <c r="BS414" s="374">
        <f t="shared" si="6166"/>
        <v>0</v>
      </c>
      <c r="BT414" s="200">
        <f t="shared" ref="BT414:DC414" si="6167">++(BT405-BT415)-SUM(BT409:BT413)</f>
        <v>0</v>
      </c>
      <c r="BU414" s="200">
        <f t="shared" si="6167"/>
        <v>0</v>
      </c>
      <c r="BV414" s="200">
        <f t="shared" si="6167"/>
        <v>0</v>
      </c>
      <c r="BW414" s="200">
        <f t="shared" si="6167"/>
        <v>0</v>
      </c>
      <c r="BX414" s="200">
        <f t="shared" si="6167"/>
        <v>0</v>
      </c>
      <c r="BY414" s="200">
        <f t="shared" si="6167"/>
        <v>0</v>
      </c>
      <c r="BZ414" s="200">
        <f t="shared" si="6167"/>
        <v>0</v>
      </c>
      <c r="CA414" s="200">
        <f t="shared" si="6167"/>
        <v>0</v>
      </c>
      <c r="CB414" s="200">
        <f t="shared" si="6167"/>
        <v>0</v>
      </c>
      <c r="CC414" s="200">
        <f t="shared" si="6167"/>
        <v>0</v>
      </c>
      <c r="CD414" s="200">
        <f t="shared" si="6167"/>
        <v>0</v>
      </c>
      <c r="CE414" s="374">
        <f t="shared" si="6167"/>
        <v>0</v>
      </c>
      <c r="CF414" s="200">
        <f t="shared" si="6167"/>
        <v>0</v>
      </c>
      <c r="CG414" s="200">
        <f t="shared" si="6167"/>
        <v>0</v>
      </c>
      <c r="CH414" s="200">
        <f t="shared" si="6167"/>
        <v>0</v>
      </c>
      <c r="CI414" s="200">
        <f t="shared" si="6167"/>
        <v>0</v>
      </c>
      <c r="CJ414" s="200">
        <f t="shared" si="6167"/>
        <v>0</v>
      </c>
      <c r="CK414" s="200">
        <f t="shared" si="6167"/>
        <v>0</v>
      </c>
      <c r="CL414" s="200">
        <f t="shared" si="6167"/>
        <v>0</v>
      </c>
      <c r="CM414" s="200">
        <f t="shared" si="6167"/>
        <v>0</v>
      </c>
      <c r="CN414" s="200">
        <f t="shared" si="6167"/>
        <v>0</v>
      </c>
      <c r="CO414" s="200">
        <f t="shared" si="6167"/>
        <v>0</v>
      </c>
      <c r="CP414" s="200">
        <f t="shared" si="6167"/>
        <v>0</v>
      </c>
      <c r="CQ414" s="374">
        <f t="shared" si="6167"/>
        <v>0</v>
      </c>
      <c r="CR414" s="200">
        <f t="shared" si="6167"/>
        <v>0</v>
      </c>
      <c r="CS414" s="200">
        <f t="shared" si="6167"/>
        <v>0</v>
      </c>
      <c r="CT414" s="200">
        <f t="shared" si="6167"/>
        <v>0</v>
      </c>
      <c r="CU414" s="200">
        <f t="shared" si="6167"/>
        <v>0</v>
      </c>
      <c r="CV414" s="200">
        <f t="shared" si="6167"/>
        <v>0</v>
      </c>
      <c r="CW414" s="200">
        <f t="shared" si="6167"/>
        <v>0</v>
      </c>
      <c r="CX414" s="200">
        <f t="shared" si="6167"/>
        <v>0</v>
      </c>
      <c r="CY414" s="200">
        <f t="shared" si="6167"/>
        <v>0</v>
      </c>
      <c r="CZ414" s="200">
        <f t="shared" si="6167"/>
        <v>0</v>
      </c>
      <c r="DA414" s="200">
        <f t="shared" si="6167"/>
        <v>0</v>
      </c>
      <c r="DB414" s="200">
        <f t="shared" si="6167"/>
        <v>0</v>
      </c>
      <c r="DC414" s="374">
        <f t="shared" si="6167"/>
        <v>0</v>
      </c>
    </row>
    <row r="415" spans="3:107" x14ac:dyDescent="0.3">
      <c r="C415" s="231" t="str">
        <f>++C$23</f>
        <v>Operating Income (Loss)</v>
      </c>
      <c r="D415" s="191"/>
      <c r="E415" s="191"/>
      <c r="G415" s="239">
        <f>++SUM(G419:G421)</f>
        <v>0</v>
      </c>
      <c r="H415" s="232">
        <f t="shared" ref="H415:BS415" si="6168">++SUM(H419:H421)</f>
        <v>0</v>
      </c>
      <c r="I415" s="232">
        <f t="shared" si="6168"/>
        <v>0</v>
      </c>
      <c r="J415" s="232">
        <f t="shared" si="6168"/>
        <v>0</v>
      </c>
      <c r="K415" s="239">
        <f t="shared" si="6168"/>
        <v>0</v>
      </c>
      <c r="L415" s="232">
        <f t="shared" si="6168"/>
        <v>0</v>
      </c>
      <c r="M415" s="232">
        <f t="shared" si="6168"/>
        <v>0</v>
      </c>
      <c r="N415" s="232">
        <f t="shared" si="6168"/>
        <v>0</v>
      </c>
      <c r="O415" s="232">
        <f t="shared" si="6168"/>
        <v>0</v>
      </c>
      <c r="P415" s="232">
        <f t="shared" si="6168"/>
        <v>0</v>
      </c>
      <c r="Q415" s="232">
        <f t="shared" si="6168"/>
        <v>0</v>
      </c>
      <c r="R415" s="232">
        <f t="shared" si="6168"/>
        <v>0</v>
      </c>
      <c r="S415" s="232">
        <f t="shared" si="6168"/>
        <v>0</v>
      </c>
      <c r="T415" s="232">
        <f t="shared" si="6168"/>
        <v>0</v>
      </c>
      <c r="U415" s="232">
        <f t="shared" si="6168"/>
        <v>0</v>
      </c>
      <c r="V415" s="232">
        <f t="shared" si="6168"/>
        <v>0</v>
      </c>
      <c r="W415" s="239">
        <f t="shared" si="6168"/>
        <v>0</v>
      </c>
      <c r="X415" s="232">
        <f t="shared" si="6168"/>
        <v>0</v>
      </c>
      <c r="Y415" s="232">
        <f t="shared" si="6168"/>
        <v>0</v>
      </c>
      <c r="Z415" s="232">
        <f t="shared" si="6168"/>
        <v>0</v>
      </c>
      <c r="AA415" s="232">
        <f t="shared" si="6168"/>
        <v>0</v>
      </c>
      <c r="AB415" s="232">
        <f t="shared" si="6168"/>
        <v>0</v>
      </c>
      <c r="AC415" s="232">
        <f t="shared" si="6168"/>
        <v>0</v>
      </c>
      <c r="AD415" s="232">
        <f t="shared" si="6168"/>
        <v>0</v>
      </c>
      <c r="AE415" s="232">
        <f t="shared" si="6168"/>
        <v>0</v>
      </c>
      <c r="AF415" s="232">
        <f t="shared" si="6168"/>
        <v>0</v>
      </c>
      <c r="AG415" s="232">
        <f t="shared" si="6168"/>
        <v>0</v>
      </c>
      <c r="AH415" s="232">
        <f t="shared" si="6168"/>
        <v>0</v>
      </c>
      <c r="AI415" s="239">
        <f t="shared" si="6168"/>
        <v>0</v>
      </c>
      <c r="AJ415" s="232">
        <f t="shared" si="6168"/>
        <v>0</v>
      </c>
      <c r="AK415" s="232">
        <f t="shared" si="6168"/>
        <v>0</v>
      </c>
      <c r="AL415" s="232">
        <f t="shared" si="6168"/>
        <v>0</v>
      </c>
      <c r="AM415" s="232">
        <f t="shared" si="6168"/>
        <v>0</v>
      </c>
      <c r="AN415" s="232">
        <f t="shared" si="6168"/>
        <v>0</v>
      </c>
      <c r="AO415" s="232">
        <f t="shared" si="6168"/>
        <v>0</v>
      </c>
      <c r="AP415" s="232">
        <f t="shared" si="6168"/>
        <v>0</v>
      </c>
      <c r="AQ415" s="232">
        <f t="shared" si="6168"/>
        <v>0</v>
      </c>
      <c r="AR415" s="232">
        <f t="shared" si="6168"/>
        <v>0</v>
      </c>
      <c r="AS415" s="232">
        <f t="shared" si="6168"/>
        <v>0</v>
      </c>
      <c r="AT415" s="232">
        <f t="shared" si="6168"/>
        <v>0</v>
      </c>
      <c r="AU415" s="239">
        <f t="shared" si="6168"/>
        <v>0</v>
      </c>
      <c r="AV415" s="232">
        <f t="shared" si="6168"/>
        <v>0</v>
      </c>
      <c r="AW415" s="232">
        <f t="shared" si="6168"/>
        <v>0</v>
      </c>
      <c r="AX415" s="232">
        <f t="shared" si="6168"/>
        <v>0</v>
      </c>
      <c r="AY415" s="232">
        <f t="shared" si="6168"/>
        <v>0</v>
      </c>
      <c r="AZ415" s="232">
        <f t="shared" si="6168"/>
        <v>0</v>
      </c>
      <c r="BA415" s="232">
        <f t="shared" si="6168"/>
        <v>0</v>
      </c>
      <c r="BB415" s="232">
        <f t="shared" si="6168"/>
        <v>0</v>
      </c>
      <c r="BC415" s="232">
        <f t="shared" si="6168"/>
        <v>0</v>
      </c>
      <c r="BD415" s="232">
        <f t="shared" si="6168"/>
        <v>0</v>
      </c>
      <c r="BE415" s="232">
        <f t="shared" si="6168"/>
        <v>0</v>
      </c>
      <c r="BF415" s="232">
        <f t="shared" si="6168"/>
        <v>0</v>
      </c>
      <c r="BG415" s="239">
        <f t="shared" si="6168"/>
        <v>0</v>
      </c>
      <c r="BH415" s="232">
        <f t="shared" si="6168"/>
        <v>0</v>
      </c>
      <c r="BI415" s="232">
        <f t="shared" si="6168"/>
        <v>0</v>
      </c>
      <c r="BJ415" s="232">
        <f t="shared" si="6168"/>
        <v>0</v>
      </c>
      <c r="BK415" s="232">
        <f t="shared" si="6168"/>
        <v>0</v>
      </c>
      <c r="BL415" s="232">
        <f t="shared" si="6168"/>
        <v>0</v>
      </c>
      <c r="BM415" s="232">
        <f t="shared" si="6168"/>
        <v>0</v>
      </c>
      <c r="BN415" s="232">
        <f t="shared" si="6168"/>
        <v>0</v>
      </c>
      <c r="BO415" s="232">
        <f t="shared" si="6168"/>
        <v>0</v>
      </c>
      <c r="BP415" s="232">
        <f t="shared" si="6168"/>
        <v>0</v>
      </c>
      <c r="BQ415" s="232">
        <f t="shared" si="6168"/>
        <v>0</v>
      </c>
      <c r="BR415" s="232">
        <f t="shared" si="6168"/>
        <v>0</v>
      </c>
      <c r="BS415" s="239">
        <f t="shared" si="6168"/>
        <v>0</v>
      </c>
      <c r="BT415" s="232">
        <f t="shared" ref="BT415:DC415" si="6169">++SUM(BT419:BT421)</f>
        <v>0</v>
      </c>
      <c r="BU415" s="232">
        <f t="shared" si="6169"/>
        <v>0</v>
      </c>
      <c r="BV415" s="232">
        <f t="shared" si="6169"/>
        <v>0</v>
      </c>
      <c r="BW415" s="232">
        <f t="shared" si="6169"/>
        <v>0</v>
      </c>
      <c r="BX415" s="232">
        <f t="shared" si="6169"/>
        <v>0</v>
      </c>
      <c r="BY415" s="232">
        <f t="shared" si="6169"/>
        <v>0</v>
      </c>
      <c r="BZ415" s="232">
        <f t="shared" si="6169"/>
        <v>0</v>
      </c>
      <c r="CA415" s="232">
        <f t="shared" si="6169"/>
        <v>0</v>
      </c>
      <c r="CB415" s="232">
        <f t="shared" si="6169"/>
        <v>0</v>
      </c>
      <c r="CC415" s="232">
        <f t="shared" si="6169"/>
        <v>0</v>
      </c>
      <c r="CD415" s="232">
        <f t="shared" si="6169"/>
        <v>0</v>
      </c>
      <c r="CE415" s="239">
        <f t="shared" si="6169"/>
        <v>0</v>
      </c>
      <c r="CF415" s="232">
        <f t="shared" si="6169"/>
        <v>0</v>
      </c>
      <c r="CG415" s="232">
        <f t="shared" si="6169"/>
        <v>0</v>
      </c>
      <c r="CH415" s="232">
        <f t="shared" si="6169"/>
        <v>0</v>
      </c>
      <c r="CI415" s="232">
        <f t="shared" si="6169"/>
        <v>0</v>
      </c>
      <c r="CJ415" s="232">
        <f t="shared" si="6169"/>
        <v>0</v>
      </c>
      <c r="CK415" s="232">
        <f t="shared" si="6169"/>
        <v>0</v>
      </c>
      <c r="CL415" s="232">
        <f t="shared" si="6169"/>
        <v>0</v>
      </c>
      <c r="CM415" s="232">
        <f t="shared" si="6169"/>
        <v>0</v>
      </c>
      <c r="CN415" s="232">
        <f t="shared" si="6169"/>
        <v>0</v>
      </c>
      <c r="CO415" s="232">
        <f t="shared" si="6169"/>
        <v>0</v>
      </c>
      <c r="CP415" s="232">
        <f t="shared" si="6169"/>
        <v>0</v>
      </c>
      <c r="CQ415" s="239">
        <f t="shared" si="6169"/>
        <v>0</v>
      </c>
      <c r="CR415" s="232">
        <f t="shared" si="6169"/>
        <v>0</v>
      </c>
      <c r="CS415" s="232">
        <f t="shared" si="6169"/>
        <v>0</v>
      </c>
      <c r="CT415" s="232">
        <f t="shared" si="6169"/>
        <v>0</v>
      </c>
      <c r="CU415" s="232">
        <f t="shared" si="6169"/>
        <v>0</v>
      </c>
      <c r="CV415" s="232">
        <f t="shared" si="6169"/>
        <v>0</v>
      </c>
      <c r="CW415" s="232">
        <f t="shared" si="6169"/>
        <v>0</v>
      </c>
      <c r="CX415" s="232">
        <f t="shared" si="6169"/>
        <v>0</v>
      </c>
      <c r="CY415" s="232">
        <f t="shared" si="6169"/>
        <v>0</v>
      </c>
      <c r="CZ415" s="232">
        <f t="shared" si="6169"/>
        <v>0</v>
      </c>
      <c r="DA415" s="232">
        <f t="shared" si="6169"/>
        <v>0</v>
      </c>
      <c r="DB415" s="232">
        <f t="shared" si="6169"/>
        <v>0</v>
      </c>
      <c r="DC415" s="239">
        <f t="shared" si="6169"/>
        <v>0</v>
      </c>
    </row>
    <row r="416" spans="3:107" x14ac:dyDescent="0.3">
      <c r="C416" s="321" t="str">
        <f>++C$24</f>
        <v>% margin</v>
      </c>
      <c r="G416" s="214" t="str">
        <f>++IFERROR(G415/G402,"n/a")</f>
        <v>n/a</v>
      </c>
      <c r="H416" s="225" t="str">
        <f t="shared" ref="H416" si="6170">++IFERROR(H415/H402,"n/a")</f>
        <v>n/a</v>
      </c>
      <c r="I416" s="225" t="str">
        <f t="shared" ref="I416" si="6171">++IFERROR(I415/I402,"n/a")</f>
        <v>n/a</v>
      </c>
      <c r="J416" s="225" t="str">
        <f t="shared" ref="J416" si="6172">++IFERROR(J415/J402,"n/a")</f>
        <v>n/a</v>
      </c>
      <c r="K416" s="214" t="str">
        <f t="shared" ref="K416" si="6173">++IFERROR(K415/K402,"n/a")</f>
        <v>n/a</v>
      </c>
      <c r="L416" s="225" t="str">
        <f t="shared" ref="L416" si="6174">++IFERROR(L415/L402,"n/a")</f>
        <v>n/a</v>
      </c>
      <c r="M416" s="225" t="str">
        <f t="shared" ref="M416" si="6175">++IFERROR(M415/M402,"n/a")</f>
        <v>n/a</v>
      </c>
      <c r="N416" s="225" t="str">
        <f t="shared" ref="N416" si="6176">++IFERROR(N415/N402,"n/a")</f>
        <v>n/a</v>
      </c>
      <c r="O416" s="225" t="str">
        <f t="shared" ref="O416" si="6177">++IFERROR(O415/O402,"n/a")</f>
        <v>n/a</v>
      </c>
      <c r="P416" s="225" t="str">
        <f t="shared" ref="P416" si="6178">++IFERROR(P415/P402,"n/a")</f>
        <v>n/a</v>
      </c>
      <c r="Q416" s="225" t="str">
        <f t="shared" ref="Q416" si="6179">++IFERROR(Q415/Q402,"n/a")</f>
        <v>n/a</v>
      </c>
      <c r="R416" s="225" t="str">
        <f t="shared" ref="R416" si="6180">++IFERROR(R415/R402,"n/a")</f>
        <v>n/a</v>
      </c>
      <c r="S416" s="225" t="str">
        <f t="shared" ref="S416" si="6181">++IFERROR(S415/S402,"n/a")</f>
        <v>n/a</v>
      </c>
      <c r="T416" s="225" t="str">
        <f t="shared" ref="T416" si="6182">++IFERROR(T415/T402,"n/a")</f>
        <v>n/a</v>
      </c>
      <c r="U416" s="225" t="str">
        <f t="shared" ref="U416" si="6183">++IFERROR(U415/U402,"n/a")</f>
        <v>n/a</v>
      </c>
      <c r="V416" s="225" t="str">
        <f t="shared" ref="V416" si="6184">++IFERROR(V415/V402,"n/a")</f>
        <v>n/a</v>
      </c>
      <c r="W416" s="214" t="str">
        <f t="shared" ref="W416" si="6185">++IFERROR(W415/W402,"n/a")</f>
        <v>n/a</v>
      </c>
      <c r="X416" s="225" t="str">
        <f t="shared" ref="X416" si="6186">++IFERROR(X415/X402,"n/a")</f>
        <v>n/a</v>
      </c>
      <c r="Y416" s="225" t="str">
        <f t="shared" ref="Y416" si="6187">++IFERROR(Y415/Y402,"n/a")</f>
        <v>n/a</v>
      </c>
      <c r="Z416" s="225" t="str">
        <f t="shared" ref="Z416" si="6188">++IFERROR(Z415/Z402,"n/a")</f>
        <v>n/a</v>
      </c>
      <c r="AA416" s="225" t="str">
        <f t="shared" ref="AA416" si="6189">++IFERROR(AA415/AA402,"n/a")</f>
        <v>n/a</v>
      </c>
      <c r="AB416" s="225" t="str">
        <f t="shared" ref="AB416" si="6190">++IFERROR(AB415/AB402,"n/a")</f>
        <v>n/a</v>
      </c>
      <c r="AC416" s="225" t="str">
        <f t="shared" ref="AC416" si="6191">++IFERROR(AC415/AC402,"n/a")</f>
        <v>n/a</v>
      </c>
      <c r="AD416" s="225" t="str">
        <f t="shared" ref="AD416" si="6192">++IFERROR(AD415/AD402,"n/a")</f>
        <v>n/a</v>
      </c>
      <c r="AE416" s="225" t="str">
        <f t="shared" ref="AE416" si="6193">++IFERROR(AE415/AE402,"n/a")</f>
        <v>n/a</v>
      </c>
      <c r="AF416" s="225" t="str">
        <f t="shared" ref="AF416" si="6194">++IFERROR(AF415/AF402,"n/a")</f>
        <v>n/a</v>
      </c>
      <c r="AG416" s="225" t="str">
        <f t="shared" ref="AG416" si="6195">++IFERROR(AG415/AG402,"n/a")</f>
        <v>n/a</v>
      </c>
      <c r="AH416" s="225" t="str">
        <f t="shared" ref="AH416" si="6196">++IFERROR(AH415/AH402,"n/a")</f>
        <v>n/a</v>
      </c>
      <c r="AI416" s="214" t="str">
        <f t="shared" ref="AI416" si="6197">++IFERROR(AI415/AI402,"n/a")</f>
        <v>n/a</v>
      </c>
      <c r="AJ416" s="225" t="str">
        <f t="shared" ref="AJ416" si="6198">++IFERROR(AJ415/AJ402,"n/a")</f>
        <v>n/a</v>
      </c>
      <c r="AK416" s="225" t="str">
        <f t="shared" ref="AK416" si="6199">++IFERROR(AK415/AK402,"n/a")</f>
        <v>n/a</v>
      </c>
      <c r="AL416" s="225" t="str">
        <f t="shared" ref="AL416" si="6200">++IFERROR(AL415/AL402,"n/a")</f>
        <v>n/a</v>
      </c>
      <c r="AM416" s="225" t="str">
        <f t="shared" ref="AM416" si="6201">++IFERROR(AM415/AM402,"n/a")</f>
        <v>n/a</v>
      </c>
      <c r="AN416" s="225" t="str">
        <f t="shared" ref="AN416" si="6202">++IFERROR(AN415/AN402,"n/a")</f>
        <v>n/a</v>
      </c>
      <c r="AO416" s="225" t="str">
        <f t="shared" ref="AO416" si="6203">++IFERROR(AO415/AO402,"n/a")</f>
        <v>n/a</v>
      </c>
      <c r="AP416" s="225" t="str">
        <f t="shared" ref="AP416" si="6204">++IFERROR(AP415/AP402,"n/a")</f>
        <v>n/a</v>
      </c>
      <c r="AQ416" s="225" t="str">
        <f t="shared" ref="AQ416" si="6205">++IFERROR(AQ415/AQ402,"n/a")</f>
        <v>n/a</v>
      </c>
      <c r="AR416" s="225" t="str">
        <f t="shared" ref="AR416" si="6206">++IFERROR(AR415/AR402,"n/a")</f>
        <v>n/a</v>
      </c>
      <c r="AS416" s="225" t="str">
        <f t="shared" ref="AS416" si="6207">++IFERROR(AS415/AS402,"n/a")</f>
        <v>n/a</v>
      </c>
      <c r="AT416" s="225" t="str">
        <f t="shared" ref="AT416" si="6208">++IFERROR(AT415/AT402,"n/a")</f>
        <v>n/a</v>
      </c>
      <c r="AU416" s="214" t="str">
        <f t="shared" ref="AU416" si="6209">++IFERROR(AU415/AU402,"n/a")</f>
        <v>n/a</v>
      </c>
      <c r="AV416" s="225" t="str">
        <f t="shared" ref="AV416" si="6210">++IFERROR(AV415/AV402,"n/a")</f>
        <v>n/a</v>
      </c>
      <c r="AW416" s="225" t="str">
        <f t="shared" ref="AW416" si="6211">++IFERROR(AW415/AW402,"n/a")</f>
        <v>n/a</v>
      </c>
      <c r="AX416" s="225" t="str">
        <f t="shared" ref="AX416" si="6212">++IFERROR(AX415/AX402,"n/a")</f>
        <v>n/a</v>
      </c>
      <c r="AY416" s="225" t="str">
        <f t="shared" ref="AY416" si="6213">++IFERROR(AY415/AY402,"n/a")</f>
        <v>n/a</v>
      </c>
      <c r="AZ416" s="225" t="str">
        <f t="shared" ref="AZ416" si="6214">++IFERROR(AZ415/AZ402,"n/a")</f>
        <v>n/a</v>
      </c>
      <c r="BA416" s="225" t="str">
        <f t="shared" ref="BA416" si="6215">++IFERROR(BA415/BA402,"n/a")</f>
        <v>n/a</v>
      </c>
      <c r="BB416" s="225" t="str">
        <f t="shared" ref="BB416" si="6216">++IFERROR(BB415/BB402,"n/a")</f>
        <v>n/a</v>
      </c>
      <c r="BC416" s="225" t="str">
        <f t="shared" ref="BC416" si="6217">++IFERROR(BC415/BC402,"n/a")</f>
        <v>n/a</v>
      </c>
      <c r="BD416" s="225" t="str">
        <f t="shared" ref="BD416" si="6218">++IFERROR(BD415/BD402,"n/a")</f>
        <v>n/a</v>
      </c>
      <c r="BE416" s="225" t="str">
        <f t="shared" ref="BE416" si="6219">++IFERROR(BE415/BE402,"n/a")</f>
        <v>n/a</v>
      </c>
      <c r="BF416" s="225" t="str">
        <f t="shared" ref="BF416" si="6220">++IFERROR(BF415/BF402,"n/a")</f>
        <v>n/a</v>
      </c>
      <c r="BG416" s="214" t="str">
        <f t="shared" ref="BG416" si="6221">++IFERROR(BG415/BG402,"n/a")</f>
        <v>n/a</v>
      </c>
      <c r="BH416" s="225" t="str">
        <f t="shared" ref="BH416" si="6222">++IFERROR(BH415/BH402,"n/a")</f>
        <v>n/a</v>
      </c>
      <c r="BI416" s="225" t="str">
        <f t="shared" ref="BI416" si="6223">++IFERROR(BI415/BI402,"n/a")</f>
        <v>n/a</v>
      </c>
      <c r="BJ416" s="225" t="str">
        <f t="shared" ref="BJ416" si="6224">++IFERROR(BJ415/BJ402,"n/a")</f>
        <v>n/a</v>
      </c>
      <c r="BK416" s="225" t="str">
        <f t="shared" ref="BK416" si="6225">++IFERROR(BK415/BK402,"n/a")</f>
        <v>n/a</v>
      </c>
      <c r="BL416" s="225" t="str">
        <f t="shared" ref="BL416" si="6226">++IFERROR(BL415/BL402,"n/a")</f>
        <v>n/a</v>
      </c>
      <c r="BM416" s="225" t="str">
        <f t="shared" ref="BM416" si="6227">++IFERROR(BM415/BM402,"n/a")</f>
        <v>n/a</v>
      </c>
      <c r="BN416" s="225" t="str">
        <f t="shared" ref="BN416" si="6228">++IFERROR(BN415/BN402,"n/a")</f>
        <v>n/a</v>
      </c>
      <c r="BO416" s="225" t="str">
        <f t="shared" ref="BO416" si="6229">++IFERROR(BO415/BO402,"n/a")</f>
        <v>n/a</v>
      </c>
      <c r="BP416" s="225" t="str">
        <f t="shared" ref="BP416" si="6230">++IFERROR(BP415/BP402,"n/a")</f>
        <v>n/a</v>
      </c>
      <c r="BQ416" s="225" t="str">
        <f t="shared" ref="BQ416" si="6231">++IFERROR(BQ415/BQ402,"n/a")</f>
        <v>n/a</v>
      </c>
      <c r="BR416" s="225" t="str">
        <f t="shared" ref="BR416" si="6232">++IFERROR(BR415/BR402,"n/a")</f>
        <v>n/a</v>
      </c>
      <c r="BS416" s="214" t="str">
        <f t="shared" ref="BS416" si="6233">++IFERROR(BS415/BS402,"n/a")</f>
        <v>n/a</v>
      </c>
      <c r="BT416" s="225" t="str">
        <f t="shared" ref="BT416" si="6234">++IFERROR(BT415/BT402,"n/a")</f>
        <v>n/a</v>
      </c>
      <c r="BU416" s="225" t="str">
        <f t="shared" ref="BU416" si="6235">++IFERROR(BU415/BU402,"n/a")</f>
        <v>n/a</v>
      </c>
      <c r="BV416" s="225" t="str">
        <f t="shared" ref="BV416" si="6236">++IFERROR(BV415/BV402,"n/a")</f>
        <v>n/a</v>
      </c>
      <c r="BW416" s="225" t="str">
        <f t="shared" ref="BW416" si="6237">++IFERROR(BW415/BW402,"n/a")</f>
        <v>n/a</v>
      </c>
      <c r="BX416" s="225" t="str">
        <f t="shared" ref="BX416" si="6238">++IFERROR(BX415/BX402,"n/a")</f>
        <v>n/a</v>
      </c>
      <c r="BY416" s="225" t="str">
        <f t="shared" ref="BY416" si="6239">++IFERROR(BY415/BY402,"n/a")</f>
        <v>n/a</v>
      </c>
      <c r="BZ416" s="225" t="str">
        <f t="shared" ref="BZ416" si="6240">++IFERROR(BZ415/BZ402,"n/a")</f>
        <v>n/a</v>
      </c>
      <c r="CA416" s="225" t="str">
        <f t="shared" ref="CA416" si="6241">++IFERROR(CA415/CA402,"n/a")</f>
        <v>n/a</v>
      </c>
      <c r="CB416" s="225" t="str">
        <f t="shared" ref="CB416" si="6242">++IFERROR(CB415/CB402,"n/a")</f>
        <v>n/a</v>
      </c>
      <c r="CC416" s="225" t="str">
        <f t="shared" ref="CC416" si="6243">++IFERROR(CC415/CC402,"n/a")</f>
        <v>n/a</v>
      </c>
      <c r="CD416" s="225" t="str">
        <f t="shared" ref="CD416" si="6244">++IFERROR(CD415/CD402,"n/a")</f>
        <v>n/a</v>
      </c>
      <c r="CE416" s="214" t="str">
        <f t="shared" ref="CE416" si="6245">++IFERROR(CE415/CE402,"n/a")</f>
        <v>n/a</v>
      </c>
      <c r="CF416" s="225" t="str">
        <f t="shared" ref="CF416" si="6246">++IFERROR(CF415/CF402,"n/a")</f>
        <v>n/a</v>
      </c>
      <c r="CG416" s="225" t="str">
        <f t="shared" ref="CG416" si="6247">++IFERROR(CG415/CG402,"n/a")</f>
        <v>n/a</v>
      </c>
      <c r="CH416" s="225" t="str">
        <f t="shared" ref="CH416" si="6248">++IFERROR(CH415/CH402,"n/a")</f>
        <v>n/a</v>
      </c>
      <c r="CI416" s="225" t="str">
        <f t="shared" ref="CI416" si="6249">++IFERROR(CI415/CI402,"n/a")</f>
        <v>n/a</v>
      </c>
      <c r="CJ416" s="225" t="str">
        <f t="shared" ref="CJ416" si="6250">++IFERROR(CJ415/CJ402,"n/a")</f>
        <v>n/a</v>
      </c>
      <c r="CK416" s="225" t="str">
        <f t="shared" ref="CK416" si="6251">++IFERROR(CK415/CK402,"n/a")</f>
        <v>n/a</v>
      </c>
      <c r="CL416" s="225" t="str">
        <f t="shared" ref="CL416" si="6252">++IFERROR(CL415/CL402,"n/a")</f>
        <v>n/a</v>
      </c>
      <c r="CM416" s="225" t="str">
        <f t="shared" ref="CM416" si="6253">++IFERROR(CM415/CM402,"n/a")</f>
        <v>n/a</v>
      </c>
      <c r="CN416" s="225" t="str">
        <f t="shared" ref="CN416" si="6254">++IFERROR(CN415/CN402,"n/a")</f>
        <v>n/a</v>
      </c>
      <c r="CO416" s="225" t="str">
        <f t="shared" ref="CO416" si="6255">++IFERROR(CO415/CO402,"n/a")</f>
        <v>n/a</v>
      </c>
      <c r="CP416" s="225" t="str">
        <f t="shared" ref="CP416" si="6256">++IFERROR(CP415/CP402,"n/a")</f>
        <v>n/a</v>
      </c>
      <c r="CQ416" s="214" t="str">
        <f t="shared" ref="CQ416" si="6257">++IFERROR(CQ415/CQ402,"n/a")</f>
        <v>n/a</v>
      </c>
      <c r="CR416" s="225" t="str">
        <f t="shared" ref="CR416" si="6258">++IFERROR(CR415/CR402,"n/a")</f>
        <v>n/a</v>
      </c>
      <c r="CS416" s="225" t="str">
        <f t="shared" ref="CS416" si="6259">++IFERROR(CS415/CS402,"n/a")</f>
        <v>n/a</v>
      </c>
      <c r="CT416" s="225" t="str">
        <f t="shared" ref="CT416" si="6260">++IFERROR(CT415/CT402,"n/a")</f>
        <v>n/a</v>
      </c>
      <c r="CU416" s="225" t="str">
        <f t="shared" ref="CU416" si="6261">++IFERROR(CU415/CU402,"n/a")</f>
        <v>n/a</v>
      </c>
      <c r="CV416" s="225" t="str">
        <f t="shared" ref="CV416" si="6262">++IFERROR(CV415/CV402,"n/a")</f>
        <v>n/a</v>
      </c>
      <c r="CW416" s="225" t="str">
        <f t="shared" ref="CW416" si="6263">++IFERROR(CW415/CW402,"n/a")</f>
        <v>n/a</v>
      </c>
      <c r="CX416" s="225" t="str">
        <f t="shared" ref="CX416" si="6264">++IFERROR(CX415/CX402,"n/a")</f>
        <v>n/a</v>
      </c>
      <c r="CY416" s="225" t="str">
        <f t="shared" ref="CY416" si="6265">++IFERROR(CY415/CY402,"n/a")</f>
        <v>n/a</v>
      </c>
      <c r="CZ416" s="225" t="str">
        <f t="shared" ref="CZ416" si="6266">++IFERROR(CZ415/CZ402,"n/a")</f>
        <v>n/a</v>
      </c>
      <c r="DA416" s="225" t="str">
        <f t="shared" ref="DA416" si="6267">++IFERROR(DA415/DA402,"n/a")</f>
        <v>n/a</v>
      </c>
      <c r="DB416" s="225" t="str">
        <f t="shared" ref="DB416" si="6268">++IFERROR(DB415/DB402,"n/a")</f>
        <v>n/a</v>
      </c>
      <c r="DC416" s="214" t="str">
        <f t="shared" ref="DC416" si="6269">++IFERROR(DC415/DC402,"n/a")</f>
        <v>n/a</v>
      </c>
    </row>
    <row r="417" spans="3:107" x14ac:dyDescent="0.3">
      <c r="C417" s="321" t="str">
        <f>++C$25</f>
        <v>% y/y</v>
      </c>
      <c r="G417" s="122" t="s">
        <v>47</v>
      </c>
      <c r="H417" s="122" t="s">
        <v>47</v>
      </c>
      <c r="I417" s="122" t="s">
        <v>47</v>
      </c>
      <c r="J417" s="122" t="s">
        <v>47</v>
      </c>
      <c r="K417" s="214" t="str">
        <f>++IFERROR(K415/G415-1,"n/a")</f>
        <v>n/a</v>
      </c>
      <c r="L417" s="122" t="s">
        <v>47</v>
      </c>
      <c r="M417" s="122" t="s">
        <v>47</v>
      </c>
      <c r="N417" s="225" t="str">
        <f>++IFERROR(N415/H415-1,"n/a")</f>
        <v>n/a</v>
      </c>
      <c r="O417" s="122" t="s">
        <v>47</v>
      </c>
      <c r="P417" s="122" t="s">
        <v>47</v>
      </c>
      <c r="Q417" s="225" t="str">
        <f>++IFERROR(Q415/I415-1,"n/a")</f>
        <v>n/a</v>
      </c>
      <c r="R417" s="122" t="s">
        <v>47</v>
      </c>
      <c r="S417" s="122" t="s">
        <v>47</v>
      </c>
      <c r="T417" s="225" t="str">
        <f>++IFERROR(T415/J415-1,"n/a")</f>
        <v>n/a</v>
      </c>
      <c r="U417" s="122" t="s">
        <v>47</v>
      </c>
      <c r="V417" s="122" t="s">
        <v>47</v>
      </c>
      <c r="W417" s="214" t="str">
        <f t="shared" ref="W417:BB417" si="6270">++IFERROR(W415/K415-1,"n/a")</f>
        <v>n/a</v>
      </c>
      <c r="X417" s="225" t="str">
        <f t="shared" si="6270"/>
        <v>n/a</v>
      </c>
      <c r="Y417" s="225" t="str">
        <f t="shared" si="6270"/>
        <v>n/a</v>
      </c>
      <c r="Z417" s="225" t="str">
        <f t="shared" si="6270"/>
        <v>n/a</v>
      </c>
      <c r="AA417" s="225" t="str">
        <f t="shared" si="6270"/>
        <v>n/a</v>
      </c>
      <c r="AB417" s="225" t="str">
        <f t="shared" si="6270"/>
        <v>n/a</v>
      </c>
      <c r="AC417" s="225" t="str">
        <f t="shared" si="6270"/>
        <v>n/a</v>
      </c>
      <c r="AD417" s="225" t="str">
        <f t="shared" si="6270"/>
        <v>n/a</v>
      </c>
      <c r="AE417" s="225" t="str">
        <f t="shared" si="6270"/>
        <v>n/a</v>
      </c>
      <c r="AF417" s="225" t="str">
        <f t="shared" si="6270"/>
        <v>n/a</v>
      </c>
      <c r="AG417" s="225" t="str">
        <f t="shared" si="6270"/>
        <v>n/a</v>
      </c>
      <c r="AH417" s="225" t="str">
        <f t="shared" si="6270"/>
        <v>n/a</v>
      </c>
      <c r="AI417" s="214" t="str">
        <f t="shared" si="6270"/>
        <v>n/a</v>
      </c>
      <c r="AJ417" s="225" t="str">
        <f t="shared" si="6270"/>
        <v>n/a</v>
      </c>
      <c r="AK417" s="225" t="str">
        <f t="shared" si="6270"/>
        <v>n/a</v>
      </c>
      <c r="AL417" s="225" t="str">
        <f t="shared" si="6270"/>
        <v>n/a</v>
      </c>
      <c r="AM417" s="225" t="str">
        <f t="shared" si="6270"/>
        <v>n/a</v>
      </c>
      <c r="AN417" s="225" t="str">
        <f t="shared" si="6270"/>
        <v>n/a</v>
      </c>
      <c r="AO417" s="225" t="str">
        <f t="shared" si="6270"/>
        <v>n/a</v>
      </c>
      <c r="AP417" s="225" t="str">
        <f t="shared" si="6270"/>
        <v>n/a</v>
      </c>
      <c r="AQ417" s="225" t="str">
        <f t="shared" si="6270"/>
        <v>n/a</v>
      </c>
      <c r="AR417" s="225" t="str">
        <f t="shared" si="6270"/>
        <v>n/a</v>
      </c>
      <c r="AS417" s="225" t="str">
        <f t="shared" si="6270"/>
        <v>n/a</v>
      </c>
      <c r="AT417" s="225" t="str">
        <f t="shared" si="6270"/>
        <v>n/a</v>
      </c>
      <c r="AU417" s="214" t="str">
        <f t="shared" si="6270"/>
        <v>n/a</v>
      </c>
      <c r="AV417" s="225" t="str">
        <f t="shared" si="6270"/>
        <v>n/a</v>
      </c>
      <c r="AW417" s="225" t="str">
        <f t="shared" si="6270"/>
        <v>n/a</v>
      </c>
      <c r="AX417" s="225" t="str">
        <f t="shared" si="6270"/>
        <v>n/a</v>
      </c>
      <c r="AY417" s="225" t="str">
        <f t="shared" si="6270"/>
        <v>n/a</v>
      </c>
      <c r="AZ417" s="225" t="str">
        <f t="shared" si="6270"/>
        <v>n/a</v>
      </c>
      <c r="BA417" s="225" t="str">
        <f t="shared" si="6270"/>
        <v>n/a</v>
      </c>
      <c r="BB417" s="225" t="str">
        <f t="shared" si="6270"/>
        <v>n/a</v>
      </c>
      <c r="BC417" s="225" t="str">
        <f t="shared" ref="BC417:CH417" si="6271">++IFERROR(BC415/AQ415-1,"n/a")</f>
        <v>n/a</v>
      </c>
      <c r="BD417" s="225" t="str">
        <f t="shared" si="6271"/>
        <v>n/a</v>
      </c>
      <c r="BE417" s="225" t="str">
        <f t="shared" si="6271"/>
        <v>n/a</v>
      </c>
      <c r="BF417" s="225" t="str">
        <f t="shared" si="6271"/>
        <v>n/a</v>
      </c>
      <c r="BG417" s="214" t="str">
        <f t="shared" si="6271"/>
        <v>n/a</v>
      </c>
      <c r="BH417" s="225" t="str">
        <f t="shared" si="6271"/>
        <v>n/a</v>
      </c>
      <c r="BI417" s="225" t="str">
        <f t="shared" si="6271"/>
        <v>n/a</v>
      </c>
      <c r="BJ417" s="225" t="str">
        <f t="shared" si="6271"/>
        <v>n/a</v>
      </c>
      <c r="BK417" s="225" t="str">
        <f t="shared" si="6271"/>
        <v>n/a</v>
      </c>
      <c r="BL417" s="225" t="str">
        <f t="shared" si="6271"/>
        <v>n/a</v>
      </c>
      <c r="BM417" s="225" t="str">
        <f t="shared" si="6271"/>
        <v>n/a</v>
      </c>
      <c r="BN417" s="225" t="str">
        <f t="shared" si="6271"/>
        <v>n/a</v>
      </c>
      <c r="BO417" s="225" t="str">
        <f t="shared" si="6271"/>
        <v>n/a</v>
      </c>
      <c r="BP417" s="225" t="str">
        <f t="shared" si="6271"/>
        <v>n/a</v>
      </c>
      <c r="BQ417" s="225" t="str">
        <f t="shared" si="6271"/>
        <v>n/a</v>
      </c>
      <c r="BR417" s="225" t="str">
        <f t="shared" si="6271"/>
        <v>n/a</v>
      </c>
      <c r="BS417" s="214" t="str">
        <f t="shared" si="6271"/>
        <v>n/a</v>
      </c>
      <c r="BT417" s="225" t="str">
        <f t="shared" si="6271"/>
        <v>n/a</v>
      </c>
      <c r="BU417" s="225" t="str">
        <f t="shared" si="6271"/>
        <v>n/a</v>
      </c>
      <c r="BV417" s="225" t="str">
        <f t="shared" si="6271"/>
        <v>n/a</v>
      </c>
      <c r="BW417" s="225" t="str">
        <f t="shared" si="6271"/>
        <v>n/a</v>
      </c>
      <c r="BX417" s="225" t="str">
        <f t="shared" si="6271"/>
        <v>n/a</v>
      </c>
      <c r="BY417" s="225" t="str">
        <f t="shared" si="6271"/>
        <v>n/a</v>
      </c>
      <c r="BZ417" s="225" t="str">
        <f t="shared" si="6271"/>
        <v>n/a</v>
      </c>
      <c r="CA417" s="225" t="str">
        <f t="shared" si="6271"/>
        <v>n/a</v>
      </c>
      <c r="CB417" s="225" t="str">
        <f t="shared" si="6271"/>
        <v>n/a</v>
      </c>
      <c r="CC417" s="225" t="str">
        <f t="shared" si="6271"/>
        <v>n/a</v>
      </c>
      <c r="CD417" s="225" t="str">
        <f t="shared" si="6271"/>
        <v>n/a</v>
      </c>
      <c r="CE417" s="214" t="str">
        <f t="shared" si="6271"/>
        <v>n/a</v>
      </c>
      <c r="CF417" s="225" t="str">
        <f t="shared" si="6271"/>
        <v>n/a</v>
      </c>
      <c r="CG417" s="225" t="str">
        <f t="shared" si="6271"/>
        <v>n/a</v>
      </c>
      <c r="CH417" s="225" t="str">
        <f t="shared" si="6271"/>
        <v>n/a</v>
      </c>
      <c r="CI417" s="225" t="str">
        <f t="shared" ref="CI417:DN417" si="6272">++IFERROR(CI415/BW415-1,"n/a")</f>
        <v>n/a</v>
      </c>
      <c r="CJ417" s="225" t="str">
        <f t="shared" si="6272"/>
        <v>n/a</v>
      </c>
      <c r="CK417" s="225" t="str">
        <f t="shared" si="6272"/>
        <v>n/a</v>
      </c>
      <c r="CL417" s="225" t="str">
        <f t="shared" si="6272"/>
        <v>n/a</v>
      </c>
      <c r="CM417" s="225" t="str">
        <f t="shared" si="6272"/>
        <v>n/a</v>
      </c>
      <c r="CN417" s="225" t="str">
        <f t="shared" si="6272"/>
        <v>n/a</v>
      </c>
      <c r="CO417" s="225" t="str">
        <f t="shared" si="6272"/>
        <v>n/a</v>
      </c>
      <c r="CP417" s="225" t="str">
        <f t="shared" si="6272"/>
        <v>n/a</v>
      </c>
      <c r="CQ417" s="214" t="str">
        <f t="shared" si="6272"/>
        <v>n/a</v>
      </c>
      <c r="CR417" s="225" t="str">
        <f t="shared" si="6272"/>
        <v>n/a</v>
      </c>
      <c r="CS417" s="225" t="str">
        <f t="shared" si="6272"/>
        <v>n/a</v>
      </c>
      <c r="CT417" s="225" t="str">
        <f t="shared" si="6272"/>
        <v>n/a</v>
      </c>
      <c r="CU417" s="225" t="str">
        <f t="shared" si="6272"/>
        <v>n/a</v>
      </c>
      <c r="CV417" s="225" t="str">
        <f t="shared" si="6272"/>
        <v>n/a</v>
      </c>
      <c r="CW417" s="225" t="str">
        <f t="shared" si="6272"/>
        <v>n/a</v>
      </c>
      <c r="CX417" s="225" t="str">
        <f t="shared" si="6272"/>
        <v>n/a</v>
      </c>
      <c r="CY417" s="225" t="str">
        <f t="shared" si="6272"/>
        <v>n/a</v>
      </c>
      <c r="CZ417" s="225" t="str">
        <f t="shared" si="6272"/>
        <v>n/a</v>
      </c>
      <c r="DA417" s="225" t="str">
        <f t="shared" si="6272"/>
        <v>n/a</v>
      </c>
      <c r="DB417" s="225" t="str">
        <f t="shared" si="6272"/>
        <v>n/a</v>
      </c>
      <c r="DC417" s="214" t="str">
        <f t="shared" si="6272"/>
        <v>n/a</v>
      </c>
    </row>
    <row r="418" spans="3:107" x14ac:dyDescent="0.3">
      <c r="G418" s="203"/>
      <c r="K418" s="203"/>
      <c r="W418" s="203"/>
      <c r="AI418" s="203"/>
      <c r="AU418" s="203"/>
      <c r="BG418" s="203"/>
      <c r="BS418" s="203"/>
      <c r="CE418" s="203"/>
      <c r="CQ418" s="203"/>
      <c r="DC418" s="203"/>
    </row>
    <row r="419" spans="3:107" x14ac:dyDescent="0.3">
      <c r="C419" s="101" t="str">
        <f>++C$27</f>
        <v>Interest Expense (Income)</v>
      </c>
      <c r="G419" s="45">
        <f>++G125</f>
        <v>0</v>
      </c>
      <c r="H419" s="45">
        <f t="shared" ref="H419:BS419" si="6273">++H125</f>
        <v>0</v>
      </c>
      <c r="I419" s="45">
        <f t="shared" si="6273"/>
        <v>0</v>
      </c>
      <c r="J419" s="45">
        <f t="shared" si="6273"/>
        <v>0</v>
      </c>
      <c r="K419" s="45">
        <f t="shared" si="6273"/>
        <v>0</v>
      </c>
      <c r="L419" s="45">
        <f t="shared" si="6273"/>
        <v>0</v>
      </c>
      <c r="M419" s="45">
        <f t="shared" si="6273"/>
        <v>0</v>
      </c>
      <c r="N419" s="45">
        <f t="shared" si="6273"/>
        <v>0</v>
      </c>
      <c r="O419" s="45">
        <f t="shared" si="6273"/>
        <v>0</v>
      </c>
      <c r="P419" s="45">
        <f t="shared" si="6273"/>
        <v>0</v>
      </c>
      <c r="Q419" s="45">
        <f t="shared" si="6273"/>
        <v>0</v>
      </c>
      <c r="R419" s="45">
        <f t="shared" si="6273"/>
        <v>0</v>
      </c>
      <c r="S419" s="45">
        <f t="shared" si="6273"/>
        <v>0</v>
      </c>
      <c r="T419" s="45">
        <f t="shared" si="6273"/>
        <v>0</v>
      </c>
      <c r="U419" s="45">
        <f t="shared" si="6273"/>
        <v>0</v>
      </c>
      <c r="V419" s="45">
        <f t="shared" si="6273"/>
        <v>0</v>
      </c>
      <c r="W419" s="45">
        <f t="shared" si="6273"/>
        <v>0</v>
      </c>
      <c r="X419" s="45">
        <f t="shared" si="6273"/>
        <v>0</v>
      </c>
      <c r="Y419" s="45">
        <f t="shared" si="6273"/>
        <v>0</v>
      </c>
      <c r="Z419" s="45">
        <f t="shared" si="6273"/>
        <v>0</v>
      </c>
      <c r="AA419" s="45">
        <f t="shared" si="6273"/>
        <v>0</v>
      </c>
      <c r="AB419" s="45">
        <f t="shared" si="6273"/>
        <v>0</v>
      </c>
      <c r="AC419" s="45">
        <f t="shared" si="6273"/>
        <v>0</v>
      </c>
      <c r="AD419" s="45">
        <f t="shared" si="6273"/>
        <v>0</v>
      </c>
      <c r="AE419" s="45">
        <f t="shared" si="6273"/>
        <v>0</v>
      </c>
      <c r="AF419" s="45">
        <f t="shared" si="6273"/>
        <v>0</v>
      </c>
      <c r="AG419" s="45">
        <f t="shared" si="6273"/>
        <v>0</v>
      </c>
      <c r="AH419" s="45">
        <f t="shared" si="6273"/>
        <v>0</v>
      </c>
      <c r="AI419" s="45">
        <f t="shared" si="6273"/>
        <v>0</v>
      </c>
      <c r="AJ419" s="45">
        <f t="shared" si="6273"/>
        <v>0</v>
      </c>
      <c r="AK419" s="45">
        <f t="shared" si="6273"/>
        <v>0</v>
      </c>
      <c r="AL419" s="45">
        <f t="shared" si="6273"/>
        <v>0</v>
      </c>
      <c r="AM419" s="45">
        <f t="shared" si="6273"/>
        <v>0</v>
      </c>
      <c r="AN419" s="45">
        <f t="shared" si="6273"/>
        <v>0</v>
      </c>
      <c r="AO419" s="45">
        <f t="shared" si="6273"/>
        <v>0</v>
      </c>
      <c r="AP419" s="45">
        <f t="shared" si="6273"/>
        <v>0</v>
      </c>
      <c r="AQ419" s="45">
        <f t="shared" si="6273"/>
        <v>0</v>
      </c>
      <c r="AR419" s="45">
        <f t="shared" si="6273"/>
        <v>0</v>
      </c>
      <c r="AS419" s="45">
        <f t="shared" si="6273"/>
        <v>0</v>
      </c>
      <c r="AT419" s="45">
        <f t="shared" si="6273"/>
        <v>0</v>
      </c>
      <c r="AU419" s="45">
        <f t="shared" si="6273"/>
        <v>0</v>
      </c>
      <c r="AV419" s="45">
        <f t="shared" si="6273"/>
        <v>0</v>
      </c>
      <c r="AW419" s="45">
        <f t="shared" si="6273"/>
        <v>0</v>
      </c>
      <c r="AX419" s="45">
        <f t="shared" si="6273"/>
        <v>0</v>
      </c>
      <c r="AY419" s="45">
        <f t="shared" si="6273"/>
        <v>0</v>
      </c>
      <c r="AZ419" s="45">
        <f t="shared" si="6273"/>
        <v>0</v>
      </c>
      <c r="BA419" s="45">
        <f t="shared" si="6273"/>
        <v>0</v>
      </c>
      <c r="BB419" s="45">
        <f t="shared" si="6273"/>
        <v>0</v>
      </c>
      <c r="BC419" s="45">
        <f t="shared" si="6273"/>
        <v>0</v>
      </c>
      <c r="BD419" s="45">
        <f t="shared" si="6273"/>
        <v>0</v>
      </c>
      <c r="BE419" s="45">
        <f t="shared" si="6273"/>
        <v>0</v>
      </c>
      <c r="BF419" s="45">
        <f t="shared" si="6273"/>
        <v>0</v>
      </c>
      <c r="BG419" s="45">
        <f t="shared" si="6273"/>
        <v>0</v>
      </c>
      <c r="BH419" s="45">
        <f t="shared" si="6273"/>
        <v>0</v>
      </c>
      <c r="BI419" s="45">
        <f t="shared" si="6273"/>
        <v>0</v>
      </c>
      <c r="BJ419" s="45">
        <f t="shared" si="6273"/>
        <v>0</v>
      </c>
      <c r="BK419" s="45">
        <f t="shared" si="6273"/>
        <v>0</v>
      </c>
      <c r="BL419" s="45">
        <f t="shared" si="6273"/>
        <v>0</v>
      </c>
      <c r="BM419" s="45">
        <f t="shared" si="6273"/>
        <v>0</v>
      </c>
      <c r="BN419" s="45">
        <f t="shared" si="6273"/>
        <v>0</v>
      </c>
      <c r="BO419" s="45">
        <f t="shared" si="6273"/>
        <v>0</v>
      </c>
      <c r="BP419" s="45">
        <f t="shared" si="6273"/>
        <v>0</v>
      </c>
      <c r="BQ419" s="45">
        <f t="shared" si="6273"/>
        <v>0</v>
      </c>
      <c r="BR419" s="45">
        <f t="shared" si="6273"/>
        <v>0</v>
      </c>
      <c r="BS419" s="45">
        <f t="shared" si="6273"/>
        <v>0</v>
      </c>
      <c r="BT419" s="45">
        <f t="shared" ref="BT419:DC419" si="6274">++BT125</f>
        <v>0</v>
      </c>
      <c r="BU419" s="45">
        <f t="shared" si="6274"/>
        <v>0</v>
      </c>
      <c r="BV419" s="45">
        <f t="shared" si="6274"/>
        <v>0</v>
      </c>
      <c r="BW419" s="45">
        <f t="shared" si="6274"/>
        <v>0</v>
      </c>
      <c r="BX419" s="45">
        <f t="shared" si="6274"/>
        <v>0</v>
      </c>
      <c r="BY419" s="45">
        <f t="shared" si="6274"/>
        <v>0</v>
      </c>
      <c r="BZ419" s="45">
        <f t="shared" si="6274"/>
        <v>0</v>
      </c>
      <c r="CA419" s="45">
        <f t="shared" si="6274"/>
        <v>0</v>
      </c>
      <c r="CB419" s="45">
        <f t="shared" si="6274"/>
        <v>0</v>
      </c>
      <c r="CC419" s="45">
        <f t="shared" si="6274"/>
        <v>0</v>
      </c>
      <c r="CD419" s="45">
        <f t="shared" si="6274"/>
        <v>0</v>
      </c>
      <c r="CE419" s="45">
        <f t="shared" si="6274"/>
        <v>0</v>
      </c>
      <c r="CF419" s="45">
        <f t="shared" si="6274"/>
        <v>0</v>
      </c>
      <c r="CG419" s="45">
        <f t="shared" si="6274"/>
        <v>0</v>
      </c>
      <c r="CH419" s="45">
        <f t="shared" si="6274"/>
        <v>0</v>
      </c>
      <c r="CI419" s="45">
        <f t="shared" si="6274"/>
        <v>0</v>
      </c>
      <c r="CJ419" s="45">
        <f t="shared" si="6274"/>
        <v>0</v>
      </c>
      <c r="CK419" s="45">
        <f t="shared" si="6274"/>
        <v>0</v>
      </c>
      <c r="CL419" s="45">
        <f t="shared" si="6274"/>
        <v>0</v>
      </c>
      <c r="CM419" s="45">
        <f t="shared" si="6274"/>
        <v>0</v>
      </c>
      <c r="CN419" s="45">
        <f t="shared" si="6274"/>
        <v>0</v>
      </c>
      <c r="CO419" s="45">
        <f t="shared" si="6274"/>
        <v>0</v>
      </c>
      <c r="CP419" s="45">
        <f t="shared" si="6274"/>
        <v>0</v>
      </c>
      <c r="CQ419" s="45">
        <f t="shared" si="6274"/>
        <v>0</v>
      </c>
      <c r="CR419" s="45">
        <f t="shared" si="6274"/>
        <v>0</v>
      </c>
      <c r="CS419" s="45">
        <f t="shared" si="6274"/>
        <v>0</v>
      </c>
      <c r="CT419" s="45">
        <f t="shared" si="6274"/>
        <v>0</v>
      </c>
      <c r="CU419" s="45">
        <f t="shared" si="6274"/>
        <v>0</v>
      </c>
      <c r="CV419" s="45">
        <f t="shared" si="6274"/>
        <v>0</v>
      </c>
      <c r="CW419" s="45">
        <f t="shared" si="6274"/>
        <v>0</v>
      </c>
      <c r="CX419" s="45">
        <f t="shared" si="6274"/>
        <v>0</v>
      </c>
      <c r="CY419" s="45">
        <f t="shared" si="6274"/>
        <v>0</v>
      </c>
      <c r="CZ419" s="45">
        <f t="shared" si="6274"/>
        <v>0</v>
      </c>
      <c r="DA419" s="45">
        <f t="shared" si="6274"/>
        <v>0</v>
      </c>
      <c r="DB419" s="45">
        <f t="shared" si="6274"/>
        <v>0</v>
      </c>
      <c r="DC419" s="45">
        <f t="shared" si="6274"/>
        <v>0</v>
      </c>
    </row>
    <row r="420" spans="3:107" x14ac:dyDescent="0.3">
      <c r="C420" s="101" t="str">
        <f>++C$28</f>
        <v>Other Expense (Income)</v>
      </c>
      <c r="G420" s="45">
        <f>++G126</f>
        <v>0</v>
      </c>
      <c r="H420" s="45">
        <f t="shared" ref="H420:BS420" si="6275">++H126</f>
        <v>0</v>
      </c>
      <c r="I420" s="45">
        <f t="shared" si="6275"/>
        <v>0</v>
      </c>
      <c r="J420" s="45">
        <f t="shared" si="6275"/>
        <v>0</v>
      </c>
      <c r="K420" s="45">
        <f t="shared" si="6275"/>
        <v>0</v>
      </c>
      <c r="L420" s="45">
        <f t="shared" si="6275"/>
        <v>0</v>
      </c>
      <c r="M420" s="45">
        <f t="shared" si="6275"/>
        <v>0</v>
      </c>
      <c r="N420" s="45">
        <f t="shared" si="6275"/>
        <v>0</v>
      </c>
      <c r="O420" s="45">
        <f t="shared" si="6275"/>
        <v>0</v>
      </c>
      <c r="P420" s="45">
        <f t="shared" si="6275"/>
        <v>0</v>
      </c>
      <c r="Q420" s="45">
        <f t="shared" si="6275"/>
        <v>0</v>
      </c>
      <c r="R420" s="45">
        <f t="shared" si="6275"/>
        <v>0</v>
      </c>
      <c r="S420" s="45">
        <f t="shared" si="6275"/>
        <v>0</v>
      </c>
      <c r="T420" s="45">
        <f t="shared" si="6275"/>
        <v>0</v>
      </c>
      <c r="U420" s="45">
        <f t="shared" si="6275"/>
        <v>0</v>
      </c>
      <c r="V420" s="45">
        <f t="shared" si="6275"/>
        <v>0</v>
      </c>
      <c r="W420" s="45">
        <f t="shared" si="6275"/>
        <v>0</v>
      </c>
      <c r="X420" s="45">
        <f t="shared" si="6275"/>
        <v>0</v>
      </c>
      <c r="Y420" s="45">
        <f t="shared" si="6275"/>
        <v>0</v>
      </c>
      <c r="Z420" s="45">
        <f t="shared" si="6275"/>
        <v>0</v>
      </c>
      <c r="AA420" s="45">
        <f t="shared" si="6275"/>
        <v>0</v>
      </c>
      <c r="AB420" s="45">
        <f t="shared" si="6275"/>
        <v>0</v>
      </c>
      <c r="AC420" s="45">
        <f t="shared" si="6275"/>
        <v>0</v>
      </c>
      <c r="AD420" s="45">
        <f t="shared" si="6275"/>
        <v>0</v>
      </c>
      <c r="AE420" s="45">
        <f t="shared" si="6275"/>
        <v>0</v>
      </c>
      <c r="AF420" s="45">
        <f t="shared" si="6275"/>
        <v>0</v>
      </c>
      <c r="AG420" s="45">
        <f t="shared" si="6275"/>
        <v>0</v>
      </c>
      <c r="AH420" s="45">
        <f t="shared" si="6275"/>
        <v>0</v>
      </c>
      <c r="AI420" s="45">
        <f t="shared" si="6275"/>
        <v>0</v>
      </c>
      <c r="AJ420" s="45">
        <f t="shared" si="6275"/>
        <v>0</v>
      </c>
      <c r="AK420" s="45">
        <f t="shared" si="6275"/>
        <v>0</v>
      </c>
      <c r="AL420" s="45">
        <f t="shared" si="6275"/>
        <v>0</v>
      </c>
      <c r="AM420" s="45">
        <f t="shared" si="6275"/>
        <v>0</v>
      </c>
      <c r="AN420" s="45">
        <f t="shared" si="6275"/>
        <v>0</v>
      </c>
      <c r="AO420" s="45">
        <f t="shared" si="6275"/>
        <v>0</v>
      </c>
      <c r="AP420" s="45">
        <f t="shared" si="6275"/>
        <v>0</v>
      </c>
      <c r="AQ420" s="45">
        <f t="shared" si="6275"/>
        <v>0</v>
      </c>
      <c r="AR420" s="45">
        <f t="shared" si="6275"/>
        <v>0</v>
      </c>
      <c r="AS420" s="45">
        <f t="shared" si="6275"/>
        <v>0</v>
      </c>
      <c r="AT420" s="45">
        <f t="shared" si="6275"/>
        <v>0</v>
      </c>
      <c r="AU420" s="45">
        <f t="shared" si="6275"/>
        <v>0</v>
      </c>
      <c r="AV420" s="45">
        <f t="shared" si="6275"/>
        <v>0</v>
      </c>
      <c r="AW420" s="45">
        <f t="shared" si="6275"/>
        <v>0</v>
      </c>
      <c r="AX420" s="45">
        <f t="shared" si="6275"/>
        <v>0</v>
      </c>
      <c r="AY420" s="45">
        <f t="shared" si="6275"/>
        <v>0</v>
      </c>
      <c r="AZ420" s="45">
        <f t="shared" si="6275"/>
        <v>0</v>
      </c>
      <c r="BA420" s="45">
        <f t="shared" si="6275"/>
        <v>0</v>
      </c>
      <c r="BB420" s="45">
        <f t="shared" si="6275"/>
        <v>0</v>
      </c>
      <c r="BC420" s="45">
        <f t="shared" si="6275"/>
        <v>0</v>
      </c>
      <c r="BD420" s="45">
        <f t="shared" si="6275"/>
        <v>0</v>
      </c>
      <c r="BE420" s="45">
        <f t="shared" si="6275"/>
        <v>0</v>
      </c>
      <c r="BF420" s="45">
        <f t="shared" si="6275"/>
        <v>0</v>
      </c>
      <c r="BG420" s="45">
        <f t="shared" si="6275"/>
        <v>0</v>
      </c>
      <c r="BH420" s="45">
        <f t="shared" si="6275"/>
        <v>0</v>
      </c>
      <c r="BI420" s="45">
        <f t="shared" si="6275"/>
        <v>0</v>
      </c>
      <c r="BJ420" s="45">
        <f t="shared" si="6275"/>
        <v>0</v>
      </c>
      <c r="BK420" s="45">
        <f t="shared" si="6275"/>
        <v>0</v>
      </c>
      <c r="BL420" s="45">
        <f t="shared" si="6275"/>
        <v>0</v>
      </c>
      <c r="BM420" s="45">
        <f t="shared" si="6275"/>
        <v>0</v>
      </c>
      <c r="BN420" s="45">
        <f t="shared" si="6275"/>
        <v>0</v>
      </c>
      <c r="BO420" s="45">
        <f t="shared" si="6275"/>
        <v>0</v>
      </c>
      <c r="BP420" s="45">
        <f t="shared" si="6275"/>
        <v>0</v>
      </c>
      <c r="BQ420" s="45">
        <f t="shared" si="6275"/>
        <v>0</v>
      </c>
      <c r="BR420" s="45">
        <f t="shared" si="6275"/>
        <v>0</v>
      </c>
      <c r="BS420" s="45">
        <f t="shared" si="6275"/>
        <v>0</v>
      </c>
      <c r="BT420" s="45">
        <f t="shared" ref="BT420:DC420" si="6276">++BT126</f>
        <v>0</v>
      </c>
      <c r="BU420" s="45">
        <f t="shared" si="6276"/>
        <v>0</v>
      </c>
      <c r="BV420" s="45">
        <f t="shared" si="6276"/>
        <v>0</v>
      </c>
      <c r="BW420" s="45">
        <f t="shared" si="6276"/>
        <v>0</v>
      </c>
      <c r="BX420" s="45">
        <f t="shared" si="6276"/>
        <v>0</v>
      </c>
      <c r="BY420" s="45">
        <f t="shared" si="6276"/>
        <v>0</v>
      </c>
      <c r="BZ420" s="45">
        <f t="shared" si="6276"/>
        <v>0</v>
      </c>
      <c r="CA420" s="45">
        <f t="shared" si="6276"/>
        <v>0</v>
      </c>
      <c r="CB420" s="45">
        <f t="shared" si="6276"/>
        <v>0</v>
      </c>
      <c r="CC420" s="45">
        <f t="shared" si="6276"/>
        <v>0</v>
      </c>
      <c r="CD420" s="45">
        <f t="shared" si="6276"/>
        <v>0</v>
      </c>
      <c r="CE420" s="45">
        <f t="shared" si="6276"/>
        <v>0</v>
      </c>
      <c r="CF420" s="45">
        <f t="shared" si="6276"/>
        <v>0</v>
      </c>
      <c r="CG420" s="45">
        <f t="shared" si="6276"/>
        <v>0</v>
      </c>
      <c r="CH420" s="45">
        <f t="shared" si="6276"/>
        <v>0</v>
      </c>
      <c r="CI420" s="45">
        <f t="shared" si="6276"/>
        <v>0</v>
      </c>
      <c r="CJ420" s="45">
        <f t="shared" si="6276"/>
        <v>0</v>
      </c>
      <c r="CK420" s="45">
        <f t="shared" si="6276"/>
        <v>0</v>
      </c>
      <c r="CL420" s="45">
        <f t="shared" si="6276"/>
        <v>0</v>
      </c>
      <c r="CM420" s="45">
        <f t="shared" si="6276"/>
        <v>0</v>
      </c>
      <c r="CN420" s="45">
        <f t="shared" si="6276"/>
        <v>0</v>
      </c>
      <c r="CO420" s="45">
        <f t="shared" si="6276"/>
        <v>0</v>
      </c>
      <c r="CP420" s="45">
        <f t="shared" si="6276"/>
        <v>0</v>
      </c>
      <c r="CQ420" s="45">
        <f t="shared" si="6276"/>
        <v>0</v>
      </c>
      <c r="CR420" s="45">
        <f t="shared" si="6276"/>
        <v>0</v>
      </c>
      <c r="CS420" s="45">
        <f t="shared" si="6276"/>
        <v>0</v>
      </c>
      <c r="CT420" s="45">
        <f t="shared" si="6276"/>
        <v>0</v>
      </c>
      <c r="CU420" s="45">
        <f t="shared" si="6276"/>
        <v>0</v>
      </c>
      <c r="CV420" s="45">
        <f t="shared" si="6276"/>
        <v>0</v>
      </c>
      <c r="CW420" s="45">
        <f t="shared" si="6276"/>
        <v>0</v>
      </c>
      <c r="CX420" s="45">
        <f t="shared" si="6276"/>
        <v>0</v>
      </c>
      <c r="CY420" s="45">
        <f t="shared" si="6276"/>
        <v>0</v>
      </c>
      <c r="CZ420" s="45">
        <f t="shared" si="6276"/>
        <v>0</v>
      </c>
      <c r="DA420" s="45">
        <f t="shared" si="6276"/>
        <v>0</v>
      </c>
      <c r="DB420" s="45">
        <f t="shared" si="6276"/>
        <v>0</v>
      </c>
      <c r="DC420" s="45">
        <f t="shared" si="6276"/>
        <v>0</v>
      </c>
    </row>
    <row r="421" spans="3:107" x14ac:dyDescent="0.3">
      <c r="C421" s="231" t="str">
        <f>++C$29</f>
        <v>Pre-Tax Income (Loss)</v>
      </c>
      <c r="D421" s="191"/>
      <c r="E421" s="191"/>
      <c r="G421" s="239">
        <f>++SUM(G425,G428)</f>
        <v>0</v>
      </c>
      <c r="H421" s="232">
        <f t="shared" ref="H421:BS421" si="6277">++SUM(H425,H428)</f>
        <v>0</v>
      </c>
      <c r="I421" s="232">
        <f t="shared" si="6277"/>
        <v>0</v>
      </c>
      <c r="J421" s="232">
        <f t="shared" si="6277"/>
        <v>0</v>
      </c>
      <c r="K421" s="239">
        <f t="shared" si="6277"/>
        <v>0</v>
      </c>
      <c r="L421" s="232">
        <f t="shared" si="6277"/>
        <v>0</v>
      </c>
      <c r="M421" s="232">
        <f t="shared" si="6277"/>
        <v>0</v>
      </c>
      <c r="N421" s="232">
        <f t="shared" si="6277"/>
        <v>0</v>
      </c>
      <c r="O421" s="232">
        <f t="shared" si="6277"/>
        <v>0</v>
      </c>
      <c r="P421" s="232">
        <f t="shared" si="6277"/>
        <v>0</v>
      </c>
      <c r="Q421" s="232">
        <f t="shared" si="6277"/>
        <v>0</v>
      </c>
      <c r="R421" s="232">
        <f t="shared" si="6277"/>
        <v>0</v>
      </c>
      <c r="S421" s="232">
        <f t="shared" si="6277"/>
        <v>0</v>
      </c>
      <c r="T421" s="232">
        <f t="shared" si="6277"/>
        <v>0</v>
      </c>
      <c r="U421" s="232">
        <f t="shared" si="6277"/>
        <v>0</v>
      </c>
      <c r="V421" s="232">
        <f t="shared" si="6277"/>
        <v>0</v>
      </c>
      <c r="W421" s="239">
        <f t="shared" si="6277"/>
        <v>0</v>
      </c>
      <c r="X421" s="232">
        <f t="shared" si="6277"/>
        <v>0</v>
      </c>
      <c r="Y421" s="232">
        <f t="shared" si="6277"/>
        <v>0</v>
      </c>
      <c r="Z421" s="232">
        <f t="shared" si="6277"/>
        <v>0</v>
      </c>
      <c r="AA421" s="232">
        <f t="shared" si="6277"/>
        <v>0</v>
      </c>
      <c r="AB421" s="232">
        <f t="shared" si="6277"/>
        <v>0</v>
      </c>
      <c r="AC421" s="232">
        <f t="shared" si="6277"/>
        <v>0</v>
      </c>
      <c r="AD421" s="232">
        <f t="shared" si="6277"/>
        <v>0</v>
      </c>
      <c r="AE421" s="232">
        <f t="shared" si="6277"/>
        <v>0</v>
      </c>
      <c r="AF421" s="232">
        <f t="shared" si="6277"/>
        <v>0</v>
      </c>
      <c r="AG421" s="232">
        <f t="shared" si="6277"/>
        <v>0</v>
      </c>
      <c r="AH421" s="232">
        <f t="shared" si="6277"/>
        <v>0</v>
      </c>
      <c r="AI421" s="239">
        <f t="shared" si="6277"/>
        <v>0</v>
      </c>
      <c r="AJ421" s="232">
        <f t="shared" si="6277"/>
        <v>0</v>
      </c>
      <c r="AK421" s="232">
        <f t="shared" si="6277"/>
        <v>0</v>
      </c>
      <c r="AL421" s="232">
        <f t="shared" si="6277"/>
        <v>0</v>
      </c>
      <c r="AM421" s="232">
        <f t="shared" si="6277"/>
        <v>0</v>
      </c>
      <c r="AN421" s="232">
        <f t="shared" si="6277"/>
        <v>0</v>
      </c>
      <c r="AO421" s="232">
        <f t="shared" si="6277"/>
        <v>0</v>
      </c>
      <c r="AP421" s="232">
        <f t="shared" si="6277"/>
        <v>0</v>
      </c>
      <c r="AQ421" s="232">
        <f t="shared" si="6277"/>
        <v>0</v>
      </c>
      <c r="AR421" s="232">
        <f t="shared" si="6277"/>
        <v>0</v>
      </c>
      <c r="AS421" s="232">
        <f t="shared" si="6277"/>
        <v>0</v>
      </c>
      <c r="AT421" s="232">
        <f t="shared" si="6277"/>
        <v>0</v>
      </c>
      <c r="AU421" s="239">
        <f t="shared" si="6277"/>
        <v>0</v>
      </c>
      <c r="AV421" s="232">
        <f t="shared" si="6277"/>
        <v>0</v>
      </c>
      <c r="AW421" s="232">
        <f t="shared" si="6277"/>
        <v>0</v>
      </c>
      <c r="AX421" s="232">
        <f t="shared" si="6277"/>
        <v>0</v>
      </c>
      <c r="AY421" s="232">
        <f t="shared" si="6277"/>
        <v>0</v>
      </c>
      <c r="AZ421" s="232">
        <f t="shared" si="6277"/>
        <v>0</v>
      </c>
      <c r="BA421" s="232">
        <f t="shared" si="6277"/>
        <v>0</v>
      </c>
      <c r="BB421" s="232">
        <f t="shared" si="6277"/>
        <v>0</v>
      </c>
      <c r="BC421" s="232">
        <f t="shared" si="6277"/>
        <v>0</v>
      </c>
      <c r="BD421" s="232">
        <f t="shared" si="6277"/>
        <v>0</v>
      </c>
      <c r="BE421" s="232">
        <f t="shared" si="6277"/>
        <v>0</v>
      </c>
      <c r="BF421" s="232">
        <f t="shared" si="6277"/>
        <v>0</v>
      </c>
      <c r="BG421" s="239">
        <f t="shared" si="6277"/>
        <v>0</v>
      </c>
      <c r="BH421" s="232">
        <f t="shared" si="6277"/>
        <v>0</v>
      </c>
      <c r="BI421" s="232">
        <f t="shared" si="6277"/>
        <v>0</v>
      </c>
      <c r="BJ421" s="232">
        <f t="shared" si="6277"/>
        <v>0</v>
      </c>
      <c r="BK421" s="232">
        <f t="shared" si="6277"/>
        <v>0</v>
      </c>
      <c r="BL421" s="232">
        <f t="shared" si="6277"/>
        <v>0</v>
      </c>
      <c r="BM421" s="232">
        <f t="shared" si="6277"/>
        <v>0</v>
      </c>
      <c r="BN421" s="232">
        <f t="shared" si="6277"/>
        <v>0</v>
      </c>
      <c r="BO421" s="232">
        <f t="shared" si="6277"/>
        <v>0</v>
      </c>
      <c r="BP421" s="232">
        <f t="shared" si="6277"/>
        <v>0</v>
      </c>
      <c r="BQ421" s="232">
        <f t="shared" si="6277"/>
        <v>0</v>
      </c>
      <c r="BR421" s="232">
        <f t="shared" si="6277"/>
        <v>0</v>
      </c>
      <c r="BS421" s="239">
        <f t="shared" si="6277"/>
        <v>0</v>
      </c>
      <c r="BT421" s="232">
        <f t="shared" ref="BT421:DC421" si="6278">++SUM(BT425,BT428)</f>
        <v>0</v>
      </c>
      <c r="BU421" s="232">
        <f t="shared" si="6278"/>
        <v>0</v>
      </c>
      <c r="BV421" s="232">
        <f t="shared" si="6278"/>
        <v>0</v>
      </c>
      <c r="BW421" s="232">
        <f t="shared" si="6278"/>
        <v>0</v>
      </c>
      <c r="BX421" s="232">
        <f t="shared" si="6278"/>
        <v>0</v>
      </c>
      <c r="BY421" s="232">
        <f t="shared" si="6278"/>
        <v>0</v>
      </c>
      <c r="BZ421" s="232">
        <f t="shared" si="6278"/>
        <v>0</v>
      </c>
      <c r="CA421" s="232">
        <f t="shared" si="6278"/>
        <v>0</v>
      </c>
      <c r="CB421" s="232">
        <f t="shared" si="6278"/>
        <v>0</v>
      </c>
      <c r="CC421" s="232">
        <f t="shared" si="6278"/>
        <v>0</v>
      </c>
      <c r="CD421" s="232">
        <f t="shared" si="6278"/>
        <v>0</v>
      </c>
      <c r="CE421" s="239">
        <f t="shared" si="6278"/>
        <v>0</v>
      </c>
      <c r="CF421" s="232">
        <f t="shared" si="6278"/>
        <v>0</v>
      </c>
      <c r="CG421" s="232">
        <f t="shared" si="6278"/>
        <v>0</v>
      </c>
      <c r="CH421" s="232">
        <f t="shared" si="6278"/>
        <v>0</v>
      </c>
      <c r="CI421" s="232">
        <f t="shared" si="6278"/>
        <v>0</v>
      </c>
      <c r="CJ421" s="232">
        <f t="shared" si="6278"/>
        <v>0</v>
      </c>
      <c r="CK421" s="232">
        <f t="shared" si="6278"/>
        <v>0</v>
      </c>
      <c r="CL421" s="232">
        <f t="shared" si="6278"/>
        <v>0</v>
      </c>
      <c r="CM421" s="232">
        <f t="shared" si="6278"/>
        <v>0</v>
      </c>
      <c r="CN421" s="232">
        <f t="shared" si="6278"/>
        <v>0</v>
      </c>
      <c r="CO421" s="232">
        <f t="shared" si="6278"/>
        <v>0</v>
      </c>
      <c r="CP421" s="232">
        <f t="shared" si="6278"/>
        <v>0</v>
      </c>
      <c r="CQ421" s="239">
        <f t="shared" si="6278"/>
        <v>0</v>
      </c>
      <c r="CR421" s="232">
        <f t="shared" si="6278"/>
        <v>0</v>
      </c>
      <c r="CS421" s="232">
        <f t="shared" si="6278"/>
        <v>0</v>
      </c>
      <c r="CT421" s="232">
        <f t="shared" si="6278"/>
        <v>0</v>
      </c>
      <c r="CU421" s="232">
        <f t="shared" si="6278"/>
        <v>0</v>
      </c>
      <c r="CV421" s="232">
        <f t="shared" si="6278"/>
        <v>0</v>
      </c>
      <c r="CW421" s="232">
        <f t="shared" si="6278"/>
        <v>0</v>
      </c>
      <c r="CX421" s="232">
        <f t="shared" si="6278"/>
        <v>0</v>
      </c>
      <c r="CY421" s="232">
        <f t="shared" si="6278"/>
        <v>0</v>
      </c>
      <c r="CZ421" s="232">
        <f t="shared" si="6278"/>
        <v>0</v>
      </c>
      <c r="DA421" s="232">
        <f t="shared" si="6278"/>
        <v>0</v>
      </c>
      <c r="DB421" s="232">
        <f t="shared" si="6278"/>
        <v>0</v>
      </c>
      <c r="DC421" s="239">
        <f t="shared" si="6278"/>
        <v>0</v>
      </c>
    </row>
    <row r="422" spans="3:107" x14ac:dyDescent="0.3">
      <c r="C422" s="321" t="str">
        <f>++C$30</f>
        <v>% margin</v>
      </c>
      <c r="G422" s="214" t="str">
        <f>++IFERROR(G421/G402,"n/a")</f>
        <v>n/a</v>
      </c>
      <c r="H422" s="225" t="str">
        <f t="shared" ref="H422" si="6279">++IFERROR(H421/H402,"n/a")</f>
        <v>n/a</v>
      </c>
      <c r="I422" s="225" t="str">
        <f t="shared" ref="I422" si="6280">++IFERROR(I421/I402,"n/a")</f>
        <v>n/a</v>
      </c>
      <c r="J422" s="225" t="str">
        <f t="shared" ref="J422" si="6281">++IFERROR(J421/J402,"n/a")</f>
        <v>n/a</v>
      </c>
      <c r="K422" s="214" t="str">
        <f t="shared" ref="K422" si="6282">++IFERROR(K421/K402,"n/a")</f>
        <v>n/a</v>
      </c>
      <c r="L422" s="225" t="str">
        <f t="shared" ref="L422" si="6283">++IFERROR(L421/L402,"n/a")</f>
        <v>n/a</v>
      </c>
      <c r="M422" s="225" t="str">
        <f t="shared" ref="M422" si="6284">++IFERROR(M421/M402,"n/a")</f>
        <v>n/a</v>
      </c>
      <c r="N422" s="225" t="str">
        <f t="shared" ref="N422" si="6285">++IFERROR(N421/N402,"n/a")</f>
        <v>n/a</v>
      </c>
      <c r="O422" s="225" t="str">
        <f t="shared" ref="O422" si="6286">++IFERROR(O421/O402,"n/a")</f>
        <v>n/a</v>
      </c>
      <c r="P422" s="225" t="str">
        <f t="shared" ref="P422" si="6287">++IFERROR(P421/P402,"n/a")</f>
        <v>n/a</v>
      </c>
      <c r="Q422" s="225" t="str">
        <f t="shared" ref="Q422" si="6288">++IFERROR(Q421/Q402,"n/a")</f>
        <v>n/a</v>
      </c>
      <c r="R422" s="225" t="str">
        <f t="shared" ref="R422" si="6289">++IFERROR(R421/R402,"n/a")</f>
        <v>n/a</v>
      </c>
      <c r="S422" s="225" t="str">
        <f t="shared" ref="S422" si="6290">++IFERROR(S421/S402,"n/a")</f>
        <v>n/a</v>
      </c>
      <c r="T422" s="225" t="str">
        <f t="shared" ref="T422" si="6291">++IFERROR(T421/T402,"n/a")</f>
        <v>n/a</v>
      </c>
      <c r="U422" s="225" t="str">
        <f t="shared" ref="U422" si="6292">++IFERROR(U421/U402,"n/a")</f>
        <v>n/a</v>
      </c>
      <c r="V422" s="225" t="str">
        <f t="shared" ref="V422" si="6293">++IFERROR(V421/V402,"n/a")</f>
        <v>n/a</v>
      </c>
      <c r="W422" s="214" t="str">
        <f t="shared" ref="W422" si="6294">++IFERROR(W421/W402,"n/a")</f>
        <v>n/a</v>
      </c>
      <c r="X422" s="225" t="str">
        <f t="shared" ref="X422" si="6295">++IFERROR(X421/X402,"n/a")</f>
        <v>n/a</v>
      </c>
      <c r="Y422" s="225" t="str">
        <f t="shared" ref="Y422" si="6296">++IFERROR(Y421/Y402,"n/a")</f>
        <v>n/a</v>
      </c>
      <c r="Z422" s="225" t="str">
        <f t="shared" ref="Z422" si="6297">++IFERROR(Z421/Z402,"n/a")</f>
        <v>n/a</v>
      </c>
      <c r="AA422" s="225" t="str">
        <f t="shared" ref="AA422" si="6298">++IFERROR(AA421/AA402,"n/a")</f>
        <v>n/a</v>
      </c>
      <c r="AB422" s="225" t="str">
        <f t="shared" ref="AB422" si="6299">++IFERROR(AB421/AB402,"n/a")</f>
        <v>n/a</v>
      </c>
      <c r="AC422" s="225" t="str">
        <f t="shared" ref="AC422" si="6300">++IFERROR(AC421/AC402,"n/a")</f>
        <v>n/a</v>
      </c>
      <c r="AD422" s="225" t="str">
        <f t="shared" ref="AD422" si="6301">++IFERROR(AD421/AD402,"n/a")</f>
        <v>n/a</v>
      </c>
      <c r="AE422" s="225" t="str">
        <f t="shared" ref="AE422" si="6302">++IFERROR(AE421/AE402,"n/a")</f>
        <v>n/a</v>
      </c>
      <c r="AF422" s="225" t="str">
        <f t="shared" ref="AF422" si="6303">++IFERROR(AF421/AF402,"n/a")</f>
        <v>n/a</v>
      </c>
      <c r="AG422" s="225" t="str">
        <f t="shared" ref="AG422" si="6304">++IFERROR(AG421/AG402,"n/a")</f>
        <v>n/a</v>
      </c>
      <c r="AH422" s="225" t="str">
        <f t="shared" ref="AH422" si="6305">++IFERROR(AH421/AH402,"n/a")</f>
        <v>n/a</v>
      </c>
      <c r="AI422" s="214" t="str">
        <f t="shared" ref="AI422" si="6306">++IFERROR(AI421/AI402,"n/a")</f>
        <v>n/a</v>
      </c>
      <c r="AJ422" s="225" t="str">
        <f t="shared" ref="AJ422" si="6307">++IFERROR(AJ421/AJ402,"n/a")</f>
        <v>n/a</v>
      </c>
      <c r="AK422" s="225" t="str">
        <f t="shared" ref="AK422" si="6308">++IFERROR(AK421/AK402,"n/a")</f>
        <v>n/a</v>
      </c>
      <c r="AL422" s="225" t="str">
        <f t="shared" ref="AL422" si="6309">++IFERROR(AL421/AL402,"n/a")</f>
        <v>n/a</v>
      </c>
      <c r="AM422" s="225" t="str">
        <f t="shared" ref="AM422" si="6310">++IFERROR(AM421/AM402,"n/a")</f>
        <v>n/a</v>
      </c>
      <c r="AN422" s="225" t="str">
        <f t="shared" ref="AN422" si="6311">++IFERROR(AN421/AN402,"n/a")</f>
        <v>n/a</v>
      </c>
      <c r="AO422" s="225" t="str">
        <f t="shared" ref="AO422" si="6312">++IFERROR(AO421/AO402,"n/a")</f>
        <v>n/a</v>
      </c>
      <c r="AP422" s="225" t="str">
        <f t="shared" ref="AP422" si="6313">++IFERROR(AP421/AP402,"n/a")</f>
        <v>n/a</v>
      </c>
      <c r="AQ422" s="225" t="str">
        <f t="shared" ref="AQ422" si="6314">++IFERROR(AQ421/AQ402,"n/a")</f>
        <v>n/a</v>
      </c>
      <c r="AR422" s="225" t="str">
        <f t="shared" ref="AR422" si="6315">++IFERROR(AR421/AR402,"n/a")</f>
        <v>n/a</v>
      </c>
      <c r="AS422" s="225" t="str">
        <f t="shared" ref="AS422" si="6316">++IFERROR(AS421/AS402,"n/a")</f>
        <v>n/a</v>
      </c>
      <c r="AT422" s="225" t="str">
        <f t="shared" ref="AT422" si="6317">++IFERROR(AT421/AT402,"n/a")</f>
        <v>n/a</v>
      </c>
      <c r="AU422" s="214" t="str">
        <f t="shared" ref="AU422" si="6318">++IFERROR(AU421/AU402,"n/a")</f>
        <v>n/a</v>
      </c>
      <c r="AV422" s="225" t="str">
        <f t="shared" ref="AV422" si="6319">++IFERROR(AV421/AV402,"n/a")</f>
        <v>n/a</v>
      </c>
      <c r="AW422" s="225" t="str">
        <f t="shared" ref="AW422" si="6320">++IFERROR(AW421/AW402,"n/a")</f>
        <v>n/a</v>
      </c>
      <c r="AX422" s="225" t="str">
        <f t="shared" ref="AX422" si="6321">++IFERROR(AX421/AX402,"n/a")</f>
        <v>n/a</v>
      </c>
      <c r="AY422" s="225" t="str">
        <f t="shared" ref="AY422" si="6322">++IFERROR(AY421/AY402,"n/a")</f>
        <v>n/a</v>
      </c>
      <c r="AZ422" s="225" t="str">
        <f t="shared" ref="AZ422" si="6323">++IFERROR(AZ421/AZ402,"n/a")</f>
        <v>n/a</v>
      </c>
      <c r="BA422" s="225" t="str">
        <f t="shared" ref="BA422" si="6324">++IFERROR(BA421/BA402,"n/a")</f>
        <v>n/a</v>
      </c>
      <c r="BB422" s="225" t="str">
        <f t="shared" ref="BB422" si="6325">++IFERROR(BB421/BB402,"n/a")</f>
        <v>n/a</v>
      </c>
      <c r="BC422" s="225" t="str">
        <f t="shared" ref="BC422" si="6326">++IFERROR(BC421/BC402,"n/a")</f>
        <v>n/a</v>
      </c>
      <c r="BD422" s="225" t="str">
        <f t="shared" ref="BD422" si="6327">++IFERROR(BD421/BD402,"n/a")</f>
        <v>n/a</v>
      </c>
      <c r="BE422" s="225" t="str">
        <f t="shared" ref="BE422" si="6328">++IFERROR(BE421/BE402,"n/a")</f>
        <v>n/a</v>
      </c>
      <c r="BF422" s="225" t="str">
        <f t="shared" ref="BF422" si="6329">++IFERROR(BF421/BF402,"n/a")</f>
        <v>n/a</v>
      </c>
      <c r="BG422" s="214" t="str">
        <f t="shared" ref="BG422" si="6330">++IFERROR(BG421/BG402,"n/a")</f>
        <v>n/a</v>
      </c>
      <c r="BH422" s="225" t="str">
        <f t="shared" ref="BH422" si="6331">++IFERROR(BH421/BH402,"n/a")</f>
        <v>n/a</v>
      </c>
      <c r="BI422" s="225" t="str">
        <f t="shared" ref="BI422" si="6332">++IFERROR(BI421/BI402,"n/a")</f>
        <v>n/a</v>
      </c>
      <c r="BJ422" s="225" t="str">
        <f t="shared" ref="BJ422" si="6333">++IFERROR(BJ421/BJ402,"n/a")</f>
        <v>n/a</v>
      </c>
      <c r="BK422" s="225" t="str">
        <f t="shared" ref="BK422" si="6334">++IFERROR(BK421/BK402,"n/a")</f>
        <v>n/a</v>
      </c>
      <c r="BL422" s="225" t="str">
        <f t="shared" ref="BL422" si="6335">++IFERROR(BL421/BL402,"n/a")</f>
        <v>n/a</v>
      </c>
      <c r="BM422" s="225" t="str">
        <f t="shared" ref="BM422" si="6336">++IFERROR(BM421/BM402,"n/a")</f>
        <v>n/a</v>
      </c>
      <c r="BN422" s="225" t="str">
        <f t="shared" ref="BN422" si="6337">++IFERROR(BN421/BN402,"n/a")</f>
        <v>n/a</v>
      </c>
      <c r="BO422" s="225" t="str">
        <f t="shared" ref="BO422" si="6338">++IFERROR(BO421/BO402,"n/a")</f>
        <v>n/a</v>
      </c>
      <c r="BP422" s="225" t="str">
        <f t="shared" ref="BP422" si="6339">++IFERROR(BP421/BP402,"n/a")</f>
        <v>n/a</v>
      </c>
      <c r="BQ422" s="225" t="str">
        <f t="shared" ref="BQ422" si="6340">++IFERROR(BQ421/BQ402,"n/a")</f>
        <v>n/a</v>
      </c>
      <c r="BR422" s="225" t="str">
        <f t="shared" ref="BR422" si="6341">++IFERROR(BR421/BR402,"n/a")</f>
        <v>n/a</v>
      </c>
      <c r="BS422" s="214" t="str">
        <f t="shared" ref="BS422" si="6342">++IFERROR(BS421/BS402,"n/a")</f>
        <v>n/a</v>
      </c>
      <c r="BT422" s="225" t="str">
        <f t="shared" ref="BT422" si="6343">++IFERROR(BT421/BT402,"n/a")</f>
        <v>n/a</v>
      </c>
      <c r="BU422" s="225" t="str">
        <f t="shared" ref="BU422" si="6344">++IFERROR(BU421/BU402,"n/a")</f>
        <v>n/a</v>
      </c>
      <c r="BV422" s="225" t="str">
        <f t="shared" ref="BV422" si="6345">++IFERROR(BV421/BV402,"n/a")</f>
        <v>n/a</v>
      </c>
      <c r="BW422" s="225" t="str">
        <f t="shared" ref="BW422" si="6346">++IFERROR(BW421/BW402,"n/a")</f>
        <v>n/a</v>
      </c>
      <c r="BX422" s="225" t="str">
        <f t="shared" ref="BX422" si="6347">++IFERROR(BX421/BX402,"n/a")</f>
        <v>n/a</v>
      </c>
      <c r="BY422" s="225" t="str">
        <f t="shared" ref="BY422" si="6348">++IFERROR(BY421/BY402,"n/a")</f>
        <v>n/a</v>
      </c>
      <c r="BZ422" s="225" t="str">
        <f t="shared" ref="BZ422" si="6349">++IFERROR(BZ421/BZ402,"n/a")</f>
        <v>n/a</v>
      </c>
      <c r="CA422" s="225" t="str">
        <f t="shared" ref="CA422" si="6350">++IFERROR(CA421/CA402,"n/a")</f>
        <v>n/a</v>
      </c>
      <c r="CB422" s="225" t="str">
        <f t="shared" ref="CB422" si="6351">++IFERROR(CB421/CB402,"n/a")</f>
        <v>n/a</v>
      </c>
      <c r="CC422" s="225" t="str">
        <f t="shared" ref="CC422" si="6352">++IFERROR(CC421/CC402,"n/a")</f>
        <v>n/a</v>
      </c>
      <c r="CD422" s="225" t="str">
        <f t="shared" ref="CD422" si="6353">++IFERROR(CD421/CD402,"n/a")</f>
        <v>n/a</v>
      </c>
      <c r="CE422" s="214" t="str">
        <f t="shared" ref="CE422" si="6354">++IFERROR(CE421/CE402,"n/a")</f>
        <v>n/a</v>
      </c>
      <c r="CF422" s="225" t="str">
        <f t="shared" ref="CF422" si="6355">++IFERROR(CF421/CF402,"n/a")</f>
        <v>n/a</v>
      </c>
      <c r="CG422" s="225" t="str">
        <f t="shared" ref="CG422" si="6356">++IFERROR(CG421/CG402,"n/a")</f>
        <v>n/a</v>
      </c>
      <c r="CH422" s="225" t="str">
        <f t="shared" ref="CH422" si="6357">++IFERROR(CH421/CH402,"n/a")</f>
        <v>n/a</v>
      </c>
      <c r="CI422" s="225" t="str">
        <f t="shared" ref="CI422" si="6358">++IFERROR(CI421/CI402,"n/a")</f>
        <v>n/a</v>
      </c>
      <c r="CJ422" s="225" t="str">
        <f t="shared" ref="CJ422" si="6359">++IFERROR(CJ421/CJ402,"n/a")</f>
        <v>n/a</v>
      </c>
      <c r="CK422" s="225" t="str">
        <f t="shared" ref="CK422" si="6360">++IFERROR(CK421/CK402,"n/a")</f>
        <v>n/a</v>
      </c>
      <c r="CL422" s="225" t="str">
        <f t="shared" ref="CL422" si="6361">++IFERROR(CL421/CL402,"n/a")</f>
        <v>n/a</v>
      </c>
      <c r="CM422" s="225" t="str">
        <f t="shared" ref="CM422" si="6362">++IFERROR(CM421/CM402,"n/a")</f>
        <v>n/a</v>
      </c>
      <c r="CN422" s="225" t="str">
        <f t="shared" ref="CN422" si="6363">++IFERROR(CN421/CN402,"n/a")</f>
        <v>n/a</v>
      </c>
      <c r="CO422" s="225" t="str">
        <f t="shared" ref="CO422" si="6364">++IFERROR(CO421/CO402,"n/a")</f>
        <v>n/a</v>
      </c>
      <c r="CP422" s="225" t="str">
        <f t="shared" ref="CP422" si="6365">++IFERROR(CP421/CP402,"n/a")</f>
        <v>n/a</v>
      </c>
      <c r="CQ422" s="214" t="str">
        <f t="shared" ref="CQ422" si="6366">++IFERROR(CQ421/CQ402,"n/a")</f>
        <v>n/a</v>
      </c>
      <c r="CR422" s="225" t="str">
        <f t="shared" ref="CR422" si="6367">++IFERROR(CR421/CR402,"n/a")</f>
        <v>n/a</v>
      </c>
      <c r="CS422" s="225" t="str">
        <f t="shared" ref="CS422" si="6368">++IFERROR(CS421/CS402,"n/a")</f>
        <v>n/a</v>
      </c>
      <c r="CT422" s="225" t="str">
        <f t="shared" ref="CT422" si="6369">++IFERROR(CT421/CT402,"n/a")</f>
        <v>n/a</v>
      </c>
      <c r="CU422" s="225" t="str">
        <f t="shared" ref="CU422" si="6370">++IFERROR(CU421/CU402,"n/a")</f>
        <v>n/a</v>
      </c>
      <c r="CV422" s="225" t="str">
        <f t="shared" ref="CV422" si="6371">++IFERROR(CV421/CV402,"n/a")</f>
        <v>n/a</v>
      </c>
      <c r="CW422" s="225" t="str">
        <f t="shared" ref="CW422" si="6372">++IFERROR(CW421/CW402,"n/a")</f>
        <v>n/a</v>
      </c>
      <c r="CX422" s="225" t="str">
        <f t="shared" ref="CX422" si="6373">++IFERROR(CX421/CX402,"n/a")</f>
        <v>n/a</v>
      </c>
      <c r="CY422" s="225" t="str">
        <f t="shared" ref="CY422" si="6374">++IFERROR(CY421/CY402,"n/a")</f>
        <v>n/a</v>
      </c>
      <c r="CZ422" s="225" t="str">
        <f t="shared" ref="CZ422" si="6375">++IFERROR(CZ421/CZ402,"n/a")</f>
        <v>n/a</v>
      </c>
      <c r="DA422" s="225" t="str">
        <f t="shared" ref="DA422" si="6376">++IFERROR(DA421/DA402,"n/a")</f>
        <v>n/a</v>
      </c>
      <c r="DB422" s="225" t="str">
        <f t="shared" ref="DB422" si="6377">++IFERROR(DB421/DB402,"n/a")</f>
        <v>n/a</v>
      </c>
      <c r="DC422" s="214" t="str">
        <f t="shared" ref="DC422" si="6378">++IFERROR(DC421/DC402,"n/a")</f>
        <v>n/a</v>
      </c>
    </row>
    <row r="423" spans="3:107" x14ac:dyDescent="0.3">
      <c r="C423" s="321" t="str">
        <f>++C$31</f>
        <v>% y/y</v>
      </c>
      <c r="G423" s="122" t="s">
        <v>47</v>
      </c>
      <c r="H423" s="122" t="s">
        <v>47</v>
      </c>
      <c r="I423" s="122" t="s">
        <v>47</v>
      </c>
      <c r="J423" s="122" t="s">
        <v>47</v>
      </c>
      <c r="K423" s="214" t="str">
        <f>++IFERROR(K421/G421-1,"n/a")</f>
        <v>n/a</v>
      </c>
      <c r="L423" s="122" t="s">
        <v>47</v>
      </c>
      <c r="M423" s="122" t="s">
        <v>47</v>
      </c>
      <c r="N423" s="225" t="str">
        <f>++IFERROR(N421/H421-1,"n/a")</f>
        <v>n/a</v>
      </c>
      <c r="O423" s="122" t="s">
        <v>47</v>
      </c>
      <c r="P423" s="122" t="s">
        <v>47</v>
      </c>
      <c r="Q423" s="225" t="str">
        <f>++IFERROR(Q421/I421-1,"n/a")</f>
        <v>n/a</v>
      </c>
      <c r="R423" s="122" t="s">
        <v>47</v>
      </c>
      <c r="S423" s="122" t="s">
        <v>47</v>
      </c>
      <c r="T423" s="225" t="str">
        <f>++IFERROR(T421/J421-1,"n/a")</f>
        <v>n/a</v>
      </c>
      <c r="U423" s="122" t="s">
        <v>47</v>
      </c>
      <c r="V423" s="122" t="s">
        <v>47</v>
      </c>
      <c r="W423" s="214" t="str">
        <f t="shared" ref="W423:BB423" si="6379">++IFERROR(W421/K421-1,"n/a")</f>
        <v>n/a</v>
      </c>
      <c r="X423" s="225" t="str">
        <f t="shared" si="6379"/>
        <v>n/a</v>
      </c>
      <c r="Y423" s="225" t="str">
        <f t="shared" si="6379"/>
        <v>n/a</v>
      </c>
      <c r="Z423" s="225" t="str">
        <f t="shared" si="6379"/>
        <v>n/a</v>
      </c>
      <c r="AA423" s="225" t="str">
        <f t="shared" si="6379"/>
        <v>n/a</v>
      </c>
      <c r="AB423" s="225" t="str">
        <f t="shared" si="6379"/>
        <v>n/a</v>
      </c>
      <c r="AC423" s="225" t="str">
        <f t="shared" si="6379"/>
        <v>n/a</v>
      </c>
      <c r="AD423" s="225" t="str">
        <f t="shared" si="6379"/>
        <v>n/a</v>
      </c>
      <c r="AE423" s="225" t="str">
        <f t="shared" si="6379"/>
        <v>n/a</v>
      </c>
      <c r="AF423" s="225" t="str">
        <f t="shared" si="6379"/>
        <v>n/a</v>
      </c>
      <c r="AG423" s="225" t="str">
        <f t="shared" si="6379"/>
        <v>n/a</v>
      </c>
      <c r="AH423" s="225" t="str">
        <f t="shared" si="6379"/>
        <v>n/a</v>
      </c>
      <c r="AI423" s="214" t="str">
        <f t="shared" si="6379"/>
        <v>n/a</v>
      </c>
      <c r="AJ423" s="225" t="str">
        <f t="shared" si="6379"/>
        <v>n/a</v>
      </c>
      <c r="AK423" s="225" t="str">
        <f t="shared" si="6379"/>
        <v>n/a</v>
      </c>
      <c r="AL423" s="225" t="str">
        <f t="shared" si="6379"/>
        <v>n/a</v>
      </c>
      <c r="AM423" s="225" t="str">
        <f t="shared" si="6379"/>
        <v>n/a</v>
      </c>
      <c r="AN423" s="225" t="str">
        <f t="shared" si="6379"/>
        <v>n/a</v>
      </c>
      <c r="AO423" s="225" t="str">
        <f t="shared" si="6379"/>
        <v>n/a</v>
      </c>
      <c r="AP423" s="225" t="str">
        <f t="shared" si="6379"/>
        <v>n/a</v>
      </c>
      <c r="AQ423" s="225" t="str">
        <f t="shared" si="6379"/>
        <v>n/a</v>
      </c>
      <c r="AR423" s="225" t="str">
        <f t="shared" si="6379"/>
        <v>n/a</v>
      </c>
      <c r="AS423" s="225" t="str">
        <f t="shared" si="6379"/>
        <v>n/a</v>
      </c>
      <c r="AT423" s="225" t="str">
        <f t="shared" si="6379"/>
        <v>n/a</v>
      </c>
      <c r="AU423" s="214" t="str">
        <f t="shared" si="6379"/>
        <v>n/a</v>
      </c>
      <c r="AV423" s="225" t="str">
        <f t="shared" si="6379"/>
        <v>n/a</v>
      </c>
      <c r="AW423" s="225" t="str">
        <f t="shared" si="6379"/>
        <v>n/a</v>
      </c>
      <c r="AX423" s="225" t="str">
        <f t="shared" si="6379"/>
        <v>n/a</v>
      </c>
      <c r="AY423" s="225" t="str">
        <f t="shared" si="6379"/>
        <v>n/a</v>
      </c>
      <c r="AZ423" s="225" t="str">
        <f t="shared" si="6379"/>
        <v>n/a</v>
      </c>
      <c r="BA423" s="225" t="str">
        <f t="shared" si="6379"/>
        <v>n/a</v>
      </c>
      <c r="BB423" s="225" t="str">
        <f t="shared" si="6379"/>
        <v>n/a</v>
      </c>
      <c r="BC423" s="225" t="str">
        <f t="shared" ref="BC423:CH423" si="6380">++IFERROR(BC421/AQ421-1,"n/a")</f>
        <v>n/a</v>
      </c>
      <c r="BD423" s="225" t="str">
        <f t="shared" si="6380"/>
        <v>n/a</v>
      </c>
      <c r="BE423" s="225" t="str">
        <f t="shared" si="6380"/>
        <v>n/a</v>
      </c>
      <c r="BF423" s="225" t="str">
        <f t="shared" si="6380"/>
        <v>n/a</v>
      </c>
      <c r="BG423" s="214" t="str">
        <f t="shared" si="6380"/>
        <v>n/a</v>
      </c>
      <c r="BH423" s="225" t="str">
        <f t="shared" si="6380"/>
        <v>n/a</v>
      </c>
      <c r="BI423" s="225" t="str">
        <f t="shared" si="6380"/>
        <v>n/a</v>
      </c>
      <c r="BJ423" s="225" t="str">
        <f t="shared" si="6380"/>
        <v>n/a</v>
      </c>
      <c r="BK423" s="225" t="str">
        <f t="shared" si="6380"/>
        <v>n/a</v>
      </c>
      <c r="BL423" s="225" t="str">
        <f t="shared" si="6380"/>
        <v>n/a</v>
      </c>
      <c r="BM423" s="225" t="str">
        <f t="shared" si="6380"/>
        <v>n/a</v>
      </c>
      <c r="BN423" s="225" t="str">
        <f t="shared" si="6380"/>
        <v>n/a</v>
      </c>
      <c r="BO423" s="225" t="str">
        <f t="shared" si="6380"/>
        <v>n/a</v>
      </c>
      <c r="BP423" s="225" t="str">
        <f t="shared" si="6380"/>
        <v>n/a</v>
      </c>
      <c r="BQ423" s="225" t="str">
        <f t="shared" si="6380"/>
        <v>n/a</v>
      </c>
      <c r="BR423" s="225" t="str">
        <f t="shared" si="6380"/>
        <v>n/a</v>
      </c>
      <c r="BS423" s="214" t="str">
        <f t="shared" si="6380"/>
        <v>n/a</v>
      </c>
      <c r="BT423" s="225" t="str">
        <f t="shared" si="6380"/>
        <v>n/a</v>
      </c>
      <c r="BU423" s="225" t="str">
        <f t="shared" si="6380"/>
        <v>n/a</v>
      </c>
      <c r="BV423" s="225" t="str">
        <f t="shared" si="6380"/>
        <v>n/a</v>
      </c>
      <c r="BW423" s="225" t="str">
        <f t="shared" si="6380"/>
        <v>n/a</v>
      </c>
      <c r="BX423" s="225" t="str">
        <f t="shared" si="6380"/>
        <v>n/a</v>
      </c>
      <c r="BY423" s="225" t="str">
        <f t="shared" si="6380"/>
        <v>n/a</v>
      </c>
      <c r="BZ423" s="225" t="str">
        <f t="shared" si="6380"/>
        <v>n/a</v>
      </c>
      <c r="CA423" s="225" t="str">
        <f t="shared" si="6380"/>
        <v>n/a</v>
      </c>
      <c r="CB423" s="225" t="str">
        <f t="shared" si="6380"/>
        <v>n/a</v>
      </c>
      <c r="CC423" s="225" t="str">
        <f t="shared" si="6380"/>
        <v>n/a</v>
      </c>
      <c r="CD423" s="225" t="str">
        <f t="shared" si="6380"/>
        <v>n/a</v>
      </c>
      <c r="CE423" s="214" t="str">
        <f t="shared" si="6380"/>
        <v>n/a</v>
      </c>
      <c r="CF423" s="225" t="str">
        <f t="shared" si="6380"/>
        <v>n/a</v>
      </c>
      <c r="CG423" s="225" t="str">
        <f t="shared" si="6380"/>
        <v>n/a</v>
      </c>
      <c r="CH423" s="225" t="str">
        <f t="shared" si="6380"/>
        <v>n/a</v>
      </c>
      <c r="CI423" s="225" t="str">
        <f t="shared" ref="CI423:DN423" si="6381">++IFERROR(CI421/BW421-1,"n/a")</f>
        <v>n/a</v>
      </c>
      <c r="CJ423" s="225" t="str">
        <f t="shared" si="6381"/>
        <v>n/a</v>
      </c>
      <c r="CK423" s="225" t="str">
        <f t="shared" si="6381"/>
        <v>n/a</v>
      </c>
      <c r="CL423" s="225" t="str">
        <f t="shared" si="6381"/>
        <v>n/a</v>
      </c>
      <c r="CM423" s="225" t="str">
        <f t="shared" si="6381"/>
        <v>n/a</v>
      </c>
      <c r="CN423" s="225" t="str">
        <f t="shared" si="6381"/>
        <v>n/a</v>
      </c>
      <c r="CO423" s="225" t="str">
        <f t="shared" si="6381"/>
        <v>n/a</v>
      </c>
      <c r="CP423" s="225" t="str">
        <f t="shared" si="6381"/>
        <v>n/a</v>
      </c>
      <c r="CQ423" s="214" t="str">
        <f t="shared" si="6381"/>
        <v>n/a</v>
      </c>
      <c r="CR423" s="225" t="str">
        <f t="shared" si="6381"/>
        <v>n/a</v>
      </c>
      <c r="CS423" s="225" t="str">
        <f t="shared" si="6381"/>
        <v>n/a</v>
      </c>
      <c r="CT423" s="225" t="str">
        <f t="shared" si="6381"/>
        <v>n/a</v>
      </c>
      <c r="CU423" s="225" t="str">
        <f t="shared" si="6381"/>
        <v>n/a</v>
      </c>
      <c r="CV423" s="225" t="str">
        <f t="shared" si="6381"/>
        <v>n/a</v>
      </c>
      <c r="CW423" s="225" t="str">
        <f t="shared" si="6381"/>
        <v>n/a</v>
      </c>
      <c r="CX423" s="225" t="str">
        <f t="shared" si="6381"/>
        <v>n/a</v>
      </c>
      <c r="CY423" s="225" t="str">
        <f t="shared" si="6381"/>
        <v>n/a</v>
      </c>
      <c r="CZ423" s="225" t="str">
        <f t="shared" si="6381"/>
        <v>n/a</v>
      </c>
      <c r="DA423" s="225" t="str">
        <f t="shared" si="6381"/>
        <v>n/a</v>
      </c>
      <c r="DB423" s="225" t="str">
        <f t="shared" si="6381"/>
        <v>n/a</v>
      </c>
      <c r="DC423" s="214" t="str">
        <f t="shared" si="6381"/>
        <v>n/a</v>
      </c>
    </row>
    <row r="424" spans="3:107" x14ac:dyDescent="0.3">
      <c r="G424" s="203"/>
      <c r="K424" s="203"/>
      <c r="W424" s="203"/>
      <c r="AI424" s="203"/>
      <c r="AU424" s="203"/>
      <c r="BG424" s="203"/>
      <c r="BS424" s="203"/>
      <c r="CE424" s="203"/>
      <c r="CQ424" s="203"/>
      <c r="DC424" s="203"/>
    </row>
    <row r="425" spans="3:107" x14ac:dyDescent="0.3">
      <c r="C425" s="101" t="str">
        <f>++C$33</f>
        <v>Tax Expense (Benefit)</v>
      </c>
      <c r="G425" s="45">
        <v>0</v>
      </c>
      <c r="H425" s="45">
        <v>0</v>
      </c>
      <c r="I425" s="45">
        <v>0</v>
      </c>
      <c r="J425" s="45">
        <v>0</v>
      </c>
      <c r="K425" s="45">
        <v>0</v>
      </c>
      <c r="L425" s="45">
        <v>0</v>
      </c>
      <c r="M425" s="45">
        <v>0</v>
      </c>
      <c r="N425" s="45">
        <v>0</v>
      </c>
      <c r="O425" s="45">
        <v>0</v>
      </c>
      <c r="P425" s="45">
        <v>0</v>
      </c>
      <c r="Q425" s="45">
        <v>0</v>
      </c>
      <c r="R425" s="45">
        <v>0</v>
      </c>
      <c r="S425" s="45">
        <v>0</v>
      </c>
      <c r="T425" s="45">
        <v>0</v>
      </c>
      <c r="U425" s="45">
        <v>0</v>
      </c>
      <c r="V425" s="45">
        <v>0</v>
      </c>
      <c r="W425" s="45">
        <v>0</v>
      </c>
      <c r="X425" s="45">
        <v>0</v>
      </c>
      <c r="Y425" s="45">
        <v>0</v>
      </c>
      <c r="Z425" s="45">
        <v>0</v>
      </c>
      <c r="AA425" s="45">
        <v>0</v>
      </c>
      <c r="AB425" s="45">
        <v>0</v>
      </c>
      <c r="AC425" s="45">
        <v>0</v>
      </c>
      <c r="AD425" s="45">
        <v>0</v>
      </c>
      <c r="AE425" s="45">
        <v>0</v>
      </c>
      <c r="AF425" s="45">
        <v>0</v>
      </c>
      <c r="AG425" s="45">
        <v>0</v>
      </c>
      <c r="AH425" s="45">
        <v>0</v>
      </c>
      <c r="AI425" s="45">
        <v>0</v>
      </c>
      <c r="AJ425" s="45">
        <v>0</v>
      </c>
      <c r="AK425" s="45">
        <v>0</v>
      </c>
      <c r="AL425" s="45">
        <v>0</v>
      </c>
      <c r="AM425" s="45">
        <v>0</v>
      </c>
      <c r="AN425" s="45">
        <v>0</v>
      </c>
      <c r="AO425" s="45">
        <v>0</v>
      </c>
      <c r="AP425" s="45">
        <v>0</v>
      </c>
      <c r="AQ425" s="45">
        <v>0</v>
      </c>
      <c r="AR425" s="45">
        <v>0</v>
      </c>
      <c r="AS425" s="45">
        <v>0</v>
      </c>
      <c r="AT425" s="45">
        <v>0</v>
      </c>
      <c r="AU425" s="45">
        <v>0</v>
      </c>
      <c r="AV425" s="45">
        <v>0</v>
      </c>
      <c r="AW425" s="45">
        <v>0</v>
      </c>
      <c r="AX425" s="45">
        <v>0</v>
      </c>
      <c r="AY425" s="45">
        <v>0</v>
      </c>
      <c r="AZ425" s="45">
        <v>0</v>
      </c>
      <c r="BA425" s="45">
        <v>0</v>
      </c>
      <c r="BB425" s="45">
        <v>0</v>
      </c>
      <c r="BC425" s="45">
        <v>0</v>
      </c>
      <c r="BD425" s="45">
        <v>0</v>
      </c>
      <c r="BE425" s="45">
        <v>0</v>
      </c>
      <c r="BF425" s="45">
        <v>0</v>
      </c>
      <c r="BG425" s="45">
        <v>0</v>
      </c>
      <c r="BH425" s="45">
        <v>0</v>
      </c>
      <c r="BI425" s="45">
        <v>0</v>
      </c>
      <c r="BJ425" s="45">
        <v>0</v>
      </c>
      <c r="BK425" s="45">
        <v>0</v>
      </c>
      <c r="BL425" s="45">
        <v>0</v>
      </c>
      <c r="BM425" s="45">
        <v>0</v>
      </c>
      <c r="BN425" s="45">
        <v>0</v>
      </c>
      <c r="BO425" s="45">
        <v>0</v>
      </c>
      <c r="BP425" s="45">
        <v>0</v>
      </c>
      <c r="BQ425" s="45">
        <v>0</v>
      </c>
      <c r="BR425" s="45">
        <v>0</v>
      </c>
      <c r="BS425" s="45">
        <v>0</v>
      </c>
      <c r="BT425" s="45">
        <v>0</v>
      </c>
      <c r="BU425" s="45">
        <v>0</v>
      </c>
      <c r="BV425" s="45">
        <v>0</v>
      </c>
      <c r="BW425" s="45">
        <v>0</v>
      </c>
      <c r="BX425" s="45">
        <v>0</v>
      </c>
      <c r="BY425" s="45">
        <v>0</v>
      </c>
      <c r="BZ425" s="45">
        <v>0</v>
      </c>
      <c r="CA425" s="45">
        <v>0</v>
      </c>
      <c r="CB425" s="45">
        <v>0</v>
      </c>
      <c r="CC425" s="45">
        <v>0</v>
      </c>
      <c r="CD425" s="45">
        <v>0</v>
      </c>
      <c r="CE425" s="45">
        <v>0</v>
      </c>
      <c r="CF425" s="45">
        <v>0</v>
      </c>
      <c r="CG425" s="45">
        <v>0</v>
      </c>
      <c r="CH425" s="45">
        <v>0</v>
      </c>
      <c r="CI425" s="45">
        <v>0</v>
      </c>
      <c r="CJ425" s="45">
        <v>0</v>
      </c>
      <c r="CK425" s="45">
        <v>0</v>
      </c>
      <c r="CL425" s="45">
        <v>0</v>
      </c>
      <c r="CM425" s="45">
        <v>0</v>
      </c>
      <c r="CN425" s="45">
        <v>0</v>
      </c>
      <c r="CO425" s="45">
        <v>0</v>
      </c>
      <c r="CP425" s="45">
        <v>0</v>
      </c>
      <c r="CQ425" s="45">
        <v>0</v>
      </c>
      <c r="CR425" s="45">
        <v>0</v>
      </c>
      <c r="CS425" s="45">
        <v>0</v>
      </c>
      <c r="CT425" s="45">
        <v>0</v>
      </c>
      <c r="CU425" s="45">
        <v>0</v>
      </c>
      <c r="CV425" s="45">
        <v>0</v>
      </c>
      <c r="CW425" s="45">
        <v>0</v>
      </c>
      <c r="CX425" s="45">
        <v>0</v>
      </c>
      <c r="CY425" s="45">
        <v>0</v>
      </c>
      <c r="CZ425" s="45">
        <v>0</v>
      </c>
      <c r="DA425" s="45">
        <v>0</v>
      </c>
      <c r="DB425" s="45">
        <v>0</v>
      </c>
      <c r="DC425" s="45">
        <v>0</v>
      </c>
    </row>
    <row r="426" spans="3:107" x14ac:dyDescent="0.3">
      <c r="C426" s="321" t="str">
        <f>++C$34</f>
        <v>% effective rate</v>
      </c>
      <c r="G426" s="214" t="str">
        <f>++IFERROR(G425/G421,"n/a")</f>
        <v>n/a</v>
      </c>
      <c r="H426" s="225" t="str">
        <f t="shared" ref="H426" si="6382">++IFERROR(H425/H421,"n/a")</f>
        <v>n/a</v>
      </c>
      <c r="I426" s="225" t="str">
        <f t="shared" ref="I426" si="6383">++IFERROR(I425/I421,"n/a")</f>
        <v>n/a</v>
      </c>
      <c r="J426" s="225" t="str">
        <f t="shared" ref="J426" si="6384">++IFERROR(J425/J421,"n/a")</f>
        <v>n/a</v>
      </c>
      <c r="K426" s="214" t="str">
        <f t="shared" ref="K426" si="6385">++IFERROR(K425/K421,"n/a")</f>
        <v>n/a</v>
      </c>
      <c r="L426" s="225" t="str">
        <f t="shared" ref="L426" si="6386">++IFERROR(L425/L421,"n/a")</f>
        <v>n/a</v>
      </c>
      <c r="M426" s="225" t="str">
        <f t="shared" ref="M426" si="6387">++IFERROR(M425/M421,"n/a")</f>
        <v>n/a</v>
      </c>
      <c r="N426" s="225" t="str">
        <f t="shared" ref="N426" si="6388">++IFERROR(N425/N421,"n/a")</f>
        <v>n/a</v>
      </c>
      <c r="O426" s="225" t="str">
        <f t="shared" ref="O426" si="6389">++IFERROR(O425/O421,"n/a")</f>
        <v>n/a</v>
      </c>
      <c r="P426" s="225" t="str">
        <f t="shared" ref="P426" si="6390">++IFERROR(P425/P421,"n/a")</f>
        <v>n/a</v>
      </c>
      <c r="Q426" s="225" t="str">
        <f t="shared" ref="Q426" si="6391">++IFERROR(Q425/Q421,"n/a")</f>
        <v>n/a</v>
      </c>
      <c r="R426" s="225" t="str">
        <f t="shared" ref="R426" si="6392">++IFERROR(R425/R421,"n/a")</f>
        <v>n/a</v>
      </c>
      <c r="S426" s="225" t="str">
        <f t="shared" ref="S426" si="6393">++IFERROR(S425/S421,"n/a")</f>
        <v>n/a</v>
      </c>
      <c r="T426" s="225" t="str">
        <f t="shared" ref="T426" si="6394">++IFERROR(T425/T421,"n/a")</f>
        <v>n/a</v>
      </c>
      <c r="U426" s="225" t="str">
        <f t="shared" ref="U426" si="6395">++IFERROR(U425/U421,"n/a")</f>
        <v>n/a</v>
      </c>
      <c r="V426" s="225" t="str">
        <f t="shared" ref="V426" si="6396">++IFERROR(V425/V421,"n/a")</f>
        <v>n/a</v>
      </c>
      <c r="W426" s="214" t="str">
        <f t="shared" ref="W426" si="6397">++IFERROR(W425/W421,"n/a")</f>
        <v>n/a</v>
      </c>
      <c r="X426" s="225" t="str">
        <f t="shared" ref="X426" si="6398">++IFERROR(X425/X421,"n/a")</f>
        <v>n/a</v>
      </c>
      <c r="Y426" s="225" t="str">
        <f t="shared" ref="Y426" si="6399">++IFERROR(Y425/Y421,"n/a")</f>
        <v>n/a</v>
      </c>
      <c r="Z426" s="225" t="str">
        <f t="shared" ref="Z426" si="6400">++IFERROR(Z425/Z421,"n/a")</f>
        <v>n/a</v>
      </c>
      <c r="AA426" s="225" t="str">
        <f t="shared" ref="AA426" si="6401">++IFERROR(AA425/AA421,"n/a")</f>
        <v>n/a</v>
      </c>
      <c r="AB426" s="225" t="str">
        <f t="shared" ref="AB426" si="6402">++IFERROR(AB425/AB421,"n/a")</f>
        <v>n/a</v>
      </c>
      <c r="AC426" s="225" t="str">
        <f t="shared" ref="AC426" si="6403">++IFERROR(AC425/AC421,"n/a")</f>
        <v>n/a</v>
      </c>
      <c r="AD426" s="225" t="str">
        <f t="shared" ref="AD426" si="6404">++IFERROR(AD425/AD421,"n/a")</f>
        <v>n/a</v>
      </c>
      <c r="AE426" s="225" t="str">
        <f t="shared" ref="AE426" si="6405">++IFERROR(AE425/AE421,"n/a")</f>
        <v>n/a</v>
      </c>
      <c r="AF426" s="225" t="str">
        <f t="shared" ref="AF426" si="6406">++IFERROR(AF425/AF421,"n/a")</f>
        <v>n/a</v>
      </c>
      <c r="AG426" s="225" t="str">
        <f t="shared" ref="AG426" si="6407">++IFERROR(AG425/AG421,"n/a")</f>
        <v>n/a</v>
      </c>
      <c r="AH426" s="225" t="str">
        <f t="shared" ref="AH426" si="6408">++IFERROR(AH425/AH421,"n/a")</f>
        <v>n/a</v>
      </c>
      <c r="AI426" s="214" t="str">
        <f t="shared" ref="AI426" si="6409">++IFERROR(AI425/AI421,"n/a")</f>
        <v>n/a</v>
      </c>
      <c r="AJ426" s="225" t="str">
        <f t="shared" ref="AJ426" si="6410">++IFERROR(AJ425/AJ421,"n/a")</f>
        <v>n/a</v>
      </c>
      <c r="AK426" s="225" t="str">
        <f t="shared" ref="AK426" si="6411">++IFERROR(AK425/AK421,"n/a")</f>
        <v>n/a</v>
      </c>
      <c r="AL426" s="225" t="str">
        <f t="shared" ref="AL426" si="6412">++IFERROR(AL425/AL421,"n/a")</f>
        <v>n/a</v>
      </c>
      <c r="AM426" s="225" t="str">
        <f t="shared" ref="AM426" si="6413">++IFERROR(AM425/AM421,"n/a")</f>
        <v>n/a</v>
      </c>
      <c r="AN426" s="225" t="str">
        <f t="shared" ref="AN426" si="6414">++IFERROR(AN425/AN421,"n/a")</f>
        <v>n/a</v>
      </c>
      <c r="AO426" s="225" t="str">
        <f t="shared" ref="AO426" si="6415">++IFERROR(AO425/AO421,"n/a")</f>
        <v>n/a</v>
      </c>
      <c r="AP426" s="225" t="str">
        <f t="shared" ref="AP426" si="6416">++IFERROR(AP425/AP421,"n/a")</f>
        <v>n/a</v>
      </c>
      <c r="AQ426" s="225" t="str">
        <f t="shared" ref="AQ426" si="6417">++IFERROR(AQ425/AQ421,"n/a")</f>
        <v>n/a</v>
      </c>
      <c r="AR426" s="225" t="str">
        <f t="shared" ref="AR426" si="6418">++IFERROR(AR425/AR421,"n/a")</f>
        <v>n/a</v>
      </c>
      <c r="AS426" s="225" t="str">
        <f t="shared" ref="AS426" si="6419">++IFERROR(AS425/AS421,"n/a")</f>
        <v>n/a</v>
      </c>
      <c r="AT426" s="225" t="str">
        <f t="shared" ref="AT426" si="6420">++IFERROR(AT425/AT421,"n/a")</f>
        <v>n/a</v>
      </c>
      <c r="AU426" s="214" t="str">
        <f t="shared" ref="AU426" si="6421">++IFERROR(AU425/AU421,"n/a")</f>
        <v>n/a</v>
      </c>
      <c r="AV426" s="225" t="str">
        <f t="shared" ref="AV426" si="6422">++IFERROR(AV425/AV421,"n/a")</f>
        <v>n/a</v>
      </c>
      <c r="AW426" s="225" t="str">
        <f t="shared" ref="AW426" si="6423">++IFERROR(AW425/AW421,"n/a")</f>
        <v>n/a</v>
      </c>
      <c r="AX426" s="225" t="str">
        <f t="shared" ref="AX426" si="6424">++IFERROR(AX425/AX421,"n/a")</f>
        <v>n/a</v>
      </c>
      <c r="AY426" s="225" t="str">
        <f t="shared" ref="AY426" si="6425">++IFERROR(AY425/AY421,"n/a")</f>
        <v>n/a</v>
      </c>
      <c r="AZ426" s="225" t="str">
        <f t="shared" ref="AZ426" si="6426">++IFERROR(AZ425/AZ421,"n/a")</f>
        <v>n/a</v>
      </c>
      <c r="BA426" s="225" t="str">
        <f t="shared" ref="BA426" si="6427">++IFERROR(BA425/BA421,"n/a")</f>
        <v>n/a</v>
      </c>
      <c r="BB426" s="225" t="str">
        <f t="shared" ref="BB426" si="6428">++IFERROR(BB425/BB421,"n/a")</f>
        <v>n/a</v>
      </c>
      <c r="BC426" s="225" t="str">
        <f t="shared" ref="BC426" si="6429">++IFERROR(BC425/BC421,"n/a")</f>
        <v>n/a</v>
      </c>
      <c r="BD426" s="225" t="str">
        <f t="shared" ref="BD426" si="6430">++IFERROR(BD425/BD421,"n/a")</f>
        <v>n/a</v>
      </c>
      <c r="BE426" s="225" t="str">
        <f t="shared" ref="BE426" si="6431">++IFERROR(BE425/BE421,"n/a")</f>
        <v>n/a</v>
      </c>
      <c r="BF426" s="225" t="str">
        <f t="shared" ref="BF426" si="6432">++IFERROR(BF425/BF421,"n/a")</f>
        <v>n/a</v>
      </c>
      <c r="BG426" s="214" t="str">
        <f t="shared" ref="BG426" si="6433">++IFERROR(BG425/BG421,"n/a")</f>
        <v>n/a</v>
      </c>
      <c r="BH426" s="225" t="str">
        <f t="shared" ref="BH426" si="6434">++IFERROR(BH425/BH421,"n/a")</f>
        <v>n/a</v>
      </c>
      <c r="BI426" s="225" t="str">
        <f t="shared" ref="BI426" si="6435">++IFERROR(BI425/BI421,"n/a")</f>
        <v>n/a</v>
      </c>
      <c r="BJ426" s="225" t="str">
        <f t="shared" ref="BJ426" si="6436">++IFERROR(BJ425/BJ421,"n/a")</f>
        <v>n/a</v>
      </c>
      <c r="BK426" s="225" t="str">
        <f t="shared" ref="BK426" si="6437">++IFERROR(BK425/BK421,"n/a")</f>
        <v>n/a</v>
      </c>
      <c r="BL426" s="225" t="str">
        <f t="shared" ref="BL426" si="6438">++IFERROR(BL425/BL421,"n/a")</f>
        <v>n/a</v>
      </c>
      <c r="BM426" s="225" t="str">
        <f t="shared" ref="BM426" si="6439">++IFERROR(BM425/BM421,"n/a")</f>
        <v>n/a</v>
      </c>
      <c r="BN426" s="225" t="str">
        <f t="shared" ref="BN426" si="6440">++IFERROR(BN425/BN421,"n/a")</f>
        <v>n/a</v>
      </c>
      <c r="BO426" s="225" t="str">
        <f t="shared" ref="BO426" si="6441">++IFERROR(BO425/BO421,"n/a")</f>
        <v>n/a</v>
      </c>
      <c r="BP426" s="225" t="str">
        <f t="shared" ref="BP426" si="6442">++IFERROR(BP425/BP421,"n/a")</f>
        <v>n/a</v>
      </c>
      <c r="BQ426" s="225" t="str">
        <f t="shared" ref="BQ426" si="6443">++IFERROR(BQ425/BQ421,"n/a")</f>
        <v>n/a</v>
      </c>
      <c r="BR426" s="225" t="str">
        <f t="shared" ref="BR426" si="6444">++IFERROR(BR425/BR421,"n/a")</f>
        <v>n/a</v>
      </c>
      <c r="BS426" s="214" t="str">
        <f t="shared" ref="BS426" si="6445">++IFERROR(BS425/BS421,"n/a")</f>
        <v>n/a</v>
      </c>
      <c r="BT426" s="225" t="str">
        <f t="shared" ref="BT426" si="6446">++IFERROR(BT425/BT421,"n/a")</f>
        <v>n/a</v>
      </c>
      <c r="BU426" s="225" t="str">
        <f t="shared" ref="BU426" si="6447">++IFERROR(BU425/BU421,"n/a")</f>
        <v>n/a</v>
      </c>
      <c r="BV426" s="225" t="str">
        <f t="shared" ref="BV426" si="6448">++IFERROR(BV425/BV421,"n/a")</f>
        <v>n/a</v>
      </c>
      <c r="BW426" s="225" t="str">
        <f t="shared" ref="BW426" si="6449">++IFERROR(BW425/BW421,"n/a")</f>
        <v>n/a</v>
      </c>
      <c r="BX426" s="225" t="str">
        <f t="shared" ref="BX426" si="6450">++IFERROR(BX425/BX421,"n/a")</f>
        <v>n/a</v>
      </c>
      <c r="BY426" s="225" t="str">
        <f t="shared" ref="BY426" si="6451">++IFERROR(BY425/BY421,"n/a")</f>
        <v>n/a</v>
      </c>
      <c r="BZ426" s="225" t="str">
        <f t="shared" ref="BZ426" si="6452">++IFERROR(BZ425/BZ421,"n/a")</f>
        <v>n/a</v>
      </c>
      <c r="CA426" s="225" t="str">
        <f t="shared" ref="CA426" si="6453">++IFERROR(CA425/CA421,"n/a")</f>
        <v>n/a</v>
      </c>
      <c r="CB426" s="225" t="str">
        <f t="shared" ref="CB426" si="6454">++IFERROR(CB425/CB421,"n/a")</f>
        <v>n/a</v>
      </c>
      <c r="CC426" s="225" t="str">
        <f t="shared" ref="CC426" si="6455">++IFERROR(CC425/CC421,"n/a")</f>
        <v>n/a</v>
      </c>
      <c r="CD426" s="225" t="str">
        <f t="shared" ref="CD426" si="6456">++IFERROR(CD425/CD421,"n/a")</f>
        <v>n/a</v>
      </c>
      <c r="CE426" s="214" t="str">
        <f t="shared" ref="CE426" si="6457">++IFERROR(CE425/CE421,"n/a")</f>
        <v>n/a</v>
      </c>
      <c r="CF426" s="225" t="str">
        <f t="shared" ref="CF426" si="6458">++IFERROR(CF425/CF421,"n/a")</f>
        <v>n/a</v>
      </c>
      <c r="CG426" s="225" t="str">
        <f t="shared" ref="CG426" si="6459">++IFERROR(CG425/CG421,"n/a")</f>
        <v>n/a</v>
      </c>
      <c r="CH426" s="225" t="str">
        <f t="shared" ref="CH426" si="6460">++IFERROR(CH425/CH421,"n/a")</f>
        <v>n/a</v>
      </c>
      <c r="CI426" s="225" t="str">
        <f t="shared" ref="CI426" si="6461">++IFERROR(CI425/CI421,"n/a")</f>
        <v>n/a</v>
      </c>
      <c r="CJ426" s="225" t="str">
        <f t="shared" ref="CJ426" si="6462">++IFERROR(CJ425/CJ421,"n/a")</f>
        <v>n/a</v>
      </c>
      <c r="CK426" s="225" t="str">
        <f t="shared" ref="CK426" si="6463">++IFERROR(CK425/CK421,"n/a")</f>
        <v>n/a</v>
      </c>
      <c r="CL426" s="225" t="str">
        <f t="shared" ref="CL426" si="6464">++IFERROR(CL425/CL421,"n/a")</f>
        <v>n/a</v>
      </c>
      <c r="CM426" s="225" t="str">
        <f t="shared" ref="CM426" si="6465">++IFERROR(CM425/CM421,"n/a")</f>
        <v>n/a</v>
      </c>
      <c r="CN426" s="225" t="str">
        <f t="shared" ref="CN426" si="6466">++IFERROR(CN425/CN421,"n/a")</f>
        <v>n/a</v>
      </c>
      <c r="CO426" s="225" t="str">
        <f t="shared" ref="CO426" si="6467">++IFERROR(CO425/CO421,"n/a")</f>
        <v>n/a</v>
      </c>
      <c r="CP426" s="225" t="str">
        <f t="shared" ref="CP426" si="6468">++IFERROR(CP425/CP421,"n/a")</f>
        <v>n/a</v>
      </c>
      <c r="CQ426" s="214" t="str">
        <f t="shared" ref="CQ426" si="6469">++IFERROR(CQ425/CQ421,"n/a")</f>
        <v>n/a</v>
      </c>
      <c r="CR426" s="225" t="str">
        <f t="shared" ref="CR426" si="6470">++IFERROR(CR425/CR421,"n/a")</f>
        <v>n/a</v>
      </c>
      <c r="CS426" s="225" t="str">
        <f t="shared" ref="CS426" si="6471">++IFERROR(CS425/CS421,"n/a")</f>
        <v>n/a</v>
      </c>
      <c r="CT426" s="225" t="str">
        <f t="shared" ref="CT426" si="6472">++IFERROR(CT425/CT421,"n/a")</f>
        <v>n/a</v>
      </c>
      <c r="CU426" s="225" t="str">
        <f t="shared" ref="CU426" si="6473">++IFERROR(CU425/CU421,"n/a")</f>
        <v>n/a</v>
      </c>
      <c r="CV426" s="225" t="str">
        <f t="shared" ref="CV426" si="6474">++IFERROR(CV425/CV421,"n/a")</f>
        <v>n/a</v>
      </c>
      <c r="CW426" s="225" t="str">
        <f t="shared" ref="CW426" si="6475">++IFERROR(CW425/CW421,"n/a")</f>
        <v>n/a</v>
      </c>
      <c r="CX426" s="225" t="str">
        <f t="shared" ref="CX426" si="6476">++IFERROR(CX425/CX421,"n/a")</f>
        <v>n/a</v>
      </c>
      <c r="CY426" s="225" t="str">
        <f t="shared" ref="CY426" si="6477">++IFERROR(CY425/CY421,"n/a")</f>
        <v>n/a</v>
      </c>
      <c r="CZ426" s="225" t="str">
        <f t="shared" ref="CZ426" si="6478">++IFERROR(CZ425/CZ421,"n/a")</f>
        <v>n/a</v>
      </c>
      <c r="DA426" s="225" t="str">
        <f t="shared" ref="DA426" si="6479">++IFERROR(DA425/DA421,"n/a")</f>
        <v>n/a</v>
      </c>
      <c r="DB426" s="225" t="str">
        <f t="shared" ref="DB426" si="6480">++IFERROR(DB425/DB421,"n/a")</f>
        <v>n/a</v>
      </c>
      <c r="DC426" s="214" t="str">
        <f t="shared" ref="DC426" si="6481">++IFERROR(DC425/DC421,"n/a")</f>
        <v>n/a</v>
      </c>
    </row>
    <row r="427" spans="3:107" x14ac:dyDescent="0.3">
      <c r="G427" s="203"/>
      <c r="K427" s="203"/>
      <c r="W427" s="203"/>
      <c r="AI427" s="203"/>
      <c r="AU427" s="203"/>
      <c r="BG427" s="203"/>
      <c r="BS427" s="203"/>
      <c r="CE427" s="203"/>
      <c r="CQ427" s="203"/>
      <c r="DC427" s="203"/>
    </row>
    <row r="428" spans="3:107" ht="13.5" thickBot="1" x14ac:dyDescent="0.35">
      <c r="C428" s="369" t="str">
        <f>++C$36</f>
        <v>Net Income</v>
      </c>
      <c r="D428" s="370"/>
      <c r="E428" s="370"/>
      <c r="G428" s="435">
        <f>++G134</f>
        <v>0</v>
      </c>
      <c r="H428" s="435">
        <f t="shared" ref="H428:BS428" si="6482">++H134</f>
        <v>0</v>
      </c>
      <c r="I428" s="435">
        <f t="shared" si="6482"/>
        <v>0</v>
      </c>
      <c r="J428" s="435">
        <f t="shared" si="6482"/>
        <v>0</v>
      </c>
      <c r="K428" s="435">
        <f t="shared" si="6482"/>
        <v>0</v>
      </c>
      <c r="L428" s="435">
        <f t="shared" si="6482"/>
        <v>0</v>
      </c>
      <c r="M428" s="435">
        <f t="shared" si="6482"/>
        <v>0</v>
      </c>
      <c r="N428" s="435">
        <f t="shared" si="6482"/>
        <v>0</v>
      </c>
      <c r="O428" s="435">
        <f t="shared" si="6482"/>
        <v>0</v>
      </c>
      <c r="P428" s="435">
        <f t="shared" si="6482"/>
        <v>0</v>
      </c>
      <c r="Q428" s="435">
        <f t="shared" si="6482"/>
        <v>0</v>
      </c>
      <c r="R428" s="435">
        <f t="shared" si="6482"/>
        <v>0</v>
      </c>
      <c r="S428" s="435">
        <f t="shared" si="6482"/>
        <v>0</v>
      </c>
      <c r="T428" s="435">
        <f t="shared" si="6482"/>
        <v>0</v>
      </c>
      <c r="U428" s="435">
        <f t="shared" si="6482"/>
        <v>0</v>
      </c>
      <c r="V428" s="435">
        <f t="shared" si="6482"/>
        <v>0</v>
      </c>
      <c r="W428" s="435">
        <f t="shared" si="6482"/>
        <v>0</v>
      </c>
      <c r="X428" s="435">
        <f t="shared" si="6482"/>
        <v>0</v>
      </c>
      <c r="Y428" s="435">
        <f t="shared" si="6482"/>
        <v>0</v>
      </c>
      <c r="Z428" s="435">
        <f t="shared" si="6482"/>
        <v>0</v>
      </c>
      <c r="AA428" s="435">
        <f t="shared" si="6482"/>
        <v>0</v>
      </c>
      <c r="AB428" s="435">
        <f t="shared" si="6482"/>
        <v>0</v>
      </c>
      <c r="AC428" s="435">
        <f t="shared" si="6482"/>
        <v>0</v>
      </c>
      <c r="AD428" s="435">
        <f t="shared" si="6482"/>
        <v>0</v>
      </c>
      <c r="AE428" s="435">
        <f t="shared" si="6482"/>
        <v>0</v>
      </c>
      <c r="AF428" s="435">
        <f t="shared" si="6482"/>
        <v>0</v>
      </c>
      <c r="AG428" s="435">
        <f t="shared" si="6482"/>
        <v>0</v>
      </c>
      <c r="AH428" s="435">
        <f t="shared" si="6482"/>
        <v>0</v>
      </c>
      <c r="AI428" s="435">
        <f t="shared" si="6482"/>
        <v>0</v>
      </c>
      <c r="AJ428" s="435">
        <f t="shared" si="6482"/>
        <v>0</v>
      </c>
      <c r="AK428" s="435">
        <f t="shared" si="6482"/>
        <v>0</v>
      </c>
      <c r="AL428" s="435">
        <f t="shared" si="6482"/>
        <v>0</v>
      </c>
      <c r="AM428" s="435">
        <f t="shared" si="6482"/>
        <v>0</v>
      </c>
      <c r="AN428" s="435">
        <f t="shared" si="6482"/>
        <v>0</v>
      </c>
      <c r="AO428" s="435">
        <f t="shared" si="6482"/>
        <v>0</v>
      </c>
      <c r="AP428" s="435">
        <f t="shared" si="6482"/>
        <v>0</v>
      </c>
      <c r="AQ428" s="435">
        <f t="shared" si="6482"/>
        <v>0</v>
      </c>
      <c r="AR428" s="435">
        <f t="shared" si="6482"/>
        <v>0</v>
      </c>
      <c r="AS428" s="435">
        <f t="shared" si="6482"/>
        <v>0</v>
      </c>
      <c r="AT428" s="435">
        <f t="shared" si="6482"/>
        <v>0</v>
      </c>
      <c r="AU428" s="435">
        <f t="shared" si="6482"/>
        <v>0</v>
      </c>
      <c r="AV428" s="435">
        <f t="shared" si="6482"/>
        <v>0</v>
      </c>
      <c r="AW428" s="435">
        <f t="shared" si="6482"/>
        <v>0</v>
      </c>
      <c r="AX428" s="435">
        <f t="shared" si="6482"/>
        <v>0</v>
      </c>
      <c r="AY428" s="435">
        <f t="shared" si="6482"/>
        <v>0</v>
      </c>
      <c r="AZ428" s="435">
        <f t="shared" si="6482"/>
        <v>0</v>
      </c>
      <c r="BA428" s="435">
        <f t="shared" si="6482"/>
        <v>0</v>
      </c>
      <c r="BB428" s="435">
        <f t="shared" si="6482"/>
        <v>0</v>
      </c>
      <c r="BC428" s="435">
        <f t="shared" si="6482"/>
        <v>0</v>
      </c>
      <c r="BD428" s="435">
        <f t="shared" si="6482"/>
        <v>0</v>
      </c>
      <c r="BE428" s="435">
        <f t="shared" si="6482"/>
        <v>0</v>
      </c>
      <c r="BF428" s="435">
        <f t="shared" si="6482"/>
        <v>0</v>
      </c>
      <c r="BG428" s="435">
        <f t="shared" si="6482"/>
        <v>0</v>
      </c>
      <c r="BH428" s="435">
        <f t="shared" si="6482"/>
        <v>0</v>
      </c>
      <c r="BI428" s="435">
        <f t="shared" si="6482"/>
        <v>0</v>
      </c>
      <c r="BJ428" s="435">
        <f t="shared" si="6482"/>
        <v>0</v>
      </c>
      <c r="BK428" s="435">
        <f t="shared" si="6482"/>
        <v>0</v>
      </c>
      <c r="BL428" s="435">
        <f t="shared" si="6482"/>
        <v>0</v>
      </c>
      <c r="BM428" s="435">
        <f t="shared" si="6482"/>
        <v>0</v>
      </c>
      <c r="BN428" s="435">
        <f t="shared" si="6482"/>
        <v>0</v>
      </c>
      <c r="BO428" s="435">
        <f t="shared" si="6482"/>
        <v>0</v>
      </c>
      <c r="BP428" s="435">
        <f t="shared" si="6482"/>
        <v>0</v>
      </c>
      <c r="BQ428" s="435">
        <f t="shared" si="6482"/>
        <v>0</v>
      </c>
      <c r="BR428" s="435">
        <f t="shared" si="6482"/>
        <v>0</v>
      </c>
      <c r="BS428" s="435">
        <f t="shared" si="6482"/>
        <v>0</v>
      </c>
      <c r="BT428" s="435">
        <f t="shared" ref="BT428:DC428" si="6483">++BT134</f>
        <v>0</v>
      </c>
      <c r="BU428" s="435">
        <f t="shared" si="6483"/>
        <v>0</v>
      </c>
      <c r="BV428" s="435">
        <f t="shared" si="6483"/>
        <v>0</v>
      </c>
      <c r="BW428" s="435">
        <f t="shared" si="6483"/>
        <v>0</v>
      </c>
      <c r="BX428" s="435">
        <f t="shared" si="6483"/>
        <v>0</v>
      </c>
      <c r="BY428" s="435">
        <f t="shared" si="6483"/>
        <v>0</v>
      </c>
      <c r="BZ428" s="435">
        <f t="shared" si="6483"/>
        <v>0</v>
      </c>
      <c r="CA428" s="435">
        <f t="shared" si="6483"/>
        <v>0</v>
      </c>
      <c r="CB428" s="435">
        <f t="shared" si="6483"/>
        <v>0</v>
      </c>
      <c r="CC428" s="435">
        <f t="shared" si="6483"/>
        <v>0</v>
      </c>
      <c r="CD428" s="435">
        <f t="shared" si="6483"/>
        <v>0</v>
      </c>
      <c r="CE428" s="435">
        <f t="shared" si="6483"/>
        <v>0</v>
      </c>
      <c r="CF428" s="435">
        <f t="shared" si="6483"/>
        <v>0</v>
      </c>
      <c r="CG428" s="435">
        <f t="shared" si="6483"/>
        <v>0</v>
      </c>
      <c r="CH428" s="435">
        <f t="shared" si="6483"/>
        <v>0</v>
      </c>
      <c r="CI428" s="435">
        <f t="shared" si="6483"/>
        <v>0</v>
      </c>
      <c r="CJ428" s="435">
        <f t="shared" si="6483"/>
        <v>0</v>
      </c>
      <c r="CK428" s="435">
        <f t="shared" si="6483"/>
        <v>0</v>
      </c>
      <c r="CL428" s="435">
        <f t="shared" si="6483"/>
        <v>0</v>
      </c>
      <c r="CM428" s="435">
        <f t="shared" si="6483"/>
        <v>0</v>
      </c>
      <c r="CN428" s="435">
        <f t="shared" si="6483"/>
        <v>0</v>
      </c>
      <c r="CO428" s="435">
        <f t="shared" si="6483"/>
        <v>0</v>
      </c>
      <c r="CP428" s="435">
        <f t="shared" si="6483"/>
        <v>0</v>
      </c>
      <c r="CQ428" s="435">
        <f t="shared" si="6483"/>
        <v>0</v>
      </c>
      <c r="CR428" s="435">
        <f t="shared" si="6483"/>
        <v>0</v>
      </c>
      <c r="CS428" s="435">
        <f t="shared" si="6483"/>
        <v>0</v>
      </c>
      <c r="CT428" s="435">
        <f t="shared" si="6483"/>
        <v>0</v>
      </c>
      <c r="CU428" s="435">
        <f t="shared" si="6483"/>
        <v>0</v>
      </c>
      <c r="CV428" s="435">
        <f t="shared" si="6483"/>
        <v>0</v>
      </c>
      <c r="CW428" s="435">
        <f t="shared" si="6483"/>
        <v>0</v>
      </c>
      <c r="CX428" s="435">
        <f t="shared" si="6483"/>
        <v>0</v>
      </c>
      <c r="CY428" s="435">
        <f t="shared" si="6483"/>
        <v>0</v>
      </c>
      <c r="CZ428" s="435">
        <f t="shared" si="6483"/>
        <v>0</v>
      </c>
      <c r="DA428" s="435">
        <f t="shared" si="6483"/>
        <v>0</v>
      </c>
      <c r="DB428" s="435">
        <f t="shared" si="6483"/>
        <v>0</v>
      </c>
      <c r="DC428" s="435">
        <f t="shared" si="6483"/>
        <v>0</v>
      </c>
    </row>
    <row r="429" spans="3:107" ht="13.5" thickTop="1" x14ac:dyDescent="0.3">
      <c r="C429" s="321" t="str">
        <f>++C$37</f>
        <v>% margin</v>
      </c>
      <c r="G429" s="214" t="str">
        <f>++IFERROR(G428/G402,"n/a")</f>
        <v>n/a</v>
      </c>
      <c r="H429" s="225" t="str">
        <f t="shared" ref="H429" si="6484">++IFERROR(H428/H402,"n/a")</f>
        <v>n/a</v>
      </c>
      <c r="I429" s="225" t="str">
        <f t="shared" ref="I429" si="6485">++IFERROR(I428/I402,"n/a")</f>
        <v>n/a</v>
      </c>
      <c r="J429" s="225" t="str">
        <f t="shared" ref="J429" si="6486">++IFERROR(J428/J402,"n/a")</f>
        <v>n/a</v>
      </c>
      <c r="K429" s="214" t="str">
        <f t="shared" ref="K429" si="6487">++IFERROR(K428/K402,"n/a")</f>
        <v>n/a</v>
      </c>
      <c r="L429" s="225" t="str">
        <f t="shared" ref="L429" si="6488">++IFERROR(L428/L402,"n/a")</f>
        <v>n/a</v>
      </c>
      <c r="M429" s="225" t="str">
        <f t="shared" ref="M429" si="6489">++IFERROR(M428/M402,"n/a")</f>
        <v>n/a</v>
      </c>
      <c r="N429" s="225" t="str">
        <f t="shared" ref="N429" si="6490">++IFERROR(N428/N402,"n/a")</f>
        <v>n/a</v>
      </c>
      <c r="O429" s="225" t="str">
        <f t="shared" ref="O429" si="6491">++IFERROR(O428/O402,"n/a")</f>
        <v>n/a</v>
      </c>
      <c r="P429" s="225" t="str">
        <f t="shared" ref="P429" si="6492">++IFERROR(P428/P402,"n/a")</f>
        <v>n/a</v>
      </c>
      <c r="Q429" s="225" t="str">
        <f t="shared" ref="Q429" si="6493">++IFERROR(Q428/Q402,"n/a")</f>
        <v>n/a</v>
      </c>
      <c r="R429" s="225" t="str">
        <f t="shared" ref="R429" si="6494">++IFERROR(R428/R402,"n/a")</f>
        <v>n/a</v>
      </c>
      <c r="S429" s="225" t="str">
        <f t="shared" ref="S429" si="6495">++IFERROR(S428/S402,"n/a")</f>
        <v>n/a</v>
      </c>
      <c r="T429" s="225" t="str">
        <f t="shared" ref="T429" si="6496">++IFERROR(T428/T402,"n/a")</f>
        <v>n/a</v>
      </c>
      <c r="U429" s="225" t="str">
        <f t="shared" ref="U429" si="6497">++IFERROR(U428/U402,"n/a")</f>
        <v>n/a</v>
      </c>
      <c r="V429" s="225" t="str">
        <f t="shared" ref="V429" si="6498">++IFERROR(V428/V402,"n/a")</f>
        <v>n/a</v>
      </c>
      <c r="W429" s="214" t="str">
        <f t="shared" ref="W429" si="6499">++IFERROR(W428/W402,"n/a")</f>
        <v>n/a</v>
      </c>
      <c r="X429" s="225" t="str">
        <f t="shared" ref="X429" si="6500">++IFERROR(X428/X402,"n/a")</f>
        <v>n/a</v>
      </c>
      <c r="Y429" s="225" t="str">
        <f t="shared" ref="Y429" si="6501">++IFERROR(Y428/Y402,"n/a")</f>
        <v>n/a</v>
      </c>
      <c r="Z429" s="225" t="str">
        <f t="shared" ref="Z429" si="6502">++IFERROR(Z428/Z402,"n/a")</f>
        <v>n/a</v>
      </c>
      <c r="AA429" s="225" t="str">
        <f t="shared" ref="AA429" si="6503">++IFERROR(AA428/AA402,"n/a")</f>
        <v>n/a</v>
      </c>
      <c r="AB429" s="225" t="str">
        <f t="shared" ref="AB429" si="6504">++IFERROR(AB428/AB402,"n/a")</f>
        <v>n/a</v>
      </c>
      <c r="AC429" s="225" t="str">
        <f t="shared" ref="AC429" si="6505">++IFERROR(AC428/AC402,"n/a")</f>
        <v>n/a</v>
      </c>
      <c r="AD429" s="225" t="str">
        <f t="shared" ref="AD429" si="6506">++IFERROR(AD428/AD402,"n/a")</f>
        <v>n/a</v>
      </c>
      <c r="AE429" s="225" t="str">
        <f t="shared" ref="AE429" si="6507">++IFERROR(AE428/AE402,"n/a")</f>
        <v>n/a</v>
      </c>
      <c r="AF429" s="225" t="str">
        <f t="shared" ref="AF429" si="6508">++IFERROR(AF428/AF402,"n/a")</f>
        <v>n/a</v>
      </c>
      <c r="AG429" s="225" t="str">
        <f t="shared" ref="AG429" si="6509">++IFERROR(AG428/AG402,"n/a")</f>
        <v>n/a</v>
      </c>
      <c r="AH429" s="225" t="str">
        <f t="shared" ref="AH429" si="6510">++IFERROR(AH428/AH402,"n/a")</f>
        <v>n/a</v>
      </c>
      <c r="AI429" s="214" t="str">
        <f t="shared" ref="AI429" si="6511">++IFERROR(AI428/AI402,"n/a")</f>
        <v>n/a</v>
      </c>
      <c r="AJ429" s="225" t="str">
        <f t="shared" ref="AJ429" si="6512">++IFERROR(AJ428/AJ402,"n/a")</f>
        <v>n/a</v>
      </c>
      <c r="AK429" s="225" t="str">
        <f t="shared" ref="AK429" si="6513">++IFERROR(AK428/AK402,"n/a")</f>
        <v>n/a</v>
      </c>
      <c r="AL429" s="225" t="str">
        <f t="shared" ref="AL429" si="6514">++IFERROR(AL428/AL402,"n/a")</f>
        <v>n/a</v>
      </c>
      <c r="AM429" s="225" t="str">
        <f t="shared" ref="AM429" si="6515">++IFERROR(AM428/AM402,"n/a")</f>
        <v>n/a</v>
      </c>
      <c r="AN429" s="225" t="str">
        <f t="shared" ref="AN429" si="6516">++IFERROR(AN428/AN402,"n/a")</f>
        <v>n/a</v>
      </c>
      <c r="AO429" s="225" t="str">
        <f t="shared" ref="AO429" si="6517">++IFERROR(AO428/AO402,"n/a")</f>
        <v>n/a</v>
      </c>
      <c r="AP429" s="225" t="str">
        <f t="shared" ref="AP429" si="6518">++IFERROR(AP428/AP402,"n/a")</f>
        <v>n/a</v>
      </c>
      <c r="AQ429" s="225" t="str">
        <f t="shared" ref="AQ429" si="6519">++IFERROR(AQ428/AQ402,"n/a")</f>
        <v>n/a</v>
      </c>
      <c r="AR429" s="225" t="str">
        <f t="shared" ref="AR429" si="6520">++IFERROR(AR428/AR402,"n/a")</f>
        <v>n/a</v>
      </c>
      <c r="AS429" s="225" t="str">
        <f t="shared" ref="AS429" si="6521">++IFERROR(AS428/AS402,"n/a")</f>
        <v>n/a</v>
      </c>
      <c r="AT429" s="225" t="str">
        <f t="shared" ref="AT429" si="6522">++IFERROR(AT428/AT402,"n/a")</f>
        <v>n/a</v>
      </c>
      <c r="AU429" s="214" t="str">
        <f t="shared" ref="AU429" si="6523">++IFERROR(AU428/AU402,"n/a")</f>
        <v>n/a</v>
      </c>
      <c r="AV429" s="225" t="str">
        <f t="shared" ref="AV429" si="6524">++IFERROR(AV428/AV402,"n/a")</f>
        <v>n/a</v>
      </c>
      <c r="AW429" s="225" t="str">
        <f t="shared" ref="AW429" si="6525">++IFERROR(AW428/AW402,"n/a")</f>
        <v>n/a</v>
      </c>
      <c r="AX429" s="225" t="str">
        <f t="shared" ref="AX429" si="6526">++IFERROR(AX428/AX402,"n/a")</f>
        <v>n/a</v>
      </c>
      <c r="AY429" s="225" t="str">
        <f t="shared" ref="AY429" si="6527">++IFERROR(AY428/AY402,"n/a")</f>
        <v>n/a</v>
      </c>
      <c r="AZ429" s="225" t="str">
        <f t="shared" ref="AZ429" si="6528">++IFERROR(AZ428/AZ402,"n/a")</f>
        <v>n/a</v>
      </c>
      <c r="BA429" s="225" t="str">
        <f t="shared" ref="BA429" si="6529">++IFERROR(BA428/BA402,"n/a")</f>
        <v>n/a</v>
      </c>
      <c r="BB429" s="225" t="str">
        <f t="shared" ref="BB429" si="6530">++IFERROR(BB428/BB402,"n/a")</f>
        <v>n/a</v>
      </c>
      <c r="BC429" s="225" t="str">
        <f t="shared" ref="BC429" si="6531">++IFERROR(BC428/BC402,"n/a")</f>
        <v>n/a</v>
      </c>
      <c r="BD429" s="225" t="str">
        <f t="shared" ref="BD429" si="6532">++IFERROR(BD428/BD402,"n/a")</f>
        <v>n/a</v>
      </c>
      <c r="BE429" s="225" t="str">
        <f t="shared" ref="BE429" si="6533">++IFERROR(BE428/BE402,"n/a")</f>
        <v>n/a</v>
      </c>
      <c r="BF429" s="225" t="str">
        <f t="shared" ref="BF429" si="6534">++IFERROR(BF428/BF402,"n/a")</f>
        <v>n/a</v>
      </c>
      <c r="BG429" s="214" t="str">
        <f t="shared" ref="BG429" si="6535">++IFERROR(BG428/BG402,"n/a")</f>
        <v>n/a</v>
      </c>
      <c r="BH429" s="225" t="str">
        <f t="shared" ref="BH429" si="6536">++IFERROR(BH428/BH402,"n/a")</f>
        <v>n/a</v>
      </c>
      <c r="BI429" s="225" t="str">
        <f t="shared" ref="BI429" si="6537">++IFERROR(BI428/BI402,"n/a")</f>
        <v>n/a</v>
      </c>
      <c r="BJ429" s="225" t="str">
        <f t="shared" ref="BJ429" si="6538">++IFERROR(BJ428/BJ402,"n/a")</f>
        <v>n/a</v>
      </c>
      <c r="BK429" s="225" t="str">
        <f t="shared" ref="BK429" si="6539">++IFERROR(BK428/BK402,"n/a")</f>
        <v>n/a</v>
      </c>
      <c r="BL429" s="225" t="str">
        <f t="shared" ref="BL429" si="6540">++IFERROR(BL428/BL402,"n/a")</f>
        <v>n/a</v>
      </c>
      <c r="BM429" s="225" t="str">
        <f t="shared" ref="BM429" si="6541">++IFERROR(BM428/BM402,"n/a")</f>
        <v>n/a</v>
      </c>
      <c r="BN429" s="225" t="str">
        <f t="shared" ref="BN429" si="6542">++IFERROR(BN428/BN402,"n/a")</f>
        <v>n/a</v>
      </c>
      <c r="BO429" s="225" t="str">
        <f t="shared" ref="BO429" si="6543">++IFERROR(BO428/BO402,"n/a")</f>
        <v>n/a</v>
      </c>
      <c r="BP429" s="225" t="str">
        <f t="shared" ref="BP429" si="6544">++IFERROR(BP428/BP402,"n/a")</f>
        <v>n/a</v>
      </c>
      <c r="BQ429" s="225" t="str">
        <f t="shared" ref="BQ429" si="6545">++IFERROR(BQ428/BQ402,"n/a")</f>
        <v>n/a</v>
      </c>
      <c r="BR429" s="225" t="str">
        <f t="shared" ref="BR429" si="6546">++IFERROR(BR428/BR402,"n/a")</f>
        <v>n/a</v>
      </c>
      <c r="BS429" s="214" t="str">
        <f t="shared" ref="BS429" si="6547">++IFERROR(BS428/BS402,"n/a")</f>
        <v>n/a</v>
      </c>
      <c r="BT429" s="225" t="str">
        <f t="shared" ref="BT429" si="6548">++IFERROR(BT428/BT402,"n/a")</f>
        <v>n/a</v>
      </c>
      <c r="BU429" s="225" t="str">
        <f t="shared" ref="BU429" si="6549">++IFERROR(BU428/BU402,"n/a")</f>
        <v>n/a</v>
      </c>
      <c r="BV429" s="225" t="str">
        <f t="shared" ref="BV429" si="6550">++IFERROR(BV428/BV402,"n/a")</f>
        <v>n/a</v>
      </c>
      <c r="BW429" s="225" t="str">
        <f t="shared" ref="BW429" si="6551">++IFERROR(BW428/BW402,"n/a")</f>
        <v>n/a</v>
      </c>
      <c r="BX429" s="225" t="str">
        <f t="shared" ref="BX429" si="6552">++IFERROR(BX428/BX402,"n/a")</f>
        <v>n/a</v>
      </c>
      <c r="BY429" s="225" t="str">
        <f t="shared" ref="BY429" si="6553">++IFERROR(BY428/BY402,"n/a")</f>
        <v>n/a</v>
      </c>
      <c r="BZ429" s="225" t="str">
        <f t="shared" ref="BZ429" si="6554">++IFERROR(BZ428/BZ402,"n/a")</f>
        <v>n/a</v>
      </c>
      <c r="CA429" s="225" t="str">
        <f t="shared" ref="CA429" si="6555">++IFERROR(CA428/CA402,"n/a")</f>
        <v>n/a</v>
      </c>
      <c r="CB429" s="225" t="str">
        <f t="shared" ref="CB429" si="6556">++IFERROR(CB428/CB402,"n/a")</f>
        <v>n/a</v>
      </c>
      <c r="CC429" s="225" t="str">
        <f t="shared" ref="CC429" si="6557">++IFERROR(CC428/CC402,"n/a")</f>
        <v>n/a</v>
      </c>
      <c r="CD429" s="225" t="str">
        <f t="shared" ref="CD429" si="6558">++IFERROR(CD428/CD402,"n/a")</f>
        <v>n/a</v>
      </c>
      <c r="CE429" s="214" t="str">
        <f t="shared" ref="CE429" si="6559">++IFERROR(CE428/CE402,"n/a")</f>
        <v>n/a</v>
      </c>
      <c r="CF429" s="225" t="str">
        <f t="shared" ref="CF429" si="6560">++IFERROR(CF428/CF402,"n/a")</f>
        <v>n/a</v>
      </c>
      <c r="CG429" s="225" t="str">
        <f t="shared" ref="CG429" si="6561">++IFERROR(CG428/CG402,"n/a")</f>
        <v>n/a</v>
      </c>
      <c r="CH429" s="225" t="str">
        <f t="shared" ref="CH429" si="6562">++IFERROR(CH428/CH402,"n/a")</f>
        <v>n/a</v>
      </c>
      <c r="CI429" s="225" t="str">
        <f t="shared" ref="CI429" si="6563">++IFERROR(CI428/CI402,"n/a")</f>
        <v>n/a</v>
      </c>
      <c r="CJ429" s="225" t="str">
        <f t="shared" ref="CJ429" si="6564">++IFERROR(CJ428/CJ402,"n/a")</f>
        <v>n/a</v>
      </c>
      <c r="CK429" s="225" t="str">
        <f t="shared" ref="CK429" si="6565">++IFERROR(CK428/CK402,"n/a")</f>
        <v>n/a</v>
      </c>
      <c r="CL429" s="225" t="str">
        <f t="shared" ref="CL429" si="6566">++IFERROR(CL428/CL402,"n/a")</f>
        <v>n/a</v>
      </c>
      <c r="CM429" s="225" t="str">
        <f t="shared" ref="CM429" si="6567">++IFERROR(CM428/CM402,"n/a")</f>
        <v>n/a</v>
      </c>
      <c r="CN429" s="225" t="str">
        <f t="shared" ref="CN429" si="6568">++IFERROR(CN428/CN402,"n/a")</f>
        <v>n/a</v>
      </c>
      <c r="CO429" s="225" t="str">
        <f t="shared" ref="CO429" si="6569">++IFERROR(CO428/CO402,"n/a")</f>
        <v>n/a</v>
      </c>
      <c r="CP429" s="225" t="str">
        <f t="shared" ref="CP429" si="6570">++IFERROR(CP428/CP402,"n/a")</f>
        <v>n/a</v>
      </c>
      <c r="CQ429" s="214" t="str">
        <f t="shared" ref="CQ429" si="6571">++IFERROR(CQ428/CQ402,"n/a")</f>
        <v>n/a</v>
      </c>
      <c r="CR429" s="225" t="str">
        <f t="shared" ref="CR429" si="6572">++IFERROR(CR428/CR402,"n/a")</f>
        <v>n/a</v>
      </c>
      <c r="CS429" s="225" t="str">
        <f t="shared" ref="CS429" si="6573">++IFERROR(CS428/CS402,"n/a")</f>
        <v>n/a</v>
      </c>
      <c r="CT429" s="225" t="str">
        <f t="shared" ref="CT429" si="6574">++IFERROR(CT428/CT402,"n/a")</f>
        <v>n/a</v>
      </c>
      <c r="CU429" s="225" t="str">
        <f t="shared" ref="CU429" si="6575">++IFERROR(CU428/CU402,"n/a")</f>
        <v>n/a</v>
      </c>
      <c r="CV429" s="225" t="str">
        <f t="shared" ref="CV429" si="6576">++IFERROR(CV428/CV402,"n/a")</f>
        <v>n/a</v>
      </c>
      <c r="CW429" s="225" t="str">
        <f t="shared" ref="CW429" si="6577">++IFERROR(CW428/CW402,"n/a")</f>
        <v>n/a</v>
      </c>
      <c r="CX429" s="225" t="str">
        <f t="shared" ref="CX429" si="6578">++IFERROR(CX428/CX402,"n/a")</f>
        <v>n/a</v>
      </c>
      <c r="CY429" s="225" t="str">
        <f t="shared" ref="CY429" si="6579">++IFERROR(CY428/CY402,"n/a")</f>
        <v>n/a</v>
      </c>
      <c r="CZ429" s="225" t="str">
        <f t="shared" ref="CZ429" si="6580">++IFERROR(CZ428/CZ402,"n/a")</f>
        <v>n/a</v>
      </c>
      <c r="DA429" s="225" t="str">
        <f t="shared" ref="DA429" si="6581">++IFERROR(DA428/DA402,"n/a")</f>
        <v>n/a</v>
      </c>
      <c r="DB429" s="225" t="str">
        <f t="shared" ref="DB429" si="6582">++IFERROR(DB428/DB402,"n/a")</f>
        <v>n/a</v>
      </c>
      <c r="DC429" s="214" t="str">
        <f t="shared" ref="DC429" si="6583">++IFERROR(DC428/DC402,"n/a")</f>
        <v>n/a</v>
      </c>
    </row>
    <row r="430" spans="3:107" x14ac:dyDescent="0.3">
      <c r="C430" s="321" t="str">
        <f>++C$38</f>
        <v>% y/y</v>
      </c>
      <c r="G430" s="122" t="s">
        <v>47</v>
      </c>
      <c r="H430" s="122" t="s">
        <v>47</v>
      </c>
      <c r="I430" s="122" t="s">
        <v>47</v>
      </c>
      <c r="J430" s="122" t="s">
        <v>47</v>
      </c>
      <c r="K430" s="214" t="str">
        <f>++IFERROR(K428/G428-1,"n/a")</f>
        <v>n/a</v>
      </c>
      <c r="L430" s="122" t="s">
        <v>47</v>
      </c>
      <c r="M430" s="122" t="s">
        <v>47</v>
      </c>
      <c r="N430" s="225" t="str">
        <f>++IFERROR(N428/H428-1,"n/a")</f>
        <v>n/a</v>
      </c>
      <c r="O430" s="122" t="s">
        <v>47</v>
      </c>
      <c r="P430" s="122" t="s">
        <v>47</v>
      </c>
      <c r="Q430" s="225" t="str">
        <f>++IFERROR(Q428/I428-1,"n/a")</f>
        <v>n/a</v>
      </c>
      <c r="R430" s="122" t="s">
        <v>47</v>
      </c>
      <c r="S430" s="122" t="s">
        <v>47</v>
      </c>
      <c r="T430" s="225" t="str">
        <f>++IFERROR(T428/J428-1,"n/a")</f>
        <v>n/a</v>
      </c>
      <c r="U430" s="122" t="s">
        <v>47</v>
      </c>
      <c r="V430" s="122" t="s">
        <v>47</v>
      </c>
      <c r="W430" s="214" t="str">
        <f t="shared" ref="W430:BB430" si="6584">++IFERROR(W428/K428-1,"n/a")</f>
        <v>n/a</v>
      </c>
      <c r="X430" s="225" t="str">
        <f t="shared" si="6584"/>
        <v>n/a</v>
      </c>
      <c r="Y430" s="225" t="str">
        <f t="shared" si="6584"/>
        <v>n/a</v>
      </c>
      <c r="Z430" s="225" t="str">
        <f t="shared" si="6584"/>
        <v>n/a</v>
      </c>
      <c r="AA430" s="225" t="str">
        <f t="shared" si="6584"/>
        <v>n/a</v>
      </c>
      <c r="AB430" s="225" t="str">
        <f t="shared" si="6584"/>
        <v>n/a</v>
      </c>
      <c r="AC430" s="225" t="str">
        <f t="shared" si="6584"/>
        <v>n/a</v>
      </c>
      <c r="AD430" s="225" t="str">
        <f t="shared" si="6584"/>
        <v>n/a</v>
      </c>
      <c r="AE430" s="225" t="str">
        <f t="shared" si="6584"/>
        <v>n/a</v>
      </c>
      <c r="AF430" s="225" t="str">
        <f t="shared" si="6584"/>
        <v>n/a</v>
      </c>
      <c r="AG430" s="225" t="str">
        <f t="shared" si="6584"/>
        <v>n/a</v>
      </c>
      <c r="AH430" s="225" t="str">
        <f t="shared" si="6584"/>
        <v>n/a</v>
      </c>
      <c r="AI430" s="214" t="str">
        <f t="shared" si="6584"/>
        <v>n/a</v>
      </c>
      <c r="AJ430" s="225" t="str">
        <f t="shared" si="6584"/>
        <v>n/a</v>
      </c>
      <c r="AK430" s="225" t="str">
        <f t="shared" si="6584"/>
        <v>n/a</v>
      </c>
      <c r="AL430" s="225" t="str">
        <f t="shared" si="6584"/>
        <v>n/a</v>
      </c>
      <c r="AM430" s="225" t="str">
        <f t="shared" si="6584"/>
        <v>n/a</v>
      </c>
      <c r="AN430" s="225" t="str">
        <f t="shared" si="6584"/>
        <v>n/a</v>
      </c>
      <c r="AO430" s="225" t="str">
        <f t="shared" si="6584"/>
        <v>n/a</v>
      </c>
      <c r="AP430" s="225" t="str">
        <f t="shared" si="6584"/>
        <v>n/a</v>
      </c>
      <c r="AQ430" s="225" t="str">
        <f t="shared" si="6584"/>
        <v>n/a</v>
      </c>
      <c r="AR430" s="225" t="str">
        <f t="shared" si="6584"/>
        <v>n/a</v>
      </c>
      <c r="AS430" s="225" t="str">
        <f t="shared" si="6584"/>
        <v>n/a</v>
      </c>
      <c r="AT430" s="225" t="str">
        <f t="shared" si="6584"/>
        <v>n/a</v>
      </c>
      <c r="AU430" s="214" t="str">
        <f t="shared" si="6584"/>
        <v>n/a</v>
      </c>
      <c r="AV430" s="225" t="str">
        <f t="shared" si="6584"/>
        <v>n/a</v>
      </c>
      <c r="AW430" s="225" t="str">
        <f t="shared" si="6584"/>
        <v>n/a</v>
      </c>
      <c r="AX430" s="225" t="str">
        <f t="shared" si="6584"/>
        <v>n/a</v>
      </c>
      <c r="AY430" s="225" t="str">
        <f t="shared" si="6584"/>
        <v>n/a</v>
      </c>
      <c r="AZ430" s="225" t="str">
        <f t="shared" si="6584"/>
        <v>n/a</v>
      </c>
      <c r="BA430" s="225" t="str">
        <f t="shared" si="6584"/>
        <v>n/a</v>
      </c>
      <c r="BB430" s="225" t="str">
        <f t="shared" si="6584"/>
        <v>n/a</v>
      </c>
      <c r="BC430" s="225" t="str">
        <f t="shared" ref="BC430:CH430" si="6585">++IFERROR(BC428/AQ428-1,"n/a")</f>
        <v>n/a</v>
      </c>
      <c r="BD430" s="225" t="str">
        <f t="shared" si="6585"/>
        <v>n/a</v>
      </c>
      <c r="BE430" s="225" t="str">
        <f t="shared" si="6585"/>
        <v>n/a</v>
      </c>
      <c r="BF430" s="225" t="str">
        <f t="shared" si="6585"/>
        <v>n/a</v>
      </c>
      <c r="BG430" s="214" t="str">
        <f t="shared" si="6585"/>
        <v>n/a</v>
      </c>
      <c r="BH430" s="225" t="str">
        <f t="shared" si="6585"/>
        <v>n/a</v>
      </c>
      <c r="BI430" s="225" t="str">
        <f t="shared" si="6585"/>
        <v>n/a</v>
      </c>
      <c r="BJ430" s="225" t="str">
        <f t="shared" si="6585"/>
        <v>n/a</v>
      </c>
      <c r="BK430" s="225" t="str">
        <f t="shared" si="6585"/>
        <v>n/a</v>
      </c>
      <c r="BL430" s="225" t="str">
        <f t="shared" si="6585"/>
        <v>n/a</v>
      </c>
      <c r="BM430" s="225" t="str">
        <f t="shared" si="6585"/>
        <v>n/a</v>
      </c>
      <c r="BN430" s="225" t="str">
        <f t="shared" si="6585"/>
        <v>n/a</v>
      </c>
      <c r="BO430" s="225" t="str">
        <f t="shared" si="6585"/>
        <v>n/a</v>
      </c>
      <c r="BP430" s="225" t="str">
        <f t="shared" si="6585"/>
        <v>n/a</v>
      </c>
      <c r="BQ430" s="225" t="str">
        <f t="shared" si="6585"/>
        <v>n/a</v>
      </c>
      <c r="BR430" s="225" t="str">
        <f t="shared" si="6585"/>
        <v>n/a</v>
      </c>
      <c r="BS430" s="214" t="str">
        <f t="shared" si="6585"/>
        <v>n/a</v>
      </c>
      <c r="BT430" s="225" t="str">
        <f t="shared" si="6585"/>
        <v>n/a</v>
      </c>
      <c r="BU430" s="225" t="str">
        <f t="shared" si="6585"/>
        <v>n/a</v>
      </c>
      <c r="BV430" s="225" t="str">
        <f t="shared" si="6585"/>
        <v>n/a</v>
      </c>
      <c r="BW430" s="225" t="str">
        <f t="shared" si="6585"/>
        <v>n/a</v>
      </c>
      <c r="BX430" s="225" t="str">
        <f t="shared" si="6585"/>
        <v>n/a</v>
      </c>
      <c r="BY430" s="225" t="str">
        <f t="shared" si="6585"/>
        <v>n/a</v>
      </c>
      <c r="BZ430" s="225" t="str">
        <f t="shared" si="6585"/>
        <v>n/a</v>
      </c>
      <c r="CA430" s="225" t="str">
        <f t="shared" si="6585"/>
        <v>n/a</v>
      </c>
      <c r="CB430" s="225" t="str">
        <f t="shared" si="6585"/>
        <v>n/a</v>
      </c>
      <c r="CC430" s="225" t="str">
        <f t="shared" si="6585"/>
        <v>n/a</v>
      </c>
      <c r="CD430" s="225" t="str">
        <f t="shared" si="6585"/>
        <v>n/a</v>
      </c>
      <c r="CE430" s="214" t="str">
        <f t="shared" si="6585"/>
        <v>n/a</v>
      </c>
      <c r="CF430" s="225" t="str">
        <f t="shared" si="6585"/>
        <v>n/a</v>
      </c>
      <c r="CG430" s="225" t="str">
        <f t="shared" si="6585"/>
        <v>n/a</v>
      </c>
      <c r="CH430" s="225" t="str">
        <f t="shared" si="6585"/>
        <v>n/a</v>
      </c>
      <c r="CI430" s="225" t="str">
        <f t="shared" ref="CI430:DN430" si="6586">++IFERROR(CI428/BW428-1,"n/a")</f>
        <v>n/a</v>
      </c>
      <c r="CJ430" s="225" t="str">
        <f t="shared" si="6586"/>
        <v>n/a</v>
      </c>
      <c r="CK430" s="225" t="str">
        <f t="shared" si="6586"/>
        <v>n/a</v>
      </c>
      <c r="CL430" s="225" t="str">
        <f t="shared" si="6586"/>
        <v>n/a</v>
      </c>
      <c r="CM430" s="225" t="str">
        <f t="shared" si="6586"/>
        <v>n/a</v>
      </c>
      <c r="CN430" s="225" t="str">
        <f t="shared" si="6586"/>
        <v>n/a</v>
      </c>
      <c r="CO430" s="225" t="str">
        <f t="shared" si="6586"/>
        <v>n/a</v>
      </c>
      <c r="CP430" s="225" t="str">
        <f t="shared" si="6586"/>
        <v>n/a</v>
      </c>
      <c r="CQ430" s="214" t="str">
        <f t="shared" si="6586"/>
        <v>n/a</v>
      </c>
      <c r="CR430" s="225" t="str">
        <f t="shared" si="6586"/>
        <v>n/a</v>
      </c>
      <c r="CS430" s="225" t="str">
        <f t="shared" si="6586"/>
        <v>n/a</v>
      </c>
      <c r="CT430" s="225" t="str">
        <f t="shared" si="6586"/>
        <v>n/a</v>
      </c>
      <c r="CU430" s="225" t="str">
        <f t="shared" si="6586"/>
        <v>n/a</v>
      </c>
      <c r="CV430" s="225" t="str">
        <f t="shared" si="6586"/>
        <v>n/a</v>
      </c>
      <c r="CW430" s="225" t="str">
        <f t="shared" si="6586"/>
        <v>n/a</v>
      </c>
      <c r="CX430" s="225" t="str">
        <f t="shared" si="6586"/>
        <v>n/a</v>
      </c>
      <c r="CY430" s="225" t="str">
        <f t="shared" si="6586"/>
        <v>n/a</v>
      </c>
      <c r="CZ430" s="225" t="str">
        <f t="shared" si="6586"/>
        <v>n/a</v>
      </c>
      <c r="DA430" s="225" t="str">
        <f t="shared" si="6586"/>
        <v>n/a</v>
      </c>
      <c r="DB430" s="225" t="str">
        <f t="shared" si="6586"/>
        <v>n/a</v>
      </c>
      <c r="DC430" s="214" t="str">
        <f t="shared" si="6586"/>
        <v>n/a</v>
      </c>
    </row>
    <row r="431" spans="3:107" x14ac:dyDescent="0.3">
      <c r="G431" s="203"/>
      <c r="K431" s="203"/>
      <c r="W431" s="203"/>
      <c r="AI431" s="203"/>
      <c r="AU431" s="203"/>
      <c r="BG431" s="203"/>
      <c r="BS431" s="203"/>
      <c r="CE431" s="203"/>
      <c r="CQ431" s="203"/>
      <c r="DC431" s="203"/>
    </row>
    <row r="432" spans="3:107" x14ac:dyDescent="0.3">
      <c r="C432" s="101" t="str">
        <f>++C$40</f>
        <v>Interest Expense (Income)</v>
      </c>
      <c r="G432" s="374">
        <f>++G419</f>
        <v>0</v>
      </c>
      <c r="H432" s="200">
        <f t="shared" ref="H432:BS432" si="6587">++H419</f>
        <v>0</v>
      </c>
      <c r="I432" s="200">
        <f t="shared" si="6587"/>
        <v>0</v>
      </c>
      <c r="J432" s="200">
        <f t="shared" si="6587"/>
        <v>0</v>
      </c>
      <c r="K432" s="374">
        <f t="shared" si="6587"/>
        <v>0</v>
      </c>
      <c r="L432" s="200">
        <f t="shared" si="6587"/>
        <v>0</v>
      </c>
      <c r="M432" s="200">
        <f t="shared" si="6587"/>
        <v>0</v>
      </c>
      <c r="N432" s="200">
        <f t="shared" si="6587"/>
        <v>0</v>
      </c>
      <c r="O432" s="200">
        <f t="shared" si="6587"/>
        <v>0</v>
      </c>
      <c r="P432" s="200">
        <f t="shared" si="6587"/>
        <v>0</v>
      </c>
      <c r="Q432" s="200">
        <f t="shared" si="6587"/>
        <v>0</v>
      </c>
      <c r="R432" s="200">
        <f t="shared" si="6587"/>
        <v>0</v>
      </c>
      <c r="S432" s="200">
        <f t="shared" si="6587"/>
        <v>0</v>
      </c>
      <c r="T432" s="200">
        <f t="shared" si="6587"/>
        <v>0</v>
      </c>
      <c r="U432" s="200">
        <f t="shared" si="6587"/>
        <v>0</v>
      </c>
      <c r="V432" s="200">
        <f t="shared" si="6587"/>
        <v>0</v>
      </c>
      <c r="W432" s="374">
        <f t="shared" si="6587"/>
        <v>0</v>
      </c>
      <c r="X432" s="200">
        <f t="shared" si="6587"/>
        <v>0</v>
      </c>
      <c r="Y432" s="200">
        <f t="shared" si="6587"/>
        <v>0</v>
      </c>
      <c r="Z432" s="200">
        <f t="shared" si="6587"/>
        <v>0</v>
      </c>
      <c r="AA432" s="200">
        <f t="shared" si="6587"/>
        <v>0</v>
      </c>
      <c r="AB432" s="200">
        <f t="shared" si="6587"/>
        <v>0</v>
      </c>
      <c r="AC432" s="200">
        <f t="shared" si="6587"/>
        <v>0</v>
      </c>
      <c r="AD432" s="200">
        <f t="shared" si="6587"/>
        <v>0</v>
      </c>
      <c r="AE432" s="200">
        <f t="shared" si="6587"/>
        <v>0</v>
      </c>
      <c r="AF432" s="200">
        <f t="shared" si="6587"/>
        <v>0</v>
      </c>
      <c r="AG432" s="200">
        <f t="shared" si="6587"/>
        <v>0</v>
      </c>
      <c r="AH432" s="200">
        <f t="shared" si="6587"/>
        <v>0</v>
      </c>
      <c r="AI432" s="374">
        <f t="shared" si="6587"/>
        <v>0</v>
      </c>
      <c r="AJ432" s="200">
        <f t="shared" si="6587"/>
        <v>0</v>
      </c>
      <c r="AK432" s="200">
        <f t="shared" si="6587"/>
        <v>0</v>
      </c>
      <c r="AL432" s="200">
        <f t="shared" si="6587"/>
        <v>0</v>
      </c>
      <c r="AM432" s="200">
        <f t="shared" si="6587"/>
        <v>0</v>
      </c>
      <c r="AN432" s="200">
        <f t="shared" si="6587"/>
        <v>0</v>
      </c>
      <c r="AO432" s="200">
        <f t="shared" si="6587"/>
        <v>0</v>
      </c>
      <c r="AP432" s="200">
        <f t="shared" si="6587"/>
        <v>0</v>
      </c>
      <c r="AQ432" s="200">
        <f t="shared" si="6587"/>
        <v>0</v>
      </c>
      <c r="AR432" s="200">
        <f t="shared" si="6587"/>
        <v>0</v>
      </c>
      <c r="AS432" s="200">
        <f t="shared" si="6587"/>
        <v>0</v>
      </c>
      <c r="AT432" s="200">
        <f t="shared" si="6587"/>
        <v>0</v>
      </c>
      <c r="AU432" s="374">
        <f t="shared" si="6587"/>
        <v>0</v>
      </c>
      <c r="AV432" s="200">
        <f t="shared" si="6587"/>
        <v>0</v>
      </c>
      <c r="AW432" s="200">
        <f t="shared" si="6587"/>
        <v>0</v>
      </c>
      <c r="AX432" s="200">
        <f t="shared" si="6587"/>
        <v>0</v>
      </c>
      <c r="AY432" s="200">
        <f t="shared" si="6587"/>
        <v>0</v>
      </c>
      <c r="AZ432" s="200">
        <f t="shared" si="6587"/>
        <v>0</v>
      </c>
      <c r="BA432" s="200">
        <f t="shared" si="6587"/>
        <v>0</v>
      </c>
      <c r="BB432" s="200">
        <f t="shared" si="6587"/>
        <v>0</v>
      </c>
      <c r="BC432" s="200">
        <f t="shared" si="6587"/>
        <v>0</v>
      </c>
      <c r="BD432" s="200">
        <f t="shared" si="6587"/>
        <v>0</v>
      </c>
      <c r="BE432" s="200">
        <f t="shared" si="6587"/>
        <v>0</v>
      </c>
      <c r="BF432" s="200">
        <f t="shared" si="6587"/>
        <v>0</v>
      </c>
      <c r="BG432" s="374">
        <f t="shared" si="6587"/>
        <v>0</v>
      </c>
      <c r="BH432" s="200">
        <f t="shared" si="6587"/>
        <v>0</v>
      </c>
      <c r="BI432" s="200">
        <f t="shared" si="6587"/>
        <v>0</v>
      </c>
      <c r="BJ432" s="200">
        <f t="shared" si="6587"/>
        <v>0</v>
      </c>
      <c r="BK432" s="200">
        <f t="shared" si="6587"/>
        <v>0</v>
      </c>
      <c r="BL432" s="200">
        <f t="shared" si="6587"/>
        <v>0</v>
      </c>
      <c r="BM432" s="200">
        <f t="shared" si="6587"/>
        <v>0</v>
      </c>
      <c r="BN432" s="200">
        <f t="shared" si="6587"/>
        <v>0</v>
      </c>
      <c r="BO432" s="200">
        <f t="shared" si="6587"/>
        <v>0</v>
      </c>
      <c r="BP432" s="200">
        <f t="shared" si="6587"/>
        <v>0</v>
      </c>
      <c r="BQ432" s="200">
        <f t="shared" si="6587"/>
        <v>0</v>
      </c>
      <c r="BR432" s="200">
        <f t="shared" si="6587"/>
        <v>0</v>
      </c>
      <c r="BS432" s="374">
        <f t="shared" si="6587"/>
        <v>0</v>
      </c>
      <c r="BT432" s="200">
        <f t="shared" ref="BT432:DC432" si="6588">++BT419</f>
        <v>0</v>
      </c>
      <c r="BU432" s="200">
        <f t="shared" si="6588"/>
        <v>0</v>
      </c>
      <c r="BV432" s="200">
        <f t="shared" si="6588"/>
        <v>0</v>
      </c>
      <c r="BW432" s="200">
        <f t="shared" si="6588"/>
        <v>0</v>
      </c>
      <c r="BX432" s="200">
        <f t="shared" si="6588"/>
        <v>0</v>
      </c>
      <c r="BY432" s="200">
        <f t="shared" si="6588"/>
        <v>0</v>
      </c>
      <c r="BZ432" s="200">
        <f t="shared" si="6588"/>
        <v>0</v>
      </c>
      <c r="CA432" s="200">
        <f t="shared" si="6588"/>
        <v>0</v>
      </c>
      <c r="CB432" s="200">
        <f t="shared" si="6588"/>
        <v>0</v>
      </c>
      <c r="CC432" s="200">
        <f t="shared" si="6588"/>
        <v>0</v>
      </c>
      <c r="CD432" s="200">
        <f t="shared" si="6588"/>
        <v>0</v>
      </c>
      <c r="CE432" s="374">
        <f t="shared" si="6588"/>
        <v>0</v>
      </c>
      <c r="CF432" s="200">
        <f t="shared" si="6588"/>
        <v>0</v>
      </c>
      <c r="CG432" s="200">
        <f t="shared" si="6588"/>
        <v>0</v>
      </c>
      <c r="CH432" s="200">
        <f t="shared" si="6588"/>
        <v>0</v>
      </c>
      <c r="CI432" s="200">
        <f t="shared" si="6588"/>
        <v>0</v>
      </c>
      <c r="CJ432" s="200">
        <f t="shared" si="6588"/>
        <v>0</v>
      </c>
      <c r="CK432" s="200">
        <f t="shared" si="6588"/>
        <v>0</v>
      </c>
      <c r="CL432" s="200">
        <f t="shared" si="6588"/>
        <v>0</v>
      </c>
      <c r="CM432" s="200">
        <f t="shared" si="6588"/>
        <v>0</v>
      </c>
      <c r="CN432" s="200">
        <f t="shared" si="6588"/>
        <v>0</v>
      </c>
      <c r="CO432" s="200">
        <f t="shared" si="6588"/>
        <v>0</v>
      </c>
      <c r="CP432" s="200">
        <f t="shared" si="6588"/>
        <v>0</v>
      </c>
      <c r="CQ432" s="374">
        <f t="shared" si="6588"/>
        <v>0</v>
      </c>
      <c r="CR432" s="200">
        <f t="shared" si="6588"/>
        <v>0</v>
      </c>
      <c r="CS432" s="200">
        <f t="shared" si="6588"/>
        <v>0</v>
      </c>
      <c r="CT432" s="200">
        <f t="shared" si="6588"/>
        <v>0</v>
      </c>
      <c r="CU432" s="200">
        <f t="shared" si="6588"/>
        <v>0</v>
      </c>
      <c r="CV432" s="200">
        <f t="shared" si="6588"/>
        <v>0</v>
      </c>
      <c r="CW432" s="200">
        <f t="shared" si="6588"/>
        <v>0</v>
      </c>
      <c r="CX432" s="200">
        <f t="shared" si="6588"/>
        <v>0</v>
      </c>
      <c r="CY432" s="200">
        <f t="shared" si="6588"/>
        <v>0</v>
      </c>
      <c r="CZ432" s="200">
        <f t="shared" si="6588"/>
        <v>0</v>
      </c>
      <c r="DA432" s="200">
        <f t="shared" si="6588"/>
        <v>0</v>
      </c>
      <c r="DB432" s="200">
        <f t="shared" si="6588"/>
        <v>0</v>
      </c>
      <c r="DC432" s="374">
        <f t="shared" si="6588"/>
        <v>0</v>
      </c>
    </row>
    <row r="433" spans="3:107" x14ac:dyDescent="0.3">
      <c r="C433" s="101" t="str">
        <f>++C$41</f>
        <v>Tax Expense (Benefit)</v>
      </c>
      <c r="G433" s="374">
        <f>++G425</f>
        <v>0</v>
      </c>
      <c r="H433" s="200">
        <f t="shared" ref="H433:BS433" si="6589">++H425</f>
        <v>0</v>
      </c>
      <c r="I433" s="200">
        <f t="shared" si="6589"/>
        <v>0</v>
      </c>
      <c r="J433" s="200">
        <f t="shared" si="6589"/>
        <v>0</v>
      </c>
      <c r="K433" s="374">
        <f t="shared" si="6589"/>
        <v>0</v>
      </c>
      <c r="L433" s="200">
        <f t="shared" si="6589"/>
        <v>0</v>
      </c>
      <c r="M433" s="200">
        <f t="shared" si="6589"/>
        <v>0</v>
      </c>
      <c r="N433" s="200">
        <f t="shared" si="6589"/>
        <v>0</v>
      </c>
      <c r="O433" s="200">
        <f t="shared" si="6589"/>
        <v>0</v>
      </c>
      <c r="P433" s="200">
        <f t="shared" si="6589"/>
        <v>0</v>
      </c>
      <c r="Q433" s="200">
        <f t="shared" si="6589"/>
        <v>0</v>
      </c>
      <c r="R433" s="200">
        <f t="shared" si="6589"/>
        <v>0</v>
      </c>
      <c r="S433" s="200">
        <f t="shared" si="6589"/>
        <v>0</v>
      </c>
      <c r="T433" s="200">
        <f t="shared" si="6589"/>
        <v>0</v>
      </c>
      <c r="U433" s="200">
        <f t="shared" si="6589"/>
        <v>0</v>
      </c>
      <c r="V433" s="200">
        <f t="shared" si="6589"/>
        <v>0</v>
      </c>
      <c r="W433" s="374">
        <f t="shared" si="6589"/>
        <v>0</v>
      </c>
      <c r="X433" s="200">
        <f t="shared" si="6589"/>
        <v>0</v>
      </c>
      <c r="Y433" s="200">
        <f t="shared" si="6589"/>
        <v>0</v>
      </c>
      <c r="Z433" s="200">
        <f t="shared" si="6589"/>
        <v>0</v>
      </c>
      <c r="AA433" s="200">
        <f t="shared" si="6589"/>
        <v>0</v>
      </c>
      <c r="AB433" s="200">
        <f t="shared" si="6589"/>
        <v>0</v>
      </c>
      <c r="AC433" s="200">
        <f t="shared" si="6589"/>
        <v>0</v>
      </c>
      <c r="AD433" s="200">
        <f t="shared" si="6589"/>
        <v>0</v>
      </c>
      <c r="AE433" s="200">
        <f t="shared" si="6589"/>
        <v>0</v>
      </c>
      <c r="AF433" s="200">
        <f t="shared" si="6589"/>
        <v>0</v>
      </c>
      <c r="AG433" s="200">
        <f t="shared" si="6589"/>
        <v>0</v>
      </c>
      <c r="AH433" s="200">
        <f t="shared" si="6589"/>
        <v>0</v>
      </c>
      <c r="AI433" s="374">
        <f t="shared" si="6589"/>
        <v>0</v>
      </c>
      <c r="AJ433" s="200">
        <f t="shared" si="6589"/>
        <v>0</v>
      </c>
      <c r="AK433" s="200">
        <f t="shared" si="6589"/>
        <v>0</v>
      </c>
      <c r="AL433" s="200">
        <f t="shared" si="6589"/>
        <v>0</v>
      </c>
      <c r="AM433" s="200">
        <f t="shared" si="6589"/>
        <v>0</v>
      </c>
      <c r="AN433" s="200">
        <f t="shared" si="6589"/>
        <v>0</v>
      </c>
      <c r="AO433" s="200">
        <f t="shared" si="6589"/>
        <v>0</v>
      </c>
      <c r="AP433" s="200">
        <f t="shared" si="6589"/>
        <v>0</v>
      </c>
      <c r="AQ433" s="200">
        <f t="shared" si="6589"/>
        <v>0</v>
      </c>
      <c r="AR433" s="200">
        <f t="shared" si="6589"/>
        <v>0</v>
      </c>
      <c r="AS433" s="200">
        <f t="shared" si="6589"/>
        <v>0</v>
      </c>
      <c r="AT433" s="200">
        <f t="shared" si="6589"/>
        <v>0</v>
      </c>
      <c r="AU433" s="374">
        <f t="shared" si="6589"/>
        <v>0</v>
      </c>
      <c r="AV433" s="200">
        <f t="shared" si="6589"/>
        <v>0</v>
      </c>
      <c r="AW433" s="200">
        <f t="shared" si="6589"/>
        <v>0</v>
      </c>
      <c r="AX433" s="200">
        <f t="shared" si="6589"/>
        <v>0</v>
      </c>
      <c r="AY433" s="200">
        <f t="shared" si="6589"/>
        <v>0</v>
      </c>
      <c r="AZ433" s="200">
        <f t="shared" si="6589"/>
        <v>0</v>
      </c>
      <c r="BA433" s="200">
        <f t="shared" si="6589"/>
        <v>0</v>
      </c>
      <c r="BB433" s="200">
        <f t="shared" si="6589"/>
        <v>0</v>
      </c>
      <c r="BC433" s="200">
        <f t="shared" si="6589"/>
        <v>0</v>
      </c>
      <c r="BD433" s="200">
        <f t="shared" si="6589"/>
        <v>0</v>
      </c>
      <c r="BE433" s="200">
        <f t="shared" si="6589"/>
        <v>0</v>
      </c>
      <c r="BF433" s="200">
        <f t="shared" si="6589"/>
        <v>0</v>
      </c>
      <c r="BG433" s="374">
        <f t="shared" si="6589"/>
        <v>0</v>
      </c>
      <c r="BH433" s="200">
        <f t="shared" si="6589"/>
        <v>0</v>
      </c>
      <c r="BI433" s="200">
        <f t="shared" si="6589"/>
        <v>0</v>
      </c>
      <c r="BJ433" s="200">
        <f t="shared" si="6589"/>
        <v>0</v>
      </c>
      <c r="BK433" s="200">
        <f t="shared" si="6589"/>
        <v>0</v>
      </c>
      <c r="BL433" s="200">
        <f t="shared" si="6589"/>
        <v>0</v>
      </c>
      <c r="BM433" s="200">
        <f t="shared" si="6589"/>
        <v>0</v>
      </c>
      <c r="BN433" s="200">
        <f t="shared" si="6589"/>
        <v>0</v>
      </c>
      <c r="BO433" s="200">
        <f t="shared" si="6589"/>
        <v>0</v>
      </c>
      <c r="BP433" s="200">
        <f t="shared" si="6589"/>
        <v>0</v>
      </c>
      <c r="BQ433" s="200">
        <f t="shared" si="6589"/>
        <v>0</v>
      </c>
      <c r="BR433" s="200">
        <f t="shared" si="6589"/>
        <v>0</v>
      </c>
      <c r="BS433" s="374">
        <f t="shared" si="6589"/>
        <v>0</v>
      </c>
      <c r="BT433" s="200">
        <f t="shared" ref="BT433:DC433" si="6590">++BT425</f>
        <v>0</v>
      </c>
      <c r="BU433" s="200">
        <f t="shared" si="6590"/>
        <v>0</v>
      </c>
      <c r="BV433" s="200">
        <f t="shared" si="6590"/>
        <v>0</v>
      </c>
      <c r="BW433" s="200">
        <f t="shared" si="6590"/>
        <v>0</v>
      </c>
      <c r="BX433" s="200">
        <f t="shared" si="6590"/>
        <v>0</v>
      </c>
      <c r="BY433" s="200">
        <f t="shared" si="6590"/>
        <v>0</v>
      </c>
      <c r="BZ433" s="200">
        <f t="shared" si="6590"/>
        <v>0</v>
      </c>
      <c r="CA433" s="200">
        <f t="shared" si="6590"/>
        <v>0</v>
      </c>
      <c r="CB433" s="200">
        <f t="shared" si="6590"/>
        <v>0</v>
      </c>
      <c r="CC433" s="200">
        <f t="shared" si="6590"/>
        <v>0</v>
      </c>
      <c r="CD433" s="200">
        <f t="shared" si="6590"/>
        <v>0</v>
      </c>
      <c r="CE433" s="374">
        <f t="shared" si="6590"/>
        <v>0</v>
      </c>
      <c r="CF433" s="200">
        <f t="shared" si="6590"/>
        <v>0</v>
      </c>
      <c r="CG433" s="200">
        <f t="shared" si="6590"/>
        <v>0</v>
      </c>
      <c r="CH433" s="200">
        <f t="shared" si="6590"/>
        <v>0</v>
      </c>
      <c r="CI433" s="200">
        <f t="shared" si="6590"/>
        <v>0</v>
      </c>
      <c r="CJ433" s="200">
        <f t="shared" si="6590"/>
        <v>0</v>
      </c>
      <c r="CK433" s="200">
        <f t="shared" si="6590"/>
        <v>0</v>
      </c>
      <c r="CL433" s="200">
        <f t="shared" si="6590"/>
        <v>0</v>
      </c>
      <c r="CM433" s="200">
        <f t="shared" si="6590"/>
        <v>0</v>
      </c>
      <c r="CN433" s="200">
        <f t="shared" si="6590"/>
        <v>0</v>
      </c>
      <c r="CO433" s="200">
        <f t="shared" si="6590"/>
        <v>0</v>
      </c>
      <c r="CP433" s="200">
        <f t="shared" si="6590"/>
        <v>0</v>
      </c>
      <c r="CQ433" s="374">
        <f t="shared" si="6590"/>
        <v>0</v>
      </c>
      <c r="CR433" s="200">
        <f t="shared" si="6590"/>
        <v>0</v>
      </c>
      <c r="CS433" s="200">
        <f t="shared" si="6590"/>
        <v>0</v>
      </c>
      <c r="CT433" s="200">
        <f t="shared" si="6590"/>
        <v>0</v>
      </c>
      <c r="CU433" s="200">
        <f t="shared" si="6590"/>
        <v>0</v>
      </c>
      <c r="CV433" s="200">
        <f t="shared" si="6590"/>
        <v>0</v>
      </c>
      <c r="CW433" s="200">
        <f t="shared" si="6590"/>
        <v>0</v>
      </c>
      <c r="CX433" s="200">
        <f t="shared" si="6590"/>
        <v>0</v>
      </c>
      <c r="CY433" s="200">
        <f t="shared" si="6590"/>
        <v>0</v>
      </c>
      <c r="CZ433" s="200">
        <f t="shared" si="6590"/>
        <v>0</v>
      </c>
      <c r="DA433" s="200">
        <f t="shared" si="6590"/>
        <v>0</v>
      </c>
      <c r="DB433" s="200">
        <f t="shared" si="6590"/>
        <v>0</v>
      </c>
      <c r="DC433" s="374">
        <f t="shared" si="6590"/>
        <v>0</v>
      </c>
    </row>
    <row r="434" spans="3:107" x14ac:dyDescent="0.3">
      <c r="C434" s="101" t="str">
        <f>++C$42</f>
        <v>Depreciation</v>
      </c>
      <c r="G434" s="374">
        <f>++G412</f>
        <v>0</v>
      </c>
      <c r="H434" s="200">
        <f t="shared" ref="H434:BS434" si="6591">++H412</f>
        <v>0</v>
      </c>
      <c r="I434" s="200">
        <f t="shared" si="6591"/>
        <v>0</v>
      </c>
      <c r="J434" s="200">
        <f t="shared" si="6591"/>
        <v>0</v>
      </c>
      <c r="K434" s="374">
        <f t="shared" si="6591"/>
        <v>0</v>
      </c>
      <c r="L434" s="200">
        <f t="shared" si="6591"/>
        <v>0</v>
      </c>
      <c r="M434" s="200">
        <f t="shared" si="6591"/>
        <v>0</v>
      </c>
      <c r="N434" s="200">
        <f t="shared" si="6591"/>
        <v>0</v>
      </c>
      <c r="O434" s="200">
        <f t="shared" si="6591"/>
        <v>0</v>
      </c>
      <c r="P434" s="200">
        <f t="shared" si="6591"/>
        <v>0</v>
      </c>
      <c r="Q434" s="200">
        <f t="shared" si="6591"/>
        <v>0</v>
      </c>
      <c r="R434" s="200">
        <f t="shared" si="6591"/>
        <v>0</v>
      </c>
      <c r="S434" s="200">
        <f t="shared" si="6591"/>
        <v>0</v>
      </c>
      <c r="T434" s="200">
        <f t="shared" si="6591"/>
        <v>0</v>
      </c>
      <c r="U434" s="200">
        <f t="shared" si="6591"/>
        <v>0</v>
      </c>
      <c r="V434" s="200">
        <f t="shared" si="6591"/>
        <v>0</v>
      </c>
      <c r="W434" s="374">
        <f t="shared" si="6591"/>
        <v>0</v>
      </c>
      <c r="X434" s="200">
        <f t="shared" si="6591"/>
        <v>0</v>
      </c>
      <c r="Y434" s="200">
        <f t="shared" si="6591"/>
        <v>0</v>
      </c>
      <c r="Z434" s="200">
        <f t="shared" si="6591"/>
        <v>0</v>
      </c>
      <c r="AA434" s="200">
        <f t="shared" si="6591"/>
        <v>0</v>
      </c>
      <c r="AB434" s="200">
        <f t="shared" si="6591"/>
        <v>0</v>
      </c>
      <c r="AC434" s="200">
        <f t="shared" si="6591"/>
        <v>0</v>
      </c>
      <c r="AD434" s="200">
        <f t="shared" si="6591"/>
        <v>0</v>
      </c>
      <c r="AE434" s="200">
        <f t="shared" si="6591"/>
        <v>0</v>
      </c>
      <c r="AF434" s="200">
        <f t="shared" si="6591"/>
        <v>0</v>
      </c>
      <c r="AG434" s="200">
        <f t="shared" si="6591"/>
        <v>0</v>
      </c>
      <c r="AH434" s="200">
        <f t="shared" si="6591"/>
        <v>0</v>
      </c>
      <c r="AI434" s="374">
        <f t="shared" si="6591"/>
        <v>0</v>
      </c>
      <c r="AJ434" s="200">
        <f t="shared" si="6591"/>
        <v>0</v>
      </c>
      <c r="AK434" s="200">
        <f t="shared" si="6591"/>
        <v>0</v>
      </c>
      <c r="AL434" s="200">
        <f t="shared" si="6591"/>
        <v>0</v>
      </c>
      <c r="AM434" s="200">
        <f t="shared" si="6591"/>
        <v>0</v>
      </c>
      <c r="AN434" s="200">
        <f t="shared" si="6591"/>
        <v>0</v>
      </c>
      <c r="AO434" s="200">
        <f t="shared" si="6591"/>
        <v>0</v>
      </c>
      <c r="AP434" s="200">
        <f t="shared" si="6591"/>
        <v>0</v>
      </c>
      <c r="AQ434" s="200">
        <f t="shared" si="6591"/>
        <v>0</v>
      </c>
      <c r="AR434" s="200">
        <f t="shared" si="6591"/>
        <v>0</v>
      </c>
      <c r="AS434" s="200">
        <f t="shared" si="6591"/>
        <v>0</v>
      </c>
      <c r="AT434" s="200">
        <f t="shared" si="6591"/>
        <v>0</v>
      </c>
      <c r="AU434" s="374">
        <f t="shared" si="6591"/>
        <v>0</v>
      </c>
      <c r="AV434" s="200">
        <f t="shared" si="6591"/>
        <v>0</v>
      </c>
      <c r="AW434" s="200">
        <f t="shared" si="6591"/>
        <v>0</v>
      </c>
      <c r="AX434" s="200">
        <f t="shared" si="6591"/>
        <v>0</v>
      </c>
      <c r="AY434" s="200">
        <f t="shared" si="6591"/>
        <v>0</v>
      </c>
      <c r="AZ434" s="200">
        <f t="shared" si="6591"/>
        <v>0</v>
      </c>
      <c r="BA434" s="200">
        <f t="shared" si="6591"/>
        <v>0</v>
      </c>
      <c r="BB434" s="200">
        <f t="shared" si="6591"/>
        <v>0</v>
      </c>
      <c r="BC434" s="200">
        <f t="shared" si="6591"/>
        <v>0</v>
      </c>
      <c r="BD434" s="200">
        <f t="shared" si="6591"/>
        <v>0</v>
      </c>
      <c r="BE434" s="200">
        <f t="shared" si="6591"/>
        <v>0</v>
      </c>
      <c r="BF434" s="200">
        <f t="shared" si="6591"/>
        <v>0</v>
      </c>
      <c r="BG434" s="374">
        <f t="shared" si="6591"/>
        <v>0</v>
      </c>
      <c r="BH434" s="200">
        <f t="shared" si="6591"/>
        <v>0</v>
      </c>
      <c r="BI434" s="200">
        <f t="shared" si="6591"/>
        <v>0</v>
      </c>
      <c r="BJ434" s="200">
        <f t="shared" si="6591"/>
        <v>0</v>
      </c>
      <c r="BK434" s="200">
        <f t="shared" si="6591"/>
        <v>0</v>
      </c>
      <c r="BL434" s="200">
        <f t="shared" si="6591"/>
        <v>0</v>
      </c>
      <c r="BM434" s="200">
        <f t="shared" si="6591"/>
        <v>0</v>
      </c>
      <c r="BN434" s="200">
        <f t="shared" si="6591"/>
        <v>0</v>
      </c>
      <c r="BO434" s="200">
        <f t="shared" si="6591"/>
        <v>0</v>
      </c>
      <c r="BP434" s="200">
        <f t="shared" si="6591"/>
        <v>0</v>
      </c>
      <c r="BQ434" s="200">
        <f t="shared" si="6591"/>
        <v>0</v>
      </c>
      <c r="BR434" s="200">
        <f t="shared" si="6591"/>
        <v>0</v>
      </c>
      <c r="BS434" s="374">
        <f t="shared" si="6591"/>
        <v>0</v>
      </c>
      <c r="BT434" s="200">
        <f t="shared" ref="BT434:DC434" si="6592">++BT412</f>
        <v>0</v>
      </c>
      <c r="BU434" s="200">
        <f t="shared" si="6592"/>
        <v>0</v>
      </c>
      <c r="BV434" s="200">
        <f t="shared" si="6592"/>
        <v>0</v>
      </c>
      <c r="BW434" s="200">
        <f t="shared" si="6592"/>
        <v>0</v>
      </c>
      <c r="BX434" s="200">
        <f t="shared" si="6592"/>
        <v>0</v>
      </c>
      <c r="BY434" s="200">
        <f t="shared" si="6592"/>
        <v>0</v>
      </c>
      <c r="BZ434" s="200">
        <f t="shared" si="6592"/>
        <v>0</v>
      </c>
      <c r="CA434" s="200">
        <f t="shared" si="6592"/>
        <v>0</v>
      </c>
      <c r="CB434" s="200">
        <f t="shared" si="6592"/>
        <v>0</v>
      </c>
      <c r="CC434" s="200">
        <f t="shared" si="6592"/>
        <v>0</v>
      </c>
      <c r="CD434" s="200">
        <f t="shared" si="6592"/>
        <v>0</v>
      </c>
      <c r="CE434" s="374">
        <f t="shared" si="6592"/>
        <v>0</v>
      </c>
      <c r="CF434" s="200">
        <f t="shared" si="6592"/>
        <v>0</v>
      </c>
      <c r="CG434" s="200">
        <f t="shared" si="6592"/>
        <v>0</v>
      </c>
      <c r="CH434" s="200">
        <f t="shared" si="6592"/>
        <v>0</v>
      </c>
      <c r="CI434" s="200">
        <f t="shared" si="6592"/>
        <v>0</v>
      </c>
      <c r="CJ434" s="200">
        <f t="shared" si="6592"/>
        <v>0</v>
      </c>
      <c r="CK434" s="200">
        <f t="shared" si="6592"/>
        <v>0</v>
      </c>
      <c r="CL434" s="200">
        <f t="shared" si="6592"/>
        <v>0</v>
      </c>
      <c r="CM434" s="200">
        <f t="shared" si="6592"/>
        <v>0</v>
      </c>
      <c r="CN434" s="200">
        <f t="shared" si="6592"/>
        <v>0</v>
      </c>
      <c r="CO434" s="200">
        <f t="shared" si="6592"/>
        <v>0</v>
      </c>
      <c r="CP434" s="200">
        <f t="shared" si="6592"/>
        <v>0</v>
      </c>
      <c r="CQ434" s="374">
        <f t="shared" si="6592"/>
        <v>0</v>
      </c>
      <c r="CR434" s="200">
        <f t="shared" si="6592"/>
        <v>0</v>
      </c>
      <c r="CS434" s="200">
        <f t="shared" si="6592"/>
        <v>0</v>
      </c>
      <c r="CT434" s="200">
        <f t="shared" si="6592"/>
        <v>0</v>
      </c>
      <c r="CU434" s="200">
        <f t="shared" si="6592"/>
        <v>0</v>
      </c>
      <c r="CV434" s="200">
        <f t="shared" si="6592"/>
        <v>0</v>
      </c>
      <c r="CW434" s="200">
        <f t="shared" si="6592"/>
        <v>0</v>
      </c>
      <c r="CX434" s="200">
        <f t="shared" si="6592"/>
        <v>0</v>
      </c>
      <c r="CY434" s="200">
        <f t="shared" si="6592"/>
        <v>0</v>
      </c>
      <c r="CZ434" s="200">
        <f t="shared" si="6592"/>
        <v>0</v>
      </c>
      <c r="DA434" s="200">
        <f t="shared" si="6592"/>
        <v>0</v>
      </c>
      <c r="DB434" s="200">
        <f t="shared" si="6592"/>
        <v>0</v>
      </c>
      <c r="DC434" s="374">
        <f t="shared" si="6592"/>
        <v>0</v>
      </c>
    </row>
    <row r="435" spans="3:107" x14ac:dyDescent="0.3">
      <c r="C435" s="101" t="str">
        <f>++C$43</f>
        <v>Amortization</v>
      </c>
      <c r="G435" s="374">
        <f t="shared" ref="G435:BR435" si="6593">++G413</f>
        <v>0</v>
      </c>
      <c r="H435" s="200">
        <f t="shared" si="6593"/>
        <v>0</v>
      </c>
      <c r="I435" s="200">
        <f t="shared" si="6593"/>
        <v>0</v>
      </c>
      <c r="J435" s="200">
        <f t="shared" si="6593"/>
        <v>0</v>
      </c>
      <c r="K435" s="374">
        <f t="shared" si="6593"/>
        <v>0</v>
      </c>
      <c r="L435" s="200">
        <f t="shared" si="6593"/>
        <v>0</v>
      </c>
      <c r="M435" s="200">
        <f t="shared" si="6593"/>
        <v>0</v>
      </c>
      <c r="N435" s="200">
        <f t="shared" si="6593"/>
        <v>0</v>
      </c>
      <c r="O435" s="200">
        <f t="shared" si="6593"/>
        <v>0</v>
      </c>
      <c r="P435" s="200">
        <f t="shared" si="6593"/>
        <v>0</v>
      </c>
      <c r="Q435" s="200">
        <f t="shared" si="6593"/>
        <v>0</v>
      </c>
      <c r="R435" s="200">
        <f t="shared" si="6593"/>
        <v>0</v>
      </c>
      <c r="S435" s="200">
        <f t="shared" si="6593"/>
        <v>0</v>
      </c>
      <c r="T435" s="200">
        <f t="shared" si="6593"/>
        <v>0</v>
      </c>
      <c r="U435" s="200">
        <f t="shared" si="6593"/>
        <v>0</v>
      </c>
      <c r="V435" s="200">
        <f t="shared" si="6593"/>
        <v>0</v>
      </c>
      <c r="W435" s="374">
        <f t="shared" si="6593"/>
        <v>0</v>
      </c>
      <c r="X435" s="200">
        <f t="shared" si="6593"/>
        <v>0</v>
      </c>
      <c r="Y435" s="200">
        <f t="shared" si="6593"/>
        <v>0</v>
      </c>
      <c r="Z435" s="200">
        <f t="shared" si="6593"/>
        <v>0</v>
      </c>
      <c r="AA435" s="200">
        <f t="shared" si="6593"/>
        <v>0</v>
      </c>
      <c r="AB435" s="200">
        <f t="shared" si="6593"/>
        <v>0</v>
      </c>
      <c r="AC435" s="200">
        <f t="shared" si="6593"/>
        <v>0</v>
      </c>
      <c r="AD435" s="200">
        <f t="shared" si="6593"/>
        <v>0</v>
      </c>
      <c r="AE435" s="200">
        <f t="shared" si="6593"/>
        <v>0</v>
      </c>
      <c r="AF435" s="200">
        <f t="shared" si="6593"/>
        <v>0</v>
      </c>
      <c r="AG435" s="200">
        <f t="shared" si="6593"/>
        <v>0</v>
      </c>
      <c r="AH435" s="200">
        <f t="shared" si="6593"/>
        <v>0</v>
      </c>
      <c r="AI435" s="374">
        <f t="shared" si="6593"/>
        <v>0</v>
      </c>
      <c r="AJ435" s="200">
        <f t="shared" si="6593"/>
        <v>0</v>
      </c>
      <c r="AK435" s="200">
        <f t="shared" si="6593"/>
        <v>0</v>
      </c>
      <c r="AL435" s="200">
        <f t="shared" si="6593"/>
        <v>0</v>
      </c>
      <c r="AM435" s="200">
        <f t="shared" si="6593"/>
        <v>0</v>
      </c>
      <c r="AN435" s="200">
        <f t="shared" si="6593"/>
        <v>0</v>
      </c>
      <c r="AO435" s="200">
        <f t="shared" si="6593"/>
        <v>0</v>
      </c>
      <c r="AP435" s="200">
        <f t="shared" si="6593"/>
        <v>0</v>
      </c>
      <c r="AQ435" s="200">
        <f t="shared" si="6593"/>
        <v>0</v>
      </c>
      <c r="AR435" s="200">
        <f t="shared" si="6593"/>
        <v>0</v>
      </c>
      <c r="AS435" s="200">
        <f t="shared" si="6593"/>
        <v>0</v>
      </c>
      <c r="AT435" s="200">
        <f t="shared" si="6593"/>
        <v>0</v>
      </c>
      <c r="AU435" s="374">
        <f t="shared" si="6593"/>
        <v>0</v>
      </c>
      <c r="AV435" s="200">
        <f t="shared" si="6593"/>
        <v>0</v>
      </c>
      <c r="AW435" s="200">
        <f t="shared" si="6593"/>
        <v>0</v>
      </c>
      <c r="AX435" s="200">
        <f t="shared" si="6593"/>
        <v>0</v>
      </c>
      <c r="AY435" s="200">
        <f t="shared" si="6593"/>
        <v>0</v>
      </c>
      <c r="AZ435" s="200">
        <f t="shared" si="6593"/>
        <v>0</v>
      </c>
      <c r="BA435" s="200">
        <f t="shared" si="6593"/>
        <v>0</v>
      </c>
      <c r="BB435" s="200">
        <f t="shared" si="6593"/>
        <v>0</v>
      </c>
      <c r="BC435" s="200">
        <f t="shared" si="6593"/>
        <v>0</v>
      </c>
      <c r="BD435" s="200">
        <f t="shared" si="6593"/>
        <v>0</v>
      </c>
      <c r="BE435" s="200">
        <f t="shared" si="6593"/>
        <v>0</v>
      </c>
      <c r="BF435" s="200">
        <f t="shared" si="6593"/>
        <v>0</v>
      </c>
      <c r="BG435" s="374">
        <f t="shared" si="6593"/>
        <v>0</v>
      </c>
      <c r="BH435" s="200">
        <f t="shared" si="6593"/>
        <v>0</v>
      </c>
      <c r="BI435" s="200">
        <f t="shared" si="6593"/>
        <v>0</v>
      </c>
      <c r="BJ435" s="200">
        <f t="shared" si="6593"/>
        <v>0</v>
      </c>
      <c r="BK435" s="200">
        <f t="shared" si="6593"/>
        <v>0</v>
      </c>
      <c r="BL435" s="200">
        <f t="shared" si="6593"/>
        <v>0</v>
      </c>
      <c r="BM435" s="200">
        <f t="shared" si="6593"/>
        <v>0</v>
      </c>
      <c r="BN435" s="200">
        <f t="shared" si="6593"/>
        <v>0</v>
      </c>
      <c r="BO435" s="200">
        <f t="shared" si="6593"/>
        <v>0</v>
      </c>
      <c r="BP435" s="200">
        <f t="shared" si="6593"/>
        <v>0</v>
      </c>
      <c r="BQ435" s="200">
        <f t="shared" si="6593"/>
        <v>0</v>
      </c>
      <c r="BR435" s="200">
        <f t="shared" si="6593"/>
        <v>0</v>
      </c>
      <c r="BS435" s="374">
        <f t="shared" ref="BS435:DC435" si="6594">++BS413</f>
        <v>0</v>
      </c>
      <c r="BT435" s="200">
        <f t="shared" si="6594"/>
        <v>0</v>
      </c>
      <c r="BU435" s="200">
        <f t="shared" si="6594"/>
        <v>0</v>
      </c>
      <c r="BV435" s="200">
        <f t="shared" si="6594"/>
        <v>0</v>
      </c>
      <c r="BW435" s="200">
        <f t="shared" si="6594"/>
        <v>0</v>
      </c>
      <c r="BX435" s="200">
        <f t="shared" si="6594"/>
        <v>0</v>
      </c>
      <c r="BY435" s="200">
        <f t="shared" si="6594"/>
        <v>0</v>
      </c>
      <c r="BZ435" s="200">
        <f t="shared" si="6594"/>
        <v>0</v>
      </c>
      <c r="CA435" s="200">
        <f t="shared" si="6594"/>
        <v>0</v>
      </c>
      <c r="CB435" s="200">
        <f t="shared" si="6594"/>
        <v>0</v>
      </c>
      <c r="CC435" s="200">
        <f t="shared" si="6594"/>
        <v>0</v>
      </c>
      <c r="CD435" s="200">
        <f t="shared" si="6594"/>
        <v>0</v>
      </c>
      <c r="CE435" s="374">
        <f t="shared" si="6594"/>
        <v>0</v>
      </c>
      <c r="CF435" s="200">
        <f t="shared" si="6594"/>
        <v>0</v>
      </c>
      <c r="CG435" s="200">
        <f t="shared" si="6594"/>
        <v>0</v>
      </c>
      <c r="CH435" s="200">
        <f t="shared" si="6594"/>
        <v>0</v>
      </c>
      <c r="CI435" s="200">
        <f t="shared" si="6594"/>
        <v>0</v>
      </c>
      <c r="CJ435" s="200">
        <f t="shared" si="6594"/>
        <v>0</v>
      </c>
      <c r="CK435" s="200">
        <f t="shared" si="6594"/>
        <v>0</v>
      </c>
      <c r="CL435" s="200">
        <f t="shared" si="6594"/>
        <v>0</v>
      </c>
      <c r="CM435" s="200">
        <f t="shared" si="6594"/>
        <v>0</v>
      </c>
      <c r="CN435" s="200">
        <f t="shared" si="6594"/>
        <v>0</v>
      </c>
      <c r="CO435" s="200">
        <f t="shared" si="6594"/>
        <v>0</v>
      </c>
      <c r="CP435" s="200">
        <f t="shared" si="6594"/>
        <v>0</v>
      </c>
      <c r="CQ435" s="374">
        <f t="shared" si="6594"/>
        <v>0</v>
      </c>
      <c r="CR435" s="200">
        <f t="shared" si="6594"/>
        <v>0</v>
      </c>
      <c r="CS435" s="200">
        <f t="shared" si="6594"/>
        <v>0</v>
      </c>
      <c r="CT435" s="200">
        <f t="shared" si="6594"/>
        <v>0</v>
      </c>
      <c r="CU435" s="200">
        <f t="shared" si="6594"/>
        <v>0</v>
      </c>
      <c r="CV435" s="200">
        <f t="shared" si="6594"/>
        <v>0</v>
      </c>
      <c r="CW435" s="200">
        <f t="shared" si="6594"/>
        <v>0</v>
      </c>
      <c r="CX435" s="200">
        <f t="shared" si="6594"/>
        <v>0</v>
      </c>
      <c r="CY435" s="200">
        <f t="shared" si="6594"/>
        <v>0</v>
      </c>
      <c r="CZ435" s="200">
        <f t="shared" si="6594"/>
        <v>0</v>
      </c>
      <c r="DA435" s="200">
        <f t="shared" si="6594"/>
        <v>0</v>
      </c>
      <c r="DB435" s="200">
        <f t="shared" si="6594"/>
        <v>0</v>
      </c>
      <c r="DC435" s="374">
        <f t="shared" si="6594"/>
        <v>0</v>
      </c>
    </row>
    <row r="436" spans="3:107" x14ac:dyDescent="0.3">
      <c r="C436" s="231" t="str">
        <f>++C$44</f>
        <v>Reported EBITDA</v>
      </c>
      <c r="D436" s="191"/>
      <c r="E436" s="191"/>
      <c r="G436" s="239">
        <f>++SUM(G432:G435)</f>
        <v>0</v>
      </c>
      <c r="H436" s="232">
        <f t="shared" ref="H436:BS436" si="6595">++SUM(H432:H435)</f>
        <v>0</v>
      </c>
      <c r="I436" s="232">
        <f t="shared" si="6595"/>
        <v>0</v>
      </c>
      <c r="J436" s="232">
        <f t="shared" si="6595"/>
        <v>0</v>
      </c>
      <c r="K436" s="239">
        <f t="shared" si="6595"/>
        <v>0</v>
      </c>
      <c r="L436" s="232">
        <f t="shared" si="6595"/>
        <v>0</v>
      </c>
      <c r="M436" s="232">
        <f t="shared" si="6595"/>
        <v>0</v>
      </c>
      <c r="N436" s="232">
        <f t="shared" si="6595"/>
        <v>0</v>
      </c>
      <c r="O436" s="232">
        <f t="shared" si="6595"/>
        <v>0</v>
      </c>
      <c r="P436" s="232">
        <f t="shared" si="6595"/>
        <v>0</v>
      </c>
      <c r="Q436" s="232">
        <f t="shared" si="6595"/>
        <v>0</v>
      </c>
      <c r="R436" s="232">
        <f t="shared" si="6595"/>
        <v>0</v>
      </c>
      <c r="S436" s="232">
        <f t="shared" si="6595"/>
        <v>0</v>
      </c>
      <c r="T436" s="232">
        <f t="shared" si="6595"/>
        <v>0</v>
      </c>
      <c r="U436" s="232">
        <f t="shared" si="6595"/>
        <v>0</v>
      </c>
      <c r="V436" s="232">
        <f t="shared" si="6595"/>
        <v>0</v>
      </c>
      <c r="W436" s="239">
        <f t="shared" si="6595"/>
        <v>0</v>
      </c>
      <c r="X436" s="232">
        <f t="shared" si="6595"/>
        <v>0</v>
      </c>
      <c r="Y436" s="232">
        <f t="shared" si="6595"/>
        <v>0</v>
      </c>
      <c r="Z436" s="232">
        <f t="shared" si="6595"/>
        <v>0</v>
      </c>
      <c r="AA436" s="232">
        <f t="shared" si="6595"/>
        <v>0</v>
      </c>
      <c r="AB436" s="232">
        <f t="shared" si="6595"/>
        <v>0</v>
      </c>
      <c r="AC436" s="232">
        <f t="shared" si="6595"/>
        <v>0</v>
      </c>
      <c r="AD436" s="232">
        <f t="shared" si="6595"/>
        <v>0</v>
      </c>
      <c r="AE436" s="232">
        <f t="shared" si="6595"/>
        <v>0</v>
      </c>
      <c r="AF436" s="232">
        <f t="shared" si="6595"/>
        <v>0</v>
      </c>
      <c r="AG436" s="232">
        <f t="shared" si="6595"/>
        <v>0</v>
      </c>
      <c r="AH436" s="232">
        <f t="shared" si="6595"/>
        <v>0</v>
      </c>
      <c r="AI436" s="239">
        <f t="shared" si="6595"/>
        <v>0</v>
      </c>
      <c r="AJ436" s="232">
        <f t="shared" si="6595"/>
        <v>0</v>
      </c>
      <c r="AK436" s="232">
        <f t="shared" si="6595"/>
        <v>0</v>
      </c>
      <c r="AL436" s="232">
        <f t="shared" si="6595"/>
        <v>0</v>
      </c>
      <c r="AM436" s="232">
        <f t="shared" si="6595"/>
        <v>0</v>
      </c>
      <c r="AN436" s="232">
        <f t="shared" si="6595"/>
        <v>0</v>
      </c>
      <c r="AO436" s="232">
        <f t="shared" si="6595"/>
        <v>0</v>
      </c>
      <c r="AP436" s="232">
        <f t="shared" si="6595"/>
        <v>0</v>
      </c>
      <c r="AQ436" s="232">
        <f t="shared" si="6595"/>
        <v>0</v>
      </c>
      <c r="AR436" s="232">
        <f t="shared" si="6595"/>
        <v>0</v>
      </c>
      <c r="AS436" s="232">
        <f t="shared" si="6595"/>
        <v>0</v>
      </c>
      <c r="AT436" s="232">
        <f t="shared" si="6595"/>
        <v>0</v>
      </c>
      <c r="AU436" s="239">
        <f t="shared" si="6595"/>
        <v>0</v>
      </c>
      <c r="AV436" s="232">
        <f t="shared" si="6595"/>
        <v>0</v>
      </c>
      <c r="AW436" s="232">
        <f t="shared" si="6595"/>
        <v>0</v>
      </c>
      <c r="AX436" s="232">
        <f t="shared" si="6595"/>
        <v>0</v>
      </c>
      <c r="AY436" s="232">
        <f t="shared" si="6595"/>
        <v>0</v>
      </c>
      <c r="AZ436" s="232">
        <f t="shared" si="6595"/>
        <v>0</v>
      </c>
      <c r="BA436" s="232">
        <f t="shared" si="6595"/>
        <v>0</v>
      </c>
      <c r="BB436" s="232">
        <f t="shared" si="6595"/>
        <v>0</v>
      </c>
      <c r="BC436" s="232">
        <f t="shared" si="6595"/>
        <v>0</v>
      </c>
      <c r="BD436" s="232">
        <f t="shared" si="6595"/>
        <v>0</v>
      </c>
      <c r="BE436" s="232">
        <f t="shared" si="6595"/>
        <v>0</v>
      </c>
      <c r="BF436" s="232">
        <f t="shared" si="6595"/>
        <v>0</v>
      </c>
      <c r="BG436" s="239">
        <f t="shared" si="6595"/>
        <v>0</v>
      </c>
      <c r="BH436" s="232">
        <f t="shared" si="6595"/>
        <v>0</v>
      </c>
      <c r="BI436" s="232">
        <f t="shared" si="6595"/>
        <v>0</v>
      </c>
      <c r="BJ436" s="232">
        <f t="shared" si="6595"/>
        <v>0</v>
      </c>
      <c r="BK436" s="232">
        <f t="shared" si="6595"/>
        <v>0</v>
      </c>
      <c r="BL436" s="232">
        <f t="shared" si="6595"/>
        <v>0</v>
      </c>
      <c r="BM436" s="232">
        <f t="shared" si="6595"/>
        <v>0</v>
      </c>
      <c r="BN436" s="232">
        <f t="shared" si="6595"/>
        <v>0</v>
      </c>
      <c r="BO436" s="232">
        <f t="shared" si="6595"/>
        <v>0</v>
      </c>
      <c r="BP436" s="232">
        <f t="shared" si="6595"/>
        <v>0</v>
      </c>
      <c r="BQ436" s="232">
        <f t="shared" si="6595"/>
        <v>0</v>
      </c>
      <c r="BR436" s="232">
        <f t="shared" si="6595"/>
        <v>0</v>
      </c>
      <c r="BS436" s="239">
        <f t="shared" si="6595"/>
        <v>0</v>
      </c>
      <c r="BT436" s="232">
        <f t="shared" ref="BT436:DC436" si="6596">++SUM(BT432:BT435)</f>
        <v>0</v>
      </c>
      <c r="BU436" s="232">
        <f t="shared" si="6596"/>
        <v>0</v>
      </c>
      <c r="BV436" s="232">
        <f t="shared" si="6596"/>
        <v>0</v>
      </c>
      <c r="BW436" s="232">
        <f t="shared" si="6596"/>
        <v>0</v>
      </c>
      <c r="BX436" s="232">
        <f t="shared" si="6596"/>
        <v>0</v>
      </c>
      <c r="BY436" s="232">
        <f t="shared" si="6596"/>
        <v>0</v>
      </c>
      <c r="BZ436" s="232">
        <f t="shared" si="6596"/>
        <v>0</v>
      </c>
      <c r="CA436" s="232">
        <f t="shared" si="6596"/>
        <v>0</v>
      </c>
      <c r="CB436" s="232">
        <f t="shared" si="6596"/>
        <v>0</v>
      </c>
      <c r="CC436" s="232">
        <f t="shared" si="6596"/>
        <v>0</v>
      </c>
      <c r="CD436" s="232">
        <f t="shared" si="6596"/>
        <v>0</v>
      </c>
      <c r="CE436" s="239">
        <f t="shared" si="6596"/>
        <v>0</v>
      </c>
      <c r="CF436" s="232">
        <f t="shared" si="6596"/>
        <v>0</v>
      </c>
      <c r="CG436" s="232">
        <f t="shared" si="6596"/>
        <v>0</v>
      </c>
      <c r="CH436" s="232">
        <f t="shared" si="6596"/>
        <v>0</v>
      </c>
      <c r="CI436" s="232">
        <f t="shared" si="6596"/>
        <v>0</v>
      </c>
      <c r="CJ436" s="232">
        <f t="shared" si="6596"/>
        <v>0</v>
      </c>
      <c r="CK436" s="232">
        <f t="shared" si="6596"/>
        <v>0</v>
      </c>
      <c r="CL436" s="232">
        <f t="shared" si="6596"/>
        <v>0</v>
      </c>
      <c r="CM436" s="232">
        <f t="shared" si="6596"/>
        <v>0</v>
      </c>
      <c r="CN436" s="232">
        <f t="shared" si="6596"/>
        <v>0</v>
      </c>
      <c r="CO436" s="232">
        <f t="shared" si="6596"/>
        <v>0</v>
      </c>
      <c r="CP436" s="232">
        <f t="shared" si="6596"/>
        <v>0</v>
      </c>
      <c r="CQ436" s="239">
        <f t="shared" si="6596"/>
        <v>0</v>
      </c>
      <c r="CR436" s="232">
        <f t="shared" si="6596"/>
        <v>0</v>
      </c>
      <c r="CS436" s="232">
        <f t="shared" si="6596"/>
        <v>0</v>
      </c>
      <c r="CT436" s="232">
        <f t="shared" si="6596"/>
        <v>0</v>
      </c>
      <c r="CU436" s="232">
        <f t="shared" si="6596"/>
        <v>0</v>
      </c>
      <c r="CV436" s="232">
        <f t="shared" si="6596"/>
        <v>0</v>
      </c>
      <c r="CW436" s="232">
        <f t="shared" si="6596"/>
        <v>0</v>
      </c>
      <c r="CX436" s="232">
        <f t="shared" si="6596"/>
        <v>0</v>
      </c>
      <c r="CY436" s="232">
        <f t="shared" si="6596"/>
        <v>0</v>
      </c>
      <c r="CZ436" s="232">
        <f t="shared" si="6596"/>
        <v>0</v>
      </c>
      <c r="DA436" s="232">
        <f t="shared" si="6596"/>
        <v>0</v>
      </c>
      <c r="DB436" s="232">
        <f t="shared" si="6596"/>
        <v>0</v>
      </c>
      <c r="DC436" s="239">
        <f t="shared" si="6596"/>
        <v>0</v>
      </c>
    </row>
    <row r="437" spans="3:107" x14ac:dyDescent="0.3">
      <c r="C437" s="321" t="str">
        <f>++C$45</f>
        <v>% margin</v>
      </c>
      <c r="G437" s="214" t="str">
        <f>++IFERROR(G436/G402,"n/a")</f>
        <v>n/a</v>
      </c>
      <c r="H437" s="225" t="str">
        <f t="shared" ref="H437" si="6597">++IFERROR(H436/H402,"n/a")</f>
        <v>n/a</v>
      </c>
      <c r="I437" s="225" t="str">
        <f t="shared" ref="I437" si="6598">++IFERROR(I436/I402,"n/a")</f>
        <v>n/a</v>
      </c>
      <c r="J437" s="225" t="str">
        <f t="shared" ref="J437" si="6599">++IFERROR(J436/J402,"n/a")</f>
        <v>n/a</v>
      </c>
      <c r="K437" s="214" t="str">
        <f t="shared" ref="K437" si="6600">++IFERROR(K436/K402,"n/a")</f>
        <v>n/a</v>
      </c>
      <c r="L437" s="225" t="str">
        <f t="shared" ref="L437" si="6601">++IFERROR(L436/L402,"n/a")</f>
        <v>n/a</v>
      </c>
      <c r="M437" s="225" t="str">
        <f t="shared" ref="M437" si="6602">++IFERROR(M436/M402,"n/a")</f>
        <v>n/a</v>
      </c>
      <c r="N437" s="225" t="str">
        <f t="shared" ref="N437" si="6603">++IFERROR(N436/N402,"n/a")</f>
        <v>n/a</v>
      </c>
      <c r="O437" s="225" t="str">
        <f t="shared" ref="O437" si="6604">++IFERROR(O436/O402,"n/a")</f>
        <v>n/a</v>
      </c>
      <c r="P437" s="225" t="str">
        <f t="shared" ref="P437" si="6605">++IFERROR(P436/P402,"n/a")</f>
        <v>n/a</v>
      </c>
      <c r="Q437" s="225" t="str">
        <f t="shared" ref="Q437" si="6606">++IFERROR(Q436/Q402,"n/a")</f>
        <v>n/a</v>
      </c>
      <c r="R437" s="225" t="str">
        <f t="shared" ref="R437" si="6607">++IFERROR(R436/R402,"n/a")</f>
        <v>n/a</v>
      </c>
      <c r="S437" s="225" t="str">
        <f t="shared" ref="S437" si="6608">++IFERROR(S436/S402,"n/a")</f>
        <v>n/a</v>
      </c>
      <c r="T437" s="225" t="str">
        <f t="shared" ref="T437" si="6609">++IFERROR(T436/T402,"n/a")</f>
        <v>n/a</v>
      </c>
      <c r="U437" s="225" t="str">
        <f t="shared" ref="U437" si="6610">++IFERROR(U436/U402,"n/a")</f>
        <v>n/a</v>
      </c>
      <c r="V437" s="225" t="str">
        <f t="shared" ref="V437" si="6611">++IFERROR(V436/V402,"n/a")</f>
        <v>n/a</v>
      </c>
      <c r="W437" s="214" t="str">
        <f t="shared" ref="W437" si="6612">++IFERROR(W436/W402,"n/a")</f>
        <v>n/a</v>
      </c>
      <c r="X437" s="225" t="str">
        <f t="shared" ref="X437" si="6613">++IFERROR(X436/X402,"n/a")</f>
        <v>n/a</v>
      </c>
      <c r="Y437" s="225" t="str">
        <f t="shared" ref="Y437" si="6614">++IFERROR(Y436/Y402,"n/a")</f>
        <v>n/a</v>
      </c>
      <c r="Z437" s="225" t="str">
        <f t="shared" ref="Z437" si="6615">++IFERROR(Z436/Z402,"n/a")</f>
        <v>n/a</v>
      </c>
      <c r="AA437" s="225" t="str">
        <f t="shared" ref="AA437" si="6616">++IFERROR(AA436/AA402,"n/a")</f>
        <v>n/a</v>
      </c>
      <c r="AB437" s="225" t="str">
        <f t="shared" ref="AB437" si="6617">++IFERROR(AB436/AB402,"n/a")</f>
        <v>n/a</v>
      </c>
      <c r="AC437" s="225" t="str">
        <f t="shared" ref="AC437" si="6618">++IFERROR(AC436/AC402,"n/a")</f>
        <v>n/a</v>
      </c>
      <c r="AD437" s="225" t="str">
        <f t="shared" ref="AD437" si="6619">++IFERROR(AD436/AD402,"n/a")</f>
        <v>n/a</v>
      </c>
      <c r="AE437" s="225" t="str">
        <f t="shared" ref="AE437" si="6620">++IFERROR(AE436/AE402,"n/a")</f>
        <v>n/a</v>
      </c>
      <c r="AF437" s="225" t="str">
        <f t="shared" ref="AF437" si="6621">++IFERROR(AF436/AF402,"n/a")</f>
        <v>n/a</v>
      </c>
      <c r="AG437" s="225" t="str">
        <f t="shared" ref="AG437" si="6622">++IFERROR(AG436/AG402,"n/a")</f>
        <v>n/a</v>
      </c>
      <c r="AH437" s="225" t="str">
        <f t="shared" ref="AH437" si="6623">++IFERROR(AH436/AH402,"n/a")</f>
        <v>n/a</v>
      </c>
      <c r="AI437" s="214" t="str">
        <f t="shared" ref="AI437" si="6624">++IFERROR(AI436/AI402,"n/a")</f>
        <v>n/a</v>
      </c>
      <c r="AJ437" s="225" t="str">
        <f t="shared" ref="AJ437" si="6625">++IFERROR(AJ436/AJ402,"n/a")</f>
        <v>n/a</v>
      </c>
      <c r="AK437" s="225" t="str">
        <f t="shared" ref="AK437" si="6626">++IFERROR(AK436/AK402,"n/a")</f>
        <v>n/a</v>
      </c>
      <c r="AL437" s="225" t="str">
        <f t="shared" ref="AL437" si="6627">++IFERROR(AL436/AL402,"n/a")</f>
        <v>n/a</v>
      </c>
      <c r="AM437" s="225" t="str">
        <f t="shared" ref="AM437" si="6628">++IFERROR(AM436/AM402,"n/a")</f>
        <v>n/a</v>
      </c>
      <c r="AN437" s="225" t="str">
        <f t="shared" ref="AN437" si="6629">++IFERROR(AN436/AN402,"n/a")</f>
        <v>n/a</v>
      </c>
      <c r="AO437" s="225" t="str">
        <f t="shared" ref="AO437" si="6630">++IFERROR(AO436/AO402,"n/a")</f>
        <v>n/a</v>
      </c>
      <c r="AP437" s="225" t="str">
        <f t="shared" ref="AP437" si="6631">++IFERROR(AP436/AP402,"n/a")</f>
        <v>n/a</v>
      </c>
      <c r="AQ437" s="225" t="str">
        <f t="shared" ref="AQ437" si="6632">++IFERROR(AQ436/AQ402,"n/a")</f>
        <v>n/a</v>
      </c>
      <c r="AR437" s="225" t="str">
        <f t="shared" ref="AR437" si="6633">++IFERROR(AR436/AR402,"n/a")</f>
        <v>n/a</v>
      </c>
      <c r="AS437" s="225" t="str">
        <f t="shared" ref="AS437" si="6634">++IFERROR(AS436/AS402,"n/a")</f>
        <v>n/a</v>
      </c>
      <c r="AT437" s="225" t="str">
        <f t="shared" ref="AT437" si="6635">++IFERROR(AT436/AT402,"n/a")</f>
        <v>n/a</v>
      </c>
      <c r="AU437" s="214" t="str">
        <f t="shared" ref="AU437" si="6636">++IFERROR(AU436/AU402,"n/a")</f>
        <v>n/a</v>
      </c>
      <c r="AV437" s="225" t="str">
        <f t="shared" ref="AV437" si="6637">++IFERROR(AV436/AV402,"n/a")</f>
        <v>n/a</v>
      </c>
      <c r="AW437" s="225" t="str">
        <f t="shared" ref="AW437" si="6638">++IFERROR(AW436/AW402,"n/a")</f>
        <v>n/a</v>
      </c>
      <c r="AX437" s="225" t="str">
        <f t="shared" ref="AX437" si="6639">++IFERROR(AX436/AX402,"n/a")</f>
        <v>n/a</v>
      </c>
      <c r="AY437" s="225" t="str">
        <f t="shared" ref="AY437" si="6640">++IFERROR(AY436/AY402,"n/a")</f>
        <v>n/a</v>
      </c>
      <c r="AZ437" s="225" t="str">
        <f t="shared" ref="AZ437" si="6641">++IFERROR(AZ436/AZ402,"n/a")</f>
        <v>n/a</v>
      </c>
      <c r="BA437" s="225" t="str">
        <f t="shared" ref="BA437" si="6642">++IFERROR(BA436/BA402,"n/a")</f>
        <v>n/a</v>
      </c>
      <c r="BB437" s="225" t="str">
        <f t="shared" ref="BB437" si="6643">++IFERROR(BB436/BB402,"n/a")</f>
        <v>n/a</v>
      </c>
      <c r="BC437" s="225" t="str">
        <f t="shared" ref="BC437" si="6644">++IFERROR(BC436/BC402,"n/a")</f>
        <v>n/a</v>
      </c>
      <c r="BD437" s="225" t="str">
        <f t="shared" ref="BD437" si="6645">++IFERROR(BD436/BD402,"n/a")</f>
        <v>n/a</v>
      </c>
      <c r="BE437" s="225" t="str">
        <f t="shared" ref="BE437" si="6646">++IFERROR(BE436/BE402,"n/a")</f>
        <v>n/a</v>
      </c>
      <c r="BF437" s="225" t="str">
        <f t="shared" ref="BF437" si="6647">++IFERROR(BF436/BF402,"n/a")</f>
        <v>n/a</v>
      </c>
      <c r="BG437" s="214" t="str">
        <f t="shared" ref="BG437" si="6648">++IFERROR(BG436/BG402,"n/a")</f>
        <v>n/a</v>
      </c>
      <c r="BH437" s="225" t="str">
        <f t="shared" ref="BH437" si="6649">++IFERROR(BH436/BH402,"n/a")</f>
        <v>n/a</v>
      </c>
      <c r="BI437" s="225" t="str">
        <f t="shared" ref="BI437" si="6650">++IFERROR(BI436/BI402,"n/a")</f>
        <v>n/a</v>
      </c>
      <c r="BJ437" s="225" t="str">
        <f t="shared" ref="BJ437" si="6651">++IFERROR(BJ436/BJ402,"n/a")</f>
        <v>n/a</v>
      </c>
      <c r="BK437" s="225" t="str">
        <f t="shared" ref="BK437" si="6652">++IFERROR(BK436/BK402,"n/a")</f>
        <v>n/a</v>
      </c>
      <c r="BL437" s="225" t="str">
        <f t="shared" ref="BL437" si="6653">++IFERROR(BL436/BL402,"n/a")</f>
        <v>n/a</v>
      </c>
      <c r="BM437" s="225" t="str">
        <f t="shared" ref="BM437" si="6654">++IFERROR(BM436/BM402,"n/a")</f>
        <v>n/a</v>
      </c>
      <c r="BN437" s="225" t="str">
        <f t="shared" ref="BN437" si="6655">++IFERROR(BN436/BN402,"n/a")</f>
        <v>n/a</v>
      </c>
      <c r="BO437" s="225" t="str">
        <f t="shared" ref="BO437" si="6656">++IFERROR(BO436/BO402,"n/a")</f>
        <v>n/a</v>
      </c>
      <c r="BP437" s="225" t="str">
        <f t="shared" ref="BP437" si="6657">++IFERROR(BP436/BP402,"n/a")</f>
        <v>n/a</v>
      </c>
      <c r="BQ437" s="225" t="str">
        <f t="shared" ref="BQ437" si="6658">++IFERROR(BQ436/BQ402,"n/a")</f>
        <v>n/a</v>
      </c>
      <c r="BR437" s="225" t="str">
        <f t="shared" ref="BR437" si="6659">++IFERROR(BR436/BR402,"n/a")</f>
        <v>n/a</v>
      </c>
      <c r="BS437" s="214" t="str">
        <f t="shared" ref="BS437" si="6660">++IFERROR(BS436/BS402,"n/a")</f>
        <v>n/a</v>
      </c>
      <c r="BT437" s="225" t="str">
        <f t="shared" ref="BT437" si="6661">++IFERROR(BT436/BT402,"n/a")</f>
        <v>n/a</v>
      </c>
      <c r="BU437" s="225" t="str">
        <f t="shared" ref="BU437" si="6662">++IFERROR(BU436/BU402,"n/a")</f>
        <v>n/a</v>
      </c>
      <c r="BV437" s="225" t="str">
        <f t="shared" ref="BV437" si="6663">++IFERROR(BV436/BV402,"n/a")</f>
        <v>n/a</v>
      </c>
      <c r="BW437" s="225" t="str">
        <f t="shared" ref="BW437" si="6664">++IFERROR(BW436/BW402,"n/a")</f>
        <v>n/a</v>
      </c>
      <c r="BX437" s="225" t="str">
        <f t="shared" ref="BX437" si="6665">++IFERROR(BX436/BX402,"n/a")</f>
        <v>n/a</v>
      </c>
      <c r="BY437" s="225" t="str">
        <f t="shared" ref="BY437" si="6666">++IFERROR(BY436/BY402,"n/a")</f>
        <v>n/a</v>
      </c>
      <c r="BZ437" s="225" t="str">
        <f t="shared" ref="BZ437" si="6667">++IFERROR(BZ436/BZ402,"n/a")</f>
        <v>n/a</v>
      </c>
      <c r="CA437" s="225" t="str">
        <f t="shared" ref="CA437" si="6668">++IFERROR(CA436/CA402,"n/a")</f>
        <v>n/a</v>
      </c>
      <c r="CB437" s="225" t="str">
        <f t="shared" ref="CB437" si="6669">++IFERROR(CB436/CB402,"n/a")</f>
        <v>n/a</v>
      </c>
      <c r="CC437" s="225" t="str">
        <f t="shared" ref="CC437" si="6670">++IFERROR(CC436/CC402,"n/a")</f>
        <v>n/a</v>
      </c>
      <c r="CD437" s="225" t="str">
        <f t="shared" ref="CD437" si="6671">++IFERROR(CD436/CD402,"n/a")</f>
        <v>n/a</v>
      </c>
      <c r="CE437" s="214" t="str">
        <f t="shared" ref="CE437" si="6672">++IFERROR(CE436/CE402,"n/a")</f>
        <v>n/a</v>
      </c>
      <c r="CF437" s="225" t="str">
        <f t="shared" ref="CF437" si="6673">++IFERROR(CF436/CF402,"n/a")</f>
        <v>n/a</v>
      </c>
      <c r="CG437" s="225" t="str">
        <f t="shared" ref="CG437" si="6674">++IFERROR(CG436/CG402,"n/a")</f>
        <v>n/a</v>
      </c>
      <c r="CH437" s="225" t="str">
        <f t="shared" ref="CH437" si="6675">++IFERROR(CH436/CH402,"n/a")</f>
        <v>n/a</v>
      </c>
      <c r="CI437" s="225" t="str">
        <f t="shared" ref="CI437" si="6676">++IFERROR(CI436/CI402,"n/a")</f>
        <v>n/a</v>
      </c>
      <c r="CJ437" s="225" t="str">
        <f t="shared" ref="CJ437" si="6677">++IFERROR(CJ436/CJ402,"n/a")</f>
        <v>n/a</v>
      </c>
      <c r="CK437" s="225" t="str">
        <f t="shared" ref="CK437" si="6678">++IFERROR(CK436/CK402,"n/a")</f>
        <v>n/a</v>
      </c>
      <c r="CL437" s="225" t="str">
        <f t="shared" ref="CL437" si="6679">++IFERROR(CL436/CL402,"n/a")</f>
        <v>n/a</v>
      </c>
      <c r="CM437" s="225" t="str">
        <f t="shared" ref="CM437" si="6680">++IFERROR(CM436/CM402,"n/a")</f>
        <v>n/a</v>
      </c>
      <c r="CN437" s="225" t="str">
        <f t="shared" ref="CN437" si="6681">++IFERROR(CN436/CN402,"n/a")</f>
        <v>n/a</v>
      </c>
      <c r="CO437" s="225" t="str">
        <f t="shared" ref="CO437" si="6682">++IFERROR(CO436/CO402,"n/a")</f>
        <v>n/a</v>
      </c>
      <c r="CP437" s="225" t="str">
        <f t="shared" ref="CP437" si="6683">++IFERROR(CP436/CP402,"n/a")</f>
        <v>n/a</v>
      </c>
      <c r="CQ437" s="214" t="str">
        <f t="shared" ref="CQ437" si="6684">++IFERROR(CQ436/CQ402,"n/a")</f>
        <v>n/a</v>
      </c>
      <c r="CR437" s="225" t="str">
        <f t="shared" ref="CR437" si="6685">++IFERROR(CR436/CR402,"n/a")</f>
        <v>n/a</v>
      </c>
      <c r="CS437" s="225" t="str">
        <f t="shared" ref="CS437" si="6686">++IFERROR(CS436/CS402,"n/a")</f>
        <v>n/a</v>
      </c>
      <c r="CT437" s="225" t="str">
        <f t="shared" ref="CT437" si="6687">++IFERROR(CT436/CT402,"n/a")</f>
        <v>n/a</v>
      </c>
      <c r="CU437" s="225" t="str">
        <f t="shared" ref="CU437" si="6688">++IFERROR(CU436/CU402,"n/a")</f>
        <v>n/a</v>
      </c>
      <c r="CV437" s="225" t="str">
        <f t="shared" ref="CV437" si="6689">++IFERROR(CV436/CV402,"n/a")</f>
        <v>n/a</v>
      </c>
      <c r="CW437" s="225" t="str">
        <f t="shared" ref="CW437" si="6690">++IFERROR(CW436/CW402,"n/a")</f>
        <v>n/a</v>
      </c>
      <c r="CX437" s="225" t="str">
        <f t="shared" ref="CX437" si="6691">++IFERROR(CX436/CX402,"n/a")</f>
        <v>n/a</v>
      </c>
      <c r="CY437" s="225" t="str">
        <f t="shared" ref="CY437" si="6692">++IFERROR(CY436/CY402,"n/a")</f>
        <v>n/a</v>
      </c>
      <c r="CZ437" s="225" t="str">
        <f t="shared" ref="CZ437" si="6693">++IFERROR(CZ436/CZ402,"n/a")</f>
        <v>n/a</v>
      </c>
      <c r="DA437" s="225" t="str">
        <f t="shared" ref="DA437" si="6694">++IFERROR(DA436/DA402,"n/a")</f>
        <v>n/a</v>
      </c>
      <c r="DB437" s="225" t="str">
        <f t="shared" ref="DB437" si="6695">++IFERROR(DB436/DB402,"n/a")</f>
        <v>n/a</v>
      </c>
      <c r="DC437" s="214" t="str">
        <f t="shared" ref="DC437" si="6696">++IFERROR(DC436/DC402,"n/a")</f>
        <v>n/a</v>
      </c>
    </row>
    <row r="438" spans="3:107" x14ac:dyDescent="0.3">
      <c r="C438" s="321" t="str">
        <f>++C$46</f>
        <v>% y/y</v>
      </c>
      <c r="G438" s="122" t="s">
        <v>47</v>
      </c>
      <c r="H438" s="122" t="s">
        <v>47</v>
      </c>
      <c r="I438" s="122" t="s">
        <v>47</v>
      </c>
      <c r="J438" s="122" t="s">
        <v>47</v>
      </c>
      <c r="K438" s="214" t="str">
        <f>++IFERROR(K436/G436-1,"n/a")</f>
        <v>n/a</v>
      </c>
      <c r="L438" s="122" t="s">
        <v>47</v>
      </c>
      <c r="M438" s="122" t="s">
        <v>47</v>
      </c>
      <c r="N438" s="225" t="str">
        <f>++IFERROR(N436/H436-1,"n/a")</f>
        <v>n/a</v>
      </c>
      <c r="O438" s="122" t="s">
        <v>47</v>
      </c>
      <c r="P438" s="122" t="s">
        <v>47</v>
      </c>
      <c r="Q438" s="225" t="str">
        <f>++IFERROR(Q436/I436-1,"n/a")</f>
        <v>n/a</v>
      </c>
      <c r="R438" s="122" t="s">
        <v>47</v>
      </c>
      <c r="S438" s="122" t="s">
        <v>47</v>
      </c>
      <c r="T438" s="225" t="str">
        <f>++IFERROR(T436/J436-1,"n/a")</f>
        <v>n/a</v>
      </c>
      <c r="U438" s="122" t="s">
        <v>47</v>
      </c>
      <c r="V438" s="122" t="s">
        <v>47</v>
      </c>
      <c r="W438" s="214" t="str">
        <f t="shared" ref="W438:BB438" si="6697">++IFERROR(W436/K436-1,"n/a")</f>
        <v>n/a</v>
      </c>
      <c r="X438" s="225" t="str">
        <f t="shared" si="6697"/>
        <v>n/a</v>
      </c>
      <c r="Y438" s="225" t="str">
        <f t="shared" si="6697"/>
        <v>n/a</v>
      </c>
      <c r="Z438" s="225" t="str">
        <f t="shared" si="6697"/>
        <v>n/a</v>
      </c>
      <c r="AA438" s="225" t="str">
        <f t="shared" si="6697"/>
        <v>n/a</v>
      </c>
      <c r="AB438" s="225" t="str">
        <f t="shared" si="6697"/>
        <v>n/a</v>
      </c>
      <c r="AC438" s="225" t="str">
        <f t="shared" si="6697"/>
        <v>n/a</v>
      </c>
      <c r="AD438" s="225" t="str">
        <f t="shared" si="6697"/>
        <v>n/a</v>
      </c>
      <c r="AE438" s="225" t="str">
        <f t="shared" si="6697"/>
        <v>n/a</v>
      </c>
      <c r="AF438" s="225" t="str">
        <f t="shared" si="6697"/>
        <v>n/a</v>
      </c>
      <c r="AG438" s="225" t="str">
        <f t="shared" si="6697"/>
        <v>n/a</v>
      </c>
      <c r="AH438" s="225" t="str">
        <f t="shared" si="6697"/>
        <v>n/a</v>
      </c>
      <c r="AI438" s="214" t="str">
        <f t="shared" si="6697"/>
        <v>n/a</v>
      </c>
      <c r="AJ438" s="225" t="str">
        <f t="shared" si="6697"/>
        <v>n/a</v>
      </c>
      <c r="AK438" s="225" t="str">
        <f t="shared" si="6697"/>
        <v>n/a</v>
      </c>
      <c r="AL438" s="225" t="str">
        <f t="shared" si="6697"/>
        <v>n/a</v>
      </c>
      <c r="AM438" s="225" t="str">
        <f t="shared" si="6697"/>
        <v>n/a</v>
      </c>
      <c r="AN438" s="225" t="str">
        <f t="shared" si="6697"/>
        <v>n/a</v>
      </c>
      <c r="AO438" s="225" t="str">
        <f t="shared" si="6697"/>
        <v>n/a</v>
      </c>
      <c r="AP438" s="225" t="str">
        <f t="shared" si="6697"/>
        <v>n/a</v>
      </c>
      <c r="AQ438" s="225" t="str">
        <f t="shared" si="6697"/>
        <v>n/a</v>
      </c>
      <c r="AR438" s="225" t="str">
        <f t="shared" si="6697"/>
        <v>n/a</v>
      </c>
      <c r="AS438" s="225" t="str">
        <f t="shared" si="6697"/>
        <v>n/a</v>
      </c>
      <c r="AT438" s="225" t="str">
        <f t="shared" si="6697"/>
        <v>n/a</v>
      </c>
      <c r="AU438" s="214" t="str">
        <f t="shared" si="6697"/>
        <v>n/a</v>
      </c>
      <c r="AV438" s="225" t="str">
        <f t="shared" si="6697"/>
        <v>n/a</v>
      </c>
      <c r="AW438" s="225" t="str">
        <f t="shared" si="6697"/>
        <v>n/a</v>
      </c>
      <c r="AX438" s="225" t="str">
        <f t="shared" si="6697"/>
        <v>n/a</v>
      </c>
      <c r="AY438" s="225" t="str">
        <f t="shared" si="6697"/>
        <v>n/a</v>
      </c>
      <c r="AZ438" s="225" t="str">
        <f t="shared" si="6697"/>
        <v>n/a</v>
      </c>
      <c r="BA438" s="225" t="str">
        <f t="shared" si="6697"/>
        <v>n/a</v>
      </c>
      <c r="BB438" s="225" t="str">
        <f t="shared" si="6697"/>
        <v>n/a</v>
      </c>
      <c r="BC438" s="225" t="str">
        <f t="shared" ref="BC438:CH438" si="6698">++IFERROR(BC436/AQ436-1,"n/a")</f>
        <v>n/a</v>
      </c>
      <c r="BD438" s="225" t="str">
        <f t="shared" si="6698"/>
        <v>n/a</v>
      </c>
      <c r="BE438" s="225" t="str">
        <f t="shared" si="6698"/>
        <v>n/a</v>
      </c>
      <c r="BF438" s="225" t="str">
        <f t="shared" si="6698"/>
        <v>n/a</v>
      </c>
      <c r="BG438" s="214" t="str">
        <f t="shared" si="6698"/>
        <v>n/a</v>
      </c>
      <c r="BH438" s="225" t="str">
        <f t="shared" si="6698"/>
        <v>n/a</v>
      </c>
      <c r="BI438" s="225" t="str">
        <f t="shared" si="6698"/>
        <v>n/a</v>
      </c>
      <c r="BJ438" s="225" t="str">
        <f t="shared" si="6698"/>
        <v>n/a</v>
      </c>
      <c r="BK438" s="225" t="str">
        <f t="shared" si="6698"/>
        <v>n/a</v>
      </c>
      <c r="BL438" s="225" t="str">
        <f t="shared" si="6698"/>
        <v>n/a</v>
      </c>
      <c r="BM438" s="225" t="str">
        <f t="shared" si="6698"/>
        <v>n/a</v>
      </c>
      <c r="BN438" s="225" t="str">
        <f t="shared" si="6698"/>
        <v>n/a</v>
      </c>
      <c r="BO438" s="225" t="str">
        <f t="shared" si="6698"/>
        <v>n/a</v>
      </c>
      <c r="BP438" s="225" t="str">
        <f t="shared" si="6698"/>
        <v>n/a</v>
      </c>
      <c r="BQ438" s="225" t="str">
        <f t="shared" si="6698"/>
        <v>n/a</v>
      </c>
      <c r="BR438" s="225" t="str">
        <f t="shared" si="6698"/>
        <v>n/a</v>
      </c>
      <c r="BS438" s="214" t="str">
        <f t="shared" si="6698"/>
        <v>n/a</v>
      </c>
      <c r="BT438" s="225" t="str">
        <f t="shared" si="6698"/>
        <v>n/a</v>
      </c>
      <c r="BU438" s="225" t="str">
        <f t="shared" si="6698"/>
        <v>n/a</v>
      </c>
      <c r="BV438" s="225" t="str">
        <f t="shared" si="6698"/>
        <v>n/a</v>
      </c>
      <c r="BW438" s="225" t="str">
        <f t="shared" si="6698"/>
        <v>n/a</v>
      </c>
      <c r="BX438" s="225" t="str">
        <f t="shared" si="6698"/>
        <v>n/a</v>
      </c>
      <c r="BY438" s="225" t="str">
        <f t="shared" si="6698"/>
        <v>n/a</v>
      </c>
      <c r="BZ438" s="225" t="str">
        <f t="shared" si="6698"/>
        <v>n/a</v>
      </c>
      <c r="CA438" s="225" t="str">
        <f t="shared" si="6698"/>
        <v>n/a</v>
      </c>
      <c r="CB438" s="225" t="str">
        <f t="shared" si="6698"/>
        <v>n/a</v>
      </c>
      <c r="CC438" s="225" t="str">
        <f t="shared" si="6698"/>
        <v>n/a</v>
      </c>
      <c r="CD438" s="225" t="str">
        <f t="shared" si="6698"/>
        <v>n/a</v>
      </c>
      <c r="CE438" s="214" t="str">
        <f t="shared" si="6698"/>
        <v>n/a</v>
      </c>
      <c r="CF438" s="225" t="str">
        <f t="shared" si="6698"/>
        <v>n/a</v>
      </c>
      <c r="CG438" s="225" t="str">
        <f t="shared" si="6698"/>
        <v>n/a</v>
      </c>
      <c r="CH438" s="225" t="str">
        <f t="shared" si="6698"/>
        <v>n/a</v>
      </c>
      <c r="CI438" s="225" t="str">
        <f t="shared" ref="CI438:DN438" si="6699">++IFERROR(CI436/BW436-1,"n/a")</f>
        <v>n/a</v>
      </c>
      <c r="CJ438" s="225" t="str">
        <f t="shared" si="6699"/>
        <v>n/a</v>
      </c>
      <c r="CK438" s="225" t="str">
        <f t="shared" si="6699"/>
        <v>n/a</v>
      </c>
      <c r="CL438" s="225" t="str">
        <f t="shared" si="6699"/>
        <v>n/a</v>
      </c>
      <c r="CM438" s="225" t="str">
        <f t="shared" si="6699"/>
        <v>n/a</v>
      </c>
      <c r="CN438" s="225" t="str">
        <f t="shared" si="6699"/>
        <v>n/a</v>
      </c>
      <c r="CO438" s="225" t="str">
        <f t="shared" si="6699"/>
        <v>n/a</v>
      </c>
      <c r="CP438" s="225" t="str">
        <f t="shared" si="6699"/>
        <v>n/a</v>
      </c>
      <c r="CQ438" s="214" t="str">
        <f t="shared" si="6699"/>
        <v>n/a</v>
      </c>
      <c r="CR438" s="225" t="str">
        <f t="shared" si="6699"/>
        <v>n/a</v>
      </c>
      <c r="CS438" s="225" t="str">
        <f t="shared" si="6699"/>
        <v>n/a</v>
      </c>
      <c r="CT438" s="225" t="str">
        <f t="shared" si="6699"/>
        <v>n/a</v>
      </c>
      <c r="CU438" s="225" t="str">
        <f t="shared" si="6699"/>
        <v>n/a</v>
      </c>
      <c r="CV438" s="225" t="str">
        <f t="shared" si="6699"/>
        <v>n/a</v>
      </c>
      <c r="CW438" s="225" t="str">
        <f t="shared" si="6699"/>
        <v>n/a</v>
      </c>
      <c r="CX438" s="225" t="str">
        <f t="shared" si="6699"/>
        <v>n/a</v>
      </c>
      <c r="CY438" s="225" t="str">
        <f t="shared" si="6699"/>
        <v>n/a</v>
      </c>
      <c r="CZ438" s="225" t="str">
        <f t="shared" si="6699"/>
        <v>n/a</v>
      </c>
      <c r="DA438" s="225" t="str">
        <f t="shared" si="6699"/>
        <v>n/a</v>
      </c>
      <c r="DB438" s="225" t="str">
        <f t="shared" si="6699"/>
        <v>n/a</v>
      </c>
      <c r="DC438" s="214" t="str">
        <f t="shared" si="6699"/>
        <v>n/a</v>
      </c>
    </row>
    <row r="439" spans="3:107" x14ac:dyDescent="0.3">
      <c r="G439" s="203"/>
      <c r="K439" s="203"/>
      <c r="W439" s="203"/>
      <c r="AI439" s="203"/>
      <c r="AU439" s="203"/>
      <c r="BG439" s="203"/>
      <c r="BS439" s="203"/>
      <c r="CE439" s="203"/>
      <c r="CQ439" s="203"/>
      <c r="DC439" s="203"/>
    </row>
    <row r="440" spans="3:107" x14ac:dyDescent="0.3">
      <c r="C440" s="193" t="str">
        <f>++C$48</f>
        <v>CA EBITDA</v>
      </c>
      <c r="G440" s="400">
        <f>++G146</f>
        <v>0</v>
      </c>
      <c r="H440" s="400">
        <f t="shared" ref="H440:BS440" si="6700">++H146</f>
        <v>0</v>
      </c>
      <c r="I440" s="400">
        <f t="shared" si="6700"/>
        <v>0</v>
      </c>
      <c r="J440" s="400">
        <f t="shared" si="6700"/>
        <v>0</v>
      </c>
      <c r="K440" s="400">
        <f t="shared" si="6700"/>
        <v>0</v>
      </c>
      <c r="L440" s="400">
        <f t="shared" si="6700"/>
        <v>0</v>
      </c>
      <c r="M440" s="400">
        <f t="shared" si="6700"/>
        <v>0</v>
      </c>
      <c r="N440" s="400">
        <f t="shared" si="6700"/>
        <v>0</v>
      </c>
      <c r="O440" s="400">
        <f t="shared" si="6700"/>
        <v>0</v>
      </c>
      <c r="P440" s="400">
        <f t="shared" si="6700"/>
        <v>0</v>
      </c>
      <c r="Q440" s="400">
        <f t="shared" si="6700"/>
        <v>0</v>
      </c>
      <c r="R440" s="400">
        <f t="shared" si="6700"/>
        <v>0</v>
      </c>
      <c r="S440" s="400">
        <f t="shared" si="6700"/>
        <v>0</v>
      </c>
      <c r="T440" s="400">
        <f t="shared" si="6700"/>
        <v>0</v>
      </c>
      <c r="U440" s="400">
        <f t="shared" si="6700"/>
        <v>0</v>
      </c>
      <c r="V440" s="400">
        <f t="shared" si="6700"/>
        <v>0</v>
      </c>
      <c r="W440" s="400">
        <f t="shared" si="6700"/>
        <v>0</v>
      </c>
      <c r="X440" s="400">
        <f t="shared" si="6700"/>
        <v>0</v>
      </c>
      <c r="Y440" s="400">
        <f t="shared" si="6700"/>
        <v>0</v>
      </c>
      <c r="Z440" s="400">
        <f t="shared" si="6700"/>
        <v>0</v>
      </c>
      <c r="AA440" s="400">
        <f t="shared" si="6700"/>
        <v>0</v>
      </c>
      <c r="AB440" s="400">
        <f t="shared" si="6700"/>
        <v>0</v>
      </c>
      <c r="AC440" s="400">
        <f t="shared" si="6700"/>
        <v>0</v>
      </c>
      <c r="AD440" s="400">
        <f t="shared" si="6700"/>
        <v>0</v>
      </c>
      <c r="AE440" s="400">
        <f t="shared" si="6700"/>
        <v>0</v>
      </c>
      <c r="AF440" s="400">
        <f t="shared" si="6700"/>
        <v>0</v>
      </c>
      <c r="AG440" s="400">
        <f t="shared" si="6700"/>
        <v>0</v>
      </c>
      <c r="AH440" s="400">
        <f t="shared" si="6700"/>
        <v>0</v>
      </c>
      <c r="AI440" s="400">
        <f t="shared" si="6700"/>
        <v>0</v>
      </c>
      <c r="AJ440" s="400">
        <f t="shared" si="6700"/>
        <v>0</v>
      </c>
      <c r="AK440" s="400">
        <f t="shared" si="6700"/>
        <v>0</v>
      </c>
      <c r="AL440" s="400">
        <f t="shared" si="6700"/>
        <v>0</v>
      </c>
      <c r="AM440" s="400">
        <f t="shared" si="6700"/>
        <v>0</v>
      </c>
      <c r="AN440" s="400">
        <f t="shared" si="6700"/>
        <v>0</v>
      </c>
      <c r="AO440" s="400">
        <f t="shared" si="6700"/>
        <v>0</v>
      </c>
      <c r="AP440" s="400">
        <f t="shared" si="6700"/>
        <v>0</v>
      </c>
      <c r="AQ440" s="400">
        <f t="shared" si="6700"/>
        <v>0</v>
      </c>
      <c r="AR440" s="400">
        <f t="shared" si="6700"/>
        <v>0</v>
      </c>
      <c r="AS440" s="400">
        <f t="shared" si="6700"/>
        <v>0</v>
      </c>
      <c r="AT440" s="400">
        <f t="shared" si="6700"/>
        <v>0</v>
      </c>
      <c r="AU440" s="400">
        <f t="shared" si="6700"/>
        <v>0</v>
      </c>
      <c r="AV440" s="400">
        <f t="shared" si="6700"/>
        <v>0</v>
      </c>
      <c r="AW440" s="400">
        <f t="shared" si="6700"/>
        <v>0</v>
      </c>
      <c r="AX440" s="400">
        <f t="shared" si="6700"/>
        <v>0</v>
      </c>
      <c r="AY440" s="400">
        <f t="shared" si="6700"/>
        <v>0</v>
      </c>
      <c r="AZ440" s="400">
        <f t="shared" si="6700"/>
        <v>0</v>
      </c>
      <c r="BA440" s="400">
        <f t="shared" si="6700"/>
        <v>0</v>
      </c>
      <c r="BB440" s="400">
        <f t="shared" si="6700"/>
        <v>0</v>
      </c>
      <c r="BC440" s="400">
        <f t="shared" si="6700"/>
        <v>0</v>
      </c>
      <c r="BD440" s="400">
        <f t="shared" si="6700"/>
        <v>0</v>
      </c>
      <c r="BE440" s="400">
        <f t="shared" si="6700"/>
        <v>0</v>
      </c>
      <c r="BF440" s="400">
        <f t="shared" si="6700"/>
        <v>0</v>
      </c>
      <c r="BG440" s="400">
        <f t="shared" si="6700"/>
        <v>0</v>
      </c>
      <c r="BH440" s="400">
        <f t="shared" si="6700"/>
        <v>0</v>
      </c>
      <c r="BI440" s="400">
        <f t="shared" si="6700"/>
        <v>0</v>
      </c>
      <c r="BJ440" s="400">
        <f t="shared" si="6700"/>
        <v>0</v>
      </c>
      <c r="BK440" s="400">
        <f t="shared" si="6700"/>
        <v>0</v>
      </c>
      <c r="BL440" s="400">
        <f t="shared" si="6700"/>
        <v>0</v>
      </c>
      <c r="BM440" s="400">
        <f t="shared" si="6700"/>
        <v>0</v>
      </c>
      <c r="BN440" s="400">
        <f t="shared" si="6700"/>
        <v>0</v>
      </c>
      <c r="BO440" s="400">
        <f t="shared" si="6700"/>
        <v>0</v>
      </c>
      <c r="BP440" s="400">
        <f t="shared" si="6700"/>
        <v>0</v>
      </c>
      <c r="BQ440" s="400">
        <f t="shared" si="6700"/>
        <v>0</v>
      </c>
      <c r="BR440" s="400">
        <f t="shared" si="6700"/>
        <v>0</v>
      </c>
      <c r="BS440" s="400">
        <f t="shared" si="6700"/>
        <v>0</v>
      </c>
      <c r="BT440" s="400">
        <f t="shared" ref="BT440:DC440" si="6701">++BT146</f>
        <v>0</v>
      </c>
      <c r="BU440" s="400">
        <f t="shared" si="6701"/>
        <v>0</v>
      </c>
      <c r="BV440" s="400">
        <f t="shared" si="6701"/>
        <v>0</v>
      </c>
      <c r="BW440" s="400">
        <f t="shared" si="6701"/>
        <v>0</v>
      </c>
      <c r="BX440" s="400">
        <f t="shared" si="6701"/>
        <v>0</v>
      </c>
      <c r="BY440" s="400">
        <f t="shared" si="6701"/>
        <v>0</v>
      </c>
      <c r="BZ440" s="400">
        <f t="shared" si="6701"/>
        <v>0</v>
      </c>
      <c r="CA440" s="400">
        <f t="shared" si="6701"/>
        <v>0</v>
      </c>
      <c r="CB440" s="400">
        <f t="shared" si="6701"/>
        <v>0</v>
      </c>
      <c r="CC440" s="400">
        <f t="shared" si="6701"/>
        <v>0</v>
      </c>
      <c r="CD440" s="400">
        <f t="shared" si="6701"/>
        <v>0</v>
      </c>
      <c r="CE440" s="400">
        <f t="shared" si="6701"/>
        <v>0</v>
      </c>
      <c r="CF440" s="400">
        <f t="shared" si="6701"/>
        <v>0</v>
      </c>
      <c r="CG440" s="400">
        <f t="shared" si="6701"/>
        <v>0</v>
      </c>
      <c r="CH440" s="400">
        <f t="shared" si="6701"/>
        <v>0</v>
      </c>
      <c r="CI440" s="400">
        <f t="shared" si="6701"/>
        <v>0</v>
      </c>
      <c r="CJ440" s="400">
        <f t="shared" si="6701"/>
        <v>0</v>
      </c>
      <c r="CK440" s="400">
        <f t="shared" si="6701"/>
        <v>0</v>
      </c>
      <c r="CL440" s="400">
        <f t="shared" si="6701"/>
        <v>0</v>
      </c>
      <c r="CM440" s="400">
        <f t="shared" si="6701"/>
        <v>0</v>
      </c>
      <c r="CN440" s="400">
        <f t="shared" si="6701"/>
        <v>0</v>
      </c>
      <c r="CO440" s="400">
        <f t="shared" si="6701"/>
        <v>0</v>
      </c>
      <c r="CP440" s="400">
        <f t="shared" si="6701"/>
        <v>0</v>
      </c>
      <c r="CQ440" s="400">
        <f t="shared" si="6701"/>
        <v>0</v>
      </c>
      <c r="CR440" s="400">
        <f t="shared" si="6701"/>
        <v>0</v>
      </c>
      <c r="CS440" s="400">
        <f t="shared" si="6701"/>
        <v>0</v>
      </c>
      <c r="CT440" s="400">
        <f t="shared" si="6701"/>
        <v>0</v>
      </c>
      <c r="CU440" s="400">
        <f t="shared" si="6701"/>
        <v>0</v>
      </c>
      <c r="CV440" s="400">
        <f t="shared" si="6701"/>
        <v>0</v>
      </c>
      <c r="CW440" s="400">
        <f t="shared" si="6701"/>
        <v>0</v>
      </c>
      <c r="CX440" s="400">
        <f t="shared" si="6701"/>
        <v>0</v>
      </c>
      <c r="CY440" s="400">
        <f t="shared" si="6701"/>
        <v>0</v>
      </c>
      <c r="CZ440" s="400">
        <f t="shared" si="6701"/>
        <v>0</v>
      </c>
      <c r="DA440" s="400">
        <f t="shared" si="6701"/>
        <v>0</v>
      </c>
      <c r="DB440" s="400">
        <f t="shared" si="6701"/>
        <v>0</v>
      </c>
      <c r="DC440" s="400">
        <f t="shared" si="6701"/>
        <v>0</v>
      </c>
    </row>
    <row r="441" spans="3:107" x14ac:dyDescent="0.3">
      <c r="C441" s="321" t="str">
        <f>++C$49</f>
        <v>% margin</v>
      </c>
      <c r="G441" s="214" t="str">
        <f>++IFERROR(G440/G402,"n/a")</f>
        <v>n/a</v>
      </c>
      <c r="H441" s="225" t="str">
        <f t="shared" ref="H441" si="6702">++IFERROR(H440/H402,"n/a")</f>
        <v>n/a</v>
      </c>
      <c r="I441" s="225" t="str">
        <f t="shared" ref="I441" si="6703">++IFERROR(I440/I402,"n/a")</f>
        <v>n/a</v>
      </c>
      <c r="J441" s="225" t="str">
        <f t="shared" ref="J441" si="6704">++IFERROR(J440/J402,"n/a")</f>
        <v>n/a</v>
      </c>
      <c r="K441" s="214" t="str">
        <f t="shared" ref="K441" si="6705">++IFERROR(K440/K402,"n/a")</f>
        <v>n/a</v>
      </c>
      <c r="L441" s="225" t="str">
        <f t="shared" ref="L441" si="6706">++IFERROR(L440/L402,"n/a")</f>
        <v>n/a</v>
      </c>
      <c r="M441" s="225" t="str">
        <f t="shared" ref="M441" si="6707">++IFERROR(M440/M402,"n/a")</f>
        <v>n/a</v>
      </c>
      <c r="N441" s="225" t="str">
        <f t="shared" ref="N441" si="6708">++IFERROR(N440/N402,"n/a")</f>
        <v>n/a</v>
      </c>
      <c r="O441" s="225" t="str">
        <f t="shared" ref="O441" si="6709">++IFERROR(O440/O402,"n/a")</f>
        <v>n/a</v>
      </c>
      <c r="P441" s="225" t="str">
        <f t="shared" ref="P441" si="6710">++IFERROR(P440/P402,"n/a")</f>
        <v>n/a</v>
      </c>
      <c r="Q441" s="225" t="str">
        <f t="shared" ref="Q441" si="6711">++IFERROR(Q440/Q402,"n/a")</f>
        <v>n/a</v>
      </c>
      <c r="R441" s="225" t="str">
        <f t="shared" ref="R441" si="6712">++IFERROR(R440/R402,"n/a")</f>
        <v>n/a</v>
      </c>
      <c r="S441" s="225" t="str">
        <f t="shared" ref="S441" si="6713">++IFERROR(S440/S402,"n/a")</f>
        <v>n/a</v>
      </c>
      <c r="T441" s="225" t="str">
        <f t="shared" ref="T441" si="6714">++IFERROR(T440/T402,"n/a")</f>
        <v>n/a</v>
      </c>
      <c r="U441" s="225" t="str">
        <f t="shared" ref="U441" si="6715">++IFERROR(U440/U402,"n/a")</f>
        <v>n/a</v>
      </c>
      <c r="V441" s="225" t="str">
        <f t="shared" ref="V441" si="6716">++IFERROR(V440/V402,"n/a")</f>
        <v>n/a</v>
      </c>
      <c r="W441" s="214" t="str">
        <f t="shared" ref="W441" si="6717">++IFERROR(W440/W402,"n/a")</f>
        <v>n/a</v>
      </c>
      <c r="X441" s="225" t="str">
        <f t="shared" ref="X441" si="6718">++IFERROR(X440/X402,"n/a")</f>
        <v>n/a</v>
      </c>
      <c r="Y441" s="225" t="str">
        <f t="shared" ref="Y441" si="6719">++IFERROR(Y440/Y402,"n/a")</f>
        <v>n/a</v>
      </c>
      <c r="Z441" s="225" t="str">
        <f t="shared" ref="Z441" si="6720">++IFERROR(Z440/Z402,"n/a")</f>
        <v>n/a</v>
      </c>
      <c r="AA441" s="225" t="str">
        <f t="shared" ref="AA441" si="6721">++IFERROR(AA440/AA402,"n/a")</f>
        <v>n/a</v>
      </c>
      <c r="AB441" s="225" t="str">
        <f t="shared" ref="AB441" si="6722">++IFERROR(AB440/AB402,"n/a")</f>
        <v>n/a</v>
      </c>
      <c r="AC441" s="225" t="str">
        <f t="shared" ref="AC441" si="6723">++IFERROR(AC440/AC402,"n/a")</f>
        <v>n/a</v>
      </c>
      <c r="AD441" s="225" t="str">
        <f t="shared" ref="AD441" si="6724">++IFERROR(AD440/AD402,"n/a")</f>
        <v>n/a</v>
      </c>
      <c r="AE441" s="225" t="str">
        <f t="shared" ref="AE441" si="6725">++IFERROR(AE440/AE402,"n/a")</f>
        <v>n/a</v>
      </c>
      <c r="AF441" s="225" t="str">
        <f t="shared" ref="AF441" si="6726">++IFERROR(AF440/AF402,"n/a")</f>
        <v>n/a</v>
      </c>
      <c r="AG441" s="225" t="str">
        <f t="shared" ref="AG441" si="6727">++IFERROR(AG440/AG402,"n/a")</f>
        <v>n/a</v>
      </c>
      <c r="AH441" s="225" t="str">
        <f t="shared" ref="AH441" si="6728">++IFERROR(AH440/AH402,"n/a")</f>
        <v>n/a</v>
      </c>
      <c r="AI441" s="214" t="str">
        <f t="shared" ref="AI441" si="6729">++IFERROR(AI440/AI402,"n/a")</f>
        <v>n/a</v>
      </c>
      <c r="AJ441" s="225" t="str">
        <f t="shared" ref="AJ441" si="6730">++IFERROR(AJ440/AJ402,"n/a")</f>
        <v>n/a</v>
      </c>
      <c r="AK441" s="225" t="str">
        <f t="shared" ref="AK441" si="6731">++IFERROR(AK440/AK402,"n/a")</f>
        <v>n/a</v>
      </c>
      <c r="AL441" s="225" t="str">
        <f t="shared" ref="AL441" si="6732">++IFERROR(AL440/AL402,"n/a")</f>
        <v>n/a</v>
      </c>
      <c r="AM441" s="225" t="str">
        <f t="shared" ref="AM441" si="6733">++IFERROR(AM440/AM402,"n/a")</f>
        <v>n/a</v>
      </c>
      <c r="AN441" s="225" t="str">
        <f t="shared" ref="AN441" si="6734">++IFERROR(AN440/AN402,"n/a")</f>
        <v>n/a</v>
      </c>
      <c r="AO441" s="225" t="str">
        <f t="shared" ref="AO441" si="6735">++IFERROR(AO440/AO402,"n/a")</f>
        <v>n/a</v>
      </c>
      <c r="AP441" s="225" t="str">
        <f t="shared" ref="AP441" si="6736">++IFERROR(AP440/AP402,"n/a")</f>
        <v>n/a</v>
      </c>
      <c r="AQ441" s="225" t="str">
        <f t="shared" ref="AQ441" si="6737">++IFERROR(AQ440/AQ402,"n/a")</f>
        <v>n/a</v>
      </c>
      <c r="AR441" s="225" t="str">
        <f t="shared" ref="AR441" si="6738">++IFERROR(AR440/AR402,"n/a")</f>
        <v>n/a</v>
      </c>
      <c r="AS441" s="225" t="str">
        <f t="shared" ref="AS441" si="6739">++IFERROR(AS440/AS402,"n/a")</f>
        <v>n/a</v>
      </c>
      <c r="AT441" s="225" t="str">
        <f t="shared" ref="AT441" si="6740">++IFERROR(AT440/AT402,"n/a")</f>
        <v>n/a</v>
      </c>
      <c r="AU441" s="214" t="str">
        <f t="shared" ref="AU441" si="6741">++IFERROR(AU440/AU402,"n/a")</f>
        <v>n/a</v>
      </c>
      <c r="AV441" s="225" t="str">
        <f t="shared" ref="AV441" si="6742">++IFERROR(AV440/AV402,"n/a")</f>
        <v>n/a</v>
      </c>
      <c r="AW441" s="225" t="str">
        <f t="shared" ref="AW441" si="6743">++IFERROR(AW440/AW402,"n/a")</f>
        <v>n/a</v>
      </c>
      <c r="AX441" s="225" t="str">
        <f t="shared" ref="AX441" si="6744">++IFERROR(AX440/AX402,"n/a")</f>
        <v>n/a</v>
      </c>
      <c r="AY441" s="225" t="str">
        <f t="shared" ref="AY441" si="6745">++IFERROR(AY440/AY402,"n/a")</f>
        <v>n/a</v>
      </c>
      <c r="AZ441" s="225" t="str">
        <f t="shared" ref="AZ441" si="6746">++IFERROR(AZ440/AZ402,"n/a")</f>
        <v>n/a</v>
      </c>
      <c r="BA441" s="225" t="str">
        <f t="shared" ref="BA441" si="6747">++IFERROR(BA440/BA402,"n/a")</f>
        <v>n/a</v>
      </c>
      <c r="BB441" s="225" t="str">
        <f t="shared" ref="BB441" si="6748">++IFERROR(BB440/BB402,"n/a")</f>
        <v>n/a</v>
      </c>
      <c r="BC441" s="225" t="str">
        <f t="shared" ref="BC441" si="6749">++IFERROR(BC440/BC402,"n/a")</f>
        <v>n/a</v>
      </c>
      <c r="BD441" s="225" t="str">
        <f t="shared" ref="BD441" si="6750">++IFERROR(BD440/BD402,"n/a")</f>
        <v>n/a</v>
      </c>
      <c r="BE441" s="225" t="str">
        <f t="shared" ref="BE441" si="6751">++IFERROR(BE440/BE402,"n/a")</f>
        <v>n/a</v>
      </c>
      <c r="BF441" s="225" t="str">
        <f t="shared" ref="BF441" si="6752">++IFERROR(BF440/BF402,"n/a")</f>
        <v>n/a</v>
      </c>
      <c r="BG441" s="214" t="str">
        <f t="shared" ref="BG441" si="6753">++IFERROR(BG440/BG402,"n/a")</f>
        <v>n/a</v>
      </c>
      <c r="BH441" s="225" t="str">
        <f t="shared" ref="BH441" si="6754">++IFERROR(BH440/BH402,"n/a")</f>
        <v>n/a</v>
      </c>
      <c r="BI441" s="225" t="str">
        <f t="shared" ref="BI441" si="6755">++IFERROR(BI440/BI402,"n/a")</f>
        <v>n/a</v>
      </c>
      <c r="BJ441" s="225" t="str">
        <f t="shared" ref="BJ441" si="6756">++IFERROR(BJ440/BJ402,"n/a")</f>
        <v>n/a</v>
      </c>
      <c r="BK441" s="225" t="str">
        <f t="shared" ref="BK441" si="6757">++IFERROR(BK440/BK402,"n/a")</f>
        <v>n/a</v>
      </c>
      <c r="BL441" s="225" t="str">
        <f t="shared" ref="BL441" si="6758">++IFERROR(BL440/BL402,"n/a")</f>
        <v>n/a</v>
      </c>
      <c r="BM441" s="225" t="str">
        <f t="shared" ref="BM441" si="6759">++IFERROR(BM440/BM402,"n/a")</f>
        <v>n/a</v>
      </c>
      <c r="BN441" s="225" t="str">
        <f t="shared" ref="BN441" si="6760">++IFERROR(BN440/BN402,"n/a")</f>
        <v>n/a</v>
      </c>
      <c r="BO441" s="225" t="str">
        <f t="shared" ref="BO441" si="6761">++IFERROR(BO440/BO402,"n/a")</f>
        <v>n/a</v>
      </c>
      <c r="BP441" s="225" t="str">
        <f t="shared" ref="BP441" si="6762">++IFERROR(BP440/BP402,"n/a")</f>
        <v>n/a</v>
      </c>
      <c r="BQ441" s="225" t="str">
        <f t="shared" ref="BQ441" si="6763">++IFERROR(BQ440/BQ402,"n/a")</f>
        <v>n/a</v>
      </c>
      <c r="BR441" s="225" t="str">
        <f t="shared" ref="BR441" si="6764">++IFERROR(BR440/BR402,"n/a")</f>
        <v>n/a</v>
      </c>
      <c r="BS441" s="214" t="str">
        <f t="shared" ref="BS441" si="6765">++IFERROR(BS440/BS402,"n/a")</f>
        <v>n/a</v>
      </c>
      <c r="BT441" s="225" t="str">
        <f t="shared" ref="BT441" si="6766">++IFERROR(BT440/BT402,"n/a")</f>
        <v>n/a</v>
      </c>
      <c r="BU441" s="225" t="str">
        <f t="shared" ref="BU441" si="6767">++IFERROR(BU440/BU402,"n/a")</f>
        <v>n/a</v>
      </c>
      <c r="BV441" s="225" t="str">
        <f t="shared" ref="BV441" si="6768">++IFERROR(BV440/BV402,"n/a")</f>
        <v>n/a</v>
      </c>
      <c r="BW441" s="225" t="str">
        <f t="shared" ref="BW441" si="6769">++IFERROR(BW440/BW402,"n/a")</f>
        <v>n/a</v>
      </c>
      <c r="BX441" s="225" t="str">
        <f t="shared" ref="BX441" si="6770">++IFERROR(BX440/BX402,"n/a")</f>
        <v>n/a</v>
      </c>
      <c r="BY441" s="225" t="str">
        <f t="shared" ref="BY441" si="6771">++IFERROR(BY440/BY402,"n/a")</f>
        <v>n/a</v>
      </c>
      <c r="BZ441" s="225" t="str">
        <f t="shared" ref="BZ441" si="6772">++IFERROR(BZ440/BZ402,"n/a")</f>
        <v>n/a</v>
      </c>
      <c r="CA441" s="225" t="str">
        <f t="shared" ref="CA441" si="6773">++IFERROR(CA440/CA402,"n/a")</f>
        <v>n/a</v>
      </c>
      <c r="CB441" s="225" t="str">
        <f t="shared" ref="CB441" si="6774">++IFERROR(CB440/CB402,"n/a")</f>
        <v>n/a</v>
      </c>
      <c r="CC441" s="225" t="str">
        <f t="shared" ref="CC441" si="6775">++IFERROR(CC440/CC402,"n/a")</f>
        <v>n/a</v>
      </c>
      <c r="CD441" s="225" t="str">
        <f t="shared" ref="CD441" si="6776">++IFERROR(CD440/CD402,"n/a")</f>
        <v>n/a</v>
      </c>
      <c r="CE441" s="214" t="str">
        <f t="shared" ref="CE441" si="6777">++IFERROR(CE440/CE402,"n/a")</f>
        <v>n/a</v>
      </c>
      <c r="CF441" s="225" t="str">
        <f t="shared" ref="CF441" si="6778">++IFERROR(CF440/CF402,"n/a")</f>
        <v>n/a</v>
      </c>
      <c r="CG441" s="225" t="str">
        <f t="shared" ref="CG441" si="6779">++IFERROR(CG440/CG402,"n/a")</f>
        <v>n/a</v>
      </c>
      <c r="CH441" s="225" t="str">
        <f t="shared" ref="CH441" si="6780">++IFERROR(CH440/CH402,"n/a")</f>
        <v>n/a</v>
      </c>
      <c r="CI441" s="225" t="str">
        <f t="shared" ref="CI441" si="6781">++IFERROR(CI440/CI402,"n/a")</f>
        <v>n/a</v>
      </c>
      <c r="CJ441" s="225" t="str">
        <f t="shared" ref="CJ441" si="6782">++IFERROR(CJ440/CJ402,"n/a")</f>
        <v>n/a</v>
      </c>
      <c r="CK441" s="225" t="str">
        <f t="shared" ref="CK441" si="6783">++IFERROR(CK440/CK402,"n/a")</f>
        <v>n/a</v>
      </c>
      <c r="CL441" s="225" t="str">
        <f t="shared" ref="CL441" si="6784">++IFERROR(CL440/CL402,"n/a")</f>
        <v>n/a</v>
      </c>
      <c r="CM441" s="225" t="str">
        <f t="shared" ref="CM441" si="6785">++IFERROR(CM440/CM402,"n/a")</f>
        <v>n/a</v>
      </c>
      <c r="CN441" s="225" t="str">
        <f t="shared" ref="CN441" si="6786">++IFERROR(CN440/CN402,"n/a")</f>
        <v>n/a</v>
      </c>
      <c r="CO441" s="225" t="str">
        <f t="shared" ref="CO441" si="6787">++IFERROR(CO440/CO402,"n/a")</f>
        <v>n/a</v>
      </c>
      <c r="CP441" s="225" t="str">
        <f t="shared" ref="CP441" si="6788">++IFERROR(CP440/CP402,"n/a")</f>
        <v>n/a</v>
      </c>
      <c r="CQ441" s="214" t="str">
        <f t="shared" ref="CQ441" si="6789">++IFERROR(CQ440/CQ402,"n/a")</f>
        <v>n/a</v>
      </c>
      <c r="CR441" s="225" t="str">
        <f t="shared" ref="CR441" si="6790">++IFERROR(CR440/CR402,"n/a")</f>
        <v>n/a</v>
      </c>
      <c r="CS441" s="225" t="str">
        <f t="shared" ref="CS441" si="6791">++IFERROR(CS440/CS402,"n/a")</f>
        <v>n/a</v>
      </c>
      <c r="CT441" s="225" t="str">
        <f t="shared" ref="CT441" si="6792">++IFERROR(CT440/CT402,"n/a")</f>
        <v>n/a</v>
      </c>
      <c r="CU441" s="225" t="str">
        <f t="shared" ref="CU441" si="6793">++IFERROR(CU440/CU402,"n/a")</f>
        <v>n/a</v>
      </c>
      <c r="CV441" s="225" t="str">
        <f t="shared" ref="CV441" si="6794">++IFERROR(CV440/CV402,"n/a")</f>
        <v>n/a</v>
      </c>
      <c r="CW441" s="225" t="str">
        <f t="shared" ref="CW441" si="6795">++IFERROR(CW440/CW402,"n/a")</f>
        <v>n/a</v>
      </c>
      <c r="CX441" s="225" t="str">
        <f t="shared" ref="CX441" si="6796">++IFERROR(CX440/CX402,"n/a")</f>
        <v>n/a</v>
      </c>
      <c r="CY441" s="225" t="str">
        <f t="shared" ref="CY441" si="6797">++IFERROR(CY440/CY402,"n/a")</f>
        <v>n/a</v>
      </c>
      <c r="CZ441" s="225" t="str">
        <f t="shared" ref="CZ441" si="6798">++IFERROR(CZ440/CZ402,"n/a")</f>
        <v>n/a</v>
      </c>
      <c r="DA441" s="225" t="str">
        <f t="shared" ref="DA441" si="6799">++IFERROR(DA440/DA402,"n/a")</f>
        <v>n/a</v>
      </c>
      <c r="DB441" s="225" t="str">
        <f t="shared" ref="DB441" si="6800">++IFERROR(DB440/DB402,"n/a")</f>
        <v>n/a</v>
      </c>
      <c r="DC441" s="214" t="str">
        <f t="shared" ref="DC441" si="6801">++IFERROR(DC440/DC402,"n/a")</f>
        <v>n/a</v>
      </c>
    </row>
    <row r="442" spans="3:107" x14ac:dyDescent="0.3">
      <c r="C442" s="321" t="str">
        <f>++C$50</f>
        <v>% y/y</v>
      </c>
      <c r="G442" s="122" t="s">
        <v>47</v>
      </c>
      <c r="H442" s="122" t="s">
        <v>47</v>
      </c>
      <c r="I442" s="122" t="s">
        <v>47</v>
      </c>
      <c r="J442" s="122" t="s">
        <v>47</v>
      </c>
      <c r="K442" s="214" t="str">
        <f>++IFERROR(K440/G440-1,"n/a")</f>
        <v>n/a</v>
      </c>
      <c r="L442" s="122" t="s">
        <v>47</v>
      </c>
      <c r="M442" s="122" t="s">
        <v>47</v>
      </c>
      <c r="N442" s="225" t="str">
        <f>++IFERROR(N440/H440-1,"n/a")</f>
        <v>n/a</v>
      </c>
      <c r="O442" s="122" t="s">
        <v>47</v>
      </c>
      <c r="P442" s="122" t="s">
        <v>47</v>
      </c>
      <c r="Q442" s="225" t="str">
        <f>++IFERROR(Q440/I440-1,"n/a")</f>
        <v>n/a</v>
      </c>
      <c r="R442" s="122" t="s">
        <v>47</v>
      </c>
      <c r="S442" s="122" t="s">
        <v>47</v>
      </c>
      <c r="T442" s="225" t="str">
        <f>++IFERROR(T440/J440-1,"n/a")</f>
        <v>n/a</v>
      </c>
      <c r="U442" s="122" t="s">
        <v>47</v>
      </c>
      <c r="V442" s="122" t="s">
        <v>47</v>
      </c>
      <c r="W442" s="214" t="str">
        <f t="shared" ref="W442:BB442" si="6802">++IFERROR(W440/K440-1,"n/a")</f>
        <v>n/a</v>
      </c>
      <c r="X442" s="225" t="str">
        <f t="shared" si="6802"/>
        <v>n/a</v>
      </c>
      <c r="Y442" s="225" t="str">
        <f t="shared" si="6802"/>
        <v>n/a</v>
      </c>
      <c r="Z442" s="225" t="str">
        <f t="shared" si="6802"/>
        <v>n/a</v>
      </c>
      <c r="AA442" s="225" t="str">
        <f t="shared" si="6802"/>
        <v>n/a</v>
      </c>
      <c r="AB442" s="225" t="str">
        <f t="shared" si="6802"/>
        <v>n/a</v>
      </c>
      <c r="AC442" s="225" t="str">
        <f t="shared" si="6802"/>
        <v>n/a</v>
      </c>
      <c r="AD442" s="225" t="str">
        <f t="shared" si="6802"/>
        <v>n/a</v>
      </c>
      <c r="AE442" s="225" t="str">
        <f t="shared" si="6802"/>
        <v>n/a</v>
      </c>
      <c r="AF442" s="225" t="str">
        <f t="shared" si="6802"/>
        <v>n/a</v>
      </c>
      <c r="AG442" s="225" t="str">
        <f t="shared" si="6802"/>
        <v>n/a</v>
      </c>
      <c r="AH442" s="225" t="str">
        <f t="shared" si="6802"/>
        <v>n/a</v>
      </c>
      <c r="AI442" s="214" t="str">
        <f t="shared" si="6802"/>
        <v>n/a</v>
      </c>
      <c r="AJ442" s="225" t="str">
        <f t="shared" si="6802"/>
        <v>n/a</v>
      </c>
      <c r="AK442" s="225" t="str">
        <f t="shared" si="6802"/>
        <v>n/a</v>
      </c>
      <c r="AL442" s="225" t="str">
        <f t="shared" si="6802"/>
        <v>n/a</v>
      </c>
      <c r="AM442" s="225" t="str">
        <f t="shared" si="6802"/>
        <v>n/a</v>
      </c>
      <c r="AN442" s="225" t="str">
        <f t="shared" si="6802"/>
        <v>n/a</v>
      </c>
      <c r="AO442" s="225" t="str">
        <f t="shared" si="6802"/>
        <v>n/a</v>
      </c>
      <c r="AP442" s="225" t="str">
        <f t="shared" si="6802"/>
        <v>n/a</v>
      </c>
      <c r="AQ442" s="225" t="str">
        <f t="shared" si="6802"/>
        <v>n/a</v>
      </c>
      <c r="AR442" s="225" t="str">
        <f t="shared" si="6802"/>
        <v>n/a</v>
      </c>
      <c r="AS442" s="225" t="str">
        <f t="shared" si="6802"/>
        <v>n/a</v>
      </c>
      <c r="AT442" s="225" t="str">
        <f t="shared" si="6802"/>
        <v>n/a</v>
      </c>
      <c r="AU442" s="214" t="str">
        <f t="shared" si="6802"/>
        <v>n/a</v>
      </c>
      <c r="AV442" s="225" t="str">
        <f t="shared" si="6802"/>
        <v>n/a</v>
      </c>
      <c r="AW442" s="225" t="str">
        <f t="shared" si="6802"/>
        <v>n/a</v>
      </c>
      <c r="AX442" s="225" t="str">
        <f t="shared" si="6802"/>
        <v>n/a</v>
      </c>
      <c r="AY442" s="225" t="str">
        <f t="shared" si="6802"/>
        <v>n/a</v>
      </c>
      <c r="AZ442" s="225" t="str">
        <f t="shared" si="6802"/>
        <v>n/a</v>
      </c>
      <c r="BA442" s="225" t="str">
        <f t="shared" si="6802"/>
        <v>n/a</v>
      </c>
      <c r="BB442" s="225" t="str">
        <f t="shared" si="6802"/>
        <v>n/a</v>
      </c>
      <c r="BC442" s="225" t="str">
        <f t="shared" ref="BC442:CH442" si="6803">++IFERROR(BC440/AQ440-1,"n/a")</f>
        <v>n/a</v>
      </c>
      <c r="BD442" s="225" t="str">
        <f t="shared" si="6803"/>
        <v>n/a</v>
      </c>
      <c r="BE442" s="225" t="str">
        <f t="shared" si="6803"/>
        <v>n/a</v>
      </c>
      <c r="BF442" s="225" t="str">
        <f t="shared" si="6803"/>
        <v>n/a</v>
      </c>
      <c r="BG442" s="214" t="str">
        <f t="shared" si="6803"/>
        <v>n/a</v>
      </c>
      <c r="BH442" s="225" t="str">
        <f t="shared" si="6803"/>
        <v>n/a</v>
      </c>
      <c r="BI442" s="225" t="str">
        <f t="shared" si="6803"/>
        <v>n/a</v>
      </c>
      <c r="BJ442" s="225" t="str">
        <f t="shared" si="6803"/>
        <v>n/a</v>
      </c>
      <c r="BK442" s="225" t="str">
        <f t="shared" si="6803"/>
        <v>n/a</v>
      </c>
      <c r="BL442" s="225" t="str">
        <f t="shared" si="6803"/>
        <v>n/a</v>
      </c>
      <c r="BM442" s="225" t="str">
        <f t="shared" si="6803"/>
        <v>n/a</v>
      </c>
      <c r="BN442" s="225" t="str">
        <f t="shared" si="6803"/>
        <v>n/a</v>
      </c>
      <c r="BO442" s="225" t="str">
        <f t="shared" si="6803"/>
        <v>n/a</v>
      </c>
      <c r="BP442" s="225" t="str">
        <f t="shared" si="6803"/>
        <v>n/a</v>
      </c>
      <c r="BQ442" s="225" t="str">
        <f t="shared" si="6803"/>
        <v>n/a</v>
      </c>
      <c r="BR442" s="225" t="str">
        <f t="shared" si="6803"/>
        <v>n/a</v>
      </c>
      <c r="BS442" s="214" t="str">
        <f t="shared" si="6803"/>
        <v>n/a</v>
      </c>
      <c r="BT442" s="225" t="str">
        <f t="shared" si="6803"/>
        <v>n/a</v>
      </c>
      <c r="BU442" s="225" t="str">
        <f t="shared" si="6803"/>
        <v>n/a</v>
      </c>
      <c r="BV442" s="225" t="str">
        <f t="shared" si="6803"/>
        <v>n/a</v>
      </c>
      <c r="BW442" s="225" t="str">
        <f t="shared" si="6803"/>
        <v>n/a</v>
      </c>
      <c r="BX442" s="225" t="str">
        <f t="shared" si="6803"/>
        <v>n/a</v>
      </c>
      <c r="BY442" s="225" t="str">
        <f t="shared" si="6803"/>
        <v>n/a</v>
      </c>
      <c r="BZ442" s="225" t="str">
        <f t="shared" si="6803"/>
        <v>n/a</v>
      </c>
      <c r="CA442" s="225" t="str">
        <f t="shared" si="6803"/>
        <v>n/a</v>
      </c>
      <c r="CB442" s="225" t="str">
        <f t="shared" si="6803"/>
        <v>n/a</v>
      </c>
      <c r="CC442" s="225" t="str">
        <f t="shared" si="6803"/>
        <v>n/a</v>
      </c>
      <c r="CD442" s="225" t="str">
        <f t="shared" si="6803"/>
        <v>n/a</v>
      </c>
      <c r="CE442" s="214" t="str">
        <f t="shared" si="6803"/>
        <v>n/a</v>
      </c>
      <c r="CF442" s="225" t="str">
        <f t="shared" si="6803"/>
        <v>n/a</v>
      </c>
      <c r="CG442" s="225" t="str">
        <f t="shared" si="6803"/>
        <v>n/a</v>
      </c>
      <c r="CH442" s="225" t="str">
        <f t="shared" si="6803"/>
        <v>n/a</v>
      </c>
      <c r="CI442" s="225" t="str">
        <f t="shared" ref="CI442:DN442" si="6804">++IFERROR(CI440/BW440-1,"n/a")</f>
        <v>n/a</v>
      </c>
      <c r="CJ442" s="225" t="str">
        <f t="shared" si="6804"/>
        <v>n/a</v>
      </c>
      <c r="CK442" s="225" t="str">
        <f t="shared" si="6804"/>
        <v>n/a</v>
      </c>
      <c r="CL442" s="225" t="str">
        <f t="shared" si="6804"/>
        <v>n/a</v>
      </c>
      <c r="CM442" s="225" t="str">
        <f t="shared" si="6804"/>
        <v>n/a</v>
      </c>
      <c r="CN442" s="225" t="str">
        <f t="shared" si="6804"/>
        <v>n/a</v>
      </c>
      <c r="CO442" s="225" t="str">
        <f t="shared" si="6804"/>
        <v>n/a</v>
      </c>
      <c r="CP442" s="225" t="str">
        <f t="shared" si="6804"/>
        <v>n/a</v>
      </c>
      <c r="CQ442" s="214" t="str">
        <f t="shared" si="6804"/>
        <v>n/a</v>
      </c>
      <c r="CR442" s="225" t="str">
        <f t="shared" si="6804"/>
        <v>n/a</v>
      </c>
      <c r="CS442" s="225" t="str">
        <f t="shared" si="6804"/>
        <v>n/a</v>
      </c>
      <c r="CT442" s="225" t="str">
        <f t="shared" si="6804"/>
        <v>n/a</v>
      </c>
      <c r="CU442" s="225" t="str">
        <f t="shared" si="6804"/>
        <v>n/a</v>
      </c>
      <c r="CV442" s="225" t="str">
        <f t="shared" si="6804"/>
        <v>n/a</v>
      </c>
      <c r="CW442" s="225" t="str">
        <f t="shared" si="6804"/>
        <v>n/a</v>
      </c>
      <c r="CX442" s="225" t="str">
        <f t="shared" si="6804"/>
        <v>n/a</v>
      </c>
      <c r="CY442" s="225" t="str">
        <f t="shared" si="6804"/>
        <v>n/a</v>
      </c>
      <c r="CZ442" s="225" t="str">
        <f t="shared" si="6804"/>
        <v>n/a</v>
      </c>
      <c r="DA442" s="225" t="str">
        <f t="shared" si="6804"/>
        <v>n/a</v>
      </c>
      <c r="DB442" s="225" t="str">
        <f t="shared" si="6804"/>
        <v>n/a</v>
      </c>
      <c r="DC442" s="214" t="str">
        <f t="shared" si="6804"/>
        <v>n/a</v>
      </c>
    </row>
    <row r="443" spans="3:107" x14ac:dyDescent="0.3">
      <c r="G443" s="203"/>
      <c r="K443" s="203"/>
      <c r="W443" s="203"/>
      <c r="AI443" s="203"/>
      <c r="AU443" s="203"/>
      <c r="BG443" s="203"/>
      <c r="BS443" s="203"/>
      <c r="CE443" s="203"/>
      <c r="CQ443" s="203"/>
      <c r="DC443" s="203"/>
    </row>
    <row r="444" spans="3:107" x14ac:dyDescent="0.3">
      <c r="C444" s="193" t="str">
        <f>++C$52</f>
        <v>Capital Expenditures</v>
      </c>
      <c r="G444" s="400">
        <f>++G150</f>
        <v>0</v>
      </c>
      <c r="H444" s="400">
        <f t="shared" ref="H444:BS444" si="6805">++H150</f>
        <v>0</v>
      </c>
      <c r="I444" s="400">
        <f t="shared" si="6805"/>
        <v>0</v>
      </c>
      <c r="J444" s="400">
        <f t="shared" si="6805"/>
        <v>0</v>
      </c>
      <c r="K444" s="400">
        <f t="shared" si="6805"/>
        <v>0</v>
      </c>
      <c r="L444" s="400">
        <f t="shared" si="6805"/>
        <v>0</v>
      </c>
      <c r="M444" s="400">
        <f t="shared" si="6805"/>
        <v>0</v>
      </c>
      <c r="N444" s="400">
        <f t="shared" si="6805"/>
        <v>0</v>
      </c>
      <c r="O444" s="400">
        <f t="shared" si="6805"/>
        <v>0</v>
      </c>
      <c r="P444" s="400">
        <f t="shared" si="6805"/>
        <v>0</v>
      </c>
      <c r="Q444" s="400">
        <f t="shared" si="6805"/>
        <v>0</v>
      </c>
      <c r="R444" s="400">
        <f t="shared" si="6805"/>
        <v>0</v>
      </c>
      <c r="S444" s="400">
        <f t="shared" si="6805"/>
        <v>0</v>
      </c>
      <c r="T444" s="400">
        <f t="shared" si="6805"/>
        <v>0</v>
      </c>
      <c r="U444" s="400">
        <f t="shared" si="6805"/>
        <v>0</v>
      </c>
      <c r="V444" s="400">
        <f t="shared" si="6805"/>
        <v>0</v>
      </c>
      <c r="W444" s="400">
        <f t="shared" si="6805"/>
        <v>0</v>
      </c>
      <c r="X444" s="400">
        <f t="shared" si="6805"/>
        <v>0</v>
      </c>
      <c r="Y444" s="400">
        <f t="shared" si="6805"/>
        <v>0</v>
      </c>
      <c r="Z444" s="400">
        <f t="shared" si="6805"/>
        <v>0</v>
      </c>
      <c r="AA444" s="400">
        <f t="shared" si="6805"/>
        <v>0</v>
      </c>
      <c r="AB444" s="400">
        <f t="shared" si="6805"/>
        <v>0</v>
      </c>
      <c r="AC444" s="400">
        <f t="shared" si="6805"/>
        <v>0</v>
      </c>
      <c r="AD444" s="400">
        <f t="shared" si="6805"/>
        <v>0</v>
      </c>
      <c r="AE444" s="400">
        <f t="shared" si="6805"/>
        <v>0</v>
      </c>
      <c r="AF444" s="400">
        <f t="shared" si="6805"/>
        <v>0</v>
      </c>
      <c r="AG444" s="400">
        <f t="shared" si="6805"/>
        <v>0</v>
      </c>
      <c r="AH444" s="400">
        <f t="shared" si="6805"/>
        <v>0</v>
      </c>
      <c r="AI444" s="400">
        <f t="shared" si="6805"/>
        <v>0</v>
      </c>
      <c r="AJ444" s="400">
        <f t="shared" si="6805"/>
        <v>0</v>
      </c>
      <c r="AK444" s="400">
        <f t="shared" si="6805"/>
        <v>0</v>
      </c>
      <c r="AL444" s="400">
        <f t="shared" si="6805"/>
        <v>0</v>
      </c>
      <c r="AM444" s="400">
        <f t="shared" si="6805"/>
        <v>0</v>
      </c>
      <c r="AN444" s="400">
        <f t="shared" si="6805"/>
        <v>0</v>
      </c>
      <c r="AO444" s="400">
        <f t="shared" si="6805"/>
        <v>0</v>
      </c>
      <c r="AP444" s="400">
        <f t="shared" si="6805"/>
        <v>0</v>
      </c>
      <c r="AQ444" s="400">
        <f t="shared" si="6805"/>
        <v>0</v>
      </c>
      <c r="AR444" s="400">
        <f t="shared" si="6805"/>
        <v>0</v>
      </c>
      <c r="AS444" s="400">
        <f t="shared" si="6805"/>
        <v>0</v>
      </c>
      <c r="AT444" s="400">
        <f t="shared" si="6805"/>
        <v>0</v>
      </c>
      <c r="AU444" s="400">
        <f t="shared" si="6805"/>
        <v>0</v>
      </c>
      <c r="AV444" s="400">
        <f t="shared" si="6805"/>
        <v>0</v>
      </c>
      <c r="AW444" s="400">
        <f t="shared" si="6805"/>
        <v>0</v>
      </c>
      <c r="AX444" s="400">
        <f t="shared" si="6805"/>
        <v>0</v>
      </c>
      <c r="AY444" s="400">
        <f t="shared" si="6805"/>
        <v>0</v>
      </c>
      <c r="AZ444" s="400">
        <f t="shared" si="6805"/>
        <v>0</v>
      </c>
      <c r="BA444" s="400">
        <f t="shared" si="6805"/>
        <v>0</v>
      </c>
      <c r="BB444" s="400">
        <f t="shared" si="6805"/>
        <v>0</v>
      </c>
      <c r="BC444" s="400">
        <f t="shared" si="6805"/>
        <v>0</v>
      </c>
      <c r="BD444" s="400">
        <f t="shared" si="6805"/>
        <v>0</v>
      </c>
      <c r="BE444" s="400">
        <f t="shared" si="6805"/>
        <v>0</v>
      </c>
      <c r="BF444" s="400">
        <f t="shared" si="6805"/>
        <v>0</v>
      </c>
      <c r="BG444" s="400">
        <f t="shared" si="6805"/>
        <v>0</v>
      </c>
      <c r="BH444" s="400">
        <f t="shared" si="6805"/>
        <v>0</v>
      </c>
      <c r="BI444" s="400">
        <f t="shared" si="6805"/>
        <v>0</v>
      </c>
      <c r="BJ444" s="400">
        <f t="shared" si="6805"/>
        <v>0</v>
      </c>
      <c r="BK444" s="400">
        <f t="shared" si="6805"/>
        <v>0</v>
      </c>
      <c r="BL444" s="400">
        <f t="shared" si="6805"/>
        <v>0</v>
      </c>
      <c r="BM444" s="400">
        <f t="shared" si="6805"/>
        <v>0</v>
      </c>
      <c r="BN444" s="400">
        <f t="shared" si="6805"/>
        <v>0</v>
      </c>
      <c r="BO444" s="400">
        <f t="shared" si="6805"/>
        <v>0</v>
      </c>
      <c r="BP444" s="400">
        <f t="shared" si="6805"/>
        <v>0</v>
      </c>
      <c r="BQ444" s="400">
        <f t="shared" si="6805"/>
        <v>0</v>
      </c>
      <c r="BR444" s="400">
        <f t="shared" si="6805"/>
        <v>0</v>
      </c>
      <c r="BS444" s="400">
        <f t="shared" si="6805"/>
        <v>0</v>
      </c>
      <c r="BT444" s="400">
        <f t="shared" ref="BT444:DC444" si="6806">++BT150</f>
        <v>0</v>
      </c>
      <c r="BU444" s="400">
        <f t="shared" si="6806"/>
        <v>0</v>
      </c>
      <c r="BV444" s="400">
        <f t="shared" si="6806"/>
        <v>0</v>
      </c>
      <c r="BW444" s="400">
        <f t="shared" si="6806"/>
        <v>0</v>
      </c>
      <c r="BX444" s="400">
        <f t="shared" si="6806"/>
        <v>0</v>
      </c>
      <c r="BY444" s="400">
        <f t="shared" si="6806"/>
        <v>0</v>
      </c>
      <c r="BZ444" s="400">
        <f t="shared" si="6806"/>
        <v>0</v>
      </c>
      <c r="CA444" s="400">
        <f t="shared" si="6806"/>
        <v>0</v>
      </c>
      <c r="CB444" s="400">
        <f t="shared" si="6806"/>
        <v>0</v>
      </c>
      <c r="CC444" s="400">
        <f t="shared" si="6806"/>
        <v>0</v>
      </c>
      <c r="CD444" s="400">
        <f t="shared" si="6806"/>
        <v>0</v>
      </c>
      <c r="CE444" s="400">
        <f t="shared" si="6806"/>
        <v>0</v>
      </c>
      <c r="CF444" s="400">
        <f t="shared" si="6806"/>
        <v>0</v>
      </c>
      <c r="CG444" s="400">
        <f t="shared" si="6806"/>
        <v>0</v>
      </c>
      <c r="CH444" s="400">
        <f t="shared" si="6806"/>
        <v>0</v>
      </c>
      <c r="CI444" s="400">
        <f t="shared" si="6806"/>
        <v>0</v>
      </c>
      <c r="CJ444" s="400">
        <f t="shared" si="6806"/>
        <v>0</v>
      </c>
      <c r="CK444" s="400">
        <f t="shared" si="6806"/>
        <v>0</v>
      </c>
      <c r="CL444" s="400">
        <f t="shared" si="6806"/>
        <v>0</v>
      </c>
      <c r="CM444" s="400">
        <f t="shared" si="6806"/>
        <v>0</v>
      </c>
      <c r="CN444" s="400">
        <f t="shared" si="6806"/>
        <v>0</v>
      </c>
      <c r="CO444" s="400">
        <f t="shared" si="6806"/>
        <v>0</v>
      </c>
      <c r="CP444" s="400">
        <f t="shared" si="6806"/>
        <v>0</v>
      </c>
      <c r="CQ444" s="400">
        <f t="shared" si="6806"/>
        <v>0</v>
      </c>
      <c r="CR444" s="400">
        <f t="shared" si="6806"/>
        <v>0</v>
      </c>
      <c r="CS444" s="400">
        <f t="shared" si="6806"/>
        <v>0</v>
      </c>
      <c r="CT444" s="400">
        <f t="shared" si="6806"/>
        <v>0</v>
      </c>
      <c r="CU444" s="400">
        <f t="shared" si="6806"/>
        <v>0</v>
      </c>
      <c r="CV444" s="400">
        <f t="shared" si="6806"/>
        <v>0</v>
      </c>
      <c r="CW444" s="400">
        <f t="shared" si="6806"/>
        <v>0</v>
      </c>
      <c r="CX444" s="400">
        <f t="shared" si="6806"/>
        <v>0</v>
      </c>
      <c r="CY444" s="400">
        <f t="shared" si="6806"/>
        <v>0</v>
      </c>
      <c r="CZ444" s="400">
        <f t="shared" si="6806"/>
        <v>0</v>
      </c>
      <c r="DA444" s="400">
        <f t="shared" si="6806"/>
        <v>0</v>
      </c>
      <c r="DB444" s="400">
        <f t="shared" si="6806"/>
        <v>0</v>
      </c>
      <c r="DC444" s="400">
        <f t="shared" si="6806"/>
        <v>0</v>
      </c>
    </row>
    <row r="445" spans="3:107" x14ac:dyDescent="0.3">
      <c r="C445" s="321" t="str">
        <f>++C$53</f>
        <v>% revenue</v>
      </c>
      <c r="G445" s="214" t="str">
        <f>++IFERROR(G444/G402,"n/a")</f>
        <v>n/a</v>
      </c>
      <c r="H445" s="225" t="str">
        <f t="shared" ref="H445" si="6807">++IFERROR(H444/H402,"n/a")</f>
        <v>n/a</v>
      </c>
      <c r="I445" s="225" t="str">
        <f t="shared" ref="I445" si="6808">++IFERROR(I444/I402,"n/a")</f>
        <v>n/a</v>
      </c>
      <c r="J445" s="225" t="str">
        <f t="shared" ref="J445" si="6809">++IFERROR(J444/J402,"n/a")</f>
        <v>n/a</v>
      </c>
      <c r="K445" s="214" t="str">
        <f t="shared" ref="K445" si="6810">++IFERROR(K444/K402,"n/a")</f>
        <v>n/a</v>
      </c>
      <c r="L445" s="225" t="str">
        <f t="shared" ref="L445" si="6811">++IFERROR(L444/L402,"n/a")</f>
        <v>n/a</v>
      </c>
      <c r="M445" s="225" t="str">
        <f t="shared" ref="M445" si="6812">++IFERROR(M444/M402,"n/a")</f>
        <v>n/a</v>
      </c>
      <c r="N445" s="225" t="str">
        <f t="shared" ref="N445" si="6813">++IFERROR(N444/N402,"n/a")</f>
        <v>n/a</v>
      </c>
      <c r="O445" s="225" t="str">
        <f t="shared" ref="O445" si="6814">++IFERROR(O444/O402,"n/a")</f>
        <v>n/a</v>
      </c>
      <c r="P445" s="225" t="str">
        <f t="shared" ref="P445" si="6815">++IFERROR(P444/P402,"n/a")</f>
        <v>n/a</v>
      </c>
      <c r="Q445" s="225" t="str">
        <f t="shared" ref="Q445" si="6816">++IFERROR(Q444/Q402,"n/a")</f>
        <v>n/a</v>
      </c>
      <c r="R445" s="225" t="str">
        <f t="shared" ref="R445" si="6817">++IFERROR(R444/R402,"n/a")</f>
        <v>n/a</v>
      </c>
      <c r="S445" s="225" t="str">
        <f t="shared" ref="S445" si="6818">++IFERROR(S444/S402,"n/a")</f>
        <v>n/a</v>
      </c>
      <c r="T445" s="225" t="str">
        <f t="shared" ref="T445" si="6819">++IFERROR(T444/T402,"n/a")</f>
        <v>n/a</v>
      </c>
      <c r="U445" s="225" t="str">
        <f t="shared" ref="U445" si="6820">++IFERROR(U444/U402,"n/a")</f>
        <v>n/a</v>
      </c>
      <c r="V445" s="225" t="str">
        <f t="shared" ref="V445" si="6821">++IFERROR(V444/V402,"n/a")</f>
        <v>n/a</v>
      </c>
      <c r="W445" s="214" t="str">
        <f t="shared" ref="W445" si="6822">++IFERROR(W444/W402,"n/a")</f>
        <v>n/a</v>
      </c>
      <c r="X445" s="225" t="str">
        <f t="shared" ref="X445" si="6823">++IFERROR(X444/X402,"n/a")</f>
        <v>n/a</v>
      </c>
      <c r="Y445" s="225" t="str">
        <f t="shared" ref="Y445" si="6824">++IFERROR(Y444/Y402,"n/a")</f>
        <v>n/a</v>
      </c>
      <c r="Z445" s="225" t="str">
        <f t="shared" ref="Z445" si="6825">++IFERROR(Z444/Z402,"n/a")</f>
        <v>n/a</v>
      </c>
      <c r="AA445" s="225" t="str">
        <f t="shared" ref="AA445" si="6826">++IFERROR(AA444/AA402,"n/a")</f>
        <v>n/a</v>
      </c>
      <c r="AB445" s="225" t="str">
        <f t="shared" ref="AB445" si="6827">++IFERROR(AB444/AB402,"n/a")</f>
        <v>n/a</v>
      </c>
      <c r="AC445" s="225" t="str">
        <f t="shared" ref="AC445" si="6828">++IFERROR(AC444/AC402,"n/a")</f>
        <v>n/a</v>
      </c>
      <c r="AD445" s="225" t="str">
        <f t="shared" ref="AD445" si="6829">++IFERROR(AD444/AD402,"n/a")</f>
        <v>n/a</v>
      </c>
      <c r="AE445" s="225" t="str">
        <f t="shared" ref="AE445" si="6830">++IFERROR(AE444/AE402,"n/a")</f>
        <v>n/a</v>
      </c>
      <c r="AF445" s="225" t="str">
        <f t="shared" ref="AF445" si="6831">++IFERROR(AF444/AF402,"n/a")</f>
        <v>n/a</v>
      </c>
      <c r="AG445" s="225" t="str">
        <f t="shared" ref="AG445" si="6832">++IFERROR(AG444/AG402,"n/a")</f>
        <v>n/a</v>
      </c>
      <c r="AH445" s="225" t="str">
        <f t="shared" ref="AH445" si="6833">++IFERROR(AH444/AH402,"n/a")</f>
        <v>n/a</v>
      </c>
      <c r="AI445" s="214" t="str">
        <f t="shared" ref="AI445" si="6834">++IFERROR(AI444/AI402,"n/a")</f>
        <v>n/a</v>
      </c>
      <c r="AJ445" s="225" t="str">
        <f t="shared" ref="AJ445" si="6835">++IFERROR(AJ444/AJ402,"n/a")</f>
        <v>n/a</v>
      </c>
      <c r="AK445" s="225" t="str">
        <f t="shared" ref="AK445" si="6836">++IFERROR(AK444/AK402,"n/a")</f>
        <v>n/a</v>
      </c>
      <c r="AL445" s="225" t="str">
        <f t="shared" ref="AL445" si="6837">++IFERROR(AL444/AL402,"n/a")</f>
        <v>n/a</v>
      </c>
      <c r="AM445" s="225" t="str">
        <f t="shared" ref="AM445" si="6838">++IFERROR(AM444/AM402,"n/a")</f>
        <v>n/a</v>
      </c>
      <c r="AN445" s="225" t="str">
        <f t="shared" ref="AN445" si="6839">++IFERROR(AN444/AN402,"n/a")</f>
        <v>n/a</v>
      </c>
      <c r="AO445" s="225" t="str">
        <f t="shared" ref="AO445" si="6840">++IFERROR(AO444/AO402,"n/a")</f>
        <v>n/a</v>
      </c>
      <c r="AP445" s="225" t="str">
        <f t="shared" ref="AP445" si="6841">++IFERROR(AP444/AP402,"n/a")</f>
        <v>n/a</v>
      </c>
      <c r="AQ445" s="225" t="str">
        <f t="shared" ref="AQ445" si="6842">++IFERROR(AQ444/AQ402,"n/a")</f>
        <v>n/a</v>
      </c>
      <c r="AR445" s="225" t="str">
        <f t="shared" ref="AR445" si="6843">++IFERROR(AR444/AR402,"n/a")</f>
        <v>n/a</v>
      </c>
      <c r="AS445" s="225" t="str">
        <f t="shared" ref="AS445" si="6844">++IFERROR(AS444/AS402,"n/a")</f>
        <v>n/a</v>
      </c>
      <c r="AT445" s="225" t="str">
        <f t="shared" ref="AT445" si="6845">++IFERROR(AT444/AT402,"n/a")</f>
        <v>n/a</v>
      </c>
      <c r="AU445" s="214" t="str">
        <f t="shared" ref="AU445" si="6846">++IFERROR(AU444/AU402,"n/a")</f>
        <v>n/a</v>
      </c>
      <c r="AV445" s="225" t="str">
        <f t="shared" ref="AV445" si="6847">++IFERROR(AV444/AV402,"n/a")</f>
        <v>n/a</v>
      </c>
      <c r="AW445" s="225" t="str">
        <f t="shared" ref="AW445" si="6848">++IFERROR(AW444/AW402,"n/a")</f>
        <v>n/a</v>
      </c>
      <c r="AX445" s="225" t="str">
        <f t="shared" ref="AX445" si="6849">++IFERROR(AX444/AX402,"n/a")</f>
        <v>n/a</v>
      </c>
      <c r="AY445" s="225" t="str">
        <f t="shared" ref="AY445" si="6850">++IFERROR(AY444/AY402,"n/a")</f>
        <v>n/a</v>
      </c>
      <c r="AZ445" s="225" t="str">
        <f t="shared" ref="AZ445" si="6851">++IFERROR(AZ444/AZ402,"n/a")</f>
        <v>n/a</v>
      </c>
      <c r="BA445" s="225" t="str">
        <f t="shared" ref="BA445" si="6852">++IFERROR(BA444/BA402,"n/a")</f>
        <v>n/a</v>
      </c>
      <c r="BB445" s="225" t="str">
        <f t="shared" ref="BB445" si="6853">++IFERROR(BB444/BB402,"n/a")</f>
        <v>n/a</v>
      </c>
      <c r="BC445" s="225" t="str">
        <f t="shared" ref="BC445" si="6854">++IFERROR(BC444/BC402,"n/a")</f>
        <v>n/a</v>
      </c>
      <c r="BD445" s="225" t="str">
        <f t="shared" ref="BD445" si="6855">++IFERROR(BD444/BD402,"n/a")</f>
        <v>n/a</v>
      </c>
      <c r="BE445" s="225" t="str">
        <f t="shared" ref="BE445" si="6856">++IFERROR(BE444/BE402,"n/a")</f>
        <v>n/a</v>
      </c>
      <c r="BF445" s="225" t="str">
        <f t="shared" ref="BF445" si="6857">++IFERROR(BF444/BF402,"n/a")</f>
        <v>n/a</v>
      </c>
      <c r="BG445" s="214" t="str">
        <f t="shared" ref="BG445" si="6858">++IFERROR(BG444/BG402,"n/a")</f>
        <v>n/a</v>
      </c>
      <c r="BH445" s="225" t="str">
        <f t="shared" ref="BH445" si="6859">++IFERROR(BH444/BH402,"n/a")</f>
        <v>n/a</v>
      </c>
      <c r="BI445" s="225" t="str">
        <f t="shared" ref="BI445" si="6860">++IFERROR(BI444/BI402,"n/a")</f>
        <v>n/a</v>
      </c>
      <c r="BJ445" s="225" t="str">
        <f t="shared" ref="BJ445" si="6861">++IFERROR(BJ444/BJ402,"n/a")</f>
        <v>n/a</v>
      </c>
      <c r="BK445" s="225" t="str">
        <f t="shared" ref="BK445" si="6862">++IFERROR(BK444/BK402,"n/a")</f>
        <v>n/a</v>
      </c>
      <c r="BL445" s="225" t="str">
        <f t="shared" ref="BL445" si="6863">++IFERROR(BL444/BL402,"n/a")</f>
        <v>n/a</v>
      </c>
      <c r="BM445" s="225" t="str">
        <f t="shared" ref="BM445" si="6864">++IFERROR(BM444/BM402,"n/a")</f>
        <v>n/a</v>
      </c>
      <c r="BN445" s="225" t="str">
        <f t="shared" ref="BN445" si="6865">++IFERROR(BN444/BN402,"n/a")</f>
        <v>n/a</v>
      </c>
      <c r="BO445" s="225" t="str">
        <f t="shared" ref="BO445" si="6866">++IFERROR(BO444/BO402,"n/a")</f>
        <v>n/a</v>
      </c>
      <c r="BP445" s="225" t="str">
        <f t="shared" ref="BP445" si="6867">++IFERROR(BP444/BP402,"n/a")</f>
        <v>n/a</v>
      </c>
      <c r="BQ445" s="225" t="str">
        <f t="shared" ref="BQ445" si="6868">++IFERROR(BQ444/BQ402,"n/a")</f>
        <v>n/a</v>
      </c>
      <c r="BR445" s="225" t="str">
        <f t="shared" ref="BR445" si="6869">++IFERROR(BR444/BR402,"n/a")</f>
        <v>n/a</v>
      </c>
      <c r="BS445" s="214" t="str">
        <f t="shared" ref="BS445" si="6870">++IFERROR(BS444/BS402,"n/a")</f>
        <v>n/a</v>
      </c>
      <c r="BT445" s="225" t="str">
        <f t="shared" ref="BT445" si="6871">++IFERROR(BT444/BT402,"n/a")</f>
        <v>n/a</v>
      </c>
      <c r="BU445" s="225" t="str">
        <f t="shared" ref="BU445" si="6872">++IFERROR(BU444/BU402,"n/a")</f>
        <v>n/a</v>
      </c>
      <c r="BV445" s="225" t="str">
        <f t="shared" ref="BV445" si="6873">++IFERROR(BV444/BV402,"n/a")</f>
        <v>n/a</v>
      </c>
      <c r="BW445" s="225" t="str">
        <f t="shared" ref="BW445" si="6874">++IFERROR(BW444/BW402,"n/a")</f>
        <v>n/a</v>
      </c>
      <c r="BX445" s="225" t="str">
        <f t="shared" ref="BX445" si="6875">++IFERROR(BX444/BX402,"n/a")</f>
        <v>n/a</v>
      </c>
      <c r="BY445" s="225" t="str">
        <f t="shared" ref="BY445" si="6876">++IFERROR(BY444/BY402,"n/a")</f>
        <v>n/a</v>
      </c>
      <c r="BZ445" s="225" t="str">
        <f t="shared" ref="BZ445" si="6877">++IFERROR(BZ444/BZ402,"n/a")</f>
        <v>n/a</v>
      </c>
      <c r="CA445" s="225" t="str">
        <f t="shared" ref="CA445" si="6878">++IFERROR(CA444/CA402,"n/a")</f>
        <v>n/a</v>
      </c>
      <c r="CB445" s="225" t="str">
        <f t="shared" ref="CB445" si="6879">++IFERROR(CB444/CB402,"n/a")</f>
        <v>n/a</v>
      </c>
      <c r="CC445" s="225" t="str">
        <f t="shared" ref="CC445" si="6880">++IFERROR(CC444/CC402,"n/a")</f>
        <v>n/a</v>
      </c>
      <c r="CD445" s="225" t="str">
        <f t="shared" ref="CD445" si="6881">++IFERROR(CD444/CD402,"n/a")</f>
        <v>n/a</v>
      </c>
      <c r="CE445" s="214" t="str">
        <f t="shared" ref="CE445" si="6882">++IFERROR(CE444/CE402,"n/a")</f>
        <v>n/a</v>
      </c>
      <c r="CF445" s="225" t="str">
        <f t="shared" ref="CF445" si="6883">++IFERROR(CF444/CF402,"n/a")</f>
        <v>n/a</v>
      </c>
      <c r="CG445" s="225" t="str">
        <f t="shared" ref="CG445" si="6884">++IFERROR(CG444/CG402,"n/a")</f>
        <v>n/a</v>
      </c>
      <c r="CH445" s="225" t="str">
        <f t="shared" ref="CH445" si="6885">++IFERROR(CH444/CH402,"n/a")</f>
        <v>n/a</v>
      </c>
      <c r="CI445" s="225" t="str">
        <f t="shared" ref="CI445" si="6886">++IFERROR(CI444/CI402,"n/a")</f>
        <v>n/a</v>
      </c>
      <c r="CJ445" s="225" t="str">
        <f t="shared" ref="CJ445" si="6887">++IFERROR(CJ444/CJ402,"n/a")</f>
        <v>n/a</v>
      </c>
      <c r="CK445" s="225" t="str">
        <f t="shared" ref="CK445" si="6888">++IFERROR(CK444/CK402,"n/a")</f>
        <v>n/a</v>
      </c>
      <c r="CL445" s="225" t="str">
        <f t="shared" ref="CL445" si="6889">++IFERROR(CL444/CL402,"n/a")</f>
        <v>n/a</v>
      </c>
      <c r="CM445" s="225" t="str">
        <f t="shared" ref="CM445" si="6890">++IFERROR(CM444/CM402,"n/a")</f>
        <v>n/a</v>
      </c>
      <c r="CN445" s="225" t="str">
        <f t="shared" ref="CN445" si="6891">++IFERROR(CN444/CN402,"n/a")</f>
        <v>n/a</v>
      </c>
      <c r="CO445" s="225" t="str">
        <f t="shared" ref="CO445" si="6892">++IFERROR(CO444/CO402,"n/a")</f>
        <v>n/a</v>
      </c>
      <c r="CP445" s="225" t="str">
        <f t="shared" ref="CP445" si="6893">++IFERROR(CP444/CP402,"n/a")</f>
        <v>n/a</v>
      </c>
      <c r="CQ445" s="214" t="str">
        <f t="shared" ref="CQ445" si="6894">++IFERROR(CQ444/CQ402,"n/a")</f>
        <v>n/a</v>
      </c>
      <c r="CR445" s="225" t="str">
        <f t="shared" ref="CR445" si="6895">++IFERROR(CR444/CR402,"n/a")</f>
        <v>n/a</v>
      </c>
      <c r="CS445" s="225" t="str">
        <f t="shared" ref="CS445" si="6896">++IFERROR(CS444/CS402,"n/a")</f>
        <v>n/a</v>
      </c>
      <c r="CT445" s="225" t="str">
        <f t="shared" ref="CT445" si="6897">++IFERROR(CT444/CT402,"n/a")</f>
        <v>n/a</v>
      </c>
      <c r="CU445" s="225" t="str">
        <f t="shared" ref="CU445" si="6898">++IFERROR(CU444/CU402,"n/a")</f>
        <v>n/a</v>
      </c>
      <c r="CV445" s="225" t="str">
        <f t="shared" ref="CV445" si="6899">++IFERROR(CV444/CV402,"n/a")</f>
        <v>n/a</v>
      </c>
      <c r="CW445" s="225" t="str">
        <f t="shared" ref="CW445" si="6900">++IFERROR(CW444/CW402,"n/a")</f>
        <v>n/a</v>
      </c>
      <c r="CX445" s="225" t="str">
        <f t="shared" ref="CX445" si="6901">++IFERROR(CX444/CX402,"n/a")</f>
        <v>n/a</v>
      </c>
      <c r="CY445" s="225" t="str">
        <f t="shared" ref="CY445" si="6902">++IFERROR(CY444/CY402,"n/a")</f>
        <v>n/a</v>
      </c>
      <c r="CZ445" s="225" t="str">
        <f t="shared" ref="CZ445" si="6903">++IFERROR(CZ444/CZ402,"n/a")</f>
        <v>n/a</v>
      </c>
      <c r="DA445" s="225" t="str">
        <f t="shared" ref="DA445" si="6904">++IFERROR(DA444/DA402,"n/a")</f>
        <v>n/a</v>
      </c>
      <c r="DB445" s="225" t="str">
        <f t="shared" ref="DB445" si="6905">++IFERROR(DB444/DB402,"n/a")</f>
        <v>n/a</v>
      </c>
      <c r="DC445" s="214" t="str">
        <f t="shared" ref="DC445" si="6906">++IFERROR(DC444/DC402,"n/a")</f>
        <v>n/a</v>
      </c>
    </row>
    <row r="446" spans="3:107" x14ac:dyDescent="0.3">
      <c r="C446" s="321" t="str">
        <f>++C$54</f>
        <v>% FCF conversion</v>
      </c>
      <c r="G446" s="214" t="str">
        <f>++IFERROR((G440-G444)/G440,"n/a")</f>
        <v>n/a</v>
      </c>
      <c r="H446" s="225" t="str">
        <f t="shared" ref="H446:BS446" si="6907">++IFERROR((H440-H444)/H440,"n/a")</f>
        <v>n/a</v>
      </c>
      <c r="I446" s="225" t="str">
        <f t="shared" si="6907"/>
        <v>n/a</v>
      </c>
      <c r="J446" s="225" t="str">
        <f t="shared" si="6907"/>
        <v>n/a</v>
      </c>
      <c r="K446" s="214" t="str">
        <f t="shared" si="6907"/>
        <v>n/a</v>
      </c>
      <c r="L446" s="225" t="str">
        <f t="shared" si="6907"/>
        <v>n/a</v>
      </c>
      <c r="M446" s="225" t="str">
        <f t="shared" si="6907"/>
        <v>n/a</v>
      </c>
      <c r="N446" s="225" t="str">
        <f t="shared" si="6907"/>
        <v>n/a</v>
      </c>
      <c r="O446" s="225" t="str">
        <f t="shared" si="6907"/>
        <v>n/a</v>
      </c>
      <c r="P446" s="225" t="str">
        <f t="shared" si="6907"/>
        <v>n/a</v>
      </c>
      <c r="Q446" s="225" t="str">
        <f t="shared" si="6907"/>
        <v>n/a</v>
      </c>
      <c r="R446" s="225" t="str">
        <f t="shared" si="6907"/>
        <v>n/a</v>
      </c>
      <c r="S446" s="225" t="str">
        <f t="shared" si="6907"/>
        <v>n/a</v>
      </c>
      <c r="T446" s="225" t="str">
        <f t="shared" si="6907"/>
        <v>n/a</v>
      </c>
      <c r="U446" s="225" t="str">
        <f t="shared" si="6907"/>
        <v>n/a</v>
      </c>
      <c r="V446" s="225" t="str">
        <f t="shared" si="6907"/>
        <v>n/a</v>
      </c>
      <c r="W446" s="214" t="str">
        <f t="shared" si="6907"/>
        <v>n/a</v>
      </c>
      <c r="X446" s="225" t="str">
        <f t="shared" si="6907"/>
        <v>n/a</v>
      </c>
      <c r="Y446" s="225" t="str">
        <f t="shared" si="6907"/>
        <v>n/a</v>
      </c>
      <c r="Z446" s="225" t="str">
        <f t="shared" si="6907"/>
        <v>n/a</v>
      </c>
      <c r="AA446" s="225" t="str">
        <f t="shared" si="6907"/>
        <v>n/a</v>
      </c>
      <c r="AB446" s="225" t="str">
        <f t="shared" si="6907"/>
        <v>n/a</v>
      </c>
      <c r="AC446" s="225" t="str">
        <f t="shared" si="6907"/>
        <v>n/a</v>
      </c>
      <c r="AD446" s="225" t="str">
        <f t="shared" si="6907"/>
        <v>n/a</v>
      </c>
      <c r="AE446" s="225" t="str">
        <f t="shared" si="6907"/>
        <v>n/a</v>
      </c>
      <c r="AF446" s="225" t="str">
        <f t="shared" si="6907"/>
        <v>n/a</v>
      </c>
      <c r="AG446" s="225" t="str">
        <f t="shared" si="6907"/>
        <v>n/a</v>
      </c>
      <c r="AH446" s="225" t="str">
        <f t="shared" si="6907"/>
        <v>n/a</v>
      </c>
      <c r="AI446" s="214" t="str">
        <f t="shared" si="6907"/>
        <v>n/a</v>
      </c>
      <c r="AJ446" s="225" t="str">
        <f t="shared" si="6907"/>
        <v>n/a</v>
      </c>
      <c r="AK446" s="225" t="str">
        <f t="shared" si="6907"/>
        <v>n/a</v>
      </c>
      <c r="AL446" s="225" t="str">
        <f t="shared" si="6907"/>
        <v>n/a</v>
      </c>
      <c r="AM446" s="225" t="str">
        <f t="shared" si="6907"/>
        <v>n/a</v>
      </c>
      <c r="AN446" s="225" t="str">
        <f t="shared" si="6907"/>
        <v>n/a</v>
      </c>
      <c r="AO446" s="225" t="str">
        <f t="shared" si="6907"/>
        <v>n/a</v>
      </c>
      <c r="AP446" s="225" t="str">
        <f t="shared" si="6907"/>
        <v>n/a</v>
      </c>
      <c r="AQ446" s="225" t="str">
        <f t="shared" si="6907"/>
        <v>n/a</v>
      </c>
      <c r="AR446" s="225" t="str">
        <f t="shared" si="6907"/>
        <v>n/a</v>
      </c>
      <c r="AS446" s="225" t="str">
        <f t="shared" si="6907"/>
        <v>n/a</v>
      </c>
      <c r="AT446" s="225" t="str">
        <f t="shared" si="6907"/>
        <v>n/a</v>
      </c>
      <c r="AU446" s="214" t="str">
        <f t="shared" si="6907"/>
        <v>n/a</v>
      </c>
      <c r="AV446" s="225" t="str">
        <f t="shared" si="6907"/>
        <v>n/a</v>
      </c>
      <c r="AW446" s="225" t="str">
        <f t="shared" si="6907"/>
        <v>n/a</v>
      </c>
      <c r="AX446" s="225" t="str">
        <f t="shared" si="6907"/>
        <v>n/a</v>
      </c>
      <c r="AY446" s="225" t="str">
        <f t="shared" si="6907"/>
        <v>n/a</v>
      </c>
      <c r="AZ446" s="225" t="str">
        <f t="shared" si="6907"/>
        <v>n/a</v>
      </c>
      <c r="BA446" s="225" t="str">
        <f t="shared" si="6907"/>
        <v>n/a</v>
      </c>
      <c r="BB446" s="225" t="str">
        <f t="shared" si="6907"/>
        <v>n/a</v>
      </c>
      <c r="BC446" s="225" t="str">
        <f t="shared" si="6907"/>
        <v>n/a</v>
      </c>
      <c r="BD446" s="225" t="str">
        <f t="shared" si="6907"/>
        <v>n/a</v>
      </c>
      <c r="BE446" s="225" t="str">
        <f t="shared" si="6907"/>
        <v>n/a</v>
      </c>
      <c r="BF446" s="225" t="str">
        <f t="shared" si="6907"/>
        <v>n/a</v>
      </c>
      <c r="BG446" s="214" t="str">
        <f t="shared" si="6907"/>
        <v>n/a</v>
      </c>
      <c r="BH446" s="225" t="str">
        <f t="shared" si="6907"/>
        <v>n/a</v>
      </c>
      <c r="BI446" s="225" t="str">
        <f t="shared" si="6907"/>
        <v>n/a</v>
      </c>
      <c r="BJ446" s="225" t="str">
        <f t="shared" si="6907"/>
        <v>n/a</v>
      </c>
      <c r="BK446" s="225" t="str">
        <f t="shared" si="6907"/>
        <v>n/a</v>
      </c>
      <c r="BL446" s="225" t="str">
        <f t="shared" si="6907"/>
        <v>n/a</v>
      </c>
      <c r="BM446" s="225" t="str">
        <f t="shared" si="6907"/>
        <v>n/a</v>
      </c>
      <c r="BN446" s="225" t="str">
        <f t="shared" si="6907"/>
        <v>n/a</v>
      </c>
      <c r="BO446" s="225" t="str">
        <f t="shared" si="6907"/>
        <v>n/a</v>
      </c>
      <c r="BP446" s="225" t="str">
        <f t="shared" si="6907"/>
        <v>n/a</v>
      </c>
      <c r="BQ446" s="225" t="str">
        <f t="shared" si="6907"/>
        <v>n/a</v>
      </c>
      <c r="BR446" s="225" t="str">
        <f t="shared" si="6907"/>
        <v>n/a</v>
      </c>
      <c r="BS446" s="214" t="str">
        <f t="shared" si="6907"/>
        <v>n/a</v>
      </c>
      <c r="BT446" s="225" t="str">
        <f t="shared" ref="BT446:DC446" si="6908">++IFERROR((BT440-BT444)/BT440,"n/a")</f>
        <v>n/a</v>
      </c>
      <c r="BU446" s="225" t="str">
        <f t="shared" si="6908"/>
        <v>n/a</v>
      </c>
      <c r="BV446" s="225" t="str">
        <f t="shared" si="6908"/>
        <v>n/a</v>
      </c>
      <c r="BW446" s="225" t="str">
        <f t="shared" si="6908"/>
        <v>n/a</v>
      </c>
      <c r="BX446" s="225" t="str">
        <f t="shared" si="6908"/>
        <v>n/a</v>
      </c>
      <c r="BY446" s="225" t="str">
        <f t="shared" si="6908"/>
        <v>n/a</v>
      </c>
      <c r="BZ446" s="225" t="str">
        <f t="shared" si="6908"/>
        <v>n/a</v>
      </c>
      <c r="CA446" s="225" t="str">
        <f t="shared" si="6908"/>
        <v>n/a</v>
      </c>
      <c r="CB446" s="225" t="str">
        <f t="shared" si="6908"/>
        <v>n/a</v>
      </c>
      <c r="CC446" s="225" t="str">
        <f t="shared" si="6908"/>
        <v>n/a</v>
      </c>
      <c r="CD446" s="225" t="str">
        <f t="shared" si="6908"/>
        <v>n/a</v>
      </c>
      <c r="CE446" s="214" t="str">
        <f t="shared" si="6908"/>
        <v>n/a</v>
      </c>
      <c r="CF446" s="225" t="str">
        <f t="shared" si="6908"/>
        <v>n/a</v>
      </c>
      <c r="CG446" s="225" t="str">
        <f t="shared" si="6908"/>
        <v>n/a</v>
      </c>
      <c r="CH446" s="225" t="str">
        <f t="shared" si="6908"/>
        <v>n/a</v>
      </c>
      <c r="CI446" s="225" t="str">
        <f t="shared" si="6908"/>
        <v>n/a</v>
      </c>
      <c r="CJ446" s="225" t="str">
        <f t="shared" si="6908"/>
        <v>n/a</v>
      </c>
      <c r="CK446" s="225" t="str">
        <f t="shared" si="6908"/>
        <v>n/a</v>
      </c>
      <c r="CL446" s="225" t="str">
        <f t="shared" si="6908"/>
        <v>n/a</v>
      </c>
      <c r="CM446" s="225" t="str">
        <f t="shared" si="6908"/>
        <v>n/a</v>
      </c>
      <c r="CN446" s="225" t="str">
        <f t="shared" si="6908"/>
        <v>n/a</v>
      </c>
      <c r="CO446" s="225" t="str">
        <f t="shared" si="6908"/>
        <v>n/a</v>
      </c>
      <c r="CP446" s="225" t="str">
        <f t="shared" si="6908"/>
        <v>n/a</v>
      </c>
      <c r="CQ446" s="214" t="str">
        <f t="shared" si="6908"/>
        <v>n/a</v>
      </c>
      <c r="CR446" s="225" t="str">
        <f t="shared" si="6908"/>
        <v>n/a</v>
      </c>
      <c r="CS446" s="225" t="str">
        <f t="shared" si="6908"/>
        <v>n/a</v>
      </c>
      <c r="CT446" s="225" t="str">
        <f t="shared" si="6908"/>
        <v>n/a</v>
      </c>
      <c r="CU446" s="225" t="str">
        <f t="shared" si="6908"/>
        <v>n/a</v>
      </c>
      <c r="CV446" s="225" t="str">
        <f t="shared" si="6908"/>
        <v>n/a</v>
      </c>
      <c r="CW446" s="225" t="str">
        <f t="shared" si="6908"/>
        <v>n/a</v>
      </c>
      <c r="CX446" s="225" t="str">
        <f t="shared" si="6908"/>
        <v>n/a</v>
      </c>
      <c r="CY446" s="225" t="str">
        <f t="shared" si="6908"/>
        <v>n/a</v>
      </c>
      <c r="CZ446" s="225" t="str">
        <f t="shared" si="6908"/>
        <v>n/a</v>
      </c>
      <c r="DA446" s="225" t="str">
        <f t="shared" si="6908"/>
        <v>n/a</v>
      </c>
      <c r="DB446" s="225" t="str">
        <f t="shared" si="6908"/>
        <v>n/a</v>
      </c>
      <c r="DC446" s="214" t="str">
        <f t="shared" si="6908"/>
        <v>n/a</v>
      </c>
    </row>
    <row r="447" spans="3:107" x14ac:dyDescent="0.3">
      <c r="G447" s="203"/>
      <c r="K447" s="203"/>
      <c r="W447" s="203"/>
      <c r="AI447" s="203"/>
      <c r="AU447" s="203"/>
      <c r="BG447" s="203"/>
      <c r="BS447" s="203"/>
      <c r="CE447" s="203"/>
      <c r="CQ447" s="203"/>
      <c r="DC447" s="203"/>
    </row>
    <row r="448" spans="3:107" x14ac:dyDescent="0.3">
      <c r="G448" s="203"/>
      <c r="K448" s="203"/>
      <c r="W448" s="203"/>
      <c r="AI448" s="203"/>
      <c r="AU448" s="203"/>
      <c r="BG448" s="203"/>
      <c r="BS448" s="203"/>
      <c r="CE448" s="203"/>
      <c r="CQ448" s="203"/>
      <c r="DC448" s="203"/>
    </row>
    <row r="449" spans="1:107" x14ac:dyDescent="0.3">
      <c r="A449" s="319" t="s">
        <v>0</v>
      </c>
      <c r="B449" s="319" t="s">
        <v>0</v>
      </c>
      <c r="C449" s="166" t="s">
        <v>141</v>
      </c>
      <c r="D449" s="365"/>
      <c r="E449" s="365"/>
      <c r="F449" s="365"/>
      <c r="G449" s="365"/>
      <c r="H449" s="365"/>
      <c r="I449" s="365"/>
      <c r="J449" s="365"/>
      <c r="K449" s="365"/>
      <c r="L449" s="365"/>
      <c r="M449" s="365"/>
      <c r="N449" s="365"/>
      <c r="O449" s="365"/>
      <c r="P449" s="365"/>
      <c r="Q449" s="365"/>
      <c r="R449" s="365"/>
      <c r="S449" s="365"/>
      <c r="T449" s="365"/>
      <c r="U449" s="365"/>
      <c r="V449" s="365"/>
      <c r="W449" s="365"/>
      <c r="X449" s="365"/>
      <c r="Y449" s="365"/>
      <c r="Z449" s="365"/>
      <c r="AA449" s="365"/>
      <c r="AB449" s="365"/>
      <c r="AC449" s="365"/>
      <c r="AD449" s="365"/>
      <c r="AE449" s="365"/>
      <c r="AF449" s="365"/>
      <c r="AG449" s="365"/>
      <c r="AH449" s="365"/>
      <c r="AI449" s="365"/>
      <c r="AJ449" s="365"/>
      <c r="AK449" s="365"/>
      <c r="AL449" s="365"/>
      <c r="AM449" s="365"/>
      <c r="AN449" s="365"/>
      <c r="AO449" s="365"/>
      <c r="AP449" s="365"/>
      <c r="AQ449" s="365"/>
      <c r="AR449" s="365"/>
      <c r="AS449" s="365"/>
      <c r="AT449" s="365"/>
      <c r="AU449" s="365"/>
      <c r="AV449" s="365"/>
      <c r="AW449" s="365"/>
      <c r="AX449" s="365"/>
      <c r="AY449" s="365"/>
      <c r="AZ449" s="365"/>
      <c r="BA449" s="365"/>
      <c r="BB449" s="365"/>
      <c r="BC449" s="365"/>
      <c r="BD449" s="365"/>
      <c r="BE449" s="365"/>
      <c r="BF449" s="365"/>
      <c r="BG449" s="365"/>
      <c r="BH449" s="365"/>
      <c r="BI449" s="365"/>
      <c r="BJ449" s="365"/>
      <c r="BK449" s="365"/>
      <c r="BL449" s="365"/>
      <c r="BM449" s="365"/>
      <c r="BN449" s="365"/>
      <c r="BO449" s="365"/>
      <c r="BP449" s="365"/>
      <c r="BQ449" s="365"/>
      <c r="BR449" s="365"/>
      <c r="BS449" s="365"/>
      <c r="BT449" s="365"/>
      <c r="BU449" s="365"/>
      <c r="BV449" s="365"/>
      <c r="BW449" s="365"/>
      <c r="BX449" s="365"/>
      <c r="BY449" s="365"/>
      <c r="BZ449" s="365"/>
      <c r="CA449" s="365"/>
      <c r="CB449" s="365"/>
      <c r="CC449" s="365"/>
      <c r="CD449" s="365"/>
      <c r="CE449" s="365"/>
      <c r="CF449" s="365"/>
      <c r="CG449" s="365"/>
      <c r="CH449" s="365"/>
      <c r="CI449" s="365"/>
      <c r="CJ449" s="365"/>
      <c r="CK449" s="365"/>
      <c r="CL449" s="365"/>
      <c r="CM449" s="365"/>
      <c r="CN449" s="365"/>
      <c r="CO449" s="365"/>
      <c r="CP449" s="365"/>
      <c r="CQ449" s="365"/>
      <c r="CR449" s="365"/>
      <c r="CS449" s="365"/>
      <c r="CT449" s="365"/>
      <c r="CU449" s="365"/>
      <c r="CV449" s="365"/>
      <c r="CW449" s="365"/>
      <c r="CX449" s="365"/>
      <c r="CY449" s="365"/>
      <c r="CZ449" s="365"/>
      <c r="DA449" s="365"/>
      <c r="DB449" s="365"/>
      <c r="DC449" s="366"/>
    </row>
    <row r="450" spans="1:107" ht="5.15" customHeight="1" x14ac:dyDescent="0.3">
      <c r="G450" s="203"/>
      <c r="K450" s="203"/>
      <c r="W450" s="203"/>
      <c r="AI450" s="203"/>
      <c r="AU450" s="203"/>
      <c r="BG450" s="203"/>
      <c r="BS450" s="203"/>
      <c r="CE450" s="203"/>
      <c r="CQ450" s="203"/>
      <c r="DC450" s="203"/>
    </row>
    <row r="451" spans="1:107" x14ac:dyDescent="0.3">
      <c r="C451" s="193" t="str">
        <f>++C$10</f>
        <v>Revenue</v>
      </c>
      <c r="G451" s="400">
        <v>0</v>
      </c>
      <c r="H451" s="400">
        <v>0</v>
      </c>
      <c r="I451" s="400">
        <v>0</v>
      </c>
      <c r="J451" s="400">
        <v>0</v>
      </c>
      <c r="K451" s="400">
        <v>0</v>
      </c>
      <c r="L451" s="400">
        <v>0</v>
      </c>
      <c r="M451" s="400">
        <v>0</v>
      </c>
      <c r="N451" s="400">
        <v>0</v>
      </c>
      <c r="O451" s="400">
        <v>0</v>
      </c>
      <c r="P451" s="400">
        <v>0</v>
      </c>
      <c r="Q451" s="400">
        <v>0</v>
      </c>
      <c r="R451" s="400">
        <v>0</v>
      </c>
      <c r="S451" s="400">
        <v>0</v>
      </c>
      <c r="T451" s="400">
        <v>0</v>
      </c>
      <c r="U451" s="400">
        <v>0</v>
      </c>
      <c r="V451" s="400">
        <v>0</v>
      </c>
      <c r="W451" s="400">
        <v>0</v>
      </c>
      <c r="X451" s="400">
        <v>0</v>
      </c>
      <c r="Y451" s="400">
        <v>0</v>
      </c>
      <c r="Z451" s="400">
        <v>0</v>
      </c>
      <c r="AA451" s="400">
        <v>0</v>
      </c>
      <c r="AB451" s="400">
        <v>0</v>
      </c>
      <c r="AC451" s="400">
        <v>0</v>
      </c>
      <c r="AD451" s="400">
        <v>0</v>
      </c>
      <c r="AE451" s="400">
        <v>0</v>
      </c>
      <c r="AF451" s="400">
        <v>0</v>
      </c>
      <c r="AG451" s="400">
        <v>0</v>
      </c>
      <c r="AH451" s="400">
        <v>0</v>
      </c>
      <c r="AI451" s="400">
        <v>0</v>
      </c>
      <c r="AJ451" s="400">
        <v>0</v>
      </c>
      <c r="AK451" s="400">
        <v>0</v>
      </c>
      <c r="AL451" s="400">
        <v>0</v>
      </c>
      <c r="AM451" s="400">
        <v>0</v>
      </c>
      <c r="AN451" s="400">
        <v>0</v>
      </c>
      <c r="AO451" s="400">
        <v>0</v>
      </c>
      <c r="AP451" s="400">
        <v>0</v>
      </c>
      <c r="AQ451" s="400">
        <v>0</v>
      </c>
      <c r="AR451" s="400">
        <v>0</v>
      </c>
      <c r="AS451" s="400">
        <v>0</v>
      </c>
      <c r="AT451" s="400">
        <v>0</v>
      </c>
      <c r="AU451" s="400">
        <v>0</v>
      </c>
      <c r="AV451" s="400">
        <v>0</v>
      </c>
      <c r="AW451" s="400">
        <v>0</v>
      </c>
      <c r="AX451" s="400">
        <v>0</v>
      </c>
      <c r="AY451" s="400">
        <v>0</v>
      </c>
      <c r="AZ451" s="400">
        <v>0</v>
      </c>
      <c r="BA451" s="400">
        <v>0</v>
      </c>
      <c r="BB451" s="400">
        <v>0</v>
      </c>
      <c r="BC451" s="400">
        <v>0</v>
      </c>
      <c r="BD451" s="400">
        <v>0</v>
      </c>
      <c r="BE451" s="400">
        <v>0</v>
      </c>
      <c r="BF451" s="400">
        <v>0</v>
      </c>
      <c r="BG451" s="400">
        <v>0</v>
      </c>
      <c r="BH451" s="400">
        <v>0</v>
      </c>
      <c r="BI451" s="400">
        <v>0</v>
      </c>
      <c r="BJ451" s="400">
        <v>0</v>
      </c>
      <c r="BK451" s="400">
        <v>0</v>
      </c>
      <c r="BL451" s="400">
        <v>0</v>
      </c>
      <c r="BM451" s="400">
        <v>0</v>
      </c>
      <c r="BN451" s="400">
        <v>0</v>
      </c>
      <c r="BO451" s="400">
        <v>0</v>
      </c>
      <c r="BP451" s="400">
        <v>0</v>
      </c>
      <c r="BQ451" s="400">
        <v>0</v>
      </c>
      <c r="BR451" s="400">
        <v>0</v>
      </c>
      <c r="BS451" s="400">
        <v>0</v>
      </c>
      <c r="BT451" s="400">
        <v>0</v>
      </c>
      <c r="BU451" s="400">
        <v>0</v>
      </c>
      <c r="BV451" s="400">
        <v>0</v>
      </c>
      <c r="BW451" s="400">
        <v>0</v>
      </c>
      <c r="BX451" s="400">
        <v>0</v>
      </c>
      <c r="BY451" s="400">
        <v>0</v>
      </c>
      <c r="BZ451" s="400">
        <v>0</v>
      </c>
      <c r="CA451" s="400">
        <v>0</v>
      </c>
      <c r="CB451" s="400">
        <v>0</v>
      </c>
      <c r="CC451" s="400">
        <v>0</v>
      </c>
      <c r="CD451" s="400">
        <v>0</v>
      </c>
      <c r="CE451" s="400">
        <v>0</v>
      </c>
      <c r="CF451" s="400">
        <v>0</v>
      </c>
      <c r="CG451" s="400">
        <v>0</v>
      </c>
      <c r="CH451" s="400">
        <v>0</v>
      </c>
      <c r="CI451" s="400">
        <v>0</v>
      </c>
      <c r="CJ451" s="400">
        <v>0</v>
      </c>
      <c r="CK451" s="400">
        <v>0</v>
      </c>
      <c r="CL451" s="400">
        <v>0</v>
      </c>
      <c r="CM451" s="400">
        <v>0</v>
      </c>
      <c r="CN451" s="400">
        <v>0</v>
      </c>
      <c r="CO451" s="400">
        <v>0</v>
      </c>
      <c r="CP451" s="400">
        <v>0</v>
      </c>
      <c r="CQ451" s="400">
        <v>0</v>
      </c>
      <c r="CR451" s="400">
        <v>0</v>
      </c>
      <c r="CS451" s="400">
        <v>0</v>
      </c>
      <c r="CT451" s="400">
        <v>0</v>
      </c>
      <c r="CU451" s="400">
        <v>0</v>
      </c>
      <c r="CV451" s="400">
        <v>0</v>
      </c>
      <c r="CW451" s="400">
        <v>0</v>
      </c>
      <c r="CX451" s="400">
        <v>0</v>
      </c>
      <c r="CY451" s="400">
        <v>0</v>
      </c>
      <c r="CZ451" s="400">
        <v>0</v>
      </c>
      <c r="DA451" s="400">
        <v>0</v>
      </c>
      <c r="DB451" s="400">
        <v>0</v>
      </c>
      <c r="DC451" s="400">
        <v>0</v>
      </c>
    </row>
    <row r="452" spans="1:107" x14ac:dyDescent="0.3">
      <c r="C452" s="321" t="str">
        <f>++C$11</f>
        <v>% y/y</v>
      </c>
      <c r="G452" s="122" t="s">
        <v>47</v>
      </c>
      <c r="H452" s="122" t="s">
        <v>47</v>
      </c>
      <c r="I452" s="122" t="s">
        <v>47</v>
      </c>
      <c r="J452" s="122" t="s">
        <v>47</v>
      </c>
      <c r="K452" s="214" t="str">
        <f>++IFERROR(K451/G206-1,"n/a")</f>
        <v>n/a</v>
      </c>
      <c r="L452" s="122" t="s">
        <v>47</v>
      </c>
      <c r="M452" s="122" t="s">
        <v>47</v>
      </c>
      <c r="N452" s="225" t="str">
        <f>++IFERROR(N451/H206-1,"n/a")</f>
        <v>n/a</v>
      </c>
      <c r="O452" s="122" t="s">
        <v>47</v>
      </c>
      <c r="P452" s="122" t="s">
        <v>47</v>
      </c>
      <c r="Q452" s="225" t="str">
        <f>++IFERROR(Q451/I206-1,"n/a")</f>
        <v>n/a</v>
      </c>
      <c r="R452" s="122" t="s">
        <v>47</v>
      </c>
      <c r="S452" s="122" t="s">
        <v>47</v>
      </c>
      <c r="T452" s="225" t="str">
        <f>++IFERROR(T451/J206-1,"n/a")</f>
        <v>n/a</v>
      </c>
      <c r="U452" s="122" t="s">
        <v>47</v>
      </c>
      <c r="V452" s="122" t="s">
        <v>47</v>
      </c>
      <c r="W452" s="214" t="str">
        <f t="shared" ref="W452:BB452" si="6909">++IFERROR(W451/K206-1,"n/a")</f>
        <v>n/a</v>
      </c>
      <c r="X452" s="225" t="str">
        <f t="shared" si="6909"/>
        <v>n/a</v>
      </c>
      <c r="Y452" s="225" t="str">
        <f t="shared" si="6909"/>
        <v>n/a</v>
      </c>
      <c r="Z452" s="225" t="str">
        <f t="shared" si="6909"/>
        <v>n/a</v>
      </c>
      <c r="AA452" s="225" t="str">
        <f t="shared" si="6909"/>
        <v>n/a</v>
      </c>
      <c r="AB452" s="225" t="str">
        <f t="shared" si="6909"/>
        <v>n/a</v>
      </c>
      <c r="AC452" s="225" t="str">
        <f t="shared" si="6909"/>
        <v>n/a</v>
      </c>
      <c r="AD452" s="225" t="str">
        <f t="shared" si="6909"/>
        <v>n/a</v>
      </c>
      <c r="AE452" s="225" t="str">
        <f t="shared" si="6909"/>
        <v>n/a</v>
      </c>
      <c r="AF452" s="225" t="str">
        <f t="shared" si="6909"/>
        <v>n/a</v>
      </c>
      <c r="AG452" s="225" t="str">
        <f t="shared" si="6909"/>
        <v>n/a</v>
      </c>
      <c r="AH452" s="225" t="str">
        <f t="shared" si="6909"/>
        <v>n/a</v>
      </c>
      <c r="AI452" s="214" t="str">
        <f t="shared" si="6909"/>
        <v>n/a</v>
      </c>
      <c r="AJ452" s="225" t="str">
        <f t="shared" si="6909"/>
        <v>n/a</v>
      </c>
      <c r="AK452" s="225" t="str">
        <f t="shared" si="6909"/>
        <v>n/a</v>
      </c>
      <c r="AL452" s="225" t="str">
        <f t="shared" si="6909"/>
        <v>n/a</v>
      </c>
      <c r="AM452" s="225" t="str">
        <f t="shared" si="6909"/>
        <v>n/a</v>
      </c>
      <c r="AN452" s="225" t="str">
        <f t="shared" si="6909"/>
        <v>n/a</v>
      </c>
      <c r="AO452" s="225" t="str">
        <f t="shared" si="6909"/>
        <v>n/a</v>
      </c>
      <c r="AP452" s="225" t="str">
        <f t="shared" si="6909"/>
        <v>n/a</v>
      </c>
      <c r="AQ452" s="225" t="str">
        <f t="shared" si="6909"/>
        <v>n/a</v>
      </c>
      <c r="AR452" s="225" t="str">
        <f t="shared" si="6909"/>
        <v>n/a</v>
      </c>
      <c r="AS452" s="225" t="str">
        <f t="shared" si="6909"/>
        <v>n/a</v>
      </c>
      <c r="AT452" s="225" t="str">
        <f t="shared" si="6909"/>
        <v>n/a</v>
      </c>
      <c r="AU452" s="214" t="str">
        <f t="shared" si="6909"/>
        <v>n/a</v>
      </c>
      <c r="AV452" s="225" t="str">
        <f t="shared" si="6909"/>
        <v>n/a</v>
      </c>
      <c r="AW452" s="225" t="str">
        <f t="shared" si="6909"/>
        <v>n/a</v>
      </c>
      <c r="AX452" s="225" t="str">
        <f t="shared" si="6909"/>
        <v>n/a</v>
      </c>
      <c r="AY452" s="225" t="str">
        <f t="shared" si="6909"/>
        <v>n/a</v>
      </c>
      <c r="AZ452" s="225" t="str">
        <f t="shared" si="6909"/>
        <v>n/a</v>
      </c>
      <c r="BA452" s="225" t="str">
        <f t="shared" si="6909"/>
        <v>n/a</v>
      </c>
      <c r="BB452" s="225" t="str">
        <f t="shared" si="6909"/>
        <v>n/a</v>
      </c>
      <c r="BC452" s="225" t="str">
        <f t="shared" ref="BC452:CH452" si="6910">++IFERROR(BC451/AQ206-1,"n/a")</f>
        <v>n/a</v>
      </c>
      <c r="BD452" s="225" t="str">
        <f t="shared" si="6910"/>
        <v>n/a</v>
      </c>
      <c r="BE452" s="225" t="str">
        <f t="shared" si="6910"/>
        <v>n/a</v>
      </c>
      <c r="BF452" s="225" t="str">
        <f t="shared" si="6910"/>
        <v>n/a</v>
      </c>
      <c r="BG452" s="214" t="str">
        <f t="shared" si="6910"/>
        <v>n/a</v>
      </c>
      <c r="BH452" s="225" t="str">
        <f t="shared" si="6910"/>
        <v>n/a</v>
      </c>
      <c r="BI452" s="225" t="str">
        <f t="shared" si="6910"/>
        <v>n/a</v>
      </c>
      <c r="BJ452" s="225" t="str">
        <f t="shared" si="6910"/>
        <v>n/a</v>
      </c>
      <c r="BK452" s="225" t="str">
        <f t="shared" si="6910"/>
        <v>n/a</v>
      </c>
      <c r="BL452" s="225" t="str">
        <f t="shared" si="6910"/>
        <v>n/a</v>
      </c>
      <c r="BM452" s="225" t="str">
        <f t="shared" si="6910"/>
        <v>n/a</v>
      </c>
      <c r="BN452" s="225" t="str">
        <f t="shared" si="6910"/>
        <v>n/a</v>
      </c>
      <c r="BO452" s="225" t="str">
        <f t="shared" si="6910"/>
        <v>n/a</v>
      </c>
      <c r="BP452" s="225" t="str">
        <f t="shared" si="6910"/>
        <v>n/a</v>
      </c>
      <c r="BQ452" s="225" t="str">
        <f t="shared" si="6910"/>
        <v>n/a</v>
      </c>
      <c r="BR452" s="225" t="str">
        <f t="shared" si="6910"/>
        <v>n/a</v>
      </c>
      <c r="BS452" s="214" t="str">
        <f t="shared" si="6910"/>
        <v>n/a</v>
      </c>
      <c r="BT452" s="225" t="str">
        <f t="shared" si="6910"/>
        <v>n/a</v>
      </c>
      <c r="BU452" s="225" t="str">
        <f t="shared" si="6910"/>
        <v>n/a</v>
      </c>
      <c r="BV452" s="225" t="str">
        <f t="shared" si="6910"/>
        <v>n/a</v>
      </c>
      <c r="BW452" s="225" t="str">
        <f t="shared" si="6910"/>
        <v>n/a</v>
      </c>
      <c r="BX452" s="225" t="str">
        <f t="shared" si="6910"/>
        <v>n/a</v>
      </c>
      <c r="BY452" s="225" t="str">
        <f t="shared" si="6910"/>
        <v>n/a</v>
      </c>
      <c r="BZ452" s="225" t="str">
        <f t="shared" si="6910"/>
        <v>n/a</v>
      </c>
      <c r="CA452" s="225" t="str">
        <f t="shared" si="6910"/>
        <v>n/a</v>
      </c>
      <c r="CB452" s="225" t="str">
        <f t="shared" si="6910"/>
        <v>n/a</v>
      </c>
      <c r="CC452" s="225" t="str">
        <f t="shared" si="6910"/>
        <v>n/a</v>
      </c>
      <c r="CD452" s="225" t="str">
        <f t="shared" si="6910"/>
        <v>n/a</v>
      </c>
      <c r="CE452" s="214" t="str">
        <f t="shared" si="6910"/>
        <v>n/a</v>
      </c>
      <c r="CF452" s="225" t="str">
        <f t="shared" si="6910"/>
        <v>n/a</v>
      </c>
      <c r="CG452" s="225" t="str">
        <f t="shared" si="6910"/>
        <v>n/a</v>
      </c>
      <c r="CH452" s="225" t="str">
        <f t="shared" si="6910"/>
        <v>n/a</v>
      </c>
      <c r="CI452" s="225" t="str">
        <f t="shared" ref="CI452:DN452" si="6911">++IFERROR(CI451/BW206-1,"n/a")</f>
        <v>n/a</v>
      </c>
      <c r="CJ452" s="225" t="str">
        <f t="shared" si="6911"/>
        <v>n/a</v>
      </c>
      <c r="CK452" s="225" t="str">
        <f t="shared" si="6911"/>
        <v>n/a</v>
      </c>
      <c r="CL452" s="225" t="str">
        <f t="shared" si="6911"/>
        <v>n/a</v>
      </c>
      <c r="CM452" s="225" t="str">
        <f t="shared" si="6911"/>
        <v>n/a</v>
      </c>
      <c r="CN452" s="225" t="str">
        <f t="shared" si="6911"/>
        <v>n/a</v>
      </c>
      <c r="CO452" s="225" t="str">
        <f t="shared" si="6911"/>
        <v>n/a</v>
      </c>
      <c r="CP452" s="225" t="str">
        <f t="shared" si="6911"/>
        <v>n/a</v>
      </c>
      <c r="CQ452" s="214" t="str">
        <f t="shared" si="6911"/>
        <v>n/a</v>
      </c>
      <c r="CR452" s="225" t="str">
        <f t="shared" si="6911"/>
        <v>n/a</v>
      </c>
      <c r="CS452" s="225" t="str">
        <f t="shared" si="6911"/>
        <v>n/a</v>
      </c>
      <c r="CT452" s="225" t="str">
        <f t="shared" si="6911"/>
        <v>n/a</v>
      </c>
      <c r="CU452" s="225" t="str">
        <f t="shared" si="6911"/>
        <v>n/a</v>
      </c>
      <c r="CV452" s="225" t="str">
        <f t="shared" si="6911"/>
        <v>n/a</v>
      </c>
      <c r="CW452" s="225" t="str">
        <f t="shared" si="6911"/>
        <v>n/a</v>
      </c>
      <c r="CX452" s="225" t="str">
        <f t="shared" si="6911"/>
        <v>n/a</v>
      </c>
      <c r="CY452" s="225" t="str">
        <f t="shared" si="6911"/>
        <v>n/a</v>
      </c>
      <c r="CZ452" s="225" t="str">
        <f t="shared" si="6911"/>
        <v>n/a</v>
      </c>
      <c r="DA452" s="225" t="str">
        <f t="shared" si="6911"/>
        <v>n/a</v>
      </c>
      <c r="DB452" s="225" t="str">
        <f t="shared" si="6911"/>
        <v>n/a</v>
      </c>
      <c r="DC452" s="214" t="str">
        <f t="shared" si="6911"/>
        <v>n/a</v>
      </c>
    </row>
    <row r="453" spans="1:107" x14ac:dyDescent="0.3">
      <c r="G453" s="203"/>
      <c r="K453" s="203"/>
      <c r="W453" s="203"/>
      <c r="AI453" s="203"/>
      <c r="AU453" s="203"/>
      <c r="BG453" s="203"/>
      <c r="BS453" s="203"/>
      <c r="CE453" s="203"/>
      <c r="CQ453" s="203"/>
      <c r="DC453" s="203"/>
    </row>
    <row r="454" spans="1:107" x14ac:dyDescent="0.3">
      <c r="C454" s="193" t="str">
        <f>++C$13</f>
        <v>Gross Profit</v>
      </c>
      <c r="G454" s="400">
        <v>0</v>
      </c>
      <c r="H454" s="400">
        <v>0</v>
      </c>
      <c r="I454" s="400">
        <v>0</v>
      </c>
      <c r="J454" s="400">
        <v>0</v>
      </c>
      <c r="K454" s="400">
        <v>0</v>
      </c>
      <c r="L454" s="400">
        <v>0</v>
      </c>
      <c r="M454" s="400">
        <v>0</v>
      </c>
      <c r="N454" s="400">
        <v>0</v>
      </c>
      <c r="O454" s="400">
        <v>0</v>
      </c>
      <c r="P454" s="400">
        <v>0</v>
      </c>
      <c r="Q454" s="400">
        <v>0</v>
      </c>
      <c r="R454" s="400">
        <v>0</v>
      </c>
      <c r="S454" s="400">
        <v>0</v>
      </c>
      <c r="T454" s="400">
        <v>0</v>
      </c>
      <c r="U454" s="400">
        <v>0</v>
      </c>
      <c r="V454" s="400">
        <v>0</v>
      </c>
      <c r="W454" s="400">
        <v>0</v>
      </c>
      <c r="X454" s="400">
        <v>0</v>
      </c>
      <c r="Y454" s="400">
        <v>0</v>
      </c>
      <c r="Z454" s="400">
        <v>0</v>
      </c>
      <c r="AA454" s="400">
        <v>0</v>
      </c>
      <c r="AB454" s="400">
        <v>0</v>
      </c>
      <c r="AC454" s="400">
        <v>0</v>
      </c>
      <c r="AD454" s="400">
        <v>0</v>
      </c>
      <c r="AE454" s="400">
        <v>0</v>
      </c>
      <c r="AF454" s="400">
        <v>0</v>
      </c>
      <c r="AG454" s="400">
        <v>0</v>
      </c>
      <c r="AH454" s="400">
        <v>0</v>
      </c>
      <c r="AI454" s="400">
        <v>0</v>
      </c>
      <c r="AJ454" s="400">
        <v>0</v>
      </c>
      <c r="AK454" s="400">
        <v>0</v>
      </c>
      <c r="AL454" s="400">
        <v>0</v>
      </c>
      <c r="AM454" s="400">
        <v>0</v>
      </c>
      <c r="AN454" s="400">
        <v>0</v>
      </c>
      <c r="AO454" s="400">
        <v>0</v>
      </c>
      <c r="AP454" s="400">
        <v>0</v>
      </c>
      <c r="AQ454" s="400">
        <v>0</v>
      </c>
      <c r="AR454" s="400">
        <v>0</v>
      </c>
      <c r="AS454" s="400">
        <v>0</v>
      </c>
      <c r="AT454" s="400">
        <v>0</v>
      </c>
      <c r="AU454" s="400">
        <v>0</v>
      </c>
      <c r="AV454" s="400">
        <v>0</v>
      </c>
      <c r="AW454" s="400">
        <v>0</v>
      </c>
      <c r="AX454" s="400">
        <v>0</v>
      </c>
      <c r="AY454" s="400">
        <v>0</v>
      </c>
      <c r="AZ454" s="400">
        <v>0</v>
      </c>
      <c r="BA454" s="400">
        <v>0</v>
      </c>
      <c r="BB454" s="400">
        <v>0</v>
      </c>
      <c r="BC454" s="400">
        <v>0</v>
      </c>
      <c r="BD454" s="400">
        <v>0</v>
      </c>
      <c r="BE454" s="400">
        <v>0</v>
      </c>
      <c r="BF454" s="400">
        <v>0</v>
      </c>
      <c r="BG454" s="400">
        <v>0</v>
      </c>
      <c r="BH454" s="400">
        <v>0</v>
      </c>
      <c r="BI454" s="400">
        <v>0</v>
      </c>
      <c r="BJ454" s="400">
        <v>0</v>
      </c>
      <c r="BK454" s="400">
        <v>0</v>
      </c>
      <c r="BL454" s="400">
        <v>0</v>
      </c>
      <c r="BM454" s="400">
        <v>0</v>
      </c>
      <c r="BN454" s="400">
        <v>0</v>
      </c>
      <c r="BO454" s="400">
        <v>0</v>
      </c>
      <c r="BP454" s="400">
        <v>0</v>
      </c>
      <c r="BQ454" s="400">
        <v>0</v>
      </c>
      <c r="BR454" s="400">
        <v>0</v>
      </c>
      <c r="BS454" s="400">
        <v>0</v>
      </c>
      <c r="BT454" s="400">
        <v>0</v>
      </c>
      <c r="BU454" s="400">
        <v>0</v>
      </c>
      <c r="BV454" s="400">
        <v>0</v>
      </c>
      <c r="BW454" s="400">
        <v>0</v>
      </c>
      <c r="BX454" s="400">
        <v>0</v>
      </c>
      <c r="BY454" s="400">
        <v>0</v>
      </c>
      <c r="BZ454" s="400">
        <v>0</v>
      </c>
      <c r="CA454" s="400">
        <v>0</v>
      </c>
      <c r="CB454" s="400">
        <v>0</v>
      </c>
      <c r="CC454" s="400">
        <v>0</v>
      </c>
      <c r="CD454" s="400">
        <v>0</v>
      </c>
      <c r="CE454" s="400">
        <v>0</v>
      </c>
      <c r="CF454" s="400">
        <v>0</v>
      </c>
      <c r="CG454" s="400">
        <v>0</v>
      </c>
      <c r="CH454" s="400">
        <v>0</v>
      </c>
      <c r="CI454" s="400">
        <v>0</v>
      </c>
      <c r="CJ454" s="400">
        <v>0</v>
      </c>
      <c r="CK454" s="400">
        <v>0</v>
      </c>
      <c r="CL454" s="400">
        <v>0</v>
      </c>
      <c r="CM454" s="400">
        <v>0</v>
      </c>
      <c r="CN454" s="400">
        <v>0</v>
      </c>
      <c r="CO454" s="400">
        <v>0</v>
      </c>
      <c r="CP454" s="400">
        <v>0</v>
      </c>
      <c r="CQ454" s="400">
        <v>0</v>
      </c>
      <c r="CR454" s="400">
        <v>0</v>
      </c>
      <c r="CS454" s="400">
        <v>0</v>
      </c>
      <c r="CT454" s="400">
        <v>0</v>
      </c>
      <c r="CU454" s="400">
        <v>0</v>
      </c>
      <c r="CV454" s="400">
        <v>0</v>
      </c>
      <c r="CW454" s="400">
        <v>0</v>
      </c>
      <c r="CX454" s="400">
        <v>0</v>
      </c>
      <c r="CY454" s="400">
        <v>0</v>
      </c>
      <c r="CZ454" s="400">
        <v>0</v>
      </c>
      <c r="DA454" s="400">
        <v>0</v>
      </c>
      <c r="DB454" s="400">
        <v>0</v>
      </c>
      <c r="DC454" s="400">
        <v>0</v>
      </c>
    </row>
    <row r="455" spans="1:107" x14ac:dyDescent="0.3">
      <c r="C455" s="321" t="str">
        <f>++C$14</f>
        <v>% margin</v>
      </c>
      <c r="G455" s="214" t="str">
        <f t="shared" ref="G455:AL455" si="6912">++IFERROR(G454/G451,"n/a")</f>
        <v>n/a</v>
      </c>
      <c r="H455" s="225" t="str">
        <f t="shared" si="6912"/>
        <v>n/a</v>
      </c>
      <c r="I455" s="225" t="str">
        <f t="shared" si="6912"/>
        <v>n/a</v>
      </c>
      <c r="J455" s="225" t="str">
        <f t="shared" si="6912"/>
        <v>n/a</v>
      </c>
      <c r="K455" s="214" t="str">
        <f t="shared" si="6912"/>
        <v>n/a</v>
      </c>
      <c r="L455" s="225" t="str">
        <f t="shared" si="6912"/>
        <v>n/a</v>
      </c>
      <c r="M455" s="225" t="str">
        <f t="shared" si="6912"/>
        <v>n/a</v>
      </c>
      <c r="N455" s="225" t="str">
        <f t="shared" si="6912"/>
        <v>n/a</v>
      </c>
      <c r="O455" s="225" t="str">
        <f t="shared" si="6912"/>
        <v>n/a</v>
      </c>
      <c r="P455" s="225" t="str">
        <f t="shared" si="6912"/>
        <v>n/a</v>
      </c>
      <c r="Q455" s="225" t="str">
        <f t="shared" si="6912"/>
        <v>n/a</v>
      </c>
      <c r="R455" s="225" t="str">
        <f t="shared" si="6912"/>
        <v>n/a</v>
      </c>
      <c r="S455" s="225" t="str">
        <f t="shared" si="6912"/>
        <v>n/a</v>
      </c>
      <c r="T455" s="225" t="str">
        <f t="shared" si="6912"/>
        <v>n/a</v>
      </c>
      <c r="U455" s="225" t="str">
        <f t="shared" si="6912"/>
        <v>n/a</v>
      </c>
      <c r="V455" s="225" t="str">
        <f t="shared" si="6912"/>
        <v>n/a</v>
      </c>
      <c r="W455" s="214" t="str">
        <f t="shared" si="6912"/>
        <v>n/a</v>
      </c>
      <c r="X455" s="225" t="str">
        <f t="shared" si="6912"/>
        <v>n/a</v>
      </c>
      <c r="Y455" s="225" t="str">
        <f t="shared" si="6912"/>
        <v>n/a</v>
      </c>
      <c r="Z455" s="225" t="str">
        <f t="shared" si="6912"/>
        <v>n/a</v>
      </c>
      <c r="AA455" s="225" t="str">
        <f t="shared" si="6912"/>
        <v>n/a</v>
      </c>
      <c r="AB455" s="225" t="str">
        <f t="shared" si="6912"/>
        <v>n/a</v>
      </c>
      <c r="AC455" s="225" t="str">
        <f t="shared" si="6912"/>
        <v>n/a</v>
      </c>
      <c r="AD455" s="225" t="str">
        <f t="shared" si="6912"/>
        <v>n/a</v>
      </c>
      <c r="AE455" s="225" t="str">
        <f t="shared" si="6912"/>
        <v>n/a</v>
      </c>
      <c r="AF455" s="225" t="str">
        <f t="shared" si="6912"/>
        <v>n/a</v>
      </c>
      <c r="AG455" s="225" t="str">
        <f t="shared" si="6912"/>
        <v>n/a</v>
      </c>
      <c r="AH455" s="225" t="str">
        <f t="shared" si="6912"/>
        <v>n/a</v>
      </c>
      <c r="AI455" s="214" t="str">
        <f t="shared" si="6912"/>
        <v>n/a</v>
      </c>
      <c r="AJ455" s="225" t="str">
        <f t="shared" si="6912"/>
        <v>n/a</v>
      </c>
      <c r="AK455" s="225" t="str">
        <f t="shared" si="6912"/>
        <v>n/a</v>
      </c>
      <c r="AL455" s="225" t="str">
        <f t="shared" si="6912"/>
        <v>n/a</v>
      </c>
      <c r="AM455" s="225" t="str">
        <f t="shared" ref="AM455:BR455" si="6913">++IFERROR(AM454/AM451,"n/a")</f>
        <v>n/a</v>
      </c>
      <c r="AN455" s="225" t="str">
        <f t="shared" si="6913"/>
        <v>n/a</v>
      </c>
      <c r="AO455" s="225" t="str">
        <f t="shared" si="6913"/>
        <v>n/a</v>
      </c>
      <c r="AP455" s="225" t="str">
        <f t="shared" si="6913"/>
        <v>n/a</v>
      </c>
      <c r="AQ455" s="225" t="str">
        <f t="shared" si="6913"/>
        <v>n/a</v>
      </c>
      <c r="AR455" s="225" t="str">
        <f t="shared" si="6913"/>
        <v>n/a</v>
      </c>
      <c r="AS455" s="225" t="str">
        <f t="shared" si="6913"/>
        <v>n/a</v>
      </c>
      <c r="AT455" s="225" t="str">
        <f t="shared" si="6913"/>
        <v>n/a</v>
      </c>
      <c r="AU455" s="214" t="str">
        <f t="shared" si="6913"/>
        <v>n/a</v>
      </c>
      <c r="AV455" s="225" t="str">
        <f t="shared" si="6913"/>
        <v>n/a</v>
      </c>
      <c r="AW455" s="225" t="str">
        <f t="shared" si="6913"/>
        <v>n/a</v>
      </c>
      <c r="AX455" s="225" t="str">
        <f t="shared" si="6913"/>
        <v>n/a</v>
      </c>
      <c r="AY455" s="225" t="str">
        <f t="shared" si="6913"/>
        <v>n/a</v>
      </c>
      <c r="AZ455" s="225" t="str">
        <f t="shared" si="6913"/>
        <v>n/a</v>
      </c>
      <c r="BA455" s="225" t="str">
        <f t="shared" si="6913"/>
        <v>n/a</v>
      </c>
      <c r="BB455" s="225" t="str">
        <f t="shared" si="6913"/>
        <v>n/a</v>
      </c>
      <c r="BC455" s="225" t="str">
        <f t="shared" si="6913"/>
        <v>n/a</v>
      </c>
      <c r="BD455" s="225" t="str">
        <f t="shared" si="6913"/>
        <v>n/a</v>
      </c>
      <c r="BE455" s="225" t="str">
        <f t="shared" si="6913"/>
        <v>n/a</v>
      </c>
      <c r="BF455" s="225" t="str">
        <f t="shared" si="6913"/>
        <v>n/a</v>
      </c>
      <c r="BG455" s="214" t="str">
        <f t="shared" si="6913"/>
        <v>n/a</v>
      </c>
      <c r="BH455" s="225" t="str">
        <f t="shared" si="6913"/>
        <v>n/a</v>
      </c>
      <c r="BI455" s="225" t="str">
        <f t="shared" si="6913"/>
        <v>n/a</v>
      </c>
      <c r="BJ455" s="225" t="str">
        <f t="shared" si="6913"/>
        <v>n/a</v>
      </c>
      <c r="BK455" s="225" t="str">
        <f t="shared" si="6913"/>
        <v>n/a</v>
      </c>
      <c r="BL455" s="225" t="str">
        <f t="shared" si="6913"/>
        <v>n/a</v>
      </c>
      <c r="BM455" s="225" t="str">
        <f t="shared" si="6913"/>
        <v>n/a</v>
      </c>
      <c r="BN455" s="225" t="str">
        <f t="shared" si="6913"/>
        <v>n/a</v>
      </c>
      <c r="BO455" s="225" t="str">
        <f t="shared" si="6913"/>
        <v>n/a</v>
      </c>
      <c r="BP455" s="225" t="str">
        <f t="shared" si="6913"/>
        <v>n/a</v>
      </c>
      <c r="BQ455" s="225" t="str">
        <f t="shared" si="6913"/>
        <v>n/a</v>
      </c>
      <c r="BR455" s="225" t="str">
        <f t="shared" si="6913"/>
        <v>n/a</v>
      </c>
      <c r="BS455" s="214" t="str">
        <f t="shared" ref="BS455:CX455" si="6914">++IFERROR(BS454/BS451,"n/a")</f>
        <v>n/a</v>
      </c>
      <c r="BT455" s="225" t="str">
        <f t="shared" si="6914"/>
        <v>n/a</v>
      </c>
      <c r="BU455" s="225" t="str">
        <f t="shared" si="6914"/>
        <v>n/a</v>
      </c>
      <c r="BV455" s="225" t="str">
        <f t="shared" si="6914"/>
        <v>n/a</v>
      </c>
      <c r="BW455" s="225" t="str">
        <f t="shared" si="6914"/>
        <v>n/a</v>
      </c>
      <c r="BX455" s="225" t="str">
        <f t="shared" si="6914"/>
        <v>n/a</v>
      </c>
      <c r="BY455" s="225" t="str">
        <f t="shared" si="6914"/>
        <v>n/a</v>
      </c>
      <c r="BZ455" s="225" t="str">
        <f t="shared" si="6914"/>
        <v>n/a</v>
      </c>
      <c r="CA455" s="225" t="str">
        <f t="shared" si="6914"/>
        <v>n/a</v>
      </c>
      <c r="CB455" s="225" t="str">
        <f t="shared" si="6914"/>
        <v>n/a</v>
      </c>
      <c r="CC455" s="225" t="str">
        <f t="shared" si="6914"/>
        <v>n/a</v>
      </c>
      <c r="CD455" s="225" t="str">
        <f t="shared" si="6914"/>
        <v>n/a</v>
      </c>
      <c r="CE455" s="214" t="str">
        <f t="shared" si="6914"/>
        <v>n/a</v>
      </c>
      <c r="CF455" s="225" t="str">
        <f t="shared" si="6914"/>
        <v>n/a</v>
      </c>
      <c r="CG455" s="225" t="str">
        <f t="shared" si="6914"/>
        <v>n/a</v>
      </c>
      <c r="CH455" s="225" t="str">
        <f t="shared" si="6914"/>
        <v>n/a</v>
      </c>
      <c r="CI455" s="225" t="str">
        <f t="shared" si="6914"/>
        <v>n/a</v>
      </c>
      <c r="CJ455" s="225" t="str">
        <f t="shared" si="6914"/>
        <v>n/a</v>
      </c>
      <c r="CK455" s="225" t="str">
        <f t="shared" si="6914"/>
        <v>n/a</v>
      </c>
      <c r="CL455" s="225" t="str">
        <f t="shared" si="6914"/>
        <v>n/a</v>
      </c>
      <c r="CM455" s="225" t="str">
        <f t="shared" si="6914"/>
        <v>n/a</v>
      </c>
      <c r="CN455" s="225" t="str">
        <f t="shared" si="6914"/>
        <v>n/a</v>
      </c>
      <c r="CO455" s="225" t="str">
        <f t="shared" si="6914"/>
        <v>n/a</v>
      </c>
      <c r="CP455" s="225" t="str">
        <f t="shared" si="6914"/>
        <v>n/a</v>
      </c>
      <c r="CQ455" s="214" t="str">
        <f t="shared" si="6914"/>
        <v>n/a</v>
      </c>
      <c r="CR455" s="225" t="str">
        <f t="shared" si="6914"/>
        <v>n/a</v>
      </c>
      <c r="CS455" s="225" t="str">
        <f t="shared" si="6914"/>
        <v>n/a</v>
      </c>
      <c r="CT455" s="225" t="str">
        <f t="shared" si="6914"/>
        <v>n/a</v>
      </c>
      <c r="CU455" s="225" t="str">
        <f t="shared" si="6914"/>
        <v>n/a</v>
      </c>
      <c r="CV455" s="225" t="str">
        <f t="shared" si="6914"/>
        <v>n/a</v>
      </c>
      <c r="CW455" s="225" t="str">
        <f t="shared" si="6914"/>
        <v>n/a</v>
      </c>
      <c r="CX455" s="225" t="str">
        <f t="shared" si="6914"/>
        <v>n/a</v>
      </c>
      <c r="CY455" s="225" t="str">
        <f t="shared" ref="CY455:ED455" si="6915">++IFERROR(CY454/CY451,"n/a")</f>
        <v>n/a</v>
      </c>
      <c r="CZ455" s="225" t="str">
        <f t="shared" si="6915"/>
        <v>n/a</v>
      </c>
      <c r="DA455" s="225" t="str">
        <f t="shared" si="6915"/>
        <v>n/a</v>
      </c>
      <c r="DB455" s="225" t="str">
        <f t="shared" si="6915"/>
        <v>n/a</v>
      </c>
      <c r="DC455" s="214" t="str">
        <f t="shared" si="6915"/>
        <v>n/a</v>
      </c>
    </row>
    <row r="456" spans="1:107" x14ac:dyDescent="0.3">
      <c r="C456" s="321" t="str">
        <f>++C$15</f>
        <v>% y/y</v>
      </c>
      <c r="G456" s="122" t="s">
        <v>47</v>
      </c>
      <c r="H456" s="122" t="s">
        <v>47</v>
      </c>
      <c r="I456" s="122" t="s">
        <v>47</v>
      </c>
      <c r="J456" s="122" t="s">
        <v>47</v>
      </c>
      <c r="K456" s="214" t="str">
        <f>++IFERROR(K454/G209-1,"n/a")</f>
        <v>n/a</v>
      </c>
      <c r="L456" s="122" t="s">
        <v>47</v>
      </c>
      <c r="M456" s="122" t="s">
        <v>47</v>
      </c>
      <c r="N456" s="225" t="str">
        <f>++IFERROR(N454/H209-1,"n/a")</f>
        <v>n/a</v>
      </c>
      <c r="O456" s="122" t="s">
        <v>47</v>
      </c>
      <c r="P456" s="122" t="s">
        <v>47</v>
      </c>
      <c r="Q456" s="225" t="str">
        <f>++IFERROR(Q454/I209-1,"n/a")</f>
        <v>n/a</v>
      </c>
      <c r="R456" s="122" t="s">
        <v>47</v>
      </c>
      <c r="S456" s="122" t="s">
        <v>47</v>
      </c>
      <c r="T456" s="225" t="str">
        <f>++IFERROR(T454/J209-1,"n/a")</f>
        <v>n/a</v>
      </c>
      <c r="U456" s="122" t="s">
        <v>47</v>
      </c>
      <c r="V456" s="122" t="s">
        <v>47</v>
      </c>
      <c r="W456" s="214" t="str">
        <f t="shared" ref="W456:BB456" si="6916">++IFERROR(W454/K209-1,"n/a")</f>
        <v>n/a</v>
      </c>
      <c r="X456" s="225" t="str">
        <f t="shared" si="6916"/>
        <v>n/a</v>
      </c>
      <c r="Y456" s="225" t="str">
        <f t="shared" si="6916"/>
        <v>n/a</v>
      </c>
      <c r="Z456" s="225" t="str">
        <f t="shared" si="6916"/>
        <v>n/a</v>
      </c>
      <c r="AA456" s="225" t="str">
        <f t="shared" si="6916"/>
        <v>n/a</v>
      </c>
      <c r="AB456" s="225" t="str">
        <f t="shared" si="6916"/>
        <v>n/a</v>
      </c>
      <c r="AC456" s="225" t="str">
        <f t="shared" si="6916"/>
        <v>n/a</v>
      </c>
      <c r="AD456" s="225" t="str">
        <f t="shared" si="6916"/>
        <v>n/a</v>
      </c>
      <c r="AE456" s="225" t="str">
        <f t="shared" si="6916"/>
        <v>n/a</v>
      </c>
      <c r="AF456" s="225" t="str">
        <f t="shared" si="6916"/>
        <v>n/a</v>
      </c>
      <c r="AG456" s="225" t="str">
        <f t="shared" si="6916"/>
        <v>n/a</v>
      </c>
      <c r="AH456" s="225" t="str">
        <f t="shared" si="6916"/>
        <v>n/a</v>
      </c>
      <c r="AI456" s="214" t="str">
        <f t="shared" si="6916"/>
        <v>n/a</v>
      </c>
      <c r="AJ456" s="225" t="str">
        <f t="shared" si="6916"/>
        <v>n/a</v>
      </c>
      <c r="AK456" s="225" t="str">
        <f t="shared" si="6916"/>
        <v>n/a</v>
      </c>
      <c r="AL456" s="225" t="str">
        <f t="shared" si="6916"/>
        <v>n/a</v>
      </c>
      <c r="AM456" s="225" t="str">
        <f t="shared" si="6916"/>
        <v>n/a</v>
      </c>
      <c r="AN456" s="225" t="str">
        <f t="shared" si="6916"/>
        <v>n/a</v>
      </c>
      <c r="AO456" s="225" t="str">
        <f t="shared" si="6916"/>
        <v>n/a</v>
      </c>
      <c r="AP456" s="225" t="str">
        <f t="shared" si="6916"/>
        <v>n/a</v>
      </c>
      <c r="AQ456" s="225" t="str">
        <f t="shared" si="6916"/>
        <v>n/a</v>
      </c>
      <c r="AR456" s="225" t="str">
        <f t="shared" si="6916"/>
        <v>n/a</v>
      </c>
      <c r="AS456" s="225" t="str">
        <f t="shared" si="6916"/>
        <v>n/a</v>
      </c>
      <c r="AT456" s="225" t="str">
        <f t="shared" si="6916"/>
        <v>n/a</v>
      </c>
      <c r="AU456" s="214" t="str">
        <f t="shared" si="6916"/>
        <v>n/a</v>
      </c>
      <c r="AV456" s="225" t="str">
        <f t="shared" si="6916"/>
        <v>n/a</v>
      </c>
      <c r="AW456" s="225" t="str">
        <f t="shared" si="6916"/>
        <v>n/a</v>
      </c>
      <c r="AX456" s="225" t="str">
        <f t="shared" si="6916"/>
        <v>n/a</v>
      </c>
      <c r="AY456" s="225" t="str">
        <f t="shared" si="6916"/>
        <v>n/a</v>
      </c>
      <c r="AZ456" s="225" t="str">
        <f t="shared" si="6916"/>
        <v>n/a</v>
      </c>
      <c r="BA456" s="225" t="str">
        <f t="shared" si="6916"/>
        <v>n/a</v>
      </c>
      <c r="BB456" s="225" t="str">
        <f t="shared" si="6916"/>
        <v>n/a</v>
      </c>
      <c r="BC456" s="225" t="str">
        <f t="shared" ref="BC456:CH456" si="6917">++IFERROR(BC454/AQ209-1,"n/a")</f>
        <v>n/a</v>
      </c>
      <c r="BD456" s="225" t="str">
        <f t="shared" si="6917"/>
        <v>n/a</v>
      </c>
      <c r="BE456" s="225" t="str">
        <f t="shared" si="6917"/>
        <v>n/a</v>
      </c>
      <c r="BF456" s="225" t="str">
        <f t="shared" si="6917"/>
        <v>n/a</v>
      </c>
      <c r="BG456" s="214" t="str">
        <f t="shared" si="6917"/>
        <v>n/a</v>
      </c>
      <c r="BH456" s="225" t="str">
        <f t="shared" si="6917"/>
        <v>n/a</v>
      </c>
      <c r="BI456" s="225" t="str">
        <f t="shared" si="6917"/>
        <v>n/a</v>
      </c>
      <c r="BJ456" s="225" t="str">
        <f t="shared" si="6917"/>
        <v>n/a</v>
      </c>
      <c r="BK456" s="225" t="str">
        <f t="shared" si="6917"/>
        <v>n/a</v>
      </c>
      <c r="BL456" s="225" t="str">
        <f t="shared" si="6917"/>
        <v>n/a</v>
      </c>
      <c r="BM456" s="225" t="str">
        <f t="shared" si="6917"/>
        <v>n/a</v>
      </c>
      <c r="BN456" s="225" t="str">
        <f t="shared" si="6917"/>
        <v>n/a</v>
      </c>
      <c r="BO456" s="225" t="str">
        <f t="shared" si="6917"/>
        <v>n/a</v>
      </c>
      <c r="BP456" s="225" t="str">
        <f t="shared" si="6917"/>
        <v>n/a</v>
      </c>
      <c r="BQ456" s="225" t="str">
        <f t="shared" si="6917"/>
        <v>n/a</v>
      </c>
      <c r="BR456" s="225" t="str">
        <f t="shared" si="6917"/>
        <v>n/a</v>
      </c>
      <c r="BS456" s="214" t="str">
        <f t="shared" si="6917"/>
        <v>n/a</v>
      </c>
      <c r="BT456" s="225" t="str">
        <f t="shared" si="6917"/>
        <v>n/a</v>
      </c>
      <c r="BU456" s="225" t="str">
        <f t="shared" si="6917"/>
        <v>n/a</v>
      </c>
      <c r="BV456" s="225" t="str">
        <f t="shared" si="6917"/>
        <v>n/a</v>
      </c>
      <c r="BW456" s="225" t="str">
        <f t="shared" si="6917"/>
        <v>n/a</v>
      </c>
      <c r="BX456" s="225" t="str">
        <f t="shared" si="6917"/>
        <v>n/a</v>
      </c>
      <c r="BY456" s="225" t="str">
        <f t="shared" si="6917"/>
        <v>n/a</v>
      </c>
      <c r="BZ456" s="225" t="str">
        <f t="shared" si="6917"/>
        <v>n/a</v>
      </c>
      <c r="CA456" s="225" t="str">
        <f t="shared" si="6917"/>
        <v>n/a</v>
      </c>
      <c r="CB456" s="225" t="str">
        <f t="shared" si="6917"/>
        <v>n/a</v>
      </c>
      <c r="CC456" s="225" t="str">
        <f t="shared" si="6917"/>
        <v>n/a</v>
      </c>
      <c r="CD456" s="225" t="str">
        <f t="shared" si="6917"/>
        <v>n/a</v>
      </c>
      <c r="CE456" s="214" t="str">
        <f t="shared" si="6917"/>
        <v>n/a</v>
      </c>
      <c r="CF456" s="225" t="str">
        <f t="shared" si="6917"/>
        <v>n/a</v>
      </c>
      <c r="CG456" s="225" t="str">
        <f t="shared" si="6917"/>
        <v>n/a</v>
      </c>
      <c r="CH456" s="225" t="str">
        <f t="shared" si="6917"/>
        <v>n/a</v>
      </c>
      <c r="CI456" s="225" t="str">
        <f t="shared" ref="CI456:DN456" si="6918">++IFERROR(CI454/BW209-1,"n/a")</f>
        <v>n/a</v>
      </c>
      <c r="CJ456" s="225" t="str">
        <f t="shared" si="6918"/>
        <v>n/a</v>
      </c>
      <c r="CK456" s="225" t="str">
        <f t="shared" si="6918"/>
        <v>n/a</v>
      </c>
      <c r="CL456" s="225" t="str">
        <f t="shared" si="6918"/>
        <v>n/a</v>
      </c>
      <c r="CM456" s="225" t="str">
        <f t="shared" si="6918"/>
        <v>n/a</v>
      </c>
      <c r="CN456" s="225" t="str">
        <f t="shared" si="6918"/>
        <v>n/a</v>
      </c>
      <c r="CO456" s="225" t="str">
        <f t="shared" si="6918"/>
        <v>n/a</v>
      </c>
      <c r="CP456" s="225" t="str">
        <f t="shared" si="6918"/>
        <v>n/a</v>
      </c>
      <c r="CQ456" s="214" t="str">
        <f t="shared" si="6918"/>
        <v>n/a</v>
      </c>
      <c r="CR456" s="225" t="str">
        <f t="shared" si="6918"/>
        <v>n/a</v>
      </c>
      <c r="CS456" s="225" t="str">
        <f t="shared" si="6918"/>
        <v>n/a</v>
      </c>
      <c r="CT456" s="225" t="str">
        <f t="shared" si="6918"/>
        <v>n/a</v>
      </c>
      <c r="CU456" s="225" t="str">
        <f t="shared" si="6918"/>
        <v>n/a</v>
      </c>
      <c r="CV456" s="225" t="str">
        <f t="shared" si="6918"/>
        <v>n/a</v>
      </c>
      <c r="CW456" s="225" t="str">
        <f t="shared" si="6918"/>
        <v>n/a</v>
      </c>
      <c r="CX456" s="225" t="str">
        <f t="shared" si="6918"/>
        <v>n/a</v>
      </c>
      <c r="CY456" s="225" t="str">
        <f t="shared" si="6918"/>
        <v>n/a</v>
      </c>
      <c r="CZ456" s="225" t="str">
        <f t="shared" si="6918"/>
        <v>n/a</v>
      </c>
      <c r="DA456" s="225" t="str">
        <f t="shared" si="6918"/>
        <v>n/a</v>
      </c>
      <c r="DB456" s="225" t="str">
        <f t="shared" si="6918"/>
        <v>n/a</v>
      </c>
      <c r="DC456" s="214" t="str">
        <f t="shared" si="6918"/>
        <v>n/a</v>
      </c>
    </row>
    <row r="457" spans="1:107" x14ac:dyDescent="0.3">
      <c r="G457" s="203"/>
      <c r="K457" s="203"/>
      <c r="W457" s="203"/>
      <c r="AI457" s="203"/>
      <c r="AU457" s="203"/>
      <c r="BG457" s="203"/>
      <c r="BS457" s="203"/>
      <c r="CE457" s="203"/>
      <c r="CQ457" s="203"/>
      <c r="DC457" s="203"/>
    </row>
    <row r="458" spans="1:107" x14ac:dyDescent="0.3">
      <c r="C458" s="101" t="str">
        <f>++C$17</f>
        <v>[Operating Expense]</v>
      </c>
      <c r="G458" s="45">
        <v>0</v>
      </c>
      <c r="H458" s="45">
        <v>0</v>
      </c>
      <c r="I458" s="45">
        <v>0</v>
      </c>
      <c r="J458" s="45">
        <v>0</v>
      </c>
      <c r="K458" s="45">
        <v>0</v>
      </c>
      <c r="L458" s="45">
        <v>0</v>
      </c>
      <c r="M458" s="45">
        <v>0</v>
      </c>
      <c r="N458" s="45">
        <v>0</v>
      </c>
      <c r="O458" s="45">
        <v>0</v>
      </c>
      <c r="P458" s="45">
        <v>0</v>
      </c>
      <c r="Q458" s="45">
        <v>0</v>
      </c>
      <c r="R458" s="45">
        <v>0</v>
      </c>
      <c r="S458" s="45">
        <v>0</v>
      </c>
      <c r="T458" s="45">
        <v>0</v>
      </c>
      <c r="U458" s="45">
        <v>0</v>
      </c>
      <c r="V458" s="45">
        <v>0</v>
      </c>
      <c r="W458" s="45">
        <v>0</v>
      </c>
      <c r="X458" s="45">
        <v>0</v>
      </c>
      <c r="Y458" s="45">
        <v>0</v>
      </c>
      <c r="Z458" s="45">
        <v>0</v>
      </c>
      <c r="AA458" s="45">
        <v>0</v>
      </c>
      <c r="AB458" s="45">
        <v>0</v>
      </c>
      <c r="AC458" s="45">
        <v>0</v>
      </c>
      <c r="AD458" s="45">
        <v>0</v>
      </c>
      <c r="AE458" s="45">
        <v>0</v>
      </c>
      <c r="AF458" s="45">
        <v>0</v>
      </c>
      <c r="AG458" s="45">
        <v>0</v>
      </c>
      <c r="AH458" s="45">
        <v>0</v>
      </c>
      <c r="AI458" s="45">
        <v>0</v>
      </c>
      <c r="AJ458" s="45">
        <v>0</v>
      </c>
      <c r="AK458" s="45">
        <v>0</v>
      </c>
      <c r="AL458" s="45">
        <v>0</v>
      </c>
      <c r="AM458" s="45">
        <v>0</v>
      </c>
      <c r="AN458" s="45">
        <v>0</v>
      </c>
      <c r="AO458" s="45">
        <v>0</v>
      </c>
      <c r="AP458" s="45">
        <v>0</v>
      </c>
      <c r="AQ458" s="45">
        <v>0</v>
      </c>
      <c r="AR458" s="45">
        <v>0</v>
      </c>
      <c r="AS458" s="45">
        <v>0</v>
      </c>
      <c r="AT458" s="45">
        <v>0</v>
      </c>
      <c r="AU458" s="45">
        <v>0</v>
      </c>
      <c r="AV458" s="45">
        <v>0</v>
      </c>
      <c r="AW458" s="45">
        <v>0</v>
      </c>
      <c r="AX458" s="45">
        <v>0</v>
      </c>
      <c r="AY458" s="45">
        <v>0</v>
      </c>
      <c r="AZ458" s="45">
        <v>0</v>
      </c>
      <c r="BA458" s="45">
        <v>0</v>
      </c>
      <c r="BB458" s="45">
        <v>0</v>
      </c>
      <c r="BC458" s="45">
        <v>0</v>
      </c>
      <c r="BD458" s="45">
        <v>0</v>
      </c>
      <c r="BE458" s="45">
        <v>0</v>
      </c>
      <c r="BF458" s="45">
        <v>0</v>
      </c>
      <c r="BG458" s="45">
        <v>0</v>
      </c>
      <c r="BH458" s="45">
        <v>0</v>
      </c>
      <c r="BI458" s="45">
        <v>0</v>
      </c>
      <c r="BJ458" s="45">
        <v>0</v>
      </c>
      <c r="BK458" s="45">
        <v>0</v>
      </c>
      <c r="BL458" s="45">
        <v>0</v>
      </c>
      <c r="BM458" s="45">
        <v>0</v>
      </c>
      <c r="BN458" s="45">
        <v>0</v>
      </c>
      <c r="BO458" s="45">
        <v>0</v>
      </c>
      <c r="BP458" s="45">
        <v>0</v>
      </c>
      <c r="BQ458" s="45">
        <v>0</v>
      </c>
      <c r="BR458" s="45">
        <v>0</v>
      </c>
      <c r="BS458" s="45">
        <v>0</v>
      </c>
      <c r="BT458" s="45">
        <v>0</v>
      </c>
      <c r="BU458" s="45">
        <v>0</v>
      </c>
      <c r="BV458" s="45">
        <v>0</v>
      </c>
      <c r="BW458" s="45">
        <v>0</v>
      </c>
      <c r="BX458" s="45">
        <v>0</v>
      </c>
      <c r="BY458" s="45">
        <v>0</v>
      </c>
      <c r="BZ458" s="45">
        <v>0</v>
      </c>
      <c r="CA458" s="45">
        <v>0</v>
      </c>
      <c r="CB458" s="45">
        <v>0</v>
      </c>
      <c r="CC458" s="45">
        <v>0</v>
      </c>
      <c r="CD458" s="45">
        <v>0</v>
      </c>
      <c r="CE458" s="45">
        <v>0</v>
      </c>
      <c r="CF458" s="45">
        <v>0</v>
      </c>
      <c r="CG458" s="45">
        <v>0</v>
      </c>
      <c r="CH458" s="45">
        <v>0</v>
      </c>
      <c r="CI458" s="45">
        <v>0</v>
      </c>
      <c r="CJ458" s="45">
        <v>0</v>
      </c>
      <c r="CK458" s="45">
        <v>0</v>
      </c>
      <c r="CL458" s="45">
        <v>0</v>
      </c>
      <c r="CM458" s="45">
        <v>0</v>
      </c>
      <c r="CN458" s="45">
        <v>0</v>
      </c>
      <c r="CO458" s="45">
        <v>0</v>
      </c>
      <c r="CP458" s="45">
        <v>0</v>
      </c>
      <c r="CQ458" s="45">
        <v>0</v>
      </c>
      <c r="CR458" s="45">
        <v>0</v>
      </c>
      <c r="CS458" s="45">
        <v>0</v>
      </c>
      <c r="CT458" s="45">
        <v>0</v>
      </c>
      <c r="CU458" s="45">
        <v>0</v>
      </c>
      <c r="CV458" s="45">
        <v>0</v>
      </c>
      <c r="CW458" s="45">
        <v>0</v>
      </c>
      <c r="CX458" s="45">
        <v>0</v>
      </c>
      <c r="CY458" s="45">
        <v>0</v>
      </c>
      <c r="CZ458" s="45">
        <v>0</v>
      </c>
      <c r="DA458" s="45">
        <v>0</v>
      </c>
      <c r="DB458" s="45">
        <v>0</v>
      </c>
      <c r="DC458" s="45">
        <v>0</v>
      </c>
    </row>
    <row r="459" spans="1:107" x14ac:dyDescent="0.3">
      <c r="C459" s="101" t="str">
        <f>++C$18</f>
        <v>[Operating Expense]</v>
      </c>
      <c r="G459" s="45">
        <v>0</v>
      </c>
      <c r="H459" s="45">
        <v>0</v>
      </c>
      <c r="I459" s="45">
        <v>0</v>
      </c>
      <c r="J459" s="45">
        <v>0</v>
      </c>
      <c r="K459" s="45">
        <v>0</v>
      </c>
      <c r="L459" s="45">
        <v>0</v>
      </c>
      <c r="M459" s="45">
        <v>0</v>
      </c>
      <c r="N459" s="45">
        <v>0</v>
      </c>
      <c r="O459" s="45">
        <v>0</v>
      </c>
      <c r="P459" s="45">
        <v>0</v>
      </c>
      <c r="Q459" s="45">
        <v>0</v>
      </c>
      <c r="R459" s="45">
        <v>0</v>
      </c>
      <c r="S459" s="45">
        <v>0</v>
      </c>
      <c r="T459" s="45">
        <v>0</v>
      </c>
      <c r="U459" s="45">
        <v>0</v>
      </c>
      <c r="V459" s="45">
        <v>0</v>
      </c>
      <c r="W459" s="45">
        <v>0</v>
      </c>
      <c r="X459" s="45">
        <v>0</v>
      </c>
      <c r="Y459" s="45">
        <v>0</v>
      </c>
      <c r="Z459" s="45">
        <v>0</v>
      </c>
      <c r="AA459" s="45">
        <v>0</v>
      </c>
      <c r="AB459" s="45">
        <v>0</v>
      </c>
      <c r="AC459" s="45">
        <v>0</v>
      </c>
      <c r="AD459" s="45">
        <v>0</v>
      </c>
      <c r="AE459" s="45">
        <v>0</v>
      </c>
      <c r="AF459" s="45">
        <v>0</v>
      </c>
      <c r="AG459" s="45">
        <v>0</v>
      </c>
      <c r="AH459" s="45">
        <v>0</v>
      </c>
      <c r="AI459" s="45">
        <v>0</v>
      </c>
      <c r="AJ459" s="45">
        <v>0</v>
      </c>
      <c r="AK459" s="45">
        <v>0</v>
      </c>
      <c r="AL459" s="45">
        <v>0</v>
      </c>
      <c r="AM459" s="45">
        <v>0</v>
      </c>
      <c r="AN459" s="45">
        <v>0</v>
      </c>
      <c r="AO459" s="45">
        <v>0</v>
      </c>
      <c r="AP459" s="45">
        <v>0</v>
      </c>
      <c r="AQ459" s="45">
        <v>0</v>
      </c>
      <c r="AR459" s="45">
        <v>0</v>
      </c>
      <c r="AS459" s="45">
        <v>0</v>
      </c>
      <c r="AT459" s="45">
        <v>0</v>
      </c>
      <c r="AU459" s="45">
        <v>0</v>
      </c>
      <c r="AV459" s="45">
        <v>0</v>
      </c>
      <c r="AW459" s="45">
        <v>0</v>
      </c>
      <c r="AX459" s="45">
        <v>0</v>
      </c>
      <c r="AY459" s="45">
        <v>0</v>
      </c>
      <c r="AZ459" s="45">
        <v>0</v>
      </c>
      <c r="BA459" s="45">
        <v>0</v>
      </c>
      <c r="BB459" s="45">
        <v>0</v>
      </c>
      <c r="BC459" s="45">
        <v>0</v>
      </c>
      <c r="BD459" s="45">
        <v>0</v>
      </c>
      <c r="BE459" s="45">
        <v>0</v>
      </c>
      <c r="BF459" s="45">
        <v>0</v>
      </c>
      <c r="BG459" s="45">
        <v>0</v>
      </c>
      <c r="BH459" s="45">
        <v>0</v>
      </c>
      <c r="BI459" s="45">
        <v>0</v>
      </c>
      <c r="BJ459" s="45">
        <v>0</v>
      </c>
      <c r="BK459" s="45">
        <v>0</v>
      </c>
      <c r="BL459" s="45">
        <v>0</v>
      </c>
      <c r="BM459" s="45">
        <v>0</v>
      </c>
      <c r="BN459" s="45">
        <v>0</v>
      </c>
      <c r="BO459" s="45">
        <v>0</v>
      </c>
      <c r="BP459" s="45">
        <v>0</v>
      </c>
      <c r="BQ459" s="45">
        <v>0</v>
      </c>
      <c r="BR459" s="45">
        <v>0</v>
      </c>
      <c r="BS459" s="45">
        <v>0</v>
      </c>
      <c r="BT459" s="45">
        <v>0</v>
      </c>
      <c r="BU459" s="45">
        <v>0</v>
      </c>
      <c r="BV459" s="45">
        <v>0</v>
      </c>
      <c r="BW459" s="45">
        <v>0</v>
      </c>
      <c r="BX459" s="45">
        <v>0</v>
      </c>
      <c r="BY459" s="45">
        <v>0</v>
      </c>
      <c r="BZ459" s="45">
        <v>0</v>
      </c>
      <c r="CA459" s="45">
        <v>0</v>
      </c>
      <c r="CB459" s="45">
        <v>0</v>
      </c>
      <c r="CC459" s="45">
        <v>0</v>
      </c>
      <c r="CD459" s="45">
        <v>0</v>
      </c>
      <c r="CE459" s="45">
        <v>0</v>
      </c>
      <c r="CF459" s="45">
        <v>0</v>
      </c>
      <c r="CG459" s="45">
        <v>0</v>
      </c>
      <c r="CH459" s="45">
        <v>0</v>
      </c>
      <c r="CI459" s="45">
        <v>0</v>
      </c>
      <c r="CJ459" s="45">
        <v>0</v>
      </c>
      <c r="CK459" s="45">
        <v>0</v>
      </c>
      <c r="CL459" s="45">
        <v>0</v>
      </c>
      <c r="CM459" s="45">
        <v>0</v>
      </c>
      <c r="CN459" s="45">
        <v>0</v>
      </c>
      <c r="CO459" s="45">
        <v>0</v>
      </c>
      <c r="CP459" s="45">
        <v>0</v>
      </c>
      <c r="CQ459" s="45">
        <v>0</v>
      </c>
      <c r="CR459" s="45">
        <v>0</v>
      </c>
      <c r="CS459" s="45">
        <v>0</v>
      </c>
      <c r="CT459" s="45">
        <v>0</v>
      </c>
      <c r="CU459" s="45">
        <v>0</v>
      </c>
      <c r="CV459" s="45">
        <v>0</v>
      </c>
      <c r="CW459" s="45">
        <v>0</v>
      </c>
      <c r="CX459" s="45">
        <v>0</v>
      </c>
      <c r="CY459" s="45">
        <v>0</v>
      </c>
      <c r="CZ459" s="45">
        <v>0</v>
      </c>
      <c r="DA459" s="45">
        <v>0</v>
      </c>
      <c r="DB459" s="45">
        <v>0</v>
      </c>
      <c r="DC459" s="45">
        <v>0</v>
      </c>
    </row>
    <row r="460" spans="1:107" x14ac:dyDescent="0.3">
      <c r="C460" s="101" t="str">
        <f>++C$19</f>
        <v>[Operating Expense]</v>
      </c>
      <c r="G460" s="45">
        <v>0</v>
      </c>
      <c r="H460" s="45">
        <v>0</v>
      </c>
      <c r="I460" s="45">
        <v>0</v>
      </c>
      <c r="J460" s="45">
        <v>0</v>
      </c>
      <c r="K460" s="45">
        <v>0</v>
      </c>
      <c r="L460" s="45">
        <v>0</v>
      </c>
      <c r="M460" s="45">
        <v>0</v>
      </c>
      <c r="N460" s="45">
        <v>0</v>
      </c>
      <c r="O460" s="45">
        <v>0</v>
      </c>
      <c r="P460" s="45">
        <v>0</v>
      </c>
      <c r="Q460" s="45">
        <v>0</v>
      </c>
      <c r="R460" s="45">
        <v>0</v>
      </c>
      <c r="S460" s="45">
        <v>0</v>
      </c>
      <c r="T460" s="45">
        <v>0</v>
      </c>
      <c r="U460" s="45">
        <v>0</v>
      </c>
      <c r="V460" s="45">
        <v>0</v>
      </c>
      <c r="W460" s="45">
        <v>0</v>
      </c>
      <c r="X460" s="45">
        <v>0</v>
      </c>
      <c r="Y460" s="45">
        <v>0</v>
      </c>
      <c r="Z460" s="45">
        <v>0</v>
      </c>
      <c r="AA460" s="45">
        <v>0</v>
      </c>
      <c r="AB460" s="45">
        <v>0</v>
      </c>
      <c r="AC460" s="45">
        <v>0</v>
      </c>
      <c r="AD460" s="45">
        <v>0</v>
      </c>
      <c r="AE460" s="45">
        <v>0</v>
      </c>
      <c r="AF460" s="45">
        <v>0</v>
      </c>
      <c r="AG460" s="45">
        <v>0</v>
      </c>
      <c r="AH460" s="45">
        <v>0</v>
      </c>
      <c r="AI460" s="45">
        <v>0</v>
      </c>
      <c r="AJ460" s="45">
        <v>0</v>
      </c>
      <c r="AK460" s="45">
        <v>0</v>
      </c>
      <c r="AL460" s="45">
        <v>0</v>
      </c>
      <c r="AM460" s="45">
        <v>0</v>
      </c>
      <c r="AN460" s="45">
        <v>0</v>
      </c>
      <c r="AO460" s="45">
        <v>0</v>
      </c>
      <c r="AP460" s="45">
        <v>0</v>
      </c>
      <c r="AQ460" s="45">
        <v>0</v>
      </c>
      <c r="AR460" s="45">
        <v>0</v>
      </c>
      <c r="AS460" s="45">
        <v>0</v>
      </c>
      <c r="AT460" s="45">
        <v>0</v>
      </c>
      <c r="AU460" s="45">
        <v>0</v>
      </c>
      <c r="AV460" s="45">
        <v>0</v>
      </c>
      <c r="AW460" s="45">
        <v>0</v>
      </c>
      <c r="AX460" s="45">
        <v>0</v>
      </c>
      <c r="AY460" s="45">
        <v>0</v>
      </c>
      <c r="AZ460" s="45">
        <v>0</v>
      </c>
      <c r="BA460" s="45">
        <v>0</v>
      </c>
      <c r="BB460" s="45">
        <v>0</v>
      </c>
      <c r="BC460" s="45">
        <v>0</v>
      </c>
      <c r="BD460" s="45">
        <v>0</v>
      </c>
      <c r="BE460" s="45">
        <v>0</v>
      </c>
      <c r="BF460" s="45">
        <v>0</v>
      </c>
      <c r="BG460" s="45">
        <v>0</v>
      </c>
      <c r="BH460" s="45">
        <v>0</v>
      </c>
      <c r="BI460" s="45">
        <v>0</v>
      </c>
      <c r="BJ460" s="45">
        <v>0</v>
      </c>
      <c r="BK460" s="45">
        <v>0</v>
      </c>
      <c r="BL460" s="45">
        <v>0</v>
      </c>
      <c r="BM460" s="45">
        <v>0</v>
      </c>
      <c r="BN460" s="45">
        <v>0</v>
      </c>
      <c r="BO460" s="45">
        <v>0</v>
      </c>
      <c r="BP460" s="45">
        <v>0</v>
      </c>
      <c r="BQ460" s="45">
        <v>0</v>
      </c>
      <c r="BR460" s="45">
        <v>0</v>
      </c>
      <c r="BS460" s="45">
        <v>0</v>
      </c>
      <c r="BT460" s="45">
        <v>0</v>
      </c>
      <c r="BU460" s="45">
        <v>0</v>
      </c>
      <c r="BV460" s="45">
        <v>0</v>
      </c>
      <c r="BW460" s="45">
        <v>0</v>
      </c>
      <c r="BX460" s="45">
        <v>0</v>
      </c>
      <c r="BY460" s="45">
        <v>0</v>
      </c>
      <c r="BZ460" s="45">
        <v>0</v>
      </c>
      <c r="CA460" s="45">
        <v>0</v>
      </c>
      <c r="CB460" s="45">
        <v>0</v>
      </c>
      <c r="CC460" s="45">
        <v>0</v>
      </c>
      <c r="CD460" s="45">
        <v>0</v>
      </c>
      <c r="CE460" s="45">
        <v>0</v>
      </c>
      <c r="CF460" s="45">
        <v>0</v>
      </c>
      <c r="CG460" s="45">
        <v>0</v>
      </c>
      <c r="CH460" s="45">
        <v>0</v>
      </c>
      <c r="CI460" s="45">
        <v>0</v>
      </c>
      <c r="CJ460" s="45">
        <v>0</v>
      </c>
      <c r="CK460" s="45">
        <v>0</v>
      </c>
      <c r="CL460" s="45">
        <v>0</v>
      </c>
      <c r="CM460" s="45">
        <v>0</v>
      </c>
      <c r="CN460" s="45">
        <v>0</v>
      </c>
      <c r="CO460" s="45">
        <v>0</v>
      </c>
      <c r="CP460" s="45">
        <v>0</v>
      </c>
      <c r="CQ460" s="45">
        <v>0</v>
      </c>
      <c r="CR460" s="45">
        <v>0</v>
      </c>
      <c r="CS460" s="45">
        <v>0</v>
      </c>
      <c r="CT460" s="45">
        <v>0</v>
      </c>
      <c r="CU460" s="45">
        <v>0</v>
      </c>
      <c r="CV460" s="45">
        <v>0</v>
      </c>
      <c r="CW460" s="45">
        <v>0</v>
      </c>
      <c r="CX460" s="45">
        <v>0</v>
      </c>
      <c r="CY460" s="45">
        <v>0</v>
      </c>
      <c r="CZ460" s="45">
        <v>0</v>
      </c>
      <c r="DA460" s="45">
        <v>0</v>
      </c>
      <c r="DB460" s="45">
        <v>0</v>
      </c>
      <c r="DC460" s="45">
        <v>0</v>
      </c>
    </row>
    <row r="461" spans="1:107" x14ac:dyDescent="0.3">
      <c r="C461" s="101" t="str">
        <f>++C$20</f>
        <v>Depreciation</v>
      </c>
      <c r="G461" s="45">
        <v>0</v>
      </c>
      <c r="H461" s="45">
        <v>0</v>
      </c>
      <c r="I461" s="45">
        <v>0</v>
      </c>
      <c r="J461" s="45">
        <v>0</v>
      </c>
      <c r="K461" s="45">
        <v>0</v>
      </c>
      <c r="L461" s="45">
        <v>0</v>
      </c>
      <c r="M461" s="45">
        <v>0</v>
      </c>
      <c r="N461" s="45">
        <v>0</v>
      </c>
      <c r="O461" s="45">
        <v>0</v>
      </c>
      <c r="P461" s="45">
        <v>0</v>
      </c>
      <c r="Q461" s="45">
        <v>0</v>
      </c>
      <c r="R461" s="45">
        <v>0</v>
      </c>
      <c r="S461" s="45">
        <v>0</v>
      </c>
      <c r="T461" s="45">
        <v>0</v>
      </c>
      <c r="U461" s="45">
        <v>0</v>
      </c>
      <c r="V461" s="45">
        <v>0</v>
      </c>
      <c r="W461" s="45">
        <v>0</v>
      </c>
      <c r="X461" s="45">
        <v>0</v>
      </c>
      <c r="Y461" s="45">
        <v>0</v>
      </c>
      <c r="Z461" s="45">
        <v>0</v>
      </c>
      <c r="AA461" s="45">
        <v>0</v>
      </c>
      <c r="AB461" s="45">
        <v>0</v>
      </c>
      <c r="AC461" s="45">
        <v>0</v>
      </c>
      <c r="AD461" s="45">
        <v>0</v>
      </c>
      <c r="AE461" s="45">
        <v>0</v>
      </c>
      <c r="AF461" s="45">
        <v>0</v>
      </c>
      <c r="AG461" s="45">
        <v>0</v>
      </c>
      <c r="AH461" s="45">
        <v>0</v>
      </c>
      <c r="AI461" s="45">
        <v>0</v>
      </c>
      <c r="AJ461" s="45">
        <v>0</v>
      </c>
      <c r="AK461" s="45">
        <v>0</v>
      </c>
      <c r="AL461" s="45">
        <v>0</v>
      </c>
      <c r="AM461" s="45">
        <v>0</v>
      </c>
      <c r="AN461" s="45">
        <v>0</v>
      </c>
      <c r="AO461" s="45">
        <v>0</v>
      </c>
      <c r="AP461" s="45">
        <v>0</v>
      </c>
      <c r="AQ461" s="45">
        <v>0</v>
      </c>
      <c r="AR461" s="45">
        <v>0</v>
      </c>
      <c r="AS461" s="45">
        <v>0</v>
      </c>
      <c r="AT461" s="45">
        <v>0</v>
      </c>
      <c r="AU461" s="45">
        <v>0</v>
      </c>
      <c r="AV461" s="45">
        <v>0</v>
      </c>
      <c r="AW461" s="45">
        <v>0</v>
      </c>
      <c r="AX461" s="45">
        <v>0</v>
      </c>
      <c r="AY461" s="45">
        <v>0</v>
      </c>
      <c r="AZ461" s="45">
        <v>0</v>
      </c>
      <c r="BA461" s="45">
        <v>0</v>
      </c>
      <c r="BB461" s="45">
        <v>0</v>
      </c>
      <c r="BC461" s="45">
        <v>0</v>
      </c>
      <c r="BD461" s="45">
        <v>0</v>
      </c>
      <c r="BE461" s="45">
        <v>0</v>
      </c>
      <c r="BF461" s="45">
        <v>0</v>
      </c>
      <c r="BG461" s="45">
        <v>0</v>
      </c>
      <c r="BH461" s="45">
        <v>0</v>
      </c>
      <c r="BI461" s="45">
        <v>0</v>
      </c>
      <c r="BJ461" s="45">
        <v>0</v>
      </c>
      <c r="BK461" s="45">
        <v>0</v>
      </c>
      <c r="BL461" s="45">
        <v>0</v>
      </c>
      <c r="BM461" s="45">
        <v>0</v>
      </c>
      <c r="BN461" s="45">
        <v>0</v>
      </c>
      <c r="BO461" s="45">
        <v>0</v>
      </c>
      <c r="BP461" s="45">
        <v>0</v>
      </c>
      <c r="BQ461" s="45">
        <v>0</v>
      </c>
      <c r="BR461" s="45">
        <v>0</v>
      </c>
      <c r="BS461" s="45">
        <v>0</v>
      </c>
      <c r="BT461" s="45">
        <v>0</v>
      </c>
      <c r="BU461" s="45">
        <v>0</v>
      </c>
      <c r="BV461" s="45">
        <v>0</v>
      </c>
      <c r="BW461" s="45">
        <v>0</v>
      </c>
      <c r="BX461" s="45">
        <v>0</v>
      </c>
      <c r="BY461" s="45">
        <v>0</v>
      </c>
      <c r="BZ461" s="45">
        <v>0</v>
      </c>
      <c r="CA461" s="45">
        <v>0</v>
      </c>
      <c r="CB461" s="45">
        <v>0</v>
      </c>
      <c r="CC461" s="45">
        <v>0</v>
      </c>
      <c r="CD461" s="45">
        <v>0</v>
      </c>
      <c r="CE461" s="45">
        <v>0</v>
      </c>
      <c r="CF461" s="45">
        <v>0</v>
      </c>
      <c r="CG461" s="45">
        <v>0</v>
      </c>
      <c r="CH461" s="45">
        <v>0</v>
      </c>
      <c r="CI461" s="45">
        <v>0</v>
      </c>
      <c r="CJ461" s="45">
        <v>0</v>
      </c>
      <c r="CK461" s="45">
        <v>0</v>
      </c>
      <c r="CL461" s="45">
        <v>0</v>
      </c>
      <c r="CM461" s="45">
        <v>0</v>
      </c>
      <c r="CN461" s="45">
        <v>0</v>
      </c>
      <c r="CO461" s="45">
        <v>0</v>
      </c>
      <c r="CP461" s="45">
        <v>0</v>
      </c>
      <c r="CQ461" s="45">
        <v>0</v>
      </c>
      <c r="CR461" s="45">
        <v>0</v>
      </c>
      <c r="CS461" s="45">
        <v>0</v>
      </c>
      <c r="CT461" s="45">
        <v>0</v>
      </c>
      <c r="CU461" s="45">
        <v>0</v>
      </c>
      <c r="CV461" s="45">
        <v>0</v>
      </c>
      <c r="CW461" s="45">
        <v>0</v>
      </c>
      <c r="CX461" s="45">
        <v>0</v>
      </c>
      <c r="CY461" s="45">
        <v>0</v>
      </c>
      <c r="CZ461" s="45">
        <v>0</v>
      </c>
      <c r="DA461" s="45">
        <v>0</v>
      </c>
      <c r="DB461" s="45">
        <v>0</v>
      </c>
      <c r="DC461" s="45">
        <v>0</v>
      </c>
    </row>
    <row r="462" spans="1:107" x14ac:dyDescent="0.3">
      <c r="C462" s="101" t="str">
        <f>++C$21</f>
        <v>Amortization</v>
      </c>
      <c r="G462" s="45">
        <v>0</v>
      </c>
      <c r="H462" s="45">
        <v>0</v>
      </c>
      <c r="I462" s="45">
        <v>0</v>
      </c>
      <c r="J462" s="45">
        <v>0</v>
      </c>
      <c r="K462" s="45">
        <v>0</v>
      </c>
      <c r="L462" s="45">
        <v>0</v>
      </c>
      <c r="M462" s="45">
        <v>0</v>
      </c>
      <c r="N462" s="45">
        <v>0</v>
      </c>
      <c r="O462" s="45">
        <v>0</v>
      </c>
      <c r="P462" s="45">
        <v>0</v>
      </c>
      <c r="Q462" s="45">
        <v>0</v>
      </c>
      <c r="R462" s="45">
        <v>0</v>
      </c>
      <c r="S462" s="45">
        <v>0</v>
      </c>
      <c r="T462" s="45">
        <v>0</v>
      </c>
      <c r="U462" s="45">
        <v>0</v>
      </c>
      <c r="V462" s="45">
        <v>0</v>
      </c>
      <c r="W462" s="45">
        <v>0</v>
      </c>
      <c r="X462" s="45">
        <v>0</v>
      </c>
      <c r="Y462" s="45">
        <v>0</v>
      </c>
      <c r="Z462" s="45">
        <v>0</v>
      </c>
      <c r="AA462" s="45">
        <v>0</v>
      </c>
      <c r="AB462" s="45">
        <v>0</v>
      </c>
      <c r="AC462" s="45">
        <v>0</v>
      </c>
      <c r="AD462" s="45">
        <v>0</v>
      </c>
      <c r="AE462" s="45">
        <v>0</v>
      </c>
      <c r="AF462" s="45">
        <v>0</v>
      </c>
      <c r="AG462" s="45">
        <v>0</v>
      </c>
      <c r="AH462" s="45">
        <v>0</v>
      </c>
      <c r="AI462" s="45">
        <v>0</v>
      </c>
      <c r="AJ462" s="45">
        <v>0</v>
      </c>
      <c r="AK462" s="45">
        <v>0</v>
      </c>
      <c r="AL462" s="45">
        <v>0</v>
      </c>
      <c r="AM462" s="45">
        <v>0</v>
      </c>
      <c r="AN462" s="45">
        <v>0</v>
      </c>
      <c r="AO462" s="45">
        <v>0</v>
      </c>
      <c r="AP462" s="45">
        <v>0</v>
      </c>
      <c r="AQ462" s="45">
        <v>0</v>
      </c>
      <c r="AR462" s="45">
        <v>0</v>
      </c>
      <c r="AS462" s="45">
        <v>0</v>
      </c>
      <c r="AT462" s="45">
        <v>0</v>
      </c>
      <c r="AU462" s="45">
        <v>0</v>
      </c>
      <c r="AV462" s="45">
        <v>0</v>
      </c>
      <c r="AW462" s="45">
        <v>0</v>
      </c>
      <c r="AX462" s="45">
        <v>0</v>
      </c>
      <c r="AY462" s="45">
        <v>0</v>
      </c>
      <c r="AZ462" s="45">
        <v>0</v>
      </c>
      <c r="BA462" s="45">
        <v>0</v>
      </c>
      <c r="BB462" s="45">
        <v>0</v>
      </c>
      <c r="BC462" s="45">
        <v>0</v>
      </c>
      <c r="BD462" s="45">
        <v>0</v>
      </c>
      <c r="BE462" s="45">
        <v>0</v>
      </c>
      <c r="BF462" s="45">
        <v>0</v>
      </c>
      <c r="BG462" s="45">
        <v>0</v>
      </c>
      <c r="BH462" s="45">
        <v>0</v>
      </c>
      <c r="BI462" s="45">
        <v>0</v>
      </c>
      <c r="BJ462" s="45">
        <v>0</v>
      </c>
      <c r="BK462" s="45">
        <v>0</v>
      </c>
      <c r="BL462" s="45">
        <v>0</v>
      </c>
      <c r="BM462" s="45">
        <v>0</v>
      </c>
      <c r="BN462" s="45">
        <v>0</v>
      </c>
      <c r="BO462" s="45">
        <v>0</v>
      </c>
      <c r="BP462" s="45">
        <v>0</v>
      </c>
      <c r="BQ462" s="45">
        <v>0</v>
      </c>
      <c r="BR462" s="45">
        <v>0</v>
      </c>
      <c r="BS462" s="45">
        <v>0</v>
      </c>
      <c r="BT462" s="45">
        <v>0</v>
      </c>
      <c r="BU462" s="45">
        <v>0</v>
      </c>
      <c r="BV462" s="45">
        <v>0</v>
      </c>
      <c r="BW462" s="45">
        <v>0</v>
      </c>
      <c r="BX462" s="45">
        <v>0</v>
      </c>
      <c r="BY462" s="45">
        <v>0</v>
      </c>
      <c r="BZ462" s="45">
        <v>0</v>
      </c>
      <c r="CA462" s="45">
        <v>0</v>
      </c>
      <c r="CB462" s="45">
        <v>0</v>
      </c>
      <c r="CC462" s="45">
        <v>0</v>
      </c>
      <c r="CD462" s="45">
        <v>0</v>
      </c>
      <c r="CE462" s="45">
        <v>0</v>
      </c>
      <c r="CF462" s="45">
        <v>0</v>
      </c>
      <c r="CG462" s="45">
        <v>0</v>
      </c>
      <c r="CH462" s="45">
        <v>0</v>
      </c>
      <c r="CI462" s="45">
        <v>0</v>
      </c>
      <c r="CJ462" s="45">
        <v>0</v>
      </c>
      <c r="CK462" s="45">
        <v>0</v>
      </c>
      <c r="CL462" s="45">
        <v>0</v>
      </c>
      <c r="CM462" s="45">
        <v>0</v>
      </c>
      <c r="CN462" s="45">
        <v>0</v>
      </c>
      <c r="CO462" s="45">
        <v>0</v>
      </c>
      <c r="CP462" s="45">
        <v>0</v>
      </c>
      <c r="CQ462" s="45">
        <v>0</v>
      </c>
      <c r="CR462" s="45">
        <v>0</v>
      </c>
      <c r="CS462" s="45">
        <v>0</v>
      </c>
      <c r="CT462" s="45">
        <v>0</v>
      </c>
      <c r="CU462" s="45">
        <v>0</v>
      </c>
      <c r="CV462" s="45">
        <v>0</v>
      </c>
      <c r="CW462" s="45">
        <v>0</v>
      </c>
      <c r="CX462" s="45">
        <v>0</v>
      </c>
      <c r="CY462" s="45">
        <v>0</v>
      </c>
      <c r="CZ462" s="45">
        <v>0</v>
      </c>
      <c r="DA462" s="45">
        <v>0</v>
      </c>
      <c r="DB462" s="45">
        <v>0</v>
      </c>
      <c r="DC462" s="45">
        <v>0</v>
      </c>
    </row>
    <row r="463" spans="1:107" x14ac:dyDescent="0.3">
      <c r="C463" s="101" t="str">
        <f>++C$22</f>
        <v>Other Operating Expense (Income)</v>
      </c>
      <c r="G463" s="374">
        <f>++(G454-G464)-SUM(G458:G462)</f>
        <v>0</v>
      </c>
      <c r="H463" s="200">
        <f t="shared" ref="H463" si="6919">++(H454-H464)-SUM(H458:H462)</f>
        <v>0</v>
      </c>
      <c r="I463" s="200">
        <f t="shared" ref="I463" si="6920">++(I454-I464)-SUM(I458:I462)</f>
        <v>0</v>
      </c>
      <c r="J463" s="200">
        <f t="shared" ref="J463" si="6921">++(J454-J464)-SUM(J458:J462)</f>
        <v>0</v>
      </c>
      <c r="K463" s="374">
        <f t="shared" ref="K463" si="6922">++(K454-K464)-SUM(K458:K462)</f>
        <v>0</v>
      </c>
      <c r="L463" s="200">
        <f t="shared" ref="L463" si="6923">++(L454-L464)-SUM(L458:L462)</f>
        <v>0</v>
      </c>
      <c r="M463" s="200">
        <f t="shared" ref="M463" si="6924">++(M454-M464)-SUM(M458:M462)</f>
        <v>0</v>
      </c>
      <c r="N463" s="200">
        <f t="shared" ref="N463" si="6925">++(N454-N464)-SUM(N458:N462)</f>
        <v>0</v>
      </c>
      <c r="O463" s="200">
        <f t="shared" ref="O463" si="6926">++(O454-O464)-SUM(O458:O462)</f>
        <v>0</v>
      </c>
      <c r="P463" s="200">
        <f t="shared" ref="P463" si="6927">++(P454-P464)-SUM(P458:P462)</f>
        <v>0</v>
      </c>
      <c r="Q463" s="200">
        <f t="shared" ref="Q463" si="6928">++(Q454-Q464)-SUM(Q458:Q462)</f>
        <v>0</v>
      </c>
      <c r="R463" s="200">
        <f t="shared" ref="R463" si="6929">++(R454-R464)-SUM(R458:R462)</f>
        <v>0</v>
      </c>
      <c r="S463" s="200">
        <f t="shared" ref="S463" si="6930">++(S454-S464)-SUM(S458:S462)</f>
        <v>0</v>
      </c>
      <c r="T463" s="200">
        <f t="shared" ref="T463" si="6931">++(T454-T464)-SUM(T458:T462)</f>
        <v>0</v>
      </c>
      <c r="U463" s="200">
        <f t="shared" ref="U463" si="6932">++(U454-U464)-SUM(U458:U462)</f>
        <v>0</v>
      </c>
      <c r="V463" s="200">
        <f t="shared" ref="V463" si="6933">++(V454-V464)-SUM(V458:V462)</f>
        <v>0</v>
      </c>
      <c r="W463" s="374">
        <f t="shared" ref="W463" si="6934">++(W454-W464)-SUM(W458:W462)</f>
        <v>0</v>
      </c>
      <c r="X463" s="200">
        <f t="shared" ref="X463" si="6935">++(X454-X464)-SUM(X458:X462)</f>
        <v>0</v>
      </c>
      <c r="Y463" s="200">
        <f t="shared" ref="Y463" si="6936">++(Y454-Y464)-SUM(Y458:Y462)</f>
        <v>0</v>
      </c>
      <c r="Z463" s="200">
        <f t="shared" ref="Z463" si="6937">++(Z454-Z464)-SUM(Z458:Z462)</f>
        <v>0</v>
      </c>
      <c r="AA463" s="200">
        <f t="shared" ref="AA463" si="6938">++(AA454-AA464)-SUM(AA458:AA462)</f>
        <v>0</v>
      </c>
      <c r="AB463" s="200">
        <f t="shared" ref="AB463" si="6939">++(AB454-AB464)-SUM(AB458:AB462)</f>
        <v>0</v>
      </c>
      <c r="AC463" s="200">
        <f t="shared" ref="AC463" si="6940">++(AC454-AC464)-SUM(AC458:AC462)</f>
        <v>0</v>
      </c>
      <c r="AD463" s="200">
        <f t="shared" ref="AD463" si="6941">++(AD454-AD464)-SUM(AD458:AD462)</f>
        <v>0</v>
      </c>
      <c r="AE463" s="200">
        <f t="shared" ref="AE463" si="6942">++(AE454-AE464)-SUM(AE458:AE462)</f>
        <v>0</v>
      </c>
      <c r="AF463" s="200">
        <f t="shared" ref="AF463" si="6943">++(AF454-AF464)-SUM(AF458:AF462)</f>
        <v>0</v>
      </c>
      <c r="AG463" s="200">
        <f t="shared" ref="AG463" si="6944">++(AG454-AG464)-SUM(AG458:AG462)</f>
        <v>0</v>
      </c>
      <c r="AH463" s="200">
        <f t="shared" ref="AH463" si="6945">++(AH454-AH464)-SUM(AH458:AH462)</f>
        <v>0</v>
      </c>
      <c r="AI463" s="374">
        <f t="shared" ref="AI463" si="6946">++(AI454-AI464)-SUM(AI458:AI462)</f>
        <v>0</v>
      </c>
      <c r="AJ463" s="200">
        <f t="shared" ref="AJ463" si="6947">++(AJ454-AJ464)-SUM(AJ458:AJ462)</f>
        <v>0</v>
      </c>
      <c r="AK463" s="200">
        <f t="shared" ref="AK463" si="6948">++(AK454-AK464)-SUM(AK458:AK462)</f>
        <v>0</v>
      </c>
      <c r="AL463" s="200">
        <f t="shared" ref="AL463" si="6949">++(AL454-AL464)-SUM(AL458:AL462)</f>
        <v>0</v>
      </c>
      <c r="AM463" s="200">
        <f t="shared" ref="AM463" si="6950">++(AM454-AM464)-SUM(AM458:AM462)</f>
        <v>0</v>
      </c>
      <c r="AN463" s="200">
        <f t="shared" ref="AN463" si="6951">++(AN454-AN464)-SUM(AN458:AN462)</f>
        <v>0</v>
      </c>
      <c r="AO463" s="200">
        <f t="shared" ref="AO463" si="6952">++(AO454-AO464)-SUM(AO458:AO462)</f>
        <v>0</v>
      </c>
      <c r="AP463" s="200">
        <f t="shared" ref="AP463" si="6953">++(AP454-AP464)-SUM(AP458:AP462)</f>
        <v>0</v>
      </c>
      <c r="AQ463" s="200">
        <f t="shared" ref="AQ463" si="6954">++(AQ454-AQ464)-SUM(AQ458:AQ462)</f>
        <v>0</v>
      </c>
      <c r="AR463" s="200">
        <f t="shared" ref="AR463" si="6955">++(AR454-AR464)-SUM(AR458:AR462)</f>
        <v>0</v>
      </c>
      <c r="AS463" s="200">
        <f t="shared" ref="AS463" si="6956">++(AS454-AS464)-SUM(AS458:AS462)</f>
        <v>0</v>
      </c>
      <c r="AT463" s="200">
        <f t="shared" ref="AT463" si="6957">++(AT454-AT464)-SUM(AT458:AT462)</f>
        <v>0</v>
      </c>
      <c r="AU463" s="374">
        <f t="shared" ref="AU463" si="6958">++(AU454-AU464)-SUM(AU458:AU462)</f>
        <v>0</v>
      </c>
      <c r="AV463" s="200">
        <f t="shared" ref="AV463" si="6959">++(AV454-AV464)-SUM(AV458:AV462)</f>
        <v>0</v>
      </c>
      <c r="AW463" s="200">
        <f t="shared" ref="AW463" si="6960">++(AW454-AW464)-SUM(AW458:AW462)</f>
        <v>0</v>
      </c>
      <c r="AX463" s="200">
        <f t="shared" ref="AX463" si="6961">++(AX454-AX464)-SUM(AX458:AX462)</f>
        <v>0</v>
      </c>
      <c r="AY463" s="200">
        <f t="shared" ref="AY463" si="6962">++(AY454-AY464)-SUM(AY458:AY462)</f>
        <v>0</v>
      </c>
      <c r="AZ463" s="200">
        <f t="shared" ref="AZ463" si="6963">++(AZ454-AZ464)-SUM(AZ458:AZ462)</f>
        <v>0</v>
      </c>
      <c r="BA463" s="200">
        <f t="shared" ref="BA463" si="6964">++(BA454-BA464)-SUM(BA458:BA462)</f>
        <v>0</v>
      </c>
      <c r="BB463" s="200">
        <f t="shared" ref="BB463" si="6965">++(BB454-BB464)-SUM(BB458:BB462)</f>
        <v>0</v>
      </c>
      <c r="BC463" s="200">
        <f t="shared" ref="BC463" si="6966">++(BC454-BC464)-SUM(BC458:BC462)</f>
        <v>0</v>
      </c>
      <c r="BD463" s="200">
        <f t="shared" ref="BD463" si="6967">++(BD454-BD464)-SUM(BD458:BD462)</f>
        <v>0</v>
      </c>
      <c r="BE463" s="200">
        <f t="shared" ref="BE463" si="6968">++(BE454-BE464)-SUM(BE458:BE462)</f>
        <v>0</v>
      </c>
      <c r="BF463" s="200">
        <f t="shared" ref="BF463" si="6969">++(BF454-BF464)-SUM(BF458:BF462)</f>
        <v>0</v>
      </c>
      <c r="BG463" s="374">
        <f t="shared" ref="BG463" si="6970">++(BG454-BG464)-SUM(BG458:BG462)</f>
        <v>0</v>
      </c>
      <c r="BH463" s="200">
        <f t="shared" ref="BH463" si="6971">++(BH454-BH464)-SUM(BH458:BH462)</f>
        <v>0</v>
      </c>
      <c r="BI463" s="200">
        <f t="shared" ref="BI463" si="6972">++(BI454-BI464)-SUM(BI458:BI462)</f>
        <v>0</v>
      </c>
      <c r="BJ463" s="200">
        <f t="shared" ref="BJ463" si="6973">++(BJ454-BJ464)-SUM(BJ458:BJ462)</f>
        <v>0</v>
      </c>
      <c r="BK463" s="200">
        <f t="shared" ref="BK463" si="6974">++(BK454-BK464)-SUM(BK458:BK462)</f>
        <v>0</v>
      </c>
      <c r="BL463" s="200">
        <f t="shared" ref="BL463" si="6975">++(BL454-BL464)-SUM(BL458:BL462)</f>
        <v>0</v>
      </c>
      <c r="BM463" s="200">
        <f t="shared" ref="BM463" si="6976">++(BM454-BM464)-SUM(BM458:BM462)</f>
        <v>0</v>
      </c>
      <c r="BN463" s="200">
        <f t="shared" ref="BN463" si="6977">++(BN454-BN464)-SUM(BN458:BN462)</f>
        <v>0</v>
      </c>
      <c r="BO463" s="200">
        <f t="shared" ref="BO463" si="6978">++(BO454-BO464)-SUM(BO458:BO462)</f>
        <v>0</v>
      </c>
      <c r="BP463" s="200">
        <f t="shared" ref="BP463" si="6979">++(BP454-BP464)-SUM(BP458:BP462)</f>
        <v>0</v>
      </c>
      <c r="BQ463" s="200">
        <f t="shared" ref="BQ463" si="6980">++(BQ454-BQ464)-SUM(BQ458:BQ462)</f>
        <v>0</v>
      </c>
      <c r="BR463" s="200">
        <f t="shared" ref="BR463" si="6981">++(BR454-BR464)-SUM(BR458:BR462)</f>
        <v>0</v>
      </c>
      <c r="BS463" s="374">
        <f t="shared" ref="BS463" si="6982">++(BS454-BS464)-SUM(BS458:BS462)</f>
        <v>0</v>
      </c>
      <c r="BT463" s="200">
        <f t="shared" ref="BT463" si="6983">++(BT454-BT464)-SUM(BT458:BT462)</f>
        <v>0</v>
      </c>
      <c r="BU463" s="200">
        <f t="shared" ref="BU463" si="6984">++(BU454-BU464)-SUM(BU458:BU462)</f>
        <v>0</v>
      </c>
      <c r="BV463" s="200">
        <f t="shared" ref="BV463" si="6985">++(BV454-BV464)-SUM(BV458:BV462)</f>
        <v>0</v>
      </c>
      <c r="BW463" s="200">
        <f t="shared" ref="BW463" si="6986">++(BW454-BW464)-SUM(BW458:BW462)</f>
        <v>0</v>
      </c>
      <c r="BX463" s="200">
        <f t="shared" ref="BX463" si="6987">++(BX454-BX464)-SUM(BX458:BX462)</f>
        <v>0</v>
      </c>
      <c r="BY463" s="200">
        <f t="shared" ref="BY463" si="6988">++(BY454-BY464)-SUM(BY458:BY462)</f>
        <v>0</v>
      </c>
      <c r="BZ463" s="200">
        <f t="shared" ref="BZ463" si="6989">++(BZ454-BZ464)-SUM(BZ458:BZ462)</f>
        <v>0</v>
      </c>
      <c r="CA463" s="200">
        <f t="shared" ref="CA463" si="6990">++(CA454-CA464)-SUM(CA458:CA462)</f>
        <v>0</v>
      </c>
      <c r="CB463" s="200">
        <f t="shared" ref="CB463" si="6991">++(CB454-CB464)-SUM(CB458:CB462)</f>
        <v>0</v>
      </c>
      <c r="CC463" s="200">
        <f t="shared" ref="CC463" si="6992">++(CC454-CC464)-SUM(CC458:CC462)</f>
        <v>0</v>
      </c>
      <c r="CD463" s="200">
        <f t="shared" ref="CD463" si="6993">++(CD454-CD464)-SUM(CD458:CD462)</f>
        <v>0</v>
      </c>
      <c r="CE463" s="374">
        <f t="shared" ref="CE463" si="6994">++(CE454-CE464)-SUM(CE458:CE462)</f>
        <v>0</v>
      </c>
      <c r="CF463" s="200">
        <f t="shared" ref="CF463" si="6995">++(CF454-CF464)-SUM(CF458:CF462)</f>
        <v>0</v>
      </c>
      <c r="CG463" s="200">
        <f t="shared" ref="CG463" si="6996">++(CG454-CG464)-SUM(CG458:CG462)</f>
        <v>0</v>
      </c>
      <c r="CH463" s="200">
        <f t="shared" ref="CH463" si="6997">++(CH454-CH464)-SUM(CH458:CH462)</f>
        <v>0</v>
      </c>
      <c r="CI463" s="200">
        <f t="shared" ref="CI463" si="6998">++(CI454-CI464)-SUM(CI458:CI462)</f>
        <v>0</v>
      </c>
      <c r="CJ463" s="200">
        <f t="shared" ref="CJ463" si="6999">++(CJ454-CJ464)-SUM(CJ458:CJ462)</f>
        <v>0</v>
      </c>
      <c r="CK463" s="200">
        <f t="shared" ref="CK463" si="7000">++(CK454-CK464)-SUM(CK458:CK462)</f>
        <v>0</v>
      </c>
      <c r="CL463" s="200">
        <f t="shared" ref="CL463" si="7001">++(CL454-CL464)-SUM(CL458:CL462)</f>
        <v>0</v>
      </c>
      <c r="CM463" s="200">
        <f t="shared" ref="CM463" si="7002">++(CM454-CM464)-SUM(CM458:CM462)</f>
        <v>0</v>
      </c>
      <c r="CN463" s="200">
        <f t="shared" ref="CN463" si="7003">++(CN454-CN464)-SUM(CN458:CN462)</f>
        <v>0</v>
      </c>
      <c r="CO463" s="200">
        <f t="shared" ref="CO463" si="7004">++(CO454-CO464)-SUM(CO458:CO462)</f>
        <v>0</v>
      </c>
      <c r="CP463" s="200">
        <f t="shared" ref="CP463" si="7005">++(CP454-CP464)-SUM(CP458:CP462)</f>
        <v>0</v>
      </c>
      <c r="CQ463" s="374">
        <f t="shared" ref="CQ463" si="7006">++(CQ454-CQ464)-SUM(CQ458:CQ462)</f>
        <v>0</v>
      </c>
      <c r="CR463" s="200">
        <f t="shared" ref="CR463" si="7007">++(CR454-CR464)-SUM(CR458:CR462)</f>
        <v>0</v>
      </c>
      <c r="CS463" s="200">
        <f t="shared" ref="CS463" si="7008">++(CS454-CS464)-SUM(CS458:CS462)</f>
        <v>0</v>
      </c>
      <c r="CT463" s="200">
        <f t="shared" ref="CT463" si="7009">++(CT454-CT464)-SUM(CT458:CT462)</f>
        <v>0</v>
      </c>
      <c r="CU463" s="200">
        <f t="shared" ref="CU463" si="7010">++(CU454-CU464)-SUM(CU458:CU462)</f>
        <v>0</v>
      </c>
      <c r="CV463" s="200">
        <f t="shared" ref="CV463" si="7011">++(CV454-CV464)-SUM(CV458:CV462)</f>
        <v>0</v>
      </c>
      <c r="CW463" s="200">
        <f t="shared" ref="CW463" si="7012">++(CW454-CW464)-SUM(CW458:CW462)</f>
        <v>0</v>
      </c>
      <c r="CX463" s="200">
        <f t="shared" ref="CX463" si="7013">++(CX454-CX464)-SUM(CX458:CX462)</f>
        <v>0</v>
      </c>
      <c r="CY463" s="200">
        <f t="shared" ref="CY463" si="7014">++(CY454-CY464)-SUM(CY458:CY462)</f>
        <v>0</v>
      </c>
      <c r="CZ463" s="200">
        <f t="shared" ref="CZ463" si="7015">++(CZ454-CZ464)-SUM(CZ458:CZ462)</f>
        <v>0</v>
      </c>
      <c r="DA463" s="200">
        <f t="shared" ref="DA463" si="7016">++(DA454-DA464)-SUM(DA458:DA462)</f>
        <v>0</v>
      </c>
      <c r="DB463" s="200">
        <f t="shared" ref="DB463" si="7017">++(DB454-DB464)-SUM(DB458:DB462)</f>
        <v>0</v>
      </c>
      <c r="DC463" s="374">
        <f t="shared" ref="DC463" si="7018">++(DC454-DC464)-SUM(DC458:DC462)</f>
        <v>0</v>
      </c>
    </row>
    <row r="464" spans="1:107" x14ac:dyDescent="0.3">
      <c r="C464" s="231" t="str">
        <f>++C$23</f>
        <v>Operating Income (Loss)</v>
      </c>
      <c r="D464" s="191"/>
      <c r="E464" s="191"/>
      <c r="G464" s="239">
        <f>++SUM(G468:G470)</f>
        <v>0</v>
      </c>
      <c r="H464" s="232">
        <f t="shared" ref="H464:BS464" si="7019">++SUM(H468:H470)</f>
        <v>0</v>
      </c>
      <c r="I464" s="232">
        <f t="shared" si="7019"/>
        <v>0</v>
      </c>
      <c r="J464" s="232">
        <f t="shared" si="7019"/>
        <v>0</v>
      </c>
      <c r="K464" s="239">
        <f t="shared" si="7019"/>
        <v>0</v>
      </c>
      <c r="L464" s="232">
        <f t="shared" si="7019"/>
        <v>0</v>
      </c>
      <c r="M464" s="232">
        <f t="shared" si="7019"/>
        <v>0</v>
      </c>
      <c r="N464" s="232">
        <f t="shared" si="7019"/>
        <v>0</v>
      </c>
      <c r="O464" s="232">
        <f t="shared" si="7019"/>
        <v>0</v>
      </c>
      <c r="P464" s="232">
        <f t="shared" si="7019"/>
        <v>0</v>
      </c>
      <c r="Q464" s="232">
        <f t="shared" si="7019"/>
        <v>0</v>
      </c>
      <c r="R464" s="232">
        <f t="shared" si="7019"/>
        <v>0</v>
      </c>
      <c r="S464" s="232">
        <f t="shared" si="7019"/>
        <v>0</v>
      </c>
      <c r="T464" s="232">
        <f t="shared" si="7019"/>
        <v>0</v>
      </c>
      <c r="U464" s="232">
        <f t="shared" si="7019"/>
        <v>0</v>
      </c>
      <c r="V464" s="232">
        <f t="shared" si="7019"/>
        <v>0</v>
      </c>
      <c r="W464" s="239">
        <f t="shared" si="7019"/>
        <v>0</v>
      </c>
      <c r="X464" s="232">
        <f t="shared" si="7019"/>
        <v>0</v>
      </c>
      <c r="Y464" s="232">
        <f t="shared" si="7019"/>
        <v>0</v>
      </c>
      <c r="Z464" s="232">
        <f t="shared" si="7019"/>
        <v>0</v>
      </c>
      <c r="AA464" s="232">
        <f t="shared" si="7019"/>
        <v>0</v>
      </c>
      <c r="AB464" s="232">
        <f t="shared" si="7019"/>
        <v>0</v>
      </c>
      <c r="AC464" s="232">
        <f t="shared" si="7019"/>
        <v>0</v>
      </c>
      <c r="AD464" s="232">
        <f t="shared" si="7019"/>
        <v>0</v>
      </c>
      <c r="AE464" s="232">
        <f t="shared" si="7019"/>
        <v>0</v>
      </c>
      <c r="AF464" s="232">
        <f t="shared" si="7019"/>
        <v>0</v>
      </c>
      <c r="AG464" s="232">
        <f t="shared" si="7019"/>
        <v>0</v>
      </c>
      <c r="AH464" s="232">
        <f t="shared" si="7019"/>
        <v>0</v>
      </c>
      <c r="AI464" s="239">
        <f t="shared" si="7019"/>
        <v>0</v>
      </c>
      <c r="AJ464" s="232">
        <f t="shared" si="7019"/>
        <v>0</v>
      </c>
      <c r="AK464" s="232">
        <f t="shared" si="7019"/>
        <v>0</v>
      </c>
      <c r="AL464" s="232">
        <f t="shared" si="7019"/>
        <v>0</v>
      </c>
      <c r="AM464" s="232">
        <f t="shared" si="7019"/>
        <v>0</v>
      </c>
      <c r="AN464" s="232">
        <f t="shared" si="7019"/>
        <v>0</v>
      </c>
      <c r="AO464" s="232">
        <f t="shared" si="7019"/>
        <v>0</v>
      </c>
      <c r="AP464" s="232">
        <f t="shared" si="7019"/>
        <v>0</v>
      </c>
      <c r="AQ464" s="232">
        <f t="shared" si="7019"/>
        <v>0</v>
      </c>
      <c r="AR464" s="232">
        <f t="shared" si="7019"/>
        <v>0</v>
      </c>
      <c r="AS464" s="232">
        <f t="shared" si="7019"/>
        <v>0</v>
      </c>
      <c r="AT464" s="232">
        <f t="shared" si="7019"/>
        <v>0</v>
      </c>
      <c r="AU464" s="239">
        <f t="shared" si="7019"/>
        <v>0</v>
      </c>
      <c r="AV464" s="232">
        <f t="shared" si="7019"/>
        <v>0</v>
      </c>
      <c r="AW464" s="232">
        <f t="shared" si="7019"/>
        <v>0</v>
      </c>
      <c r="AX464" s="232">
        <f t="shared" si="7019"/>
        <v>0</v>
      </c>
      <c r="AY464" s="232">
        <f t="shared" si="7019"/>
        <v>0</v>
      </c>
      <c r="AZ464" s="232">
        <f t="shared" si="7019"/>
        <v>0</v>
      </c>
      <c r="BA464" s="232">
        <f t="shared" si="7019"/>
        <v>0</v>
      </c>
      <c r="BB464" s="232">
        <f t="shared" si="7019"/>
        <v>0</v>
      </c>
      <c r="BC464" s="232">
        <f t="shared" si="7019"/>
        <v>0</v>
      </c>
      <c r="BD464" s="232">
        <f t="shared" si="7019"/>
        <v>0</v>
      </c>
      <c r="BE464" s="232">
        <f t="shared" si="7019"/>
        <v>0</v>
      </c>
      <c r="BF464" s="232">
        <f t="shared" si="7019"/>
        <v>0</v>
      </c>
      <c r="BG464" s="239">
        <f t="shared" si="7019"/>
        <v>0</v>
      </c>
      <c r="BH464" s="232">
        <f t="shared" si="7019"/>
        <v>0</v>
      </c>
      <c r="BI464" s="232">
        <f t="shared" si="7019"/>
        <v>0</v>
      </c>
      <c r="BJ464" s="232">
        <f t="shared" si="7019"/>
        <v>0</v>
      </c>
      <c r="BK464" s="232">
        <f t="shared" si="7019"/>
        <v>0</v>
      </c>
      <c r="BL464" s="232">
        <f t="shared" si="7019"/>
        <v>0</v>
      </c>
      <c r="BM464" s="232">
        <f t="shared" si="7019"/>
        <v>0</v>
      </c>
      <c r="BN464" s="232">
        <f t="shared" si="7019"/>
        <v>0</v>
      </c>
      <c r="BO464" s="232">
        <f t="shared" si="7019"/>
        <v>0</v>
      </c>
      <c r="BP464" s="232">
        <f t="shared" si="7019"/>
        <v>0</v>
      </c>
      <c r="BQ464" s="232">
        <f t="shared" si="7019"/>
        <v>0</v>
      </c>
      <c r="BR464" s="232">
        <f t="shared" si="7019"/>
        <v>0</v>
      </c>
      <c r="BS464" s="239">
        <f t="shared" si="7019"/>
        <v>0</v>
      </c>
      <c r="BT464" s="232">
        <f t="shared" ref="BT464:DC464" si="7020">++SUM(BT468:BT470)</f>
        <v>0</v>
      </c>
      <c r="BU464" s="232">
        <f t="shared" si="7020"/>
        <v>0</v>
      </c>
      <c r="BV464" s="232">
        <f t="shared" si="7020"/>
        <v>0</v>
      </c>
      <c r="BW464" s="232">
        <f t="shared" si="7020"/>
        <v>0</v>
      </c>
      <c r="BX464" s="232">
        <f t="shared" si="7020"/>
        <v>0</v>
      </c>
      <c r="BY464" s="232">
        <f t="shared" si="7020"/>
        <v>0</v>
      </c>
      <c r="BZ464" s="232">
        <f t="shared" si="7020"/>
        <v>0</v>
      </c>
      <c r="CA464" s="232">
        <f t="shared" si="7020"/>
        <v>0</v>
      </c>
      <c r="CB464" s="232">
        <f t="shared" si="7020"/>
        <v>0</v>
      </c>
      <c r="CC464" s="232">
        <f t="shared" si="7020"/>
        <v>0</v>
      </c>
      <c r="CD464" s="232">
        <f t="shared" si="7020"/>
        <v>0</v>
      </c>
      <c r="CE464" s="239">
        <f t="shared" si="7020"/>
        <v>0</v>
      </c>
      <c r="CF464" s="232">
        <f t="shared" si="7020"/>
        <v>0</v>
      </c>
      <c r="CG464" s="232">
        <f t="shared" si="7020"/>
        <v>0</v>
      </c>
      <c r="CH464" s="232">
        <f t="shared" si="7020"/>
        <v>0</v>
      </c>
      <c r="CI464" s="232">
        <f t="shared" si="7020"/>
        <v>0</v>
      </c>
      <c r="CJ464" s="232">
        <f t="shared" si="7020"/>
        <v>0</v>
      </c>
      <c r="CK464" s="232">
        <f t="shared" si="7020"/>
        <v>0</v>
      </c>
      <c r="CL464" s="232">
        <f t="shared" si="7020"/>
        <v>0</v>
      </c>
      <c r="CM464" s="232">
        <f t="shared" si="7020"/>
        <v>0</v>
      </c>
      <c r="CN464" s="232">
        <f t="shared" si="7020"/>
        <v>0</v>
      </c>
      <c r="CO464" s="232">
        <f t="shared" si="7020"/>
        <v>0</v>
      </c>
      <c r="CP464" s="232">
        <f t="shared" si="7020"/>
        <v>0</v>
      </c>
      <c r="CQ464" s="239">
        <f t="shared" si="7020"/>
        <v>0</v>
      </c>
      <c r="CR464" s="232">
        <f t="shared" si="7020"/>
        <v>0</v>
      </c>
      <c r="CS464" s="232">
        <f t="shared" si="7020"/>
        <v>0</v>
      </c>
      <c r="CT464" s="232">
        <f t="shared" si="7020"/>
        <v>0</v>
      </c>
      <c r="CU464" s="232">
        <f t="shared" si="7020"/>
        <v>0</v>
      </c>
      <c r="CV464" s="232">
        <f t="shared" si="7020"/>
        <v>0</v>
      </c>
      <c r="CW464" s="232">
        <f t="shared" si="7020"/>
        <v>0</v>
      </c>
      <c r="CX464" s="232">
        <f t="shared" si="7020"/>
        <v>0</v>
      </c>
      <c r="CY464" s="232">
        <f t="shared" si="7020"/>
        <v>0</v>
      </c>
      <c r="CZ464" s="232">
        <f t="shared" si="7020"/>
        <v>0</v>
      </c>
      <c r="DA464" s="232">
        <f t="shared" si="7020"/>
        <v>0</v>
      </c>
      <c r="DB464" s="232">
        <f t="shared" si="7020"/>
        <v>0</v>
      </c>
      <c r="DC464" s="239">
        <f t="shared" si="7020"/>
        <v>0</v>
      </c>
    </row>
    <row r="465" spans="3:107" x14ac:dyDescent="0.3">
      <c r="C465" s="321" t="str">
        <f>++C$24</f>
        <v>% margin</v>
      </c>
      <c r="G465" s="214" t="str">
        <f t="shared" ref="G465:AL465" si="7021">++IFERROR(G464/G451,"n/a")</f>
        <v>n/a</v>
      </c>
      <c r="H465" s="225" t="str">
        <f t="shared" si="7021"/>
        <v>n/a</v>
      </c>
      <c r="I465" s="225" t="str">
        <f t="shared" si="7021"/>
        <v>n/a</v>
      </c>
      <c r="J465" s="225" t="str">
        <f t="shared" si="7021"/>
        <v>n/a</v>
      </c>
      <c r="K465" s="214" t="str">
        <f t="shared" si="7021"/>
        <v>n/a</v>
      </c>
      <c r="L465" s="225" t="str">
        <f t="shared" si="7021"/>
        <v>n/a</v>
      </c>
      <c r="M465" s="225" t="str">
        <f t="shared" si="7021"/>
        <v>n/a</v>
      </c>
      <c r="N465" s="225" t="str">
        <f t="shared" si="7021"/>
        <v>n/a</v>
      </c>
      <c r="O465" s="225" t="str">
        <f t="shared" si="7021"/>
        <v>n/a</v>
      </c>
      <c r="P465" s="225" t="str">
        <f t="shared" si="7021"/>
        <v>n/a</v>
      </c>
      <c r="Q465" s="225" t="str">
        <f t="shared" si="7021"/>
        <v>n/a</v>
      </c>
      <c r="R465" s="225" t="str">
        <f t="shared" si="7021"/>
        <v>n/a</v>
      </c>
      <c r="S465" s="225" t="str">
        <f t="shared" si="7021"/>
        <v>n/a</v>
      </c>
      <c r="T465" s="225" t="str">
        <f t="shared" si="7021"/>
        <v>n/a</v>
      </c>
      <c r="U465" s="225" t="str">
        <f t="shared" si="7021"/>
        <v>n/a</v>
      </c>
      <c r="V465" s="225" t="str">
        <f t="shared" si="7021"/>
        <v>n/a</v>
      </c>
      <c r="W465" s="214" t="str">
        <f t="shared" si="7021"/>
        <v>n/a</v>
      </c>
      <c r="X465" s="225" t="str">
        <f t="shared" si="7021"/>
        <v>n/a</v>
      </c>
      <c r="Y465" s="225" t="str">
        <f t="shared" si="7021"/>
        <v>n/a</v>
      </c>
      <c r="Z465" s="225" t="str">
        <f t="shared" si="7021"/>
        <v>n/a</v>
      </c>
      <c r="AA465" s="225" t="str">
        <f t="shared" si="7021"/>
        <v>n/a</v>
      </c>
      <c r="AB465" s="225" t="str">
        <f t="shared" si="7021"/>
        <v>n/a</v>
      </c>
      <c r="AC465" s="225" t="str">
        <f t="shared" si="7021"/>
        <v>n/a</v>
      </c>
      <c r="AD465" s="225" t="str">
        <f t="shared" si="7021"/>
        <v>n/a</v>
      </c>
      <c r="AE465" s="225" t="str">
        <f t="shared" si="7021"/>
        <v>n/a</v>
      </c>
      <c r="AF465" s="225" t="str">
        <f t="shared" si="7021"/>
        <v>n/a</v>
      </c>
      <c r="AG465" s="225" t="str">
        <f t="shared" si="7021"/>
        <v>n/a</v>
      </c>
      <c r="AH465" s="225" t="str">
        <f t="shared" si="7021"/>
        <v>n/a</v>
      </c>
      <c r="AI465" s="214" t="str">
        <f t="shared" si="7021"/>
        <v>n/a</v>
      </c>
      <c r="AJ465" s="225" t="str">
        <f t="shared" si="7021"/>
        <v>n/a</v>
      </c>
      <c r="AK465" s="225" t="str">
        <f t="shared" si="7021"/>
        <v>n/a</v>
      </c>
      <c r="AL465" s="225" t="str">
        <f t="shared" si="7021"/>
        <v>n/a</v>
      </c>
      <c r="AM465" s="225" t="str">
        <f t="shared" ref="AM465:BR465" si="7022">++IFERROR(AM464/AM451,"n/a")</f>
        <v>n/a</v>
      </c>
      <c r="AN465" s="225" t="str">
        <f t="shared" si="7022"/>
        <v>n/a</v>
      </c>
      <c r="AO465" s="225" t="str">
        <f t="shared" si="7022"/>
        <v>n/a</v>
      </c>
      <c r="AP465" s="225" t="str">
        <f t="shared" si="7022"/>
        <v>n/a</v>
      </c>
      <c r="AQ465" s="225" t="str">
        <f t="shared" si="7022"/>
        <v>n/a</v>
      </c>
      <c r="AR465" s="225" t="str">
        <f t="shared" si="7022"/>
        <v>n/a</v>
      </c>
      <c r="AS465" s="225" t="str">
        <f t="shared" si="7022"/>
        <v>n/a</v>
      </c>
      <c r="AT465" s="225" t="str">
        <f t="shared" si="7022"/>
        <v>n/a</v>
      </c>
      <c r="AU465" s="214" t="str">
        <f t="shared" si="7022"/>
        <v>n/a</v>
      </c>
      <c r="AV465" s="225" t="str">
        <f t="shared" si="7022"/>
        <v>n/a</v>
      </c>
      <c r="AW465" s="225" t="str">
        <f t="shared" si="7022"/>
        <v>n/a</v>
      </c>
      <c r="AX465" s="225" t="str">
        <f t="shared" si="7022"/>
        <v>n/a</v>
      </c>
      <c r="AY465" s="225" t="str">
        <f t="shared" si="7022"/>
        <v>n/a</v>
      </c>
      <c r="AZ465" s="225" t="str">
        <f t="shared" si="7022"/>
        <v>n/a</v>
      </c>
      <c r="BA465" s="225" t="str">
        <f t="shared" si="7022"/>
        <v>n/a</v>
      </c>
      <c r="BB465" s="225" t="str">
        <f t="shared" si="7022"/>
        <v>n/a</v>
      </c>
      <c r="BC465" s="225" t="str">
        <f t="shared" si="7022"/>
        <v>n/a</v>
      </c>
      <c r="BD465" s="225" t="str">
        <f t="shared" si="7022"/>
        <v>n/a</v>
      </c>
      <c r="BE465" s="225" t="str">
        <f t="shared" si="7022"/>
        <v>n/a</v>
      </c>
      <c r="BF465" s="225" t="str">
        <f t="shared" si="7022"/>
        <v>n/a</v>
      </c>
      <c r="BG465" s="214" t="str">
        <f t="shared" si="7022"/>
        <v>n/a</v>
      </c>
      <c r="BH465" s="225" t="str">
        <f t="shared" si="7022"/>
        <v>n/a</v>
      </c>
      <c r="BI465" s="225" t="str">
        <f t="shared" si="7022"/>
        <v>n/a</v>
      </c>
      <c r="BJ465" s="225" t="str">
        <f t="shared" si="7022"/>
        <v>n/a</v>
      </c>
      <c r="BK465" s="225" t="str">
        <f t="shared" si="7022"/>
        <v>n/a</v>
      </c>
      <c r="BL465" s="225" t="str">
        <f t="shared" si="7022"/>
        <v>n/a</v>
      </c>
      <c r="BM465" s="225" t="str">
        <f t="shared" si="7022"/>
        <v>n/a</v>
      </c>
      <c r="BN465" s="225" t="str">
        <f t="shared" si="7022"/>
        <v>n/a</v>
      </c>
      <c r="BO465" s="225" t="str">
        <f t="shared" si="7022"/>
        <v>n/a</v>
      </c>
      <c r="BP465" s="225" t="str">
        <f t="shared" si="7022"/>
        <v>n/a</v>
      </c>
      <c r="BQ465" s="225" t="str">
        <f t="shared" si="7022"/>
        <v>n/a</v>
      </c>
      <c r="BR465" s="225" t="str">
        <f t="shared" si="7022"/>
        <v>n/a</v>
      </c>
      <c r="BS465" s="214" t="str">
        <f t="shared" ref="BS465:CX465" si="7023">++IFERROR(BS464/BS451,"n/a")</f>
        <v>n/a</v>
      </c>
      <c r="BT465" s="225" t="str">
        <f t="shared" si="7023"/>
        <v>n/a</v>
      </c>
      <c r="BU465" s="225" t="str">
        <f t="shared" si="7023"/>
        <v>n/a</v>
      </c>
      <c r="BV465" s="225" t="str">
        <f t="shared" si="7023"/>
        <v>n/a</v>
      </c>
      <c r="BW465" s="225" t="str">
        <f t="shared" si="7023"/>
        <v>n/a</v>
      </c>
      <c r="BX465" s="225" t="str">
        <f t="shared" si="7023"/>
        <v>n/a</v>
      </c>
      <c r="BY465" s="225" t="str">
        <f t="shared" si="7023"/>
        <v>n/a</v>
      </c>
      <c r="BZ465" s="225" t="str">
        <f t="shared" si="7023"/>
        <v>n/a</v>
      </c>
      <c r="CA465" s="225" t="str">
        <f t="shared" si="7023"/>
        <v>n/a</v>
      </c>
      <c r="CB465" s="225" t="str">
        <f t="shared" si="7023"/>
        <v>n/a</v>
      </c>
      <c r="CC465" s="225" t="str">
        <f t="shared" si="7023"/>
        <v>n/a</v>
      </c>
      <c r="CD465" s="225" t="str">
        <f t="shared" si="7023"/>
        <v>n/a</v>
      </c>
      <c r="CE465" s="214" t="str">
        <f t="shared" si="7023"/>
        <v>n/a</v>
      </c>
      <c r="CF465" s="225" t="str">
        <f t="shared" si="7023"/>
        <v>n/a</v>
      </c>
      <c r="CG465" s="225" t="str">
        <f t="shared" si="7023"/>
        <v>n/a</v>
      </c>
      <c r="CH465" s="225" t="str">
        <f t="shared" si="7023"/>
        <v>n/a</v>
      </c>
      <c r="CI465" s="225" t="str">
        <f t="shared" si="7023"/>
        <v>n/a</v>
      </c>
      <c r="CJ465" s="225" t="str">
        <f t="shared" si="7023"/>
        <v>n/a</v>
      </c>
      <c r="CK465" s="225" t="str">
        <f t="shared" si="7023"/>
        <v>n/a</v>
      </c>
      <c r="CL465" s="225" t="str">
        <f t="shared" si="7023"/>
        <v>n/a</v>
      </c>
      <c r="CM465" s="225" t="str">
        <f t="shared" si="7023"/>
        <v>n/a</v>
      </c>
      <c r="CN465" s="225" t="str">
        <f t="shared" si="7023"/>
        <v>n/a</v>
      </c>
      <c r="CO465" s="225" t="str">
        <f t="shared" si="7023"/>
        <v>n/a</v>
      </c>
      <c r="CP465" s="225" t="str">
        <f t="shared" si="7023"/>
        <v>n/a</v>
      </c>
      <c r="CQ465" s="214" t="str">
        <f t="shared" si="7023"/>
        <v>n/a</v>
      </c>
      <c r="CR465" s="225" t="str">
        <f t="shared" si="7023"/>
        <v>n/a</v>
      </c>
      <c r="CS465" s="225" t="str">
        <f t="shared" si="7023"/>
        <v>n/a</v>
      </c>
      <c r="CT465" s="225" t="str">
        <f t="shared" si="7023"/>
        <v>n/a</v>
      </c>
      <c r="CU465" s="225" t="str">
        <f t="shared" si="7023"/>
        <v>n/a</v>
      </c>
      <c r="CV465" s="225" t="str">
        <f t="shared" si="7023"/>
        <v>n/a</v>
      </c>
      <c r="CW465" s="225" t="str">
        <f t="shared" si="7023"/>
        <v>n/a</v>
      </c>
      <c r="CX465" s="225" t="str">
        <f t="shared" si="7023"/>
        <v>n/a</v>
      </c>
      <c r="CY465" s="225" t="str">
        <f t="shared" ref="CY465:ED465" si="7024">++IFERROR(CY464/CY451,"n/a")</f>
        <v>n/a</v>
      </c>
      <c r="CZ465" s="225" t="str">
        <f t="shared" si="7024"/>
        <v>n/a</v>
      </c>
      <c r="DA465" s="225" t="str">
        <f t="shared" si="7024"/>
        <v>n/a</v>
      </c>
      <c r="DB465" s="225" t="str">
        <f t="shared" si="7024"/>
        <v>n/a</v>
      </c>
      <c r="DC465" s="214" t="str">
        <f t="shared" si="7024"/>
        <v>n/a</v>
      </c>
    </row>
    <row r="466" spans="3:107" x14ac:dyDescent="0.3">
      <c r="C466" s="321" t="str">
        <f>++C$25</f>
        <v>% y/y</v>
      </c>
      <c r="G466" s="122" t="s">
        <v>47</v>
      </c>
      <c r="H466" s="122" t="s">
        <v>47</v>
      </c>
      <c r="I466" s="122" t="s">
        <v>47</v>
      </c>
      <c r="J466" s="122" t="s">
        <v>47</v>
      </c>
      <c r="K466" s="214" t="str">
        <f>++IFERROR(K464/G219-1,"n/a")</f>
        <v>n/a</v>
      </c>
      <c r="L466" s="122" t="s">
        <v>47</v>
      </c>
      <c r="M466" s="122" t="s">
        <v>47</v>
      </c>
      <c r="N466" s="225" t="str">
        <f>++IFERROR(N464/H219-1,"n/a")</f>
        <v>n/a</v>
      </c>
      <c r="O466" s="122" t="s">
        <v>47</v>
      </c>
      <c r="P466" s="122" t="s">
        <v>47</v>
      </c>
      <c r="Q466" s="225" t="str">
        <f>++IFERROR(Q464/I219-1,"n/a")</f>
        <v>n/a</v>
      </c>
      <c r="R466" s="122" t="s">
        <v>47</v>
      </c>
      <c r="S466" s="122" t="s">
        <v>47</v>
      </c>
      <c r="T466" s="225" t="str">
        <f>++IFERROR(T464/J219-1,"n/a")</f>
        <v>n/a</v>
      </c>
      <c r="U466" s="122" t="s">
        <v>47</v>
      </c>
      <c r="V466" s="122" t="s">
        <v>47</v>
      </c>
      <c r="W466" s="214" t="str">
        <f t="shared" ref="W466:BB466" si="7025">++IFERROR(W464/K219-1,"n/a")</f>
        <v>n/a</v>
      </c>
      <c r="X466" s="225" t="str">
        <f t="shared" si="7025"/>
        <v>n/a</v>
      </c>
      <c r="Y466" s="225" t="str">
        <f t="shared" si="7025"/>
        <v>n/a</v>
      </c>
      <c r="Z466" s="225" t="str">
        <f t="shared" si="7025"/>
        <v>n/a</v>
      </c>
      <c r="AA466" s="225" t="str">
        <f t="shared" si="7025"/>
        <v>n/a</v>
      </c>
      <c r="AB466" s="225" t="str">
        <f t="shared" si="7025"/>
        <v>n/a</v>
      </c>
      <c r="AC466" s="225" t="str">
        <f t="shared" si="7025"/>
        <v>n/a</v>
      </c>
      <c r="AD466" s="225" t="str">
        <f t="shared" si="7025"/>
        <v>n/a</v>
      </c>
      <c r="AE466" s="225" t="str">
        <f t="shared" si="7025"/>
        <v>n/a</v>
      </c>
      <c r="AF466" s="225" t="str">
        <f t="shared" si="7025"/>
        <v>n/a</v>
      </c>
      <c r="AG466" s="225" t="str">
        <f t="shared" si="7025"/>
        <v>n/a</v>
      </c>
      <c r="AH466" s="225" t="str">
        <f t="shared" si="7025"/>
        <v>n/a</v>
      </c>
      <c r="AI466" s="214" t="str">
        <f t="shared" si="7025"/>
        <v>n/a</v>
      </c>
      <c r="AJ466" s="225" t="str">
        <f t="shared" si="7025"/>
        <v>n/a</v>
      </c>
      <c r="AK466" s="225" t="str">
        <f t="shared" si="7025"/>
        <v>n/a</v>
      </c>
      <c r="AL466" s="225" t="str">
        <f t="shared" si="7025"/>
        <v>n/a</v>
      </c>
      <c r="AM466" s="225" t="str">
        <f t="shared" si="7025"/>
        <v>n/a</v>
      </c>
      <c r="AN466" s="225" t="str">
        <f t="shared" si="7025"/>
        <v>n/a</v>
      </c>
      <c r="AO466" s="225" t="str">
        <f t="shared" si="7025"/>
        <v>n/a</v>
      </c>
      <c r="AP466" s="225" t="str">
        <f t="shared" si="7025"/>
        <v>n/a</v>
      </c>
      <c r="AQ466" s="225" t="str">
        <f t="shared" si="7025"/>
        <v>n/a</v>
      </c>
      <c r="AR466" s="225" t="str">
        <f t="shared" si="7025"/>
        <v>n/a</v>
      </c>
      <c r="AS466" s="225" t="str">
        <f t="shared" si="7025"/>
        <v>n/a</v>
      </c>
      <c r="AT466" s="225" t="str">
        <f t="shared" si="7025"/>
        <v>n/a</v>
      </c>
      <c r="AU466" s="214" t="str">
        <f t="shared" si="7025"/>
        <v>n/a</v>
      </c>
      <c r="AV466" s="225" t="str">
        <f t="shared" si="7025"/>
        <v>n/a</v>
      </c>
      <c r="AW466" s="225" t="str">
        <f t="shared" si="7025"/>
        <v>n/a</v>
      </c>
      <c r="AX466" s="225" t="str">
        <f t="shared" si="7025"/>
        <v>n/a</v>
      </c>
      <c r="AY466" s="225" t="str">
        <f t="shared" si="7025"/>
        <v>n/a</v>
      </c>
      <c r="AZ466" s="225" t="str">
        <f t="shared" si="7025"/>
        <v>n/a</v>
      </c>
      <c r="BA466" s="225" t="str">
        <f t="shared" si="7025"/>
        <v>n/a</v>
      </c>
      <c r="BB466" s="225" t="str">
        <f t="shared" si="7025"/>
        <v>n/a</v>
      </c>
      <c r="BC466" s="225" t="str">
        <f t="shared" ref="BC466:CH466" si="7026">++IFERROR(BC464/AQ219-1,"n/a")</f>
        <v>n/a</v>
      </c>
      <c r="BD466" s="225" t="str">
        <f t="shared" si="7026"/>
        <v>n/a</v>
      </c>
      <c r="BE466" s="225" t="str">
        <f t="shared" si="7026"/>
        <v>n/a</v>
      </c>
      <c r="BF466" s="225" t="str">
        <f t="shared" si="7026"/>
        <v>n/a</v>
      </c>
      <c r="BG466" s="214" t="str">
        <f t="shared" si="7026"/>
        <v>n/a</v>
      </c>
      <c r="BH466" s="225" t="str">
        <f t="shared" si="7026"/>
        <v>n/a</v>
      </c>
      <c r="BI466" s="225" t="str">
        <f t="shared" si="7026"/>
        <v>n/a</v>
      </c>
      <c r="BJ466" s="225" t="str">
        <f t="shared" si="7026"/>
        <v>n/a</v>
      </c>
      <c r="BK466" s="225" t="str">
        <f t="shared" si="7026"/>
        <v>n/a</v>
      </c>
      <c r="BL466" s="225" t="str">
        <f t="shared" si="7026"/>
        <v>n/a</v>
      </c>
      <c r="BM466" s="225" t="str">
        <f t="shared" si="7026"/>
        <v>n/a</v>
      </c>
      <c r="BN466" s="225" t="str">
        <f t="shared" si="7026"/>
        <v>n/a</v>
      </c>
      <c r="BO466" s="225" t="str">
        <f t="shared" si="7026"/>
        <v>n/a</v>
      </c>
      <c r="BP466" s="225" t="str">
        <f t="shared" si="7026"/>
        <v>n/a</v>
      </c>
      <c r="BQ466" s="225" t="str">
        <f t="shared" si="7026"/>
        <v>n/a</v>
      </c>
      <c r="BR466" s="225" t="str">
        <f t="shared" si="7026"/>
        <v>n/a</v>
      </c>
      <c r="BS466" s="214" t="str">
        <f t="shared" si="7026"/>
        <v>n/a</v>
      </c>
      <c r="BT466" s="225" t="str">
        <f t="shared" si="7026"/>
        <v>n/a</v>
      </c>
      <c r="BU466" s="225" t="str">
        <f t="shared" si="7026"/>
        <v>n/a</v>
      </c>
      <c r="BV466" s="225" t="str">
        <f t="shared" si="7026"/>
        <v>n/a</v>
      </c>
      <c r="BW466" s="225" t="str">
        <f t="shared" si="7026"/>
        <v>n/a</v>
      </c>
      <c r="BX466" s="225" t="str">
        <f t="shared" si="7026"/>
        <v>n/a</v>
      </c>
      <c r="BY466" s="225" t="str">
        <f t="shared" si="7026"/>
        <v>n/a</v>
      </c>
      <c r="BZ466" s="225" t="str">
        <f t="shared" si="7026"/>
        <v>n/a</v>
      </c>
      <c r="CA466" s="225" t="str">
        <f t="shared" si="7026"/>
        <v>n/a</v>
      </c>
      <c r="CB466" s="225" t="str">
        <f t="shared" si="7026"/>
        <v>n/a</v>
      </c>
      <c r="CC466" s="225" t="str">
        <f t="shared" si="7026"/>
        <v>n/a</v>
      </c>
      <c r="CD466" s="225" t="str">
        <f t="shared" si="7026"/>
        <v>n/a</v>
      </c>
      <c r="CE466" s="214" t="str">
        <f t="shared" si="7026"/>
        <v>n/a</v>
      </c>
      <c r="CF466" s="225" t="str">
        <f t="shared" si="7026"/>
        <v>n/a</v>
      </c>
      <c r="CG466" s="225" t="str">
        <f t="shared" si="7026"/>
        <v>n/a</v>
      </c>
      <c r="CH466" s="225" t="str">
        <f t="shared" si="7026"/>
        <v>n/a</v>
      </c>
      <c r="CI466" s="225" t="str">
        <f t="shared" ref="CI466:DN466" si="7027">++IFERROR(CI464/BW219-1,"n/a")</f>
        <v>n/a</v>
      </c>
      <c r="CJ466" s="225" t="str">
        <f t="shared" si="7027"/>
        <v>n/a</v>
      </c>
      <c r="CK466" s="225" t="str">
        <f t="shared" si="7027"/>
        <v>n/a</v>
      </c>
      <c r="CL466" s="225" t="str">
        <f t="shared" si="7027"/>
        <v>n/a</v>
      </c>
      <c r="CM466" s="225" t="str">
        <f t="shared" si="7027"/>
        <v>n/a</v>
      </c>
      <c r="CN466" s="225" t="str">
        <f t="shared" si="7027"/>
        <v>n/a</v>
      </c>
      <c r="CO466" s="225" t="str">
        <f t="shared" si="7027"/>
        <v>n/a</v>
      </c>
      <c r="CP466" s="225" t="str">
        <f t="shared" si="7027"/>
        <v>n/a</v>
      </c>
      <c r="CQ466" s="214" t="str">
        <f t="shared" si="7027"/>
        <v>n/a</v>
      </c>
      <c r="CR466" s="225" t="str">
        <f t="shared" si="7027"/>
        <v>n/a</v>
      </c>
      <c r="CS466" s="225" t="str">
        <f t="shared" si="7027"/>
        <v>n/a</v>
      </c>
      <c r="CT466" s="225" t="str">
        <f t="shared" si="7027"/>
        <v>n/a</v>
      </c>
      <c r="CU466" s="225" t="str">
        <f t="shared" si="7027"/>
        <v>n/a</v>
      </c>
      <c r="CV466" s="225" t="str">
        <f t="shared" si="7027"/>
        <v>n/a</v>
      </c>
      <c r="CW466" s="225" t="str">
        <f t="shared" si="7027"/>
        <v>n/a</v>
      </c>
      <c r="CX466" s="225" t="str">
        <f t="shared" si="7027"/>
        <v>n/a</v>
      </c>
      <c r="CY466" s="225" t="str">
        <f t="shared" si="7027"/>
        <v>n/a</v>
      </c>
      <c r="CZ466" s="225" t="str">
        <f t="shared" si="7027"/>
        <v>n/a</v>
      </c>
      <c r="DA466" s="225" t="str">
        <f t="shared" si="7027"/>
        <v>n/a</v>
      </c>
      <c r="DB466" s="225" t="str">
        <f t="shared" si="7027"/>
        <v>n/a</v>
      </c>
      <c r="DC466" s="214" t="str">
        <f t="shared" si="7027"/>
        <v>n/a</v>
      </c>
    </row>
    <row r="467" spans="3:107" x14ac:dyDescent="0.3">
      <c r="G467" s="203"/>
      <c r="K467" s="203"/>
      <c r="W467" s="203"/>
      <c r="AI467" s="203"/>
      <c r="AU467" s="203"/>
      <c r="BG467" s="203"/>
      <c r="BS467" s="203"/>
      <c r="CE467" s="203"/>
      <c r="CQ467" s="203"/>
      <c r="DC467" s="203"/>
    </row>
    <row r="468" spans="3:107" x14ac:dyDescent="0.3">
      <c r="C468" s="101" t="str">
        <f>++C$27</f>
        <v>Interest Expense (Income)</v>
      </c>
      <c r="G468" s="45">
        <v>0</v>
      </c>
      <c r="H468" s="45">
        <v>0</v>
      </c>
      <c r="I468" s="45">
        <v>0</v>
      </c>
      <c r="J468" s="45">
        <v>0</v>
      </c>
      <c r="K468" s="45">
        <v>0</v>
      </c>
      <c r="L468" s="45">
        <v>0</v>
      </c>
      <c r="M468" s="45">
        <v>0</v>
      </c>
      <c r="N468" s="45">
        <v>0</v>
      </c>
      <c r="O468" s="45">
        <v>0</v>
      </c>
      <c r="P468" s="45">
        <v>0</v>
      </c>
      <c r="Q468" s="45">
        <v>0</v>
      </c>
      <c r="R468" s="45">
        <v>0</v>
      </c>
      <c r="S468" s="45">
        <v>0</v>
      </c>
      <c r="T468" s="45">
        <v>0</v>
      </c>
      <c r="U468" s="45">
        <v>0</v>
      </c>
      <c r="V468" s="45">
        <v>0</v>
      </c>
      <c r="W468" s="45">
        <v>0</v>
      </c>
      <c r="X468" s="45">
        <v>0</v>
      </c>
      <c r="Y468" s="45">
        <v>0</v>
      </c>
      <c r="Z468" s="45">
        <v>0</v>
      </c>
      <c r="AA468" s="45">
        <v>0</v>
      </c>
      <c r="AB468" s="45">
        <v>0</v>
      </c>
      <c r="AC468" s="45">
        <v>0</v>
      </c>
      <c r="AD468" s="45">
        <v>0</v>
      </c>
      <c r="AE468" s="45">
        <v>0</v>
      </c>
      <c r="AF468" s="45">
        <v>0</v>
      </c>
      <c r="AG468" s="45">
        <v>0</v>
      </c>
      <c r="AH468" s="45">
        <v>0</v>
      </c>
      <c r="AI468" s="45">
        <v>0</v>
      </c>
      <c r="AJ468" s="45">
        <v>0</v>
      </c>
      <c r="AK468" s="45">
        <v>0</v>
      </c>
      <c r="AL468" s="45">
        <v>0</v>
      </c>
      <c r="AM468" s="45">
        <v>0</v>
      </c>
      <c r="AN468" s="45">
        <v>0</v>
      </c>
      <c r="AO468" s="45">
        <v>0</v>
      </c>
      <c r="AP468" s="45">
        <v>0</v>
      </c>
      <c r="AQ468" s="45">
        <v>0</v>
      </c>
      <c r="AR468" s="45">
        <v>0</v>
      </c>
      <c r="AS468" s="45">
        <v>0</v>
      </c>
      <c r="AT468" s="45">
        <v>0</v>
      </c>
      <c r="AU468" s="45">
        <v>0</v>
      </c>
      <c r="AV468" s="45">
        <v>0</v>
      </c>
      <c r="AW468" s="45">
        <v>0</v>
      </c>
      <c r="AX468" s="45">
        <v>0</v>
      </c>
      <c r="AY468" s="45">
        <v>0</v>
      </c>
      <c r="AZ468" s="45">
        <v>0</v>
      </c>
      <c r="BA468" s="45">
        <v>0</v>
      </c>
      <c r="BB468" s="45">
        <v>0</v>
      </c>
      <c r="BC468" s="45">
        <v>0</v>
      </c>
      <c r="BD468" s="45">
        <v>0</v>
      </c>
      <c r="BE468" s="45">
        <v>0</v>
      </c>
      <c r="BF468" s="45">
        <v>0</v>
      </c>
      <c r="BG468" s="45">
        <v>0</v>
      </c>
      <c r="BH468" s="45">
        <v>0</v>
      </c>
      <c r="BI468" s="45">
        <v>0</v>
      </c>
      <c r="BJ468" s="45">
        <v>0</v>
      </c>
      <c r="BK468" s="45">
        <v>0</v>
      </c>
      <c r="BL468" s="45">
        <v>0</v>
      </c>
      <c r="BM468" s="45">
        <v>0</v>
      </c>
      <c r="BN468" s="45">
        <v>0</v>
      </c>
      <c r="BO468" s="45">
        <v>0</v>
      </c>
      <c r="BP468" s="45">
        <v>0</v>
      </c>
      <c r="BQ468" s="45">
        <v>0</v>
      </c>
      <c r="BR468" s="45">
        <v>0</v>
      </c>
      <c r="BS468" s="45">
        <v>0</v>
      </c>
      <c r="BT468" s="45">
        <v>0</v>
      </c>
      <c r="BU468" s="45">
        <v>0</v>
      </c>
      <c r="BV468" s="45">
        <v>0</v>
      </c>
      <c r="BW468" s="45">
        <v>0</v>
      </c>
      <c r="BX468" s="45">
        <v>0</v>
      </c>
      <c r="BY468" s="45">
        <v>0</v>
      </c>
      <c r="BZ468" s="45">
        <v>0</v>
      </c>
      <c r="CA468" s="45">
        <v>0</v>
      </c>
      <c r="CB468" s="45">
        <v>0</v>
      </c>
      <c r="CC468" s="45">
        <v>0</v>
      </c>
      <c r="CD468" s="45">
        <v>0</v>
      </c>
      <c r="CE468" s="45">
        <v>0</v>
      </c>
      <c r="CF468" s="45">
        <v>0</v>
      </c>
      <c r="CG468" s="45">
        <v>0</v>
      </c>
      <c r="CH468" s="45">
        <v>0</v>
      </c>
      <c r="CI468" s="45">
        <v>0</v>
      </c>
      <c r="CJ468" s="45">
        <v>0</v>
      </c>
      <c r="CK468" s="45">
        <v>0</v>
      </c>
      <c r="CL468" s="45">
        <v>0</v>
      </c>
      <c r="CM468" s="45">
        <v>0</v>
      </c>
      <c r="CN468" s="45">
        <v>0</v>
      </c>
      <c r="CO468" s="45">
        <v>0</v>
      </c>
      <c r="CP468" s="45">
        <v>0</v>
      </c>
      <c r="CQ468" s="45">
        <v>0</v>
      </c>
      <c r="CR468" s="45">
        <v>0</v>
      </c>
      <c r="CS468" s="45">
        <v>0</v>
      </c>
      <c r="CT468" s="45">
        <v>0</v>
      </c>
      <c r="CU468" s="45">
        <v>0</v>
      </c>
      <c r="CV468" s="45">
        <v>0</v>
      </c>
      <c r="CW468" s="45">
        <v>0</v>
      </c>
      <c r="CX468" s="45">
        <v>0</v>
      </c>
      <c r="CY468" s="45">
        <v>0</v>
      </c>
      <c r="CZ468" s="45">
        <v>0</v>
      </c>
      <c r="DA468" s="45">
        <v>0</v>
      </c>
      <c r="DB468" s="45">
        <v>0</v>
      </c>
      <c r="DC468" s="45">
        <v>0</v>
      </c>
    </row>
    <row r="469" spans="3:107" x14ac:dyDescent="0.3">
      <c r="C469" s="101" t="str">
        <f>++C$28</f>
        <v>Other Expense (Income)</v>
      </c>
      <c r="G469" s="45">
        <v>0</v>
      </c>
      <c r="H469" s="45">
        <v>0</v>
      </c>
      <c r="I469" s="45">
        <v>0</v>
      </c>
      <c r="J469" s="45">
        <v>0</v>
      </c>
      <c r="K469" s="45">
        <v>0</v>
      </c>
      <c r="L469" s="45">
        <v>0</v>
      </c>
      <c r="M469" s="45">
        <v>0</v>
      </c>
      <c r="N469" s="45">
        <v>0</v>
      </c>
      <c r="O469" s="45">
        <v>0</v>
      </c>
      <c r="P469" s="45">
        <v>0</v>
      </c>
      <c r="Q469" s="45">
        <v>0</v>
      </c>
      <c r="R469" s="45">
        <v>0</v>
      </c>
      <c r="S469" s="45">
        <v>0</v>
      </c>
      <c r="T469" s="45">
        <v>0</v>
      </c>
      <c r="U469" s="45">
        <v>0</v>
      </c>
      <c r="V469" s="45">
        <v>0</v>
      </c>
      <c r="W469" s="45">
        <v>0</v>
      </c>
      <c r="X469" s="45">
        <v>0</v>
      </c>
      <c r="Y469" s="45">
        <v>0</v>
      </c>
      <c r="Z469" s="45">
        <v>0</v>
      </c>
      <c r="AA469" s="45">
        <v>0</v>
      </c>
      <c r="AB469" s="45">
        <v>0</v>
      </c>
      <c r="AC469" s="45">
        <v>0</v>
      </c>
      <c r="AD469" s="45">
        <v>0</v>
      </c>
      <c r="AE469" s="45">
        <v>0</v>
      </c>
      <c r="AF469" s="45">
        <v>0</v>
      </c>
      <c r="AG469" s="45">
        <v>0</v>
      </c>
      <c r="AH469" s="45">
        <v>0</v>
      </c>
      <c r="AI469" s="45">
        <v>0</v>
      </c>
      <c r="AJ469" s="45">
        <v>0</v>
      </c>
      <c r="AK469" s="45">
        <v>0</v>
      </c>
      <c r="AL469" s="45">
        <v>0</v>
      </c>
      <c r="AM469" s="45">
        <v>0</v>
      </c>
      <c r="AN469" s="45">
        <v>0</v>
      </c>
      <c r="AO469" s="45">
        <v>0</v>
      </c>
      <c r="AP469" s="45">
        <v>0</v>
      </c>
      <c r="AQ469" s="45">
        <v>0</v>
      </c>
      <c r="AR469" s="45">
        <v>0</v>
      </c>
      <c r="AS469" s="45">
        <v>0</v>
      </c>
      <c r="AT469" s="45">
        <v>0</v>
      </c>
      <c r="AU469" s="45">
        <v>0</v>
      </c>
      <c r="AV469" s="45">
        <v>0</v>
      </c>
      <c r="AW469" s="45">
        <v>0</v>
      </c>
      <c r="AX469" s="45">
        <v>0</v>
      </c>
      <c r="AY469" s="45">
        <v>0</v>
      </c>
      <c r="AZ469" s="45">
        <v>0</v>
      </c>
      <c r="BA469" s="45">
        <v>0</v>
      </c>
      <c r="BB469" s="45">
        <v>0</v>
      </c>
      <c r="BC469" s="45">
        <v>0</v>
      </c>
      <c r="BD469" s="45">
        <v>0</v>
      </c>
      <c r="BE469" s="45">
        <v>0</v>
      </c>
      <c r="BF469" s="45">
        <v>0</v>
      </c>
      <c r="BG469" s="45">
        <v>0</v>
      </c>
      <c r="BH469" s="45">
        <v>0</v>
      </c>
      <c r="BI469" s="45">
        <v>0</v>
      </c>
      <c r="BJ469" s="45">
        <v>0</v>
      </c>
      <c r="BK469" s="45">
        <v>0</v>
      </c>
      <c r="BL469" s="45">
        <v>0</v>
      </c>
      <c r="BM469" s="45">
        <v>0</v>
      </c>
      <c r="BN469" s="45">
        <v>0</v>
      </c>
      <c r="BO469" s="45">
        <v>0</v>
      </c>
      <c r="BP469" s="45">
        <v>0</v>
      </c>
      <c r="BQ469" s="45">
        <v>0</v>
      </c>
      <c r="BR469" s="45">
        <v>0</v>
      </c>
      <c r="BS469" s="45">
        <v>0</v>
      </c>
      <c r="BT469" s="45">
        <v>0</v>
      </c>
      <c r="BU469" s="45">
        <v>0</v>
      </c>
      <c r="BV469" s="45">
        <v>0</v>
      </c>
      <c r="BW469" s="45">
        <v>0</v>
      </c>
      <c r="BX469" s="45">
        <v>0</v>
      </c>
      <c r="BY469" s="45">
        <v>0</v>
      </c>
      <c r="BZ469" s="45">
        <v>0</v>
      </c>
      <c r="CA469" s="45">
        <v>0</v>
      </c>
      <c r="CB469" s="45">
        <v>0</v>
      </c>
      <c r="CC469" s="45">
        <v>0</v>
      </c>
      <c r="CD469" s="45">
        <v>0</v>
      </c>
      <c r="CE469" s="45">
        <v>0</v>
      </c>
      <c r="CF469" s="45">
        <v>0</v>
      </c>
      <c r="CG469" s="45">
        <v>0</v>
      </c>
      <c r="CH469" s="45">
        <v>0</v>
      </c>
      <c r="CI469" s="45">
        <v>0</v>
      </c>
      <c r="CJ469" s="45">
        <v>0</v>
      </c>
      <c r="CK469" s="45">
        <v>0</v>
      </c>
      <c r="CL469" s="45">
        <v>0</v>
      </c>
      <c r="CM469" s="45">
        <v>0</v>
      </c>
      <c r="CN469" s="45">
        <v>0</v>
      </c>
      <c r="CO469" s="45">
        <v>0</v>
      </c>
      <c r="CP469" s="45">
        <v>0</v>
      </c>
      <c r="CQ469" s="45">
        <v>0</v>
      </c>
      <c r="CR469" s="45">
        <v>0</v>
      </c>
      <c r="CS469" s="45">
        <v>0</v>
      </c>
      <c r="CT469" s="45">
        <v>0</v>
      </c>
      <c r="CU469" s="45">
        <v>0</v>
      </c>
      <c r="CV469" s="45">
        <v>0</v>
      </c>
      <c r="CW469" s="45">
        <v>0</v>
      </c>
      <c r="CX469" s="45">
        <v>0</v>
      </c>
      <c r="CY469" s="45">
        <v>0</v>
      </c>
      <c r="CZ469" s="45">
        <v>0</v>
      </c>
      <c r="DA469" s="45">
        <v>0</v>
      </c>
      <c r="DB469" s="45">
        <v>0</v>
      </c>
      <c r="DC469" s="45">
        <v>0</v>
      </c>
    </row>
    <row r="470" spans="3:107" x14ac:dyDescent="0.3">
      <c r="C470" s="231" t="str">
        <f>++C$29</f>
        <v>Pre-Tax Income (Loss)</v>
      </c>
      <c r="D470" s="191"/>
      <c r="E470" s="191"/>
      <c r="G470" s="239">
        <f>++SUM(G474,G477)</f>
        <v>0</v>
      </c>
      <c r="H470" s="232">
        <f t="shared" ref="H470:BS470" si="7028">++SUM(H474,H477)</f>
        <v>0</v>
      </c>
      <c r="I470" s="232">
        <f t="shared" si="7028"/>
        <v>0</v>
      </c>
      <c r="J470" s="232">
        <f t="shared" si="7028"/>
        <v>0</v>
      </c>
      <c r="K470" s="239">
        <f t="shared" si="7028"/>
        <v>0</v>
      </c>
      <c r="L470" s="232">
        <f t="shared" si="7028"/>
        <v>0</v>
      </c>
      <c r="M470" s="232">
        <f t="shared" si="7028"/>
        <v>0</v>
      </c>
      <c r="N470" s="232">
        <f t="shared" si="7028"/>
        <v>0</v>
      </c>
      <c r="O470" s="232">
        <f t="shared" si="7028"/>
        <v>0</v>
      </c>
      <c r="P470" s="232">
        <f t="shared" si="7028"/>
        <v>0</v>
      </c>
      <c r="Q470" s="232">
        <f t="shared" si="7028"/>
        <v>0</v>
      </c>
      <c r="R470" s="232">
        <f t="shared" si="7028"/>
        <v>0</v>
      </c>
      <c r="S470" s="232">
        <f t="shared" si="7028"/>
        <v>0</v>
      </c>
      <c r="T470" s="232">
        <f t="shared" si="7028"/>
        <v>0</v>
      </c>
      <c r="U470" s="232">
        <f t="shared" si="7028"/>
        <v>0</v>
      </c>
      <c r="V470" s="232">
        <f t="shared" si="7028"/>
        <v>0</v>
      </c>
      <c r="W470" s="239">
        <f t="shared" si="7028"/>
        <v>0</v>
      </c>
      <c r="X470" s="232">
        <f t="shared" si="7028"/>
        <v>0</v>
      </c>
      <c r="Y470" s="232">
        <f t="shared" si="7028"/>
        <v>0</v>
      </c>
      <c r="Z470" s="232">
        <f t="shared" si="7028"/>
        <v>0</v>
      </c>
      <c r="AA470" s="232">
        <f t="shared" si="7028"/>
        <v>0</v>
      </c>
      <c r="AB470" s="232">
        <f t="shared" si="7028"/>
        <v>0</v>
      </c>
      <c r="AC470" s="232">
        <f t="shared" si="7028"/>
        <v>0</v>
      </c>
      <c r="AD470" s="232">
        <f t="shared" si="7028"/>
        <v>0</v>
      </c>
      <c r="AE470" s="232">
        <f t="shared" si="7028"/>
        <v>0</v>
      </c>
      <c r="AF470" s="232">
        <f t="shared" si="7028"/>
        <v>0</v>
      </c>
      <c r="AG470" s="232">
        <f t="shared" si="7028"/>
        <v>0</v>
      </c>
      <c r="AH470" s="232">
        <f t="shared" si="7028"/>
        <v>0</v>
      </c>
      <c r="AI470" s="239">
        <f t="shared" si="7028"/>
        <v>0</v>
      </c>
      <c r="AJ470" s="232">
        <f t="shared" si="7028"/>
        <v>0</v>
      </c>
      <c r="AK470" s="232">
        <f t="shared" si="7028"/>
        <v>0</v>
      </c>
      <c r="AL470" s="232">
        <f t="shared" si="7028"/>
        <v>0</v>
      </c>
      <c r="AM470" s="232">
        <f t="shared" si="7028"/>
        <v>0</v>
      </c>
      <c r="AN470" s="232">
        <f t="shared" si="7028"/>
        <v>0</v>
      </c>
      <c r="AO470" s="232">
        <f t="shared" si="7028"/>
        <v>0</v>
      </c>
      <c r="AP470" s="232">
        <f t="shared" si="7028"/>
        <v>0</v>
      </c>
      <c r="AQ470" s="232">
        <f t="shared" si="7028"/>
        <v>0</v>
      </c>
      <c r="AR470" s="232">
        <f t="shared" si="7028"/>
        <v>0</v>
      </c>
      <c r="AS470" s="232">
        <f t="shared" si="7028"/>
        <v>0</v>
      </c>
      <c r="AT470" s="232">
        <f t="shared" si="7028"/>
        <v>0</v>
      </c>
      <c r="AU470" s="239">
        <f t="shared" si="7028"/>
        <v>0</v>
      </c>
      <c r="AV470" s="232">
        <f t="shared" si="7028"/>
        <v>0</v>
      </c>
      <c r="AW470" s="232">
        <f t="shared" si="7028"/>
        <v>0</v>
      </c>
      <c r="AX470" s="232">
        <f t="shared" si="7028"/>
        <v>0</v>
      </c>
      <c r="AY470" s="232">
        <f t="shared" si="7028"/>
        <v>0</v>
      </c>
      <c r="AZ470" s="232">
        <f t="shared" si="7028"/>
        <v>0</v>
      </c>
      <c r="BA470" s="232">
        <f t="shared" si="7028"/>
        <v>0</v>
      </c>
      <c r="BB470" s="232">
        <f t="shared" si="7028"/>
        <v>0</v>
      </c>
      <c r="BC470" s="232">
        <f t="shared" si="7028"/>
        <v>0</v>
      </c>
      <c r="BD470" s="232">
        <f t="shared" si="7028"/>
        <v>0</v>
      </c>
      <c r="BE470" s="232">
        <f t="shared" si="7028"/>
        <v>0</v>
      </c>
      <c r="BF470" s="232">
        <f t="shared" si="7028"/>
        <v>0</v>
      </c>
      <c r="BG470" s="239">
        <f t="shared" si="7028"/>
        <v>0</v>
      </c>
      <c r="BH470" s="232">
        <f t="shared" si="7028"/>
        <v>0</v>
      </c>
      <c r="BI470" s="232">
        <f t="shared" si="7028"/>
        <v>0</v>
      </c>
      <c r="BJ470" s="232">
        <f t="shared" si="7028"/>
        <v>0</v>
      </c>
      <c r="BK470" s="232">
        <f t="shared" si="7028"/>
        <v>0</v>
      </c>
      <c r="BL470" s="232">
        <f t="shared" si="7028"/>
        <v>0</v>
      </c>
      <c r="BM470" s="232">
        <f t="shared" si="7028"/>
        <v>0</v>
      </c>
      <c r="BN470" s="232">
        <f t="shared" si="7028"/>
        <v>0</v>
      </c>
      <c r="BO470" s="232">
        <f t="shared" si="7028"/>
        <v>0</v>
      </c>
      <c r="BP470" s="232">
        <f t="shared" si="7028"/>
        <v>0</v>
      </c>
      <c r="BQ470" s="232">
        <f t="shared" si="7028"/>
        <v>0</v>
      </c>
      <c r="BR470" s="232">
        <f t="shared" si="7028"/>
        <v>0</v>
      </c>
      <c r="BS470" s="239">
        <f t="shared" si="7028"/>
        <v>0</v>
      </c>
      <c r="BT470" s="232">
        <f t="shared" ref="BT470:DC470" si="7029">++SUM(BT474,BT477)</f>
        <v>0</v>
      </c>
      <c r="BU470" s="232">
        <f t="shared" si="7029"/>
        <v>0</v>
      </c>
      <c r="BV470" s="232">
        <f t="shared" si="7029"/>
        <v>0</v>
      </c>
      <c r="BW470" s="232">
        <f t="shared" si="7029"/>
        <v>0</v>
      </c>
      <c r="BX470" s="232">
        <f t="shared" si="7029"/>
        <v>0</v>
      </c>
      <c r="BY470" s="232">
        <f t="shared" si="7029"/>
        <v>0</v>
      </c>
      <c r="BZ470" s="232">
        <f t="shared" si="7029"/>
        <v>0</v>
      </c>
      <c r="CA470" s="232">
        <f t="shared" si="7029"/>
        <v>0</v>
      </c>
      <c r="CB470" s="232">
        <f t="shared" si="7029"/>
        <v>0</v>
      </c>
      <c r="CC470" s="232">
        <f t="shared" si="7029"/>
        <v>0</v>
      </c>
      <c r="CD470" s="232">
        <f t="shared" si="7029"/>
        <v>0</v>
      </c>
      <c r="CE470" s="239">
        <f t="shared" si="7029"/>
        <v>0</v>
      </c>
      <c r="CF470" s="232">
        <f t="shared" si="7029"/>
        <v>0</v>
      </c>
      <c r="CG470" s="232">
        <f t="shared" si="7029"/>
        <v>0</v>
      </c>
      <c r="CH470" s="232">
        <f t="shared" si="7029"/>
        <v>0</v>
      </c>
      <c r="CI470" s="232">
        <f t="shared" si="7029"/>
        <v>0</v>
      </c>
      <c r="CJ470" s="232">
        <f t="shared" si="7029"/>
        <v>0</v>
      </c>
      <c r="CK470" s="232">
        <f t="shared" si="7029"/>
        <v>0</v>
      </c>
      <c r="CL470" s="232">
        <f t="shared" si="7029"/>
        <v>0</v>
      </c>
      <c r="CM470" s="232">
        <f t="shared" si="7029"/>
        <v>0</v>
      </c>
      <c r="CN470" s="232">
        <f t="shared" si="7029"/>
        <v>0</v>
      </c>
      <c r="CO470" s="232">
        <f t="shared" si="7029"/>
        <v>0</v>
      </c>
      <c r="CP470" s="232">
        <f t="shared" si="7029"/>
        <v>0</v>
      </c>
      <c r="CQ470" s="239">
        <f t="shared" si="7029"/>
        <v>0</v>
      </c>
      <c r="CR470" s="232">
        <f t="shared" si="7029"/>
        <v>0</v>
      </c>
      <c r="CS470" s="232">
        <f t="shared" si="7029"/>
        <v>0</v>
      </c>
      <c r="CT470" s="232">
        <f t="shared" si="7029"/>
        <v>0</v>
      </c>
      <c r="CU470" s="232">
        <f t="shared" si="7029"/>
        <v>0</v>
      </c>
      <c r="CV470" s="232">
        <f t="shared" si="7029"/>
        <v>0</v>
      </c>
      <c r="CW470" s="232">
        <f t="shared" si="7029"/>
        <v>0</v>
      </c>
      <c r="CX470" s="232">
        <f t="shared" si="7029"/>
        <v>0</v>
      </c>
      <c r="CY470" s="232">
        <f t="shared" si="7029"/>
        <v>0</v>
      </c>
      <c r="CZ470" s="232">
        <f t="shared" si="7029"/>
        <v>0</v>
      </c>
      <c r="DA470" s="232">
        <f t="shared" si="7029"/>
        <v>0</v>
      </c>
      <c r="DB470" s="232">
        <f t="shared" si="7029"/>
        <v>0</v>
      </c>
      <c r="DC470" s="239">
        <f t="shared" si="7029"/>
        <v>0</v>
      </c>
    </row>
    <row r="471" spans="3:107" x14ac:dyDescent="0.3">
      <c r="C471" s="321" t="str">
        <f>++C$30</f>
        <v>% margin</v>
      </c>
      <c r="G471" s="214" t="str">
        <f t="shared" ref="G471:AL471" si="7030">++IFERROR(G470/G451,"n/a")</f>
        <v>n/a</v>
      </c>
      <c r="H471" s="225" t="str">
        <f t="shared" si="7030"/>
        <v>n/a</v>
      </c>
      <c r="I471" s="225" t="str">
        <f t="shared" si="7030"/>
        <v>n/a</v>
      </c>
      <c r="J471" s="225" t="str">
        <f t="shared" si="7030"/>
        <v>n/a</v>
      </c>
      <c r="K471" s="214" t="str">
        <f t="shared" si="7030"/>
        <v>n/a</v>
      </c>
      <c r="L471" s="225" t="str">
        <f t="shared" si="7030"/>
        <v>n/a</v>
      </c>
      <c r="M471" s="225" t="str">
        <f t="shared" si="7030"/>
        <v>n/a</v>
      </c>
      <c r="N471" s="225" t="str">
        <f t="shared" si="7030"/>
        <v>n/a</v>
      </c>
      <c r="O471" s="225" t="str">
        <f t="shared" si="7030"/>
        <v>n/a</v>
      </c>
      <c r="P471" s="225" t="str">
        <f t="shared" si="7030"/>
        <v>n/a</v>
      </c>
      <c r="Q471" s="225" t="str">
        <f t="shared" si="7030"/>
        <v>n/a</v>
      </c>
      <c r="R471" s="225" t="str">
        <f t="shared" si="7030"/>
        <v>n/a</v>
      </c>
      <c r="S471" s="225" t="str">
        <f t="shared" si="7030"/>
        <v>n/a</v>
      </c>
      <c r="T471" s="225" t="str">
        <f t="shared" si="7030"/>
        <v>n/a</v>
      </c>
      <c r="U471" s="225" t="str">
        <f t="shared" si="7030"/>
        <v>n/a</v>
      </c>
      <c r="V471" s="225" t="str">
        <f t="shared" si="7030"/>
        <v>n/a</v>
      </c>
      <c r="W471" s="214" t="str">
        <f t="shared" si="7030"/>
        <v>n/a</v>
      </c>
      <c r="X471" s="225" t="str">
        <f t="shared" si="7030"/>
        <v>n/a</v>
      </c>
      <c r="Y471" s="225" t="str">
        <f t="shared" si="7030"/>
        <v>n/a</v>
      </c>
      <c r="Z471" s="225" t="str">
        <f t="shared" si="7030"/>
        <v>n/a</v>
      </c>
      <c r="AA471" s="225" t="str">
        <f t="shared" si="7030"/>
        <v>n/a</v>
      </c>
      <c r="AB471" s="225" t="str">
        <f t="shared" si="7030"/>
        <v>n/a</v>
      </c>
      <c r="AC471" s="225" t="str">
        <f t="shared" si="7030"/>
        <v>n/a</v>
      </c>
      <c r="AD471" s="225" t="str">
        <f t="shared" si="7030"/>
        <v>n/a</v>
      </c>
      <c r="AE471" s="225" t="str">
        <f t="shared" si="7030"/>
        <v>n/a</v>
      </c>
      <c r="AF471" s="225" t="str">
        <f t="shared" si="7030"/>
        <v>n/a</v>
      </c>
      <c r="AG471" s="225" t="str">
        <f t="shared" si="7030"/>
        <v>n/a</v>
      </c>
      <c r="AH471" s="225" t="str">
        <f t="shared" si="7030"/>
        <v>n/a</v>
      </c>
      <c r="AI471" s="214" t="str">
        <f t="shared" si="7030"/>
        <v>n/a</v>
      </c>
      <c r="AJ471" s="225" t="str">
        <f t="shared" si="7030"/>
        <v>n/a</v>
      </c>
      <c r="AK471" s="225" t="str">
        <f t="shared" si="7030"/>
        <v>n/a</v>
      </c>
      <c r="AL471" s="225" t="str">
        <f t="shared" si="7030"/>
        <v>n/a</v>
      </c>
      <c r="AM471" s="225" t="str">
        <f t="shared" ref="AM471:BR471" si="7031">++IFERROR(AM470/AM451,"n/a")</f>
        <v>n/a</v>
      </c>
      <c r="AN471" s="225" t="str">
        <f t="shared" si="7031"/>
        <v>n/a</v>
      </c>
      <c r="AO471" s="225" t="str">
        <f t="shared" si="7031"/>
        <v>n/a</v>
      </c>
      <c r="AP471" s="225" t="str">
        <f t="shared" si="7031"/>
        <v>n/a</v>
      </c>
      <c r="AQ471" s="225" t="str">
        <f t="shared" si="7031"/>
        <v>n/a</v>
      </c>
      <c r="AR471" s="225" t="str">
        <f t="shared" si="7031"/>
        <v>n/a</v>
      </c>
      <c r="AS471" s="225" t="str">
        <f t="shared" si="7031"/>
        <v>n/a</v>
      </c>
      <c r="AT471" s="225" t="str">
        <f t="shared" si="7031"/>
        <v>n/a</v>
      </c>
      <c r="AU471" s="214" t="str">
        <f t="shared" si="7031"/>
        <v>n/a</v>
      </c>
      <c r="AV471" s="225" t="str">
        <f t="shared" si="7031"/>
        <v>n/a</v>
      </c>
      <c r="AW471" s="225" t="str">
        <f t="shared" si="7031"/>
        <v>n/a</v>
      </c>
      <c r="AX471" s="225" t="str">
        <f t="shared" si="7031"/>
        <v>n/a</v>
      </c>
      <c r="AY471" s="225" t="str">
        <f t="shared" si="7031"/>
        <v>n/a</v>
      </c>
      <c r="AZ471" s="225" t="str">
        <f t="shared" si="7031"/>
        <v>n/a</v>
      </c>
      <c r="BA471" s="225" t="str">
        <f t="shared" si="7031"/>
        <v>n/a</v>
      </c>
      <c r="BB471" s="225" t="str">
        <f t="shared" si="7031"/>
        <v>n/a</v>
      </c>
      <c r="BC471" s="225" t="str">
        <f t="shared" si="7031"/>
        <v>n/a</v>
      </c>
      <c r="BD471" s="225" t="str">
        <f t="shared" si="7031"/>
        <v>n/a</v>
      </c>
      <c r="BE471" s="225" t="str">
        <f t="shared" si="7031"/>
        <v>n/a</v>
      </c>
      <c r="BF471" s="225" t="str">
        <f t="shared" si="7031"/>
        <v>n/a</v>
      </c>
      <c r="BG471" s="214" t="str">
        <f t="shared" si="7031"/>
        <v>n/a</v>
      </c>
      <c r="BH471" s="225" t="str">
        <f t="shared" si="7031"/>
        <v>n/a</v>
      </c>
      <c r="BI471" s="225" t="str">
        <f t="shared" si="7031"/>
        <v>n/a</v>
      </c>
      <c r="BJ471" s="225" t="str">
        <f t="shared" si="7031"/>
        <v>n/a</v>
      </c>
      <c r="BK471" s="225" t="str">
        <f t="shared" si="7031"/>
        <v>n/a</v>
      </c>
      <c r="BL471" s="225" t="str">
        <f t="shared" si="7031"/>
        <v>n/a</v>
      </c>
      <c r="BM471" s="225" t="str">
        <f t="shared" si="7031"/>
        <v>n/a</v>
      </c>
      <c r="BN471" s="225" t="str">
        <f t="shared" si="7031"/>
        <v>n/a</v>
      </c>
      <c r="BO471" s="225" t="str">
        <f t="shared" si="7031"/>
        <v>n/a</v>
      </c>
      <c r="BP471" s="225" t="str">
        <f t="shared" si="7031"/>
        <v>n/a</v>
      </c>
      <c r="BQ471" s="225" t="str">
        <f t="shared" si="7031"/>
        <v>n/a</v>
      </c>
      <c r="BR471" s="225" t="str">
        <f t="shared" si="7031"/>
        <v>n/a</v>
      </c>
      <c r="BS471" s="214" t="str">
        <f t="shared" ref="BS471:CX471" si="7032">++IFERROR(BS470/BS451,"n/a")</f>
        <v>n/a</v>
      </c>
      <c r="BT471" s="225" t="str">
        <f t="shared" si="7032"/>
        <v>n/a</v>
      </c>
      <c r="BU471" s="225" t="str">
        <f t="shared" si="7032"/>
        <v>n/a</v>
      </c>
      <c r="BV471" s="225" t="str">
        <f t="shared" si="7032"/>
        <v>n/a</v>
      </c>
      <c r="BW471" s="225" t="str">
        <f t="shared" si="7032"/>
        <v>n/a</v>
      </c>
      <c r="BX471" s="225" t="str">
        <f t="shared" si="7032"/>
        <v>n/a</v>
      </c>
      <c r="BY471" s="225" t="str">
        <f t="shared" si="7032"/>
        <v>n/a</v>
      </c>
      <c r="BZ471" s="225" t="str">
        <f t="shared" si="7032"/>
        <v>n/a</v>
      </c>
      <c r="CA471" s="225" t="str">
        <f t="shared" si="7032"/>
        <v>n/a</v>
      </c>
      <c r="CB471" s="225" t="str">
        <f t="shared" si="7032"/>
        <v>n/a</v>
      </c>
      <c r="CC471" s="225" t="str">
        <f t="shared" si="7032"/>
        <v>n/a</v>
      </c>
      <c r="CD471" s="225" t="str">
        <f t="shared" si="7032"/>
        <v>n/a</v>
      </c>
      <c r="CE471" s="214" t="str">
        <f t="shared" si="7032"/>
        <v>n/a</v>
      </c>
      <c r="CF471" s="225" t="str">
        <f t="shared" si="7032"/>
        <v>n/a</v>
      </c>
      <c r="CG471" s="225" t="str">
        <f t="shared" si="7032"/>
        <v>n/a</v>
      </c>
      <c r="CH471" s="225" t="str">
        <f t="shared" si="7032"/>
        <v>n/a</v>
      </c>
      <c r="CI471" s="225" t="str">
        <f t="shared" si="7032"/>
        <v>n/a</v>
      </c>
      <c r="CJ471" s="225" t="str">
        <f t="shared" si="7032"/>
        <v>n/a</v>
      </c>
      <c r="CK471" s="225" t="str">
        <f t="shared" si="7032"/>
        <v>n/a</v>
      </c>
      <c r="CL471" s="225" t="str">
        <f t="shared" si="7032"/>
        <v>n/a</v>
      </c>
      <c r="CM471" s="225" t="str">
        <f t="shared" si="7032"/>
        <v>n/a</v>
      </c>
      <c r="CN471" s="225" t="str">
        <f t="shared" si="7032"/>
        <v>n/a</v>
      </c>
      <c r="CO471" s="225" t="str">
        <f t="shared" si="7032"/>
        <v>n/a</v>
      </c>
      <c r="CP471" s="225" t="str">
        <f t="shared" si="7032"/>
        <v>n/a</v>
      </c>
      <c r="CQ471" s="214" t="str">
        <f t="shared" si="7032"/>
        <v>n/a</v>
      </c>
      <c r="CR471" s="225" t="str">
        <f t="shared" si="7032"/>
        <v>n/a</v>
      </c>
      <c r="CS471" s="225" t="str">
        <f t="shared" si="7032"/>
        <v>n/a</v>
      </c>
      <c r="CT471" s="225" t="str">
        <f t="shared" si="7032"/>
        <v>n/a</v>
      </c>
      <c r="CU471" s="225" t="str">
        <f t="shared" si="7032"/>
        <v>n/a</v>
      </c>
      <c r="CV471" s="225" t="str">
        <f t="shared" si="7032"/>
        <v>n/a</v>
      </c>
      <c r="CW471" s="225" t="str">
        <f t="shared" si="7032"/>
        <v>n/a</v>
      </c>
      <c r="CX471" s="225" t="str">
        <f t="shared" si="7032"/>
        <v>n/a</v>
      </c>
      <c r="CY471" s="225" t="str">
        <f t="shared" ref="CY471:ED471" si="7033">++IFERROR(CY470/CY451,"n/a")</f>
        <v>n/a</v>
      </c>
      <c r="CZ471" s="225" t="str">
        <f t="shared" si="7033"/>
        <v>n/a</v>
      </c>
      <c r="DA471" s="225" t="str">
        <f t="shared" si="7033"/>
        <v>n/a</v>
      </c>
      <c r="DB471" s="225" t="str">
        <f t="shared" si="7033"/>
        <v>n/a</v>
      </c>
      <c r="DC471" s="214" t="str">
        <f t="shared" si="7033"/>
        <v>n/a</v>
      </c>
    </row>
    <row r="472" spans="3:107" x14ac:dyDescent="0.3">
      <c r="C472" s="321" t="str">
        <f>++C$31</f>
        <v>% y/y</v>
      </c>
      <c r="G472" s="122" t="s">
        <v>47</v>
      </c>
      <c r="H472" s="122" t="s">
        <v>47</v>
      </c>
      <c r="I472" s="122" t="s">
        <v>47</v>
      </c>
      <c r="J472" s="122" t="s">
        <v>47</v>
      </c>
      <c r="K472" s="214" t="str">
        <f>++IFERROR(K470/G225-1,"n/a")</f>
        <v>n/a</v>
      </c>
      <c r="L472" s="122" t="s">
        <v>47</v>
      </c>
      <c r="M472" s="122" t="s">
        <v>47</v>
      </c>
      <c r="N472" s="225" t="str">
        <f>++IFERROR(N470/H225-1,"n/a")</f>
        <v>n/a</v>
      </c>
      <c r="O472" s="122" t="s">
        <v>47</v>
      </c>
      <c r="P472" s="122" t="s">
        <v>47</v>
      </c>
      <c r="Q472" s="225" t="str">
        <f>++IFERROR(Q470/I225-1,"n/a")</f>
        <v>n/a</v>
      </c>
      <c r="R472" s="122" t="s">
        <v>47</v>
      </c>
      <c r="S472" s="122" t="s">
        <v>47</v>
      </c>
      <c r="T472" s="225" t="str">
        <f>++IFERROR(T470/J225-1,"n/a")</f>
        <v>n/a</v>
      </c>
      <c r="U472" s="122" t="s">
        <v>47</v>
      </c>
      <c r="V472" s="122" t="s">
        <v>47</v>
      </c>
      <c r="W472" s="214" t="str">
        <f t="shared" ref="W472:BB472" si="7034">++IFERROR(W470/K225-1,"n/a")</f>
        <v>n/a</v>
      </c>
      <c r="X472" s="225" t="str">
        <f t="shared" si="7034"/>
        <v>n/a</v>
      </c>
      <c r="Y472" s="225" t="str">
        <f t="shared" si="7034"/>
        <v>n/a</v>
      </c>
      <c r="Z472" s="225" t="str">
        <f t="shared" si="7034"/>
        <v>n/a</v>
      </c>
      <c r="AA472" s="225" t="str">
        <f t="shared" si="7034"/>
        <v>n/a</v>
      </c>
      <c r="AB472" s="225" t="str">
        <f t="shared" si="7034"/>
        <v>n/a</v>
      </c>
      <c r="AC472" s="225" t="str">
        <f t="shared" si="7034"/>
        <v>n/a</v>
      </c>
      <c r="AD472" s="225" t="str">
        <f t="shared" si="7034"/>
        <v>n/a</v>
      </c>
      <c r="AE472" s="225" t="str">
        <f t="shared" si="7034"/>
        <v>n/a</v>
      </c>
      <c r="AF472" s="225" t="str">
        <f t="shared" si="7034"/>
        <v>n/a</v>
      </c>
      <c r="AG472" s="225" t="str">
        <f t="shared" si="7034"/>
        <v>n/a</v>
      </c>
      <c r="AH472" s="225" t="str">
        <f t="shared" si="7034"/>
        <v>n/a</v>
      </c>
      <c r="AI472" s="214" t="str">
        <f t="shared" si="7034"/>
        <v>n/a</v>
      </c>
      <c r="AJ472" s="225" t="str">
        <f t="shared" si="7034"/>
        <v>n/a</v>
      </c>
      <c r="AK472" s="225" t="str">
        <f t="shared" si="7034"/>
        <v>n/a</v>
      </c>
      <c r="AL472" s="225" t="str">
        <f t="shared" si="7034"/>
        <v>n/a</v>
      </c>
      <c r="AM472" s="225" t="str">
        <f t="shared" si="7034"/>
        <v>n/a</v>
      </c>
      <c r="AN472" s="225" t="str">
        <f t="shared" si="7034"/>
        <v>n/a</v>
      </c>
      <c r="AO472" s="225" t="str">
        <f t="shared" si="7034"/>
        <v>n/a</v>
      </c>
      <c r="AP472" s="225" t="str">
        <f t="shared" si="7034"/>
        <v>n/a</v>
      </c>
      <c r="AQ472" s="225" t="str">
        <f t="shared" si="7034"/>
        <v>n/a</v>
      </c>
      <c r="AR472" s="225" t="str">
        <f t="shared" si="7034"/>
        <v>n/a</v>
      </c>
      <c r="AS472" s="225" t="str">
        <f t="shared" si="7034"/>
        <v>n/a</v>
      </c>
      <c r="AT472" s="225" t="str">
        <f t="shared" si="7034"/>
        <v>n/a</v>
      </c>
      <c r="AU472" s="214" t="str">
        <f t="shared" si="7034"/>
        <v>n/a</v>
      </c>
      <c r="AV472" s="225" t="str">
        <f t="shared" si="7034"/>
        <v>n/a</v>
      </c>
      <c r="AW472" s="225" t="str">
        <f t="shared" si="7034"/>
        <v>n/a</v>
      </c>
      <c r="AX472" s="225" t="str">
        <f t="shared" si="7034"/>
        <v>n/a</v>
      </c>
      <c r="AY472" s="225" t="str">
        <f t="shared" si="7034"/>
        <v>n/a</v>
      </c>
      <c r="AZ472" s="225" t="str">
        <f t="shared" si="7034"/>
        <v>n/a</v>
      </c>
      <c r="BA472" s="225" t="str">
        <f t="shared" si="7034"/>
        <v>n/a</v>
      </c>
      <c r="BB472" s="225" t="str">
        <f t="shared" si="7034"/>
        <v>n/a</v>
      </c>
      <c r="BC472" s="225" t="str">
        <f t="shared" ref="BC472:CH472" si="7035">++IFERROR(BC470/AQ225-1,"n/a")</f>
        <v>n/a</v>
      </c>
      <c r="BD472" s="225" t="str">
        <f t="shared" si="7035"/>
        <v>n/a</v>
      </c>
      <c r="BE472" s="225" t="str">
        <f t="shared" si="7035"/>
        <v>n/a</v>
      </c>
      <c r="BF472" s="225" t="str">
        <f t="shared" si="7035"/>
        <v>n/a</v>
      </c>
      <c r="BG472" s="214" t="str">
        <f t="shared" si="7035"/>
        <v>n/a</v>
      </c>
      <c r="BH472" s="225" t="str">
        <f t="shared" si="7035"/>
        <v>n/a</v>
      </c>
      <c r="BI472" s="225" t="str">
        <f t="shared" si="7035"/>
        <v>n/a</v>
      </c>
      <c r="BJ472" s="225" t="str">
        <f t="shared" si="7035"/>
        <v>n/a</v>
      </c>
      <c r="BK472" s="225" t="str">
        <f t="shared" si="7035"/>
        <v>n/a</v>
      </c>
      <c r="BL472" s="225" t="str">
        <f t="shared" si="7035"/>
        <v>n/a</v>
      </c>
      <c r="BM472" s="225" t="str">
        <f t="shared" si="7035"/>
        <v>n/a</v>
      </c>
      <c r="BN472" s="225" t="str">
        <f t="shared" si="7035"/>
        <v>n/a</v>
      </c>
      <c r="BO472" s="225" t="str">
        <f t="shared" si="7035"/>
        <v>n/a</v>
      </c>
      <c r="BP472" s="225" t="str">
        <f t="shared" si="7035"/>
        <v>n/a</v>
      </c>
      <c r="BQ472" s="225" t="str">
        <f t="shared" si="7035"/>
        <v>n/a</v>
      </c>
      <c r="BR472" s="225" t="str">
        <f t="shared" si="7035"/>
        <v>n/a</v>
      </c>
      <c r="BS472" s="214" t="str">
        <f t="shared" si="7035"/>
        <v>n/a</v>
      </c>
      <c r="BT472" s="225" t="str">
        <f t="shared" si="7035"/>
        <v>n/a</v>
      </c>
      <c r="BU472" s="225" t="str">
        <f t="shared" si="7035"/>
        <v>n/a</v>
      </c>
      <c r="BV472" s="225" t="str">
        <f t="shared" si="7035"/>
        <v>n/a</v>
      </c>
      <c r="BW472" s="225" t="str">
        <f t="shared" si="7035"/>
        <v>n/a</v>
      </c>
      <c r="BX472" s="225" t="str">
        <f t="shared" si="7035"/>
        <v>n/a</v>
      </c>
      <c r="BY472" s="225" t="str">
        <f t="shared" si="7035"/>
        <v>n/a</v>
      </c>
      <c r="BZ472" s="225" t="str">
        <f t="shared" si="7035"/>
        <v>n/a</v>
      </c>
      <c r="CA472" s="225" t="str">
        <f t="shared" si="7035"/>
        <v>n/a</v>
      </c>
      <c r="CB472" s="225" t="str">
        <f t="shared" si="7035"/>
        <v>n/a</v>
      </c>
      <c r="CC472" s="225" t="str">
        <f t="shared" si="7035"/>
        <v>n/a</v>
      </c>
      <c r="CD472" s="225" t="str">
        <f t="shared" si="7035"/>
        <v>n/a</v>
      </c>
      <c r="CE472" s="214" t="str">
        <f t="shared" si="7035"/>
        <v>n/a</v>
      </c>
      <c r="CF472" s="225" t="str">
        <f t="shared" si="7035"/>
        <v>n/a</v>
      </c>
      <c r="CG472" s="225" t="str">
        <f t="shared" si="7035"/>
        <v>n/a</v>
      </c>
      <c r="CH472" s="225" t="str">
        <f t="shared" si="7035"/>
        <v>n/a</v>
      </c>
      <c r="CI472" s="225" t="str">
        <f t="shared" ref="CI472:DN472" si="7036">++IFERROR(CI470/BW225-1,"n/a")</f>
        <v>n/a</v>
      </c>
      <c r="CJ472" s="225" t="str">
        <f t="shared" si="7036"/>
        <v>n/a</v>
      </c>
      <c r="CK472" s="225" t="str">
        <f t="shared" si="7036"/>
        <v>n/a</v>
      </c>
      <c r="CL472" s="225" t="str">
        <f t="shared" si="7036"/>
        <v>n/a</v>
      </c>
      <c r="CM472" s="225" t="str">
        <f t="shared" si="7036"/>
        <v>n/a</v>
      </c>
      <c r="CN472" s="225" t="str">
        <f t="shared" si="7036"/>
        <v>n/a</v>
      </c>
      <c r="CO472" s="225" t="str">
        <f t="shared" si="7036"/>
        <v>n/a</v>
      </c>
      <c r="CP472" s="225" t="str">
        <f t="shared" si="7036"/>
        <v>n/a</v>
      </c>
      <c r="CQ472" s="214" t="str">
        <f t="shared" si="7036"/>
        <v>n/a</v>
      </c>
      <c r="CR472" s="225" t="str">
        <f t="shared" si="7036"/>
        <v>n/a</v>
      </c>
      <c r="CS472" s="225" t="str">
        <f t="shared" si="7036"/>
        <v>n/a</v>
      </c>
      <c r="CT472" s="225" t="str">
        <f t="shared" si="7036"/>
        <v>n/a</v>
      </c>
      <c r="CU472" s="225" t="str">
        <f t="shared" si="7036"/>
        <v>n/a</v>
      </c>
      <c r="CV472" s="225" t="str">
        <f t="shared" si="7036"/>
        <v>n/a</v>
      </c>
      <c r="CW472" s="225" t="str">
        <f t="shared" si="7036"/>
        <v>n/a</v>
      </c>
      <c r="CX472" s="225" t="str">
        <f t="shared" si="7036"/>
        <v>n/a</v>
      </c>
      <c r="CY472" s="225" t="str">
        <f t="shared" si="7036"/>
        <v>n/a</v>
      </c>
      <c r="CZ472" s="225" t="str">
        <f t="shared" si="7036"/>
        <v>n/a</v>
      </c>
      <c r="DA472" s="225" t="str">
        <f t="shared" si="7036"/>
        <v>n/a</v>
      </c>
      <c r="DB472" s="225" t="str">
        <f t="shared" si="7036"/>
        <v>n/a</v>
      </c>
      <c r="DC472" s="214" t="str">
        <f t="shared" si="7036"/>
        <v>n/a</v>
      </c>
    </row>
    <row r="473" spans="3:107" x14ac:dyDescent="0.3">
      <c r="G473" s="203"/>
      <c r="K473" s="203"/>
      <c r="W473" s="203"/>
      <c r="AI473" s="203"/>
      <c r="AU473" s="203"/>
      <c r="BG473" s="203"/>
      <c r="BS473" s="203"/>
      <c r="CE473" s="203"/>
      <c r="CQ473" s="203"/>
      <c r="DC473" s="203"/>
    </row>
    <row r="474" spans="3:107" x14ac:dyDescent="0.3">
      <c r="C474" s="101" t="str">
        <f>++C$33</f>
        <v>Tax Expense (Benefit)</v>
      </c>
      <c r="G474" s="45">
        <v>0</v>
      </c>
      <c r="H474" s="45">
        <v>0</v>
      </c>
      <c r="I474" s="45">
        <v>0</v>
      </c>
      <c r="J474" s="45">
        <v>0</v>
      </c>
      <c r="K474" s="45">
        <v>0</v>
      </c>
      <c r="L474" s="45">
        <v>0</v>
      </c>
      <c r="M474" s="45">
        <v>0</v>
      </c>
      <c r="N474" s="45">
        <v>0</v>
      </c>
      <c r="O474" s="45">
        <v>0</v>
      </c>
      <c r="P474" s="45">
        <v>0</v>
      </c>
      <c r="Q474" s="45">
        <v>0</v>
      </c>
      <c r="R474" s="45">
        <v>0</v>
      </c>
      <c r="S474" s="45">
        <v>0</v>
      </c>
      <c r="T474" s="45">
        <v>0</v>
      </c>
      <c r="U474" s="45">
        <v>0</v>
      </c>
      <c r="V474" s="45">
        <v>0</v>
      </c>
      <c r="W474" s="45">
        <v>0</v>
      </c>
      <c r="X474" s="45">
        <v>0</v>
      </c>
      <c r="Y474" s="45">
        <v>0</v>
      </c>
      <c r="Z474" s="45">
        <v>0</v>
      </c>
      <c r="AA474" s="45">
        <v>0</v>
      </c>
      <c r="AB474" s="45">
        <v>0</v>
      </c>
      <c r="AC474" s="45">
        <v>0</v>
      </c>
      <c r="AD474" s="45">
        <v>0</v>
      </c>
      <c r="AE474" s="45">
        <v>0</v>
      </c>
      <c r="AF474" s="45">
        <v>0</v>
      </c>
      <c r="AG474" s="45">
        <v>0</v>
      </c>
      <c r="AH474" s="45">
        <v>0</v>
      </c>
      <c r="AI474" s="45">
        <v>0</v>
      </c>
      <c r="AJ474" s="45">
        <v>0</v>
      </c>
      <c r="AK474" s="45">
        <v>0</v>
      </c>
      <c r="AL474" s="45">
        <v>0</v>
      </c>
      <c r="AM474" s="45">
        <v>0</v>
      </c>
      <c r="AN474" s="45">
        <v>0</v>
      </c>
      <c r="AO474" s="45">
        <v>0</v>
      </c>
      <c r="AP474" s="45">
        <v>0</v>
      </c>
      <c r="AQ474" s="45">
        <v>0</v>
      </c>
      <c r="AR474" s="45">
        <v>0</v>
      </c>
      <c r="AS474" s="45">
        <v>0</v>
      </c>
      <c r="AT474" s="45">
        <v>0</v>
      </c>
      <c r="AU474" s="45">
        <v>0</v>
      </c>
      <c r="AV474" s="45">
        <v>0</v>
      </c>
      <c r="AW474" s="45">
        <v>0</v>
      </c>
      <c r="AX474" s="45">
        <v>0</v>
      </c>
      <c r="AY474" s="45">
        <v>0</v>
      </c>
      <c r="AZ474" s="45">
        <v>0</v>
      </c>
      <c r="BA474" s="45">
        <v>0</v>
      </c>
      <c r="BB474" s="45">
        <v>0</v>
      </c>
      <c r="BC474" s="45">
        <v>0</v>
      </c>
      <c r="BD474" s="45">
        <v>0</v>
      </c>
      <c r="BE474" s="45">
        <v>0</v>
      </c>
      <c r="BF474" s="45">
        <v>0</v>
      </c>
      <c r="BG474" s="45">
        <v>0</v>
      </c>
      <c r="BH474" s="45">
        <v>0</v>
      </c>
      <c r="BI474" s="45">
        <v>0</v>
      </c>
      <c r="BJ474" s="45">
        <v>0</v>
      </c>
      <c r="BK474" s="45">
        <v>0</v>
      </c>
      <c r="BL474" s="45">
        <v>0</v>
      </c>
      <c r="BM474" s="45">
        <v>0</v>
      </c>
      <c r="BN474" s="45">
        <v>0</v>
      </c>
      <c r="BO474" s="45">
        <v>0</v>
      </c>
      <c r="BP474" s="45">
        <v>0</v>
      </c>
      <c r="BQ474" s="45">
        <v>0</v>
      </c>
      <c r="BR474" s="45">
        <v>0</v>
      </c>
      <c r="BS474" s="45">
        <v>0</v>
      </c>
      <c r="BT474" s="45">
        <v>0</v>
      </c>
      <c r="BU474" s="45">
        <v>0</v>
      </c>
      <c r="BV474" s="45">
        <v>0</v>
      </c>
      <c r="BW474" s="45">
        <v>0</v>
      </c>
      <c r="BX474" s="45">
        <v>0</v>
      </c>
      <c r="BY474" s="45">
        <v>0</v>
      </c>
      <c r="BZ474" s="45">
        <v>0</v>
      </c>
      <c r="CA474" s="45">
        <v>0</v>
      </c>
      <c r="CB474" s="45">
        <v>0</v>
      </c>
      <c r="CC474" s="45">
        <v>0</v>
      </c>
      <c r="CD474" s="45">
        <v>0</v>
      </c>
      <c r="CE474" s="45">
        <v>0</v>
      </c>
      <c r="CF474" s="45">
        <v>0</v>
      </c>
      <c r="CG474" s="45">
        <v>0</v>
      </c>
      <c r="CH474" s="45">
        <v>0</v>
      </c>
      <c r="CI474" s="45">
        <v>0</v>
      </c>
      <c r="CJ474" s="45">
        <v>0</v>
      </c>
      <c r="CK474" s="45">
        <v>0</v>
      </c>
      <c r="CL474" s="45">
        <v>0</v>
      </c>
      <c r="CM474" s="45">
        <v>0</v>
      </c>
      <c r="CN474" s="45">
        <v>0</v>
      </c>
      <c r="CO474" s="45">
        <v>0</v>
      </c>
      <c r="CP474" s="45">
        <v>0</v>
      </c>
      <c r="CQ474" s="45">
        <v>0</v>
      </c>
      <c r="CR474" s="45">
        <v>0</v>
      </c>
      <c r="CS474" s="45">
        <v>0</v>
      </c>
      <c r="CT474" s="45">
        <v>0</v>
      </c>
      <c r="CU474" s="45">
        <v>0</v>
      </c>
      <c r="CV474" s="45">
        <v>0</v>
      </c>
      <c r="CW474" s="45">
        <v>0</v>
      </c>
      <c r="CX474" s="45">
        <v>0</v>
      </c>
      <c r="CY474" s="45">
        <v>0</v>
      </c>
      <c r="CZ474" s="45">
        <v>0</v>
      </c>
      <c r="DA474" s="45">
        <v>0</v>
      </c>
      <c r="DB474" s="45">
        <v>0</v>
      </c>
      <c r="DC474" s="45">
        <v>0</v>
      </c>
    </row>
    <row r="475" spans="3:107" x14ac:dyDescent="0.3">
      <c r="C475" s="321" t="str">
        <f>++C$34</f>
        <v>% effective rate</v>
      </c>
      <c r="G475" s="214" t="str">
        <f t="shared" ref="G475:AL475" si="7037">++IFERROR(G474/G470,"n/a")</f>
        <v>n/a</v>
      </c>
      <c r="H475" s="225" t="str">
        <f t="shared" si="7037"/>
        <v>n/a</v>
      </c>
      <c r="I475" s="225" t="str">
        <f t="shared" si="7037"/>
        <v>n/a</v>
      </c>
      <c r="J475" s="225" t="str">
        <f t="shared" si="7037"/>
        <v>n/a</v>
      </c>
      <c r="K475" s="214" t="str">
        <f t="shared" si="7037"/>
        <v>n/a</v>
      </c>
      <c r="L475" s="225" t="str">
        <f t="shared" si="7037"/>
        <v>n/a</v>
      </c>
      <c r="M475" s="225" t="str">
        <f t="shared" si="7037"/>
        <v>n/a</v>
      </c>
      <c r="N475" s="225" t="str">
        <f t="shared" si="7037"/>
        <v>n/a</v>
      </c>
      <c r="O475" s="225" t="str">
        <f t="shared" si="7037"/>
        <v>n/a</v>
      </c>
      <c r="P475" s="225" t="str">
        <f t="shared" si="7037"/>
        <v>n/a</v>
      </c>
      <c r="Q475" s="225" t="str">
        <f t="shared" si="7037"/>
        <v>n/a</v>
      </c>
      <c r="R475" s="225" t="str">
        <f t="shared" si="7037"/>
        <v>n/a</v>
      </c>
      <c r="S475" s="225" t="str">
        <f t="shared" si="7037"/>
        <v>n/a</v>
      </c>
      <c r="T475" s="225" t="str">
        <f t="shared" si="7037"/>
        <v>n/a</v>
      </c>
      <c r="U475" s="225" t="str">
        <f t="shared" si="7037"/>
        <v>n/a</v>
      </c>
      <c r="V475" s="225" t="str">
        <f t="shared" si="7037"/>
        <v>n/a</v>
      </c>
      <c r="W475" s="214" t="str">
        <f t="shared" si="7037"/>
        <v>n/a</v>
      </c>
      <c r="X475" s="225" t="str">
        <f t="shared" si="7037"/>
        <v>n/a</v>
      </c>
      <c r="Y475" s="225" t="str">
        <f t="shared" si="7037"/>
        <v>n/a</v>
      </c>
      <c r="Z475" s="225" t="str">
        <f t="shared" si="7037"/>
        <v>n/a</v>
      </c>
      <c r="AA475" s="225" t="str">
        <f t="shared" si="7037"/>
        <v>n/a</v>
      </c>
      <c r="AB475" s="225" t="str">
        <f t="shared" si="7037"/>
        <v>n/a</v>
      </c>
      <c r="AC475" s="225" t="str">
        <f t="shared" si="7037"/>
        <v>n/a</v>
      </c>
      <c r="AD475" s="225" t="str">
        <f t="shared" si="7037"/>
        <v>n/a</v>
      </c>
      <c r="AE475" s="225" t="str">
        <f t="shared" si="7037"/>
        <v>n/a</v>
      </c>
      <c r="AF475" s="225" t="str">
        <f t="shared" si="7037"/>
        <v>n/a</v>
      </c>
      <c r="AG475" s="225" t="str">
        <f t="shared" si="7037"/>
        <v>n/a</v>
      </c>
      <c r="AH475" s="225" t="str">
        <f t="shared" si="7037"/>
        <v>n/a</v>
      </c>
      <c r="AI475" s="214" t="str">
        <f t="shared" si="7037"/>
        <v>n/a</v>
      </c>
      <c r="AJ475" s="225" t="str">
        <f t="shared" si="7037"/>
        <v>n/a</v>
      </c>
      <c r="AK475" s="225" t="str">
        <f t="shared" si="7037"/>
        <v>n/a</v>
      </c>
      <c r="AL475" s="225" t="str">
        <f t="shared" si="7037"/>
        <v>n/a</v>
      </c>
      <c r="AM475" s="225" t="str">
        <f t="shared" ref="AM475:BR475" si="7038">++IFERROR(AM474/AM470,"n/a")</f>
        <v>n/a</v>
      </c>
      <c r="AN475" s="225" t="str">
        <f t="shared" si="7038"/>
        <v>n/a</v>
      </c>
      <c r="AO475" s="225" t="str">
        <f t="shared" si="7038"/>
        <v>n/a</v>
      </c>
      <c r="AP475" s="225" t="str">
        <f t="shared" si="7038"/>
        <v>n/a</v>
      </c>
      <c r="AQ475" s="225" t="str">
        <f t="shared" si="7038"/>
        <v>n/a</v>
      </c>
      <c r="AR475" s="225" t="str">
        <f t="shared" si="7038"/>
        <v>n/a</v>
      </c>
      <c r="AS475" s="225" t="str">
        <f t="shared" si="7038"/>
        <v>n/a</v>
      </c>
      <c r="AT475" s="225" t="str">
        <f t="shared" si="7038"/>
        <v>n/a</v>
      </c>
      <c r="AU475" s="214" t="str">
        <f t="shared" si="7038"/>
        <v>n/a</v>
      </c>
      <c r="AV475" s="225" t="str">
        <f t="shared" si="7038"/>
        <v>n/a</v>
      </c>
      <c r="AW475" s="225" t="str">
        <f t="shared" si="7038"/>
        <v>n/a</v>
      </c>
      <c r="AX475" s="225" t="str">
        <f t="shared" si="7038"/>
        <v>n/a</v>
      </c>
      <c r="AY475" s="225" t="str">
        <f t="shared" si="7038"/>
        <v>n/a</v>
      </c>
      <c r="AZ475" s="225" t="str">
        <f t="shared" si="7038"/>
        <v>n/a</v>
      </c>
      <c r="BA475" s="225" t="str">
        <f t="shared" si="7038"/>
        <v>n/a</v>
      </c>
      <c r="BB475" s="225" t="str">
        <f t="shared" si="7038"/>
        <v>n/a</v>
      </c>
      <c r="BC475" s="225" t="str">
        <f t="shared" si="7038"/>
        <v>n/a</v>
      </c>
      <c r="BD475" s="225" t="str">
        <f t="shared" si="7038"/>
        <v>n/a</v>
      </c>
      <c r="BE475" s="225" t="str">
        <f t="shared" si="7038"/>
        <v>n/a</v>
      </c>
      <c r="BF475" s="225" t="str">
        <f t="shared" si="7038"/>
        <v>n/a</v>
      </c>
      <c r="BG475" s="214" t="str">
        <f t="shared" si="7038"/>
        <v>n/a</v>
      </c>
      <c r="BH475" s="225" t="str">
        <f t="shared" si="7038"/>
        <v>n/a</v>
      </c>
      <c r="BI475" s="225" t="str">
        <f t="shared" si="7038"/>
        <v>n/a</v>
      </c>
      <c r="BJ475" s="225" t="str">
        <f t="shared" si="7038"/>
        <v>n/a</v>
      </c>
      <c r="BK475" s="225" t="str">
        <f t="shared" si="7038"/>
        <v>n/a</v>
      </c>
      <c r="BL475" s="225" t="str">
        <f t="shared" si="7038"/>
        <v>n/a</v>
      </c>
      <c r="BM475" s="225" t="str">
        <f t="shared" si="7038"/>
        <v>n/a</v>
      </c>
      <c r="BN475" s="225" t="str">
        <f t="shared" si="7038"/>
        <v>n/a</v>
      </c>
      <c r="BO475" s="225" t="str">
        <f t="shared" si="7038"/>
        <v>n/a</v>
      </c>
      <c r="BP475" s="225" t="str">
        <f t="shared" si="7038"/>
        <v>n/a</v>
      </c>
      <c r="BQ475" s="225" t="str">
        <f t="shared" si="7038"/>
        <v>n/a</v>
      </c>
      <c r="BR475" s="225" t="str">
        <f t="shared" si="7038"/>
        <v>n/a</v>
      </c>
      <c r="BS475" s="214" t="str">
        <f t="shared" ref="BS475:CX475" si="7039">++IFERROR(BS474/BS470,"n/a")</f>
        <v>n/a</v>
      </c>
      <c r="BT475" s="225" t="str">
        <f t="shared" si="7039"/>
        <v>n/a</v>
      </c>
      <c r="BU475" s="225" t="str">
        <f t="shared" si="7039"/>
        <v>n/a</v>
      </c>
      <c r="BV475" s="225" t="str">
        <f t="shared" si="7039"/>
        <v>n/a</v>
      </c>
      <c r="BW475" s="225" t="str">
        <f t="shared" si="7039"/>
        <v>n/a</v>
      </c>
      <c r="BX475" s="225" t="str">
        <f t="shared" si="7039"/>
        <v>n/a</v>
      </c>
      <c r="BY475" s="225" t="str">
        <f t="shared" si="7039"/>
        <v>n/a</v>
      </c>
      <c r="BZ475" s="225" t="str">
        <f t="shared" si="7039"/>
        <v>n/a</v>
      </c>
      <c r="CA475" s="225" t="str">
        <f t="shared" si="7039"/>
        <v>n/a</v>
      </c>
      <c r="CB475" s="225" t="str">
        <f t="shared" si="7039"/>
        <v>n/a</v>
      </c>
      <c r="CC475" s="225" t="str">
        <f t="shared" si="7039"/>
        <v>n/a</v>
      </c>
      <c r="CD475" s="225" t="str">
        <f t="shared" si="7039"/>
        <v>n/a</v>
      </c>
      <c r="CE475" s="214" t="str">
        <f t="shared" si="7039"/>
        <v>n/a</v>
      </c>
      <c r="CF475" s="225" t="str">
        <f t="shared" si="7039"/>
        <v>n/a</v>
      </c>
      <c r="CG475" s="225" t="str">
        <f t="shared" si="7039"/>
        <v>n/a</v>
      </c>
      <c r="CH475" s="225" t="str">
        <f t="shared" si="7039"/>
        <v>n/a</v>
      </c>
      <c r="CI475" s="225" t="str">
        <f t="shared" si="7039"/>
        <v>n/a</v>
      </c>
      <c r="CJ475" s="225" t="str">
        <f t="shared" si="7039"/>
        <v>n/a</v>
      </c>
      <c r="CK475" s="225" t="str">
        <f t="shared" si="7039"/>
        <v>n/a</v>
      </c>
      <c r="CL475" s="225" t="str">
        <f t="shared" si="7039"/>
        <v>n/a</v>
      </c>
      <c r="CM475" s="225" t="str">
        <f t="shared" si="7039"/>
        <v>n/a</v>
      </c>
      <c r="CN475" s="225" t="str">
        <f t="shared" si="7039"/>
        <v>n/a</v>
      </c>
      <c r="CO475" s="225" t="str">
        <f t="shared" si="7039"/>
        <v>n/a</v>
      </c>
      <c r="CP475" s="225" t="str">
        <f t="shared" si="7039"/>
        <v>n/a</v>
      </c>
      <c r="CQ475" s="214" t="str">
        <f t="shared" si="7039"/>
        <v>n/a</v>
      </c>
      <c r="CR475" s="225" t="str">
        <f t="shared" si="7039"/>
        <v>n/a</v>
      </c>
      <c r="CS475" s="225" t="str">
        <f t="shared" si="7039"/>
        <v>n/a</v>
      </c>
      <c r="CT475" s="225" t="str">
        <f t="shared" si="7039"/>
        <v>n/a</v>
      </c>
      <c r="CU475" s="225" t="str">
        <f t="shared" si="7039"/>
        <v>n/a</v>
      </c>
      <c r="CV475" s="225" t="str">
        <f t="shared" si="7039"/>
        <v>n/a</v>
      </c>
      <c r="CW475" s="225" t="str">
        <f t="shared" si="7039"/>
        <v>n/a</v>
      </c>
      <c r="CX475" s="225" t="str">
        <f t="shared" si="7039"/>
        <v>n/a</v>
      </c>
      <c r="CY475" s="225" t="str">
        <f t="shared" ref="CY475:ED475" si="7040">++IFERROR(CY474/CY470,"n/a")</f>
        <v>n/a</v>
      </c>
      <c r="CZ475" s="225" t="str">
        <f t="shared" si="7040"/>
        <v>n/a</v>
      </c>
      <c r="DA475" s="225" t="str">
        <f t="shared" si="7040"/>
        <v>n/a</v>
      </c>
      <c r="DB475" s="225" t="str">
        <f t="shared" si="7040"/>
        <v>n/a</v>
      </c>
      <c r="DC475" s="214" t="str">
        <f t="shared" si="7040"/>
        <v>n/a</v>
      </c>
    </row>
    <row r="476" spans="3:107" x14ac:dyDescent="0.3">
      <c r="G476" s="203"/>
      <c r="K476" s="203"/>
      <c r="W476" s="203"/>
      <c r="AI476" s="203"/>
      <c r="AU476" s="203"/>
      <c r="BG476" s="203"/>
      <c r="BS476" s="203"/>
      <c r="CE476" s="203"/>
      <c r="CQ476" s="203"/>
      <c r="DC476" s="203"/>
    </row>
    <row r="477" spans="3:107" ht="13.5" thickBot="1" x14ac:dyDescent="0.35">
      <c r="C477" s="369" t="str">
        <f>++C$36</f>
        <v>Net Income</v>
      </c>
      <c r="D477" s="370"/>
      <c r="E477" s="370"/>
      <c r="G477" s="435">
        <v>0</v>
      </c>
      <c r="H477" s="435">
        <v>0</v>
      </c>
      <c r="I477" s="435">
        <v>0</v>
      </c>
      <c r="J477" s="435">
        <v>0</v>
      </c>
      <c r="K477" s="435">
        <v>0</v>
      </c>
      <c r="L477" s="435">
        <v>0</v>
      </c>
      <c r="M477" s="435">
        <v>0</v>
      </c>
      <c r="N477" s="435">
        <v>0</v>
      </c>
      <c r="O477" s="435">
        <v>0</v>
      </c>
      <c r="P477" s="435">
        <v>0</v>
      </c>
      <c r="Q477" s="435">
        <v>0</v>
      </c>
      <c r="R477" s="435">
        <v>0</v>
      </c>
      <c r="S477" s="435">
        <v>0</v>
      </c>
      <c r="T477" s="435">
        <v>0</v>
      </c>
      <c r="U477" s="435">
        <v>0</v>
      </c>
      <c r="V477" s="435">
        <v>0</v>
      </c>
      <c r="W477" s="435">
        <v>0</v>
      </c>
      <c r="X477" s="435">
        <v>0</v>
      </c>
      <c r="Y477" s="435">
        <v>0</v>
      </c>
      <c r="Z477" s="435">
        <v>0</v>
      </c>
      <c r="AA477" s="435">
        <v>0</v>
      </c>
      <c r="AB477" s="435">
        <v>0</v>
      </c>
      <c r="AC477" s="435">
        <v>0</v>
      </c>
      <c r="AD477" s="435">
        <v>0</v>
      </c>
      <c r="AE477" s="435">
        <v>0</v>
      </c>
      <c r="AF477" s="435">
        <v>0</v>
      </c>
      <c r="AG477" s="435">
        <v>0</v>
      </c>
      <c r="AH477" s="435">
        <v>0</v>
      </c>
      <c r="AI477" s="435">
        <v>0</v>
      </c>
      <c r="AJ477" s="435">
        <v>0</v>
      </c>
      <c r="AK477" s="435">
        <v>0</v>
      </c>
      <c r="AL477" s="435">
        <v>0</v>
      </c>
      <c r="AM477" s="435">
        <v>0</v>
      </c>
      <c r="AN477" s="435">
        <v>0</v>
      </c>
      <c r="AO477" s="435">
        <v>0</v>
      </c>
      <c r="AP477" s="435">
        <v>0</v>
      </c>
      <c r="AQ477" s="435">
        <v>0</v>
      </c>
      <c r="AR477" s="435">
        <v>0</v>
      </c>
      <c r="AS477" s="435">
        <v>0</v>
      </c>
      <c r="AT477" s="435">
        <v>0</v>
      </c>
      <c r="AU477" s="435">
        <v>0</v>
      </c>
      <c r="AV477" s="435">
        <v>0</v>
      </c>
      <c r="AW477" s="435">
        <v>0</v>
      </c>
      <c r="AX477" s="435">
        <v>0</v>
      </c>
      <c r="AY477" s="435">
        <v>0</v>
      </c>
      <c r="AZ477" s="435">
        <v>0</v>
      </c>
      <c r="BA477" s="435">
        <v>0</v>
      </c>
      <c r="BB477" s="435">
        <v>0</v>
      </c>
      <c r="BC477" s="435">
        <v>0</v>
      </c>
      <c r="BD477" s="435">
        <v>0</v>
      </c>
      <c r="BE477" s="435">
        <v>0</v>
      </c>
      <c r="BF477" s="435">
        <v>0</v>
      </c>
      <c r="BG477" s="435">
        <v>0</v>
      </c>
      <c r="BH477" s="435">
        <v>0</v>
      </c>
      <c r="BI477" s="435">
        <v>0</v>
      </c>
      <c r="BJ477" s="435">
        <v>0</v>
      </c>
      <c r="BK477" s="435">
        <v>0</v>
      </c>
      <c r="BL477" s="435">
        <v>0</v>
      </c>
      <c r="BM477" s="435">
        <v>0</v>
      </c>
      <c r="BN477" s="435">
        <v>0</v>
      </c>
      <c r="BO477" s="435">
        <v>0</v>
      </c>
      <c r="BP477" s="435">
        <v>0</v>
      </c>
      <c r="BQ477" s="435">
        <v>0</v>
      </c>
      <c r="BR477" s="435">
        <v>0</v>
      </c>
      <c r="BS477" s="435">
        <v>0</v>
      </c>
      <c r="BT477" s="435">
        <v>0</v>
      </c>
      <c r="BU477" s="435">
        <v>0</v>
      </c>
      <c r="BV477" s="435">
        <v>0</v>
      </c>
      <c r="BW477" s="435">
        <v>0</v>
      </c>
      <c r="BX477" s="435">
        <v>0</v>
      </c>
      <c r="BY477" s="435">
        <v>0</v>
      </c>
      <c r="BZ477" s="435">
        <v>0</v>
      </c>
      <c r="CA477" s="435">
        <v>0</v>
      </c>
      <c r="CB477" s="435">
        <v>0</v>
      </c>
      <c r="CC477" s="435">
        <v>0</v>
      </c>
      <c r="CD477" s="435">
        <v>0</v>
      </c>
      <c r="CE477" s="435">
        <v>0</v>
      </c>
      <c r="CF477" s="435">
        <v>0</v>
      </c>
      <c r="CG477" s="435">
        <v>0</v>
      </c>
      <c r="CH477" s="435">
        <v>0</v>
      </c>
      <c r="CI477" s="435">
        <v>0</v>
      </c>
      <c r="CJ477" s="435">
        <v>0</v>
      </c>
      <c r="CK477" s="435">
        <v>0</v>
      </c>
      <c r="CL477" s="435">
        <v>0</v>
      </c>
      <c r="CM477" s="435">
        <v>0</v>
      </c>
      <c r="CN477" s="435">
        <v>0</v>
      </c>
      <c r="CO477" s="435">
        <v>0</v>
      </c>
      <c r="CP477" s="435">
        <v>0</v>
      </c>
      <c r="CQ477" s="435">
        <v>0</v>
      </c>
      <c r="CR477" s="435">
        <v>0</v>
      </c>
      <c r="CS477" s="435">
        <v>0</v>
      </c>
      <c r="CT477" s="435">
        <v>0</v>
      </c>
      <c r="CU477" s="435">
        <v>0</v>
      </c>
      <c r="CV477" s="435">
        <v>0</v>
      </c>
      <c r="CW477" s="435">
        <v>0</v>
      </c>
      <c r="CX477" s="435">
        <v>0</v>
      </c>
      <c r="CY477" s="435">
        <v>0</v>
      </c>
      <c r="CZ477" s="435">
        <v>0</v>
      </c>
      <c r="DA477" s="435">
        <v>0</v>
      </c>
      <c r="DB477" s="435">
        <v>0</v>
      </c>
      <c r="DC477" s="435">
        <v>0</v>
      </c>
    </row>
    <row r="478" spans="3:107" ht="13.5" thickTop="1" x14ac:dyDescent="0.3">
      <c r="C478" s="321" t="str">
        <f>++C$37</f>
        <v>% margin</v>
      </c>
      <c r="G478" s="214" t="str">
        <f t="shared" ref="G478:AL478" si="7041">++IFERROR(G477/G451,"n/a")</f>
        <v>n/a</v>
      </c>
      <c r="H478" s="225" t="str">
        <f t="shared" si="7041"/>
        <v>n/a</v>
      </c>
      <c r="I478" s="225" t="str">
        <f t="shared" si="7041"/>
        <v>n/a</v>
      </c>
      <c r="J478" s="225" t="str">
        <f t="shared" si="7041"/>
        <v>n/a</v>
      </c>
      <c r="K478" s="214" t="str">
        <f t="shared" si="7041"/>
        <v>n/a</v>
      </c>
      <c r="L478" s="225" t="str">
        <f t="shared" si="7041"/>
        <v>n/a</v>
      </c>
      <c r="M478" s="225" t="str">
        <f t="shared" si="7041"/>
        <v>n/a</v>
      </c>
      <c r="N478" s="225" t="str">
        <f t="shared" si="7041"/>
        <v>n/a</v>
      </c>
      <c r="O478" s="225" t="str">
        <f t="shared" si="7041"/>
        <v>n/a</v>
      </c>
      <c r="P478" s="225" t="str">
        <f t="shared" si="7041"/>
        <v>n/a</v>
      </c>
      <c r="Q478" s="225" t="str">
        <f t="shared" si="7041"/>
        <v>n/a</v>
      </c>
      <c r="R478" s="225" t="str">
        <f t="shared" si="7041"/>
        <v>n/a</v>
      </c>
      <c r="S478" s="225" t="str">
        <f t="shared" si="7041"/>
        <v>n/a</v>
      </c>
      <c r="T478" s="225" t="str">
        <f t="shared" si="7041"/>
        <v>n/a</v>
      </c>
      <c r="U478" s="225" t="str">
        <f t="shared" si="7041"/>
        <v>n/a</v>
      </c>
      <c r="V478" s="225" t="str">
        <f t="shared" si="7041"/>
        <v>n/a</v>
      </c>
      <c r="W478" s="214" t="str">
        <f t="shared" si="7041"/>
        <v>n/a</v>
      </c>
      <c r="X478" s="225" t="str">
        <f t="shared" si="7041"/>
        <v>n/a</v>
      </c>
      <c r="Y478" s="225" t="str">
        <f t="shared" si="7041"/>
        <v>n/a</v>
      </c>
      <c r="Z478" s="225" t="str">
        <f t="shared" si="7041"/>
        <v>n/a</v>
      </c>
      <c r="AA478" s="225" t="str">
        <f t="shared" si="7041"/>
        <v>n/a</v>
      </c>
      <c r="AB478" s="225" t="str">
        <f t="shared" si="7041"/>
        <v>n/a</v>
      </c>
      <c r="AC478" s="225" t="str">
        <f t="shared" si="7041"/>
        <v>n/a</v>
      </c>
      <c r="AD478" s="225" t="str">
        <f t="shared" si="7041"/>
        <v>n/a</v>
      </c>
      <c r="AE478" s="225" t="str">
        <f t="shared" si="7041"/>
        <v>n/a</v>
      </c>
      <c r="AF478" s="225" t="str">
        <f t="shared" si="7041"/>
        <v>n/a</v>
      </c>
      <c r="AG478" s="225" t="str">
        <f t="shared" si="7041"/>
        <v>n/a</v>
      </c>
      <c r="AH478" s="225" t="str">
        <f t="shared" si="7041"/>
        <v>n/a</v>
      </c>
      <c r="AI478" s="214" t="str">
        <f t="shared" si="7041"/>
        <v>n/a</v>
      </c>
      <c r="AJ478" s="225" t="str">
        <f t="shared" si="7041"/>
        <v>n/a</v>
      </c>
      <c r="AK478" s="225" t="str">
        <f t="shared" si="7041"/>
        <v>n/a</v>
      </c>
      <c r="AL478" s="225" t="str">
        <f t="shared" si="7041"/>
        <v>n/a</v>
      </c>
      <c r="AM478" s="225" t="str">
        <f t="shared" ref="AM478:BR478" si="7042">++IFERROR(AM477/AM451,"n/a")</f>
        <v>n/a</v>
      </c>
      <c r="AN478" s="225" t="str">
        <f t="shared" si="7042"/>
        <v>n/a</v>
      </c>
      <c r="AO478" s="225" t="str">
        <f t="shared" si="7042"/>
        <v>n/a</v>
      </c>
      <c r="AP478" s="225" t="str">
        <f t="shared" si="7042"/>
        <v>n/a</v>
      </c>
      <c r="AQ478" s="225" t="str">
        <f t="shared" si="7042"/>
        <v>n/a</v>
      </c>
      <c r="AR478" s="225" t="str">
        <f t="shared" si="7042"/>
        <v>n/a</v>
      </c>
      <c r="AS478" s="225" t="str">
        <f t="shared" si="7042"/>
        <v>n/a</v>
      </c>
      <c r="AT478" s="225" t="str">
        <f t="shared" si="7042"/>
        <v>n/a</v>
      </c>
      <c r="AU478" s="214" t="str">
        <f t="shared" si="7042"/>
        <v>n/a</v>
      </c>
      <c r="AV478" s="225" t="str">
        <f t="shared" si="7042"/>
        <v>n/a</v>
      </c>
      <c r="AW478" s="225" t="str">
        <f t="shared" si="7042"/>
        <v>n/a</v>
      </c>
      <c r="AX478" s="225" t="str">
        <f t="shared" si="7042"/>
        <v>n/a</v>
      </c>
      <c r="AY478" s="225" t="str">
        <f t="shared" si="7042"/>
        <v>n/a</v>
      </c>
      <c r="AZ478" s="225" t="str">
        <f t="shared" si="7042"/>
        <v>n/a</v>
      </c>
      <c r="BA478" s="225" t="str">
        <f t="shared" si="7042"/>
        <v>n/a</v>
      </c>
      <c r="BB478" s="225" t="str">
        <f t="shared" si="7042"/>
        <v>n/a</v>
      </c>
      <c r="BC478" s="225" t="str">
        <f t="shared" si="7042"/>
        <v>n/a</v>
      </c>
      <c r="BD478" s="225" t="str">
        <f t="shared" si="7042"/>
        <v>n/a</v>
      </c>
      <c r="BE478" s="225" t="str">
        <f t="shared" si="7042"/>
        <v>n/a</v>
      </c>
      <c r="BF478" s="225" t="str">
        <f t="shared" si="7042"/>
        <v>n/a</v>
      </c>
      <c r="BG478" s="214" t="str">
        <f t="shared" si="7042"/>
        <v>n/a</v>
      </c>
      <c r="BH478" s="225" t="str">
        <f t="shared" si="7042"/>
        <v>n/a</v>
      </c>
      <c r="BI478" s="225" t="str">
        <f t="shared" si="7042"/>
        <v>n/a</v>
      </c>
      <c r="BJ478" s="225" t="str">
        <f t="shared" si="7042"/>
        <v>n/a</v>
      </c>
      <c r="BK478" s="225" t="str">
        <f t="shared" si="7042"/>
        <v>n/a</v>
      </c>
      <c r="BL478" s="225" t="str">
        <f t="shared" si="7042"/>
        <v>n/a</v>
      </c>
      <c r="BM478" s="225" t="str">
        <f t="shared" si="7042"/>
        <v>n/a</v>
      </c>
      <c r="BN478" s="225" t="str">
        <f t="shared" si="7042"/>
        <v>n/a</v>
      </c>
      <c r="BO478" s="225" t="str">
        <f t="shared" si="7042"/>
        <v>n/a</v>
      </c>
      <c r="BP478" s="225" t="str">
        <f t="shared" si="7042"/>
        <v>n/a</v>
      </c>
      <c r="BQ478" s="225" t="str">
        <f t="shared" si="7042"/>
        <v>n/a</v>
      </c>
      <c r="BR478" s="225" t="str">
        <f t="shared" si="7042"/>
        <v>n/a</v>
      </c>
      <c r="BS478" s="214" t="str">
        <f t="shared" ref="BS478:CX478" si="7043">++IFERROR(BS477/BS451,"n/a")</f>
        <v>n/a</v>
      </c>
      <c r="BT478" s="225" t="str">
        <f t="shared" si="7043"/>
        <v>n/a</v>
      </c>
      <c r="BU478" s="225" t="str">
        <f t="shared" si="7043"/>
        <v>n/a</v>
      </c>
      <c r="BV478" s="225" t="str">
        <f t="shared" si="7043"/>
        <v>n/a</v>
      </c>
      <c r="BW478" s="225" t="str">
        <f t="shared" si="7043"/>
        <v>n/a</v>
      </c>
      <c r="BX478" s="225" t="str">
        <f t="shared" si="7043"/>
        <v>n/a</v>
      </c>
      <c r="BY478" s="225" t="str">
        <f t="shared" si="7043"/>
        <v>n/a</v>
      </c>
      <c r="BZ478" s="225" t="str">
        <f t="shared" si="7043"/>
        <v>n/a</v>
      </c>
      <c r="CA478" s="225" t="str">
        <f t="shared" si="7043"/>
        <v>n/a</v>
      </c>
      <c r="CB478" s="225" t="str">
        <f t="shared" si="7043"/>
        <v>n/a</v>
      </c>
      <c r="CC478" s="225" t="str">
        <f t="shared" si="7043"/>
        <v>n/a</v>
      </c>
      <c r="CD478" s="225" t="str">
        <f t="shared" si="7043"/>
        <v>n/a</v>
      </c>
      <c r="CE478" s="214" t="str">
        <f t="shared" si="7043"/>
        <v>n/a</v>
      </c>
      <c r="CF478" s="225" t="str">
        <f t="shared" si="7043"/>
        <v>n/a</v>
      </c>
      <c r="CG478" s="225" t="str">
        <f t="shared" si="7043"/>
        <v>n/a</v>
      </c>
      <c r="CH478" s="225" t="str">
        <f t="shared" si="7043"/>
        <v>n/a</v>
      </c>
      <c r="CI478" s="225" t="str">
        <f t="shared" si="7043"/>
        <v>n/a</v>
      </c>
      <c r="CJ478" s="225" t="str">
        <f t="shared" si="7043"/>
        <v>n/a</v>
      </c>
      <c r="CK478" s="225" t="str">
        <f t="shared" si="7043"/>
        <v>n/a</v>
      </c>
      <c r="CL478" s="225" t="str">
        <f t="shared" si="7043"/>
        <v>n/a</v>
      </c>
      <c r="CM478" s="225" t="str">
        <f t="shared" si="7043"/>
        <v>n/a</v>
      </c>
      <c r="CN478" s="225" t="str">
        <f t="shared" si="7043"/>
        <v>n/a</v>
      </c>
      <c r="CO478" s="225" t="str">
        <f t="shared" si="7043"/>
        <v>n/a</v>
      </c>
      <c r="CP478" s="225" t="str">
        <f t="shared" si="7043"/>
        <v>n/a</v>
      </c>
      <c r="CQ478" s="214" t="str">
        <f t="shared" si="7043"/>
        <v>n/a</v>
      </c>
      <c r="CR478" s="225" t="str">
        <f t="shared" si="7043"/>
        <v>n/a</v>
      </c>
      <c r="CS478" s="225" t="str">
        <f t="shared" si="7043"/>
        <v>n/a</v>
      </c>
      <c r="CT478" s="225" t="str">
        <f t="shared" si="7043"/>
        <v>n/a</v>
      </c>
      <c r="CU478" s="225" t="str">
        <f t="shared" si="7043"/>
        <v>n/a</v>
      </c>
      <c r="CV478" s="225" t="str">
        <f t="shared" si="7043"/>
        <v>n/a</v>
      </c>
      <c r="CW478" s="225" t="str">
        <f t="shared" si="7043"/>
        <v>n/a</v>
      </c>
      <c r="CX478" s="225" t="str">
        <f t="shared" si="7043"/>
        <v>n/a</v>
      </c>
      <c r="CY478" s="225" t="str">
        <f t="shared" ref="CY478:ED478" si="7044">++IFERROR(CY477/CY451,"n/a")</f>
        <v>n/a</v>
      </c>
      <c r="CZ478" s="225" t="str">
        <f t="shared" si="7044"/>
        <v>n/a</v>
      </c>
      <c r="DA478" s="225" t="str">
        <f t="shared" si="7044"/>
        <v>n/a</v>
      </c>
      <c r="DB478" s="225" t="str">
        <f t="shared" si="7044"/>
        <v>n/a</v>
      </c>
      <c r="DC478" s="214" t="str">
        <f t="shared" si="7044"/>
        <v>n/a</v>
      </c>
    </row>
    <row r="479" spans="3:107" x14ac:dyDescent="0.3">
      <c r="C479" s="321" t="str">
        <f>++C$38</f>
        <v>% y/y</v>
      </c>
      <c r="G479" s="122" t="s">
        <v>47</v>
      </c>
      <c r="H479" s="122" t="s">
        <v>47</v>
      </c>
      <c r="I479" s="122" t="s">
        <v>47</v>
      </c>
      <c r="J479" s="122" t="s">
        <v>47</v>
      </c>
      <c r="K479" s="214" t="str">
        <f>++IFERROR(K477/G232-1,"n/a")</f>
        <v>n/a</v>
      </c>
      <c r="L479" s="122" t="s">
        <v>47</v>
      </c>
      <c r="M479" s="122" t="s">
        <v>47</v>
      </c>
      <c r="N479" s="225" t="str">
        <f>++IFERROR(N477/H232-1,"n/a")</f>
        <v>n/a</v>
      </c>
      <c r="O479" s="122" t="s">
        <v>47</v>
      </c>
      <c r="P479" s="122" t="s">
        <v>47</v>
      </c>
      <c r="Q479" s="225" t="str">
        <f>++IFERROR(Q477/I232-1,"n/a")</f>
        <v>n/a</v>
      </c>
      <c r="R479" s="122" t="s">
        <v>47</v>
      </c>
      <c r="S479" s="122" t="s">
        <v>47</v>
      </c>
      <c r="T479" s="225" t="str">
        <f>++IFERROR(T477/J232-1,"n/a")</f>
        <v>n/a</v>
      </c>
      <c r="U479" s="122" t="s">
        <v>47</v>
      </c>
      <c r="V479" s="122" t="s">
        <v>47</v>
      </c>
      <c r="W479" s="214" t="str">
        <f t="shared" ref="W479:BB479" si="7045">++IFERROR(W477/K232-1,"n/a")</f>
        <v>n/a</v>
      </c>
      <c r="X479" s="225" t="str">
        <f t="shared" si="7045"/>
        <v>n/a</v>
      </c>
      <c r="Y479" s="225" t="str">
        <f t="shared" si="7045"/>
        <v>n/a</v>
      </c>
      <c r="Z479" s="225" t="str">
        <f t="shared" si="7045"/>
        <v>n/a</v>
      </c>
      <c r="AA479" s="225" t="str">
        <f t="shared" si="7045"/>
        <v>n/a</v>
      </c>
      <c r="AB479" s="225" t="str">
        <f t="shared" si="7045"/>
        <v>n/a</v>
      </c>
      <c r="AC479" s="225" t="str">
        <f t="shared" si="7045"/>
        <v>n/a</v>
      </c>
      <c r="AD479" s="225" t="str">
        <f t="shared" si="7045"/>
        <v>n/a</v>
      </c>
      <c r="AE479" s="225" t="str">
        <f t="shared" si="7045"/>
        <v>n/a</v>
      </c>
      <c r="AF479" s="225" t="str">
        <f t="shared" si="7045"/>
        <v>n/a</v>
      </c>
      <c r="AG479" s="225" t="str">
        <f t="shared" si="7045"/>
        <v>n/a</v>
      </c>
      <c r="AH479" s="225" t="str">
        <f t="shared" si="7045"/>
        <v>n/a</v>
      </c>
      <c r="AI479" s="214" t="str">
        <f t="shared" si="7045"/>
        <v>n/a</v>
      </c>
      <c r="AJ479" s="225" t="str">
        <f t="shared" si="7045"/>
        <v>n/a</v>
      </c>
      <c r="AK479" s="225" t="str">
        <f t="shared" si="7045"/>
        <v>n/a</v>
      </c>
      <c r="AL479" s="225" t="str">
        <f t="shared" si="7045"/>
        <v>n/a</v>
      </c>
      <c r="AM479" s="225" t="str">
        <f t="shared" si="7045"/>
        <v>n/a</v>
      </c>
      <c r="AN479" s="225" t="str">
        <f t="shared" si="7045"/>
        <v>n/a</v>
      </c>
      <c r="AO479" s="225" t="str">
        <f t="shared" si="7045"/>
        <v>n/a</v>
      </c>
      <c r="AP479" s="225" t="str">
        <f t="shared" si="7045"/>
        <v>n/a</v>
      </c>
      <c r="AQ479" s="225" t="str">
        <f t="shared" si="7045"/>
        <v>n/a</v>
      </c>
      <c r="AR479" s="225" t="str">
        <f t="shared" si="7045"/>
        <v>n/a</v>
      </c>
      <c r="AS479" s="225" t="str">
        <f t="shared" si="7045"/>
        <v>n/a</v>
      </c>
      <c r="AT479" s="225" t="str">
        <f t="shared" si="7045"/>
        <v>n/a</v>
      </c>
      <c r="AU479" s="214" t="str">
        <f t="shared" si="7045"/>
        <v>n/a</v>
      </c>
      <c r="AV479" s="225" t="str">
        <f t="shared" si="7045"/>
        <v>n/a</v>
      </c>
      <c r="AW479" s="225" t="str">
        <f t="shared" si="7045"/>
        <v>n/a</v>
      </c>
      <c r="AX479" s="225" t="str">
        <f t="shared" si="7045"/>
        <v>n/a</v>
      </c>
      <c r="AY479" s="225" t="str">
        <f t="shared" si="7045"/>
        <v>n/a</v>
      </c>
      <c r="AZ479" s="225" t="str">
        <f t="shared" si="7045"/>
        <v>n/a</v>
      </c>
      <c r="BA479" s="225" t="str">
        <f t="shared" si="7045"/>
        <v>n/a</v>
      </c>
      <c r="BB479" s="225" t="str">
        <f t="shared" si="7045"/>
        <v>n/a</v>
      </c>
      <c r="BC479" s="225" t="str">
        <f t="shared" ref="BC479:CH479" si="7046">++IFERROR(BC477/AQ232-1,"n/a")</f>
        <v>n/a</v>
      </c>
      <c r="BD479" s="225" t="str">
        <f t="shared" si="7046"/>
        <v>n/a</v>
      </c>
      <c r="BE479" s="225" t="str">
        <f t="shared" si="7046"/>
        <v>n/a</v>
      </c>
      <c r="BF479" s="225" t="str">
        <f t="shared" si="7046"/>
        <v>n/a</v>
      </c>
      <c r="BG479" s="214" t="str">
        <f t="shared" si="7046"/>
        <v>n/a</v>
      </c>
      <c r="BH479" s="225" t="str">
        <f t="shared" si="7046"/>
        <v>n/a</v>
      </c>
      <c r="BI479" s="225" t="str">
        <f t="shared" si="7046"/>
        <v>n/a</v>
      </c>
      <c r="BJ479" s="225" t="str">
        <f t="shared" si="7046"/>
        <v>n/a</v>
      </c>
      <c r="BK479" s="225" t="str">
        <f t="shared" si="7046"/>
        <v>n/a</v>
      </c>
      <c r="BL479" s="225" t="str">
        <f t="shared" si="7046"/>
        <v>n/a</v>
      </c>
      <c r="BM479" s="225" t="str">
        <f t="shared" si="7046"/>
        <v>n/a</v>
      </c>
      <c r="BN479" s="225" t="str">
        <f t="shared" si="7046"/>
        <v>n/a</v>
      </c>
      <c r="BO479" s="225" t="str">
        <f t="shared" si="7046"/>
        <v>n/a</v>
      </c>
      <c r="BP479" s="225" t="str">
        <f t="shared" si="7046"/>
        <v>n/a</v>
      </c>
      <c r="BQ479" s="225" t="str">
        <f t="shared" si="7046"/>
        <v>n/a</v>
      </c>
      <c r="BR479" s="225" t="str">
        <f t="shared" si="7046"/>
        <v>n/a</v>
      </c>
      <c r="BS479" s="214" t="str">
        <f t="shared" si="7046"/>
        <v>n/a</v>
      </c>
      <c r="BT479" s="225" t="str">
        <f t="shared" si="7046"/>
        <v>n/a</v>
      </c>
      <c r="BU479" s="225" t="str">
        <f t="shared" si="7046"/>
        <v>n/a</v>
      </c>
      <c r="BV479" s="225" t="str">
        <f t="shared" si="7046"/>
        <v>n/a</v>
      </c>
      <c r="BW479" s="225" t="str">
        <f t="shared" si="7046"/>
        <v>n/a</v>
      </c>
      <c r="BX479" s="225" t="str">
        <f t="shared" si="7046"/>
        <v>n/a</v>
      </c>
      <c r="BY479" s="225" t="str">
        <f t="shared" si="7046"/>
        <v>n/a</v>
      </c>
      <c r="BZ479" s="225" t="str">
        <f t="shared" si="7046"/>
        <v>n/a</v>
      </c>
      <c r="CA479" s="225" t="str">
        <f t="shared" si="7046"/>
        <v>n/a</v>
      </c>
      <c r="CB479" s="225" t="str">
        <f t="shared" si="7046"/>
        <v>n/a</v>
      </c>
      <c r="CC479" s="225" t="str">
        <f t="shared" si="7046"/>
        <v>n/a</v>
      </c>
      <c r="CD479" s="225" t="str">
        <f t="shared" si="7046"/>
        <v>n/a</v>
      </c>
      <c r="CE479" s="214" t="str">
        <f t="shared" si="7046"/>
        <v>n/a</v>
      </c>
      <c r="CF479" s="225" t="str">
        <f t="shared" si="7046"/>
        <v>n/a</v>
      </c>
      <c r="CG479" s="225" t="str">
        <f t="shared" si="7046"/>
        <v>n/a</v>
      </c>
      <c r="CH479" s="225" t="str">
        <f t="shared" si="7046"/>
        <v>n/a</v>
      </c>
      <c r="CI479" s="225" t="str">
        <f t="shared" ref="CI479:DN479" si="7047">++IFERROR(CI477/BW232-1,"n/a")</f>
        <v>n/a</v>
      </c>
      <c r="CJ479" s="225" t="str">
        <f t="shared" si="7047"/>
        <v>n/a</v>
      </c>
      <c r="CK479" s="225" t="str">
        <f t="shared" si="7047"/>
        <v>n/a</v>
      </c>
      <c r="CL479" s="225" t="str">
        <f t="shared" si="7047"/>
        <v>n/a</v>
      </c>
      <c r="CM479" s="225" t="str">
        <f t="shared" si="7047"/>
        <v>n/a</v>
      </c>
      <c r="CN479" s="225" t="str">
        <f t="shared" si="7047"/>
        <v>n/a</v>
      </c>
      <c r="CO479" s="225" t="str">
        <f t="shared" si="7047"/>
        <v>n/a</v>
      </c>
      <c r="CP479" s="225" t="str">
        <f t="shared" si="7047"/>
        <v>n/a</v>
      </c>
      <c r="CQ479" s="214" t="str">
        <f t="shared" si="7047"/>
        <v>n/a</v>
      </c>
      <c r="CR479" s="225" t="str">
        <f t="shared" si="7047"/>
        <v>n/a</v>
      </c>
      <c r="CS479" s="225" t="str">
        <f t="shared" si="7047"/>
        <v>n/a</v>
      </c>
      <c r="CT479" s="225" t="str">
        <f t="shared" si="7047"/>
        <v>n/a</v>
      </c>
      <c r="CU479" s="225" t="str">
        <f t="shared" si="7047"/>
        <v>n/a</v>
      </c>
      <c r="CV479" s="225" t="str">
        <f t="shared" si="7047"/>
        <v>n/a</v>
      </c>
      <c r="CW479" s="225" t="str">
        <f t="shared" si="7047"/>
        <v>n/a</v>
      </c>
      <c r="CX479" s="225" t="str">
        <f t="shared" si="7047"/>
        <v>n/a</v>
      </c>
      <c r="CY479" s="225" t="str">
        <f t="shared" si="7047"/>
        <v>n/a</v>
      </c>
      <c r="CZ479" s="225" t="str">
        <f t="shared" si="7047"/>
        <v>n/a</v>
      </c>
      <c r="DA479" s="225" t="str">
        <f t="shared" si="7047"/>
        <v>n/a</v>
      </c>
      <c r="DB479" s="225" t="str">
        <f t="shared" si="7047"/>
        <v>n/a</v>
      </c>
      <c r="DC479" s="214" t="str">
        <f t="shared" si="7047"/>
        <v>n/a</v>
      </c>
    </row>
    <row r="480" spans="3:107" x14ac:dyDescent="0.3">
      <c r="G480" s="203"/>
      <c r="K480" s="203"/>
      <c r="W480" s="203"/>
      <c r="AI480" s="203"/>
      <c r="AU480" s="203"/>
      <c r="BG480" s="203"/>
      <c r="BS480" s="203"/>
      <c r="CE480" s="203"/>
      <c r="CQ480" s="203"/>
      <c r="DC480" s="203"/>
    </row>
    <row r="481" spans="3:107" x14ac:dyDescent="0.3">
      <c r="C481" s="101" t="str">
        <f>++C$40</f>
        <v>Interest Expense (Income)</v>
      </c>
      <c r="G481" s="374">
        <f>++G468</f>
        <v>0</v>
      </c>
      <c r="H481" s="200">
        <f t="shared" ref="H481:BS481" si="7048">++H468</f>
        <v>0</v>
      </c>
      <c r="I481" s="200">
        <f t="shared" si="7048"/>
        <v>0</v>
      </c>
      <c r="J481" s="200">
        <f t="shared" si="7048"/>
        <v>0</v>
      </c>
      <c r="K481" s="374">
        <f t="shared" si="7048"/>
        <v>0</v>
      </c>
      <c r="L481" s="200">
        <f t="shared" si="7048"/>
        <v>0</v>
      </c>
      <c r="M481" s="200">
        <f t="shared" si="7048"/>
        <v>0</v>
      </c>
      <c r="N481" s="200">
        <f t="shared" si="7048"/>
        <v>0</v>
      </c>
      <c r="O481" s="200">
        <f t="shared" si="7048"/>
        <v>0</v>
      </c>
      <c r="P481" s="200">
        <f t="shared" si="7048"/>
        <v>0</v>
      </c>
      <c r="Q481" s="200">
        <f t="shared" si="7048"/>
        <v>0</v>
      </c>
      <c r="R481" s="200">
        <f t="shared" si="7048"/>
        <v>0</v>
      </c>
      <c r="S481" s="200">
        <f t="shared" si="7048"/>
        <v>0</v>
      </c>
      <c r="T481" s="200">
        <f t="shared" si="7048"/>
        <v>0</v>
      </c>
      <c r="U481" s="200">
        <f t="shared" si="7048"/>
        <v>0</v>
      </c>
      <c r="V481" s="200">
        <f t="shared" si="7048"/>
        <v>0</v>
      </c>
      <c r="W481" s="374">
        <f t="shared" si="7048"/>
        <v>0</v>
      </c>
      <c r="X481" s="200">
        <f t="shared" si="7048"/>
        <v>0</v>
      </c>
      <c r="Y481" s="200">
        <f t="shared" si="7048"/>
        <v>0</v>
      </c>
      <c r="Z481" s="200">
        <f t="shared" si="7048"/>
        <v>0</v>
      </c>
      <c r="AA481" s="200">
        <f t="shared" si="7048"/>
        <v>0</v>
      </c>
      <c r="AB481" s="200">
        <f t="shared" si="7048"/>
        <v>0</v>
      </c>
      <c r="AC481" s="200">
        <f t="shared" si="7048"/>
        <v>0</v>
      </c>
      <c r="AD481" s="200">
        <f t="shared" si="7048"/>
        <v>0</v>
      </c>
      <c r="AE481" s="200">
        <f t="shared" si="7048"/>
        <v>0</v>
      </c>
      <c r="AF481" s="200">
        <f t="shared" si="7048"/>
        <v>0</v>
      </c>
      <c r="AG481" s="200">
        <f t="shared" si="7048"/>
        <v>0</v>
      </c>
      <c r="AH481" s="200">
        <f t="shared" si="7048"/>
        <v>0</v>
      </c>
      <c r="AI481" s="374">
        <f t="shared" si="7048"/>
        <v>0</v>
      </c>
      <c r="AJ481" s="200">
        <f t="shared" si="7048"/>
        <v>0</v>
      </c>
      <c r="AK481" s="200">
        <f t="shared" si="7048"/>
        <v>0</v>
      </c>
      <c r="AL481" s="200">
        <f t="shared" si="7048"/>
        <v>0</v>
      </c>
      <c r="AM481" s="200">
        <f t="shared" si="7048"/>
        <v>0</v>
      </c>
      <c r="AN481" s="200">
        <f t="shared" si="7048"/>
        <v>0</v>
      </c>
      <c r="AO481" s="200">
        <f t="shared" si="7048"/>
        <v>0</v>
      </c>
      <c r="AP481" s="200">
        <f t="shared" si="7048"/>
        <v>0</v>
      </c>
      <c r="AQ481" s="200">
        <f t="shared" si="7048"/>
        <v>0</v>
      </c>
      <c r="AR481" s="200">
        <f t="shared" si="7048"/>
        <v>0</v>
      </c>
      <c r="AS481" s="200">
        <f t="shared" si="7048"/>
        <v>0</v>
      </c>
      <c r="AT481" s="200">
        <f t="shared" si="7048"/>
        <v>0</v>
      </c>
      <c r="AU481" s="374">
        <f t="shared" si="7048"/>
        <v>0</v>
      </c>
      <c r="AV481" s="200">
        <f t="shared" si="7048"/>
        <v>0</v>
      </c>
      <c r="AW481" s="200">
        <f t="shared" si="7048"/>
        <v>0</v>
      </c>
      <c r="AX481" s="200">
        <f t="shared" si="7048"/>
        <v>0</v>
      </c>
      <c r="AY481" s="200">
        <f t="shared" si="7048"/>
        <v>0</v>
      </c>
      <c r="AZ481" s="200">
        <f t="shared" si="7048"/>
        <v>0</v>
      </c>
      <c r="BA481" s="200">
        <f t="shared" si="7048"/>
        <v>0</v>
      </c>
      <c r="BB481" s="200">
        <f t="shared" si="7048"/>
        <v>0</v>
      </c>
      <c r="BC481" s="200">
        <f t="shared" si="7048"/>
        <v>0</v>
      </c>
      <c r="BD481" s="200">
        <f t="shared" si="7048"/>
        <v>0</v>
      </c>
      <c r="BE481" s="200">
        <f t="shared" si="7048"/>
        <v>0</v>
      </c>
      <c r="BF481" s="200">
        <f t="shared" si="7048"/>
        <v>0</v>
      </c>
      <c r="BG481" s="374">
        <f t="shared" si="7048"/>
        <v>0</v>
      </c>
      <c r="BH481" s="200">
        <f t="shared" si="7048"/>
        <v>0</v>
      </c>
      <c r="BI481" s="200">
        <f t="shared" si="7048"/>
        <v>0</v>
      </c>
      <c r="BJ481" s="200">
        <f t="shared" si="7048"/>
        <v>0</v>
      </c>
      <c r="BK481" s="200">
        <f t="shared" si="7048"/>
        <v>0</v>
      </c>
      <c r="BL481" s="200">
        <f t="shared" si="7048"/>
        <v>0</v>
      </c>
      <c r="BM481" s="200">
        <f t="shared" si="7048"/>
        <v>0</v>
      </c>
      <c r="BN481" s="200">
        <f t="shared" si="7048"/>
        <v>0</v>
      </c>
      <c r="BO481" s="200">
        <f t="shared" si="7048"/>
        <v>0</v>
      </c>
      <c r="BP481" s="200">
        <f t="shared" si="7048"/>
        <v>0</v>
      </c>
      <c r="BQ481" s="200">
        <f t="shared" si="7048"/>
        <v>0</v>
      </c>
      <c r="BR481" s="200">
        <f t="shared" si="7048"/>
        <v>0</v>
      </c>
      <c r="BS481" s="374">
        <f t="shared" si="7048"/>
        <v>0</v>
      </c>
      <c r="BT481" s="200">
        <f t="shared" ref="BT481:DC481" si="7049">++BT468</f>
        <v>0</v>
      </c>
      <c r="BU481" s="200">
        <f t="shared" si="7049"/>
        <v>0</v>
      </c>
      <c r="BV481" s="200">
        <f t="shared" si="7049"/>
        <v>0</v>
      </c>
      <c r="BW481" s="200">
        <f t="shared" si="7049"/>
        <v>0</v>
      </c>
      <c r="BX481" s="200">
        <f t="shared" si="7049"/>
        <v>0</v>
      </c>
      <c r="BY481" s="200">
        <f t="shared" si="7049"/>
        <v>0</v>
      </c>
      <c r="BZ481" s="200">
        <f t="shared" si="7049"/>
        <v>0</v>
      </c>
      <c r="CA481" s="200">
        <f t="shared" si="7049"/>
        <v>0</v>
      </c>
      <c r="CB481" s="200">
        <f t="shared" si="7049"/>
        <v>0</v>
      </c>
      <c r="CC481" s="200">
        <f t="shared" si="7049"/>
        <v>0</v>
      </c>
      <c r="CD481" s="200">
        <f t="shared" si="7049"/>
        <v>0</v>
      </c>
      <c r="CE481" s="374">
        <f t="shared" si="7049"/>
        <v>0</v>
      </c>
      <c r="CF481" s="200">
        <f t="shared" si="7049"/>
        <v>0</v>
      </c>
      <c r="CG481" s="200">
        <f t="shared" si="7049"/>
        <v>0</v>
      </c>
      <c r="CH481" s="200">
        <f t="shared" si="7049"/>
        <v>0</v>
      </c>
      <c r="CI481" s="200">
        <f t="shared" si="7049"/>
        <v>0</v>
      </c>
      <c r="CJ481" s="200">
        <f t="shared" si="7049"/>
        <v>0</v>
      </c>
      <c r="CK481" s="200">
        <f t="shared" si="7049"/>
        <v>0</v>
      </c>
      <c r="CL481" s="200">
        <f t="shared" si="7049"/>
        <v>0</v>
      </c>
      <c r="CM481" s="200">
        <f t="shared" si="7049"/>
        <v>0</v>
      </c>
      <c r="CN481" s="200">
        <f t="shared" si="7049"/>
        <v>0</v>
      </c>
      <c r="CO481" s="200">
        <f t="shared" si="7049"/>
        <v>0</v>
      </c>
      <c r="CP481" s="200">
        <f t="shared" si="7049"/>
        <v>0</v>
      </c>
      <c r="CQ481" s="374">
        <f t="shared" si="7049"/>
        <v>0</v>
      </c>
      <c r="CR481" s="200">
        <f t="shared" si="7049"/>
        <v>0</v>
      </c>
      <c r="CS481" s="200">
        <f t="shared" si="7049"/>
        <v>0</v>
      </c>
      <c r="CT481" s="200">
        <f t="shared" si="7049"/>
        <v>0</v>
      </c>
      <c r="CU481" s="200">
        <f t="shared" si="7049"/>
        <v>0</v>
      </c>
      <c r="CV481" s="200">
        <f t="shared" si="7049"/>
        <v>0</v>
      </c>
      <c r="CW481" s="200">
        <f t="shared" si="7049"/>
        <v>0</v>
      </c>
      <c r="CX481" s="200">
        <f t="shared" si="7049"/>
        <v>0</v>
      </c>
      <c r="CY481" s="200">
        <f t="shared" si="7049"/>
        <v>0</v>
      </c>
      <c r="CZ481" s="200">
        <f t="shared" si="7049"/>
        <v>0</v>
      </c>
      <c r="DA481" s="200">
        <f t="shared" si="7049"/>
        <v>0</v>
      </c>
      <c r="DB481" s="200">
        <f t="shared" si="7049"/>
        <v>0</v>
      </c>
      <c r="DC481" s="374">
        <f t="shared" si="7049"/>
        <v>0</v>
      </c>
    </row>
    <row r="482" spans="3:107" x14ac:dyDescent="0.3">
      <c r="C482" s="101" t="str">
        <f>++C$41</f>
        <v>Tax Expense (Benefit)</v>
      </c>
      <c r="G482" s="374">
        <f>++G474</f>
        <v>0</v>
      </c>
      <c r="H482" s="200">
        <f t="shared" ref="H482:BS482" si="7050">++H474</f>
        <v>0</v>
      </c>
      <c r="I482" s="200">
        <f t="shared" si="7050"/>
        <v>0</v>
      </c>
      <c r="J482" s="200">
        <f t="shared" si="7050"/>
        <v>0</v>
      </c>
      <c r="K482" s="374">
        <f t="shared" si="7050"/>
        <v>0</v>
      </c>
      <c r="L482" s="200">
        <f t="shared" si="7050"/>
        <v>0</v>
      </c>
      <c r="M482" s="200">
        <f t="shared" si="7050"/>
        <v>0</v>
      </c>
      <c r="N482" s="200">
        <f t="shared" si="7050"/>
        <v>0</v>
      </c>
      <c r="O482" s="200">
        <f t="shared" si="7050"/>
        <v>0</v>
      </c>
      <c r="P482" s="200">
        <f t="shared" si="7050"/>
        <v>0</v>
      </c>
      <c r="Q482" s="200">
        <f t="shared" si="7050"/>
        <v>0</v>
      </c>
      <c r="R482" s="200">
        <f t="shared" si="7050"/>
        <v>0</v>
      </c>
      <c r="S482" s="200">
        <f t="shared" si="7050"/>
        <v>0</v>
      </c>
      <c r="T482" s="200">
        <f t="shared" si="7050"/>
        <v>0</v>
      </c>
      <c r="U482" s="200">
        <f t="shared" si="7050"/>
        <v>0</v>
      </c>
      <c r="V482" s="200">
        <f t="shared" si="7050"/>
        <v>0</v>
      </c>
      <c r="W482" s="374">
        <f t="shared" si="7050"/>
        <v>0</v>
      </c>
      <c r="X482" s="200">
        <f t="shared" si="7050"/>
        <v>0</v>
      </c>
      <c r="Y482" s="200">
        <f t="shared" si="7050"/>
        <v>0</v>
      </c>
      <c r="Z482" s="200">
        <f t="shared" si="7050"/>
        <v>0</v>
      </c>
      <c r="AA482" s="200">
        <f t="shared" si="7050"/>
        <v>0</v>
      </c>
      <c r="AB482" s="200">
        <f t="shared" si="7050"/>
        <v>0</v>
      </c>
      <c r="AC482" s="200">
        <f t="shared" si="7050"/>
        <v>0</v>
      </c>
      <c r="AD482" s="200">
        <f t="shared" si="7050"/>
        <v>0</v>
      </c>
      <c r="AE482" s="200">
        <f t="shared" si="7050"/>
        <v>0</v>
      </c>
      <c r="AF482" s="200">
        <f t="shared" si="7050"/>
        <v>0</v>
      </c>
      <c r="AG482" s="200">
        <f t="shared" si="7050"/>
        <v>0</v>
      </c>
      <c r="AH482" s="200">
        <f t="shared" si="7050"/>
        <v>0</v>
      </c>
      <c r="AI482" s="374">
        <f t="shared" si="7050"/>
        <v>0</v>
      </c>
      <c r="AJ482" s="200">
        <f t="shared" si="7050"/>
        <v>0</v>
      </c>
      <c r="AK482" s="200">
        <f t="shared" si="7050"/>
        <v>0</v>
      </c>
      <c r="AL482" s="200">
        <f t="shared" si="7050"/>
        <v>0</v>
      </c>
      <c r="AM482" s="200">
        <f t="shared" si="7050"/>
        <v>0</v>
      </c>
      <c r="AN482" s="200">
        <f t="shared" si="7050"/>
        <v>0</v>
      </c>
      <c r="AO482" s="200">
        <f t="shared" si="7050"/>
        <v>0</v>
      </c>
      <c r="AP482" s="200">
        <f t="shared" si="7050"/>
        <v>0</v>
      </c>
      <c r="AQ482" s="200">
        <f t="shared" si="7050"/>
        <v>0</v>
      </c>
      <c r="AR482" s="200">
        <f t="shared" si="7050"/>
        <v>0</v>
      </c>
      <c r="AS482" s="200">
        <f t="shared" si="7050"/>
        <v>0</v>
      </c>
      <c r="AT482" s="200">
        <f t="shared" si="7050"/>
        <v>0</v>
      </c>
      <c r="AU482" s="374">
        <f t="shared" si="7050"/>
        <v>0</v>
      </c>
      <c r="AV482" s="200">
        <f t="shared" si="7050"/>
        <v>0</v>
      </c>
      <c r="AW482" s="200">
        <f t="shared" si="7050"/>
        <v>0</v>
      </c>
      <c r="AX482" s="200">
        <f t="shared" si="7050"/>
        <v>0</v>
      </c>
      <c r="AY482" s="200">
        <f t="shared" si="7050"/>
        <v>0</v>
      </c>
      <c r="AZ482" s="200">
        <f t="shared" si="7050"/>
        <v>0</v>
      </c>
      <c r="BA482" s="200">
        <f t="shared" si="7050"/>
        <v>0</v>
      </c>
      <c r="BB482" s="200">
        <f t="shared" si="7050"/>
        <v>0</v>
      </c>
      <c r="BC482" s="200">
        <f t="shared" si="7050"/>
        <v>0</v>
      </c>
      <c r="BD482" s="200">
        <f t="shared" si="7050"/>
        <v>0</v>
      </c>
      <c r="BE482" s="200">
        <f t="shared" si="7050"/>
        <v>0</v>
      </c>
      <c r="BF482" s="200">
        <f t="shared" si="7050"/>
        <v>0</v>
      </c>
      <c r="BG482" s="374">
        <f t="shared" si="7050"/>
        <v>0</v>
      </c>
      <c r="BH482" s="200">
        <f t="shared" si="7050"/>
        <v>0</v>
      </c>
      <c r="BI482" s="200">
        <f t="shared" si="7050"/>
        <v>0</v>
      </c>
      <c r="BJ482" s="200">
        <f t="shared" si="7050"/>
        <v>0</v>
      </c>
      <c r="BK482" s="200">
        <f t="shared" si="7050"/>
        <v>0</v>
      </c>
      <c r="BL482" s="200">
        <f t="shared" si="7050"/>
        <v>0</v>
      </c>
      <c r="BM482" s="200">
        <f t="shared" si="7050"/>
        <v>0</v>
      </c>
      <c r="BN482" s="200">
        <f t="shared" si="7050"/>
        <v>0</v>
      </c>
      <c r="BO482" s="200">
        <f t="shared" si="7050"/>
        <v>0</v>
      </c>
      <c r="BP482" s="200">
        <f t="shared" si="7050"/>
        <v>0</v>
      </c>
      <c r="BQ482" s="200">
        <f t="shared" si="7050"/>
        <v>0</v>
      </c>
      <c r="BR482" s="200">
        <f t="shared" si="7050"/>
        <v>0</v>
      </c>
      <c r="BS482" s="374">
        <f t="shared" si="7050"/>
        <v>0</v>
      </c>
      <c r="BT482" s="200">
        <f t="shared" ref="BT482:DC482" si="7051">++BT474</f>
        <v>0</v>
      </c>
      <c r="BU482" s="200">
        <f t="shared" si="7051"/>
        <v>0</v>
      </c>
      <c r="BV482" s="200">
        <f t="shared" si="7051"/>
        <v>0</v>
      </c>
      <c r="BW482" s="200">
        <f t="shared" si="7051"/>
        <v>0</v>
      </c>
      <c r="BX482" s="200">
        <f t="shared" si="7051"/>
        <v>0</v>
      </c>
      <c r="BY482" s="200">
        <f t="shared" si="7051"/>
        <v>0</v>
      </c>
      <c r="BZ482" s="200">
        <f t="shared" si="7051"/>
        <v>0</v>
      </c>
      <c r="CA482" s="200">
        <f t="shared" si="7051"/>
        <v>0</v>
      </c>
      <c r="CB482" s="200">
        <f t="shared" si="7051"/>
        <v>0</v>
      </c>
      <c r="CC482" s="200">
        <f t="shared" si="7051"/>
        <v>0</v>
      </c>
      <c r="CD482" s="200">
        <f t="shared" si="7051"/>
        <v>0</v>
      </c>
      <c r="CE482" s="374">
        <f t="shared" si="7051"/>
        <v>0</v>
      </c>
      <c r="CF482" s="200">
        <f t="shared" si="7051"/>
        <v>0</v>
      </c>
      <c r="CG482" s="200">
        <f t="shared" si="7051"/>
        <v>0</v>
      </c>
      <c r="CH482" s="200">
        <f t="shared" si="7051"/>
        <v>0</v>
      </c>
      <c r="CI482" s="200">
        <f t="shared" si="7051"/>
        <v>0</v>
      </c>
      <c r="CJ482" s="200">
        <f t="shared" si="7051"/>
        <v>0</v>
      </c>
      <c r="CK482" s="200">
        <f t="shared" si="7051"/>
        <v>0</v>
      </c>
      <c r="CL482" s="200">
        <f t="shared" si="7051"/>
        <v>0</v>
      </c>
      <c r="CM482" s="200">
        <f t="shared" si="7051"/>
        <v>0</v>
      </c>
      <c r="CN482" s="200">
        <f t="shared" si="7051"/>
        <v>0</v>
      </c>
      <c r="CO482" s="200">
        <f t="shared" si="7051"/>
        <v>0</v>
      </c>
      <c r="CP482" s="200">
        <f t="shared" si="7051"/>
        <v>0</v>
      </c>
      <c r="CQ482" s="374">
        <f t="shared" si="7051"/>
        <v>0</v>
      </c>
      <c r="CR482" s="200">
        <f t="shared" si="7051"/>
        <v>0</v>
      </c>
      <c r="CS482" s="200">
        <f t="shared" si="7051"/>
        <v>0</v>
      </c>
      <c r="CT482" s="200">
        <f t="shared" si="7051"/>
        <v>0</v>
      </c>
      <c r="CU482" s="200">
        <f t="shared" si="7051"/>
        <v>0</v>
      </c>
      <c r="CV482" s="200">
        <f t="shared" si="7051"/>
        <v>0</v>
      </c>
      <c r="CW482" s="200">
        <f t="shared" si="7051"/>
        <v>0</v>
      </c>
      <c r="CX482" s="200">
        <f t="shared" si="7051"/>
        <v>0</v>
      </c>
      <c r="CY482" s="200">
        <f t="shared" si="7051"/>
        <v>0</v>
      </c>
      <c r="CZ482" s="200">
        <f t="shared" si="7051"/>
        <v>0</v>
      </c>
      <c r="DA482" s="200">
        <f t="shared" si="7051"/>
        <v>0</v>
      </c>
      <c r="DB482" s="200">
        <f t="shared" si="7051"/>
        <v>0</v>
      </c>
      <c r="DC482" s="374">
        <f t="shared" si="7051"/>
        <v>0</v>
      </c>
    </row>
    <row r="483" spans="3:107" x14ac:dyDescent="0.3">
      <c r="C483" s="101" t="str">
        <f>++C$42</f>
        <v>Depreciation</v>
      </c>
      <c r="G483" s="374">
        <f>++G461</f>
        <v>0</v>
      </c>
      <c r="H483" s="200">
        <f t="shared" ref="H483:BS483" si="7052">++H461</f>
        <v>0</v>
      </c>
      <c r="I483" s="200">
        <f t="shared" si="7052"/>
        <v>0</v>
      </c>
      <c r="J483" s="200">
        <f t="shared" si="7052"/>
        <v>0</v>
      </c>
      <c r="K483" s="374">
        <f t="shared" si="7052"/>
        <v>0</v>
      </c>
      <c r="L483" s="200">
        <f t="shared" si="7052"/>
        <v>0</v>
      </c>
      <c r="M483" s="200">
        <f t="shared" si="7052"/>
        <v>0</v>
      </c>
      <c r="N483" s="200">
        <f t="shared" si="7052"/>
        <v>0</v>
      </c>
      <c r="O483" s="200">
        <f t="shared" si="7052"/>
        <v>0</v>
      </c>
      <c r="P483" s="200">
        <f t="shared" si="7052"/>
        <v>0</v>
      </c>
      <c r="Q483" s="200">
        <f t="shared" si="7052"/>
        <v>0</v>
      </c>
      <c r="R483" s="200">
        <f t="shared" si="7052"/>
        <v>0</v>
      </c>
      <c r="S483" s="200">
        <f t="shared" si="7052"/>
        <v>0</v>
      </c>
      <c r="T483" s="200">
        <f t="shared" si="7052"/>
        <v>0</v>
      </c>
      <c r="U483" s="200">
        <f t="shared" si="7052"/>
        <v>0</v>
      </c>
      <c r="V483" s="200">
        <f t="shared" si="7052"/>
        <v>0</v>
      </c>
      <c r="W483" s="374">
        <f t="shared" si="7052"/>
        <v>0</v>
      </c>
      <c r="X483" s="200">
        <f t="shared" si="7052"/>
        <v>0</v>
      </c>
      <c r="Y483" s="200">
        <f t="shared" si="7052"/>
        <v>0</v>
      </c>
      <c r="Z483" s="200">
        <f t="shared" si="7052"/>
        <v>0</v>
      </c>
      <c r="AA483" s="200">
        <f t="shared" si="7052"/>
        <v>0</v>
      </c>
      <c r="AB483" s="200">
        <f t="shared" si="7052"/>
        <v>0</v>
      </c>
      <c r="AC483" s="200">
        <f t="shared" si="7052"/>
        <v>0</v>
      </c>
      <c r="AD483" s="200">
        <f t="shared" si="7052"/>
        <v>0</v>
      </c>
      <c r="AE483" s="200">
        <f t="shared" si="7052"/>
        <v>0</v>
      </c>
      <c r="AF483" s="200">
        <f t="shared" si="7052"/>
        <v>0</v>
      </c>
      <c r="AG483" s="200">
        <f t="shared" si="7052"/>
        <v>0</v>
      </c>
      <c r="AH483" s="200">
        <f t="shared" si="7052"/>
        <v>0</v>
      </c>
      <c r="AI483" s="374">
        <f t="shared" si="7052"/>
        <v>0</v>
      </c>
      <c r="AJ483" s="200">
        <f t="shared" si="7052"/>
        <v>0</v>
      </c>
      <c r="AK483" s="200">
        <f t="shared" si="7052"/>
        <v>0</v>
      </c>
      <c r="AL483" s="200">
        <f t="shared" si="7052"/>
        <v>0</v>
      </c>
      <c r="AM483" s="200">
        <f t="shared" si="7052"/>
        <v>0</v>
      </c>
      <c r="AN483" s="200">
        <f t="shared" si="7052"/>
        <v>0</v>
      </c>
      <c r="AO483" s="200">
        <f t="shared" si="7052"/>
        <v>0</v>
      </c>
      <c r="AP483" s="200">
        <f t="shared" si="7052"/>
        <v>0</v>
      </c>
      <c r="AQ483" s="200">
        <f t="shared" si="7052"/>
        <v>0</v>
      </c>
      <c r="AR483" s="200">
        <f t="shared" si="7052"/>
        <v>0</v>
      </c>
      <c r="AS483" s="200">
        <f t="shared" si="7052"/>
        <v>0</v>
      </c>
      <c r="AT483" s="200">
        <f t="shared" si="7052"/>
        <v>0</v>
      </c>
      <c r="AU483" s="374">
        <f t="shared" si="7052"/>
        <v>0</v>
      </c>
      <c r="AV483" s="200">
        <f t="shared" si="7052"/>
        <v>0</v>
      </c>
      <c r="AW483" s="200">
        <f t="shared" si="7052"/>
        <v>0</v>
      </c>
      <c r="AX483" s="200">
        <f t="shared" si="7052"/>
        <v>0</v>
      </c>
      <c r="AY483" s="200">
        <f t="shared" si="7052"/>
        <v>0</v>
      </c>
      <c r="AZ483" s="200">
        <f t="shared" si="7052"/>
        <v>0</v>
      </c>
      <c r="BA483" s="200">
        <f t="shared" si="7052"/>
        <v>0</v>
      </c>
      <c r="BB483" s="200">
        <f t="shared" si="7052"/>
        <v>0</v>
      </c>
      <c r="BC483" s="200">
        <f t="shared" si="7052"/>
        <v>0</v>
      </c>
      <c r="BD483" s="200">
        <f t="shared" si="7052"/>
        <v>0</v>
      </c>
      <c r="BE483" s="200">
        <f t="shared" si="7052"/>
        <v>0</v>
      </c>
      <c r="BF483" s="200">
        <f t="shared" si="7052"/>
        <v>0</v>
      </c>
      <c r="BG483" s="374">
        <f t="shared" si="7052"/>
        <v>0</v>
      </c>
      <c r="BH483" s="200">
        <f t="shared" si="7052"/>
        <v>0</v>
      </c>
      <c r="BI483" s="200">
        <f t="shared" si="7052"/>
        <v>0</v>
      </c>
      <c r="BJ483" s="200">
        <f t="shared" si="7052"/>
        <v>0</v>
      </c>
      <c r="BK483" s="200">
        <f t="shared" si="7052"/>
        <v>0</v>
      </c>
      <c r="BL483" s="200">
        <f t="shared" si="7052"/>
        <v>0</v>
      </c>
      <c r="BM483" s="200">
        <f t="shared" si="7052"/>
        <v>0</v>
      </c>
      <c r="BN483" s="200">
        <f t="shared" si="7052"/>
        <v>0</v>
      </c>
      <c r="BO483" s="200">
        <f t="shared" si="7052"/>
        <v>0</v>
      </c>
      <c r="BP483" s="200">
        <f t="shared" si="7052"/>
        <v>0</v>
      </c>
      <c r="BQ483" s="200">
        <f t="shared" si="7052"/>
        <v>0</v>
      </c>
      <c r="BR483" s="200">
        <f t="shared" si="7052"/>
        <v>0</v>
      </c>
      <c r="BS483" s="374">
        <f t="shared" si="7052"/>
        <v>0</v>
      </c>
      <c r="BT483" s="200">
        <f t="shared" ref="BT483:DC483" si="7053">++BT461</f>
        <v>0</v>
      </c>
      <c r="BU483" s="200">
        <f t="shared" si="7053"/>
        <v>0</v>
      </c>
      <c r="BV483" s="200">
        <f t="shared" si="7053"/>
        <v>0</v>
      </c>
      <c r="BW483" s="200">
        <f t="shared" si="7053"/>
        <v>0</v>
      </c>
      <c r="BX483" s="200">
        <f t="shared" si="7053"/>
        <v>0</v>
      </c>
      <c r="BY483" s="200">
        <f t="shared" si="7053"/>
        <v>0</v>
      </c>
      <c r="BZ483" s="200">
        <f t="shared" si="7053"/>
        <v>0</v>
      </c>
      <c r="CA483" s="200">
        <f t="shared" si="7053"/>
        <v>0</v>
      </c>
      <c r="CB483" s="200">
        <f t="shared" si="7053"/>
        <v>0</v>
      </c>
      <c r="CC483" s="200">
        <f t="shared" si="7053"/>
        <v>0</v>
      </c>
      <c r="CD483" s="200">
        <f t="shared" si="7053"/>
        <v>0</v>
      </c>
      <c r="CE483" s="374">
        <f t="shared" si="7053"/>
        <v>0</v>
      </c>
      <c r="CF483" s="200">
        <f t="shared" si="7053"/>
        <v>0</v>
      </c>
      <c r="CG483" s="200">
        <f t="shared" si="7053"/>
        <v>0</v>
      </c>
      <c r="CH483" s="200">
        <f t="shared" si="7053"/>
        <v>0</v>
      </c>
      <c r="CI483" s="200">
        <f t="shared" si="7053"/>
        <v>0</v>
      </c>
      <c r="CJ483" s="200">
        <f t="shared" si="7053"/>
        <v>0</v>
      </c>
      <c r="CK483" s="200">
        <f t="shared" si="7053"/>
        <v>0</v>
      </c>
      <c r="CL483" s="200">
        <f t="shared" si="7053"/>
        <v>0</v>
      </c>
      <c r="CM483" s="200">
        <f t="shared" si="7053"/>
        <v>0</v>
      </c>
      <c r="CN483" s="200">
        <f t="shared" si="7053"/>
        <v>0</v>
      </c>
      <c r="CO483" s="200">
        <f t="shared" si="7053"/>
        <v>0</v>
      </c>
      <c r="CP483" s="200">
        <f t="shared" si="7053"/>
        <v>0</v>
      </c>
      <c r="CQ483" s="374">
        <f t="shared" si="7053"/>
        <v>0</v>
      </c>
      <c r="CR483" s="200">
        <f t="shared" si="7053"/>
        <v>0</v>
      </c>
      <c r="CS483" s="200">
        <f t="shared" si="7053"/>
        <v>0</v>
      </c>
      <c r="CT483" s="200">
        <f t="shared" si="7053"/>
        <v>0</v>
      </c>
      <c r="CU483" s="200">
        <f t="shared" si="7053"/>
        <v>0</v>
      </c>
      <c r="CV483" s="200">
        <f t="shared" si="7053"/>
        <v>0</v>
      </c>
      <c r="CW483" s="200">
        <f t="shared" si="7053"/>
        <v>0</v>
      </c>
      <c r="CX483" s="200">
        <f t="shared" si="7053"/>
        <v>0</v>
      </c>
      <c r="CY483" s="200">
        <f t="shared" si="7053"/>
        <v>0</v>
      </c>
      <c r="CZ483" s="200">
        <f t="shared" si="7053"/>
        <v>0</v>
      </c>
      <c r="DA483" s="200">
        <f t="shared" si="7053"/>
        <v>0</v>
      </c>
      <c r="DB483" s="200">
        <f t="shared" si="7053"/>
        <v>0</v>
      </c>
      <c r="DC483" s="374">
        <f t="shared" si="7053"/>
        <v>0</v>
      </c>
    </row>
    <row r="484" spans="3:107" x14ac:dyDescent="0.3">
      <c r="C484" s="101" t="str">
        <f>++C$43</f>
        <v>Amortization</v>
      </c>
      <c r="G484" s="374">
        <f t="shared" ref="G484:BR484" si="7054">++G462</f>
        <v>0</v>
      </c>
      <c r="H484" s="200">
        <f t="shared" si="7054"/>
        <v>0</v>
      </c>
      <c r="I484" s="200">
        <f t="shared" si="7054"/>
        <v>0</v>
      </c>
      <c r="J484" s="200">
        <f t="shared" si="7054"/>
        <v>0</v>
      </c>
      <c r="K484" s="374">
        <f t="shared" si="7054"/>
        <v>0</v>
      </c>
      <c r="L484" s="200">
        <f t="shared" si="7054"/>
        <v>0</v>
      </c>
      <c r="M484" s="200">
        <f t="shared" si="7054"/>
        <v>0</v>
      </c>
      <c r="N484" s="200">
        <f t="shared" si="7054"/>
        <v>0</v>
      </c>
      <c r="O484" s="200">
        <f t="shared" si="7054"/>
        <v>0</v>
      </c>
      <c r="P484" s="200">
        <f t="shared" si="7054"/>
        <v>0</v>
      </c>
      <c r="Q484" s="200">
        <f t="shared" si="7054"/>
        <v>0</v>
      </c>
      <c r="R484" s="200">
        <f t="shared" si="7054"/>
        <v>0</v>
      </c>
      <c r="S484" s="200">
        <f t="shared" si="7054"/>
        <v>0</v>
      </c>
      <c r="T484" s="200">
        <f t="shared" si="7054"/>
        <v>0</v>
      </c>
      <c r="U484" s="200">
        <f t="shared" si="7054"/>
        <v>0</v>
      </c>
      <c r="V484" s="200">
        <f t="shared" si="7054"/>
        <v>0</v>
      </c>
      <c r="W484" s="374">
        <f t="shared" si="7054"/>
        <v>0</v>
      </c>
      <c r="X484" s="200">
        <f t="shared" si="7054"/>
        <v>0</v>
      </c>
      <c r="Y484" s="200">
        <f t="shared" si="7054"/>
        <v>0</v>
      </c>
      <c r="Z484" s="200">
        <f t="shared" si="7054"/>
        <v>0</v>
      </c>
      <c r="AA484" s="200">
        <f t="shared" si="7054"/>
        <v>0</v>
      </c>
      <c r="AB484" s="200">
        <f t="shared" si="7054"/>
        <v>0</v>
      </c>
      <c r="AC484" s="200">
        <f t="shared" si="7054"/>
        <v>0</v>
      </c>
      <c r="AD484" s="200">
        <f t="shared" si="7054"/>
        <v>0</v>
      </c>
      <c r="AE484" s="200">
        <f t="shared" si="7054"/>
        <v>0</v>
      </c>
      <c r="AF484" s="200">
        <f t="shared" si="7054"/>
        <v>0</v>
      </c>
      <c r="AG484" s="200">
        <f t="shared" si="7054"/>
        <v>0</v>
      </c>
      <c r="AH484" s="200">
        <f t="shared" si="7054"/>
        <v>0</v>
      </c>
      <c r="AI484" s="374">
        <f t="shared" si="7054"/>
        <v>0</v>
      </c>
      <c r="AJ484" s="200">
        <f t="shared" si="7054"/>
        <v>0</v>
      </c>
      <c r="AK484" s="200">
        <f t="shared" si="7054"/>
        <v>0</v>
      </c>
      <c r="AL484" s="200">
        <f t="shared" si="7054"/>
        <v>0</v>
      </c>
      <c r="AM484" s="200">
        <f t="shared" si="7054"/>
        <v>0</v>
      </c>
      <c r="AN484" s="200">
        <f t="shared" si="7054"/>
        <v>0</v>
      </c>
      <c r="AO484" s="200">
        <f t="shared" si="7054"/>
        <v>0</v>
      </c>
      <c r="AP484" s="200">
        <f t="shared" si="7054"/>
        <v>0</v>
      </c>
      <c r="AQ484" s="200">
        <f t="shared" si="7054"/>
        <v>0</v>
      </c>
      <c r="AR484" s="200">
        <f t="shared" si="7054"/>
        <v>0</v>
      </c>
      <c r="AS484" s="200">
        <f t="shared" si="7054"/>
        <v>0</v>
      </c>
      <c r="AT484" s="200">
        <f t="shared" si="7054"/>
        <v>0</v>
      </c>
      <c r="AU484" s="374">
        <f t="shared" si="7054"/>
        <v>0</v>
      </c>
      <c r="AV484" s="200">
        <f t="shared" si="7054"/>
        <v>0</v>
      </c>
      <c r="AW484" s="200">
        <f t="shared" si="7054"/>
        <v>0</v>
      </c>
      <c r="AX484" s="200">
        <f t="shared" si="7054"/>
        <v>0</v>
      </c>
      <c r="AY484" s="200">
        <f t="shared" si="7054"/>
        <v>0</v>
      </c>
      <c r="AZ484" s="200">
        <f t="shared" si="7054"/>
        <v>0</v>
      </c>
      <c r="BA484" s="200">
        <f t="shared" si="7054"/>
        <v>0</v>
      </c>
      <c r="BB484" s="200">
        <f t="shared" si="7054"/>
        <v>0</v>
      </c>
      <c r="BC484" s="200">
        <f t="shared" si="7054"/>
        <v>0</v>
      </c>
      <c r="BD484" s="200">
        <f t="shared" si="7054"/>
        <v>0</v>
      </c>
      <c r="BE484" s="200">
        <f t="shared" si="7054"/>
        <v>0</v>
      </c>
      <c r="BF484" s="200">
        <f t="shared" si="7054"/>
        <v>0</v>
      </c>
      <c r="BG484" s="374">
        <f t="shared" si="7054"/>
        <v>0</v>
      </c>
      <c r="BH484" s="200">
        <f t="shared" si="7054"/>
        <v>0</v>
      </c>
      <c r="BI484" s="200">
        <f t="shared" si="7054"/>
        <v>0</v>
      </c>
      <c r="BJ484" s="200">
        <f t="shared" si="7054"/>
        <v>0</v>
      </c>
      <c r="BK484" s="200">
        <f t="shared" si="7054"/>
        <v>0</v>
      </c>
      <c r="BL484" s="200">
        <f t="shared" si="7054"/>
        <v>0</v>
      </c>
      <c r="BM484" s="200">
        <f t="shared" si="7054"/>
        <v>0</v>
      </c>
      <c r="BN484" s="200">
        <f t="shared" si="7054"/>
        <v>0</v>
      </c>
      <c r="BO484" s="200">
        <f t="shared" si="7054"/>
        <v>0</v>
      </c>
      <c r="BP484" s="200">
        <f t="shared" si="7054"/>
        <v>0</v>
      </c>
      <c r="BQ484" s="200">
        <f t="shared" si="7054"/>
        <v>0</v>
      </c>
      <c r="BR484" s="200">
        <f t="shared" si="7054"/>
        <v>0</v>
      </c>
      <c r="BS484" s="374">
        <f t="shared" ref="BS484:DC484" si="7055">++BS462</f>
        <v>0</v>
      </c>
      <c r="BT484" s="200">
        <f t="shared" si="7055"/>
        <v>0</v>
      </c>
      <c r="BU484" s="200">
        <f t="shared" si="7055"/>
        <v>0</v>
      </c>
      <c r="BV484" s="200">
        <f t="shared" si="7055"/>
        <v>0</v>
      </c>
      <c r="BW484" s="200">
        <f t="shared" si="7055"/>
        <v>0</v>
      </c>
      <c r="BX484" s="200">
        <f t="shared" si="7055"/>
        <v>0</v>
      </c>
      <c r="BY484" s="200">
        <f t="shared" si="7055"/>
        <v>0</v>
      </c>
      <c r="BZ484" s="200">
        <f t="shared" si="7055"/>
        <v>0</v>
      </c>
      <c r="CA484" s="200">
        <f t="shared" si="7055"/>
        <v>0</v>
      </c>
      <c r="CB484" s="200">
        <f t="shared" si="7055"/>
        <v>0</v>
      </c>
      <c r="CC484" s="200">
        <f t="shared" si="7055"/>
        <v>0</v>
      </c>
      <c r="CD484" s="200">
        <f t="shared" si="7055"/>
        <v>0</v>
      </c>
      <c r="CE484" s="374">
        <f t="shared" si="7055"/>
        <v>0</v>
      </c>
      <c r="CF484" s="200">
        <f t="shared" si="7055"/>
        <v>0</v>
      </c>
      <c r="CG484" s="200">
        <f t="shared" si="7055"/>
        <v>0</v>
      </c>
      <c r="CH484" s="200">
        <f t="shared" si="7055"/>
        <v>0</v>
      </c>
      <c r="CI484" s="200">
        <f t="shared" si="7055"/>
        <v>0</v>
      </c>
      <c r="CJ484" s="200">
        <f t="shared" si="7055"/>
        <v>0</v>
      </c>
      <c r="CK484" s="200">
        <f t="shared" si="7055"/>
        <v>0</v>
      </c>
      <c r="CL484" s="200">
        <f t="shared" si="7055"/>
        <v>0</v>
      </c>
      <c r="CM484" s="200">
        <f t="shared" si="7055"/>
        <v>0</v>
      </c>
      <c r="CN484" s="200">
        <f t="shared" si="7055"/>
        <v>0</v>
      </c>
      <c r="CO484" s="200">
        <f t="shared" si="7055"/>
        <v>0</v>
      </c>
      <c r="CP484" s="200">
        <f t="shared" si="7055"/>
        <v>0</v>
      </c>
      <c r="CQ484" s="374">
        <f t="shared" si="7055"/>
        <v>0</v>
      </c>
      <c r="CR484" s="200">
        <f t="shared" si="7055"/>
        <v>0</v>
      </c>
      <c r="CS484" s="200">
        <f t="shared" si="7055"/>
        <v>0</v>
      </c>
      <c r="CT484" s="200">
        <f t="shared" si="7055"/>
        <v>0</v>
      </c>
      <c r="CU484" s="200">
        <f t="shared" si="7055"/>
        <v>0</v>
      </c>
      <c r="CV484" s="200">
        <f t="shared" si="7055"/>
        <v>0</v>
      </c>
      <c r="CW484" s="200">
        <f t="shared" si="7055"/>
        <v>0</v>
      </c>
      <c r="CX484" s="200">
        <f t="shared" si="7055"/>
        <v>0</v>
      </c>
      <c r="CY484" s="200">
        <f t="shared" si="7055"/>
        <v>0</v>
      </c>
      <c r="CZ484" s="200">
        <f t="shared" si="7055"/>
        <v>0</v>
      </c>
      <c r="DA484" s="200">
        <f t="shared" si="7055"/>
        <v>0</v>
      </c>
      <c r="DB484" s="200">
        <f t="shared" si="7055"/>
        <v>0</v>
      </c>
      <c r="DC484" s="374">
        <f t="shared" si="7055"/>
        <v>0</v>
      </c>
    </row>
    <row r="485" spans="3:107" x14ac:dyDescent="0.3">
      <c r="C485" s="231" t="str">
        <f>++C$44</f>
        <v>Reported EBITDA</v>
      </c>
      <c r="D485" s="191"/>
      <c r="E485" s="191"/>
      <c r="G485" s="239">
        <f>++SUM(G481:G484)</f>
        <v>0</v>
      </c>
      <c r="H485" s="232">
        <f t="shared" ref="H485" si="7056">++SUM(H481:H484)</f>
        <v>0</v>
      </c>
      <c r="I485" s="232">
        <f t="shared" ref="I485" si="7057">++SUM(I481:I484)</f>
        <v>0</v>
      </c>
      <c r="J485" s="232">
        <f t="shared" ref="J485" si="7058">++SUM(J481:J484)</f>
        <v>0</v>
      </c>
      <c r="K485" s="239">
        <f t="shared" ref="K485" si="7059">++SUM(K481:K484)</f>
        <v>0</v>
      </c>
      <c r="L485" s="232">
        <f t="shared" ref="L485" si="7060">++SUM(L481:L484)</f>
        <v>0</v>
      </c>
      <c r="M485" s="232">
        <f t="shared" ref="M485" si="7061">++SUM(M481:M484)</f>
        <v>0</v>
      </c>
      <c r="N485" s="232">
        <f t="shared" ref="N485" si="7062">++SUM(N481:N484)</f>
        <v>0</v>
      </c>
      <c r="O485" s="232">
        <f t="shared" ref="O485" si="7063">++SUM(O481:O484)</f>
        <v>0</v>
      </c>
      <c r="P485" s="232">
        <f t="shared" ref="P485" si="7064">++SUM(P481:P484)</f>
        <v>0</v>
      </c>
      <c r="Q485" s="232">
        <f t="shared" ref="Q485" si="7065">++SUM(Q481:Q484)</f>
        <v>0</v>
      </c>
      <c r="R485" s="232">
        <f t="shared" ref="R485" si="7066">++SUM(R481:R484)</f>
        <v>0</v>
      </c>
      <c r="S485" s="232">
        <f t="shared" ref="S485" si="7067">++SUM(S481:S484)</f>
        <v>0</v>
      </c>
      <c r="T485" s="232">
        <f t="shared" ref="T485" si="7068">++SUM(T481:T484)</f>
        <v>0</v>
      </c>
      <c r="U485" s="232">
        <f t="shared" ref="U485" si="7069">++SUM(U481:U484)</f>
        <v>0</v>
      </c>
      <c r="V485" s="232">
        <f t="shared" ref="V485" si="7070">++SUM(V481:V484)</f>
        <v>0</v>
      </c>
      <c r="W485" s="239">
        <f t="shared" ref="W485" si="7071">++SUM(W481:W484)</f>
        <v>0</v>
      </c>
      <c r="X485" s="232">
        <f t="shared" ref="X485" si="7072">++SUM(X481:X484)</f>
        <v>0</v>
      </c>
      <c r="Y485" s="232">
        <f t="shared" ref="Y485" si="7073">++SUM(Y481:Y484)</f>
        <v>0</v>
      </c>
      <c r="Z485" s="232">
        <f t="shared" ref="Z485" si="7074">++SUM(Z481:Z484)</f>
        <v>0</v>
      </c>
      <c r="AA485" s="232">
        <f t="shared" ref="AA485" si="7075">++SUM(AA481:AA484)</f>
        <v>0</v>
      </c>
      <c r="AB485" s="232">
        <f t="shared" ref="AB485" si="7076">++SUM(AB481:AB484)</f>
        <v>0</v>
      </c>
      <c r="AC485" s="232">
        <f t="shared" ref="AC485" si="7077">++SUM(AC481:AC484)</f>
        <v>0</v>
      </c>
      <c r="AD485" s="232">
        <f t="shared" ref="AD485" si="7078">++SUM(AD481:AD484)</f>
        <v>0</v>
      </c>
      <c r="AE485" s="232">
        <f t="shared" ref="AE485" si="7079">++SUM(AE481:AE484)</f>
        <v>0</v>
      </c>
      <c r="AF485" s="232">
        <f t="shared" ref="AF485" si="7080">++SUM(AF481:AF484)</f>
        <v>0</v>
      </c>
      <c r="AG485" s="232">
        <f t="shared" ref="AG485" si="7081">++SUM(AG481:AG484)</f>
        <v>0</v>
      </c>
      <c r="AH485" s="232">
        <f t="shared" ref="AH485" si="7082">++SUM(AH481:AH484)</f>
        <v>0</v>
      </c>
      <c r="AI485" s="239">
        <f t="shared" ref="AI485" si="7083">++SUM(AI481:AI484)</f>
        <v>0</v>
      </c>
      <c r="AJ485" s="232">
        <f t="shared" ref="AJ485" si="7084">++SUM(AJ481:AJ484)</f>
        <v>0</v>
      </c>
      <c r="AK485" s="232">
        <f t="shared" ref="AK485" si="7085">++SUM(AK481:AK484)</f>
        <v>0</v>
      </c>
      <c r="AL485" s="232">
        <f t="shared" ref="AL485" si="7086">++SUM(AL481:AL484)</f>
        <v>0</v>
      </c>
      <c r="AM485" s="232">
        <f t="shared" ref="AM485" si="7087">++SUM(AM481:AM484)</f>
        <v>0</v>
      </c>
      <c r="AN485" s="232">
        <f t="shared" ref="AN485" si="7088">++SUM(AN481:AN484)</f>
        <v>0</v>
      </c>
      <c r="AO485" s="232">
        <f t="shared" ref="AO485" si="7089">++SUM(AO481:AO484)</f>
        <v>0</v>
      </c>
      <c r="AP485" s="232">
        <f t="shared" ref="AP485" si="7090">++SUM(AP481:AP484)</f>
        <v>0</v>
      </c>
      <c r="AQ485" s="232">
        <f t="shared" ref="AQ485" si="7091">++SUM(AQ481:AQ484)</f>
        <v>0</v>
      </c>
      <c r="AR485" s="232">
        <f t="shared" ref="AR485" si="7092">++SUM(AR481:AR484)</f>
        <v>0</v>
      </c>
      <c r="AS485" s="232">
        <f t="shared" ref="AS485" si="7093">++SUM(AS481:AS484)</f>
        <v>0</v>
      </c>
      <c r="AT485" s="232">
        <f t="shared" ref="AT485" si="7094">++SUM(AT481:AT484)</f>
        <v>0</v>
      </c>
      <c r="AU485" s="239">
        <f t="shared" ref="AU485" si="7095">++SUM(AU481:AU484)</f>
        <v>0</v>
      </c>
      <c r="AV485" s="232">
        <f t="shared" ref="AV485" si="7096">++SUM(AV481:AV484)</f>
        <v>0</v>
      </c>
      <c r="AW485" s="232">
        <f t="shared" ref="AW485" si="7097">++SUM(AW481:AW484)</f>
        <v>0</v>
      </c>
      <c r="AX485" s="232">
        <f t="shared" ref="AX485" si="7098">++SUM(AX481:AX484)</f>
        <v>0</v>
      </c>
      <c r="AY485" s="232">
        <f t="shared" ref="AY485" si="7099">++SUM(AY481:AY484)</f>
        <v>0</v>
      </c>
      <c r="AZ485" s="232">
        <f t="shared" ref="AZ485" si="7100">++SUM(AZ481:AZ484)</f>
        <v>0</v>
      </c>
      <c r="BA485" s="232">
        <f t="shared" ref="BA485" si="7101">++SUM(BA481:BA484)</f>
        <v>0</v>
      </c>
      <c r="BB485" s="232">
        <f t="shared" ref="BB485" si="7102">++SUM(BB481:BB484)</f>
        <v>0</v>
      </c>
      <c r="BC485" s="232">
        <f t="shared" ref="BC485" si="7103">++SUM(BC481:BC484)</f>
        <v>0</v>
      </c>
      <c r="BD485" s="232">
        <f t="shared" ref="BD485" si="7104">++SUM(BD481:BD484)</f>
        <v>0</v>
      </c>
      <c r="BE485" s="232">
        <f t="shared" ref="BE485" si="7105">++SUM(BE481:BE484)</f>
        <v>0</v>
      </c>
      <c r="BF485" s="232">
        <f t="shared" ref="BF485" si="7106">++SUM(BF481:BF484)</f>
        <v>0</v>
      </c>
      <c r="BG485" s="239">
        <f t="shared" ref="BG485" si="7107">++SUM(BG481:BG484)</f>
        <v>0</v>
      </c>
      <c r="BH485" s="232">
        <f t="shared" ref="BH485" si="7108">++SUM(BH481:BH484)</f>
        <v>0</v>
      </c>
      <c r="BI485" s="232">
        <f t="shared" ref="BI485" si="7109">++SUM(BI481:BI484)</f>
        <v>0</v>
      </c>
      <c r="BJ485" s="232">
        <f t="shared" ref="BJ485" si="7110">++SUM(BJ481:BJ484)</f>
        <v>0</v>
      </c>
      <c r="BK485" s="232">
        <f t="shared" ref="BK485" si="7111">++SUM(BK481:BK484)</f>
        <v>0</v>
      </c>
      <c r="BL485" s="232">
        <f t="shared" ref="BL485" si="7112">++SUM(BL481:BL484)</f>
        <v>0</v>
      </c>
      <c r="BM485" s="232">
        <f t="shared" ref="BM485" si="7113">++SUM(BM481:BM484)</f>
        <v>0</v>
      </c>
      <c r="BN485" s="232">
        <f t="shared" ref="BN485" si="7114">++SUM(BN481:BN484)</f>
        <v>0</v>
      </c>
      <c r="BO485" s="232">
        <f t="shared" ref="BO485" si="7115">++SUM(BO481:BO484)</f>
        <v>0</v>
      </c>
      <c r="BP485" s="232">
        <f t="shared" ref="BP485" si="7116">++SUM(BP481:BP484)</f>
        <v>0</v>
      </c>
      <c r="BQ485" s="232">
        <f t="shared" ref="BQ485" si="7117">++SUM(BQ481:BQ484)</f>
        <v>0</v>
      </c>
      <c r="BR485" s="232">
        <f t="shared" ref="BR485" si="7118">++SUM(BR481:BR484)</f>
        <v>0</v>
      </c>
      <c r="BS485" s="239">
        <f t="shared" ref="BS485" si="7119">++SUM(BS481:BS484)</f>
        <v>0</v>
      </c>
      <c r="BT485" s="232">
        <f t="shared" ref="BT485" si="7120">++SUM(BT481:BT484)</f>
        <v>0</v>
      </c>
      <c r="BU485" s="232">
        <f t="shared" ref="BU485" si="7121">++SUM(BU481:BU484)</f>
        <v>0</v>
      </c>
      <c r="BV485" s="232">
        <f t="shared" ref="BV485" si="7122">++SUM(BV481:BV484)</f>
        <v>0</v>
      </c>
      <c r="BW485" s="232">
        <f t="shared" ref="BW485" si="7123">++SUM(BW481:BW484)</f>
        <v>0</v>
      </c>
      <c r="BX485" s="232">
        <f t="shared" ref="BX485" si="7124">++SUM(BX481:BX484)</f>
        <v>0</v>
      </c>
      <c r="BY485" s="232">
        <f t="shared" ref="BY485" si="7125">++SUM(BY481:BY484)</f>
        <v>0</v>
      </c>
      <c r="BZ485" s="232">
        <f t="shared" ref="BZ485" si="7126">++SUM(BZ481:BZ484)</f>
        <v>0</v>
      </c>
      <c r="CA485" s="232">
        <f t="shared" ref="CA485" si="7127">++SUM(CA481:CA484)</f>
        <v>0</v>
      </c>
      <c r="CB485" s="232">
        <f t="shared" ref="CB485" si="7128">++SUM(CB481:CB484)</f>
        <v>0</v>
      </c>
      <c r="CC485" s="232">
        <f t="shared" ref="CC485" si="7129">++SUM(CC481:CC484)</f>
        <v>0</v>
      </c>
      <c r="CD485" s="232">
        <f t="shared" ref="CD485" si="7130">++SUM(CD481:CD484)</f>
        <v>0</v>
      </c>
      <c r="CE485" s="239">
        <f t="shared" ref="CE485" si="7131">++SUM(CE481:CE484)</f>
        <v>0</v>
      </c>
      <c r="CF485" s="232">
        <f t="shared" ref="CF485" si="7132">++SUM(CF481:CF484)</f>
        <v>0</v>
      </c>
      <c r="CG485" s="232">
        <f t="shared" ref="CG485" si="7133">++SUM(CG481:CG484)</f>
        <v>0</v>
      </c>
      <c r="CH485" s="232">
        <f t="shared" ref="CH485" si="7134">++SUM(CH481:CH484)</f>
        <v>0</v>
      </c>
      <c r="CI485" s="232">
        <f t="shared" ref="CI485" si="7135">++SUM(CI481:CI484)</f>
        <v>0</v>
      </c>
      <c r="CJ485" s="232">
        <f t="shared" ref="CJ485" si="7136">++SUM(CJ481:CJ484)</f>
        <v>0</v>
      </c>
      <c r="CK485" s="232">
        <f t="shared" ref="CK485" si="7137">++SUM(CK481:CK484)</f>
        <v>0</v>
      </c>
      <c r="CL485" s="232">
        <f t="shared" ref="CL485" si="7138">++SUM(CL481:CL484)</f>
        <v>0</v>
      </c>
      <c r="CM485" s="232">
        <f t="shared" ref="CM485" si="7139">++SUM(CM481:CM484)</f>
        <v>0</v>
      </c>
      <c r="CN485" s="232">
        <f t="shared" ref="CN485" si="7140">++SUM(CN481:CN484)</f>
        <v>0</v>
      </c>
      <c r="CO485" s="232">
        <f t="shared" ref="CO485" si="7141">++SUM(CO481:CO484)</f>
        <v>0</v>
      </c>
      <c r="CP485" s="232">
        <f t="shared" ref="CP485" si="7142">++SUM(CP481:CP484)</f>
        <v>0</v>
      </c>
      <c r="CQ485" s="239">
        <f t="shared" ref="CQ485" si="7143">++SUM(CQ481:CQ484)</f>
        <v>0</v>
      </c>
      <c r="CR485" s="232">
        <f t="shared" ref="CR485" si="7144">++SUM(CR481:CR484)</f>
        <v>0</v>
      </c>
      <c r="CS485" s="232">
        <f t="shared" ref="CS485" si="7145">++SUM(CS481:CS484)</f>
        <v>0</v>
      </c>
      <c r="CT485" s="232">
        <f t="shared" ref="CT485" si="7146">++SUM(CT481:CT484)</f>
        <v>0</v>
      </c>
      <c r="CU485" s="232">
        <f t="shared" ref="CU485" si="7147">++SUM(CU481:CU484)</f>
        <v>0</v>
      </c>
      <c r="CV485" s="232">
        <f t="shared" ref="CV485" si="7148">++SUM(CV481:CV484)</f>
        <v>0</v>
      </c>
      <c r="CW485" s="232">
        <f t="shared" ref="CW485" si="7149">++SUM(CW481:CW484)</f>
        <v>0</v>
      </c>
      <c r="CX485" s="232">
        <f t="shared" ref="CX485" si="7150">++SUM(CX481:CX484)</f>
        <v>0</v>
      </c>
      <c r="CY485" s="232">
        <f t="shared" ref="CY485" si="7151">++SUM(CY481:CY484)</f>
        <v>0</v>
      </c>
      <c r="CZ485" s="232">
        <f t="shared" ref="CZ485" si="7152">++SUM(CZ481:CZ484)</f>
        <v>0</v>
      </c>
      <c r="DA485" s="232">
        <f t="shared" ref="DA485" si="7153">++SUM(DA481:DA484)</f>
        <v>0</v>
      </c>
      <c r="DB485" s="232">
        <f t="shared" ref="DB485" si="7154">++SUM(DB481:DB484)</f>
        <v>0</v>
      </c>
      <c r="DC485" s="239">
        <f t="shared" ref="DC485" si="7155">++SUM(DC481:DC484)</f>
        <v>0</v>
      </c>
    </row>
    <row r="486" spans="3:107" x14ac:dyDescent="0.3">
      <c r="C486" s="321" t="str">
        <f>++C$45</f>
        <v>% margin</v>
      </c>
      <c r="G486" s="214" t="str">
        <f t="shared" ref="G486:AL486" si="7156">++IFERROR(G485/G451,"n/a")</f>
        <v>n/a</v>
      </c>
      <c r="H486" s="225" t="str">
        <f t="shared" si="7156"/>
        <v>n/a</v>
      </c>
      <c r="I486" s="225" t="str">
        <f t="shared" si="7156"/>
        <v>n/a</v>
      </c>
      <c r="J486" s="225" t="str">
        <f t="shared" si="7156"/>
        <v>n/a</v>
      </c>
      <c r="K486" s="214" t="str">
        <f t="shared" si="7156"/>
        <v>n/a</v>
      </c>
      <c r="L486" s="225" t="str">
        <f t="shared" si="7156"/>
        <v>n/a</v>
      </c>
      <c r="M486" s="225" t="str">
        <f t="shared" si="7156"/>
        <v>n/a</v>
      </c>
      <c r="N486" s="225" t="str">
        <f t="shared" si="7156"/>
        <v>n/a</v>
      </c>
      <c r="O486" s="225" t="str">
        <f t="shared" si="7156"/>
        <v>n/a</v>
      </c>
      <c r="P486" s="225" t="str">
        <f t="shared" si="7156"/>
        <v>n/a</v>
      </c>
      <c r="Q486" s="225" t="str">
        <f t="shared" si="7156"/>
        <v>n/a</v>
      </c>
      <c r="R486" s="225" t="str">
        <f t="shared" si="7156"/>
        <v>n/a</v>
      </c>
      <c r="S486" s="225" t="str">
        <f t="shared" si="7156"/>
        <v>n/a</v>
      </c>
      <c r="T486" s="225" t="str">
        <f t="shared" si="7156"/>
        <v>n/a</v>
      </c>
      <c r="U486" s="225" t="str">
        <f t="shared" si="7156"/>
        <v>n/a</v>
      </c>
      <c r="V486" s="225" t="str">
        <f t="shared" si="7156"/>
        <v>n/a</v>
      </c>
      <c r="W486" s="214" t="str">
        <f t="shared" si="7156"/>
        <v>n/a</v>
      </c>
      <c r="X486" s="225" t="str">
        <f t="shared" si="7156"/>
        <v>n/a</v>
      </c>
      <c r="Y486" s="225" t="str">
        <f t="shared" si="7156"/>
        <v>n/a</v>
      </c>
      <c r="Z486" s="225" t="str">
        <f t="shared" si="7156"/>
        <v>n/a</v>
      </c>
      <c r="AA486" s="225" t="str">
        <f t="shared" si="7156"/>
        <v>n/a</v>
      </c>
      <c r="AB486" s="225" t="str">
        <f t="shared" si="7156"/>
        <v>n/a</v>
      </c>
      <c r="AC486" s="225" t="str">
        <f t="shared" si="7156"/>
        <v>n/a</v>
      </c>
      <c r="AD486" s="225" t="str">
        <f t="shared" si="7156"/>
        <v>n/a</v>
      </c>
      <c r="AE486" s="225" t="str">
        <f t="shared" si="7156"/>
        <v>n/a</v>
      </c>
      <c r="AF486" s="225" t="str">
        <f t="shared" si="7156"/>
        <v>n/a</v>
      </c>
      <c r="AG486" s="225" t="str">
        <f t="shared" si="7156"/>
        <v>n/a</v>
      </c>
      <c r="AH486" s="225" t="str">
        <f t="shared" si="7156"/>
        <v>n/a</v>
      </c>
      <c r="AI486" s="214" t="str">
        <f t="shared" si="7156"/>
        <v>n/a</v>
      </c>
      <c r="AJ486" s="225" t="str">
        <f t="shared" si="7156"/>
        <v>n/a</v>
      </c>
      <c r="AK486" s="225" t="str">
        <f t="shared" si="7156"/>
        <v>n/a</v>
      </c>
      <c r="AL486" s="225" t="str">
        <f t="shared" si="7156"/>
        <v>n/a</v>
      </c>
      <c r="AM486" s="225" t="str">
        <f t="shared" ref="AM486:BR486" si="7157">++IFERROR(AM485/AM451,"n/a")</f>
        <v>n/a</v>
      </c>
      <c r="AN486" s="225" t="str">
        <f t="shared" si="7157"/>
        <v>n/a</v>
      </c>
      <c r="AO486" s="225" t="str">
        <f t="shared" si="7157"/>
        <v>n/a</v>
      </c>
      <c r="AP486" s="225" t="str">
        <f t="shared" si="7157"/>
        <v>n/a</v>
      </c>
      <c r="AQ486" s="225" t="str">
        <f t="shared" si="7157"/>
        <v>n/a</v>
      </c>
      <c r="AR486" s="225" t="str">
        <f t="shared" si="7157"/>
        <v>n/a</v>
      </c>
      <c r="AS486" s="225" t="str">
        <f t="shared" si="7157"/>
        <v>n/a</v>
      </c>
      <c r="AT486" s="225" t="str">
        <f t="shared" si="7157"/>
        <v>n/a</v>
      </c>
      <c r="AU486" s="214" t="str">
        <f t="shared" si="7157"/>
        <v>n/a</v>
      </c>
      <c r="AV486" s="225" t="str">
        <f t="shared" si="7157"/>
        <v>n/a</v>
      </c>
      <c r="AW486" s="225" t="str">
        <f t="shared" si="7157"/>
        <v>n/a</v>
      </c>
      <c r="AX486" s="225" t="str">
        <f t="shared" si="7157"/>
        <v>n/a</v>
      </c>
      <c r="AY486" s="225" t="str">
        <f t="shared" si="7157"/>
        <v>n/a</v>
      </c>
      <c r="AZ486" s="225" t="str">
        <f t="shared" si="7157"/>
        <v>n/a</v>
      </c>
      <c r="BA486" s="225" t="str">
        <f t="shared" si="7157"/>
        <v>n/a</v>
      </c>
      <c r="BB486" s="225" t="str">
        <f t="shared" si="7157"/>
        <v>n/a</v>
      </c>
      <c r="BC486" s="225" t="str">
        <f t="shared" si="7157"/>
        <v>n/a</v>
      </c>
      <c r="BD486" s="225" t="str">
        <f t="shared" si="7157"/>
        <v>n/a</v>
      </c>
      <c r="BE486" s="225" t="str">
        <f t="shared" si="7157"/>
        <v>n/a</v>
      </c>
      <c r="BF486" s="225" t="str">
        <f t="shared" si="7157"/>
        <v>n/a</v>
      </c>
      <c r="BG486" s="214" t="str">
        <f t="shared" si="7157"/>
        <v>n/a</v>
      </c>
      <c r="BH486" s="225" t="str">
        <f t="shared" si="7157"/>
        <v>n/a</v>
      </c>
      <c r="BI486" s="225" t="str">
        <f t="shared" si="7157"/>
        <v>n/a</v>
      </c>
      <c r="BJ486" s="225" t="str">
        <f t="shared" si="7157"/>
        <v>n/a</v>
      </c>
      <c r="BK486" s="225" t="str">
        <f t="shared" si="7157"/>
        <v>n/a</v>
      </c>
      <c r="BL486" s="225" t="str">
        <f t="shared" si="7157"/>
        <v>n/a</v>
      </c>
      <c r="BM486" s="225" t="str">
        <f t="shared" si="7157"/>
        <v>n/a</v>
      </c>
      <c r="BN486" s="225" t="str">
        <f t="shared" si="7157"/>
        <v>n/a</v>
      </c>
      <c r="BO486" s="225" t="str">
        <f t="shared" si="7157"/>
        <v>n/a</v>
      </c>
      <c r="BP486" s="225" t="str">
        <f t="shared" si="7157"/>
        <v>n/a</v>
      </c>
      <c r="BQ486" s="225" t="str">
        <f t="shared" si="7157"/>
        <v>n/a</v>
      </c>
      <c r="BR486" s="225" t="str">
        <f t="shared" si="7157"/>
        <v>n/a</v>
      </c>
      <c r="BS486" s="214" t="str">
        <f t="shared" ref="BS486:CX486" si="7158">++IFERROR(BS485/BS451,"n/a")</f>
        <v>n/a</v>
      </c>
      <c r="BT486" s="225" t="str">
        <f t="shared" si="7158"/>
        <v>n/a</v>
      </c>
      <c r="BU486" s="225" t="str">
        <f t="shared" si="7158"/>
        <v>n/a</v>
      </c>
      <c r="BV486" s="225" t="str">
        <f t="shared" si="7158"/>
        <v>n/a</v>
      </c>
      <c r="BW486" s="225" t="str">
        <f t="shared" si="7158"/>
        <v>n/a</v>
      </c>
      <c r="BX486" s="225" t="str">
        <f t="shared" si="7158"/>
        <v>n/a</v>
      </c>
      <c r="BY486" s="225" t="str">
        <f t="shared" si="7158"/>
        <v>n/a</v>
      </c>
      <c r="BZ486" s="225" t="str">
        <f t="shared" si="7158"/>
        <v>n/a</v>
      </c>
      <c r="CA486" s="225" t="str">
        <f t="shared" si="7158"/>
        <v>n/a</v>
      </c>
      <c r="CB486" s="225" t="str">
        <f t="shared" si="7158"/>
        <v>n/a</v>
      </c>
      <c r="CC486" s="225" t="str">
        <f t="shared" si="7158"/>
        <v>n/a</v>
      </c>
      <c r="CD486" s="225" t="str">
        <f t="shared" si="7158"/>
        <v>n/a</v>
      </c>
      <c r="CE486" s="214" t="str">
        <f t="shared" si="7158"/>
        <v>n/a</v>
      </c>
      <c r="CF486" s="225" t="str">
        <f t="shared" si="7158"/>
        <v>n/a</v>
      </c>
      <c r="CG486" s="225" t="str">
        <f t="shared" si="7158"/>
        <v>n/a</v>
      </c>
      <c r="CH486" s="225" t="str">
        <f t="shared" si="7158"/>
        <v>n/a</v>
      </c>
      <c r="CI486" s="225" t="str">
        <f t="shared" si="7158"/>
        <v>n/a</v>
      </c>
      <c r="CJ486" s="225" t="str">
        <f t="shared" si="7158"/>
        <v>n/a</v>
      </c>
      <c r="CK486" s="225" t="str">
        <f t="shared" si="7158"/>
        <v>n/a</v>
      </c>
      <c r="CL486" s="225" t="str">
        <f t="shared" si="7158"/>
        <v>n/a</v>
      </c>
      <c r="CM486" s="225" t="str">
        <f t="shared" si="7158"/>
        <v>n/a</v>
      </c>
      <c r="CN486" s="225" t="str">
        <f t="shared" si="7158"/>
        <v>n/a</v>
      </c>
      <c r="CO486" s="225" t="str">
        <f t="shared" si="7158"/>
        <v>n/a</v>
      </c>
      <c r="CP486" s="225" t="str">
        <f t="shared" si="7158"/>
        <v>n/a</v>
      </c>
      <c r="CQ486" s="214" t="str">
        <f t="shared" si="7158"/>
        <v>n/a</v>
      </c>
      <c r="CR486" s="225" t="str">
        <f t="shared" si="7158"/>
        <v>n/a</v>
      </c>
      <c r="CS486" s="225" t="str">
        <f t="shared" si="7158"/>
        <v>n/a</v>
      </c>
      <c r="CT486" s="225" t="str">
        <f t="shared" si="7158"/>
        <v>n/a</v>
      </c>
      <c r="CU486" s="225" t="str">
        <f t="shared" si="7158"/>
        <v>n/a</v>
      </c>
      <c r="CV486" s="225" t="str">
        <f t="shared" si="7158"/>
        <v>n/a</v>
      </c>
      <c r="CW486" s="225" t="str">
        <f t="shared" si="7158"/>
        <v>n/a</v>
      </c>
      <c r="CX486" s="225" t="str">
        <f t="shared" si="7158"/>
        <v>n/a</v>
      </c>
      <c r="CY486" s="225" t="str">
        <f t="shared" ref="CY486:ED486" si="7159">++IFERROR(CY485/CY451,"n/a")</f>
        <v>n/a</v>
      </c>
      <c r="CZ486" s="225" t="str">
        <f t="shared" si="7159"/>
        <v>n/a</v>
      </c>
      <c r="DA486" s="225" t="str">
        <f t="shared" si="7159"/>
        <v>n/a</v>
      </c>
      <c r="DB486" s="225" t="str">
        <f t="shared" si="7159"/>
        <v>n/a</v>
      </c>
      <c r="DC486" s="214" t="str">
        <f t="shared" si="7159"/>
        <v>n/a</v>
      </c>
    </row>
    <row r="487" spans="3:107" x14ac:dyDescent="0.3">
      <c r="C487" s="321" t="str">
        <f>++C$46</f>
        <v>% y/y</v>
      </c>
      <c r="G487" s="122" t="s">
        <v>47</v>
      </c>
      <c r="H487" s="122" t="s">
        <v>47</v>
      </c>
      <c r="I487" s="122" t="s">
        <v>47</v>
      </c>
      <c r="J487" s="122" t="s">
        <v>47</v>
      </c>
      <c r="K487" s="214" t="str">
        <f>++IFERROR(K485/G240-1,"n/a")</f>
        <v>n/a</v>
      </c>
      <c r="L487" s="122" t="s">
        <v>47</v>
      </c>
      <c r="M487" s="122" t="s">
        <v>47</v>
      </c>
      <c r="N487" s="225" t="str">
        <f>++IFERROR(N485/H240-1,"n/a")</f>
        <v>n/a</v>
      </c>
      <c r="O487" s="122" t="s">
        <v>47</v>
      </c>
      <c r="P487" s="122" t="s">
        <v>47</v>
      </c>
      <c r="Q487" s="225" t="str">
        <f>++IFERROR(Q485/I240-1,"n/a")</f>
        <v>n/a</v>
      </c>
      <c r="R487" s="122" t="s">
        <v>47</v>
      </c>
      <c r="S487" s="122" t="s">
        <v>47</v>
      </c>
      <c r="T487" s="225" t="str">
        <f>++IFERROR(T485/J240-1,"n/a")</f>
        <v>n/a</v>
      </c>
      <c r="U487" s="122" t="s">
        <v>47</v>
      </c>
      <c r="V487" s="122" t="s">
        <v>47</v>
      </c>
      <c r="W487" s="214" t="str">
        <f t="shared" ref="W487:BB487" si="7160">++IFERROR(W485/K240-1,"n/a")</f>
        <v>n/a</v>
      </c>
      <c r="X487" s="225" t="str">
        <f t="shared" si="7160"/>
        <v>n/a</v>
      </c>
      <c r="Y487" s="225" t="str">
        <f t="shared" si="7160"/>
        <v>n/a</v>
      </c>
      <c r="Z487" s="225" t="str">
        <f t="shared" si="7160"/>
        <v>n/a</v>
      </c>
      <c r="AA487" s="225" t="str">
        <f t="shared" si="7160"/>
        <v>n/a</v>
      </c>
      <c r="AB487" s="225" t="str">
        <f t="shared" si="7160"/>
        <v>n/a</v>
      </c>
      <c r="AC487" s="225" t="str">
        <f t="shared" si="7160"/>
        <v>n/a</v>
      </c>
      <c r="AD487" s="225" t="str">
        <f t="shared" si="7160"/>
        <v>n/a</v>
      </c>
      <c r="AE487" s="225" t="str">
        <f t="shared" si="7160"/>
        <v>n/a</v>
      </c>
      <c r="AF487" s="225" t="str">
        <f t="shared" si="7160"/>
        <v>n/a</v>
      </c>
      <c r="AG487" s="225" t="str">
        <f t="shared" si="7160"/>
        <v>n/a</v>
      </c>
      <c r="AH487" s="225" t="str">
        <f t="shared" si="7160"/>
        <v>n/a</v>
      </c>
      <c r="AI487" s="214" t="str">
        <f t="shared" si="7160"/>
        <v>n/a</v>
      </c>
      <c r="AJ487" s="225" t="str">
        <f t="shared" si="7160"/>
        <v>n/a</v>
      </c>
      <c r="AK487" s="225" t="str">
        <f t="shared" si="7160"/>
        <v>n/a</v>
      </c>
      <c r="AL487" s="225" t="str">
        <f t="shared" si="7160"/>
        <v>n/a</v>
      </c>
      <c r="AM487" s="225" t="str">
        <f t="shared" si="7160"/>
        <v>n/a</v>
      </c>
      <c r="AN487" s="225" t="str">
        <f t="shared" si="7160"/>
        <v>n/a</v>
      </c>
      <c r="AO487" s="225" t="str">
        <f t="shared" si="7160"/>
        <v>n/a</v>
      </c>
      <c r="AP487" s="225" t="str">
        <f t="shared" si="7160"/>
        <v>n/a</v>
      </c>
      <c r="AQ487" s="225" t="str">
        <f t="shared" si="7160"/>
        <v>n/a</v>
      </c>
      <c r="AR487" s="225" t="str">
        <f t="shared" si="7160"/>
        <v>n/a</v>
      </c>
      <c r="AS487" s="225" t="str">
        <f t="shared" si="7160"/>
        <v>n/a</v>
      </c>
      <c r="AT487" s="225" t="str">
        <f t="shared" si="7160"/>
        <v>n/a</v>
      </c>
      <c r="AU487" s="214" t="str">
        <f t="shared" si="7160"/>
        <v>n/a</v>
      </c>
      <c r="AV487" s="225" t="str">
        <f t="shared" si="7160"/>
        <v>n/a</v>
      </c>
      <c r="AW487" s="225" t="str">
        <f t="shared" si="7160"/>
        <v>n/a</v>
      </c>
      <c r="AX487" s="225" t="str">
        <f t="shared" si="7160"/>
        <v>n/a</v>
      </c>
      <c r="AY487" s="225" t="str">
        <f t="shared" si="7160"/>
        <v>n/a</v>
      </c>
      <c r="AZ487" s="225" t="str">
        <f t="shared" si="7160"/>
        <v>n/a</v>
      </c>
      <c r="BA487" s="225" t="str">
        <f t="shared" si="7160"/>
        <v>n/a</v>
      </c>
      <c r="BB487" s="225" t="str">
        <f t="shared" si="7160"/>
        <v>n/a</v>
      </c>
      <c r="BC487" s="225" t="str">
        <f t="shared" ref="BC487:CH487" si="7161">++IFERROR(BC485/AQ240-1,"n/a")</f>
        <v>n/a</v>
      </c>
      <c r="BD487" s="225" t="str">
        <f t="shared" si="7161"/>
        <v>n/a</v>
      </c>
      <c r="BE487" s="225" t="str">
        <f t="shared" si="7161"/>
        <v>n/a</v>
      </c>
      <c r="BF487" s="225" t="str">
        <f t="shared" si="7161"/>
        <v>n/a</v>
      </c>
      <c r="BG487" s="214" t="str">
        <f t="shared" si="7161"/>
        <v>n/a</v>
      </c>
      <c r="BH487" s="225" t="str">
        <f t="shared" si="7161"/>
        <v>n/a</v>
      </c>
      <c r="BI487" s="225" t="str">
        <f t="shared" si="7161"/>
        <v>n/a</v>
      </c>
      <c r="BJ487" s="225" t="str">
        <f t="shared" si="7161"/>
        <v>n/a</v>
      </c>
      <c r="BK487" s="225" t="str">
        <f t="shared" si="7161"/>
        <v>n/a</v>
      </c>
      <c r="BL487" s="225" t="str">
        <f t="shared" si="7161"/>
        <v>n/a</v>
      </c>
      <c r="BM487" s="225" t="str">
        <f t="shared" si="7161"/>
        <v>n/a</v>
      </c>
      <c r="BN487" s="225" t="str">
        <f t="shared" si="7161"/>
        <v>n/a</v>
      </c>
      <c r="BO487" s="225" t="str">
        <f t="shared" si="7161"/>
        <v>n/a</v>
      </c>
      <c r="BP487" s="225" t="str">
        <f t="shared" si="7161"/>
        <v>n/a</v>
      </c>
      <c r="BQ487" s="225" t="str">
        <f t="shared" si="7161"/>
        <v>n/a</v>
      </c>
      <c r="BR487" s="225" t="str">
        <f t="shared" si="7161"/>
        <v>n/a</v>
      </c>
      <c r="BS487" s="214" t="str">
        <f t="shared" si="7161"/>
        <v>n/a</v>
      </c>
      <c r="BT487" s="225" t="str">
        <f t="shared" si="7161"/>
        <v>n/a</v>
      </c>
      <c r="BU487" s="225" t="str">
        <f t="shared" si="7161"/>
        <v>n/a</v>
      </c>
      <c r="BV487" s="225" t="str">
        <f t="shared" si="7161"/>
        <v>n/a</v>
      </c>
      <c r="BW487" s="225" t="str">
        <f t="shared" si="7161"/>
        <v>n/a</v>
      </c>
      <c r="BX487" s="225" t="str">
        <f t="shared" si="7161"/>
        <v>n/a</v>
      </c>
      <c r="BY487" s="225" t="str">
        <f t="shared" si="7161"/>
        <v>n/a</v>
      </c>
      <c r="BZ487" s="225" t="str">
        <f t="shared" si="7161"/>
        <v>n/a</v>
      </c>
      <c r="CA487" s="225" t="str">
        <f t="shared" si="7161"/>
        <v>n/a</v>
      </c>
      <c r="CB487" s="225" t="str">
        <f t="shared" si="7161"/>
        <v>n/a</v>
      </c>
      <c r="CC487" s="225" t="str">
        <f t="shared" si="7161"/>
        <v>n/a</v>
      </c>
      <c r="CD487" s="225" t="str">
        <f t="shared" si="7161"/>
        <v>n/a</v>
      </c>
      <c r="CE487" s="214" t="str">
        <f t="shared" si="7161"/>
        <v>n/a</v>
      </c>
      <c r="CF487" s="225" t="str">
        <f t="shared" si="7161"/>
        <v>n/a</v>
      </c>
      <c r="CG487" s="225" t="str">
        <f t="shared" si="7161"/>
        <v>n/a</v>
      </c>
      <c r="CH487" s="225" t="str">
        <f t="shared" si="7161"/>
        <v>n/a</v>
      </c>
      <c r="CI487" s="225" t="str">
        <f t="shared" ref="CI487:DN487" si="7162">++IFERROR(CI485/BW240-1,"n/a")</f>
        <v>n/a</v>
      </c>
      <c r="CJ487" s="225" t="str">
        <f t="shared" si="7162"/>
        <v>n/a</v>
      </c>
      <c r="CK487" s="225" t="str">
        <f t="shared" si="7162"/>
        <v>n/a</v>
      </c>
      <c r="CL487" s="225" t="str">
        <f t="shared" si="7162"/>
        <v>n/a</v>
      </c>
      <c r="CM487" s="225" t="str">
        <f t="shared" si="7162"/>
        <v>n/a</v>
      </c>
      <c r="CN487" s="225" t="str">
        <f t="shared" si="7162"/>
        <v>n/a</v>
      </c>
      <c r="CO487" s="225" t="str">
        <f t="shared" si="7162"/>
        <v>n/a</v>
      </c>
      <c r="CP487" s="225" t="str">
        <f t="shared" si="7162"/>
        <v>n/a</v>
      </c>
      <c r="CQ487" s="214" t="str">
        <f t="shared" si="7162"/>
        <v>n/a</v>
      </c>
      <c r="CR487" s="225" t="str">
        <f t="shared" si="7162"/>
        <v>n/a</v>
      </c>
      <c r="CS487" s="225" t="str">
        <f t="shared" si="7162"/>
        <v>n/a</v>
      </c>
      <c r="CT487" s="225" t="str">
        <f t="shared" si="7162"/>
        <v>n/a</v>
      </c>
      <c r="CU487" s="225" t="str">
        <f t="shared" si="7162"/>
        <v>n/a</v>
      </c>
      <c r="CV487" s="225" t="str">
        <f t="shared" si="7162"/>
        <v>n/a</v>
      </c>
      <c r="CW487" s="225" t="str">
        <f t="shared" si="7162"/>
        <v>n/a</v>
      </c>
      <c r="CX487" s="225" t="str">
        <f t="shared" si="7162"/>
        <v>n/a</v>
      </c>
      <c r="CY487" s="225" t="str">
        <f t="shared" si="7162"/>
        <v>n/a</v>
      </c>
      <c r="CZ487" s="225" t="str">
        <f t="shared" si="7162"/>
        <v>n/a</v>
      </c>
      <c r="DA487" s="225" t="str">
        <f t="shared" si="7162"/>
        <v>n/a</v>
      </c>
      <c r="DB487" s="225" t="str">
        <f t="shared" si="7162"/>
        <v>n/a</v>
      </c>
      <c r="DC487" s="214" t="str">
        <f t="shared" si="7162"/>
        <v>n/a</v>
      </c>
    </row>
    <row r="488" spans="3:107" x14ac:dyDescent="0.3">
      <c r="G488" s="203"/>
      <c r="K488" s="203"/>
      <c r="W488" s="203"/>
      <c r="AI488" s="203"/>
      <c r="AU488" s="203"/>
      <c r="BG488" s="203"/>
      <c r="BS488" s="203"/>
      <c r="CE488" s="203"/>
      <c r="CQ488" s="203"/>
      <c r="DC488" s="203"/>
    </row>
    <row r="489" spans="3:107" x14ac:dyDescent="0.3">
      <c r="C489" s="193" t="str">
        <f>++C$48</f>
        <v>CA EBITDA</v>
      </c>
      <c r="G489" s="400">
        <v>0</v>
      </c>
      <c r="H489" s="400">
        <v>0</v>
      </c>
      <c r="I489" s="400">
        <v>0</v>
      </c>
      <c r="J489" s="400">
        <v>0</v>
      </c>
      <c r="K489" s="400">
        <v>0</v>
      </c>
      <c r="L489" s="400">
        <v>0</v>
      </c>
      <c r="M489" s="400">
        <v>0</v>
      </c>
      <c r="N489" s="400">
        <v>0</v>
      </c>
      <c r="O489" s="400">
        <v>0</v>
      </c>
      <c r="P489" s="400">
        <v>0</v>
      </c>
      <c r="Q489" s="400">
        <v>0</v>
      </c>
      <c r="R489" s="400">
        <v>0</v>
      </c>
      <c r="S489" s="400">
        <v>0</v>
      </c>
      <c r="T489" s="400">
        <v>0</v>
      </c>
      <c r="U489" s="400">
        <v>0</v>
      </c>
      <c r="V489" s="400">
        <v>0</v>
      </c>
      <c r="W489" s="400">
        <v>0</v>
      </c>
      <c r="X489" s="400">
        <v>0</v>
      </c>
      <c r="Y489" s="400">
        <v>0</v>
      </c>
      <c r="Z489" s="400">
        <v>0</v>
      </c>
      <c r="AA489" s="400">
        <v>0</v>
      </c>
      <c r="AB489" s="400">
        <v>0</v>
      </c>
      <c r="AC489" s="400">
        <v>0</v>
      </c>
      <c r="AD489" s="400">
        <v>0</v>
      </c>
      <c r="AE489" s="400">
        <v>0</v>
      </c>
      <c r="AF489" s="400">
        <v>0</v>
      </c>
      <c r="AG489" s="400">
        <v>0</v>
      </c>
      <c r="AH489" s="400">
        <v>0</v>
      </c>
      <c r="AI489" s="400">
        <v>0</v>
      </c>
      <c r="AJ489" s="400">
        <v>0</v>
      </c>
      <c r="AK489" s="400">
        <v>0</v>
      </c>
      <c r="AL489" s="400">
        <v>0</v>
      </c>
      <c r="AM489" s="400">
        <v>0</v>
      </c>
      <c r="AN489" s="400">
        <v>0</v>
      </c>
      <c r="AO489" s="400">
        <v>0</v>
      </c>
      <c r="AP489" s="400">
        <v>0</v>
      </c>
      <c r="AQ489" s="400">
        <v>0</v>
      </c>
      <c r="AR489" s="400">
        <v>0</v>
      </c>
      <c r="AS489" s="400">
        <v>0</v>
      </c>
      <c r="AT489" s="400">
        <v>0</v>
      </c>
      <c r="AU489" s="400">
        <v>0</v>
      </c>
      <c r="AV489" s="400">
        <v>0</v>
      </c>
      <c r="AW489" s="400">
        <v>0</v>
      </c>
      <c r="AX489" s="400">
        <v>0</v>
      </c>
      <c r="AY489" s="400">
        <v>0</v>
      </c>
      <c r="AZ489" s="400">
        <v>0</v>
      </c>
      <c r="BA489" s="400">
        <v>0</v>
      </c>
      <c r="BB489" s="400">
        <v>0</v>
      </c>
      <c r="BC489" s="400">
        <v>0</v>
      </c>
      <c r="BD489" s="400">
        <v>0</v>
      </c>
      <c r="BE489" s="400">
        <v>0</v>
      </c>
      <c r="BF489" s="400">
        <v>0</v>
      </c>
      <c r="BG489" s="400">
        <v>0</v>
      </c>
      <c r="BH489" s="400">
        <v>0</v>
      </c>
      <c r="BI489" s="400">
        <v>0</v>
      </c>
      <c r="BJ489" s="400">
        <v>0</v>
      </c>
      <c r="BK489" s="400">
        <v>0</v>
      </c>
      <c r="BL489" s="400">
        <v>0</v>
      </c>
      <c r="BM489" s="400">
        <v>0</v>
      </c>
      <c r="BN489" s="400">
        <v>0</v>
      </c>
      <c r="BO489" s="400">
        <v>0</v>
      </c>
      <c r="BP489" s="400">
        <v>0</v>
      </c>
      <c r="BQ489" s="400">
        <v>0</v>
      </c>
      <c r="BR489" s="400">
        <v>0</v>
      </c>
      <c r="BS489" s="400">
        <v>0</v>
      </c>
      <c r="BT489" s="400">
        <v>0</v>
      </c>
      <c r="BU489" s="400">
        <v>0</v>
      </c>
      <c r="BV489" s="400">
        <v>0</v>
      </c>
      <c r="BW489" s="400">
        <v>0</v>
      </c>
      <c r="BX489" s="400">
        <v>0</v>
      </c>
      <c r="BY489" s="400">
        <v>0</v>
      </c>
      <c r="BZ489" s="400">
        <v>0</v>
      </c>
      <c r="CA489" s="400">
        <v>0</v>
      </c>
      <c r="CB489" s="400">
        <v>0</v>
      </c>
      <c r="CC489" s="400">
        <v>0</v>
      </c>
      <c r="CD489" s="400">
        <v>0</v>
      </c>
      <c r="CE489" s="400">
        <v>0</v>
      </c>
      <c r="CF489" s="400">
        <v>0</v>
      </c>
      <c r="CG489" s="400">
        <v>0</v>
      </c>
      <c r="CH489" s="400">
        <v>0</v>
      </c>
      <c r="CI489" s="400">
        <v>0</v>
      </c>
      <c r="CJ489" s="400">
        <v>0</v>
      </c>
      <c r="CK489" s="400">
        <v>0</v>
      </c>
      <c r="CL489" s="400">
        <v>0</v>
      </c>
      <c r="CM489" s="400">
        <v>0</v>
      </c>
      <c r="CN489" s="400">
        <v>0</v>
      </c>
      <c r="CO489" s="400">
        <v>0</v>
      </c>
      <c r="CP489" s="400">
        <v>0</v>
      </c>
      <c r="CQ489" s="400">
        <v>0</v>
      </c>
      <c r="CR489" s="400">
        <v>0</v>
      </c>
      <c r="CS489" s="400">
        <v>0</v>
      </c>
      <c r="CT489" s="400">
        <v>0</v>
      </c>
      <c r="CU489" s="400">
        <v>0</v>
      </c>
      <c r="CV489" s="400">
        <v>0</v>
      </c>
      <c r="CW489" s="400">
        <v>0</v>
      </c>
      <c r="CX489" s="400">
        <v>0</v>
      </c>
      <c r="CY489" s="400">
        <v>0</v>
      </c>
      <c r="CZ489" s="400">
        <v>0</v>
      </c>
      <c r="DA489" s="400">
        <v>0</v>
      </c>
      <c r="DB489" s="400">
        <v>0</v>
      </c>
      <c r="DC489" s="400">
        <v>0</v>
      </c>
    </row>
    <row r="490" spans="3:107" x14ac:dyDescent="0.3">
      <c r="C490" s="321" t="str">
        <f>++C$49</f>
        <v>% margin</v>
      </c>
      <c r="G490" s="214" t="str">
        <f t="shared" ref="G490:AL490" si="7163">++IFERROR(G489/G451,"n/a")</f>
        <v>n/a</v>
      </c>
      <c r="H490" s="225" t="str">
        <f t="shared" si="7163"/>
        <v>n/a</v>
      </c>
      <c r="I490" s="225" t="str">
        <f t="shared" si="7163"/>
        <v>n/a</v>
      </c>
      <c r="J490" s="225" t="str">
        <f t="shared" si="7163"/>
        <v>n/a</v>
      </c>
      <c r="K490" s="214" t="str">
        <f t="shared" si="7163"/>
        <v>n/a</v>
      </c>
      <c r="L490" s="225" t="str">
        <f t="shared" si="7163"/>
        <v>n/a</v>
      </c>
      <c r="M490" s="225" t="str">
        <f t="shared" si="7163"/>
        <v>n/a</v>
      </c>
      <c r="N490" s="225" t="str">
        <f t="shared" si="7163"/>
        <v>n/a</v>
      </c>
      <c r="O490" s="225" t="str">
        <f t="shared" si="7163"/>
        <v>n/a</v>
      </c>
      <c r="P490" s="225" t="str">
        <f t="shared" si="7163"/>
        <v>n/a</v>
      </c>
      <c r="Q490" s="225" t="str">
        <f t="shared" si="7163"/>
        <v>n/a</v>
      </c>
      <c r="R490" s="225" t="str">
        <f t="shared" si="7163"/>
        <v>n/a</v>
      </c>
      <c r="S490" s="225" t="str">
        <f t="shared" si="7163"/>
        <v>n/a</v>
      </c>
      <c r="T490" s="225" t="str">
        <f t="shared" si="7163"/>
        <v>n/a</v>
      </c>
      <c r="U490" s="225" t="str">
        <f t="shared" si="7163"/>
        <v>n/a</v>
      </c>
      <c r="V490" s="225" t="str">
        <f t="shared" si="7163"/>
        <v>n/a</v>
      </c>
      <c r="W490" s="214" t="str">
        <f t="shared" si="7163"/>
        <v>n/a</v>
      </c>
      <c r="X490" s="225" t="str">
        <f t="shared" si="7163"/>
        <v>n/a</v>
      </c>
      <c r="Y490" s="225" t="str">
        <f t="shared" si="7163"/>
        <v>n/a</v>
      </c>
      <c r="Z490" s="225" t="str">
        <f t="shared" si="7163"/>
        <v>n/a</v>
      </c>
      <c r="AA490" s="225" t="str">
        <f t="shared" si="7163"/>
        <v>n/a</v>
      </c>
      <c r="AB490" s="225" t="str">
        <f t="shared" si="7163"/>
        <v>n/a</v>
      </c>
      <c r="AC490" s="225" t="str">
        <f t="shared" si="7163"/>
        <v>n/a</v>
      </c>
      <c r="AD490" s="225" t="str">
        <f t="shared" si="7163"/>
        <v>n/a</v>
      </c>
      <c r="AE490" s="225" t="str">
        <f t="shared" si="7163"/>
        <v>n/a</v>
      </c>
      <c r="AF490" s="225" t="str">
        <f t="shared" si="7163"/>
        <v>n/a</v>
      </c>
      <c r="AG490" s="225" t="str">
        <f t="shared" si="7163"/>
        <v>n/a</v>
      </c>
      <c r="AH490" s="225" t="str">
        <f t="shared" si="7163"/>
        <v>n/a</v>
      </c>
      <c r="AI490" s="214" t="str">
        <f t="shared" si="7163"/>
        <v>n/a</v>
      </c>
      <c r="AJ490" s="225" t="str">
        <f t="shared" si="7163"/>
        <v>n/a</v>
      </c>
      <c r="AK490" s="225" t="str">
        <f t="shared" si="7163"/>
        <v>n/a</v>
      </c>
      <c r="AL490" s="225" t="str">
        <f t="shared" si="7163"/>
        <v>n/a</v>
      </c>
      <c r="AM490" s="225" t="str">
        <f t="shared" ref="AM490:BR490" si="7164">++IFERROR(AM489/AM451,"n/a")</f>
        <v>n/a</v>
      </c>
      <c r="AN490" s="225" t="str">
        <f t="shared" si="7164"/>
        <v>n/a</v>
      </c>
      <c r="AO490" s="225" t="str">
        <f t="shared" si="7164"/>
        <v>n/a</v>
      </c>
      <c r="AP490" s="225" t="str">
        <f t="shared" si="7164"/>
        <v>n/a</v>
      </c>
      <c r="AQ490" s="225" t="str">
        <f t="shared" si="7164"/>
        <v>n/a</v>
      </c>
      <c r="AR490" s="225" t="str">
        <f t="shared" si="7164"/>
        <v>n/a</v>
      </c>
      <c r="AS490" s="225" t="str">
        <f t="shared" si="7164"/>
        <v>n/a</v>
      </c>
      <c r="AT490" s="225" t="str">
        <f t="shared" si="7164"/>
        <v>n/a</v>
      </c>
      <c r="AU490" s="214" t="str">
        <f t="shared" si="7164"/>
        <v>n/a</v>
      </c>
      <c r="AV490" s="225" t="str">
        <f t="shared" si="7164"/>
        <v>n/a</v>
      </c>
      <c r="AW490" s="225" t="str">
        <f t="shared" si="7164"/>
        <v>n/a</v>
      </c>
      <c r="AX490" s="225" t="str">
        <f t="shared" si="7164"/>
        <v>n/a</v>
      </c>
      <c r="AY490" s="225" t="str">
        <f t="shared" si="7164"/>
        <v>n/a</v>
      </c>
      <c r="AZ490" s="225" t="str">
        <f t="shared" si="7164"/>
        <v>n/a</v>
      </c>
      <c r="BA490" s="225" t="str">
        <f t="shared" si="7164"/>
        <v>n/a</v>
      </c>
      <c r="BB490" s="225" t="str">
        <f t="shared" si="7164"/>
        <v>n/a</v>
      </c>
      <c r="BC490" s="225" t="str">
        <f t="shared" si="7164"/>
        <v>n/a</v>
      </c>
      <c r="BD490" s="225" t="str">
        <f t="shared" si="7164"/>
        <v>n/a</v>
      </c>
      <c r="BE490" s="225" t="str">
        <f t="shared" si="7164"/>
        <v>n/a</v>
      </c>
      <c r="BF490" s="225" t="str">
        <f t="shared" si="7164"/>
        <v>n/a</v>
      </c>
      <c r="BG490" s="214" t="str">
        <f t="shared" si="7164"/>
        <v>n/a</v>
      </c>
      <c r="BH490" s="225" t="str">
        <f t="shared" si="7164"/>
        <v>n/a</v>
      </c>
      <c r="BI490" s="225" t="str">
        <f t="shared" si="7164"/>
        <v>n/a</v>
      </c>
      <c r="BJ490" s="225" t="str">
        <f t="shared" si="7164"/>
        <v>n/a</v>
      </c>
      <c r="BK490" s="225" t="str">
        <f t="shared" si="7164"/>
        <v>n/a</v>
      </c>
      <c r="BL490" s="225" t="str">
        <f t="shared" si="7164"/>
        <v>n/a</v>
      </c>
      <c r="BM490" s="225" t="str">
        <f t="shared" si="7164"/>
        <v>n/a</v>
      </c>
      <c r="BN490" s="225" t="str">
        <f t="shared" si="7164"/>
        <v>n/a</v>
      </c>
      <c r="BO490" s="225" t="str">
        <f t="shared" si="7164"/>
        <v>n/a</v>
      </c>
      <c r="BP490" s="225" t="str">
        <f t="shared" si="7164"/>
        <v>n/a</v>
      </c>
      <c r="BQ490" s="225" t="str">
        <f t="shared" si="7164"/>
        <v>n/a</v>
      </c>
      <c r="BR490" s="225" t="str">
        <f t="shared" si="7164"/>
        <v>n/a</v>
      </c>
      <c r="BS490" s="214" t="str">
        <f t="shared" ref="BS490:CX490" si="7165">++IFERROR(BS489/BS451,"n/a")</f>
        <v>n/a</v>
      </c>
      <c r="BT490" s="225" t="str">
        <f t="shared" si="7165"/>
        <v>n/a</v>
      </c>
      <c r="BU490" s="225" t="str">
        <f t="shared" si="7165"/>
        <v>n/a</v>
      </c>
      <c r="BV490" s="225" t="str">
        <f t="shared" si="7165"/>
        <v>n/a</v>
      </c>
      <c r="BW490" s="225" t="str">
        <f t="shared" si="7165"/>
        <v>n/a</v>
      </c>
      <c r="BX490" s="225" t="str">
        <f t="shared" si="7165"/>
        <v>n/a</v>
      </c>
      <c r="BY490" s="225" t="str">
        <f t="shared" si="7165"/>
        <v>n/a</v>
      </c>
      <c r="BZ490" s="225" t="str">
        <f t="shared" si="7165"/>
        <v>n/a</v>
      </c>
      <c r="CA490" s="225" t="str">
        <f t="shared" si="7165"/>
        <v>n/a</v>
      </c>
      <c r="CB490" s="225" t="str">
        <f t="shared" si="7165"/>
        <v>n/a</v>
      </c>
      <c r="CC490" s="225" t="str">
        <f t="shared" si="7165"/>
        <v>n/a</v>
      </c>
      <c r="CD490" s="225" t="str">
        <f t="shared" si="7165"/>
        <v>n/a</v>
      </c>
      <c r="CE490" s="214" t="str">
        <f t="shared" si="7165"/>
        <v>n/a</v>
      </c>
      <c r="CF490" s="225" t="str">
        <f t="shared" si="7165"/>
        <v>n/a</v>
      </c>
      <c r="CG490" s="225" t="str">
        <f t="shared" si="7165"/>
        <v>n/a</v>
      </c>
      <c r="CH490" s="225" t="str">
        <f t="shared" si="7165"/>
        <v>n/a</v>
      </c>
      <c r="CI490" s="225" t="str">
        <f t="shared" si="7165"/>
        <v>n/a</v>
      </c>
      <c r="CJ490" s="225" t="str">
        <f t="shared" si="7165"/>
        <v>n/a</v>
      </c>
      <c r="CK490" s="225" t="str">
        <f t="shared" si="7165"/>
        <v>n/a</v>
      </c>
      <c r="CL490" s="225" t="str">
        <f t="shared" si="7165"/>
        <v>n/a</v>
      </c>
      <c r="CM490" s="225" t="str">
        <f t="shared" si="7165"/>
        <v>n/a</v>
      </c>
      <c r="CN490" s="225" t="str">
        <f t="shared" si="7165"/>
        <v>n/a</v>
      </c>
      <c r="CO490" s="225" t="str">
        <f t="shared" si="7165"/>
        <v>n/a</v>
      </c>
      <c r="CP490" s="225" t="str">
        <f t="shared" si="7165"/>
        <v>n/a</v>
      </c>
      <c r="CQ490" s="214" t="str">
        <f t="shared" si="7165"/>
        <v>n/a</v>
      </c>
      <c r="CR490" s="225" t="str">
        <f t="shared" si="7165"/>
        <v>n/a</v>
      </c>
      <c r="CS490" s="225" t="str">
        <f t="shared" si="7165"/>
        <v>n/a</v>
      </c>
      <c r="CT490" s="225" t="str">
        <f t="shared" si="7165"/>
        <v>n/a</v>
      </c>
      <c r="CU490" s="225" t="str">
        <f t="shared" si="7165"/>
        <v>n/a</v>
      </c>
      <c r="CV490" s="225" t="str">
        <f t="shared" si="7165"/>
        <v>n/a</v>
      </c>
      <c r="CW490" s="225" t="str">
        <f t="shared" si="7165"/>
        <v>n/a</v>
      </c>
      <c r="CX490" s="225" t="str">
        <f t="shared" si="7165"/>
        <v>n/a</v>
      </c>
      <c r="CY490" s="225" t="str">
        <f t="shared" ref="CY490:ED490" si="7166">++IFERROR(CY489/CY451,"n/a")</f>
        <v>n/a</v>
      </c>
      <c r="CZ490" s="225" t="str">
        <f t="shared" si="7166"/>
        <v>n/a</v>
      </c>
      <c r="DA490" s="225" t="str">
        <f t="shared" si="7166"/>
        <v>n/a</v>
      </c>
      <c r="DB490" s="225" t="str">
        <f t="shared" si="7166"/>
        <v>n/a</v>
      </c>
      <c r="DC490" s="214" t="str">
        <f t="shared" si="7166"/>
        <v>n/a</v>
      </c>
    </row>
    <row r="491" spans="3:107" x14ac:dyDescent="0.3">
      <c r="C491" s="321" t="str">
        <f>++C$50</f>
        <v>% y/y</v>
      </c>
      <c r="G491" s="122" t="s">
        <v>47</v>
      </c>
      <c r="H491" s="122" t="s">
        <v>47</v>
      </c>
      <c r="I491" s="122" t="s">
        <v>47</v>
      </c>
      <c r="J491" s="122" t="s">
        <v>47</v>
      </c>
      <c r="K491" s="214" t="str">
        <f>++IFERROR(K489/G244-1,"n/a")</f>
        <v>n/a</v>
      </c>
      <c r="L491" s="122" t="s">
        <v>47</v>
      </c>
      <c r="M491" s="122" t="s">
        <v>47</v>
      </c>
      <c r="N491" s="225" t="str">
        <f>++IFERROR(N489/H244-1,"n/a")</f>
        <v>n/a</v>
      </c>
      <c r="O491" s="122" t="s">
        <v>47</v>
      </c>
      <c r="P491" s="122" t="s">
        <v>47</v>
      </c>
      <c r="Q491" s="225" t="str">
        <f>++IFERROR(Q489/I244-1,"n/a")</f>
        <v>n/a</v>
      </c>
      <c r="R491" s="122" t="s">
        <v>47</v>
      </c>
      <c r="S491" s="122" t="s">
        <v>47</v>
      </c>
      <c r="T491" s="225" t="str">
        <f>++IFERROR(T489/J244-1,"n/a")</f>
        <v>n/a</v>
      </c>
      <c r="U491" s="122" t="s">
        <v>47</v>
      </c>
      <c r="V491" s="122" t="s">
        <v>47</v>
      </c>
      <c r="W491" s="214" t="str">
        <f t="shared" ref="W491:BB491" si="7167">++IFERROR(W489/K244-1,"n/a")</f>
        <v>n/a</v>
      </c>
      <c r="X491" s="225" t="str">
        <f t="shared" si="7167"/>
        <v>n/a</v>
      </c>
      <c r="Y491" s="225" t="str">
        <f t="shared" si="7167"/>
        <v>n/a</v>
      </c>
      <c r="Z491" s="225" t="str">
        <f t="shared" si="7167"/>
        <v>n/a</v>
      </c>
      <c r="AA491" s="225" t="str">
        <f t="shared" si="7167"/>
        <v>n/a</v>
      </c>
      <c r="AB491" s="225" t="str">
        <f t="shared" si="7167"/>
        <v>n/a</v>
      </c>
      <c r="AC491" s="225" t="str">
        <f t="shared" si="7167"/>
        <v>n/a</v>
      </c>
      <c r="AD491" s="225" t="str">
        <f t="shared" si="7167"/>
        <v>n/a</v>
      </c>
      <c r="AE491" s="225" t="str">
        <f t="shared" si="7167"/>
        <v>n/a</v>
      </c>
      <c r="AF491" s="225" t="str">
        <f t="shared" si="7167"/>
        <v>n/a</v>
      </c>
      <c r="AG491" s="225" t="str">
        <f t="shared" si="7167"/>
        <v>n/a</v>
      </c>
      <c r="AH491" s="225" t="str">
        <f t="shared" si="7167"/>
        <v>n/a</v>
      </c>
      <c r="AI491" s="214" t="str">
        <f t="shared" si="7167"/>
        <v>n/a</v>
      </c>
      <c r="AJ491" s="225" t="str">
        <f t="shared" si="7167"/>
        <v>n/a</v>
      </c>
      <c r="AK491" s="225" t="str">
        <f t="shared" si="7167"/>
        <v>n/a</v>
      </c>
      <c r="AL491" s="225" t="str">
        <f t="shared" si="7167"/>
        <v>n/a</v>
      </c>
      <c r="AM491" s="225" t="str">
        <f t="shared" si="7167"/>
        <v>n/a</v>
      </c>
      <c r="AN491" s="225" t="str">
        <f t="shared" si="7167"/>
        <v>n/a</v>
      </c>
      <c r="AO491" s="225" t="str">
        <f t="shared" si="7167"/>
        <v>n/a</v>
      </c>
      <c r="AP491" s="225" t="str">
        <f t="shared" si="7167"/>
        <v>n/a</v>
      </c>
      <c r="AQ491" s="225" t="str">
        <f t="shared" si="7167"/>
        <v>n/a</v>
      </c>
      <c r="AR491" s="225" t="str">
        <f t="shared" si="7167"/>
        <v>n/a</v>
      </c>
      <c r="AS491" s="225" t="str">
        <f t="shared" si="7167"/>
        <v>n/a</v>
      </c>
      <c r="AT491" s="225" t="str">
        <f t="shared" si="7167"/>
        <v>n/a</v>
      </c>
      <c r="AU491" s="214" t="str">
        <f t="shared" si="7167"/>
        <v>n/a</v>
      </c>
      <c r="AV491" s="225" t="str">
        <f t="shared" si="7167"/>
        <v>n/a</v>
      </c>
      <c r="AW491" s="225" t="str">
        <f t="shared" si="7167"/>
        <v>n/a</v>
      </c>
      <c r="AX491" s="225" t="str">
        <f t="shared" si="7167"/>
        <v>n/a</v>
      </c>
      <c r="AY491" s="225" t="str">
        <f t="shared" si="7167"/>
        <v>n/a</v>
      </c>
      <c r="AZ491" s="225" t="str">
        <f t="shared" si="7167"/>
        <v>n/a</v>
      </c>
      <c r="BA491" s="225" t="str">
        <f t="shared" si="7167"/>
        <v>n/a</v>
      </c>
      <c r="BB491" s="225" t="str">
        <f t="shared" si="7167"/>
        <v>n/a</v>
      </c>
      <c r="BC491" s="225" t="str">
        <f t="shared" ref="BC491:CH491" si="7168">++IFERROR(BC489/AQ244-1,"n/a")</f>
        <v>n/a</v>
      </c>
      <c r="BD491" s="225" t="str">
        <f t="shared" si="7168"/>
        <v>n/a</v>
      </c>
      <c r="BE491" s="225" t="str">
        <f t="shared" si="7168"/>
        <v>n/a</v>
      </c>
      <c r="BF491" s="225" t="str">
        <f t="shared" si="7168"/>
        <v>n/a</v>
      </c>
      <c r="BG491" s="214" t="str">
        <f t="shared" si="7168"/>
        <v>n/a</v>
      </c>
      <c r="BH491" s="225" t="str">
        <f t="shared" si="7168"/>
        <v>n/a</v>
      </c>
      <c r="BI491" s="225" t="str">
        <f t="shared" si="7168"/>
        <v>n/a</v>
      </c>
      <c r="BJ491" s="225" t="str">
        <f t="shared" si="7168"/>
        <v>n/a</v>
      </c>
      <c r="BK491" s="225" t="str">
        <f t="shared" si="7168"/>
        <v>n/a</v>
      </c>
      <c r="BL491" s="225" t="str">
        <f t="shared" si="7168"/>
        <v>n/a</v>
      </c>
      <c r="BM491" s="225" t="str">
        <f t="shared" si="7168"/>
        <v>n/a</v>
      </c>
      <c r="BN491" s="225" t="str">
        <f t="shared" si="7168"/>
        <v>n/a</v>
      </c>
      <c r="BO491" s="225" t="str">
        <f t="shared" si="7168"/>
        <v>n/a</v>
      </c>
      <c r="BP491" s="225" t="str">
        <f t="shared" si="7168"/>
        <v>n/a</v>
      </c>
      <c r="BQ491" s="225" t="str">
        <f t="shared" si="7168"/>
        <v>n/a</v>
      </c>
      <c r="BR491" s="225" t="str">
        <f t="shared" si="7168"/>
        <v>n/a</v>
      </c>
      <c r="BS491" s="214" t="str">
        <f t="shared" si="7168"/>
        <v>n/a</v>
      </c>
      <c r="BT491" s="225" t="str">
        <f t="shared" si="7168"/>
        <v>n/a</v>
      </c>
      <c r="BU491" s="225" t="str">
        <f t="shared" si="7168"/>
        <v>n/a</v>
      </c>
      <c r="BV491" s="225" t="str">
        <f t="shared" si="7168"/>
        <v>n/a</v>
      </c>
      <c r="BW491" s="225" t="str">
        <f t="shared" si="7168"/>
        <v>n/a</v>
      </c>
      <c r="BX491" s="225" t="str">
        <f t="shared" si="7168"/>
        <v>n/a</v>
      </c>
      <c r="BY491" s="225" t="str">
        <f t="shared" si="7168"/>
        <v>n/a</v>
      </c>
      <c r="BZ491" s="225" t="str">
        <f t="shared" si="7168"/>
        <v>n/a</v>
      </c>
      <c r="CA491" s="225" t="str">
        <f t="shared" si="7168"/>
        <v>n/a</v>
      </c>
      <c r="CB491" s="225" t="str">
        <f t="shared" si="7168"/>
        <v>n/a</v>
      </c>
      <c r="CC491" s="225" t="str">
        <f t="shared" si="7168"/>
        <v>n/a</v>
      </c>
      <c r="CD491" s="225" t="str">
        <f t="shared" si="7168"/>
        <v>n/a</v>
      </c>
      <c r="CE491" s="214" t="str">
        <f t="shared" si="7168"/>
        <v>n/a</v>
      </c>
      <c r="CF491" s="225" t="str">
        <f t="shared" si="7168"/>
        <v>n/a</v>
      </c>
      <c r="CG491" s="225" t="str">
        <f t="shared" si="7168"/>
        <v>n/a</v>
      </c>
      <c r="CH491" s="225" t="str">
        <f t="shared" si="7168"/>
        <v>n/a</v>
      </c>
      <c r="CI491" s="225" t="str">
        <f t="shared" ref="CI491:DN491" si="7169">++IFERROR(CI489/BW244-1,"n/a")</f>
        <v>n/a</v>
      </c>
      <c r="CJ491" s="225" t="str">
        <f t="shared" si="7169"/>
        <v>n/a</v>
      </c>
      <c r="CK491" s="225" t="str">
        <f t="shared" si="7169"/>
        <v>n/a</v>
      </c>
      <c r="CL491" s="225" t="str">
        <f t="shared" si="7169"/>
        <v>n/a</v>
      </c>
      <c r="CM491" s="225" t="str">
        <f t="shared" si="7169"/>
        <v>n/a</v>
      </c>
      <c r="CN491" s="225" t="str">
        <f t="shared" si="7169"/>
        <v>n/a</v>
      </c>
      <c r="CO491" s="225" t="str">
        <f t="shared" si="7169"/>
        <v>n/a</v>
      </c>
      <c r="CP491" s="225" t="str">
        <f t="shared" si="7169"/>
        <v>n/a</v>
      </c>
      <c r="CQ491" s="214" t="str">
        <f t="shared" si="7169"/>
        <v>n/a</v>
      </c>
      <c r="CR491" s="225" t="str">
        <f t="shared" si="7169"/>
        <v>n/a</v>
      </c>
      <c r="CS491" s="225" t="str">
        <f t="shared" si="7169"/>
        <v>n/a</v>
      </c>
      <c r="CT491" s="225" t="str">
        <f t="shared" si="7169"/>
        <v>n/a</v>
      </c>
      <c r="CU491" s="225" t="str">
        <f t="shared" si="7169"/>
        <v>n/a</v>
      </c>
      <c r="CV491" s="225" t="str">
        <f t="shared" si="7169"/>
        <v>n/a</v>
      </c>
      <c r="CW491" s="225" t="str">
        <f t="shared" si="7169"/>
        <v>n/a</v>
      </c>
      <c r="CX491" s="225" t="str">
        <f t="shared" si="7169"/>
        <v>n/a</v>
      </c>
      <c r="CY491" s="225" t="str">
        <f t="shared" si="7169"/>
        <v>n/a</v>
      </c>
      <c r="CZ491" s="225" t="str">
        <f t="shared" si="7169"/>
        <v>n/a</v>
      </c>
      <c r="DA491" s="225" t="str">
        <f t="shared" si="7169"/>
        <v>n/a</v>
      </c>
      <c r="DB491" s="225" t="str">
        <f t="shared" si="7169"/>
        <v>n/a</v>
      </c>
      <c r="DC491" s="214" t="str">
        <f t="shared" si="7169"/>
        <v>n/a</v>
      </c>
    </row>
    <row r="492" spans="3:107" x14ac:dyDescent="0.3">
      <c r="G492" s="203"/>
      <c r="K492" s="203"/>
      <c r="W492" s="203"/>
      <c r="AI492" s="203"/>
      <c r="AU492" s="203"/>
      <c r="BG492" s="203"/>
      <c r="BS492" s="203"/>
      <c r="CE492" s="203"/>
      <c r="CQ492" s="203"/>
      <c r="DC492" s="203"/>
    </row>
    <row r="493" spans="3:107" x14ac:dyDescent="0.3">
      <c r="C493" s="193" t="str">
        <f>++C$52</f>
        <v>Capital Expenditures</v>
      </c>
      <c r="G493" s="400">
        <v>0</v>
      </c>
      <c r="H493" s="400">
        <v>0</v>
      </c>
      <c r="I493" s="400">
        <v>0</v>
      </c>
      <c r="J493" s="400">
        <v>0</v>
      </c>
      <c r="K493" s="400">
        <v>0</v>
      </c>
      <c r="L493" s="400">
        <v>0</v>
      </c>
      <c r="M493" s="400">
        <v>0</v>
      </c>
      <c r="N493" s="400">
        <v>0</v>
      </c>
      <c r="O493" s="400">
        <v>0</v>
      </c>
      <c r="P493" s="400">
        <v>0</v>
      </c>
      <c r="Q493" s="400">
        <v>0</v>
      </c>
      <c r="R493" s="400">
        <v>0</v>
      </c>
      <c r="S493" s="400">
        <v>0</v>
      </c>
      <c r="T493" s="400">
        <v>0</v>
      </c>
      <c r="U493" s="400">
        <v>0</v>
      </c>
      <c r="V493" s="400">
        <v>0</v>
      </c>
      <c r="W493" s="400">
        <v>0</v>
      </c>
      <c r="X493" s="400">
        <v>0</v>
      </c>
      <c r="Y493" s="400">
        <v>0</v>
      </c>
      <c r="Z493" s="400">
        <v>0</v>
      </c>
      <c r="AA493" s="400">
        <v>0</v>
      </c>
      <c r="AB493" s="400">
        <v>0</v>
      </c>
      <c r="AC493" s="400">
        <v>0</v>
      </c>
      <c r="AD493" s="400">
        <v>0</v>
      </c>
      <c r="AE493" s="400">
        <v>0</v>
      </c>
      <c r="AF493" s="400">
        <v>0</v>
      </c>
      <c r="AG493" s="400">
        <v>0</v>
      </c>
      <c r="AH493" s="400">
        <v>0</v>
      </c>
      <c r="AI493" s="400">
        <v>0</v>
      </c>
      <c r="AJ493" s="400">
        <v>0</v>
      </c>
      <c r="AK493" s="400">
        <v>0</v>
      </c>
      <c r="AL493" s="400">
        <v>0</v>
      </c>
      <c r="AM493" s="400">
        <v>0</v>
      </c>
      <c r="AN493" s="400">
        <v>0</v>
      </c>
      <c r="AO493" s="400">
        <v>0</v>
      </c>
      <c r="AP493" s="400">
        <v>0</v>
      </c>
      <c r="AQ493" s="400">
        <v>0</v>
      </c>
      <c r="AR493" s="400">
        <v>0</v>
      </c>
      <c r="AS493" s="400">
        <v>0</v>
      </c>
      <c r="AT493" s="400">
        <v>0</v>
      </c>
      <c r="AU493" s="400">
        <v>0</v>
      </c>
      <c r="AV493" s="400">
        <v>0</v>
      </c>
      <c r="AW493" s="400">
        <v>0</v>
      </c>
      <c r="AX493" s="400">
        <v>0</v>
      </c>
      <c r="AY493" s="400">
        <v>0</v>
      </c>
      <c r="AZ493" s="400">
        <v>0</v>
      </c>
      <c r="BA493" s="400">
        <v>0</v>
      </c>
      <c r="BB493" s="400">
        <v>0</v>
      </c>
      <c r="BC493" s="400">
        <v>0</v>
      </c>
      <c r="BD493" s="400">
        <v>0</v>
      </c>
      <c r="BE493" s="400">
        <v>0</v>
      </c>
      <c r="BF493" s="400">
        <v>0</v>
      </c>
      <c r="BG493" s="400">
        <v>0</v>
      </c>
      <c r="BH493" s="400">
        <v>0</v>
      </c>
      <c r="BI493" s="400">
        <v>0</v>
      </c>
      <c r="BJ493" s="400">
        <v>0</v>
      </c>
      <c r="BK493" s="400">
        <v>0</v>
      </c>
      <c r="BL493" s="400">
        <v>0</v>
      </c>
      <c r="BM493" s="400">
        <v>0</v>
      </c>
      <c r="BN493" s="400">
        <v>0</v>
      </c>
      <c r="BO493" s="400">
        <v>0</v>
      </c>
      <c r="BP493" s="400">
        <v>0</v>
      </c>
      <c r="BQ493" s="400">
        <v>0</v>
      </c>
      <c r="BR493" s="400">
        <v>0</v>
      </c>
      <c r="BS493" s="400">
        <v>0</v>
      </c>
      <c r="BT493" s="400">
        <v>0</v>
      </c>
      <c r="BU493" s="400">
        <v>0</v>
      </c>
      <c r="BV493" s="400">
        <v>0</v>
      </c>
      <c r="BW493" s="400">
        <v>0</v>
      </c>
      <c r="BX493" s="400">
        <v>0</v>
      </c>
      <c r="BY493" s="400">
        <v>0</v>
      </c>
      <c r="BZ493" s="400">
        <v>0</v>
      </c>
      <c r="CA493" s="400">
        <v>0</v>
      </c>
      <c r="CB493" s="400">
        <v>0</v>
      </c>
      <c r="CC493" s="400">
        <v>0</v>
      </c>
      <c r="CD493" s="400">
        <v>0</v>
      </c>
      <c r="CE493" s="400">
        <v>0</v>
      </c>
      <c r="CF493" s="400">
        <v>0</v>
      </c>
      <c r="CG493" s="400">
        <v>0</v>
      </c>
      <c r="CH493" s="400">
        <v>0</v>
      </c>
      <c r="CI493" s="400">
        <v>0</v>
      </c>
      <c r="CJ493" s="400">
        <v>0</v>
      </c>
      <c r="CK493" s="400">
        <v>0</v>
      </c>
      <c r="CL493" s="400">
        <v>0</v>
      </c>
      <c r="CM493" s="400">
        <v>0</v>
      </c>
      <c r="CN493" s="400">
        <v>0</v>
      </c>
      <c r="CO493" s="400">
        <v>0</v>
      </c>
      <c r="CP493" s="400">
        <v>0</v>
      </c>
      <c r="CQ493" s="400">
        <v>0</v>
      </c>
      <c r="CR493" s="400">
        <v>0</v>
      </c>
      <c r="CS493" s="400">
        <v>0</v>
      </c>
      <c r="CT493" s="400">
        <v>0</v>
      </c>
      <c r="CU493" s="400">
        <v>0</v>
      </c>
      <c r="CV493" s="400">
        <v>0</v>
      </c>
      <c r="CW493" s="400">
        <v>0</v>
      </c>
      <c r="CX493" s="400">
        <v>0</v>
      </c>
      <c r="CY493" s="400">
        <v>0</v>
      </c>
      <c r="CZ493" s="400">
        <v>0</v>
      </c>
      <c r="DA493" s="400">
        <v>0</v>
      </c>
      <c r="DB493" s="400">
        <v>0</v>
      </c>
      <c r="DC493" s="400">
        <v>0</v>
      </c>
    </row>
    <row r="494" spans="3:107" x14ac:dyDescent="0.3">
      <c r="C494" s="321" t="str">
        <f>++C$53</f>
        <v>% revenue</v>
      </c>
      <c r="G494" s="214" t="str">
        <f t="shared" ref="G494:AL494" si="7170">++IFERROR(G493/G451,"n/a")</f>
        <v>n/a</v>
      </c>
      <c r="H494" s="225" t="str">
        <f t="shared" si="7170"/>
        <v>n/a</v>
      </c>
      <c r="I494" s="225" t="str">
        <f t="shared" si="7170"/>
        <v>n/a</v>
      </c>
      <c r="J494" s="225" t="str">
        <f t="shared" si="7170"/>
        <v>n/a</v>
      </c>
      <c r="K494" s="214" t="str">
        <f t="shared" si="7170"/>
        <v>n/a</v>
      </c>
      <c r="L494" s="225" t="str">
        <f t="shared" si="7170"/>
        <v>n/a</v>
      </c>
      <c r="M494" s="225" t="str">
        <f t="shared" si="7170"/>
        <v>n/a</v>
      </c>
      <c r="N494" s="225" t="str">
        <f t="shared" si="7170"/>
        <v>n/a</v>
      </c>
      <c r="O494" s="225" t="str">
        <f t="shared" si="7170"/>
        <v>n/a</v>
      </c>
      <c r="P494" s="225" t="str">
        <f t="shared" si="7170"/>
        <v>n/a</v>
      </c>
      <c r="Q494" s="225" t="str">
        <f t="shared" si="7170"/>
        <v>n/a</v>
      </c>
      <c r="R494" s="225" t="str">
        <f t="shared" si="7170"/>
        <v>n/a</v>
      </c>
      <c r="S494" s="225" t="str">
        <f t="shared" si="7170"/>
        <v>n/a</v>
      </c>
      <c r="T494" s="225" t="str">
        <f t="shared" si="7170"/>
        <v>n/a</v>
      </c>
      <c r="U494" s="225" t="str">
        <f t="shared" si="7170"/>
        <v>n/a</v>
      </c>
      <c r="V494" s="225" t="str">
        <f t="shared" si="7170"/>
        <v>n/a</v>
      </c>
      <c r="W494" s="214" t="str">
        <f t="shared" si="7170"/>
        <v>n/a</v>
      </c>
      <c r="X494" s="225" t="str">
        <f t="shared" si="7170"/>
        <v>n/a</v>
      </c>
      <c r="Y494" s="225" t="str">
        <f t="shared" si="7170"/>
        <v>n/a</v>
      </c>
      <c r="Z494" s="225" t="str">
        <f t="shared" si="7170"/>
        <v>n/a</v>
      </c>
      <c r="AA494" s="225" t="str">
        <f t="shared" si="7170"/>
        <v>n/a</v>
      </c>
      <c r="AB494" s="225" t="str">
        <f t="shared" si="7170"/>
        <v>n/a</v>
      </c>
      <c r="AC494" s="225" t="str">
        <f t="shared" si="7170"/>
        <v>n/a</v>
      </c>
      <c r="AD494" s="225" t="str">
        <f t="shared" si="7170"/>
        <v>n/a</v>
      </c>
      <c r="AE494" s="225" t="str">
        <f t="shared" si="7170"/>
        <v>n/a</v>
      </c>
      <c r="AF494" s="225" t="str">
        <f t="shared" si="7170"/>
        <v>n/a</v>
      </c>
      <c r="AG494" s="225" t="str">
        <f t="shared" si="7170"/>
        <v>n/a</v>
      </c>
      <c r="AH494" s="225" t="str">
        <f t="shared" si="7170"/>
        <v>n/a</v>
      </c>
      <c r="AI494" s="214" t="str">
        <f t="shared" si="7170"/>
        <v>n/a</v>
      </c>
      <c r="AJ494" s="225" t="str">
        <f t="shared" si="7170"/>
        <v>n/a</v>
      </c>
      <c r="AK494" s="225" t="str">
        <f t="shared" si="7170"/>
        <v>n/a</v>
      </c>
      <c r="AL494" s="225" t="str">
        <f t="shared" si="7170"/>
        <v>n/a</v>
      </c>
      <c r="AM494" s="225" t="str">
        <f t="shared" ref="AM494:BR494" si="7171">++IFERROR(AM493/AM451,"n/a")</f>
        <v>n/a</v>
      </c>
      <c r="AN494" s="225" t="str">
        <f t="shared" si="7171"/>
        <v>n/a</v>
      </c>
      <c r="AO494" s="225" t="str">
        <f t="shared" si="7171"/>
        <v>n/a</v>
      </c>
      <c r="AP494" s="225" t="str">
        <f t="shared" si="7171"/>
        <v>n/a</v>
      </c>
      <c r="AQ494" s="225" t="str">
        <f t="shared" si="7171"/>
        <v>n/a</v>
      </c>
      <c r="AR494" s="225" t="str">
        <f t="shared" si="7171"/>
        <v>n/a</v>
      </c>
      <c r="AS494" s="225" t="str">
        <f t="shared" si="7171"/>
        <v>n/a</v>
      </c>
      <c r="AT494" s="225" t="str">
        <f t="shared" si="7171"/>
        <v>n/a</v>
      </c>
      <c r="AU494" s="214" t="str">
        <f t="shared" si="7171"/>
        <v>n/a</v>
      </c>
      <c r="AV494" s="225" t="str">
        <f t="shared" si="7171"/>
        <v>n/a</v>
      </c>
      <c r="AW494" s="225" t="str">
        <f t="shared" si="7171"/>
        <v>n/a</v>
      </c>
      <c r="AX494" s="225" t="str">
        <f t="shared" si="7171"/>
        <v>n/a</v>
      </c>
      <c r="AY494" s="225" t="str">
        <f t="shared" si="7171"/>
        <v>n/a</v>
      </c>
      <c r="AZ494" s="225" t="str">
        <f t="shared" si="7171"/>
        <v>n/a</v>
      </c>
      <c r="BA494" s="225" t="str">
        <f t="shared" si="7171"/>
        <v>n/a</v>
      </c>
      <c r="BB494" s="225" t="str">
        <f t="shared" si="7171"/>
        <v>n/a</v>
      </c>
      <c r="BC494" s="225" t="str">
        <f t="shared" si="7171"/>
        <v>n/a</v>
      </c>
      <c r="BD494" s="225" t="str">
        <f t="shared" si="7171"/>
        <v>n/a</v>
      </c>
      <c r="BE494" s="225" t="str">
        <f t="shared" si="7171"/>
        <v>n/a</v>
      </c>
      <c r="BF494" s="225" t="str">
        <f t="shared" si="7171"/>
        <v>n/a</v>
      </c>
      <c r="BG494" s="214" t="str">
        <f t="shared" si="7171"/>
        <v>n/a</v>
      </c>
      <c r="BH494" s="225" t="str">
        <f t="shared" si="7171"/>
        <v>n/a</v>
      </c>
      <c r="BI494" s="225" t="str">
        <f t="shared" si="7171"/>
        <v>n/a</v>
      </c>
      <c r="BJ494" s="225" t="str">
        <f t="shared" si="7171"/>
        <v>n/a</v>
      </c>
      <c r="BK494" s="225" t="str">
        <f t="shared" si="7171"/>
        <v>n/a</v>
      </c>
      <c r="BL494" s="225" t="str">
        <f t="shared" si="7171"/>
        <v>n/a</v>
      </c>
      <c r="BM494" s="225" t="str">
        <f t="shared" si="7171"/>
        <v>n/a</v>
      </c>
      <c r="BN494" s="225" t="str">
        <f t="shared" si="7171"/>
        <v>n/a</v>
      </c>
      <c r="BO494" s="225" t="str">
        <f t="shared" si="7171"/>
        <v>n/a</v>
      </c>
      <c r="BP494" s="225" t="str">
        <f t="shared" si="7171"/>
        <v>n/a</v>
      </c>
      <c r="BQ494" s="225" t="str">
        <f t="shared" si="7171"/>
        <v>n/a</v>
      </c>
      <c r="BR494" s="225" t="str">
        <f t="shared" si="7171"/>
        <v>n/a</v>
      </c>
      <c r="BS494" s="214" t="str">
        <f t="shared" ref="BS494:CX494" si="7172">++IFERROR(BS493/BS451,"n/a")</f>
        <v>n/a</v>
      </c>
      <c r="BT494" s="225" t="str">
        <f t="shared" si="7172"/>
        <v>n/a</v>
      </c>
      <c r="BU494" s="225" t="str">
        <f t="shared" si="7172"/>
        <v>n/a</v>
      </c>
      <c r="BV494" s="225" t="str">
        <f t="shared" si="7172"/>
        <v>n/a</v>
      </c>
      <c r="BW494" s="225" t="str">
        <f t="shared" si="7172"/>
        <v>n/a</v>
      </c>
      <c r="BX494" s="225" t="str">
        <f t="shared" si="7172"/>
        <v>n/a</v>
      </c>
      <c r="BY494" s="225" t="str">
        <f t="shared" si="7172"/>
        <v>n/a</v>
      </c>
      <c r="BZ494" s="225" t="str">
        <f t="shared" si="7172"/>
        <v>n/a</v>
      </c>
      <c r="CA494" s="225" t="str">
        <f t="shared" si="7172"/>
        <v>n/a</v>
      </c>
      <c r="CB494" s="225" t="str">
        <f t="shared" si="7172"/>
        <v>n/a</v>
      </c>
      <c r="CC494" s="225" t="str">
        <f t="shared" si="7172"/>
        <v>n/a</v>
      </c>
      <c r="CD494" s="225" t="str">
        <f t="shared" si="7172"/>
        <v>n/a</v>
      </c>
      <c r="CE494" s="214" t="str">
        <f t="shared" si="7172"/>
        <v>n/a</v>
      </c>
      <c r="CF494" s="225" t="str">
        <f t="shared" si="7172"/>
        <v>n/a</v>
      </c>
      <c r="CG494" s="225" t="str">
        <f t="shared" si="7172"/>
        <v>n/a</v>
      </c>
      <c r="CH494" s="225" t="str">
        <f t="shared" si="7172"/>
        <v>n/a</v>
      </c>
      <c r="CI494" s="225" t="str">
        <f t="shared" si="7172"/>
        <v>n/a</v>
      </c>
      <c r="CJ494" s="225" t="str">
        <f t="shared" si="7172"/>
        <v>n/a</v>
      </c>
      <c r="CK494" s="225" t="str">
        <f t="shared" si="7172"/>
        <v>n/a</v>
      </c>
      <c r="CL494" s="225" t="str">
        <f t="shared" si="7172"/>
        <v>n/a</v>
      </c>
      <c r="CM494" s="225" t="str">
        <f t="shared" si="7172"/>
        <v>n/a</v>
      </c>
      <c r="CN494" s="225" t="str">
        <f t="shared" si="7172"/>
        <v>n/a</v>
      </c>
      <c r="CO494" s="225" t="str">
        <f t="shared" si="7172"/>
        <v>n/a</v>
      </c>
      <c r="CP494" s="225" t="str">
        <f t="shared" si="7172"/>
        <v>n/a</v>
      </c>
      <c r="CQ494" s="214" t="str">
        <f t="shared" si="7172"/>
        <v>n/a</v>
      </c>
      <c r="CR494" s="225" t="str">
        <f t="shared" si="7172"/>
        <v>n/a</v>
      </c>
      <c r="CS494" s="225" t="str">
        <f t="shared" si="7172"/>
        <v>n/a</v>
      </c>
      <c r="CT494" s="225" t="str">
        <f t="shared" si="7172"/>
        <v>n/a</v>
      </c>
      <c r="CU494" s="225" t="str">
        <f t="shared" si="7172"/>
        <v>n/a</v>
      </c>
      <c r="CV494" s="225" t="str">
        <f t="shared" si="7172"/>
        <v>n/a</v>
      </c>
      <c r="CW494" s="225" t="str">
        <f t="shared" si="7172"/>
        <v>n/a</v>
      </c>
      <c r="CX494" s="225" t="str">
        <f t="shared" si="7172"/>
        <v>n/a</v>
      </c>
      <c r="CY494" s="225" t="str">
        <f t="shared" ref="CY494:ED494" si="7173">++IFERROR(CY493/CY451,"n/a")</f>
        <v>n/a</v>
      </c>
      <c r="CZ494" s="225" t="str">
        <f t="shared" si="7173"/>
        <v>n/a</v>
      </c>
      <c r="DA494" s="225" t="str">
        <f t="shared" si="7173"/>
        <v>n/a</v>
      </c>
      <c r="DB494" s="225" t="str">
        <f t="shared" si="7173"/>
        <v>n/a</v>
      </c>
      <c r="DC494" s="214" t="str">
        <f t="shared" si="7173"/>
        <v>n/a</v>
      </c>
    </row>
    <row r="495" spans="3:107" x14ac:dyDescent="0.3">
      <c r="C495" s="321" t="str">
        <f>++C$54</f>
        <v>% FCF conversion</v>
      </c>
      <c r="G495" s="214" t="str">
        <f t="shared" ref="G495:AL495" si="7174">++IFERROR((G489-G493)/G489,"n/a")</f>
        <v>n/a</v>
      </c>
      <c r="H495" s="225" t="str">
        <f t="shared" si="7174"/>
        <v>n/a</v>
      </c>
      <c r="I495" s="225" t="str">
        <f t="shared" si="7174"/>
        <v>n/a</v>
      </c>
      <c r="J495" s="225" t="str">
        <f t="shared" si="7174"/>
        <v>n/a</v>
      </c>
      <c r="K495" s="214" t="str">
        <f t="shared" si="7174"/>
        <v>n/a</v>
      </c>
      <c r="L495" s="225" t="str">
        <f t="shared" si="7174"/>
        <v>n/a</v>
      </c>
      <c r="M495" s="225" t="str">
        <f t="shared" si="7174"/>
        <v>n/a</v>
      </c>
      <c r="N495" s="225" t="str">
        <f t="shared" si="7174"/>
        <v>n/a</v>
      </c>
      <c r="O495" s="225" t="str">
        <f t="shared" si="7174"/>
        <v>n/a</v>
      </c>
      <c r="P495" s="225" t="str">
        <f t="shared" si="7174"/>
        <v>n/a</v>
      </c>
      <c r="Q495" s="225" t="str">
        <f t="shared" si="7174"/>
        <v>n/a</v>
      </c>
      <c r="R495" s="225" t="str">
        <f t="shared" si="7174"/>
        <v>n/a</v>
      </c>
      <c r="S495" s="225" t="str">
        <f t="shared" si="7174"/>
        <v>n/a</v>
      </c>
      <c r="T495" s="225" t="str">
        <f t="shared" si="7174"/>
        <v>n/a</v>
      </c>
      <c r="U495" s="225" t="str">
        <f t="shared" si="7174"/>
        <v>n/a</v>
      </c>
      <c r="V495" s="225" t="str">
        <f t="shared" si="7174"/>
        <v>n/a</v>
      </c>
      <c r="W495" s="214" t="str">
        <f t="shared" si="7174"/>
        <v>n/a</v>
      </c>
      <c r="X495" s="225" t="str">
        <f t="shared" si="7174"/>
        <v>n/a</v>
      </c>
      <c r="Y495" s="225" t="str">
        <f t="shared" si="7174"/>
        <v>n/a</v>
      </c>
      <c r="Z495" s="225" t="str">
        <f t="shared" si="7174"/>
        <v>n/a</v>
      </c>
      <c r="AA495" s="225" t="str">
        <f t="shared" si="7174"/>
        <v>n/a</v>
      </c>
      <c r="AB495" s="225" t="str">
        <f t="shared" si="7174"/>
        <v>n/a</v>
      </c>
      <c r="AC495" s="225" t="str">
        <f t="shared" si="7174"/>
        <v>n/a</v>
      </c>
      <c r="AD495" s="225" t="str">
        <f t="shared" si="7174"/>
        <v>n/a</v>
      </c>
      <c r="AE495" s="225" t="str">
        <f t="shared" si="7174"/>
        <v>n/a</v>
      </c>
      <c r="AF495" s="225" t="str">
        <f t="shared" si="7174"/>
        <v>n/a</v>
      </c>
      <c r="AG495" s="225" t="str">
        <f t="shared" si="7174"/>
        <v>n/a</v>
      </c>
      <c r="AH495" s="225" t="str">
        <f t="shared" si="7174"/>
        <v>n/a</v>
      </c>
      <c r="AI495" s="214" t="str">
        <f t="shared" si="7174"/>
        <v>n/a</v>
      </c>
      <c r="AJ495" s="225" t="str">
        <f t="shared" si="7174"/>
        <v>n/a</v>
      </c>
      <c r="AK495" s="225" t="str">
        <f t="shared" si="7174"/>
        <v>n/a</v>
      </c>
      <c r="AL495" s="225" t="str">
        <f t="shared" si="7174"/>
        <v>n/a</v>
      </c>
      <c r="AM495" s="225" t="str">
        <f t="shared" ref="AM495:BR495" si="7175">++IFERROR((AM489-AM493)/AM489,"n/a")</f>
        <v>n/a</v>
      </c>
      <c r="AN495" s="225" t="str">
        <f t="shared" si="7175"/>
        <v>n/a</v>
      </c>
      <c r="AO495" s="225" t="str">
        <f t="shared" si="7175"/>
        <v>n/a</v>
      </c>
      <c r="AP495" s="225" t="str">
        <f t="shared" si="7175"/>
        <v>n/a</v>
      </c>
      <c r="AQ495" s="225" t="str">
        <f t="shared" si="7175"/>
        <v>n/a</v>
      </c>
      <c r="AR495" s="225" t="str">
        <f t="shared" si="7175"/>
        <v>n/a</v>
      </c>
      <c r="AS495" s="225" t="str">
        <f t="shared" si="7175"/>
        <v>n/a</v>
      </c>
      <c r="AT495" s="225" t="str">
        <f t="shared" si="7175"/>
        <v>n/a</v>
      </c>
      <c r="AU495" s="214" t="str">
        <f t="shared" si="7175"/>
        <v>n/a</v>
      </c>
      <c r="AV495" s="225" t="str">
        <f t="shared" si="7175"/>
        <v>n/a</v>
      </c>
      <c r="AW495" s="225" t="str">
        <f t="shared" si="7175"/>
        <v>n/a</v>
      </c>
      <c r="AX495" s="225" t="str">
        <f t="shared" si="7175"/>
        <v>n/a</v>
      </c>
      <c r="AY495" s="225" t="str">
        <f t="shared" si="7175"/>
        <v>n/a</v>
      </c>
      <c r="AZ495" s="225" t="str">
        <f t="shared" si="7175"/>
        <v>n/a</v>
      </c>
      <c r="BA495" s="225" t="str">
        <f t="shared" si="7175"/>
        <v>n/a</v>
      </c>
      <c r="BB495" s="225" t="str">
        <f t="shared" si="7175"/>
        <v>n/a</v>
      </c>
      <c r="BC495" s="225" t="str">
        <f t="shared" si="7175"/>
        <v>n/a</v>
      </c>
      <c r="BD495" s="225" t="str">
        <f t="shared" si="7175"/>
        <v>n/a</v>
      </c>
      <c r="BE495" s="225" t="str">
        <f t="shared" si="7175"/>
        <v>n/a</v>
      </c>
      <c r="BF495" s="225" t="str">
        <f t="shared" si="7175"/>
        <v>n/a</v>
      </c>
      <c r="BG495" s="214" t="str">
        <f t="shared" si="7175"/>
        <v>n/a</v>
      </c>
      <c r="BH495" s="225" t="str">
        <f t="shared" si="7175"/>
        <v>n/a</v>
      </c>
      <c r="BI495" s="225" t="str">
        <f t="shared" si="7175"/>
        <v>n/a</v>
      </c>
      <c r="BJ495" s="225" t="str">
        <f t="shared" si="7175"/>
        <v>n/a</v>
      </c>
      <c r="BK495" s="225" t="str">
        <f t="shared" si="7175"/>
        <v>n/a</v>
      </c>
      <c r="BL495" s="225" t="str">
        <f t="shared" si="7175"/>
        <v>n/a</v>
      </c>
      <c r="BM495" s="225" t="str">
        <f t="shared" si="7175"/>
        <v>n/a</v>
      </c>
      <c r="BN495" s="225" t="str">
        <f t="shared" si="7175"/>
        <v>n/a</v>
      </c>
      <c r="BO495" s="225" t="str">
        <f t="shared" si="7175"/>
        <v>n/a</v>
      </c>
      <c r="BP495" s="225" t="str">
        <f t="shared" si="7175"/>
        <v>n/a</v>
      </c>
      <c r="BQ495" s="225" t="str">
        <f t="shared" si="7175"/>
        <v>n/a</v>
      </c>
      <c r="BR495" s="225" t="str">
        <f t="shared" si="7175"/>
        <v>n/a</v>
      </c>
      <c r="BS495" s="214" t="str">
        <f t="shared" ref="BS495:DC495" si="7176">++IFERROR((BS489-BS493)/BS489,"n/a")</f>
        <v>n/a</v>
      </c>
      <c r="BT495" s="225" t="str">
        <f t="shared" si="7176"/>
        <v>n/a</v>
      </c>
      <c r="BU495" s="225" t="str">
        <f t="shared" si="7176"/>
        <v>n/a</v>
      </c>
      <c r="BV495" s="225" t="str">
        <f t="shared" si="7176"/>
        <v>n/a</v>
      </c>
      <c r="BW495" s="225" t="str">
        <f t="shared" si="7176"/>
        <v>n/a</v>
      </c>
      <c r="BX495" s="225" t="str">
        <f t="shared" si="7176"/>
        <v>n/a</v>
      </c>
      <c r="BY495" s="225" t="str">
        <f t="shared" si="7176"/>
        <v>n/a</v>
      </c>
      <c r="BZ495" s="225" t="str">
        <f t="shared" si="7176"/>
        <v>n/a</v>
      </c>
      <c r="CA495" s="225" t="str">
        <f t="shared" si="7176"/>
        <v>n/a</v>
      </c>
      <c r="CB495" s="225" t="str">
        <f t="shared" si="7176"/>
        <v>n/a</v>
      </c>
      <c r="CC495" s="225" t="str">
        <f t="shared" si="7176"/>
        <v>n/a</v>
      </c>
      <c r="CD495" s="225" t="str">
        <f t="shared" si="7176"/>
        <v>n/a</v>
      </c>
      <c r="CE495" s="214" t="str">
        <f t="shared" si="7176"/>
        <v>n/a</v>
      </c>
      <c r="CF495" s="225" t="str">
        <f t="shared" si="7176"/>
        <v>n/a</v>
      </c>
      <c r="CG495" s="225" t="str">
        <f t="shared" si="7176"/>
        <v>n/a</v>
      </c>
      <c r="CH495" s="225" t="str">
        <f t="shared" si="7176"/>
        <v>n/a</v>
      </c>
      <c r="CI495" s="225" t="str">
        <f t="shared" si="7176"/>
        <v>n/a</v>
      </c>
      <c r="CJ495" s="225" t="str">
        <f t="shared" si="7176"/>
        <v>n/a</v>
      </c>
      <c r="CK495" s="225" t="str">
        <f t="shared" si="7176"/>
        <v>n/a</v>
      </c>
      <c r="CL495" s="225" t="str">
        <f t="shared" si="7176"/>
        <v>n/a</v>
      </c>
      <c r="CM495" s="225" t="str">
        <f t="shared" si="7176"/>
        <v>n/a</v>
      </c>
      <c r="CN495" s="225" t="str">
        <f t="shared" si="7176"/>
        <v>n/a</v>
      </c>
      <c r="CO495" s="225" t="str">
        <f t="shared" si="7176"/>
        <v>n/a</v>
      </c>
      <c r="CP495" s="225" t="str">
        <f t="shared" si="7176"/>
        <v>n/a</v>
      </c>
      <c r="CQ495" s="214" t="str">
        <f t="shared" si="7176"/>
        <v>n/a</v>
      </c>
      <c r="CR495" s="225" t="str">
        <f t="shared" si="7176"/>
        <v>n/a</v>
      </c>
      <c r="CS495" s="225" t="str">
        <f t="shared" si="7176"/>
        <v>n/a</v>
      </c>
      <c r="CT495" s="225" t="str">
        <f t="shared" si="7176"/>
        <v>n/a</v>
      </c>
      <c r="CU495" s="225" t="str">
        <f t="shared" si="7176"/>
        <v>n/a</v>
      </c>
      <c r="CV495" s="225" t="str">
        <f t="shared" si="7176"/>
        <v>n/a</v>
      </c>
      <c r="CW495" s="225" t="str">
        <f t="shared" si="7176"/>
        <v>n/a</v>
      </c>
      <c r="CX495" s="225" t="str">
        <f t="shared" si="7176"/>
        <v>n/a</v>
      </c>
      <c r="CY495" s="225" t="str">
        <f t="shared" si="7176"/>
        <v>n/a</v>
      </c>
      <c r="CZ495" s="225" t="str">
        <f t="shared" si="7176"/>
        <v>n/a</v>
      </c>
      <c r="DA495" s="225" t="str">
        <f t="shared" si="7176"/>
        <v>n/a</v>
      </c>
      <c r="DB495" s="225" t="str">
        <f t="shared" si="7176"/>
        <v>n/a</v>
      </c>
      <c r="DC495" s="214" t="str">
        <f t="shared" si="7176"/>
        <v>n/a</v>
      </c>
    </row>
    <row r="496" spans="3:107" x14ac:dyDescent="0.3">
      <c r="G496" s="203"/>
      <c r="K496" s="203"/>
      <c r="W496" s="203"/>
      <c r="AI496" s="203"/>
      <c r="AU496" s="203"/>
      <c r="BG496" s="203"/>
      <c r="BS496" s="203"/>
      <c r="CE496" s="203"/>
      <c r="CQ496" s="203"/>
      <c r="DC496" s="203"/>
    </row>
    <row r="497" spans="1:107" x14ac:dyDescent="0.3">
      <c r="G497" s="203"/>
      <c r="K497" s="203"/>
      <c r="W497" s="203"/>
      <c r="AI497" s="203"/>
      <c r="AU497" s="203"/>
      <c r="BG497" s="203"/>
      <c r="BS497" s="203"/>
      <c r="CE497" s="203"/>
      <c r="CQ497" s="203"/>
      <c r="DC497" s="203"/>
    </row>
    <row r="498" spans="1:107" x14ac:dyDescent="0.3">
      <c r="A498" s="319"/>
      <c r="B498" s="319" t="s">
        <v>0</v>
      </c>
      <c r="C498" s="166" t="s">
        <v>347</v>
      </c>
      <c r="D498" s="365"/>
      <c r="E498" s="365"/>
      <c r="F498" s="365"/>
      <c r="G498" s="365"/>
      <c r="H498" s="365"/>
      <c r="I498" s="365"/>
      <c r="J498" s="365"/>
      <c r="K498" s="365"/>
      <c r="L498" s="365"/>
      <c r="M498" s="365"/>
      <c r="N498" s="365"/>
      <c r="O498" s="365"/>
      <c r="P498" s="365"/>
      <c r="Q498" s="365"/>
      <c r="R498" s="365"/>
      <c r="S498" s="365"/>
      <c r="T498" s="365"/>
      <c r="U498" s="365"/>
      <c r="V498" s="365"/>
      <c r="W498" s="365"/>
      <c r="X498" s="365"/>
      <c r="Y498" s="365"/>
      <c r="Z498" s="365"/>
      <c r="AA498" s="365"/>
      <c r="AB498" s="365"/>
      <c r="AC498" s="365"/>
      <c r="AD498" s="365"/>
      <c r="AE498" s="365"/>
      <c r="AF498" s="365"/>
      <c r="AG498" s="365"/>
      <c r="AH498" s="365"/>
      <c r="AI498" s="365"/>
      <c r="AJ498" s="365"/>
      <c r="AK498" s="365"/>
      <c r="AL498" s="365"/>
      <c r="AM498" s="365"/>
      <c r="AN498" s="365"/>
      <c r="AO498" s="365"/>
      <c r="AP498" s="365"/>
      <c r="AQ498" s="365"/>
      <c r="AR498" s="365"/>
      <c r="AS498" s="365"/>
      <c r="AT498" s="365"/>
      <c r="AU498" s="365"/>
      <c r="AV498" s="365"/>
      <c r="AW498" s="365"/>
      <c r="AX498" s="365"/>
      <c r="AY498" s="365"/>
      <c r="AZ498" s="365"/>
      <c r="BA498" s="365"/>
      <c r="BB498" s="365"/>
      <c r="BC498" s="365"/>
      <c r="BD498" s="365"/>
      <c r="BE498" s="365"/>
      <c r="BF498" s="365"/>
      <c r="BG498" s="365"/>
      <c r="BH498" s="365"/>
      <c r="BI498" s="365"/>
      <c r="BJ498" s="365"/>
      <c r="BK498" s="365"/>
      <c r="BL498" s="365"/>
      <c r="BM498" s="365"/>
      <c r="BN498" s="365"/>
      <c r="BO498" s="365"/>
      <c r="BP498" s="365"/>
      <c r="BQ498" s="365"/>
      <c r="BR498" s="365"/>
      <c r="BS498" s="365"/>
      <c r="BT498" s="365"/>
      <c r="BU498" s="365"/>
      <c r="BV498" s="365"/>
      <c r="BW498" s="365"/>
      <c r="BX498" s="365"/>
      <c r="BY498" s="365"/>
      <c r="BZ498" s="365"/>
      <c r="CA498" s="365"/>
      <c r="CB498" s="365"/>
      <c r="CC498" s="365"/>
      <c r="CD498" s="365"/>
      <c r="CE498" s="365"/>
      <c r="CF498" s="365"/>
      <c r="CG498" s="365"/>
      <c r="CH498" s="365"/>
      <c r="CI498" s="365"/>
      <c r="CJ498" s="365"/>
      <c r="CK498" s="365"/>
      <c r="CL498" s="365"/>
      <c r="CM498" s="365"/>
      <c r="CN498" s="365"/>
      <c r="CO498" s="365"/>
      <c r="CP498" s="365"/>
      <c r="CQ498" s="365"/>
      <c r="CR498" s="365"/>
      <c r="CS498" s="365"/>
      <c r="CT498" s="365"/>
      <c r="CU498" s="365"/>
      <c r="CV498" s="365"/>
      <c r="CW498" s="365"/>
      <c r="CX498" s="365"/>
      <c r="CY498" s="365"/>
      <c r="CZ498" s="365"/>
      <c r="DA498" s="365"/>
      <c r="DB498" s="365"/>
      <c r="DC498" s="366"/>
    </row>
    <row r="499" spans="1:107" ht="5.15" customHeight="1" x14ac:dyDescent="0.3">
      <c r="G499" s="203"/>
      <c r="K499" s="203"/>
      <c r="W499" s="203"/>
      <c r="AI499" s="203"/>
      <c r="AU499" s="203"/>
      <c r="BG499" s="203"/>
      <c r="BS499" s="203"/>
      <c r="CE499" s="203"/>
      <c r="CQ499" s="203"/>
      <c r="DC499" s="203"/>
    </row>
    <row r="500" spans="1:107" x14ac:dyDescent="0.3">
      <c r="C500" s="193" t="str">
        <f>++C$10</f>
        <v>Revenue</v>
      </c>
      <c r="G500" s="400">
        <v>0</v>
      </c>
      <c r="H500" s="400">
        <v>0</v>
      </c>
      <c r="I500" s="400">
        <v>0</v>
      </c>
      <c r="J500" s="400">
        <v>0</v>
      </c>
      <c r="K500" s="400">
        <v>0</v>
      </c>
      <c r="L500" s="400">
        <v>0</v>
      </c>
      <c r="M500" s="400">
        <v>0</v>
      </c>
      <c r="N500" s="400">
        <v>0</v>
      </c>
      <c r="O500" s="400">
        <v>0</v>
      </c>
      <c r="P500" s="400">
        <v>0</v>
      </c>
      <c r="Q500" s="400">
        <v>0</v>
      </c>
      <c r="R500" s="400">
        <v>0</v>
      </c>
      <c r="S500" s="400">
        <v>0</v>
      </c>
      <c r="T500" s="400">
        <v>0</v>
      </c>
      <c r="U500" s="400">
        <v>0</v>
      </c>
      <c r="V500" s="400">
        <v>0</v>
      </c>
      <c r="W500" s="400">
        <v>0</v>
      </c>
      <c r="X500" s="400">
        <v>0</v>
      </c>
      <c r="Y500" s="400">
        <v>0</v>
      </c>
      <c r="Z500" s="400">
        <v>0</v>
      </c>
      <c r="AA500" s="400">
        <v>0</v>
      </c>
      <c r="AB500" s="400">
        <v>0</v>
      </c>
      <c r="AC500" s="400">
        <v>0</v>
      </c>
      <c r="AD500" s="400">
        <v>0</v>
      </c>
      <c r="AE500" s="400">
        <v>0</v>
      </c>
      <c r="AF500" s="400">
        <v>0</v>
      </c>
      <c r="AG500" s="400">
        <v>0</v>
      </c>
      <c r="AH500" s="400">
        <v>0</v>
      </c>
      <c r="AI500" s="400">
        <v>0</v>
      </c>
      <c r="AJ500" s="400">
        <v>0</v>
      </c>
      <c r="AK500" s="400">
        <v>0</v>
      </c>
      <c r="AL500" s="400">
        <v>0</v>
      </c>
      <c r="AM500" s="400">
        <v>0</v>
      </c>
      <c r="AN500" s="400">
        <v>0</v>
      </c>
      <c r="AO500" s="400">
        <v>0</v>
      </c>
      <c r="AP500" s="400">
        <v>0</v>
      </c>
      <c r="AQ500" s="400">
        <v>0</v>
      </c>
      <c r="AR500" s="400">
        <v>0</v>
      </c>
      <c r="AS500" s="400">
        <v>0</v>
      </c>
      <c r="AT500" s="400">
        <v>0</v>
      </c>
      <c r="AU500" s="400">
        <v>0</v>
      </c>
      <c r="AV500" s="400">
        <v>0</v>
      </c>
      <c r="AW500" s="400">
        <v>0</v>
      </c>
      <c r="AX500" s="400">
        <v>0</v>
      </c>
      <c r="AY500" s="400">
        <v>0</v>
      </c>
      <c r="AZ500" s="400">
        <v>0</v>
      </c>
      <c r="BA500" s="400">
        <v>0</v>
      </c>
      <c r="BB500" s="400">
        <v>0</v>
      </c>
      <c r="BC500" s="400">
        <v>0</v>
      </c>
      <c r="BD500" s="400">
        <v>0</v>
      </c>
      <c r="BE500" s="400">
        <v>0</v>
      </c>
      <c r="BF500" s="400">
        <v>0</v>
      </c>
      <c r="BG500" s="400">
        <v>0</v>
      </c>
      <c r="BH500" s="400">
        <v>0</v>
      </c>
      <c r="BI500" s="400">
        <v>0</v>
      </c>
      <c r="BJ500" s="400">
        <v>0</v>
      </c>
      <c r="BK500" s="400">
        <v>0</v>
      </c>
      <c r="BL500" s="400">
        <v>0</v>
      </c>
      <c r="BM500" s="400">
        <v>0</v>
      </c>
      <c r="BN500" s="400">
        <v>0</v>
      </c>
      <c r="BO500" s="400">
        <v>0</v>
      </c>
      <c r="BP500" s="400">
        <v>0</v>
      </c>
      <c r="BQ500" s="400">
        <v>0</v>
      </c>
      <c r="BR500" s="400">
        <v>0</v>
      </c>
      <c r="BS500" s="400">
        <v>0</v>
      </c>
      <c r="BT500" s="400">
        <v>0</v>
      </c>
      <c r="BU500" s="400">
        <v>0</v>
      </c>
      <c r="BV500" s="400">
        <v>0</v>
      </c>
      <c r="BW500" s="400">
        <v>0</v>
      </c>
      <c r="BX500" s="400">
        <v>0</v>
      </c>
      <c r="BY500" s="400">
        <v>0</v>
      </c>
      <c r="BZ500" s="400">
        <v>0</v>
      </c>
      <c r="CA500" s="400">
        <v>0</v>
      </c>
      <c r="CB500" s="400">
        <v>0</v>
      </c>
      <c r="CC500" s="400">
        <v>0</v>
      </c>
      <c r="CD500" s="400">
        <v>0</v>
      </c>
      <c r="CE500" s="400">
        <v>0</v>
      </c>
      <c r="CF500" s="400">
        <v>0</v>
      </c>
      <c r="CG500" s="400">
        <v>0</v>
      </c>
      <c r="CH500" s="400">
        <v>0</v>
      </c>
      <c r="CI500" s="400">
        <v>0</v>
      </c>
      <c r="CJ500" s="400">
        <v>0</v>
      </c>
      <c r="CK500" s="400">
        <v>0</v>
      </c>
      <c r="CL500" s="400">
        <v>0</v>
      </c>
      <c r="CM500" s="400">
        <v>0</v>
      </c>
      <c r="CN500" s="400">
        <v>0</v>
      </c>
      <c r="CO500" s="400">
        <v>0</v>
      </c>
      <c r="CP500" s="400">
        <v>0</v>
      </c>
      <c r="CQ500" s="400">
        <v>0</v>
      </c>
      <c r="CR500" s="400">
        <v>0</v>
      </c>
      <c r="CS500" s="400">
        <v>0</v>
      </c>
      <c r="CT500" s="400">
        <v>0</v>
      </c>
      <c r="CU500" s="400">
        <v>0</v>
      </c>
      <c r="CV500" s="400">
        <v>0</v>
      </c>
      <c r="CW500" s="400">
        <v>0</v>
      </c>
      <c r="CX500" s="400">
        <v>0</v>
      </c>
      <c r="CY500" s="400">
        <v>0</v>
      </c>
      <c r="CZ500" s="400">
        <v>0</v>
      </c>
      <c r="DA500" s="400">
        <v>0</v>
      </c>
      <c r="DB500" s="400">
        <v>0</v>
      </c>
      <c r="DC500" s="400">
        <v>0</v>
      </c>
    </row>
    <row r="501" spans="1:107" x14ac:dyDescent="0.3">
      <c r="C501" s="321" t="str">
        <f>++C$11</f>
        <v>% y/y</v>
      </c>
      <c r="G501" s="122" t="s">
        <v>47</v>
      </c>
      <c r="H501" s="122" t="s">
        <v>47</v>
      </c>
      <c r="I501" s="122" t="s">
        <v>47</v>
      </c>
      <c r="J501" s="122" t="s">
        <v>47</v>
      </c>
      <c r="K501" s="214" t="str">
        <f>++IFERROR(K500/G255-1,"n/a")</f>
        <v>n/a</v>
      </c>
      <c r="L501" s="122" t="s">
        <v>47</v>
      </c>
      <c r="M501" s="122" t="s">
        <v>47</v>
      </c>
      <c r="N501" s="225" t="str">
        <f>++IFERROR(N500/H255-1,"n/a")</f>
        <v>n/a</v>
      </c>
      <c r="O501" s="122" t="s">
        <v>47</v>
      </c>
      <c r="P501" s="122" t="s">
        <v>47</v>
      </c>
      <c r="Q501" s="225" t="str">
        <f>++IFERROR(Q500/I255-1,"n/a")</f>
        <v>n/a</v>
      </c>
      <c r="R501" s="122" t="s">
        <v>47</v>
      </c>
      <c r="S501" s="122" t="s">
        <v>47</v>
      </c>
      <c r="T501" s="225" t="str">
        <f>++IFERROR(T500/J255-1,"n/a")</f>
        <v>n/a</v>
      </c>
      <c r="U501" s="122" t="s">
        <v>47</v>
      </c>
      <c r="V501" s="122" t="s">
        <v>47</v>
      </c>
      <c r="W501" s="214" t="str">
        <f t="shared" ref="W501:BB501" si="7177">++IFERROR(W500/K255-1,"n/a")</f>
        <v>n/a</v>
      </c>
      <c r="X501" s="225" t="str">
        <f t="shared" si="7177"/>
        <v>n/a</v>
      </c>
      <c r="Y501" s="225" t="str">
        <f t="shared" si="7177"/>
        <v>n/a</v>
      </c>
      <c r="Z501" s="225" t="str">
        <f t="shared" si="7177"/>
        <v>n/a</v>
      </c>
      <c r="AA501" s="225" t="str">
        <f t="shared" si="7177"/>
        <v>n/a</v>
      </c>
      <c r="AB501" s="225" t="str">
        <f t="shared" si="7177"/>
        <v>n/a</v>
      </c>
      <c r="AC501" s="225" t="str">
        <f t="shared" si="7177"/>
        <v>n/a</v>
      </c>
      <c r="AD501" s="225" t="str">
        <f t="shared" si="7177"/>
        <v>n/a</v>
      </c>
      <c r="AE501" s="225" t="str">
        <f t="shared" si="7177"/>
        <v>n/a</v>
      </c>
      <c r="AF501" s="225" t="str">
        <f t="shared" si="7177"/>
        <v>n/a</v>
      </c>
      <c r="AG501" s="225" t="str">
        <f t="shared" si="7177"/>
        <v>n/a</v>
      </c>
      <c r="AH501" s="225" t="str">
        <f t="shared" si="7177"/>
        <v>n/a</v>
      </c>
      <c r="AI501" s="214" t="str">
        <f t="shared" si="7177"/>
        <v>n/a</v>
      </c>
      <c r="AJ501" s="225" t="str">
        <f t="shared" si="7177"/>
        <v>n/a</v>
      </c>
      <c r="AK501" s="225" t="str">
        <f t="shared" si="7177"/>
        <v>n/a</v>
      </c>
      <c r="AL501" s="225" t="str">
        <f t="shared" si="7177"/>
        <v>n/a</v>
      </c>
      <c r="AM501" s="225" t="str">
        <f t="shared" si="7177"/>
        <v>n/a</v>
      </c>
      <c r="AN501" s="225" t="str">
        <f t="shared" si="7177"/>
        <v>n/a</v>
      </c>
      <c r="AO501" s="225" t="str">
        <f t="shared" si="7177"/>
        <v>n/a</v>
      </c>
      <c r="AP501" s="225" t="str">
        <f t="shared" si="7177"/>
        <v>n/a</v>
      </c>
      <c r="AQ501" s="225" t="str">
        <f t="shared" si="7177"/>
        <v>n/a</v>
      </c>
      <c r="AR501" s="225" t="str">
        <f t="shared" si="7177"/>
        <v>n/a</v>
      </c>
      <c r="AS501" s="225" t="str">
        <f t="shared" si="7177"/>
        <v>n/a</v>
      </c>
      <c r="AT501" s="225" t="str">
        <f t="shared" si="7177"/>
        <v>n/a</v>
      </c>
      <c r="AU501" s="214" t="str">
        <f t="shared" si="7177"/>
        <v>n/a</v>
      </c>
      <c r="AV501" s="225" t="str">
        <f t="shared" si="7177"/>
        <v>n/a</v>
      </c>
      <c r="AW501" s="225" t="str">
        <f t="shared" si="7177"/>
        <v>n/a</v>
      </c>
      <c r="AX501" s="225" t="str">
        <f t="shared" si="7177"/>
        <v>n/a</v>
      </c>
      <c r="AY501" s="225" t="str">
        <f t="shared" si="7177"/>
        <v>n/a</v>
      </c>
      <c r="AZ501" s="225" t="str">
        <f t="shared" si="7177"/>
        <v>n/a</v>
      </c>
      <c r="BA501" s="225" t="str">
        <f t="shared" si="7177"/>
        <v>n/a</v>
      </c>
      <c r="BB501" s="225" t="str">
        <f t="shared" si="7177"/>
        <v>n/a</v>
      </c>
      <c r="BC501" s="225" t="str">
        <f t="shared" ref="BC501:CH501" si="7178">++IFERROR(BC500/AQ255-1,"n/a")</f>
        <v>n/a</v>
      </c>
      <c r="BD501" s="225" t="str">
        <f t="shared" si="7178"/>
        <v>n/a</v>
      </c>
      <c r="BE501" s="225" t="str">
        <f t="shared" si="7178"/>
        <v>n/a</v>
      </c>
      <c r="BF501" s="225" t="str">
        <f t="shared" si="7178"/>
        <v>n/a</v>
      </c>
      <c r="BG501" s="214" t="str">
        <f t="shared" si="7178"/>
        <v>n/a</v>
      </c>
      <c r="BH501" s="225" t="str">
        <f t="shared" si="7178"/>
        <v>n/a</v>
      </c>
      <c r="BI501" s="225" t="str">
        <f t="shared" si="7178"/>
        <v>n/a</v>
      </c>
      <c r="BJ501" s="225" t="str">
        <f t="shared" si="7178"/>
        <v>n/a</v>
      </c>
      <c r="BK501" s="225" t="str">
        <f t="shared" si="7178"/>
        <v>n/a</v>
      </c>
      <c r="BL501" s="225" t="str">
        <f t="shared" si="7178"/>
        <v>n/a</v>
      </c>
      <c r="BM501" s="225" t="str">
        <f t="shared" si="7178"/>
        <v>n/a</v>
      </c>
      <c r="BN501" s="225" t="str">
        <f t="shared" si="7178"/>
        <v>n/a</v>
      </c>
      <c r="BO501" s="225" t="str">
        <f t="shared" si="7178"/>
        <v>n/a</v>
      </c>
      <c r="BP501" s="225" t="str">
        <f t="shared" si="7178"/>
        <v>n/a</v>
      </c>
      <c r="BQ501" s="225" t="str">
        <f t="shared" si="7178"/>
        <v>n/a</v>
      </c>
      <c r="BR501" s="225" t="str">
        <f t="shared" si="7178"/>
        <v>n/a</v>
      </c>
      <c r="BS501" s="214" t="str">
        <f t="shared" si="7178"/>
        <v>n/a</v>
      </c>
      <c r="BT501" s="225" t="str">
        <f t="shared" si="7178"/>
        <v>n/a</v>
      </c>
      <c r="BU501" s="225" t="str">
        <f t="shared" si="7178"/>
        <v>n/a</v>
      </c>
      <c r="BV501" s="225" t="str">
        <f t="shared" si="7178"/>
        <v>n/a</v>
      </c>
      <c r="BW501" s="225" t="str">
        <f t="shared" si="7178"/>
        <v>n/a</v>
      </c>
      <c r="BX501" s="225" t="str">
        <f t="shared" si="7178"/>
        <v>n/a</v>
      </c>
      <c r="BY501" s="225" t="str">
        <f t="shared" si="7178"/>
        <v>n/a</v>
      </c>
      <c r="BZ501" s="225" t="str">
        <f t="shared" si="7178"/>
        <v>n/a</v>
      </c>
      <c r="CA501" s="225" t="str">
        <f t="shared" si="7178"/>
        <v>n/a</v>
      </c>
      <c r="CB501" s="225" t="str">
        <f t="shared" si="7178"/>
        <v>n/a</v>
      </c>
      <c r="CC501" s="225" t="str">
        <f t="shared" si="7178"/>
        <v>n/a</v>
      </c>
      <c r="CD501" s="225" t="str">
        <f t="shared" si="7178"/>
        <v>n/a</v>
      </c>
      <c r="CE501" s="214" t="str">
        <f t="shared" si="7178"/>
        <v>n/a</v>
      </c>
      <c r="CF501" s="225" t="str">
        <f t="shared" si="7178"/>
        <v>n/a</v>
      </c>
      <c r="CG501" s="225" t="str">
        <f t="shared" si="7178"/>
        <v>n/a</v>
      </c>
      <c r="CH501" s="225" t="str">
        <f t="shared" si="7178"/>
        <v>n/a</v>
      </c>
      <c r="CI501" s="225" t="str">
        <f t="shared" ref="CI501:DN501" si="7179">++IFERROR(CI500/BW255-1,"n/a")</f>
        <v>n/a</v>
      </c>
      <c r="CJ501" s="225" t="str">
        <f t="shared" si="7179"/>
        <v>n/a</v>
      </c>
      <c r="CK501" s="225" t="str">
        <f t="shared" si="7179"/>
        <v>n/a</v>
      </c>
      <c r="CL501" s="225" t="str">
        <f t="shared" si="7179"/>
        <v>n/a</v>
      </c>
      <c r="CM501" s="225" t="str">
        <f t="shared" si="7179"/>
        <v>n/a</v>
      </c>
      <c r="CN501" s="225" t="str">
        <f t="shared" si="7179"/>
        <v>n/a</v>
      </c>
      <c r="CO501" s="225" t="str">
        <f t="shared" si="7179"/>
        <v>n/a</v>
      </c>
      <c r="CP501" s="225" t="str">
        <f t="shared" si="7179"/>
        <v>n/a</v>
      </c>
      <c r="CQ501" s="214" t="str">
        <f t="shared" si="7179"/>
        <v>n/a</v>
      </c>
      <c r="CR501" s="225" t="str">
        <f t="shared" si="7179"/>
        <v>n/a</v>
      </c>
      <c r="CS501" s="225" t="str">
        <f t="shared" si="7179"/>
        <v>n/a</v>
      </c>
      <c r="CT501" s="225" t="str">
        <f t="shared" si="7179"/>
        <v>n/a</v>
      </c>
      <c r="CU501" s="225" t="str">
        <f t="shared" si="7179"/>
        <v>n/a</v>
      </c>
      <c r="CV501" s="225" t="str">
        <f t="shared" si="7179"/>
        <v>n/a</v>
      </c>
      <c r="CW501" s="225" t="str">
        <f t="shared" si="7179"/>
        <v>n/a</v>
      </c>
      <c r="CX501" s="225" t="str">
        <f t="shared" si="7179"/>
        <v>n/a</v>
      </c>
      <c r="CY501" s="225" t="str">
        <f t="shared" si="7179"/>
        <v>n/a</v>
      </c>
      <c r="CZ501" s="225" t="str">
        <f t="shared" si="7179"/>
        <v>n/a</v>
      </c>
      <c r="DA501" s="225" t="str">
        <f t="shared" si="7179"/>
        <v>n/a</v>
      </c>
      <c r="DB501" s="225" t="str">
        <f t="shared" si="7179"/>
        <v>n/a</v>
      </c>
      <c r="DC501" s="214" t="str">
        <f t="shared" si="7179"/>
        <v>n/a</v>
      </c>
    </row>
    <row r="502" spans="1:107" x14ac:dyDescent="0.3">
      <c r="G502" s="203"/>
      <c r="K502" s="203"/>
      <c r="W502" s="203"/>
      <c r="AI502" s="203"/>
      <c r="AU502" s="203"/>
      <c r="BG502" s="203"/>
      <c r="BS502" s="203"/>
      <c r="CE502" s="203"/>
      <c r="CQ502" s="203"/>
      <c r="DC502" s="203"/>
    </row>
    <row r="503" spans="1:107" x14ac:dyDescent="0.3">
      <c r="C503" s="193" t="str">
        <f>++C$13</f>
        <v>Gross Profit</v>
      </c>
      <c r="G503" s="400">
        <v>0</v>
      </c>
      <c r="H503" s="400">
        <v>0</v>
      </c>
      <c r="I503" s="400">
        <v>0</v>
      </c>
      <c r="J503" s="400">
        <v>0</v>
      </c>
      <c r="K503" s="400">
        <v>0</v>
      </c>
      <c r="L503" s="400">
        <v>0</v>
      </c>
      <c r="M503" s="400">
        <v>0</v>
      </c>
      <c r="N503" s="400">
        <v>0</v>
      </c>
      <c r="O503" s="400">
        <v>0</v>
      </c>
      <c r="P503" s="400">
        <v>0</v>
      </c>
      <c r="Q503" s="400">
        <v>0</v>
      </c>
      <c r="R503" s="400">
        <v>0</v>
      </c>
      <c r="S503" s="400">
        <v>0</v>
      </c>
      <c r="T503" s="400">
        <v>0</v>
      </c>
      <c r="U503" s="400">
        <v>0</v>
      </c>
      <c r="V503" s="400">
        <v>0</v>
      </c>
      <c r="W503" s="400">
        <v>0</v>
      </c>
      <c r="X503" s="400">
        <v>0</v>
      </c>
      <c r="Y503" s="400">
        <v>0</v>
      </c>
      <c r="Z503" s="400">
        <v>0</v>
      </c>
      <c r="AA503" s="400">
        <v>0</v>
      </c>
      <c r="AB503" s="400">
        <v>0</v>
      </c>
      <c r="AC503" s="400">
        <v>0</v>
      </c>
      <c r="AD503" s="400">
        <v>0</v>
      </c>
      <c r="AE503" s="400">
        <v>0</v>
      </c>
      <c r="AF503" s="400">
        <v>0</v>
      </c>
      <c r="AG503" s="400">
        <v>0</v>
      </c>
      <c r="AH503" s="400">
        <v>0</v>
      </c>
      <c r="AI503" s="400">
        <v>0</v>
      </c>
      <c r="AJ503" s="400">
        <v>0</v>
      </c>
      <c r="AK503" s="400">
        <v>0</v>
      </c>
      <c r="AL503" s="400">
        <v>0</v>
      </c>
      <c r="AM503" s="400">
        <v>0</v>
      </c>
      <c r="AN503" s="400">
        <v>0</v>
      </c>
      <c r="AO503" s="400">
        <v>0</v>
      </c>
      <c r="AP503" s="400">
        <v>0</v>
      </c>
      <c r="AQ503" s="400">
        <v>0</v>
      </c>
      <c r="AR503" s="400">
        <v>0</v>
      </c>
      <c r="AS503" s="400">
        <v>0</v>
      </c>
      <c r="AT503" s="400">
        <v>0</v>
      </c>
      <c r="AU503" s="400">
        <v>0</v>
      </c>
      <c r="AV503" s="400">
        <v>0</v>
      </c>
      <c r="AW503" s="400">
        <v>0</v>
      </c>
      <c r="AX503" s="400">
        <v>0</v>
      </c>
      <c r="AY503" s="400">
        <v>0</v>
      </c>
      <c r="AZ503" s="400">
        <v>0</v>
      </c>
      <c r="BA503" s="400">
        <v>0</v>
      </c>
      <c r="BB503" s="400">
        <v>0</v>
      </c>
      <c r="BC503" s="400">
        <v>0</v>
      </c>
      <c r="BD503" s="400">
        <v>0</v>
      </c>
      <c r="BE503" s="400">
        <v>0</v>
      </c>
      <c r="BF503" s="400">
        <v>0</v>
      </c>
      <c r="BG503" s="400">
        <v>0</v>
      </c>
      <c r="BH503" s="400">
        <v>0</v>
      </c>
      <c r="BI503" s="400">
        <v>0</v>
      </c>
      <c r="BJ503" s="400">
        <v>0</v>
      </c>
      <c r="BK503" s="400">
        <v>0</v>
      </c>
      <c r="BL503" s="400">
        <v>0</v>
      </c>
      <c r="BM503" s="400">
        <v>0</v>
      </c>
      <c r="BN503" s="400">
        <v>0</v>
      </c>
      <c r="BO503" s="400">
        <v>0</v>
      </c>
      <c r="BP503" s="400">
        <v>0</v>
      </c>
      <c r="BQ503" s="400">
        <v>0</v>
      </c>
      <c r="BR503" s="400">
        <v>0</v>
      </c>
      <c r="BS503" s="400">
        <v>0</v>
      </c>
      <c r="BT503" s="400">
        <v>0</v>
      </c>
      <c r="BU503" s="400">
        <v>0</v>
      </c>
      <c r="BV503" s="400">
        <v>0</v>
      </c>
      <c r="BW503" s="400">
        <v>0</v>
      </c>
      <c r="BX503" s="400">
        <v>0</v>
      </c>
      <c r="BY503" s="400">
        <v>0</v>
      </c>
      <c r="BZ503" s="400">
        <v>0</v>
      </c>
      <c r="CA503" s="400">
        <v>0</v>
      </c>
      <c r="CB503" s="400">
        <v>0</v>
      </c>
      <c r="CC503" s="400">
        <v>0</v>
      </c>
      <c r="CD503" s="400">
        <v>0</v>
      </c>
      <c r="CE503" s="400">
        <v>0</v>
      </c>
      <c r="CF503" s="400">
        <v>0</v>
      </c>
      <c r="CG503" s="400">
        <v>0</v>
      </c>
      <c r="CH503" s="400">
        <v>0</v>
      </c>
      <c r="CI503" s="400">
        <v>0</v>
      </c>
      <c r="CJ503" s="400">
        <v>0</v>
      </c>
      <c r="CK503" s="400">
        <v>0</v>
      </c>
      <c r="CL503" s="400">
        <v>0</v>
      </c>
      <c r="CM503" s="400">
        <v>0</v>
      </c>
      <c r="CN503" s="400">
        <v>0</v>
      </c>
      <c r="CO503" s="400">
        <v>0</v>
      </c>
      <c r="CP503" s="400">
        <v>0</v>
      </c>
      <c r="CQ503" s="400">
        <v>0</v>
      </c>
      <c r="CR503" s="400">
        <v>0</v>
      </c>
      <c r="CS503" s="400">
        <v>0</v>
      </c>
      <c r="CT503" s="400">
        <v>0</v>
      </c>
      <c r="CU503" s="400">
        <v>0</v>
      </c>
      <c r="CV503" s="400">
        <v>0</v>
      </c>
      <c r="CW503" s="400">
        <v>0</v>
      </c>
      <c r="CX503" s="400">
        <v>0</v>
      </c>
      <c r="CY503" s="400">
        <v>0</v>
      </c>
      <c r="CZ503" s="400">
        <v>0</v>
      </c>
      <c r="DA503" s="400">
        <v>0</v>
      </c>
      <c r="DB503" s="400">
        <v>0</v>
      </c>
      <c r="DC503" s="400">
        <v>0</v>
      </c>
    </row>
    <row r="504" spans="1:107" x14ac:dyDescent="0.3">
      <c r="C504" s="321" t="str">
        <f>++C$14</f>
        <v>% margin</v>
      </c>
      <c r="G504" s="214" t="str">
        <f t="shared" ref="G504:AL504" si="7180">++IFERROR(G503/G500,"n/a")</f>
        <v>n/a</v>
      </c>
      <c r="H504" s="225" t="str">
        <f t="shared" si="7180"/>
        <v>n/a</v>
      </c>
      <c r="I504" s="225" t="str">
        <f t="shared" si="7180"/>
        <v>n/a</v>
      </c>
      <c r="J504" s="225" t="str">
        <f t="shared" si="7180"/>
        <v>n/a</v>
      </c>
      <c r="K504" s="214" t="str">
        <f t="shared" si="7180"/>
        <v>n/a</v>
      </c>
      <c r="L504" s="225" t="str">
        <f t="shared" si="7180"/>
        <v>n/a</v>
      </c>
      <c r="M504" s="225" t="str">
        <f t="shared" si="7180"/>
        <v>n/a</v>
      </c>
      <c r="N504" s="225" t="str">
        <f t="shared" si="7180"/>
        <v>n/a</v>
      </c>
      <c r="O504" s="225" t="str">
        <f t="shared" si="7180"/>
        <v>n/a</v>
      </c>
      <c r="P504" s="225" t="str">
        <f t="shared" si="7180"/>
        <v>n/a</v>
      </c>
      <c r="Q504" s="225" t="str">
        <f t="shared" si="7180"/>
        <v>n/a</v>
      </c>
      <c r="R504" s="225" t="str">
        <f t="shared" si="7180"/>
        <v>n/a</v>
      </c>
      <c r="S504" s="225" t="str">
        <f t="shared" si="7180"/>
        <v>n/a</v>
      </c>
      <c r="T504" s="225" t="str">
        <f t="shared" si="7180"/>
        <v>n/a</v>
      </c>
      <c r="U504" s="225" t="str">
        <f t="shared" si="7180"/>
        <v>n/a</v>
      </c>
      <c r="V504" s="225" t="str">
        <f t="shared" si="7180"/>
        <v>n/a</v>
      </c>
      <c r="W504" s="214" t="str">
        <f t="shared" si="7180"/>
        <v>n/a</v>
      </c>
      <c r="X504" s="225" t="str">
        <f t="shared" si="7180"/>
        <v>n/a</v>
      </c>
      <c r="Y504" s="225" t="str">
        <f t="shared" si="7180"/>
        <v>n/a</v>
      </c>
      <c r="Z504" s="225" t="str">
        <f t="shared" si="7180"/>
        <v>n/a</v>
      </c>
      <c r="AA504" s="225" t="str">
        <f t="shared" si="7180"/>
        <v>n/a</v>
      </c>
      <c r="AB504" s="225" t="str">
        <f t="shared" si="7180"/>
        <v>n/a</v>
      </c>
      <c r="AC504" s="225" t="str">
        <f t="shared" si="7180"/>
        <v>n/a</v>
      </c>
      <c r="AD504" s="225" t="str">
        <f t="shared" si="7180"/>
        <v>n/a</v>
      </c>
      <c r="AE504" s="225" t="str">
        <f t="shared" si="7180"/>
        <v>n/a</v>
      </c>
      <c r="AF504" s="225" t="str">
        <f t="shared" si="7180"/>
        <v>n/a</v>
      </c>
      <c r="AG504" s="225" t="str">
        <f t="shared" si="7180"/>
        <v>n/a</v>
      </c>
      <c r="AH504" s="225" t="str">
        <f t="shared" si="7180"/>
        <v>n/a</v>
      </c>
      <c r="AI504" s="214" t="str">
        <f t="shared" si="7180"/>
        <v>n/a</v>
      </c>
      <c r="AJ504" s="225" t="str">
        <f t="shared" si="7180"/>
        <v>n/a</v>
      </c>
      <c r="AK504" s="225" t="str">
        <f t="shared" si="7180"/>
        <v>n/a</v>
      </c>
      <c r="AL504" s="225" t="str">
        <f t="shared" si="7180"/>
        <v>n/a</v>
      </c>
      <c r="AM504" s="225" t="str">
        <f t="shared" ref="AM504:BR504" si="7181">++IFERROR(AM503/AM500,"n/a")</f>
        <v>n/a</v>
      </c>
      <c r="AN504" s="225" t="str">
        <f t="shared" si="7181"/>
        <v>n/a</v>
      </c>
      <c r="AO504" s="225" t="str">
        <f t="shared" si="7181"/>
        <v>n/a</v>
      </c>
      <c r="AP504" s="225" t="str">
        <f t="shared" si="7181"/>
        <v>n/a</v>
      </c>
      <c r="AQ504" s="225" t="str">
        <f t="shared" si="7181"/>
        <v>n/a</v>
      </c>
      <c r="AR504" s="225" t="str">
        <f t="shared" si="7181"/>
        <v>n/a</v>
      </c>
      <c r="AS504" s="225" t="str">
        <f t="shared" si="7181"/>
        <v>n/a</v>
      </c>
      <c r="AT504" s="225" t="str">
        <f t="shared" si="7181"/>
        <v>n/a</v>
      </c>
      <c r="AU504" s="214" t="str">
        <f t="shared" si="7181"/>
        <v>n/a</v>
      </c>
      <c r="AV504" s="225" t="str">
        <f t="shared" si="7181"/>
        <v>n/a</v>
      </c>
      <c r="AW504" s="225" t="str">
        <f t="shared" si="7181"/>
        <v>n/a</v>
      </c>
      <c r="AX504" s="225" t="str">
        <f t="shared" si="7181"/>
        <v>n/a</v>
      </c>
      <c r="AY504" s="225" t="str">
        <f t="shared" si="7181"/>
        <v>n/a</v>
      </c>
      <c r="AZ504" s="225" t="str">
        <f t="shared" si="7181"/>
        <v>n/a</v>
      </c>
      <c r="BA504" s="225" t="str">
        <f t="shared" si="7181"/>
        <v>n/a</v>
      </c>
      <c r="BB504" s="225" t="str">
        <f t="shared" si="7181"/>
        <v>n/a</v>
      </c>
      <c r="BC504" s="225" t="str">
        <f t="shared" si="7181"/>
        <v>n/a</v>
      </c>
      <c r="BD504" s="225" t="str">
        <f t="shared" si="7181"/>
        <v>n/a</v>
      </c>
      <c r="BE504" s="225" t="str">
        <f t="shared" si="7181"/>
        <v>n/a</v>
      </c>
      <c r="BF504" s="225" t="str">
        <f t="shared" si="7181"/>
        <v>n/a</v>
      </c>
      <c r="BG504" s="214" t="str">
        <f t="shared" si="7181"/>
        <v>n/a</v>
      </c>
      <c r="BH504" s="225" t="str">
        <f t="shared" si="7181"/>
        <v>n/a</v>
      </c>
      <c r="BI504" s="225" t="str">
        <f t="shared" si="7181"/>
        <v>n/a</v>
      </c>
      <c r="BJ504" s="225" t="str">
        <f t="shared" si="7181"/>
        <v>n/a</v>
      </c>
      <c r="BK504" s="225" t="str">
        <f t="shared" si="7181"/>
        <v>n/a</v>
      </c>
      <c r="BL504" s="225" t="str">
        <f t="shared" si="7181"/>
        <v>n/a</v>
      </c>
      <c r="BM504" s="225" t="str">
        <f t="shared" si="7181"/>
        <v>n/a</v>
      </c>
      <c r="BN504" s="225" t="str">
        <f t="shared" si="7181"/>
        <v>n/a</v>
      </c>
      <c r="BO504" s="225" t="str">
        <f t="shared" si="7181"/>
        <v>n/a</v>
      </c>
      <c r="BP504" s="225" t="str">
        <f t="shared" si="7181"/>
        <v>n/a</v>
      </c>
      <c r="BQ504" s="225" t="str">
        <f t="shared" si="7181"/>
        <v>n/a</v>
      </c>
      <c r="BR504" s="225" t="str">
        <f t="shared" si="7181"/>
        <v>n/a</v>
      </c>
      <c r="BS504" s="214" t="str">
        <f t="shared" ref="BS504:CX504" si="7182">++IFERROR(BS503/BS500,"n/a")</f>
        <v>n/a</v>
      </c>
      <c r="BT504" s="225" t="str">
        <f t="shared" si="7182"/>
        <v>n/a</v>
      </c>
      <c r="BU504" s="225" t="str">
        <f t="shared" si="7182"/>
        <v>n/a</v>
      </c>
      <c r="BV504" s="225" t="str">
        <f t="shared" si="7182"/>
        <v>n/a</v>
      </c>
      <c r="BW504" s="225" t="str">
        <f t="shared" si="7182"/>
        <v>n/a</v>
      </c>
      <c r="BX504" s="225" t="str">
        <f t="shared" si="7182"/>
        <v>n/a</v>
      </c>
      <c r="BY504" s="225" t="str">
        <f t="shared" si="7182"/>
        <v>n/a</v>
      </c>
      <c r="BZ504" s="225" t="str">
        <f t="shared" si="7182"/>
        <v>n/a</v>
      </c>
      <c r="CA504" s="225" t="str">
        <f t="shared" si="7182"/>
        <v>n/a</v>
      </c>
      <c r="CB504" s="225" t="str">
        <f t="shared" si="7182"/>
        <v>n/a</v>
      </c>
      <c r="CC504" s="225" t="str">
        <f t="shared" si="7182"/>
        <v>n/a</v>
      </c>
      <c r="CD504" s="225" t="str">
        <f t="shared" si="7182"/>
        <v>n/a</v>
      </c>
      <c r="CE504" s="214" t="str">
        <f t="shared" si="7182"/>
        <v>n/a</v>
      </c>
      <c r="CF504" s="225" t="str">
        <f t="shared" si="7182"/>
        <v>n/a</v>
      </c>
      <c r="CG504" s="225" t="str">
        <f t="shared" si="7182"/>
        <v>n/a</v>
      </c>
      <c r="CH504" s="225" t="str">
        <f t="shared" si="7182"/>
        <v>n/a</v>
      </c>
      <c r="CI504" s="225" t="str">
        <f t="shared" si="7182"/>
        <v>n/a</v>
      </c>
      <c r="CJ504" s="225" t="str">
        <f t="shared" si="7182"/>
        <v>n/a</v>
      </c>
      <c r="CK504" s="225" t="str">
        <f t="shared" si="7182"/>
        <v>n/a</v>
      </c>
      <c r="CL504" s="225" t="str">
        <f t="shared" si="7182"/>
        <v>n/a</v>
      </c>
      <c r="CM504" s="225" t="str">
        <f t="shared" si="7182"/>
        <v>n/a</v>
      </c>
      <c r="CN504" s="225" t="str">
        <f t="shared" si="7182"/>
        <v>n/a</v>
      </c>
      <c r="CO504" s="225" t="str">
        <f t="shared" si="7182"/>
        <v>n/a</v>
      </c>
      <c r="CP504" s="225" t="str">
        <f t="shared" si="7182"/>
        <v>n/a</v>
      </c>
      <c r="CQ504" s="214" t="str">
        <f t="shared" si="7182"/>
        <v>n/a</v>
      </c>
      <c r="CR504" s="225" t="str">
        <f t="shared" si="7182"/>
        <v>n/a</v>
      </c>
      <c r="CS504" s="225" t="str">
        <f t="shared" si="7182"/>
        <v>n/a</v>
      </c>
      <c r="CT504" s="225" t="str">
        <f t="shared" si="7182"/>
        <v>n/a</v>
      </c>
      <c r="CU504" s="225" t="str">
        <f t="shared" si="7182"/>
        <v>n/a</v>
      </c>
      <c r="CV504" s="225" t="str">
        <f t="shared" si="7182"/>
        <v>n/a</v>
      </c>
      <c r="CW504" s="225" t="str">
        <f t="shared" si="7182"/>
        <v>n/a</v>
      </c>
      <c r="CX504" s="225" t="str">
        <f t="shared" si="7182"/>
        <v>n/a</v>
      </c>
      <c r="CY504" s="225" t="str">
        <f t="shared" ref="CY504:ED504" si="7183">++IFERROR(CY503/CY500,"n/a")</f>
        <v>n/a</v>
      </c>
      <c r="CZ504" s="225" t="str">
        <f t="shared" si="7183"/>
        <v>n/a</v>
      </c>
      <c r="DA504" s="225" t="str">
        <f t="shared" si="7183"/>
        <v>n/a</v>
      </c>
      <c r="DB504" s="225" t="str">
        <f t="shared" si="7183"/>
        <v>n/a</v>
      </c>
      <c r="DC504" s="214" t="str">
        <f t="shared" si="7183"/>
        <v>n/a</v>
      </c>
    </row>
    <row r="505" spans="1:107" x14ac:dyDescent="0.3">
      <c r="C505" s="321" t="str">
        <f>++C$15</f>
        <v>% y/y</v>
      </c>
      <c r="G505" s="122" t="s">
        <v>47</v>
      </c>
      <c r="H505" s="122" t="s">
        <v>47</v>
      </c>
      <c r="I505" s="122" t="s">
        <v>47</v>
      </c>
      <c r="J505" s="122" t="s">
        <v>47</v>
      </c>
      <c r="K505" s="214" t="str">
        <f>++IFERROR(K503/G258-1,"n/a")</f>
        <v>n/a</v>
      </c>
      <c r="L505" s="122" t="s">
        <v>47</v>
      </c>
      <c r="M505" s="122" t="s">
        <v>47</v>
      </c>
      <c r="N505" s="225" t="str">
        <f>++IFERROR(N503/H258-1,"n/a")</f>
        <v>n/a</v>
      </c>
      <c r="O505" s="122" t="s">
        <v>47</v>
      </c>
      <c r="P505" s="122" t="s">
        <v>47</v>
      </c>
      <c r="Q505" s="225" t="str">
        <f>++IFERROR(Q503/I258-1,"n/a")</f>
        <v>n/a</v>
      </c>
      <c r="R505" s="122" t="s">
        <v>47</v>
      </c>
      <c r="S505" s="122" t="s">
        <v>47</v>
      </c>
      <c r="T505" s="225" t="str">
        <f>++IFERROR(T503/J258-1,"n/a")</f>
        <v>n/a</v>
      </c>
      <c r="U505" s="122" t="s">
        <v>47</v>
      </c>
      <c r="V505" s="122" t="s">
        <v>47</v>
      </c>
      <c r="W505" s="214" t="str">
        <f t="shared" ref="W505:BB505" si="7184">++IFERROR(W503/K258-1,"n/a")</f>
        <v>n/a</v>
      </c>
      <c r="X505" s="225" t="str">
        <f t="shared" si="7184"/>
        <v>n/a</v>
      </c>
      <c r="Y505" s="225" t="str">
        <f t="shared" si="7184"/>
        <v>n/a</v>
      </c>
      <c r="Z505" s="225" t="str">
        <f t="shared" si="7184"/>
        <v>n/a</v>
      </c>
      <c r="AA505" s="225" t="str">
        <f t="shared" si="7184"/>
        <v>n/a</v>
      </c>
      <c r="AB505" s="225" t="str">
        <f t="shared" si="7184"/>
        <v>n/a</v>
      </c>
      <c r="AC505" s="225" t="str">
        <f t="shared" si="7184"/>
        <v>n/a</v>
      </c>
      <c r="AD505" s="225" t="str">
        <f t="shared" si="7184"/>
        <v>n/a</v>
      </c>
      <c r="AE505" s="225" t="str">
        <f t="shared" si="7184"/>
        <v>n/a</v>
      </c>
      <c r="AF505" s="225" t="str">
        <f t="shared" si="7184"/>
        <v>n/a</v>
      </c>
      <c r="AG505" s="225" t="str">
        <f t="shared" si="7184"/>
        <v>n/a</v>
      </c>
      <c r="AH505" s="225" t="str">
        <f t="shared" si="7184"/>
        <v>n/a</v>
      </c>
      <c r="AI505" s="214" t="str">
        <f t="shared" si="7184"/>
        <v>n/a</v>
      </c>
      <c r="AJ505" s="225" t="str">
        <f t="shared" si="7184"/>
        <v>n/a</v>
      </c>
      <c r="AK505" s="225" t="str">
        <f t="shared" si="7184"/>
        <v>n/a</v>
      </c>
      <c r="AL505" s="225" t="str">
        <f t="shared" si="7184"/>
        <v>n/a</v>
      </c>
      <c r="AM505" s="225" t="str">
        <f t="shared" si="7184"/>
        <v>n/a</v>
      </c>
      <c r="AN505" s="225" t="str">
        <f t="shared" si="7184"/>
        <v>n/a</v>
      </c>
      <c r="AO505" s="225" t="str">
        <f t="shared" si="7184"/>
        <v>n/a</v>
      </c>
      <c r="AP505" s="225" t="str">
        <f t="shared" si="7184"/>
        <v>n/a</v>
      </c>
      <c r="AQ505" s="225" t="str">
        <f t="shared" si="7184"/>
        <v>n/a</v>
      </c>
      <c r="AR505" s="225" t="str">
        <f t="shared" si="7184"/>
        <v>n/a</v>
      </c>
      <c r="AS505" s="225" t="str">
        <f t="shared" si="7184"/>
        <v>n/a</v>
      </c>
      <c r="AT505" s="225" t="str">
        <f t="shared" si="7184"/>
        <v>n/a</v>
      </c>
      <c r="AU505" s="214" t="str">
        <f t="shared" si="7184"/>
        <v>n/a</v>
      </c>
      <c r="AV505" s="225" t="str">
        <f t="shared" si="7184"/>
        <v>n/a</v>
      </c>
      <c r="AW505" s="225" t="str">
        <f t="shared" si="7184"/>
        <v>n/a</v>
      </c>
      <c r="AX505" s="225" t="str">
        <f t="shared" si="7184"/>
        <v>n/a</v>
      </c>
      <c r="AY505" s="225" t="str">
        <f t="shared" si="7184"/>
        <v>n/a</v>
      </c>
      <c r="AZ505" s="225" t="str">
        <f t="shared" si="7184"/>
        <v>n/a</v>
      </c>
      <c r="BA505" s="225" t="str">
        <f t="shared" si="7184"/>
        <v>n/a</v>
      </c>
      <c r="BB505" s="225" t="str">
        <f t="shared" si="7184"/>
        <v>n/a</v>
      </c>
      <c r="BC505" s="225" t="str">
        <f t="shared" ref="BC505:CH505" si="7185">++IFERROR(BC503/AQ258-1,"n/a")</f>
        <v>n/a</v>
      </c>
      <c r="BD505" s="225" t="str">
        <f t="shared" si="7185"/>
        <v>n/a</v>
      </c>
      <c r="BE505" s="225" t="str">
        <f t="shared" si="7185"/>
        <v>n/a</v>
      </c>
      <c r="BF505" s="225" t="str">
        <f t="shared" si="7185"/>
        <v>n/a</v>
      </c>
      <c r="BG505" s="214" t="str">
        <f t="shared" si="7185"/>
        <v>n/a</v>
      </c>
      <c r="BH505" s="225" t="str">
        <f t="shared" si="7185"/>
        <v>n/a</v>
      </c>
      <c r="BI505" s="225" t="str">
        <f t="shared" si="7185"/>
        <v>n/a</v>
      </c>
      <c r="BJ505" s="225" t="str">
        <f t="shared" si="7185"/>
        <v>n/a</v>
      </c>
      <c r="BK505" s="225" t="str">
        <f t="shared" si="7185"/>
        <v>n/a</v>
      </c>
      <c r="BL505" s="225" t="str">
        <f t="shared" si="7185"/>
        <v>n/a</v>
      </c>
      <c r="BM505" s="225" t="str">
        <f t="shared" si="7185"/>
        <v>n/a</v>
      </c>
      <c r="BN505" s="225" t="str">
        <f t="shared" si="7185"/>
        <v>n/a</v>
      </c>
      <c r="BO505" s="225" t="str">
        <f t="shared" si="7185"/>
        <v>n/a</v>
      </c>
      <c r="BP505" s="225" t="str">
        <f t="shared" si="7185"/>
        <v>n/a</v>
      </c>
      <c r="BQ505" s="225" t="str">
        <f t="shared" si="7185"/>
        <v>n/a</v>
      </c>
      <c r="BR505" s="225" t="str">
        <f t="shared" si="7185"/>
        <v>n/a</v>
      </c>
      <c r="BS505" s="214" t="str">
        <f t="shared" si="7185"/>
        <v>n/a</v>
      </c>
      <c r="BT505" s="225" t="str">
        <f t="shared" si="7185"/>
        <v>n/a</v>
      </c>
      <c r="BU505" s="225" t="str">
        <f t="shared" si="7185"/>
        <v>n/a</v>
      </c>
      <c r="BV505" s="225" t="str">
        <f t="shared" si="7185"/>
        <v>n/a</v>
      </c>
      <c r="BW505" s="225" t="str">
        <f t="shared" si="7185"/>
        <v>n/a</v>
      </c>
      <c r="BX505" s="225" t="str">
        <f t="shared" si="7185"/>
        <v>n/a</v>
      </c>
      <c r="BY505" s="225" t="str">
        <f t="shared" si="7185"/>
        <v>n/a</v>
      </c>
      <c r="BZ505" s="225" t="str">
        <f t="shared" si="7185"/>
        <v>n/a</v>
      </c>
      <c r="CA505" s="225" t="str">
        <f t="shared" si="7185"/>
        <v>n/a</v>
      </c>
      <c r="CB505" s="225" t="str">
        <f t="shared" si="7185"/>
        <v>n/a</v>
      </c>
      <c r="CC505" s="225" t="str">
        <f t="shared" si="7185"/>
        <v>n/a</v>
      </c>
      <c r="CD505" s="225" t="str">
        <f t="shared" si="7185"/>
        <v>n/a</v>
      </c>
      <c r="CE505" s="214" t="str">
        <f t="shared" si="7185"/>
        <v>n/a</v>
      </c>
      <c r="CF505" s="225" t="str">
        <f t="shared" si="7185"/>
        <v>n/a</v>
      </c>
      <c r="CG505" s="225" t="str">
        <f t="shared" si="7185"/>
        <v>n/a</v>
      </c>
      <c r="CH505" s="225" t="str">
        <f t="shared" si="7185"/>
        <v>n/a</v>
      </c>
      <c r="CI505" s="225" t="str">
        <f t="shared" ref="CI505:DN505" si="7186">++IFERROR(CI503/BW258-1,"n/a")</f>
        <v>n/a</v>
      </c>
      <c r="CJ505" s="225" t="str">
        <f t="shared" si="7186"/>
        <v>n/a</v>
      </c>
      <c r="CK505" s="225" t="str">
        <f t="shared" si="7186"/>
        <v>n/a</v>
      </c>
      <c r="CL505" s="225" t="str">
        <f t="shared" si="7186"/>
        <v>n/a</v>
      </c>
      <c r="CM505" s="225" t="str">
        <f t="shared" si="7186"/>
        <v>n/a</v>
      </c>
      <c r="CN505" s="225" t="str">
        <f t="shared" si="7186"/>
        <v>n/a</v>
      </c>
      <c r="CO505" s="225" t="str">
        <f t="shared" si="7186"/>
        <v>n/a</v>
      </c>
      <c r="CP505" s="225" t="str">
        <f t="shared" si="7186"/>
        <v>n/a</v>
      </c>
      <c r="CQ505" s="214" t="str">
        <f t="shared" si="7186"/>
        <v>n/a</v>
      </c>
      <c r="CR505" s="225" t="str">
        <f t="shared" si="7186"/>
        <v>n/a</v>
      </c>
      <c r="CS505" s="225" t="str">
        <f t="shared" si="7186"/>
        <v>n/a</v>
      </c>
      <c r="CT505" s="225" t="str">
        <f t="shared" si="7186"/>
        <v>n/a</v>
      </c>
      <c r="CU505" s="225" t="str">
        <f t="shared" si="7186"/>
        <v>n/a</v>
      </c>
      <c r="CV505" s="225" t="str">
        <f t="shared" si="7186"/>
        <v>n/a</v>
      </c>
      <c r="CW505" s="225" t="str">
        <f t="shared" si="7186"/>
        <v>n/a</v>
      </c>
      <c r="CX505" s="225" t="str">
        <f t="shared" si="7186"/>
        <v>n/a</v>
      </c>
      <c r="CY505" s="225" t="str">
        <f t="shared" si="7186"/>
        <v>n/a</v>
      </c>
      <c r="CZ505" s="225" t="str">
        <f t="shared" si="7186"/>
        <v>n/a</v>
      </c>
      <c r="DA505" s="225" t="str">
        <f t="shared" si="7186"/>
        <v>n/a</v>
      </c>
      <c r="DB505" s="225" t="str">
        <f t="shared" si="7186"/>
        <v>n/a</v>
      </c>
      <c r="DC505" s="214" t="str">
        <f t="shared" si="7186"/>
        <v>n/a</v>
      </c>
    </row>
    <row r="506" spans="1:107" x14ac:dyDescent="0.3">
      <c r="G506" s="203"/>
      <c r="K506" s="203"/>
      <c r="W506" s="203"/>
      <c r="AI506" s="203"/>
      <c r="AU506" s="203"/>
      <c r="BG506" s="203"/>
      <c r="BS506" s="203"/>
      <c r="CE506" s="203"/>
      <c r="CQ506" s="203"/>
      <c r="DC506" s="203"/>
    </row>
    <row r="507" spans="1:107" x14ac:dyDescent="0.3">
      <c r="C507" s="101" t="str">
        <f>++C$17</f>
        <v>[Operating Expense]</v>
      </c>
      <c r="G507" s="45">
        <v>0</v>
      </c>
      <c r="H507" s="45">
        <v>0</v>
      </c>
      <c r="I507" s="45">
        <v>0</v>
      </c>
      <c r="J507" s="45">
        <v>0</v>
      </c>
      <c r="K507" s="45">
        <v>0</v>
      </c>
      <c r="L507" s="45">
        <v>0</v>
      </c>
      <c r="M507" s="45">
        <v>0</v>
      </c>
      <c r="N507" s="45">
        <v>0</v>
      </c>
      <c r="O507" s="45">
        <v>0</v>
      </c>
      <c r="P507" s="45">
        <v>0</v>
      </c>
      <c r="Q507" s="45">
        <v>0</v>
      </c>
      <c r="R507" s="45">
        <v>0</v>
      </c>
      <c r="S507" s="45">
        <v>0</v>
      </c>
      <c r="T507" s="45">
        <v>0</v>
      </c>
      <c r="U507" s="45">
        <v>0</v>
      </c>
      <c r="V507" s="45">
        <v>0</v>
      </c>
      <c r="W507" s="45">
        <v>0</v>
      </c>
      <c r="X507" s="45">
        <v>0</v>
      </c>
      <c r="Y507" s="45">
        <v>0</v>
      </c>
      <c r="Z507" s="45">
        <v>0</v>
      </c>
      <c r="AA507" s="45">
        <v>0</v>
      </c>
      <c r="AB507" s="45">
        <v>0</v>
      </c>
      <c r="AC507" s="45">
        <v>0</v>
      </c>
      <c r="AD507" s="45">
        <v>0</v>
      </c>
      <c r="AE507" s="45">
        <v>0</v>
      </c>
      <c r="AF507" s="45">
        <v>0</v>
      </c>
      <c r="AG507" s="45">
        <v>0</v>
      </c>
      <c r="AH507" s="45">
        <v>0</v>
      </c>
      <c r="AI507" s="45">
        <v>0</v>
      </c>
      <c r="AJ507" s="45">
        <v>0</v>
      </c>
      <c r="AK507" s="45">
        <v>0</v>
      </c>
      <c r="AL507" s="45">
        <v>0</v>
      </c>
      <c r="AM507" s="45">
        <v>0</v>
      </c>
      <c r="AN507" s="45">
        <v>0</v>
      </c>
      <c r="AO507" s="45">
        <v>0</v>
      </c>
      <c r="AP507" s="45">
        <v>0</v>
      </c>
      <c r="AQ507" s="45">
        <v>0</v>
      </c>
      <c r="AR507" s="45">
        <v>0</v>
      </c>
      <c r="AS507" s="45">
        <v>0</v>
      </c>
      <c r="AT507" s="45">
        <v>0</v>
      </c>
      <c r="AU507" s="45">
        <v>0</v>
      </c>
      <c r="AV507" s="45">
        <v>0</v>
      </c>
      <c r="AW507" s="45">
        <v>0</v>
      </c>
      <c r="AX507" s="45">
        <v>0</v>
      </c>
      <c r="AY507" s="45">
        <v>0</v>
      </c>
      <c r="AZ507" s="45">
        <v>0</v>
      </c>
      <c r="BA507" s="45">
        <v>0</v>
      </c>
      <c r="BB507" s="45">
        <v>0</v>
      </c>
      <c r="BC507" s="45">
        <v>0</v>
      </c>
      <c r="BD507" s="45">
        <v>0</v>
      </c>
      <c r="BE507" s="45">
        <v>0</v>
      </c>
      <c r="BF507" s="45">
        <v>0</v>
      </c>
      <c r="BG507" s="45">
        <v>0</v>
      </c>
      <c r="BH507" s="45">
        <v>0</v>
      </c>
      <c r="BI507" s="45">
        <v>0</v>
      </c>
      <c r="BJ507" s="45">
        <v>0</v>
      </c>
      <c r="BK507" s="45">
        <v>0</v>
      </c>
      <c r="BL507" s="45">
        <v>0</v>
      </c>
      <c r="BM507" s="45">
        <v>0</v>
      </c>
      <c r="BN507" s="45">
        <v>0</v>
      </c>
      <c r="BO507" s="45">
        <v>0</v>
      </c>
      <c r="BP507" s="45">
        <v>0</v>
      </c>
      <c r="BQ507" s="45">
        <v>0</v>
      </c>
      <c r="BR507" s="45">
        <v>0</v>
      </c>
      <c r="BS507" s="45">
        <v>0</v>
      </c>
      <c r="BT507" s="45">
        <v>0</v>
      </c>
      <c r="BU507" s="45">
        <v>0</v>
      </c>
      <c r="BV507" s="45">
        <v>0</v>
      </c>
      <c r="BW507" s="45">
        <v>0</v>
      </c>
      <c r="BX507" s="45">
        <v>0</v>
      </c>
      <c r="BY507" s="45">
        <v>0</v>
      </c>
      <c r="BZ507" s="45">
        <v>0</v>
      </c>
      <c r="CA507" s="45">
        <v>0</v>
      </c>
      <c r="CB507" s="45">
        <v>0</v>
      </c>
      <c r="CC507" s="45">
        <v>0</v>
      </c>
      <c r="CD507" s="45">
        <v>0</v>
      </c>
      <c r="CE507" s="45">
        <v>0</v>
      </c>
      <c r="CF507" s="45">
        <v>0</v>
      </c>
      <c r="CG507" s="45">
        <v>0</v>
      </c>
      <c r="CH507" s="45">
        <v>0</v>
      </c>
      <c r="CI507" s="45">
        <v>0</v>
      </c>
      <c r="CJ507" s="45">
        <v>0</v>
      </c>
      <c r="CK507" s="45">
        <v>0</v>
      </c>
      <c r="CL507" s="45">
        <v>0</v>
      </c>
      <c r="CM507" s="45">
        <v>0</v>
      </c>
      <c r="CN507" s="45">
        <v>0</v>
      </c>
      <c r="CO507" s="45">
        <v>0</v>
      </c>
      <c r="CP507" s="45">
        <v>0</v>
      </c>
      <c r="CQ507" s="45">
        <v>0</v>
      </c>
      <c r="CR507" s="45">
        <v>0</v>
      </c>
      <c r="CS507" s="45">
        <v>0</v>
      </c>
      <c r="CT507" s="45">
        <v>0</v>
      </c>
      <c r="CU507" s="45">
        <v>0</v>
      </c>
      <c r="CV507" s="45">
        <v>0</v>
      </c>
      <c r="CW507" s="45">
        <v>0</v>
      </c>
      <c r="CX507" s="45">
        <v>0</v>
      </c>
      <c r="CY507" s="45">
        <v>0</v>
      </c>
      <c r="CZ507" s="45">
        <v>0</v>
      </c>
      <c r="DA507" s="45">
        <v>0</v>
      </c>
      <c r="DB507" s="45">
        <v>0</v>
      </c>
      <c r="DC507" s="45">
        <v>0</v>
      </c>
    </row>
    <row r="508" spans="1:107" x14ac:dyDescent="0.3">
      <c r="C508" s="101" t="str">
        <f>++C$18</f>
        <v>[Operating Expense]</v>
      </c>
      <c r="G508" s="45">
        <v>0</v>
      </c>
      <c r="H508" s="45">
        <v>0</v>
      </c>
      <c r="I508" s="45">
        <v>0</v>
      </c>
      <c r="J508" s="45">
        <v>0</v>
      </c>
      <c r="K508" s="45">
        <v>0</v>
      </c>
      <c r="L508" s="45">
        <v>0</v>
      </c>
      <c r="M508" s="45">
        <v>0</v>
      </c>
      <c r="N508" s="45">
        <v>0</v>
      </c>
      <c r="O508" s="45">
        <v>0</v>
      </c>
      <c r="P508" s="45">
        <v>0</v>
      </c>
      <c r="Q508" s="45">
        <v>0</v>
      </c>
      <c r="R508" s="45">
        <v>0</v>
      </c>
      <c r="S508" s="45">
        <v>0</v>
      </c>
      <c r="T508" s="45">
        <v>0</v>
      </c>
      <c r="U508" s="45">
        <v>0</v>
      </c>
      <c r="V508" s="45">
        <v>0</v>
      </c>
      <c r="W508" s="45">
        <v>0</v>
      </c>
      <c r="X508" s="45">
        <v>0</v>
      </c>
      <c r="Y508" s="45">
        <v>0</v>
      </c>
      <c r="Z508" s="45">
        <v>0</v>
      </c>
      <c r="AA508" s="45">
        <v>0</v>
      </c>
      <c r="AB508" s="45">
        <v>0</v>
      </c>
      <c r="AC508" s="45">
        <v>0</v>
      </c>
      <c r="AD508" s="45">
        <v>0</v>
      </c>
      <c r="AE508" s="45">
        <v>0</v>
      </c>
      <c r="AF508" s="45">
        <v>0</v>
      </c>
      <c r="AG508" s="45">
        <v>0</v>
      </c>
      <c r="AH508" s="45">
        <v>0</v>
      </c>
      <c r="AI508" s="45">
        <v>0</v>
      </c>
      <c r="AJ508" s="45">
        <v>0</v>
      </c>
      <c r="AK508" s="45">
        <v>0</v>
      </c>
      <c r="AL508" s="45">
        <v>0</v>
      </c>
      <c r="AM508" s="45">
        <v>0</v>
      </c>
      <c r="AN508" s="45">
        <v>0</v>
      </c>
      <c r="AO508" s="45">
        <v>0</v>
      </c>
      <c r="AP508" s="45">
        <v>0</v>
      </c>
      <c r="AQ508" s="45">
        <v>0</v>
      </c>
      <c r="AR508" s="45">
        <v>0</v>
      </c>
      <c r="AS508" s="45">
        <v>0</v>
      </c>
      <c r="AT508" s="45">
        <v>0</v>
      </c>
      <c r="AU508" s="45">
        <v>0</v>
      </c>
      <c r="AV508" s="45">
        <v>0</v>
      </c>
      <c r="AW508" s="45">
        <v>0</v>
      </c>
      <c r="AX508" s="45">
        <v>0</v>
      </c>
      <c r="AY508" s="45">
        <v>0</v>
      </c>
      <c r="AZ508" s="45">
        <v>0</v>
      </c>
      <c r="BA508" s="45">
        <v>0</v>
      </c>
      <c r="BB508" s="45">
        <v>0</v>
      </c>
      <c r="BC508" s="45">
        <v>0</v>
      </c>
      <c r="BD508" s="45">
        <v>0</v>
      </c>
      <c r="BE508" s="45">
        <v>0</v>
      </c>
      <c r="BF508" s="45">
        <v>0</v>
      </c>
      <c r="BG508" s="45">
        <v>0</v>
      </c>
      <c r="BH508" s="45">
        <v>0</v>
      </c>
      <c r="BI508" s="45">
        <v>0</v>
      </c>
      <c r="BJ508" s="45">
        <v>0</v>
      </c>
      <c r="BK508" s="45">
        <v>0</v>
      </c>
      <c r="BL508" s="45">
        <v>0</v>
      </c>
      <c r="BM508" s="45">
        <v>0</v>
      </c>
      <c r="BN508" s="45">
        <v>0</v>
      </c>
      <c r="BO508" s="45">
        <v>0</v>
      </c>
      <c r="BP508" s="45">
        <v>0</v>
      </c>
      <c r="BQ508" s="45">
        <v>0</v>
      </c>
      <c r="BR508" s="45">
        <v>0</v>
      </c>
      <c r="BS508" s="45">
        <v>0</v>
      </c>
      <c r="BT508" s="45">
        <v>0</v>
      </c>
      <c r="BU508" s="45">
        <v>0</v>
      </c>
      <c r="BV508" s="45">
        <v>0</v>
      </c>
      <c r="BW508" s="45">
        <v>0</v>
      </c>
      <c r="BX508" s="45">
        <v>0</v>
      </c>
      <c r="BY508" s="45">
        <v>0</v>
      </c>
      <c r="BZ508" s="45">
        <v>0</v>
      </c>
      <c r="CA508" s="45">
        <v>0</v>
      </c>
      <c r="CB508" s="45">
        <v>0</v>
      </c>
      <c r="CC508" s="45">
        <v>0</v>
      </c>
      <c r="CD508" s="45">
        <v>0</v>
      </c>
      <c r="CE508" s="45">
        <v>0</v>
      </c>
      <c r="CF508" s="45">
        <v>0</v>
      </c>
      <c r="CG508" s="45">
        <v>0</v>
      </c>
      <c r="CH508" s="45">
        <v>0</v>
      </c>
      <c r="CI508" s="45">
        <v>0</v>
      </c>
      <c r="CJ508" s="45">
        <v>0</v>
      </c>
      <c r="CK508" s="45">
        <v>0</v>
      </c>
      <c r="CL508" s="45">
        <v>0</v>
      </c>
      <c r="CM508" s="45">
        <v>0</v>
      </c>
      <c r="CN508" s="45">
        <v>0</v>
      </c>
      <c r="CO508" s="45">
        <v>0</v>
      </c>
      <c r="CP508" s="45">
        <v>0</v>
      </c>
      <c r="CQ508" s="45">
        <v>0</v>
      </c>
      <c r="CR508" s="45">
        <v>0</v>
      </c>
      <c r="CS508" s="45">
        <v>0</v>
      </c>
      <c r="CT508" s="45">
        <v>0</v>
      </c>
      <c r="CU508" s="45">
        <v>0</v>
      </c>
      <c r="CV508" s="45">
        <v>0</v>
      </c>
      <c r="CW508" s="45">
        <v>0</v>
      </c>
      <c r="CX508" s="45">
        <v>0</v>
      </c>
      <c r="CY508" s="45">
        <v>0</v>
      </c>
      <c r="CZ508" s="45">
        <v>0</v>
      </c>
      <c r="DA508" s="45">
        <v>0</v>
      </c>
      <c r="DB508" s="45">
        <v>0</v>
      </c>
      <c r="DC508" s="45">
        <v>0</v>
      </c>
    </row>
    <row r="509" spans="1:107" x14ac:dyDescent="0.3">
      <c r="C509" s="101" t="str">
        <f>++C$19</f>
        <v>[Operating Expense]</v>
      </c>
      <c r="G509" s="45">
        <v>0</v>
      </c>
      <c r="H509" s="45">
        <v>0</v>
      </c>
      <c r="I509" s="45">
        <v>0</v>
      </c>
      <c r="J509" s="45">
        <v>0</v>
      </c>
      <c r="K509" s="45">
        <v>0</v>
      </c>
      <c r="L509" s="45">
        <v>0</v>
      </c>
      <c r="M509" s="45">
        <v>0</v>
      </c>
      <c r="N509" s="45">
        <v>0</v>
      </c>
      <c r="O509" s="45">
        <v>0</v>
      </c>
      <c r="P509" s="45">
        <v>0</v>
      </c>
      <c r="Q509" s="45">
        <v>0</v>
      </c>
      <c r="R509" s="45">
        <v>0</v>
      </c>
      <c r="S509" s="45">
        <v>0</v>
      </c>
      <c r="T509" s="45">
        <v>0</v>
      </c>
      <c r="U509" s="45">
        <v>0</v>
      </c>
      <c r="V509" s="45">
        <v>0</v>
      </c>
      <c r="W509" s="45">
        <v>0</v>
      </c>
      <c r="X509" s="45">
        <v>0</v>
      </c>
      <c r="Y509" s="45">
        <v>0</v>
      </c>
      <c r="Z509" s="45">
        <v>0</v>
      </c>
      <c r="AA509" s="45">
        <v>0</v>
      </c>
      <c r="AB509" s="45">
        <v>0</v>
      </c>
      <c r="AC509" s="45">
        <v>0</v>
      </c>
      <c r="AD509" s="45">
        <v>0</v>
      </c>
      <c r="AE509" s="45">
        <v>0</v>
      </c>
      <c r="AF509" s="45">
        <v>0</v>
      </c>
      <c r="AG509" s="45">
        <v>0</v>
      </c>
      <c r="AH509" s="45">
        <v>0</v>
      </c>
      <c r="AI509" s="45">
        <v>0</v>
      </c>
      <c r="AJ509" s="45">
        <v>0</v>
      </c>
      <c r="AK509" s="45">
        <v>0</v>
      </c>
      <c r="AL509" s="45">
        <v>0</v>
      </c>
      <c r="AM509" s="45">
        <v>0</v>
      </c>
      <c r="AN509" s="45">
        <v>0</v>
      </c>
      <c r="AO509" s="45">
        <v>0</v>
      </c>
      <c r="AP509" s="45">
        <v>0</v>
      </c>
      <c r="AQ509" s="45">
        <v>0</v>
      </c>
      <c r="AR509" s="45">
        <v>0</v>
      </c>
      <c r="AS509" s="45">
        <v>0</v>
      </c>
      <c r="AT509" s="45">
        <v>0</v>
      </c>
      <c r="AU509" s="45">
        <v>0</v>
      </c>
      <c r="AV509" s="45">
        <v>0</v>
      </c>
      <c r="AW509" s="45">
        <v>0</v>
      </c>
      <c r="AX509" s="45">
        <v>0</v>
      </c>
      <c r="AY509" s="45">
        <v>0</v>
      </c>
      <c r="AZ509" s="45">
        <v>0</v>
      </c>
      <c r="BA509" s="45">
        <v>0</v>
      </c>
      <c r="BB509" s="45">
        <v>0</v>
      </c>
      <c r="BC509" s="45">
        <v>0</v>
      </c>
      <c r="BD509" s="45">
        <v>0</v>
      </c>
      <c r="BE509" s="45">
        <v>0</v>
      </c>
      <c r="BF509" s="45">
        <v>0</v>
      </c>
      <c r="BG509" s="45">
        <v>0</v>
      </c>
      <c r="BH509" s="45">
        <v>0</v>
      </c>
      <c r="BI509" s="45">
        <v>0</v>
      </c>
      <c r="BJ509" s="45">
        <v>0</v>
      </c>
      <c r="BK509" s="45">
        <v>0</v>
      </c>
      <c r="BL509" s="45">
        <v>0</v>
      </c>
      <c r="BM509" s="45">
        <v>0</v>
      </c>
      <c r="BN509" s="45">
        <v>0</v>
      </c>
      <c r="BO509" s="45">
        <v>0</v>
      </c>
      <c r="BP509" s="45">
        <v>0</v>
      </c>
      <c r="BQ509" s="45">
        <v>0</v>
      </c>
      <c r="BR509" s="45">
        <v>0</v>
      </c>
      <c r="BS509" s="45">
        <v>0</v>
      </c>
      <c r="BT509" s="45">
        <v>0</v>
      </c>
      <c r="BU509" s="45">
        <v>0</v>
      </c>
      <c r="BV509" s="45">
        <v>0</v>
      </c>
      <c r="BW509" s="45">
        <v>0</v>
      </c>
      <c r="BX509" s="45">
        <v>0</v>
      </c>
      <c r="BY509" s="45">
        <v>0</v>
      </c>
      <c r="BZ509" s="45">
        <v>0</v>
      </c>
      <c r="CA509" s="45">
        <v>0</v>
      </c>
      <c r="CB509" s="45">
        <v>0</v>
      </c>
      <c r="CC509" s="45">
        <v>0</v>
      </c>
      <c r="CD509" s="45">
        <v>0</v>
      </c>
      <c r="CE509" s="45">
        <v>0</v>
      </c>
      <c r="CF509" s="45">
        <v>0</v>
      </c>
      <c r="CG509" s="45">
        <v>0</v>
      </c>
      <c r="CH509" s="45">
        <v>0</v>
      </c>
      <c r="CI509" s="45">
        <v>0</v>
      </c>
      <c r="CJ509" s="45">
        <v>0</v>
      </c>
      <c r="CK509" s="45">
        <v>0</v>
      </c>
      <c r="CL509" s="45">
        <v>0</v>
      </c>
      <c r="CM509" s="45">
        <v>0</v>
      </c>
      <c r="CN509" s="45">
        <v>0</v>
      </c>
      <c r="CO509" s="45">
        <v>0</v>
      </c>
      <c r="CP509" s="45">
        <v>0</v>
      </c>
      <c r="CQ509" s="45">
        <v>0</v>
      </c>
      <c r="CR509" s="45">
        <v>0</v>
      </c>
      <c r="CS509" s="45">
        <v>0</v>
      </c>
      <c r="CT509" s="45">
        <v>0</v>
      </c>
      <c r="CU509" s="45">
        <v>0</v>
      </c>
      <c r="CV509" s="45">
        <v>0</v>
      </c>
      <c r="CW509" s="45">
        <v>0</v>
      </c>
      <c r="CX509" s="45">
        <v>0</v>
      </c>
      <c r="CY509" s="45">
        <v>0</v>
      </c>
      <c r="CZ509" s="45">
        <v>0</v>
      </c>
      <c r="DA509" s="45">
        <v>0</v>
      </c>
      <c r="DB509" s="45">
        <v>0</v>
      </c>
      <c r="DC509" s="45">
        <v>0</v>
      </c>
    </row>
    <row r="510" spans="1:107" x14ac:dyDescent="0.3">
      <c r="C510" s="101" t="str">
        <f>++C$20</f>
        <v>Depreciation</v>
      </c>
      <c r="G510" s="45">
        <v>0</v>
      </c>
      <c r="H510" s="45">
        <v>0</v>
      </c>
      <c r="I510" s="45">
        <v>0</v>
      </c>
      <c r="J510" s="45">
        <v>0</v>
      </c>
      <c r="K510" s="45">
        <v>0</v>
      </c>
      <c r="L510" s="45">
        <v>0</v>
      </c>
      <c r="M510" s="45">
        <v>0</v>
      </c>
      <c r="N510" s="45">
        <v>0</v>
      </c>
      <c r="O510" s="45">
        <v>0</v>
      </c>
      <c r="P510" s="45">
        <v>0</v>
      </c>
      <c r="Q510" s="45">
        <v>0</v>
      </c>
      <c r="R510" s="45">
        <v>0</v>
      </c>
      <c r="S510" s="45">
        <v>0</v>
      </c>
      <c r="T510" s="45">
        <v>0</v>
      </c>
      <c r="U510" s="45">
        <v>0</v>
      </c>
      <c r="V510" s="45">
        <v>0</v>
      </c>
      <c r="W510" s="45">
        <v>0</v>
      </c>
      <c r="X510" s="45">
        <v>0</v>
      </c>
      <c r="Y510" s="45">
        <v>0</v>
      </c>
      <c r="Z510" s="45">
        <v>0</v>
      </c>
      <c r="AA510" s="45">
        <v>0</v>
      </c>
      <c r="AB510" s="45">
        <v>0</v>
      </c>
      <c r="AC510" s="45">
        <v>0</v>
      </c>
      <c r="AD510" s="45">
        <v>0</v>
      </c>
      <c r="AE510" s="45">
        <v>0</v>
      </c>
      <c r="AF510" s="45">
        <v>0</v>
      </c>
      <c r="AG510" s="45">
        <v>0</v>
      </c>
      <c r="AH510" s="45">
        <v>0</v>
      </c>
      <c r="AI510" s="45">
        <v>0</v>
      </c>
      <c r="AJ510" s="45">
        <v>0</v>
      </c>
      <c r="AK510" s="45">
        <v>0</v>
      </c>
      <c r="AL510" s="45">
        <v>0</v>
      </c>
      <c r="AM510" s="45">
        <v>0</v>
      </c>
      <c r="AN510" s="45">
        <v>0</v>
      </c>
      <c r="AO510" s="45">
        <v>0</v>
      </c>
      <c r="AP510" s="45">
        <v>0</v>
      </c>
      <c r="AQ510" s="45">
        <v>0</v>
      </c>
      <c r="AR510" s="45">
        <v>0</v>
      </c>
      <c r="AS510" s="45">
        <v>0</v>
      </c>
      <c r="AT510" s="45">
        <v>0</v>
      </c>
      <c r="AU510" s="45">
        <v>0</v>
      </c>
      <c r="AV510" s="45">
        <v>0</v>
      </c>
      <c r="AW510" s="45">
        <v>0</v>
      </c>
      <c r="AX510" s="45">
        <v>0</v>
      </c>
      <c r="AY510" s="45">
        <v>0</v>
      </c>
      <c r="AZ510" s="45">
        <v>0</v>
      </c>
      <c r="BA510" s="45">
        <v>0</v>
      </c>
      <c r="BB510" s="45">
        <v>0</v>
      </c>
      <c r="BC510" s="45">
        <v>0</v>
      </c>
      <c r="BD510" s="45">
        <v>0</v>
      </c>
      <c r="BE510" s="45">
        <v>0</v>
      </c>
      <c r="BF510" s="45">
        <v>0</v>
      </c>
      <c r="BG510" s="45">
        <v>0</v>
      </c>
      <c r="BH510" s="45">
        <v>0</v>
      </c>
      <c r="BI510" s="45">
        <v>0</v>
      </c>
      <c r="BJ510" s="45">
        <v>0</v>
      </c>
      <c r="BK510" s="45">
        <v>0</v>
      </c>
      <c r="BL510" s="45">
        <v>0</v>
      </c>
      <c r="BM510" s="45">
        <v>0</v>
      </c>
      <c r="BN510" s="45">
        <v>0</v>
      </c>
      <c r="BO510" s="45">
        <v>0</v>
      </c>
      <c r="BP510" s="45">
        <v>0</v>
      </c>
      <c r="BQ510" s="45">
        <v>0</v>
      </c>
      <c r="BR510" s="45">
        <v>0</v>
      </c>
      <c r="BS510" s="45">
        <v>0</v>
      </c>
      <c r="BT510" s="45">
        <v>0</v>
      </c>
      <c r="BU510" s="45">
        <v>0</v>
      </c>
      <c r="BV510" s="45">
        <v>0</v>
      </c>
      <c r="BW510" s="45">
        <v>0</v>
      </c>
      <c r="BX510" s="45">
        <v>0</v>
      </c>
      <c r="BY510" s="45">
        <v>0</v>
      </c>
      <c r="BZ510" s="45">
        <v>0</v>
      </c>
      <c r="CA510" s="45">
        <v>0</v>
      </c>
      <c r="CB510" s="45">
        <v>0</v>
      </c>
      <c r="CC510" s="45">
        <v>0</v>
      </c>
      <c r="CD510" s="45">
        <v>0</v>
      </c>
      <c r="CE510" s="45">
        <v>0</v>
      </c>
      <c r="CF510" s="45">
        <v>0</v>
      </c>
      <c r="CG510" s="45">
        <v>0</v>
      </c>
      <c r="CH510" s="45">
        <v>0</v>
      </c>
      <c r="CI510" s="45">
        <v>0</v>
      </c>
      <c r="CJ510" s="45">
        <v>0</v>
      </c>
      <c r="CK510" s="45">
        <v>0</v>
      </c>
      <c r="CL510" s="45">
        <v>0</v>
      </c>
      <c r="CM510" s="45">
        <v>0</v>
      </c>
      <c r="CN510" s="45">
        <v>0</v>
      </c>
      <c r="CO510" s="45">
        <v>0</v>
      </c>
      <c r="CP510" s="45">
        <v>0</v>
      </c>
      <c r="CQ510" s="45">
        <v>0</v>
      </c>
      <c r="CR510" s="45">
        <v>0</v>
      </c>
      <c r="CS510" s="45">
        <v>0</v>
      </c>
      <c r="CT510" s="45">
        <v>0</v>
      </c>
      <c r="CU510" s="45">
        <v>0</v>
      </c>
      <c r="CV510" s="45">
        <v>0</v>
      </c>
      <c r="CW510" s="45">
        <v>0</v>
      </c>
      <c r="CX510" s="45">
        <v>0</v>
      </c>
      <c r="CY510" s="45">
        <v>0</v>
      </c>
      <c r="CZ510" s="45">
        <v>0</v>
      </c>
      <c r="DA510" s="45">
        <v>0</v>
      </c>
      <c r="DB510" s="45">
        <v>0</v>
      </c>
      <c r="DC510" s="45">
        <v>0</v>
      </c>
    </row>
    <row r="511" spans="1:107" x14ac:dyDescent="0.3">
      <c r="C511" s="101" t="str">
        <f>++C$21</f>
        <v>Amortization</v>
      </c>
      <c r="G511" s="45">
        <v>0</v>
      </c>
      <c r="H511" s="45">
        <v>0</v>
      </c>
      <c r="I511" s="45">
        <v>0</v>
      </c>
      <c r="J511" s="45">
        <v>0</v>
      </c>
      <c r="K511" s="45">
        <v>0</v>
      </c>
      <c r="L511" s="45">
        <v>0</v>
      </c>
      <c r="M511" s="45">
        <v>0</v>
      </c>
      <c r="N511" s="45">
        <v>0</v>
      </c>
      <c r="O511" s="45">
        <v>0</v>
      </c>
      <c r="P511" s="45">
        <v>0</v>
      </c>
      <c r="Q511" s="45">
        <v>0</v>
      </c>
      <c r="R511" s="45">
        <v>0</v>
      </c>
      <c r="S511" s="45">
        <v>0</v>
      </c>
      <c r="T511" s="45">
        <v>0</v>
      </c>
      <c r="U511" s="45">
        <v>0</v>
      </c>
      <c r="V511" s="45">
        <v>0</v>
      </c>
      <c r="W511" s="45">
        <v>0</v>
      </c>
      <c r="X511" s="45">
        <v>0</v>
      </c>
      <c r="Y511" s="45">
        <v>0</v>
      </c>
      <c r="Z511" s="45">
        <v>0</v>
      </c>
      <c r="AA511" s="45">
        <v>0</v>
      </c>
      <c r="AB511" s="45">
        <v>0</v>
      </c>
      <c r="AC511" s="45">
        <v>0</v>
      </c>
      <c r="AD511" s="45">
        <v>0</v>
      </c>
      <c r="AE511" s="45">
        <v>0</v>
      </c>
      <c r="AF511" s="45">
        <v>0</v>
      </c>
      <c r="AG511" s="45">
        <v>0</v>
      </c>
      <c r="AH511" s="45">
        <v>0</v>
      </c>
      <c r="AI511" s="45">
        <v>0</v>
      </c>
      <c r="AJ511" s="45">
        <v>0</v>
      </c>
      <c r="AK511" s="45">
        <v>0</v>
      </c>
      <c r="AL511" s="45">
        <v>0</v>
      </c>
      <c r="AM511" s="45">
        <v>0</v>
      </c>
      <c r="AN511" s="45">
        <v>0</v>
      </c>
      <c r="AO511" s="45">
        <v>0</v>
      </c>
      <c r="AP511" s="45">
        <v>0</v>
      </c>
      <c r="AQ511" s="45">
        <v>0</v>
      </c>
      <c r="AR511" s="45">
        <v>0</v>
      </c>
      <c r="AS511" s="45">
        <v>0</v>
      </c>
      <c r="AT511" s="45">
        <v>0</v>
      </c>
      <c r="AU511" s="45">
        <v>0</v>
      </c>
      <c r="AV511" s="45">
        <v>0</v>
      </c>
      <c r="AW511" s="45">
        <v>0</v>
      </c>
      <c r="AX511" s="45">
        <v>0</v>
      </c>
      <c r="AY511" s="45">
        <v>0</v>
      </c>
      <c r="AZ511" s="45">
        <v>0</v>
      </c>
      <c r="BA511" s="45">
        <v>0</v>
      </c>
      <c r="BB511" s="45">
        <v>0</v>
      </c>
      <c r="BC511" s="45">
        <v>0</v>
      </c>
      <c r="BD511" s="45">
        <v>0</v>
      </c>
      <c r="BE511" s="45">
        <v>0</v>
      </c>
      <c r="BF511" s="45">
        <v>0</v>
      </c>
      <c r="BG511" s="45">
        <v>0</v>
      </c>
      <c r="BH511" s="45">
        <v>0</v>
      </c>
      <c r="BI511" s="45">
        <v>0</v>
      </c>
      <c r="BJ511" s="45">
        <v>0</v>
      </c>
      <c r="BK511" s="45">
        <v>0</v>
      </c>
      <c r="BL511" s="45">
        <v>0</v>
      </c>
      <c r="BM511" s="45">
        <v>0</v>
      </c>
      <c r="BN511" s="45">
        <v>0</v>
      </c>
      <c r="BO511" s="45">
        <v>0</v>
      </c>
      <c r="BP511" s="45">
        <v>0</v>
      </c>
      <c r="BQ511" s="45">
        <v>0</v>
      </c>
      <c r="BR511" s="45">
        <v>0</v>
      </c>
      <c r="BS511" s="45">
        <v>0</v>
      </c>
      <c r="BT511" s="45">
        <v>0</v>
      </c>
      <c r="BU511" s="45">
        <v>0</v>
      </c>
      <c r="BV511" s="45">
        <v>0</v>
      </c>
      <c r="BW511" s="45">
        <v>0</v>
      </c>
      <c r="BX511" s="45">
        <v>0</v>
      </c>
      <c r="BY511" s="45">
        <v>0</v>
      </c>
      <c r="BZ511" s="45">
        <v>0</v>
      </c>
      <c r="CA511" s="45">
        <v>0</v>
      </c>
      <c r="CB511" s="45">
        <v>0</v>
      </c>
      <c r="CC511" s="45">
        <v>0</v>
      </c>
      <c r="CD511" s="45">
        <v>0</v>
      </c>
      <c r="CE511" s="45">
        <v>0</v>
      </c>
      <c r="CF511" s="45">
        <v>0</v>
      </c>
      <c r="CG511" s="45">
        <v>0</v>
      </c>
      <c r="CH511" s="45">
        <v>0</v>
      </c>
      <c r="CI511" s="45">
        <v>0</v>
      </c>
      <c r="CJ511" s="45">
        <v>0</v>
      </c>
      <c r="CK511" s="45">
        <v>0</v>
      </c>
      <c r="CL511" s="45">
        <v>0</v>
      </c>
      <c r="CM511" s="45">
        <v>0</v>
      </c>
      <c r="CN511" s="45">
        <v>0</v>
      </c>
      <c r="CO511" s="45">
        <v>0</v>
      </c>
      <c r="CP511" s="45">
        <v>0</v>
      </c>
      <c r="CQ511" s="45">
        <v>0</v>
      </c>
      <c r="CR511" s="45">
        <v>0</v>
      </c>
      <c r="CS511" s="45">
        <v>0</v>
      </c>
      <c r="CT511" s="45">
        <v>0</v>
      </c>
      <c r="CU511" s="45">
        <v>0</v>
      </c>
      <c r="CV511" s="45">
        <v>0</v>
      </c>
      <c r="CW511" s="45">
        <v>0</v>
      </c>
      <c r="CX511" s="45">
        <v>0</v>
      </c>
      <c r="CY511" s="45">
        <v>0</v>
      </c>
      <c r="CZ511" s="45">
        <v>0</v>
      </c>
      <c r="DA511" s="45">
        <v>0</v>
      </c>
      <c r="DB511" s="45">
        <v>0</v>
      </c>
      <c r="DC511" s="45">
        <v>0</v>
      </c>
    </row>
    <row r="512" spans="1:107" x14ac:dyDescent="0.3">
      <c r="C512" s="101" t="str">
        <f>++C$22</f>
        <v>Other Operating Expense (Income)</v>
      </c>
      <c r="G512" s="374">
        <f>++(G503-G513)-SUM(G507:G511)</f>
        <v>0</v>
      </c>
      <c r="H512" s="200">
        <f t="shared" ref="H512" si="7187">++(H503-H513)-SUM(H507:H511)</f>
        <v>0</v>
      </c>
      <c r="I512" s="200">
        <f t="shared" ref="I512:BT512" si="7188">++(I503-I513)-SUM(I507:I511)</f>
        <v>0</v>
      </c>
      <c r="J512" s="200">
        <f t="shared" si="7188"/>
        <v>0</v>
      </c>
      <c r="K512" s="374">
        <f t="shared" si="7188"/>
        <v>0</v>
      </c>
      <c r="L512" s="200">
        <f t="shared" si="7188"/>
        <v>0</v>
      </c>
      <c r="M512" s="200">
        <f t="shared" si="7188"/>
        <v>0</v>
      </c>
      <c r="N512" s="200">
        <f t="shared" si="7188"/>
        <v>0</v>
      </c>
      <c r="O512" s="200">
        <f t="shared" si="7188"/>
        <v>0</v>
      </c>
      <c r="P512" s="200">
        <f t="shared" si="7188"/>
        <v>0</v>
      </c>
      <c r="Q512" s="200">
        <f t="shared" si="7188"/>
        <v>0</v>
      </c>
      <c r="R512" s="200">
        <f t="shared" si="7188"/>
        <v>0</v>
      </c>
      <c r="S512" s="200">
        <f t="shared" si="7188"/>
        <v>0</v>
      </c>
      <c r="T512" s="200">
        <f t="shared" si="7188"/>
        <v>0</v>
      </c>
      <c r="U512" s="200">
        <f t="shared" si="7188"/>
        <v>0</v>
      </c>
      <c r="V512" s="200">
        <f t="shared" si="7188"/>
        <v>0</v>
      </c>
      <c r="W512" s="374">
        <f t="shared" si="7188"/>
        <v>0</v>
      </c>
      <c r="X512" s="200">
        <f t="shared" si="7188"/>
        <v>0</v>
      </c>
      <c r="Y512" s="200">
        <f t="shared" si="7188"/>
        <v>0</v>
      </c>
      <c r="Z512" s="200">
        <f t="shared" si="7188"/>
        <v>0</v>
      </c>
      <c r="AA512" s="200">
        <f t="shared" si="7188"/>
        <v>0</v>
      </c>
      <c r="AB512" s="200">
        <f t="shared" si="7188"/>
        <v>0</v>
      </c>
      <c r="AC512" s="200">
        <f t="shared" si="7188"/>
        <v>0</v>
      </c>
      <c r="AD512" s="200">
        <f t="shared" si="7188"/>
        <v>0</v>
      </c>
      <c r="AE512" s="200">
        <f t="shared" si="7188"/>
        <v>0</v>
      </c>
      <c r="AF512" s="200">
        <f t="shared" si="7188"/>
        <v>0</v>
      </c>
      <c r="AG512" s="200">
        <f t="shared" si="7188"/>
        <v>0</v>
      </c>
      <c r="AH512" s="200">
        <f t="shared" si="7188"/>
        <v>0</v>
      </c>
      <c r="AI512" s="374">
        <f t="shared" si="7188"/>
        <v>0</v>
      </c>
      <c r="AJ512" s="200">
        <f t="shared" si="7188"/>
        <v>0</v>
      </c>
      <c r="AK512" s="200">
        <f t="shared" si="7188"/>
        <v>0</v>
      </c>
      <c r="AL512" s="200">
        <f t="shared" si="7188"/>
        <v>0</v>
      </c>
      <c r="AM512" s="200">
        <f t="shared" si="7188"/>
        <v>0</v>
      </c>
      <c r="AN512" s="200">
        <f t="shared" si="7188"/>
        <v>0</v>
      </c>
      <c r="AO512" s="200">
        <f t="shared" si="7188"/>
        <v>0</v>
      </c>
      <c r="AP512" s="200">
        <f t="shared" si="7188"/>
        <v>0</v>
      </c>
      <c r="AQ512" s="200">
        <f t="shared" si="7188"/>
        <v>0</v>
      </c>
      <c r="AR512" s="200">
        <f t="shared" si="7188"/>
        <v>0</v>
      </c>
      <c r="AS512" s="200">
        <f t="shared" si="7188"/>
        <v>0</v>
      </c>
      <c r="AT512" s="200">
        <f t="shared" si="7188"/>
        <v>0</v>
      </c>
      <c r="AU512" s="374">
        <f t="shared" si="7188"/>
        <v>0</v>
      </c>
      <c r="AV512" s="200">
        <f t="shared" si="7188"/>
        <v>0</v>
      </c>
      <c r="AW512" s="200">
        <f t="shared" si="7188"/>
        <v>0</v>
      </c>
      <c r="AX512" s="200">
        <f t="shared" si="7188"/>
        <v>0</v>
      </c>
      <c r="AY512" s="200">
        <f t="shared" si="7188"/>
        <v>0</v>
      </c>
      <c r="AZ512" s="200">
        <f t="shared" si="7188"/>
        <v>0</v>
      </c>
      <c r="BA512" s="200">
        <f t="shared" si="7188"/>
        <v>0</v>
      </c>
      <c r="BB512" s="200">
        <f t="shared" si="7188"/>
        <v>0</v>
      </c>
      <c r="BC512" s="200">
        <f t="shared" si="7188"/>
        <v>0</v>
      </c>
      <c r="BD512" s="200">
        <f t="shared" si="7188"/>
        <v>0</v>
      </c>
      <c r="BE512" s="200">
        <f t="shared" si="7188"/>
        <v>0</v>
      </c>
      <c r="BF512" s="200">
        <f t="shared" si="7188"/>
        <v>0</v>
      </c>
      <c r="BG512" s="374">
        <f t="shared" si="7188"/>
        <v>0</v>
      </c>
      <c r="BH512" s="200">
        <f t="shared" si="7188"/>
        <v>0</v>
      </c>
      <c r="BI512" s="200">
        <f t="shared" si="7188"/>
        <v>0</v>
      </c>
      <c r="BJ512" s="200">
        <f t="shared" si="7188"/>
        <v>0</v>
      </c>
      <c r="BK512" s="200">
        <f t="shared" si="7188"/>
        <v>0</v>
      </c>
      <c r="BL512" s="200">
        <f t="shared" si="7188"/>
        <v>0</v>
      </c>
      <c r="BM512" s="200">
        <f t="shared" si="7188"/>
        <v>0</v>
      </c>
      <c r="BN512" s="200">
        <f t="shared" si="7188"/>
        <v>0</v>
      </c>
      <c r="BO512" s="200">
        <f t="shared" si="7188"/>
        <v>0</v>
      </c>
      <c r="BP512" s="200">
        <f t="shared" si="7188"/>
        <v>0</v>
      </c>
      <c r="BQ512" s="200">
        <f t="shared" si="7188"/>
        <v>0</v>
      </c>
      <c r="BR512" s="200">
        <f t="shared" si="7188"/>
        <v>0</v>
      </c>
      <c r="BS512" s="374">
        <f t="shared" si="7188"/>
        <v>0</v>
      </c>
      <c r="BT512" s="200">
        <f t="shared" si="7188"/>
        <v>0</v>
      </c>
      <c r="BU512" s="200">
        <f t="shared" ref="BU512:DC512" si="7189">++(BU503-BU513)-SUM(BU507:BU511)</f>
        <v>0</v>
      </c>
      <c r="BV512" s="200">
        <f t="shared" si="7189"/>
        <v>0</v>
      </c>
      <c r="BW512" s="200">
        <f t="shared" si="7189"/>
        <v>0</v>
      </c>
      <c r="BX512" s="200">
        <f t="shared" si="7189"/>
        <v>0</v>
      </c>
      <c r="BY512" s="200">
        <f t="shared" si="7189"/>
        <v>0</v>
      </c>
      <c r="BZ512" s="200">
        <f t="shared" si="7189"/>
        <v>0</v>
      </c>
      <c r="CA512" s="200">
        <f t="shared" si="7189"/>
        <v>0</v>
      </c>
      <c r="CB512" s="200">
        <f t="shared" si="7189"/>
        <v>0</v>
      </c>
      <c r="CC512" s="200">
        <f t="shared" si="7189"/>
        <v>0</v>
      </c>
      <c r="CD512" s="200">
        <f t="shared" si="7189"/>
        <v>0</v>
      </c>
      <c r="CE512" s="374">
        <f t="shared" si="7189"/>
        <v>0</v>
      </c>
      <c r="CF512" s="200">
        <f t="shared" si="7189"/>
        <v>0</v>
      </c>
      <c r="CG512" s="200">
        <f t="shared" si="7189"/>
        <v>0</v>
      </c>
      <c r="CH512" s="200">
        <f t="shared" si="7189"/>
        <v>0</v>
      </c>
      <c r="CI512" s="200">
        <f t="shared" si="7189"/>
        <v>0</v>
      </c>
      <c r="CJ512" s="200">
        <f t="shared" si="7189"/>
        <v>0</v>
      </c>
      <c r="CK512" s="200">
        <f t="shared" si="7189"/>
        <v>0</v>
      </c>
      <c r="CL512" s="200">
        <f t="shared" si="7189"/>
        <v>0</v>
      </c>
      <c r="CM512" s="200">
        <f t="shared" si="7189"/>
        <v>0</v>
      </c>
      <c r="CN512" s="200">
        <f t="shared" si="7189"/>
        <v>0</v>
      </c>
      <c r="CO512" s="200">
        <f t="shared" si="7189"/>
        <v>0</v>
      </c>
      <c r="CP512" s="200">
        <f t="shared" si="7189"/>
        <v>0</v>
      </c>
      <c r="CQ512" s="374">
        <f t="shared" si="7189"/>
        <v>0</v>
      </c>
      <c r="CR512" s="200">
        <f t="shared" si="7189"/>
        <v>0</v>
      </c>
      <c r="CS512" s="200">
        <f t="shared" si="7189"/>
        <v>0</v>
      </c>
      <c r="CT512" s="200">
        <f t="shared" si="7189"/>
        <v>0</v>
      </c>
      <c r="CU512" s="200">
        <f t="shared" si="7189"/>
        <v>0</v>
      </c>
      <c r="CV512" s="200">
        <f t="shared" si="7189"/>
        <v>0</v>
      </c>
      <c r="CW512" s="200">
        <f t="shared" si="7189"/>
        <v>0</v>
      </c>
      <c r="CX512" s="200">
        <f t="shared" si="7189"/>
        <v>0</v>
      </c>
      <c r="CY512" s="200">
        <f t="shared" si="7189"/>
        <v>0</v>
      </c>
      <c r="CZ512" s="200">
        <f t="shared" si="7189"/>
        <v>0</v>
      </c>
      <c r="DA512" s="200">
        <f t="shared" si="7189"/>
        <v>0</v>
      </c>
      <c r="DB512" s="200">
        <f t="shared" si="7189"/>
        <v>0</v>
      </c>
      <c r="DC512" s="374">
        <f t="shared" si="7189"/>
        <v>0</v>
      </c>
    </row>
    <row r="513" spans="3:107" x14ac:dyDescent="0.3">
      <c r="C513" s="231" t="str">
        <f>++C$23</f>
        <v>Operating Income (Loss)</v>
      </c>
      <c r="D513" s="191"/>
      <c r="E513" s="191"/>
      <c r="G513" s="239">
        <f>++SUM(G517:G519)</f>
        <v>0</v>
      </c>
      <c r="H513" s="232">
        <f t="shared" ref="H513:BS513" si="7190">++SUM(H517:H519)</f>
        <v>0</v>
      </c>
      <c r="I513" s="232">
        <f t="shared" si="7190"/>
        <v>0</v>
      </c>
      <c r="J513" s="232">
        <f t="shared" si="7190"/>
        <v>0</v>
      </c>
      <c r="K513" s="239">
        <f t="shared" si="7190"/>
        <v>0</v>
      </c>
      <c r="L513" s="232">
        <f t="shared" si="7190"/>
        <v>0</v>
      </c>
      <c r="M513" s="232">
        <f t="shared" si="7190"/>
        <v>0</v>
      </c>
      <c r="N513" s="232">
        <f t="shared" si="7190"/>
        <v>0</v>
      </c>
      <c r="O513" s="232">
        <f t="shared" si="7190"/>
        <v>0</v>
      </c>
      <c r="P513" s="232">
        <f t="shared" si="7190"/>
        <v>0</v>
      </c>
      <c r="Q513" s="232">
        <f t="shared" si="7190"/>
        <v>0</v>
      </c>
      <c r="R513" s="232">
        <f t="shared" si="7190"/>
        <v>0</v>
      </c>
      <c r="S513" s="232">
        <f t="shared" si="7190"/>
        <v>0</v>
      </c>
      <c r="T513" s="232">
        <f t="shared" si="7190"/>
        <v>0</v>
      </c>
      <c r="U513" s="232">
        <f t="shared" si="7190"/>
        <v>0</v>
      </c>
      <c r="V513" s="232">
        <f t="shared" si="7190"/>
        <v>0</v>
      </c>
      <c r="W513" s="239">
        <f t="shared" si="7190"/>
        <v>0</v>
      </c>
      <c r="X513" s="232">
        <f t="shared" si="7190"/>
        <v>0</v>
      </c>
      <c r="Y513" s="232">
        <f t="shared" si="7190"/>
        <v>0</v>
      </c>
      <c r="Z513" s="232">
        <f t="shared" si="7190"/>
        <v>0</v>
      </c>
      <c r="AA513" s="232">
        <f t="shared" si="7190"/>
        <v>0</v>
      </c>
      <c r="AB513" s="232">
        <f t="shared" si="7190"/>
        <v>0</v>
      </c>
      <c r="AC513" s="232">
        <f t="shared" si="7190"/>
        <v>0</v>
      </c>
      <c r="AD513" s="232">
        <f t="shared" si="7190"/>
        <v>0</v>
      </c>
      <c r="AE513" s="232">
        <f t="shared" si="7190"/>
        <v>0</v>
      </c>
      <c r="AF513" s="232">
        <f t="shared" si="7190"/>
        <v>0</v>
      </c>
      <c r="AG513" s="232">
        <f t="shared" si="7190"/>
        <v>0</v>
      </c>
      <c r="AH513" s="232">
        <f t="shared" si="7190"/>
        <v>0</v>
      </c>
      <c r="AI513" s="239">
        <f t="shared" si="7190"/>
        <v>0</v>
      </c>
      <c r="AJ513" s="232">
        <f t="shared" si="7190"/>
        <v>0</v>
      </c>
      <c r="AK513" s="232">
        <f t="shared" si="7190"/>
        <v>0</v>
      </c>
      <c r="AL513" s="232">
        <f t="shared" si="7190"/>
        <v>0</v>
      </c>
      <c r="AM513" s="232">
        <f t="shared" si="7190"/>
        <v>0</v>
      </c>
      <c r="AN513" s="232">
        <f t="shared" si="7190"/>
        <v>0</v>
      </c>
      <c r="AO513" s="232">
        <f t="shared" si="7190"/>
        <v>0</v>
      </c>
      <c r="AP513" s="232">
        <f t="shared" si="7190"/>
        <v>0</v>
      </c>
      <c r="AQ513" s="232">
        <f t="shared" si="7190"/>
        <v>0</v>
      </c>
      <c r="AR513" s="232">
        <f t="shared" si="7190"/>
        <v>0</v>
      </c>
      <c r="AS513" s="232">
        <f t="shared" si="7190"/>
        <v>0</v>
      </c>
      <c r="AT513" s="232">
        <f t="shared" si="7190"/>
        <v>0</v>
      </c>
      <c r="AU513" s="239">
        <f t="shared" si="7190"/>
        <v>0</v>
      </c>
      <c r="AV513" s="232">
        <f t="shared" si="7190"/>
        <v>0</v>
      </c>
      <c r="AW513" s="232">
        <f t="shared" si="7190"/>
        <v>0</v>
      </c>
      <c r="AX513" s="232">
        <f t="shared" si="7190"/>
        <v>0</v>
      </c>
      <c r="AY513" s="232">
        <f t="shared" si="7190"/>
        <v>0</v>
      </c>
      <c r="AZ513" s="232">
        <f t="shared" si="7190"/>
        <v>0</v>
      </c>
      <c r="BA513" s="232">
        <f t="shared" si="7190"/>
        <v>0</v>
      </c>
      <c r="BB513" s="232">
        <f t="shared" si="7190"/>
        <v>0</v>
      </c>
      <c r="BC513" s="232">
        <f t="shared" si="7190"/>
        <v>0</v>
      </c>
      <c r="BD513" s="232">
        <f t="shared" si="7190"/>
        <v>0</v>
      </c>
      <c r="BE513" s="232">
        <f t="shared" si="7190"/>
        <v>0</v>
      </c>
      <c r="BF513" s="232">
        <f t="shared" si="7190"/>
        <v>0</v>
      </c>
      <c r="BG513" s="239">
        <f t="shared" si="7190"/>
        <v>0</v>
      </c>
      <c r="BH513" s="232">
        <f t="shared" si="7190"/>
        <v>0</v>
      </c>
      <c r="BI513" s="232">
        <f t="shared" si="7190"/>
        <v>0</v>
      </c>
      <c r="BJ513" s="232">
        <f t="shared" si="7190"/>
        <v>0</v>
      </c>
      <c r="BK513" s="232">
        <f t="shared" si="7190"/>
        <v>0</v>
      </c>
      <c r="BL513" s="232">
        <f t="shared" si="7190"/>
        <v>0</v>
      </c>
      <c r="BM513" s="232">
        <f t="shared" si="7190"/>
        <v>0</v>
      </c>
      <c r="BN513" s="232">
        <f t="shared" si="7190"/>
        <v>0</v>
      </c>
      <c r="BO513" s="232">
        <f t="shared" si="7190"/>
        <v>0</v>
      </c>
      <c r="BP513" s="232">
        <f t="shared" si="7190"/>
        <v>0</v>
      </c>
      <c r="BQ513" s="232">
        <f t="shared" si="7190"/>
        <v>0</v>
      </c>
      <c r="BR513" s="232">
        <f t="shared" si="7190"/>
        <v>0</v>
      </c>
      <c r="BS513" s="239">
        <f t="shared" si="7190"/>
        <v>0</v>
      </c>
      <c r="BT513" s="232">
        <f t="shared" ref="BT513:DC513" si="7191">++SUM(BT517:BT519)</f>
        <v>0</v>
      </c>
      <c r="BU513" s="232">
        <f t="shared" si="7191"/>
        <v>0</v>
      </c>
      <c r="BV513" s="232">
        <f t="shared" si="7191"/>
        <v>0</v>
      </c>
      <c r="BW513" s="232">
        <f t="shared" si="7191"/>
        <v>0</v>
      </c>
      <c r="BX513" s="232">
        <f t="shared" si="7191"/>
        <v>0</v>
      </c>
      <c r="BY513" s="232">
        <f t="shared" si="7191"/>
        <v>0</v>
      </c>
      <c r="BZ513" s="232">
        <f t="shared" si="7191"/>
        <v>0</v>
      </c>
      <c r="CA513" s="232">
        <f t="shared" si="7191"/>
        <v>0</v>
      </c>
      <c r="CB513" s="232">
        <f t="shared" si="7191"/>
        <v>0</v>
      </c>
      <c r="CC513" s="232">
        <f t="shared" si="7191"/>
        <v>0</v>
      </c>
      <c r="CD513" s="232">
        <f t="shared" si="7191"/>
        <v>0</v>
      </c>
      <c r="CE513" s="239">
        <f t="shared" si="7191"/>
        <v>0</v>
      </c>
      <c r="CF513" s="232">
        <f t="shared" si="7191"/>
        <v>0</v>
      </c>
      <c r="CG513" s="232">
        <f t="shared" si="7191"/>
        <v>0</v>
      </c>
      <c r="CH513" s="232">
        <f t="shared" si="7191"/>
        <v>0</v>
      </c>
      <c r="CI513" s="232">
        <f t="shared" si="7191"/>
        <v>0</v>
      </c>
      <c r="CJ513" s="232">
        <f t="shared" si="7191"/>
        <v>0</v>
      </c>
      <c r="CK513" s="232">
        <f t="shared" si="7191"/>
        <v>0</v>
      </c>
      <c r="CL513" s="232">
        <f t="shared" si="7191"/>
        <v>0</v>
      </c>
      <c r="CM513" s="232">
        <f t="shared" si="7191"/>
        <v>0</v>
      </c>
      <c r="CN513" s="232">
        <f t="shared" si="7191"/>
        <v>0</v>
      </c>
      <c r="CO513" s="232">
        <f t="shared" si="7191"/>
        <v>0</v>
      </c>
      <c r="CP513" s="232">
        <f t="shared" si="7191"/>
        <v>0</v>
      </c>
      <c r="CQ513" s="239">
        <f t="shared" si="7191"/>
        <v>0</v>
      </c>
      <c r="CR513" s="232">
        <f t="shared" si="7191"/>
        <v>0</v>
      </c>
      <c r="CS513" s="232">
        <f t="shared" si="7191"/>
        <v>0</v>
      </c>
      <c r="CT513" s="232">
        <f t="shared" si="7191"/>
        <v>0</v>
      </c>
      <c r="CU513" s="232">
        <f t="shared" si="7191"/>
        <v>0</v>
      </c>
      <c r="CV513" s="232">
        <f t="shared" si="7191"/>
        <v>0</v>
      </c>
      <c r="CW513" s="232">
        <f t="shared" si="7191"/>
        <v>0</v>
      </c>
      <c r="CX513" s="232">
        <f t="shared" si="7191"/>
        <v>0</v>
      </c>
      <c r="CY513" s="232">
        <f t="shared" si="7191"/>
        <v>0</v>
      </c>
      <c r="CZ513" s="232">
        <f t="shared" si="7191"/>
        <v>0</v>
      </c>
      <c r="DA513" s="232">
        <f t="shared" si="7191"/>
        <v>0</v>
      </c>
      <c r="DB513" s="232">
        <f t="shared" si="7191"/>
        <v>0</v>
      </c>
      <c r="DC513" s="239">
        <f t="shared" si="7191"/>
        <v>0</v>
      </c>
    </row>
    <row r="514" spans="3:107" x14ac:dyDescent="0.3">
      <c r="C514" s="321" t="str">
        <f>++C$24</f>
        <v>% margin</v>
      </c>
      <c r="G514" s="214" t="str">
        <f t="shared" ref="G514:AL514" si="7192">++IFERROR(G513/G500,"n/a")</f>
        <v>n/a</v>
      </c>
      <c r="H514" s="225" t="str">
        <f t="shared" si="7192"/>
        <v>n/a</v>
      </c>
      <c r="I514" s="225" t="str">
        <f t="shared" si="7192"/>
        <v>n/a</v>
      </c>
      <c r="J514" s="225" t="str">
        <f t="shared" si="7192"/>
        <v>n/a</v>
      </c>
      <c r="K514" s="214" t="str">
        <f t="shared" si="7192"/>
        <v>n/a</v>
      </c>
      <c r="L514" s="225" t="str">
        <f t="shared" si="7192"/>
        <v>n/a</v>
      </c>
      <c r="M514" s="225" t="str">
        <f t="shared" si="7192"/>
        <v>n/a</v>
      </c>
      <c r="N514" s="225" t="str">
        <f t="shared" si="7192"/>
        <v>n/a</v>
      </c>
      <c r="O514" s="225" t="str">
        <f t="shared" si="7192"/>
        <v>n/a</v>
      </c>
      <c r="P514" s="225" t="str">
        <f t="shared" si="7192"/>
        <v>n/a</v>
      </c>
      <c r="Q514" s="225" t="str">
        <f t="shared" si="7192"/>
        <v>n/a</v>
      </c>
      <c r="R514" s="225" t="str">
        <f t="shared" si="7192"/>
        <v>n/a</v>
      </c>
      <c r="S514" s="225" t="str">
        <f t="shared" si="7192"/>
        <v>n/a</v>
      </c>
      <c r="T514" s="225" t="str">
        <f t="shared" si="7192"/>
        <v>n/a</v>
      </c>
      <c r="U514" s="225" t="str">
        <f t="shared" si="7192"/>
        <v>n/a</v>
      </c>
      <c r="V514" s="225" t="str">
        <f t="shared" si="7192"/>
        <v>n/a</v>
      </c>
      <c r="W514" s="214" t="str">
        <f t="shared" si="7192"/>
        <v>n/a</v>
      </c>
      <c r="X514" s="225" t="str">
        <f t="shared" si="7192"/>
        <v>n/a</v>
      </c>
      <c r="Y514" s="225" t="str">
        <f t="shared" si="7192"/>
        <v>n/a</v>
      </c>
      <c r="Z514" s="225" t="str">
        <f t="shared" si="7192"/>
        <v>n/a</v>
      </c>
      <c r="AA514" s="225" t="str">
        <f t="shared" si="7192"/>
        <v>n/a</v>
      </c>
      <c r="AB514" s="225" t="str">
        <f t="shared" si="7192"/>
        <v>n/a</v>
      </c>
      <c r="AC514" s="225" t="str">
        <f t="shared" si="7192"/>
        <v>n/a</v>
      </c>
      <c r="AD514" s="225" t="str">
        <f t="shared" si="7192"/>
        <v>n/a</v>
      </c>
      <c r="AE514" s="225" t="str">
        <f t="shared" si="7192"/>
        <v>n/a</v>
      </c>
      <c r="AF514" s="225" t="str">
        <f t="shared" si="7192"/>
        <v>n/a</v>
      </c>
      <c r="AG514" s="225" t="str">
        <f t="shared" si="7192"/>
        <v>n/a</v>
      </c>
      <c r="AH514" s="225" t="str">
        <f t="shared" si="7192"/>
        <v>n/a</v>
      </c>
      <c r="AI514" s="214" t="str">
        <f t="shared" si="7192"/>
        <v>n/a</v>
      </c>
      <c r="AJ514" s="225" t="str">
        <f t="shared" si="7192"/>
        <v>n/a</v>
      </c>
      <c r="AK514" s="225" t="str">
        <f t="shared" si="7192"/>
        <v>n/a</v>
      </c>
      <c r="AL514" s="225" t="str">
        <f t="shared" si="7192"/>
        <v>n/a</v>
      </c>
      <c r="AM514" s="225" t="str">
        <f t="shared" ref="AM514:BR514" si="7193">++IFERROR(AM513/AM500,"n/a")</f>
        <v>n/a</v>
      </c>
      <c r="AN514" s="225" t="str">
        <f t="shared" si="7193"/>
        <v>n/a</v>
      </c>
      <c r="AO514" s="225" t="str">
        <f t="shared" si="7193"/>
        <v>n/a</v>
      </c>
      <c r="AP514" s="225" t="str">
        <f t="shared" si="7193"/>
        <v>n/a</v>
      </c>
      <c r="AQ514" s="225" t="str">
        <f t="shared" si="7193"/>
        <v>n/a</v>
      </c>
      <c r="AR514" s="225" t="str">
        <f t="shared" si="7193"/>
        <v>n/a</v>
      </c>
      <c r="AS514" s="225" t="str">
        <f t="shared" si="7193"/>
        <v>n/a</v>
      </c>
      <c r="AT514" s="225" t="str">
        <f t="shared" si="7193"/>
        <v>n/a</v>
      </c>
      <c r="AU514" s="214" t="str">
        <f t="shared" si="7193"/>
        <v>n/a</v>
      </c>
      <c r="AV514" s="225" t="str">
        <f t="shared" si="7193"/>
        <v>n/a</v>
      </c>
      <c r="AW514" s="225" t="str">
        <f t="shared" si="7193"/>
        <v>n/a</v>
      </c>
      <c r="AX514" s="225" t="str">
        <f t="shared" si="7193"/>
        <v>n/a</v>
      </c>
      <c r="AY514" s="225" t="str">
        <f t="shared" si="7193"/>
        <v>n/a</v>
      </c>
      <c r="AZ514" s="225" t="str">
        <f t="shared" si="7193"/>
        <v>n/a</v>
      </c>
      <c r="BA514" s="225" t="str">
        <f t="shared" si="7193"/>
        <v>n/a</v>
      </c>
      <c r="BB514" s="225" t="str">
        <f t="shared" si="7193"/>
        <v>n/a</v>
      </c>
      <c r="BC514" s="225" t="str">
        <f t="shared" si="7193"/>
        <v>n/a</v>
      </c>
      <c r="BD514" s="225" t="str">
        <f t="shared" si="7193"/>
        <v>n/a</v>
      </c>
      <c r="BE514" s="225" t="str">
        <f t="shared" si="7193"/>
        <v>n/a</v>
      </c>
      <c r="BF514" s="225" t="str">
        <f t="shared" si="7193"/>
        <v>n/a</v>
      </c>
      <c r="BG514" s="214" t="str">
        <f t="shared" si="7193"/>
        <v>n/a</v>
      </c>
      <c r="BH514" s="225" t="str">
        <f t="shared" si="7193"/>
        <v>n/a</v>
      </c>
      <c r="BI514" s="225" t="str">
        <f t="shared" si="7193"/>
        <v>n/a</v>
      </c>
      <c r="BJ514" s="225" t="str">
        <f t="shared" si="7193"/>
        <v>n/a</v>
      </c>
      <c r="BK514" s="225" t="str">
        <f t="shared" si="7193"/>
        <v>n/a</v>
      </c>
      <c r="BL514" s="225" t="str">
        <f t="shared" si="7193"/>
        <v>n/a</v>
      </c>
      <c r="BM514" s="225" t="str">
        <f t="shared" si="7193"/>
        <v>n/a</v>
      </c>
      <c r="BN514" s="225" t="str">
        <f t="shared" si="7193"/>
        <v>n/a</v>
      </c>
      <c r="BO514" s="225" t="str">
        <f t="shared" si="7193"/>
        <v>n/a</v>
      </c>
      <c r="BP514" s="225" t="str">
        <f t="shared" si="7193"/>
        <v>n/a</v>
      </c>
      <c r="BQ514" s="225" t="str">
        <f t="shared" si="7193"/>
        <v>n/a</v>
      </c>
      <c r="BR514" s="225" t="str">
        <f t="shared" si="7193"/>
        <v>n/a</v>
      </c>
      <c r="BS514" s="214" t="str">
        <f t="shared" ref="BS514:CX514" si="7194">++IFERROR(BS513/BS500,"n/a")</f>
        <v>n/a</v>
      </c>
      <c r="BT514" s="225" t="str">
        <f t="shared" si="7194"/>
        <v>n/a</v>
      </c>
      <c r="BU514" s="225" t="str">
        <f t="shared" si="7194"/>
        <v>n/a</v>
      </c>
      <c r="BV514" s="225" t="str">
        <f t="shared" si="7194"/>
        <v>n/a</v>
      </c>
      <c r="BW514" s="225" t="str">
        <f t="shared" si="7194"/>
        <v>n/a</v>
      </c>
      <c r="BX514" s="225" t="str">
        <f t="shared" si="7194"/>
        <v>n/a</v>
      </c>
      <c r="BY514" s="225" t="str">
        <f t="shared" si="7194"/>
        <v>n/a</v>
      </c>
      <c r="BZ514" s="225" t="str">
        <f t="shared" si="7194"/>
        <v>n/a</v>
      </c>
      <c r="CA514" s="225" t="str">
        <f t="shared" si="7194"/>
        <v>n/a</v>
      </c>
      <c r="CB514" s="225" t="str">
        <f t="shared" si="7194"/>
        <v>n/a</v>
      </c>
      <c r="CC514" s="225" t="str">
        <f t="shared" si="7194"/>
        <v>n/a</v>
      </c>
      <c r="CD514" s="225" t="str">
        <f t="shared" si="7194"/>
        <v>n/a</v>
      </c>
      <c r="CE514" s="214" t="str">
        <f t="shared" si="7194"/>
        <v>n/a</v>
      </c>
      <c r="CF514" s="225" t="str">
        <f t="shared" si="7194"/>
        <v>n/a</v>
      </c>
      <c r="CG514" s="225" t="str">
        <f t="shared" si="7194"/>
        <v>n/a</v>
      </c>
      <c r="CH514" s="225" t="str">
        <f t="shared" si="7194"/>
        <v>n/a</v>
      </c>
      <c r="CI514" s="225" t="str">
        <f t="shared" si="7194"/>
        <v>n/a</v>
      </c>
      <c r="CJ514" s="225" t="str">
        <f t="shared" si="7194"/>
        <v>n/a</v>
      </c>
      <c r="CK514" s="225" t="str">
        <f t="shared" si="7194"/>
        <v>n/a</v>
      </c>
      <c r="CL514" s="225" t="str">
        <f t="shared" si="7194"/>
        <v>n/a</v>
      </c>
      <c r="CM514" s="225" t="str">
        <f t="shared" si="7194"/>
        <v>n/a</v>
      </c>
      <c r="CN514" s="225" t="str">
        <f t="shared" si="7194"/>
        <v>n/a</v>
      </c>
      <c r="CO514" s="225" t="str">
        <f t="shared" si="7194"/>
        <v>n/a</v>
      </c>
      <c r="CP514" s="225" t="str">
        <f t="shared" si="7194"/>
        <v>n/a</v>
      </c>
      <c r="CQ514" s="214" t="str">
        <f t="shared" si="7194"/>
        <v>n/a</v>
      </c>
      <c r="CR514" s="225" t="str">
        <f t="shared" si="7194"/>
        <v>n/a</v>
      </c>
      <c r="CS514" s="225" t="str">
        <f t="shared" si="7194"/>
        <v>n/a</v>
      </c>
      <c r="CT514" s="225" t="str">
        <f t="shared" si="7194"/>
        <v>n/a</v>
      </c>
      <c r="CU514" s="225" t="str">
        <f t="shared" si="7194"/>
        <v>n/a</v>
      </c>
      <c r="CV514" s="225" t="str">
        <f t="shared" si="7194"/>
        <v>n/a</v>
      </c>
      <c r="CW514" s="225" t="str">
        <f t="shared" si="7194"/>
        <v>n/a</v>
      </c>
      <c r="CX514" s="225" t="str">
        <f t="shared" si="7194"/>
        <v>n/a</v>
      </c>
      <c r="CY514" s="225" t="str">
        <f t="shared" ref="CY514:ED514" si="7195">++IFERROR(CY513/CY500,"n/a")</f>
        <v>n/a</v>
      </c>
      <c r="CZ514" s="225" t="str">
        <f t="shared" si="7195"/>
        <v>n/a</v>
      </c>
      <c r="DA514" s="225" t="str">
        <f t="shared" si="7195"/>
        <v>n/a</v>
      </c>
      <c r="DB514" s="225" t="str">
        <f t="shared" si="7195"/>
        <v>n/a</v>
      </c>
      <c r="DC514" s="214" t="str">
        <f t="shared" si="7195"/>
        <v>n/a</v>
      </c>
    </row>
    <row r="515" spans="3:107" x14ac:dyDescent="0.3">
      <c r="C515" s="321" t="str">
        <f>++C$25</f>
        <v>% y/y</v>
      </c>
      <c r="G515" s="122" t="s">
        <v>47</v>
      </c>
      <c r="H515" s="122" t="s">
        <v>47</v>
      </c>
      <c r="I515" s="122" t="s">
        <v>47</v>
      </c>
      <c r="J515" s="122" t="s">
        <v>47</v>
      </c>
      <c r="K515" s="214" t="str">
        <f>++IFERROR(K513/G268-1,"n/a")</f>
        <v>n/a</v>
      </c>
      <c r="L515" s="122" t="s">
        <v>47</v>
      </c>
      <c r="M515" s="122" t="s">
        <v>47</v>
      </c>
      <c r="N515" s="225" t="str">
        <f>++IFERROR(N513/H268-1,"n/a")</f>
        <v>n/a</v>
      </c>
      <c r="O515" s="122" t="s">
        <v>47</v>
      </c>
      <c r="P515" s="122" t="s">
        <v>47</v>
      </c>
      <c r="Q515" s="225" t="str">
        <f>++IFERROR(Q513/I268-1,"n/a")</f>
        <v>n/a</v>
      </c>
      <c r="R515" s="122" t="s">
        <v>47</v>
      </c>
      <c r="S515" s="122" t="s">
        <v>47</v>
      </c>
      <c r="T515" s="225" t="str">
        <f>++IFERROR(T513/J268-1,"n/a")</f>
        <v>n/a</v>
      </c>
      <c r="U515" s="122" t="s">
        <v>47</v>
      </c>
      <c r="V515" s="122" t="s">
        <v>47</v>
      </c>
      <c r="W515" s="214" t="str">
        <f t="shared" ref="W515:BB515" si="7196">++IFERROR(W513/K268-1,"n/a")</f>
        <v>n/a</v>
      </c>
      <c r="X515" s="225" t="str">
        <f t="shared" si="7196"/>
        <v>n/a</v>
      </c>
      <c r="Y515" s="225" t="str">
        <f t="shared" si="7196"/>
        <v>n/a</v>
      </c>
      <c r="Z515" s="225" t="str">
        <f t="shared" si="7196"/>
        <v>n/a</v>
      </c>
      <c r="AA515" s="225" t="str">
        <f t="shared" si="7196"/>
        <v>n/a</v>
      </c>
      <c r="AB515" s="225" t="str">
        <f t="shared" si="7196"/>
        <v>n/a</v>
      </c>
      <c r="AC515" s="225" t="str">
        <f t="shared" si="7196"/>
        <v>n/a</v>
      </c>
      <c r="AD515" s="225" t="str">
        <f t="shared" si="7196"/>
        <v>n/a</v>
      </c>
      <c r="AE515" s="225" t="str">
        <f t="shared" si="7196"/>
        <v>n/a</v>
      </c>
      <c r="AF515" s="225" t="str">
        <f t="shared" si="7196"/>
        <v>n/a</v>
      </c>
      <c r="AG515" s="225" t="str">
        <f t="shared" si="7196"/>
        <v>n/a</v>
      </c>
      <c r="AH515" s="225" t="str">
        <f t="shared" si="7196"/>
        <v>n/a</v>
      </c>
      <c r="AI515" s="214" t="str">
        <f t="shared" si="7196"/>
        <v>n/a</v>
      </c>
      <c r="AJ515" s="225" t="str">
        <f t="shared" si="7196"/>
        <v>n/a</v>
      </c>
      <c r="AK515" s="225" t="str">
        <f t="shared" si="7196"/>
        <v>n/a</v>
      </c>
      <c r="AL515" s="225" t="str">
        <f t="shared" si="7196"/>
        <v>n/a</v>
      </c>
      <c r="AM515" s="225" t="str">
        <f t="shared" si="7196"/>
        <v>n/a</v>
      </c>
      <c r="AN515" s="225" t="str">
        <f t="shared" si="7196"/>
        <v>n/a</v>
      </c>
      <c r="AO515" s="225" t="str">
        <f t="shared" si="7196"/>
        <v>n/a</v>
      </c>
      <c r="AP515" s="225" t="str">
        <f t="shared" si="7196"/>
        <v>n/a</v>
      </c>
      <c r="AQ515" s="225" t="str">
        <f t="shared" si="7196"/>
        <v>n/a</v>
      </c>
      <c r="AR515" s="225" t="str">
        <f t="shared" si="7196"/>
        <v>n/a</v>
      </c>
      <c r="AS515" s="225" t="str">
        <f t="shared" si="7196"/>
        <v>n/a</v>
      </c>
      <c r="AT515" s="225" t="str">
        <f t="shared" si="7196"/>
        <v>n/a</v>
      </c>
      <c r="AU515" s="214" t="str">
        <f t="shared" si="7196"/>
        <v>n/a</v>
      </c>
      <c r="AV515" s="225" t="str">
        <f t="shared" si="7196"/>
        <v>n/a</v>
      </c>
      <c r="AW515" s="225" t="str">
        <f t="shared" si="7196"/>
        <v>n/a</v>
      </c>
      <c r="AX515" s="225" t="str">
        <f t="shared" si="7196"/>
        <v>n/a</v>
      </c>
      <c r="AY515" s="225" t="str">
        <f t="shared" si="7196"/>
        <v>n/a</v>
      </c>
      <c r="AZ515" s="225" t="str">
        <f t="shared" si="7196"/>
        <v>n/a</v>
      </c>
      <c r="BA515" s="225" t="str">
        <f t="shared" si="7196"/>
        <v>n/a</v>
      </c>
      <c r="BB515" s="225" t="str">
        <f t="shared" si="7196"/>
        <v>n/a</v>
      </c>
      <c r="BC515" s="225" t="str">
        <f t="shared" ref="BC515:CH515" si="7197">++IFERROR(BC513/AQ268-1,"n/a")</f>
        <v>n/a</v>
      </c>
      <c r="BD515" s="225" t="str">
        <f t="shared" si="7197"/>
        <v>n/a</v>
      </c>
      <c r="BE515" s="225" t="str">
        <f t="shared" si="7197"/>
        <v>n/a</v>
      </c>
      <c r="BF515" s="225" t="str">
        <f t="shared" si="7197"/>
        <v>n/a</v>
      </c>
      <c r="BG515" s="214" t="str">
        <f t="shared" si="7197"/>
        <v>n/a</v>
      </c>
      <c r="BH515" s="225" t="str">
        <f t="shared" si="7197"/>
        <v>n/a</v>
      </c>
      <c r="BI515" s="225" t="str">
        <f t="shared" si="7197"/>
        <v>n/a</v>
      </c>
      <c r="BJ515" s="225" t="str">
        <f t="shared" si="7197"/>
        <v>n/a</v>
      </c>
      <c r="BK515" s="225" t="str">
        <f t="shared" si="7197"/>
        <v>n/a</v>
      </c>
      <c r="BL515" s="225" t="str">
        <f t="shared" si="7197"/>
        <v>n/a</v>
      </c>
      <c r="BM515" s="225" t="str">
        <f t="shared" si="7197"/>
        <v>n/a</v>
      </c>
      <c r="BN515" s="225" t="str">
        <f t="shared" si="7197"/>
        <v>n/a</v>
      </c>
      <c r="BO515" s="225" t="str">
        <f t="shared" si="7197"/>
        <v>n/a</v>
      </c>
      <c r="BP515" s="225" t="str">
        <f t="shared" si="7197"/>
        <v>n/a</v>
      </c>
      <c r="BQ515" s="225" t="str">
        <f t="shared" si="7197"/>
        <v>n/a</v>
      </c>
      <c r="BR515" s="225" t="str">
        <f t="shared" si="7197"/>
        <v>n/a</v>
      </c>
      <c r="BS515" s="214" t="str">
        <f t="shared" si="7197"/>
        <v>n/a</v>
      </c>
      <c r="BT515" s="225" t="str">
        <f t="shared" si="7197"/>
        <v>n/a</v>
      </c>
      <c r="BU515" s="225" t="str">
        <f t="shared" si="7197"/>
        <v>n/a</v>
      </c>
      <c r="BV515" s="225" t="str">
        <f t="shared" si="7197"/>
        <v>n/a</v>
      </c>
      <c r="BW515" s="225" t="str">
        <f t="shared" si="7197"/>
        <v>n/a</v>
      </c>
      <c r="BX515" s="225" t="str">
        <f t="shared" si="7197"/>
        <v>n/a</v>
      </c>
      <c r="BY515" s="225" t="str">
        <f t="shared" si="7197"/>
        <v>n/a</v>
      </c>
      <c r="BZ515" s="225" t="str">
        <f t="shared" si="7197"/>
        <v>n/a</v>
      </c>
      <c r="CA515" s="225" t="str">
        <f t="shared" si="7197"/>
        <v>n/a</v>
      </c>
      <c r="CB515" s="225" t="str">
        <f t="shared" si="7197"/>
        <v>n/a</v>
      </c>
      <c r="CC515" s="225" t="str">
        <f t="shared" si="7197"/>
        <v>n/a</v>
      </c>
      <c r="CD515" s="225" t="str">
        <f t="shared" si="7197"/>
        <v>n/a</v>
      </c>
      <c r="CE515" s="214" t="str">
        <f t="shared" si="7197"/>
        <v>n/a</v>
      </c>
      <c r="CF515" s="225" t="str">
        <f t="shared" si="7197"/>
        <v>n/a</v>
      </c>
      <c r="CG515" s="225" t="str">
        <f t="shared" si="7197"/>
        <v>n/a</v>
      </c>
      <c r="CH515" s="225" t="str">
        <f t="shared" si="7197"/>
        <v>n/a</v>
      </c>
      <c r="CI515" s="225" t="str">
        <f t="shared" ref="CI515:DN515" si="7198">++IFERROR(CI513/BW268-1,"n/a")</f>
        <v>n/a</v>
      </c>
      <c r="CJ515" s="225" t="str">
        <f t="shared" si="7198"/>
        <v>n/a</v>
      </c>
      <c r="CK515" s="225" t="str">
        <f t="shared" si="7198"/>
        <v>n/a</v>
      </c>
      <c r="CL515" s="225" t="str">
        <f t="shared" si="7198"/>
        <v>n/a</v>
      </c>
      <c r="CM515" s="225" t="str">
        <f t="shared" si="7198"/>
        <v>n/a</v>
      </c>
      <c r="CN515" s="225" t="str">
        <f t="shared" si="7198"/>
        <v>n/a</v>
      </c>
      <c r="CO515" s="225" t="str">
        <f t="shared" si="7198"/>
        <v>n/a</v>
      </c>
      <c r="CP515" s="225" t="str">
        <f t="shared" si="7198"/>
        <v>n/a</v>
      </c>
      <c r="CQ515" s="214" t="str">
        <f t="shared" si="7198"/>
        <v>n/a</v>
      </c>
      <c r="CR515" s="225" t="str">
        <f t="shared" si="7198"/>
        <v>n/a</v>
      </c>
      <c r="CS515" s="225" t="str">
        <f t="shared" si="7198"/>
        <v>n/a</v>
      </c>
      <c r="CT515" s="225" t="str">
        <f t="shared" si="7198"/>
        <v>n/a</v>
      </c>
      <c r="CU515" s="225" t="str">
        <f t="shared" si="7198"/>
        <v>n/a</v>
      </c>
      <c r="CV515" s="225" t="str">
        <f t="shared" si="7198"/>
        <v>n/a</v>
      </c>
      <c r="CW515" s="225" t="str">
        <f t="shared" si="7198"/>
        <v>n/a</v>
      </c>
      <c r="CX515" s="225" t="str">
        <f t="shared" si="7198"/>
        <v>n/a</v>
      </c>
      <c r="CY515" s="225" t="str">
        <f t="shared" si="7198"/>
        <v>n/a</v>
      </c>
      <c r="CZ515" s="225" t="str">
        <f t="shared" si="7198"/>
        <v>n/a</v>
      </c>
      <c r="DA515" s="225" t="str">
        <f t="shared" si="7198"/>
        <v>n/a</v>
      </c>
      <c r="DB515" s="225" t="str">
        <f t="shared" si="7198"/>
        <v>n/a</v>
      </c>
      <c r="DC515" s="214" t="str">
        <f t="shared" si="7198"/>
        <v>n/a</v>
      </c>
    </row>
    <row r="516" spans="3:107" x14ac:dyDescent="0.3">
      <c r="G516" s="203"/>
      <c r="K516" s="203"/>
      <c r="W516" s="203"/>
      <c r="AI516" s="203"/>
      <c r="AU516" s="203"/>
      <c r="BG516" s="203"/>
      <c r="BS516" s="203"/>
      <c r="CE516" s="203"/>
      <c r="CQ516" s="203"/>
      <c r="DC516" s="203"/>
    </row>
    <row r="517" spans="3:107" x14ac:dyDescent="0.3">
      <c r="C517" s="101" t="str">
        <f>++C$27</f>
        <v>Interest Expense (Income)</v>
      </c>
      <c r="G517" s="45">
        <v>0</v>
      </c>
      <c r="H517" s="45">
        <v>0</v>
      </c>
      <c r="I517" s="45">
        <v>0</v>
      </c>
      <c r="J517" s="45">
        <v>0</v>
      </c>
      <c r="K517" s="45">
        <v>0</v>
      </c>
      <c r="L517" s="45">
        <v>0</v>
      </c>
      <c r="M517" s="45">
        <v>0</v>
      </c>
      <c r="N517" s="45">
        <v>0</v>
      </c>
      <c r="O517" s="45">
        <v>0</v>
      </c>
      <c r="P517" s="45">
        <v>0</v>
      </c>
      <c r="Q517" s="45">
        <v>0</v>
      </c>
      <c r="R517" s="45">
        <v>0</v>
      </c>
      <c r="S517" s="45">
        <v>0</v>
      </c>
      <c r="T517" s="45">
        <v>0</v>
      </c>
      <c r="U517" s="45">
        <v>0</v>
      </c>
      <c r="V517" s="45">
        <v>0</v>
      </c>
      <c r="W517" s="45">
        <v>0</v>
      </c>
      <c r="X517" s="45">
        <v>0</v>
      </c>
      <c r="Y517" s="45">
        <v>0</v>
      </c>
      <c r="Z517" s="45">
        <v>0</v>
      </c>
      <c r="AA517" s="45">
        <v>0</v>
      </c>
      <c r="AB517" s="45">
        <v>0</v>
      </c>
      <c r="AC517" s="45">
        <v>0</v>
      </c>
      <c r="AD517" s="45">
        <v>0</v>
      </c>
      <c r="AE517" s="45">
        <v>0</v>
      </c>
      <c r="AF517" s="45">
        <v>0</v>
      </c>
      <c r="AG517" s="45">
        <v>0</v>
      </c>
      <c r="AH517" s="45">
        <v>0</v>
      </c>
      <c r="AI517" s="45">
        <v>0</v>
      </c>
      <c r="AJ517" s="45">
        <v>0</v>
      </c>
      <c r="AK517" s="45">
        <v>0</v>
      </c>
      <c r="AL517" s="45">
        <v>0</v>
      </c>
      <c r="AM517" s="45">
        <v>0</v>
      </c>
      <c r="AN517" s="45">
        <v>0</v>
      </c>
      <c r="AO517" s="45">
        <v>0</v>
      </c>
      <c r="AP517" s="45">
        <v>0</v>
      </c>
      <c r="AQ517" s="45">
        <v>0</v>
      </c>
      <c r="AR517" s="45">
        <v>0</v>
      </c>
      <c r="AS517" s="45">
        <v>0</v>
      </c>
      <c r="AT517" s="45">
        <v>0</v>
      </c>
      <c r="AU517" s="45">
        <v>0</v>
      </c>
      <c r="AV517" s="45">
        <v>0</v>
      </c>
      <c r="AW517" s="45">
        <v>0</v>
      </c>
      <c r="AX517" s="45">
        <v>0</v>
      </c>
      <c r="AY517" s="45">
        <v>0</v>
      </c>
      <c r="AZ517" s="45">
        <v>0</v>
      </c>
      <c r="BA517" s="45">
        <v>0</v>
      </c>
      <c r="BB517" s="45">
        <v>0</v>
      </c>
      <c r="BC517" s="45">
        <v>0</v>
      </c>
      <c r="BD517" s="45">
        <v>0</v>
      </c>
      <c r="BE517" s="45">
        <v>0</v>
      </c>
      <c r="BF517" s="45">
        <v>0</v>
      </c>
      <c r="BG517" s="45">
        <v>0</v>
      </c>
      <c r="BH517" s="45">
        <v>0</v>
      </c>
      <c r="BI517" s="45">
        <v>0</v>
      </c>
      <c r="BJ517" s="45">
        <v>0</v>
      </c>
      <c r="BK517" s="45">
        <v>0</v>
      </c>
      <c r="BL517" s="45">
        <v>0</v>
      </c>
      <c r="BM517" s="45">
        <v>0</v>
      </c>
      <c r="BN517" s="45">
        <v>0</v>
      </c>
      <c r="BO517" s="45">
        <v>0</v>
      </c>
      <c r="BP517" s="45">
        <v>0</v>
      </c>
      <c r="BQ517" s="45">
        <v>0</v>
      </c>
      <c r="BR517" s="45">
        <v>0</v>
      </c>
      <c r="BS517" s="45">
        <v>0</v>
      </c>
      <c r="BT517" s="45">
        <v>0</v>
      </c>
      <c r="BU517" s="45">
        <v>0</v>
      </c>
      <c r="BV517" s="45">
        <v>0</v>
      </c>
      <c r="BW517" s="45">
        <v>0</v>
      </c>
      <c r="BX517" s="45">
        <v>0</v>
      </c>
      <c r="BY517" s="45">
        <v>0</v>
      </c>
      <c r="BZ517" s="45">
        <v>0</v>
      </c>
      <c r="CA517" s="45">
        <v>0</v>
      </c>
      <c r="CB517" s="45">
        <v>0</v>
      </c>
      <c r="CC517" s="45">
        <v>0</v>
      </c>
      <c r="CD517" s="45">
        <v>0</v>
      </c>
      <c r="CE517" s="45">
        <v>0</v>
      </c>
      <c r="CF517" s="45">
        <v>0</v>
      </c>
      <c r="CG517" s="45">
        <v>0</v>
      </c>
      <c r="CH517" s="45">
        <v>0</v>
      </c>
      <c r="CI517" s="45">
        <v>0</v>
      </c>
      <c r="CJ517" s="45">
        <v>0</v>
      </c>
      <c r="CK517" s="45">
        <v>0</v>
      </c>
      <c r="CL517" s="45">
        <v>0</v>
      </c>
      <c r="CM517" s="45">
        <v>0</v>
      </c>
      <c r="CN517" s="45">
        <v>0</v>
      </c>
      <c r="CO517" s="45">
        <v>0</v>
      </c>
      <c r="CP517" s="45">
        <v>0</v>
      </c>
      <c r="CQ517" s="45">
        <v>0</v>
      </c>
      <c r="CR517" s="45">
        <v>0</v>
      </c>
      <c r="CS517" s="45">
        <v>0</v>
      </c>
      <c r="CT517" s="45">
        <v>0</v>
      </c>
      <c r="CU517" s="45">
        <v>0</v>
      </c>
      <c r="CV517" s="45">
        <v>0</v>
      </c>
      <c r="CW517" s="45">
        <v>0</v>
      </c>
      <c r="CX517" s="45">
        <v>0</v>
      </c>
      <c r="CY517" s="45">
        <v>0</v>
      </c>
      <c r="CZ517" s="45">
        <v>0</v>
      </c>
      <c r="DA517" s="45">
        <v>0</v>
      </c>
      <c r="DB517" s="45">
        <v>0</v>
      </c>
      <c r="DC517" s="45">
        <v>0</v>
      </c>
    </row>
    <row r="518" spans="3:107" x14ac:dyDescent="0.3">
      <c r="C518" s="101" t="str">
        <f>++C$28</f>
        <v>Other Expense (Income)</v>
      </c>
      <c r="G518" s="45">
        <v>0</v>
      </c>
      <c r="H518" s="45">
        <v>0</v>
      </c>
      <c r="I518" s="45">
        <v>0</v>
      </c>
      <c r="J518" s="45">
        <v>0</v>
      </c>
      <c r="K518" s="45">
        <v>0</v>
      </c>
      <c r="L518" s="45">
        <v>0</v>
      </c>
      <c r="M518" s="45">
        <v>0</v>
      </c>
      <c r="N518" s="45">
        <v>0</v>
      </c>
      <c r="O518" s="45">
        <v>0</v>
      </c>
      <c r="P518" s="45">
        <v>0</v>
      </c>
      <c r="Q518" s="45">
        <v>0</v>
      </c>
      <c r="R518" s="45">
        <v>0</v>
      </c>
      <c r="S518" s="45">
        <v>0</v>
      </c>
      <c r="T518" s="45">
        <v>0</v>
      </c>
      <c r="U518" s="45">
        <v>0</v>
      </c>
      <c r="V518" s="45">
        <v>0</v>
      </c>
      <c r="W518" s="45">
        <v>0</v>
      </c>
      <c r="X518" s="45">
        <v>0</v>
      </c>
      <c r="Y518" s="45">
        <v>0</v>
      </c>
      <c r="Z518" s="45">
        <v>0</v>
      </c>
      <c r="AA518" s="45">
        <v>0</v>
      </c>
      <c r="AB518" s="45">
        <v>0</v>
      </c>
      <c r="AC518" s="45">
        <v>0</v>
      </c>
      <c r="AD518" s="45">
        <v>0</v>
      </c>
      <c r="AE518" s="45">
        <v>0</v>
      </c>
      <c r="AF518" s="45">
        <v>0</v>
      </c>
      <c r="AG518" s="45">
        <v>0</v>
      </c>
      <c r="AH518" s="45">
        <v>0</v>
      </c>
      <c r="AI518" s="45">
        <v>0</v>
      </c>
      <c r="AJ518" s="45">
        <v>0</v>
      </c>
      <c r="AK518" s="45">
        <v>0</v>
      </c>
      <c r="AL518" s="45">
        <v>0</v>
      </c>
      <c r="AM518" s="45">
        <v>0</v>
      </c>
      <c r="AN518" s="45">
        <v>0</v>
      </c>
      <c r="AO518" s="45">
        <v>0</v>
      </c>
      <c r="AP518" s="45">
        <v>0</v>
      </c>
      <c r="AQ518" s="45">
        <v>0</v>
      </c>
      <c r="AR518" s="45">
        <v>0</v>
      </c>
      <c r="AS518" s="45">
        <v>0</v>
      </c>
      <c r="AT518" s="45">
        <v>0</v>
      </c>
      <c r="AU518" s="45">
        <v>0</v>
      </c>
      <c r="AV518" s="45">
        <v>0</v>
      </c>
      <c r="AW518" s="45">
        <v>0</v>
      </c>
      <c r="AX518" s="45">
        <v>0</v>
      </c>
      <c r="AY518" s="45">
        <v>0</v>
      </c>
      <c r="AZ518" s="45">
        <v>0</v>
      </c>
      <c r="BA518" s="45">
        <v>0</v>
      </c>
      <c r="BB518" s="45">
        <v>0</v>
      </c>
      <c r="BC518" s="45">
        <v>0</v>
      </c>
      <c r="BD518" s="45">
        <v>0</v>
      </c>
      <c r="BE518" s="45">
        <v>0</v>
      </c>
      <c r="BF518" s="45">
        <v>0</v>
      </c>
      <c r="BG518" s="45">
        <v>0</v>
      </c>
      <c r="BH518" s="45">
        <v>0</v>
      </c>
      <c r="BI518" s="45">
        <v>0</v>
      </c>
      <c r="BJ518" s="45">
        <v>0</v>
      </c>
      <c r="BK518" s="45">
        <v>0</v>
      </c>
      <c r="BL518" s="45">
        <v>0</v>
      </c>
      <c r="BM518" s="45">
        <v>0</v>
      </c>
      <c r="BN518" s="45">
        <v>0</v>
      </c>
      <c r="BO518" s="45">
        <v>0</v>
      </c>
      <c r="BP518" s="45">
        <v>0</v>
      </c>
      <c r="BQ518" s="45">
        <v>0</v>
      </c>
      <c r="BR518" s="45">
        <v>0</v>
      </c>
      <c r="BS518" s="45">
        <v>0</v>
      </c>
      <c r="BT518" s="45">
        <v>0</v>
      </c>
      <c r="BU518" s="45">
        <v>0</v>
      </c>
      <c r="BV518" s="45">
        <v>0</v>
      </c>
      <c r="BW518" s="45">
        <v>0</v>
      </c>
      <c r="BX518" s="45">
        <v>0</v>
      </c>
      <c r="BY518" s="45">
        <v>0</v>
      </c>
      <c r="BZ518" s="45">
        <v>0</v>
      </c>
      <c r="CA518" s="45">
        <v>0</v>
      </c>
      <c r="CB518" s="45">
        <v>0</v>
      </c>
      <c r="CC518" s="45">
        <v>0</v>
      </c>
      <c r="CD518" s="45">
        <v>0</v>
      </c>
      <c r="CE518" s="45">
        <v>0</v>
      </c>
      <c r="CF518" s="45">
        <v>0</v>
      </c>
      <c r="CG518" s="45">
        <v>0</v>
      </c>
      <c r="CH518" s="45">
        <v>0</v>
      </c>
      <c r="CI518" s="45">
        <v>0</v>
      </c>
      <c r="CJ518" s="45">
        <v>0</v>
      </c>
      <c r="CK518" s="45">
        <v>0</v>
      </c>
      <c r="CL518" s="45">
        <v>0</v>
      </c>
      <c r="CM518" s="45">
        <v>0</v>
      </c>
      <c r="CN518" s="45">
        <v>0</v>
      </c>
      <c r="CO518" s="45">
        <v>0</v>
      </c>
      <c r="CP518" s="45">
        <v>0</v>
      </c>
      <c r="CQ518" s="45">
        <v>0</v>
      </c>
      <c r="CR518" s="45">
        <v>0</v>
      </c>
      <c r="CS518" s="45">
        <v>0</v>
      </c>
      <c r="CT518" s="45">
        <v>0</v>
      </c>
      <c r="CU518" s="45">
        <v>0</v>
      </c>
      <c r="CV518" s="45">
        <v>0</v>
      </c>
      <c r="CW518" s="45">
        <v>0</v>
      </c>
      <c r="CX518" s="45">
        <v>0</v>
      </c>
      <c r="CY518" s="45">
        <v>0</v>
      </c>
      <c r="CZ518" s="45">
        <v>0</v>
      </c>
      <c r="DA518" s="45">
        <v>0</v>
      </c>
      <c r="DB518" s="45">
        <v>0</v>
      </c>
      <c r="DC518" s="45">
        <v>0</v>
      </c>
    </row>
    <row r="519" spans="3:107" x14ac:dyDescent="0.3">
      <c r="C519" s="231" t="str">
        <f>++C$29</f>
        <v>Pre-Tax Income (Loss)</v>
      </c>
      <c r="D519" s="191"/>
      <c r="E519" s="191"/>
      <c r="G519" s="239">
        <f>++SUM(G523,G526)</f>
        <v>0</v>
      </c>
      <c r="H519" s="232">
        <f t="shared" ref="H519:BS519" si="7199">++SUM(H523,H526)</f>
        <v>0</v>
      </c>
      <c r="I519" s="232">
        <f t="shared" si="7199"/>
        <v>0</v>
      </c>
      <c r="J519" s="232">
        <f t="shared" si="7199"/>
        <v>0</v>
      </c>
      <c r="K519" s="239">
        <f t="shared" si="7199"/>
        <v>0</v>
      </c>
      <c r="L519" s="232">
        <f t="shared" si="7199"/>
        <v>0</v>
      </c>
      <c r="M519" s="232">
        <f t="shared" si="7199"/>
        <v>0</v>
      </c>
      <c r="N519" s="232">
        <f t="shared" si="7199"/>
        <v>0</v>
      </c>
      <c r="O519" s="232">
        <f t="shared" si="7199"/>
        <v>0</v>
      </c>
      <c r="P519" s="232">
        <f t="shared" si="7199"/>
        <v>0</v>
      </c>
      <c r="Q519" s="232">
        <f t="shared" si="7199"/>
        <v>0</v>
      </c>
      <c r="R519" s="232">
        <f t="shared" si="7199"/>
        <v>0</v>
      </c>
      <c r="S519" s="232">
        <f t="shared" si="7199"/>
        <v>0</v>
      </c>
      <c r="T519" s="232">
        <f t="shared" si="7199"/>
        <v>0</v>
      </c>
      <c r="U519" s="232">
        <f t="shared" si="7199"/>
        <v>0</v>
      </c>
      <c r="V519" s="232">
        <f t="shared" si="7199"/>
        <v>0</v>
      </c>
      <c r="W519" s="239">
        <f t="shared" si="7199"/>
        <v>0</v>
      </c>
      <c r="X519" s="232">
        <f t="shared" si="7199"/>
        <v>0</v>
      </c>
      <c r="Y519" s="232">
        <f t="shared" si="7199"/>
        <v>0</v>
      </c>
      <c r="Z519" s="232">
        <f t="shared" si="7199"/>
        <v>0</v>
      </c>
      <c r="AA519" s="232">
        <f t="shared" si="7199"/>
        <v>0</v>
      </c>
      <c r="AB519" s="232">
        <f t="shared" si="7199"/>
        <v>0</v>
      </c>
      <c r="AC519" s="232">
        <f t="shared" si="7199"/>
        <v>0</v>
      </c>
      <c r="AD519" s="232">
        <f t="shared" si="7199"/>
        <v>0</v>
      </c>
      <c r="AE519" s="232">
        <f t="shared" si="7199"/>
        <v>0</v>
      </c>
      <c r="AF519" s="232">
        <f t="shared" si="7199"/>
        <v>0</v>
      </c>
      <c r="AG519" s="232">
        <f t="shared" si="7199"/>
        <v>0</v>
      </c>
      <c r="AH519" s="232">
        <f t="shared" si="7199"/>
        <v>0</v>
      </c>
      <c r="AI519" s="239">
        <f t="shared" si="7199"/>
        <v>0</v>
      </c>
      <c r="AJ519" s="232">
        <f t="shared" si="7199"/>
        <v>0</v>
      </c>
      <c r="AK519" s="232">
        <f t="shared" si="7199"/>
        <v>0</v>
      </c>
      <c r="AL519" s="232">
        <f t="shared" si="7199"/>
        <v>0</v>
      </c>
      <c r="AM519" s="232">
        <f t="shared" si="7199"/>
        <v>0</v>
      </c>
      <c r="AN519" s="232">
        <f t="shared" si="7199"/>
        <v>0</v>
      </c>
      <c r="AO519" s="232">
        <f t="shared" si="7199"/>
        <v>0</v>
      </c>
      <c r="AP519" s="232">
        <f t="shared" si="7199"/>
        <v>0</v>
      </c>
      <c r="AQ519" s="232">
        <f t="shared" si="7199"/>
        <v>0</v>
      </c>
      <c r="AR519" s="232">
        <f t="shared" si="7199"/>
        <v>0</v>
      </c>
      <c r="AS519" s="232">
        <f t="shared" si="7199"/>
        <v>0</v>
      </c>
      <c r="AT519" s="232">
        <f t="shared" si="7199"/>
        <v>0</v>
      </c>
      <c r="AU519" s="239">
        <f t="shared" si="7199"/>
        <v>0</v>
      </c>
      <c r="AV519" s="232">
        <f t="shared" si="7199"/>
        <v>0</v>
      </c>
      <c r="AW519" s="232">
        <f t="shared" si="7199"/>
        <v>0</v>
      </c>
      <c r="AX519" s="232">
        <f t="shared" si="7199"/>
        <v>0</v>
      </c>
      <c r="AY519" s="232">
        <f t="shared" si="7199"/>
        <v>0</v>
      </c>
      <c r="AZ519" s="232">
        <f t="shared" si="7199"/>
        <v>0</v>
      </c>
      <c r="BA519" s="232">
        <f t="shared" si="7199"/>
        <v>0</v>
      </c>
      <c r="BB519" s="232">
        <f t="shared" si="7199"/>
        <v>0</v>
      </c>
      <c r="BC519" s="232">
        <f t="shared" si="7199"/>
        <v>0</v>
      </c>
      <c r="BD519" s="232">
        <f t="shared" si="7199"/>
        <v>0</v>
      </c>
      <c r="BE519" s="232">
        <f t="shared" si="7199"/>
        <v>0</v>
      </c>
      <c r="BF519" s="232">
        <f t="shared" si="7199"/>
        <v>0</v>
      </c>
      <c r="BG519" s="239">
        <f t="shared" si="7199"/>
        <v>0</v>
      </c>
      <c r="BH519" s="232">
        <f t="shared" si="7199"/>
        <v>0</v>
      </c>
      <c r="BI519" s="232">
        <f t="shared" si="7199"/>
        <v>0</v>
      </c>
      <c r="BJ519" s="232">
        <f t="shared" si="7199"/>
        <v>0</v>
      </c>
      <c r="BK519" s="232">
        <f t="shared" si="7199"/>
        <v>0</v>
      </c>
      <c r="BL519" s="232">
        <f t="shared" si="7199"/>
        <v>0</v>
      </c>
      <c r="BM519" s="232">
        <f t="shared" si="7199"/>
        <v>0</v>
      </c>
      <c r="BN519" s="232">
        <f t="shared" si="7199"/>
        <v>0</v>
      </c>
      <c r="BO519" s="232">
        <f t="shared" si="7199"/>
        <v>0</v>
      </c>
      <c r="BP519" s="232">
        <f t="shared" si="7199"/>
        <v>0</v>
      </c>
      <c r="BQ519" s="232">
        <f t="shared" si="7199"/>
        <v>0</v>
      </c>
      <c r="BR519" s="232">
        <f t="shared" si="7199"/>
        <v>0</v>
      </c>
      <c r="BS519" s="239">
        <f t="shared" si="7199"/>
        <v>0</v>
      </c>
      <c r="BT519" s="232">
        <f t="shared" ref="BT519:DC519" si="7200">++SUM(BT523,BT526)</f>
        <v>0</v>
      </c>
      <c r="BU519" s="232">
        <f t="shared" si="7200"/>
        <v>0</v>
      </c>
      <c r="BV519" s="232">
        <f t="shared" si="7200"/>
        <v>0</v>
      </c>
      <c r="BW519" s="232">
        <f t="shared" si="7200"/>
        <v>0</v>
      </c>
      <c r="BX519" s="232">
        <f t="shared" si="7200"/>
        <v>0</v>
      </c>
      <c r="BY519" s="232">
        <f t="shared" si="7200"/>
        <v>0</v>
      </c>
      <c r="BZ519" s="232">
        <f t="shared" si="7200"/>
        <v>0</v>
      </c>
      <c r="CA519" s="232">
        <f t="shared" si="7200"/>
        <v>0</v>
      </c>
      <c r="CB519" s="232">
        <f t="shared" si="7200"/>
        <v>0</v>
      </c>
      <c r="CC519" s="232">
        <f t="shared" si="7200"/>
        <v>0</v>
      </c>
      <c r="CD519" s="232">
        <f t="shared" si="7200"/>
        <v>0</v>
      </c>
      <c r="CE519" s="239">
        <f t="shared" si="7200"/>
        <v>0</v>
      </c>
      <c r="CF519" s="232">
        <f t="shared" si="7200"/>
        <v>0</v>
      </c>
      <c r="CG519" s="232">
        <f t="shared" si="7200"/>
        <v>0</v>
      </c>
      <c r="CH519" s="232">
        <f t="shared" si="7200"/>
        <v>0</v>
      </c>
      <c r="CI519" s="232">
        <f t="shared" si="7200"/>
        <v>0</v>
      </c>
      <c r="CJ519" s="232">
        <f t="shared" si="7200"/>
        <v>0</v>
      </c>
      <c r="CK519" s="232">
        <f t="shared" si="7200"/>
        <v>0</v>
      </c>
      <c r="CL519" s="232">
        <f t="shared" si="7200"/>
        <v>0</v>
      </c>
      <c r="CM519" s="232">
        <f t="shared" si="7200"/>
        <v>0</v>
      </c>
      <c r="CN519" s="232">
        <f t="shared" si="7200"/>
        <v>0</v>
      </c>
      <c r="CO519" s="232">
        <f t="shared" si="7200"/>
        <v>0</v>
      </c>
      <c r="CP519" s="232">
        <f t="shared" si="7200"/>
        <v>0</v>
      </c>
      <c r="CQ519" s="239">
        <f t="shared" si="7200"/>
        <v>0</v>
      </c>
      <c r="CR519" s="232">
        <f t="shared" si="7200"/>
        <v>0</v>
      </c>
      <c r="CS519" s="232">
        <f t="shared" si="7200"/>
        <v>0</v>
      </c>
      <c r="CT519" s="232">
        <f t="shared" si="7200"/>
        <v>0</v>
      </c>
      <c r="CU519" s="232">
        <f t="shared" si="7200"/>
        <v>0</v>
      </c>
      <c r="CV519" s="232">
        <f t="shared" si="7200"/>
        <v>0</v>
      </c>
      <c r="CW519" s="232">
        <f t="shared" si="7200"/>
        <v>0</v>
      </c>
      <c r="CX519" s="232">
        <f t="shared" si="7200"/>
        <v>0</v>
      </c>
      <c r="CY519" s="232">
        <f t="shared" si="7200"/>
        <v>0</v>
      </c>
      <c r="CZ519" s="232">
        <f t="shared" si="7200"/>
        <v>0</v>
      </c>
      <c r="DA519" s="232">
        <f t="shared" si="7200"/>
        <v>0</v>
      </c>
      <c r="DB519" s="232">
        <f t="shared" si="7200"/>
        <v>0</v>
      </c>
      <c r="DC519" s="239">
        <f t="shared" si="7200"/>
        <v>0</v>
      </c>
    </row>
    <row r="520" spans="3:107" x14ac:dyDescent="0.3">
      <c r="C520" s="321" t="str">
        <f>++C$30</f>
        <v>% margin</v>
      </c>
      <c r="G520" s="214" t="str">
        <f t="shared" ref="G520:AL520" si="7201">++IFERROR(G519/G500,"n/a")</f>
        <v>n/a</v>
      </c>
      <c r="H520" s="225" t="str">
        <f t="shared" si="7201"/>
        <v>n/a</v>
      </c>
      <c r="I520" s="225" t="str">
        <f t="shared" si="7201"/>
        <v>n/a</v>
      </c>
      <c r="J520" s="225" t="str">
        <f t="shared" si="7201"/>
        <v>n/a</v>
      </c>
      <c r="K520" s="214" t="str">
        <f t="shared" si="7201"/>
        <v>n/a</v>
      </c>
      <c r="L520" s="225" t="str">
        <f t="shared" si="7201"/>
        <v>n/a</v>
      </c>
      <c r="M520" s="225" t="str">
        <f t="shared" si="7201"/>
        <v>n/a</v>
      </c>
      <c r="N520" s="225" t="str">
        <f t="shared" si="7201"/>
        <v>n/a</v>
      </c>
      <c r="O520" s="225" t="str">
        <f t="shared" si="7201"/>
        <v>n/a</v>
      </c>
      <c r="P520" s="225" t="str">
        <f t="shared" si="7201"/>
        <v>n/a</v>
      </c>
      <c r="Q520" s="225" t="str">
        <f t="shared" si="7201"/>
        <v>n/a</v>
      </c>
      <c r="R520" s="225" t="str">
        <f t="shared" si="7201"/>
        <v>n/a</v>
      </c>
      <c r="S520" s="225" t="str">
        <f t="shared" si="7201"/>
        <v>n/a</v>
      </c>
      <c r="T520" s="225" t="str">
        <f t="shared" si="7201"/>
        <v>n/a</v>
      </c>
      <c r="U520" s="225" t="str">
        <f t="shared" si="7201"/>
        <v>n/a</v>
      </c>
      <c r="V520" s="225" t="str">
        <f t="shared" si="7201"/>
        <v>n/a</v>
      </c>
      <c r="W520" s="214" t="str">
        <f t="shared" si="7201"/>
        <v>n/a</v>
      </c>
      <c r="X520" s="225" t="str">
        <f t="shared" si="7201"/>
        <v>n/a</v>
      </c>
      <c r="Y520" s="225" t="str">
        <f t="shared" si="7201"/>
        <v>n/a</v>
      </c>
      <c r="Z520" s="225" t="str">
        <f t="shared" si="7201"/>
        <v>n/a</v>
      </c>
      <c r="AA520" s="225" t="str">
        <f t="shared" si="7201"/>
        <v>n/a</v>
      </c>
      <c r="AB520" s="225" t="str">
        <f t="shared" si="7201"/>
        <v>n/a</v>
      </c>
      <c r="AC520" s="225" t="str">
        <f t="shared" si="7201"/>
        <v>n/a</v>
      </c>
      <c r="AD520" s="225" t="str">
        <f t="shared" si="7201"/>
        <v>n/a</v>
      </c>
      <c r="AE520" s="225" t="str">
        <f t="shared" si="7201"/>
        <v>n/a</v>
      </c>
      <c r="AF520" s="225" t="str">
        <f t="shared" si="7201"/>
        <v>n/a</v>
      </c>
      <c r="AG520" s="225" t="str">
        <f t="shared" si="7201"/>
        <v>n/a</v>
      </c>
      <c r="AH520" s="225" t="str">
        <f t="shared" si="7201"/>
        <v>n/a</v>
      </c>
      <c r="AI520" s="214" t="str">
        <f t="shared" si="7201"/>
        <v>n/a</v>
      </c>
      <c r="AJ520" s="225" t="str">
        <f t="shared" si="7201"/>
        <v>n/a</v>
      </c>
      <c r="AK520" s="225" t="str">
        <f t="shared" si="7201"/>
        <v>n/a</v>
      </c>
      <c r="AL520" s="225" t="str">
        <f t="shared" si="7201"/>
        <v>n/a</v>
      </c>
      <c r="AM520" s="225" t="str">
        <f t="shared" ref="AM520:BR520" si="7202">++IFERROR(AM519/AM500,"n/a")</f>
        <v>n/a</v>
      </c>
      <c r="AN520" s="225" t="str">
        <f t="shared" si="7202"/>
        <v>n/a</v>
      </c>
      <c r="AO520" s="225" t="str">
        <f t="shared" si="7202"/>
        <v>n/a</v>
      </c>
      <c r="AP520" s="225" t="str">
        <f t="shared" si="7202"/>
        <v>n/a</v>
      </c>
      <c r="AQ520" s="225" t="str">
        <f t="shared" si="7202"/>
        <v>n/a</v>
      </c>
      <c r="AR520" s="225" t="str">
        <f t="shared" si="7202"/>
        <v>n/a</v>
      </c>
      <c r="AS520" s="225" t="str">
        <f t="shared" si="7202"/>
        <v>n/a</v>
      </c>
      <c r="AT520" s="225" t="str">
        <f t="shared" si="7202"/>
        <v>n/a</v>
      </c>
      <c r="AU520" s="214" t="str">
        <f t="shared" si="7202"/>
        <v>n/a</v>
      </c>
      <c r="AV520" s="225" t="str">
        <f t="shared" si="7202"/>
        <v>n/a</v>
      </c>
      <c r="AW520" s="225" t="str">
        <f t="shared" si="7202"/>
        <v>n/a</v>
      </c>
      <c r="AX520" s="225" t="str">
        <f t="shared" si="7202"/>
        <v>n/a</v>
      </c>
      <c r="AY520" s="225" t="str">
        <f t="shared" si="7202"/>
        <v>n/a</v>
      </c>
      <c r="AZ520" s="225" t="str">
        <f t="shared" si="7202"/>
        <v>n/a</v>
      </c>
      <c r="BA520" s="225" t="str">
        <f t="shared" si="7202"/>
        <v>n/a</v>
      </c>
      <c r="BB520" s="225" t="str">
        <f t="shared" si="7202"/>
        <v>n/a</v>
      </c>
      <c r="BC520" s="225" t="str">
        <f t="shared" si="7202"/>
        <v>n/a</v>
      </c>
      <c r="BD520" s="225" t="str">
        <f t="shared" si="7202"/>
        <v>n/a</v>
      </c>
      <c r="BE520" s="225" t="str">
        <f t="shared" si="7202"/>
        <v>n/a</v>
      </c>
      <c r="BF520" s="225" t="str">
        <f t="shared" si="7202"/>
        <v>n/a</v>
      </c>
      <c r="BG520" s="214" t="str">
        <f t="shared" si="7202"/>
        <v>n/a</v>
      </c>
      <c r="BH520" s="225" t="str">
        <f t="shared" si="7202"/>
        <v>n/a</v>
      </c>
      <c r="BI520" s="225" t="str">
        <f t="shared" si="7202"/>
        <v>n/a</v>
      </c>
      <c r="BJ520" s="225" t="str">
        <f t="shared" si="7202"/>
        <v>n/a</v>
      </c>
      <c r="BK520" s="225" t="str">
        <f t="shared" si="7202"/>
        <v>n/a</v>
      </c>
      <c r="BL520" s="225" t="str">
        <f t="shared" si="7202"/>
        <v>n/a</v>
      </c>
      <c r="BM520" s="225" t="str">
        <f t="shared" si="7202"/>
        <v>n/a</v>
      </c>
      <c r="BN520" s="225" t="str">
        <f t="shared" si="7202"/>
        <v>n/a</v>
      </c>
      <c r="BO520" s="225" t="str">
        <f t="shared" si="7202"/>
        <v>n/a</v>
      </c>
      <c r="BP520" s="225" t="str">
        <f t="shared" si="7202"/>
        <v>n/a</v>
      </c>
      <c r="BQ520" s="225" t="str">
        <f t="shared" si="7202"/>
        <v>n/a</v>
      </c>
      <c r="BR520" s="225" t="str">
        <f t="shared" si="7202"/>
        <v>n/a</v>
      </c>
      <c r="BS520" s="214" t="str">
        <f t="shared" ref="BS520:CX520" si="7203">++IFERROR(BS519/BS500,"n/a")</f>
        <v>n/a</v>
      </c>
      <c r="BT520" s="225" t="str">
        <f t="shared" si="7203"/>
        <v>n/a</v>
      </c>
      <c r="BU520" s="225" t="str">
        <f t="shared" si="7203"/>
        <v>n/a</v>
      </c>
      <c r="BV520" s="225" t="str">
        <f t="shared" si="7203"/>
        <v>n/a</v>
      </c>
      <c r="BW520" s="225" t="str">
        <f t="shared" si="7203"/>
        <v>n/a</v>
      </c>
      <c r="BX520" s="225" t="str">
        <f t="shared" si="7203"/>
        <v>n/a</v>
      </c>
      <c r="BY520" s="225" t="str">
        <f t="shared" si="7203"/>
        <v>n/a</v>
      </c>
      <c r="BZ520" s="225" t="str">
        <f t="shared" si="7203"/>
        <v>n/a</v>
      </c>
      <c r="CA520" s="225" t="str">
        <f t="shared" si="7203"/>
        <v>n/a</v>
      </c>
      <c r="CB520" s="225" t="str">
        <f t="shared" si="7203"/>
        <v>n/a</v>
      </c>
      <c r="CC520" s="225" t="str">
        <f t="shared" si="7203"/>
        <v>n/a</v>
      </c>
      <c r="CD520" s="225" t="str">
        <f t="shared" si="7203"/>
        <v>n/a</v>
      </c>
      <c r="CE520" s="214" t="str">
        <f t="shared" si="7203"/>
        <v>n/a</v>
      </c>
      <c r="CF520" s="225" t="str">
        <f t="shared" si="7203"/>
        <v>n/a</v>
      </c>
      <c r="CG520" s="225" t="str">
        <f t="shared" si="7203"/>
        <v>n/a</v>
      </c>
      <c r="CH520" s="225" t="str">
        <f t="shared" si="7203"/>
        <v>n/a</v>
      </c>
      <c r="CI520" s="225" t="str">
        <f t="shared" si="7203"/>
        <v>n/a</v>
      </c>
      <c r="CJ520" s="225" t="str">
        <f t="shared" si="7203"/>
        <v>n/a</v>
      </c>
      <c r="CK520" s="225" t="str">
        <f t="shared" si="7203"/>
        <v>n/a</v>
      </c>
      <c r="CL520" s="225" t="str">
        <f t="shared" si="7203"/>
        <v>n/a</v>
      </c>
      <c r="CM520" s="225" t="str">
        <f t="shared" si="7203"/>
        <v>n/a</v>
      </c>
      <c r="CN520" s="225" t="str">
        <f t="shared" si="7203"/>
        <v>n/a</v>
      </c>
      <c r="CO520" s="225" t="str">
        <f t="shared" si="7203"/>
        <v>n/a</v>
      </c>
      <c r="CP520" s="225" t="str">
        <f t="shared" si="7203"/>
        <v>n/a</v>
      </c>
      <c r="CQ520" s="214" t="str">
        <f t="shared" si="7203"/>
        <v>n/a</v>
      </c>
      <c r="CR520" s="225" t="str">
        <f t="shared" si="7203"/>
        <v>n/a</v>
      </c>
      <c r="CS520" s="225" t="str">
        <f t="shared" si="7203"/>
        <v>n/a</v>
      </c>
      <c r="CT520" s="225" t="str">
        <f t="shared" si="7203"/>
        <v>n/a</v>
      </c>
      <c r="CU520" s="225" t="str">
        <f t="shared" si="7203"/>
        <v>n/a</v>
      </c>
      <c r="CV520" s="225" t="str">
        <f t="shared" si="7203"/>
        <v>n/a</v>
      </c>
      <c r="CW520" s="225" t="str">
        <f t="shared" si="7203"/>
        <v>n/a</v>
      </c>
      <c r="CX520" s="225" t="str">
        <f t="shared" si="7203"/>
        <v>n/a</v>
      </c>
      <c r="CY520" s="225" t="str">
        <f t="shared" ref="CY520:ED520" si="7204">++IFERROR(CY519/CY500,"n/a")</f>
        <v>n/a</v>
      </c>
      <c r="CZ520" s="225" t="str">
        <f t="shared" si="7204"/>
        <v>n/a</v>
      </c>
      <c r="DA520" s="225" t="str">
        <f t="shared" si="7204"/>
        <v>n/a</v>
      </c>
      <c r="DB520" s="225" t="str">
        <f t="shared" si="7204"/>
        <v>n/a</v>
      </c>
      <c r="DC520" s="214" t="str">
        <f t="shared" si="7204"/>
        <v>n/a</v>
      </c>
    </row>
    <row r="521" spans="3:107" x14ac:dyDescent="0.3">
      <c r="C521" s="321" t="str">
        <f>++C$31</f>
        <v>% y/y</v>
      </c>
      <c r="G521" s="122" t="s">
        <v>47</v>
      </c>
      <c r="H521" s="122" t="s">
        <v>47</v>
      </c>
      <c r="I521" s="122" t="s">
        <v>47</v>
      </c>
      <c r="J521" s="122" t="s">
        <v>47</v>
      </c>
      <c r="K521" s="214" t="str">
        <f>++IFERROR(K519/G274-1,"n/a")</f>
        <v>n/a</v>
      </c>
      <c r="L521" s="122" t="s">
        <v>47</v>
      </c>
      <c r="M521" s="122" t="s">
        <v>47</v>
      </c>
      <c r="N521" s="225" t="str">
        <f>++IFERROR(N519/H274-1,"n/a")</f>
        <v>n/a</v>
      </c>
      <c r="O521" s="122" t="s">
        <v>47</v>
      </c>
      <c r="P521" s="122" t="s">
        <v>47</v>
      </c>
      <c r="Q521" s="225" t="str">
        <f>++IFERROR(Q519/I274-1,"n/a")</f>
        <v>n/a</v>
      </c>
      <c r="R521" s="122" t="s">
        <v>47</v>
      </c>
      <c r="S521" s="122" t="s">
        <v>47</v>
      </c>
      <c r="T521" s="225" t="str">
        <f>++IFERROR(T519/J274-1,"n/a")</f>
        <v>n/a</v>
      </c>
      <c r="U521" s="122" t="s">
        <v>47</v>
      </c>
      <c r="V521" s="122" t="s">
        <v>47</v>
      </c>
      <c r="W521" s="214" t="str">
        <f t="shared" ref="W521:BB521" si="7205">++IFERROR(W519/K274-1,"n/a")</f>
        <v>n/a</v>
      </c>
      <c r="X521" s="225" t="str">
        <f t="shared" si="7205"/>
        <v>n/a</v>
      </c>
      <c r="Y521" s="225" t="str">
        <f t="shared" si="7205"/>
        <v>n/a</v>
      </c>
      <c r="Z521" s="225" t="str">
        <f t="shared" si="7205"/>
        <v>n/a</v>
      </c>
      <c r="AA521" s="225" t="str">
        <f t="shared" si="7205"/>
        <v>n/a</v>
      </c>
      <c r="AB521" s="225" t="str">
        <f t="shared" si="7205"/>
        <v>n/a</v>
      </c>
      <c r="AC521" s="225" t="str">
        <f t="shared" si="7205"/>
        <v>n/a</v>
      </c>
      <c r="AD521" s="225" t="str">
        <f t="shared" si="7205"/>
        <v>n/a</v>
      </c>
      <c r="AE521" s="225" t="str">
        <f t="shared" si="7205"/>
        <v>n/a</v>
      </c>
      <c r="AF521" s="225" t="str">
        <f t="shared" si="7205"/>
        <v>n/a</v>
      </c>
      <c r="AG521" s="225" t="str">
        <f t="shared" si="7205"/>
        <v>n/a</v>
      </c>
      <c r="AH521" s="225" t="str">
        <f t="shared" si="7205"/>
        <v>n/a</v>
      </c>
      <c r="AI521" s="214" t="str">
        <f t="shared" si="7205"/>
        <v>n/a</v>
      </c>
      <c r="AJ521" s="225" t="str">
        <f t="shared" si="7205"/>
        <v>n/a</v>
      </c>
      <c r="AK521" s="225" t="str">
        <f t="shared" si="7205"/>
        <v>n/a</v>
      </c>
      <c r="AL521" s="225" t="str">
        <f t="shared" si="7205"/>
        <v>n/a</v>
      </c>
      <c r="AM521" s="225" t="str">
        <f t="shared" si="7205"/>
        <v>n/a</v>
      </c>
      <c r="AN521" s="225" t="str">
        <f t="shared" si="7205"/>
        <v>n/a</v>
      </c>
      <c r="AO521" s="225" t="str">
        <f t="shared" si="7205"/>
        <v>n/a</v>
      </c>
      <c r="AP521" s="225" t="str">
        <f t="shared" si="7205"/>
        <v>n/a</v>
      </c>
      <c r="AQ521" s="225" t="str">
        <f t="shared" si="7205"/>
        <v>n/a</v>
      </c>
      <c r="AR521" s="225" t="str">
        <f t="shared" si="7205"/>
        <v>n/a</v>
      </c>
      <c r="AS521" s="225" t="str">
        <f t="shared" si="7205"/>
        <v>n/a</v>
      </c>
      <c r="AT521" s="225" t="str">
        <f t="shared" si="7205"/>
        <v>n/a</v>
      </c>
      <c r="AU521" s="214" t="str">
        <f t="shared" si="7205"/>
        <v>n/a</v>
      </c>
      <c r="AV521" s="225" t="str">
        <f t="shared" si="7205"/>
        <v>n/a</v>
      </c>
      <c r="AW521" s="225" t="str">
        <f t="shared" si="7205"/>
        <v>n/a</v>
      </c>
      <c r="AX521" s="225" t="str">
        <f t="shared" si="7205"/>
        <v>n/a</v>
      </c>
      <c r="AY521" s="225" t="str">
        <f t="shared" si="7205"/>
        <v>n/a</v>
      </c>
      <c r="AZ521" s="225" t="str">
        <f t="shared" si="7205"/>
        <v>n/a</v>
      </c>
      <c r="BA521" s="225" t="str">
        <f t="shared" si="7205"/>
        <v>n/a</v>
      </c>
      <c r="BB521" s="225" t="str">
        <f t="shared" si="7205"/>
        <v>n/a</v>
      </c>
      <c r="BC521" s="225" t="str">
        <f t="shared" ref="BC521:CH521" si="7206">++IFERROR(BC519/AQ274-1,"n/a")</f>
        <v>n/a</v>
      </c>
      <c r="BD521" s="225" t="str">
        <f t="shared" si="7206"/>
        <v>n/a</v>
      </c>
      <c r="BE521" s="225" t="str">
        <f t="shared" si="7206"/>
        <v>n/a</v>
      </c>
      <c r="BF521" s="225" t="str">
        <f t="shared" si="7206"/>
        <v>n/a</v>
      </c>
      <c r="BG521" s="214" t="str">
        <f t="shared" si="7206"/>
        <v>n/a</v>
      </c>
      <c r="BH521" s="225" t="str">
        <f t="shared" si="7206"/>
        <v>n/a</v>
      </c>
      <c r="BI521" s="225" t="str">
        <f t="shared" si="7206"/>
        <v>n/a</v>
      </c>
      <c r="BJ521" s="225" t="str">
        <f t="shared" si="7206"/>
        <v>n/a</v>
      </c>
      <c r="BK521" s="225" t="str">
        <f t="shared" si="7206"/>
        <v>n/a</v>
      </c>
      <c r="BL521" s="225" t="str">
        <f t="shared" si="7206"/>
        <v>n/a</v>
      </c>
      <c r="BM521" s="225" t="str">
        <f t="shared" si="7206"/>
        <v>n/a</v>
      </c>
      <c r="BN521" s="225" t="str">
        <f t="shared" si="7206"/>
        <v>n/a</v>
      </c>
      <c r="BO521" s="225" t="str">
        <f t="shared" si="7206"/>
        <v>n/a</v>
      </c>
      <c r="BP521" s="225" t="str">
        <f t="shared" si="7206"/>
        <v>n/a</v>
      </c>
      <c r="BQ521" s="225" t="str">
        <f t="shared" si="7206"/>
        <v>n/a</v>
      </c>
      <c r="BR521" s="225" t="str">
        <f t="shared" si="7206"/>
        <v>n/a</v>
      </c>
      <c r="BS521" s="214" t="str">
        <f t="shared" si="7206"/>
        <v>n/a</v>
      </c>
      <c r="BT521" s="225" t="str">
        <f t="shared" si="7206"/>
        <v>n/a</v>
      </c>
      <c r="BU521" s="225" t="str">
        <f t="shared" si="7206"/>
        <v>n/a</v>
      </c>
      <c r="BV521" s="225" t="str">
        <f t="shared" si="7206"/>
        <v>n/a</v>
      </c>
      <c r="BW521" s="225" t="str">
        <f t="shared" si="7206"/>
        <v>n/a</v>
      </c>
      <c r="BX521" s="225" t="str">
        <f t="shared" si="7206"/>
        <v>n/a</v>
      </c>
      <c r="BY521" s="225" t="str">
        <f t="shared" si="7206"/>
        <v>n/a</v>
      </c>
      <c r="BZ521" s="225" t="str">
        <f t="shared" si="7206"/>
        <v>n/a</v>
      </c>
      <c r="CA521" s="225" t="str">
        <f t="shared" si="7206"/>
        <v>n/a</v>
      </c>
      <c r="CB521" s="225" t="str">
        <f t="shared" si="7206"/>
        <v>n/a</v>
      </c>
      <c r="CC521" s="225" t="str">
        <f t="shared" si="7206"/>
        <v>n/a</v>
      </c>
      <c r="CD521" s="225" t="str">
        <f t="shared" si="7206"/>
        <v>n/a</v>
      </c>
      <c r="CE521" s="214" t="str">
        <f t="shared" si="7206"/>
        <v>n/a</v>
      </c>
      <c r="CF521" s="225" t="str">
        <f t="shared" si="7206"/>
        <v>n/a</v>
      </c>
      <c r="CG521" s="225" t="str">
        <f t="shared" si="7206"/>
        <v>n/a</v>
      </c>
      <c r="CH521" s="225" t="str">
        <f t="shared" si="7206"/>
        <v>n/a</v>
      </c>
      <c r="CI521" s="225" t="str">
        <f t="shared" ref="CI521:DN521" si="7207">++IFERROR(CI519/BW274-1,"n/a")</f>
        <v>n/a</v>
      </c>
      <c r="CJ521" s="225" t="str">
        <f t="shared" si="7207"/>
        <v>n/a</v>
      </c>
      <c r="CK521" s="225" t="str">
        <f t="shared" si="7207"/>
        <v>n/a</v>
      </c>
      <c r="CL521" s="225" t="str">
        <f t="shared" si="7207"/>
        <v>n/a</v>
      </c>
      <c r="CM521" s="225" t="str">
        <f t="shared" si="7207"/>
        <v>n/a</v>
      </c>
      <c r="CN521" s="225" t="str">
        <f t="shared" si="7207"/>
        <v>n/a</v>
      </c>
      <c r="CO521" s="225" t="str">
        <f t="shared" si="7207"/>
        <v>n/a</v>
      </c>
      <c r="CP521" s="225" t="str">
        <f t="shared" si="7207"/>
        <v>n/a</v>
      </c>
      <c r="CQ521" s="214" t="str">
        <f t="shared" si="7207"/>
        <v>n/a</v>
      </c>
      <c r="CR521" s="225" t="str">
        <f t="shared" si="7207"/>
        <v>n/a</v>
      </c>
      <c r="CS521" s="225" t="str">
        <f t="shared" si="7207"/>
        <v>n/a</v>
      </c>
      <c r="CT521" s="225" t="str">
        <f t="shared" si="7207"/>
        <v>n/a</v>
      </c>
      <c r="CU521" s="225" t="str">
        <f t="shared" si="7207"/>
        <v>n/a</v>
      </c>
      <c r="CV521" s="225" t="str">
        <f t="shared" si="7207"/>
        <v>n/a</v>
      </c>
      <c r="CW521" s="225" t="str">
        <f t="shared" si="7207"/>
        <v>n/a</v>
      </c>
      <c r="CX521" s="225" t="str">
        <f t="shared" si="7207"/>
        <v>n/a</v>
      </c>
      <c r="CY521" s="225" t="str">
        <f t="shared" si="7207"/>
        <v>n/a</v>
      </c>
      <c r="CZ521" s="225" t="str">
        <f t="shared" si="7207"/>
        <v>n/a</v>
      </c>
      <c r="DA521" s="225" t="str">
        <f t="shared" si="7207"/>
        <v>n/a</v>
      </c>
      <c r="DB521" s="225" t="str">
        <f t="shared" si="7207"/>
        <v>n/a</v>
      </c>
      <c r="DC521" s="214" t="str">
        <f t="shared" si="7207"/>
        <v>n/a</v>
      </c>
    </row>
    <row r="522" spans="3:107" x14ac:dyDescent="0.3">
      <c r="G522" s="203"/>
      <c r="K522" s="203"/>
      <c r="W522" s="203"/>
      <c r="AI522" s="203"/>
      <c r="AU522" s="203"/>
      <c r="BG522" s="203"/>
      <c r="BS522" s="203"/>
      <c r="CE522" s="203"/>
      <c r="CQ522" s="203"/>
      <c r="DC522" s="203"/>
    </row>
    <row r="523" spans="3:107" x14ac:dyDescent="0.3">
      <c r="C523" s="101" t="str">
        <f>++C$33</f>
        <v>Tax Expense (Benefit)</v>
      </c>
      <c r="G523" s="45">
        <v>0</v>
      </c>
      <c r="H523" s="45">
        <v>0</v>
      </c>
      <c r="I523" s="45">
        <v>0</v>
      </c>
      <c r="J523" s="45">
        <v>0</v>
      </c>
      <c r="K523" s="45">
        <v>0</v>
      </c>
      <c r="L523" s="45">
        <v>0</v>
      </c>
      <c r="M523" s="45">
        <v>0</v>
      </c>
      <c r="N523" s="45">
        <v>0</v>
      </c>
      <c r="O523" s="45">
        <v>0</v>
      </c>
      <c r="P523" s="45">
        <v>0</v>
      </c>
      <c r="Q523" s="45">
        <v>0</v>
      </c>
      <c r="R523" s="45">
        <v>0</v>
      </c>
      <c r="S523" s="45">
        <v>0</v>
      </c>
      <c r="T523" s="45">
        <v>0</v>
      </c>
      <c r="U523" s="45">
        <v>0</v>
      </c>
      <c r="V523" s="45">
        <v>0</v>
      </c>
      <c r="W523" s="45">
        <v>0</v>
      </c>
      <c r="X523" s="45">
        <v>0</v>
      </c>
      <c r="Y523" s="45">
        <v>0</v>
      </c>
      <c r="Z523" s="45">
        <v>0</v>
      </c>
      <c r="AA523" s="45">
        <v>0</v>
      </c>
      <c r="AB523" s="45">
        <v>0</v>
      </c>
      <c r="AC523" s="45">
        <v>0</v>
      </c>
      <c r="AD523" s="45">
        <v>0</v>
      </c>
      <c r="AE523" s="45">
        <v>0</v>
      </c>
      <c r="AF523" s="45">
        <v>0</v>
      </c>
      <c r="AG523" s="45">
        <v>0</v>
      </c>
      <c r="AH523" s="45">
        <v>0</v>
      </c>
      <c r="AI523" s="45">
        <v>0</v>
      </c>
      <c r="AJ523" s="45">
        <v>0</v>
      </c>
      <c r="AK523" s="45">
        <v>0</v>
      </c>
      <c r="AL523" s="45">
        <v>0</v>
      </c>
      <c r="AM523" s="45">
        <v>0</v>
      </c>
      <c r="AN523" s="45">
        <v>0</v>
      </c>
      <c r="AO523" s="45">
        <v>0</v>
      </c>
      <c r="AP523" s="45">
        <v>0</v>
      </c>
      <c r="AQ523" s="45">
        <v>0</v>
      </c>
      <c r="AR523" s="45">
        <v>0</v>
      </c>
      <c r="AS523" s="45">
        <v>0</v>
      </c>
      <c r="AT523" s="45">
        <v>0</v>
      </c>
      <c r="AU523" s="45">
        <v>0</v>
      </c>
      <c r="AV523" s="45">
        <v>0</v>
      </c>
      <c r="AW523" s="45">
        <v>0</v>
      </c>
      <c r="AX523" s="45">
        <v>0</v>
      </c>
      <c r="AY523" s="45">
        <v>0</v>
      </c>
      <c r="AZ523" s="45">
        <v>0</v>
      </c>
      <c r="BA523" s="45">
        <v>0</v>
      </c>
      <c r="BB523" s="45">
        <v>0</v>
      </c>
      <c r="BC523" s="45">
        <v>0</v>
      </c>
      <c r="BD523" s="45">
        <v>0</v>
      </c>
      <c r="BE523" s="45">
        <v>0</v>
      </c>
      <c r="BF523" s="45">
        <v>0</v>
      </c>
      <c r="BG523" s="45">
        <v>0</v>
      </c>
      <c r="BH523" s="45">
        <v>0</v>
      </c>
      <c r="BI523" s="45">
        <v>0</v>
      </c>
      <c r="BJ523" s="45">
        <v>0</v>
      </c>
      <c r="BK523" s="45">
        <v>0</v>
      </c>
      <c r="BL523" s="45">
        <v>0</v>
      </c>
      <c r="BM523" s="45">
        <v>0</v>
      </c>
      <c r="BN523" s="45">
        <v>0</v>
      </c>
      <c r="BO523" s="45">
        <v>0</v>
      </c>
      <c r="BP523" s="45">
        <v>0</v>
      </c>
      <c r="BQ523" s="45">
        <v>0</v>
      </c>
      <c r="BR523" s="45">
        <v>0</v>
      </c>
      <c r="BS523" s="45">
        <v>0</v>
      </c>
      <c r="BT523" s="45">
        <v>0</v>
      </c>
      <c r="BU523" s="45">
        <v>0</v>
      </c>
      <c r="BV523" s="45">
        <v>0</v>
      </c>
      <c r="BW523" s="45">
        <v>0</v>
      </c>
      <c r="BX523" s="45">
        <v>0</v>
      </c>
      <c r="BY523" s="45">
        <v>0</v>
      </c>
      <c r="BZ523" s="45">
        <v>0</v>
      </c>
      <c r="CA523" s="45">
        <v>0</v>
      </c>
      <c r="CB523" s="45">
        <v>0</v>
      </c>
      <c r="CC523" s="45">
        <v>0</v>
      </c>
      <c r="CD523" s="45">
        <v>0</v>
      </c>
      <c r="CE523" s="45">
        <v>0</v>
      </c>
      <c r="CF523" s="45">
        <v>0</v>
      </c>
      <c r="CG523" s="45">
        <v>0</v>
      </c>
      <c r="CH523" s="45">
        <v>0</v>
      </c>
      <c r="CI523" s="45">
        <v>0</v>
      </c>
      <c r="CJ523" s="45">
        <v>0</v>
      </c>
      <c r="CK523" s="45">
        <v>0</v>
      </c>
      <c r="CL523" s="45">
        <v>0</v>
      </c>
      <c r="CM523" s="45">
        <v>0</v>
      </c>
      <c r="CN523" s="45">
        <v>0</v>
      </c>
      <c r="CO523" s="45">
        <v>0</v>
      </c>
      <c r="CP523" s="45">
        <v>0</v>
      </c>
      <c r="CQ523" s="45">
        <v>0</v>
      </c>
      <c r="CR523" s="45">
        <v>0</v>
      </c>
      <c r="CS523" s="45">
        <v>0</v>
      </c>
      <c r="CT523" s="45">
        <v>0</v>
      </c>
      <c r="CU523" s="45">
        <v>0</v>
      </c>
      <c r="CV523" s="45">
        <v>0</v>
      </c>
      <c r="CW523" s="45">
        <v>0</v>
      </c>
      <c r="CX523" s="45">
        <v>0</v>
      </c>
      <c r="CY523" s="45">
        <v>0</v>
      </c>
      <c r="CZ523" s="45">
        <v>0</v>
      </c>
      <c r="DA523" s="45">
        <v>0</v>
      </c>
      <c r="DB523" s="45">
        <v>0</v>
      </c>
      <c r="DC523" s="45">
        <v>0</v>
      </c>
    </row>
    <row r="524" spans="3:107" x14ac:dyDescent="0.3">
      <c r="C524" s="321" t="str">
        <f>++C$34</f>
        <v>% effective rate</v>
      </c>
      <c r="G524" s="214" t="str">
        <f t="shared" ref="G524:AL524" si="7208">++IFERROR(G523/G519,"n/a")</f>
        <v>n/a</v>
      </c>
      <c r="H524" s="225" t="str">
        <f t="shared" si="7208"/>
        <v>n/a</v>
      </c>
      <c r="I524" s="225" t="str">
        <f t="shared" si="7208"/>
        <v>n/a</v>
      </c>
      <c r="J524" s="225" t="str">
        <f t="shared" si="7208"/>
        <v>n/a</v>
      </c>
      <c r="K524" s="214" t="str">
        <f t="shared" si="7208"/>
        <v>n/a</v>
      </c>
      <c r="L524" s="225" t="str">
        <f t="shared" si="7208"/>
        <v>n/a</v>
      </c>
      <c r="M524" s="225" t="str">
        <f t="shared" si="7208"/>
        <v>n/a</v>
      </c>
      <c r="N524" s="225" t="str">
        <f t="shared" si="7208"/>
        <v>n/a</v>
      </c>
      <c r="O524" s="225" t="str">
        <f t="shared" si="7208"/>
        <v>n/a</v>
      </c>
      <c r="P524" s="225" t="str">
        <f t="shared" si="7208"/>
        <v>n/a</v>
      </c>
      <c r="Q524" s="225" t="str">
        <f t="shared" si="7208"/>
        <v>n/a</v>
      </c>
      <c r="R524" s="225" t="str">
        <f t="shared" si="7208"/>
        <v>n/a</v>
      </c>
      <c r="S524" s="225" t="str">
        <f t="shared" si="7208"/>
        <v>n/a</v>
      </c>
      <c r="T524" s="225" t="str">
        <f t="shared" si="7208"/>
        <v>n/a</v>
      </c>
      <c r="U524" s="225" t="str">
        <f t="shared" si="7208"/>
        <v>n/a</v>
      </c>
      <c r="V524" s="225" t="str">
        <f t="shared" si="7208"/>
        <v>n/a</v>
      </c>
      <c r="W524" s="214" t="str">
        <f t="shared" si="7208"/>
        <v>n/a</v>
      </c>
      <c r="X524" s="225" t="str">
        <f t="shared" si="7208"/>
        <v>n/a</v>
      </c>
      <c r="Y524" s="225" t="str">
        <f t="shared" si="7208"/>
        <v>n/a</v>
      </c>
      <c r="Z524" s="225" t="str">
        <f t="shared" si="7208"/>
        <v>n/a</v>
      </c>
      <c r="AA524" s="225" t="str">
        <f t="shared" si="7208"/>
        <v>n/a</v>
      </c>
      <c r="AB524" s="225" t="str">
        <f t="shared" si="7208"/>
        <v>n/a</v>
      </c>
      <c r="AC524" s="225" t="str">
        <f t="shared" si="7208"/>
        <v>n/a</v>
      </c>
      <c r="AD524" s="225" t="str">
        <f t="shared" si="7208"/>
        <v>n/a</v>
      </c>
      <c r="AE524" s="225" t="str">
        <f t="shared" si="7208"/>
        <v>n/a</v>
      </c>
      <c r="AF524" s="225" t="str">
        <f t="shared" si="7208"/>
        <v>n/a</v>
      </c>
      <c r="AG524" s="225" t="str">
        <f t="shared" si="7208"/>
        <v>n/a</v>
      </c>
      <c r="AH524" s="225" t="str">
        <f t="shared" si="7208"/>
        <v>n/a</v>
      </c>
      <c r="AI524" s="214" t="str">
        <f t="shared" si="7208"/>
        <v>n/a</v>
      </c>
      <c r="AJ524" s="225" t="str">
        <f t="shared" si="7208"/>
        <v>n/a</v>
      </c>
      <c r="AK524" s="225" t="str">
        <f t="shared" si="7208"/>
        <v>n/a</v>
      </c>
      <c r="AL524" s="225" t="str">
        <f t="shared" si="7208"/>
        <v>n/a</v>
      </c>
      <c r="AM524" s="225" t="str">
        <f t="shared" ref="AM524:BR524" si="7209">++IFERROR(AM523/AM519,"n/a")</f>
        <v>n/a</v>
      </c>
      <c r="AN524" s="225" t="str">
        <f t="shared" si="7209"/>
        <v>n/a</v>
      </c>
      <c r="AO524" s="225" t="str">
        <f t="shared" si="7209"/>
        <v>n/a</v>
      </c>
      <c r="AP524" s="225" t="str">
        <f t="shared" si="7209"/>
        <v>n/a</v>
      </c>
      <c r="AQ524" s="225" t="str">
        <f t="shared" si="7209"/>
        <v>n/a</v>
      </c>
      <c r="AR524" s="225" t="str">
        <f t="shared" si="7209"/>
        <v>n/a</v>
      </c>
      <c r="AS524" s="225" t="str">
        <f t="shared" si="7209"/>
        <v>n/a</v>
      </c>
      <c r="AT524" s="225" t="str">
        <f t="shared" si="7209"/>
        <v>n/a</v>
      </c>
      <c r="AU524" s="214" t="str">
        <f t="shared" si="7209"/>
        <v>n/a</v>
      </c>
      <c r="AV524" s="225" t="str">
        <f t="shared" si="7209"/>
        <v>n/a</v>
      </c>
      <c r="AW524" s="225" t="str">
        <f t="shared" si="7209"/>
        <v>n/a</v>
      </c>
      <c r="AX524" s="225" t="str">
        <f t="shared" si="7209"/>
        <v>n/a</v>
      </c>
      <c r="AY524" s="225" t="str">
        <f t="shared" si="7209"/>
        <v>n/a</v>
      </c>
      <c r="AZ524" s="225" t="str">
        <f t="shared" si="7209"/>
        <v>n/a</v>
      </c>
      <c r="BA524" s="225" t="str">
        <f t="shared" si="7209"/>
        <v>n/a</v>
      </c>
      <c r="BB524" s="225" t="str">
        <f t="shared" si="7209"/>
        <v>n/a</v>
      </c>
      <c r="BC524" s="225" t="str">
        <f t="shared" si="7209"/>
        <v>n/a</v>
      </c>
      <c r="BD524" s="225" t="str">
        <f t="shared" si="7209"/>
        <v>n/a</v>
      </c>
      <c r="BE524" s="225" t="str">
        <f t="shared" si="7209"/>
        <v>n/a</v>
      </c>
      <c r="BF524" s="225" t="str">
        <f t="shared" si="7209"/>
        <v>n/a</v>
      </c>
      <c r="BG524" s="214" t="str">
        <f t="shared" si="7209"/>
        <v>n/a</v>
      </c>
      <c r="BH524" s="225" t="str">
        <f t="shared" si="7209"/>
        <v>n/a</v>
      </c>
      <c r="BI524" s="225" t="str">
        <f t="shared" si="7209"/>
        <v>n/a</v>
      </c>
      <c r="BJ524" s="225" t="str">
        <f t="shared" si="7209"/>
        <v>n/a</v>
      </c>
      <c r="BK524" s="225" t="str">
        <f t="shared" si="7209"/>
        <v>n/a</v>
      </c>
      <c r="BL524" s="225" t="str">
        <f t="shared" si="7209"/>
        <v>n/a</v>
      </c>
      <c r="BM524" s="225" t="str">
        <f t="shared" si="7209"/>
        <v>n/a</v>
      </c>
      <c r="BN524" s="225" t="str">
        <f t="shared" si="7209"/>
        <v>n/a</v>
      </c>
      <c r="BO524" s="225" t="str">
        <f t="shared" si="7209"/>
        <v>n/a</v>
      </c>
      <c r="BP524" s="225" t="str">
        <f t="shared" si="7209"/>
        <v>n/a</v>
      </c>
      <c r="BQ524" s="225" t="str">
        <f t="shared" si="7209"/>
        <v>n/a</v>
      </c>
      <c r="BR524" s="225" t="str">
        <f t="shared" si="7209"/>
        <v>n/a</v>
      </c>
      <c r="BS524" s="214" t="str">
        <f t="shared" ref="BS524:CX524" si="7210">++IFERROR(BS523/BS519,"n/a")</f>
        <v>n/a</v>
      </c>
      <c r="BT524" s="225" t="str">
        <f t="shared" si="7210"/>
        <v>n/a</v>
      </c>
      <c r="BU524" s="225" t="str">
        <f t="shared" si="7210"/>
        <v>n/a</v>
      </c>
      <c r="BV524" s="225" t="str">
        <f t="shared" si="7210"/>
        <v>n/a</v>
      </c>
      <c r="BW524" s="225" t="str">
        <f t="shared" si="7210"/>
        <v>n/a</v>
      </c>
      <c r="BX524" s="225" t="str">
        <f t="shared" si="7210"/>
        <v>n/a</v>
      </c>
      <c r="BY524" s="225" t="str">
        <f t="shared" si="7210"/>
        <v>n/a</v>
      </c>
      <c r="BZ524" s="225" t="str">
        <f t="shared" si="7210"/>
        <v>n/a</v>
      </c>
      <c r="CA524" s="225" t="str">
        <f t="shared" si="7210"/>
        <v>n/a</v>
      </c>
      <c r="CB524" s="225" t="str">
        <f t="shared" si="7210"/>
        <v>n/a</v>
      </c>
      <c r="CC524" s="225" t="str">
        <f t="shared" si="7210"/>
        <v>n/a</v>
      </c>
      <c r="CD524" s="225" t="str">
        <f t="shared" si="7210"/>
        <v>n/a</v>
      </c>
      <c r="CE524" s="214" t="str">
        <f t="shared" si="7210"/>
        <v>n/a</v>
      </c>
      <c r="CF524" s="225" t="str">
        <f t="shared" si="7210"/>
        <v>n/a</v>
      </c>
      <c r="CG524" s="225" t="str">
        <f t="shared" si="7210"/>
        <v>n/a</v>
      </c>
      <c r="CH524" s="225" t="str">
        <f t="shared" si="7210"/>
        <v>n/a</v>
      </c>
      <c r="CI524" s="225" t="str">
        <f t="shared" si="7210"/>
        <v>n/a</v>
      </c>
      <c r="CJ524" s="225" t="str">
        <f t="shared" si="7210"/>
        <v>n/a</v>
      </c>
      <c r="CK524" s="225" t="str">
        <f t="shared" si="7210"/>
        <v>n/a</v>
      </c>
      <c r="CL524" s="225" t="str">
        <f t="shared" si="7210"/>
        <v>n/a</v>
      </c>
      <c r="CM524" s="225" t="str">
        <f t="shared" si="7210"/>
        <v>n/a</v>
      </c>
      <c r="CN524" s="225" t="str">
        <f t="shared" si="7210"/>
        <v>n/a</v>
      </c>
      <c r="CO524" s="225" t="str">
        <f t="shared" si="7210"/>
        <v>n/a</v>
      </c>
      <c r="CP524" s="225" t="str">
        <f t="shared" si="7210"/>
        <v>n/a</v>
      </c>
      <c r="CQ524" s="214" t="str">
        <f t="shared" si="7210"/>
        <v>n/a</v>
      </c>
      <c r="CR524" s="225" t="str">
        <f t="shared" si="7210"/>
        <v>n/a</v>
      </c>
      <c r="CS524" s="225" t="str">
        <f t="shared" si="7210"/>
        <v>n/a</v>
      </c>
      <c r="CT524" s="225" t="str">
        <f t="shared" si="7210"/>
        <v>n/a</v>
      </c>
      <c r="CU524" s="225" t="str">
        <f t="shared" si="7210"/>
        <v>n/a</v>
      </c>
      <c r="CV524" s="225" t="str">
        <f t="shared" si="7210"/>
        <v>n/a</v>
      </c>
      <c r="CW524" s="225" t="str">
        <f t="shared" si="7210"/>
        <v>n/a</v>
      </c>
      <c r="CX524" s="225" t="str">
        <f t="shared" si="7210"/>
        <v>n/a</v>
      </c>
      <c r="CY524" s="225" t="str">
        <f t="shared" ref="CY524:ED524" si="7211">++IFERROR(CY523/CY519,"n/a")</f>
        <v>n/a</v>
      </c>
      <c r="CZ524" s="225" t="str">
        <f t="shared" si="7211"/>
        <v>n/a</v>
      </c>
      <c r="DA524" s="225" t="str">
        <f t="shared" si="7211"/>
        <v>n/a</v>
      </c>
      <c r="DB524" s="225" t="str">
        <f t="shared" si="7211"/>
        <v>n/a</v>
      </c>
      <c r="DC524" s="214" t="str">
        <f t="shared" si="7211"/>
        <v>n/a</v>
      </c>
    </row>
    <row r="525" spans="3:107" x14ac:dyDescent="0.3">
      <c r="G525" s="203"/>
      <c r="K525" s="203"/>
      <c r="W525" s="203"/>
      <c r="AI525" s="203"/>
      <c r="AU525" s="203"/>
      <c r="BG525" s="203"/>
      <c r="BS525" s="203"/>
      <c r="CE525" s="203"/>
      <c r="CQ525" s="203"/>
      <c r="DC525" s="203"/>
    </row>
    <row r="526" spans="3:107" ht="13.5" thickBot="1" x14ac:dyDescent="0.35">
      <c r="C526" s="369" t="str">
        <f>++C$36</f>
        <v>Net Income</v>
      </c>
      <c r="D526" s="370"/>
      <c r="E526" s="370"/>
      <c r="G526" s="435">
        <v>0</v>
      </c>
      <c r="H526" s="435">
        <v>0</v>
      </c>
      <c r="I526" s="435">
        <v>0</v>
      </c>
      <c r="J526" s="435">
        <v>0</v>
      </c>
      <c r="K526" s="435">
        <v>0</v>
      </c>
      <c r="L526" s="435">
        <v>0</v>
      </c>
      <c r="M526" s="435">
        <v>0</v>
      </c>
      <c r="N526" s="435">
        <v>0</v>
      </c>
      <c r="O526" s="435">
        <v>0</v>
      </c>
      <c r="P526" s="435">
        <v>0</v>
      </c>
      <c r="Q526" s="435">
        <v>0</v>
      </c>
      <c r="R526" s="435">
        <v>0</v>
      </c>
      <c r="S526" s="435">
        <v>0</v>
      </c>
      <c r="T526" s="435">
        <v>0</v>
      </c>
      <c r="U526" s="435">
        <v>0</v>
      </c>
      <c r="V526" s="435">
        <v>0</v>
      </c>
      <c r="W526" s="435">
        <v>0</v>
      </c>
      <c r="X526" s="435">
        <v>0</v>
      </c>
      <c r="Y526" s="435">
        <v>0</v>
      </c>
      <c r="Z526" s="435">
        <v>0</v>
      </c>
      <c r="AA526" s="435">
        <v>0</v>
      </c>
      <c r="AB526" s="435">
        <v>0</v>
      </c>
      <c r="AC526" s="435">
        <v>0</v>
      </c>
      <c r="AD526" s="435">
        <v>0</v>
      </c>
      <c r="AE526" s="435">
        <v>0</v>
      </c>
      <c r="AF526" s="435">
        <v>0</v>
      </c>
      <c r="AG526" s="435">
        <v>0</v>
      </c>
      <c r="AH526" s="435">
        <v>0</v>
      </c>
      <c r="AI526" s="435">
        <v>0</v>
      </c>
      <c r="AJ526" s="435">
        <v>0</v>
      </c>
      <c r="AK526" s="435">
        <v>0</v>
      </c>
      <c r="AL526" s="435">
        <v>0</v>
      </c>
      <c r="AM526" s="435">
        <v>0</v>
      </c>
      <c r="AN526" s="435">
        <v>0</v>
      </c>
      <c r="AO526" s="435">
        <v>0</v>
      </c>
      <c r="AP526" s="435">
        <v>0</v>
      </c>
      <c r="AQ526" s="435">
        <v>0</v>
      </c>
      <c r="AR526" s="435">
        <v>0</v>
      </c>
      <c r="AS526" s="435">
        <v>0</v>
      </c>
      <c r="AT526" s="435">
        <v>0</v>
      </c>
      <c r="AU526" s="435">
        <v>0</v>
      </c>
      <c r="AV526" s="435">
        <v>0</v>
      </c>
      <c r="AW526" s="435">
        <v>0</v>
      </c>
      <c r="AX526" s="435">
        <v>0</v>
      </c>
      <c r="AY526" s="435">
        <v>0</v>
      </c>
      <c r="AZ526" s="435">
        <v>0</v>
      </c>
      <c r="BA526" s="435">
        <v>0</v>
      </c>
      <c r="BB526" s="435">
        <v>0</v>
      </c>
      <c r="BC526" s="435">
        <v>0</v>
      </c>
      <c r="BD526" s="435">
        <v>0</v>
      </c>
      <c r="BE526" s="435">
        <v>0</v>
      </c>
      <c r="BF526" s="435">
        <v>0</v>
      </c>
      <c r="BG526" s="435">
        <v>0</v>
      </c>
      <c r="BH526" s="435">
        <v>0</v>
      </c>
      <c r="BI526" s="435">
        <v>0</v>
      </c>
      <c r="BJ526" s="435">
        <v>0</v>
      </c>
      <c r="BK526" s="435">
        <v>0</v>
      </c>
      <c r="BL526" s="435">
        <v>0</v>
      </c>
      <c r="BM526" s="435">
        <v>0</v>
      </c>
      <c r="BN526" s="435">
        <v>0</v>
      </c>
      <c r="BO526" s="435">
        <v>0</v>
      </c>
      <c r="BP526" s="435">
        <v>0</v>
      </c>
      <c r="BQ526" s="435">
        <v>0</v>
      </c>
      <c r="BR526" s="435">
        <v>0</v>
      </c>
      <c r="BS526" s="435">
        <v>0</v>
      </c>
      <c r="BT526" s="435">
        <v>0</v>
      </c>
      <c r="BU526" s="435">
        <v>0</v>
      </c>
      <c r="BV526" s="435">
        <v>0</v>
      </c>
      <c r="BW526" s="435">
        <v>0</v>
      </c>
      <c r="BX526" s="435">
        <v>0</v>
      </c>
      <c r="BY526" s="435">
        <v>0</v>
      </c>
      <c r="BZ526" s="435">
        <v>0</v>
      </c>
      <c r="CA526" s="435">
        <v>0</v>
      </c>
      <c r="CB526" s="435">
        <v>0</v>
      </c>
      <c r="CC526" s="435">
        <v>0</v>
      </c>
      <c r="CD526" s="435">
        <v>0</v>
      </c>
      <c r="CE526" s="435">
        <v>0</v>
      </c>
      <c r="CF526" s="435">
        <v>0</v>
      </c>
      <c r="CG526" s="435">
        <v>0</v>
      </c>
      <c r="CH526" s="435">
        <v>0</v>
      </c>
      <c r="CI526" s="435">
        <v>0</v>
      </c>
      <c r="CJ526" s="435">
        <v>0</v>
      </c>
      <c r="CK526" s="435">
        <v>0</v>
      </c>
      <c r="CL526" s="435">
        <v>0</v>
      </c>
      <c r="CM526" s="435">
        <v>0</v>
      </c>
      <c r="CN526" s="435">
        <v>0</v>
      </c>
      <c r="CO526" s="435">
        <v>0</v>
      </c>
      <c r="CP526" s="435">
        <v>0</v>
      </c>
      <c r="CQ526" s="435">
        <v>0</v>
      </c>
      <c r="CR526" s="435">
        <v>0</v>
      </c>
      <c r="CS526" s="435">
        <v>0</v>
      </c>
      <c r="CT526" s="435">
        <v>0</v>
      </c>
      <c r="CU526" s="435">
        <v>0</v>
      </c>
      <c r="CV526" s="435">
        <v>0</v>
      </c>
      <c r="CW526" s="435">
        <v>0</v>
      </c>
      <c r="CX526" s="435">
        <v>0</v>
      </c>
      <c r="CY526" s="435">
        <v>0</v>
      </c>
      <c r="CZ526" s="435">
        <v>0</v>
      </c>
      <c r="DA526" s="435">
        <v>0</v>
      </c>
      <c r="DB526" s="435">
        <v>0</v>
      </c>
      <c r="DC526" s="435">
        <v>0</v>
      </c>
    </row>
    <row r="527" spans="3:107" ht="13.5" thickTop="1" x14ac:dyDescent="0.3">
      <c r="C527" s="321" t="str">
        <f>++C$37</f>
        <v>% margin</v>
      </c>
      <c r="G527" s="214" t="str">
        <f t="shared" ref="G527:AL527" si="7212">++IFERROR(G526/G500,"n/a")</f>
        <v>n/a</v>
      </c>
      <c r="H527" s="225" t="str">
        <f t="shared" si="7212"/>
        <v>n/a</v>
      </c>
      <c r="I527" s="225" t="str">
        <f t="shared" si="7212"/>
        <v>n/a</v>
      </c>
      <c r="J527" s="225" t="str">
        <f t="shared" si="7212"/>
        <v>n/a</v>
      </c>
      <c r="K527" s="214" t="str">
        <f t="shared" si="7212"/>
        <v>n/a</v>
      </c>
      <c r="L527" s="225" t="str">
        <f t="shared" si="7212"/>
        <v>n/a</v>
      </c>
      <c r="M527" s="225" t="str">
        <f t="shared" si="7212"/>
        <v>n/a</v>
      </c>
      <c r="N527" s="225" t="str">
        <f t="shared" si="7212"/>
        <v>n/a</v>
      </c>
      <c r="O527" s="225" t="str">
        <f t="shared" si="7212"/>
        <v>n/a</v>
      </c>
      <c r="P527" s="225" t="str">
        <f t="shared" si="7212"/>
        <v>n/a</v>
      </c>
      <c r="Q527" s="225" t="str">
        <f t="shared" si="7212"/>
        <v>n/a</v>
      </c>
      <c r="R527" s="225" t="str">
        <f t="shared" si="7212"/>
        <v>n/a</v>
      </c>
      <c r="S527" s="225" t="str">
        <f t="shared" si="7212"/>
        <v>n/a</v>
      </c>
      <c r="T527" s="225" t="str">
        <f t="shared" si="7212"/>
        <v>n/a</v>
      </c>
      <c r="U527" s="225" t="str">
        <f t="shared" si="7212"/>
        <v>n/a</v>
      </c>
      <c r="V527" s="225" t="str">
        <f t="shared" si="7212"/>
        <v>n/a</v>
      </c>
      <c r="W527" s="214" t="str">
        <f t="shared" si="7212"/>
        <v>n/a</v>
      </c>
      <c r="X527" s="225" t="str">
        <f t="shared" si="7212"/>
        <v>n/a</v>
      </c>
      <c r="Y527" s="225" t="str">
        <f t="shared" si="7212"/>
        <v>n/a</v>
      </c>
      <c r="Z527" s="225" t="str">
        <f t="shared" si="7212"/>
        <v>n/a</v>
      </c>
      <c r="AA527" s="225" t="str">
        <f t="shared" si="7212"/>
        <v>n/a</v>
      </c>
      <c r="AB527" s="225" t="str">
        <f t="shared" si="7212"/>
        <v>n/a</v>
      </c>
      <c r="AC527" s="225" t="str">
        <f t="shared" si="7212"/>
        <v>n/a</v>
      </c>
      <c r="AD527" s="225" t="str">
        <f t="shared" si="7212"/>
        <v>n/a</v>
      </c>
      <c r="AE527" s="225" t="str">
        <f t="shared" si="7212"/>
        <v>n/a</v>
      </c>
      <c r="AF527" s="225" t="str">
        <f t="shared" si="7212"/>
        <v>n/a</v>
      </c>
      <c r="AG527" s="225" t="str">
        <f t="shared" si="7212"/>
        <v>n/a</v>
      </c>
      <c r="AH527" s="225" t="str">
        <f t="shared" si="7212"/>
        <v>n/a</v>
      </c>
      <c r="AI527" s="214" t="str">
        <f t="shared" si="7212"/>
        <v>n/a</v>
      </c>
      <c r="AJ527" s="225" t="str">
        <f t="shared" si="7212"/>
        <v>n/a</v>
      </c>
      <c r="AK527" s="225" t="str">
        <f t="shared" si="7212"/>
        <v>n/a</v>
      </c>
      <c r="AL527" s="225" t="str">
        <f t="shared" si="7212"/>
        <v>n/a</v>
      </c>
      <c r="AM527" s="225" t="str">
        <f t="shared" ref="AM527:BR527" si="7213">++IFERROR(AM526/AM500,"n/a")</f>
        <v>n/a</v>
      </c>
      <c r="AN527" s="225" t="str">
        <f t="shared" si="7213"/>
        <v>n/a</v>
      </c>
      <c r="AO527" s="225" t="str">
        <f t="shared" si="7213"/>
        <v>n/a</v>
      </c>
      <c r="AP527" s="225" t="str">
        <f t="shared" si="7213"/>
        <v>n/a</v>
      </c>
      <c r="AQ527" s="225" t="str">
        <f t="shared" si="7213"/>
        <v>n/a</v>
      </c>
      <c r="AR527" s="225" t="str">
        <f t="shared" si="7213"/>
        <v>n/a</v>
      </c>
      <c r="AS527" s="225" t="str">
        <f t="shared" si="7213"/>
        <v>n/a</v>
      </c>
      <c r="AT527" s="225" t="str">
        <f t="shared" si="7213"/>
        <v>n/a</v>
      </c>
      <c r="AU527" s="214" t="str">
        <f t="shared" si="7213"/>
        <v>n/a</v>
      </c>
      <c r="AV527" s="225" t="str">
        <f t="shared" si="7213"/>
        <v>n/a</v>
      </c>
      <c r="AW527" s="225" t="str">
        <f t="shared" si="7213"/>
        <v>n/a</v>
      </c>
      <c r="AX527" s="225" t="str">
        <f t="shared" si="7213"/>
        <v>n/a</v>
      </c>
      <c r="AY527" s="225" t="str">
        <f t="shared" si="7213"/>
        <v>n/a</v>
      </c>
      <c r="AZ527" s="225" t="str">
        <f t="shared" si="7213"/>
        <v>n/a</v>
      </c>
      <c r="BA527" s="225" t="str">
        <f t="shared" si="7213"/>
        <v>n/a</v>
      </c>
      <c r="BB527" s="225" t="str">
        <f t="shared" si="7213"/>
        <v>n/a</v>
      </c>
      <c r="BC527" s="225" t="str">
        <f t="shared" si="7213"/>
        <v>n/a</v>
      </c>
      <c r="BD527" s="225" t="str">
        <f t="shared" si="7213"/>
        <v>n/a</v>
      </c>
      <c r="BE527" s="225" t="str">
        <f t="shared" si="7213"/>
        <v>n/a</v>
      </c>
      <c r="BF527" s="225" t="str">
        <f t="shared" si="7213"/>
        <v>n/a</v>
      </c>
      <c r="BG527" s="214" t="str">
        <f t="shared" si="7213"/>
        <v>n/a</v>
      </c>
      <c r="BH527" s="225" t="str">
        <f t="shared" si="7213"/>
        <v>n/a</v>
      </c>
      <c r="BI527" s="225" t="str">
        <f t="shared" si="7213"/>
        <v>n/a</v>
      </c>
      <c r="BJ527" s="225" t="str">
        <f t="shared" si="7213"/>
        <v>n/a</v>
      </c>
      <c r="BK527" s="225" t="str">
        <f t="shared" si="7213"/>
        <v>n/a</v>
      </c>
      <c r="BL527" s="225" t="str">
        <f t="shared" si="7213"/>
        <v>n/a</v>
      </c>
      <c r="BM527" s="225" t="str">
        <f t="shared" si="7213"/>
        <v>n/a</v>
      </c>
      <c r="BN527" s="225" t="str">
        <f t="shared" si="7213"/>
        <v>n/a</v>
      </c>
      <c r="BO527" s="225" t="str">
        <f t="shared" si="7213"/>
        <v>n/a</v>
      </c>
      <c r="BP527" s="225" t="str">
        <f t="shared" si="7213"/>
        <v>n/a</v>
      </c>
      <c r="BQ527" s="225" t="str">
        <f t="shared" si="7213"/>
        <v>n/a</v>
      </c>
      <c r="BR527" s="225" t="str">
        <f t="shared" si="7213"/>
        <v>n/a</v>
      </c>
      <c r="BS527" s="214" t="str">
        <f t="shared" ref="BS527:CX527" si="7214">++IFERROR(BS526/BS500,"n/a")</f>
        <v>n/a</v>
      </c>
      <c r="BT527" s="225" t="str">
        <f t="shared" si="7214"/>
        <v>n/a</v>
      </c>
      <c r="BU527" s="225" t="str">
        <f t="shared" si="7214"/>
        <v>n/a</v>
      </c>
      <c r="BV527" s="225" t="str">
        <f t="shared" si="7214"/>
        <v>n/a</v>
      </c>
      <c r="BW527" s="225" t="str">
        <f t="shared" si="7214"/>
        <v>n/a</v>
      </c>
      <c r="BX527" s="225" t="str">
        <f t="shared" si="7214"/>
        <v>n/a</v>
      </c>
      <c r="BY527" s="225" t="str">
        <f t="shared" si="7214"/>
        <v>n/a</v>
      </c>
      <c r="BZ527" s="225" t="str">
        <f t="shared" si="7214"/>
        <v>n/a</v>
      </c>
      <c r="CA527" s="225" t="str">
        <f t="shared" si="7214"/>
        <v>n/a</v>
      </c>
      <c r="CB527" s="225" t="str">
        <f t="shared" si="7214"/>
        <v>n/a</v>
      </c>
      <c r="CC527" s="225" t="str">
        <f t="shared" si="7214"/>
        <v>n/a</v>
      </c>
      <c r="CD527" s="225" t="str">
        <f t="shared" si="7214"/>
        <v>n/a</v>
      </c>
      <c r="CE527" s="214" t="str">
        <f t="shared" si="7214"/>
        <v>n/a</v>
      </c>
      <c r="CF527" s="225" t="str">
        <f t="shared" si="7214"/>
        <v>n/a</v>
      </c>
      <c r="CG527" s="225" t="str">
        <f t="shared" si="7214"/>
        <v>n/a</v>
      </c>
      <c r="CH527" s="225" t="str">
        <f t="shared" si="7214"/>
        <v>n/a</v>
      </c>
      <c r="CI527" s="225" t="str">
        <f t="shared" si="7214"/>
        <v>n/a</v>
      </c>
      <c r="CJ527" s="225" t="str">
        <f t="shared" si="7214"/>
        <v>n/a</v>
      </c>
      <c r="CK527" s="225" t="str">
        <f t="shared" si="7214"/>
        <v>n/a</v>
      </c>
      <c r="CL527" s="225" t="str">
        <f t="shared" si="7214"/>
        <v>n/a</v>
      </c>
      <c r="CM527" s="225" t="str">
        <f t="shared" si="7214"/>
        <v>n/a</v>
      </c>
      <c r="CN527" s="225" t="str">
        <f t="shared" si="7214"/>
        <v>n/a</v>
      </c>
      <c r="CO527" s="225" t="str">
        <f t="shared" si="7214"/>
        <v>n/a</v>
      </c>
      <c r="CP527" s="225" t="str">
        <f t="shared" si="7214"/>
        <v>n/a</v>
      </c>
      <c r="CQ527" s="214" t="str">
        <f t="shared" si="7214"/>
        <v>n/a</v>
      </c>
      <c r="CR527" s="225" t="str">
        <f t="shared" si="7214"/>
        <v>n/a</v>
      </c>
      <c r="CS527" s="225" t="str">
        <f t="shared" si="7214"/>
        <v>n/a</v>
      </c>
      <c r="CT527" s="225" t="str">
        <f t="shared" si="7214"/>
        <v>n/a</v>
      </c>
      <c r="CU527" s="225" t="str">
        <f t="shared" si="7214"/>
        <v>n/a</v>
      </c>
      <c r="CV527" s="225" t="str">
        <f t="shared" si="7214"/>
        <v>n/a</v>
      </c>
      <c r="CW527" s="225" t="str">
        <f t="shared" si="7214"/>
        <v>n/a</v>
      </c>
      <c r="CX527" s="225" t="str">
        <f t="shared" si="7214"/>
        <v>n/a</v>
      </c>
      <c r="CY527" s="225" t="str">
        <f t="shared" ref="CY527:ED527" si="7215">++IFERROR(CY526/CY500,"n/a")</f>
        <v>n/a</v>
      </c>
      <c r="CZ527" s="225" t="str">
        <f t="shared" si="7215"/>
        <v>n/a</v>
      </c>
      <c r="DA527" s="225" t="str">
        <f t="shared" si="7215"/>
        <v>n/a</v>
      </c>
      <c r="DB527" s="225" t="str">
        <f t="shared" si="7215"/>
        <v>n/a</v>
      </c>
      <c r="DC527" s="214" t="str">
        <f t="shared" si="7215"/>
        <v>n/a</v>
      </c>
    </row>
    <row r="528" spans="3:107" x14ac:dyDescent="0.3">
      <c r="C528" s="321" t="str">
        <f>++C$38</f>
        <v>% y/y</v>
      </c>
      <c r="G528" s="122" t="s">
        <v>47</v>
      </c>
      <c r="H528" s="122" t="s">
        <v>47</v>
      </c>
      <c r="I528" s="122" t="s">
        <v>47</v>
      </c>
      <c r="J528" s="122" t="s">
        <v>47</v>
      </c>
      <c r="K528" s="214" t="str">
        <f>++IFERROR(K526/G281-1,"n/a")</f>
        <v>n/a</v>
      </c>
      <c r="L528" s="122" t="s">
        <v>47</v>
      </c>
      <c r="M528" s="122" t="s">
        <v>47</v>
      </c>
      <c r="N528" s="225" t="str">
        <f>++IFERROR(N526/H281-1,"n/a")</f>
        <v>n/a</v>
      </c>
      <c r="O528" s="122" t="s">
        <v>47</v>
      </c>
      <c r="P528" s="122" t="s">
        <v>47</v>
      </c>
      <c r="Q528" s="225" t="str">
        <f>++IFERROR(Q526/I281-1,"n/a")</f>
        <v>n/a</v>
      </c>
      <c r="R528" s="122" t="s">
        <v>47</v>
      </c>
      <c r="S528" s="122" t="s">
        <v>47</v>
      </c>
      <c r="T528" s="225" t="str">
        <f>++IFERROR(T526/J281-1,"n/a")</f>
        <v>n/a</v>
      </c>
      <c r="U528" s="122" t="s">
        <v>47</v>
      </c>
      <c r="V528" s="122" t="s">
        <v>47</v>
      </c>
      <c r="W528" s="214" t="str">
        <f t="shared" ref="W528:BB528" si="7216">++IFERROR(W526/K281-1,"n/a")</f>
        <v>n/a</v>
      </c>
      <c r="X528" s="225" t="str">
        <f t="shared" si="7216"/>
        <v>n/a</v>
      </c>
      <c r="Y528" s="225" t="str">
        <f t="shared" si="7216"/>
        <v>n/a</v>
      </c>
      <c r="Z528" s="225" t="str">
        <f t="shared" si="7216"/>
        <v>n/a</v>
      </c>
      <c r="AA528" s="225" t="str">
        <f t="shared" si="7216"/>
        <v>n/a</v>
      </c>
      <c r="AB528" s="225" t="str">
        <f t="shared" si="7216"/>
        <v>n/a</v>
      </c>
      <c r="AC528" s="225" t="str">
        <f t="shared" si="7216"/>
        <v>n/a</v>
      </c>
      <c r="AD528" s="225" t="str">
        <f t="shared" si="7216"/>
        <v>n/a</v>
      </c>
      <c r="AE528" s="225" t="str">
        <f t="shared" si="7216"/>
        <v>n/a</v>
      </c>
      <c r="AF528" s="225" t="str">
        <f t="shared" si="7216"/>
        <v>n/a</v>
      </c>
      <c r="AG528" s="225" t="str">
        <f t="shared" si="7216"/>
        <v>n/a</v>
      </c>
      <c r="AH528" s="225" t="str">
        <f t="shared" si="7216"/>
        <v>n/a</v>
      </c>
      <c r="AI528" s="214" t="str">
        <f t="shared" si="7216"/>
        <v>n/a</v>
      </c>
      <c r="AJ528" s="225" t="str">
        <f t="shared" si="7216"/>
        <v>n/a</v>
      </c>
      <c r="AK528" s="225" t="str">
        <f t="shared" si="7216"/>
        <v>n/a</v>
      </c>
      <c r="AL528" s="225" t="str">
        <f t="shared" si="7216"/>
        <v>n/a</v>
      </c>
      <c r="AM528" s="225" t="str">
        <f t="shared" si="7216"/>
        <v>n/a</v>
      </c>
      <c r="AN528" s="225" t="str">
        <f t="shared" si="7216"/>
        <v>n/a</v>
      </c>
      <c r="AO528" s="225" t="str">
        <f t="shared" si="7216"/>
        <v>n/a</v>
      </c>
      <c r="AP528" s="225" t="str">
        <f t="shared" si="7216"/>
        <v>n/a</v>
      </c>
      <c r="AQ528" s="225" t="str">
        <f t="shared" si="7216"/>
        <v>n/a</v>
      </c>
      <c r="AR528" s="225" t="str">
        <f t="shared" si="7216"/>
        <v>n/a</v>
      </c>
      <c r="AS528" s="225" t="str">
        <f t="shared" si="7216"/>
        <v>n/a</v>
      </c>
      <c r="AT528" s="225" t="str">
        <f t="shared" si="7216"/>
        <v>n/a</v>
      </c>
      <c r="AU528" s="214" t="str">
        <f t="shared" si="7216"/>
        <v>n/a</v>
      </c>
      <c r="AV528" s="225" t="str">
        <f t="shared" si="7216"/>
        <v>n/a</v>
      </c>
      <c r="AW528" s="225" t="str">
        <f t="shared" si="7216"/>
        <v>n/a</v>
      </c>
      <c r="AX528" s="225" t="str">
        <f t="shared" si="7216"/>
        <v>n/a</v>
      </c>
      <c r="AY528" s="225" t="str">
        <f t="shared" si="7216"/>
        <v>n/a</v>
      </c>
      <c r="AZ528" s="225" t="str">
        <f t="shared" si="7216"/>
        <v>n/a</v>
      </c>
      <c r="BA528" s="225" t="str">
        <f t="shared" si="7216"/>
        <v>n/a</v>
      </c>
      <c r="BB528" s="225" t="str">
        <f t="shared" si="7216"/>
        <v>n/a</v>
      </c>
      <c r="BC528" s="225" t="str">
        <f t="shared" ref="BC528:CH528" si="7217">++IFERROR(BC526/AQ281-1,"n/a")</f>
        <v>n/a</v>
      </c>
      <c r="BD528" s="225" t="str">
        <f t="shared" si="7217"/>
        <v>n/a</v>
      </c>
      <c r="BE528" s="225" t="str">
        <f t="shared" si="7217"/>
        <v>n/a</v>
      </c>
      <c r="BF528" s="225" t="str">
        <f t="shared" si="7217"/>
        <v>n/a</v>
      </c>
      <c r="BG528" s="214" t="str">
        <f t="shared" si="7217"/>
        <v>n/a</v>
      </c>
      <c r="BH528" s="225" t="str">
        <f t="shared" si="7217"/>
        <v>n/a</v>
      </c>
      <c r="BI528" s="225" t="str">
        <f t="shared" si="7217"/>
        <v>n/a</v>
      </c>
      <c r="BJ528" s="225" t="str">
        <f t="shared" si="7217"/>
        <v>n/a</v>
      </c>
      <c r="BK528" s="225" t="str">
        <f t="shared" si="7217"/>
        <v>n/a</v>
      </c>
      <c r="BL528" s="225" t="str">
        <f t="shared" si="7217"/>
        <v>n/a</v>
      </c>
      <c r="BM528" s="225" t="str">
        <f t="shared" si="7217"/>
        <v>n/a</v>
      </c>
      <c r="BN528" s="225" t="str">
        <f t="shared" si="7217"/>
        <v>n/a</v>
      </c>
      <c r="BO528" s="225" t="str">
        <f t="shared" si="7217"/>
        <v>n/a</v>
      </c>
      <c r="BP528" s="225" t="str">
        <f t="shared" si="7217"/>
        <v>n/a</v>
      </c>
      <c r="BQ528" s="225" t="str">
        <f t="shared" si="7217"/>
        <v>n/a</v>
      </c>
      <c r="BR528" s="225" t="str">
        <f t="shared" si="7217"/>
        <v>n/a</v>
      </c>
      <c r="BS528" s="214" t="str">
        <f t="shared" si="7217"/>
        <v>n/a</v>
      </c>
      <c r="BT528" s="225" t="str">
        <f t="shared" si="7217"/>
        <v>n/a</v>
      </c>
      <c r="BU528" s="225" t="str">
        <f t="shared" si="7217"/>
        <v>n/a</v>
      </c>
      <c r="BV528" s="225" t="str">
        <f t="shared" si="7217"/>
        <v>n/a</v>
      </c>
      <c r="BW528" s="225" t="str">
        <f t="shared" si="7217"/>
        <v>n/a</v>
      </c>
      <c r="BX528" s="225" t="str">
        <f t="shared" si="7217"/>
        <v>n/a</v>
      </c>
      <c r="BY528" s="225" t="str">
        <f t="shared" si="7217"/>
        <v>n/a</v>
      </c>
      <c r="BZ528" s="225" t="str">
        <f t="shared" si="7217"/>
        <v>n/a</v>
      </c>
      <c r="CA528" s="225" t="str">
        <f t="shared" si="7217"/>
        <v>n/a</v>
      </c>
      <c r="CB528" s="225" t="str">
        <f t="shared" si="7217"/>
        <v>n/a</v>
      </c>
      <c r="CC528" s="225" t="str">
        <f t="shared" si="7217"/>
        <v>n/a</v>
      </c>
      <c r="CD528" s="225" t="str">
        <f t="shared" si="7217"/>
        <v>n/a</v>
      </c>
      <c r="CE528" s="214" t="str">
        <f t="shared" si="7217"/>
        <v>n/a</v>
      </c>
      <c r="CF528" s="225" t="str">
        <f t="shared" si="7217"/>
        <v>n/a</v>
      </c>
      <c r="CG528" s="225" t="str">
        <f t="shared" si="7217"/>
        <v>n/a</v>
      </c>
      <c r="CH528" s="225" t="str">
        <f t="shared" si="7217"/>
        <v>n/a</v>
      </c>
      <c r="CI528" s="225" t="str">
        <f t="shared" ref="CI528:DN528" si="7218">++IFERROR(CI526/BW281-1,"n/a")</f>
        <v>n/a</v>
      </c>
      <c r="CJ528" s="225" t="str">
        <f t="shared" si="7218"/>
        <v>n/a</v>
      </c>
      <c r="CK528" s="225" t="str">
        <f t="shared" si="7218"/>
        <v>n/a</v>
      </c>
      <c r="CL528" s="225" t="str">
        <f t="shared" si="7218"/>
        <v>n/a</v>
      </c>
      <c r="CM528" s="225" t="str">
        <f t="shared" si="7218"/>
        <v>n/a</v>
      </c>
      <c r="CN528" s="225" t="str">
        <f t="shared" si="7218"/>
        <v>n/a</v>
      </c>
      <c r="CO528" s="225" t="str">
        <f t="shared" si="7218"/>
        <v>n/a</v>
      </c>
      <c r="CP528" s="225" t="str">
        <f t="shared" si="7218"/>
        <v>n/a</v>
      </c>
      <c r="CQ528" s="214" t="str">
        <f t="shared" si="7218"/>
        <v>n/a</v>
      </c>
      <c r="CR528" s="225" t="str">
        <f t="shared" si="7218"/>
        <v>n/a</v>
      </c>
      <c r="CS528" s="225" t="str">
        <f t="shared" si="7218"/>
        <v>n/a</v>
      </c>
      <c r="CT528" s="225" t="str">
        <f t="shared" si="7218"/>
        <v>n/a</v>
      </c>
      <c r="CU528" s="225" t="str">
        <f t="shared" si="7218"/>
        <v>n/a</v>
      </c>
      <c r="CV528" s="225" t="str">
        <f t="shared" si="7218"/>
        <v>n/a</v>
      </c>
      <c r="CW528" s="225" t="str">
        <f t="shared" si="7218"/>
        <v>n/a</v>
      </c>
      <c r="CX528" s="225" t="str">
        <f t="shared" si="7218"/>
        <v>n/a</v>
      </c>
      <c r="CY528" s="225" t="str">
        <f t="shared" si="7218"/>
        <v>n/a</v>
      </c>
      <c r="CZ528" s="225" t="str">
        <f t="shared" si="7218"/>
        <v>n/a</v>
      </c>
      <c r="DA528" s="225" t="str">
        <f t="shared" si="7218"/>
        <v>n/a</v>
      </c>
      <c r="DB528" s="225" t="str">
        <f t="shared" si="7218"/>
        <v>n/a</v>
      </c>
      <c r="DC528" s="214" t="str">
        <f t="shared" si="7218"/>
        <v>n/a</v>
      </c>
    </row>
    <row r="529" spans="3:107" x14ac:dyDescent="0.3">
      <c r="G529" s="203"/>
      <c r="K529" s="203"/>
      <c r="W529" s="203"/>
      <c r="AI529" s="203"/>
      <c r="AU529" s="203"/>
      <c r="BG529" s="203"/>
      <c r="BS529" s="203"/>
      <c r="CE529" s="203"/>
      <c r="CQ529" s="203"/>
      <c r="DC529" s="203"/>
    </row>
    <row r="530" spans="3:107" x14ac:dyDescent="0.3">
      <c r="C530" s="101" t="str">
        <f>++C$40</f>
        <v>Interest Expense (Income)</v>
      </c>
      <c r="G530" s="374">
        <f>++G517</f>
        <v>0</v>
      </c>
      <c r="H530" s="200">
        <f t="shared" ref="H530:BS530" si="7219">++H517</f>
        <v>0</v>
      </c>
      <c r="I530" s="200">
        <f t="shared" si="7219"/>
        <v>0</v>
      </c>
      <c r="J530" s="200">
        <f t="shared" si="7219"/>
        <v>0</v>
      </c>
      <c r="K530" s="374">
        <f t="shared" si="7219"/>
        <v>0</v>
      </c>
      <c r="L530" s="200">
        <f t="shared" si="7219"/>
        <v>0</v>
      </c>
      <c r="M530" s="200">
        <f t="shared" si="7219"/>
        <v>0</v>
      </c>
      <c r="N530" s="200">
        <f t="shared" si="7219"/>
        <v>0</v>
      </c>
      <c r="O530" s="200">
        <f t="shared" si="7219"/>
        <v>0</v>
      </c>
      <c r="P530" s="200">
        <f t="shared" si="7219"/>
        <v>0</v>
      </c>
      <c r="Q530" s="200">
        <f t="shared" si="7219"/>
        <v>0</v>
      </c>
      <c r="R530" s="200">
        <f t="shared" si="7219"/>
        <v>0</v>
      </c>
      <c r="S530" s="200">
        <f t="shared" si="7219"/>
        <v>0</v>
      </c>
      <c r="T530" s="200">
        <f t="shared" si="7219"/>
        <v>0</v>
      </c>
      <c r="U530" s="200">
        <f t="shared" si="7219"/>
        <v>0</v>
      </c>
      <c r="V530" s="200">
        <f t="shared" si="7219"/>
        <v>0</v>
      </c>
      <c r="W530" s="374">
        <f t="shared" si="7219"/>
        <v>0</v>
      </c>
      <c r="X530" s="200">
        <f t="shared" si="7219"/>
        <v>0</v>
      </c>
      <c r="Y530" s="200">
        <f t="shared" si="7219"/>
        <v>0</v>
      </c>
      <c r="Z530" s="200">
        <f t="shared" si="7219"/>
        <v>0</v>
      </c>
      <c r="AA530" s="200">
        <f t="shared" si="7219"/>
        <v>0</v>
      </c>
      <c r="AB530" s="200">
        <f t="shared" si="7219"/>
        <v>0</v>
      </c>
      <c r="AC530" s="200">
        <f t="shared" si="7219"/>
        <v>0</v>
      </c>
      <c r="AD530" s="200">
        <f t="shared" si="7219"/>
        <v>0</v>
      </c>
      <c r="AE530" s="200">
        <f t="shared" si="7219"/>
        <v>0</v>
      </c>
      <c r="AF530" s="200">
        <f t="shared" si="7219"/>
        <v>0</v>
      </c>
      <c r="AG530" s="200">
        <f t="shared" si="7219"/>
        <v>0</v>
      </c>
      <c r="AH530" s="200">
        <f t="shared" si="7219"/>
        <v>0</v>
      </c>
      <c r="AI530" s="374">
        <f t="shared" si="7219"/>
        <v>0</v>
      </c>
      <c r="AJ530" s="200">
        <f t="shared" si="7219"/>
        <v>0</v>
      </c>
      <c r="AK530" s="200">
        <f t="shared" si="7219"/>
        <v>0</v>
      </c>
      <c r="AL530" s="200">
        <f t="shared" si="7219"/>
        <v>0</v>
      </c>
      <c r="AM530" s="200">
        <f t="shared" si="7219"/>
        <v>0</v>
      </c>
      <c r="AN530" s="200">
        <f t="shared" si="7219"/>
        <v>0</v>
      </c>
      <c r="AO530" s="200">
        <f t="shared" si="7219"/>
        <v>0</v>
      </c>
      <c r="AP530" s="200">
        <f t="shared" si="7219"/>
        <v>0</v>
      </c>
      <c r="AQ530" s="200">
        <f t="shared" si="7219"/>
        <v>0</v>
      </c>
      <c r="AR530" s="200">
        <f t="shared" si="7219"/>
        <v>0</v>
      </c>
      <c r="AS530" s="200">
        <f t="shared" si="7219"/>
        <v>0</v>
      </c>
      <c r="AT530" s="200">
        <f t="shared" si="7219"/>
        <v>0</v>
      </c>
      <c r="AU530" s="374">
        <f t="shared" si="7219"/>
        <v>0</v>
      </c>
      <c r="AV530" s="200">
        <f t="shared" si="7219"/>
        <v>0</v>
      </c>
      <c r="AW530" s="200">
        <f t="shared" si="7219"/>
        <v>0</v>
      </c>
      <c r="AX530" s="200">
        <f t="shared" si="7219"/>
        <v>0</v>
      </c>
      <c r="AY530" s="200">
        <f t="shared" si="7219"/>
        <v>0</v>
      </c>
      <c r="AZ530" s="200">
        <f t="shared" si="7219"/>
        <v>0</v>
      </c>
      <c r="BA530" s="200">
        <f t="shared" si="7219"/>
        <v>0</v>
      </c>
      <c r="BB530" s="200">
        <f t="shared" si="7219"/>
        <v>0</v>
      </c>
      <c r="BC530" s="200">
        <f t="shared" si="7219"/>
        <v>0</v>
      </c>
      <c r="BD530" s="200">
        <f t="shared" si="7219"/>
        <v>0</v>
      </c>
      <c r="BE530" s="200">
        <f t="shared" si="7219"/>
        <v>0</v>
      </c>
      <c r="BF530" s="200">
        <f t="shared" si="7219"/>
        <v>0</v>
      </c>
      <c r="BG530" s="374">
        <f t="shared" si="7219"/>
        <v>0</v>
      </c>
      <c r="BH530" s="200">
        <f t="shared" si="7219"/>
        <v>0</v>
      </c>
      <c r="BI530" s="200">
        <f t="shared" si="7219"/>
        <v>0</v>
      </c>
      <c r="BJ530" s="200">
        <f t="shared" si="7219"/>
        <v>0</v>
      </c>
      <c r="BK530" s="200">
        <f t="shared" si="7219"/>
        <v>0</v>
      </c>
      <c r="BL530" s="200">
        <f t="shared" si="7219"/>
        <v>0</v>
      </c>
      <c r="BM530" s="200">
        <f t="shared" si="7219"/>
        <v>0</v>
      </c>
      <c r="BN530" s="200">
        <f t="shared" si="7219"/>
        <v>0</v>
      </c>
      <c r="BO530" s="200">
        <f t="shared" si="7219"/>
        <v>0</v>
      </c>
      <c r="BP530" s="200">
        <f t="shared" si="7219"/>
        <v>0</v>
      </c>
      <c r="BQ530" s="200">
        <f t="shared" si="7219"/>
        <v>0</v>
      </c>
      <c r="BR530" s="200">
        <f t="shared" si="7219"/>
        <v>0</v>
      </c>
      <c r="BS530" s="374">
        <f t="shared" si="7219"/>
        <v>0</v>
      </c>
      <c r="BT530" s="200">
        <f t="shared" ref="BT530:DC530" si="7220">++BT517</f>
        <v>0</v>
      </c>
      <c r="BU530" s="200">
        <f t="shared" si="7220"/>
        <v>0</v>
      </c>
      <c r="BV530" s="200">
        <f t="shared" si="7220"/>
        <v>0</v>
      </c>
      <c r="BW530" s="200">
        <f t="shared" si="7220"/>
        <v>0</v>
      </c>
      <c r="BX530" s="200">
        <f t="shared" si="7220"/>
        <v>0</v>
      </c>
      <c r="BY530" s="200">
        <f t="shared" si="7220"/>
        <v>0</v>
      </c>
      <c r="BZ530" s="200">
        <f t="shared" si="7220"/>
        <v>0</v>
      </c>
      <c r="CA530" s="200">
        <f t="shared" si="7220"/>
        <v>0</v>
      </c>
      <c r="CB530" s="200">
        <f t="shared" si="7220"/>
        <v>0</v>
      </c>
      <c r="CC530" s="200">
        <f t="shared" si="7220"/>
        <v>0</v>
      </c>
      <c r="CD530" s="200">
        <f t="shared" si="7220"/>
        <v>0</v>
      </c>
      <c r="CE530" s="374">
        <f t="shared" si="7220"/>
        <v>0</v>
      </c>
      <c r="CF530" s="200">
        <f t="shared" si="7220"/>
        <v>0</v>
      </c>
      <c r="CG530" s="200">
        <f t="shared" si="7220"/>
        <v>0</v>
      </c>
      <c r="CH530" s="200">
        <f t="shared" si="7220"/>
        <v>0</v>
      </c>
      <c r="CI530" s="200">
        <f t="shared" si="7220"/>
        <v>0</v>
      </c>
      <c r="CJ530" s="200">
        <f t="shared" si="7220"/>
        <v>0</v>
      </c>
      <c r="CK530" s="200">
        <f t="shared" si="7220"/>
        <v>0</v>
      </c>
      <c r="CL530" s="200">
        <f t="shared" si="7220"/>
        <v>0</v>
      </c>
      <c r="CM530" s="200">
        <f t="shared" si="7220"/>
        <v>0</v>
      </c>
      <c r="CN530" s="200">
        <f t="shared" si="7220"/>
        <v>0</v>
      </c>
      <c r="CO530" s="200">
        <f t="shared" si="7220"/>
        <v>0</v>
      </c>
      <c r="CP530" s="200">
        <f t="shared" si="7220"/>
        <v>0</v>
      </c>
      <c r="CQ530" s="374">
        <f t="shared" si="7220"/>
        <v>0</v>
      </c>
      <c r="CR530" s="200">
        <f t="shared" si="7220"/>
        <v>0</v>
      </c>
      <c r="CS530" s="200">
        <f t="shared" si="7220"/>
        <v>0</v>
      </c>
      <c r="CT530" s="200">
        <f t="shared" si="7220"/>
        <v>0</v>
      </c>
      <c r="CU530" s="200">
        <f t="shared" si="7220"/>
        <v>0</v>
      </c>
      <c r="CV530" s="200">
        <f t="shared" si="7220"/>
        <v>0</v>
      </c>
      <c r="CW530" s="200">
        <f t="shared" si="7220"/>
        <v>0</v>
      </c>
      <c r="CX530" s="200">
        <f t="shared" si="7220"/>
        <v>0</v>
      </c>
      <c r="CY530" s="200">
        <f t="shared" si="7220"/>
        <v>0</v>
      </c>
      <c r="CZ530" s="200">
        <f t="shared" si="7220"/>
        <v>0</v>
      </c>
      <c r="DA530" s="200">
        <f t="shared" si="7220"/>
        <v>0</v>
      </c>
      <c r="DB530" s="200">
        <f t="shared" si="7220"/>
        <v>0</v>
      </c>
      <c r="DC530" s="374">
        <f t="shared" si="7220"/>
        <v>0</v>
      </c>
    </row>
    <row r="531" spans="3:107" x14ac:dyDescent="0.3">
      <c r="C531" s="101" t="str">
        <f>++C$41</f>
        <v>Tax Expense (Benefit)</v>
      </c>
      <c r="G531" s="374">
        <f>++G523</f>
        <v>0</v>
      </c>
      <c r="H531" s="200">
        <f t="shared" ref="H531:BS531" si="7221">++H523</f>
        <v>0</v>
      </c>
      <c r="I531" s="200">
        <f t="shared" si="7221"/>
        <v>0</v>
      </c>
      <c r="J531" s="200">
        <f t="shared" si="7221"/>
        <v>0</v>
      </c>
      <c r="K531" s="374">
        <f t="shared" si="7221"/>
        <v>0</v>
      </c>
      <c r="L531" s="200">
        <f t="shared" si="7221"/>
        <v>0</v>
      </c>
      <c r="M531" s="200">
        <f t="shared" si="7221"/>
        <v>0</v>
      </c>
      <c r="N531" s="200">
        <f t="shared" si="7221"/>
        <v>0</v>
      </c>
      <c r="O531" s="200">
        <f t="shared" si="7221"/>
        <v>0</v>
      </c>
      <c r="P531" s="200">
        <f t="shared" si="7221"/>
        <v>0</v>
      </c>
      <c r="Q531" s="200">
        <f t="shared" si="7221"/>
        <v>0</v>
      </c>
      <c r="R531" s="200">
        <f t="shared" si="7221"/>
        <v>0</v>
      </c>
      <c r="S531" s="200">
        <f t="shared" si="7221"/>
        <v>0</v>
      </c>
      <c r="T531" s="200">
        <f t="shared" si="7221"/>
        <v>0</v>
      </c>
      <c r="U531" s="200">
        <f t="shared" si="7221"/>
        <v>0</v>
      </c>
      <c r="V531" s="200">
        <f t="shared" si="7221"/>
        <v>0</v>
      </c>
      <c r="W531" s="374">
        <f t="shared" si="7221"/>
        <v>0</v>
      </c>
      <c r="X531" s="200">
        <f t="shared" si="7221"/>
        <v>0</v>
      </c>
      <c r="Y531" s="200">
        <f t="shared" si="7221"/>
        <v>0</v>
      </c>
      <c r="Z531" s="200">
        <f t="shared" si="7221"/>
        <v>0</v>
      </c>
      <c r="AA531" s="200">
        <f t="shared" si="7221"/>
        <v>0</v>
      </c>
      <c r="AB531" s="200">
        <f t="shared" si="7221"/>
        <v>0</v>
      </c>
      <c r="AC531" s="200">
        <f t="shared" si="7221"/>
        <v>0</v>
      </c>
      <c r="AD531" s="200">
        <f t="shared" si="7221"/>
        <v>0</v>
      </c>
      <c r="AE531" s="200">
        <f t="shared" si="7221"/>
        <v>0</v>
      </c>
      <c r="AF531" s="200">
        <f t="shared" si="7221"/>
        <v>0</v>
      </c>
      <c r="AG531" s="200">
        <f t="shared" si="7221"/>
        <v>0</v>
      </c>
      <c r="AH531" s="200">
        <f t="shared" si="7221"/>
        <v>0</v>
      </c>
      <c r="AI531" s="374">
        <f t="shared" si="7221"/>
        <v>0</v>
      </c>
      <c r="AJ531" s="200">
        <f t="shared" si="7221"/>
        <v>0</v>
      </c>
      <c r="AK531" s="200">
        <f t="shared" si="7221"/>
        <v>0</v>
      </c>
      <c r="AL531" s="200">
        <f t="shared" si="7221"/>
        <v>0</v>
      </c>
      <c r="AM531" s="200">
        <f t="shared" si="7221"/>
        <v>0</v>
      </c>
      <c r="AN531" s="200">
        <f t="shared" si="7221"/>
        <v>0</v>
      </c>
      <c r="AO531" s="200">
        <f t="shared" si="7221"/>
        <v>0</v>
      </c>
      <c r="AP531" s="200">
        <f t="shared" si="7221"/>
        <v>0</v>
      </c>
      <c r="AQ531" s="200">
        <f t="shared" si="7221"/>
        <v>0</v>
      </c>
      <c r="AR531" s="200">
        <f t="shared" si="7221"/>
        <v>0</v>
      </c>
      <c r="AS531" s="200">
        <f t="shared" si="7221"/>
        <v>0</v>
      </c>
      <c r="AT531" s="200">
        <f t="shared" si="7221"/>
        <v>0</v>
      </c>
      <c r="AU531" s="374">
        <f t="shared" si="7221"/>
        <v>0</v>
      </c>
      <c r="AV531" s="200">
        <f t="shared" si="7221"/>
        <v>0</v>
      </c>
      <c r="AW531" s="200">
        <f t="shared" si="7221"/>
        <v>0</v>
      </c>
      <c r="AX531" s="200">
        <f t="shared" si="7221"/>
        <v>0</v>
      </c>
      <c r="AY531" s="200">
        <f t="shared" si="7221"/>
        <v>0</v>
      </c>
      <c r="AZ531" s="200">
        <f t="shared" si="7221"/>
        <v>0</v>
      </c>
      <c r="BA531" s="200">
        <f t="shared" si="7221"/>
        <v>0</v>
      </c>
      <c r="BB531" s="200">
        <f t="shared" si="7221"/>
        <v>0</v>
      </c>
      <c r="BC531" s="200">
        <f t="shared" si="7221"/>
        <v>0</v>
      </c>
      <c r="BD531" s="200">
        <f t="shared" si="7221"/>
        <v>0</v>
      </c>
      <c r="BE531" s="200">
        <f t="shared" si="7221"/>
        <v>0</v>
      </c>
      <c r="BF531" s="200">
        <f t="shared" si="7221"/>
        <v>0</v>
      </c>
      <c r="BG531" s="374">
        <f t="shared" si="7221"/>
        <v>0</v>
      </c>
      <c r="BH531" s="200">
        <f t="shared" si="7221"/>
        <v>0</v>
      </c>
      <c r="BI531" s="200">
        <f t="shared" si="7221"/>
        <v>0</v>
      </c>
      <c r="BJ531" s="200">
        <f t="shared" si="7221"/>
        <v>0</v>
      </c>
      <c r="BK531" s="200">
        <f t="shared" si="7221"/>
        <v>0</v>
      </c>
      <c r="BL531" s="200">
        <f t="shared" si="7221"/>
        <v>0</v>
      </c>
      <c r="BM531" s="200">
        <f t="shared" si="7221"/>
        <v>0</v>
      </c>
      <c r="BN531" s="200">
        <f t="shared" si="7221"/>
        <v>0</v>
      </c>
      <c r="BO531" s="200">
        <f t="shared" si="7221"/>
        <v>0</v>
      </c>
      <c r="BP531" s="200">
        <f t="shared" si="7221"/>
        <v>0</v>
      </c>
      <c r="BQ531" s="200">
        <f t="shared" si="7221"/>
        <v>0</v>
      </c>
      <c r="BR531" s="200">
        <f t="shared" si="7221"/>
        <v>0</v>
      </c>
      <c r="BS531" s="374">
        <f t="shared" si="7221"/>
        <v>0</v>
      </c>
      <c r="BT531" s="200">
        <f t="shared" ref="BT531:DC531" si="7222">++BT523</f>
        <v>0</v>
      </c>
      <c r="BU531" s="200">
        <f t="shared" si="7222"/>
        <v>0</v>
      </c>
      <c r="BV531" s="200">
        <f t="shared" si="7222"/>
        <v>0</v>
      </c>
      <c r="BW531" s="200">
        <f t="shared" si="7222"/>
        <v>0</v>
      </c>
      <c r="BX531" s="200">
        <f t="shared" si="7222"/>
        <v>0</v>
      </c>
      <c r="BY531" s="200">
        <f t="shared" si="7222"/>
        <v>0</v>
      </c>
      <c r="BZ531" s="200">
        <f t="shared" si="7222"/>
        <v>0</v>
      </c>
      <c r="CA531" s="200">
        <f t="shared" si="7222"/>
        <v>0</v>
      </c>
      <c r="CB531" s="200">
        <f t="shared" si="7222"/>
        <v>0</v>
      </c>
      <c r="CC531" s="200">
        <f t="shared" si="7222"/>
        <v>0</v>
      </c>
      <c r="CD531" s="200">
        <f t="shared" si="7222"/>
        <v>0</v>
      </c>
      <c r="CE531" s="374">
        <f t="shared" si="7222"/>
        <v>0</v>
      </c>
      <c r="CF531" s="200">
        <f t="shared" si="7222"/>
        <v>0</v>
      </c>
      <c r="CG531" s="200">
        <f t="shared" si="7222"/>
        <v>0</v>
      </c>
      <c r="CH531" s="200">
        <f t="shared" si="7222"/>
        <v>0</v>
      </c>
      <c r="CI531" s="200">
        <f t="shared" si="7222"/>
        <v>0</v>
      </c>
      <c r="CJ531" s="200">
        <f t="shared" si="7222"/>
        <v>0</v>
      </c>
      <c r="CK531" s="200">
        <f t="shared" si="7222"/>
        <v>0</v>
      </c>
      <c r="CL531" s="200">
        <f t="shared" si="7222"/>
        <v>0</v>
      </c>
      <c r="CM531" s="200">
        <f t="shared" si="7222"/>
        <v>0</v>
      </c>
      <c r="CN531" s="200">
        <f t="shared" si="7222"/>
        <v>0</v>
      </c>
      <c r="CO531" s="200">
        <f t="shared" si="7222"/>
        <v>0</v>
      </c>
      <c r="CP531" s="200">
        <f t="shared" si="7222"/>
        <v>0</v>
      </c>
      <c r="CQ531" s="374">
        <f t="shared" si="7222"/>
        <v>0</v>
      </c>
      <c r="CR531" s="200">
        <f t="shared" si="7222"/>
        <v>0</v>
      </c>
      <c r="CS531" s="200">
        <f t="shared" si="7222"/>
        <v>0</v>
      </c>
      <c r="CT531" s="200">
        <f t="shared" si="7222"/>
        <v>0</v>
      </c>
      <c r="CU531" s="200">
        <f t="shared" si="7222"/>
        <v>0</v>
      </c>
      <c r="CV531" s="200">
        <f t="shared" si="7222"/>
        <v>0</v>
      </c>
      <c r="CW531" s="200">
        <f t="shared" si="7222"/>
        <v>0</v>
      </c>
      <c r="CX531" s="200">
        <f t="shared" si="7222"/>
        <v>0</v>
      </c>
      <c r="CY531" s="200">
        <f t="shared" si="7222"/>
        <v>0</v>
      </c>
      <c r="CZ531" s="200">
        <f t="shared" si="7222"/>
        <v>0</v>
      </c>
      <c r="DA531" s="200">
        <f t="shared" si="7222"/>
        <v>0</v>
      </c>
      <c r="DB531" s="200">
        <f t="shared" si="7222"/>
        <v>0</v>
      </c>
      <c r="DC531" s="374">
        <f t="shared" si="7222"/>
        <v>0</v>
      </c>
    </row>
    <row r="532" spans="3:107" x14ac:dyDescent="0.3">
      <c r="C532" s="101" t="str">
        <f>++C$42</f>
        <v>Depreciation</v>
      </c>
      <c r="G532" s="374">
        <f>++G510</f>
        <v>0</v>
      </c>
      <c r="H532" s="200">
        <f t="shared" ref="H532:BS532" si="7223">++H510</f>
        <v>0</v>
      </c>
      <c r="I532" s="200">
        <f t="shared" si="7223"/>
        <v>0</v>
      </c>
      <c r="J532" s="200">
        <f t="shared" si="7223"/>
        <v>0</v>
      </c>
      <c r="K532" s="374">
        <f t="shared" si="7223"/>
        <v>0</v>
      </c>
      <c r="L532" s="200">
        <f t="shared" si="7223"/>
        <v>0</v>
      </c>
      <c r="M532" s="200">
        <f t="shared" si="7223"/>
        <v>0</v>
      </c>
      <c r="N532" s="200">
        <f t="shared" si="7223"/>
        <v>0</v>
      </c>
      <c r="O532" s="200">
        <f t="shared" si="7223"/>
        <v>0</v>
      </c>
      <c r="P532" s="200">
        <f t="shared" si="7223"/>
        <v>0</v>
      </c>
      <c r="Q532" s="200">
        <f t="shared" si="7223"/>
        <v>0</v>
      </c>
      <c r="R532" s="200">
        <f t="shared" si="7223"/>
        <v>0</v>
      </c>
      <c r="S532" s="200">
        <f t="shared" si="7223"/>
        <v>0</v>
      </c>
      <c r="T532" s="200">
        <f t="shared" si="7223"/>
        <v>0</v>
      </c>
      <c r="U532" s="200">
        <f t="shared" si="7223"/>
        <v>0</v>
      </c>
      <c r="V532" s="200">
        <f t="shared" si="7223"/>
        <v>0</v>
      </c>
      <c r="W532" s="374">
        <f t="shared" si="7223"/>
        <v>0</v>
      </c>
      <c r="X532" s="200">
        <f t="shared" si="7223"/>
        <v>0</v>
      </c>
      <c r="Y532" s="200">
        <f t="shared" si="7223"/>
        <v>0</v>
      </c>
      <c r="Z532" s="200">
        <f t="shared" si="7223"/>
        <v>0</v>
      </c>
      <c r="AA532" s="200">
        <f t="shared" si="7223"/>
        <v>0</v>
      </c>
      <c r="AB532" s="200">
        <f t="shared" si="7223"/>
        <v>0</v>
      </c>
      <c r="AC532" s="200">
        <f t="shared" si="7223"/>
        <v>0</v>
      </c>
      <c r="AD532" s="200">
        <f t="shared" si="7223"/>
        <v>0</v>
      </c>
      <c r="AE532" s="200">
        <f t="shared" si="7223"/>
        <v>0</v>
      </c>
      <c r="AF532" s="200">
        <f t="shared" si="7223"/>
        <v>0</v>
      </c>
      <c r="AG532" s="200">
        <f t="shared" si="7223"/>
        <v>0</v>
      </c>
      <c r="AH532" s="200">
        <f t="shared" si="7223"/>
        <v>0</v>
      </c>
      <c r="AI532" s="374">
        <f t="shared" si="7223"/>
        <v>0</v>
      </c>
      <c r="AJ532" s="200">
        <f t="shared" si="7223"/>
        <v>0</v>
      </c>
      <c r="AK532" s="200">
        <f t="shared" si="7223"/>
        <v>0</v>
      </c>
      <c r="AL532" s="200">
        <f t="shared" si="7223"/>
        <v>0</v>
      </c>
      <c r="AM532" s="200">
        <f t="shared" si="7223"/>
        <v>0</v>
      </c>
      <c r="AN532" s="200">
        <f t="shared" si="7223"/>
        <v>0</v>
      </c>
      <c r="AO532" s="200">
        <f t="shared" si="7223"/>
        <v>0</v>
      </c>
      <c r="AP532" s="200">
        <f t="shared" si="7223"/>
        <v>0</v>
      </c>
      <c r="AQ532" s="200">
        <f t="shared" si="7223"/>
        <v>0</v>
      </c>
      <c r="AR532" s="200">
        <f t="shared" si="7223"/>
        <v>0</v>
      </c>
      <c r="AS532" s="200">
        <f t="shared" si="7223"/>
        <v>0</v>
      </c>
      <c r="AT532" s="200">
        <f t="shared" si="7223"/>
        <v>0</v>
      </c>
      <c r="AU532" s="374">
        <f t="shared" si="7223"/>
        <v>0</v>
      </c>
      <c r="AV532" s="200">
        <f t="shared" si="7223"/>
        <v>0</v>
      </c>
      <c r="AW532" s="200">
        <f t="shared" si="7223"/>
        <v>0</v>
      </c>
      <c r="AX532" s="200">
        <f t="shared" si="7223"/>
        <v>0</v>
      </c>
      <c r="AY532" s="200">
        <f t="shared" si="7223"/>
        <v>0</v>
      </c>
      <c r="AZ532" s="200">
        <f t="shared" si="7223"/>
        <v>0</v>
      </c>
      <c r="BA532" s="200">
        <f t="shared" si="7223"/>
        <v>0</v>
      </c>
      <c r="BB532" s="200">
        <f t="shared" si="7223"/>
        <v>0</v>
      </c>
      <c r="BC532" s="200">
        <f t="shared" si="7223"/>
        <v>0</v>
      </c>
      <c r="BD532" s="200">
        <f t="shared" si="7223"/>
        <v>0</v>
      </c>
      <c r="BE532" s="200">
        <f t="shared" si="7223"/>
        <v>0</v>
      </c>
      <c r="BF532" s="200">
        <f t="shared" si="7223"/>
        <v>0</v>
      </c>
      <c r="BG532" s="374">
        <f t="shared" si="7223"/>
        <v>0</v>
      </c>
      <c r="BH532" s="200">
        <f t="shared" si="7223"/>
        <v>0</v>
      </c>
      <c r="BI532" s="200">
        <f t="shared" si="7223"/>
        <v>0</v>
      </c>
      <c r="BJ532" s="200">
        <f t="shared" si="7223"/>
        <v>0</v>
      </c>
      <c r="BK532" s="200">
        <f t="shared" si="7223"/>
        <v>0</v>
      </c>
      <c r="BL532" s="200">
        <f t="shared" si="7223"/>
        <v>0</v>
      </c>
      <c r="BM532" s="200">
        <f t="shared" si="7223"/>
        <v>0</v>
      </c>
      <c r="BN532" s="200">
        <f t="shared" si="7223"/>
        <v>0</v>
      </c>
      <c r="BO532" s="200">
        <f t="shared" si="7223"/>
        <v>0</v>
      </c>
      <c r="BP532" s="200">
        <f t="shared" si="7223"/>
        <v>0</v>
      </c>
      <c r="BQ532" s="200">
        <f t="shared" si="7223"/>
        <v>0</v>
      </c>
      <c r="BR532" s="200">
        <f t="shared" si="7223"/>
        <v>0</v>
      </c>
      <c r="BS532" s="374">
        <f t="shared" si="7223"/>
        <v>0</v>
      </c>
      <c r="BT532" s="200">
        <f t="shared" ref="BT532:DC532" si="7224">++BT510</f>
        <v>0</v>
      </c>
      <c r="BU532" s="200">
        <f t="shared" si="7224"/>
        <v>0</v>
      </c>
      <c r="BV532" s="200">
        <f t="shared" si="7224"/>
        <v>0</v>
      </c>
      <c r="BW532" s="200">
        <f t="shared" si="7224"/>
        <v>0</v>
      </c>
      <c r="BX532" s="200">
        <f t="shared" si="7224"/>
        <v>0</v>
      </c>
      <c r="BY532" s="200">
        <f t="shared" si="7224"/>
        <v>0</v>
      </c>
      <c r="BZ532" s="200">
        <f t="shared" si="7224"/>
        <v>0</v>
      </c>
      <c r="CA532" s="200">
        <f t="shared" si="7224"/>
        <v>0</v>
      </c>
      <c r="CB532" s="200">
        <f t="shared" si="7224"/>
        <v>0</v>
      </c>
      <c r="CC532" s="200">
        <f t="shared" si="7224"/>
        <v>0</v>
      </c>
      <c r="CD532" s="200">
        <f t="shared" si="7224"/>
        <v>0</v>
      </c>
      <c r="CE532" s="374">
        <f t="shared" si="7224"/>
        <v>0</v>
      </c>
      <c r="CF532" s="200">
        <f t="shared" si="7224"/>
        <v>0</v>
      </c>
      <c r="CG532" s="200">
        <f t="shared" si="7224"/>
        <v>0</v>
      </c>
      <c r="CH532" s="200">
        <f t="shared" si="7224"/>
        <v>0</v>
      </c>
      <c r="CI532" s="200">
        <f t="shared" si="7224"/>
        <v>0</v>
      </c>
      <c r="CJ532" s="200">
        <f t="shared" si="7224"/>
        <v>0</v>
      </c>
      <c r="CK532" s="200">
        <f t="shared" si="7224"/>
        <v>0</v>
      </c>
      <c r="CL532" s="200">
        <f t="shared" si="7224"/>
        <v>0</v>
      </c>
      <c r="CM532" s="200">
        <f t="shared" si="7224"/>
        <v>0</v>
      </c>
      <c r="CN532" s="200">
        <f t="shared" si="7224"/>
        <v>0</v>
      </c>
      <c r="CO532" s="200">
        <f t="shared" si="7224"/>
        <v>0</v>
      </c>
      <c r="CP532" s="200">
        <f t="shared" si="7224"/>
        <v>0</v>
      </c>
      <c r="CQ532" s="374">
        <f t="shared" si="7224"/>
        <v>0</v>
      </c>
      <c r="CR532" s="200">
        <f t="shared" si="7224"/>
        <v>0</v>
      </c>
      <c r="CS532" s="200">
        <f t="shared" si="7224"/>
        <v>0</v>
      </c>
      <c r="CT532" s="200">
        <f t="shared" si="7224"/>
        <v>0</v>
      </c>
      <c r="CU532" s="200">
        <f t="shared" si="7224"/>
        <v>0</v>
      </c>
      <c r="CV532" s="200">
        <f t="shared" si="7224"/>
        <v>0</v>
      </c>
      <c r="CW532" s="200">
        <f t="shared" si="7224"/>
        <v>0</v>
      </c>
      <c r="CX532" s="200">
        <f t="shared" si="7224"/>
        <v>0</v>
      </c>
      <c r="CY532" s="200">
        <f t="shared" si="7224"/>
        <v>0</v>
      </c>
      <c r="CZ532" s="200">
        <f t="shared" si="7224"/>
        <v>0</v>
      </c>
      <c r="DA532" s="200">
        <f t="shared" si="7224"/>
        <v>0</v>
      </c>
      <c r="DB532" s="200">
        <f t="shared" si="7224"/>
        <v>0</v>
      </c>
      <c r="DC532" s="374">
        <f t="shared" si="7224"/>
        <v>0</v>
      </c>
    </row>
    <row r="533" spans="3:107" x14ac:dyDescent="0.3">
      <c r="C533" s="101" t="str">
        <f>++C$43</f>
        <v>Amortization</v>
      </c>
      <c r="G533" s="374">
        <f t="shared" ref="G533:BR533" si="7225">++G511</f>
        <v>0</v>
      </c>
      <c r="H533" s="200">
        <f t="shared" si="7225"/>
        <v>0</v>
      </c>
      <c r="I533" s="200">
        <f t="shared" si="7225"/>
        <v>0</v>
      </c>
      <c r="J533" s="200">
        <f t="shared" si="7225"/>
        <v>0</v>
      </c>
      <c r="K533" s="374">
        <f t="shared" si="7225"/>
        <v>0</v>
      </c>
      <c r="L533" s="200">
        <f t="shared" si="7225"/>
        <v>0</v>
      </c>
      <c r="M533" s="200">
        <f t="shared" si="7225"/>
        <v>0</v>
      </c>
      <c r="N533" s="200">
        <f t="shared" si="7225"/>
        <v>0</v>
      </c>
      <c r="O533" s="200">
        <f t="shared" si="7225"/>
        <v>0</v>
      </c>
      <c r="P533" s="200">
        <f t="shared" si="7225"/>
        <v>0</v>
      </c>
      <c r="Q533" s="200">
        <f t="shared" si="7225"/>
        <v>0</v>
      </c>
      <c r="R533" s="200">
        <f t="shared" si="7225"/>
        <v>0</v>
      </c>
      <c r="S533" s="200">
        <f t="shared" si="7225"/>
        <v>0</v>
      </c>
      <c r="T533" s="200">
        <f t="shared" si="7225"/>
        <v>0</v>
      </c>
      <c r="U533" s="200">
        <f t="shared" si="7225"/>
        <v>0</v>
      </c>
      <c r="V533" s="200">
        <f t="shared" si="7225"/>
        <v>0</v>
      </c>
      <c r="W533" s="374">
        <f t="shared" si="7225"/>
        <v>0</v>
      </c>
      <c r="X533" s="200">
        <f t="shared" si="7225"/>
        <v>0</v>
      </c>
      <c r="Y533" s="200">
        <f t="shared" si="7225"/>
        <v>0</v>
      </c>
      <c r="Z533" s="200">
        <f t="shared" si="7225"/>
        <v>0</v>
      </c>
      <c r="AA533" s="200">
        <f t="shared" si="7225"/>
        <v>0</v>
      </c>
      <c r="AB533" s="200">
        <f t="shared" si="7225"/>
        <v>0</v>
      </c>
      <c r="AC533" s="200">
        <f t="shared" si="7225"/>
        <v>0</v>
      </c>
      <c r="AD533" s="200">
        <f t="shared" si="7225"/>
        <v>0</v>
      </c>
      <c r="AE533" s="200">
        <f t="shared" si="7225"/>
        <v>0</v>
      </c>
      <c r="AF533" s="200">
        <f t="shared" si="7225"/>
        <v>0</v>
      </c>
      <c r="AG533" s="200">
        <f t="shared" si="7225"/>
        <v>0</v>
      </c>
      <c r="AH533" s="200">
        <f t="shared" si="7225"/>
        <v>0</v>
      </c>
      <c r="AI533" s="374">
        <f t="shared" si="7225"/>
        <v>0</v>
      </c>
      <c r="AJ533" s="200">
        <f t="shared" si="7225"/>
        <v>0</v>
      </c>
      <c r="AK533" s="200">
        <f t="shared" si="7225"/>
        <v>0</v>
      </c>
      <c r="AL533" s="200">
        <f t="shared" si="7225"/>
        <v>0</v>
      </c>
      <c r="AM533" s="200">
        <f t="shared" si="7225"/>
        <v>0</v>
      </c>
      <c r="AN533" s="200">
        <f t="shared" si="7225"/>
        <v>0</v>
      </c>
      <c r="AO533" s="200">
        <f t="shared" si="7225"/>
        <v>0</v>
      </c>
      <c r="AP533" s="200">
        <f t="shared" si="7225"/>
        <v>0</v>
      </c>
      <c r="AQ533" s="200">
        <f t="shared" si="7225"/>
        <v>0</v>
      </c>
      <c r="AR533" s="200">
        <f t="shared" si="7225"/>
        <v>0</v>
      </c>
      <c r="AS533" s="200">
        <f t="shared" si="7225"/>
        <v>0</v>
      </c>
      <c r="AT533" s="200">
        <f t="shared" si="7225"/>
        <v>0</v>
      </c>
      <c r="AU533" s="374">
        <f t="shared" si="7225"/>
        <v>0</v>
      </c>
      <c r="AV533" s="200">
        <f t="shared" si="7225"/>
        <v>0</v>
      </c>
      <c r="AW533" s="200">
        <f t="shared" si="7225"/>
        <v>0</v>
      </c>
      <c r="AX533" s="200">
        <f t="shared" si="7225"/>
        <v>0</v>
      </c>
      <c r="AY533" s="200">
        <f t="shared" si="7225"/>
        <v>0</v>
      </c>
      <c r="AZ533" s="200">
        <f t="shared" si="7225"/>
        <v>0</v>
      </c>
      <c r="BA533" s="200">
        <f t="shared" si="7225"/>
        <v>0</v>
      </c>
      <c r="BB533" s="200">
        <f t="shared" si="7225"/>
        <v>0</v>
      </c>
      <c r="BC533" s="200">
        <f t="shared" si="7225"/>
        <v>0</v>
      </c>
      <c r="BD533" s="200">
        <f t="shared" si="7225"/>
        <v>0</v>
      </c>
      <c r="BE533" s="200">
        <f t="shared" si="7225"/>
        <v>0</v>
      </c>
      <c r="BF533" s="200">
        <f t="shared" si="7225"/>
        <v>0</v>
      </c>
      <c r="BG533" s="374">
        <f t="shared" si="7225"/>
        <v>0</v>
      </c>
      <c r="BH533" s="200">
        <f t="shared" si="7225"/>
        <v>0</v>
      </c>
      <c r="BI533" s="200">
        <f t="shared" si="7225"/>
        <v>0</v>
      </c>
      <c r="BJ533" s="200">
        <f t="shared" si="7225"/>
        <v>0</v>
      </c>
      <c r="BK533" s="200">
        <f t="shared" si="7225"/>
        <v>0</v>
      </c>
      <c r="BL533" s="200">
        <f t="shared" si="7225"/>
        <v>0</v>
      </c>
      <c r="BM533" s="200">
        <f t="shared" si="7225"/>
        <v>0</v>
      </c>
      <c r="BN533" s="200">
        <f t="shared" si="7225"/>
        <v>0</v>
      </c>
      <c r="BO533" s="200">
        <f t="shared" si="7225"/>
        <v>0</v>
      </c>
      <c r="BP533" s="200">
        <f t="shared" si="7225"/>
        <v>0</v>
      </c>
      <c r="BQ533" s="200">
        <f t="shared" si="7225"/>
        <v>0</v>
      </c>
      <c r="BR533" s="200">
        <f t="shared" si="7225"/>
        <v>0</v>
      </c>
      <c r="BS533" s="374">
        <f t="shared" ref="BS533:DC533" si="7226">++BS511</f>
        <v>0</v>
      </c>
      <c r="BT533" s="200">
        <f t="shared" si="7226"/>
        <v>0</v>
      </c>
      <c r="BU533" s="200">
        <f t="shared" si="7226"/>
        <v>0</v>
      </c>
      <c r="BV533" s="200">
        <f t="shared" si="7226"/>
        <v>0</v>
      </c>
      <c r="BW533" s="200">
        <f t="shared" si="7226"/>
        <v>0</v>
      </c>
      <c r="BX533" s="200">
        <f t="shared" si="7226"/>
        <v>0</v>
      </c>
      <c r="BY533" s="200">
        <f t="shared" si="7226"/>
        <v>0</v>
      </c>
      <c r="BZ533" s="200">
        <f t="shared" si="7226"/>
        <v>0</v>
      </c>
      <c r="CA533" s="200">
        <f t="shared" si="7226"/>
        <v>0</v>
      </c>
      <c r="CB533" s="200">
        <f t="shared" si="7226"/>
        <v>0</v>
      </c>
      <c r="CC533" s="200">
        <f t="shared" si="7226"/>
        <v>0</v>
      </c>
      <c r="CD533" s="200">
        <f t="shared" si="7226"/>
        <v>0</v>
      </c>
      <c r="CE533" s="374">
        <f t="shared" si="7226"/>
        <v>0</v>
      </c>
      <c r="CF533" s="200">
        <f t="shared" si="7226"/>
        <v>0</v>
      </c>
      <c r="CG533" s="200">
        <f t="shared" si="7226"/>
        <v>0</v>
      </c>
      <c r="CH533" s="200">
        <f t="shared" si="7226"/>
        <v>0</v>
      </c>
      <c r="CI533" s="200">
        <f t="shared" si="7226"/>
        <v>0</v>
      </c>
      <c r="CJ533" s="200">
        <f t="shared" si="7226"/>
        <v>0</v>
      </c>
      <c r="CK533" s="200">
        <f t="shared" si="7226"/>
        <v>0</v>
      </c>
      <c r="CL533" s="200">
        <f t="shared" si="7226"/>
        <v>0</v>
      </c>
      <c r="CM533" s="200">
        <f t="shared" si="7226"/>
        <v>0</v>
      </c>
      <c r="CN533" s="200">
        <f t="shared" si="7226"/>
        <v>0</v>
      </c>
      <c r="CO533" s="200">
        <f t="shared" si="7226"/>
        <v>0</v>
      </c>
      <c r="CP533" s="200">
        <f t="shared" si="7226"/>
        <v>0</v>
      </c>
      <c r="CQ533" s="374">
        <f t="shared" si="7226"/>
        <v>0</v>
      </c>
      <c r="CR533" s="200">
        <f t="shared" si="7226"/>
        <v>0</v>
      </c>
      <c r="CS533" s="200">
        <f t="shared" si="7226"/>
        <v>0</v>
      </c>
      <c r="CT533" s="200">
        <f t="shared" si="7226"/>
        <v>0</v>
      </c>
      <c r="CU533" s="200">
        <f t="shared" si="7226"/>
        <v>0</v>
      </c>
      <c r="CV533" s="200">
        <f t="shared" si="7226"/>
        <v>0</v>
      </c>
      <c r="CW533" s="200">
        <f t="shared" si="7226"/>
        <v>0</v>
      </c>
      <c r="CX533" s="200">
        <f t="shared" si="7226"/>
        <v>0</v>
      </c>
      <c r="CY533" s="200">
        <f t="shared" si="7226"/>
        <v>0</v>
      </c>
      <c r="CZ533" s="200">
        <f t="shared" si="7226"/>
        <v>0</v>
      </c>
      <c r="DA533" s="200">
        <f t="shared" si="7226"/>
        <v>0</v>
      </c>
      <c r="DB533" s="200">
        <f t="shared" si="7226"/>
        <v>0</v>
      </c>
      <c r="DC533" s="374">
        <f t="shared" si="7226"/>
        <v>0</v>
      </c>
    </row>
    <row r="534" spans="3:107" x14ac:dyDescent="0.3">
      <c r="C534" s="231" t="str">
        <f>++C$44</f>
        <v>Reported EBITDA</v>
      </c>
      <c r="D534" s="191"/>
      <c r="E534" s="191"/>
      <c r="G534" s="239">
        <f>++SUM(G530:G533)</f>
        <v>0</v>
      </c>
      <c r="H534" s="232">
        <f t="shared" ref="H534" si="7227">++SUM(H530:H533)</f>
        <v>0</v>
      </c>
      <c r="I534" s="232">
        <f t="shared" ref="I534:BT534" si="7228">++SUM(I530:I533)</f>
        <v>0</v>
      </c>
      <c r="J534" s="232">
        <f t="shared" si="7228"/>
        <v>0</v>
      </c>
      <c r="K534" s="239">
        <f t="shared" si="7228"/>
        <v>0</v>
      </c>
      <c r="L534" s="232">
        <f t="shared" si="7228"/>
        <v>0</v>
      </c>
      <c r="M534" s="232">
        <f t="shared" si="7228"/>
        <v>0</v>
      </c>
      <c r="N534" s="232">
        <f t="shared" si="7228"/>
        <v>0</v>
      </c>
      <c r="O534" s="232">
        <f t="shared" si="7228"/>
        <v>0</v>
      </c>
      <c r="P534" s="232">
        <f t="shared" si="7228"/>
        <v>0</v>
      </c>
      <c r="Q534" s="232">
        <f t="shared" si="7228"/>
        <v>0</v>
      </c>
      <c r="R534" s="232">
        <f t="shared" si="7228"/>
        <v>0</v>
      </c>
      <c r="S534" s="232">
        <f t="shared" si="7228"/>
        <v>0</v>
      </c>
      <c r="T534" s="232">
        <f t="shared" si="7228"/>
        <v>0</v>
      </c>
      <c r="U534" s="232">
        <f t="shared" si="7228"/>
        <v>0</v>
      </c>
      <c r="V534" s="232">
        <f t="shared" si="7228"/>
        <v>0</v>
      </c>
      <c r="W534" s="239">
        <f t="shared" si="7228"/>
        <v>0</v>
      </c>
      <c r="X534" s="232">
        <f t="shared" si="7228"/>
        <v>0</v>
      </c>
      <c r="Y534" s="232">
        <f t="shared" si="7228"/>
        <v>0</v>
      </c>
      <c r="Z534" s="232">
        <f t="shared" si="7228"/>
        <v>0</v>
      </c>
      <c r="AA534" s="232">
        <f t="shared" si="7228"/>
        <v>0</v>
      </c>
      <c r="AB534" s="232">
        <f t="shared" si="7228"/>
        <v>0</v>
      </c>
      <c r="AC534" s="232">
        <f t="shared" si="7228"/>
        <v>0</v>
      </c>
      <c r="AD534" s="232">
        <f t="shared" si="7228"/>
        <v>0</v>
      </c>
      <c r="AE534" s="232">
        <f t="shared" si="7228"/>
        <v>0</v>
      </c>
      <c r="AF534" s="232">
        <f t="shared" si="7228"/>
        <v>0</v>
      </c>
      <c r="AG534" s="232">
        <f t="shared" si="7228"/>
        <v>0</v>
      </c>
      <c r="AH534" s="232">
        <f t="shared" si="7228"/>
        <v>0</v>
      </c>
      <c r="AI534" s="239">
        <f t="shared" si="7228"/>
        <v>0</v>
      </c>
      <c r="AJ534" s="232">
        <f t="shared" si="7228"/>
        <v>0</v>
      </c>
      <c r="AK534" s="232">
        <f t="shared" si="7228"/>
        <v>0</v>
      </c>
      <c r="AL534" s="232">
        <f t="shared" si="7228"/>
        <v>0</v>
      </c>
      <c r="AM534" s="232">
        <f t="shared" si="7228"/>
        <v>0</v>
      </c>
      <c r="AN534" s="232">
        <f t="shared" si="7228"/>
        <v>0</v>
      </c>
      <c r="AO534" s="232">
        <f t="shared" si="7228"/>
        <v>0</v>
      </c>
      <c r="AP534" s="232">
        <f t="shared" si="7228"/>
        <v>0</v>
      </c>
      <c r="AQ534" s="232">
        <f t="shared" si="7228"/>
        <v>0</v>
      </c>
      <c r="AR534" s="232">
        <f t="shared" si="7228"/>
        <v>0</v>
      </c>
      <c r="AS534" s="232">
        <f t="shared" si="7228"/>
        <v>0</v>
      </c>
      <c r="AT534" s="232">
        <f t="shared" si="7228"/>
        <v>0</v>
      </c>
      <c r="AU534" s="239">
        <f t="shared" si="7228"/>
        <v>0</v>
      </c>
      <c r="AV534" s="232">
        <f t="shared" si="7228"/>
        <v>0</v>
      </c>
      <c r="AW534" s="232">
        <f t="shared" si="7228"/>
        <v>0</v>
      </c>
      <c r="AX534" s="232">
        <f t="shared" si="7228"/>
        <v>0</v>
      </c>
      <c r="AY534" s="232">
        <f t="shared" si="7228"/>
        <v>0</v>
      </c>
      <c r="AZ534" s="232">
        <f t="shared" si="7228"/>
        <v>0</v>
      </c>
      <c r="BA534" s="232">
        <f t="shared" si="7228"/>
        <v>0</v>
      </c>
      <c r="BB534" s="232">
        <f t="shared" si="7228"/>
        <v>0</v>
      </c>
      <c r="BC534" s="232">
        <f t="shared" si="7228"/>
        <v>0</v>
      </c>
      <c r="BD534" s="232">
        <f t="shared" si="7228"/>
        <v>0</v>
      </c>
      <c r="BE534" s="232">
        <f t="shared" si="7228"/>
        <v>0</v>
      </c>
      <c r="BF534" s="232">
        <f t="shared" si="7228"/>
        <v>0</v>
      </c>
      <c r="BG534" s="239">
        <f t="shared" si="7228"/>
        <v>0</v>
      </c>
      <c r="BH534" s="232">
        <f t="shared" si="7228"/>
        <v>0</v>
      </c>
      <c r="BI534" s="232">
        <f t="shared" si="7228"/>
        <v>0</v>
      </c>
      <c r="BJ534" s="232">
        <f t="shared" si="7228"/>
        <v>0</v>
      </c>
      <c r="BK534" s="232">
        <f t="shared" si="7228"/>
        <v>0</v>
      </c>
      <c r="BL534" s="232">
        <f t="shared" si="7228"/>
        <v>0</v>
      </c>
      <c r="BM534" s="232">
        <f t="shared" si="7228"/>
        <v>0</v>
      </c>
      <c r="BN534" s="232">
        <f t="shared" si="7228"/>
        <v>0</v>
      </c>
      <c r="BO534" s="232">
        <f t="shared" si="7228"/>
        <v>0</v>
      </c>
      <c r="BP534" s="232">
        <f t="shared" si="7228"/>
        <v>0</v>
      </c>
      <c r="BQ534" s="232">
        <f t="shared" si="7228"/>
        <v>0</v>
      </c>
      <c r="BR534" s="232">
        <f t="shared" si="7228"/>
        <v>0</v>
      </c>
      <c r="BS534" s="239">
        <f t="shared" si="7228"/>
        <v>0</v>
      </c>
      <c r="BT534" s="232">
        <f t="shared" si="7228"/>
        <v>0</v>
      </c>
      <c r="BU534" s="232">
        <f t="shared" ref="BU534:DC534" si="7229">++SUM(BU530:BU533)</f>
        <v>0</v>
      </c>
      <c r="BV534" s="232">
        <f t="shared" si="7229"/>
        <v>0</v>
      </c>
      <c r="BW534" s="232">
        <f t="shared" si="7229"/>
        <v>0</v>
      </c>
      <c r="BX534" s="232">
        <f t="shared" si="7229"/>
        <v>0</v>
      </c>
      <c r="BY534" s="232">
        <f t="shared" si="7229"/>
        <v>0</v>
      </c>
      <c r="BZ534" s="232">
        <f t="shared" si="7229"/>
        <v>0</v>
      </c>
      <c r="CA534" s="232">
        <f t="shared" si="7229"/>
        <v>0</v>
      </c>
      <c r="CB534" s="232">
        <f t="shared" si="7229"/>
        <v>0</v>
      </c>
      <c r="CC534" s="232">
        <f t="shared" si="7229"/>
        <v>0</v>
      </c>
      <c r="CD534" s="232">
        <f t="shared" si="7229"/>
        <v>0</v>
      </c>
      <c r="CE534" s="239">
        <f t="shared" si="7229"/>
        <v>0</v>
      </c>
      <c r="CF534" s="232">
        <f t="shared" si="7229"/>
        <v>0</v>
      </c>
      <c r="CG534" s="232">
        <f t="shared" si="7229"/>
        <v>0</v>
      </c>
      <c r="CH534" s="232">
        <f t="shared" si="7229"/>
        <v>0</v>
      </c>
      <c r="CI534" s="232">
        <f t="shared" si="7229"/>
        <v>0</v>
      </c>
      <c r="CJ534" s="232">
        <f t="shared" si="7229"/>
        <v>0</v>
      </c>
      <c r="CK534" s="232">
        <f t="shared" si="7229"/>
        <v>0</v>
      </c>
      <c r="CL534" s="232">
        <f t="shared" si="7229"/>
        <v>0</v>
      </c>
      <c r="CM534" s="232">
        <f t="shared" si="7229"/>
        <v>0</v>
      </c>
      <c r="CN534" s="232">
        <f t="shared" si="7229"/>
        <v>0</v>
      </c>
      <c r="CO534" s="232">
        <f t="shared" si="7229"/>
        <v>0</v>
      </c>
      <c r="CP534" s="232">
        <f t="shared" si="7229"/>
        <v>0</v>
      </c>
      <c r="CQ534" s="239">
        <f t="shared" si="7229"/>
        <v>0</v>
      </c>
      <c r="CR534" s="232">
        <f t="shared" si="7229"/>
        <v>0</v>
      </c>
      <c r="CS534" s="232">
        <f t="shared" si="7229"/>
        <v>0</v>
      </c>
      <c r="CT534" s="232">
        <f t="shared" si="7229"/>
        <v>0</v>
      </c>
      <c r="CU534" s="232">
        <f t="shared" si="7229"/>
        <v>0</v>
      </c>
      <c r="CV534" s="232">
        <f t="shared" si="7229"/>
        <v>0</v>
      </c>
      <c r="CW534" s="232">
        <f t="shared" si="7229"/>
        <v>0</v>
      </c>
      <c r="CX534" s="232">
        <f t="shared" si="7229"/>
        <v>0</v>
      </c>
      <c r="CY534" s="232">
        <f t="shared" si="7229"/>
        <v>0</v>
      </c>
      <c r="CZ534" s="232">
        <f t="shared" si="7229"/>
        <v>0</v>
      </c>
      <c r="DA534" s="232">
        <f t="shared" si="7229"/>
        <v>0</v>
      </c>
      <c r="DB534" s="232">
        <f t="shared" si="7229"/>
        <v>0</v>
      </c>
      <c r="DC534" s="239">
        <f t="shared" si="7229"/>
        <v>0</v>
      </c>
    </row>
    <row r="535" spans="3:107" x14ac:dyDescent="0.3">
      <c r="C535" s="321" t="str">
        <f>++C$45</f>
        <v>% margin</v>
      </c>
      <c r="G535" s="214" t="str">
        <f t="shared" ref="G535:AL535" si="7230">++IFERROR(G534/G500,"n/a")</f>
        <v>n/a</v>
      </c>
      <c r="H535" s="225" t="str">
        <f t="shared" si="7230"/>
        <v>n/a</v>
      </c>
      <c r="I535" s="225" t="str">
        <f t="shared" si="7230"/>
        <v>n/a</v>
      </c>
      <c r="J535" s="225" t="str">
        <f t="shared" si="7230"/>
        <v>n/a</v>
      </c>
      <c r="K535" s="214" t="str">
        <f t="shared" si="7230"/>
        <v>n/a</v>
      </c>
      <c r="L535" s="225" t="str">
        <f t="shared" si="7230"/>
        <v>n/a</v>
      </c>
      <c r="M535" s="225" t="str">
        <f t="shared" si="7230"/>
        <v>n/a</v>
      </c>
      <c r="N535" s="225" t="str">
        <f t="shared" si="7230"/>
        <v>n/a</v>
      </c>
      <c r="O535" s="225" t="str">
        <f t="shared" si="7230"/>
        <v>n/a</v>
      </c>
      <c r="P535" s="225" t="str">
        <f t="shared" si="7230"/>
        <v>n/a</v>
      </c>
      <c r="Q535" s="225" t="str">
        <f t="shared" si="7230"/>
        <v>n/a</v>
      </c>
      <c r="R535" s="225" t="str">
        <f t="shared" si="7230"/>
        <v>n/a</v>
      </c>
      <c r="S535" s="225" t="str">
        <f t="shared" si="7230"/>
        <v>n/a</v>
      </c>
      <c r="T535" s="225" t="str">
        <f t="shared" si="7230"/>
        <v>n/a</v>
      </c>
      <c r="U535" s="225" t="str">
        <f t="shared" si="7230"/>
        <v>n/a</v>
      </c>
      <c r="V535" s="225" t="str">
        <f t="shared" si="7230"/>
        <v>n/a</v>
      </c>
      <c r="W535" s="214" t="str">
        <f t="shared" si="7230"/>
        <v>n/a</v>
      </c>
      <c r="X535" s="225" t="str">
        <f t="shared" si="7230"/>
        <v>n/a</v>
      </c>
      <c r="Y535" s="225" t="str">
        <f t="shared" si="7230"/>
        <v>n/a</v>
      </c>
      <c r="Z535" s="225" t="str">
        <f t="shared" si="7230"/>
        <v>n/a</v>
      </c>
      <c r="AA535" s="225" t="str">
        <f t="shared" si="7230"/>
        <v>n/a</v>
      </c>
      <c r="AB535" s="225" t="str">
        <f t="shared" si="7230"/>
        <v>n/a</v>
      </c>
      <c r="AC535" s="225" t="str">
        <f t="shared" si="7230"/>
        <v>n/a</v>
      </c>
      <c r="AD535" s="225" t="str">
        <f t="shared" si="7230"/>
        <v>n/a</v>
      </c>
      <c r="AE535" s="225" t="str">
        <f t="shared" si="7230"/>
        <v>n/a</v>
      </c>
      <c r="AF535" s="225" t="str">
        <f t="shared" si="7230"/>
        <v>n/a</v>
      </c>
      <c r="AG535" s="225" t="str">
        <f t="shared" si="7230"/>
        <v>n/a</v>
      </c>
      <c r="AH535" s="225" t="str">
        <f t="shared" si="7230"/>
        <v>n/a</v>
      </c>
      <c r="AI535" s="214" t="str">
        <f t="shared" si="7230"/>
        <v>n/a</v>
      </c>
      <c r="AJ535" s="225" t="str">
        <f t="shared" si="7230"/>
        <v>n/a</v>
      </c>
      <c r="AK535" s="225" t="str">
        <f t="shared" si="7230"/>
        <v>n/a</v>
      </c>
      <c r="AL535" s="225" t="str">
        <f t="shared" si="7230"/>
        <v>n/a</v>
      </c>
      <c r="AM535" s="225" t="str">
        <f t="shared" ref="AM535:BR535" si="7231">++IFERROR(AM534/AM500,"n/a")</f>
        <v>n/a</v>
      </c>
      <c r="AN535" s="225" t="str">
        <f t="shared" si="7231"/>
        <v>n/a</v>
      </c>
      <c r="AO535" s="225" t="str">
        <f t="shared" si="7231"/>
        <v>n/a</v>
      </c>
      <c r="AP535" s="225" t="str">
        <f t="shared" si="7231"/>
        <v>n/a</v>
      </c>
      <c r="AQ535" s="225" t="str">
        <f t="shared" si="7231"/>
        <v>n/a</v>
      </c>
      <c r="AR535" s="225" t="str">
        <f t="shared" si="7231"/>
        <v>n/a</v>
      </c>
      <c r="AS535" s="225" t="str">
        <f t="shared" si="7231"/>
        <v>n/a</v>
      </c>
      <c r="AT535" s="225" t="str">
        <f t="shared" si="7231"/>
        <v>n/a</v>
      </c>
      <c r="AU535" s="214" t="str">
        <f t="shared" si="7231"/>
        <v>n/a</v>
      </c>
      <c r="AV535" s="225" t="str">
        <f t="shared" si="7231"/>
        <v>n/a</v>
      </c>
      <c r="AW535" s="225" t="str">
        <f t="shared" si="7231"/>
        <v>n/a</v>
      </c>
      <c r="AX535" s="225" t="str">
        <f t="shared" si="7231"/>
        <v>n/a</v>
      </c>
      <c r="AY535" s="225" t="str">
        <f t="shared" si="7231"/>
        <v>n/a</v>
      </c>
      <c r="AZ535" s="225" t="str">
        <f t="shared" si="7231"/>
        <v>n/a</v>
      </c>
      <c r="BA535" s="225" t="str">
        <f t="shared" si="7231"/>
        <v>n/a</v>
      </c>
      <c r="BB535" s="225" t="str">
        <f t="shared" si="7231"/>
        <v>n/a</v>
      </c>
      <c r="BC535" s="225" t="str">
        <f t="shared" si="7231"/>
        <v>n/a</v>
      </c>
      <c r="BD535" s="225" t="str">
        <f t="shared" si="7231"/>
        <v>n/a</v>
      </c>
      <c r="BE535" s="225" t="str">
        <f t="shared" si="7231"/>
        <v>n/a</v>
      </c>
      <c r="BF535" s="225" t="str">
        <f t="shared" si="7231"/>
        <v>n/a</v>
      </c>
      <c r="BG535" s="214" t="str">
        <f t="shared" si="7231"/>
        <v>n/a</v>
      </c>
      <c r="BH535" s="225" t="str">
        <f t="shared" si="7231"/>
        <v>n/a</v>
      </c>
      <c r="BI535" s="225" t="str">
        <f t="shared" si="7231"/>
        <v>n/a</v>
      </c>
      <c r="BJ535" s="225" t="str">
        <f t="shared" si="7231"/>
        <v>n/a</v>
      </c>
      <c r="BK535" s="225" t="str">
        <f t="shared" si="7231"/>
        <v>n/a</v>
      </c>
      <c r="BL535" s="225" t="str">
        <f t="shared" si="7231"/>
        <v>n/a</v>
      </c>
      <c r="BM535" s="225" t="str">
        <f t="shared" si="7231"/>
        <v>n/a</v>
      </c>
      <c r="BN535" s="225" t="str">
        <f t="shared" si="7231"/>
        <v>n/a</v>
      </c>
      <c r="BO535" s="225" t="str">
        <f t="shared" si="7231"/>
        <v>n/a</v>
      </c>
      <c r="BP535" s="225" t="str">
        <f t="shared" si="7231"/>
        <v>n/a</v>
      </c>
      <c r="BQ535" s="225" t="str">
        <f t="shared" si="7231"/>
        <v>n/a</v>
      </c>
      <c r="BR535" s="225" t="str">
        <f t="shared" si="7231"/>
        <v>n/a</v>
      </c>
      <c r="BS535" s="214" t="str">
        <f t="shared" ref="BS535:CX535" si="7232">++IFERROR(BS534/BS500,"n/a")</f>
        <v>n/a</v>
      </c>
      <c r="BT535" s="225" t="str">
        <f t="shared" si="7232"/>
        <v>n/a</v>
      </c>
      <c r="BU535" s="225" t="str">
        <f t="shared" si="7232"/>
        <v>n/a</v>
      </c>
      <c r="BV535" s="225" t="str">
        <f t="shared" si="7232"/>
        <v>n/a</v>
      </c>
      <c r="BW535" s="225" t="str">
        <f t="shared" si="7232"/>
        <v>n/a</v>
      </c>
      <c r="BX535" s="225" t="str">
        <f t="shared" si="7232"/>
        <v>n/a</v>
      </c>
      <c r="BY535" s="225" t="str">
        <f t="shared" si="7232"/>
        <v>n/a</v>
      </c>
      <c r="BZ535" s="225" t="str">
        <f t="shared" si="7232"/>
        <v>n/a</v>
      </c>
      <c r="CA535" s="225" t="str">
        <f t="shared" si="7232"/>
        <v>n/a</v>
      </c>
      <c r="CB535" s="225" t="str">
        <f t="shared" si="7232"/>
        <v>n/a</v>
      </c>
      <c r="CC535" s="225" t="str">
        <f t="shared" si="7232"/>
        <v>n/a</v>
      </c>
      <c r="CD535" s="225" t="str">
        <f t="shared" si="7232"/>
        <v>n/a</v>
      </c>
      <c r="CE535" s="214" t="str">
        <f t="shared" si="7232"/>
        <v>n/a</v>
      </c>
      <c r="CF535" s="225" t="str">
        <f t="shared" si="7232"/>
        <v>n/a</v>
      </c>
      <c r="CG535" s="225" t="str">
        <f t="shared" si="7232"/>
        <v>n/a</v>
      </c>
      <c r="CH535" s="225" t="str">
        <f t="shared" si="7232"/>
        <v>n/a</v>
      </c>
      <c r="CI535" s="225" t="str">
        <f t="shared" si="7232"/>
        <v>n/a</v>
      </c>
      <c r="CJ535" s="225" t="str">
        <f t="shared" si="7232"/>
        <v>n/a</v>
      </c>
      <c r="CK535" s="225" t="str">
        <f t="shared" si="7232"/>
        <v>n/a</v>
      </c>
      <c r="CL535" s="225" t="str">
        <f t="shared" si="7232"/>
        <v>n/a</v>
      </c>
      <c r="CM535" s="225" t="str">
        <f t="shared" si="7232"/>
        <v>n/a</v>
      </c>
      <c r="CN535" s="225" t="str">
        <f t="shared" si="7232"/>
        <v>n/a</v>
      </c>
      <c r="CO535" s="225" t="str">
        <f t="shared" si="7232"/>
        <v>n/a</v>
      </c>
      <c r="CP535" s="225" t="str">
        <f t="shared" si="7232"/>
        <v>n/a</v>
      </c>
      <c r="CQ535" s="214" t="str">
        <f t="shared" si="7232"/>
        <v>n/a</v>
      </c>
      <c r="CR535" s="225" t="str">
        <f t="shared" si="7232"/>
        <v>n/a</v>
      </c>
      <c r="CS535" s="225" t="str">
        <f t="shared" si="7232"/>
        <v>n/a</v>
      </c>
      <c r="CT535" s="225" t="str">
        <f t="shared" si="7232"/>
        <v>n/a</v>
      </c>
      <c r="CU535" s="225" t="str">
        <f t="shared" si="7232"/>
        <v>n/a</v>
      </c>
      <c r="CV535" s="225" t="str">
        <f t="shared" si="7232"/>
        <v>n/a</v>
      </c>
      <c r="CW535" s="225" t="str">
        <f t="shared" si="7232"/>
        <v>n/a</v>
      </c>
      <c r="CX535" s="225" t="str">
        <f t="shared" si="7232"/>
        <v>n/a</v>
      </c>
      <c r="CY535" s="225" t="str">
        <f t="shared" ref="CY535:ED535" si="7233">++IFERROR(CY534/CY500,"n/a")</f>
        <v>n/a</v>
      </c>
      <c r="CZ535" s="225" t="str">
        <f t="shared" si="7233"/>
        <v>n/a</v>
      </c>
      <c r="DA535" s="225" t="str">
        <f t="shared" si="7233"/>
        <v>n/a</v>
      </c>
      <c r="DB535" s="225" t="str">
        <f t="shared" si="7233"/>
        <v>n/a</v>
      </c>
      <c r="DC535" s="214" t="str">
        <f t="shared" si="7233"/>
        <v>n/a</v>
      </c>
    </row>
    <row r="536" spans="3:107" x14ac:dyDescent="0.3">
      <c r="C536" s="321" t="str">
        <f>++C$46</f>
        <v>% y/y</v>
      </c>
      <c r="G536" s="122" t="s">
        <v>47</v>
      </c>
      <c r="H536" s="122" t="s">
        <v>47</v>
      </c>
      <c r="I536" s="122" t="s">
        <v>47</v>
      </c>
      <c r="J536" s="122" t="s">
        <v>47</v>
      </c>
      <c r="K536" s="214" t="str">
        <f>++IFERROR(K534/G289-1,"n/a")</f>
        <v>n/a</v>
      </c>
      <c r="L536" s="122" t="s">
        <v>47</v>
      </c>
      <c r="M536" s="122" t="s">
        <v>47</v>
      </c>
      <c r="N536" s="225" t="str">
        <f>++IFERROR(N534/H289-1,"n/a")</f>
        <v>n/a</v>
      </c>
      <c r="O536" s="122" t="s">
        <v>47</v>
      </c>
      <c r="P536" s="122" t="s">
        <v>47</v>
      </c>
      <c r="Q536" s="225" t="str">
        <f>++IFERROR(Q534/I289-1,"n/a")</f>
        <v>n/a</v>
      </c>
      <c r="R536" s="122" t="s">
        <v>47</v>
      </c>
      <c r="S536" s="122" t="s">
        <v>47</v>
      </c>
      <c r="T536" s="225" t="str">
        <f>++IFERROR(T534/J289-1,"n/a")</f>
        <v>n/a</v>
      </c>
      <c r="U536" s="122" t="s">
        <v>47</v>
      </c>
      <c r="V536" s="122" t="s">
        <v>47</v>
      </c>
      <c r="W536" s="214" t="str">
        <f t="shared" ref="W536:BB536" si="7234">++IFERROR(W534/K289-1,"n/a")</f>
        <v>n/a</v>
      </c>
      <c r="X536" s="225" t="str">
        <f t="shared" si="7234"/>
        <v>n/a</v>
      </c>
      <c r="Y536" s="225" t="str">
        <f t="shared" si="7234"/>
        <v>n/a</v>
      </c>
      <c r="Z536" s="225" t="str">
        <f t="shared" si="7234"/>
        <v>n/a</v>
      </c>
      <c r="AA536" s="225" t="str">
        <f t="shared" si="7234"/>
        <v>n/a</v>
      </c>
      <c r="AB536" s="225" t="str">
        <f t="shared" si="7234"/>
        <v>n/a</v>
      </c>
      <c r="AC536" s="225" t="str">
        <f t="shared" si="7234"/>
        <v>n/a</v>
      </c>
      <c r="AD536" s="225" t="str">
        <f t="shared" si="7234"/>
        <v>n/a</v>
      </c>
      <c r="AE536" s="225" t="str">
        <f t="shared" si="7234"/>
        <v>n/a</v>
      </c>
      <c r="AF536" s="225" t="str">
        <f t="shared" si="7234"/>
        <v>n/a</v>
      </c>
      <c r="AG536" s="225" t="str">
        <f t="shared" si="7234"/>
        <v>n/a</v>
      </c>
      <c r="AH536" s="225" t="str">
        <f t="shared" si="7234"/>
        <v>n/a</v>
      </c>
      <c r="AI536" s="214" t="str">
        <f t="shared" si="7234"/>
        <v>n/a</v>
      </c>
      <c r="AJ536" s="225" t="str">
        <f t="shared" si="7234"/>
        <v>n/a</v>
      </c>
      <c r="AK536" s="225" t="str">
        <f t="shared" si="7234"/>
        <v>n/a</v>
      </c>
      <c r="AL536" s="225" t="str">
        <f t="shared" si="7234"/>
        <v>n/a</v>
      </c>
      <c r="AM536" s="225" t="str">
        <f t="shared" si="7234"/>
        <v>n/a</v>
      </c>
      <c r="AN536" s="225" t="str">
        <f t="shared" si="7234"/>
        <v>n/a</v>
      </c>
      <c r="AO536" s="225" t="str">
        <f t="shared" si="7234"/>
        <v>n/a</v>
      </c>
      <c r="AP536" s="225" t="str">
        <f t="shared" si="7234"/>
        <v>n/a</v>
      </c>
      <c r="AQ536" s="225" t="str">
        <f t="shared" si="7234"/>
        <v>n/a</v>
      </c>
      <c r="AR536" s="225" t="str">
        <f t="shared" si="7234"/>
        <v>n/a</v>
      </c>
      <c r="AS536" s="225" t="str">
        <f t="shared" si="7234"/>
        <v>n/a</v>
      </c>
      <c r="AT536" s="225" t="str">
        <f t="shared" si="7234"/>
        <v>n/a</v>
      </c>
      <c r="AU536" s="214" t="str">
        <f t="shared" si="7234"/>
        <v>n/a</v>
      </c>
      <c r="AV536" s="225" t="str">
        <f t="shared" si="7234"/>
        <v>n/a</v>
      </c>
      <c r="AW536" s="225" t="str">
        <f t="shared" si="7234"/>
        <v>n/a</v>
      </c>
      <c r="AX536" s="225" t="str">
        <f t="shared" si="7234"/>
        <v>n/a</v>
      </c>
      <c r="AY536" s="225" t="str">
        <f t="shared" si="7234"/>
        <v>n/a</v>
      </c>
      <c r="AZ536" s="225" t="str">
        <f t="shared" si="7234"/>
        <v>n/a</v>
      </c>
      <c r="BA536" s="225" t="str">
        <f t="shared" si="7234"/>
        <v>n/a</v>
      </c>
      <c r="BB536" s="225" t="str">
        <f t="shared" si="7234"/>
        <v>n/a</v>
      </c>
      <c r="BC536" s="225" t="str">
        <f t="shared" ref="BC536:CH536" si="7235">++IFERROR(BC534/AQ289-1,"n/a")</f>
        <v>n/a</v>
      </c>
      <c r="BD536" s="225" t="str">
        <f t="shared" si="7235"/>
        <v>n/a</v>
      </c>
      <c r="BE536" s="225" t="str">
        <f t="shared" si="7235"/>
        <v>n/a</v>
      </c>
      <c r="BF536" s="225" t="str">
        <f t="shared" si="7235"/>
        <v>n/a</v>
      </c>
      <c r="BG536" s="214" t="str">
        <f t="shared" si="7235"/>
        <v>n/a</v>
      </c>
      <c r="BH536" s="225" t="str">
        <f t="shared" si="7235"/>
        <v>n/a</v>
      </c>
      <c r="BI536" s="225" t="str">
        <f t="shared" si="7235"/>
        <v>n/a</v>
      </c>
      <c r="BJ536" s="225" t="str">
        <f t="shared" si="7235"/>
        <v>n/a</v>
      </c>
      <c r="BK536" s="225" t="str">
        <f t="shared" si="7235"/>
        <v>n/a</v>
      </c>
      <c r="BL536" s="225" t="str">
        <f t="shared" si="7235"/>
        <v>n/a</v>
      </c>
      <c r="BM536" s="225" t="str">
        <f t="shared" si="7235"/>
        <v>n/a</v>
      </c>
      <c r="BN536" s="225" t="str">
        <f t="shared" si="7235"/>
        <v>n/a</v>
      </c>
      <c r="BO536" s="225" t="str">
        <f t="shared" si="7235"/>
        <v>n/a</v>
      </c>
      <c r="BP536" s="225" t="str">
        <f t="shared" si="7235"/>
        <v>n/a</v>
      </c>
      <c r="BQ536" s="225" t="str">
        <f t="shared" si="7235"/>
        <v>n/a</v>
      </c>
      <c r="BR536" s="225" t="str">
        <f t="shared" si="7235"/>
        <v>n/a</v>
      </c>
      <c r="BS536" s="214" t="str">
        <f t="shared" si="7235"/>
        <v>n/a</v>
      </c>
      <c r="BT536" s="225" t="str">
        <f t="shared" si="7235"/>
        <v>n/a</v>
      </c>
      <c r="BU536" s="225" t="str">
        <f t="shared" si="7235"/>
        <v>n/a</v>
      </c>
      <c r="BV536" s="225" t="str">
        <f t="shared" si="7235"/>
        <v>n/a</v>
      </c>
      <c r="BW536" s="225" t="str">
        <f t="shared" si="7235"/>
        <v>n/a</v>
      </c>
      <c r="BX536" s="225" t="str">
        <f t="shared" si="7235"/>
        <v>n/a</v>
      </c>
      <c r="BY536" s="225" t="str">
        <f t="shared" si="7235"/>
        <v>n/a</v>
      </c>
      <c r="BZ536" s="225" t="str">
        <f t="shared" si="7235"/>
        <v>n/a</v>
      </c>
      <c r="CA536" s="225" t="str">
        <f t="shared" si="7235"/>
        <v>n/a</v>
      </c>
      <c r="CB536" s="225" t="str">
        <f t="shared" si="7235"/>
        <v>n/a</v>
      </c>
      <c r="CC536" s="225" t="str">
        <f t="shared" si="7235"/>
        <v>n/a</v>
      </c>
      <c r="CD536" s="225" t="str">
        <f t="shared" si="7235"/>
        <v>n/a</v>
      </c>
      <c r="CE536" s="214" t="str">
        <f t="shared" si="7235"/>
        <v>n/a</v>
      </c>
      <c r="CF536" s="225" t="str">
        <f t="shared" si="7235"/>
        <v>n/a</v>
      </c>
      <c r="CG536" s="225" t="str">
        <f t="shared" si="7235"/>
        <v>n/a</v>
      </c>
      <c r="CH536" s="225" t="str">
        <f t="shared" si="7235"/>
        <v>n/a</v>
      </c>
      <c r="CI536" s="225" t="str">
        <f t="shared" ref="CI536:DN536" si="7236">++IFERROR(CI534/BW289-1,"n/a")</f>
        <v>n/a</v>
      </c>
      <c r="CJ536" s="225" t="str">
        <f t="shared" si="7236"/>
        <v>n/a</v>
      </c>
      <c r="CK536" s="225" t="str">
        <f t="shared" si="7236"/>
        <v>n/a</v>
      </c>
      <c r="CL536" s="225" t="str">
        <f t="shared" si="7236"/>
        <v>n/a</v>
      </c>
      <c r="CM536" s="225" t="str">
        <f t="shared" si="7236"/>
        <v>n/a</v>
      </c>
      <c r="CN536" s="225" t="str">
        <f t="shared" si="7236"/>
        <v>n/a</v>
      </c>
      <c r="CO536" s="225" t="str">
        <f t="shared" si="7236"/>
        <v>n/a</v>
      </c>
      <c r="CP536" s="225" t="str">
        <f t="shared" si="7236"/>
        <v>n/a</v>
      </c>
      <c r="CQ536" s="214" t="str">
        <f t="shared" si="7236"/>
        <v>n/a</v>
      </c>
      <c r="CR536" s="225" t="str">
        <f t="shared" si="7236"/>
        <v>n/a</v>
      </c>
      <c r="CS536" s="225" t="str">
        <f t="shared" si="7236"/>
        <v>n/a</v>
      </c>
      <c r="CT536" s="225" t="str">
        <f t="shared" si="7236"/>
        <v>n/a</v>
      </c>
      <c r="CU536" s="225" t="str">
        <f t="shared" si="7236"/>
        <v>n/a</v>
      </c>
      <c r="CV536" s="225" t="str">
        <f t="shared" si="7236"/>
        <v>n/a</v>
      </c>
      <c r="CW536" s="225" t="str">
        <f t="shared" si="7236"/>
        <v>n/a</v>
      </c>
      <c r="CX536" s="225" t="str">
        <f t="shared" si="7236"/>
        <v>n/a</v>
      </c>
      <c r="CY536" s="225" t="str">
        <f t="shared" si="7236"/>
        <v>n/a</v>
      </c>
      <c r="CZ536" s="225" t="str">
        <f t="shared" si="7236"/>
        <v>n/a</v>
      </c>
      <c r="DA536" s="225" t="str">
        <f t="shared" si="7236"/>
        <v>n/a</v>
      </c>
      <c r="DB536" s="225" t="str">
        <f t="shared" si="7236"/>
        <v>n/a</v>
      </c>
      <c r="DC536" s="214" t="str">
        <f t="shared" si="7236"/>
        <v>n/a</v>
      </c>
    </row>
    <row r="537" spans="3:107" x14ac:dyDescent="0.3">
      <c r="G537" s="203"/>
      <c r="K537" s="203"/>
      <c r="W537" s="203"/>
      <c r="AI537" s="203"/>
      <c r="AU537" s="203"/>
      <c r="BG537" s="203"/>
      <c r="BS537" s="203"/>
      <c r="CE537" s="203"/>
      <c r="CQ537" s="203"/>
      <c r="DC537" s="203"/>
    </row>
    <row r="538" spans="3:107" x14ac:dyDescent="0.3">
      <c r="C538" s="193" t="str">
        <f>++C$48</f>
        <v>CA EBITDA</v>
      </c>
      <c r="G538" s="400">
        <v>0</v>
      </c>
      <c r="H538" s="400">
        <v>0</v>
      </c>
      <c r="I538" s="400">
        <v>0</v>
      </c>
      <c r="J538" s="400">
        <v>0</v>
      </c>
      <c r="K538" s="400">
        <v>0</v>
      </c>
      <c r="L538" s="400">
        <v>0</v>
      </c>
      <c r="M538" s="400">
        <v>0</v>
      </c>
      <c r="N538" s="400">
        <v>0</v>
      </c>
      <c r="O538" s="400">
        <v>0</v>
      </c>
      <c r="P538" s="400">
        <v>0</v>
      </c>
      <c r="Q538" s="400">
        <v>0</v>
      </c>
      <c r="R538" s="400">
        <v>0</v>
      </c>
      <c r="S538" s="400">
        <v>0</v>
      </c>
      <c r="T538" s="400">
        <v>0</v>
      </c>
      <c r="U538" s="400">
        <v>0</v>
      </c>
      <c r="V538" s="400">
        <v>0</v>
      </c>
      <c r="W538" s="400">
        <v>0</v>
      </c>
      <c r="X538" s="400">
        <v>0</v>
      </c>
      <c r="Y538" s="400">
        <v>0</v>
      </c>
      <c r="Z538" s="400">
        <v>0</v>
      </c>
      <c r="AA538" s="400">
        <v>0</v>
      </c>
      <c r="AB538" s="400">
        <v>0</v>
      </c>
      <c r="AC538" s="400">
        <v>0</v>
      </c>
      <c r="AD538" s="400">
        <v>0</v>
      </c>
      <c r="AE538" s="400">
        <v>0</v>
      </c>
      <c r="AF538" s="400">
        <v>0</v>
      </c>
      <c r="AG538" s="400">
        <v>0</v>
      </c>
      <c r="AH538" s="400">
        <v>0</v>
      </c>
      <c r="AI538" s="400">
        <v>0</v>
      </c>
      <c r="AJ538" s="400">
        <v>0</v>
      </c>
      <c r="AK538" s="400">
        <v>0</v>
      </c>
      <c r="AL538" s="400">
        <v>0</v>
      </c>
      <c r="AM538" s="400">
        <v>0</v>
      </c>
      <c r="AN538" s="400">
        <v>0</v>
      </c>
      <c r="AO538" s="400">
        <v>0</v>
      </c>
      <c r="AP538" s="400">
        <v>0</v>
      </c>
      <c r="AQ538" s="400">
        <v>0</v>
      </c>
      <c r="AR538" s="400">
        <v>0</v>
      </c>
      <c r="AS538" s="400">
        <v>0</v>
      </c>
      <c r="AT538" s="400">
        <v>0</v>
      </c>
      <c r="AU538" s="400">
        <v>0</v>
      </c>
      <c r="AV538" s="400">
        <v>0</v>
      </c>
      <c r="AW538" s="400">
        <v>0</v>
      </c>
      <c r="AX538" s="400">
        <v>0</v>
      </c>
      <c r="AY538" s="400">
        <v>0</v>
      </c>
      <c r="AZ538" s="400">
        <v>0</v>
      </c>
      <c r="BA538" s="400">
        <v>0</v>
      </c>
      <c r="BB538" s="400">
        <v>0</v>
      </c>
      <c r="BC538" s="400">
        <v>0</v>
      </c>
      <c r="BD538" s="400">
        <v>0</v>
      </c>
      <c r="BE538" s="400">
        <v>0</v>
      </c>
      <c r="BF538" s="400">
        <v>0</v>
      </c>
      <c r="BG538" s="400">
        <v>0</v>
      </c>
      <c r="BH538" s="400">
        <v>0</v>
      </c>
      <c r="BI538" s="400">
        <v>0</v>
      </c>
      <c r="BJ538" s="400">
        <v>0</v>
      </c>
      <c r="BK538" s="400">
        <v>0</v>
      </c>
      <c r="BL538" s="400">
        <v>0</v>
      </c>
      <c r="BM538" s="400">
        <v>0</v>
      </c>
      <c r="BN538" s="400">
        <v>0</v>
      </c>
      <c r="BO538" s="400">
        <v>0</v>
      </c>
      <c r="BP538" s="400">
        <v>0</v>
      </c>
      <c r="BQ538" s="400">
        <v>0</v>
      </c>
      <c r="BR538" s="400">
        <v>0</v>
      </c>
      <c r="BS538" s="400">
        <v>0</v>
      </c>
      <c r="BT538" s="400">
        <v>0</v>
      </c>
      <c r="BU538" s="400">
        <v>0</v>
      </c>
      <c r="BV538" s="400">
        <v>0</v>
      </c>
      <c r="BW538" s="400">
        <v>0</v>
      </c>
      <c r="BX538" s="400">
        <v>0</v>
      </c>
      <c r="BY538" s="400">
        <v>0</v>
      </c>
      <c r="BZ538" s="400">
        <v>0</v>
      </c>
      <c r="CA538" s="400">
        <v>0</v>
      </c>
      <c r="CB538" s="400">
        <v>0</v>
      </c>
      <c r="CC538" s="400">
        <v>0</v>
      </c>
      <c r="CD538" s="400">
        <v>0</v>
      </c>
      <c r="CE538" s="400">
        <v>0</v>
      </c>
      <c r="CF538" s="400">
        <v>0</v>
      </c>
      <c r="CG538" s="400">
        <v>0</v>
      </c>
      <c r="CH538" s="400">
        <v>0</v>
      </c>
      <c r="CI538" s="400">
        <v>0</v>
      </c>
      <c r="CJ538" s="400">
        <v>0</v>
      </c>
      <c r="CK538" s="400">
        <v>0</v>
      </c>
      <c r="CL538" s="400">
        <v>0</v>
      </c>
      <c r="CM538" s="400">
        <v>0</v>
      </c>
      <c r="CN538" s="400">
        <v>0</v>
      </c>
      <c r="CO538" s="400">
        <v>0</v>
      </c>
      <c r="CP538" s="400">
        <v>0</v>
      </c>
      <c r="CQ538" s="400">
        <v>0</v>
      </c>
      <c r="CR538" s="400">
        <v>0</v>
      </c>
      <c r="CS538" s="400">
        <v>0</v>
      </c>
      <c r="CT538" s="400">
        <v>0</v>
      </c>
      <c r="CU538" s="400">
        <v>0</v>
      </c>
      <c r="CV538" s="400">
        <v>0</v>
      </c>
      <c r="CW538" s="400">
        <v>0</v>
      </c>
      <c r="CX538" s="400">
        <v>0</v>
      </c>
      <c r="CY538" s="400">
        <v>0</v>
      </c>
      <c r="CZ538" s="400">
        <v>0</v>
      </c>
      <c r="DA538" s="400">
        <v>0</v>
      </c>
      <c r="DB538" s="400">
        <v>0</v>
      </c>
      <c r="DC538" s="400">
        <v>0</v>
      </c>
    </row>
    <row r="539" spans="3:107" x14ac:dyDescent="0.3">
      <c r="C539" s="321" t="str">
        <f>++C$49</f>
        <v>% margin</v>
      </c>
      <c r="G539" s="214" t="str">
        <f t="shared" ref="G539:AL539" si="7237">++IFERROR(G538/G500,"n/a")</f>
        <v>n/a</v>
      </c>
      <c r="H539" s="225" t="str">
        <f t="shared" si="7237"/>
        <v>n/a</v>
      </c>
      <c r="I539" s="225" t="str">
        <f t="shared" si="7237"/>
        <v>n/a</v>
      </c>
      <c r="J539" s="225" t="str">
        <f t="shared" si="7237"/>
        <v>n/a</v>
      </c>
      <c r="K539" s="214" t="str">
        <f t="shared" si="7237"/>
        <v>n/a</v>
      </c>
      <c r="L539" s="225" t="str">
        <f t="shared" si="7237"/>
        <v>n/a</v>
      </c>
      <c r="M539" s="225" t="str">
        <f t="shared" si="7237"/>
        <v>n/a</v>
      </c>
      <c r="N539" s="225" t="str">
        <f t="shared" si="7237"/>
        <v>n/a</v>
      </c>
      <c r="O539" s="225" t="str">
        <f t="shared" si="7237"/>
        <v>n/a</v>
      </c>
      <c r="P539" s="225" t="str">
        <f t="shared" si="7237"/>
        <v>n/a</v>
      </c>
      <c r="Q539" s="225" t="str">
        <f t="shared" si="7237"/>
        <v>n/a</v>
      </c>
      <c r="R539" s="225" t="str">
        <f t="shared" si="7237"/>
        <v>n/a</v>
      </c>
      <c r="S539" s="225" t="str">
        <f t="shared" si="7237"/>
        <v>n/a</v>
      </c>
      <c r="T539" s="225" t="str">
        <f t="shared" si="7237"/>
        <v>n/a</v>
      </c>
      <c r="U539" s="225" t="str">
        <f t="shared" si="7237"/>
        <v>n/a</v>
      </c>
      <c r="V539" s="225" t="str">
        <f t="shared" si="7237"/>
        <v>n/a</v>
      </c>
      <c r="W539" s="214" t="str">
        <f t="shared" si="7237"/>
        <v>n/a</v>
      </c>
      <c r="X539" s="225" t="str">
        <f t="shared" si="7237"/>
        <v>n/a</v>
      </c>
      <c r="Y539" s="225" t="str">
        <f t="shared" si="7237"/>
        <v>n/a</v>
      </c>
      <c r="Z539" s="225" t="str">
        <f t="shared" si="7237"/>
        <v>n/a</v>
      </c>
      <c r="AA539" s="225" t="str">
        <f t="shared" si="7237"/>
        <v>n/a</v>
      </c>
      <c r="AB539" s="225" t="str">
        <f t="shared" si="7237"/>
        <v>n/a</v>
      </c>
      <c r="AC539" s="225" t="str">
        <f t="shared" si="7237"/>
        <v>n/a</v>
      </c>
      <c r="AD539" s="225" t="str">
        <f t="shared" si="7237"/>
        <v>n/a</v>
      </c>
      <c r="AE539" s="225" t="str">
        <f t="shared" si="7237"/>
        <v>n/a</v>
      </c>
      <c r="AF539" s="225" t="str">
        <f t="shared" si="7237"/>
        <v>n/a</v>
      </c>
      <c r="AG539" s="225" t="str">
        <f t="shared" si="7237"/>
        <v>n/a</v>
      </c>
      <c r="AH539" s="225" t="str">
        <f t="shared" si="7237"/>
        <v>n/a</v>
      </c>
      <c r="AI539" s="214" t="str">
        <f t="shared" si="7237"/>
        <v>n/a</v>
      </c>
      <c r="AJ539" s="225" t="str">
        <f t="shared" si="7237"/>
        <v>n/a</v>
      </c>
      <c r="AK539" s="225" t="str">
        <f t="shared" si="7237"/>
        <v>n/a</v>
      </c>
      <c r="AL539" s="225" t="str">
        <f t="shared" si="7237"/>
        <v>n/a</v>
      </c>
      <c r="AM539" s="225" t="str">
        <f t="shared" ref="AM539:BR539" si="7238">++IFERROR(AM538/AM500,"n/a")</f>
        <v>n/a</v>
      </c>
      <c r="AN539" s="225" t="str">
        <f t="shared" si="7238"/>
        <v>n/a</v>
      </c>
      <c r="AO539" s="225" t="str">
        <f t="shared" si="7238"/>
        <v>n/a</v>
      </c>
      <c r="AP539" s="225" t="str">
        <f t="shared" si="7238"/>
        <v>n/a</v>
      </c>
      <c r="AQ539" s="225" t="str">
        <f t="shared" si="7238"/>
        <v>n/a</v>
      </c>
      <c r="AR539" s="225" t="str">
        <f t="shared" si="7238"/>
        <v>n/a</v>
      </c>
      <c r="AS539" s="225" t="str">
        <f t="shared" si="7238"/>
        <v>n/a</v>
      </c>
      <c r="AT539" s="225" t="str">
        <f t="shared" si="7238"/>
        <v>n/a</v>
      </c>
      <c r="AU539" s="214" t="str">
        <f t="shared" si="7238"/>
        <v>n/a</v>
      </c>
      <c r="AV539" s="225" t="str">
        <f t="shared" si="7238"/>
        <v>n/a</v>
      </c>
      <c r="AW539" s="225" t="str">
        <f t="shared" si="7238"/>
        <v>n/a</v>
      </c>
      <c r="AX539" s="225" t="str">
        <f t="shared" si="7238"/>
        <v>n/a</v>
      </c>
      <c r="AY539" s="225" t="str">
        <f t="shared" si="7238"/>
        <v>n/a</v>
      </c>
      <c r="AZ539" s="225" t="str">
        <f t="shared" si="7238"/>
        <v>n/a</v>
      </c>
      <c r="BA539" s="225" t="str">
        <f t="shared" si="7238"/>
        <v>n/a</v>
      </c>
      <c r="BB539" s="225" t="str">
        <f t="shared" si="7238"/>
        <v>n/a</v>
      </c>
      <c r="BC539" s="225" t="str">
        <f t="shared" si="7238"/>
        <v>n/a</v>
      </c>
      <c r="BD539" s="225" t="str">
        <f t="shared" si="7238"/>
        <v>n/a</v>
      </c>
      <c r="BE539" s="225" t="str">
        <f t="shared" si="7238"/>
        <v>n/a</v>
      </c>
      <c r="BF539" s="225" t="str">
        <f t="shared" si="7238"/>
        <v>n/a</v>
      </c>
      <c r="BG539" s="214" t="str">
        <f t="shared" si="7238"/>
        <v>n/a</v>
      </c>
      <c r="BH539" s="225" t="str">
        <f t="shared" si="7238"/>
        <v>n/a</v>
      </c>
      <c r="BI539" s="225" t="str">
        <f t="shared" si="7238"/>
        <v>n/a</v>
      </c>
      <c r="BJ539" s="225" t="str">
        <f t="shared" si="7238"/>
        <v>n/a</v>
      </c>
      <c r="BK539" s="225" t="str">
        <f t="shared" si="7238"/>
        <v>n/a</v>
      </c>
      <c r="BL539" s="225" t="str">
        <f t="shared" si="7238"/>
        <v>n/a</v>
      </c>
      <c r="BM539" s="225" t="str">
        <f t="shared" si="7238"/>
        <v>n/a</v>
      </c>
      <c r="BN539" s="225" t="str">
        <f t="shared" si="7238"/>
        <v>n/a</v>
      </c>
      <c r="BO539" s="225" t="str">
        <f t="shared" si="7238"/>
        <v>n/a</v>
      </c>
      <c r="BP539" s="225" t="str">
        <f t="shared" si="7238"/>
        <v>n/a</v>
      </c>
      <c r="BQ539" s="225" t="str">
        <f t="shared" si="7238"/>
        <v>n/a</v>
      </c>
      <c r="BR539" s="225" t="str">
        <f t="shared" si="7238"/>
        <v>n/a</v>
      </c>
      <c r="BS539" s="214" t="str">
        <f t="shared" ref="BS539:CX539" si="7239">++IFERROR(BS538/BS500,"n/a")</f>
        <v>n/a</v>
      </c>
      <c r="BT539" s="225" t="str">
        <f t="shared" si="7239"/>
        <v>n/a</v>
      </c>
      <c r="BU539" s="225" t="str">
        <f t="shared" si="7239"/>
        <v>n/a</v>
      </c>
      <c r="BV539" s="225" t="str">
        <f t="shared" si="7239"/>
        <v>n/a</v>
      </c>
      <c r="BW539" s="225" t="str">
        <f t="shared" si="7239"/>
        <v>n/a</v>
      </c>
      <c r="BX539" s="225" t="str">
        <f t="shared" si="7239"/>
        <v>n/a</v>
      </c>
      <c r="BY539" s="225" t="str">
        <f t="shared" si="7239"/>
        <v>n/a</v>
      </c>
      <c r="BZ539" s="225" t="str">
        <f t="shared" si="7239"/>
        <v>n/a</v>
      </c>
      <c r="CA539" s="225" t="str">
        <f t="shared" si="7239"/>
        <v>n/a</v>
      </c>
      <c r="CB539" s="225" t="str">
        <f t="shared" si="7239"/>
        <v>n/a</v>
      </c>
      <c r="CC539" s="225" t="str">
        <f t="shared" si="7239"/>
        <v>n/a</v>
      </c>
      <c r="CD539" s="225" t="str">
        <f t="shared" si="7239"/>
        <v>n/a</v>
      </c>
      <c r="CE539" s="214" t="str">
        <f t="shared" si="7239"/>
        <v>n/a</v>
      </c>
      <c r="CF539" s="225" t="str">
        <f t="shared" si="7239"/>
        <v>n/a</v>
      </c>
      <c r="CG539" s="225" t="str">
        <f t="shared" si="7239"/>
        <v>n/a</v>
      </c>
      <c r="CH539" s="225" t="str">
        <f t="shared" si="7239"/>
        <v>n/a</v>
      </c>
      <c r="CI539" s="225" t="str">
        <f t="shared" si="7239"/>
        <v>n/a</v>
      </c>
      <c r="CJ539" s="225" t="str">
        <f t="shared" si="7239"/>
        <v>n/a</v>
      </c>
      <c r="CK539" s="225" t="str">
        <f t="shared" si="7239"/>
        <v>n/a</v>
      </c>
      <c r="CL539" s="225" t="str">
        <f t="shared" si="7239"/>
        <v>n/a</v>
      </c>
      <c r="CM539" s="225" t="str">
        <f t="shared" si="7239"/>
        <v>n/a</v>
      </c>
      <c r="CN539" s="225" t="str">
        <f t="shared" si="7239"/>
        <v>n/a</v>
      </c>
      <c r="CO539" s="225" t="str">
        <f t="shared" si="7239"/>
        <v>n/a</v>
      </c>
      <c r="CP539" s="225" t="str">
        <f t="shared" si="7239"/>
        <v>n/a</v>
      </c>
      <c r="CQ539" s="214" t="str">
        <f t="shared" si="7239"/>
        <v>n/a</v>
      </c>
      <c r="CR539" s="225" t="str">
        <f t="shared" si="7239"/>
        <v>n/a</v>
      </c>
      <c r="CS539" s="225" t="str">
        <f t="shared" si="7239"/>
        <v>n/a</v>
      </c>
      <c r="CT539" s="225" t="str">
        <f t="shared" si="7239"/>
        <v>n/a</v>
      </c>
      <c r="CU539" s="225" t="str">
        <f t="shared" si="7239"/>
        <v>n/a</v>
      </c>
      <c r="CV539" s="225" t="str">
        <f t="shared" si="7239"/>
        <v>n/a</v>
      </c>
      <c r="CW539" s="225" t="str">
        <f t="shared" si="7239"/>
        <v>n/a</v>
      </c>
      <c r="CX539" s="225" t="str">
        <f t="shared" si="7239"/>
        <v>n/a</v>
      </c>
      <c r="CY539" s="225" t="str">
        <f t="shared" ref="CY539:ED539" si="7240">++IFERROR(CY538/CY500,"n/a")</f>
        <v>n/a</v>
      </c>
      <c r="CZ539" s="225" t="str">
        <f t="shared" si="7240"/>
        <v>n/a</v>
      </c>
      <c r="DA539" s="225" t="str">
        <f t="shared" si="7240"/>
        <v>n/a</v>
      </c>
      <c r="DB539" s="225" t="str">
        <f t="shared" si="7240"/>
        <v>n/a</v>
      </c>
      <c r="DC539" s="214" t="str">
        <f t="shared" si="7240"/>
        <v>n/a</v>
      </c>
    </row>
    <row r="540" spans="3:107" x14ac:dyDescent="0.3">
      <c r="C540" s="321" t="str">
        <f>++C$50</f>
        <v>% y/y</v>
      </c>
      <c r="G540" s="122" t="s">
        <v>47</v>
      </c>
      <c r="H540" s="122" t="s">
        <v>47</v>
      </c>
      <c r="I540" s="122" t="s">
        <v>47</v>
      </c>
      <c r="J540" s="122" t="s">
        <v>47</v>
      </c>
      <c r="K540" s="214" t="str">
        <f>++IFERROR(K538/G293-1,"n/a")</f>
        <v>n/a</v>
      </c>
      <c r="L540" s="122" t="s">
        <v>47</v>
      </c>
      <c r="M540" s="122" t="s">
        <v>47</v>
      </c>
      <c r="N540" s="225" t="str">
        <f>++IFERROR(N538/H293-1,"n/a")</f>
        <v>n/a</v>
      </c>
      <c r="O540" s="122" t="s">
        <v>47</v>
      </c>
      <c r="P540" s="122" t="s">
        <v>47</v>
      </c>
      <c r="Q540" s="225" t="str">
        <f>++IFERROR(Q538/I293-1,"n/a")</f>
        <v>n/a</v>
      </c>
      <c r="R540" s="122" t="s">
        <v>47</v>
      </c>
      <c r="S540" s="122" t="s">
        <v>47</v>
      </c>
      <c r="T540" s="225" t="str">
        <f>++IFERROR(T538/J293-1,"n/a")</f>
        <v>n/a</v>
      </c>
      <c r="U540" s="122" t="s">
        <v>47</v>
      </c>
      <c r="V540" s="122" t="s">
        <v>47</v>
      </c>
      <c r="W540" s="214" t="str">
        <f t="shared" ref="W540:BB540" si="7241">++IFERROR(W538/K293-1,"n/a")</f>
        <v>n/a</v>
      </c>
      <c r="X540" s="225" t="str">
        <f t="shared" si="7241"/>
        <v>n/a</v>
      </c>
      <c r="Y540" s="225" t="str">
        <f t="shared" si="7241"/>
        <v>n/a</v>
      </c>
      <c r="Z540" s="225" t="str">
        <f t="shared" si="7241"/>
        <v>n/a</v>
      </c>
      <c r="AA540" s="225" t="str">
        <f t="shared" si="7241"/>
        <v>n/a</v>
      </c>
      <c r="AB540" s="225" t="str">
        <f t="shared" si="7241"/>
        <v>n/a</v>
      </c>
      <c r="AC540" s="225" t="str">
        <f t="shared" si="7241"/>
        <v>n/a</v>
      </c>
      <c r="AD540" s="225" t="str">
        <f t="shared" si="7241"/>
        <v>n/a</v>
      </c>
      <c r="AE540" s="225" t="str">
        <f t="shared" si="7241"/>
        <v>n/a</v>
      </c>
      <c r="AF540" s="225" t="str">
        <f t="shared" si="7241"/>
        <v>n/a</v>
      </c>
      <c r="AG540" s="225" t="str">
        <f t="shared" si="7241"/>
        <v>n/a</v>
      </c>
      <c r="AH540" s="225" t="str">
        <f t="shared" si="7241"/>
        <v>n/a</v>
      </c>
      <c r="AI540" s="214" t="str">
        <f t="shared" si="7241"/>
        <v>n/a</v>
      </c>
      <c r="AJ540" s="225" t="str">
        <f t="shared" si="7241"/>
        <v>n/a</v>
      </c>
      <c r="AK540" s="225" t="str">
        <f t="shared" si="7241"/>
        <v>n/a</v>
      </c>
      <c r="AL540" s="225" t="str">
        <f t="shared" si="7241"/>
        <v>n/a</v>
      </c>
      <c r="AM540" s="225" t="str">
        <f t="shared" si="7241"/>
        <v>n/a</v>
      </c>
      <c r="AN540" s="225" t="str">
        <f t="shared" si="7241"/>
        <v>n/a</v>
      </c>
      <c r="AO540" s="225" t="str">
        <f t="shared" si="7241"/>
        <v>n/a</v>
      </c>
      <c r="AP540" s="225" t="str">
        <f t="shared" si="7241"/>
        <v>n/a</v>
      </c>
      <c r="AQ540" s="225" t="str">
        <f t="shared" si="7241"/>
        <v>n/a</v>
      </c>
      <c r="AR540" s="225" t="str">
        <f t="shared" si="7241"/>
        <v>n/a</v>
      </c>
      <c r="AS540" s="225" t="str">
        <f t="shared" si="7241"/>
        <v>n/a</v>
      </c>
      <c r="AT540" s="225" t="str">
        <f t="shared" si="7241"/>
        <v>n/a</v>
      </c>
      <c r="AU540" s="214" t="str">
        <f t="shared" si="7241"/>
        <v>n/a</v>
      </c>
      <c r="AV540" s="225" t="str">
        <f t="shared" si="7241"/>
        <v>n/a</v>
      </c>
      <c r="AW540" s="225" t="str">
        <f t="shared" si="7241"/>
        <v>n/a</v>
      </c>
      <c r="AX540" s="225" t="str">
        <f t="shared" si="7241"/>
        <v>n/a</v>
      </c>
      <c r="AY540" s="225" t="str">
        <f t="shared" si="7241"/>
        <v>n/a</v>
      </c>
      <c r="AZ540" s="225" t="str">
        <f t="shared" si="7241"/>
        <v>n/a</v>
      </c>
      <c r="BA540" s="225" t="str">
        <f t="shared" si="7241"/>
        <v>n/a</v>
      </c>
      <c r="BB540" s="225" t="str">
        <f t="shared" si="7241"/>
        <v>n/a</v>
      </c>
      <c r="BC540" s="225" t="str">
        <f t="shared" ref="BC540:CH540" si="7242">++IFERROR(BC538/AQ293-1,"n/a")</f>
        <v>n/a</v>
      </c>
      <c r="BD540" s="225" t="str">
        <f t="shared" si="7242"/>
        <v>n/a</v>
      </c>
      <c r="BE540" s="225" t="str">
        <f t="shared" si="7242"/>
        <v>n/a</v>
      </c>
      <c r="BF540" s="225" t="str">
        <f t="shared" si="7242"/>
        <v>n/a</v>
      </c>
      <c r="BG540" s="214" t="str">
        <f t="shared" si="7242"/>
        <v>n/a</v>
      </c>
      <c r="BH540" s="225" t="str">
        <f t="shared" si="7242"/>
        <v>n/a</v>
      </c>
      <c r="BI540" s="225" t="str">
        <f t="shared" si="7242"/>
        <v>n/a</v>
      </c>
      <c r="BJ540" s="225" t="str">
        <f t="shared" si="7242"/>
        <v>n/a</v>
      </c>
      <c r="BK540" s="225" t="str">
        <f t="shared" si="7242"/>
        <v>n/a</v>
      </c>
      <c r="BL540" s="225" t="str">
        <f t="shared" si="7242"/>
        <v>n/a</v>
      </c>
      <c r="BM540" s="225" t="str">
        <f t="shared" si="7242"/>
        <v>n/a</v>
      </c>
      <c r="BN540" s="225" t="str">
        <f t="shared" si="7242"/>
        <v>n/a</v>
      </c>
      <c r="BO540" s="225" t="str">
        <f t="shared" si="7242"/>
        <v>n/a</v>
      </c>
      <c r="BP540" s="225" t="str">
        <f t="shared" si="7242"/>
        <v>n/a</v>
      </c>
      <c r="BQ540" s="225" t="str">
        <f t="shared" si="7242"/>
        <v>n/a</v>
      </c>
      <c r="BR540" s="225" t="str">
        <f t="shared" si="7242"/>
        <v>n/a</v>
      </c>
      <c r="BS540" s="214" t="str">
        <f t="shared" si="7242"/>
        <v>n/a</v>
      </c>
      <c r="BT540" s="225" t="str">
        <f t="shared" si="7242"/>
        <v>n/a</v>
      </c>
      <c r="BU540" s="225" t="str">
        <f t="shared" si="7242"/>
        <v>n/a</v>
      </c>
      <c r="BV540" s="225" t="str">
        <f t="shared" si="7242"/>
        <v>n/a</v>
      </c>
      <c r="BW540" s="225" t="str">
        <f t="shared" si="7242"/>
        <v>n/a</v>
      </c>
      <c r="BX540" s="225" t="str">
        <f t="shared" si="7242"/>
        <v>n/a</v>
      </c>
      <c r="BY540" s="225" t="str">
        <f t="shared" si="7242"/>
        <v>n/a</v>
      </c>
      <c r="BZ540" s="225" t="str">
        <f t="shared" si="7242"/>
        <v>n/a</v>
      </c>
      <c r="CA540" s="225" t="str">
        <f t="shared" si="7242"/>
        <v>n/a</v>
      </c>
      <c r="CB540" s="225" t="str">
        <f t="shared" si="7242"/>
        <v>n/a</v>
      </c>
      <c r="CC540" s="225" t="str">
        <f t="shared" si="7242"/>
        <v>n/a</v>
      </c>
      <c r="CD540" s="225" t="str">
        <f t="shared" si="7242"/>
        <v>n/a</v>
      </c>
      <c r="CE540" s="214" t="str">
        <f t="shared" si="7242"/>
        <v>n/a</v>
      </c>
      <c r="CF540" s="225" t="str">
        <f t="shared" si="7242"/>
        <v>n/a</v>
      </c>
      <c r="CG540" s="225" t="str">
        <f t="shared" si="7242"/>
        <v>n/a</v>
      </c>
      <c r="CH540" s="225" t="str">
        <f t="shared" si="7242"/>
        <v>n/a</v>
      </c>
      <c r="CI540" s="225" t="str">
        <f t="shared" ref="CI540:DN540" si="7243">++IFERROR(CI538/BW293-1,"n/a")</f>
        <v>n/a</v>
      </c>
      <c r="CJ540" s="225" t="str">
        <f t="shared" si="7243"/>
        <v>n/a</v>
      </c>
      <c r="CK540" s="225" t="str">
        <f t="shared" si="7243"/>
        <v>n/a</v>
      </c>
      <c r="CL540" s="225" t="str">
        <f t="shared" si="7243"/>
        <v>n/a</v>
      </c>
      <c r="CM540" s="225" t="str">
        <f t="shared" si="7243"/>
        <v>n/a</v>
      </c>
      <c r="CN540" s="225" t="str">
        <f t="shared" si="7243"/>
        <v>n/a</v>
      </c>
      <c r="CO540" s="225" t="str">
        <f t="shared" si="7243"/>
        <v>n/a</v>
      </c>
      <c r="CP540" s="225" t="str">
        <f t="shared" si="7243"/>
        <v>n/a</v>
      </c>
      <c r="CQ540" s="214" t="str">
        <f t="shared" si="7243"/>
        <v>n/a</v>
      </c>
      <c r="CR540" s="225" t="str">
        <f t="shared" si="7243"/>
        <v>n/a</v>
      </c>
      <c r="CS540" s="225" t="str">
        <f t="shared" si="7243"/>
        <v>n/a</v>
      </c>
      <c r="CT540" s="225" t="str">
        <f t="shared" si="7243"/>
        <v>n/a</v>
      </c>
      <c r="CU540" s="225" t="str">
        <f t="shared" si="7243"/>
        <v>n/a</v>
      </c>
      <c r="CV540" s="225" t="str">
        <f t="shared" si="7243"/>
        <v>n/a</v>
      </c>
      <c r="CW540" s="225" t="str">
        <f t="shared" si="7243"/>
        <v>n/a</v>
      </c>
      <c r="CX540" s="225" t="str">
        <f t="shared" si="7243"/>
        <v>n/a</v>
      </c>
      <c r="CY540" s="225" t="str">
        <f t="shared" si="7243"/>
        <v>n/a</v>
      </c>
      <c r="CZ540" s="225" t="str">
        <f t="shared" si="7243"/>
        <v>n/a</v>
      </c>
      <c r="DA540" s="225" t="str">
        <f t="shared" si="7243"/>
        <v>n/a</v>
      </c>
      <c r="DB540" s="225" t="str">
        <f t="shared" si="7243"/>
        <v>n/a</v>
      </c>
      <c r="DC540" s="214" t="str">
        <f t="shared" si="7243"/>
        <v>n/a</v>
      </c>
    </row>
    <row r="541" spans="3:107" x14ac:dyDescent="0.3">
      <c r="G541" s="203"/>
      <c r="K541" s="203"/>
      <c r="W541" s="203"/>
      <c r="AI541" s="203"/>
      <c r="AU541" s="203"/>
      <c r="BG541" s="203"/>
      <c r="BS541" s="203"/>
      <c r="CE541" s="203"/>
      <c r="CQ541" s="203"/>
      <c r="DC541" s="203"/>
    </row>
    <row r="542" spans="3:107" x14ac:dyDescent="0.3">
      <c r="C542" s="193" t="str">
        <f>++C$52</f>
        <v>Capital Expenditures</v>
      </c>
      <c r="G542" s="400">
        <v>0</v>
      </c>
      <c r="H542" s="400">
        <v>0</v>
      </c>
      <c r="I542" s="400">
        <v>0</v>
      </c>
      <c r="J542" s="400">
        <v>0</v>
      </c>
      <c r="K542" s="400">
        <v>0</v>
      </c>
      <c r="L542" s="400">
        <v>0</v>
      </c>
      <c r="M542" s="400">
        <v>0</v>
      </c>
      <c r="N542" s="400">
        <v>0</v>
      </c>
      <c r="O542" s="400">
        <v>0</v>
      </c>
      <c r="P542" s="400">
        <v>0</v>
      </c>
      <c r="Q542" s="400">
        <v>0</v>
      </c>
      <c r="R542" s="400">
        <v>0</v>
      </c>
      <c r="S542" s="400">
        <v>0</v>
      </c>
      <c r="T542" s="400">
        <v>0</v>
      </c>
      <c r="U542" s="400">
        <v>0</v>
      </c>
      <c r="V542" s="400">
        <v>0</v>
      </c>
      <c r="W542" s="400">
        <v>0</v>
      </c>
      <c r="X542" s="400">
        <v>0</v>
      </c>
      <c r="Y542" s="400">
        <v>0</v>
      </c>
      <c r="Z542" s="400">
        <v>0</v>
      </c>
      <c r="AA542" s="400">
        <v>0</v>
      </c>
      <c r="AB542" s="400">
        <v>0</v>
      </c>
      <c r="AC542" s="400">
        <v>0</v>
      </c>
      <c r="AD542" s="400">
        <v>0</v>
      </c>
      <c r="AE542" s="400">
        <v>0</v>
      </c>
      <c r="AF542" s="400">
        <v>0</v>
      </c>
      <c r="AG542" s="400">
        <v>0</v>
      </c>
      <c r="AH542" s="400">
        <v>0</v>
      </c>
      <c r="AI542" s="400">
        <v>0</v>
      </c>
      <c r="AJ542" s="400">
        <v>0</v>
      </c>
      <c r="AK542" s="400">
        <v>0</v>
      </c>
      <c r="AL542" s="400">
        <v>0</v>
      </c>
      <c r="AM542" s="400">
        <v>0</v>
      </c>
      <c r="AN542" s="400">
        <v>0</v>
      </c>
      <c r="AO542" s="400">
        <v>0</v>
      </c>
      <c r="AP542" s="400">
        <v>0</v>
      </c>
      <c r="AQ542" s="400">
        <v>0</v>
      </c>
      <c r="AR542" s="400">
        <v>0</v>
      </c>
      <c r="AS542" s="400">
        <v>0</v>
      </c>
      <c r="AT542" s="400">
        <v>0</v>
      </c>
      <c r="AU542" s="400">
        <v>0</v>
      </c>
      <c r="AV542" s="400">
        <v>0</v>
      </c>
      <c r="AW542" s="400">
        <v>0</v>
      </c>
      <c r="AX542" s="400">
        <v>0</v>
      </c>
      <c r="AY542" s="400">
        <v>0</v>
      </c>
      <c r="AZ542" s="400">
        <v>0</v>
      </c>
      <c r="BA542" s="400">
        <v>0</v>
      </c>
      <c r="BB542" s="400">
        <v>0</v>
      </c>
      <c r="BC542" s="400">
        <v>0</v>
      </c>
      <c r="BD542" s="400">
        <v>0</v>
      </c>
      <c r="BE542" s="400">
        <v>0</v>
      </c>
      <c r="BF542" s="400">
        <v>0</v>
      </c>
      <c r="BG542" s="400">
        <v>0</v>
      </c>
      <c r="BH542" s="400">
        <v>0</v>
      </c>
      <c r="BI542" s="400">
        <v>0</v>
      </c>
      <c r="BJ542" s="400">
        <v>0</v>
      </c>
      <c r="BK542" s="400">
        <v>0</v>
      </c>
      <c r="BL542" s="400">
        <v>0</v>
      </c>
      <c r="BM542" s="400">
        <v>0</v>
      </c>
      <c r="BN542" s="400">
        <v>0</v>
      </c>
      <c r="BO542" s="400">
        <v>0</v>
      </c>
      <c r="BP542" s="400">
        <v>0</v>
      </c>
      <c r="BQ542" s="400">
        <v>0</v>
      </c>
      <c r="BR542" s="400">
        <v>0</v>
      </c>
      <c r="BS542" s="400">
        <v>0</v>
      </c>
      <c r="BT542" s="400">
        <v>0</v>
      </c>
      <c r="BU542" s="400">
        <v>0</v>
      </c>
      <c r="BV542" s="400">
        <v>0</v>
      </c>
      <c r="BW542" s="400">
        <v>0</v>
      </c>
      <c r="BX542" s="400">
        <v>0</v>
      </c>
      <c r="BY542" s="400">
        <v>0</v>
      </c>
      <c r="BZ542" s="400">
        <v>0</v>
      </c>
      <c r="CA542" s="400">
        <v>0</v>
      </c>
      <c r="CB542" s="400">
        <v>0</v>
      </c>
      <c r="CC542" s="400">
        <v>0</v>
      </c>
      <c r="CD542" s="400">
        <v>0</v>
      </c>
      <c r="CE542" s="400">
        <v>0</v>
      </c>
      <c r="CF542" s="400">
        <v>0</v>
      </c>
      <c r="CG542" s="400">
        <v>0</v>
      </c>
      <c r="CH542" s="400">
        <v>0</v>
      </c>
      <c r="CI542" s="400">
        <v>0</v>
      </c>
      <c r="CJ542" s="400">
        <v>0</v>
      </c>
      <c r="CK542" s="400">
        <v>0</v>
      </c>
      <c r="CL542" s="400">
        <v>0</v>
      </c>
      <c r="CM542" s="400">
        <v>0</v>
      </c>
      <c r="CN542" s="400">
        <v>0</v>
      </c>
      <c r="CO542" s="400">
        <v>0</v>
      </c>
      <c r="CP542" s="400">
        <v>0</v>
      </c>
      <c r="CQ542" s="400">
        <v>0</v>
      </c>
      <c r="CR542" s="400">
        <v>0</v>
      </c>
      <c r="CS542" s="400">
        <v>0</v>
      </c>
      <c r="CT542" s="400">
        <v>0</v>
      </c>
      <c r="CU542" s="400">
        <v>0</v>
      </c>
      <c r="CV542" s="400">
        <v>0</v>
      </c>
      <c r="CW542" s="400">
        <v>0</v>
      </c>
      <c r="CX542" s="400">
        <v>0</v>
      </c>
      <c r="CY542" s="400">
        <v>0</v>
      </c>
      <c r="CZ542" s="400">
        <v>0</v>
      </c>
      <c r="DA542" s="400">
        <v>0</v>
      </c>
      <c r="DB542" s="400">
        <v>0</v>
      </c>
      <c r="DC542" s="400">
        <v>0</v>
      </c>
    </row>
    <row r="543" spans="3:107" x14ac:dyDescent="0.3">
      <c r="C543" s="321" t="str">
        <f>++C$53</f>
        <v>% revenue</v>
      </c>
      <c r="G543" s="214" t="str">
        <f t="shared" ref="G543:AL543" si="7244">++IFERROR(G542/G500,"n/a")</f>
        <v>n/a</v>
      </c>
      <c r="H543" s="225" t="str">
        <f t="shared" si="7244"/>
        <v>n/a</v>
      </c>
      <c r="I543" s="225" t="str">
        <f t="shared" si="7244"/>
        <v>n/a</v>
      </c>
      <c r="J543" s="225" t="str">
        <f t="shared" si="7244"/>
        <v>n/a</v>
      </c>
      <c r="K543" s="214" t="str">
        <f t="shared" si="7244"/>
        <v>n/a</v>
      </c>
      <c r="L543" s="225" t="str">
        <f t="shared" si="7244"/>
        <v>n/a</v>
      </c>
      <c r="M543" s="225" t="str">
        <f t="shared" si="7244"/>
        <v>n/a</v>
      </c>
      <c r="N543" s="225" t="str">
        <f t="shared" si="7244"/>
        <v>n/a</v>
      </c>
      <c r="O543" s="225" t="str">
        <f t="shared" si="7244"/>
        <v>n/a</v>
      </c>
      <c r="P543" s="225" t="str">
        <f t="shared" si="7244"/>
        <v>n/a</v>
      </c>
      <c r="Q543" s="225" t="str">
        <f t="shared" si="7244"/>
        <v>n/a</v>
      </c>
      <c r="R543" s="225" t="str">
        <f t="shared" si="7244"/>
        <v>n/a</v>
      </c>
      <c r="S543" s="225" t="str">
        <f t="shared" si="7244"/>
        <v>n/a</v>
      </c>
      <c r="T543" s="225" t="str">
        <f t="shared" si="7244"/>
        <v>n/a</v>
      </c>
      <c r="U543" s="225" t="str">
        <f t="shared" si="7244"/>
        <v>n/a</v>
      </c>
      <c r="V543" s="225" t="str">
        <f t="shared" si="7244"/>
        <v>n/a</v>
      </c>
      <c r="W543" s="214" t="str">
        <f t="shared" si="7244"/>
        <v>n/a</v>
      </c>
      <c r="X543" s="225" t="str">
        <f t="shared" si="7244"/>
        <v>n/a</v>
      </c>
      <c r="Y543" s="225" t="str">
        <f t="shared" si="7244"/>
        <v>n/a</v>
      </c>
      <c r="Z543" s="225" t="str">
        <f t="shared" si="7244"/>
        <v>n/a</v>
      </c>
      <c r="AA543" s="225" t="str">
        <f t="shared" si="7244"/>
        <v>n/a</v>
      </c>
      <c r="AB543" s="225" t="str">
        <f t="shared" si="7244"/>
        <v>n/a</v>
      </c>
      <c r="AC543" s="225" t="str">
        <f t="shared" si="7244"/>
        <v>n/a</v>
      </c>
      <c r="AD543" s="225" t="str">
        <f t="shared" si="7244"/>
        <v>n/a</v>
      </c>
      <c r="AE543" s="225" t="str">
        <f t="shared" si="7244"/>
        <v>n/a</v>
      </c>
      <c r="AF543" s="225" t="str">
        <f t="shared" si="7244"/>
        <v>n/a</v>
      </c>
      <c r="AG543" s="225" t="str">
        <f t="shared" si="7244"/>
        <v>n/a</v>
      </c>
      <c r="AH543" s="225" t="str">
        <f t="shared" si="7244"/>
        <v>n/a</v>
      </c>
      <c r="AI543" s="214" t="str">
        <f t="shared" si="7244"/>
        <v>n/a</v>
      </c>
      <c r="AJ543" s="225" t="str">
        <f t="shared" si="7244"/>
        <v>n/a</v>
      </c>
      <c r="AK543" s="225" t="str">
        <f t="shared" si="7244"/>
        <v>n/a</v>
      </c>
      <c r="AL543" s="225" t="str">
        <f t="shared" si="7244"/>
        <v>n/a</v>
      </c>
      <c r="AM543" s="225" t="str">
        <f t="shared" ref="AM543:BR543" si="7245">++IFERROR(AM542/AM500,"n/a")</f>
        <v>n/a</v>
      </c>
      <c r="AN543" s="225" t="str">
        <f t="shared" si="7245"/>
        <v>n/a</v>
      </c>
      <c r="AO543" s="225" t="str">
        <f t="shared" si="7245"/>
        <v>n/a</v>
      </c>
      <c r="AP543" s="225" t="str">
        <f t="shared" si="7245"/>
        <v>n/a</v>
      </c>
      <c r="AQ543" s="225" t="str">
        <f t="shared" si="7245"/>
        <v>n/a</v>
      </c>
      <c r="AR543" s="225" t="str">
        <f t="shared" si="7245"/>
        <v>n/a</v>
      </c>
      <c r="AS543" s="225" t="str">
        <f t="shared" si="7245"/>
        <v>n/a</v>
      </c>
      <c r="AT543" s="225" t="str">
        <f t="shared" si="7245"/>
        <v>n/a</v>
      </c>
      <c r="AU543" s="214" t="str">
        <f t="shared" si="7245"/>
        <v>n/a</v>
      </c>
      <c r="AV543" s="225" t="str">
        <f t="shared" si="7245"/>
        <v>n/a</v>
      </c>
      <c r="AW543" s="225" t="str">
        <f t="shared" si="7245"/>
        <v>n/a</v>
      </c>
      <c r="AX543" s="225" t="str">
        <f t="shared" si="7245"/>
        <v>n/a</v>
      </c>
      <c r="AY543" s="225" t="str">
        <f t="shared" si="7245"/>
        <v>n/a</v>
      </c>
      <c r="AZ543" s="225" t="str">
        <f t="shared" si="7245"/>
        <v>n/a</v>
      </c>
      <c r="BA543" s="225" t="str">
        <f t="shared" si="7245"/>
        <v>n/a</v>
      </c>
      <c r="BB543" s="225" t="str">
        <f t="shared" si="7245"/>
        <v>n/a</v>
      </c>
      <c r="BC543" s="225" t="str">
        <f t="shared" si="7245"/>
        <v>n/a</v>
      </c>
      <c r="BD543" s="225" t="str">
        <f t="shared" si="7245"/>
        <v>n/a</v>
      </c>
      <c r="BE543" s="225" t="str">
        <f t="shared" si="7245"/>
        <v>n/a</v>
      </c>
      <c r="BF543" s="225" t="str">
        <f t="shared" si="7245"/>
        <v>n/a</v>
      </c>
      <c r="BG543" s="214" t="str">
        <f t="shared" si="7245"/>
        <v>n/a</v>
      </c>
      <c r="BH543" s="225" t="str">
        <f t="shared" si="7245"/>
        <v>n/a</v>
      </c>
      <c r="BI543" s="225" t="str">
        <f t="shared" si="7245"/>
        <v>n/a</v>
      </c>
      <c r="BJ543" s="225" t="str">
        <f t="shared" si="7245"/>
        <v>n/a</v>
      </c>
      <c r="BK543" s="225" t="str">
        <f t="shared" si="7245"/>
        <v>n/a</v>
      </c>
      <c r="BL543" s="225" t="str">
        <f t="shared" si="7245"/>
        <v>n/a</v>
      </c>
      <c r="BM543" s="225" t="str">
        <f t="shared" si="7245"/>
        <v>n/a</v>
      </c>
      <c r="BN543" s="225" t="str">
        <f t="shared" si="7245"/>
        <v>n/a</v>
      </c>
      <c r="BO543" s="225" t="str">
        <f t="shared" si="7245"/>
        <v>n/a</v>
      </c>
      <c r="BP543" s="225" t="str">
        <f t="shared" si="7245"/>
        <v>n/a</v>
      </c>
      <c r="BQ543" s="225" t="str">
        <f t="shared" si="7245"/>
        <v>n/a</v>
      </c>
      <c r="BR543" s="225" t="str">
        <f t="shared" si="7245"/>
        <v>n/a</v>
      </c>
      <c r="BS543" s="214" t="str">
        <f t="shared" ref="BS543:CX543" si="7246">++IFERROR(BS542/BS500,"n/a")</f>
        <v>n/a</v>
      </c>
      <c r="BT543" s="225" t="str">
        <f t="shared" si="7246"/>
        <v>n/a</v>
      </c>
      <c r="BU543" s="225" t="str">
        <f t="shared" si="7246"/>
        <v>n/a</v>
      </c>
      <c r="BV543" s="225" t="str">
        <f t="shared" si="7246"/>
        <v>n/a</v>
      </c>
      <c r="BW543" s="225" t="str">
        <f t="shared" si="7246"/>
        <v>n/a</v>
      </c>
      <c r="BX543" s="225" t="str">
        <f t="shared" si="7246"/>
        <v>n/a</v>
      </c>
      <c r="BY543" s="225" t="str">
        <f t="shared" si="7246"/>
        <v>n/a</v>
      </c>
      <c r="BZ543" s="225" t="str">
        <f t="shared" si="7246"/>
        <v>n/a</v>
      </c>
      <c r="CA543" s="225" t="str">
        <f t="shared" si="7246"/>
        <v>n/a</v>
      </c>
      <c r="CB543" s="225" t="str">
        <f t="shared" si="7246"/>
        <v>n/a</v>
      </c>
      <c r="CC543" s="225" t="str">
        <f t="shared" si="7246"/>
        <v>n/a</v>
      </c>
      <c r="CD543" s="225" t="str">
        <f t="shared" si="7246"/>
        <v>n/a</v>
      </c>
      <c r="CE543" s="214" t="str">
        <f t="shared" si="7246"/>
        <v>n/a</v>
      </c>
      <c r="CF543" s="225" t="str">
        <f t="shared" si="7246"/>
        <v>n/a</v>
      </c>
      <c r="CG543" s="225" t="str">
        <f t="shared" si="7246"/>
        <v>n/a</v>
      </c>
      <c r="CH543" s="225" t="str">
        <f t="shared" si="7246"/>
        <v>n/a</v>
      </c>
      <c r="CI543" s="225" t="str">
        <f t="shared" si="7246"/>
        <v>n/a</v>
      </c>
      <c r="CJ543" s="225" t="str">
        <f t="shared" si="7246"/>
        <v>n/a</v>
      </c>
      <c r="CK543" s="225" t="str">
        <f t="shared" si="7246"/>
        <v>n/a</v>
      </c>
      <c r="CL543" s="225" t="str">
        <f t="shared" si="7246"/>
        <v>n/a</v>
      </c>
      <c r="CM543" s="225" t="str">
        <f t="shared" si="7246"/>
        <v>n/a</v>
      </c>
      <c r="CN543" s="225" t="str">
        <f t="shared" si="7246"/>
        <v>n/a</v>
      </c>
      <c r="CO543" s="225" t="str">
        <f t="shared" si="7246"/>
        <v>n/a</v>
      </c>
      <c r="CP543" s="225" t="str">
        <f t="shared" si="7246"/>
        <v>n/a</v>
      </c>
      <c r="CQ543" s="214" t="str">
        <f t="shared" si="7246"/>
        <v>n/a</v>
      </c>
      <c r="CR543" s="225" t="str">
        <f t="shared" si="7246"/>
        <v>n/a</v>
      </c>
      <c r="CS543" s="225" t="str">
        <f t="shared" si="7246"/>
        <v>n/a</v>
      </c>
      <c r="CT543" s="225" t="str">
        <f t="shared" si="7246"/>
        <v>n/a</v>
      </c>
      <c r="CU543" s="225" t="str">
        <f t="shared" si="7246"/>
        <v>n/a</v>
      </c>
      <c r="CV543" s="225" t="str">
        <f t="shared" si="7246"/>
        <v>n/a</v>
      </c>
      <c r="CW543" s="225" t="str">
        <f t="shared" si="7246"/>
        <v>n/a</v>
      </c>
      <c r="CX543" s="225" t="str">
        <f t="shared" si="7246"/>
        <v>n/a</v>
      </c>
      <c r="CY543" s="225" t="str">
        <f t="shared" ref="CY543:ED543" si="7247">++IFERROR(CY542/CY500,"n/a")</f>
        <v>n/a</v>
      </c>
      <c r="CZ543" s="225" t="str">
        <f t="shared" si="7247"/>
        <v>n/a</v>
      </c>
      <c r="DA543" s="225" t="str">
        <f t="shared" si="7247"/>
        <v>n/a</v>
      </c>
      <c r="DB543" s="225" t="str">
        <f t="shared" si="7247"/>
        <v>n/a</v>
      </c>
      <c r="DC543" s="214" t="str">
        <f t="shared" si="7247"/>
        <v>n/a</v>
      </c>
    </row>
    <row r="544" spans="3:107" x14ac:dyDescent="0.3">
      <c r="C544" s="321" t="str">
        <f>++C$54</f>
        <v>% FCF conversion</v>
      </c>
      <c r="G544" s="214" t="str">
        <f t="shared" ref="G544:AL544" si="7248">++IFERROR((G538-G542)/G538,"n/a")</f>
        <v>n/a</v>
      </c>
      <c r="H544" s="225" t="str">
        <f t="shared" si="7248"/>
        <v>n/a</v>
      </c>
      <c r="I544" s="225" t="str">
        <f t="shared" si="7248"/>
        <v>n/a</v>
      </c>
      <c r="J544" s="225" t="str">
        <f t="shared" si="7248"/>
        <v>n/a</v>
      </c>
      <c r="K544" s="214" t="str">
        <f t="shared" si="7248"/>
        <v>n/a</v>
      </c>
      <c r="L544" s="225" t="str">
        <f t="shared" si="7248"/>
        <v>n/a</v>
      </c>
      <c r="M544" s="225" t="str">
        <f t="shared" si="7248"/>
        <v>n/a</v>
      </c>
      <c r="N544" s="225" t="str">
        <f t="shared" si="7248"/>
        <v>n/a</v>
      </c>
      <c r="O544" s="225" t="str">
        <f t="shared" si="7248"/>
        <v>n/a</v>
      </c>
      <c r="P544" s="225" t="str">
        <f t="shared" si="7248"/>
        <v>n/a</v>
      </c>
      <c r="Q544" s="225" t="str">
        <f t="shared" si="7248"/>
        <v>n/a</v>
      </c>
      <c r="R544" s="225" t="str">
        <f t="shared" si="7248"/>
        <v>n/a</v>
      </c>
      <c r="S544" s="225" t="str">
        <f t="shared" si="7248"/>
        <v>n/a</v>
      </c>
      <c r="T544" s="225" t="str">
        <f t="shared" si="7248"/>
        <v>n/a</v>
      </c>
      <c r="U544" s="225" t="str">
        <f t="shared" si="7248"/>
        <v>n/a</v>
      </c>
      <c r="V544" s="225" t="str">
        <f t="shared" si="7248"/>
        <v>n/a</v>
      </c>
      <c r="W544" s="214" t="str">
        <f t="shared" si="7248"/>
        <v>n/a</v>
      </c>
      <c r="X544" s="225" t="str">
        <f t="shared" si="7248"/>
        <v>n/a</v>
      </c>
      <c r="Y544" s="225" t="str">
        <f t="shared" si="7248"/>
        <v>n/a</v>
      </c>
      <c r="Z544" s="225" t="str">
        <f t="shared" si="7248"/>
        <v>n/a</v>
      </c>
      <c r="AA544" s="225" t="str">
        <f t="shared" si="7248"/>
        <v>n/a</v>
      </c>
      <c r="AB544" s="225" t="str">
        <f t="shared" si="7248"/>
        <v>n/a</v>
      </c>
      <c r="AC544" s="225" t="str">
        <f t="shared" si="7248"/>
        <v>n/a</v>
      </c>
      <c r="AD544" s="225" t="str">
        <f t="shared" si="7248"/>
        <v>n/a</v>
      </c>
      <c r="AE544" s="225" t="str">
        <f t="shared" si="7248"/>
        <v>n/a</v>
      </c>
      <c r="AF544" s="225" t="str">
        <f t="shared" si="7248"/>
        <v>n/a</v>
      </c>
      <c r="AG544" s="225" t="str">
        <f t="shared" si="7248"/>
        <v>n/a</v>
      </c>
      <c r="AH544" s="225" t="str">
        <f t="shared" si="7248"/>
        <v>n/a</v>
      </c>
      <c r="AI544" s="214" t="str">
        <f t="shared" si="7248"/>
        <v>n/a</v>
      </c>
      <c r="AJ544" s="225" t="str">
        <f t="shared" si="7248"/>
        <v>n/a</v>
      </c>
      <c r="AK544" s="225" t="str">
        <f t="shared" si="7248"/>
        <v>n/a</v>
      </c>
      <c r="AL544" s="225" t="str">
        <f t="shared" si="7248"/>
        <v>n/a</v>
      </c>
      <c r="AM544" s="225" t="str">
        <f t="shared" ref="AM544:BR544" si="7249">++IFERROR((AM538-AM542)/AM538,"n/a")</f>
        <v>n/a</v>
      </c>
      <c r="AN544" s="225" t="str">
        <f t="shared" si="7249"/>
        <v>n/a</v>
      </c>
      <c r="AO544" s="225" t="str">
        <f t="shared" si="7249"/>
        <v>n/a</v>
      </c>
      <c r="AP544" s="225" t="str">
        <f t="shared" si="7249"/>
        <v>n/a</v>
      </c>
      <c r="AQ544" s="225" t="str">
        <f t="shared" si="7249"/>
        <v>n/a</v>
      </c>
      <c r="AR544" s="225" t="str">
        <f t="shared" si="7249"/>
        <v>n/a</v>
      </c>
      <c r="AS544" s="225" t="str">
        <f t="shared" si="7249"/>
        <v>n/a</v>
      </c>
      <c r="AT544" s="225" t="str">
        <f t="shared" si="7249"/>
        <v>n/a</v>
      </c>
      <c r="AU544" s="214" t="str">
        <f t="shared" si="7249"/>
        <v>n/a</v>
      </c>
      <c r="AV544" s="225" t="str">
        <f t="shared" si="7249"/>
        <v>n/a</v>
      </c>
      <c r="AW544" s="225" t="str">
        <f t="shared" si="7249"/>
        <v>n/a</v>
      </c>
      <c r="AX544" s="225" t="str">
        <f t="shared" si="7249"/>
        <v>n/a</v>
      </c>
      <c r="AY544" s="225" t="str">
        <f t="shared" si="7249"/>
        <v>n/a</v>
      </c>
      <c r="AZ544" s="225" t="str">
        <f t="shared" si="7249"/>
        <v>n/a</v>
      </c>
      <c r="BA544" s="225" t="str">
        <f t="shared" si="7249"/>
        <v>n/a</v>
      </c>
      <c r="BB544" s="225" t="str">
        <f t="shared" si="7249"/>
        <v>n/a</v>
      </c>
      <c r="BC544" s="225" t="str">
        <f t="shared" si="7249"/>
        <v>n/a</v>
      </c>
      <c r="BD544" s="225" t="str">
        <f t="shared" si="7249"/>
        <v>n/a</v>
      </c>
      <c r="BE544" s="225" t="str">
        <f t="shared" si="7249"/>
        <v>n/a</v>
      </c>
      <c r="BF544" s="225" t="str">
        <f t="shared" si="7249"/>
        <v>n/a</v>
      </c>
      <c r="BG544" s="214" t="str">
        <f t="shared" si="7249"/>
        <v>n/a</v>
      </c>
      <c r="BH544" s="225" t="str">
        <f t="shared" si="7249"/>
        <v>n/a</v>
      </c>
      <c r="BI544" s="225" t="str">
        <f t="shared" si="7249"/>
        <v>n/a</v>
      </c>
      <c r="BJ544" s="225" t="str">
        <f t="shared" si="7249"/>
        <v>n/a</v>
      </c>
      <c r="BK544" s="225" t="str">
        <f t="shared" si="7249"/>
        <v>n/a</v>
      </c>
      <c r="BL544" s="225" t="str">
        <f t="shared" si="7249"/>
        <v>n/a</v>
      </c>
      <c r="BM544" s="225" t="str">
        <f t="shared" si="7249"/>
        <v>n/a</v>
      </c>
      <c r="BN544" s="225" t="str">
        <f t="shared" si="7249"/>
        <v>n/a</v>
      </c>
      <c r="BO544" s="225" t="str">
        <f t="shared" si="7249"/>
        <v>n/a</v>
      </c>
      <c r="BP544" s="225" t="str">
        <f t="shared" si="7249"/>
        <v>n/a</v>
      </c>
      <c r="BQ544" s="225" t="str">
        <f t="shared" si="7249"/>
        <v>n/a</v>
      </c>
      <c r="BR544" s="225" t="str">
        <f t="shared" si="7249"/>
        <v>n/a</v>
      </c>
      <c r="BS544" s="214" t="str">
        <f t="shared" ref="BS544:DC544" si="7250">++IFERROR((BS538-BS542)/BS538,"n/a")</f>
        <v>n/a</v>
      </c>
      <c r="BT544" s="225" t="str">
        <f t="shared" si="7250"/>
        <v>n/a</v>
      </c>
      <c r="BU544" s="225" t="str">
        <f t="shared" si="7250"/>
        <v>n/a</v>
      </c>
      <c r="BV544" s="225" t="str">
        <f t="shared" si="7250"/>
        <v>n/a</v>
      </c>
      <c r="BW544" s="225" t="str">
        <f t="shared" si="7250"/>
        <v>n/a</v>
      </c>
      <c r="BX544" s="225" t="str">
        <f t="shared" si="7250"/>
        <v>n/a</v>
      </c>
      <c r="BY544" s="225" t="str">
        <f t="shared" si="7250"/>
        <v>n/a</v>
      </c>
      <c r="BZ544" s="225" t="str">
        <f t="shared" si="7250"/>
        <v>n/a</v>
      </c>
      <c r="CA544" s="225" t="str">
        <f t="shared" si="7250"/>
        <v>n/a</v>
      </c>
      <c r="CB544" s="225" t="str">
        <f t="shared" si="7250"/>
        <v>n/a</v>
      </c>
      <c r="CC544" s="225" t="str">
        <f t="shared" si="7250"/>
        <v>n/a</v>
      </c>
      <c r="CD544" s="225" t="str">
        <f t="shared" si="7250"/>
        <v>n/a</v>
      </c>
      <c r="CE544" s="214" t="str">
        <f t="shared" si="7250"/>
        <v>n/a</v>
      </c>
      <c r="CF544" s="225" t="str">
        <f t="shared" si="7250"/>
        <v>n/a</v>
      </c>
      <c r="CG544" s="225" t="str">
        <f t="shared" si="7250"/>
        <v>n/a</v>
      </c>
      <c r="CH544" s="225" t="str">
        <f t="shared" si="7250"/>
        <v>n/a</v>
      </c>
      <c r="CI544" s="225" t="str">
        <f t="shared" si="7250"/>
        <v>n/a</v>
      </c>
      <c r="CJ544" s="225" t="str">
        <f t="shared" si="7250"/>
        <v>n/a</v>
      </c>
      <c r="CK544" s="225" t="str">
        <f t="shared" si="7250"/>
        <v>n/a</v>
      </c>
      <c r="CL544" s="225" t="str">
        <f t="shared" si="7250"/>
        <v>n/a</v>
      </c>
      <c r="CM544" s="225" t="str">
        <f t="shared" si="7250"/>
        <v>n/a</v>
      </c>
      <c r="CN544" s="225" t="str">
        <f t="shared" si="7250"/>
        <v>n/a</v>
      </c>
      <c r="CO544" s="225" t="str">
        <f t="shared" si="7250"/>
        <v>n/a</v>
      </c>
      <c r="CP544" s="225" t="str">
        <f t="shared" si="7250"/>
        <v>n/a</v>
      </c>
      <c r="CQ544" s="214" t="str">
        <f t="shared" si="7250"/>
        <v>n/a</v>
      </c>
      <c r="CR544" s="225" t="str">
        <f t="shared" si="7250"/>
        <v>n/a</v>
      </c>
      <c r="CS544" s="225" t="str">
        <f t="shared" si="7250"/>
        <v>n/a</v>
      </c>
      <c r="CT544" s="225" t="str">
        <f t="shared" si="7250"/>
        <v>n/a</v>
      </c>
      <c r="CU544" s="225" t="str">
        <f t="shared" si="7250"/>
        <v>n/a</v>
      </c>
      <c r="CV544" s="225" t="str">
        <f t="shared" si="7250"/>
        <v>n/a</v>
      </c>
      <c r="CW544" s="225" t="str">
        <f t="shared" si="7250"/>
        <v>n/a</v>
      </c>
      <c r="CX544" s="225" t="str">
        <f t="shared" si="7250"/>
        <v>n/a</v>
      </c>
      <c r="CY544" s="225" t="str">
        <f t="shared" si="7250"/>
        <v>n/a</v>
      </c>
      <c r="CZ544" s="225" t="str">
        <f t="shared" si="7250"/>
        <v>n/a</v>
      </c>
      <c r="DA544" s="225" t="str">
        <f t="shared" si="7250"/>
        <v>n/a</v>
      </c>
      <c r="DB544" s="225" t="str">
        <f t="shared" si="7250"/>
        <v>n/a</v>
      </c>
      <c r="DC544" s="214" t="str">
        <f t="shared" si="7250"/>
        <v>n/a</v>
      </c>
    </row>
    <row r="545" spans="1:107" x14ac:dyDescent="0.3">
      <c r="G545" s="203"/>
      <c r="K545" s="203"/>
      <c r="W545" s="203"/>
      <c r="AI545" s="203"/>
      <c r="AU545" s="203"/>
      <c r="BG545" s="203"/>
      <c r="BS545" s="203"/>
      <c r="CE545" s="203"/>
      <c r="CQ545" s="203"/>
      <c r="DC545" s="203"/>
    </row>
    <row r="546" spans="1:107" x14ac:dyDescent="0.3">
      <c r="G546" s="203"/>
      <c r="K546" s="203"/>
      <c r="W546" s="203"/>
      <c r="AI546" s="203"/>
      <c r="AU546" s="203"/>
      <c r="BG546" s="203"/>
      <c r="BS546" s="203"/>
      <c r="CE546" s="203"/>
      <c r="CQ546" s="203"/>
      <c r="DC546" s="203"/>
    </row>
    <row r="547" spans="1:107" x14ac:dyDescent="0.3">
      <c r="A547" s="319" t="s">
        <v>0</v>
      </c>
      <c r="B547" s="319" t="s">
        <v>0</v>
      </c>
      <c r="C547" s="166" t="s">
        <v>79</v>
      </c>
      <c r="D547" s="365"/>
      <c r="E547" s="365"/>
      <c r="F547" s="365"/>
      <c r="G547" s="365"/>
      <c r="H547" s="365"/>
      <c r="I547" s="365"/>
      <c r="J547" s="365"/>
      <c r="K547" s="365"/>
      <c r="L547" s="365"/>
      <c r="M547" s="365"/>
      <c r="N547" s="365"/>
      <c r="O547" s="365"/>
      <c r="P547" s="365"/>
      <c r="Q547" s="365"/>
      <c r="R547" s="365"/>
      <c r="S547" s="365"/>
      <c r="T547" s="365"/>
      <c r="U547" s="365"/>
      <c r="V547" s="365"/>
      <c r="W547" s="365"/>
      <c r="X547" s="365"/>
      <c r="Y547" s="365"/>
      <c r="Z547" s="365"/>
      <c r="AA547" s="365"/>
      <c r="AB547" s="365"/>
      <c r="AC547" s="365"/>
      <c r="AD547" s="365"/>
      <c r="AE547" s="365"/>
      <c r="AF547" s="365"/>
      <c r="AG547" s="365"/>
      <c r="AH547" s="365"/>
      <c r="AI547" s="365"/>
      <c r="AJ547" s="365"/>
      <c r="AK547" s="365"/>
      <c r="AL547" s="365"/>
      <c r="AM547" s="365"/>
      <c r="AN547" s="365"/>
      <c r="AO547" s="365"/>
      <c r="AP547" s="365"/>
      <c r="AQ547" s="365"/>
      <c r="AR547" s="365"/>
      <c r="AS547" s="365"/>
      <c r="AT547" s="365"/>
      <c r="AU547" s="365"/>
      <c r="AV547" s="365"/>
      <c r="AW547" s="365"/>
      <c r="AX547" s="365"/>
      <c r="AY547" s="365"/>
      <c r="AZ547" s="365"/>
      <c r="BA547" s="365"/>
      <c r="BB547" s="365"/>
      <c r="BC547" s="365"/>
      <c r="BD547" s="365"/>
      <c r="BE547" s="365"/>
      <c r="BF547" s="365"/>
      <c r="BG547" s="365"/>
      <c r="BH547" s="365"/>
      <c r="BI547" s="365"/>
      <c r="BJ547" s="365"/>
      <c r="BK547" s="365"/>
      <c r="BL547" s="365"/>
      <c r="BM547" s="365"/>
      <c r="BN547" s="365"/>
      <c r="BO547" s="365"/>
      <c r="BP547" s="365"/>
      <c r="BQ547" s="365"/>
      <c r="BR547" s="365"/>
      <c r="BS547" s="365"/>
      <c r="BT547" s="365"/>
      <c r="BU547" s="365"/>
      <c r="BV547" s="365"/>
      <c r="BW547" s="365"/>
      <c r="BX547" s="365"/>
      <c r="BY547" s="365"/>
      <c r="BZ547" s="365"/>
      <c r="CA547" s="365"/>
      <c r="CB547" s="365"/>
      <c r="CC547" s="365"/>
      <c r="CD547" s="365"/>
      <c r="CE547" s="365"/>
      <c r="CF547" s="365"/>
      <c r="CG547" s="365"/>
      <c r="CH547" s="365"/>
      <c r="CI547" s="365"/>
      <c r="CJ547" s="365"/>
      <c r="CK547" s="365"/>
      <c r="CL547" s="365"/>
      <c r="CM547" s="365"/>
      <c r="CN547" s="365"/>
      <c r="CO547" s="365"/>
      <c r="CP547" s="365"/>
      <c r="CQ547" s="365"/>
      <c r="CR547" s="365"/>
      <c r="CS547" s="365"/>
      <c r="CT547" s="365"/>
      <c r="CU547" s="365"/>
      <c r="CV547" s="365"/>
      <c r="CW547" s="365"/>
      <c r="CX547" s="365"/>
      <c r="CY547" s="365"/>
      <c r="CZ547" s="365"/>
      <c r="DA547" s="365"/>
      <c r="DB547" s="365"/>
      <c r="DC547" s="366"/>
    </row>
    <row r="548" spans="1:107" ht="5.15" customHeight="1" x14ac:dyDescent="0.3">
      <c r="G548" s="203"/>
      <c r="K548" s="203"/>
      <c r="W548" s="203"/>
      <c r="AI548" s="203"/>
      <c r="AU548" s="203"/>
      <c r="BG548" s="203"/>
      <c r="BS548" s="203"/>
      <c r="CE548" s="203"/>
      <c r="CQ548" s="203"/>
      <c r="DC548" s="203"/>
    </row>
    <row r="549" spans="1:107" ht="40" customHeight="1" x14ac:dyDescent="0.3">
      <c r="C549" s="412" t="s">
        <v>64</v>
      </c>
      <c r="D549" s="402"/>
      <c r="E549" s="403"/>
      <c r="G549" s="124" t="s">
        <v>3</v>
      </c>
      <c r="H549" s="124" t="s">
        <v>3</v>
      </c>
      <c r="I549" s="124" t="s">
        <v>3</v>
      </c>
      <c r="J549" s="124" t="s">
        <v>3</v>
      </c>
      <c r="K549" s="124" t="s">
        <v>3</v>
      </c>
      <c r="L549" s="124" t="s">
        <v>3</v>
      </c>
      <c r="M549" s="124" t="s">
        <v>3</v>
      </c>
      <c r="N549" s="124" t="s">
        <v>3</v>
      </c>
      <c r="O549" s="124" t="s">
        <v>3</v>
      </c>
      <c r="P549" s="124" t="s">
        <v>3</v>
      </c>
      <c r="Q549" s="124" t="s">
        <v>3</v>
      </c>
      <c r="R549" s="124" t="s">
        <v>3</v>
      </c>
      <c r="S549" s="124" t="s">
        <v>3</v>
      </c>
      <c r="T549" s="124" t="s">
        <v>3</v>
      </c>
      <c r="U549" s="124" t="s">
        <v>3</v>
      </c>
      <c r="V549" s="124" t="s">
        <v>3</v>
      </c>
      <c r="W549" s="124" t="s">
        <v>3</v>
      </c>
      <c r="X549" s="124" t="s">
        <v>3</v>
      </c>
      <c r="Y549" s="124" t="s">
        <v>3</v>
      </c>
      <c r="Z549" s="124" t="s">
        <v>3</v>
      </c>
      <c r="AA549" s="124" t="s">
        <v>3</v>
      </c>
      <c r="AB549" s="124" t="s">
        <v>3</v>
      </c>
      <c r="AC549" s="124" t="s">
        <v>3</v>
      </c>
      <c r="AD549" s="124" t="s">
        <v>3</v>
      </c>
      <c r="AE549" s="124" t="s">
        <v>3</v>
      </c>
      <c r="AF549" s="124" t="s">
        <v>3</v>
      </c>
      <c r="AG549" s="124" t="s">
        <v>3</v>
      </c>
      <c r="AH549" s="124" t="s">
        <v>3</v>
      </c>
      <c r="AI549" s="124" t="s">
        <v>3</v>
      </c>
      <c r="AJ549" s="124" t="s">
        <v>3</v>
      </c>
      <c r="AK549" s="124" t="s">
        <v>3</v>
      </c>
      <c r="AL549" s="124" t="s">
        <v>3</v>
      </c>
      <c r="AM549" s="124" t="s">
        <v>3</v>
      </c>
      <c r="AN549" s="124" t="s">
        <v>3</v>
      </c>
      <c r="AO549" s="124" t="s">
        <v>3</v>
      </c>
      <c r="AP549" s="124" t="s">
        <v>3</v>
      </c>
      <c r="AQ549" s="124" t="s">
        <v>3</v>
      </c>
      <c r="AR549" s="124" t="s">
        <v>3</v>
      </c>
      <c r="AS549" s="124" t="s">
        <v>3</v>
      </c>
      <c r="AT549" s="124" t="s">
        <v>3</v>
      </c>
      <c r="AU549" s="124" t="s">
        <v>3</v>
      </c>
      <c r="AV549" s="124" t="s">
        <v>3</v>
      </c>
      <c r="AW549" s="124" t="s">
        <v>3</v>
      </c>
      <c r="AX549" s="124" t="s">
        <v>3</v>
      </c>
      <c r="AY549" s="124" t="s">
        <v>3</v>
      </c>
      <c r="AZ549" s="124" t="s">
        <v>3</v>
      </c>
      <c r="BA549" s="124" t="s">
        <v>3</v>
      </c>
      <c r="BB549" s="124" t="s">
        <v>3</v>
      </c>
      <c r="BC549" s="124" t="s">
        <v>3</v>
      </c>
      <c r="BD549" s="124" t="s">
        <v>3</v>
      </c>
      <c r="BE549" s="124" t="s">
        <v>3</v>
      </c>
      <c r="BF549" s="124" t="s">
        <v>3</v>
      </c>
      <c r="BG549" s="124" t="s">
        <v>3</v>
      </c>
      <c r="BH549" s="124" t="s">
        <v>3</v>
      </c>
      <c r="BI549" s="124" t="s">
        <v>3</v>
      </c>
      <c r="BJ549" s="124" t="s">
        <v>3</v>
      </c>
      <c r="BK549" s="124" t="s">
        <v>3</v>
      </c>
      <c r="BL549" s="124" t="s">
        <v>3</v>
      </c>
      <c r="BM549" s="124" t="s">
        <v>3</v>
      </c>
      <c r="BN549" s="124" t="s">
        <v>3</v>
      </c>
      <c r="BO549" s="124" t="s">
        <v>3</v>
      </c>
      <c r="BP549" s="124" t="s">
        <v>3</v>
      </c>
      <c r="BQ549" s="124" t="s">
        <v>3</v>
      </c>
      <c r="BR549" s="124" t="s">
        <v>3</v>
      </c>
      <c r="BS549" s="124" t="s">
        <v>3</v>
      </c>
      <c r="BT549" s="124" t="s">
        <v>3</v>
      </c>
      <c r="BU549" s="124" t="s">
        <v>3</v>
      </c>
      <c r="BV549" s="124" t="s">
        <v>3</v>
      </c>
      <c r="BW549" s="124" t="s">
        <v>3</v>
      </c>
      <c r="BX549" s="124" t="s">
        <v>3</v>
      </c>
      <c r="BY549" s="124" t="s">
        <v>3</v>
      </c>
      <c r="BZ549" s="124" t="s">
        <v>3</v>
      </c>
      <c r="CA549" s="124" t="s">
        <v>3</v>
      </c>
      <c r="CB549" s="124" t="s">
        <v>3</v>
      </c>
      <c r="CC549" s="124" t="s">
        <v>3</v>
      </c>
      <c r="CD549" s="124" t="s">
        <v>3</v>
      </c>
      <c r="CE549" s="124" t="s">
        <v>3</v>
      </c>
      <c r="CF549" s="124" t="s">
        <v>3</v>
      </c>
      <c r="CG549" s="124" t="s">
        <v>3</v>
      </c>
      <c r="CH549" s="124" t="s">
        <v>3</v>
      </c>
      <c r="CI549" s="124" t="s">
        <v>3</v>
      </c>
      <c r="CJ549" s="124" t="s">
        <v>3</v>
      </c>
      <c r="CK549" s="124" t="s">
        <v>3</v>
      </c>
      <c r="CL549" s="124" t="s">
        <v>3</v>
      </c>
      <c r="CM549" s="124" t="s">
        <v>3</v>
      </c>
      <c r="CN549" s="124" t="s">
        <v>3</v>
      </c>
      <c r="CO549" s="124" t="s">
        <v>3</v>
      </c>
      <c r="CP549" s="124" t="s">
        <v>3</v>
      </c>
      <c r="CQ549" s="124" t="s">
        <v>3</v>
      </c>
      <c r="CR549" s="124" t="s">
        <v>3</v>
      </c>
      <c r="CS549" s="124" t="s">
        <v>3</v>
      </c>
      <c r="CT549" s="124" t="s">
        <v>3</v>
      </c>
      <c r="CU549" s="124" t="s">
        <v>3</v>
      </c>
      <c r="CV549" s="124" t="s">
        <v>3</v>
      </c>
      <c r="CW549" s="124" t="s">
        <v>3</v>
      </c>
      <c r="CX549" s="124" t="s">
        <v>3</v>
      </c>
      <c r="CY549" s="124" t="s">
        <v>3</v>
      </c>
      <c r="CZ549" s="124" t="s">
        <v>3</v>
      </c>
      <c r="DA549" s="124" t="s">
        <v>3</v>
      </c>
      <c r="DB549" s="124" t="s">
        <v>3</v>
      </c>
      <c r="DC549" s="124" t="s">
        <v>3</v>
      </c>
    </row>
    <row r="550" spans="1:107" ht="40" customHeight="1" x14ac:dyDescent="0.3">
      <c r="C550" s="412" t="s">
        <v>66</v>
      </c>
      <c r="D550" s="402"/>
      <c r="E550" s="403"/>
      <c r="G550" s="124" t="s">
        <v>3</v>
      </c>
      <c r="H550" s="124" t="s">
        <v>3</v>
      </c>
      <c r="I550" s="124" t="s">
        <v>3</v>
      </c>
      <c r="J550" s="124" t="s">
        <v>3</v>
      </c>
      <c r="K550" s="124" t="s">
        <v>3</v>
      </c>
      <c r="L550" s="124" t="s">
        <v>3</v>
      </c>
      <c r="M550" s="124" t="s">
        <v>3</v>
      </c>
      <c r="N550" s="124" t="s">
        <v>3</v>
      </c>
      <c r="O550" s="124" t="s">
        <v>3</v>
      </c>
      <c r="P550" s="124" t="s">
        <v>3</v>
      </c>
      <c r="Q550" s="124" t="s">
        <v>3</v>
      </c>
      <c r="R550" s="124" t="s">
        <v>3</v>
      </c>
      <c r="S550" s="124" t="s">
        <v>3</v>
      </c>
      <c r="T550" s="124" t="s">
        <v>3</v>
      </c>
      <c r="U550" s="124" t="s">
        <v>3</v>
      </c>
      <c r="V550" s="124" t="s">
        <v>3</v>
      </c>
      <c r="W550" s="124" t="s">
        <v>3</v>
      </c>
      <c r="X550" s="124" t="s">
        <v>3</v>
      </c>
      <c r="Y550" s="124" t="s">
        <v>3</v>
      </c>
      <c r="Z550" s="124" t="s">
        <v>3</v>
      </c>
      <c r="AA550" s="124" t="s">
        <v>3</v>
      </c>
      <c r="AB550" s="124" t="s">
        <v>3</v>
      </c>
      <c r="AC550" s="124" t="s">
        <v>3</v>
      </c>
      <c r="AD550" s="124" t="s">
        <v>3</v>
      </c>
      <c r="AE550" s="124" t="s">
        <v>3</v>
      </c>
      <c r="AF550" s="124" t="s">
        <v>3</v>
      </c>
      <c r="AG550" s="124" t="s">
        <v>3</v>
      </c>
      <c r="AH550" s="124" t="s">
        <v>3</v>
      </c>
      <c r="AI550" s="124" t="s">
        <v>3</v>
      </c>
      <c r="AJ550" s="124" t="s">
        <v>3</v>
      </c>
      <c r="AK550" s="124" t="s">
        <v>3</v>
      </c>
      <c r="AL550" s="124" t="s">
        <v>3</v>
      </c>
      <c r="AM550" s="124" t="s">
        <v>3</v>
      </c>
      <c r="AN550" s="124" t="s">
        <v>3</v>
      </c>
      <c r="AO550" s="124" t="s">
        <v>3</v>
      </c>
      <c r="AP550" s="124" t="s">
        <v>3</v>
      </c>
      <c r="AQ550" s="124" t="s">
        <v>3</v>
      </c>
      <c r="AR550" s="124" t="s">
        <v>3</v>
      </c>
      <c r="AS550" s="124" t="s">
        <v>3</v>
      </c>
      <c r="AT550" s="124" t="s">
        <v>3</v>
      </c>
      <c r="AU550" s="124" t="s">
        <v>3</v>
      </c>
      <c r="AV550" s="124" t="s">
        <v>3</v>
      </c>
      <c r="AW550" s="124" t="s">
        <v>3</v>
      </c>
      <c r="AX550" s="124" t="s">
        <v>3</v>
      </c>
      <c r="AY550" s="124" t="s">
        <v>3</v>
      </c>
      <c r="AZ550" s="124" t="s">
        <v>3</v>
      </c>
      <c r="BA550" s="124" t="s">
        <v>3</v>
      </c>
      <c r="BB550" s="124" t="s">
        <v>3</v>
      </c>
      <c r="BC550" s="124" t="s">
        <v>3</v>
      </c>
      <c r="BD550" s="124" t="s">
        <v>3</v>
      </c>
      <c r="BE550" s="124" t="s">
        <v>3</v>
      </c>
      <c r="BF550" s="124" t="s">
        <v>3</v>
      </c>
      <c r="BG550" s="124" t="s">
        <v>3</v>
      </c>
      <c r="BH550" s="124" t="s">
        <v>3</v>
      </c>
      <c r="BI550" s="124" t="s">
        <v>3</v>
      </c>
      <c r="BJ550" s="124" t="s">
        <v>3</v>
      </c>
      <c r="BK550" s="124" t="s">
        <v>3</v>
      </c>
      <c r="BL550" s="124" t="s">
        <v>3</v>
      </c>
      <c r="BM550" s="124" t="s">
        <v>3</v>
      </c>
      <c r="BN550" s="124" t="s">
        <v>3</v>
      </c>
      <c r="BO550" s="124" t="s">
        <v>3</v>
      </c>
      <c r="BP550" s="124" t="s">
        <v>3</v>
      </c>
      <c r="BQ550" s="124" t="s">
        <v>3</v>
      </c>
      <c r="BR550" s="124" t="s">
        <v>3</v>
      </c>
      <c r="BS550" s="124" t="s">
        <v>3</v>
      </c>
      <c r="BT550" s="124" t="s">
        <v>3</v>
      </c>
      <c r="BU550" s="124" t="s">
        <v>3</v>
      </c>
      <c r="BV550" s="124" t="s">
        <v>3</v>
      </c>
      <c r="BW550" s="124" t="s">
        <v>3</v>
      </c>
      <c r="BX550" s="124" t="s">
        <v>3</v>
      </c>
      <c r="BY550" s="124" t="s">
        <v>3</v>
      </c>
      <c r="BZ550" s="124" t="s">
        <v>3</v>
      </c>
      <c r="CA550" s="124" t="s">
        <v>3</v>
      </c>
      <c r="CB550" s="124" t="s">
        <v>3</v>
      </c>
      <c r="CC550" s="124" t="s">
        <v>3</v>
      </c>
      <c r="CD550" s="124" t="s">
        <v>3</v>
      </c>
      <c r="CE550" s="124" t="s">
        <v>3</v>
      </c>
      <c r="CF550" s="124" t="s">
        <v>3</v>
      </c>
      <c r="CG550" s="124" t="s">
        <v>3</v>
      </c>
      <c r="CH550" s="124" t="s">
        <v>3</v>
      </c>
      <c r="CI550" s="124" t="s">
        <v>3</v>
      </c>
      <c r="CJ550" s="124" t="s">
        <v>3</v>
      </c>
      <c r="CK550" s="124" t="s">
        <v>3</v>
      </c>
      <c r="CL550" s="124" t="s">
        <v>3</v>
      </c>
      <c r="CM550" s="124" t="s">
        <v>3</v>
      </c>
      <c r="CN550" s="124" t="s">
        <v>3</v>
      </c>
      <c r="CO550" s="124" t="s">
        <v>3</v>
      </c>
      <c r="CP550" s="124" t="s">
        <v>3</v>
      </c>
      <c r="CQ550" s="124" t="s">
        <v>3</v>
      </c>
      <c r="CR550" s="124" t="s">
        <v>3</v>
      </c>
      <c r="CS550" s="124" t="s">
        <v>3</v>
      </c>
      <c r="CT550" s="124" t="s">
        <v>3</v>
      </c>
      <c r="CU550" s="124" t="s">
        <v>3</v>
      </c>
      <c r="CV550" s="124" t="s">
        <v>3</v>
      </c>
      <c r="CW550" s="124" t="s">
        <v>3</v>
      </c>
      <c r="CX550" s="124" t="s">
        <v>3</v>
      </c>
      <c r="CY550" s="124" t="s">
        <v>3</v>
      </c>
      <c r="CZ550" s="124" t="s">
        <v>3</v>
      </c>
      <c r="DA550" s="124" t="s">
        <v>3</v>
      </c>
      <c r="DB550" s="124" t="s">
        <v>3</v>
      </c>
      <c r="DC550" s="124" t="s">
        <v>3</v>
      </c>
    </row>
    <row r="551" spans="1:107" ht="40" customHeight="1" x14ac:dyDescent="0.3">
      <c r="C551" s="412" t="str">
        <f>++C$48</f>
        <v>CA EBITDA</v>
      </c>
      <c r="D551" s="402"/>
      <c r="E551" s="403"/>
      <c r="G551" s="124" t="s">
        <v>3</v>
      </c>
      <c r="H551" s="124" t="s">
        <v>3</v>
      </c>
      <c r="I551" s="124" t="s">
        <v>3</v>
      </c>
      <c r="J551" s="124" t="s">
        <v>3</v>
      </c>
      <c r="K551" s="124" t="s">
        <v>3</v>
      </c>
      <c r="L551" s="124" t="s">
        <v>3</v>
      </c>
      <c r="M551" s="124" t="s">
        <v>3</v>
      </c>
      <c r="N551" s="124" t="s">
        <v>3</v>
      </c>
      <c r="O551" s="124" t="s">
        <v>3</v>
      </c>
      <c r="P551" s="124" t="s">
        <v>3</v>
      </c>
      <c r="Q551" s="124" t="s">
        <v>3</v>
      </c>
      <c r="R551" s="124" t="s">
        <v>3</v>
      </c>
      <c r="S551" s="124" t="s">
        <v>3</v>
      </c>
      <c r="T551" s="124" t="s">
        <v>3</v>
      </c>
      <c r="U551" s="124" t="s">
        <v>3</v>
      </c>
      <c r="V551" s="124" t="s">
        <v>3</v>
      </c>
      <c r="W551" s="124" t="s">
        <v>3</v>
      </c>
      <c r="X551" s="124" t="s">
        <v>3</v>
      </c>
      <c r="Y551" s="124" t="s">
        <v>3</v>
      </c>
      <c r="Z551" s="124" t="s">
        <v>3</v>
      </c>
      <c r="AA551" s="124" t="s">
        <v>3</v>
      </c>
      <c r="AB551" s="124" t="s">
        <v>3</v>
      </c>
      <c r="AC551" s="124" t="s">
        <v>3</v>
      </c>
      <c r="AD551" s="124" t="s">
        <v>3</v>
      </c>
      <c r="AE551" s="124" t="s">
        <v>3</v>
      </c>
      <c r="AF551" s="124" t="s">
        <v>3</v>
      </c>
      <c r="AG551" s="124" t="s">
        <v>3</v>
      </c>
      <c r="AH551" s="124" t="s">
        <v>3</v>
      </c>
      <c r="AI551" s="124" t="s">
        <v>3</v>
      </c>
      <c r="AJ551" s="124" t="s">
        <v>3</v>
      </c>
      <c r="AK551" s="124" t="s">
        <v>3</v>
      </c>
      <c r="AL551" s="124" t="s">
        <v>3</v>
      </c>
      <c r="AM551" s="124" t="s">
        <v>3</v>
      </c>
      <c r="AN551" s="124" t="s">
        <v>3</v>
      </c>
      <c r="AO551" s="124" t="s">
        <v>3</v>
      </c>
      <c r="AP551" s="124" t="s">
        <v>3</v>
      </c>
      <c r="AQ551" s="124" t="s">
        <v>3</v>
      </c>
      <c r="AR551" s="124" t="s">
        <v>3</v>
      </c>
      <c r="AS551" s="124" t="s">
        <v>3</v>
      </c>
      <c r="AT551" s="124" t="s">
        <v>3</v>
      </c>
      <c r="AU551" s="124" t="s">
        <v>3</v>
      </c>
      <c r="AV551" s="124" t="s">
        <v>3</v>
      </c>
      <c r="AW551" s="124" t="s">
        <v>3</v>
      </c>
      <c r="AX551" s="124" t="s">
        <v>3</v>
      </c>
      <c r="AY551" s="124" t="s">
        <v>3</v>
      </c>
      <c r="AZ551" s="124" t="s">
        <v>3</v>
      </c>
      <c r="BA551" s="124" t="s">
        <v>3</v>
      </c>
      <c r="BB551" s="124" t="s">
        <v>3</v>
      </c>
      <c r="BC551" s="124" t="s">
        <v>3</v>
      </c>
      <c r="BD551" s="124" t="s">
        <v>3</v>
      </c>
      <c r="BE551" s="124" t="s">
        <v>3</v>
      </c>
      <c r="BF551" s="124" t="s">
        <v>3</v>
      </c>
      <c r="BG551" s="124" t="s">
        <v>3</v>
      </c>
      <c r="BH551" s="124" t="s">
        <v>3</v>
      </c>
      <c r="BI551" s="124" t="s">
        <v>3</v>
      </c>
      <c r="BJ551" s="124" t="s">
        <v>3</v>
      </c>
      <c r="BK551" s="124" t="s">
        <v>3</v>
      </c>
      <c r="BL551" s="124" t="s">
        <v>3</v>
      </c>
      <c r="BM551" s="124" t="s">
        <v>3</v>
      </c>
      <c r="BN551" s="124" t="s">
        <v>3</v>
      </c>
      <c r="BO551" s="124" t="s">
        <v>3</v>
      </c>
      <c r="BP551" s="124" t="s">
        <v>3</v>
      </c>
      <c r="BQ551" s="124" t="s">
        <v>3</v>
      </c>
      <c r="BR551" s="124" t="s">
        <v>3</v>
      </c>
      <c r="BS551" s="124" t="s">
        <v>3</v>
      </c>
      <c r="BT551" s="124" t="s">
        <v>3</v>
      </c>
      <c r="BU551" s="124" t="s">
        <v>3</v>
      </c>
      <c r="BV551" s="124" t="s">
        <v>3</v>
      </c>
      <c r="BW551" s="124" t="s">
        <v>3</v>
      </c>
      <c r="BX551" s="124" t="s">
        <v>3</v>
      </c>
      <c r="BY551" s="124" t="s">
        <v>3</v>
      </c>
      <c r="BZ551" s="124" t="s">
        <v>3</v>
      </c>
      <c r="CA551" s="124" t="s">
        <v>3</v>
      </c>
      <c r="CB551" s="124" t="s">
        <v>3</v>
      </c>
      <c r="CC551" s="124" t="s">
        <v>3</v>
      </c>
      <c r="CD551" s="124" t="s">
        <v>3</v>
      </c>
      <c r="CE551" s="124" t="s">
        <v>3</v>
      </c>
      <c r="CF551" s="124" t="s">
        <v>3</v>
      </c>
      <c r="CG551" s="124" t="s">
        <v>3</v>
      </c>
      <c r="CH551" s="124" t="s">
        <v>3</v>
      </c>
      <c r="CI551" s="124" t="s">
        <v>3</v>
      </c>
      <c r="CJ551" s="124" t="s">
        <v>3</v>
      </c>
      <c r="CK551" s="124" t="s">
        <v>3</v>
      </c>
      <c r="CL551" s="124" t="s">
        <v>3</v>
      </c>
      <c r="CM551" s="124" t="s">
        <v>3</v>
      </c>
      <c r="CN551" s="124" t="s">
        <v>3</v>
      </c>
      <c r="CO551" s="124" t="s">
        <v>3</v>
      </c>
      <c r="CP551" s="124" t="s">
        <v>3</v>
      </c>
      <c r="CQ551" s="124" t="s">
        <v>3</v>
      </c>
      <c r="CR551" s="124" t="s">
        <v>3</v>
      </c>
      <c r="CS551" s="124" t="s">
        <v>3</v>
      </c>
      <c r="CT551" s="124" t="s">
        <v>3</v>
      </c>
      <c r="CU551" s="124" t="s">
        <v>3</v>
      </c>
      <c r="CV551" s="124" t="s">
        <v>3</v>
      </c>
      <c r="CW551" s="124" t="s">
        <v>3</v>
      </c>
      <c r="CX551" s="124" t="s">
        <v>3</v>
      </c>
      <c r="CY551" s="124" t="s">
        <v>3</v>
      </c>
      <c r="CZ551" s="124" t="s">
        <v>3</v>
      </c>
      <c r="DA551" s="124" t="s">
        <v>3</v>
      </c>
      <c r="DB551" s="124" t="s">
        <v>3</v>
      </c>
      <c r="DC551" s="124" t="s">
        <v>3</v>
      </c>
    </row>
    <row r="552" spans="1:107" ht="40" customHeight="1" x14ac:dyDescent="0.3">
      <c r="C552" s="412" t="s">
        <v>80</v>
      </c>
      <c r="D552" s="402"/>
      <c r="E552" s="403"/>
      <c r="G552" s="124" t="s">
        <v>3</v>
      </c>
      <c r="H552" s="124" t="s">
        <v>3</v>
      </c>
      <c r="I552" s="124" t="s">
        <v>3</v>
      </c>
      <c r="J552" s="124" t="s">
        <v>3</v>
      </c>
      <c r="K552" s="124" t="s">
        <v>3</v>
      </c>
      <c r="L552" s="124" t="s">
        <v>3</v>
      </c>
      <c r="M552" s="124" t="s">
        <v>3</v>
      </c>
      <c r="N552" s="124" t="s">
        <v>3</v>
      </c>
      <c r="O552" s="124" t="s">
        <v>3</v>
      </c>
      <c r="P552" s="124" t="s">
        <v>3</v>
      </c>
      <c r="Q552" s="124" t="s">
        <v>3</v>
      </c>
      <c r="R552" s="124" t="s">
        <v>3</v>
      </c>
      <c r="S552" s="124" t="s">
        <v>3</v>
      </c>
      <c r="T552" s="124" t="s">
        <v>3</v>
      </c>
      <c r="U552" s="124" t="s">
        <v>3</v>
      </c>
      <c r="V552" s="124" t="s">
        <v>3</v>
      </c>
      <c r="W552" s="124" t="s">
        <v>3</v>
      </c>
      <c r="X552" s="124" t="s">
        <v>3</v>
      </c>
      <c r="Y552" s="124" t="s">
        <v>3</v>
      </c>
      <c r="Z552" s="124" t="s">
        <v>3</v>
      </c>
      <c r="AA552" s="124" t="s">
        <v>3</v>
      </c>
      <c r="AB552" s="124" t="s">
        <v>3</v>
      </c>
      <c r="AC552" s="124" t="s">
        <v>3</v>
      </c>
      <c r="AD552" s="124" t="s">
        <v>3</v>
      </c>
      <c r="AE552" s="124" t="s">
        <v>3</v>
      </c>
      <c r="AF552" s="124" t="s">
        <v>3</v>
      </c>
      <c r="AG552" s="124" t="s">
        <v>3</v>
      </c>
      <c r="AH552" s="124" t="s">
        <v>3</v>
      </c>
      <c r="AI552" s="124" t="s">
        <v>3</v>
      </c>
      <c r="AJ552" s="124" t="s">
        <v>3</v>
      </c>
      <c r="AK552" s="124" t="s">
        <v>3</v>
      </c>
      <c r="AL552" s="124" t="s">
        <v>3</v>
      </c>
      <c r="AM552" s="124" t="s">
        <v>3</v>
      </c>
      <c r="AN552" s="124" t="s">
        <v>3</v>
      </c>
      <c r="AO552" s="124" t="s">
        <v>3</v>
      </c>
      <c r="AP552" s="124" t="s">
        <v>3</v>
      </c>
      <c r="AQ552" s="124" t="s">
        <v>3</v>
      </c>
      <c r="AR552" s="124" t="s">
        <v>3</v>
      </c>
      <c r="AS552" s="124" t="s">
        <v>3</v>
      </c>
      <c r="AT552" s="124" t="s">
        <v>3</v>
      </c>
      <c r="AU552" s="124" t="s">
        <v>3</v>
      </c>
      <c r="AV552" s="124" t="s">
        <v>3</v>
      </c>
      <c r="AW552" s="124" t="s">
        <v>3</v>
      </c>
      <c r="AX552" s="124" t="s">
        <v>3</v>
      </c>
      <c r="AY552" s="124" t="s">
        <v>3</v>
      </c>
      <c r="AZ552" s="124" t="s">
        <v>3</v>
      </c>
      <c r="BA552" s="124" t="s">
        <v>3</v>
      </c>
      <c r="BB552" s="124" t="s">
        <v>3</v>
      </c>
      <c r="BC552" s="124" t="s">
        <v>3</v>
      </c>
      <c r="BD552" s="124" t="s">
        <v>3</v>
      </c>
      <c r="BE552" s="124" t="s">
        <v>3</v>
      </c>
      <c r="BF552" s="124" t="s">
        <v>3</v>
      </c>
      <c r="BG552" s="124" t="s">
        <v>3</v>
      </c>
      <c r="BH552" s="124" t="s">
        <v>3</v>
      </c>
      <c r="BI552" s="124" t="s">
        <v>3</v>
      </c>
      <c r="BJ552" s="124" t="s">
        <v>3</v>
      </c>
      <c r="BK552" s="124" t="s">
        <v>3</v>
      </c>
      <c r="BL552" s="124" t="s">
        <v>3</v>
      </c>
      <c r="BM552" s="124" t="s">
        <v>3</v>
      </c>
      <c r="BN552" s="124" t="s">
        <v>3</v>
      </c>
      <c r="BO552" s="124" t="s">
        <v>3</v>
      </c>
      <c r="BP552" s="124" t="s">
        <v>3</v>
      </c>
      <c r="BQ552" s="124" t="s">
        <v>3</v>
      </c>
      <c r="BR552" s="124" t="s">
        <v>3</v>
      </c>
      <c r="BS552" s="124" t="s">
        <v>3</v>
      </c>
      <c r="BT552" s="124" t="s">
        <v>3</v>
      </c>
      <c r="BU552" s="124" t="s">
        <v>3</v>
      </c>
      <c r="BV552" s="124" t="s">
        <v>3</v>
      </c>
      <c r="BW552" s="124" t="s">
        <v>3</v>
      </c>
      <c r="BX552" s="124" t="s">
        <v>3</v>
      </c>
      <c r="BY552" s="124" t="s">
        <v>3</v>
      </c>
      <c r="BZ552" s="124" t="s">
        <v>3</v>
      </c>
      <c r="CA552" s="124" t="s">
        <v>3</v>
      </c>
      <c r="CB552" s="124" t="s">
        <v>3</v>
      </c>
      <c r="CC552" s="124" t="s">
        <v>3</v>
      </c>
      <c r="CD552" s="124" t="s">
        <v>3</v>
      </c>
      <c r="CE552" s="124" t="s">
        <v>3</v>
      </c>
      <c r="CF552" s="124" t="s">
        <v>3</v>
      </c>
      <c r="CG552" s="124" t="s">
        <v>3</v>
      </c>
      <c r="CH552" s="124" t="s">
        <v>3</v>
      </c>
      <c r="CI552" s="124" t="s">
        <v>3</v>
      </c>
      <c r="CJ552" s="124" t="s">
        <v>3</v>
      </c>
      <c r="CK552" s="124" t="s">
        <v>3</v>
      </c>
      <c r="CL552" s="124" t="s">
        <v>3</v>
      </c>
      <c r="CM552" s="124" t="s">
        <v>3</v>
      </c>
      <c r="CN552" s="124" t="s">
        <v>3</v>
      </c>
      <c r="CO552" s="124" t="s">
        <v>3</v>
      </c>
      <c r="CP552" s="124" t="s">
        <v>3</v>
      </c>
      <c r="CQ552" s="124" t="s">
        <v>3</v>
      </c>
      <c r="CR552" s="124" t="s">
        <v>3</v>
      </c>
      <c r="CS552" s="124" t="s">
        <v>3</v>
      </c>
      <c r="CT552" s="124" t="s">
        <v>3</v>
      </c>
      <c r="CU552" s="124" t="s">
        <v>3</v>
      </c>
      <c r="CV552" s="124" t="s">
        <v>3</v>
      </c>
      <c r="CW552" s="124" t="s">
        <v>3</v>
      </c>
      <c r="CX552" s="124" t="s">
        <v>3</v>
      </c>
      <c r="CY552" s="124" t="s">
        <v>3</v>
      </c>
      <c r="CZ552" s="124" t="s">
        <v>3</v>
      </c>
      <c r="DA552" s="124" t="s">
        <v>3</v>
      </c>
      <c r="DB552" s="124" t="s">
        <v>3</v>
      </c>
      <c r="DC552" s="124" t="s">
        <v>3</v>
      </c>
    </row>
    <row r="553" spans="1:107" ht="40" customHeight="1" x14ac:dyDescent="0.3">
      <c r="C553" s="412" t="s">
        <v>81</v>
      </c>
      <c r="D553" s="402"/>
      <c r="E553" s="403"/>
      <c r="G553" s="124" t="s">
        <v>3</v>
      </c>
      <c r="H553" s="124" t="s">
        <v>3</v>
      </c>
      <c r="I553" s="124" t="s">
        <v>3</v>
      </c>
      <c r="J553" s="124" t="s">
        <v>3</v>
      </c>
      <c r="K553" s="124" t="s">
        <v>3</v>
      </c>
      <c r="L553" s="124" t="s">
        <v>3</v>
      </c>
      <c r="M553" s="124" t="s">
        <v>3</v>
      </c>
      <c r="N553" s="124" t="s">
        <v>3</v>
      </c>
      <c r="O553" s="124" t="s">
        <v>3</v>
      </c>
      <c r="P553" s="124" t="s">
        <v>3</v>
      </c>
      <c r="Q553" s="124" t="s">
        <v>3</v>
      </c>
      <c r="R553" s="124" t="s">
        <v>3</v>
      </c>
      <c r="S553" s="124" t="s">
        <v>3</v>
      </c>
      <c r="T553" s="124" t="s">
        <v>3</v>
      </c>
      <c r="U553" s="124" t="s">
        <v>3</v>
      </c>
      <c r="V553" s="124" t="s">
        <v>3</v>
      </c>
      <c r="W553" s="124" t="s">
        <v>3</v>
      </c>
      <c r="X553" s="124" t="s">
        <v>3</v>
      </c>
      <c r="Y553" s="124" t="s">
        <v>3</v>
      </c>
      <c r="Z553" s="124" t="s">
        <v>3</v>
      </c>
      <c r="AA553" s="124" t="s">
        <v>3</v>
      </c>
      <c r="AB553" s="124" t="s">
        <v>3</v>
      </c>
      <c r="AC553" s="124" t="s">
        <v>3</v>
      </c>
      <c r="AD553" s="124" t="s">
        <v>3</v>
      </c>
      <c r="AE553" s="124" t="s">
        <v>3</v>
      </c>
      <c r="AF553" s="124" t="s">
        <v>3</v>
      </c>
      <c r="AG553" s="124" t="s">
        <v>3</v>
      </c>
      <c r="AH553" s="124" t="s">
        <v>3</v>
      </c>
      <c r="AI553" s="124" t="s">
        <v>3</v>
      </c>
      <c r="AJ553" s="124" t="s">
        <v>3</v>
      </c>
      <c r="AK553" s="124" t="s">
        <v>3</v>
      </c>
      <c r="AL553" s="124" t="s">
        <v>3</v>
      </c>
      <c r="AM553" s="124" t="s">
        <v>3</v>
      </c>
      <c r="AN553" s="124" t="s">
        <v>3</v>
      </c>
      <c r="AO553" s="124" t="s">
        <v>3</v>
      </c>
      <c r="AP553" s="124" t="s">
        <v>3</v>
      </c>
      <c r="AQ553" s="124" t="s">
        <v>3</v>
      </c>
      <c r="AR553" s="124" t="s">
        <v>3</v>
      </c>
      <c r="AS553" s="124" t="s">
        <v>3</v>
      </c>
      <c r="AT553" s="124" t="s">
        <v>3</v>
      </c>
      <c r="AU553" s="124" t="s">
        <v>3</v>
      </c>
      <c r="AV553" s="124" t="s">
        <v>3</v>
      </c>
      <c r="AW553" s="124" t="s">
        <v>3</v>
      </c>
      <c r="AX553" s="124" t="s">
        <v>3</v>
      </c>
      <c r="AY553" s="124" t="s">
        <v>3</v>
      </c>
      <c r="AZ553" s="124" t="s">
        <v>3</v>
      </c>
      <c r="BA553" s="124" t="s">
        <v>3</v>
      </c>
      <c r="BB553" s="124" t="s">
        <v>3</v>
      </c>
      <c r="BC553" s="124" t="s">
        <v>3</v>
      </c>
      <c r="BD553" s="124" t="s">
        <v>3</v>
      </c>
      <c r="BE553" s="124" t="s">
        <v>3</v>
      </c>
      <c r="BF553" s="124" t="s">
        <v>3</v>
      </c>
      <c r="BG553" s="124" t="s">
        <v>3</v>
      </c>
      <c r="BH553" s="124" t="s">
        <v>3</v>
      </c>
      <c r="BI553" s="124" t="s">
        <v>3</v>
      </c>
      <c r="BJ553" s="124" t="s">
        <v>3</v>
      </c>
      <c r="BK553" s="124" t="s">
        <v>3</v>
      </c>
      <c r="BL553" s="124" t="s">
        <v>3</v>
      </c>
      <c r="BM553" s="124" t="s">
        <v>3</v>
      </c>
      <c r="BN553" s="124" t="s">
        <v>3</v>
      </c>
      <c r="BO553" s="124" t="s">
        <v>3</v>
      </c>
      <c r="BP553" s="124" t="s">
        <v>3</v>
      </c>
      <c r="BQ553" s="124" t="s">
        <v>3</v>
      </c>
      <c r="BR553" s="124" t="s">
        <v>3</v>
      </c>
      <c r="BS553" s="124" t="s">
        <v>3</v>
      </c>
      <c r="BT553" s="124" t="s">
        <v>3</v>
      </c>
      <c r="BU553" s="124" t="s">
        <v>3</v>
      </c>
      <c r="BV553" s="124" t="s">
        <v>3</v>
      </c>
      <c r="BW553" s="124" t="s">
        <v>3</v>
      </c>
      <c r="BX553" s="124" t="s">
        <v>3</v>
      </c>
      <c r="BY553" s="124" t="s">
        <v>3</v>
      </c>
      <c r="BZ553" s="124" t="s">
        <v>3</v>
      </c>
      <c r="CA553" s="124" t="s">
        <v>3</v>
      </c>
      <c r="CB553" s="124" t="s">
        <v>3</v>
      </c>
      <c r="CC553" s="124" t="s">
        <v>3</v>
      </c>
      <c r="CD553" s="124" t="s">
        <v>3</v>
      </c>
      <c r="CE553" s="124" t="s">
        <v>3</v>
      </c>
      <c r="CF553" s="124" t="s">
        <v>3</v>
      </c>
      <c r="CG553" s="124" t="s">
        <v>3</v>
      </c>
      <c r="CH553" s="124" t="s">
        <v>3</v>
      </c>
      <c r="CI553" s="124" t="s">
        <v>3</v>
      </c>
      <c r="CJ553" s="124" t="s">
        <v>3</v>
      </c>
      <c r="CK553" s="124" t="s">
        <v>3</v>
      </c>
      <c r="CL553" s="124" t="s">
        <v>3</v>
      </c>
      <c r="CM553" s="124" t="s">
        <v>3</v>
      </c>
      <c r="CN553" s="124" t="s">
        <v>3</v>
      </c>
      <c r="CO553" s="124" t="s">
        <v>3</v>
      </c>
      <c r="CP553" s="124" t="s">
        <v>3</v>
      </c>
      <c r="CQ553" s="124" t="s">
        <v>3</v>
      </c>
      <c r="CR553" s="124" t="s">
        <v>3</v>
      </c>
      <c r="CS553" s="124" t="s">
        <v>3</v>
      </c>
      <c r="CT553" s="124" t="s">
        <v>3</v>
      </c>
      <c r="CU553" s="124" t="s">
        <v>3</v>
      </c>
      <c r="CV553" s="124" t="s">
        <v>3</v>
      </c>
      <c r="CW553" s="124" t="s">
        <v>3</v>
      </c>
      <c r="CX553" s="124" t="s">
        <v>3</v>
      </c>
      <c r="CY553" s="124" t="s">
        <v>3</v>
      </c>
      <c r="CZ553" s="124" t="s">
        <v>3</v>
      </c>
      <c r="DA553" s="124" t="s">
        <v>3</v>
      </c>
      <c r="DB553" s="124" t="s">
        <v>3</v>
      </c>
      <c r="DC553" s="124" t="s">
        <v>3</v>
      </c>
    </row>
    <row r="554" spans="1:107" x14ac:dyDescent="0.3">
      <c r="G554" s="203"/>
      <c r="K554" s="203"/>
      <c r="W554" s="203"/>
      <c r="AI554" s="203"/>
      <c r="AU554" s="203"/>
      <c r="BG554" s="203"/>
      <c r="BS554" s="203"/>
      <c r="CE554" s="203"/>
      <c r="CQ554" s="203"/>
      <c r="DC554" s="203"/>
    </row>
    <row r="555" spans="1:107" x14ac:dyDescent="0.3">
      <c r="G555" s="203"/>
      <c r="K555" s="203"/>
      <c r="W555" s="203"/>
      <c r="AI555" s="203"/>
      <c r="AU555" s="203"/>
      <c r="BG555" s="203"/>
      <c r="BS555" s="203"/>
      <c r="CE555" s="203"/>
      <c r="CQ555" s="203"/>
      <c r="DC555" s="203"/>
    </row>
    <row r="556" spans="1:107" x14ac:dyDescent="0.3">
      <c r="A556" s="319" t="s">
        <v>0</v>
      </c>
      <c r="B556" s="319" t="s">
        <v>0</v>
      </c>
      <c r="C556" s="166" t="s">
        <v>350</v>
      </c>
      <c r="D556" s="365"/>
      <c r="E556" s="365"/>
      <c r="F556" s="365"/>
      <c r="G556" s="365"/>
      <c r="H556" s="365"/>
      <c r="I556" s="365"/>
      <c r="J556" s="365"/>
      <c r="K556" s="365"/>
      <c r="L556" s="365"/>
      <c r="M556" s="365"/>
      <c r="N556" s="365"/>
      <c r="O556" s="365"/>
      <c r="P556" s="365"/>
      <c r="Q556" s="365"/>
      <c r="R556" s="365"/>
      <c r="S556" s="365"/>
      <c r="T556" s="365"/>
      <c r="U556" s="365"/>
      <c r="V556" s="365"/>
      <c r="W556" s="365"/>
      <c r="X556" s="365"/>
      <c r="Y556" s="365"/>
      <c r="Z556" s="365"/>
      <c r="AA556" s="365"/>
      <c r="AB556" s="365"/>
      <c r="AC556" s="365"/>
      <c r="AD556" s="365"/>
      <c r="AE556" s="365"/>
      <c r="AF556" s="365"/>
      <c r="AG556" s="365"/>
      <c r="AH556" s="365"/>
      <c r="AI556" s="365"/>
      <c r="AJ556" s="365"/>
      <c r="AK556" s="365"/>
      <c r="AL556" s="365"/>
      <c r="AM556" s="365"/>
      <c r="AN556" s="365"/>
      <c r="AO556" s="365"/>
      <c r="AP556" s="365"/>
      <c r="AQ556" s="365"/>
      <c r="AR556" s="365"/>
      <c r="AS556" s="365"/>
      <c r="AT556" s="365"/>
      <c r="AU556" s="365"/>
      <c r="AV556" s="365"/>
      <c r="AW556" s="365"/>
      <c r="AX556" s="365"/>
      <c r="AY556" s="365"/>
      <c r="AZ556" s="365"/>
      <c r="BA556" s="365"/>
      <c r="BB556" s="365"/>
      <c r="BC556" s="365"/>
      <c r="BD556" s="365"/>
      <c r="BE556" s="365"/>
      <c r="BF556" s="365"/>
      <c r="BG556" s="365"/>
      <c r="BH556" s="365"/>
      <c r="BI556" s="365"/>
      <c r="BJ556" s="365"/>
      <c r="BK556" s="365"/>
      <c r="BL556" s="365"/>
      <c r="BM556" s="365"/>
      <c r="BN556" s="365"/>
      <c r="BO556" s="365"/>
      <c r="BP556" s="365"/>
      <c r="BQ556" s="365"/>
      <c r="BR556" s="365"/>
      <c r="BS556" s="365"/>
      <c r="BT556" s="365"/>
      <c r="BU556" s="365"/>
      <c r="BV556" s="365"/>
      <c r="BW556" s="365"/>
      <c r="BX556" s="365"/>
      <c r="BY556" s="365"/>
      <c r="BZ556" s="365"/>
      <c r="CA556" s="365"/>
      <c r="CB556" s="365"/>
      <c r="CC556" s="365"/>
      <c r="CD556" s="365"/>
      <c r="CE556" s="365"/>
      <c r="CF556" s="365"/>
      <c r="CG556" s="365"/>
      <c r="CH556" s="365"/>
      <c r="CI556" s="365"/>
      <c r="CJ556" s="365"/>
      <c r="CK556" s="365"/>
      <c r="CL556" s="365"/>
      <c r="CM556" s="365"/>
      <c r="CN556" s="365"/>
      <c r="CO556" s="365"/>
      <c r="CP556" s="365"/>
      <c r="CQ556" s="365"/>
      <c r="CR556" s="365"/>
      <c r="CS556" s="365"/>
      <c r="CT556" s="365"/>
      <c r="CU556" s="365"/>
      <c r="CV556" s="365"/>
      <c r="CW556" s="365"/>
      <c r="CX556" s="365"/>
      <c r="CY556" s="365"/>
      <c r="CZ556" s="365"/>
      <c r="DA556" s="365"/>
      <c r="DB556" s="365"/>
      <c r="DC556" s="366"/>
    </row>
    <row r="557" spans="1:107" ht="5.15" customHeight="1" x14ac:dyDescent="0.3">
      <c r="G557" s="203"/>
      <c r="K557" s="203"/>
      <c r="W557" s="203"/>
      <c r="AI557" s="203"/>
      <c r="AU557" s="203"/>
      <c r="BG557" s="203"/>
      <c r="BS557" s="203"/>
      <c r="CE557" s="203"/>
      <c r="CQ557" s="203"/>
      <c r="DC557" s="203"/>
    </row>
    <row r="558" spans="1:107" x14ac:dyDescent="0.3">
      <c r="C558" s="101" t="s">
        <v>120</v>
      </c>
      <c r="G558" s="404">
        <f t="shared" ref="G558:AL558" si="7251">++G3-EOMONTH(G3,-12)</f>
        <v>365</v>
      </c>
      <c r="H558" s="194">
        <f t="shared" si="7251"/>
        <v>365</v>
      </c>
      <c r="I558" s="194">
        <f t="shared" si="7251"/>
        <v>365</v>
      </c>
      <c r="J558" s="194">
        <f t="shared" si="7251"/>
        <v>365</v>
      </c>
      <c r="K558" s="404">
        <f t="shared" si="7251"/>
        <v>365</v>
      </c>
      <c r="L558" s="194">
        <f t="shared" si="7251"/>
        <v>365</v>
      </c>
      <c r="M558" s="194">
        <f t="shared" si="7251"/>
        <v>366</v>
      </c>
      <c r="N558" s="194">
        <f t="shared" si="7251"/>
        <v>366</v>
      </c>
      <c r="O558" s="194">
        <f t="shared" si="7251"/>
        <v>366</v>
      </c>
      <c r="P558" s="194">
        <f t="shared" si="7251"/>
        <v>366</v>
      </c>
      <c r="Q558" s="194">
        <f t="shared" si="7251"/>
        <v>366</v>
      </c>
      <c r="R558" s="194">
        <f t="shared" si="7251"/>
        <v>366</v>
      </c>
      <c r="S558" s="194">
        <f t="shared" si="7251"/>
        <v>366</v>
      </c>
      <c r="T558" s="194">
        <f t="shared" si="7251"/>
        <v>366</v>
      </c>
      <c r="U558" s="194">
        <f t="shared" si="7251"/>
        <v>366</v>
      </c>
      <c r="V558" s="194">
        <f t="shared" si="7251"/>
        <v>366</v>
      </c>
      <c r="W558" s="404">
        <f t="shared" si="7251"/>
        <v>366</v>
      </c>
      <c r="X558" s="194">
        <f t="shared" si="7251"/>
        <v>366</v>
      </c>
      <c r="Y558" s="194">
        <f t="shared" si="7251"/>
        <v>365</v>
      </c>
      <c r="Z558" s="194">
        <f t="shared" si="7251"/>
        <v>365</v>
      </c>
      <c r="AA558" s="194">
        <f t="shared" si="7251"/>
        <v>365</v>
      </c>
      <c r="AB558" s="194">
        <f t="shared" si="7251"/>
        <v>365</v>
      </c>
      <c r="AC558" s="194">
        <f t="shared" si="7251"/>
        <v>365</v>
      </c>
      <c r="AD558" s="194">
        <f t="shared" si="7251"/>
        <v>365</v>
      </c>
      <c r="AE558" s="194">
        <f t="shared" si="7251"/>
        <v>365</v>
      </c>
      <c r="AF558" s="194">
        <f t="shared" si="7251"/>
        <v>365</v>
      </c>
      <c r="AG558" s="194">
        <f t="shared" si="7251"/>
        <v>365</v>
      </c>
      <c r="AH558" s="194">
        <f t="shared" si="7251"/>
        <v>365</v>
      </c>
      <c r="AI558" s="404">
        <f t="shared" si="7251"/>
        <v>365</v>
      </c>
      <c r="AJ558" s="194">
        <f t="shared" si="7251"/>
        <v>365</v>
      </c>
      <c r="AK558" s="194">
        <f t="shared" si="7251"/>
        <v>365</v>
      </c>
      <c r="AL558" s="194">
        <f t="shared" si="7251"/>
        <v>365</v>
      </c>
      <c r="AM558" s="194">
        <f t="shared" ref="AM558:BR558" si="7252">++AM3-EOMONTH(AM3,-12)</f>
        <v>365</v>
      </c>
      <c r="AN558" s="194">
        <f t="shared" si="7252"/>
        <v>365</v>
      </c>
      <c r="AO558" s="194">
        <f t="shared" si="7252"/>
        <v>365</v>
      </c>
      <c r="AP558" s="194">
        <f t="shared" si="7252"/>
        <v>365</v>
      </c>
      <c r="AQ558" s="194">
        <f t="shared" si="7252"/>
        <v>365</v>
      </c>
      <c r="AR558" s="194">
        <f t="shared" si="7252"/>
        <v>365</v>
      </c>
      <c r="AS558" s="194">
        <f t="shared" si="7252"/>
        <v>365</v>
      </c>
      <c r="AT558" s="194">
        <f t="shared" si="7252"/>
        <v>365</v>
      </c>
      <c r="AU558" s="404">
        <f t="shared" si="7252"/>
        <v>365</v>
      </c>
      <c r="AV558" s="194">
        <f t="shared" si="7252"/>
        <v>365</v>
      </c>
      <c r="AW558" s="194">
        <f t="shared" si="7252"/>
        <v>365</v>
      </c>
      <c r="AX558" s="194">
        <f t="shared" si="7252"/>
        <v>365</v>
      </c>
      <c r="AY558" s="194">
        <f t="shared" si="7252"/>
        <v>365</v>
      </c>
      <c r="AZ558" s="194">
        <f t="shared" si="7252"/>
        <v>365</v>
      </c>
      <c r="BA558" s="194">
        <f t="shared" si="7252"/>
        <v>365</v>
      </c>
      <c r="BB558" s="194">
        <f t="shared" si="7252"/>
        <v>365</v>
      </c>
      <c r="BC558" s="194">
        <f t="shared" si="7252"/>
        <v>365</v>
      </c>
      <c r="BD558" s="194">
        <f t="shared" si="7252"/>
        <v>365</v>
      </c>
      <c r="BE558" s="194">
        <f t="shared" si="7252"/>
        <v>365</v>
      </c>
      <c r="BF558" s="194">
        <f t="shared" si="7252"/>
        <v>365</v>
      </c>
      <c r="BG558" s="404">
        <f t="shared" si="7252"/>
        <v>365</v>
      </c>
      <c r="BH558" s="194">
        <f t="shared" si="7252"/>
        <v>365</v>
      </c>
      <c r="BI558" s="194">
        <f t="shared" si="7252"/>
        <v>366</v>
      </c>
      <c r="BJ558" s="194">
        <f t="shared" si="7252"/>
        <v>366</v>
      </c>
      <c r="BK558" s="194">
        <f t="shared" si="7252"/>
        <v>366</v>
      </c>
      <c r="BL558" s="194">
        <f t="shared" si="7252"/>
        <v>366</v>
      </c>
      <c r="BM558" s="194">
        <f t="shared" si="7252"/>
        <v>366</v>
      </c>
      <c r="BN558" s="194">
        <f t="shared" si="7252"/>
        <v>366</v>
      </c>
      <c r="BO558" s="194">
        <f t="shared" si="7252"/>
        <v>366</v>
      </c>
      <c r="BP558" s="194">
        <f t="shared" si="7252"/>
        <v>366</v>
      </c>
      <c r="BQ558" s="194">
        <f t="shared" si="7252"/>
        <v>366</v>
      </c>
      <c r="BR558" s="194">
        <f t="shared" si="7252"/>
        <v>366</v>
      </c>
      <c r="BS558" s="404">
        <f t="shared" ref="BS558:DC558" si="7253">++BS3-EOMONTH(BS3,-12)</f>
        <v>366</v>
      </c>
      <c r="BT558" s="194">
        <f t="shared" si="7253"/>
        <v>366</v>
      </c>
      <c r="BU558" s="194">
        <f t="shared" si="7253"/>
        <v>365</v>
      </c>
      <c r="BV558" s="194">
        <f t="shared" si="7253"/>
        <v>365</v>
      </c>
      <c r="BW558" s="194">
        <f t="shared" si="7253"/>
        <v>365</v>
      </c>
      <c r="BX558" s="194">
        <f t="shared" si="7253"/>
        <v>365</v>
      </c>
      <c r="BY558" s="194">
        <f t="shared" si="7253"/>
        <v>365</v>
      </c>
      <c r="BZ558" s="194">
        <f t="shared" si="7253"/>
        <v>365</v>
      </c>
      <c r="CA558" s="194">
        <f t="shared" si="7253"/>
        <v>365</v>
      </c>
      <c r="CB558" s="194">
        <f t="shared" si="7253"/>
        <v>365</v>
      </c>
      <c r="CC558" s="194">
        <f t="shared" si="7253"/>
        <v>365</v>
      </c>
      <c r="CD558" s="194">
        <f t="shared" si="7253"/>
        <v>365</v>
      </c>
      <c r="CE558" s="404">
        <f t="shared" si="7253"/>
        <v>365</v>
      </c>
      <c r="CF558" s="194">
        <f t="shared" si="7253"/>
        <v>365</v>
      </c>
      <c r="CG558" s="194">
        <f t="shared" si="7253"/>
        <v>365</v>
      </c>
      <c r="CH558" s="194">
        <f t="shared" si="7253"/>
        <v>365</v>
      </c>
      <c r="CI558" s="194">
        <f t="shared" si="7253"/>
        <v>365</v>
      </c>
      <c r="CJ558" s="194">
        <f t="shared" si="7253"/>
        <v>365</v>
      </c>
      <c r="CK558" s="194">
        <f t="shared" si="7253"/>
        <v>365</v>
      </c>
      <c r="CL558" s="194">
        <f t="shared" si="7253"/>
        <v>365</v>
      </c>
      <c r="CM558" s="194">
        <f t="shared" si="7253"/>
        <v>365</v>
      </c>
      <c r="CN558" s="194">
        <f t="shared" si="7253"/>
        <v>365</v>
      </c>
      <c r="CO558" s="194">
        <f t="shared" si="7253"/>
        <v>365</v>
      </c>
      <c r="CP558" s="194">
        <f t="shared" si="7253"/>
        <v>365</v>
      </c>
      <c r="CQ558" s="404">
        <f t="shared" si="7253"/>
        <v>365</v>
      </c>
      <c r="CR558" s="194">
        <f t="shared" si="7253"/>
        <v>365</v>
      </c>
      <c r="CS558" s="194">
        <f t="shared" si="7253"/>
        <v>365</v>
      </c>
      <c r="CT558" s="194">
        <f t="shared" si="7253"/>
        <v>365</v>
      </c>
      <c r="CU558" s="194">
        <f t="shared" si="7253"/>
        <v>365</v>
      </c>
      <c r="CV558" s="194">
        <f t="shared" si="7253"/>
        <v>365</v>
      </c>
      <c r="CW558" s="194">
        <f t="shared" si="7253"/>
        <v>365</v>
      </c>
      <c r="CX558" s="194">
        <f t="shared" si="7253"/>
        <v>365</v>
      </c>
      <c r="CY558" s="194">
        <f t="shared" si="7253"/>
        <v>365</v>
      </c>
      <c r="CZ558" s="194">
        <f t="shared" si="7253"/>
        <v>365</v>
      </c>
      <c r="DA558" s="194">
        <f t="shared" si="7253"/>
        <v>365</v>
      </c>
      <c r="DB558" s="194">
        <f t="shared" si="7253"/>
        <v>365</v>
      </c>
      <c r="DC558" s="404">
        <f t="shared" si="7253"/>
        <v>365</v>
      </c>
    </row>
    <row r="559" spans="1:107" x14ac:dyDescent="0.3">
      <c r="G559" s="203"/>
      <c r="K559" s="203"/>
      <c r="W559" s="203"/>
      <c r="AI559" s="203"/>
      <c r="AU559" s="203"/>
      <c r="BG559" s="203"/>
      <c r="BS559" s="203"/>
      <c r="CE559" s="203"/>
      <c r="CQ559" s="203"/>
      <c r="DC559" s="203"/>
    </row>
    <row r="560" spans="1:107" x14ac:dyDescent="0.3">
      <c r="C560" s="101" t="s">
        <v>649</v>
      </c>
      <c r="G560" s="375">
        <f t="shared" ref="G560:AL560" si="7254">++G157</f>
        <v>0</v>
      </c>
      <c r="H560" s="199">
        <f t="shared" si="7254"/>
        <v>0</v>
      </c>
      <c r="I560" s="199">
        <f t="shared" si="7254"/>
        <v>0</v>
      </c>
      <c r="J560" s="199">
        <f t="shared" si="7254"/>
        <v>0</v>
      </c>
      <c r="K560" s="375">
        <f t="shared" si="7254"/>
        <v>0</v>
      </c>
      <c r="L560" s="199">
        <f t="shared" si="7254"/>
        <v>0</v>
      </c>
      <c r="M560" s="199">
        <f t="shared" si="7254"/>
        <v>0</v>
      </c>
      <c r="N560" s="199">
        <f t="shared" si="7254"/>
        <v>0</v>
      </c>
      <c r="O560" s="199">
        <f t="shared" si="7254"/>
        <v>0</v>
      </c>
      <c r="P560" s="199">
        <f t="shared" si="7254"/>
        <v>0</v>
      </c>
      <c r="Q560" s="199">
        <f t="shared" si="7254"/>
        <v>0</v>
      </c>
      <c r="R560" s="199">
        <f t="shared" si="7254"/>
        <v>0</v>
      </c>
      <c r="S560" s="199">
        <f t="shared" si="7254"/>
        <v>0</v>
      </c>
      <c r="T560" s="199">
        <f t="shared" si="7254"/>
        <v>0</v>
      </c>
      <c r="U560" s="199">
        <f t="shared" si="7254"/>
        <v>0</v>
      </c>
      <c r="V560" s="199">
        <f t="shared" si="7254"/>
        <v>0</v>
      </c>
      <c r="W560" s="375">
        <f t="shared" si="7254"/>
        <v>0</v>
      </c>
      <c r="X560" s="199">
        <f t="shared" si="7254"/>
        <v>0</v>
      </c>
      <c r="Y560" s="199">
        <f t="shared" si="7254"/>
        <v>0</v>
      </c>
      <c r="Z560" s="199">
        <f t="shared" si="7254"/>
        <v>0</v>
      </c>
      <c r="AA560" s="199">
        <f t="shared" si="7254"/>
        <v>0</v>
      </c>
      <c r="AB560" s="199">
        <f t="shared" si="7254"/>
        <v>0</v>
      </c>
      <c r="AC560" s="199">
        <f t="shared" si="7254"/>
        <v>0</v>
      </c>
      <c r="AD560" s="199">
        <f t="shared" si="7254"/>
        <v>0</v>
      </c>
      <c r="AE560" s="199">
        <f t="shared" si="7254"/>
        <v>0</v>
      </c>
      <c r="AF560" s="199">
        <f t="shared" si="7254"/>
        <v>0</v>
      </c>
      <c r="AG560" s="199">
        <f t="shared" si="7254"/>
        <v>0</v>
      </c>
      <c r="AH560" s="199">
        <f t="shared" si="7254"/>
        <v>0</v>
      </c>
      <c r="AI560" s="375">
        <f t="shared" si="7254"/>
        <v>0</v>
      </c>
      <c r="AJ560" s="199">
        <f t="shared" si="7254"/>
        <v>0</v>
      </c>
      <c r="AK560" s="199">
        <f t="shared" si="7254"/>
        <v>0</v>
      </c>
      <c r="AL560" s="199">
        <f t="shared" si="7254"/>
        <v>0</v>
      </c>
      <c r="AM560" s="199">
        <f t="shared" ref="AM560:BR560" si="7255">++AM157</f>
        <v>0</v>
      </c>
      <c r="AN560" s="199">
        <f t="shared" si="7255"/>
        <v>0</v>
      </c>
      <c r="AO560" s="199">
        <f t="shared" si="7255"/>
        <v>0</v>
      </c>
      <c r="AP560" s="199">
        <f t="shared" si="7255"/>
        <v>0</v>
      </c>
      <c r="AQ560" s="199">
        <f t="shared" si="7255"/>
        <v>0</v>
      </c>
      <c r="AR560" s="199">
        <f t="shared" si="7255"/>
        <v>0</v>
      </c>
      <c r="AS560" s="199">
        <f t="shared" si="7255"/>
        <v>0</v>
      </c>
      <c r="AT560" s="199">
        <f t="shared" si="7255"/>
        <v>0</v>
      </c>
      <c r="AU560" s="375">
        <f t="shared" si="7255"/>
        <v>0</v>
      </c>
      <c r="AV560" s="199">
        <f t="shared" si="7255"/>
        <v>0</v>
      </c>
      <c r="AW560" s="199">
        <f t="shared" si="7255"/>
        <v>0</v>
      </c>
      <c r="AX560" s="199">
        <f t="shared" si="7255"/>
        <v>0</v>
      </c>
      <c r="AY560" s="199">
        <f t="shared" si="7255"/>
        <v>0</v>
      </c>
      <c r="AZ560" s="199">
        <f t="shared" si="7255"/>
        <v>0</v>
      </c>
      <c r="BA560" s="199">
        <f t="shared" si="7255"/>
        <v>0</v>
      </c>
      <c r="BB560" s="199">
        <f t="shared" si="7255"/>
        <v>0</v>
      </c>
      <c r="BC560" s="199">
        <f t="shared" si="7255"/>
        <v>0</v>
      </c>
      <c r="BD560" s="199">
        <f t="shared" si="7255"/>
        <v>0</v>
      </c>
      <c r="BE560" s="199">
        <f t="shared" si="7255"/>
        <v>0</v>
      </c>
      <c r="BF560" s="199">
        <f t="shared" si="7255"/>
        <v>0</v>
      </c>
      <c r="BG560" s="375">
        <f t="shared" si="7255"/>
        <v>0</v>
      </c>
      <c r="BH560" s="199">
        <f t="shared" si="7255"/>
        <v>0</v>
      </c>
      <c r="BI560" s="199">
        <f t="shared" si="7255"/>
        <v>0</v>
      </c>
      <c r="BJ560" s="199">
        <f t="shared" si="7255"/>
        <v>0</v>
      </c>
      <c r="BK560" s="199">
        <f t="shared" si="7255"/>
        <v>0</v>
      </c>
      <c r="BL560" s="199">
        <f t="shared" si="7255"/>
        <v>0</v>
      </c>
      <c r="BM560" s="199">
        <f t="shared" si="7255"/>
        <v>0</v>
      </c>
      <c r="BN560" s="199">
        <f t="shared" si="7255"/>
        <v>0</v>
      </c>
      <c r="BO560" s="199">
        <f t="shared" si="7255"/>
        <v>0</v>
      </c>
      <c r="BP560" s="199">
        <f t="shared" si="7255"/>
        <v>0</v>
      </c>
      <c r="BQ560" s="199">
        <f t="shared" si="7255"/>
        <v>0</v>
      </c>
      <c r="BR560" s="199">
        <f t="shared" si="7255"/>
        <v>0</v>
      </c>
      <c r="BS560" s="375">
        <f t="shared" ref="BS560:DC560" si="7256">++BS157</f>
        <v>0</v>
      </c>
      <c r="BT560" s="199">
        <f t="shared" si="7256"/>
        <v>0</v>
      </c>
      <c r="BU560" s="199">
        <f t="shared" si="7256"/>
        <v>0</v>
      </c>
      <c r="BV560" s="199">
        <f t="shared" si="7256"/>
        <v>0</v>
      </c>
      <c r="BW560" s="199">
        <f t="shared" si="7256"/>
        <v>0</v>
      </c>
      <c r="BX560" s="199">
        <f t="shared" si="7256"/>
        <v>0</v>
      </c>
      <c r="BY560" s="199">
        <f t="shared" si="7256"/>
        <v>0</v>
      </c>
      <c r="BZ560" s="199">
        <f t="shared" si="7256"/>
        <v>0</v>
      </c>
      <c r="CA560" s="199">
        <f t="shared" si="7256"/>
        <v>0</v>
      </c>
      <c r="CB560" s="199">
        <f t="shared" si="7256"/>
        <v>0</v>
      </c>
      <c r="CC560" s="199">
        <f t="shared" si="7256"/>
        <v>0</v>
      </c>
      <c r="CD560" s="199">
        <f t="shared" si="7256"/>
        <v>0</v>
      </c>
      <c r="CE560" s="375">
        <f t="shared" si="7256"/>
        <v>0</v>
      </c>
      <c r="CF560" s="199">
        <f t="shared" si="7256"/>
        <v>0</v>
      </c>
      <c r="CG560" s="199">
        <f t="shared" si="7256"/>
        <v>0</v>
      </c>
      <c r="CH560" s="199">
        <f t="shared" si="7256"/>
        <v>0</v>
      </c>
      <c r="CI560" s="199">
        <f t="shared" si="7256"/>
        <v>0</v>
      </c>
      <c r="CJ560" s="199">
        <f t="shared" si="7256"/>
        <v>0</v>
      </c>
      <c r="CK560" s="199">
        <f t="shared" si="7256"/>
        <v>0</v>
      </c>
      <c r="CL560" s="199">
        <f t="shared" si="7256"/>
        <v>0</v>
      </c>
      <c r="CM560" s="199">
        <f t="shared" si="7256"/>
        <v>0</v>
      </c>
      <c r="CN560" s="199">
        <f t="shared" si="7256"/>
        <v>0</v>
      </c>
      <c r="CO560" s="199">
        <f t="shared" si="7256"/>
        <v>0</v>
      </c>
      <c r="CP560" s="199">
        <f t="shared" si="7256"/>
        <v>0</v>
      </c>
      <c r="CQ560" s="375">
        <f t="shared" si="7256"/>
        <v>0</v>
      </c>
      <c r="CR560" s="199">
        <f t="shared" si="7256"/>
        <v>0</v>
      </c>
      <c r="CS560" s="199">
        <f t="shared" si="7256"/>
        <v>0</v>
      </c>
      <c r="CT560" s="199">
        <f t="shared" si="7256"/>
        <v>0</v>
      </c>
      <c r="CU560" s="199">
        <f t="shared" si="7256"/>
        <v>0</v>
      </c>
      <c r="CV560" s="199">
        <f t="shared" si="7256"/>
        <v>0</v>
      </c>
      <c r="CW560" s="199">
        <f t="shared" si="7256"/>
        <v>0</v>
      </c>
      <c r="CX560" s="199">
        <f t="shared" si="7256"/>
        <v>0</v>
      </c>
      <c r="CY560" s="199">
        <f t="shared" si="7256"/>
        <v>0</v>
      </c>
      <c r="CZ560" s="199">
        <f t="shared" si="7256"/>
        <v>0</v>
      </c>
      <c r="DA560" s="199">
        <f t="shared" si="7256"/>
        <v>0</v>
      </c>
      <c r="DB560" s="199">
        <f t="shared" si="7256"/>
        <v>0</v>
      </c>
      <c r="DC560" s="375">
        <f t="shared" si="7256"/>
        <v>0</v>
      </c>
    </row>
    <row r="561" spans="3:107" x14ac:dyDescent="0.3">
      <c r="C561" s="101" t="s">
        <v>650</v>
      </c>
      <c r="G561" s="374">
        <f t="shared" ref="G561:AL561" si="7257">++G157-G160</f>
        <v>0</v>
      </c>
      <c r="H561" s="200">
        <f t="shared" si="7257"/>
        <v>0</v>
      </c>
      <c r="I561" s="200">
        <f t="shared" si="7257"/>
        <v>0</v>
      </c>
      <c r="J561" s="200">
        <f t="shared" si="7257"/>
        <v>0</v>
      </c>
      <c r="K561" s="374">
        <f t="shared" si="7257"/>
        <v>0</v>
      </c>
      <c r="L561" s="200">
        <f t="shared" si="7257"/>
        <v>0</v>
      </c>
      <c r="M561" s="200">
        <f t="shared" si="7257"/>
        <v>0</v>
      </c>
      <c r="N561" s="200">
        <f t="shared" si="7257"/>
        <v>0</v>
      </c>
      <c r="O561" s="200">
        <f t="shared" si="7257"/>
        <v>0</v>
      </c>
      <c r="P561" s="200">
        <f t="shared" si="7257"/>
        <v>0</v>
      </c>
      <c r="Q561" s="200">
        <f t="shared" si="7257"/>
        <v>0</v>
      </c>
      <c r="R561" s="200">
        <f t="shared" si="7257"/>
        <v>0</v>
      </c>
      <c r="S561" s="200">
        <f t="shared" si="7257"/>
        <v>0</v>
      </c>
      <c r="T561" s="200">
        <f t="shared" si="7257"/>
        <v>0</v>
      </c>
      <c r="U561" s="200">
        <f t="shared" si="7257"/>
        <v>0</v>
      </c>
      <c r="V561" s="200">
        <f t="shared" si="7257"/>
        <v>0</v>
      </c>
      <c r="W561" s="374">
        <f t="shared" si="7257"/>
        <v>0</v>
      </c>
      <c r="X561" s="200">
        <f t="shared" si="7257"/>
        <v>0</v>
      </c>
      <c r="Y561" s="200">
        <f t="shared" si="7257"/>
        <v>0</v>
      </c>
      <c r="Z561" s="200">
        <f t="shared" si="7257"/>
        <v>0</v>
      </c>
      <c r="AA561" s="200">
        <f t="shared" si="7257"/>
        <v>0</v>
      </c>
      <c r="AB561" s="200">
        <f t="shared" si="7257"/>
        <v>0</v>
      </c>
      <c r="AC561" s="200">
        <f t="shared" si="7257"/>
        <v>0</v>
      </c>
      <c r="AD561" s="200">
        <f t="shared" si="7257"/>
        <v>0</v>
      </c>
      <c r="AE561" s="200">
        <f t="shared" si="7257"/>
        <v>0</v>
      </c>
      <c r="AF561" s="200">
        <f t="shared" si="7257"/>
        <v>0</v>
      </c>
      <c r="AG561" s="200">
        <f t="shared" si="7257"/>
        <v>0</v>
      </c>
      <c r="AH561" s="200">
        <f t="shared" si="7257"/>
        <v>0</v>
      </c>
      <c r="AI561" s="374">
        <f t="shared" si="7257"/>
        <v>0</v>
      </c>
      <c r="AJ561" s="200">
        <f t="shared" si="7257"/>
        <v>0</v>
      </c>
      <c r="AK561" s="200">
        <f t="shared" si="7257"/>
        <v>0</v>
      </c>
      <c r="AL561" s="200">
        <f t="shared" si="7257"/>
        <v>0</v>
      </c>
      <c r="AM561" s="200">
        <f t="shared" ref="AM561:BR561" si="7258">++AM157-AM160</f>
        <v>0</v>
      </c>
      <c r="AN561" s="200">
        <f t="shared" si="7258"/>
        <v>0</v>
      </c>
      <c r="AO561" s="200">
        <f t="shared" si="7258"/>
        <v>0</v>
      </c>
      <c r="AP561" s="200">
        <f t="shared" si="7258"/>
        <v>0</v>
      </c>
      <c r="AQ561" s="200">
        <f t="shared" si="7258"/>
        <v>0</v>
      </c>
      <c r="AR561" s="200">
        <f t="shared" si="7258"/>
        <v>0</v>
      </c>
      <c r="AS561" s="200">
        <f t="shared" si="7258"/>
        <v>0</v>
      </c>
      <c r="AT561" s="200">
        <f t="shared" si="7258"/>
        <v>0</v>
      </c>
      <c r="AU561" s="374">
        <f t="shared" si="7258"/>
        <v>0</v>
      </c>
      <c r="AV561" s="200">
        <f t="shared" si="7258"/>
        <v>0</v>
      </c>
      <c r="AW561" s="200">
        <f t="shared" si="7258"/>
        <v>0</v>
      </c>
      <c r="AX561" s="200">
        <f t="shared" si="7258"/>
        <v>0</v>
      </c>
      <c r="AY561" s="200">
        <f t="shared" si="7258"/>
        <v>0</v>
      </c>
      <c r="AZ561" s="200">
        <f t="shared" si="7258"/>
        <v>0</v>
      </c>
      <c r="BA561" s="200">
        <f t="shared" si="7258"/>
        <v>0</v>
      </c>
      <c r="BB561" s="200">
        <f t="shared" si="7258"/>
        <v>0</v>
      </c>
      <c r="BC561" s="200">
        <f t="shared" si="7258"/>
        <v>0</v>
      </c>
      <c r="BD561" s="200">
        <f t="shared" si="7258"/>
        <v>0</v>
      </c>
      <c r="BE561" s="200">
        <f t="shared" si="7258"/>
        <v>0</v>
      </c>
      <c r="BF561" s="200">
        <f t="shared" si="7258"/>
        <v>0</v>
      </c>
      <c r="BG561" s="374">
        <f t="shared" si="7258"/>
        <v>0</v>
      </c>
      <c r="BH561" s="200">
        <f t="shared" si="7258"/>
        <v>0</v>
      </c>
      <c r="BI561" s="200">
        <f t="shared" si="7258"/>
        <v>0</v>
      </c>
      <c r="BJ561" s="200">
        <f t="shared" si="7258"/>
        <v>0</v>
      </c>
      <c r="BK561" s="200">
        <f t="shared" si="7258"/>
        <v>0</v>
      </c>
      <c r="BL561" s="200">
        <f t="shared" si="7258"/>
        <v>0</v>
      </c>
      <c r="BM561" s="200">
        <f t="shared" si="7258"/>
        <v>0</v>
      </c>
      <c r="BN561" s="200">
        <f t="shared" si="7258"/>
        <v>0</v>
      </c>
      <c r="BO561" s="200">
        <f t="shared" si="7258"/>
        <v>0</v>
      </c>
      <c r="BP561" s="200">
        <f t="shared" si="7258"/>
        <v>0</v>
      </c>
      <c r="BQ561" s="200">
        <f t="shared" si="7258"/>
        <v>0</v>
      </c>
      <c r="BR561" s="200">
        <f t="shared" si="7258"/>
        <v>0</v>
      </c>
      <c r="BS561" s="374">
        <f t="shared" ref="BS561:DC561" si="7259">++BS157-BS160</f>
        <v>0</v>
      </c>
      <c r="BT561" s="200">
        <f t="shared" si="7259"/>
        <v>0</v>
      </c>
      <c r="BU561" s="200">
        <f t="shared" si="7259"/>
        <v>0</v>
      </c>
      <c r="BV561" s="200">
        <f t="shared" si="7259"/>
        <v>0</v>
      </c>
      <c r="BW561" s="200">
        <f t="shared" si="7259"/>
        <v>0</v>
      </c>
      <c r="BX561" s="200">
        <f t="shared" si="7259"/>
        <v>0</v>
      </c>
      <c r="BY561" s="200">
        <f t="shared" si="7259"/>
        <v>0</v>
      </c>
      <c r="BZ561" s="200">
        <f t="shared" si="7259"/>
        <v>0</v>
      </c>
      <c r="CA561" s="200">
        <f t="shared" si="7259"/>
        <v>0</v>
      </c>
      <c r="CB561" s="200">
        <f t="shared" si="7259"/>
        <v>0</v>
      </c>
      <c r="CC561" s="200">
        <f t="shared" si="7259"/>
        <v>0</v>
      </c>
      <c r="CD561" s="200">
        <f t="shared" si="7259"/>
        <v>0</v>
      </c>
      <c r="CE561" s="374">
        <f t="shared" si="7259"/>
        <v>0</v>
      </c>
      <c r="CF561" s="200">
        <f t="shared" si="7259"/>
        <v>0</v>
      </c>
      <c r="CG561" s="200">
        <f t="shared" si="7259"/>
        <v>0</v>
      </c>
      <c r="CH561" s="200">
        <f t="shared" si="7259"/>
        <v>0</v>
      </c>
      <c r="CI561" s="200">
        <f t="shared" si="7259"/>
        <v>0</v>
      </c>
      <c r="CJ561" s="200">
        <f t="shared" si="7259"/>
        <v>0</v>
      </c>
      <c r="CK561" s="200">
        <f t="shared" si="7259"/>
        <v>0</v>
      </c>
      <c r="CL561" s="200">
        <f t="shared" si="7259"/>
        <v>0</v>
      </c>
      <c r="CM561" s="200">
        <f t="shared" si="7259"/>
        <v>0</v>
      </c>
      <c r="CN561" s="200">
        <f t="shared" si="7259"/>
        <v>0</v>
      </c>
      <c r="CO561" s="200">
        <f t="shared" si="7259"/>
        <v>0</v>
      </c>
      <c r="CP561" s="200">
        <f t="shared" si="7259"/>
        <v>0</v>
      </c>
      <c r="CQ561" s="374">
        <f t="shared" si="7259"/>
        <v>0</v>
      </c>
      <c r="CR561" s="200">
        <f t="shared" si="7259"/>
        <v>0</v>
      </c>
      <c r="CS561" s="200">
        <f t="shared" si="7259"/>
        <v>0</v>
      </c>
      <c r="CT561" s="200">
        <f t="shared" si="7259"/>
        <v>0</v>
      </c>
      <c r="CU561" s="200">
        <f t="shared" si="7259"/>
        <v>0</v>
      </c>
      <c r="CV561" s="200">
        <f t="shared" si="7259"/>
        <v>0</v>
      </c>
      <c r="CW561" s="200">
        <f t="shared" si="7259"/>
        <v>0</v>
      </c>
      <c r="CX561" s="200">
        <f t="shared" si="7259"/>
        <v>0</v>
      </c>
      <c r="CY561" s="200">
        <f t="shared" si="7259"/>
        <v>0</v>
      </c>
      <c r="CZ561" s="200">
        <f t="shared" si="7259"/>
        <v>0</v>
      </c>
      <c r="DA561" s="200">
        <f t="shared" si="7259"/>
        <v>0</v>
      </c>
      <c r="DB561" s="200">
        <f t="shared" si="7259"/>
        <v>0</v>
      </c>
      <c r="DC561" s="374">
        <f t="shared" si="7259"/>
        <v>0</v>
      </c>
    </row>
    <row r="562" spans="3:107" x14ac:dyDescent="0.3">
      <c r="G562" s="203"/>
      <c r="K562" s="203"/>
      <c r="W562" s="203"/>
      <c r="AI562" s="203"/>
      <c r="AU562" s="203"/>
      <c r="BG562" s="203"/>
      <c r="BS562" s="203"/>
      <c r="CE562" s="203"/>
      <c r="CQ562" s="203"/>
      <c r="DC562" s="203"/>
    </row>
    <row r="563" spans="3:107" x14ac:dyDescent="0.3">
      <c r="C563" s="101" t="s">
        <v>121</v>
      </c>
      <c r="G563" s="45">
        <v>0</v>
      </c>
      <c r="H563" s="45">
        <v>0</v>
      </c>
      <c r="I563" s="45">
        <v>0</v>
      </c>
      <c r="J563" s="45">
        <v>0</v>
      </c>
      <c r="K563" s="45">
        <v>0</v>
      </c>
      <c r="L563" s="45">
        <v>0</v>
      </c>
      <c r="M563" s="45">
        <v>0</v>
      </c>
      <c r="N563" s="45">
        <v>0</v>
      </c>
      <c r="O563" s="45">
        <v>0</v>
      </c>
      <c r="P563" s="45">
        <v>0</v>
      </c>
      <c r="Q563" s="45">
        <v>0</v>
      </c>
      <c r="R563" s="45">
        <v>0</v>
      </c>
      <c r="S563" s="45">
        <v>0</v>
      </c>
      <c r="T563" s="45">
        <v>0</v>
      </c>
      <c r="U563" s="45">
        <v>0</v>
      </c>
      <c r="V563" s="45">
        <v>0</v>
      </c>
      <c r="W563" s="45">
        <v>0</v>
      </c>
      <c r="X563" s="45">
        <v>0</v>
      </c>
      <c r="Y563" s="45">
        <v>0</v>
      </c>
      <c r="Z563" s="45">
        <v>0</v>
      </c>
      <c r="AA563" s="45">
        <v>0</v>
      </c>
      <c r="AB563" s="45">
        <v>0</v>
      </c>
      <c r="AC563" s="45">
        <v>0</v>
      </c>
      <c r="AD563" s="45">
        <v>0</v>
      </c>
      <c r="AE563" s="45">
        <v>0</v>
      </c>
      <c r="AF563" s="45">
        <v>0</v>
      </c>
      <c r="AG563" s="45">
        <v>0</v>
      </c>
      <c r="AH563" s="45">
        <v>0</v>
      </c>
      <c r="AI563" s="45">
        <v>0</v>
      </c>
      <c r="AJ563" s="45">
        <v>0</v>
      </c>
      <c r="AK563" s="45">
        <v>0</v>
      </c>
      <c r="AL563" s="45">
        <v>0</v>
      </c>
      <c r="AM563" s="45">
        <v>0</v>
      </c>
      <c r="AN563" s="45">
        <v>0</v>
      </c>
      <c r="AO563" s="45">
        <v>0</v>
      </c>
      <c r="AP563" s="45">
        <v>0</v>
      </c>
      <c r="AQ563" s="45">
        <v>0</v>
      </c>
      <c r="AR563" s="45">
        <v>0</v>
      </c>
      <c r="AS563" s="45">
        <v>0</v>
      </c>
      <c r="AT563" s="45">
        <v>0</v>
      </c>
      <c r="AU563" s="45">
        <v>0</v>
      </c>
      <c r="AV563" s="45">
        <v>0</v>
      </c>
      <c r="AW563" s="45">
        <v>0</v>
      </c>
      <c r="AX563" s="45">
        <v>0</v>
      </c>
      <c r="AY563" s="45">
        <v>0</v>
      </c>
      <c r="AZ563" s="45">
        <v>0</v>
      </c>
      <c r="BA563" s="45">
        <v>0</v>
      </c>
      <c r="BB563" s="45">
        <v>0</v>
      </c>
      <c r="BC563" s="45">
        <v>0</v>
      </c>
      <c r="BD563" s="45">
        <v>0</v>
      </c>
      <c r="BE563" s="45">
        <v>0</v>
      </c>
      <c r="BF563" s="45">
        <v>0</v>
      </c>
      <c r="BG563" s="45">
        <v>0</v>
      </c>
      <c r="BH563" s="45">
        <v>0</v>
      </c>
      <c r="BI563" s="45">
        <v>0</v>
      </c>
      <c r="BJ563" s="45">
        <v>0</v>
      </c>
      <c r="BK563" s="45">
        <v>0</v>
      </c>
      <c r="BL563" s="45">
        <v>0</v>
      </c>
      <c r="BM563" s="45">
        <v>0</v>
      </c>
      <c r="BN563" s="45">
        <v>0</v>
      </c>
      <c r="BO563" s="45">
        <v>0</v>
      </c>
      <c r="BP563" s="45">
        <v>0</v>
      </c>
      <c r="BQ563" s="45">
        <v>0</v>
      </c>
      <c r="BR563" s="45">
        <v>0</v>
      </c>
      <c r="BS563" s="45">
        <v>0</v>
      </c>
      <c r="BT563" s="45">
        <v>0</v>
      </c>
      <c r="BU563" s="45">
        <v>0</v>
      </c>
      <c r="BV563" s="45">
        <v>0</v>
      </c>
      <c r="BW563" s="45">
        <v>0</v>
      </c>
      <c r="BX563" s="45">
        <v>0</v>
      </c>
      <c r="BY563" s="45">
        <v>0</v>
      </c>
      <c r="BZ563" s="45">
        <v>0</v>
      </c>
      <c r="CA563" s="45">
        <v>0</v>
      </c>
      <c r="CB563" s="45">
        <v>0</v>
      </c>
      <c r="CC563" s="45">
        <v>0</v>
      </c>
      <c r="CD563" s="45">
        <v>0</v>
      </c>
      <c r="CE563" s="45">
        <v>0</v>
      </c>
      <c r="CF563" s="45">
        <v>0</v>
      </c>
      <c r="CG563" s="45">
        <v>0</v>
      </c>
      <c r="CH563" s="45">
        <v>0</v>
      </c>
      <c r="CI563" s="45">
        <v>0</v>
      </c>
      <c r="CJ563" s="45">
        <v>0</v>
      </c>
      <c r="CK563" s="45">
        <v>0</v>
      </c>
      <c r="CL563" s="45">
        <v>0</v>
      </c>
      <c r="CM563" s="45">
        <v>0</v>
      </c>
      <c r="CN563" s="45">
        <v>0</v>
      </c>
      <c r="CO563" s="45">
        <v>0</v>
      </c>
      <c r="CP563" s="45">
        <v>0</v>
      </c>
      <c r="CQ563" s="45">
        <v>0</v>
      </c>
      <c r="CR563" s="45">
        <v>0</v>
      </c>
      <c r="CS563" s="45">
        <v>0</v>
      </c>
      <c r="CT563" s="45">
        <v>0</v>
      </c>
      <c r="CU563" s="45">
        <v>0</v>
      </c>
      <c r="CV563" s="45">
        <v>0</v>
      </c>
      <c r="CW563" s="45">
        <v>0</v>
      </c>
      <c r="CX563" s="45">
        <v>0</v>
      </c>
      <c r="CY563" s="45">
        <v>0</v>
      </c>
      <c r="CZ563" s="45">
        <v>0</v>
      </c>
      <c r="DA563" s="45">
        <v>0</v>
      </c>
      <c r="DB563" s="45">
        <v>0</v>
      </c>
      <c r="DC563" s="45">
        <v>0</v>
      </c>
    </row>
    <row r="564" spans="3:107" x14ac:dyDescent="0.3">
      <c r="C564" s="101" t="s">
        <v>526</v>
      </c>
      <c r="G564" s="45">
        <v>0</v>
      </c>
      <c r="H564" s="45">
        <v>0</v>
      </c>
      <c r="I564" s="45">
        <v>0</v>
      </c>
      <c r="J564" s="45">
        <v>0</v>
      </c>
      <c r="K564" s="45">
        <v>0</v>
      </c>
      <c r="L564" s="45">
        <v>0</v>
      </c>
      <c r="M564" s="45">
        <v>0</v>
      </c>
      <c r="N564" s="45">
        <v>0</v>
      </c>
      <c r="O564" s="45">
        <v>0</v>
      </c>
      <c r="P564" s="45">
        <v>0</v>
      </c>
      <c r="Q564" s="45">
        <v>0</v>
      </c>
      <c r="R564" s="45">
        <v>0</v>
      </c>
      <c r="S564" s="45">
        <v>0</v>
      </c>
      <c r="T564" s="45">
        <v>0</v>
      </c>
      <c r="U564" s="45">
        <v>0</v>
      </c>
      <c r="V564" s="45">
        <v>0</v>
      </c>
      <c r="W564" s="45">
        <v>0</v>
      </c>
      <c r="X564" s="45">
        <v>0</v>
      </c>
      <c r="Y564" s="45">
        <v>0</v>
      </c>
      <c r="Z564" s="45">
        <v>0</v>
      </c>
      <c r="AA564" s="45">
        <v>0</v>
      </c>
      <c r="AB564" s="45">
        <v>0</v>
      </c>
      <c r="AC564" s="45">
        <v>0</v>
      </c>
      <c r="AD564" s="45">
        <v>0</v>
      </c>
      <c r="AE564" s="45">
        <v>0</v>
      </c>
      <c r="AF564" s="45">
        <v>0</v>
      </c>
      <c r="AG564" s="45">
        <v>0</v>
      </c>
      <c r="AH564" s="45">
        <v>0</v>
      </c>
      <c r="AI564" s="45">
        <v>0</v>
      </c>
      <c r="AJ564" s="45">
        <v>0</v>
      </c>
      <c r="AK564" s="45">
        <v>0</v>
      </c>
      <c r="AL564" s="45">
        <v>0</v>
      </c>
      <c r="AM564" s="45">
        <v>0</v>
      </c>
      <c r="AN564" s="45">
        <v>0</v>
      </c>
      <c r="AO564" s="45">
        <v>0</v>
      </c>
      <c r="AP564" s="45">
        <v>0</v>
      </c>
      <c r="AQ564" s="45">
        <v>0</v>
      </c>
      <c r="AR564" s="45">
        <v>0</v>
      </c>
      <c r="AS564" s="45">
        <v>0</v>
      </c>
      <c r="AT564" s="45">
        <v>0</v>
      </c>
      <c r="AU564" s="45">
        <v>0</v>
      </c>
      <c r="AV564" s="45">
        <v>0</v>
      </c>
      <c r="AW564" s="45">
        <v>0</v>
      </c>
      <c r="AX564" s="45">
        <v>0</v>
      </c>
      <c r="AY564" s="45">
        <v>0</v>
      </c>
      <c r="AZ564" s="45">
        <v>0</v>
      </c>
      <c r="BA564" s="45">
        <v>0</v>
      </c>
      <c r="BB564" s="45">
        <v>0</v>
      </c>
      <c r="BC564" s="45">
        <v>0</v>
      </c>
      <c r="BD564" s="45">
        <v>0</v>
      </c>
      <c r="BE564" s="45">
        <v>0</v>
      </c>
      <c r="BF564" s="45">
        <v>0</v>
      </c>
      <c r="BG564" s="45">
        <v>0</v>
      </c>
      <c r="BH564" s="45">
        <v>0</v>
      </c>
      <c r="BI564" s="45">
        <v>0</v>
      </c>
      <c r="BJ564" s="45">
        <v>0</v>
      </c>
      <c r="BK564" s="45">
        <v>0</v>
      </c>
      <c r="BL564" s="45">
        <v>0</v>
      </c>
      <c r="BM564" s="45">
        <v>0</v>
      </c>
      <c r="BN564" s="45">
        <v>0</v>
      </c>
      <c r="BO564" s="45">
        <v>0</v>
      </c>
      <c r="BP564" s="45">
        <v>0</v>
      </c>
      <c r="BQ564" s="45">
        <v>0</v>
      </c>
      <c r="BR564" s="45">
        <v>0</v>
      </c>
      <c r="BS564" s="45">
        <v>0</v>
      </c>
      <c r="BT564" s="45">
        <v>0</v>
      </c>
      <c r="BU564" s="45">
        <v>0</v>
      </c>
      <c r="BV564" s="45">
        <v>0</v>
      </c>
      <c r="BW564" s="45">
        <v>0</v>
      </c>
      <c r="BX564" s="45">
        <v>0</v>
      </c>
      <c r="BY564" s="45">
        <v>0</v>
      </c>
      <c r="BZ564" s="45">
        <v>0</v>
      </c>
      <c r="CA564" s="45">
        <v>0</v>
      </c>
      <c r="CB564" s="45">
        <v>0</v>
      </c>
      <c r="CC564" s="45">
        <v>0</v>
      </c>
      <c r="CD564" s="45">
        <v>0</v>
      </c>
      <c r="CE564" s="45">
        <v>0</v>
      </c>
      <c r="CF564" s="45">
        <v>0</v>
      </c>
      <c r="CG564" s="45">
        <v>0</v>
      </c>
      <c r="CH564" s="45">
        <v>0</v>
      </c>
      <c r="CI564" s="45">
        <v>0</v>
      </c>
      <c r="CJ564" s="45">
        <v>0</v>
      </c>
      <c r="CK564" s="45">
        <v>0</v>
      </c>
      <c r="CL564" s="45">
        <v>0</v>
      </c>
      <c r="CM564" s="45">
        <v>0</v>
      </c>
      <c r="CN564" s="45">
        <v>0</v>
      </c>
      <c r="CO564" s="45">
        <v>0</v>
      </c>
      <c r="CP564" s="45">
        <v>0</v>
      </c>
      <c r="CQ564" s="45">
        <v>0</v>
      </c>
      <c r="CR564" s="45">
        <v>0</v>
      </c>
      <c r="CS564" s="45">
        <v>0</v>
      </c>
      <c r="CT564" s="45">
        <v>0</v>
      </c>
      <c r="CU564" s="45">
        <v>0</v>
      </c>
      <c r="CV564" s="45">
        <v>0</v>
      </c>
      <c r="CW564" s="45">
        <v>0</v>
      </c>
      <c r="CX564" s="45">
        <v>0</v>
      </c>
      <c r="CY564" s="45">
        <v>0</v>
      </c>
      <c r="CZ564" s="45">
        <v>0</v>
      </c>
      <c r="DA564" s="45">
        <v>0</v>
      </c>
      <c r="DB564" s="45">
        <v>0</v>
      </c>
      <c r="DC564" s="45">
        <v>0</v>
      </c>
    </row>
    <row r="565" spans="3:107" x14ac:dyDescent="0.3">
      <c r="C565" s="101" t="s">
        <v>122</v>
      </c>
      <c r="G565" s="45">
        <v>0</v>
      </c>
      <c r="H565" s="45">
        <v>0</v>
      </c>
      <c r="I565" s="45">
        <v>0</v>
      </c>
      <c r="J565" s="45">
        <v>0</v>
      </c>
      <c r="K565" s="45">
        <v>0</v>
      </c>
      <c r="L565" s="45">
        <v>0</v>
      </c>
      <c r="M565" s="45">
        <v>0</v>
      </c>
      <c r="N565" s="45">
        <v>0</v>
      </c>
      <c r="O565" s="45">
        <v>0</v>
      </c>
      <c r="P565" s="45">
        <v>0</v>
      </c>
      <c r="Q565" s="45">
        <v>0</v>
      </c>
      <c r="R565" s="45">
        <v>0</v>
      </c>
      <c r="S565" s="45">
        <v>0</v>
      </c>
      <c r="T565" s="45">
        <v>0</v>
      </c>
      <c r="U565" s="45">
        <v>0</v>
      </c>
      <c r="V565" s="45">
        <v>0</v>
      </c>
      <c r="W565" s="45">
        <v>0</v>
      </c>
      <c r="X565" s="45">
        <v>0</v>
      </c>
      <c r="Y565" s="45">
        <v>0</v>
      </c>
      <c r="Z565" s="45">
        <v>0</v>
      </c>
      <c r="AA565" s="45">
        <v>0</v>
      </c>
      <c r="AB565" s="45">
        <v>0</v>
      </c>
      <c r="AC565" s="45">
        <v>0</v>
      </c>
      <c r="AD565" s="45">
        <v>0</v>
      </c>
      <c r="AE565" s="45">
        <v>0</v>
      </c>
      <c r="AF565" s="45">
        <v>0</v>
      </c>
      <c r="AG565" s="45">
        <v>0</v>
      </c>
      <c r="AH565" s="45">
        <v>0</v>
      </c>
      <c r="AI565" s="45">
        <v>0</v>
      </c>
      <c r="AJ565" s="45">
        <v>0</v>
      </c>
      <c r="AK565" s="45">
        <v>0</v>
      </c>
      <c r="AL565" s="45">
        <v>0</v>
      </c>
      <c r="AM565" s="45">
        <v>0</v>
      </c>
      <c r="AN565" s="45">
        <v>0</v>
      </c>
      <c r="AO565" s="45">
        <v>0</v>
      </c>
      <c r="AP565" s="45">
        <v>0</v>
      </c>
      <c r="AQ565" s="45">
        <v>0</v>
      </c>
      <c r="AR565" s="45">
        <v>0</v>
      </c>
      <c r="AS565" s="45">
        <v>0</v>
      </c>
      <c r="AT565" s="45">
        <v>0</v>
      </c>
      <c r="AU565" s="45">
        <v>0</v>
      </c>
      <c r="AV565" s="45">
        <v>0</v>
      </c>
      <c r="AW565" s="45">
        <v>0</v>
      </c>
      <c r="AX565" s="45">
        <v>0</v>
      </c>
      <c r="AY565" s="45">
        <v>0</v>
      </c>
      <c r="AZ565" s="45">
        <v>0</v>
      </c>
      <c r="BA565" s="45">
        <v>0</v>
      </c>
      <c r="BB565" s="45">
        <v>0</v>
      </c>
      <c r="BC565" s="45">
        <v>0</v>
      </c>
      <c r="BD565" s="45">
        <v>0</v>
      </c>
      <c r="BE565" s="45">
        <v>0</v>
      </c>
      <c r="BF565" s="45">
        <v>0</v>
      </c>
      <c r="BG565" s="45">
        <v>0</v>
      </c>
      <c r="BH565" s="45">
        <v>0</v>
      </c>
      <c r="BI565" s="45">
        <v>0</v>
      </c>
      <c r="BJ565" s="45">
        <v>0</v>
      </c>
      <c r="BK565" s="45">
        <v>0</v>
      </c>
      <c r="BL565" s="45">
        <v>0</v>
      </c>
      <c r="BM565" s="45">
        <v>0</v>
      </c>
      <c r="BN565" s="45">
        <v>0</v>
      </c>
      <c r="BO565" s="45">
        <v>0</v>
      </c>
      <c r="BP565" s="45">
        <v>0</v>
      </c>
      <c r="BQ565" s="45">
        <v>0</v>
      </c>
      <c r="BR565" s="45">
        <v>0</v>
      </c>
      <c r="BS565" s="45">
        <v>0</v>
      </c>
      <c r="BT565" s="45">
        <v>0</v>
      </c>
      <c r="BU565" s="45">
        <v>0</v>
      </c>
      <c r="BV565" s="45">
        <v>0</v>
      </c>
      <c r="BW565" s="45">
        <v>0</v>
      </c>
      <c r="BX565" s="45">
        <v>0</v>
      </c>
      <c r="BY565" s="45">
        <v>0</v>
      </c>
      <c r="BZ565" s="45">
        <v>0</v>
      </c>
      <c r="CA565" s="45">
        <v>0</v>
      </c>
      <c r="CB565" s="45">
        <v>0</v>
      </c>
      <c r="CC565" s="45">
        <v>0</v>
      </c>
      <c r="CD565" s="45">
        <v>0</v>
      </c>
      <c r="CE565" s="45">
        <v>0</v>
      </c>
      <c r="CF565" s="45">
        <v>0</v>
      </c>
      <c r="CG565" s="45">
        <v>0</v>
      </c>
      <c r="CH565" s="45">
        <v>0</v>
      </c>
      <c r="CI565" s="45">
        <v>0</v>
      </c>
      <c r="CJ565" s="45">
        <v>0</v>
      </c>
      <c r="CK565" s="45">
        <v>0</v>
      </c>
      <c r="CL565" s="45">
        <v>0</v>
      </c>
      <c r="CM565" s="45">
        <v>0</v>
      </c>
      <c r="CN565" s="45">
        <v>0</v>
      </c>
      <c r="CO565" s="45">
        <v>0</v>
      </c>
      <c r="CP565" s="45">
        <v>0</v>
      </c>
      <c r="CQ565" s="45">
        <v>0</v>
      </c>
      <c r="CR565" s="45">
        <v>0</v>
      </c>
      <c r="CS565" s="45">
        <v>0</v>
      </c>
      <c r="CT565" s="45">
        <v>0</v>
      </c>
      <c r="CU565" s="45">
        <v>0</v>
      </c>
      <c r="CV565" s="45">
        <v>0</v>
      </c>
      <c r="CW565" s="45">
        <v>0</v>
      </c>
      <c r="CX565" s="45">
        <v>0</v>
      </c>
      <c r="CY565" s="45">
        <v>0</v>
      </c>
      <c r="CZ565" s="45">
        <v>0</v>
      </c>
      <c r="DA565" s="45">
        <v>0</v>
      </c>
      <c r="DB565" s="45">
        <v>0</v>
      </c>
      <c r="DC565" s="45">
        <v>0</v>
      </c>
    </row>
    <row r="566" spans="3:107" x14ac:dyDescent="0.3">
      <c r="C566" s="101" t="s">
        <v>527</v>
      </c>
      <c r="G566" s="45">
        <v>0</v>
      </c>
      <c r="H566" s="45">
        <v>0</v>
      </c>
      <c r="I566" s="45">
        <v>0</v>
      </c>
      <c r="J566" s="45">
        <v>0</v>
      </c>
      <c r="K566" s="45">
        <v>0</v>
      </c>
      <c r="L566" s="45">
        <v>0</v>
      </c>
      <c r="M566" s="45">
        <v>0</v>
      </c>
      <c r="N566" s="45">
        <v>0</v>
      </c>
      <c r="O566" s="45">
        <v>0</v>
      </c>
      <c r="P566" s="45">
        <v>0</v>
      </c>
      <c r="Q566" s="45">
        <v>0</v>
      </c>
      <c r="R566" s="45">
        <v>0</v>
      </c>
      <c r="S566" s="45">
        <v>0</v>
      </c>
      <c r="T566" s="45">
        <v>0</v>
      </c>
      <c r="U566" s="45">
        <v>0</v>
      </c>
      <c r="V566" s="45">
        <v>0</v>
      </c>
      <c r="W566" s="45">
        <v>0</v>
      </c>
      <c r="X566" s="45">
        <v>0</v>
      </c>
      <c r="Y566" s="45">
        <v>0</v>
      </c>
      <c r="Z566" s="45">
        <v>0</v>
      </c>
      <c r="AA566" s="45">
        <v>0</v>
      </c>
      <c r="AB566" s="45">
        <v>0</v>
      </c>
      <c r="AC566" s="45">
        <v>0</v>
      </c>
      <c r="AD566" s="45">
        <v>0</v>
      </c>
      <c r="AE566" s="45">
        <v>0</v>
      </c>
      <c r="AF566" s="45">
        <v>0</v>
      </c>
      <c r="AG566" s="45">
        <v>0</v>
      </c>
      <c r="AH566" s="45">
        <v>0</v>
      </c>
      <c r="AI566" s="45">
        <v>0</v>
      </c>
      <c r="AJ566" s="45">
        <v>0</v>
      </c>
      <c r="AK566" s="45">
        <v>0</v>
      </c>
      <c r="AL566" s="45">
        <v>0</v>
      </c>
      <c r="AM566" s="45">
        <v>0</v>
      </c>
      <c r="AN566" s="45">
        <v>0</v>
      </c>
      <c r="AO566" s="45">
        <v>0</v>
      </c>
      <c r="AP566" s="45">
        <v>0</v>
      </c>
      <c r="AQ566" s="45">
        <v>0</v>
      </c>
      <c r="AR566" s="45">
        <v>0</v>
      </c>
      <c r="AS566" s="45">
        <v>0</v>
      </c>
      <c r="AT566" s="45">
        <v>0</v>
      </c>
      <c r="AU566" s="45">
        <v>0</v>
      </c>
      <c r="AV566" s="45">
        <v>0</v>
      </c>
      <c r="AW566" s="45">
        <v>0</v>
      </c>
      <c r="AX566" s="45">
        <v>0</v>
      </c>
      <c r="AY566" s="45">
        <v>0</v>
      </c>
      <c r="AZ566" s="45">
        <v>0</v>
      </c>
      <c r="BA566" s="45">
        <v>0</v>
      </c>
      <c r="BB566" s="45">
        <v>0</v>
      </c>
      <c r="BC566" s="45">
        <v>0</v>
      </c>
      <c r="BD566" s="45">
        <v>0</v>
      </c>
      <c r="BE566" s="45">
        <v>0</v>
      </c>
      <c r="BF566" s="45">
        <v>0</v>
      </c>
      <c r="BG566" s="45">
        <v>0</v>
      </c>
      <c r="BH566" s="45">
        <v>0</v>
      </c>
      <c r="BI566" s="45">
        <v>0</v>
      </c>
      <c r="BJ566" s="45">
        <v>0</v>
      </c>
      <c r="BK566" s="45">
        <v>0</v>
      </c>
      <c r="BL566" s="45">
        <v>0</v>
      </c>
      <c r="BM566" s="45">
        <v>0</v>
      </c>
      <c r="BN566" s="45">
        <v>0</v>
      </c>
      <c r="BO566" s="45">
        <v>0</v>
      </c>
      <c r="BP566" s="45">
        <v>0</v>
      </c>
      <c r="BQ566" s="45">
        <v>0</v>
      </c>
      <c r="BR566" s="45">
        <v>0</v>
      </c>
      <c r="BS566" s="45">
        <v>0</v>
      </c>
      <c r="BT566" s="45">
        <v>0</v>
      </c>
      <c r="BU566" s="45">
        <v>0</v>
      </c>
      <c r="BV566" s="45">
        <v>0</v>
      </c>
      <c r="BW566" s="45">
        <v>0</v>
      </c>
      <c r="BX566" s="45">
        <v>0</v>
      </c>
      <c r="BY566" s="45">
        <v>0</v>
      </c>
      <c r="BZ566" s="45">
        <v>0</v>
      </c>
      <c r="CA566" s="45">
        <v>0</v>
      </c>
      <c r="CB566" s="45">
        <v>0</v>
      </c>
      <c r="CC566" s="45">
        <v>0</v>
      </c>
      <c r="CD566" s="45">
        <v>0</v>
      </c>
      <c r="CE566" s="45">
        <v>0</v>
      </c>
      <c r="CF566" s="45">
        <v>0</v>
      </c>
      <c r="CG566" s="45">
        <v>0</v>
      </c>
      <c r="CH566" s="45">
        <v>0</v>
      </c>
      <c r="CI566" s="45">
        <v>0</v>
      </c>
      <c r="CJ566" s="45">
        <v>0</v>
      </c>
      <c r="CK566" s="45">
        <v>0</v>
      </c>
      <c r="CL566" s="45">
        <v>0</v>
      </c>
      <c r="CM566" s="45">
        <v>0</v>
      </c>
      <c r="CN566" s="45">
        <v>0</v>
      </c>
      <c r="CO566" s="45">
        <v>0</v>
      </c>
      <c r="CP566" s="45">
        <v>0</v>
      </c>
      <c r="CQ566" s="45">
        <v>0</v>
      </c>
      <c r="CR566" s="45">
        <v>0</v>
      </c>
      <c r="CS566" s="45">
        <v>0</v>
      </c>
      <c r="CT566" s="45">
        <v>0</v>
      </c>
      <c r="CU566" s="45">
        <v>0</v>
      </c>
      <c r="CV566" s="45">
        <v>0</v>
      </c>
      <c r="CW566" s="45">
        <v>0</v>
      </c>
      <c r="CX566" s="45">
        <v>0</v>
      </c>
      <c r="CY566" s="45">
        <v>0</v>
      </c>
      <c r="CZ566" s="45">
        <v>0</v>
      </c>
      <c r="DA566" s="45">
        <v>0</v>
      </c>
      <c r="DB566" s="45">
        <v>0</v>
      </c>
      <c r="DC566" s="45">
        <v>0</v>
      </c>
    </row>
    <row r="567" spans="3:107" x14ac:dyDescent="0.3">
      <c r="C567" s="231" t="s">
        <v>123</v>
      </c>
      <c r="D567" s="191"/>
      <c r="E567" s="191"/>
      <c r="G567" s="239">
        <f t="shared" ref="G567:AL567" si="7260">SUM(G563:G566)</f>
        <v>0</v>
      </c>
      <c r="H567" s="232">
        <f t="shared" si="7260"/>
        <v>0</v>
      </c>
      <c r="I567" s="232">
        <f t="shared" si="7260"/>
        <v>0</v>
      </c>
      <c r="J567" s="232">
        <f t="shared" si="7260"/>
        <v>0</v>
      </c>
      <c r="K567" s="239">
        <f t="shared" si="7260"/>
        <v>0</v>
      </c>
      <c r="L567" s="232">
        <f t="shared" si="7260"/>
        <v>0</v>
      </c>
      <c r="M567" s="232">
        <f t="shared" si="7260"/>
        <v>0</v>
      </c>
      <c r="N567" s="232">
        <f t="shared" si="7260"/>
        <v>0</v>
      </c>
      <c r="O567" s="232">
        <f t="shared" si="7260"/>
        <v>0</v>
      </c>
      <c r="P567" s="232">
        <f t="shared" si="7260"/>
        <v>0</v>
      </c>
      <c r="Q567" s="232">
        <f t="shared" si="7260"/>
        <v>0</v>
      </c>
      <c r="R567" s="232">
        <f t="shared" si="7260"/>
        <v>0</v>
      </c>
      <c r="S567" s="232">
        <f t="shared" si="7260"/>
        <v>0</v>
      </c>
      <c r="T567" s="232">
        <f t="shared" si="7260"/>
        <v>0</v>
      </c>
      <c r="U567" s="232">
        <f t="shared" si="7260"/>
        <v>0</v>
      </c>
      <c r="V567" s="232">
        <f t="shared" si="7260"/>
        <v>0</v>
      </c>
      <c r="W567" s="239">
        <f t="shared" si="7260"/>
        <v>0</v>
      </c>
      <c r="X567" s="232">
        <f t="shared" si="7260"/>
        <v>0</v>
      </c>
      <c r="Y567" s="232">
        <f t="shared" si="7260"/>
        <v>0</v>
      </c>
      <c r="Z567" s="232">
        <f t="shared" si="7260"/>
        <v>0</v>
      </c>
      <c r="AA567" s="232">
        <f t="shared" si="7260"/>
        <v>0</v>
      </c>
      <c r="AB567" s="232">
        <f t="shared" si="7260"/>
        <v>0</v>
      </c>
      <c r="AC567" s="232">
        <f t="shared" si="7260"/>
        <v>0</v>
      </c>
      <c r="AD567" s="232">
        <f t="shared" si="7260"/>
        <v>0</v>
      </c>
      <c r="AE567" s="232">
        <f t="shared" si="7260"/>
        <v>0</v>
      </c>
      <c r="AF567" s="232">
        <f t="shared" si="7260"/>
        <v>0</v>
      </c>
      <c r="AG567" s="232">
        <f t="shared" si="7260"/>
        <v>0</v>
      </c>
      <c r="AH567" s="232">
        <f t="shared" si="7260"/>
        <v>0</v>
      </c>
      <c r="AI567" s="239">
        <f t="shared" si="7260"/>
        <v>0</v>
      </c>
      <c r="AJ567" s="232">
        <f t="shared" si="7260"/>
        <v>0</v>
      </c>
      <c r="AK567" s="232">
        <f t="shared" si="7260"/>
        <v>0</v>
      </c>
      <c r="AL567" s="232">
        <f t="shared" si="7260"/>
        <v>0</v>
      </c>
      <c r="AM567" s="232">
        <f t="shared" ref="AM567:BR567" si="7261">SUM(AM563:AM566)</f>
        <v>0</v>
      </c>
      <c r="AN567" s="232">
        <f t="shared" si="7261"/>
        <v>0</v>
      </c>
      <c r="AO567" s="232">
        <f t="shared" si="7261"/>
        <v>0</v>
      </c>
      <c r="AP567" s="232">
        <f t="shared" si="7261"/>
        <v>0</v>
      </c>
      <c r="AQ567" s="232">
        <f t="shared" si="7261"/>
        <v>0</v>
      </c>
      <c r="AR567" s="232">
        <f t="shared" si="7261"/>
        <v>0</v>
      </c>
      <c r="AS567" s="232">
        <f t="shared" si="7261"/>
        <v>0</v>
      </c>
      <c r="AT567" s="232">
        <f t="shared" si="7261"/>
        <v>0</v>
      </c>
      <c r="AU567" s="239">
        <f t="shared" si="7261"/>
        <v>0</v>
      </c>
      <c r="AV567" s="232">
        <f t="shared" si="7261"/>
        <v>0</v>
      </c>
      <c r="AW567" s="232">
        <f t="shared" si="7261"/>
        <v>0</v>
      </c>
      <c r="AX567" s="232">
        <f t="shared" si="7261"/>
        <v>0</v>
      </c>
      <c r="AY567" s="232">
        <f t="shared" si="7261"/>
        <v>0</v>
      </c>
      <c r="AZ567" s="232">
        <f t="shared" si="7261"/>
        <v>0</v>
      </c>
      <c r="BA567" s="232">
        <f t="shared" si="7261"/>
        <v>0</v>
      </c>
      <c r="BB567" s="232">
        <f t="shared" si="7261"/>
        <v>0</v>
      </c>
      <c r="BC567" s="232">
        <f t="shared" si="7261"/>
        <v>0</v>
      </c>
      <c r="BD567" s="232">
        <f t="shared" si="7261"/>
        <v>0</v>
      </c>
      <c r="BE567" s="232">
        <f t="shared" si="7261"/>
        <v>0</v>
      </c>
      <c r="BF567" s="232">
        <f t="shared" si="7261"/>
        <v>0</v>
      </c>
      <c r="BG567" s="239">
        <f t="shared" si="7261"/>
        <v>0</v>
      </c>
      <c r="BH567" s="232">
        <f t="shared" si="7261"/>
        <v>0</v>
      </c>
      <c r="BI567" s="232">
        <f t="shared" si="7261"/>
        <v>0</v>
      </c>
      <c r="BJ567" s="232">
        <f t="shared" si="7261"/>
        <v>0</v>
      </c>
      <c r="BK567" s="232">
        <f t="shared" si="7261"/>
        <v>0</v>
      </c>
      <c r="BL567" s="232">
        <f t="shared" si="7261"/>
        <v>0</v>
      </c>
      <c r="BM567" s="232">
        <f t="shared" si="7261"/>
        <v>0</v>
      </c>
      <c r="BN567" s="232">
        <f t="shared" si="7261"/>
        <v>0</v>
      </c>
      <c r="BO567" s="232">
        <f t="shared" si="7261"/>
        <v>0</v>
      </c>
      <c r="BP567" s="232">
        <f t="shared" si="7261"/>
        <v>0</v>
      </c>
      <c r="BQ567" s="232">
        <f t="shared" si="7261"/>
        <v>0</v>
      </c>
      <c r="BR567" s="232">
        <f t="shared" si="7261"/>
        <v>0</v>
      </c>
      <c r="BS567" s="239">
        <f t="shared" ref="BS567:CX567" si="7262">SUM(BS563:BS566)</f>
        <v>0</v>
      </c>
      <c r="BT567" s="232">
        <f t="shared" si="7262"/>
        <v>0</v>
      </c>
      <c r="BU567" s="232">
        <f t="shared" si="7262"/>
        <v>0</v>
      </c>
      <c r="BV567" s="232">
        <f t="shared" si="7262"/>
        <v>0</v>
      </c>
      <c r="BW567" s="232">
        <f t="shared" si="7262"/>
        <v>0</v>
      </c>
      <c r="BX567" s="232">
        <f t="shared" si="7262"/>
        <v>0</v>
      </c>
      <c r="BY567" s="232">
        <f t="shared" si="7262"/>
        <v>0</v>
      </c>
      <c r="BZ567" s="232">
        <f t="shared" si="7262"/>
        <v>0</v>
      </c>
      <c r="CA567" s="232">
        <f t="shared" si="7262"/>
        <v>0</v>
      </c>
      <c r="CB567" s="232">
        <f t="shared" si="7262"/>
        <v>0</v>
      </c>
      <c r="CC567" s="232">
        <f t="shared" si="7262"/>
        <v>0</v>
      </c>
      <c r="CD567" s="232">
        <f t="shared" si="7262"/>
        <v>0</v>
      </c>
      <c r="CE567" s="239">
        <f t="shared" si="7262"/>
        <v>0</v>
      </c>
      <c r="CF567" s="232">
        <f t="shared" si="7262"/>
        <v>0</v>
      </c>
      <c r="CG567" s="232">
        <f t="shared" si="7262"/>
        <v>0</v>
      </c>
      <c r="CH567" s="232">
        <f t="shared" si="7262"/>
        <v>0</v>
      </c>
      <c r="CI567" s="232">
        <f t="shared" si="7262"/>
        <v>0</v>
      </c>
      <c r="CJ567" s="232">
        <f t="shared" si="7262"/>
        <v>0</v>
      </c>
      <c r="CK567" s="232">
        <f t="shared" si="7262"/>
        <v>0</v>
      </c>
      <c r="CL567" s="232">
        <f t="shared" si="7262"/>
        <v>0</v>
      </c>
      <c r="CM567" s="232">
        <f t="shared" si="7262"/>
        <v>0</v>
      </c>
      <c r="CN567" s="232">
        <f t="shared" si="7262"/>
        <v>0</v>
      </c>
      <c r="CO567" s="232">
        <f t="shared" si="7262"/>
        <v>0</v>
      </c>
      <c r="CP567" s="232">
        <f t="shared" si="7262"/>
        <v>0</v>
      </c>
      <c r="CQ567" s="239">
        <f t="shared" si="7262"/>
        <v>0</v>
      </c>
      <c r="CR567" s="232">
        <f t="shared" si="7262"/>
        <v>0</v>
      </c>
      <c r="CS567" s="232">
        <f t="shared" si="7262"/>
        <v>0</v>
      </c>
      <c r="CT567" s="232">
        <f t="shared" si="7262"/>
        <v>0</v>
      </c>
      <c r="CU567" s="232">
        <f t="shared" si="7262"/>
        <v>0</v>
      </c>
      <c r="CV567" s="232">
        <f t="shared" si="7262"/>
        <v>0</v>
      </c>
      <c r="CW567" s="232">
        <f t="shared" si="7262"/>
        <v>0</v>
      </c>
      <c r="CX567" s="232">
        <f t="shared" si="7262"/>
        <v>0</v>
      </c>
      <c r="CY567" s="232">
        <f t="shared" ref="CY567:DC567" si="7263">SUM(CY563:CY566)</f>
        <v>0</v>
      </c>
      <c r="CZ567" s="232">
        <f t="shared" si="7263"/>
        <v>0</v>
      </c>
      <c r="DA567" s="232">
        <f t="shared" si="7263"/>
        <v>0</v>
      </c>
      <c r="DB567" s="232">
        <f t="shared" si="7263"/>
        <v>0</v>
      </c>
      <c r="DC567" s="239">
        <f t="shared" si="7263"/>
        <v>0</v>
      </c>
    </row>
    <row r="568" spans="3:107" x14ac:dyDescent="0.3">
      <c r="G568" s="203"/>
      <c r="K568" s="203"/>
      <c r="W568" s="203"/>
      <c r="AI568" s="203"/>
      <c r="AU568" s="203"/>
      <c r="BG568" s="203"/>
      <c r="BS568" s="203"/>
      <c r="CE568" s="203"/>
      <c r="CQ568" s="203"/>
      <c r="DC568" s="203"/>
    </row>
    <row r="569" spans="3:107" x14ac:dyDescent="0.3">
      <c r="C569" s="101" t="s">
        <v>124</v>
      </c>
      <c r="G569" s="45">
        <v>0</v>
      </c>
      <c r="H569" s="45">
        <v>0</v>
      </c>
      <c r="I569" s="45">
        <v>0</v>
      </c>
      <c r="J569" s="45">
        <v>0</v>
      </c>
      <c r="K569" s="45">
        <v>0</v>
      </c>
      <c r="L569" s="45">
        <v>0</v>
      </c>
      <c r="M569" s="45">
        <v>0</v>
      </c>
      <c r="N569" s="45">
        <v>0</v>
      </c>
      <c r="O569" s="45">
        <v>0</v>
      </c>
      <c r="P569" s="45">
        <v>0</v>
      </c>
      <c r="Q569" s="45">
        <v>0</v>
      </c>
      <c r="R569" s="45">
        <v>0</v>
      </c>
      <c r="S569" s="45">
        <v>0</v>
      </c>
      <c r="T569" s="45">
        <v>0</v>
      </c>
      <c r="U569" s="45">
        <v>0</v>
      </c>
      <c r="V569" s="45">
        <v>0</v>
      </c>
      <c r="W569" s="45">
        <v>0</v>
      </c>
      <c r="X569" s="45">
        <v>0</v>
      </c>
      <c r="Y569" s="45">
        <v>0</v>
      </c>
      <c r="Z569" s="45">
        <v>0</v>
      </c>
      <c r="AA569" s="45">
        <v>0</v>
      </c>
      <c r="AB569" s="45">
        <v>0</v>
      </c>
      <c r="AC569" s="45">
        <v>0</v>
      </c>
      <c r="AD569" s="45">
        <v>0</v>
      </c>
      <c r="AE569" s="45">
        <v>0</v>
      </c>
      <c r="AF569" s="45">
        <v>0</v>
      </c>
      <c r="AG569" s="45">
        <v>0</v>
      </c>
      <c r="AH569" s="45">
        <v>0</v>
      </c>
      <c r="AI569" s="45">
        <v>0</v>
      </c>
      <c r="AJ569" s="45">
        <v>0</v>
      </c>
      <c r="AK569" s="45">
        <v>0</v>
      </c>
      <c r="AL569" s="45">
        <v>0</v>
      </c>
      <c r="AM569" s="45">
        <v>0</v>
      </c>
      <c r="AN569" s="45">
        <v>0</v>
      </c>
      <c r="AO569" s="45">
        <v>0</v>
      </c>
      <c r="AP569" s="45">
        <v>0</v>
      </c>
      <c r="AQ569" s="45">
        <v>0</v>
      </c>
      <c r="AR569" s="45">
        <v>0</v>
      </c>
      <c r="AS569" s="45">
        <v>0</v>
      </c>
      <c r="AT569" s="45">
        <v>0</v>
      </c>
      <c r="AU569" s="45">
        <v>0</v>
      </c>
      <c r="AV569" s="45">
        <v>0</v>
      </c>
      <c r="AW569" s="45">
        <v>0</v>
      </c>
      <c r="AX569" s="45">
        <v>0</v>
      </c>
      <c r="AY569" s="45">
        <v>0</v>
      </c>
      <c r="AZ569" s="45">
        <v>0</v>
      </c>
      <c r="BA569" s="45">
        <v>0</v>
      </c>
      <c r="BB569" s="45">
        <v>0</v>
      </c>
      <c r="BC569" s="45">
        <v>0</v>
      </c>
      <c r="BD569" s="45">
        <v>0</v>
      </c>
      <c r="BE569" s="45">
        <v>0</v>
      </c>
      <c r="BF569" s="45">
        <v>0</v>
      </c>
      <c r="BG569" s="45">
        <v>0</v>
      </c>
      <c r="BH569" s="45">
        <v>0</v>
      </c>
      <c r="BI569" s="45">
        <v>0</v>
      </c>
      <c r="BJ569" s="45">
        <v>0</v>
      </c>
      <c r="BK569" s="45">
        <v>0</v>
      </c>
      <c r="BL569" s="45">
        <v>0</v>
      </c>
      <c r="BM569" s="45">
        <v>0</v>
      </c>
      <c r="BN569" s="45">
        <v>0</v>
      </c>
      <c r="BO569" s="45">
        <v>0</v>
      </c>
      <c r="BP569" s="45">
        <v>0</v>
      </c>
      <c r="BQ569" s="45">
        <v>0</v>
      </c>
      <c r="BR569" s="45">
        <v>0</v>
      </c>
      <c r="BS569" s="45">
        <v>0</v>
      </c>
      <c r="BT569" s="45">
        <v>0</v>
      </c>
      <c r="BU569" s="45">
        <v>0</v>
      </c>
      <c r="BV569" s="45">
        <v>0</v>
      </c>
      <c r="BW569" s="45">
        <v>0</v>
      </c>
      <c r="BX569" s="45">
        <v>0</v>
      </c>
      <c r="BY569" s="45">
        <v>0</v>
      </c>
      <c r="BZ569" s="45">
        <v>0</v>
      </c>
      <c r="CA569" s="45">
        <v>0</v>
      </c>
      <c r="CB569" s="45">
        <v>0</v>
      </c>
      <c r="CC569" s="45">
        <v>0</v>
      </c>
      <c r="CD569" s="45">
        <v>0</v>
      </c>
      <c r="CE569" s="45">
        <v>0</v>
      </c>
      <c r="CF569" s="45">
        <v>0</v>
      </c>
      <c r="CG569" s="45">
        <v>0</v>
      </c>
      <c r="CH569" s="45">
        <v>0</v>
      </c>
      <c r="CI569" s="45">
        <v>0</v>
      </c>
      <c r="CJ569" s="45">
        <v>0</v>
      </c>
      <c r="CK569" s="45">
        <v>0</v>
      </c>
      <c r="CL569" s="45">
        <v>0</v>
      </c>
      <c r="CM569" s="45">
        <v>0</v>
      </c>
      <c r="CN569" s="45">
        <v>0</v>
      </c>
      <c r="CO569" s="45">
        <v>0</v>
      </c>
      <c r="CP569" s="45">
        <v>0</v>
      </c>
      <c r="CQ569" s="45">
        <v>0</v>
      </c>
      <c r="CR569" s="45">
        <v>0</v>
      </c>
      <c r="CS569" s="45">
        <v>0</v>
      </c>
      <c r="CT569" s="45">
        <v>0</v>
      </c>
      <c r="CU569" s="45">
        <v>0</v>
      </c>
      <c r="CV569" s="45">
        <v>0</v>
      </c>
      <c r="CW569" s="45">
        <v>0</v>
      </c>
      <c r="CX569" s="45">
        <v>0</v>
      </c>
      <c r="CY569" s="45">
        <v>0</v>
      </c>
      <c r="CZ569" s="45">
        <v>0</v>
      </c>
      <c r="DA569" s="45">
        <v>0</v>
      </c>
      <c r="DB569" s="45">
        <v>0</v>
      </c>
      <c r="DC569" s="45">
        <v>0</v>
      </c>
    </row>
    <row r="570" spans="3:107" x14ac:dyDescent="0.3">
      <c r="C570" s="101" t="s">
        <v>529</v>
      </c>
      <c r="G570" s="45">
        <v>0</v>
      </c>
      <c r="H570" s="45">
        <v>0</v>
      </c>
      <c r="I570" s="45">
        <v>0</v>
      </c>
      <c r="J570" s="45">
        <v>0</v>
      </c>
      <c r="K570" s="45">
        <v>0</v>
      </c>
      <c r="L570" s="45">
        <v>0</v>
      </c>
      <c r="M570" s="45">
        <v>0</v>
      </c>
      <c r="N570" s="45">
        <v>0</v>
      </c>
      <c r="O570" s="45">
        <v>0</v>
      </c>
      <c r="P570" s="45">
        <v>0</v>
      </c>
      <c r="Q570" s="45">
        <v>0</v>
      </c>
      <c r="R570" s="45">
        <v>0</v>
      </c>
      <c r="S570" s="45">
        <v>0</v>
      </c>
      <c r="T570" s="45">
        <v>0</v>
      </c>
      <c r="U570" s="45">
        <v>0</v>
      </c>
      <c r="V570" s="45">
        <v>0</v>
      </c>
      <c r="W570" s="45">
        <v>0</v>
      </c>
      <c r="X570" s="45">
        <v>0</v>
      </c>
      <c r="Y570" s="45">
        <v>0</v>
      </c>
      <c r="Z570" s="45">
        <v>0</v>
      </c>
      <c r="AA570" s="45">
        <v>0</v>
      </c>
      <c r="AB570" s="45">
        <v>0</v>
      </c>
      <c r="AC570" s="45">
        <v>0</v>
      </c>
      <c r="AD570" s="45">
        <v>0</v>
      </c>
      <c r="AE570" s="45">
        <v>0</v>
      </c>
      <c r="AF570" s="45">
        <v>0</v>
      </c>
      <c r="AG570" s="45">
        <v>0</v>
      </c>
      <c r="AH570" s="45">
        <v>0</v>
      </c>
      <c r="AI570" s="45">
        <v>0</v>
      </c>
      <c r="AJ570" s="45">
        <v>0</v>
      </c>
      <c r="AK570" s="45">
        <v>0</v>
      </c>
      <c r="AL570" s="45">
        <v>0</v>
      </c>
      <c r="AM570" s="45">
        <v>0</v>
      </c>
      <c r="AN570" s="45">
        <v>0</v>
      </c>
      <c r="AO570" s="45">
        <v>0</v>
      </c>
      <c r="AP570" s="45">
        <v>0</v>
      </c>
      <c r="AQ570" s="45">
        <v>0</v>
      </c>
      <c r="AR570" s="45">
        <v>0</v>
      </c>
      <c r="AS570" s="45">
        <v>0</v>
      </c>
      <c r="AT570" s="45">
        <v>0</v>
      </c>
      <c r="AU570" s="45">
        <v>0</v>
      </c>
      <c r="AV570" s="45">
        <v>0</v>
      </c>
      <c r="AW570" s="45">
        <v>0</v>
      </c>
      <c r="AX570" s="45">
        <v>0</v>
      </c>
      <c r="AY570" s="45">
        <v>0</v>
      </c>
      <c r="AZ570" s="45">
        <v>0</v>
      </c>
      <c r="BA570" s="45">
        <v>0</v>
      </c>
      <c r="BB570" s="45">
        <v>0</v>
      </c>
      <c r="BC570" s="45">
        <v>0</v>
      </c>
      <c r="BD570" s="45">
        <v>0</v>
      </c>
      <c r="BE570" s="45">
        <v>0</v>
      </c>
      <c r="BF570" s="45">
        <v>0</v>
      </c>
      <c r="BG570" s="45">
        <v>0</v>
      </c>
      <c r="BH570" s="45">
        <v>0</v>
      </c>
      <c r="BI570" s="45">
        <v>0</v>
      </c>
      <c r="BJ570" s="45">
        <v>0</v>
      </c>
      <c r="BK570" s="45">
        <v>0</v>
      </c>
      <c r="BL570" s="45">
        <v>0</v>
      </c>
      <c r="BM570" s="45">
        <v>0</v>
      </c>
      <c r="BN570" s="45">
        <v>0</v>
      </c>
      <c r="BO570" s="45">
        <v>0</v>
      </c>
      <c r="BP570" s="45">
        <v>0</v>
      </c>
      <c r="BQ570" s="45">
        <v>0</v>
      </c>
      <c r="BR570" s="45">
        <v>0</v>
      </c>
      <c r="BS570" s="45">
        <v>0</v>
      </c>
      <c r="BT570" s="45">
        <v>0</v>
      </c>
      <c r="BU570" s="45">
        <v>0</v>
      </c>
      <c r="BV570" s="45">
        <v>0</v>
      </c>
      <c r="BW570" s="45">
        <v>0</v>
      </c>
      <c r="BX570" s="45">
        <v>0</v>
      </c>
      <c r="BY570" s="45">
        <v>0</v>
      </c>
      <c r="BZ570" s="45">
        <v>0</v>
      </c>
      <c r="CA570" s="45">
        <v>0</v>
      </c>
      <c r="CB570" s="45">
        <v>0</v>
      </c>
      <c r="CC570" s="45">
        <v>0</v>
      </c>
      <c r="CD570" s="45">
        <v>0</v>
      </c>
      <c r="CE570" s="45">
        <v>0</v>
      </c>
      <c r="CF570" s="45">
        <v>0</v>
      </c>
      <c r="CG570" s="45">
        <v>0</v>
      </c>
      <c r="CH570" s="45">
        <v>0</v>
      </c>
      <c r="CI570" s="45">
        <v>0</v>
      </c>
      <c r="CJ570" s="45">
        <v>0</v>
      </c>
      <c r="CK570" s="45">
        <v>0</v>
      </c>
      <c r="CL570" s="45">
        <v>0</v>
      </c>
      <c r="CM570" s="45">
        <v>0</v>
      </c>
      <c r="CN570" s="45">
        <v>0</v>
      </c>
      <c r="CO570" s="45">
        <v>0</v>
      </c>
      <c r="CP570" s="45">
        <v>0</v>
      </c>
      <c r="CQ570" s="45">
        <v>0</v>
      </c>
      <c r="CR570" s="45">
        <v>0</v>
      </c>
      <c r="CS570" s="45">
        <v>0</v>
      </c>
      <c r="CT570" s="45">
        <v>0</v>
      </c>
      <c r="CU570" s="45">
        <v>0</v>
      </c>
      <c r="CV570" s="45">
        <v>0</v>
      </c>
      <c r="CW570" s="45">
        <v>0</v>
      </c>
      <c r="CX570" s="45">
        <v>0</v>
      </c>
      <c r="CY570" s="45">
        <v>0</v>
      </c>
      <c r="CZ570" s="45">
        <v>0</v>
      </c>
      <c r="DA570" s="45">
        <v>0</v>
      </c>
      <c r="DB570" s="45">
        <v>0</v>
      </c>
      <c r="DC570" s="45">
        <v>0</v>
      </c>
    </row>
    <row r="571" spans="3:107" x14ac:dyDescent="0.3">
      <c r="C571" s="101" t="s">
        <v>125</v>
      </c>
      <c r="G571" s="45">
        <v>0</v>
      </c>
      <c r="H571" s="45">
        <v>0</v>
      </c>
      <c r="I571" s="45">
        <v>0</v>
      </c>
      <c r="J571" s="45">
        <v>0</v>
      </c>
      <c r="K571" s="45">
        <v>0</v>
      </c>
      <c r="L571" s="45">
        <v>0</v>
      </c>
      <c r="M571" s="45">
        <v>0</v>
      </c>
      <c r="N571" s="45">
        <v>0</v>
      </c>
      <c r="O571" s="45">
        <v>0</v>
      </c>
      <c r="P571" s="45">
        <v>0</v>
      </c>
      <c r="Q571" s="45">
        <v>0</v>
      </c>
      <c r="R571" s="45">
        <v>0</v>
      </c>
      <c r="S571" s="45">
        <v>0</v>
      </c>
      <c r="T571" s="45">
        <v>0</v>
      </c>
      <c r="U571" s="45">
        <v>0</v>
      </c>
      <c r="V571" s="45">
        <v>0</v>
      </c>
      <c r="W571" s="45">
        <v>0</v>
      </c>
      <c r="X571" s="45">
        <v>0</v>
      </c>
      <c r="Y571" s="45">
        <v>0</v>
      </c>
      <c r="Z571" s="45">
        <v>0</v>
      </c>
      <c r="AA571" s="45">
        <v>0</v>
      </c>
      <c r="AB571" s="45">
        <v>0</v>
      </c>
      <c r="AC571" s="45">
        <v>0</v>
      </c>
      <c r="AD571" s="45">
        <v>0</v>
      </c>
      <c r="AE571" s="45">
        <v>0</v>
      </c>
      <c r="AF571" s="45">
        <v>0</v>
      </c>
      <c r="AG571" s="45">
        <v>0</v>
      </c>
      <c r="AH571" s="45">
        <v>0</v>
      </c>
      <c r="AI571" s="45">
        <v>0</v>
      </c>
      <c r="AJ571" s="45">
        <v>0</v>
      </c>
      <c r="AK571" s="45">
        <v>0</v>
      </c>
      <c r="AL571" s="45">
        <v>0</v>
      </c>
      <c r="AM571" s="45">
        <v>0</v>
      </c>
      <c r="AN571" s="45">
        <v>0</v>
      </c>
      <c r="AO571" s="45">
        <v>0</v>
      </c>
      <c r="AP571" s="45">
        <v>0</v>
      </c>
      <c r="AQ571" s="45">
        <v>0</v>
      </c>
      <c r="AR571" s="45">
        <v>0</v>
      </c>
      <c r="AS571" s="45">
        <v>0</v>
      </c>
      <c r="AT571" s="45">
        <v>0</v>
      </c>
      <c r="AU571" s="45">
        <v>0</v>
      </c>
      <c r="AV571" s="45">
        <v>0</v>
      </c>
      <c r="AW571" s="45">
        <v>0</v>
      </c>
      <c r="AX571" s="45">
        <v>0</v>
      </c>
      <c r="AY571" s="45">
        <v>0</v>
      </c>
      <c r="AZ571" s="45">
        <v>0</v>
      </c>
      <c r="BA571" s="45">
        <v>0</v>
      </c>
      <c r="BB571" s="45">
        <v>0</v>
      </c>
      <c r="BC571" s="45">
        <v>0</v>
      </c>
      <c r="BD571" s="45">
        <v>0</v>
      </c>
      <c r="BE571" s="45">
        <v>0</v>
      </c>
      <c r="BF571" s="45">
        <v>0</v>
      </c>
      <c r="BG571" s="45">
        <v>0</v>
      </c>
      <c r="BH571" s="45">
        <v>0</v>
      </c>
      <c r="BI571" s="45">
        <v>0</v>
      </c>
      <c r="BJ571" s="45">
        <v>0</v>
      </c>
      <c r="BK571" s="45">
        <v>0</v>
      </c>
      <c r="BL571" s="45">
        <v>0</v>
      </c>
      <c r="BM571" s="45">
        <v>0</v>
      </c>
      <c r="BN571" s="45">
        <v>0</v>
      </c>
      <c r="BO571" s="45">
        <v>0</v>
      </c>
      <c r="BP571" s="45">
        <v>0</v>
      </c>
      <c r="BQ571" s="45">
        <v>0</v>
      </c>
      <c r="BR571" s="45">
        <v>0</v>
      </c>
      <c r="BS571" s="45">
        <v>0</v>
      </c>
      <c r="BT571" s="45">
        <v>0</v>
      </c>
      <c r="BU571" s="45">
        <v>0</v>
      </c>
      <c r="BV571" s="45">
        <v>0</v>
      </c>
      <c r="BW571" s="45">
        <v>0</v>
      </c>
      <c r="BX571" s="45">
        <v>0</v>
      </c>
      <c r="BY571" s="45">
        <v>0</v>
      </c>
      <c r="BZ571" s="45">
        <v>0</v>
      </c>
      <c r="CA571" s="45">
        <v>0</v>
      </c>
      <c r="CB571" s="45">
        <v>0</v>
      </c>
      <c r="CC571" s="45">
        <v>0</v>
      </c>
      <c r="CD571" s="45">
        <v>0</v>
      </c>
      <c r="CE571" s="45">
        <v>0</v>
      </c>
      <c r="CF571" s="45">
        <v>0</v>
      </c>
      <c r="CG571" s="45">
        <v>0</v>
      </c>
      <c r="CH571" s="45">
        <v>0</v>
      </c>
      <c r="CI571" s="45">
        <v>0</v>
      </c>
      <c r="CJ571" s="45">
        <v>0</v>
      </c>
      <c r="CK571" s="45">
        <v>0</v>
      </c>
      <c r="CL571" s="45">
        <v>0</v>
      </c>
      <c r="CM571" s="45">
        <v>0</v>
      </c>
      <c r="CN571" s="45">
        <v>0</v>
      </c>
      <c r="CO571" s="45">
        <v>0</v>
      </c>
      <c r="CP571" s="45">
        <v>0</v>
      </c>
      <c r="CQ571" s="45">
        <v>0</v>
      </c>
      <c r="CR571" s="45">
        <v>0</v>
      </c>
      <c r="CS571" s="45">
        <v>0</v>
      </c>
      <c r="CT571" s="45">
        <v>0</v>
      </c>
      <c r="CU571" s="45">
        <v>0</v>
      </c>
      <c r="CV571" s="45">
        <v>0</v>
      </c>
      <c r="CW571" s="45">
        <v>0</v>
      </c>
      <c r="CX571" s="45">
        <v>0</v>
      </c>
      <c r="CY571" s="45">
        <v>0</v>
      </c>
      <c r="CZ571" s="45">
        <v>0</v>
      </c>
      <c r="DA571" s="45">
        <v>0</v>
      </c>
      <c r="DB571" s="45">
        <v>0</v>
      </c>
      <c r="DC571" s="45">
        <v>0</v>
      </c>
    </row>
    <row r="572" spans="3:107" x14ac:dyDescent="0.3">
      <c r="C572" s="101" t="s">
        <v>528</v>
      </c>
      <c r="G572" s="45">
        <v>0</v>
      </c>
      <c r="H572" s="45">
        <v>0</v>
      </c>
      <c r="I572" s="45">
        <v>0</v>
      </c>
      <c r="J572" s="45">
        <v>0</v>
      </c>
      <c r="K572" s="45">
        <v>0</v>
      </c>
      <c r="L572" s="45">
        <v>0</v>
      </c>
      <c r="M572" s="45">
        <v>0</v>
      </c>
      <c r="N572" s="45">
        <v>0</v>
      </c>
      <c r="O572" s="45">
        <v>0</v>
      </c>
      <c r="P572" s="45">
        <v>0</v>
      </c>
      <c r="Q572" s="45">
        <v>0</v>
      </c>
      <c r="R572" s="45">
        <v>0</v>
      </c>
      <c r="S572" s="45">
        <v>0</v>
      </c>
      <c r="T572" s="45">
        <v>0</v>
      </c>
      <c r="U572" s="45">
        <v>0</v>
      </c>
      <c r="V572" s="45">
        <v>0</v>
      </c>
      <c r="W572" s="45">
        <v>0</v>
      </c>
      <c r="X572" s="45">
        <v>0</v>
      </c>
      <c r="Y572" s="45">
        <v>0</v>
      </c>
      <c r="Z572" s="45">
        <v>0</v>
      </c>
      <c r="AA572" s="45">
        <v>0</v>
      </c>
      <c r="AB572" s="45">
        <v>0</v>
      </c>
      <c r="AC572" s="45">
        <v>0</v>
      </c>
      <c r="AD572" s="45">
        <v>0</v>
      </c>
      <c r="AE572" s="45">
        <v>0</v>
      </c>
      <c r="AF572" s="45">
        <v>0</v>
      </c>
      <c r="AG572" s="45">
        <v>0</v>
      </c>
      <c r="AH572" s="45">
        <v>0</v>
      </c>
      <c r="AI572" s="45">
        <v>0</v>
      </c>
      <c r="AJ572" s="45">
        <v>0</v>
      </c>
      <c r="AK572" s="45">
        <v>0</v>
      </c>
      <c r="AL572" s="45">
        <v>0</v>
      </c>
      <c r="AM572" s="45">
        <v>0</v>
      </c>
      <c r="AN572" s="45">
        <v>0</v>
      </c>
      <c r="AO572" s="45">
        <v>0</v>
      </c>
      <c r="AP572" s="45">
        <v>0</v>
      </c>
      <c r="AQ572" s="45">
        <v>0</v>
      </c>
      <c r="AR572" s="45">
        <v>0</v>
      </c>
      <c r="AS572" s="45">
        <v>0</v>
      </c>
      <c r="AT572" s="45">
        <v>0</v>
      </c>
      <c r="AU572" s="45">
        <v>0</v>
      </c>
      <c r="AV572" s="45">
        <v>0</v>
      </c>
      <c r="AW572" s="45">
        <v>0</v>
      </c>
      <c r="AX572" s="45">
        <v>0</v>
      </c>
      <c r="AY572" s="45">
        <v>0</v>
      </c>
      <c r="AZ572" s="45">
        <v>0</v>
      </c>
      <c r="BA572" s="45">
        <v>0</v>
      </c>
      <c r="BB572" s="45">
        <v>0</v>
      </c>
      <c r="BC572" s="45">
        <v>0</v>
      </c>
      <c r="BD572" s="45">
        <v>0</v>
      </c>
      <c r="BE572" s="45">
        <v>0</v>
      </c>
      <c r="BF572" s="45">
        <v>0</v>
      </c>
      <c r="BG572" s="45">
        <v>0</v>
      </c>
      <c r="BH572" s="45">
        <v>0</v>
      </c>
      <c r="BI572" s="45">
        <v>0</v>
      </c>
      <c r="BJ572" s="45">
        <v>0</v>
      </c>
      <c r="BK572" s="45">
        <v>0</v>
      </c>
      <c r="BL572" s="45">
        <v>0</v>
      </c>
      <c r="BM572" s="45">
        <v>0</v>
      </c>
      <c r="BN572" s="45">
        <v>0</v>
      </c>
      <c r="BO572" s="45">
        <v>0</v>
      </c>
      <c r="BP572" s="45">
        <v>0</v>
      </c>
      <c r="BQ572" s="45">
        <v>0</v>
      </c>
      <c r="BR572" s="45">
        <v>0</v>
      </c>
      <c r="BS572" s="45">
        <v>0</v>
      </c>
      <c r="BT572" s="45">
        <v>0</v>
      </c>
      <c r="BU572" s="45">
        <v>0</v>
      </c>
      <c r="BV572" s="45">
        <v>0</v>
      </c>
      <c r="BW572" s="45">
        <v>0</v>
      </c>
      <c r="BX572" s="45">
        <v>0</v>
      </c>
      <c r="BY572" s="45">
        <v>0</v>
      </c>
      <c r="BZ572" s="45">
        <v>0</v>
      </c>
      <c r="CA572" s="45">
        <v>0</v>
      </c>
      <c r="CB572" s="45">
        <v>0</v>
      </c>
      <c r="CC572" s="45">
        <v>0</v>
      </c>
      <c r="CD572" s="45">
        <v>0</v>
      </c>
      <c r="CE572" s="45">
        <v>0</v>
      </c>
      <c r="CF572" s="45">
        <v>0</v>
      </c>
      <c r="CG572" s="45">
        <v>0</v>
      </c>
      <c r="CH572" s="45">
        <v>0</v>
      </c>
      <c r="CI572" s="45">
        <v>0</v>
      </c>
      <c r="CJ572" s="45">
        <v>0</v>
      </c>
      <c r="CK572" s="45">
        <v>0</v>
      </c>
      <c r="CL572" s="45">
        <v>0</v>
      </c>
      <c r="CM572" s="45">
        <v>0</v>
      </c>
      <c r="CN572" s="45">
        <v>0</v>
      </c>
      <c r="CO572" s="45">
        <v>0</v>
      </c>
      <c r="CP572" s="45">
        <v>0</v>
      </c>
      <c r="CQ572" s="45">
        <v>0</v>
      </c>
      <c r="CR572" s="45">
        <v>0</v>
      </c>
      <c r="CS572" s="45">
        <v>0</v>
      </c>
      <c r="CT572" s="45">
        <v>0</v>
      </c>
      <c r="CU572" s="45">
        <v>0</v>
      </c>
      <c r="CV572" s="45">
        <v>0</v>
      </c>
      <c r="CW572" s="45">
        <v>0</v>
      </c>
      <c r="CX572" s="45">
        <v>0</v>
      </c>
      <c r="CY572" s="45">
        <v>0</v>
      </c>
      <c r="CZ572" s="45">
        <v>0</v>
      </c>
      <c r="DA572" s="45">
        <v>0</v>
      </c>
      <c r="DB572" s="45">
        <v>0</v>
      </c>
      <c r="DC572" s="45">
        <v>0</v>
      </c>
    </row>
    <row r="573" spans="3:107" x14ac:dyDescent="0.3">
      <c r="C573" s="231" t="s">
        <v>126</v>
      </c>
      <c r="D573" s="191"/>
      <c r="E573" s="191"/>
      <c r="G573" s="239">
        <f>SUM(G569:G572)</f>
        <v>0</v>
      </c>
      <c r="H573" s="232">
        <f>SUM(H569:H572)</f>
        <v>0</v>
      </c>
      <c r="I573" s="232">
        <f>SUM(I569:I572)</f>
        <v>0</v>
      </c>
      <c r="J573" s="232">
        <f>SUM(J569:J572)</f>
        <v>0</v>
      </c>
      <c r="K573" s="239">
        <f t="shared" ref="K573:T573" si="7264">SUM(K569:K572)</f>
        <v>0</v>
      </c>
      <c r="L573" s="232">
        <f t="shared" si="7264"/>
        <v>0</v>
      </c>
      <c r="M573" s="232">
        <f t="shared" si="7264"/>
        <v>0</v>
      </c>
      <c r="N573" s="232">
        <f t="shared" si="7264"/>
        <v>0</v>
      </c>
      <c r="O573" s="232">
        <f t="shared" si="7264"/>
        <v>0</v>
      </c>
      <c r="P573" s="232">
        <f t="shared" si="7264"/>
        <v>0</v>
      </c>
      <c r="Q573" s="232">
        <f t="shared" si="7264"/>
        <v>0</v>
      </c>
      <c r="R573" s="232">
        <f t="shared" si="7264"/>
        <v>0</v>
      </c>
      <c r="S573" s="232">
        <f t="shared" si="7264"/>
        <v>0</v>
      </c>
      <c r="T573" s="232">
        <f t="shared" si="7264"/>
        <v>0</v>
      </c>
      <c r="U573" s="232">
        <f t="shared" ref="U573:AH573" si="7265">SUM(U569:U572)</f>
        <v>0</v>
      </c>
      <c r="V573" s="232">
        <f t="shared" si="7265"/>
        <v>0</v>
      </c>
      <c r="W573" s="239">
        <f t="shared" si="7265"/>
        <v>0</v>
      </c>
      <c r="X573" s="232">
        <f t="shared" si="7265"/>
        <v>0</v>
      </c>
      <c r="Y573" s="232">
        <f t="shared" si="7265"/>
        <v>0</v>
      </c>
      <c r="Z573" s="232">
        <f t="shared" si="7265"/>
        <v>0</v>
      </c>
      <c r="AA573" s="232">
        <f t="shared" si="7265"/>
        <v>0</v>
      </c>
      <c r="AB573" s="232">
        <f t="shared" si="7265"/>
        <v>0</v>
      </c>
      <c r="AC573" s="232">
        <f t="shared" si="7265"/>
        <v>0</v>
      </c>
      <c r="AD573" s="232">
        <f t="shared" si="7265"/>
        <v>0</v>
      </c>
      <c r="AE573" s="232">
        <f t="shared" si="7265"/>
        <v>0</v>
      </c>
      <c r="AF573" s="232">
        <f t="shared" si="7265"/>
        <v>0</v>
      </c>
      <c r="AG573" s="232">
        <f t="shared" si="7265"/>
        <v>0</v>
      </c>
      <c r="AH573" s="232">
        <f t="shared" si="7265"/>
        <v>0</v>
      </c>
      <c r="AI573" s="239">
        <f t="shared" ref="AI573:AR573" si="7266">SUM(AI569:AI572)</f>
        <v>0</v>
      </c>
      <c r="AJ573" s="232">
        <f t="shared" si="7266"/>
        <v>0</v>
      </c>
      <c r="AK573" s="232">
        <f t="shared" si="7266"/>
        <v>0</v>
      </c>
      <c r="AL573" s="232">
        <f t="shared" si="7266"/>
        <v>0</v>
      </c>
      <c r="AM573" s="232">
        <f t="shared" si="7266"/>
        <v>0</v>
      </c>
      <c r="AN573" s="232">
        <f t="shared" si="7266"/>
        <v>0</v>
      </c>
      <c r="AO573" s="232">
        <f t="shared" si="7266"/>
        <v>0</v>
      </c>
      <c r="AP573" s="232">
        <f t="shared" si="7266"/>
        <v>0</v>
      </c>
      <c r="AQ573" s="232">
        <f t="shared" si="7266"/>
        <v>0</v>
      </c>
      <c r="AR573" s="232">
        <f t="shared" si="7266"/>
        <v>0</v>
      </c>
      <c r="AS573" s="232">
        <f>SUM(AS569:AS572)</f>
        <v>0</v>
      </c>
      <c r="AT573" s="232">
        <f>SUM(AT569:AT572)</f>
        <v>0</v>
      </c>
      <c r="AU573" s="239">
        <f t="shared" ref="AU573:BD573" si="7267">SUM(AU569:AU572)</f>
        <v>0</v>
      </c>
      <c r="AV573" s="232">
        <f t="shared" si="7267"/>
        <v>0</v>
      </c>
      <c r="AW573" s="232">
        <f t="shared" si="7267"/>
        <v>0</v>
      </c>
      <c r="AX573" s="232">
        <f t="shared" si="7267"/>
        <v>0</v>
      </c>
      <c r="AY573" s="232">
        <f t="shared" si="7267"/>
        <v>0</v>
      </c>
      <c r="AZ573" s="232">
        <f t="shared" si="7267"/>
        <v>0</v>
      </c>
      <c r="BA573" s="232">
        <f t="shared" si="7267"/>
        <v>0</v>
      </c>
      <c r="BB573" s="232">
        <f t="shared" si="7267"/>
        <v>0</v>
      </c>
      <c r="BC573" s="232">
        <f t="shared" si="7267"/>
        <v>0</v>
      </c>
      <c r="BD573" s="232">
        <f t="shared" si="7267"/>
        <v>0</v>
      </c>
      <c r="BE573" s="232">
        <f>SUM(BE569:BE572)</f>
        <v>0</v>
      </c>
      <c r="BF573" s="232">
        <f>SUM(BF569:BF572)</f>
        <v>0</v>
      </c>
      <c r="BG573" s="239">
        <f t="shared" ref="BG573:BP573" si="7268">SUM(BG569:BG572)</f>
        <v>0</v>
      </c>
      <c r="BH573" s="232">
        <f t="shared" si="7268"/>
        <v>0</v>
      </c>
      <c r="BI573" s="232">
        <f t="shared" si="7268"/>
        <v>0</v>
      </c>
      <c r="BJ573" s="232">
        <f t="shared" si="7268"/>
        <v>0</v>
      </c>
      <c r="BK573" s="232">
        <f t="shared" si="7268"/>
        <v>0</v>
      </c>
      <c r="BL573" s="232">
        <f t="shared" si="7268"/>
        <v>0</v>
      </c>
      <c r="BM573" s="232">
        <f t="shared" si="7268"/>
        <v>0</v>
      </c>
      <c r="BN573" s="232">
        <f t="shared" si="7268"/>
        <v>0</v>
      </c>
      <c r="BO573" s="232">
        <f t="shared" si="7268"/>
        <v>0</v>
      </c>
      <c r="BP573" s="232">
        <f t="shared" si="7268"/>
        <v>0</v>
      </c>
      <c r="BQ573" s="232">
        <f>SUM(BQ569:BQ572)</f>
        <v>0</v>
      </c>
      <c r="BR573" s="232">
        <f>SUM(BR569:BR572)</f>
        <v>0</v>
      </c>
      <c r="BS573" s="239">
        <f t="shared" ref="BS573:CB573" si="7269">SUM(BS569:BS572)</f>
        <v>0</v>
      </c>
      <c r="BT573" s="232">
        <f t="shared" si="7269"/>
        <v>0</v>
      </c>
      <c r="BU573" s="232">
        <f t="shared" si="7269"/>
        <v>0</v>
      </c>
      <c r="BV573" s="232">
        <f t="shared" si="7269"/>
        <v>0</v>
      </c>
      <c r="BW573" s="232">
        <f t="shared" si="7269"/>
        <v>0</v>
      </c>
      <c r="BX573" s="232">
        <f t="shared" si="7269"/>
        <v>0</v>
      </c>
      <c r="BY573" s="232">
        <f t="shared" si="7269"/>
        <v>0</v>
      </c>
      <c r="BZ573" s="232">
        <f t="shared" si="7269"/>
        <v>0</v>
      </c>
      <c r="CA573" s="232">
        <f t="shared" si="7269"/>
        <v>0</v>
      </c>
      <c r="CB573" s="232">
        <f t="shared" si="7269"/>
        <v>0</v>
      </c>
      <c r="CC573" s="232">
        <f>SUM(CC569:CC572)</f>
        <v>0</v>
      </c>
      <c r="CD573" s="232">
        <f>SUM(CD569:CD572)</f>
        <v>0</v>
      </c>
      <c r="CE573" s="239">
        <f t="shared" ref="CE573:CN573" si="7270">SUM(CE569:CE572)</f>
        <v>0</v>
      </c>
      <c r="CF573" s="232">
        <f t="shared" si="7270"/>
        <v>0</v>
      </c>
      <c r="CG573" s="232">
        <f t="shared" si="7270"/>
        <v>0</v>
      </c>
      <c r="CH573" s="232">
        <f t="shared" si="7270"/>
        <v>0</v>
      </c>
      <c r="CI573" s="232">
        <f t="shared" si="7270"/>
        <v>0</v>
      </c>
      <c r="CJ573" s="232">
        <f t="shared" si="7270"/>
        <v>0</v>
      </c>
      <c r="CK573" s="232">
        <f t="shared" si="7270"/>
        <v>0</v>
      </c>
      <c r="CL573" s="232">
        <f t="shared" si="7270"/>
        <v>0</v>
      </c>
      <c r="CM573" s="232">
        <f t="shared" si="7270"/>
        <v>0</v>
      </c>
      <c r="CN573" s="232">
        <f t="shared" si="7270"/>
        <v>0</v>
      </c>
      <c r="CO573" s="232">
        <f>SUM(CO569:CO572)</f>
        <v>0</v>
      </c>
      <c r="CP573" s="232">
        <f>SUM(CP569:CP572)</f>
        <v>0</v>
      </c>
      <c r="CQ573" s="239">
        <f t="shared" ref="CQ573:CZ573" si="7271">SUM(CQ569:CQ572)</f>
        <v>0</v>
      </c>
      <c r="CR573" s="232">
        <f t="shared" si="7271"/>
        <v>0</v>
      </c>
      <c r="CS573" s="232">
        <f t="shared" si="7271"/>
        <v>0</v>
      </c>
      <c r="CT573" s="232">
        <f t="shared" si="7271"/>
        <v>0</v>
      </c>
      <c r="CU573" s="232">
        <f t="shared" si="7271"/>
        <v>0</v>
      </c>
      <c r="CV573" s="232">
        <f t="shared" si="7271"/>
        <v>0</v>
      </c>
      <c r="CW573" s="232">
        <f t="shared" si="7271"/>
        <v>0</v>
      </c>
      <c r="CX573" s="232">
        <f t="shared" si="7271"/>
        <v>0</v>
      </c>
      <c r="CY573" s="232">
        <f t="shared" si="7271"/>
        <v>0</v>
      </c>
      <c r="CZ573" s="232">
        <f t="shared" si="7271"/>
        <v>0</v>
      </c>
      <c r="DA573" s="232">
        <f>SUM(DA569:DA572)</f>
        <v>0</v>
      </c>
      <c r="DB573" s="232">
        <f>SUM(DB569:DB572)</f>
        <v>0</v>
      </c>
      <c r="DC573" s="239">
        <f t="shared" ref="DC573" si="7272">SUM(DC569:DC572)</f>
        <v>0</v>
      </c>
    </row>
    <row r="574" spans="3:107" x14ac:dyDescent="0.3">
      <c r="G574" s="203"/>
      <c r="K574" s="203"/>
      <c r="W574" s="203"/>
      <c r="AI574" s="203"/>
      <c r="AU574" s="203"/>
      <c r="BG574" s="203"/>
      <c r="BS574" s="203"/>
      <c r="CE574" s="203"/>
      <c r="CQ574" s="203"/>
      <c r="DC574" s="203"/>
    </row>
    <row r="575" spans="3:107" ht="13.5" thickBot="1" x14ac:dyDescent="0.35">
      <c r="C575" s="369" t="s">
        <v>71</v>
      </c>
      <c r="D575" s="370"/>
      <c r="E575" s="370"/>
      <c r="G575" s="204">
        <f>++G567-G573</f>
        <v>0</v>
      </c>
      <c r="H575" s="371">
        <f>++H567-H573</f>
        <v>0</v>
      </c>
      <c r="I575" s="371">
        <f>++I567-I573</f>
        <v>0</v>
      </c>
      <c r="J575" s="371">
        <f>++J567-J573</f>
        <v>0</v>
      </c>
      <c r="K575" s="204">
        <f>++K567-K573</f>
        <v>0</v>
      </c>
      <c r="L575" s="371">
        <f t="shared" ref="L575:W575" si="7273">++L567-L573</f>
        <v>0</v>
      </c>
      <c r="M575" s="371">
        <f t="shared" si="7273"/>
        <v>0</v>
      </c>
      <c r="N575" s="371">
        <f t="shared" si="7273"/>
        <v>0</v>
      </c>
      <c r="O575" s="371">
        <f t="shared" si="7273"/>
        <v>0</v>
      </c>
      <c r="P575" s="371">
        <f t="shared" si="7273"/>
        <v>0</v>
      </c>
      <c r="Q575" s="371">
        <f t="shared" si="7273"/>
        <v>0</v>
      </c>
      <c r="R575" s="371">
        <f t="shared" si="7273"/>
        <v>0</v>
      </c>
      <c r="S575" s="371">
        <f t="shared" si="7273"/>
        <v>0</v>
      </c>
      <c r="T575" s="371">
        <f t="shared" si="7273"/>
        <v>0</v>
      </c>
      <c r="U575" s="371">
        <f t="shared" si="7273"/>
        <v>0</v>
      </c>
      <c r="V575" s="371">
        <f t="shared" si="7273"/>
        <v>0</v>
      </c>
      <c r="W575" s="204">
        <f t="shared" si="7273"/>
        <v>0</v>
      </c>
      <c r="X575" s="371">
        <f t="shared" ref="X575:CE575" si="7274">++X567-X573</f>
        <v>0</v>
      </c>
      <c r="Y575" s="371">
        <f t="shared" si="7274"/>
        <v>0</v>
      </c>
      <c r="Z575" s="371">
        <f t="shared" si="7274"/>
        <v>0</v>
      </c>
      <c r="AA575" s="371">
        <f t="shared" si="7274"/>
        <v>0</v>
      </c>
      <c r="AB575" s="371">
        <f t="shared" si="7274"/>
        <v>0</v>
      </c>
      <c r="AC575" s="371">
        <f t="shared" si="7274"/>
        <v>0</v>
      </c>
      <c r="AD575" s="371">
        <f t="shared" si="7274"/>
        <v>0</v>
      </c>
      <c r="AE575" s="371">
        <f t="shared" si="7274"/>
        <v>0</v>
      </c>
      <c r="AF575" s="371">
        <f t="shared" si="7274"/>
        <v>0</v>
      </c>
      <c r="AG575" s="371">
        <f t="shared" si="7274"/>
        <v>0</v>
      </c>
      <c r="AH575" s="371">
        <f t="shared" si="7274"/>
        <v>0</v>
      </c>
      <c r="AI575" s="204">
        <f t="shared" si="7274"/>
        <v>0</v>
      </c>
      <c r="AJ575" s="371">
        <f t="shared" si="7274"/>
        <v>0</v>
      </c>
      <c r="AK575" s="371">
        <f t="shared" si="7274"/>
        <v>0</v>
      </c>
      <c r="AL575" s="371">
        <f t="shared" si="7274"/>
        <v>0</v>
      </c>
      <c r="AM575" s="371">
        <f t="shared" si="7274"/>
        <v>0</v>
      </c>
      <c r="AN575" s="371">
        <f t="shared" si="7274"/>
        <v>0</v>
      </c>
      <c r="AO575" s="371">
        <f t="shared" si="7274"/>
        <v>0</v>
      </c>
      <c r="AP575" s="371">
        <f t="shared" si="7274"/>
        <v>0</v>
      </c>
      <c r="AQ575" s="371">
        <f t="shared" si="7274"/>
        <v>0</v>
      </c>
      <c r="AR575" s="371">
        <f t="shared" si="7274"/>
        <v>0</v>
      </c>
      <c r="AS575" s="371">
        <f t="shared" si="7274"/>
        <v>0</v>
      </c>
      <c r="AT575" s="371">
        <f t="shared" si="7274"/>
        <v>0</v>
      </c>
      <c r="AU575" s="204">
        <f t="shared" si="7274"/>
        <v>0</v>
      </c>
      <c r="AV575" s="371">
        <f t="shared" si="7274"/>
        <v>0</v>
      </c>
      <c r="AW575" s="371">
        <f t="shared" si="7274"/>
        <v>0</v>
      </c>
      <c r="AX575" s="371">
        <f t="shared" si="7274"/>
        <v>0</v>
      </c>
      <c r="AY575" s="371">
        <f t="shared" si="7274"/>
        <v>0</v>
      </c>
      <c r="AZ575" s="371">
        <f t="shared" si="7274"/>
        <v>0</v>
      </c>
      <c r="BA575" s="371">
        <f t="shared" si="7274"/>
        <v>0</v>
      </c>
      <c r="BB575" s="371">
        <f t="shared" si="7274"/>
        <v>0</v>
      </c>
      <c r="BC575" s="371">
        <f t="shared" si="7274"/>
        <v>0</v>
      </c>
      <c r="BD575" s="371">
        <f t="shared" si="7274"/>
        <v>0</v>
      </c>
      <c r="BE575" s="371">
        <f t="shared" si="7274"/>
        <v>0</v>
      </c>
      <c r="BF575" s="371">
        <f t="shared" si="7274"/>
        <v>0</v>
      </c>
      <c r="BG575" s="204">
        <f t="shared" si="7274"/>
        <v>0</v>
      </c>
      <c r="BH575" s="371">
        <f t="shared" si="7274"/>
        <v>0</v>
      </c>
      <c r="BI575" s="371">
        <f t="shared" si="7274"/>
        <v>0</v>
      </c>
      <c r="BJ575" s="371">
        <f t="shared" si="7274"/>
        <v>0</v>
      </c>
      <c r="BK575" s="371">
        <f t="shared" si="7274"/>
        <v>0</v>
      </c>
      <c r="BL575" s="371">
        <f t="shared" si="7274"/>
        <v>0</v>
      </c>
      <c r="BM575" s="371">
        <f t="shared" si="7274"/>
        <v>0</v>
      </c>
      <c r="BN575" s="371">
        <f t="shared" si="7274"/>
        <v>0</v>
      </c>
      <c r="BO575" s="371">
        <f t="shared" si="7274"/>
        <v>0</v>
      </c>
      <c r="BP575" s="371">
        <f t="shared" si="7274"/>
        <v>0</v>
      </c>
      <c r="BQ575" s="371">
        <f t="shared" si="7274"/>
        <v>0</v>
      </c>
      <c r="BR575" s="371">
        <f t="shared" si="7274"/>
        <v>0</v>
      </c>
      <c r="BS575" s="204">
        <f t="shared" si="7274"/>
        <v>0</v>
      </c>
      <c r="BT575" s="371">
        <f t="shared" si="7274"/>
        <v>0</v>
      </c>
      <c r="BU575" s="371">
        <f t="shared" si="7274"/>
        <v>0</v>
      </c>
      <c r="BV575" s="371">
        <f t="shared" si="7274"/>
        <v>0</v>
      </c>
      <c r="BW575" s="371">
        <f t="shared" si="7274"/>
        <v>0</v>
      </c>
      <c r="BX575" s="371">
        <f t="shared" si="7274"/>
        <v>0</v>
      </c>
      <c r="BY575" s="371">
        <f t="shared" si="7274"/>
        <v>0</v>
      </c>
      <c r="BZ575" s="371">
        <f t="shared" si="7274"/>
        <v>0</v>
      </c>
      <c r="CA575" s="371">
        <f t="shared" si="7274"/>
        <v>0</v>
      </c>
      <c r="CB575" s="371">
        <f t="shared" si="7274"/>
        <v>0</v>
      </c>
      <c r="CC575" s="371">
        <f t="shared" si="7274"/>
        <v>0</v>
      </c>
      <c r="CD575" s="371">
        <f t="shared" si="7274"/>
        <v>0</v>
      </c>
      <c r="CE575" s="204">
        <f t="shared" si="7274"/>
        <v>0</v>
      </c>
      <c r="CF575" s="371">
        <f t="shared" ref="CF575:DC575" si="7275">++CF567-CF573</f>
        <v>0</v>
      </c>
      <c r="CG575" s="371">
        <f t="shared" si="7275"/>
        <v>0</v>
      </c>
      <c r="CH575" s="371">
        <f t="shared" si="7275"/>
        <v>0</v>
      </c>
      <c r="CI575" s="371">
        <f t="shared" si="7275"/>
        <v>0</v>
      </c>
      <c r="CJ575" s="371">
        <f t="shared" si="7275"/>
        <v>0</v>
      </c>
      <c r="CK575" s="371">
        <f t="shared" si="7275"/>
        <v>0</v>
      </c>
      <c r="CL575" s="371">
        <f t="shared" si="7275"/>
        <v>0</v>
      </c>
      <c r="CM575" s="371">
        <f t="shared" si="7275"/>
        <v>0</v>
      </c>
      <c r="CN575" s="371">
        <f t="shared" si="7275"/>
        <v>0</v>
      </c>
      <c r="CO575" s="371">
        <f t="shared" si="7275"/>
        <v>0</v>
      </c>
      <c r="CP575" s="371">
        <f t="shared" si="7275"/>
        <v>0</v>
      </c>
      <c r="CQ575" s="204">
        <f t="shared" si="7275"/>
        <v>0</v>
      </c>
      <c r="CR575" s="371">
        <f t="shared" si="7275"/>
        <v>0</v>
      </c>
      <c r="CS575" s="371">
        <f t="shared" si="7275"/>
        <v>0</v>
      </c>
      <c r="CT575" s="371">
        <f t="shared" si="7275"/>
        <v>0</v>
      </c>
      <c r="CU575" s="371">
        <f t="shared" si="7275"/>
        <v>0</v>
      </c>
      <c r="CV575" s="371">
        <f t="shared" si="7275"/>
        <v>0</v>
      </c>
      <c r="CW575" s="371">
        <f t="shared" si="7275"/>
        <v>0</v>
      </c>
      <c r="CX575" s="371">
        <f t="shared" si="7275"/>
        <v>0</v>
      </c>
      <c r="CY575" s="371">
        <f t="shared" si="7275"/>
        <v>0</v>
      </c>
      <c r="CZ575" s="371">
        <f t="shared" si="7275"/>
        <v>0</v>
      </c>
      <c r="DA575" s="371">
        <f t="shared" si="7275"/>
        <v>0</v>
      </c>
      <c r="DB575" s="371">
        <f t="shared" si="7275"/>
        <v>0</v>
      </c>
      <c r="DC575" s="204">
        <f t="shared" si="7275"/>
        <v>0</v>
      </c>
    </row>
    <row r="576" spans="3:107" ht="13.5" thickTop="1" x14ac:dyDescent="0.3">
      <c r="C576" s="321" t="s">
        <v>68</v>
      </c>
      <c r="G576" s="214" t="str">
        <f>++IFERROR(G575/G560,"n/a")</f>
        <v>n/a</v>
      </c>
      <c r="H576" s="225" t="str">
        <f t="shared" ref="H576:BS576" si="7276">++IFERROR(H575/H560,"n/a")</f>
        <v>n/a</v>
      </c>
      <c r="I576" s="225" t="str">
        <f t="shared" si="7276"/>
        <v>n/a</v>
      </c>
      <c r="J576" s="225" t="str">
        <f t="shared" si="7276"/>
        <v>n/a</v>
      </c>
      <c r="K576" s="214" t="str">
        <f t="shared" si="7276"/>
        <v>n/a</v>
      </c>
      <c r="L576" s="225" t="str">
        <f t="shared" si="7276"/>
        <v>n/a</v>
      </c>
      <c r="M576" s="225" t="str">
        <f t="shared" si="7276"/>
        <v>n/a</v>
      </c>
      <c r="N576" s="225" t="str">
        <f t="shared" si="7276"/>
        <v>n/a</v>
      </c>
      <c r="O576" s="225" t="str">
        <f t="shared" si="7276"/>
        <v>n/a</v>
      </c>
      <c r="P576" s="225" t="str">
        <f t="shared" si="7276"/>
        <v>n/a</v>
      </c>
      <c r="Q576" s="225" t="str">
        <f t="shared" si="7276"/>
        <v>n/a</v>
      </c>
      <c r="R576" s="225" t="str">
        <f t="shared" si="7276"/>
        <v>n/a</v>
      </c>
      <c r="S576" s="225" t="str">
        <f t="shared" si="7276"/>
        <v>n/a</v>
      </c>
      <c r="T576" s="225" t="str">
        <f t="shared" si="7276"/>
        <v>n/a</v>
      </c>
      <c r="U576" s="225" t="str">
        <f t="shared" si="7276"/>
        <v>n/a</v>
      </c>
      <c r="V576" s="225" t="str">
        <f t="shared" si="7276"/>
        <v>n/a</v>
      </c>
      <c r="W576" s="214" t="str">
        <f t="shared" si="7276"/>
        <v>n/a</v>
      </c>
      <c r="X576" s="225" t="str">
        <f t="shared" si="7276"/>
        <v>n/a</v>
      </c>
      <c r="Y576" s="225" t="str">
        <f t="shared" si="7276"/>
        <v>n/a</v>
      </c>
      <c r="Z576" s="225" t="str">
        <f t="shared" si="7276"/>
        <v>n/a</v>
      </c>
      <c r="AA576" s="225" t="str">
        <f t="shared" si="7276"/>
        <v>n/a</v>
      </c>
      <c r="AB576" s="225" t="str">
        <f t="shared" si="7276"/>
        <v>n/a</v>
      </c>
      <c r="AC576" s="225" t="str">
        <f t="shared" si="7276"/>
        <v>n/a</v>
      </c>
      <c r="AD576" s="225" t="str">
        <f t="shared" si="7276"/>
        <v>n/a</v>
      </c>
      <c r="AE576" s="225" t="str">
        <f t="shared" si="7276"/>
        <v>n/a</v>
      </c>
      <c r="AF576" s="225" t="str">
        <f t="shared" si="7276"/>
        <v>n/a</v>
      </c>
      <c r="AG576" s="225" t="str">
        <f t="shared" si="7276"/>
        <v>n/a</v>
      </c>
      <c r="AH576" s="225" t="str">
        <f t="shared" si="7276"/>
        <v>n/a</v>
      </c>
      <c r="AI576" s="214" t="str">
        <f t="shared" si="7276"/>
        <v>n/a</v>
      </c>
      <c r="AJ576" s="225" t="str">
        <f t="shared" si="7276"/>
        <v>n/a</v>
      </c>
      <c r="AK576" s="225" t="str">
        <f t="shared" si="7276"/>
        <v>n/a</v>
      </c>
      <c r="AL576" s="225" t="str">
        <f t="shared" si="7276"/>
        <v>n/a</v>
      </c>
      <c r="AM576" s="225" t="str">
        <f t="shared" si="7276"/>
        <v>n/a</v>
      </c>
      <c r="AN576" s="225" t="str">
        <f t="shared" si="7276"/>
        <v>n/a</v>
      </c>
      <c r="AO576" s="225" t="str">
        <f t="shared" si="7276"/>
        <v>n/a</v>
      </c>
      <c r="AP576" s="225" t="str">
        <f t="shared" si="7276"/>
        <v>n/a</v>
      </c>
      <c r="AQ576" s="225" t="str">
        <f t="shared" si="7276"/>
        <v>n/a</v>
      </c>
      <c r="AR576" s="225" t="str">
        <f t="shared" si="7276"/>
        <v>n/a</v>
      </c>
      <c r="AS576" s="225" t="str">
        <f t="shared" si="7276"/>
        <v>n/a</v>
      </c>
      <c r="AT576" s="225" t="str">
        <f t="shared" si="7276"/>
        <v>n/a</v>
      </c>
      <c r="AU576" s="214" t="str">
        <f t="shared" si="7276"/>
        <v>n/a</v>
      </c>
      <c r="AV576" s="225" t="str">
        <f t="shared" si="7276"/>
        <v>n/a</v>
      </c>
      <c r="AW576" s="225" t="str">
        <f t="shared" si="7276"/>
        <v>n/a</v>
      </c>
      <c r="AX576" s="225" t="str">
        <f t="shared" si="7276"/>
        <v>n/a</v>
      </c>
      <c r="AY576" s="225" t="str">
        <f t="shared" si="7276"/>
        <v>n/a</v>
      </c>
      <c r="AZ576" s="225" t="str">
        <f t="shared" si="7276"/>
        <v>n/a</v>
      </c>
      <c r="BA576" s="225" t="str">
        <f t="shared" si="7276"/>
        <v>n/a</v>
      </c>
      <c r="BB576" s="225" t="str">
        <f t="shared" si="7276"/>
        <v>n/a</v>
      </c>
      <c r="BC576" s="225" t="str">
        <f t="shared" si="7276"/>
        <v>n/a</v>
      </c>
      <c r="BD576" s="225" t="str">
        <f t="shared" si="7276"/>
        <v>n/a</v>
      </c>
      <c r="BE576" s="225" t="str">
        <f t="shared" si="7276"/>
        <v>n/a</v>
      </c>
      <c r="BF576" s="225" t="str">
        <f t="shared" si="7276"/>
        <v>n/a</v>
      </c>
      <c r="BG576" s="214" t="str">
        <f t="shared" si="7276"/>
        <v>n/a</v>
      </c>
      <c r="BH576" s="225" t="str">
        <f t="shared" si="7276"/>
        <v>n/a</v>
      </c>
      <c r="BI576" s="225" t="str">
        <f t="shared" si="7276"/>
        <v>n/a</v>
      </c>
      <c r="BJ576" s="225" t="str">
        <f t="shared" si="7276"/>
        <v>n/a</v>
      </c>
      <c r="BK576" s="225" t="str">
        <f t="shared" si="7276"/>
        <v>n/a</v>
      </c>
      <c r="BL576" s="225" t="str">
        <f t="shared" si="7276"/>
        <v>n/a</v>
      </c>
      <c r="BM576" s="225" t="str">
        <f t="shared" si="7276"/>
        <v>n/a</v>
      </c>
      <c r="BN576" s="225" t="str">
        <f t="shared" si="7276"/>
        <v>n/a</v>
      </c>
      <c r="BO576" s="225" t="str">
        <f t="shared" si="7276"/>
        <v>n/a</v>
      </c>
      <c r="BP576" s="225" t="str">
        <f t="shared" si="7276"/>
        <v>n/a</v>
      </c>
      <c r="BQ576" s="225" t="str">
        <f t="shared" si="7276"/>
        <v>n/a</v>
      </c>
      <c r="BR576" s="225" t="str">
        <f t="shared" si="7276"/>
        <v>n/a</v>
      </c>
      <c r="BS576" s="214" t="str">
        <f t="shared" si="7276"/>
        <v>n/a</v>
      </c>
      <c r="BT576" s="225" t="str">
        <f t="shared" ref="BT576:DC576" si="7277">++IFERROR(BT575/BT560,"n/a")</f>
        <v>n/a</v>
      </c>
      <c r="BU576" s="225" t="str">
        <f t="shared" si="7277"/>
        <v>n/a</v>
      </c>
      <c r="BV576" s="225" t="str">
        <f t="shared" si="7277"/>
        <v>n/a</v>
      </c>
      <c r="BW576" s="225" t="str">
        <f t="shared" si="7277"/>
        <v>n/a</v>
      </c>
      <c r="BX576" s="225" t="str">
        <f t="shared" si="7277"/>
        <v>n/a</v>
      </c>
      <c r="BY576" s="225" t="str">
        <f t="shared" si="7277"/>
        <v>n/a</v>
      </c>
      <c r="BZ576" s="225" t="str">
        <f t="shared" si="7277"/>
        <v>n/a</v>
      </c>
      <c r="CA576" s="225" t="str">
        <f t="shared" si="7277"/>
        <v>n/a</v>
      </c>
      <c r="CB576" s="225" t="str">
        <f t="shared" si="7277"/>
        <v>n/a</v>
      </c>
      <c r="CC576" s="225" t="str">
        <f t="shared" si="7277"/>
        <v>n/a</v>
      </c>
      <c r="CD576" s="225" t="str">
        <f t="shared" si="7277"/>
        <v>n/a</v>
      </c>
      <c r="CE576" s="214" t="str">
        <f t="shared" si="7277"/>
        <v>n/a</v>
      </c>
      <c r="CF576" s="225" t="str">
        <f t="shared" si="7277"/>
        <v>n/a</v>
      </c>
      <c r="CG576" s="225" t="str">
        <f t="shared" si="7277"/>
        <v>n/a</v>
      </c>
      <c r="CH576" s="225" t="str">
        <f t="shared" si="7277"/>
        <v>n/a</v>
      </c>
      <c r="CI576" s="225" t="str">
        <f t="shared" si="7277"/>
        <v>n/a</v>
      </c>
      <c r="CJ576" s="225" t="str">
        <f t="shared" si="7277"/>
        <v>n/a</v>
      </c>
      <c r="CK576" s="225" t="str">
        <f t="shared" si="7277"/>
        <v>n/a</v>
      </c>
      <c r="CL576" s="225" t="str">
        <f t="shared" si="7277"/>
        <v>n/a</v>
      </c>
      <c r="CM576" s="225" t="str">
        <f t="shared" si="7277"/>
        <v>n/a</v>
      </c>
      <c r="CN576" s="225" t="str">
        <f t="shared" si="7277"/>
        <v>n/a</v>
      </c>
      <c r="CO576" s="225" t="str">
        <f t="shared" si="7277"/>
        <v>n/a</v>
      </c>
      <c r="CP576" s="225" t="str">
        <f t="shared" si="7277"/>
        <v>n/a</v>
      </c>
      <c r="CQ576" s="214" t="str">
        <f t="shared" si="7277"/>
        <v>n/a</v>
      </c>
      <c r="CR576" s="225" t="str">
        <f t="shared" si="7277"/>
        <v>n/a</v>
      </c>
      <c r="CS576" s="225" t="str">
        <f t="shared" si="7277"/>
        <v>n/a</v>
      </c>
      <c r="CT576" s="225" t="str">
        <f t="shared" si="7277"/>
        <v>n/a</v>
      </c>
      <c r="CU576" s="225" t="str">
        <f t="shared" si="7277"/>
        <v>n/a</v>
      </c>
      <c r="CV576" s="225" t="str">
        <f t="shared" si="7277"/>
        <v>n/a</v>
      </c>
      <c r="CW576" s="225" t="str">
        <f t="shared" si="7277"/>
        <v>n/a</v>
      </c>
      <c r="CX576" s="225" t="str">
        <f t="shared" si="7277"/>
        <v>n/a</v>
      </c>
      <c r="CY576" s="225" t="str">
        <f t="shared" si="7277"/>
        <v>n/a</v>
      </c>
      <c r="CZ576" s="225" t="str">
        <f t="shared" si="7277"/>
        <v>n/a</v>
      </c>
      <c r="DA576" s="225" t="str">
        <f t="shared" si="7277"/>
        <v>n/a</v>
      </c>
      <c r="DB576" s="225" t="str">
        <f t="shared" si="7277"/>
        <v>n/a</v>
      </c>
      <c r="DC576" s="214" t="str">
        <f t="shared" si="7277"/>
        <v>n/a</v>
      </c>
    </row>
    <row r="577" spans="1:107" x14ac:dyDescent="0.3">
      <c r="G577" s="203"/>
      <c r="K577" s="203"/>
      <c r="W577" s="203"/>
      <c r="AI577" s="203"/>
      <c r="AU577" s="203"/>
      <c r="BG577" s="203"/>
      <c r="BS577" s="203"/>
      <c r="CE577" s="203"/>
      <c r="CQ577" s="203"/>
      <c r="DC577" s="203"/>
    </row>
    <row r="578" spans="1:107" x14ac:dyDescent="0.3">
      <c r="C578" s="101" t="s">
        <v>72</v>
      </c>
      <c r="G578" s="405" cm="1">
        <f t="array" ref="G578">++IFERROR(SUM(G563:G564,-G570:G571)/G560*G558,0)</f>
        <v>0</v>
      </c>
      <c r="H578" s="118" cm="1">
        <f t="array" ref="H578">++IFERROR(SUM(H563:H564,-H570:H571)/H560*H558,0)</f>
        <v>0</v>
      </c>
      <c r="I578" s="118" cm="1">
        <f t="array" ref="I578">++IFERROR(SUM(I563:I564,-I570:I571)/I560*I558,0)</f>
        <v>0</v>
      </c>
      <c r="J578" s="118" cm="1">
        <f t="array" ref="J578">++IFERROR(SUM(J563:J564,-J570:J571)/J560*J558,0)</f>
        <v>0</v>
      </c>
      <c r="K578" s="405" cm="1">
        <f t="array" ref="K578">++IFERROR(SUM(K563:K564,-K570:K571)/K560*K558,0)</f>
        <v>0</v>
      </c>
      <c r="L578" s="118" cm="1">
        <f t="array" ref="L578">++IFERROR(SUM(L563:L564,-L570:L571)/L560*L558,0)</f>
        <v>0</v>
      </c>
      <c r="M578" s="118" cm="1">
        <f t="array" ref="M578">++IFERROR(SUM(M563:M564,-M570:M571)/M560*M558,0)</f>
        <v>0</v>
      </c>
      <c r="N578" s="118" cm="1">
        <f t="array" ref="N578">++IFERROR(SUM(N563:N564,-N570:N571)/N560*N558,0)</f>
        <v>0</v>
      </c>
      <c r="O578" s="118" cm="1">
        <f t="array" ref="O578">++IFERROR(SUM(O563:O564,-O570:O571)/O560*O558,0)</f>
        <v>0</v>
      </c>
      <c r="P578" s="118" cm="1">
        <f t="array" ref="P578">++IFERROR(SUM(P563:P564,-P570:P571)/P560*P558,0)</f>
        <v>0</v>
      </c>
      <c r="Q578" s="118" cm="1">
        <f t="array" ref="Q578">++IFERROR(SUM(Q563:Q564,-Q570:Q571)/Q560*Q558,0)</f>
        <v>0</v>
      </c>
      <c r="R578" s="118" cm="1">
        <f t="array" ref="R578">++IFERROR(SUM(R563:R564,-R570:R571)/R560*R558,0)</f>
        <v>0</v>
      </c>
      <c r="S578" s="118" cm="1">
        <f t="array" ref="S578">++IFERROR(SUM(S563:S564,-S570:S571)/S560*S558,0)</f>
        <v>0</v>
      </c>
      <c r="T578" s="118" cm="1">
        <f t="array" ref="T578">++IFERROR(SUM(T563:T564,-T570:T571)/T560*T558,0)</f>
        <v>0</v>
      </c>
      <c r="U578" s="118" cm="1">
        <f t="array" ref="U578">++IFERROR(SUM(U563:U564,-U570:U571)/U560*U558,0)</f>
        <v>0</v>
      </c>
      <c r="V578" s="118" cm="1">
        <f t="array" ref="V578">++IFERROR(SUM(V563:V564,-V570:V571)/V560*V558,0)</f>
        <v>0</v>
      </c>
      <c r="W578" s="405" cm="1">
        <f t="array" ref="W578">++IFERROR(SUM(W563:W564,-W570:W571)/W560*W558,0)</f>
        <v>0</v>
      </c>
      <c r="X578" s="118" cm="1">
        <f t="array" ref="X578">++IFERROR(SUM(X563:X564,-X570:X571)/X560*X558,0)</f>
        <v>0</v>
      </c>
      <c r="Y578" s="118" cm="1">
        <f t="array" ref="Y578">++IFERROR(SUM(Y563:Y564,-Y570:Y571)/Y560*Y558,0)</f>
        <v>0</v>
      </c>
      <c r="Z578" s="118" cm="1">
        <f t="array" ref="Z578">++IFERROR(SUM(Z563:Z564,-Z570:Z571)/Z560*Z558,0)</f>
        <v>0</v>
      </c>
      <c r="AA578" s="118" cm="1">
        <f t="array" ref="AA578">++IFERROR(SUM(AA563:AA564,-AA570:AA571)/AA560*AA558,0)</f>
        <v>0</v>
      </c>
      <c r="AB578" s="118" cm="1">
        <f t="array" ref="AB578">++IFERROR(SUM(AB563:AB564,-AB570:AB571)/AB560*AB558,0)</f>
        <v>0</v>
      </c>
      <c r="AC578" s="118" cm="1">
        <f t="array" ref="AC578">++IFERROR(SUM(AC563:AC564,-AC570:AC571)/AC560*AC558,0)</f>
        <v>0</v>
      </c>
      <c r="AD578" s="118" cm="1">
        <f t="array" ref="AD578">++IFERROR(SUM(AD563:AD564,-AD570:AD571)/AD560*AD558,0)</f>
        <v>0</v>
      </c>
      <c r="AE578" s="118" cm="1">
        <f t="array" ref="AE578">++IFERROR(SUM(AE563:AE564,-AE570:AE571)/AE560*AE558,0)</f>
        <v>0</v>
      </c>
      <c r="AF578" s="118" cm="1">
        <f t="array" ref="AF578">++IFERROR(SUM(AF563:AF564,-AF570:AF571)/AF560*AF558,0)</f>
        <v>0</v>
      </c>
      <c r="AG578" s="118" cm="1">
        <f t="array" ref="AG578">++IFERROR(SUM(AG563:AG564,-AG570:AG571)/AG560*AG558,0)</f>
        <v>0</v>
      </c>
      <c r="AH578" s="118" cm="1">
        <f t="array" ref="AH578">++IFERROR(SUM(AH563:AH564,-AH570:AH571)/AH560*AH558,0)</f>
        <v>0</v>
      </c>
      <c r="AI578" s="405" cm="1">
        <f t="array" ref="AI578">++IFERROR(SUM(AI563:AI564,-AI570:AI571)/AI560*AI558,0)</f>
        <v>0</v>
      </c>
      <c r="AJ578" s="118" cm="1">
        <f t="array" ref="AJ578">++IFERROR(SUM(AJ563:AJ564,-AJ570:AJ571)/AJ560*AJ558,0)</f>
        <v>0</v>
      </c>
      <c r="AK578" s="118" cm="1">
        <f t="array" ref="AK578">++IFERROR(SUM(AK563:AK564,-AK570:AK571)/AK560*AK558,0)</f>
        <v>0</v>
      </c>
      <c r="AL578" s="118" cm="1">
        <f t="array" ref="AL578">++IFERROR(SUM(AL563:AL564,-AL570:AL571)/AL560*AL558,0)</f>
        <v>0</v>
      </c>
      <c r="AM578" s="118" cm="1">
        <f t="array" ref="AM578">++IFERROR(SUM(AM563:AM564,-AM570:AM571)/AM560*AM558,0)</f>
        <v>0</v>
      </c>
      <c r="AN578" s="118" cm="1">
        <f t="array" ref="AN578">++IFERROR(SUM(AN563:AN564,-AN570:AN571)/AN560*AN558,0)</f>
        <v>0</v>
      </c>
      <c r="AO578" s="118" cm="1">
        <f t="array" ref="AO578">++IFERROR(SUM(AO563:AO564,-AO570:AO571)/AO560*AO558,0)</f>
        <v>0</v>
      </c>
      <c r="AP578" s="118" cm="1">
        <f t="array" ref="AP578">++IFERROR(SUM(AP563:AP564,-AP570:AP571)/AP560*AP558,0)</f>
        <v>0</v>
      </c>
      <c r="AQ578" s="118" cm="1">
        <f t="array" ref="AQ578">++IFERROR(SUM(AQ563:AQ564,-AQ570:AQ571)/AQ560*AQ558,0)</f>
        <v>0</v>
      </c>
      <c r="AR578" s="118" cm="1">
        <f t="array" ref="AR578">++IFERROR(SUM(AR563:AR564,-AR570:AR571)/AR560*AR558,0)</f>
        <v>0</v>
      </c>
      <c r="AS578" s="118" cm="1">
        <f t="array" ref="AS578">++IFERROR(SUM(AS563:AS564,-AS570:AS571)/AS560*AS558,0)</f>
        <v>0</v>
      </c>
      <c r="AT578" s="118" cm="1">
        <f t="array" ref="AT578">++IFERROR(SUM(AT563:AT564,-AT570:AT571)/AT560*AT558,0)</f>
        <v>0</v>
      </c>
      <c r="AU578" s="405" cm="1">
        <f t="array" ref="AU578">++IFERROR(SUM(AU563:AU564,-AU570:AU571)/AU560*AU558,0)</f>
        <v>0</v>
      </c>
      <c r="AV578" s="118" cm="1">
        <f t="array" ref="AV578">++IFERROR(SUM(AV563:AV564,-AV570:AV571)/AV560*AV558,0)</f>
        <v>0</v>
      </c>
      <c r="AW578" s="118" cm="1">
        <f t="array" ref="AW578">++IFERROR(SUM(AW563:AW564,-AW570:AW571)/AW560*AW558,0)</f>
        <v>0</v>
      </c>
      <c r="AX578" s="118" cm="1">
        <f t="array" ref="AX578">++IFERROR(SUM(AX563:AX564,-AX570:AX571)/AX560*AX558,0)</f>
        <v>0</v>
      </c>
      <c r="AY578" s="118" cm="1">
        <f t="array" ref="AY578">++IFERROR(SUM(AY563:AY564,-AY570:AY571)/AY560*AY558,0)</f>
        <v>0</v>
      </c>
      <c r="AZ578" s="118" cm="1">
        <f t="array" ref="AZ578">++IFERROR(SUM(AZ563:AZ564,-AZ570:AZ571)/AZ560*AZ558,0)</f>
        <v>0</v>
      </c>
      <c r="BA578" s="118" cm="1">
        <f t="array" ref="BA578">++IFERROR(SUM(BA563:BA564,-BA570:BA571)/BA560*BA558,0)</f>
        <v>0</v>
      </c>
      <c r="BB578" s="118" cm="1">
        <f t="array" ref="BB578">++IFERROR(SUM(BB563:BB564,-BB570:BB571)/BB560*BB558,0)</f>
        <v>0</v>
      </c>
      <c r="BC578" s="118" cm="1">
        <f t="array" ref="BC578">++IFERROR(SUM(BC563:BC564,-BC570:BC571)/BC560*BC558,0)</f>
        <v>0</v>
      </c>
      <c r="BD578" s="118" cm="1">
        <f t="array" ref="BD578">++IFERROR(SUM(BD563:BD564,-BD570:BD571)/BD560*BD558,0)</f>
        <v>0</v>
      </c>
      <c r="BE578" s="118" cm="1">
        <f t="array" ref="BE578">++IFERROR(SUM(BE563:BE564,-BE570:BE571)/BE560*BE558,0)</f>
        <v>0</v>
      </c>
      <c r="BF578" s="118" cm="1">
        <f t="array" ref="BF578">++IFERROR(SUM(BF563:BF564,-BF570:BF571)/BF560*BF558,0)</f>
        <v>0</v>
      </c>
      <c r="BG578" s="405" cm="1">
        <f t="array" ref="BG578">++IFERROR(SUM(BG563:BG564,-BG570:BG571)/BG560*BG558,0)</f>
        <v>0</v>
      </c>
      <c r="BH578" s="118" cm="1">
        <f t="array" ref="BH578">++IFERROR(SUM(BH563:BH564,-BH570:BH571)/BH560*BH558,0)</f>
        <v>0</v>
      </c>
      <c r="BI578" s="118" cm="1">
        <f t="array" ref="BI578">++IFERROR(SUM(BI563:BI564,-BI570:BI571)/BI560*BI558,0)</f>
        <v>0</v>
      </c>
      <c r="BJ578" s="118" cm="1">
        <f t="array" ref="BJ578">++IFERROR(SUM(BJ563:BJ564,-BJ570:BJ571)/BJ560*BJ558,0)</f>
        <v>0</v>
      </c>
      <c r="BK578" s="118" cm="1">
        <f t="array" ref="BK578">++IFERROR(SUM(BK563:BK564,-BK570:BK571)/BK560*BK558,0)</f>
        <v>0</v>
      </c>
      <c r="BL578" s="118" cm="1">
        <f t="array" ref="BL578">++IFERROR(SUM(BL563:BL564,-BL570:BL571)/BL560*BL558,0)</f>
        <v>0</v>
      </c>
      <c r="BM578" s="118" cm="1">
        <f t="array" ref="BM578">++IFERROR(SUM(BM563:BM564,-BM570:BM571)/BM560*BM558,0)</f>
        <v>0</v>
      </c>
      <c r="BN578" s="118" cm="1">
        <f t="array" ref="BN578">++IFERROR(SUM(BN563:BN564,-BN570:BN571)/BN560*BN558,0)</f>
        <v>0</v>
      </c>
      <c r="BO578" s="118" cm="1">
        <f t="array" ref="BO578">++IFERROR(SUM(BO563:BO564,-BO570:BO571)/BO560*BO558,0)</f>
        <v>0</v>
      </c>
      <c r="BP578" s="118" cm="1">
        <f t="array" ref="BP578">++IFERROR(SUM(BP563:BP564,-BP570:BP571)/BP560*BP558,0)</f>
        <v>0</v>
      </c>
      <c r="BQ578" s="118" cm="1">
        <f t="array" ref="BQ578">++IFERROR(SUM(BQ563:BQ564,-BQ570:BQ571)/BQ560*BQ558,0)</f>
        <v>0</v>
      </c>
      <c r="BR578" s="118" cm="1">
        <f t="array" ref="BR578">++IFERROR(SUM(BR563:BR564,-BR570:BR571)/BR560*BR558,0)</f>
        <v>0</v>
      </c>
      <c r="BS578" s="405" cm="1">
        <f t="array" ref="BS578">++IFERROR(SUM(BS563:BS564,-BS570:BS571)/BS560*BS558,0)</f>
        <v>0</v>
      </c>
      <c r="BT578" s="118" cm="1">
        <f t="array" ref="BT578">++IFERROR(SUM(BT563:BT564,-BT570:BT571)/BT560*BT558,0)</f>
        <v>0</v>
      </c>
      <c r="BU578" s="118" cm="1">
        <f t="array" ref="BU578">++IFERROR(SUM(BU563:BU564,-BU570:BU571)/BU560*BU558,0)</f>
        <v>0</v>
      </c>
      <c r="BV578" s="118" cm="1">
        <f t="array" ref="BV578">++IFERROR(SUM(BV563:BV564,-BV570:BV571)/BV560*BV558,0)</f>
        <v>0</v>
      </c>
      <c r="BW578" s="118" cm="1">
        <f t="array" ref="BW578">++IFERROR(SUM(BW563:BW564,-BW570:BW571)/BW560*BW558,0)</f>
        <v>0</v>
      </c>
      <c r="BX578" s="118" cm="1">
        <f t="array" ref="BX578">++IFERROR(SUM(BX563:BX564,-BX570:BX571)/BX560*BX558,0)</f>
        <v>0</v>
      </c>
      <c r="BY578" s="118" cm="1">
        <f t="array" ref="BY578">++IFERROR(SUM(BY563:BY564,-BY570:BY571)/BY560*BY558,0)</f>
        <v>0</v>
      </c>
      <c r="BZ578" s="118" cm="1">
        <f t="array" ref="BZ578">++IFERROR(SUM(BZ563:BZ564,-BZ570:BZ571)/BZ560*BZ558,0)</f>
        <v>0</v>
      </c>
      <c r="CA578" s="118" cm="1">
        <f t="array" ref="CA578">++IFERROR(SUM(CA563:CA564,-CA570:CA571)/CA560*CA558,0)</f>
        <v>0</v>
      </c>
      <c r="CB578" s="118" cm="1">
        <f t="array" ref="CB578">++IFERROR(SUM(CB563:CB564,-CB570:CB571)/CB560*CB558,0)</f>
        <v>0</v>
      </c>
      <c r="CC578" s="118" cm="1">
        <f t="array" ref="CC578">++IFERROR(SUM(CC563:CC564,-CC570:CC571)/CC560*CC558,0)</f>
        <v>0</v>
      </c>
      <c r="CD578" s="118" cm="1">
        <f t="array" ref="CD578">++IFERROR(SUM(CD563:CD564,-CD570:CD571)/CD560*CD558,0)</f>
        <v>0</v>
      </c>
      <c r="CE578" s="405" cm="1">
        <f t="array" ref="CE578">++IFERROR(SUM(CE563:CE564,-CE570:CE571)/CE560*CE558,0)</f>
        <v>0</v>
      </c>
      <c r="CF578" s="118" cm="1">
        <f t="array" ref="CF578">++IFERROR(SUM(CF563:CF564,-CF570:CF571)/CF560*CF558,0)</f>
        <v>0</v>
      </c>
      <c r="CG578" s="118" cm="1">
        <f t="array" ref="CG578">++IFERROR(SUM(CG563:CG564,-CG570:CG571)/CG560*CG558,0)</f>
        <v>0</v>
      </c>
      <c r="CH578" s="118" cm="1">
        <f t="array" ref="CH578">++IFERROR(SUM(CH563:CH564,-CH570:CH571)/CH560*CH558,0)</f>
        <v>0</v>
      </c>
      <c r="CI578" s="118" cm="1">
        <f t="array" ref="CI578">++IFERROR(SUM(CI563:CI564,-CI570:CI571)/CI560*CI558,0)</f>
        <v>0</v>
      </c>
      <c r="CJ578" s="118" cm="1">
        <f t="array" ref="CJ578">++IFERROR(SUM(CJ563:CJ564,-CJ570:CJ571)/CJ560*CJ558,0)</f>
        <v>0</v>
      </c>
      <c r="CK578" s="118" cm="1">
        <f t="array" ref="CK578">++IFERROR(SUM(CK563:CK564,-CK570:CK571)/CK560*CK558,0)</f>
        <v>0</v>
      </c>
      <c r="CL578" s="118" cm="1">
        <f t="array" ref="CL578">++IFERROR(SUM(CL563:CL564,-CL570:CL571)/CL560*CL558,0)</f>
        <v>0</v>
      </c>
      <c r="CM578" s="118" cm="1">
        <f t="array" ref="CM578">++IFERROR(SUM(CM563:CM564,-CM570:CM571)/CM560*CM558,0)</f>
        <v>0</v>
      </c>
      <c r="CN578" s="118" cm="1">
        <f t="array" ref="CN578">++IFERROR(SUM(CN563:CN564,-CN570:CN571)/CN560*CN558,0)</f>
        <v>0</v>
      </c>
      <c r="CO578" s="118" cm="1">
        <f t="array" ref="CO578">++IFERROR(SUM(CO563:CO564,-CO570:CO571)/CO560*CO558,0)</f>
        <v>0</v>
      </c>
      <c r="CP578" s="118" cm="1">
        <f t="array" ref="CP578">++IFERROR(SUM(CP563:CP564,-CP570:CP571)/CP560*CP558,0)</f>
        <v>0</v>
      </c>
      <c r="CQ578" s="405" cm="1">
        <f t="array" ref="CQ578">++IFERROR(SUM(CQ563:CQ564,-CQ570:CQ571)/CQ560*CQ558,0)</f>
        <v>0</v>
      </c>
      <c r="CR578" s="118" cm="1">
        <f t="array" ref="CR578">++IFERROR(SUM(CR563:CR564,-CR570:CR571)/CR560*CR558,0)</f>
        <v>0</v>
      </c>
      <c r="CS578" s="118" cm="1">
        <f t="array" ref="CS578">++IFERROR(SUM(CS563:CS564,-CS570:CS571)/CS560*CS558,0)</f>
        <v>0</v>
      </c>
      <c r="CT578" s="118" cm="1">
        <f t="array" ref="CT578">++IFERROR(SUM(CT563:CT564,-CT570:CT571)/CT560*CT558,0)</f>
        <v>0</v>
      </c>
      <c r="CU578" s="118" cm="1">
        <f t="array" ref="CU578">++IFERROR(SUM(CU563:CU564,-CU570:CU571)/CU560*CU558,0)</f>
        <v>0</v>
      </c>
      <c r="CV578" s="118" cm="1">
        <f t="array" ref="CV578">++IFERROR(SUM(CV563:CV564,-CV570:CV571)/CV560*CV558,0)</f>
        <v>0</v>
      </c>
      <c r="CW578" s="118" cm="1">
        <f t="array" ref="CW578">++IFERROR(SUM(CW563:CW564,-CW570:CW571)/CW560*CW558,0)</f>
        <v>0</v>
      </c>
      <c r="CX578" s="118" cm="1">
        <f t="array" ref="CX578">++IFERROR(SUM(CX563:CX564,-CX570:CX571)/CX560*CX558,0)</f>
        <v>0</v>
      </c>
      <c r="CY578" s="118" cm="1">
        <f t="array" ref="CY578">++IFERROR(SUM(CY563:CY564,-CY570:CY571)/CY560*CY558,0)</f>
        <v>0</v>
      </c>
      <c r="CZ578" s="118" cm="1">
        <f t="array" ref="CZ578">++IFERROR(SUM(CZ563:CZ564,-CZ570:CZ571)/CZ560*CZ558,0)</f>
        <v>0</v>
      </c>
      <c r="DA578" s="118" cm="1">
        <f t="array" ref="DA578">++IFERROR(SUM(DA563:DA564,-DA570:DA571)/DA560*DA558,0)</f>
        <v>0</v>
      </c>
      <c r="DB578" s="118" cm="1">
        <f t="array" ref="DB578">++IFERROR(SUM(DB563:DB564,-DB570:DB571)/DB560*DB558,0)</f>
        <v>0</v>
      </c>
      <c r="DC578" s="405" cm="1">
        <f t="array" ref="DC578">++IFERROR(SUM(DC563:DC564,-DC570:DC571)/DC560*DC558,0)</f>
        <v>0</v>
      </c>
    </row>
    <row r="579" spans="1:107" x14ac:dyDescent="0.3">
      <c r="C579" s="101" t="s">
        <v>73</v>
      </c>
      <c r="G579" s="405">
        <f>++IFERROR(G565/G561*G558,0)</f>
        <v>0</v>
      </c>
      <c r="H579" s="118">
        <f t="shared" ref="H579:BS579" si="7278">++IFERROR(H565/H561*H558,0)</f>
        <v>0</v>
      </c>
      <c r="I579" s="118">
        <f t="shared" si="7278"/>
        <v>0</v>
      </c>
      <c r="J579" s="118">
        <f t="shared" si="7278"/>
        <v>0</v>
      </c>
      <c r="K579" s="405">
        <f t="shared" si="7278"/>
        <v>0</v>
      </c>
      <c r="L579" s="118">
        <f t="shared" si="7278"/>
        <v>0</v>
      </c>
      <c r="M579" s="118">
        <f t="shared" si="7278"/>
        <v>0</v>
      </c>
      <c r="N579" s="118">
        <f t="shared" si="7278"/>
        <v>0</v>
      </c>
      <c r="O579" s="118">
        <f t="shared" si="7278"/>
        <v>0</v>
      </c>
      <c r="P579" s="118">
        <f t="shared" si="7278"/>
        <v>0</v>
      </c>
      <c r="Q579" s="118">
        <f t="shared" si="7278"/>
        <v>0</v>
      </c>
      <c r="R579" s="118">
        <f t="shared" si="7278"/>
        <v>0</v>
      </c>
      <c r="S579" s="118">
        <f t="shared" si="7278"/>
        <v>0</v>
      </c>
      <c r="T579" s="118">
        <f t="shared" si="7278"/>
        <v>0</v>
      </c>
      <c r="U579" s="118">
        <f t="shared" si="7278"/>
        <v>0</v>
      </c>
      <c r="V579" s="118">
        <f t="shared" si="7278"/>
        <v>0</v>
      </c>
      <c r="W579" s="405">
        <f t="shared" si="7278"/>
        <v>0</v>
      </c>
      <c r="X579" s="118">
        <f t="shared" si="7278"/>
        <v>0</v>
      </c>
      <c r="Y579" s="118">
        <f t="shared" si="7278"/>
        <v>0</v>
      </c>
      <c r="Z579" s="118">
        <f t="shared" si="7278"/>
        <v>0</v>
      </c>
      <c r="AA579" s="118">
        <f t="shared" si="7278"/>
        <v>0</v>
      </c>
      <c r="AB579" s="118">
        <f t="shared" si="7278"/>
        <v>0</v>
      </c>
      <c r="AC579" s="118">
        <f t="shared" si="7278"/>
        <v>0</v>
      </c>
      <c r="AD579" s="118">
        <f t="shared" si="7278"/>
        <v>0</v>
      </c>
      <c r="AE579" s="118">
        <f t="shared" si="7278"/>
        <v>0</v>
      </c>
      <c r="AF579" s="118">
        <f t="shared" si="7278"/>
        <v>0</v>
      </c>
      <c r="AG579" s="118">
        <f t="shared" si="7278"/>
        <v>0</v>
      </c>
      <c r="AH579" s="118">
        <f t="shared" si="7278"/>
        <v>0</v>
      </c>
      <c r="AI579" s="405">
        <f t="shared" si="7278"/>
        <v>0</v>
      </c>
      <c r="AJ579" s="118">
        <f t="shared" si="7278"/>
        <v>0</v>
      </c>
      <c r="AK579" s="118">
        <f t="shared" si="7278"/>
        <v>0</v>
      </c>
      <c r="AL579" s="118">
        <f t="shared" si="7278"/>
        <v>0</v>
      </c>
      <c r="AM579" s="118">
        <f t="shared" si="7278"/>
        <v>0</v>
      </c>
      <c r="AN579" s="118">
        <f t="shared" si="7278"/>
        <v>0</v>
      </c>
      <c r="AO579" s="118">
        <f t="shared" si="7278"/>
        <v>0</v>
      </c>
      <c r="AP579" s="118">
        <f t="shared" si="7278"/>
        <v>0</v>
      </c>
      <c r="AQ579" s="118">
        <f t="shared" si="7278"/>
        <v>0</v>
      </c>
      <c r="AR579" s="118">
        <f t="shared" si="7278"/>
        <v>0</v>
      </c>
      <c r="AS579" s="118">
        <f t="shared" si="7278"/>
        <v>0</v>
      </c>
      <c r="AT579" s="118">
        <f t="shared" si="7278"/>
        <v>0</v>
      </c>
      <c r="AU579" s="405">
        <f t="shared" si="7278"/>
        <v>0</v>
      </c>
      <c r="AV579" s="118">
        <f t="shared" si="7278"/>
        <v>0</v>
      </c>
      <c r="AW579" s="118">
        <f t="shared" si="7278"/>
        <v>0</v>
      </c>
      <c r="AX579" s="118">
        <f t="shared" si="7278"/>
        <v>0</v>
      </c>
      <c r="AY579" s="118">
        <f t="shared" si="7278"/>
        <v>0</v>
      </c>
      <c r="AZ579" s="118">
        <f t="shared" si="7278"/>
        <v>0</v>
      </c>
      <c r="BA579" s="118">
        <f t="shared" si="7278"/>
        <v>0</v>
      </c>
      <c r="BB579" s="118">
        <f t="shared" si="7278"/>
        <v>0</v>
      </c>
      <c r="BC579" s="118">
        <f t="shared" si="7278"/>
        <v>0</v>
      </c>
      <c r="BD579" s="118">
        <f t="shared" si="7278"/>
        <v>0</v>
      </c>
      <c r="BE579" s="118">
        <f t="shared" si="7278"/>
        <v>0</v>
      </c>
      <c r="BF579" s="118">
        <f t="shared" si="7278"/>
        <v>0</v>
      </c>
      <c r="BG579" s="405">
        <f t="shared" si="7278"/>
        <v>0</v>
      </c>
      <c r="BH579" s="118">
        <f t="shared" si="7278"/>
        <v>0</v>
      </c>
      <c r="BI579" s="118">
        <f t="shared" si="7278"/>
        <v>0</v>
      </c>
      <c r="BJ579" s="118">
        <f t="shared" si="7278"/>
        <v>0</v>
      </c>
      <c r="BK579" s="118">
        <f t="shared" si="7278"/>
        <v>0</v>
      </c>
      <c r="BL579" s="118">
        <f t="shared" si="7278"/>
        <v>0</v>
      </c>
      <c r="BM579" s="118">
        <f t="shared" si="7278"/>
        <v>0</v>
      </c>
      <c r="BN579" s="118">
        <f t="shared" si="7278"/>
        <v>0</v>
      </c>
      <c r="BO579" s="118">
        <f t="shared" si="7278"/>
        <v>0</v>
      </c>
      <c r="BP579" s="118">
        <f t="shared" si="7278"/>
        <v>0</v>
      </c>
      <c r="BQ579" s="118">
        <f t="shared" si="7278"/>
        <v>0</v>
      </c>
      <c r="BR579" s="118">
        <f t="shared" si="7278"/>
        <v>0</v>
      </c>
      <c r="BS579" s="405">
        <f t="shared" si="7278"/>
        <v>0</v>
      </c>
      <c r="BT579" s="118">
        <f t="shared" ref="BT579:DC579" si="7279">++IFERROR(BT565/BT561*BT558,0)</f>
        <v>0</v>
      </c>
      <c r="BU579" s="118">
        <f t="shared" si="7279"/>
        <v>0</v>
      </c>
      <c r="BV579" s="118">
        <f t="shared" si="7279"/>
        <v>0</v>
      </c>
      <c r="BW579" s="118">
        <f t="shared" si="7279"/>
        <v>0</v>
      </c>
      <c r="BX579" s="118">
        <f t="shared" si="7279"/>
        <v>0</v>
      </c>
      <c r="BY579" s="118">
        <f t="shared" si="7279"/>
        <v>0</v>
      </c>
      <c r="BZ579" s="118">
        <f t="shared" si="7279"/>
        <v>0</v>
      </c>
      <c r="CA579" s="118">
        <f t="shared" si="7279"/>
        <v>0</v>
      </c>
      <c r="CB579" s="118">
        <f t="shared" si="7279"/>
        <v>0</v>
      </c>
      <c r="CC579" s="118">
        <f t="shared" si="7279"/>
        <v>0</v>
      </c>
      <c r="CD579" s="118">
        <f t="shared" si="7279"/>
        <v>0</v>
      </c>
      <c r="CE579" s="405">
        <f t="shared" si="7279"/>
        <v>0</v>
      </c>
      <c r="CF579" s="118">
        <f t="shared" si="7279"/>
        <v>0</v>
      </c>
      <c r="CG579" s="118">
        <f t="shared" si="7279"/>
        <v>0</v>
      </c>
      <c r="CH579" s="118">
        <f t="shared" si="7279"/>
        <v>0</v>
      </c>
      <c r="CI579" s="118">
        <f t="shared" si="7279"/>
        <v>0</v>
      </c>
      <c r="CJ579" s="118">
        <f t="shared" si="7279"/>
        <v>0</v>
      </c>
      <c r="CK579" s="118">
        <f t="shared" si="7279"/>
        <v>0</v>
      </c>
      <c r="CL579" s="118">
        <f t="shared" si="7279"/>
        <v>0</v>
      </c>
      <c r="CM579" s="118">
        <f t="shared" si="7279"/>
        <v>0</v>
      </c>
      <c r="CN579" s="118">
        <f t="shared" si="7279"/>
        <v>0</v>
      </c>
      <c r="CO579" s="118">
        <f t="shared" si="7279"/>
        <v>0</v>
      </c>
      <c r="CP579" s="118">
        <f t="shared" si="7279"/>
        <v>0</v>
      </c>
      <c r="CQ579" s="405">
        <f t="shared" si="7279"/>
        <v>0</v>
      </c>
      <c r="CR579" s="118">
        <f t="shared" si="7279"/>
        <v>0</v>
      </c>
      <c r="CS579" s="118">
        <f t="shared" si="7279"/>
        <v>0</v>
      </c>
      <c r="CT579" s="118">
        <f t="shared" si="7279"/>
        <v>0</v>
      </c>
      <c r="CU579" s="118">
        <f t="shared" si="7279"/>
        <v>0</v>
      </c>
      <c r="CV579" s="118">
        <f t="shared" si="7279"/>
        <v>0</v>
      </c>
      <c r="CW579" s="118">
        <f t="shared" si="7279"/>
        <v>0</v>
      </c>
      <c r="CX579" s="118">
        <f t="shared" si="7279"/>
        <v>0</v>
      </c>
      <c r="CY579" s="118">
        <f t="shared" si="7279"/>
        <v>0</v>
      </c>
      <c r="CZ579" s="118">
        <f t="shared" si="7279"/>
        <v>0</v>
      </c>
      <c r="DA579" s="118">
        <f t="shared" si="7279"/>
        <v>0</v>
      </c>
      <c r="DB579" s="118">
        <f t="shared" si="7279"/>
        <v>0</v>
      </c>
      <c r="DC579" s="405">
        <f t="shared" si="7279"/>
        <v>0</v>
      </c>
    </row>
    <row r="580" spans="1:107" x14ac:dyDescent="0.3">
      <c r="C580" s="101" t="s">
        <v>74</v>
      </c>
      <c r="G580" s="405">
        <f>++IFERROR(G569/G561*G558,0)</f>
        <v>0</v>
      </c>
      <c r="H580" s="118">
        <f t="shared" ref="H580:BS580" si="7280">++IFERROR(H569/H561*H558,0)</f>
        <v>0</v>
      </c>
      <c r="I580" s="118">
        <f t="shared" si="7280"/>
        <v>0</v>
      </c>
      <c r="J580" s="118">
        <f t="shared" si="7280"/>
        <v>0</v>
      </c>
      <c r="K580" s="405">
        <f t="shared" si="7280"/>
        <v>0</v>
      </c>
      <c r="L580" s="118">
        <f t="shared" si="7280"/>
        <v>0</v>
      </c>
      <c r="M580" s="118">
        <f t="shared" si="7280"/>
        <v>0</v>
      </c>
      <c r="N580" s="118">
        <f t="shared" si="7280"/>
        <v>0</v>
      </c>
      <c r="O580" s="118">
        <f t="shared" si="7280"/>
        <v>0</v>
      </c>
      <c r="P580" s="118">
        <f t="shared" si="7280"/>
        <v>0</v>
      </c>
      <c r="Q580" s="118">
        <f t="shared" si="7280"/>
        <v>0</v>
      </c>
      <c r="R580" s="118">
        <f t="shared" si="7280"/>
        <v>0</v>
      </c>
      <c r="S580" s="118">
        <f t="shared" si="7280"/>
        <v>0</v>
      </c>
      <c r="T580" s="118">
        <f t="shared" si="7280"/>
        <v>0</v>
      </c>
      <c r="U580" s="118">
        <f t="shared" si="7280"/>
        <v>0</v>
      </c>
      <c r="V580" s="118">
        <f t="shared" si="7280"/>
        <v>0</v>
      </c>
      <c r="W580" s="405">
        <f t="shared" si="7280"/>
        <v>0</v>
      </c>
      <c r="X580" s="118">
        <f t="shared" si="7280"/>
        <v>0</v>
      </c>
      <c r="Y580" s="118">
        <f t="shared" si="7280"/>
        <v>0</v>
      </c>
      <c r="Z580" s="118">
        <f t="shared" si="7280"/>
        <v>0</v>
      </c>
      <c r="AA580" s="118">
        <f t="shared" si="7280"/>
        <v>0</v>
      </c>
      <c r="AB580" s="118">
        <f t="shared" si="7280"/>
        <v>0</v>
      </c>
      <c r="AC580" s="118">
        <f t="shared" si="7280"/>
        <v>0</v>
      </c>
      <c r="AD580" s="118">
        <f t="shared" si="7280"/>
        <v>0</v>
      </c>
      <c r="AE580" s="118">
        <f t="shared" si="7280"/>
        <v>0</v>
      </c>
      <c r="AF580" s="118">
        <f t="shared" si="7280"/>
        <v>0</v>
      </c>
      <c r="AG580" s="118">
        <f t="shared" si="7280"/>
        <v>0</v>
      </c>
      <c r="AH580" s="118">
        <f t="shared" si="7280"/>
        <v>0</v>
      </c>
      <c r="AI580" s="405">
        <f t="shared" si="7280"/>
        <v>0</v>
      </c>
      <c r="AJ580" s="118">
        <f t="shared" si="7280"/>
        <v>0</v>
      </c>
      <c r="AK580" s="118">
        <f t="shared" si="7280"/>
        <v>0</v>
      </c>
      <c r="AL580" s="118">
        <f t="shared" si="7280"/>
        <v>0</v>
      </c>
      <c r="AM580" s="118">
        <f t="shared" si="7280"/>
        <v>0</v>
      </c>
      <c r="AN580" s="118">
        <f t="shared" si="7280"/>
        <v>0</v>
      </c>
      <c r="AO580" s="118">
        <f t="shared" si="7280"/>
        <v>0</v>
      </c>
      <c r="AP580" s="118">
        <f t="shared" si="7280"/>
        <v>0</v>
      </c>
      <c r="AQ580" s="118">
        <f t="shared" si="7280"/>
        <v>0</v>
      </c>
      <c r="AR580" s="118">
        <f t="shared" si="7280"/>
        <v>0</v>
      </c>
      <c r="AS580" s="118">
        <f t="shared" si="7280"/>
        <v>0</v>
      </c>
      <c r="AT580" s="118">
        <f t="shared" si="7280"/>
        <v>0</v>
      </c>
      <c r="AU580" s="405">
        <f t="shared" si="7280"/>
        <v>0</v>
      </c>
      <c r="AV580" s="118">
        <f t="shared" si="7280"/>
        <v>0</v>
      </c>
      <c r="AW580" s="118">
        <f t="shared" si="7280"/>
        <v>0</v>
      </c>
      <c r="AX580" s="118">
        <f t="shared" si="7280"/>
        <v>0</v>
      </c>
      <c r="AY580" s="118">
        <f t="shared" si="7280"/>
        <v>0</v>
      </c>
      <c r="AZ580" s="118">
        <f t="shared" si="7280"/>
        <v>0</v>
      </c>
      <c r="BA580" s="118">
        <f t="shared" si="7280"/>
        <v>0</v>
      </c>
      <c r="BB580" s="118">
        <f t="shared" si="7280"/>
        <v>0</v>
      </c>
      <c r="BC580" s="118">
        <f t="shared" si="7280"/>
        <v>0</v>
      </c>
      <c r="BD580" s="118">
        <f t="shared" si="7280"/>
        <v>0</v>
      </c>
      <c r="BE580" s="118">
        <f t="shared" si="7280"/>
        <v>0</v>
      </c>
      <c r="BF580" s="118">
        <f t="shared" si="7280"/>
        <v>0</v>
      </c>
      <c r="BG580" s="405">
        <f t="shared" si="7280"/>
        <v>0</v>
      </c>
      <c r="BH580" s="118">
        <f t="shared" si="7280"/>
        <v>0</v>
      </c>
      <c r="BI580" s="118">
        <f t="shared" si="7280"/>
        <v>0</v>
      </c>
      <c r="BJ580" s="118">
        <f t="shared" si="7280"/>
        <v>0</v>
      </c>
      <c r="BK580" s="118">
        <f t="shared" si="7280"/>
        <v>0</v>
      </c>
      <c r="BL580" s="118">
        <f t="shared" si="7280"/>
        <v>0</v>
      </c>
      <c r="BM580" s="118">
        <f t="shared" si="7280"/>
        <v>0</v>
      </c>
      <c r="BN580" s="118">
        <f t="shared" si="7280"/>
        <v>0</v>
      </c>
      <c r="BO580" s="118">
        <f t="shared" si="7280"/>
        <v>0</v>
      </c>
      <c r="BP580" s="118">
        <f t="shared" si="7280"/>
        <v>0</v>
      </c>
      <c r="BQ580" s="118">
        <f t="shared" si="7280"/>
        <v>0</v>
      </c>
      <c r="BR580" s="118">
        <f t="shared" si="7280"/>
        <v>0</v>
      </c>
      <c r="BS580" s="405">
        <f t="shared" si="7280"/>
        <v>0</v>
      </c>
      <c r="BT580" s="118">
        <f t="shared" ref="BT580:DC580" si="7281">++IFERROR(BT569/BT561*BT558,0)</f>
        <v>0</v>
      </c>
      <c r="BU580" s="118">
        <f t="shared" si="7281"/>
        <v>0</v>
      </c>
      <c r="BV580" s="118">
        <f t="shared" si="7281"/>
        <v>0</v>
      </c>
      <c r="BW580" s="118">
        <f t="shared" si="7281"/>
        <v>0</v>
      </c>
      <c r="BX580" s="118">
        <f t="shared" si="7281"/>
        <v>0</v>
      </c>
      <c r="BY580" s="118">
        <f t="shared" si="7281"/>
        <v>0</v>
      </c>
      <c r="BZ580" s="118">
        <f t="shared" si="7281"/>
        <v>0</v>
      </c>
      <c r="CA580" s="118">
        <f t="shared" si="7281"/>
        <v>0</v>
      </c>
      <c r="CB580" s="118">
        <f t="shared" si="7281"/>
        <v>0</v>
      </c>
      <c r="CC580" s="118">
        <f t="shared" si="7281"/>
        <v>0</v>
      </c>
      <c r="CD580" s="118">
        <f t="shared" si="7281"/>
        <v>0</v>
      </c>
      <c r="CE580" s="405">
        <f t="shared" si="7281"/>
        <v>0</v>
      </c>
      <c r="CF580" s="118">
        <f t="shared" si="7281"/>
        <v>0</v>
      </c>
      <c r="CG580" s="118">
        <f t="shared" si="7281"/>
        <v>0</v>
      </c>
      <c r="CH580" s="118">
        <f t="shared" si="7281"/>
        <v>0</v>
      </c>
      <c r="CI580" s="118">
        <f t="shared" si="7281"/>
        <v>0</v>
      </c>
      <c r="CJ580" s="118">
        <f t="shared" si="7281"/>
        <v>0</v>
      </c>
      <c r="CK580" s="118">
        <f t="shared" si="7281"/>
        <v>0</v>
      </c>
      <c r="CL580" s="118">
        <f t="shared" si="7281"/>
        <v>0</v>
      </c>
      <c r="CM580" s="118">
        <f t="shared" si="7281"/>
        <v>0</v>
      </c>
      <c r="CN580" s="118">
        <f t="shared" si="7281"/>
        <v>0</v>
      </c>
      <c r="CO580" s="118">
        <f t="shared" si="7281"/>
        <v>0</v>
      </c>
      <c r="CP580" s="118">
        <f t="shared" si="7281"/>
        <v>0</v>
      </c>
      <c r="CQ580" s="405">
        <f t="shared" si="7281"/>
        <v>0</v>
      </c>
      <c r="CR580" s="118">
        <f t="shared" si="7281"/>
        <v>0</v>
      </c>
      <c r="CS580" s="118">
        <f t="shared" si="7281"/>
        <v>0</v>
      </c>
      <c r="CT580" s="118">
        <f t="shared" si="7281"/>
        <v>0</v>
      </c>
      <c r="CU580" s="118">
        <f t="shared" si="7281"/>
        <v>0</v>
      </c>
      <c r="CV580" s="118">
        <f t="shared" si="7281"/>
        <v>0</v>
      </c>
      <c r="CW580" s="118">
        <f t="shared" si="7281"/>
        <v>0</v>
      </c>
      <c r="CX580" s="118">
        <f t="shared" si="7281"/>
        <v>0</v>
      </c>
      <c r="CY580" s="118">
        <f t="shared" si="7281"/>
        <v>0</v>
      </c>
      <c r="CZ580" s="118">
        <f t="shared" si="7281"/>
        <v>0</v>
      </c>
      <c r="DA580" s="118">
        <f t="shared" si="7281"/>
        <v>0</v>
      </c>
      <c r="DB580" s="118">
        <f t="shared" si="7281"/>
        <v>0</v>
      </c>
      <c r="DC580" s="405">
        <f t="shared" si="7281"/>
        <v>0</v>
      </c>
    </row>
    <row r="581" spans="1:107" x14ac:dyDescent="0.3">
      <c r="C581" s="231" t="s">
        <v>75</v>
      </c>
      <c r="D581" s="191"/>
      <c r="E581" s="191"/>
      <c r="G581" s="406">
        <f>++SUM(G578:G579,-G580)</f>
        <v>0</v>
      </c>
      <c r="H581" s="251">
        <f t="shared" ref="H581:BS581" si="7282">++SUM(H578:H579,-H580)</f>
        <v>0</v>
      </c>
      <c r="I581" s="251">
        <f t="shared" si="7282"/>
        <v>0</v>
      </c>
      <c r="J581" s="251">
        <f t="shared" si="7282"/>
        <v>0</v>
      </c>
      <c r="K581" s="406">
        <f t="shared" si="7282"/>
        <v>0</v>
      </c>
      <c r="L581" s="251">
        <f t="shared" si="7282"/>
        <v>0</v>
      </c>
      <c r="M581" s="251">
        <f t="shared" si="7282"/>
        <v>0</v>
      </c>
      <c r="N581" s="251">
        <f t="shared" si="7282"/>
        <v>0</v>
      </c>
      <c r="O581" s="251">
        <f t="shared" si="7282"/>
        <v>0</v>
      </c>
      <c r="P581" s="251">
        <f t="shared" si="7282"/>
        <v>0</v>
      </c>
      <c r="Q581" s="251">
        <f t="shared" si="7282"/>
        <v>0</v>
      </c>
      <c r="R581" s="251">
        <f t="shared" si="7282"/>
        <v>0</v>
      </c>
      <c r="S581" s="251">
        <f t="shared" si="7282"/>
        <v>0</v>
      </c>
      <c r="T581" s="251">
        <f t="shared" si="7282"/>
        <v>0</v>
      </c>
      <c r="U581" s="251">
        <f t="shared" si="7282"/>
        <v>0</v>
      </c>
      <c r="V581" s="251">
        <f t="shared" si="7282"/>
        <v>0</v>
      </c>
      <c r="W581" s="406">
        <f t="shared" si="7282"/>
        <v>0</v>
      </c>
      <c r="X581" s="251">
        <f t="shared" si="7282"/>
        <v>0</v>
      </c>
      <c r="Y581" s="251">
        <f t="shared" si="7282"/>
        <v>0</v>
      </c>
      <c r="Z581" s="251">
        <f t="shared" si="7282"/>
        <v>0</v>
      </c>
      <c r="AA581" s="251">
        <f t="shared" si="7282"/>
        <v>0</v>
      </c>
      <c r="AB581" s="251">
        <f t="shared" si="7282"/>
        <v>0</v>
      </c>
      <c r="AC581" s="251">
        <f t="shared" si="7282"/>
        <v>0</v>
      </c>
      <c r="AD581" s="251">
        <f t="shared" si="7282"/>
        <v>0</v>
      </c>
      <c r="AE581" s="251">
        <f t="shared" si="7282"/>
        <v>0</v>
      </c>
      <c r="AF581" s="251">
        <f t="shared" si="7282"/>
        <v>0</v>
      </c>
      <c r="AG581" s="251">
        <f t="shared" si="7282"/>
        <v>0</v>
      </c>
      <c r="AH581" s="251">
        <f t="shared" si="7282"/>
        <v>0</v>
      </c>
      <c r="AI581" s="406">
        <f t="shared" si="7282"/>
        <v>0</v>
      </c>
      <c r="AJ581" s="251">
        <f t="shared" si="7282"/>
        <v>0</v>
      </c>
      <c r="AK581" s="251">
        <f t="shared" si="7282"/>
        <v>0</v>
      </c>
      <c r="AL581" s="251">
        <f t="shared" si="7282"/>
        <v>0</v>
      </c>
      <c r="AM581" s="251">
        <f t="shared" si="7282"/>
        <v>0</v>
      </c>
      <c r="AN581" s="251">
        <f t="shared" si="7282"/>
        <v>0</v>
      </c>
      <c r="AO581" s="251">
        <f t="shared" si="7282"/>
        <v>0</v>
      </c>
      <c r="AP581" s="251">
        <f t="shared" si="7282"/>
        <v>0</v>
      </c>
      <c r="AQ581" s="251">
        <f t="shared" si="7282"/>
        <v>0</v>
      </c>
      <c r="AR581" s="251">
        <f t="shared" si="7282"/>
        <v>0</v>
      </c>
      <c r="AS581" s="251">
        <f t="shared" si="7282"/>
        <v>0</v>
      </c>
      <c r="AT581" s="251">
        <f t="shared" si="7282"/>
        <v>0</v>
      </c>
      <c r="AU581" s="406">
        <f t="shared" si="7282"/>
        <v>0</v>
      </c>
      <c r="AV581" s="251">
        <f t="shared" si="7282"/>
        <v>0</v>
      </c>
      <c r="AW581" s="251">
        <f t="shared" si="7282"/>
        <v>0</v>
      </c>
      <c r="AX581" s="251">
        <f t="shared" si="7282"/>
        <v>0</v>
      </c>
      <c r="AY581" s="251">
        <f t="shared" si="7282"/>
        <v>0</v>
      </c>
      <c r="AZ581" s="251">
        <f t="shared" si="7282"/>
        <v>0</v>
      </c>
      <c r="BA581" s="251">
        <f t="shared" si="7282"/>
        <v>0</v>
      </c>
      <c r="BB581" s="251">
        <f t="shared" si="7282"/>
        <v>0</v>
      </c>
      <c r="BC581" s="251">
        <f t="shared" si="7282"/>
        <v>0</v>
      </c>
      <c r="BD581" s="251">
        <f t="shared" si="7282"/>
        <v>0</v>
      </c>
      <c r="BE581" s="251">
        <f t="shared" si="7282"/>
        <v>0</v>
      </c>
      <c r="BF581" s="251">
        <f t="shared" si="7282"/>
        <v>0</v>
      </c>
      <c r="BG581" s="406">
        <f t="shared" si="7282"/>
        <v>0</v>
      </c>
      <c r="BH581" s="251">
        <f t="shared" si="7282"/>
        <v>0</v>
      </c>
      <c r="BI581" s="251">
        <f t="shared" si="7282"/>
        <v>0</v>
      </c>
      <c r="BJ581" s="251">
        <f t="shared" si="7282"/>
        <v>0</v>
      </c>
      <c r="BK581" s="251">
        <f t="shared" si="7282"/>
        <v>0</v>
      </c>
      <c r="BL581" s="251">
        <f t="shared" si="7282"/>
        <v>0</v>
      </c>
      <c r="BM581" s="251">
        <f t="shared" si="7282"/>
        <v>0</v>
      </c>
      <c r="BN581" s="251">
        <f t="shared" si="7282"/>
        <v>0</v>
      </c>
      <c r="BO581" s="251">
        <f t="shared" si="7282"/>
        <v>0</v>
      </c>
      <c r="BP581" s="251">
        <f t="shared" si="7282"/>
        <v>0</v>
      </c>
      <c r="BQ581" s="251">
        <f t="shared" si="7282"/>
        <v>0</v>
      </c>
      <c r="BR581" s="251">
        <f t="shared" si="7282"/>
        <v>0</v>
      </c>
      <c r="BS581" s="406">
        <f t="shared" si="7282"/>
        <v>0</v>
      </c>
      <c r="BT581" s="251">
        <f t="shared" ref="BT581:DC581" si="7283">++SUM(BT578:BT579,-BT580)</f>
        <v>0</v>
      </c>
      <c r="BU581" s="251">
        <f t="shared" si="7283"/>
        <v>0</v>
      </c>
      <c r="BV581" s="251">
        <f t="shared" si="7283"/>
        <v>0</v>
      </c>
      <c r="BW581" s="251">
        <f t="shared" si="7283"/>
        <v>0</v>
      </c>
      <c r="BX581" s="251">
        <f t="shared" si="7283"/>
        <v>0</v>
      </c>
      <c r="BY581" s="251">
        <f t="shared" si="7283"/>
        <v>0</v>
      </c>
      <c r="BZ581" s="251">
        <f t="shared" si="7283"/>
        <v>0</v>
      </c>
      <c r="CA581" s="251">
        <f t="shared" si="7283"/>
        <v>0</v>
      </c>
      <c r="CB581" s="251">
        <f t="shared" si="7283"/>
        <v>0</v>
      </c>
      <c r="CC581" s="251">
        <f t="shared" si="7283"/>
        <v>0</v>
      </c>
      <c r="CD581" s="251">
        <f t="shared" si="7283"/>
        <v>0</v>
      </c>
      <c r="CE581" s="406">
        <f t="shared" si="7283"/>
        <v>0</v>
      </c>
      <c r="CF581" s="251">
        <f t="shared" si="7283"/>
        <v>0</v>
      </c>
      <c r="CG581" s="251">
        <f t="shared" si="7283"/>
        <v>0</v>
      </c>
      <c r="CH581" s="251">
        <f t="shared" si="7283"/>
        <v>0</v>
      </c>
      <c r="CI581" s="251">
        <f t="shared" si="7283"/>
        <v>0</v>
      </c>
      <c r="CJ581" s="251">
        <f t="shared" si="7283"/>
        <v>0</v>
      </c>
      <c r="CK581" s="251">
        <f t="shared" si="7283"/>
        <v>0</v>
      </c>
      <c r="CL581" s="251">
        <f t="shared" si="7283"/>
        <v>0</v>
      </c>
      <c r="CM581" s="251">
        <f t="shared" si="7283"/>
        <v>0</v>
      </c>
      <c r="CN581" s="251">
        <f t="shared" si="7283"/>
        <v>0</v>
      </c>
      <c r="CO581" s="251">
        <f t="shared" si="7283"/>
        <v>0</v>
      </c>
      <c r="CP581" s="251">
        <f t="shared" si="7283"/>
        <v>0</v>
      </c>
      <c r="CQ581" s="406">
        <f t="shared" si="7283"/>
        <v>0</v>
      </c>
      <c r="CR581" s="251">
        <f t="shared" si="7283"/>
        <v>0</v>
      </c>
      <c r="CS581" s="251">
        <f t="shared" si="7283"/>
        <v>0</v>
      </c>
      <c r="CT581" s="251">
        <f t="shared" si="7283"/>
        <v>0</v>
      </c>
      <c r="CU581" s="251">
        <f t="shared" si="7283"/>
        <v>0</v>
      </c>
      <c r="CV581" s="251">
        <f t="shared" si="7283"/>
        <v>0</v>
      </c>
      <c r="CW581" s="251">
        <f t="shared" si="7283"/>
        <v>0</v>
      </c>
      <c r="CX581" s="251">
        <f t="shared" si="7283"/>
        <v>0</v>
      </c>
      <c r="CY581" s="251">
        <f t="shared" si="7283"/>
        <v>0</v>
      </c>
      <c r="CZ581" s="251">
        <f t="shared" si="7283"/>
        <v>0</v>
      </c>
      <c r="DA581" s="251">
        <f t="shared" si="7283"/>
        <v>0</v>
      </c>
      <c r="DB581" s="251">
        <f t="shared" si="7283"/>
        <v>0</v>
      </c>
      <c r="DC581" s="406">
        <f t="shared" si="7283"/>
        <v>0</v>
      </c>
    </row>
    <row r="582" spans="1:107" x14ac:dyDescent="0.3">
      <c r="G582" s="203"/>
      <c r="K582" s="203"/>
      <c r="W582" s="203"/>
      <c r="AI582" s="203"/>
      <c r="AU582" s="203"/>
      <c r="BG582" s="203"/>
      <c r="BS582" s="203"/>
      <c r="CE582" s="203"/>
      <c r="CQ582" s="203"/>
      <c r="DC582" s="203"/>
    </row>
    <row r="583" spans="1:107" x14ac:dyDescent="0.3">
      <c r="G583" s="203"/>
      <c r="K583" s="203"/>
      <c r="W583" s="203"/>
      <c r="AI583" s="203"/>
      <c r="AU583" s="203"/>
      <c r="BG583" s="203"/>
      <c r="BS583" s="203"/>
      <c r="CE583" s="203"/>
      <c r="CQ583" s="203"/>
      <c r="DC583" s="203"/>
    </row>
    <row r="584" spans="1:107" x14ac:dyDescent="0.3">
      <c r="A584" s="319" t="s">
        <v>0</v>
      </c>
      <c r="B584" s="319" t="s">
        <v>0</v>
      </c>
      <c r="C584" s="166" t="s">
        <v>127</v>
      </c>
      <c r="D584" s="365"/>
      <c r="E584" s="365"/>
      <c r="F584" s="365"/>
      <c r="G584" s="365"/>
      <c r="H584" s="365"/>
      <c r="I584" s="365"/>
      <c r="J584" s="365"/>
      <c r="K584" s="365"/>
      <c r="L584" s="365"/>
      <c r="M584" s="365"/>
      <c r="N584" s="365"/>
      <c r="O584" s="365"/>
      <c r="P584" s="365"/>
      <c r="Q584" s="365"/>
      <c r="R584" s="365"/>
      <c r="S584" s="365"/>
      <c r="T584" s="365"/>
      <c r="U584" s="365"/>
      <c r="V584" s="365"/>
      <c r="W584" s="365"/>
      <c r="X584" s="365"/>
      <c r="Y584" s="365"/>
      <c r="Z584" s="365"/>
      <c r="AA584" s="365"/>
      <c r="AB584" s="365"/>
      <c r="AC584" s="365"/>
      <c r="AD584" s="365"/>
      <c r="AE584" s="365"/>
      <c r="AF584" s="365"/>
      <c r="AG584" s="365"/>
      <c r="AH584" s="365"/>
      <c r="AI584" s="365"/>
      <c r="AJ584" s="365"/>
      <c r="AK584" s="365"/>
      <c r="AL584" s="365"/>
      <c r="AM584" s="365"/>
      <c r="AN584" s="365"/>
      <c r="AO584" s="365"/>
      <c r="AP584" s="365"/>
      <c r="AQ584" s="365"/>
      <c r="AR584" s="365"/>
      <c r="AS584" s="365"/>
      <c r="AT584" s="365"/>
      <c r="AU584" s="365"/>
      <c r="AV584" s="365"/>
      <c r="AW584" s="365"/>
      <c r="AX584" s="365"/>
      <c r="AY584" s="365"/>
      <c r="AZ584" s="365"/>
      <c r="BA584" s="365"/>
      <c r="BB584" s="365"/>
      <c r="BC584" s="365"/>
      <c r="BD584" s="365"/>
      <c r="BE584" s="365"/>
      <c r="BF584" s="365"/>
      <c r="BG584" s="365"/>
      <c r="BH584" s="365"/>
      <c r="BI584" s="365"/>
      <c r="BJ584" s="365"/>
      <c r="BK584" s="365"/>
      <c r="BL584" s="365"/>
      <c r="BM584" s="365"/>
      <c r="BN584" s="365"/>
      <c r="BO584" s="365"/>
      <c r="BP584" s="365"/>
      <c r="BQ584" s="365"/>
      <c r="BR584" s="365"/>
      <c r="BS584" s="365"/>
      <c r="BT584" s="365"/>
      <c r="BU584" s="365"/>
      <c r="BV584" s="365"/>
      <c r="BW584" s="365"/>
      <c r="BX584" s="365"/>
      <c r="BY584" s="365"/>
      <c r="BZ584" s="365"/>
      <c r="CA584" s="365"/>
      <c r="CB584" s="365"/>
      <c r="CC584" s="365"/>
      <c r="CD584" s="365"/>
      <c r="CE584" s="365"/>
      <c r="CF584" s="365"/>
      <c r="CG584" s="365"/>
      <c r="CH584" s="365"/>
      <c r="CI584" s="365"/>
      <c r="CJ584" s="365"/>
      <c r="CK584" s="365"/>
      <c r="CL584" s="365"/>
      <c r="CM584" s="365"/>
      <c r="CN584" s="365"/>
      <c r="CO584" s="365"/>
      <c r="CP584" s="365"/>
      <c r="CQ584" s="365"/>
      <c r="CR584" s="365"/>
      <c r="CS584" s="365"/>
      <c r="CT584" s="365"/>
      <c r="CU584" s="365"/>
      <c r="CV584" s="365"/>
      <c r="CW584" s="365"/>
      <c r="CX584" s="365"/>
      <c r="CY584" s="365"/>
      <c r="CZ584" s="365"/>
      <c r="DA584" s="365"/>
      <c r="DB584" s="365"/>
      <c r="DC584" s="366"/>
    </row>
    <row r="585" spans="1:107" ht="5.15" customHeight="1" x14ac:dyDescent="0.3">
      <c r="G585" s="203"/>
      <c r="K585" s="203"/>
      <c r="W585" s="203"/>
      <c r="AI585" s="203"/>
      <c r="AU585" s="203"/>
      <c r="BG585" s="203"/>
      <c r="BS585" s="203"/>
      <c r="CE585" s="203"/>
      <c r="CQ585" s="203"/>
      <c r="DC585" s="203"/>
    </row>
    <row r="586" spans="1:107" x14ac:dyDescent="0.3">
      <c r="C586" s="101" t="s">
        <v>128</v>
      </c>
      <c r="G586" s="88" t="s">
        <v>131</v>
      </c>
      <c r="H586" s="320" t="str">
        <f>++G586</f>
        <v>Initial</v>
      </c>
      <c r="I586" s="320" t="str">
        <f t="shared" ref="I586:L597" si="7284">++H586</f>
        <v>Initial</v>
      </c>
      <c r="J586" s="320" t="str">
        <f t="shared" si="7284"/>
        <v>Initial</v>
      </c>
      <c r="K586" s="407" t="str">
        <f t="shared" si="7284"/>
        <v>Initial</v>
      </c>
      <c r="L586" s="320" t="str">
        <f t="shared" si="7284"/>
        <v>Initial</v>
      </c>
      <c r="M586" s="320" t="str">
        <f t="shared" ref="M586:AR586" si="7285">++L586</f>
        <v>Initial</v>
      </c>
      <c r="N586" s="320" t="str">
        <f t="shared" si="7285"/>
        <v>Initial</v>
      </c>
      <c r="O586" s="320" t="str">
        <f t="shared" si="7285"/>
        <v>Initial</v>
      </c>
      <c r="P586" s="320" t="str">
        <f t="shared" si="7285"/>
        <v>Initial</v>
      </c>
      <c r="Q586" s="320" t="str">
        <f t="shared" si="7285"/>
        <v>Initial</v>
      </c>
      <c r="R586" s="320" t="str">
        <f t="shared" si="7285"/>
        <v>Initial</v>
      </c>
      <c r="S586" s="320" t="str">
        <f t="shared" si="7285"/>
        <v>Initial</v>
      </c>
      <c r="T586" s="320" t="str">
        <f t="shared" si="7285"/>
        <v>Initial</v>
      </c>
      <c r="U586" s="320" t="str">
        <f t="shared" si="7285"/>
        <v>Initial</v>
      </c>
      <c r="V586" s="320" t="str">
        <f t="shared" si="7285"/>
        <v>Initial</v>
      </c>
      <c r="W586" s="407" t="str">
        <f t="shared" si="7285"/>
        <v>Initial</v>
      </c>
      <c r="X586" s="320" t="str">
        <f t="shared" si="7285"/>
        <v>Initial</v>
      </c>
      <c r="Y586" s="320" t="str">
        <f t="shared" ref="Y586:Y589" si="7286">++X586</f>
        <v>Initial</v>
      </c>
      <c r="Z586" s="320" t="str">
        <f t="shared" si="7285"/>
        <v>Initial</v>
      </c>
      <c r="AA586" s="320" t="str">
        <f t="shared" si="7285"/>
        <v>Initial</v>
      </c>
      <c r="AB586" s="320" t="str">
        <f t="shared" si="7285"/>
        <v>Initial</v>
      </c>
      <c r="AC586" s="320" t="str">
        <f t="shared" si="7285"/>
        <v>Initial</v>
      </c>
      <c r="AD586" s="320" t="str">
        <f t="shared" si="7285"/>
        <v>Initial</v>
      </c>
      <c r="AE586" s="320" t="str">
        <f t="shared" si="7285"/>
        <v>Initial</v>
      </c>
      <c r="AF586" s="320" t="str">
        <f t="shared" si="7285"/>
        <v>Initial</v>
      </c>
      <c r="AG586" s="320" t="str">
        <f t="shared" si="7285"/>
        <v>Initial</v>
      </c>
      <c r="AH586" s="320" t="str">
        <f t="shared" si="7285"/>
        <v>Initial</v>
      </c>
      <c r="AI586" s="407" t="str">
        <f t="shared" si="7285"/>
        <v>Initial</v>
      </c>
      <c r="AJ586" s="320" t="str">
        <f t="shared" si="7285"/>
        <v>Initial</v>
      </c>
      <c r="AK586" s="320" t="str">
        <f t="shared" si="7285"/>
        <v>Initial</v>
      </c>
      <c r="AL586" s="320" t="str">
        <f t="shared" si="7285"/>
        <v>Initial</v>
      </c>
      <c r="AM586" s="320" t="str">
        <f t="shared" si="7285"/>
        <v>Initial</v>
      </c>
      <c r="AN586" s="320" t="str">
        <f t="shared" si="7285"/>
        <v>Initial</v>
      </c>
      <c r="AO586" s="320" t="str">
        <f t="shared" si="7285"/>
        <v>Initial</v>
      </c>
      <c r="AP586" s="320" t="str">
        <f t="shared" si="7285"/>
        <v>Initial</v>
      </c>
      <c r="AQ586" s="320" t="str">
        <f t="shared" si="7285"/>
        <v>Initial</v>
      </c>
      <c r="AR586" s="320" t="str">
        <f t="shared" si="7285"/>
        <v>Initial</v>
      </c>
      <c r="AS586" s="320" t="str">
        <f t="shared" ref="AS586:BX586" si="7287">++AR586</f>
        <v>Initial</v>
      </c>
      <c r="AT586" s="320" t="str">
        <f t="shared" si="7287"/>
        <v>Initial</v>
      </c>
      <c r="AU586" s="407" t="str">
        <f t="shared" si="7287"/>
        <v>Initial</v>
      </c>
      <c r="AV586" s="320" t="str">
        <f t="shared" si="7287"/>
        <v>Initial</v>
      </c>
      <c r="AW586" s="320" t="str">
        <f t="shared" si="7287"/>
        <v>Initial</v>
      </c>
      <c r="AX586" s="320" t="str">
        <f t="shared" si="7287"/>
        <v>Initial</v>
      </c>
      <c r="AY586" s="320" t="str">
        <f t="shared" si="7287"/>
        <v>Initial</v>
      </c>
      <c r="AZ586" s="320" t="str">
        <f t="shared" si="7287"/>
        <v>Initial</v>
      </c>
      <c r="BA586" s="320" t="str">
        <f t="shared" si="7287"/>
        <v>Initial</v>
      </c>
      <c r="BB586" s="320" t="str">
        <f t="shared" si="7287"/>
        <v>Initial</v>
      </c>
      <c r="BC586" s="320" t="str">
        <f t="shared" si="7287"/>
        <v>Initial</v>
      </c>
      <c r="BD586" s="320" t="str">
        <f t="shared" si="7287"/>
        <v>Initial</v>
      </c>
      <c r="BE586" s="320" t="str">
        <f t="shared" si="7287"/>
        <v>Initial</v>
      </c>
      <c r="BF586" s="320" t="str">
        <f t="shared" si="7287"/>
        <v>Initial</v>
      </c>
      <c r="BG586" s="407" t="str">
        <f t="shared" si="7287"/>
        <v>Initial</v>
      </c>
      <c r="BH586" s="320" t="str">
        <f t="shared" si="7287"/>
        <v>Initial</v>
      </c>
      <c r="BI586" s="320" t="str">
        <f t="shared" si="7287"/>
        <v>Initial</v>
      </c>
      <c r="BJ586" s="320" t="str">
        <f t="shared" si="7287"/>
        <v>Initial</v>
      </c>
      <c r="BK586" s="320" t="str">
        <f t="shared" si="7287"/>
        <v>Initial</v>
      </c>
      <c r="BL586" s="320" t="str">
        <f t="shared" si="7287"/>
        <v>Initial</v>
      </c>
      <c r="BM586" s="320" t="str">
        <f t="shared" si="7287"/>
        <v>Initial</v>
      </c>
      <c r="BN586" s="320" t="str">
        <f t="shared" si="7287"/>
        <v>Initial</v>
      </c>
      <c r="BO586" s="320" t="str">
        <f t="shared" si="7287"/>
        <v>Initial</v>
      </c>
      <c r="BP586" s="320" t="str">
        <f t="shared" si="7287"/>
        <v>Initial</v>
      </c>
      <c r="BQ586" s="320" t="str">
        <f t="shared" si="7287"/>
        <v>Initial</v>
      </c>
      <c r="BR586" s="320" t="str">
        <f t="shared" si="7287"/>
        <v>Initial</v>
      </c>
      <c r="BS586" s="407" t="str">
        <f t="shared" si="7287"/>
        <v>Initial</v>
      </c>
      <c r="BT586" s="320" t="str">
        <f t="shared" si="7287"/>
        <v>Initial</v>
      </c>
      <c r="BU586" s="320" t="str">
        <f t="shared" si="7287"/>
        <v>Initial</v>
      </c>
      <c r="BV586" s="320" t="str">
        <f t="shared" si="7287"/>
        <v>Initial</v>
      </c>
      <c r="BW586" s="320" t="str">
        <f t="shared" si="7287"/>
        <v>Initial</v>
      </c>
      <c r="BX586" s="320" t="str">
        <f t="shared" si="7287"/>
        <v>Initial</v>
      </c>
      <c r="BY586" s="320" t="str">
        <f t="shared" ref="BY586:CE586" si="7288">++BX586</f>
        <v>Initial</v>
      </c>
      <c r="BZ586" s="320" t="str">
        <f t="shared" si="7288"/>
        <v>Initial</v>
      </c>
      <c r="CA586" s="320" t="str">
        <f t="shared" si="7288"/>
        <v>Initial</v>
      </c>
      <c r="CB586" s="320" t="str">
        <f t="shared" si="7288"/>
        <v>Initial</v>
      </c>
      <c r="CC586" s="320" t="str">
        <f t="shared" si="7288"/>
        <v>Initial</v>
      </c>
      <c r="CD586" s="320" t="str">
        <f t="shared" si="7288"/>
        <v>Initial</v>
      </c>
      <c r="CE586" s="407" t="str">
        <f t="shared" si="7288"/>
        <v>Initial</v>
      </c>
      <c r="CF586" s="320" t="str">
        <f t="shared" ref="CF586:CF588" si="7289">++CE586</f>
        <v>Initial</v>
      </c>
      <c r="CG586" s="320" t="str">
        <f t="shared" ref="CG586:CG588" si="7290">++CF586</f>
        <v>Initial</v>
      </c>
      <c r="CH586" s="320" t="str">
        <f t="shared" ref="CH586:CH588" si="7291">++CG586</f>
        <v>Initial</v>
      </c>
      <c r="CI586" s="320" t="str">
        <f t="shared" ref="CI586:CI588" si="7292">++CH586</f>
        <v>Initial</v>
      </c>
      <c r="CJ586" s="320" t="str">
        <f t="shared" ref="CJ586:CJ588" si="7293">++CI586</f>
        <v>Initial</v>
      </c>
      <c r="CK586" s="320" t="str">
        <f t="shared" ref="CK586:CK588" si="7294">++CJ586</f>
        <v>Initial</v>
      </c>
      <c r="CL586" s="320" t="str">
        <f t="shared" ref="CL586:CL588" si="7295">++CK586</f>
        <v>Initial</v>
      </c>
      <c r="CM586" s="320" t="str">
        <f t="shared" ref="CM586:CM588" si="7296">++CL586</f>
        <v>Initial</v>
      </c>
      <c r="CN586" s="320" t="str">
        <f t="shared" ref="CN586:CN588" si="7297">++CM586</f>
        <v>Initial</v>
      </c>
      <c r="CO586" s="320" t="str">
        <f t="shared" ref="CO586:CO588" si="7298">++CN586</f>
        <v>Initial</v>
      </c>
      <c r="CP586" s="320" t="str">
        <f t="shared" ref="CP586:CP588" si="7299">++CO586</f>
        <v>Initial</v>
      </c>
      <c r="CQ586" s="407" t="str">
        <f t="shared" ref="CQ586:CQ588" si="7300">++CP586</f>
        <v>Initial</v>
      </c>
      <c r="CR586" s="320" t="str">
        <f t="shared" ref="CR586:CR588" si="7301">++CQ586</f>
        <v>Initial</v>
      </c>
      <c r="CS586" s="320" t="str">
        <f t="shared" ref="CS586:CS588" si="7302">++CR586</f>
        <v>Initial</v>
      </c>
      <c r="CT586" s="320" t="str">
        <f t="shared" ref="CT586:CT588" si="7303">++CS586</f>
        <v>Initial</v>
      </c>
      <c r="CU586" s="320" t="str">
        <f t="shared" ref="CU586:CU588" si="7304">++CT586</f>
        <v>Initial</v>
      </c>
      <c r="CV586" s="320" t="str">
        <f t="shared" ref="CV586:CV588" si="7305">++CU586</f>
        <v>Initial</v>
      </c>
      <c r="CW586" s="320" t="str">
        <f t="shared" ref="CW586:CW588" si="7306">++CV586</f>
        <v>Initial</v>
      </c>
      <c r="CX586" s="320" t="str">
        <f t="shared" ref="CX586:CX588" si="7307">++CW586</f>
        <v>Initial</v>
      </c>
      <c r="CY586" s="320" t="str">
        <f t="shared" ref="CY586:CY588" si="7308">++CX586</f>
        <v>Initial</v>
      </c>
      <c r="CZ586" s="320" t="str">
        <f t="shared" ref="CZ586:CZ588" si="7309">++CY586</f>
        <v>Initial</v>
      </c>
      <c r="DA586" s="320" t="str">
        <f t="shared" ref="DA586:DA588" si="7310">++CZ586</f>
        <v>Initial</v>
      </c>
      <c r="DB586" s="320" t="str">
        <f t="shared" ref="DB586:DB588" si="7311">++DA586</f>
        <v>Initial</v>
      </c>
      <c r="DC586" s="407" t="str">
        <f t="shared" ref="DC586:DC588" si="7312">++DB586</f>
        <v>Initial</v>
      </c>
    </row>
    <row r="587" spans="1:107" x14ac:dyDescent="0.3">
      <c r="C587" s="101" t="s">
        <v>129</v>
      </c>
      <c r="G587" s="88" t="s">
        <v>379</v>
      </c>
      <c r="H587" s="320" t="str">
        <f>++G587</f>
        <v>LBO</v>
      </c>
      <c r="I587" s="320" t="str">
        <f t="shared" si="7284"/>
        <v>LBO</v>
      </c>
      <c r="J587" s="320" t="str">
        <f t="shared" si="7284"/>
        <v>LBO</v>
      </c>
      <c r="K587" s="407" t="str">
        <f t="shared" si="7284"/>
        <v>LBO</v>
      </c>
      <c r="L587" s="320" t="str">
        <f t="shared" si="7284"/>
        <v>LBO</v>
      </c>
      <c r="M587" s="320" t="str">
        <f t="shared" ref="M587:AR587" si="7313">++L587</f>
        <v>LBO</v>
      </c>
      <c r="N587" s="320" t="str">
        <f t="shared" si="7313"/>
        <v>LBO</v>
      </c>
      <c r="O587" s="320" t="str">
        <f t="shared" si="7313"/>
        <v>LBO</v>
      </c>
      <c r="P587" s="320" t="str">
        <f t="shared" si="7313"/>
        <v>LBO</v>
      </c>
      <c r="Q587" s="320" t="str">
        <f t="shared" si="7313"/>
        <v>LBO</v>
      </c>
      <c r="R587" s="320" t="str">
        <f t="shared" si="7313"/>
        <v>LBO</v>
      </c>
      <c r="S587" s="320" t="str">
        <f t="shared" si="7313"/>
        <v>LBO</v>
      </c>
      <c r="T587" s="320" t="str">
        <f t="shared" si="7313"/>
        <v>LBO</v>
      </c>
      <c r="U587" s="320" t="str">
        <f t="shared" si="7313"/>
        <v>LBO</v>
      </c>
      <c r="V587" s="320" t="str">
        <f t="shared" si="7313"/>
        <v>LBO</v>
      </c>
      <c r="W587" s="407" t="str">
        <f t="shared" si="7313"/>
        <v>LBO</v>
      </c>
      <c r="X587" s="320" t="str">
        <f t="shared" si="7313"/>
        <v>LBO</v>
      </c>
      <c r="Y587" s="320" t="str">
        <f t="shared" si="7286"/>
        <v>LBO</v>
      </c>
      <c r="Z587" s="320" t="str">
        <f t="shared" si="7313"/>
        <v>LBO</v>
      </c>
      <c r="AA587" s="320" t="str">
        <f t="shared" si="7313"/>
        <v>LBO</v>
      </c>
      <c r="AB587" s="320" t="str">
        <f t="shared" si="7313"/>
        <v>LBO</v>
      </c>
      <c r="AC587" s="320" t="str">
        <f t="shared" si="7313"/>
        <v>LBO</v>
      </c>
      <c r="AD587" s="320" t="str">
        <f t="shared" si="7313"/>
        <v>LBO</v>
      </c>
      <c r="AE587" s="320" t="str">
        <f t="shared" si="7313"/>
        <v>LBO</v>
      </c>
      <c r="AF587" s="320" t="str">
        <f t="shared" si="7313"/>
        <v>LBO</v>
      </c>
      <c r="AG587" s="320" t="str">
        <f t="shared" si="7313"/>
        <v>LBO</v>
      </c>
      <c r="AH587" s="320" t="str">
        <f t="shared" si="7313"/>
        <v>LBO</v>
      </c>
      <c r="AI587" s="407" t="str">
        <f t="shared" si="7313"/>
        <v>LBO</v>
      </c>
      <c r="AJ587" s="320" t="str">
        <f t="shared" si="7313"/>
        <v>LBO</v>
      </c>
      <c r="AK587" s="320" t="str">
        <f t="shared" si="7313"/>
        <v>LBO</v>
      </c>
      <c r="AL587" s="320" t="str">
        <f t="shared" si="7313"/>
        <v>LBO</v>
      </c>
      <c r="AM587" s="320" t="str">
        <f t="shared" si="7313"/>
        <v>LBO</v>
      </c>
      <c r="AN587" s="320" t="str">
        <f t="shared" si="7313"/>
        <v>LBO</v>
      </c>
      <c r="AO587" s="320" t="str">
        <f t="shared" si="7313"/>
        <v>LBO</v>
      </c>
      <c r="AP587" s="320" t="str">
        <f t="shared" si="7313"/>
        <v>LBO</v>
      </c>
      <c r="AQ587" s="320" t="str">
        <f t="shared" si="7313"/>
        <v>LBO</v>
      </c>
      <c r="AR587" s="320" t="str">
        <f t="shared" si="7313"/>
        <v>LBO</v>
      </c>
      <c r="AS587" s="320" t="str">
        <f t="shared" ref="AS587:BX587" si="7314">++AR587</f>
        <v>LBO</v>
      </c>
      <c r="AT587" s="320" t="str">
        <f t="shared" si="7314"/>
        <v>LBO</v>
      </c>
      <c r="AU587" s="407" t="str">
        <f t="shared" si="7314"/>
        <v>LBO</v>
      </c>
      <c r="AV587" s="320" t="str">
        <f t="shared" si="7314"/>
        <v>LBO</v>
      </c>
      <c r="AW587" s="320" t="str">
        <f t="shared" si="7314"/>
        <v>LBO</v>
      </c>
      <c r="AX587" s="320" t="str">
        <f t="shared" si="7314"/>
        <v>LBO</v>
      </c>
      <c r="AY587" s="320" t="str">
        <f t="shared" si="7314"/>
        <v>LBO</v>
      </c>
      <c r="AZ587" s="320" t="str">
        <f t="shared" si="7314"/>
        <v>LBO</v>
      </c>
      <c r="BA587" s="320" t="str">
        <f t="shared" si="7314"/>
        <v>LBO</v>
      </c>
      <c r="BB587" s="320" t="str">
        <f t="shared" si="7314"/>
        <v>LBO</v>
      </c>
      <c r="BC587" s="320" t="str">
        <f t="shared" si="7314"/>
        <v>LBO</v>
      </c>
      <c r="BD587" s="320" t="str">
        <f t="shared" si="7314"/>
        <v>LBO</v>
      </c>
      <c r="BE587" s="320" t="str">
        <f t="shared" si="7314"/>
        <v>LBO</v>
      </c>
      <c r="BF587" s="320" t="str">
        <f t="shared" si="7314"/>
        <v>LBO</v>
      </c>
      <c r="BG587" s="407" t="str">
        <f t="shared" si="7314"/>
        <v>LBO</v>
      </c>
      <c r="BH587" s="320" t="str">
        <f t="shared" si="7314"/>
        <v>LBO</v>
      </c>
      <c r="BI587" s="320" t="str">
        <f t="shared" si="7314"/>
        <v>LBO</v>
      </c>
      <c r="BJ587" s="320" t="str">
        <f t="shared" si="7314"/>
        <v>LBO</v>
      </c>
      <c r="BK587" s="320" t="str">
        <f t="shared" si="7314"/>
        <v>LBO</v>
      </c>
      <c r="BL587" s="320" t="str">
        <f t="shared" si="7314"/>
        <v>LBO</v>
      </c>
      <c r="BM587" s="320" t="str">
        <f t="shared" si="7314"/>
        <v>LBO</v>
      </c>
      <c r="BN587" s="320" t="str">
        <f t="shared" si="7314"/>
        <v>LBO</v>
      </c>
      <c r="BO587" s="320" t="str">
        <f t="shared" si="7314"/>
        <v>LBO</v>
      </c>
      <c r="BP587" s="320" t="str">
        <f t="shared" si="7314"/>
        <v>LBO</v>
      </c>
      <c r="BQ587" s="320" t="str">
        <f t="shared" si="7314"/>
        <v>LBO</v>
      </c>
      <c r="BR587" s="320" t="str">
        <f t="shared" si="7314"/>
        <v>LBO</v>
      </c>
      <c r="BS587" s="407" t="str">
        <f t="shared" si="7314"/>
        <v>LBO</v>
      </c>
      <c r="BT587" s="320" t="str">
        <f t="shared" si="7314"/>
        <v>LBO</v>
      </c>
      <c r="BU587" s="320" t="str">
        <f t="shared" si="7314"/>
        <v>LBO</v>
      </c>
      <c r="BV587" s="320" t="str">
        <f t="shared" si="7314"/>
        <v>LBO</v>
      </c>
      <c r="BW587" s="320" t="str">
        <f t="shared" si="7314"/>
        <v>LBO</v>
      </c>
      <c r="BX587" s="320" t="str">
        <f t="shared" si="7314"/>
        <v>LBO</v>
      </c>
      <c r="BY587" s="320" t="str">
        <f t="shared" ref="BY587:CE587" si="7315">++BX587</f>
        <v>LBO</v>
      </c>
      <c r="BZ587" s="320" t="str">
        <f t="shared" si="7315"/>
        <v>LBO</v>
      </c>
      <c r="CA587" s="320" t="str">
        <f t="shared" si="7315"/>
        <v>LBO</v>
      </c>
      <c r="CB587" s="320" t="str">
        <f t="shared" si="7315"/>
        <v>LBO</v>
      </c>
      <c r="CC587" s="320" t="str">
        <f t="shared" si="7315"/>
        <v>LBO</v>
      </c>
      <c r="CD587" s="320" t="str">
        <f t="shared" si="7315"/>
        <v>LBO</v>
      </c>
      <c r="CE587" s="407" t="str">
        <f t="shared" si="7315"/>
        <v>LBO</v>
      </c>
      <c r="CF587" s="320" t="str">
        <f t="shared" si="7289"/>
        <v>LBO</v>
      </c>
      <c r="CG587" s="320" t="str">
        <f t="shared" si="7290"/>
        <v>LBO</v>
      </c>
      <c r="CH587" s="320" t="str">
        <f t="shared" si="7291"/>
        <v>LBO</v>
      </c>
      <c r="CI587" s="320" t="str">
        <f t="shared" si="7292"/>
        <v>LBO</v>
      </c>
      <c r="CJ587" s="320" t="str">
        <f t="shared" si="7293"/>
        <v>LBO</v>
      </c>
      <c r="CK587" s="320" t="str">
        <f t="shared" si="7294"/>
        <v>LBO</v>
      </c>
      <c r="CL587" s="320" t="str">
        <f t="shared" si="7295"/>
        <v>LBO</v>
      </c>
      <c r="CM587" s="320" t="str">
        <f t="shared" si="7296"/>
        <v>LBO</v>
      </c>
      <c r="CN587" s="320" t="str">
        <f t="shared" si="7297"/>
        <v>LBO</v>
      </c>
      <c r="CO587" s="320" t="str">
        <f t="shared" si="7298"/>
        <v>LBO</v>
      </c>
      <c r="CP587" s="320" t="str">
        <f t="shared" si="7299"/>
        <v>LBO</v>
      </c>
      <c r="CQ587" s="407" t="str">
        <f t="shared" si="7300"/>
        <v>LBO</v>
      </c>
      <c r="CR587" s="320" t="str">
        <f t="shared" si="7301"/>
        <v>LBO</v>
      </c>
      <c r="CS587" s="320" t="str">
        <f t="shared" si="7302"/>
        <v>LBO</v>
      </c>
      <c r="CT587" s="320" t="str">
        <f t="shared" si="7303"/>
        <v>LBO</v>
      </c>
      <c r="CU587" s="320" t="str">
        <f t="shared" si="7304"/>
        <v>LBO</v>
      </c>
      <c r="CV587" s="320" t="str">
        <f t="shared" si="7305"/>
        <v>LBO</v>
      </c>
      <c r="CW587" s="320" t="str">
        <f t="shared" si="7306"/>
        <v>LBO</v>
      </c>
      <c r="CX587" s="320" t="str">
        <f t="shared" si="7307"/>
        <v>LBO</v>
      </c>
      <c r="CY587" s="320" t="str">
        <f t="shared" si="7308"/>
        <v>LBO</v>
      </c>
      <c r="CZ587" s="320" t="str">
        <f t="shared" si="7309"/>
        <v>LBO</v>
      </c>
      <c r="DA587" s="320" t="str">
        <f t="shared" si="7310"/>
        <v>LBO</v>
      </c>
      <c r="DB587" s="320" t="str">
        <f t="shared" si="7311"/>
        <v>LBO</v>
      </c>
      <c r="DC587" s="407" t="str">
        <f t="shared" si="7312"/>
        <v>LBO</v>
      </c>
    </row>
    <row r="588" spans="1:107" x14ac:dyDescent="0.3">
      <c r="C588" s="101" t="s">
        <v>130</v>
      </c>
      <c r="G588" s="125">
        <v>45611</v>
      </c>
      <c r="H588" s="408">
        <f>++G588</f>
        <v>45611</v>
      </c>
      <c r="I588" s="408">
        <f t="shared" si="7284"/>
        <v>45611</v>
      </c>
      <c r="J588" s="408">
        <f t="shared" si="7284"/>
        <v>45611</v>
      </c>
      <c r="K588" s="409">
        <f t="shared" si="7284"/>
        <v>45611</v>
      </c>
      <c r="L588" s="408">
        <f t="shared" si="7284"/>
        <v>45611</v>
      </c>
      <c r="M588" s="408">
        <f t="shared" ref="M588:AR588" si="7316">++L588</f>
        <v>45611</v>
      </c>
      <c r="N588" s="408">
        <f t="shared" si="7316"/>
        <v>45611</v>
      </c>
      <c r="O588" s="408">
        <f t="shared" si="7316"/>
        <v>45611</v>
      </c>
      <c r="P588" s="408">
        <f t="shared" si="7316"/>
        <v>45611</v>
      </c>
      <c r="Q588" s="408">
        <f t="shared" si="7316"/>
        <v>45611</v>
      </c>
      <c r="R588" s="408">
        <f t="shared" si="7316"/>
        <v>45611</v>
      </c>
      <c r="S588" s="408">
        <f t="shared" si="7316"/>
        <v>45611</v>
      </c>
      <c r="T588" s="408">
        <f t="shared" si="7316"/>
        <v>45611</v>
      </c>
      <c r="U588" s="408">
        <f t="shared" si="7316"/>
        <v>45611</v>
      </c>
      <c r="V588" s="408">
        <f t="shared" si="7316"/>
        <v>45611</v>
      </c>
      <c r="W588" s="409">
        <f t="shared" si="7316"/>
        <v>45611</v>
      </c>
      <c r="X588" s="408">
        <f t="shared" si="7316"/>
        <v>45611</v>
      </c>
      <c r="Y588" s="408">
        <f t="shared" si="7286"/>
        <v>45611</v>
      </c>
      <c r="Z588" s="408">
        <f t="shared" si="7316"/>
        <v>45611</v>
      </c>
      <c r="AA588" s="408">
        <f t="shared" si="7316"/>
        <v>45611</v>
      </c>
      <c r="AB588" s="408">
        <f t="shared" si="7316"/>
        <v>45611</v>
      </c>
      <c r="AC588" s="408">
        <f t="shared" si="7316"/>
        <v>45611</v>
      </c>
      <c r="AD588" s="408">
        <f t="shared" si="7316"/>
        <v>45611</v>
      </c>
      <c r="AE588" s="408">
        <f t="shared" si="7316"/>
        <v>45611</v>
      </c>
      <c r="AF588" s="408">
        <f t="shared" si="7316"/>
        <v>45611</v>
      </c>
      <c r="AG588" s="408">
        <f t="shared" si="7316"/>
        <v>45611</v>
      </c>
      <c r="AH588" s="408">
        <f t="shared" si="7316"/>
        <v>45611</v>
      </c>
      <c r="AI588" s="409">
        <f t="shared" si="7316"/>
        <v>45611</v>
      </c>
      <c r="AJ588" s="408">
        <f t="shared" si="7316"/>
        <v>45611</v>
      </c>
      <c r="AK588" s="408">
        <f t="shared" si="7316"/>
        <v>45611</v>
      </c>
      <c r="AL588" s="408">
        <f t="shared" si="7316"/>
        <v>45611</v>
      </c>
      <c r="AM588" s="408">
        <f t="shared" si="7316"/>
        <v>45611</v>
      </c>
      <c r="AN588" s="408">
        <f t="shared" si="7316"/>
        <v>45611</v>
      </c>
      <c r="AO588" s="408">
        <f t="shared" si="7316"/>
        <v>45611</v>
      </c>
      <c r="AP588" s="408">
        <f t="shared" si="7316"/>
        <v>45611</v>
      </c>
      <c r="AQ588" s="408">
        <f t="shared" si="7316"/>
        <v>45611</v>
      </c>
      <c r="AR588" s="408">
        <f t="shared" si="7316"/>
        <v>45611</v>
      </c>
      <c r="AS588" s="408">
        <f t="shared" ref="AS588:BX588" si="7317">++AR588</f>
        <v>45611</v>
      </c>
      <c r="AT588" s="408">
        <f t="shared" si="7317"/>
        <v>45611</v>
      </c>
      <c r="AU588" s="409">
        <f t="shared" si="7317"/>
        <v>45611</v>
      </c>
      <c r="AV588" s="408">
        <f t="shared" si="7317"/>
        <v>45611</v>
      </c>
      <c r="AW588" s="408">
        <f t="shared" si="7317"/>
        <v>45611</v>
      </c>
      <c r="AX588" s="408">
        <f t="shared" si="7317"/>
        <v>45611</v>
      </c>
      <c r="AY588" s="408">
        <f t="shared" si="7317"/>
        <v>45611</v>
      </c>
      <c r="AZ588" s="408">
        <f t="shared" si="7317"/>
        <v>45611</v>
      </c>
      <c r="BA588" s="408">
        <f t="shared" si="7317"/>
        <v>45611</v>
      </c>
      <c r="BB588" s="408">
        <f t="shared" si="7317"/>
        <v>45611</v>
      </c>
      <c r="BC588" s="408">
        <f t="shared" si="7317"/>
        <v>45611</v>
      </c>
      <c r="BD588" s="408">
        <f t="shared" si="7317"/>
        <v>45611</v>
      </c>
      <c r="BE588" s="408">
        <f t="shared" si="7317"/>
        <v>45611</v>
      </c>
      <c r="BF588" s="408">
        <f t="shared" si="7317"/>
        <v>45611</v>
      </c>
      <c r="BG588" s="409">
        <f t="shared" si="7317"/>
        <v>45611</v>
      </c>
      <c r="BH588" s="408">
        <f t="shared" si="7317"/>
        <v>45611</v>
      </c>
      <c r="BI588" s="408">
        <f t="shared" si="7317"/>
        <v>45611</v>
      </c>
      <c r="BJ588" s="408">
        <f t="shared" si="7317"/>
        <v>45611</v>
      </c>
      <c r="BK588" s="408">
        <f t="shared" si="7317"/>
        <v>45611</v>
      </c>
      <c r="BL588" s="408">
        <f t="shared" si="7317"/>
        <v>45611</v>
      </c>
      <c r="BM588" s="408">
        <f t="shared" si="7317"/>
        <v>45611</v>
      </c>
      <c r="BN588" s="408">
        <f t="shared" si="7317"/>
        <v>45611</v>
      </c>
      <c r="BO588" s="408">
        <f t="shared" si="7317"/>
        <v>45611</v>
      </c>
      <c r="BP588" s="408">
        <f t="shared" si="7317"/>
        <v>45611</v>
      </c>
      <c r="BQ588" s="408">
        <f t="shared" si="7317"/>
        <v>45611</v>
      </c>
      <c r="BR588" s="408">
        <f t="shared" si="7317"/>
        <v>45611</v>
      </c>
      <c r="BS588" s="409">
        <f t="shared" si="7317"/>
        <v>45611</v>
      </c>
      <c r="BT588" s="408">
        <f t="shared" si="7317"/>
        <v>45611</v>
      </c>
      <c r="BU588" s="408">
        <f t="shared" si="7317"/>
        <v>45611</v>
      </c>
      <c r="BV588" s="408">
        <f t="shared" si="7317"/>
        <v>45611</v>
      </c>
      <c r="BW588" s="408">
        <f t="shared" si="7317"/>
        <v>45611</v>
      </c>
      <c r="BX588" s="408">
        <f t="shared" si="7317"/>
        <v>45611</v>
      </c>
      <c r="BY588" s="408">
        <f t="shared" ref="BY588:CE588" si="7318">++BX588</f>
        <v>45611</v>
      </c>
      <c r="BZ588" s="408">
        <f t="shared" si="7318"/>
        <v>45611</v>
      </c>
      <c r="CA588" s="408">
        <f t="shared" si="7318"/>
        <v>45611</v>
      </c>
      <c r="CB588" s="408">
        <f t="shared" si="7318"/>
        <v>45611</v>
      </c>
      <c r="CC588" s="408">
        <f t="shared" si="7318"/>
        <v>45611</v>
      </c>
      <c r="CD588" s="408">
        <f t="shared" si="7318"/>
        <v>45611</v>
      </c>
      <c r="CE588" s="409">
        <f t="shared" si="7318"/>
        <v>45611</v>
      </c>
      <c r="CF588" s="408">
        <f t="shared" si="7289"/>
        <v>45611</v>
      </c>
      <c r="CG588" s="408">
        <f t="shared" si="7290"/>
        <v>45611</v>
      </c>
      <c r="CH588" s="408">
        <f t="shared" si="7291"/>
        <v>45611</v>
      </c>
      <c r="CI588" s="408">
        <f t="shared" si="7292"/>
        <v>45611</v>
      </c>
      <c r="CJ588" s="408">
        <f t="shared" si="7293"/>
        <v>45611</v>
      </c>
      <c r="CK588" s="408">
        <f t="shared" si="7294"/>
        <v>45611</v>
      </c>
      <c r="CL588" s="408">
        <f t="shared" si="7295"/>
        <v>45611</v>
      </c>
      <c r="CM588" s="408">
        <f t="shared" si="7296"/>
        <v>45611</v>
      </c>
      <c r="CN588" s="408">
        <f t="shared" si="7297"/>
        <v>45611</v>
      </c>
      <c r="CO588" s="408">
        <f t="shared" si="7298"/>
        <v>45611</v>
      </c>
      <c r="CP588" s="408">
        <f t="shared" si="7299"/>
        <v>45611</v>
      </c>
      <c r="CQ588" s="409">
        <f t="shared" si="7300"/>
        <v>45611</v>
      </c>
      <c r="CR588" s="408">
        <f t="shared" si="7301"/>
        <v>45611</v>
      </c>
      <c r="CS588" s="408">
        <f t="shared" si="7302"/>
        <v>45611</v>
      </c>
      <c r="CT588" s="408">
        <f t="shared" si="7303"/>
        <v>45611</v>
      </c>
      <c r="CU588" s="408">
        <f t="shared" si="7304"/>
        <v>45611</v>
      </c>
      <c r="CV588" s="408">
        <f t="shared" si="7305"/>
        <v>45611</v>
      </c>
      <c r="CW588" s="408">
        <f t="shared" si="7306"/>
        <v>45611</v>
      </c>
      <c r="CX588" s="408">
        <f t="shared" si="7307"/>
        <v>45611</v>
      </c>
      <c r="CY588" s="408">
        <f t="shared" si="7308"/>
        <v>45611</v>
      </c>
      <c r="CZ588" s="408">
        <f t="shared" si="7309"/>
        <v>45611</v>
      </c>
      <c r="DA588" s="408">
        <f t="shared" si="7310"/>
        <v>45611</v>
      </c>
      <c r="DB588" s="408">
        <f t="shared" si="7311"/>
        <v>45611</v>
      </c>
      <c r="DC588" s="409">
        <f t="shared" si="7312"/>
        <v>45611</v>
      </c>
    </row>
    <row r="589" spans="1:107" x14ac:dyDescent="0.3">
      <c r="C589" s="101" t="s">
        <v>470</v>
      </c>
      <c r="G589" s="125">
        <v>45565</v>
      </c>
      <c r="H589" s="408">
        <f t="shared" ref="H589" si="7319">++G589</f>
        <v>45565</v>
      </c>
      <c r="I589" s="408">
        <f t="shared" ref="I589" si="7320">++H589</f>
        <v>45565</v>
      </c>
      <c r="J589" s="408">
        <f t="shared" ref="J589" si="7321">++I589</f>
        <v>45565</v>
      </c>
      <c r="K589" s="409">
        <f t="shared" ref="K589" si="7322">++J589</f>
        <v>45565</v>
      </c>
      <c r="L589" s="408">
        <f t="shared" ref="L589" si="7323">++K589</f>
        <v>45565</v>
      </c>
      <c r="M589" s="408">
        <f t="shared" ref="M589" si="7324">++L589</f>
        <v>45565</v>
      </c>
      <c r="N589" s="408">
        <f t="shared" ref="N589" si="7325">++M589</f>
        <v>45565</v>
      </c>
      <c r="O589" s="408">
        <f t="shared" ref="O589" si="7326">++N589</f>
        <v>45565</v>
      </c>
      <c r="P589" s="408">
        <f t="shared" ref="P589" si="7327">++O589</f>
        <v>45565</v>
      </c>
      <c r="Q589" s="408">
        <f t="shared" ref="Q589" si="7328">++P589</f>
        <v>45565</v>
      </c>
      <c r="R589" s="408">
        <f t="shared" ref="R589" si="7329">++Q589</f>
        <v>45565</v>
      </c>
      <c r="S589" s="408">
        <f t="shared" ref="S589" si="7330">++R589</f>
        <v>45565</v>
      </c>
      <c r="T589" s="408">
        <f t="shared" ref="T589" si="7331">++S589</f>
        <v>45565</v>
      </c>
      <c r="U589" s="408">
        <f t="shared" ref="U589" si="7332">++T589</f>
        <v>45565</v>
      </c>
      <c r="V589" s="408">
        <f t="shared" ref="V589" si="7333">++U589</f>
        <v>45565</v>
      </c>
      <c r="W589" s="409">
        <f t="shared" ref="W589" si="7334">++V589</f>
        <v>45565</v>
      </c>
      <c r="X589" s="408">
        <f t="shared" ref="X589" si="7335">++W589</f>
        <v>45565</v>
      </c>
      <c r="Y589" s="408">
        <f t="shared" si="7286"/>
        <v>45565</v>
      </c>
      <c r="Z589" s="408">
        <f t="shared" ref="Z589" si="7336">++Y589</f>
        <v>45565</v>
      </c>
      <c r="AA589" s="408">
        <f t="shared" ref="AA589" si="7337">++Z589</f>
        <v>45565</v>
      </c>
      <c r="AB589" s="408">
        <f t="shared" ref="AB589" si="7338">++AA589</f>
        <v>45565</v>
      </c>
      <c r="AC589" s="408">
        <f t="shared" ref="AC589" si="7339">++AB589</f>
        <v>45565</v>
      </c>
      <c r="AD589" s="408">
        <f t="shared" ref="AD589" si="7340">++AC589</f>
        <v>45565</v>
      </c>
      <c r="AE589" s="408">
        <f t="shared" ref="AE589" si="7341">++AD589</f>
        <v>45565</v>
      </c>
      <c r="AF589" s="408">
        <f t="shared" ref="AF589" si="7342">++AE589</f>
        <v>45565</v>
      </c>
      <c r="AG589" s="408">
        <f t="shared" ref="AG589" si="7343">++AF589</f>
        <v>45565</v>
      </c>
      <c r="AH589" s="408">
        <f t="shared" ref="AH589" si="7344">++AG589</f>
        <v>45565</v>
      </c>
      <c r="AI589" s="409">
        <f t="shared" ref="AI589" si="7345">++AH589</f>
        <v>45565</v>
      </c>
      <c r="AJ589" s="408">
        <f t="shared" ref="AJ589" si="7346">++AI589</f>
        <v>45565</v>
      </c>
      <c r="AK589" s="408">
        <f t="shared" ref="AK589" si="7347">++AJ589</f>
        <v>45565</v>
      </c>
      <c r="AL589" s="408">
        <f t="shared" ref="AL589" si="7348">++AK589</f>
        <v>45565</v>
      </c>
      <c r="AM589" s="408">
        <f t="shared" ref="AM589" si="7349">++AL589</f>
        <v>45565</v>
      </c>
      <c r="AN589" s="408">
        <f t="shared" ref="AN589" si="7350">++AM589</f>
        <v>45565</v>
      </c>
      <c r="AO589" s="408">
        <f t="shared" ref="AO589" si="7351">++AN589</f>
        <v>45565</v>
      </c>
      <c r="AP589" s="408">
        <f t="shared" ref="AP589" si="7352">++AO589</f>
        <v>45565</v>
      </c>
      <c r="AQ589" s="408">
        <f t="shared" ref="AQ589" si="7353">++AP589</f>
        <v>45565</v>
      </c>
      <c r="AR589" s="408">
        <f t="shared" ref="AR589" si="7354">++AQ589</f>
        <v>45565</v>
      </c>
      <c r="AS589" s="408">
        <f t="shared" ref="AS589" si="7355">++AR589</f>
        <v>45565</v>
      </c>
      <c r="AT589" s="408">
        <f t="shared" ref="AT589" si="7356">++AS589</f>
        <v>45565</v>
      </c>
      <c r="AU589" s="409">
        <f t="shared" ref="AU589" si="7357">++AT589</f>
        <v>45565</v>
      </c>
      <c r="AV589" s="408">
        <f t="shared" ref="AV589" si="7358">++AU589</f>
        <v>45565</v>
      </c>
      <c r="AW589" s="408">
        <f t="shared" ref="AW589" si="7359">++AV589</f>
        <v>45565</v>
      </c>
      <c r="AX589" s="408">
        <f t="shared" ref="AX589" si="7360">++AW589</f>
        <v>45565</v>
      </c>
      <c r="AY589" s="408">
        <f t="shared" ref="AY589" si="7361">++AX589</f>
        <v>45565</v>
      </c>
      <c r="AZ589" s="408">
        <f t="shared" ref="AZ589" si="7362">++AY589</f>
        <v>45565</v>
      </c>
      <c r="BA589" s="408">
        <f t="shared" ref="BA589" si="7363">++AZ589</f>
        <v>45565</v>
      </c>
      <c r="BB589" s="408">
        <f t="shared" ref="BB589" si="7364">++BA589</f>
        <v>45565</v>
      </c>
      <c r="BC589" s="408">
        <f t="shared" ref="BC589" si="7365">++BB589</f>
        <v>45565</v>
      </c>
      <c r="BD589" s="408">
        <f t="shared" ref="BD589" si="7366">++BC589</f>
        <v>45565</v>
      </c>
      <c r="BE589" s="408">
        <f t="shared" ref="BE589" si="7367">++BD589</f>
        <v>45565</v>
      </c>
      <c r="BF589" s="408">
        <f t="shared" ref="BF589" si="7368">++BE589</f>
        <v>45565</v>
      </c>
      <c r="BG589" s="409">
        <f t="shared" ref="BG589" si="7369">++BF589</f>
        <v>45565</v>
      </c>
      <c r="BH589" s="408">
        <f t="shared" ref="BH589" si="7370">++BG589</f>
        <v>45565</v>
      </c>
      <c r="BI589" s="408">
        <f t="shared" ref="BI589" si="7371">++BH589</f>
        <v>45565</v>
      </c>
      <c r="BJ589" s="408">
        <f t="shared" ref="BJ589" si="7372">++BI589</f>
        <v>45565</v>
      </c>
      <c r="BK589" s="408">
        <f t="shared" ref="BK589" si="7373">++BJ589</f>
        <v>45565</v>
      </c>
      <c r="BL589" s="408">
        <f t="shared" ref="BL589" si="7374">++BK589</f>
        <v>45565</v>
      </c>
      <c r="BM589" s="408">
        <f t="shared" ref="BM589" si="7375">++BL589</f>
        <v>45565</v>
      </c>
      <c r="BN589" s="408">
        <f t="shared" ref="BN589" si="7376">++BM589</f>
        <v>45565</v>
      </c>
      <c r="BO589" s="408">
        <f t="shared" ref="BO589" si="7377">++BN589</f>
        <v>45565</v>
      </c>
      <c r="BP589" s="408">
        <f t="shared" ref="BP589" si="7378">++BO589</f>
        <v>45565</v>
      </c>
      <c r="BQ589" s="408">
        <f t="shared" ref="BQ589" si="7379">++BP589</f>
        <v>45565</v>
      </c>
      <c r="BR589" s="408">
        <f t="shared" ref="BR589" si="7380">++BQ589</f>
        <v>45565</v>
      </c>
      <c r="BS589" s="409">
        <f t="shared" ref="BS589" si="7381">++BR589</f>
        <v>45565</v>
      </c>
      <c r="BT589" s="408">
        <f t="shared" ref="BT589" si="7382">++BS589</f>
        <v>45565</v>
      </c>
      <c r="BU589" s="408">
        <f t="shared" ref="BU589" si="7383">++BT589</f>
        <v>45565</v>
      </c>
      <c r="BV589" s="408">
        <f t="shared" ref="BV589" si="7384">++BU589</f>
        <v>45565</v>
      </c>
      <c r="BW589" s="408">
        <f t="shared" ref="BW589" si="7385">++BV589</f>
        <v>45565</v>
      </c>
      <c r="BX589" s="408">
        <f t="shared" ref="BX589" si="7386">++BW589</f>
        <v>45565</v>
      </c>
      <c r="BY589" s="408">
        <f t="shared" ref="BY589" si="7387">++BX589</f>
        <v>45565</v>
      </c>
      <c r="BZ589" s="408">
        <f t="shared" ref="BZ589" si="7388">++BY589</f>
        <v>45565</v>
      </c>
      <c r="CA589" s="408">
        <f t="shared" ref="CA589" si="7389">++BZ589</f>
        <v>45565</v>
      </c>
      <c r="CB589" s="408">
        <f t="shared" ref="CB589" si="7390">++CA589</f>
        <v>45565</v>
      </c>
      <c r="CC589" s="408">
        <f t="shared" ref="CC589" si="7391">++CB589</f>
        <v>45565</v>
      </c>
      <c r="CD589" s="408">
        <f t="shared" ref="CD589" si="7392">++CC589</f>
        <v>45565</v>
      </c>
      <c r="CE589" s="409">
        <f t="shared" ref="CE589" si="7393">++CD589</f>
        <v>45565</v>
      </c>
      <c r="CF589" s="408">
        <f t="shared" ref="CF589" si="7394">++CE589</f>
        <v>45565</v>
      </c>
      <c r="CG589" s="408">
        <f t="shared" ref="CG589" si="7395">++CF589</f>
        <v>45565</v>
      </c>
      <c r="CH589" s="408">
        <f t="shared" ref="CH589" si="7396">++CG589</f>
        <v>45565</v>
      </c>
      <c r="CI589" s="408">
        <f t="shared" ref="CI589" si="7397">++CH589</f>
        <v>45565</v>
      </c>
      <c r="CJ589" s="408">
        <f t="shared" ref="CJ589" si="7398">++CI589</f>
        <v>45565</v>
      </c>
      <c r="CK589" s="408">
        <f t="shared" ref="CK589" si="7399">++CJ589</f>
        <v>45565</v>
      </c>
      <c r="CL589" s="408">
        <f t="shared" ref="CL589" si="7400">++CK589</f>
        <v>45565</v>
      </c>
      <c r="CM589" s="408">
        <f t="shared" ref="CM589" si="7401">++CL589</f>
        <v>45565</v>
      </c>
      <c r="CN589" s="408">
        <f t="shared" ref="CN589" si="7402">++CM589</f>
        <v>45565</v>
      </c>
      <c r="CO589" s="408">
        <f t="shared" ref="CO589" si="7403">++CN589</f>
        <v>45565</v>
      </c>
      <c r="CP589" s="408">
        <f t="shared" ref="CP589" si="7404">++CO589</f>
        <v>45565</v>
      </c>
      <c r="CQ589" s="409">
        <f t="shared" ref="CQ589" si="7405">++CP589</f>
        <v>45565</v>
      </c>
      <c r="CR589" s="408">
        <f t="shared" ref="CR589" si="7406">++CQ589</f>
        <v>45565</v>
      </c>
      <c r="CS589" s="408">
        <f t="shared" ref="CS589" si="7407">++CR589</f>
        <v>45565</v>
      </c>
      <c r="CT589" s="408">
        <f t="shared" ref="CT589" si="7408">++CS589</f>
        <v>45565</v>
      </c>
      <c r="CU589" s="408">
        <f t="shared" ref="CU589" si="7409">++CT589</f>
        <v>45565</v>
      </c>
      <c r="CV589" s="408">
        <f t="shared" ref="CV589" si="7410">++CU589</f>
        <v>45565</v>
      </c>
      <c r="CW589" s="408">
        <f t="shared" ref="CW589" si="7411">++CV589</f>
        <v>45565</v>
      </c>
      <c r="CX589" s="408">
        <f t="shared" ref="CX589" si="7412">++CW589</f>
        <v>45565</v>
      </c>
      <c r="CY589" s="408">
        <f t="shared" ref="CY589" si="7413">++CX589</f>
        <v>45565</v>
      </c>
      <c r="CZ589" s="408">
        <f t="shared" ref="CZ589" si="7414">++CY589</f>
        <v>45565</v>
      </c>
      <c r="DA589" s="408">
        <f t="shared" ref="DA589" si="7415">++CZ589</f>
        <v>45565</v>
      </c>
      <c r="DB589" s="408">
        <f t="shared" ref="DB589" si="7416">++DA589</f>
        <v>45565</v>
      </c>
      <c r="DC589" s="409">
        <f t="shared" ref="DC589" si="7417">++DB589</f>
        <v>45565</v>
      </c>
    </row>
    <row r="590" spans="1:107" x14ac:dyDescent="0.3">
      <c r="G590" s="203"/>
      <c r="K590" s="203"/>
      <c r="W590" s="203"/>
      <c r="AI590" s="203"/>
      <c r="AU590" s="203"/>
      <c r="BG590" s="203"/>
      <c r="BS590" s="203"/>
      <c r="CE590" s="203"/>
      <c r="CQ590" s="203"/>
      <c r="DC590" s="203"/>
    </row>
    <row r="591" spans="1:107" x14ac:dyDescent="0.3">
      <c r="C591" s="101" t="s">
        <v>507</v>
      </c>
      <c r="G591" s="77">
        <v>0</v>
      </c>
      <c r="H591" s="195">
        <f>++G591</f>
        <v>0</v>
      </c>
      <c r="I591" s="195">
        <f t="shared" si="7284"/>
        <v>0</v>
      </c>
      <c r="J591" s="195">
        <f t="shared" si="7284"/>
        <v>0</v>
      </c>
      <c r="K591" s="410">
        <f t="shared" si="7284"/>
        <v>0</v>
      </c>
      <c r="L591" s="195">
        <f t="shared" si="7284"/>
        <v>0</v>
      </c>
      <c r="M591" s="195">
        <f t="shared" ref="M591:AR591" si="7418">++L591</f>
        <v>0</v>
      </c>
      <c r="N591" s="195">
        <f t="shared" si="7418"/>
        <v>0</v>
      </c>
      <c r="O591" s="195">
        <f t="shared" si="7418"/>
        <v>0</v>
      </c>
      <c r="P591" s="195">
        <f t="shared" si="7418"/>
        <v>0</v>
      </c>
      <c r="Q591" s="195">
        <f t="shared" si="7418"/>
        <v>0</v>
      </c>
      <c r="R591" s="195">
        <f t="shared" si="7418"/>
        <v>0</v>
      </c>
      <c r="S591" s="195">
        <f t="shared" si="7418"/>
        <v>0</v>
      </c>
      <c r="T591" s="195">
        <f t="shared" si="7418"/>
        <v>0</v>
      </c>
      <c r="U591" s="195">
        <f t="shared" si="7418"/>
        <v>0</v>
      </c>
      <c r="V591" s="195">
        <f t="shared" si="7418"/>
        <v>0</v>
      </c>
      <c r="W591" s="410">
        <f t="shared" si="7418"/>
        <v>0</v>
      </c>
      <c r="X591" s="195">
        <f t="shared" si="7418"/>
        <v>0</v>
      </c>
      <c r="Y591" s="195">
        <f t="shared" ref="Y591:Y593" si="7419">++X591</f>
        <v>0</v>
      </c>
      <c r="Z591" s="195">
        <f t="shared" si="7418"/>
        <v>0</v>
      </c>
      <c r="AA591" s="195">
        <f t="shared" si="7418"/>
        <v>0</v>
      </c>
      <c r="AB591" s="195">
        <f t="shared" si="7418"/>
        <v>0</v>
      </c>
      <c r="AC591" s="195">
        <f t="shared" si="7418"/>
        <v>0</v>
      </c>
      <c r="AD591" s="195">
        <f t="shared" si="7418"/>
        <v>0</v>
      </c>
      <c r="AE591" s="195">
        <f t="shared" si="7418"/>
        <v>0</v>
      </c>
      <c r="AF591" s="195">
        <f t="shared" si="7418"/>
        <v>0</v>
      </c>
      <c r="AG591" s="195">
        <f t="shared" si="7418"/>
        <v>0</v>
      </c>
      <c r="AH591" s="195">
        <f t="shared" si="7418"/>
        <v>0</v>
      </c>
      <c r="AI591" s="410">
        <f t="shared" si="7418"/>
        <v>0</v>
      </c>
      <c r="AJ591" s="195">
        <f t="shared" si="7418"/>
        <v>0</v>
      </c>
      <c r="AK591" s="195">
        <f t="shared" si="7418"/>
        <v>0</v>
      </c>
      <c r="AL591" s="195">
        <f t="shared" si="7418"/>
        <v>0</v>
      </c>
      <c r="AM591" s="195">
        <f t="shared" si="7418"/>
        <v>0</v>
      </c>
      <c r="AN591" s="195">
        <f t="shared" si="7418"/>
        <v>0</v>
      </c>
      <c r="AO591" s="195">
        <f t="shared" si="7418"/>
        <v>0</v>
      </c>
      <c r="AP591" s="195">
        <f t="shared" si="7418"/>
        <v>0</v>
      </c>
      <c r="AQ591" s="195">
        <f t="shared" si="7418"/>
        <v>0</v>
      </c>
      <c r="AR591" s="195">
        <f t="shared" si="7418"/>
        <v>0</v>
      </c>
      <c r="AS591" s="195">
        <f t="shared" ref="AS591:BX591" si="7420">++AR591</f>
        <v>0</v>
      </c>
      <c r="AT591" s="195">
        <f t="shared" si="7420"/>
        <v>0</v>
      </c>
      <c r="AU591" s="410">
        <f t="shared" si="7420"/>
        <v>0</v>
      </c>
      <c r="AV591" s="195">
        <f t="shared" si="7420"/>
        <v>0</v>
      </c>
      <c r="AW591" s="195">
        <f t="shared" si="7420"/>
        <v>0</v>
      </c>
      <c r="AX591" s="195">
        <f t="shared" si="7420"/>
        <v>0</v>
      </c>
      <c r="AY591" s="195">
        <f t="shared" si="7420"/>
        <v>0</v>
      </c>
      <c r="AZ591" s="195">
        <f t="shared" si="7420"/>
        <v>0</v>
      </c>
      <c r="BA591" s="195">
        <f t="shared" si="7420"/>
        <v>0</v>
      </c>
      <c r="BB591" s="195">
        <f t="shared" si="7420"/>
        <v>0</v>
      </c>
      <c r="BC591" s="195">
        <f t="shared" si="7420"/>
        <v>0</v>
      </c>
      <c r="BD591" s="195">
        <f t="shared" si="7420"/>
        <v>0</v>
      </c>
      <c r="BE591" s="195">
        <f t="shared" si="7420"/>
        <v>0</v>
      </c>
      <c r="BF591" s="195">
        <f t="shared" si="7420"/>
        <v>0</v>
      </c>
      <c r="BG591" s="410">
        <f t="shared" si="7420"/>
        <v>0</v>
      </c>
      <c r="BH591" s="195">
        <f t="shared" si="7420"/>
        <v>0</v>
      </c>
      <c r="BI591" s="195">
        <f t="shared" si="7420"/>
        <v>0</v>
      </c>
      <c r="BJ591" s="195">
        <f t="shared" si="7420"/>
        <v>0</v>
      </c>
      <c r="BK591" s="195">
        <f t="shared" si="7420"/>
        <v>0</v>
      </c>
      <c r="BL591" s="195">
        <f t="shared" si="7420"/>
        <v>0</v>
      </c>
      <c r="BM591" s="195">
        <f t="shared" si="7420"/>
        <v>0</v>
      </c>
      <c r="BN591" s="195">
        <f t="shared" si="7420"/>
        <v>0</v>
      </c>
      <c r="BO591" s="195">
        <f t="shared" si="7420"/>
        <v>0</v>
      </c>
      <c r="BP591" s="195">
        <f t="shared" si="7420"/>
        <v>0</v>
      </c>
      <c r="BQ591" s="195">
        <f t="shared" si="7420"/>
        <v>0</v>
      </c>
      <c r="BR591" s="195">
        <f t="shared" si="7420"/>
        <v>0</v>
      </c>
      <c r="BS591" s="410">
        <f t="shared" si="7420"/>
        <v>0</v>
      </c>
      <c r="BT591" s="195">
        <f t="shared" si="7420"/>
        <v>0</v>
      </c>
      <c r="BU591" s="195">
        <f t="shared" si="7420"/>
        <v>0</v>
      </c>
      <c r="BV591" s="195">
        <f t="shared" si="7420"/>
        <v>0</v>
      </c>
      <c r="BW591" s="195">
        <f t="shared" si="7420"/>
        <v>0</v>
      </c>
      <c r="BX591" s="195">
        <f t="shared" si="7420"/>
        <v>0</v>
      </c>
      <c r="BY591" s="195">
        <f t="shared" ref="BY591:CE591" si="7421">++BX591</f>
        <v>0</v>
      </c>
      <c r="BZ591" s="195">
        <f t="shared" si="7421"/>
        <v>0</v>
      </c>
      <c r="CA591" s="195">
        <f t="shared" si="7421"/>
        <v>0</v>
      </c>
      <c r="CB591" s="195">
        <f t="shared" si="7421"/>
        <v>0</v>
      </c>
      <c r="CC591" s="195">
        <f t="shared" si="7421"/>
        <v>0</v>
      </c>
      <c r="CD591" s="195">
        <f t="shared" si="7421"/>
        <v>0</v>
      </c>
      <c r="CE591" s="410">
        <f t="shared" si="7421"/>
        <v>0</v>
      </c>
      <c r="CF591" s="195">
        <f t="shared" ref="CF591" si="7422">++CE591</f>
        <v>0</v>
      </c>
      <c r="CG591" s="195">
        <f t="shared" ref="CG591" si="7423">++CF591</f>
        <v>0</v>
      </c>
      <c r="CH591" s="195">
        <f t="shared" ref="CH591" si="7424">++CG591</f>
        <v>0</v>
      </c>
      <c r="CI591" s="195">
        <f t="shared" ref="CI591" si="7425">++CH591</f>
        <v>0</v>
      </c>
      <c r="CJ591" s="195">
        <f t="shared" ref="CJ591" si="7426">++CI591</f>
        <v>0</v>
      </c>
      <c r="CK591" s="195">
        <f t="shared" ref="CK591" si="7427">++CJ591</f>
        <v>0</v>
      </c>
      <c r="CL591" s="195">
        <f t="shared" ref="CL591" si="7428">++CK591</f>
        <v>0</v>
      </c>
      <c r="CM591" s="195">
        <f t="shared" ref="CM591" si="7429">++CL591</f>
        <v>0</v>
      </c>
      <c r="CN591" s="195">
        <f t="shared" ref="CN591" si="7430">++CM591</f>
        <v>0</v>
      </c>
      <c r="CO591" s="195">
        <f t="shared" ref="CO591" si="7431">++CN591</f>
        <v>0</v>
      </c>
      <c r="CP591" s="195">
        <f t="shared" ref="CP591" si="7432">++CO591</f>
        <v>0</v>
      </c>
      <c r="CQ591" s="410">
        <f t="shared" ref="CQ591" si="7433">++CP591</f>
        <v>0</v>
      </c>
      <c r="CR591" s="195">
        <f t="shared" ref="CR591" si="7434">++CQ591</f>
        <v>0</v>
      </c>
      <c r="CS591" s="195">
        <f t="shared" ref="CS591" si="7435">++CR591</f>
        <v>0</v>
      </c>
      <c r="CT591" s="195">
        <f t="shared" ref="CT591" si="7436">++CS591</f>
        <v>0</v>
      </c>
      <c r="CU591" s="195">
        <f t="shared" ref="CU591" si="7437">++CT591</f>
        <v>0</v>
      </c>
      <c r="CV591" s="195">
        <f t="shared" ref="CV591" si="7438">++CU591</f>
        <v>0</v>
      </c>
      <c r="CW591" s="195">
        <f t="shared" ref="CW591" si="7439">++CV591</f>
        <v>0</v>
      </c>
      <c r="CX591" s="195">
        <f t="shared" ref="CX591" si="7440">++CW591</f>
        <v>0</v>
      </c>
      <c r="CY591" s="195">
        <f t="shared" ref="CY591" si="7441">++CX591</f>
        <v>0</v>
      </c>
      <c r="CZ591" s="195">
        <f t="shared" ref="CZ591" si="7442">++CY591</f>
        <v>0</v>
      </c>
      <c r="DA591" s="195">
        <f t="shared" ref="DA591" si="7443">++CZ591</f>
        <v>0</v>
      </c>
      <c r="DB591" s="195">
        <f t="shared" ref="DB591" si="7444">++DA591</f>
        <v>0</v>
      </c>
      <c r="DC591" s="410">
        <f t="shared" ref="DC591" si="7445">++DB591</f>
        <v>0</v>
      </c>
    </row>
    <row r="592" spans="1:107" x14ac:dyDescent="0.3">
      <c r="C592" s="321" t="s">
        <v>479</v>
      </c>
      <c r="G592" s="418" t="s">
        <v>47</v>
      </c>
      <c r="H592" s="376" t="str">
        <f>++G592</f>
        <v>n/a</v>
      </c>
      <c r="I592" s="376" t="str">
        <f t="shared" ref="I592" si="7446">++H592</f>
        <v>n/a</v>
      </c>
      <c r="J592" s="376" t="str">
        <f t="shared" ref="J592" si="7447">++I592</f>
        <v>n/a</v>
      </c>
      <c r="K592" s="324" t="str">
        <f t="shared" ref="K592" si="7448">++J592</f>
        <v>n/a</v>
      </c>
      <c r="L592" s="376" t="str">
        <f t="shared" ref="L592" si="7449">++K592</f>
        <v>n/a</v>
      </c>
      <c r="M592" s="376" t="str">
        <f t="shared" ref="M592" si="7450">++L592</f>
        <v>n/a</v>
      </c>
      <c r="N592" s="376" t="str">
        <f t="shared" ref="N592" si="7451">++M592</f>
        <v>n/a</v>
      </c>
      <c r="O592" s="376" t="str">
        <f t="shared" ref="O592" si="7452">++N592</f>
        <v>n/a</v>
      </c>
      <c r="P592" s="376" t="str">
        <f t="shared" ref="P592" si="7453">++O592</f>
        <v>n/a</v>
      </c>
      <c r="Q592" s="376" t="str">
        <f t="shared" ref="Q592" si="7454">++P592</f>
        <v>n/a</v>
      </c>
      <c r="R592" s="376" t="str">
        <f t="shared" ref="R592" si="7455">++Q592</f>
        <v>n/a</v>
      </c>
      <c r="S592" s="376" t="str">
        <f t="shared" ref="S592" si="7456">++R592</f>
        <v>n/a</v>
      </c>
      <c r="T592" s="376" t="str">
        <f t="shared" ref="T592" si="7457">++S592</f>
        <v>n/a</v>
      </c>
      <c r="U592" s="376" t="str">
        <f t="shared" ref="U592" si="7458">++T592</f>
        <v>n/a</v>
      </c>
      <c r="V592" s="376" t="str">
        <f t="shared" ref="V592" si="7459">++U592</f>
        <v>n/a</v>
      </c>
      <c r="W592" s="324" t="str">
        <f t="shared" ref="W592" si="7460">++V592</f>
        <v>n/a</v>
      </c>
      <c r="X592" s="376" t="str">
        <f t="shared" ref="X592" si="7461">++W592</f>
        <v>n/a</v>
      </c>
      <c r="Y592" s="376" t="str">
        <f t="shared" si="7419"/>
        <v>n/a</v>
      </c>
      <c r="Z592" s="376" t="str">
        <f t="shared" ref="Z592:Z593" si="7462">++Y592</f>
        <v>n/a</v>
      </c>
      <c r="AA592" s="376" t="str">
        <f t="shared" ref="AA592:AA593" si="7463">++Z592</f>
        <v>n/a</v>
      </c>
      <c r="AB592" s="376" t="str">
        <f t="shared" ref="AB592:AB593" si="7464">++AA592</f>
        <v>n/a</v>
      </c>
      <c r="AC592" s="376" t="str">
        <f t="shared" ref="AC592:AC593" si="7465">++AB592</f>
        <v>n/a</v>
      </c>
      <c r="AD592" s="376" t="str">
        <f t="shared" ref="AD592:AD593" si="7466">++AC592</f>
        <v>n/a</v>
      </c>
      <c r="AE592" s="376" t="str">
        <f t="shared" ref="AE592:AE593" si="7467">++AD592</f>
        <v>n/a</v>
      </c>
      <c r="AF592" s="376" t="str">
        <f t="shared" ref="AF592:AF593" si="7468">++AE592</f>
        <v>n/a</v>
      </c>
      <c r="AG592" s="376" t="str">
        <f t="shared" ref="AG592:AG593" si="7469">++AF592</f>
        <v>n/a</v>
      </c>
      <c r="AH592" s="376" t="str">
        <f t="shared" ref="AH592:AH593" si="7470">++AG592</f>
        <v>n/a</v>
      </c>
      <c r="AI592" s="324" t="str">
        <f t="shared" ref="AI592:AI593" si="7471">++AH592</f>
        <v>n/a</v>
      </c>
      <c r="AJ592" s="376" t="str">
        <f t="shared" ref="AJ592:AJ593" si="7472">++AI592</f>
        <v>n/a</v>
      </c>
      <c r="AK592" s="376" t="str">
        <f t="shared" ref="AK592:AK593" si="7473">++AJ592</f>
        <v>n/a</v>
      </c>
      <c r="AL592" s="376" t="str">
        <f t="shared" ref="AL592:AL593" si="7474">++AK592</f>
        <v>n/a</v>
      </c>
      <c r="AM592" s="376" t="str">
        <f t="shared" ref="AM592:AM593" si="7475">++AL592</f>
        <v>n/a</v>
      </c>
      <c r="AN592" s="376" t="str">
        <f t="shared" ref="AN592:AN593" si="7476">++AM592</f>
        <v>n/a</v>
      </c>
      <c r="AO592" s="376" t="str">
        <f t="shared" ref="AO592:AO593" si="7477">++AN592</f>
        <v>n/a</v>
      </c>
      <c r="AP592" s="376" t="str">
        <f t="shared" ref="AP592:AP593" si="7478">++AO592</f>
        <v>n/a</v>
      </c>
      <c r="AQ592" s="376" t="str">
        <f t="shared" ref="AQ592:AQ593" si="7479">++AP592</f>
        <v>n/a</v>
      </c>
      <c r="AR592" s="376" t="str">
        <f t="shared" ref="AR592:AR593" si="7480">++AQ592</f>
        <v>n/a</v>
      </c>
      <c r="AS592" s="376" t="str">
        <f t="shared" ref="AS592:AS593" si="7481">++AR592</f>
        <v>n/a</v>
      </c>
      <c r="AT592" s="376" t="str">
        <f t="shared" ref="AT592:AT593" si="7482">++AS592</f>
        <v>n/a</v>
      </c>
      <c r="AU592" s="324" t="str">
        <f t="shared" ref="AU592:AU593" si="7483">++AT592</f>
        <v>n/a</v>
      </c>
      <c r="AV592" s="376" t="str">
        <f t="shared" ref="AV592:AV593" si="7484">++AU592</f>
        <v>n/a</v>
      </c>
      <c r="AW592" s="376" t="str">
        <f t="shared" ref="AW592:AW593" si="7485">++AV592</f>
        <v>n/a</v>
      </c>
      <c r="AX592" s="376" t="str">
        <f t="shared" ref="AX592:AX593" si="7486">++AW592</f>
        <v>n/a</v>
      </c>
      <c r="AY592" s="376" t="str">
        <f t="shared" ref="AY592:AY593" si="7487">++AX592</f>
        <v>n/a</v>
      </c>
      <c r="AZ592" s="376" t="str">
        <f t="shared" ref="AZ592:AZ593" si="7488">++AY592</f>
        <v>n/a</v>
      </c>
      <c r="BA592" s="376" t="str">
        <f t="shared" ref="BA592:BA593" si="7489">++AZ592</f>
        <v>n/a</v>
      </c>
      <c r="BB592" s="376" t="str">
        <f t="shared" ref="BB592:BB593" si="7490">++BA592</f>
        <v>n/a</v>
      </c>
      <c r="BC592" s="376" t="str">
        <f t="shared" ref="BC592:BC593" si="7491">++BB592</f>
        <v>n/a</v>
      </c>
      <c r="BD592" s="376" t="str">
        <f t="shared" ref="BD592:BD593" si="7492">++BC592</f>
        <v>n/a</v>
      </c>
      <c r="BE592" s="376" t="str">
        <f t="shared" ref="BE592:BE593" si="7493">++BD592</f>
        <v>n/a</v>
      </c>
      <c r="BF592" s="376" t="str">
        <f t="shared" ref="BF592:BF593" si="7494">++BE592</f>
        <v>n/a</v>
      </c>
      <c r="BG592" s="324" t="str">
        <f t="shared" ref="BG592:BG593" si="7495">++BF592</f>
        <v>n/a</v>
      </c>
      <c r="BH592" s="376" t="str">
        <f t="shared" ref="BH592:BH593" si="7496">++BG592</f>
        <v>n/a</v>
      </c>
      <c r="BI592" s="376" t="str">
        <f t="shared" ref="BI592:BI593" si="7497">++BH592</f>
        <v>n/a</v>
      </c>
      <c r="BJ592" s="376" t="str">
        <f t="shared" ref="BJ592:BJ593" si="7498">++BI592</f>
        <v>n/a</v>
      </c>
      <c r="BK592" s="376" t="str">
        <f t="shared" ref="BK592:BK593" si="7499">++BJ592</f>
        <v>n/a</v>
      </c>
      <c r="BL592" s="376" t="str">
        <f t="shared" ref="BL592:BL593" si="7500">++BK592</f>
        <v>n/a</v>
      </c>
      <c r="BM592" s="376" t="str">
        <f t="shared" ref="BM592:BM593" si="7501">++BL592</f>
        <v>n/a</v>
      </c>
      <c r="BN592" s="376" t="str">
        <f t="shared" ref="BN592:BN593" si="7502">++BM592</f>
        <v>n/a</v>
      </c>
      <c r="BO592" s="376" t="str">
        <f t="shared" ref="BO592:BO593" si="7503">++BN592</f>
        <v>n/a</v>
      </c>
      <c r="BP592" s="376" t="str">
        <f t="shared" ref="BP592:BP593" si="7504">++BO592</f>
        <v>n/a</v>
      </c>
      <c r="BQ592" s="376" t="str">
        <f t="shared" ref="BQ592:BQ593" si="7505">++BP592</f>
        <v>n/a</v>
      </c>
      <c r="BR592" s="376" t="str">
        <f t="shared" ref="BR592:BR593" si="7506">++BQ592</f>
        <v>n/a</v>
      </c>
      <c r="BS592" s="324" t="str">
        <f t="shared" ref="BS592:BS593" si="7507">++BR592</f>
        <v>n/a</v>
      </c>
      <c r="BT592" s="376" t="str">
        <f t="shared" ref="BT592:BT593" si="7508">++BS592</f>
        <v>n/a</v>
      </c>
      <c r="BU592" s="376" t="str">
        <f t="shared" ref="BU592:BU593" si="7509">++BT592</f>
        <v>n/a</v>
      </c>
      <c r="BV592" s="376" t="str">
        <f t="shared" ref="BV592:BV593" si="7510">++BU592</f>
        <v>n/a</v>
      </c>
      <c r="BW592" s="376" t="str">
        <f t="shared" ref="BW592:BW593" si="7511">++BV592</f>
        <v>n/a</v>
      </c>
      <c r="BX592" s="376" t="str">
        <f t="shared" ref="BX592:BX593" si="7512">++BW592</f>
        <v>n/a</v>
      </c>
      <c r="BY592" s="376" t="str">
        <f t="shared" ref="BY592:BY593" si="7513">++BX592</f>
        <v>n/a</v>
      </c>
      <c r="BZ592" s="376" t="str">
        <f t="shared" ref="BZ592:BZ593" si="7514">++BY592</f>
        <v>n/a</v>
      </c>
      <c r="CA592" s="376" t="str">
        <f t="shared" ref="CA592:CA593" si="7515">++BZ592</f>
        <v>n/a</v>
      </c>
      <c r="CB592" s="376" t="str">
        <f t="shared" ref="CB592:CB593" si="7516">++CA592</f>
        <v>n/a</v>
      </c>
      <c r="CC592" s="376" t="str">
        <f t="shared" ref="CC592:CC593" si="7517">++CB592</f>
        <v>n/a</v>
      </c>
      <c r="CD592" s="376" t="str">
        <f t="shared" ref="CD592:CD593" si="7518">++CC592</f>
        <v>n/a</v>
      </c>
      <c r="CE592" s="324" t="str">
        <f t="shared" ref="CE592:CE593" si="7519">++CD592</f>
        <v>n/a</v>
      </c>
      <c r="CF592" s="376" t="str">
        <f t="shared" ref="CF592:CF593" si="7520">++CE592</f>
        <v>n/a</v>
      </c>
      <c r="CG592" s="376" t="str">
        <f t="shared" ref="CG592:CG593" si="7521">++CF592</f>
        <v>n/a</v>
      </c>
      <c r="CH592" s="376" t="str">
        <f t="shared" ref="CH592:CH593" si="7522">++CG592</f>
        <v>n/a</v>
      </c>
      <c r="CI592" s="376" t="str">
        <f t="shared" ref="CI592:CI593" si="7523">++CH592</f>
        <v>n/a</v>
      </c>
      <c r="CJ592" s="376" t="str">
        <f t="shared" ref="CJ592:CJ593" si="7524">++CI592</f>
        <v>n/a</v>
      </c>
      <c r="CK592" s="376" t="str">
        <f t="shared" ref="CK592:CK593" si="7525">++CJ592</f>
        <v>n/a</v>
      </c>
      <c r="CL592" s="376" t="str">
        <f t="shared" ref="CL592:CL593" si="7526">++CK592</f>
        <v>n/a</v>
      </c>
      <c r="CM592" s="376" t="str">
        <f t="shared" ref="CM592:CM593" si="7527">++CL592</f>
        <v>n/a</v>
      </c>
      <c r="CN592" s="376" t="str">
        <f t="shared" ref="CN592:CN593" si="7528">++CM592</f>
        <v>n/a</v>
      </c>
      <c r="CO592" s="376" t="str">
        <f t="shared" ref="CO592:CO593" si="7529">++CN592</f>
        <v>n/a</v>
      </c>
      <c r="CP592" s="376" t="str">
        <f t="shared" ref="CP592:CP593" si="7530">++CO592</f>
        <v>n/a</v>
      </c>
      <c r="CQ592" s="324" t="str">
        <f t="shared" ref="CQ592:CQ593" si="7531">++CP592</f>
        <v>n/a</v>
      </c>
      <c r="CR592" s="376" t="str">
        <f t="shared" ref="CR592:CR593" si="7532">++CQ592</f>
        <v>n/a</v>
      </c>
      <c r="CS592" s="376" t="str">
        <f t="shared" ref="CS592:CS593" si="7533">++CR592</f>
        <v>n/a</v>
      </c>
      <c r="CT592" s="376" t="str">
        <f t="shared" ref="CT592:CT593" si="7534">++CS592</f>
        <v>n/a</v>
      </c>
      <c r="CU592" s="376" t="str">
        <f t="shared" ref="CU592:CU593" si="7535">++CT592</f>
        <v>n/a</v>
      </c>
      <c r="CV592" s="376" t="str">
        <f t="shared" ref="CV592:CV593" si="7536">++CU592</f>
        <v>n/a</v>
      </c>
      <c r="CW592" s="376" t="str">
        <f t="shared" ref="CW592:CW593" si="7537">++CV592</f>
        <v>n/a</v>
      </c>
      <c r="CX592" s="376" t="str">
        <f t="shared" ref="CX592:CX593" si="7538">++CW592</f>
        <v>n/a</v>
      </c>
      <c r="CY592" s="376" t="str">
        <f t="shared" ref="CY592:CY593" si="7539">++CX592</f>
        <v>n/a</v>
      </c>
      <c r="CZ592" s="376" t="str">
        <f t="shared" ref="CZ592:CZ593" si="7540">++CY592</f>
        <v>n/a</v>
      </c>
      <c r="DA592" s="376" t="str">
        <f t="shared" ref="DA592:DA593" si="7541">++CZ592</f>
        <v>n/a</v>
      </c>
      <c r="DB592" s="376" t="str">
        <f t="shared" ref="DB592:DB593" si="7542">++DA592</f>
        <v>n/a</v>
      </c>
      <c r="DC592" s="324" t="str">
        <f t="shared" ref="DC592:DC593" si="7543">++DB592</f>
        <v>n/a</v>
      </c>
    </row>
    <row r="593" spans="3:107" x14ac:dyDescent="0.3">
      <c r="C593" s="321" t="s">
        <v>139</v>
      </c>
      <c r="G593" s="418" t="s">
        <v>47</v>
      </c>
      <c r="H593" s="376" t="str">
        <f t="shared" ref="H593" si="7544">++G593</f>
        <v>n/a</v>
      </c>
      <c r="I593" s="376" t="str">
        <f t="shared" ref="I593" si="7545">++H593</f>
        <v>n/a</v>
      </c>
      <c r="J593" s="376" t="str">
        <f t="shared" ref="J593" si="7546">++I593</f>
        <v>n/a</v>
      </c>
      <c r="K593" s="324" t="str">
        <f t="shared" ref="K593" si="7547">++J593</f>
        <v>n/a</v>
      </c>
      <c r="L593" s="376" t="str">
        <f t="shared" ref="L593" si="7548">++K593</f>
        <v>n/a</v>
      </c>
      <c r="M593" s="376" t="str">
        <f t="shared" ref="M593" si="7549">++L593</f>
        <v>n/a</v>
      </c>
      <c r="N593" s="376" t="str">
        <f t="shared" ref="N593" si="7550">++M593</f>
        <v>n/a</v>
      </c>
      <c r="O593" s="376" t="str">
        <f t="shared" ref="O593" si="7551">++N593</f>
        <v>n/a</v>
      </c>
      <c r="P593" s="376" t="str">
        <f t="shared" ref="P593" si="7552">++O593</f>
        <v>n/a</v>
      </c>
      <c r="Q593" s="376" t="str">
        <f t="shared" ref="Q593" si="7553">++P593</f>
        <v>n/a</v>
      </c>
      <c r="R593" s="376" t="str">
        <f t="shared" ref="R593" si="7554">++Q593</f>
        <v>n/a</v>
      </c>
      <c r="S593" s="376" t="str">
        <f t="shared" ref="S593" si="7555">++R593</f>
        <v>n/a</v>
      </c>
      <c r="T593" s="376" t="str">
        <f t="shared" ref="T593" si="7556">++S593</f>
        <v>n/a</v>
      </c>
      <c r="U593" s="376" t="str">
        <f t="shared" ref="U593" si="7557">++T593</f>
        <v>n/a</v>
      </c>
      <c r="V593" s="376" t="str">
        <f t="shared" ref="V593" si="7558">++U593</f>
        <v>n/a</v>
      </c>
      <c r="W593" s="324" t="str">
        <f t="shared" ref="W593" si="7559">++V593</f>
        <v>n/a</v>
      </c>
      <c r="X593" s="376" t="str">
        <f t="shared" ref="X593" si="7560">++W593</f>
        <v>n/a</v>
      </c>
      <c r="Y593" s="376" t="str">
        <f t="shared" si="7419"/>
        <v>n/a</v>
      </c>
      <c r="Z593" s="376" t="str">
        <f t="shared" si="7462"/>
        <v>n/a</v>
      </c>
      <c r="AA593" s="376" t="str">
        <f t="shared" si="7463"/>
        <v>n/a</v>
      </c>
      <c r="AB593" s="376" t="str">
        <f t="shared" si="7464"/>
        <v>n/a</v>
      </c>
      <c r="AC593" s="376" t="str">
        <f t="shared" si="7465"/>
        <v>n/a</v>
      </c>
      <c r="AD593" s="376" t="str">
        <f t="shared" si="7466"/>
        <v>n/a</v>
      </c>
      <c r="AE593" s="376" t="str">
        <f t="shared" si="7467"/>
        <v>n/a</v>
      </c>
      <c r="AF593" s="376" t="str">
        <f t="shared" si="7468"/>
        <v>n/a</v>
      </c>
      <c r="AG593" s="376" t="str">
        <f t="shared" si="7469"/>
        <v>n/a</v>
      </c>
      <c r="AH593" s="376" t="str">
        <f t="shared" si="7470"/>
        <v>n/a</v>
      </c>
      <c r="AI593" s="324" t="str">
        <f t="shared" si="7471"/>
        <v>n/a</v>
      </c>
      <c r="AJ593" s="376" t="str">
        <f t="shared" si="7472"/>
        <v>n/a</v>
      </c>
      <c r="AK593" s="376" t="str">
        <f t="shared" si="7473"/>
        <v>n/a</v>
      </c>
      <c r="AL593" s="376" t="str">
        <f t="shared" si="7474"/>
        <v>n/a</v>
      </c>
      <c r="AM593" s="376" t="str">
        <f t="shared" si="7475"/>
        <v>n/a</v>
      </c>
      <c r="AN593" s="376" t="str">
        <f t="shared" si="7476"/>
        <v>n/a</v>
      </c>
      <c r="AO593" s="376" t="str">
        <f t="shared" si="7477"/>
        <v>n/a</v>
      </c>
      <c r="AP593" s="376" t="str">
        <f t="shared" si="7478"/>
        <v>n/a</v>
      </c>
      <c r="AQ593" s="376" t="str">
        <f t="shared" si="7479"/>
        <v>n/a</v>
      </c>
      <c r="AR593" s="376" t="str">
        <f t="shared" si="7480"/>
        <v>n/a</v>
      </c>
      <c r="AS593" s="376" t="str">
        <f t="shared" si="7481"/>
        <v>n/a</v>
      </c>
      <c r="AT593" s="376" t="str">
        <f t="shared" si="7482"/>
        <v>n/a</v>
      </c>
      <c r="AU593" s="324" t="str">
        <f t="shared" si="7483"/>
        <v>n/a</v>
      </c>
      <c r="AV593" s="376" t="str">
        <f t="shared" si="7484"/>
        <v>n/a</v>
      </c>
      <c r="AW593" s="376" t="str">
        <f t="shared" si="7485"/>
        <v>n/a</v>
      </c>
      <c r="AX593" s="376" t="str">
        <f t="shared" si="7486"/>
        <v>n/a</v>
      </c>
      <c r="AY593" s="376" t="str">
        <f t="shared" si="7487"/>
        <v>n/a</v>
      </c>
      <c r="AZ593" s="376" t="str">
        <f t="shared" si="7488"/>
        <v>n/a</v>
      </c>
      <c r="BA593" s="376" t="str">
        <f t="shared" si="7489"/>
        <v>n/a</v>
      </c>
      <c r="BB593" s="376" t="str">
        <f t="shared" si="7490"/>
        <v>n/a</v>
      </c>
      <c r="BC593" s="376" t="str">
        <f t="shared" si="7491"/>
        <v>n/a</v>
      </c>
      <c r="BD593" s="376" t="str">
        <f t="shared" si="7492"/>
        <v>n/a</v>
      </c>
      <c r="BE593" s="376" t="str">
        <f t="shared" si="7493"/>
        <v>n/a</v>
      </c>
      <c r="BF593" s="376" t="str">
        <f t="shared" si="7494"/>
        <v>n/a</v>
      </c>
      <c r="BG593" s="324" t="str">
        <f t="shared" si="7495"/>
        <v>n/a</v>
      </c>
      <c r="BH593" s="376" t="str">
        <f t="shared" si="7496"/>
        <v>n/a</v>
      </c>
      <c r="BI593" s="376" t="str">
        <f t="shared" si="7497"/>
        <v>n/a</v>
      </c>
      <c r="BJ593" s="376" t="str">
        <f t="shared" si="7498"/>
        <v>n/a</v>
      </c>
      <c r="BK593" s="376" t="str">
        <f t="shared" si="7499"/>
        <v>n/a</v>
      </c>
      <c r="BL593" s="376" t="str">
        <f t="shared" si="7500"/>
        <v>n/a</v>
      </c>
      <c r="BM593" s="376" t="str">
        <f t="shared" si="7501"/>
        <v>n/a</v>
      </c>
      <c r="BN593" s="376" t="str">
        <f t="shared" si="7502"/>
        <v>n/a</v>
      </c>
      <c r="BO593" s="376" t="str">
        <f t="shared" si="7503"/>
        <v>n/a</v>
      </c>
      <c r="BP593" s="376" t="str">
        <f t="shared" si="7504"/>
        <v>n/a</v>
      </c>
      <c r="BQ593" s="376" t="str">
        <f t="shared" si="7505"/>
        <v>n/a</v>
      </c>
      <c r="BR593" s="376" t="str">
        <f t="shared" si="7506"/>
        <v>n/a</v>
      </c>
      <c r="BS593" s="324" t="str">
        <f t="shared" si="7507"/>
        <v>n/a</v>
      </c>
      <c r="BT593" s="376" t="str">
        <f t="shared" si="7508"/>
        <v>n/a</v>
      </c>
      <c r="BU593" s="376" t="str">
        <f t="shared" si="7509"/>
        <v>n/a</v>
      </c>
      <c r="BV593" s="376" t="str">
        <f t="shared" si="7510"/>
        <v>n/a</v>
      </c>
      <c r="BW593" s="376" t="str">
        <f t="shared" si="7511"/>
        <v>n/a</v>
      </c>
      <c r="BX593" s="376" t="str">
        <f t="shared" si="7512"/>
        <v>n/a</v>
      </c>
      <c r="BY593" s="376" t="str">
        <f t="shared" si="7513"/>
        <v>n/a</v>
      </c>
      <c r="BZ593" s="376" t="str">
        <f t="shared" si="7514"/>
        <v>n/a</v>
      </c>
      <c r="CA593" s="376" t="str">
        <f t="shared" si="7515"/>
        <v>n/a</v>
      </c>
      <c r="CB593" s="376" t="str">
        <f t="shared" si="7516"/>
        <v>n/a</v>
      </c>
      <c r="CC593" s="376" t="str">
        <f t="shared" si="7517"/>
        <v>n/a</v>
      </c>
      <c r="CD593" s="376" t="str">
        <f t="shared" si="7518"/>
        <v>n/a</v>
      </c>
      <c r="CE593" s="324" t="str">
        <f t="shared" si="7519"/>
        <v>n/a</v>
      </c>
      <c r="CF593" s="376" t="str">
        <f t="shared" si="7520"/>
        <v>n/a</v>
      </c>
      <c r="CG593" s="376" t="str">
        <f t="shared" si="7521"/>
        <v>n/a</v>
      </c>
      <c r="CH593" s="376" t="str">
        <f t="shared" si="7522"/>
        <v>n/a</v>
      </c>
      <c r="CI593" s="376" t="str">
        <f t="shared" si="7523"/>
        <v>n/a</v>
      </c>
      <c r="CJ593" s="376" t="str">
        <f t="shared" si="7524"/>
        <v>n/a</v>
      </c>
      <c r="CK593" s="376" t="str">
        <f t="shared" si="7525"/>
        <v>n/a</v>
      </c>
      <c r="CL593" s="376" t="str">
        <f t="shared" si="7526"/>
        <v>n/a</v>
      </c>
      <c r="CM593" s="376" t="str">
        <f t="shared" si="7527"/>
        <v>n/a</v>
      </c>
      <c r="CN593" s="376" t="str">
        <f t="shared" si="7528"/>
        <v>n/a</v>
      </c>
      <c r="CO593" s="376" t="str">
        <f t="shared" si="7529"/>
        <v>n/a</v>
      </c>
      <c r="CP593" s="376" t="str">
        <f t="shared" si="7530"/>
        <v>n/a</v>
      </c>
      <c r="CQ593" s="324" t="str">
        <f t="shared" si="7531"/>
        <v>n/a</v>
      </c>
      <c r="CR593" s="376" t="str">
        <f t="shared" si="7532"/>
        <v>n/a</v>
      </c>
      <c r="CS593" s="376" t="str">
        <f t="shared" si="7533"/>
        <v>n/a</v>
      </c>
      <c r="CT593" s="376" t="str">
        <f t="shared" si="7534"/>
        <v>n/a</v>
      </c>
      <c r="CU593" s="376" t="str">
        <f t="shared" si="7535"/>
        <v>n/a</v>
      </c>
      <c r="CV593" s="376" t="str">
        <f t="shared" si="7536"/>
        <v>n/a</v>
      </c>
      <c r="CW593" s="376" t="str">
        <f t="shared" si="7537"/>
        <v>n/a</v>
      </c>
      <c r="CX593" s="376" t="str">
        <f t="shared" si="7538"/>
        <v>n/a</v>
      </c>
      <c r="CY593" s="376" t="str">
        <f t="shared" si="7539"/>
        <v>n/a</v>
      </c>
      <c r="CZ593" s="376" t="str">
        <f t="shared" si="7540"/>
        <v>n/a</v>
      </c>
      <c r="DA593" s="376" t="str">
        <f t="shared" si="7541"/>
        <v>n/a</v>
      </c>
      <c r="DB593" s="376" t="str">
        <f t="shared" si="7542"/>
        <v>n/a</v>
      </c>
      <c r="DC593" s="324" t="str">
        <f t="shared" si="7543"/>
        <v>n/a</v>
      </c>
    </row>
    <row r="594" spans="3:107" x14ac:dyDescent="0.3">
      <c r="G594" s="203"/>
      <c r="K594" s="203"/>
      <c r="W594" s="203"/>
      <c r="AI594" s="203"/>
      <c r="AU594" s="203"/>
      <c r="BG594" s="203"/>
      <c r="BS594" s="203"/>
      <c r="CE594" s="203"/>
      <c r="CQ594" s="203"/>
      <c r="DC594" s="203"/>
    </row>
    <row r="595" spans="3:107" x14ac:dyDescent="0.3">
      <c r="C595" s="101" t="s">
        <v>508</v>
      </c>
      <c r="G595" s="375">
        <f>++IF(AND(G592="n/a",G593="n/a"),G591,IF(AND(G592&lt;&gt;"n/a",G593="n/a"),MAX(G591-G592,0),IF(AND(G592="n/a",G593&lt;&gt;"n/a"),MIN(G591,G593),MAX(MIN(G591-G592,G593),0))))</f>
        <v>0</v>
      </c>
      <c r="H595" s="199">
        <f t="shared" ref="H595:BS595" si="7561">++IF(AND(H592="n/a",H593="n/a"),H591,IF(AND(H592&lt;&gt;"n/a",H593="n/a"),MAX(H591-H592,0),IF(AND(H592="n/a",H593&lt;&gt;"n/a"),MIN(H591,H593),MAX(MIN(H591-H592,H593),0))))</f>
        <v>0</v>
      </c>
      <c r="I595" s="199">
        <f t="shared" si="7561"/>
        <v>0</v>
      </c>
      <c r="J595" s="199">
        <f t="shared" si="7561"/>
        <v>0</v>
      </c>
      <c r="K595" s="375">
        <f t="shared" si="7561"/>
        <v>0</v>
      </c>
      <c r="L595" s="199">
        <f t="shared" si="7561"/>
        <v>0</v>
      </c>
      <c r="M595" s="199">
        <f t="shared" si="7561"/>
        <v>0</v>
      </c>
      <c r="N595" s="199">
        <f t="shared" si="7561"/>
        <v>0</v>
      </c>
      <c r="O595" s="199">
        <f t="shared" si="7561"/>
        <v>0</v>
      </c>
      <c r="P595" s="199">
        <f t="shared" si="7561"/>
        <v>0</v>
      </c>
      <c r="Q595" s="199">
        <f t="shared" si="7561"/>
        <v>0</v>
      </c>
      <c r="R595" s="199">
        <f t="shared" si="7561"/>
        <v>0</v>
      </c>
      <c r="S595" s="199">
        <f t="shared" si="7561"/>
        <v>0</v>
      </c>
      <c r="T595" s="199">
        <f t="shared" si="7561"/>
        <v>0</v>
      </c>
      <c r="U595" s="199">
        <f t="shared" si="7561"/>
        <v>0</v>
      </c>
      <c r="V595" s="199">
        <f t="shared" si="7561"/>
        <v>0</v>
      </c>
      <c r="W595" s="375">
        <f t="shared" si="7561"/>
        <v>0</v>
      </c>
      <c r="X595" s="199">
        <f t="shared" si="7561"/>
        <v>0</v>
      </c>
      <c r="Y595" s="199">
        <f t="shared" si="7561"/>
        <v>0</v>
      </c>
      <c r="Z595" s="199">
        <f t="shared" si="7561"/>
        <v>0</v>
      </c>
      <c r="AA595" s="199">
        <f t="shared" si="7561"/>
        <v>0</v>
      </c>
      <c r="AB595" s="199">
        <f t="shared" si="7561"/>
        <v>0</v>
      </c>
      <c r="AC595" s="199">
        <f t="shared" si="7561"/>
        <v>0</v>
      </c>
      <c r="AD595" s="199">
        <f t="shared" si="7561"/>
        <v>0</v>
      </c>
      <c r="AE595" s="199">
        <f t="shared" si="7561"/>
        <v>0</v>
      </c>
      <c r="AF595" s="199">
        <f t="shared" si="7561"/>
        <v>0</v>
      </c>
      <c r="AG595" s="199">
        <f t="shared" si="7561"/>
        <v>0</v>
      </c>
      <c r="AH595" s="199">
        <f t="shared" si="7561"/>
        <v>0</v>
      </c>
      <c r="AI595" s="375">
        <f t="shared" si="7561"/>
        <v>0</v>
      </c>
      <c r="AJ595" s="199">
        <f t="shared" si="7561"/>
        <v>0</v>
      </c>
      <c r="AK595" s="199">
        <f t="shared" si="7561"/>
        <v>0</v>
      </c>
      <c r="AL595" s="199">
        <f t="shared" si="7561"/>
        <v>0</v>
      </c>
      <c r="AM595" s="199">
        <f t="shared" si="7561"/>
        <v>0</v>
      </c>
      <c r="AN595" s="199">
        <f t="shared" si="7561"/>
        <v>0</v>
      </c>
      <c r="AO595" s="199">
        <f t="shared" si="7561"/>
        <v>0</v>
      </c>
      <c r="AP595" s="199">
        <f t="shared" si="7561"/>
        <v>0</v>
      </c>
      <c r="AQ595" s="199">
        <f t="shared" si="7561"/>
        <v>0</v>
      </c>
      <c r="AR595" s="199">
        <f t="shared" si="7561"/>
        <v>0</v>
      </c>
      <c r="AS595" s="199">
        <f t="shared" si="7561"/>
        <v>0</v>
      </c>
      <c r="AT595" s="199">
        <f t="shared" si="7561"/>
        <v>0</v>
      </c>
      <c r="AU595" s="375">
        <f t="shared" si="7561"/>
        <v>0</v>
      </c>
      <c r="AV595" s="199">
        <f t="shared" si="7561"/>
        <v>0</v>
      </c>
      <c r="AW595" s="199">
        <f t="shared" si="7561"/>
        <v>0</v>
      </c>
      <c r="AX595" s="199">
        <f t="shared" si="7561"/>
        <v>0</v>
      </c>
      <c r="AY595" s="199">
        <f t="shared" si="7561"/>
        <v>0</v>
      </c>
      <c r="AZ595" s="199">
        <f t="shared" si="7561"/>
        <v>0</v>
      </c>
      <c r="BA595" s="199">
        <f t="shared" si="7561"/>
        <v>0</v>
      </c>
      <c r="BB595" s="199">
        <f t="shared" si="7561"/>
        <v>0</v>
      </c>
      <c r="BC595" s="199">
        <f t="shared" si="7561"/>
        <v>0</v>
      </c>
      <c r="BD595" s="199">
        <f t="shared" si="7561"/>
        <v>0</v>
      </c>
      <c r="BE595" s="199">
        <f t="shared" si="7561"/>
        <v>0</v>
      </c>
      <c r="BF595" s="199">
        <f t="shared" si="7561"/>
        <v>0</v>
      </c>
      <c r="BG595" s="375">
        <f t="shared" si="7561"/>
        <v>0</v>
      </c>
      <c r="BH595" s="199">
        <f t="shared" si="7561"/>
        <v>0</v>
      </c>
      <c r="BI595" s="199">
        <f t="shared" si="7561"/>
        <v>0</v>
      </c>
      <c r="BJ595" s="199">
        <f t="shared" si="7561"/>
        <v>0</v>
      </c>
      <c r="BK595" s="199">
        <f t="shared" si="7561"/>
        <v>0</v>
      </c>
      <c r="BL595" s="199">
        <f t="shared" si="7561"/>
        <v>0</v>
      </c>
      <c r="BM595" s="199">
        <f t="shared" si="7561"/>
        <v>0</v>
      </c>
      <c r="BN595" s="199">
        <f t="shared" si="7561"/>
        <v>0</v>
      </c>
      <c r="BO595" s="199">
        <f t="shared" si="7561"/>
        <v>0</v>
      </c>
      <c r="BP595" s="199">
        <f t="shared" si="7561"/>
        <v>0</v>
      </c>
      <c r="BQ595" s="199">
        <f t="shared" si="7561"/>
        <v>0</v>
      </c>
      <c r="BR595" s="199">
        <f t="shared" si="7561"/>
        <v>0</v>
      </c>
      <c r="BS595" s="375">
        <f t="shared" si="7561"/>
        <v>0</v>
      </c>
      <c r="BT595" s="199">
        <f t="shared" ref="BT595:DC595" si="7562">++IF(AND(BT592="n/a",BT593="n/a"),BT591,IF(AND(BT592&lt;&gt;"n/a",BT593="n/a"),MAX(BT591-BT592,0),IF(AND(BT592="n/a",BT593&lt;&gt;"n/a"),MIN(BT591,BT593),MAX(MIN(BT591-BT592,BT593),0))))</f>
        <v>0</v>
      </c>
      <c r="BU595" s="199">
        <f t="shared" si="7562"/>
        <v>0</v>
      </c>
      <c r="BV595" s="199">
        <f t="shared" si="7562"/>
        <v>0</v>
      </c>
      <c r="BW595" s="199">
        <f t="shared" si="7562"/>
        <v>0</v>
      </c>
      <c r="BX595" s="199">
        <f t="shared" si="7562"/>
        <v>0</v>
      </c>
      <c r="BY595" s="199">
        <f t="shared" si="7562"/>
        <v>0</v>
      </c>
      <c r="BZ595" s="199">
        <f t="shared" si="7562"/>
        <v>0</v>
      </c>
      <c r="CA595" s="199">
        <f t="shared" si="7562"/>
        <v>0</v>
      </c>
      <c r="CB595" s="199">
        <f t="shared" si="7562"/>
        <v>0</v>
      </c>
      <c r="CC595" s="199">
        <f t="shared" si="7562"/>
        <v>0</v>
      </c>
      <c r="CD595" s="199">
        <f t="shared" si="7562"/>
        <v>0</v>
      </c>
      <c r="CE595" s="375">
        <f t="shared" si="7562"/>
        <v>0</v>
      </c>
      <c r="CF595" s="199">
        <f t="shared" si="7562"/>
        <v>0</v>
      </c>
      <c r="CG595" s="199">
        <f t="shared" si="7562"/>
        <v>0</v>
      </c>
      <c r="CH595" s="199">
        <f t="shared" si="7562"/>
        <v>0</v>
      </c>
      <c r="CI595" s="199">
        <f t="shared" si="7562"/>
        <v>0</v>
      </c>
      <c r="CJ595" s="199">
        <f t="shared" si="7562"/>
        <v>0</v>
      </c>
      <c r="CK595" s="199">
        <f t="shared" si="7562"/>
        <v>0</v>
      </c>
      <c r="CL595" s="199">
        <f t="shared" si="7562"/>
        <v>0</v>
      </c>
      <c r="CM595" s="199">
        <f t="shared" si="7562"/>
        <v>0</v>
      </c>
      <c r="CN595" s="199">
        <f t="shared" si="7562"/>
        <v>0</v>
      </c>
      <c r="CO595" s="199">
        <f t="shared" si="7562"/>
        <v>0</v>
      </c>
      <c r="CP595" s="199">
        <f t="shared" si="7562"/>
        <v>0</v>
      </c>
      <c r="CQ595" s="375">
        <f t="shared" si="7562"/>
        <v>0</v>
      </c>
      <c r="CR595" s="199">
        <f t="shared" si="7562"/>
        <v>0</v>
      </c>
      <c r="CS595" s="199">
        <f t="shared" si="7562"/>
        <v>0</v>
      </c>
      <c r="CT595" s="199">
        <f t="shared" si="7562"/>
        <v>0</v>
      </c>
      <c r="CU595" s="199">
        <f t="shared" si="7562"/>
        <v>0</v>
      </c>
      <c r="CV595" s="199">
        <f t="shared" si="7562"/>
        <v>0</v>
      </c>
      <c r="CW595" s="199">
        <f t="shared" si="7562"/>
        <v>0</v>
      </c>
      <c r="CX595" s="199">
        <f t="shared" si="7562"/>
        <v>0</v>
      </c>
      <c r="CY595" s="199">
        <f t="shared" si="7562"/>
        <v>0</v>
      </c>
      <c r="CZ595" s="199">
        <f t="shared" si="7562"/>
        <v>0</v>
      </c>
      <c r="DA595" s="199">
        <f t="shared" si="7562"/>
        <v>0</v>
      </c>
      <c r="DB595" s="199">
        <f t="shared" si="7562"/>
        <v>0</v>
      </c>
      <c r="DC595" s="375">
        <f t="shared" si="7562"/>
        <v>0</v>
      </c>
    </row>
    <row r="596" spans="3:107" x14ac:dyDescent="0.3">
      <c r="G596" s="203"/>
      <c r="K596" s="203"/>
      <c r="W596" s="203"/>
      <c r="AI596" s="203"/>
      <c r="AU596" s="203"/>
      <c r="BG596" s="203"/>
      <c r="BS596" s="203"/>
      <c r="CE596" s="203"/>
      <c r="CQ596" s="203"/>
      <c r="DC596" s="203"/>
    </row>
    <row r="597" spans="3:107" x14ac:dyDescent="0.3">
      <c r="C597" s="342" t="str">
        <f>++'Trade Ticket Input'!C$8</f>
        <v>ABL Revolver ($0.0MM)</v>
      </c>
      <c r="G597" s="126">
        <v>0</v>
      </c>
      <c r="H597" s="200">
        <f t="shared" ref="H597:H603" si="7563">++G597</f>
        <v>0</v>
      </c>
      <c r="I597" s="200">
        <f t="shared" si="7284"/>
        <v>0</v>
      </c>
      <c r="J597" s="200">
        <f t="shared" si="7284"/>
        <v>0</v>
      </c>
      <c r="K597" s="374">
        <f t="shared" si="7284"/>
        <v>0</v>
      </c>
      <c r="L597" s="200">
        <f t="shared" si="7284"/>
        <v>0</v>
      </c>
      <c r="M597" s="200">
        <f t="shared" ref="M597:M603" si="7564">++L597</f>
        <v>0</v>
      </c>
      <c r="N597" s="200">
        <f t="shared" ref="N597:N603" si="7565">++M597</f>
        <v>0</v>
      </c>
      <c r="O597" s="200">
        <f t="shared" ref="O597:O603" si="7566">++N597</f>
        <v>0</v>
      </c>
      <c r="P597" s="200">
        <f t="shared" ref="P597:P603" si="7567">++O597</f>
        <v>0</v>
      </c>
      <c r="Q597" s="200">
        <f t="shared" ref="Q597:Q603" si="7568">++P597</f>
        <v>0</v>
      </c>
      <c r="R597" s="200">
        <f t="shared" ref="R597:R603" si="7569">++Q597</f>
        <v>0</v>
      </c>
      <c r="S597" s="200">
        <f t="shared" ref="S597:S603" si="7570">++R597</f>
        <v>0</v>
      </c>
      <c r="T597" s="200">
        <f t="shared" ref="T597:T603" si="7571">++S597</f>
        <v>0</v>
      </c>
      <c r="U597" s="200">
        <f t="shared" ref="U597:U603" si="7572">++T597</f>
        <v>0</v>
      </c>
      <c r="V597" s="200">
        <f t="shared" ref="V597:V603" si="7573">++U597</f>
        <v>0</v>
      </c>
      <c r="W597" s="374">
        <f t="shared" ref="W597:W603" si="7574">++V597</f>
        <v>0</v>
      </c>
      <c r="X597" s="200">
        <f t="shared" ref="X597:X603" si="7575">++W597</f>
        <v>0</v>
      </c>
      <c r="Y597" s="200">
        <f t="shared" ref="Y597:Y603" si="7576">++X597</f>
        <v>0</v>
      </c>
      <c r="Z597" s="200">
        <f t="shared" ref="Z597:Z603" si="7577">++Y597</f>
        <v>0</v>
      </c>
      <c r="AA597" s="200">
        <f t="shared" ref="AA597:AA603" si="7578">++Z597</f>
        <v>0</v>
      </c>
      <c r="AB597" s="200">
        <f t="shared" ref="AB597:AB603" si="7579">++AA597</f>
        <v>0</v>
      </c>
      <c r="AC597" s="200">
        <f t="shared" ref="AC597:AC603" si="7580">++AB597</f>
        <v>0</v>
      </c>
      <c r="AD597" s="200">
        <f t="shared" ref="AD597:AD603" si="7581">++AC597</f>
        <v>0</v>
      </c>
      <c r="AE597" s="200">
        <f t="shared" ref="AE597:AE603" si="7582">++AD597</f>
        <v>0</v>
      </c>
      <c r="AF597" s="200">
        <f t="shared" ref="AF597:AF603" si="7583">++AE597</f>
        <v>0</v>
      </c>
      <c r="AG597" s="200">
        <f t="shared" ref="AG597:AG603" si="7584">++AF597</f>
        <v>0</v>
      </c>
      <c r="AH597" s="200">
        <f t="shared" ref="AH597:AH603" si="7585">++AG597</f>
        <v>0</v>
      </c>
      <c r="AI597" s="374">
        <f t="shared" ref="AI597:AI603" si="7586">++AH597</f>
        <v>0</v>
      </c>
      <c r="AJ597" s="200">
        <f t="shared" ref="AJ597:AJ603" si="7587">++AI597</f>
        <v>0</v>
      </c>
      <c r="AK597" s="200">
        <f t="shared" ref="AK597:AK603" si="7588">++AJ597</f>
        <v>0</v>
      </c>
      <c r="AL597" s="200">
        <f t="shared" ref="AL597:AL603" si="7589">++AK597</f>
        <v>0</v>
      </c>
      <c r="AM597" s="200">
        <f t="shared" ref="AM597:AM603" si="7590">++AL597</f>
        <v>0</v>
      </c>
      <c r="AN597" s="200">
        <f t="shared" ref="AN597:AN603" si="7591">++AM597</f>
        <v>0</v>
      </c>
      <c r="AO597" s="200">
        <f t="shared" ref="AO597:AO603" si="7592">++AN597</f>
        <v>0</v>
      </c>
      <c r="AP597" s="200">
        <f t="shared" ref="AP597:AP603" si="7593">++AO597</f>
        <v>0</v>
      </c>
      <c r="AQ597" s="200">
        <f t="shared" ref="AQ597:AQ603" si="7594">++AP597</f>
        <v>0</v>
      </c>
      <c r="AR597" s="200">
        <f t="shared" ref="AR597:AR603" si="7595">++AQ597</f>
        <v>0</v>
      </c>
      <c r="AS597" s="200">
        <f t="shared" ref="AS597:AS603" si="7596">++AR597</f>
        <v>0</v>
      </c>
      <c r="AT597" s="200">
        <f t="shared" ref="AT597:AT603" si="7597">++AS597</f>
        <v>0</v>
      </c>
      <c r="AU597" s="374">
        <f t="shared" ref="AU597:AU603" si="7598">++AT597</f>
        <v>0</v>
      </c>
      <c r="AV597" s="200">
        <f t="shared" ref="AV597:AV603" si="7599">++AU597</f>
        <v>0</v>
      </c>
      <c r="AW597" s="200">
        <f t="shared" ref="AW597:AW603" si="7600">++AV597</f>
        <v>0</v>
      </c>
      <c r="AX597" s="200">
        <f t="shared" ref="AX597:AX603" si="7601">++AW597</f>
        <v>0</v>
      </c>
      <c r="AY597" s="200">
        <f t="shared" ref="AY597:AY603" si="7602">++AX597</f>
        <v>0</v>
      </c>
      <c r="AZ597" s="200">
        <f t="shared" ref="AZ597:AZ603" si="7603">++AY597</f>
        <v>0</v>
      </c>
      <c r="BA597" s="200">
        <f t="shared" ref="BA597:BA603" si="7604">++AZ597</f>
        <v>0</v>
      </c>
      <c r="BB597" s="200">
        <f t="shared" ref="BB597:BB603" si="7605">++BA597</f>
        <v>0</v>
      </c>
      <c r="BC597" s="200">
        <f t="shared" ref="BC597:BC603" si="7606">++BB597</f>
        <v>0</v>
      </c>
      <c r="BD597" s="200">
        <f t="shared" ref="BD597:BD603" si="7607">++BC597</f>
        <v>0</v>
      </c>
      <c r="BE597" s="200">
        <f t="shared" ref="BE597:BE603" si="7608">++BD597</f>
        <v>0</v>
      </c>
      <c r="BF597" s="200">
        <f t="shared" ref="BF597:BF603" si="7609">++BE597</f>
        <v>0</v>
      </c>
      <c r="BG597" s="374">
        <f t="shared" ref="BG597:BG603" si="7610">++BF597</f>
        <v>0</v>
      </c>
      <c r="BH597" s="200">
        <f t="shared" ref="BH597:BH603" si="7611">++BG597</f>
        <v>0</v>
      </c>
      <c r="BI597" s="200">
        <f t="shared" ref="BI597:BI603" si="7612">++BH597</f>
        <v>0</v>
      </c>
      <c r="BJ597" s="200">
        <f t="shared" ref="BJ597:BJ603" si="7613">++BI597</f>
        <v>0</v>
      </c>
      <c r="BK597" s="200">
        <f t="shared" ref="BK597:BK603" si="7614">++BJ597</f>
        <v>0</v>
      </c>
      <c r="BL597" s="200">
        <f t="shared" ref="BL597:BL603" si="7615">++BK597</f>
        <v>0</v>
      </c>
      <c r="BM597" s="200">
        <f t="shared" ref="BM597:BM603" si="7616">++BL597</f>
        <v>0</v>
      </c>
      <c r="BN597" s="200">
        <f t="shared" ref="BN597:BN603" si="7617">++BM597</f>
        <v>0</v>
      </c>
      <c r="BO597" s="200">
        <f t="shared" ref="BO597:BO603" si="7618">++BN597</f>
        <v>0</v>
      </c>
      <c r="BP597" s="200">
        <f t="shared" ref="BP597:BP603" si="7619">++BO597</f>
        <v>0</v>
      </c>
      <c r="BQ597" s="200">
        <f t="shared" ref="BQ597:BQ603" si="7620">++BP597</f>
        <v>0</v>
      </c>
      <c r="BR597" s="200">
        <f t="shared" ref="BR597:BR603" si="7621">++BQ597</f>
        <v>0</v>
      </c>
      <c r="BS597" s="374">
        <f t="shared" ref="BS597:BS603" si="7622">++BR597</f>
        <v>0</v>
      </c>
      <c r="BT597" s="200">
        <f t="shared" ref="BT597:BT603" si="7623">++BS597</f>
        <v>0</v>
      </c>
      <c r="BU597" s="200">
        <f t="shared" ref="BU597:BU603" si="7624">++BT597</f>
        <v>0</v>
      </c>
      <c r="BV597" s="200">
        <f t="shared" ref="BV597:BV603" si="7625">++BU597</f>
        <v>0</v>
      </c>
      <c r="BW597" s="200">
        <f t="shared" ref="BW597:BW603" si="7626">++BV597</f>
        <v>0</v>
      </c>
      <c r="BX597" s="200">
        <f t="shared" ref="BX597:BX603" si="7627">++BW597</f>
        <v>0</v>
      </c>
      <c r="BY597" s="200">
        <f t="shared" ref="BY597:BY603" si="7628">++BX597</f>
        <v>0</v>
      </c>
      <c r="BZ597" s="200">
        <f t="shared" ref="BZ597:BZ603" si="7629">++BY597</f>
        <v>0</v>
      </c>
      <c r="CA597" s="200">
        <f t="shared" ref="CA597:CA603" si="7630">++BZ597</f>
        <v>0</v>
      </c>
      <c r="CB597" s="200">
        <f t="shared" ref="CB597:CB603" si="7631">++CA597</f>
        <v>0</v>
      </c>
      <c r="CC597" s="200">
        <f t="shared" ref="CC597:CC603" si="7632">++CB597</f>
        <v>0</v>
      </c>
      <c r="CD597" s="200">
        <f t="shared" ref="CD597:CD603" si="7633">++CC597</f>
        <v>0</v>
      </c>
      <c r="CE597" s="374">
        <f t="shared" ref="CE597:CE603" si="7634">++CD597</f>
        <v>0</v>
      </c>
      <c r="CF597" s="200">
        <f t="shared" ref="CF597:CF603" si="7635">++CE597</f>
        <v>0</v>
      </c>
      <c r="CG597" s="200">
        <f t="shared" ref="CG597:CG603" si="7636">++CF597</f>
        <v>0</v>
      </c>
      <c r="CH597" s="200">
        <f t="shared" ref="CH597:CH603" si="7637">++CG597</f>
        <v>0</v>
      </c>
      <c r="CI597" s="200">
        <f t="shared" ref="CI597:CI603" si="7638">++CH597</f>
        <v>0</v>
      </c>
      <c r="CJ597" s="200">
        <f t="shared" ref="CJ597:CJ603" si="7639">++CI597</f>
        <v>0</v>
      </c>
      <c r="CK597" s="200">
        <f t="shared" ref="CK597:CK603" si="7640">++CJ597</f>
        <v>0</v>
      </c>
      <c r="CL597" s="200">
        <f t="shared" ref="CL597:CL603" si="7641">++CK597</f>
        <v>0</v>
      </c>
      <c r="CM597" s="200">
        <f t="shared" ref="CM597:CM603" si="7642">++CL597</f>
        <v>0</v>
      </c>
      <c r="CN597" s="200">
        <f t="shared" ref="CN597:CN603" si="7643">++CM597</f>
        <v>0</v>
      </c>
      <c r="CO597" s="200">
        <f t="shared" ref="CO597:CO603" si="7644">++CN597</f>
        <v>0</v>
      </c>
      <c r="CP597" s="200">
        <f t="shared" ref="CP597:CP603" si="7645">++CO597</f>
        <v>0</v>
      </c>
      <c r="CQ597" s="374">
        <f t="shared" ref="CQ597:CQ603" si="7646">++CP597</f>
        <v>0</v>
      </c>
      <c r="CR597" s="200">
        <f t="shared" ref="CR597:CR603" si="7647">++CQ597</f>
        <v>0</v>
      </c>
      <c r="CS597" s="200">
        <f t="shared" ref="CS597:CS603" si="7648">++CR597</f>
        <v>0</v>
      </c>
      <c r="CT597" s="200">
        <f t="shared" ref="CT597:CT603" si="7649">++CS597</f>
        <v>0</v>
      </c>
      <c r="CU597" s="200">
        <f t="shared" ref="CU597:CU603" si="7650">++CT597</f>
        <v>0</v>
      </c>
      <c r="CV597" s="200">
        <f t="shared" ref="CV597:CV603" si="7651">++CU597</f>
        <v>0</v>
      </c>
      <c r="CW597" s="200">
        <f t="shared" ref="CW597:CW603" si="7652">++CV597</f>
        <v>0</v>
      </c>
      <c r="CX597" s="200">
        <f t="shared" ref="CX597:CX603" si="7653">++CW597</f>
        <v>0</v>
      </c>
      <c r="CY597" s="200">
        <f t="shared" ref="CY597:CY603" si="7654">++CX597</f>
        <v>0</v>
      </c>
      <c r="CZ597" s="200">
        <f t="shared" ref="CZ597:CZ603" si="7655">++CY597</f>
        <v>0</v>
      </c>
      <c r="DA597" s="200">
        <f t="shared" ref="DA597:DA603" si="7656">++CZ597</f>
        <v>0</v>
      </c>
      <c r="DB597" s="200">
        <f t="shared" ref="DB597:DB603" si="7657">++DA597</f>
        <v>0</v>
      </c>
      <c r="DC597" s="374">
        <f t="shared" ref="DC597:DC603" si="7658">++DB597</f>
        <v>0</v>
      </c>
    </row>
    <row r="598" spans="3:107" x14ac:dyDescent="0.3">
      <c r="C598" s="342" t="str">
        <f>++'Trade Ticket Input'!C$38</f>
        <v>Priority Revolver ($0.0MM)</v>
      </c>
      <c r="G598" s="127">
        <v>0</v>
      </c>
      <c r="H598" s="200">
        <f t="shared" si="7563"/>
        <v>0</v>
      </c>
      <c r="I598" s="200">
        <f t="shared" ref="I598:L603" si="7659">++H598</f>
        <v>0</v>
      </c>
      <c r="J598" s="200">
        <f t="shared" si="7659"/>
        <v>0</v>
      </c>
      <c r="K598" s="374">
        <f t="shared" si="7659"/>
        <v>0</v>
      </c>
      <c r="L598" s="200">
        <f t="shared" si="7659"/>
        <v>0</v>
      </c>
      <c r="M598" s="200">
        <f t="shared" si="7564"/>
        <v>0</v>
      </c>
      <c r="N598" s="200">
        <f t="shared" si="7565"/>
        <v>0</v>
      </c>
      <c r="O598" s="200">
        <f t="shared" si="7566"/>
        <v>0</v>
      </c>
      <c r="P598" s="200">
        <f t="shared" si="7567"/>
        <v>0</v>
      </c>
      <c r="Q598" s="200">
        <f t="shared" si="7568"/>
        <v>0</v>
      </c>
      <c r="R598" s="200">
        <f t="shared" si="7569"/>
        <v>0</v>
      </c>
      <c r="S598" s="200">
        <f t="shared" si="7570"/>
        <v>0</v>
      </c>
      <c r="T598" s="200">
        <f t="shared" si="7571"/>
        <v>0</v>
      </c>
      <c r="U598" s="200">
        <f t="shared" si="7572"/>
        <v>0</v>
      </c>
      <c r="V598" s="200">
        <f t="shared" si="7573"/>
        <v>0</v>
      </c>
      <c r="W598" s="374">
        <f t="shared" si="7574"/>
        <v>0</v>
      </c>
      <c r="X598" s="200">
        <f t="shared" si="7575"/>
        <v>0</v>
      </c>
      <c r="Y598" s="200">
        <f t="shared" si="7576"/>
        <v>0</v>
      </c>
      <c r="Z598" s="200">
        <f t="shared" si="7577"/>
        <v>0</v>
      </c>
      <c r="AA598" s="200">
        <f t="shared" si="7578"/>
        <v>0</v>
      </c>
      <c r="AB598" s="200">
        <f t="shared" si="7579"/>
        <v>0</v>
      </c>
      <c r="AC598" s="200">
        <f t="shared" si="7580"/>
        <v>0</v>
      </c>
      <c r="AD598" s="200">
        <f t="shared" si="7581"/>
        <v>0</v>
      </c>
      <c r="AE598" s="200">
        <f t="shared" si="7582"/>
        <v>0</v>
      </c>
      <c r="AF598" s="200">
        <f t="shared" si="7583"/>
        <v>0</v>
      </c>
      <c r="AG598" s="200">
        <f t="shared" si="7584"/>
        <v>0</v>
      </c>
      <c r="AH598" s="200">
        <f t="shared" si="7585"/>
        <v>0</v>
      </c>
      <c r="AI598" s="374">
        <f t="shared" si="7586"/>
        <v>0</v>
      </c>
      <c r="AJ598" s="200">
        <f t="shared" si="7587"/>
        <v>0</v>
      </c>
      <c r="AK598" s="200">
        <f t="shared" si="7588"/>
        <v>0</v>
      </c>
      <c r="AL598" s="200">
        <f t="shared" si="7589"/>
        <v>0</v>
      </c>
      <c r="AM598" s="200">
        <f t="shared" si="7590"/>
        <v>0</v>
      </c>
      <c r="AN598" s="200">
        <f t="shared" si="7591"/>
        <v>0</v>
      </c>
      <c r="AO598" s="200">
        <f t="shared" si="7592"/>
        <v>0</v>
      </c>
      <c r="AP598" s="200">
        <f t="shared" si="7593"/>
        <v>0</v>
      </c>
      <c r="AQ598" s="200">
        <f t="shared" si="7594"/>
        <v>0</v>
      </c>
      <c r="AR598" s="200">
        <f t="shared" si="7595"/>
        <v>0</v>
      </c>
      <c r="AS598" s="200">
        <f t="shared" si="7596"/>
        <v>0</v>
      </c>
      <c r="AT598" s="200">
        <f t="shared" si="7597"/>
        <v>0</v>
      </c>
      <c r="AU598" s="374">
        <f t="shared" si="7598"/>
        <v>0</v>
      </c>
      <c r="AV598" s="200">
        <f t="shared" si="7599"/>
        <v>0</v>
      </c>
      <c r="AW598" s="200">
        <f t="shared" si="7600"/>
        <v>0</v>
      </c>
      <c r="AX598" s="200">
        <f t="shared" si="7601"/>
        <v>0</v>
      </c>
      <c r="AY598" s="200">
        <f t="shared" si="7602"/>
        <v>0</v>
      </c>
      <c r="AZ598" s="200">
        <f t="shared" si="7603"/>
        <v>0</v>
      </c>
      <c r="BA598" s="200">
        <f t="shared" si="7604"/>
        <v>0</v>
      </c>
      <c r="BB598" s="200">
        <f t="shared" si="7605"/>
        <v>0</v>
      </c>
      <c r="BC598" s="200">
        <f t="shared" si="7606"/>
        <v>0</v>
      </c>
      <c r="BD598" s="200">
        <f t="shared" si="7607"/>
        <v>0</v>
      </c>
      <c r="BE598" s="200">
        <f t="shared" si="7608"/>
        <v>0</v>
      </c>
      <c r="BF598" s="200">
        <f t="shared" si="7609"/>
        <v>0</v>
      </c>
      <c r="BG598" s="374">
        <f t="shared" si="7610"/>
        <v>0</v>
      </c>
      <c r="BH598" s="200">
        <f t="shared" si="7611"/>
        <v>0</v>
      </c>
      <c r="BI598" s="200">
        <f t="shared" si="7612"/>
        <v>0</v>
      </c>
      <c r="BJ598" s="200">
        <f t="shared" si="7613"/>
        <v>0</v>
      </c>
      <c r="BK598" s="200">
        <f t="shared" si="7614"/>
        <v>0</v>
      </c>
      <c r="BL598" s="200">
        <f t="shared" si="7615"/>
        <v>0</v>
      </c>
      <c r="BM598" s="200">
        <f t="shared" si="7616"/>
        <v>0</v>
      </c>
      <c r="BN598" s="200">
        <f t="shared" si="7617"/>
        <v>0</v>
      </c>
      <c r="BO598" s="200">
        <f t="shared" si="7618"/>
        <v>0</v>
      </c>
      <c r="BP598" s="200">
        <f t="shared" si="7619"/>
        <v>0</v>
      </c>
      <c r="BQ598" s="200">
        <f t="shared" si="7620"/>
        <v>0</v>
      </c>
      <c r="BR598" s="200">
        <f t="shared" si="7621"/>
        <v>0</v>
      </c>
      <c r="BS598" s="374">
        <f t="shared" si="7622"/>
        <v>0</v>
      </c>
      <c r="BT598" s="200">
        <f t="shared" si="7623"/>
        <v>0</v>
      </c>
      <c r="BU598" s="200">
        <f t="shared" si="7624"/>
        <v>0</v>
      </c>
      <c r="BV598" s="200">
        <f t="shared" si="7625"/>
        <v>0</v>
      </c>
      <c r="BW598" s="200">
        <f t="shared" si="7626"/>
        <v>0</v>
      </c>
      <c r="BX598" s="200">
        <f t="shared" si="7627"/>
        <v>0</v>
      </c>
      <c r="BY598" s="200">
        <f t="shared" si="7628"/>
        <v>0</v>
      </c>
      <c r="BZ598" s="200">
        <f t="shared" si="7629"/>
        <v>0</v>
      </c>
      <c r="CA598" s="200">
        <f t="shared" si="7630"/>
        <v>0</v>
      </c>
      <c r="CB598" s="200">
        <f t="shared" si="7631"/>
        <v>0</v>
      </c>
      <c r="CC598" s="200">
        <f t="shared" si="7632"/>
        <v>0</v>
      </c>
      <c r="CD598" s="200">
        <f t="shared" si="7633"/>
        <v>0</v>
      </c>
      <c r="CE598" s="374">
        <f t="shared" si="7634"/>
        <v>0</v>
      </c>
      <c r="CF598" s="200">
        <f t="shared" si="7635"/>
        <v>0</v>
      </c>
      <c r="CG598" s="200">
        <f t="shared" si="7636"/>
        <v>0</v>
      </c>
      <c r="CH598" s="200">
        <f t="shared" si="7637"/>
        <v>0</v>
      </c>
      <c r="CI598" s="200">
        <f t="shared" si="7638"/>
        <v>0</v>
      </c>
      <c r="CJ598" s="200">
        <f t="shared" si="7639"/>
        <v>0</v>
      </c>
      <c r="CK598" s="200">
        <f t="shared" si="7640"/>
        <v>0</v>
      </c>
      <c r="CL598" s="200">
        <f t="shared" si="7641"/>
        <v>0</v>
      </c>
      <c r="CM598" s="200">
        <f t="shared" si="7642"/>
        <v>0</v>
      </c>
      <c r="CN598" s="200">
        <f t="shared" si="7643"/>
        <v>0</v>
      </c>
      <c r="CO598" s="200">
        <f t="shared" si="7644"/>
        <v>0</v>
      </c>
      <c r="CP598" s="200">
        <f t="shared" si="7645"/>
        <v>0</v>
      </c>
      <c r="CQ598" s="374">
        <f t="shared" si="7646"/>
        <v>0</v>
      </c>
      <c r="CR598" s="200">
        <f t="shared" si="7647"/>
        <v>0</v>
      </c>
      <c r="CS598" s="200">
        <f t="shared" si="7648"/>
        <v>0</v>
      </c>
      <c r="CT598" s="200">
        <f t="shared" si="7649"/>
        <v>0</v>
      </c>
      <c r="CU598" s="200">
        <f t="shared" si="7650"/>
        <v>0</v>
      </c>
      <c r="CV598" s="200">
        <f t="shared" si="7651"/>
        <v>0</v>
      </c>
      <c r="CW598" s="200">
        <f t="shared" si="7652"/>
        <v>0</v>
      </c>
      <c r="CX598" s="200">
        <f t="shared" si="7653"/>
        <v>0</v>
      </c>
      <c r="CY598" s="200">
        <f t="shared" si="7654"/>
        <v>0</v>
      </c>
      <c r="CZ598" s="200">
        <f t="shared" si="7655"/>
        <v>0</v>
      </c>
      <c r="DA598" s="200">
        <f t="shared" si="7656"/>
        <v>0</v>
      </c>
      <c r="DB598" s="200">
        <f t="shared" si="7657"/>
        <v>0</v>
      </c>
      <c r="DC598" s="374">
        <f t="shared" si="7658"/>
        <v>0</v>
      </c>
    </row>
    <row r="599" spans="3:107" x14ac:dyDescent="0.3">
      <c r="C599" s="342" t="str">
        <f>++'Trade Ticket Input'!C$68</f>
        <v>First Lien Term Loan</v>
      </c>
      <c r="G599" s="127">
        <v>0</v>
      </c>
      <c r="H599" s="200">
        <f t="shared" si="7563"/>
        <v>0</v>
      </c>
      <c r="I599" s="200">
        <f t="shared" si="7659"/>
        <v>0</v>
      </c>
      <c r="J599" s="200">
        <f t="shared" si="7659"/>
        <v>0</v>
      </c>
      <c r="K599" s="374">
        <f t="shared" si="7659"/>
        <v>0</v>
      </c>
      <c r="L599" s="200">
        <f t="shared" si="7659"/>
        <v>0</v>
      </c>
      <c r="M599" s="200">
        <f t="shared" si="7564"/>
        <v>0</v>
      </c>
      <c r="N599" s="200">
        <f t="shared" si="7565"/>
        <v>0</v>
      </c>
      <c r="O599" s="200">
        <f t="shared" si="7566"/>
        <v>0</v>
      </c>
      <c r="P599" s="200">
        <f t="shared" si="7567"/>
        <v>0</v>
      </c>
      <c r="Q599" s="200">
        <f t="shared" si="7568"/>
        <v>0</v>
      </c>
      <c r="R599" s="200">
        <f t="shared" si="7569"/>
        <v>0</v>
      </c>
      <c r="S599" s="200">
        <f t="shared" si="7570"/>
        <v>0</v>
      </c>
      <c r="T599" s="200">
        <f t="shared" si="7571"/>
        <v>0</v>
      </c>
      <c r="U599" s="200">
        <f t="shared" si="7572"/>
        <v>0</v>
      </c>
      <c r="V599" s="200">
        <f t="shared" si="7573"/>
        <v>0</v>
      </c>
      <c r="W599" s="374">
        <f t="shared" si="7574"/>
        <v>0</v>
      </c>
      <c r="X599" s="200">
        <f t="shared" si="7575"/>
        <v>0</v>
      </c>
      <c r="Y599" s="200">
        <f t="shared" si="7576"/>
        <v>0</v>
      </c>
      <c r="Z599" s="200">
        <f t="shared" si="7577"/>
        <v>0</v>
      </c>
      <c r="AA599" s="200">
        <f t="shared" si="7578"/>
        <v>0</v>
      </c>
      <c r="AB599" s="200">
        <f t="shared" si="7579"/>
        <v>0</v>
      </c>
      <c r="AC599" s="200">
        <f t="shared" si="7580"/>
        <v>0</v>
      </c>
      <c r="AD599" s="200">
        <f t="shared" si="7581"/>
        <v>0</v>
      </c>
      <c r="AE599" s="200">
        <f t="shared" si="7582"/>
        <v>0</v>
      </c>
      <c r="AF599" s="200">
        <f t="shared" si="7583"/>
        <v>0</v>
      </c>
      <c r="AG599" s="200">
        <f t="shared" si="7584"/>
        <v>0</v>
      </c>
      <c r="AH599" s="200">
        <f t="shared" si="7585"/>
        <v>0</v>
      </c>
      <c r="AI599" s="374">
        <f t="shared" si="7586"/>
        <v>0</v>
      </c>
      <c r="AJ599" s="200">
        <f t="shared" si="7587"/>
        <v>0</v>
      </c>
      <c r="AK599" s="200">
        <f t="shared" si="7588"/>
        <v>0</v>
      </c>
      <c r="AL599" s="200">
        <f t="shared" si="7589"/>
        <v>0</v>
      </c>
      <c r="AM599" s="200">
        <f t="shared" si="7590"/>
        <v>0</v>
      </c>
      <c r="AN599" s="200">
        <f t="shared" si="7591"/>
        <v>0</v>
      </c>
      <c r="AO599" s="200">
        <f t="shared" si="7592"/>
        <v>0</v>
      </c>
      <c r="AP599" s="200">
        <f t="shared" si="7593"/>
        <v>0</v>
      </c>
      <c r="AQ599" s="200">
        <f t="shared" si="7594"/>
        <v>0</v>
      </c>
      <c r="AR599" s="200">
        <f t="shared" si="7595"/>
        <v>0</v>
      </c>
      <c r="AS599" s="200">
        <f t="shared" si="7596"/>
        <v>0</v>
      </c>
      <c r="AT599" s="200">
        <f t="shared" si="7597"/>
        <v>0</v>
      </c>
      <c r="AU599" s="374">
        <f t="shared" si="7598"/>
        <v>0</v>
      </c>
      <c r="AV599" s="200">
        <f t="shared" si="7599"/>
        <v>0</v>
      </c>
      <c r="AW599" s="200">
        <f t="shared" si="7600"/>
        <v>0</v>
      </c>
      <c r="AX599" s="200">
        <f t="shared" si="7601"/>
        <v>0</v>
      </c>
      <c r="AY599" s="200">
        <f t="shared" si="7602"/>
        <v>0</v>
      </c>
      <c r="AZ599" s="200">
        <f t="shared" si="7603"/>
        <v>0</v>
      </c>
      <c r="BA599" s="200">
        <f t="shared" si="7604"/>
        <v>0</v>
      </c>
      <c r="BB599" s="200">
        <f t="shared" si="7605"/>
        <v>0</v>
      </c>
      <c r="BC599" s="200">
        <f t="shared" si="7606"/>
        <v>0</v>
      </c>
      <c r="BD599" s="200">
        <f t="shared" si="7607"/>
        <v>0</v>
      </c>
      <c r="BE599" s="200">
        <f t="shared" si="7608"/>
        <v>0</v>
      </c>
      <c r="BF599" s="200">
        <f t="shared" si="7609"/>
        <v>0</v>
      </c>
      <c r="BG599" s="374">
        <f t="shared" si="7610"/>
        <v>0</v>
      </c>
      <c r="BH599" s="200">
        <f t="shared" si="7611"/>
        <v>0</v>
      </c>
      <c r="BI599" s="200">
        <f t="shared" si="7612"/>
        <v>0</v>
      </c>
      <c r="BJ599" s="200">
        <f t="shared" si="7613"/>
        <v>0</v>
      </c>
      <c r="BK599" s="200">
        <f t="shared" si="7614"/>
        <v>0</v>
      </c>
      <c r="BL599" s="200">
        <f t="shared" si="7615"/>
        <v>0</v>
      </c>
      <c r="BM599" s="200">
        <f t="shared" si="7616"/>
        <v>0</v>
      </c>
      <c r="BN599" s="200">
        <f t="shared" si="7617"/>
        <v>0</v>
      </c>
      <c r="BO599" s="200">
        <f t="shared" si="7618"/>
        <v>0</v>
      </c>
      <c r="BP599" s="200">
        <f t="shared" si="7619"/>
        <v>0</v>
      </c>
      <c r="BQ599" s="200">
        <f t="shared" si="7620"/>
        <v>0</v>
      </c>
      <c r="BR599" s="200">
        <f t="shared" si="7621"/>
        <v>0</v>
      </c>
      <c r="BS599" s="374">
        <f t="shared" si="7622"/>
        <v>0</v>
      </c>
      <c r="BT599" s="200">
        <f t="shared" si="7623"/>
        <v>0</v>
      </c>
      <c r="BU599" s="200">
        <f t="shared" si="7624"/>
        <v>0</v>
      </c>
      <c r="BV599" s="200">
        <f t="shared" si="7625"/>
        <v>0</v>
      </c>
      <c r="BW599" s="200">
        <f t="shared" si="7626"/>
        <v>0</v>
      </c>
      <c r="BX599" s="200">
        <f t="shared" si="7627"/>
        <v>0</v>
      </c>
      <c r="BY599" s="200">
        <f t="shared" si="7628"/>
        <v>0</v>
      </c>
      <c r="BZ599" s="200">
        <f t="shared" si="7629"/>
        <v>0</v>
      </c>
      <c r="CA599" s="200">
        <f t="shared" si="7630"/>
        <v>0</v>
      </c>
      <c r="CB599" s="200">
        <f t="shared" si="7631"/>
        <v>0</v>
      </c>
      <c r="CC599" s="200">
        <f t="shared" si="7632"/>
        <v>0</v>
      </c>
      <c r="CD599" s="200">
        <f t="shared" si="7633"/>
        <v>0</v>
      </c>
      <c r="CE599" s="374">
        <f t="shared" si="7634"/>
        <v>0</v>
      </c>
      <c r="CF599" s="200">
        <f t="shared" si="7635"/>
        <v>0</v>
      </c>
      <c r="CG599" s="200">
        <f t="shared" si="7636"/>
        <v>0</v>
      </c>
      <c r="CH599" s="200">
        <f t="shared" si="7637"/>
        <v>0</v>
      </c>
      <c r="CI599" s="200">
        <f t="shared" si="7638"/>
        <v>0</v>
      </c>
      <c r="CJ599" s="200">
        <f t="shared" si="7639"/>
        <v>0</v>
      </c>
      <c r="CK599" s="200">
        <f t="shared" si="7640"/>
        <v>0</v>
      </c>
      <c r="CL599" s="200">
        <f t="shared" si="7641"/>
        <v>0</v>
      </c>
      <c r="CM599" s="200">
        <f t="shared" si="7642"/>
        <v>0</v>
      </c>
      <c r="CN599" s="200">
        <f t="shared" si="7643"/>
        <v>0</v>
      </c>
      <c r="CO599" s="200">
        <f t="shared" si="7644"/>
        <v>0</v>
      </c>
      <c r="CP599" s="200">
        <f t="shared" si="7645"/>
        <v>0</v>
      </c>
      <c r="CQ599" s="374">
        <f t="shared" si="7646"/>
        <v>0</v>
      </c>
      <c r="CR599" s="200">
        <f t="shared" si="7647"/>
        <v>0</v>
      </c>
      <c r="CS599" s="200">
        <f t="shared" si="7648"/>
        <v>0</v>
      </c>
      <c r="CT599" s="200">
        <f t="shared" si="7649"/>
        <v>0</v>
      </c>
      <c r="CU599" s="200">
        <f t="shared" si="7650"/>
        <v>0</v>
      </c>
      <c r="CV599" s="200">
        <f t="shared" si="7651"/>
        <v>0</v>
      </c>
      <c r="CW599" s="200">
        <f t="shared" si="7652"/>
        <v>0</v>
      </c>
      <c r="CX599" s="200">
        <f t="shared" si="7653"/>
        <v>0</v>
      </c>
      <c r="CY599" s="200">
        <f t="shared" si="7654"/>
        <v>0</v>
      </c>
      <c r="CZ599" s="200">
        <f t="shared" si="7655"/>
        <v>0</v>
      </c>
      <c r="DA599" s="200">
        <f t="shared" si="7656"/>
        <v>0</v>
      </c>
      <c r="DB599" s="200">
        <f t="shared" si="7657"/>
        <v>0</v>
      </c>
      <c r="DC599" s="374">
        <f t="shared" si="7658"/>
        <v>0</v>
      </c>
    </row>
    <row r="600" spans="3:107" x14ac:dyDescent="0.3">
      <c r="C600" s="342" t="str">
        <f>++'Trade Ticket Input'!C$98</f>
        <v>First Lien Last-Out Term Loan</v>
      </c>
      <c r="G600" s="127">
        <v>0</v>
      </c>
      <c r="H600" s="200">
        <f t="shared" si="7563"/>
        <v>0</v>
      </c>
      <c r="I600" s="200">
        <f t="shared" si="7659"/>
        <v>0</v>
      </c>
      <c r="J600" s="200">
        <f t="shared" si="7659"/>
        <v>0</v>
      </c>
      <c r="K600" s="374">
        <f t="shared" si="7659"/>
        <v>0</v>
      </c>
      <c r="L600" s="200">
        <f t="shared" si="7659"/>
        <v>0</v>
      </c>
      <c r="M600" s="200">
        <f t="shared" si="7564"/>
        <v>0</v>
      </c>
      <c r="N600" s="200">
        <f t="shared" si="7565"/>
        <v>0</v>
      </c>
      <c r="O600" s="200">
        <f t="shared" si="7566"/>
        <v>0</v>
      </c>
      <c r="P600" s="200">
        <f t="shared" si="7567"/>
        <v>0</v>
      </c>
      <c r="Q600" s="200">
        <f t="shared" si="7568"/>
        <v>0</v>
      </c>
      <c r="R600" s="200">
        <f t="shared" si="7569"/>
        <v>0</v>
      </c>
      <c r="S600" s="200">
        <f t="shared" si="7570"/>
        <v>0</v>
      </c>
      <c r="T600" s="200">
        <f t="shared" si="7571"/>
        <v>0</v>
      </c>
      <c r="U600" s="200">
        <f t="shared" si="7572"/>
        <v>0</v>
      </c>
      <c r="V600" s="200">
        <f t="shared" si="7573"/>
        <v>0</v>
      </c>
      <c r="W600" s="374">
        <f t="shared" si="7574"/>
        <v>0</v>
      </c>
      <c r="X600" s="200">
        <f t="shared" si="7575"/>
        <v>0</v>
      </c>
      <c r="Y600" s="200">
        <f t="shared" si="7576"/>
        <v>0</v>
      </c>
      <c r="Z600" s="200">
        <f t="shared" si="7577"/>
        <v>0</v>
      </c>
      <c r="AA600" s="200">
        <f t="shared" si="7578"/>
        <v>0</v>
      </c>
      <c r="AB600" s="200">
        <f t="shared" si="7579"/>
        <v>0</v>
      </c>
      <c r="AC600" s="200">
        <f t="shared" si="7580"/>
        <v>0</v>
      </c>
      <c r="AD600" s="200">
        <f t="shared" si="7581"/>
        <v>0</v>
      </c>
      <c r="AE600" s="200">
        <f t="shared" si="7582"/>
        <v>0</v>
      </c>
      <c r="AF600" s="200">
        <f t="shared" si="7583"/>
        <v>0</v>
      </c>
      <c r="AG600" s="200">
        <f t="shared" si="7584"/>
        <v>0</v>
      </c>
      <c r="AH600" s="200">
        <f t="shared" si="7585"/>
        <v>0</v>
      </c>
      <c r="AI600" s="374">
        <f t="shared" si="7586"/>
        <v>0</v>
      </c>
      <c r="AJ600" s="200">
        <f t="shared" si="7587"/>
        <v>0</v>
      </c>
      <c r="AK600" s="200">
        <f t="shared" si="7588"/>
        <v>0</v>
      </c>
      <c r="AL600" s="200">
        <f t="shared" si="7589"/>
        <v>0</v>
      </c>
      <c r="AM600" s="200">
        <f t="shared" si="7590"/>
        <v>0</v>
      </c>
      <c r="AN600" s="200">
        <f t="shared" si="7591"/>
        <v>0</v>
      </c>
      <c r="AO600" s="200">
        <f t="shared" si="7592"/>
        <v>0</v>
      </c>
      <c r="AP600" s="200">
        <f t="shared" si="7593"/>
        <v>0</v>
      </c>
      <c r="AQ600" s="200">
        <f t="shared" si="7594"/>
        <v>0</v>
      </c>
      <c r="AR600" s="200">
        <f t="shared" si="7595"/>
        <v>0</v>
      </c>
      <c r="AS600" s="200">
        <f t="shared" si="7596"/>
        <v>0</v>
      </c>
      <c r="AT600" s="200">
        <f t="shared" si="7597"/>
        <v>0</v>
      </c>
      <c r="AU600" s="374">
        <f t="shared" si="7598"/>
        <v>0</v>
      </c>
      <c r="AV600" s="200">
        <f t="shared" si="7599"/>
        <v>0</v>
      </c>
      <c r="AW600" s="200">
        <f t="shared" si="7600"/>
        <v>0</v>
      </c>
      <c r="AX600" s="200">
        <f t="shared" si="7601"/>
        <v>0</v>
      </c>
      <c r="AY600" s="200">
        <f t="shared" si="7602"/>
        <v>0</v>
      </c>
      <c r="AZ600" s="200">
        <f t="shared" si="7603"/>
        <v>0</v>
      </c>
      <c r="BA600" s="200">
        <f t="shared" si="7604"/>
        <v>0</v>
      </c>
      <c r="BB600" s="200">
        <f t="shared" si="7605"/>
        <v>0</v>
      </c>
      <c r="BC600" s="200">
        <f t="shared" si="7606"/>
        <v>0</v>
      </c>
      <c r="BD600" s="200">
        <f t="shared" si="7607"/>
        <v>0</v>
      </c>
      <c r="BE600" s="200">
        <f t="shared" si="7608"/>
        <v>0</v>
      </c>
      <c r="BF600" s="200">
        <f t="shared" si="7609"/>
        <v>0</v>
      </c>
      <c r="BG600" s="374">
        <f t="shared" si="7610"/>
        <v>0</v>
      </c>
      <c r="BH600" s="200">
        <f t="shared" si="7611"/>
        <v>0</v>
      </c>
      <c r="BI600" s="200">
        <f t="shared" si="7612"/>
        <v>0</v>
      </c>
      <c r="BJ600" s="200">
        <f t="shared" si="7613"/>
        <v>0</v>
      </c>
      <c r="BK600" s="200">
        <f t="shared" si="7614"/>
        <v>0</v>
      </c>
      <c r="BL600" s="200">
        <f t="shared" si="7615"/>
        <v>0</v>
      </c>
      <c r="BM600" s="200">
        <f t="shared" si="7616"/>
        <v>0</v>
      </c>
      <c r="BN600" s="200">
        <f t="shared" si="7617"/>
        <v>0</v>
      </c>
      <c r="BO600" s="200">
        <f t="shared" si="7618"/>
        <v>0</v>
      </c>
      <c r="BP600" s="200">
        <f t="shared" si="7619"/>
        <v>0</v>
      </c>
      <c r="BQ600" s="200">
        <f t="shared" si="7620"/>
        <v>0</v>
      </c>
      <c r="BR600" s="200">
        <f t="shared" si="7621"/>
        <v>0</v>
      </c>
      <c r="BS600" s="374">
        <f t="shared" si="7622"/>
        <v>0</v>
      </c>
      <c r="BT600" s="200">
        <f t="shared" si="7623"/>
        <v>0</v>
      </c>
      <c r="BU600" s="200">
        <f t="shared" si="7624"/>
        <v>0</v>
      </c>
      <c r="BV600" s="200">
        <f t="shared" si="7625"/>
        <v>0</v>
      </c>
      <c r="BW600" s="200">
        <f t="shared" si="7626"/>
        <v>0</v>
      </c>
      <c r="BX600" s="200">
        <f t="shared" si="7627"/>
        <v>0</v>
      </c>
      <c r="BY600" s="200">
        <f t="shared" si="7628"/>
        <v>0</v>
      </c>
      <c r="BZ600" s="200">
        <f t="shared" si="7629"/>
        <v>0</v>
      </c>
      <c r="CA600" s="200">
        <f t="shared" si="7630"/>
        <v>0</v>
      </c>
      <c r="CB600" s="200">
        <f t="shared" si="7631"/>
        <v>0</v>
      </c>
      <c r="CC600" s="200">
        <f t="shared" si="7632"/>
        <v>0</v>
      </c>
      <c r="CD600" s="200">
        <f t="shared" si="7633"/>
        <v>0</v>
      </c>
      <c r="CE600" s="374">
        <f t="shared" si="7634"/>
        <v>0</v>
      </c>
      <c r="CF600" s="200">
        <f t="shared" si="7635"/>
        <v>0</v>
      </c>
      <c r="CG600" s="200">
        <f t="shared" si="7636"/>
        <v>0</v>
      </c>
      <c r="CH600" s="200">
        <f t="shared" si="7637"/>
        <v>0</v>
      </c>
      <c r="CI600" s="200">
        <f t="shared" si="7638"/>
        <v>0</v>
      </c>
      <c r="CJ600" s="200">
        <f t="shared" si="7639"/>
        <v>0</v>
      </c>
      <c r="CK600" s="200">
        <f t="shared" si="7640"/>
        <v>0</v>
      </c>
      <c r="CL600" s="200">
        <f t="shared" si="7641"/>
        <v>0</v>
      </c>
      <c r="CM600" s="200">
        <f t="shared" si="7642"/>
        <v>0</v>
      </c>
      <c r="CN600" s="200">
        <f t="shared" si="7643"/>
        <v>0</v>
      </c>
      <c r="CO600" s="200">
        <f t="shared" si="7644"/>
        <v>0</v>
      </c>
      <c r="CP600" s="200">
        <f t="shared" si="7645"/>
        <v>0</v>
      </c>
      <c r="CQ600" s="374">
        <f t="shared" si="7646"/>
        <v>0</v>
      </c>
      <c r="CR600" s="200">
        <f t="shared" si="7647"/>
        <v>0</v>
      </c>
      <c r="CS600" s="200">
        <f t="shared" si="7648"/>
        <v>0</v>
      </c>
      <c r="CT600" s="200">
        <f t="shared" si="7649"/>
        <v>0</v>
      </c>
      <c r="CU600" s="200">
        <f t="shared" si="7650"/>
        <v>0</v>
      </c>
      <c r="CV600" s="200">
        <f t="shared" si="7651"/>
        <v>0</v>
      </c>
      <c r="CW600" s="200">
        <f t="shared" si="7652"/>
        <v>0</v>
      </c>
      <c r="CX600" s="200">
        <f t="shared" si="7653"/>
        <v>0</v>
      </c>
      <c r="CY600" s="200">
        <f t="shared" si="7654"/>
        <v>0</v>
      </c>
      <c r="CZ600" s="200">
        <f t="shared" si="7655"/>
        <v>0</v>
      </c>
      <c r="DA600" s="200">
        <f t="shared" si="7656"/>
        <v>0</v>
      </c>
      <c r="DB600" s="200">
        <f t="shared" si="7657"/>
        <v>0</v>
      </c>
      <c r="DC600" s="374">
        <f t="shared" si="7658"/>
        <v>0</v>
      </c>
    </row>
    <row r="601" spans="3:107" x14ac:dyDescent="0.3">
      <c r="C601" s="342" t="str">
        <f>++'Trade Ticket Input'!C$128</f>
        <v>First Lien DDTL ($0.0MM)</v>
      </c>
      <c r="G601" s="127">
        <v>0</v>
      </c>
      <c r="H601" s="200">
        <f t="shared" si="7563"/>
        <v>0</v>
      </c>
      <c r="I601" s="200">
        <f t="shared" si="7659"/>
        <v>0</v>
      </c>
      <c r="J601" s="200">
        <f t="shared" si="7659"/>
        <v>0</v>
      </c>
      <c r="K601" s="374">
        <f t="shared" si="7659"/>
        <v>0</v>
      </c>
      <c r="L601" s="200">
        <f t="shared" si="7659"/>
        <v>0</v>
      </c>
      <c r="M601" s="200">
        <f t="shared" si="7564"/>
        <v>0</v>
      </c>
      <c r="N601" s="200">
        <f t="shared" si="7565"/>
        <v>0</v>
      </c>
      <c r="O601" s="200">
        <f t="shared" si="7566"/>
        <v>0</v>
      </c>
      <c r="P601" s="200">
        <f t="shared" si="7567"/>
        <v>0</v>
      </c>
      <c r="Q601" s="200">
        <f t="shared" si="7568"/>
        <v>0</v>
      </c>
      <c r="R601" s="200">
        <f t="shared" si="7569"/>
        <v>0</v>
      </c>
      <c r="S601" s="200">
        <f t="shared" si="7570"/>
        <v>0</v>
      </c>
      <c r="T601" s="200">
        <f t="shared" si="7571"/>
        <v>0</v>
      </c>
      <c r="U601" s="200">
        <f t="shared" si="7572"/>
        <v>0</v>
      </c>
      <c r="V601" s="200">
        <f t="shared" si="7573"/>
        <v>0</v>
      </c>
      <c r="W601" s="374">
        <f t="shared" si="7574"/>
        <v>0</v>
      </c>
      <c r="X601" s="200">
        <f t="shared" si="7575"/>
        <v>0</v>
      </c>
      <c r="Y601" s="200">
        <f t="shared" si="7576"/>
        <v>0</v>
      </c>
      <c r="Z601" s="200">
        <f t="shared" si="7577"/>
        <v>0</v>
      </c>
      <c r="AA601" s="200">
        <f t="shared" si="7578"/>
        <v>0</v>
      </c>
      <c r="AB601" s="200">
        <f t="shared" si="7579"/>
        <v>0</v>
      </c>
      <c r="AC601" s="200">
        <f t="shared" si="7580"/>
        <v>0</v>
      </c>
      <c r="AD601" s="200">
        <f t="shared" si="7581"/>
        <v>0</v>
      </c>
      <c r="AE601" s="200">
        <f t="shared" si="7582"/>
        <v>0</v>
      </c>
      <c r="AF601" s="200">
        <f t="shared" si="7583"/>
        <v>0</v>
      </c>
      <c r="AG601" s="200">
        <f t="shared" si="7584"/>
        <v>0</v>
      </c>
      <c r="AH601" s="200">
        <f t="shared" si="7585"/>
        <v>0</v>
      </c>
      <c r="AI601" s="374">
        <f t="shared" si="7586"/>
        <v>0</v>
      </c>
      <c r="AJ601" s="200">
        <f t="shared" si="7587"/>
        <v>0</v>
      </c>
      <c r="AK601" s="200">
        <f t="shared" si="7588"/>
        <v>0</v>
      </c>
      <c r="AL601" s="200">
        <f t="shared" si="7589"/>
        <v>0</v>
      </c>
      <c r="AM601" s="200">
        <f t="shared" si="7590"/>
        <v>0</v>
      </c>
      <c r="AN601" s="200">
        <f t="shared" si="7591"/>
        <v>0</v>
      </c>
      <c r="AO601" s="200">
        <f t="shared" si="7592"/>
        <v>0</v>
      </c>
      <c r="AP601" s="200">
        <f t="shared" si="7593"/>
        <v>0</v>
      </c>
      <c r="AQ601" s="200">
        <f t="shared" si="7594"/>
        <v>0</v>
      </c>
      <c r="AR601" s="200">
        <f t="shared" si="7595"/>
        <v>0</v>
      </c>
      <c r="AS601" s="200">
        <f t="shared" si="7596"/>
        <v>0</v>
      </c>
      <c r="AT601" s="200">
        <f t="shared" si="7597"/>
        <v>0</v>
      </c>
      <c r="AU601" s="374">
        <f t="shared" si="7598"/>
        <v>0</v>
      </c>
      <c r="AV601" s="200">
        <f t="shared" si="7599"/>
        <v>0</v>
      </c>
      <c r="AW601" s="200">
        <f t="shared" si="7600"/>
        <v>0</v>
      </c>
      <c r="AX601" s="200">
        <f t="shared" si="7601"/>
        <v>0</v>
      </c>
      <c r="AY601" s="200">
        <f t="shared" si="7602"/>
        <v>0</v>
      </c>
      <c r="AZ601" s="200">
        <f t="shared" si="7603"/>
        <v>0</v>
      </c>
      <c r="BA601" s="200">
        <f t="shared" si="7604"/>
        <v>0</v>
      </c>
      <c r="BB601" s="200">
        <f t="shared" si="7605"/>
        <v>0</v>
      </c>
      <c r="BC601" s="200">
        <f t="shared" si="7606"/>
        <v>0</v>
      </c>
      <c r="BD601" s="200">
        <f t="shared" si="7607"/>
        <v>0</v>
      </c>
      <c r="BE601" s="200">
        <f t="shared" si="7608"/>
        <v>0</v>
      </c>
      <c r="BF601" s="200">
        <f t="shared" si="7609"/>
        <v>0</v>
      </c>
      <c r="BG601" s="374">
        <f t="shared" si="7610"/>
        <v>0</v>
      </c>
      <c r="BH601" s="200">
        <f t="shared" si="7611"/>
        <v>0</v>
      </c>
      <c r="BI601" s="200">
        <f t="shared" si="7612"/>
        <v>0</v>
      </c>
      <c r="BJ601" s="200">
        <f t="shared" si="7613"/>
        <v>0</v>
      </c>
      <c r="BK601" s="200">
        <f t="shared" si="7614"/>
        <v>0</v>
      </c>
      <c r="BL601" s="200">
        <f t="shared" si="7615"/>
        <v>0</v>
      </c>
      <c r="BM601" s="200">
        <f t="shared" si="7616"/>
        <v>0</v>
      </c>
      <c r="BN601" s="200">
        <f t="shared" si="7617"/>
        <v>0</v>
      </c>
      <c r="BO601" s="200">
        <f t="shared" si="7618"/>
        <v>0</v>
      </c>
      <c r="BP601" s="200">
        <f t="shared" si="7619"/>
        <v>0</v>
      </c>
      <c r="BQ601" s="200">
        <f t="shared" si="7620"/>
        <v>0</v>
      </c>
      <c r="BR601" s="200">
        <f t="shared" si="7621"/>
        <v>0</v>
      </c>
      <c r="BS601" s="374">
        <f t="shared" si="7622"/>
        <v>0</v>
      </c>
      <c r="BT601" s="200">
        <f t="shared" si="7623"/>
        <v>0</v>
      </c>
      <c r="BU601" s="200">
        <f t="shared" si="7624"/>
        <v>0</v>
      </c>
      <c r="BV601" s="200">
        <f t="shared" si="7625"/>
        <v>0</v>
      </c>
      <c r="BW601" s="200">
        <f t="shared" si="7626"/>
        <v>0</v>
      </c>
      <c r="BX601" s="200">
        <f t="shared" si="7627"/>
        <v>0</v>
      </c>
      <c r="BY601" s="200">
        <f t="shared" si="7628"/>
        <v>0</v>
      </c>
      <c r="BZ601" s="200">
        <f t="shared" si="7629"/>
        <v>0</v>
      </c>
      <c r="CA601" s="200">
        <f t="shared" si="7630"/>
        <v>0</v>
      </c>
      <c r="CB601" s="200">
        <f t="shared" si="7631"/>
        <v>0</v>
      </c>
      <c r="CC601" s="200">
        <f t="shared" si="7632"/>
        <v>0</v>
      </c>
      <c r="CD601" s="200">
        <f t="shared" si="7633"/>
        <v>0</v>
      </c>
      <c r="CE601" s="374">
        <f t="shared" si="7634"/>
        <v>0</v>
      </c>
      <c r="CF601" s="200">
        <f t="shared" si="7635"/>
        <v>0</v>
      </c>
      <c r="CG601" s="200">
        <f t="shared" si="7636"/>
        <v>0</v>
      </c>
      <c r="CH601" s="200">
        <f t="shared" si="7637"/>
        <v>0</v>
      </c>
      <c r="CI601" s="200">
        <f t="shared" si="7638"/>
        <v>0</v>
      </c>
      <c r="CJ601" s="200">
        <f t="shared" si="7639"/>
        <v>0</v>
      </c>
      <c r="CK601" s="200">
        <f t="shared" si="7640"/>
        <v>0</v>
      </c>
      <c r="CL601" s="200">
        <f t="shared" si="7641"/>
        <v>0</v>
      </c>
      <c r="CM601" s="200">
        <f t="shared" si="7642"/>
        <v>0</v>
      </c>
      <c r="CN601" s="200">
        <f t="shared" si="7643"/>
        <v>0</v>
      </c>
      <c r="CO601" s="200">
        <f t="shared" si="7644"/>
        <v>0</v>
      </c>
      <c r="CP601" s="200">
        <f t="shared" si="7645"/>
        <v>0</v>
      </c>
      <c r="CQ601" s="374">
        <f t="shared" si="7646"/>
        <v>0</v>
      </c>
      <c r="CR601" s="200">
        <f t="shared" si="7647"/>
        <v>0</v>
      </c>
      <c r="CS601" s="200">
        <f t="shared" si="7648"/>
        <v>0</v>
      </c>
      <c r="CT601" s="200">
        <f t="shared" si="7649"/>
        <v>0</v>
      </c>
      <c r="CU601" s="200">
        <f t="shared" si="7650"/>
        <v>0</v>
      </c>
      <c r="CV601" s="200">
        <f t="shared" si="7651"/>
        <v>0</v>
      </c>
      <c r="CW601" s="200">
        <f t="shared" si="7652"/>
        <v>0</v>
      </c>
      <c r="CX601" s="200">
        <f t="shared" si="7653"/>
        <v>0</v>
      </c>
      <c r="CY601" s="200">
        <f t="shared" si="7654"/>
        <v>0</v>
      </c>
      <c r="CZ601" s="200">
        <f t="shared" si="7655"/>
        <v>0</v>
      </c>
      <c r="DA601" s="200">
        <f t="shared" si="7656"/>
        <v>0</v>
      </c>
      <c r="DB601" s="200">
        <f t="shared" si="7657"/>
        <v>0</v>
      </c>
      <c r="DC601" s="374">
        <f t="shared" si="7658"/>
        <v>0</v>
      </c>
    </row>
    <row r="602" spans="3:107" collapsed="1" x14ac:dyDescent="0.3">
      <c r="C602" s="101" t="s">
        <v>51</v>
      </c>
      <c r="G602" s="127">
        <v>0</v>
      </c>
      <c r="H602" s="200">
        <f t="shared" si="7563"/>
        <v>0</v>
      </c>
      <c r="I602" s="200">
        <f t="shared" si="7659"/>
        <v>0</v>
      </c>
      <c r="J602" s="200">
        <f t="shared" si="7659"/>
        <v>0</v>
      </c>
      <c r="K602" s="374">
        <f t="shared" si="7659"/>
        <v>0</v>
      </c>
      <c r="L602" s="200">
        <f t="shared" si="7659"/>
        <v>0</v>
      </c>
      <c r="M602" s="200">
        <f t="shared" si="7564"/>
        <v>0</v>
      </c>
      <c r="N602" s="200">
        <f t="shared" si="7565"/>
        <v>0</v>
      </c>
      <c r="O602" s="200">
        <f t="shared" si="7566"/>
        <v>0</v>
      </c>
      <c r="P602" s="200">
        <f t="shared" si="7567"/>
        <v>0</v>
      </c>
      <c r="Q602" s="200">
        <f t="shared" si="7568"/>
        <v>0</v>
      </c>
      <c r="R602" s="200">
        <f t="shared" si="7569"/>
        <v>0</v>
      </c>
      <c r="S602" s="200">
        <f t="shared" si="7570"/>
        <v>0</v>
      </c>
      <c r="T602" s="200">
        <f t="shared" si="7571"/>
        <v>0</v>
      </c>
      <c r="U602" s="200">
        <f t="shared" si="7572"/>
        <v>0</v>
      </c>
      <c r="V602" s="200">
        <f t="shared" si="7573"/>
        <v>0</v>
      </c>
      <c r="W602" s="374">
        <f t="shared" si="7574"/>
        <v>0</v>
      </c>
      <c r="X602" s="200">
        <f t="shared" si="7575"/>
        <v>0</v>
      </c>
      <c r="Y602" s="200">
        <f t="shared" si="7576"/>
        <v>0</v>
      </c>
      <c r="Z602" s="200">
        <f t="shared" si="7577"/>
        <v>0</v>
      </c>
      <c r="AA602" s="200">
        <f t="shared" si="7578"/>
        <v>0</v>
      </c>
      <c r="AB602" s="200">
        <f t="shared" si="7579"/>
        <v>0</v>
      </c>
      <c r="AC602" s="200">
        <f t="shared" si="7580"/>
        <v>0</v>
      </c>
      <c r="AD602" s="200">
        <f t="shared" si="7581"/>
        <v>0</v>
      </c>
      <c r="AE602" s="200">
        <f t="shared" si="7582"/>
        <v>0</v>
      </c>
      <c r="AF602" s="200">
        <f t="shared" si="7583"/>
        <v>0</v>
      </c>
      <c r="AG602" s="200">
        <f t="shared" si="7584"/>
        <v>0</v>
      </c>
      <c r="AH602" s="200">
        <f t="shared" si="7585"/>
        <v>0</v>
      </c>
      <c r="AI602" s="374">
        <f t="shared" si="7586"/>
        <v>0</v>
      </c>
      <c r="AJ602" s="200">
        <f t="shared" si="7587"/>
        <v>0</v>
      </c>
      <c r="AK602" s="200">
        <f t="shared" si="7588"/>
        <v>0</v>
      </c>
      <c r="AL602" s="200">
        <f t="shared" si="7589"/>
        <v>0</v>
      </c>
      <c r="AM602" s="200">
        <f t="shared" si="7590"/>
        <v>0</v>
      </c>
      <c r="AN602" s="200">
        <f t="shared" si="7591"/>
        <v>0</v>
      </c>
      <c r="AO602" s="200">
        <f t="shared" si="7592"/>
        <v>0</v>
      </c>
      <c r="AP602" s="200">
        <f t="shared" si="7593"/>
        <v>0</v>
      </c>
      <c r="AQ602" s="200">
        <f t="shared" si="7594"/>
        <v>0</v>
      </c>
      <c r="AR602" s="200">
        <f t="shared" si="7595"/>
        <v>0</v>
      </c>
      <c r="AS602" s="200">
        <f t="shared" si="7596"/>
        <v>0</v>
      </c>
      <c r="AT602" s="200">
        <f t="shared" si="7597"/>
        <v>0</v>
      </c>
      <c r="AU602" s="374">
        <f t="shared" si="7598"/>
        <v>0</v>
      </c>
      <c r="AV602" s="200">
        <f t="shared" si="7599"/>
        <v>0</v>
      </c>
      <c r="AW602" s="200">
        <f t="shared" si="7600"/>
        <v>0</v>
      </c>
      <c r="AX602" s="200">
        <f t="shared" si="7601"/>
        <v>0</v>
      </c>
      <c r="AY602" s="200">
        <f t="shared" si="7602"/>
        <v>0</v>
      </c>
      <c r="AZ602" s="200">
        <f t="shared" si="7603"/>
        <v>0</v>
      </c>
      <c r="BA602" s="200">
        <f t="shared" si="7604"/>
        <v>0</v>
      </c>
      <c r="BB602" s="200">
        <f t="shared" si="7605"/>
        <v>0</v>
      </c>
      <c r="BC602" s="200">
        <f t="shared" si="7606"/>
        <v>0</v>
      </c>
      <c r="BD602" s="200">
        <f t="shared" si="7607"/>
        <v>0</v>
      </c>
      <c r="BE602" s="200">
        <f t="shared" si="7608"/>
        <v>0</v>
      </c>
      <c r="BF602" s="200">
        <f t="shared" si="7609"/>
        <v>0</v>
      </c>
      <c r="BG602" s="374">
        <f t="shared" si="7610"/>
        <v>0</v>
      </c>
      <c r="BH602" s="200">
        <f t="shared" si="7611"/>
        <v>0</v>
      </c>
      <c r="BI602" s="200">
        <f t="shared" si="7612"/>
        <v>0</v>
      </c>
      <c r="BJ602" s="200">
        <f t="shared" si="7613"/>
        <v>0</v>
      </c>
      <c r="BK602" s="200">
        <f t="shared" si="7614"/>
        <v>0</v>
      </c>
      <c r="BL602" s="200">
        <f t="shared" si="7615"/>
        <v>0</v>
      </c>
      <c r="BM602" s="200">
        <f t="shared" si="7616"/>
        <v>0</v>
      </c>
      <c r="BN602" s="200">
        <f t="shared" si="7617"/>
        <v>0</v>
      </c>
      <c r="BO602" s="200">
        <f t="shared" si="7618"/>
        <v>0</v>
      </c>
      <c r="BP602" s="200">
        <f t="shared" si="7619"/>
        <v>0</v>
      </c>
      <c r="BQ602" s="200">
        <f t="shared" si="7620"/>
        <v>0</v>
      </c>
      <c r="BR602" s="200">
        <f t="shared" si="7621"/>
        <v>0</v>
      </c>
      <c r="BS602" s="374">
        <f t="shared" si="7622"/>
        <v>0</v>
      </c>
      <c r="BT602" s="200">
        <f t="shared" si="7623"/>
        <v>0</v>
      </c>
      <c r="BU602" s="200">
        <f t="shared" si="7624"/>
        <v>0</v>
      </c>
      <c r="BV602" s="200">
        <f t="shared" si="7625"/>
        <v>0</v>
      </c>
      <c r="BW602" s="200">
        <f t="shared" si="7626"/>
        <v>0</v>
      </c>
      <c r="BX602" s="200">
        <f t="shared" si="7627"/>
        <v>0</v>
      </c>
      <c r="BY602" s="200">
        <f t="shared" si="7628"/>
        <v>0</v>
      </c>
      <c r="BZ602" s="200">
        <f t="shared" si="7629"/>
        <v>0</v>
      </c>
      <c r="CA602" s="200">
        <f t="shared" si="7630"/>
        <v>0</v>
      </c>
      <c r="CB602" s="200">
        <f t="shared" si="7631"/>
        <v>0</v>
      </c>
      <c r="CC602" s="200">
        <f t="shared" si="7632"/>
        <v>0</v>
      </c>
      <c r="CD602" s="200">
        <f t="shared" si="7633"/>
        <v>0</v>
      </c>
      <c r="CE602" s="374">
        <f t="shared" si="7634"/>
        <v>0</v>
      </c>
      <c r="CF602" s="200">
        <f t="shared" si="7635"/>
        <v>0</v>
      </c>
      <c r="CG602" s="200">
        <f t="shared" si="7636"/>
        <v>0</v>
      </c>
      <c r="CH602" s="200">
        <f t="shared" si="7637"/>
        <v>0</v>
      </c>
      <c r="CI602" s="200">
        <f t="shared" si="7638"/>
        <v>0</v>
      </c>
      <c r="CJ602" s="200">
        <f t="shared" si="7639"/>
        <v>0</v>
      </c>
      <c r="CK602" s="200">
        <f t="shared" si="7640"/>
        <v>0</v>
      </c>
      <c r="CL602" s="200">
        <f t="shared" si="7641"/>
        <v>0</v>
      </c>
      <c r="CM602" s="200">
        <f t="shared" si="7642"/>
        <v>0</v>
      </c>
      <c r="CN602" s="200">
        <f t="shared" si="7643"/>
        <v>0</v>
      </c>
      <c r="CO602" s="200">
        <f t="shared" si="7644"/>
        <v>0</v>
      </c>
      <c r="CP602" s="200">
        <f t="shared" si="7645"/>
        <v>0</v>
      </c>
      <c r="CQ602" s="374">
        <f t="shared" si="7646"/>
        <v>0</v>
      </c>
      <c r="CR602" s="200">
        <f t="shared" si="7647"/>
        <v>0</v>
      </c>
      <c r="CS602" s="200">
        <f t="shared" si="7648"/>
        <v>0</v>
      </c>
      <c r="CT602" s="200">
        <f t="shared" si="7649"/>
        <v>0</v>
      </c>
      <c r="CU602" s="200">
        <f t="shared" si="7650"/>
        <v>0</v>
      </c>
      <c r="CV602" s="200">
        <f t="shared" si="7651"/>
        <v>0</v>
      </c>
      <c r="CW602" s="200">
        <f t="shared" si="7652"/>
        <v>0</v>
      </c>
      <c r="CX602" s="200">
        <f t="shared" si="7653"/>
        <v>0</v>
      </c>
      <c r="CY602" s="200">
        <f t="shared" si="7654"/>
        <v>0</v>
      </c>
      <c r="CZ602" s="200">
        <f t="shared" si="7655"/>
        <v>0</v>
      </c>
      <c r="DA602" s="200">
        <f t="shared" si="7656"/>
        <v>0</v>
      </c>
      <c r="DB602" s="200">
        <f t="shared" si="7657"/>
        <v>0</v>
      </c>
      <c r="DC602" s="374">
        <f t="shared" si="7658"/>
        <v>0</v>
      </c>
    </row>
    <row r="603" spans="3:107" x14ac:dyDescent="0.3">
      <c r="C603" s="101" t="s">
        <v>52</v>
      </c>
      <c r="G603" s="127">
        <v>0</v>
      </c>
      <c r="H603" s="200">
        <f t="shared" si="7563"/>
        <v>0</v>
      </c>
      <c r="I603" s="200">
        <f t="shared" si="7659"/>
        <v>0</v>
      </c>
      <c r="J603" s="200">
        <f t="shared" si="7659"/>
        <v>0</v>
      </c>
      <c r="K603" s="374">
        <f t="shared" si="7659"/>
        <v>0</v>
      </c>
      <c r="L603" s="200">
        <f t="shared" si="7659"/>
        <v>0</v>
      </c>
      <c r="M603" s="200">
        <f t="shared" si="7564"/>
        <v>0</v>
      </c>
      <c r="N603" s="200">
        <f t="shared" si="7565"/>
        <v>0</v>
      </c>
      <c r="O603" s="200">
        <f t="shared" si="7566"/>
        <v>0</v>
      </c>
      <c r="P603" s="200">
        <f t="shared" si="7567"/>
        <v>0</v>
      </c>
      <c r="Q603" s="200">
        <f t="shared" si="7568"/>
        <v>0</v>
      </c>
      <c r="R603" s="200">
        <f t="shared" si="7569"/>
        <v>0</v>
      </c>
      <c r="S603" s="200">
        <f t="shared" si="7570"/>
        <v>0</v>
      </c>
      <c r="T603" s="200">
        <f t="shared" si="7571"/>
        <v>0</v>
      </c>
      <c r="U603" s="200">
        <f t="shared" si="7572"/>
        <v>0</v>
      </c>
      <c r="V603" s="200">
        <f t="shared" si="7573"/>
        <v>0</v>
      </c>
      <c r="W603" s="374">
        <f t="shared" si="7574"/>
        <v>0</v>
      </c>
      <c r="X603" s="200">
        <f t="shared" si="7575"/>
        <v>0</v>
      </c>
      <c r="Y603" s="200">
        <f t="shared" si="7576"/>
        <v>0</v>
      </c>
      <c r="Z603" s="200">
        <f t="shared" si="7577"/>
        <v>0</v>
      </c>
      <c r="AA603" s="200">
        <f t="shared" si="7578"/>
        <v>0</v>
      </c>
      <c r="AB603" s="200">
        <f t="shared" si="7579"/>
        <v>0</v>
      </c>
      <c r="AC603" s="200">
        <f t="shared" si="7580"/>
        <v>0</v>
      </c>
      <c r="AD603" s="200">
        <f t="shared" si="7581"/>
        <v>0</v>
      </c>
      <c r="AE603" s="200">
        <f t="shared" si="7582"/>
        <v>0</v>
      </c>
      <c r="AF603" s="200">
        <f t="shared" si="7583"/>
        <v>0</v>
      </c>
      <c r="AG603" s="200">
        <f t="shared" si="7584"/>
        <v>0</v>
      </c>
      <c r="AH603" s="200">
        <f t="shared" si="7585"/>
        <v>0</v>
      </c>
      <c r="AI603" s="374">
        <f t="shared" si="7586"/>
        <v>0</v>
      </c>
      <c r="AJ603" s="200">
        <f t="shared" si="7587"/>
        <v>0</v>
      </c>
      <c r="AK603" s="200">
        <f t="shared" si="7588"/>
        <v>0</v>
      </c>
      <c r="AL603" s="200">
        <f t="shared" si="7589"/>
        <v>0</v>
      </c>
      <c r="AM603" s="200">
        <f t="shared" si="7590"/>
        <v>0</v>
      </c>
      <c r="AN603" s="200">
        <f t="shared" si="7591"/>
        <v>0</v>
      </c>
      <c r="AO603" s="200">
        <f t="shared" si="7592"/>
        <v>0</v>
      </c>
      <c r="AP603" s="200">
        <f t="shared" si="7593"/>
        <v>0</v>
      </c>
      <c r="AQ603" s="200">
        <f t="shared" si="7594"/>
        <v>0</v>
      </c>
      <c r="AR603" s="200">
        <f t="shared" si="7595"/>
        <v>0</v>
      </c>
      <c r="AS603" s="200">
        <f t="shared" si="7596"/>
        <v>0</v>
      </c>
      <c r="AT603" s="200">
        <f t="shared" si="7597"/>
        <v>0</v>
      </c>
      <c r="AU603" s="374">
        <f t="shared" si="7598"/>
        <v>0</v>
      </c>
      <c r="AV603" s="200">
        <f t="shared" si="7599"/>
        <v>0</v>
      </c>
      <c r="AW603" s="200">
        <f t="shared" si="7600"/>
        <v>0</v>
      </c>
      <c r="AX603" s="200">
        <f t="shared" si="7601"/>
        <v>0</v>
      </c>
      <c r="AY603" s="200">
        <f t="shared" si="7602"/>
        <v>0</v>
      </c>
      <c r="AZ603" s="200">
        <f t="shared" si="7603"/>
        <v>0</v>
      </c>
      <c r="BA603" s="200">
        <f t="shared" si="7604"/>
        <v>0</v>
      </c>
      <c r="BB603" s="200">
        <f t="shared" si="7605"/>
        <v>0</v>
      </c>
      <c r="BC603" s="200">
        <f t="shared" si="7606"/>
        <v>0</v>
      </c>
      <c r="BD603" s="200">
        <f t="shared" si="7607"/>
        <v>0</v>
      </c>
      <c r="BE603" s="200">
        <f t="shared" si="7608"/>
        <v>0</v>
      </c>
      <c r="BF603" s="200">
        <f t="shared" si="7609"/>
        <v>0</v>
      </c>
      <c r="BG603" s="374">
        <f t="shared" si="7610"/>
        <v>0</v>
      </c>
      <c r="BH603" s="200">
        <f t="shared" si="7611"/>
        <v>0</v>
      </c>
      <c r="BI603" s="200">
        <f t="shared" si="7612"/>
        <v>0</v>
      </c>
      <c r="BJ603" s="200">
        <f t="shared" si="7613"/>
        <v>0</v>
      </c>
      <c r="BK603" s="200">
        <f t="shared" si="7614"/>
        <v>0</v>
      </c>
      <c r="BL603" s="200">
        <f t="shared" si="7615"/>
        <v>0</v>
      </c>
      <c r="BM603" s="200">
        <f t="shared" si="7616"/>
        <v>0</v>
      </c>
      <c r="BN603" s="200">
        <f t="shared" si="7617"/>
        <v>0</v>
      </c>
      <c r="BO603" s="200">
        <f t="shared" si="7618"/>
        <v>0</v>
      </c>
      <c r="BP603" s="200">
        <f t="shared" si="7619"/>
        <v>0</v>
      </c>
      <c r="BQ603" s="200">
        <f t="shared" si="7620"/>
        <v>0</v>
      </c>
      <c r="BR603" s="200">
        <f t="shared" si="7621"/>
        <v>0</v>
      </c>
      <c r="BS603" s="374">
        <f t="shared" si="7622"/>
        <v>0</v>
      </c>
      <c r="BT603" s="200">
        <f t="shared" si="7623"/>
        <v>0</v>
      </c>
      <c r="BU603" s="200">
        <f t="shared" si="7624"/>
        <v>0</v>
      </c>
      <c r="BV603" s="200">
        <f t="shared" si="7625"/>
        <v>0</v>
      </c>
      <c r="BW603" s="200">
        <f t="shared" si="7626"/>
        <v>0</v>
      </c>
      <c r="BX603" s="200">
        <f t="shared" si="7627"/>
        <v>0</v>
      </c>
      <c r="BY603" s="200">
        <f t="shared" si="7628"/>
        <v>0</v>
      </c>
      <c r="BZ603" s="200">
        <f t="shared" si="7629"/>
        <v>0</v>
      </c>
      <c r="CA603" s="200">
        <f t="shared" si="7630"/>
        <v>0</v>
      </c>
      <c r="CB603" s="200">
        <f t="shared" si="7631"/>
        <v>0</v>
      </c>
      <c r="CC603" s="200">
        <f t="shared" si="7632"/>
        <v>0</v>
      </c>
      <c r="CD603" s="200">
        <f t="shared" si="7633"/>
        <v>0</v>
      </c>
      <c r="CE603" s="374">
        <f t="shared" si="7634"/>
        <v>0</v>
      </c>
      <c r="CF603" s="200">
        <f t="shared" si="7635"/>
        <v>0</v>
      </c>
      <c r="CG603" s="200">
        <f t="shared" si="7636"/>
        <v>0</v>
      </c>
      <c r="CH603" s="200">
        <f t="shared" si="7637"/>
        <v>0</v>
      </c>
      <c r="CI603" s="200">
        <f t="shared" si="7638"/>
        <v>0</v>
      </c>
      <c r="CJ603" s="200">
        <f t="shared" si="7639"/>
        <v>0</v>
      </c>
      <c r="CK603" s="200">
        <f t="shared" si="7640"/>
        <v>0</v>
      </c>
      <c r="CL603" s="200">
        <f t="shared" si="7641"/>
        <v>0</v>
      </c>
      <c r="CM603" s="200">
        <f t="shared" si="7642"/>
        <v>0</v>
      </c>
      <c r="CN603" s="200">
        <f t="shared" si="7643"/>
        <v>0</v>
      </c>
      <c r="CO603" s="200">
        <f t="shared" si="7644"/>
        <v>0</v>
      </c>
      <c r="CP603" s="200">
        <f t="shared" si="7645"/>
        <v>0</v>
      </c>
      <c r="CQ603" s="374">
        <f t="shared" si="7646"/>
        <v>0</v>
      </c>
      <c r="CR603" s="200">
        <f t="shared" si="7647"/>
        <v>0</v>
      </c>
      <c r="CS603" s="200">
        <f t="shared" si="7648"/>
        <v>0</v>
      </c>
      <c r="CT603" s="200">
        <f t="shared" si="7649"/>
        <v>0</v>
      </c>
      <c r="CU603" s="200">
        <f t="shared" si="7650"/>
        <v>0</v>
      </c>
      <c r="CV603" s="200">
        <f t="shared" si="7651"/>
        <v>0</v>
      </c>
      <c r="CW603" s="200">
        <f t="shared" si="7652"/>
        <v>0</v>
      </c>
      <c r="CX603" s="200">
        <f t="shared" si="7653"/>
        <v>0</v>
      </c>
      <c r="CY603" s="200">
        <f t="shared" si="7654"/>
        <v>0</v>
      </c>
      <c r="CZ603" s="200">
        <f t="shared" si="7655"/>
        <v>0</v>
      </c>
      <c r="DA603" s="200">
        <f t="shared" si="7656"/>
        <v>0</v>
      </c>
      <c r="DB603" s="200">
        <f t="shared" si="7657"/>
        <v>0</v>
      </c>
      <c r="DC603" s="374">
        <f t="shared" si="7658"/>
        <v>0</v>
      </c>
    </row>
    <row r="604" spans="3:107" x14ac:dyDescent="0.3">
      <c r="C604" s="231" t="s">
        <v>483</v>
      </c>
      <c r="D604" s="191"/>
      <c r="E604" s="191"/>
      <c r="G604" s="198">
        <f>SUM(G597:G603)</f>
        <v>0</v>
      </c>
      <c r="H604" s="380">
        <f>SUM(H597:H603)</f>
        <v>0</v>
      </c>
      <c r="I604" s="380">
        <f>SUM(I597:I603)</f>
        <v>0</v>
      </c>
      <c r="J604" s="380">
        <f>SUM(J597:J603)</f>
        <v>0</v>
      </c>
      <c r="K604" s="198">
        <f>SUM(K597:K603)</f>
        <v>0</v>
      </c>
      <c r="L604" s="380">
        <f t="shared" ref="L604:V604" si="7660">SUM(L597:L603)</f>
        <v>0</v>
      </c>
      <c r="M604" s="380">
        <f t="shared" si="7660"/>
        <v>0</v>
      </c>
      <c r="N604" s="380">
        <f t="shared" si="7660"/>
        <v>0</v>
      </c>
      <c r="O604" s="380">
        <f t="shared" si="7660"/>
        <v>0</v>
      </c>
      <c r="P604" s="380">
        <f t="shared" si="7660"/>
        <v>0</v>
      </c>
      <c r="Q604" s="380">
        <f t="shared" si="7660"/>
        <v>0</v>
      </c>
      <c r="R604" s="380">
        <f t="shared" si="7660"/>
        <v>0</v>
      </c>
      <c r="S604" s="380">
        <f t="shared" si="7660"/>
        <v>0</v>
      </c>
      <c r="T604" s="380">
        <f t="shared" si="7660"/>
        <v>0</v>
      </c>
      <c r="U604" s="380">
        <f t="shared" si="7660"/>
        <v>0</v>
      </c>
      <c r="V604" s="380">
        <f t="shared" si="7660"/>
        <v>0</v>
      </c>
      <c r="W604" s="198">
        <f t="shared" ref="W604:AH604" si="7661">SUM(W597:W603)</f>
        <v>0</v>
      </c>
      <c r="X604" s="380">
        <f t="shared" si="7661"/>
        <v>0</v>
      </c>
      <c r="Y604" s="380">
        <f t="shared" ref="Y604" si="7662">SUM(Y597:Y603)</f>
        <v>0</v>
      </c>
      <c r="Z604" s="380">
        <f t="shared" si="7661"/>
        <v>0</v>
      </c>
      <c r="AA604" s="380">
        <f t="shared" si="7661"/>
        <v>0</v>
      </c>
      <c r="AB604" s="380">
        <f t="shared" si="7661"/>
        <v>0</v>
      </c>
      <c r="AC604" s="380">
        <f t="shared" si="7661"/>
        <v>0</v>
      </c>
      <c r="AD604" s="380">
        <f t="shared" si="7661"/>
        <v>0</v>
      </c>
      <c r="AE604" s="380">
        <f t="shared" si="7661"/>
        <v>0</v>
      </c>
      <c r="AF604" s="380">
        <f t="shared" si="7661"/>
        <v>0</v>
      </c>
      <c r="AG604" s="380">
        <f t="shared" si="7661"/>
        <v>0</v>
      </c>
      <c r="AH604" s="380">
        <f t="shared" si="7661"/>
        <v>0</v>
      </c>
      <c r="AI604" s="198">
        <f t="shared" ref="AI604:CE604" si="7663">SUM(AI597:AI603)</f>
        <v>0</v>
      </c>
      <c r="AJ604" s="380">
        <f t="shared" si="7663"/>
        <v>0</v>
      </c>
      <c r="AK604" s="380">
        <f t="shared" si="7663"/>
        <v>0</v>
      </c>
      <c r="AL604" s="380">
        <f t="shared" si="7663"/>
        <v>0</v>
      </c>
      <c r="AM604" s="380">
        <f t="shared" si="7663"/>
        <v>0</v>
      </c>
      <c r="AN604" s="380">
        <f t="shared" si="7663"/>
        <v>0</v>
      </c>
      <c r="AO604" s="380">
        <f t="shared" si="7663"/>
        <v>0</v>
      </c>
      <c r="AP604" s="380">
        <f t="shared" si="7663"/>
        <v>0</v>
      </c>
      <c r="AQ604" s="380">
        <f t="shared" si="7663"/>
        <v>0</v>
      </c>
      <c r="AR604" s="380">
        <f t="shared" si="7663"/>
        <v>0</v>
      </c>
      <c r="AS604" s="380">
        <f t="shared" si="7663"/>
        <v>0</v>
      </c>
      <c r="AT604" s="380">
        <f t="shared" si="7663"/>
        <v>0</v>
      </c>
      <c r="AU604" s="198">
        <f t="shared" si="7663"/>
        <v>0</v>
      </c>
      <c r="AV604" s="380">
        <f t="shared" si="7663"/>
        <v>0</v>
      </c>
      <c r="AW604" s="380">
        <f t="shared" si="7663"/>
        <v>0</v>
      </c>
      <c r="AX604" s="380">
        <f t="shared" si="7663"/>
        <v>0</v>
      </c>
      <c r="AY604" s="380">
        <f t="shared" si="7663"/>
        <v>0</v>
      </c>
      <c r="AZ604" s="380">
        <f t="shared" si="7663"/>
        <v>0</v>
      </c>
      <c r="BA604" s="380">
        <f t="shared" si="7663"/>
        <v>0</v>
      </c>
      <c r="BB604" s="380">
        <f t="shared" si="7663"/>
        <v>0</v>
      </c>
      <c r="BC604" s="380">
        <f t="shared" si="7663"/>
        <v>0</v>
      </c>
      <c r="BD604" s="380">
        <f t="shared" si="7663"/>
        <v>0</v>
      </c>
      <c r="BE604" s="380">
        <f t="shared" si="7663"/>
        <v>0</v>
      </c>
      <c r="BF604" s="380">
        <f t="shared" si="7663"/>
        <v>0</v>
      </c>
      <c r="BG604" s="198">
        <f t="shared" si="7663"/>
        <v>0</v>
      </c>
      <c r="BH604" s="380">
        <f t="shared" si="7663"/>
        <v>0</v>
      </c>
      <c r="BI604" s="380">
        <f t="shared" si="7663"/>
        <v>0</v>
      </c>
      <c r="BJ604" s="380">
        <f t="shared" si="7663"/>
        <v>0</v>
      </c>
      <c r="BK604" s="380">
        <f t="shared" si="7663"/>
        <v>0</v>
      </c>
      <c r="BL604" s="380">
        <f t="shared" si="7663"/>
        <v>0</v>
      </c>
      <c r="BM604" s="380">
        <f t="shared" si="7663"/>
        <v>0</v>
      </c>
      <c r="BN604" s="380">
        <f t="shared" si="7663"/>
        <v>0</v>
      </c>
      <c r="BO604" s="380">
        <f t="shared" si="7663"/>
        <v>0</v>
      </c>
      <c r="BP604" s="380">
        <f t="shared" si="7663"/>
        <v>0</v>
      </c>
      <c r="BQ604" s="380">
        <f t="shared" si="7663"/>
        <v>0</v>
      </c>
      <c r="BR604" s="380">
        <f t="shared" si="7663"/>
        <v>0</v>
      </c>
      <c r="BS604" s="198">
        <f t="shared" si="7663"/>
        <v>0</v>
      </c>
      <c r="BT604" s="380">
        <f t="shared" si="7663"/>
        <v>0</v>
      </c>
      <c r="BU604" s="380">
        <f t="shared" si="7663"/>
        <v>0</v>
      </c>
      <c r="BV604" s="380">
        <f t="shared" si="7663"/>
        <v>0</v>
      </c>
      <c r="BW604" s="380">
        <f t="shared" si="7663"/>
        <v>0</v>
      </c>
      <c r="BX604" s="380">
        <f t="shared" si="7663"/>
        <v>0</v>
      </c>
      <c r="BY604" s="380">
        <f t="shared" si="7663"/>
        <v>0</v>
      </c>
      <c r="BZ604" s="380">
        <f t="shared" si="7663"/>
        <v>0</v>
      </c>
      <c r="CA604" s="380">
        <f t="shared" si="7663"/>
        <v>0</v>
      </c>
      <c r="CB604" s="380">
        <f t="shared" si="7663"/>
        <v>0</v>
      </c>
      <c r="CC604" s="380">
        <f t="shared" si="7663"/>
        <v>0</v>
      </c>
      <c r="CD604" s="380">
        <f t="shared" si="7663"/>
        <v>0</v>
      </c>
      <c r="CE604" s="198">
        <f t="shared" si="7663"/>
        <v>0</v>
      </c>
      <c r="CF604" s="380">
        <f t="shared" ref="CF604:DC604" si="7664">SUM(CF597:CF603)</f>
        <v>0</v>
      </c>
      <c r="CG604" s="380">
        <f t="shared" si="7664"/>
        <v>0</v>
      </c>
      <c r="CH604" s="380">
        <f t="shared" si="7664"/>
        <v>0</v>
      </c>
      <c r="CI604" s="380">
        <f t="shared" si="7664"/>
        <v>0</v>
      </c>
      <c r="CJ604" s="380">
        <f t="shared" si="7664"/>
        <v>0</v>
      </c>
      <c r="CK604" s="380">
        <f t="shared" si="7664"/>
        <v>0</v>
      </c>
      <c r="CL604" s="380">
        <f t="shared" si="7664"/>
        <v>0</v>
      </c>
      <c r="CM604" s="380">
        <f t="shared" si="7664"/>
        <v>0</v>
      </c>
      <c r="CN604" s="380">
        <f t="shared" si="7664"/>
        <v>0</v>
      </c>
      <c r="CO604" s="380">
        <f t="shared" si="7664"/>
        <v>0</v>
      </c>
      <c r="CP604" s="380">
        <f t="shared" si="7664"/>
        <v>0</v>
      </c>
      <c r="CQ604" s="198">
        <f t="shared" si="7664"/>
        <v>0</v>
      </c>
      <c r="CR604" s="380">
        <f t="shared" si="7664"/>
        <v>0</v>
      </c>
      <c r="CS604" s="380">
        <f t="shared" si="7664"/>
        <v>0</v>
      </c>
      <c r="CT604" s="380">
        <f t="shared" si="7664"/>
        <v>0</v>
      </c>
      <c r="CU604" s="380">
        <f t="shared" si="7664"/>
        <v>0</v>
      </c>
      <c r="CV604" s="380">
        <f t="shared" si="7664"/>
        <v>0</v>
      </c>
      <c r="CW604" s="380">
        <f t="shared" si="7664"/>
        <v>0</v>
      </c>
      <c r="CX604" s="380">
        <f t="shared" si="7664"/>
        <v>0</v>
      </c>
      <c r="CY604" s="380">
        <f t="shared" si="7664"/>
        <v>0</v>
      </c>
      <c r="CZ604" s="380">
        <f t="shared" si="7664"/>
        <v>0</v>
      </c>
      <c r="DA604" s="380">
        <f t="shared" si="7664"/>
        <v>0</v>
      </c>
      <c r="DB604" s="380">
        <f t="shared" si="7664"/>
        <v>0</v>
      </c>
      <c r="DC604" s="198">
        <f t="shared" si="7664"/>
        <v>0</v>
      </c>
    </row>
    <row r="605" spans="3:107" x14ac:dyDescent="0.3">
      <c r="G605" s="203"/>
      <c r="K605" s="203"/>
      <c r="W605" s="203"/>
      <c r="AI605" s="203"/>
      <c r="AU605" s="203"/>
      <c r="BG605" s="203"/>
      <c r="BS605" s="203"/>
      <c r="CE605" s="203"/>
      <c r="CQ605" s="203"/>
      <c r="DC605" s="203"/>
    </row>
    <row r="606" spans="3:107" x14ac:dyDescent="0.3">
      <c r="C606" s="342" t="str">
        <f>++'Trade Ticket Input'!C$158</f>
        <v>Second Lien Term Loan</v>
      </c>
      <c r="G606" s="126">
        <v>0</v>
      </c>
      <c r="H606" s="200">
        <f t="shared" ref="H606:AM606" si="7665">++G606</f>
        <v>0</v>
      </c>
      <c r="I606" s="200">
        <f t="shared" si="7665"/>
        <v>0</v>
      </c>
      <c r="J606" s="200">
        <f t="shared" si="7665"/>
        <v>0</v>
      </c>
      <c r="K606" s="374">
        <f t="shared" si="7665"/>
        <v>0</v>
      </c>
      <c r="L606" s="200">
        <f t="shared" si="7665"/>
        <v>0</v>
      </c>
      <c r="M606" s="200">
        <f t="shared" si="7665"/>
        <v>0</v>
      </c>
      <c r="N606" s="200">
        <f t="shared" si="7665"/>
        <v>0</v>
      </c>
      <c r="O606" s="200">
        <f t="shared" si="7665"/>
        <v>0</v>
      </c>
      <c r="P606" s="200">
        <f t="shared" si="7665"/>
        <v>0</v>
      </c>
      <c r="Q606" s="200">
        <f t="shared" si="7665"/>
        <v>0</v>
      </c>
      <c r="R606" s="200">
        <f t="shared" si="7665"/>
        <v>0</v>
      </c>
      <c r="S606" s="200">
        <f t="shared" si="7665"/>
        <v>0</v>
      </c>
      <c r="T606" s="200">
        <f t="shared" si="7665"/>
        <v>0</v>
      </c>
      <c r="U606" s="200">
        <f t="shared" si="7665"/>
        <v>0</v>
      </c>
      <c r="V606" s="200">
        <f t="shared" si="7665"/>
        <v>0</v>
      </c>
      <c r="W606" s="374">
        <f t="shared" si="7665"/>
        <v>0</v>
      </c>
      <c r="X606" s="200">
        <f t="shared" si="7665"/>
        <v>0</v>
      </c>
      <c r="Y606" s="200">
        <f t="shared" ref="Y606:Y608" si="7666">++X606</f>
        <v>0</v>
      </c>
      <c r="Z606" s="200">
        <f t="shared" si="7665"/>
        <v>0</v>
      </c>
      <c r="AA606" s="200">
        <f t="shared" si="7665"/>
        <v>0</v>
      </c>
      <c r="AB606" s="200">
        <f t="shared" si="7665"/>
        <v>0</v>
      </c>
      <c r="AC606" s="200">
        <f t="shared" si="7665"/>
        <v>0</v>
      </c>
      <c r="AD606" s="200">
        <f t="shared" si="7665"/>
        <v>0</v>
      </c>
      <c r="AE606" s="200">
        <f t="shared" si="7665"/>
        <v>0</v>
      </c>
      <c r="AF606" s="200">
        <f t="shared" si="7665"/>
        <v>0</v>
      </c>
      <c r="AG606" s="200">
        <f t="shared" si="7665"/>
        <v>0</v>
      </c>
      <c r="AH606" s="200">
        <f t="shared" si="7665"/>
        <v>0</v>
      </c>
      <c r="AI606" s="374">
        <f t="shared" si="7665"/>
        <v>0</v>
      </c>
      <c r="AJ606" s="200">
        <f t="shared" si="7665"/>
        <v>0</v>
      </c>
      <c r="AK606" s="200">
        <f t="shared" si="7665"/>
        <v>0</v>
      </c>
      <c r="AL606" s="200">
        <f t="shared" si="7665"/>
        <v>0</v>
      </c>
      <c r="AM606" s="200">
        <f t="shared" si="7665"/>
        <v>0</v>
      </c>
      <c r="AN606" s="200">
        <f t="shared" ref="AN606:BS606" si="7667">++AM606</f>
        <v>0</v>
      </c>
      <c r="AO606" s="200">
        <f t="shared" si="7667"/>
        <v>0</v>
      </c>
      <c r="AP606" s="200">
        <f t="shared" si="7667"/>
        <v>0</v>
      </c>
      <c r="AQ606" s="200">
        <f t="shared" si="7667"/>
        <v>0</v>
      </c>
      <c r="AR606" s="200">
        <f t="shared" si="7667"/>
        <v>0</v>
      </c>
      <c r="AS606" s="200">
        <f t="shared" si="7667"/>
        <v>0</v>
      </c>
      <c r="AT606" s="200">
        <f t="shared" si="7667"/>
        <v>0</v>
      </c>
      <c r="AU606" s="374">
        <f t="shared" si="7667"/>
        <v>0</v>
      </c>
      <c r="AV606" s="200">
        <f t="shared" si="7667"/>
        <v>0</v>
      </c>
      <c r="AW606" s="200">
        <f t="shared" si="7667"/>
        <v>0</v>
      </c>
      <c r="AX606" s="200">
        <f t="shared" si="7667"/>
        <v>0</v>
      </c>
      <c r="AY606" s="200">
        <f t="shared" si="7667"/>
        <v>0</v>
      </c>
      <c r="AZ606" s="200">
        <f t="shared" si="7667"/>
        <v>0</v>
      </c>
      <c r="BA606" s="200">
        <f t="shared" si="7667"/>
        <v>0</v>
      </c>
      <c r="BB606" s="200">
        <f t="shared" si="7667"/>
        <v>0</v>
      </c>
      <c r="BC606" s="200">
        <f t="shared" si="7667"/>
        <v>0</v>
      </c>
      <c r="BD606" s="200">
        <f t="shared" si="7667"/>
        <v>0</v>
      </c>
      <c r="BE606" s="200">
        <f t="shared" si="7667"/>
        <v>0</v>
      </c>
      <c r="BF606" s="200">
        <f t="shared" si="7667"/>
        <v>0</v>
      </c>
      <c r="BG606" s="374">
        <f t="shared" si="7667"/>
        <v>0</v>
      </c>
      <c r="BH606" s="200">
        <f t="shared" si="7667"/>
        <v>0</v>
      </c>
      <c r="BI606" s="200">
        <f t="shared" si="7667"/>
        <v>0</v>
      </c>
      <c r="BJ606" s="200">
        <f t="shared" si="7667"/>
        <v>0</v>
      </c>
      <c r="BK606" s="200">
        <f t="shared" si="7667"/>
        <v>0</v>
      </c>
      <c r="BL606" s="200">
        <f t="shared" si="7667"/>
        <v>0</v>
      </c>
      <c r="BM606" s="200">
        <f t="shared" si="7667"/>
        <v>0</v>
      </c>
      <c r="BN606" s="200">
        <f t="shared" si="7667"/>
        <v>0</v>
      </c>
      <c r="BO606" s="200">
        <f t="shared" si="7667"/>
        <v>0</v>
      </c>
      <c r="BP606" s="200">
        <f t="shared" si="7667"/>
        <v>0</v>
      </c>
      <c r="BQ606" s="200">
        <f t="shared" si="7667"/>
        <v>0</v>
      </c>
      <c r="BR606" s="200">
        <f t="shared" si="7667"/>
        <v>0</v>
      </c>
      <c r="BS606" s="374">
        <f t="shared" si="7667"/>
        <v>0</v>
      </c>
      <c r="BT606" s="200">
        <f t="shared" ref="BT606:CE606" si="7668">++BS606</f>
        <v>0</v>
      </c>
      <c r="BU606" s="200">
        <f t="shared" si="7668"/>
        <v>0</v>
      </c>
      <c r="BV606" s="200">
        <f t="shared" si="7668"/>
        <v>0</v>
      </c>
      <c r="BW606" s="200">
        <f t="shared" si="7668"/>
        <v>0</v>
      </c>
      <c r="BX606" s="200">
        <f t="shared" si="7668"/>
        <v>0</v>
      </c>
      <c r="BY606" s="200">
        <f t="shared" si="7668"/>
        <v>0</v>
      </c>
      <c r="BZ606" s="200">
        <f t="shared" si="7668"/>
        <v>0</v>
      </c>
      <c r="CA606" s="200">
        <f t="shared" si="7668"/>
        <v>0</v>
      </c>
      <c r="CB606" s="200">
        <f t="shared" si="7668"/>
        <v>0</v>
      </c>
      <c r="CC606" s="200">
        <f t="shared" si="7668"/>
        <v>0</v>
      </c>
      <c r="CD606" s="200">
        <f t="shared" si="7668"/>
        <v>0</v>
      </c>
      <c r="CE606" s="374">
        <f t="shared" si="7668"/>
        <v>0</v>
      </c>
      <c r="CF606" s="200">
        <f t="shared" ref="CF606:CF608" si="7669">++CE606</f>
        <v>0</v>
      </c>
      <c r="CG606" s="200">
        <f t="shared" ref="CG606:CG608" si="7670">++CF606</f>
        <v>0</v>
      </c>
      <c r="CH606" s="200">
        <f t="shared" ref="CH606:CH608" si="7671">++CG606</f>
        <v>0</v>
      </c>
      <c r="CI606" s="200">
        <f t="shared" ref="CI606:CI608" si="7672">++CH606</f>
        <v>0</v>
      </c>
      <c r="CJ606" s="200">
        <f t="shared" ref="CJ606:CJ608" si="7673">++CI606</f>
        <v>0</v>
      </c>
      <c r="CK606" s="200">
        <f t="shared" ref="CK606:CK608" si="7674">++CJ606</f>
        <v>0</v>
      </c>
      <c r="CL606" s="200">
        <f t="shared" ref="CL606:CL608" si="7675">++CK606</f>
        <v>0</v>
      </c>
      <c r="CM606" s="200">
        <f t="shared" ref="CM606:CM608" si="7676">++CL606</f>
        <v>0</v>
      </c>
      <c r="CN606" s="200">
        <f t="shared" ref="CN606:CN608" si="7677">++CM606</f>
        <v>0</v>
      </c>
      <c r="CO606" s="200">
        <f t="shared" ref="CO606:CO608" si="7678">++CN606</f>
        <v>0</v>
      </c>
      <c r="CP606" s="200">
        <f t="shared" ref="CP606:CP608" si="7679">++CO606</f>
        <v>0</v>
      </c>
      <c r="CQ606" s="374">
        <f t="shared" ref="CQ606:CQ608" si="7680">++CP606</f>
        <v>0</v>
      </c>
      <c r="CR606" s="200">
        <f t="shared" ref="CR606:CR608" si="7681">++CQ606</f>
        <v>0</v>
      </c>
      <c r="CS606" s="200">
        <f t="shared" ref="CS606:CS608" si="7682">++CR606</f>
        <v>0</v>
      </c>
      <c r="CT606" s="200">
        <f t="shared" ref="CT606:CT608" si="7683">++CS606</f>
        <v>0</v>
      </c>
      <c r="CU606" s="200">
        <f t="shared" ref="CU606:CU608" si="7684">++CT606</f>
        <v>0</v>
      </c>
      <c r="CV606" s="200">
        <f t="shared" ref="CV606:CV608" si="7685">++CU606</f>
        <v>0</v>
      </c>
      <c r="CW606" s="200">
        <f t="shared" ref="CW606:CW608" si="7686">++CV606</f>
        <v>0</v>
      </c>
      <c r="CX606" s="200">
        <f t="shared" ref="CX606:CX608" si="7687">++CW606</f>
        <v>0</v>
      </c>
      <c r="CY606" s="200">
        <f t="shared" ref="CY606:CY608" si="7688">++CX606</f>
        <v>0</v>
      </c>
      <c r="CZ606" s="200">
        <f t="shared" ref="CZ606:CZ608" si="7689">++CY606</f>
        <v>0</v>
      </c>
      <c r="DA606" s="200">
        <f t="shared" ref="DA606:DA608" si="7690">++CZ606</f>
        <v>0</v>
      </c>
      <c r="DB606" s="200">
        <f t="shared" ref="DB606:DB608" si="7691">++DA606</f>
        <v>0</v>
      </c>
      <c r="DC606" s="374">
        <f t="shared" ref="DC606:DC608" si="7692">++DB606</f>
        <v>0</v>
      </c>
    </row>
    <row r="607" spans="3:107" x14ac:dyDescent="0.3">
      <c r="C607" s="342" t="str">
        <f>++'Trade Ticket Input'!C$188</f>
        <v>Second Lien DDTL ($0.0MM)</v>
      </c>
      <c r="G607" s="127">
        <v>0</v>
      </c>
      <c r="H607" s="200">
        <f t="shared" ref="H607:AM608" si="7693">++G607</f>
        <v>0</v>
      </c>
      <c r="I607" s="200">
        <f t="shared" si="7693"/>
        <v>0</v>
      </c>
      <c r="J607" s="200">
        <f t="shared" si="7693"/>
        <v>0</v>
      </c>
      <c r="K607" s="374">
        <f t="shared" si="7693"/>
        <v>0</v>
      </c>
      <c r="L607" s="200">
        <f t="shared" si="7693"/>
        <v>0</v>
      </c>
      <c r="M607" s="200">
        <f t="shared" si="7693"/>
        <v>0</v>
      </c>
      <c r="N607" s="200">
        <f t="shared" si="7693"/>
        <v>0</v>
      </c>
      <c r="O607" s="200">
        <f t="shared" si="7693"/>
        <v>0</v>
      </c>
      <c r="P607" s="200">
        <f t="shared" si="7693"/>
        <v>0</v>
      </c>
      <c r="Q607" s="200">
        <f t="shared" si="7693"/>
        <v>0</v>
      </c>
      <c r="R607" s="200">
        <f t="shared" si="7693"/>
        <v>0</v>
      </c>
      <c r="S607" s="200">
        <f t="shared" si="7693"/>
        <v>0</v>
      </c>
      <c r="T607" s="200">
        <f t="shared" si="7693"/>
        <v>0</v>
      </c>
      <c r="U607" s="200">
        <f t="shared" si="7693"/>
        <v>0</v>
      </c>
      <c r="V607" s="200">
        <f t="shared" si="7693"/>
        <v>0</v>
      </c>
      <c r="W607" s="374">
        <f t="shared" si="7693"/>
        <v>0</v>
      </c>
      <c r="X607" s="200">
        <f t="shared" si="7693"/>
        <v>0</v>
      </c>
      <c r="Y607" s="200">
        <f t="shared" si="7666"/>
        <v>0</v>
      </c>
      <c r="Z607" s="200">
        <f t="shared" si="7693"/>
        <v>0</v>
      </c>
      <c r="AA607" s="200">
        <f t="shared" si="7693"/>
        <v>0</v>
      </c>
      <c r="AB607" s="200">
        <f t="shared" si="7693"/>
        <v>0</v>
      </c>
      <c r="AC607" s="200">
        <f t="shared" si="7693"/>
        <v>0</v>
      </c>
      <c r="AD607" s="200">
        <f t="shared" si="7693"/>
        <v>0</v>
      </c>
      <c r="AE607" s="200">
        <f t="shared" si="7693"/>
        <v>0</v>
      </c>
      <c r="AF607" s="200">
        <f t="shared" si="7693"/>
        <v>0</v>
      </c>
      <c r="AG607" s="200">
        <f t="shared" si="7693"/>
        <v>0</v>
      </c>
      <c r="AH607" s="200">
        <f t="shared" si="7693"/>
        <v>0</v>
      </c>
      <c r="AI607" s="374">
        <f t="shared" si="7693"/>
        <v>0</v>
      </c>
      <c r="AJ607" s="200">
        <f t="shared" si="7693"/>
        <v>0</v>
      </c>
      <c r="AK607" s="200">
        <f t="shared" si="7693"/>
        <v>0</v>
      </c>
      <c r="AL607" s="200">
        <f t="shared" si="7693"/>
        <v>0</v>
      </c>
      <c r="AM607" s="200">
        <f t="shared" si="7693"/>
        <v>0</v>
      </c>
      <c r="AN607" s="200">
        <f t="shared" ref="AN607:BS608" si="7694">++AM607</f>
        <v>0</v>
      </c>
      <c r="AO607" s="200">
        <f t="shared" si="7694"/>
        <v>0</v>
      </c>
      <c r="AP607" s="200">
        <f t="shared" si="7694"/>
        <v>0</v>
      </c>
      <c r="AQ607" s="200">
        <f t="shared" si="7694"/>
        <v>0</v>
      </c>
      <c r="AR607" s="200">
        <f t="shared" si="7694"/>
        <v>0</v>
      </c>
      <c r="AS607" s="200">
        <f t="shared" si="7694"/>
        <v>0</v>
      </c>
      <c r="AT607" s="200">
        <f t="shared" si="7694"/>
        <v>0</v>
      </c>
      <c r="AU607" s="374">
        <f t="shared" si="7694"/>
        <v>0</v>
      </c>
      <c r="AV607" s="200">
        <f t="shared" si="7694"/>
        <v>0</v>
      </c>
      <c r="AW607" s="200">
        <f t="shared" si="7694"/>
        <v>0</v>
      </c>
      <c r="AX607" s="200">
        <f t="shared" si="7694"/>
        <v>0</v>
      </c>
      <c r="AY607" s="200">
        <f t="shared" si="7694"/>
        <v>0</v>
      </c>
      <c r="AZ607" s="200">
        <f t="shared" si="7694"/>
        <v>0</v>
      </c>
      <c r="BA607" s="200">
        <f t="shared" si="7694"/>
        <v>0</v>
      </c>
      <c r="BB607" s="200">
        <f t="shared" si="7694"/>
        <v>0</v>
      </c>
      <c r="BC607" s="200">
        <f t="shared" si="7694"/>
        <v>0</v>
      </c>
      <c r="BD607" s="200">
        <f t="shared" si="7694"/>
        <v>0</v>
      </c>
      <c r="BE607" s="200">
        <f t="shared" si="7694"/>
        <v>0</v>
      </c>
      <c r="BF607" s="200">
        <f t="shared" si="7694"/>
        <v>0</v>
      </c>
      <c r="BG607" s="374">
        <f t="shared" si="7694"/>
        <v>0</v>
      </c>
      <c r="BH607" s="200">
        <f t="shared" si="7694"/>
        <v>0</v>
      </c>
      <c r="BI607" s="200">
        <f t="shared" si="7694"/>
        <v>0</v>
      </c>
      <c r="BJ607" s="200">
        <f t="shared" si="7694"/>
        <v>0</v>
      </c>
      <c r="BK607" s="200">
        <f t="shared" si="7694"/>
        <v>0</v>
      </c>
      <c r="BL607" s="200">
        <f t="shared" si="7694"/>
        <v>0</v>
      </c>
      <c r="BM607" s="200">
        <f t="shared" si="7694"/>
        <v>0</v>
      </c>
      <c r="BN607" s="200">
        <f t="shared" si="7694"/>
        <v>0</v>
      </c>
      <c r="BO607" s="200">
        <f t="shared" si="7694"/>
        <v>0</v>
      </c>
      <c r="BP607" s="200">
        <f t="shared" si="7694"/>
        <v>0</v>
      </c>
      <c r="BQ607" s="200">
        <f t="shared" si="7694"/>
        <v>0</v>
      </c>
      <c r="BR607" s="200">
        <f t="shared" si="7694"/>
        <v>0</v>
      </c>
      <c r="BS607" s="374">
        <f t="shared" si="7694"/>
        <v>0</v>
      </c>
      <c r="BT607" s="200">
        <f t="shared" ref="BT607:CE608" si="7695">++BS607</f>
        <v>0</v>
      </c>
      <c r="BU607" s="200">
        <f t="shared" si="7695"/>
        <v>0</v>
      </c>
      <c r="BV607" s="200">
        <f t="shared" si="7695"/>
        <v>0</v>
      </c>
      <c r="BW607" s="200">
        <f t="shared" si="7695"/>
        <v>0</v>
      </c>
      <c r="BX607" s="200">
        <f t="shared" si="7695"/>
        <v>0</v>
      </c>
      <c r="BY607" s="200">
        <f t="shared" si="7695"/>
        <v>0</v>
      </c>
      <c r="BZ607" s="200">
        <f t="shared" si="7695"/>
        <v>0</v>
      </c>
      <c r="CA607" s="200">
        <f t="shared" si="7695"/>
        <v>0</v>
      </c>
      <c r="CB607" s="200">
        <f t="shared" si="7695"/>
        <v>0</v>
      </c>
      <c r="CC607" s="200">
        <f t="shared" si="7695"/>
        <v>0</v>
      </c>
      <c r="CD607" s="200">
        <f t="shared" si="7695"/>
        <v>0</v>
      </c>
      <c r="CE607" s="374">
        <f t="shared" si="7695"/>
        <v>0</v>
      </c>
      <c r="CF607" s="200">
        <f t="shared" si="7669"/>
        <v>0</v>
      </c>
      <c r="CG607" s="200">
        <f t="shared" si="7670"/>
        <v>0</v>
      </c>
      <c r="CH607" s="200">
        <f t="shared" si="7671"/>
        <v>0</v>
      </c>
      <c r="CI607" s="200">
        <f t="shared" si="7672"/>
        <v>0</v>
      </c>
      <c r="CJ607" s="200">
        <f t="shared" si="7673"/>
        <v>0</v>
      </c>
      <c r="CK607" s="200">
        <f t="shared" si="7674"/>
        <v>0</v>
      </c>
      <c r="CL607" s="200">
        <f t="shared" si="7675"/>
        <v>0</v>
      </c>
      <c r="CM607" s="200">
        <f t="shared" si="7676"/>
        <v>0</v>
      </c>
      <c r="CN607" s="200">
        <f t="shared" si="7677"/>
        <v>0</v>
      </c>
      <c r="CO607" s="200">
        <f t="shared" si="7678"/>
        <v>0</v>
      </c>
      <c r="CP607" s="200">
        <f t="shared" si="7679"/>
        <v>0</v>
      </c>
      <c r="CQ607" s="374">
        <f t="shared" si="7680"/>
        <v>0</v>
      </c>
      <c r="CR607" s="200">
        <f t="shared" si="7681"/>
        <v>0</v>
      </c>
      <c r="CS607" s="200">
        <f t="shared" si="7682"/>
        <v>0</v>
      </c>
      <c r="CT607" s="200">
        <f t="shared" si="7683"/>
        <v>0</v>
      </c>
      <c r="CU607" s="200">
        <f t="shared" si="7684"/>
        <v>0</v>
      </c>
      <c r="CV607" s="200">
        <f t="shared" si="7685"/>
        <v>0</v>
      </c>
      <c r="CW607" s="200">
        <f t="shared" si="7686"/>
        <v>0</v>
      </c>
      <c r="CX607" s="200">
        <f t="shared" si="7687"/>
        <v>0</v>
      </c>
      <c r="CY607" s="200">
        <f t="shared" si="7688"/>
        <v>0</v>
      </c>
      <c r="CZ607" s="200">
        <f t="shared" si="7689"/>
        <v>0</v>
      </c>
      <c r="DA607" s="200">
        <f t="shared" si="7690"/>
        <v>0</v>
      </c>
      <c r="DB607" s="200">
        <f t="shared" si="7691"/>
        <v>0</v>
      </c>
      <c r="DC607" s="374">
        <f t="shared" si="7692"/>
        <v>0</v>
      </c>
    </row>
    <row r="608" spans="3:107" x14ac:dyDescent="0.3">
      <c r="C608" s="101" t="s">
        <v>348</v>
      </c>
      <c r="G608" s="127">
        <v>0</v>
      </c>
      <c r="H608" s="200">
        <f t="shared" si="7693"/>
        <v>0</v>
      </c>
      <c r="I608" s="200">
        <f t="shared" si="7693"/>
        <v>0</v>
      </c>
      <c r="J608" s="200">
        <f t="shared" si="7693"/>
        <v>0</v>
      </c>
      <c r="K608" s="374">
        <f t="shared" si="7693"/>
        <v>0</v>
      </c>
      <c r="L608" s="200">
        <f t="shared" si="7693"/>
        <v>0</v>
      </c>
      <c r="M608" s="200">
        <f t="shared" si="7693"/>
        <v>0</v>
      </c>
      <c r="N608" s="200">
        <f t="shared" si="7693"/>
        <v>0</v>
      </c>
      <c r="O608" s="200">
        <f t="shared" si="7693"/>
        <v>0</v>
      </c>
      <c r="P608" s="200">
        <f t="shared" si="7693"/>
        <v>0</v>
      </c>
      <c r="Q608" s="200">
        <f t="shared" si="7693"/>
        <v>0</v>
      </c>
      <c r="R608" s="200">
        <f t="shared" si="7693"/>
        <v>0</v>
      </c>
      <c r="S608" s="200">
        <f t="shared" si="7693"/>
        <v>0</v>
      </c>
      <c r="T608" s="200">
        <f t="shared" si="7693"/>
        <v>0</v>
      </c>
      <c r="U608" s="200">
        <f t="shared" si="7693"/>
        <v>0</v>
      </c>
      <c r="V608" s="200">
        <f t="shared" si="7693"/>
        <v>0</v>
      </c>
      <c r="W608" s="374">
        <f t="shared" si="7693"/>
        <v>0</v>
      </c>
      <c r="X608" s="200">
        <f t="shared" si="7693"/>
        <v>0</v>
      </c>
      <c r="Y608" s="200">
        <f t="shared" si="7666"/>
        <v>0</v>
      </c>
      <c r="Z608" s="200">
        <f t="shared" si="7693"/>
        <v>0</v>
      </c>
      <c r="AA608" s="200">
        <f t="shared" si="7693"/>
        <v>0</v>
      </c>
      <c r="AB608" s="200">
        <f t="shared" si="7693"/>
        <v>0</v>
      </c>
      <c r="AC608" s="200">
        <f t="shared" si="7693"/>
        <v>0</v>
      </c>
      <c r="AD608" s="200">
        <f t="shared" si="7693"/>
        <v>0</v>
      </c>
      <c r="AE608" s="200">
        <f t="shared" si="7693"/>
        <v>0</v>
      </c>
      <c r="AF608" s="200">
        <f t="shared" si="7693"/>
        <v>0</v>
      </c>
      <c r="AG608" s="200">
        <f t="shared" si="7693"/>
        <v>0</v>
      </c>
      <c r="AH608" s="200">
        <f t="shared" si="7693"/>
        <v>0</v>
      </c>
      <c r="AI608" s="374">
        <f t="shared" si="7693"/>
        <v>0</v>
      </c>
      <c r="AJ608" s="200">
        <f t="shared" si="7693"/>
        <v>0</v>
      </c>
      <c r="AK608" s="200">
        <f t="shared" si="7693"/>
        <v>0</v>
      </c>
      <c r="AL608" s="200">
        <f t="shared" si="7693"/>
        <v>0</v>
      </c>
      <c r="AM608" s="200">
        <f t="shared" si="7693"/>
        <v>0</v>
      </c>
      <c r="AN608" s="200">
        <f t="shared" si="7694"/>
        <v>0</v>
      </c>
      <c r="AO608" s="200">
        <f t="shared" si="7694"/>
        <v>0</v>
      </c>
      <c r="AP608" s="200">
        <f t="shared" si="7694"/>
        <v>0</v>
      </c>
      <c r="AQ608" s="200">
        <f t="shared" si="7694"/>
        <v>0</v>
      </c>
      <c r="AR608" s="200">
        <f t="shared" si="7694"/>
        <v>0</v>
      </c>
      <c r="AS608" s="200">
        <f t="shared" si="7694"/>
        <v>0</v>
      </c>
      <c r="AT608" s="200">
        <f t="shared" si="7694"/>
        <v>0</v>
      </c>
      <c r="AU608" s="374">
        <f t="shared" si="7694"/>
        <v>0</v>
      </c>
      <c r="AV608" s="200">
        <f t="shared" si="7694"/>
        <v>0</v>
      </c>
      <c r="AW608" s="200">
        <f t="shared" si="7694"/>
        <v>0</v>
      </c>
      <c r="AX608" s="200">
        <f t="shared" si="7694"/>
        <v>0</v>
      </c>
      <c r="AY608" s="200">
        <f t="shared" si="7694"/>
        <v>0</v>
      </c>
      <c r="AZ608" s="200">
        <f t="shared" si="7694"/>
        <v>0</v>
      </c>
      <c r="BA608" s="200">
        <f t="shared" si="7694"/>
        <v>0</v>
      </c>
      <c r="BB608" s="200">
        <f t="shared" si="7694"/>
        <v>0</v>
      </c>
      <c r="BC608" s="200">
        <f t="shared" si="7694"/>
        <v>0</v>
      </c>
      <c r="BD608" s="200">
        <f t="shared" si="7694"/>
        <v>0</v>
      </c>
      <c r="BE608" s="200">
        <f t="shared" si="7694"/>
        <v>0</v>
      </c>
      <c r="BF608" s="200">
        <f t="shared" si="7694"/>
        <v>0</v>
      </c>
      <c r="BG608" s="374">
        <f t="shared" si="7694"/>
        <v>0</v>
      </c>
      <c r="BH608" s="200">
        <f t="shared" si="7694"/>
        <v>0</v>
      </c>
      <c r="BI608" s="200">
        <f t="shared" si="7694"/>
        <v>0</v>
      </c>
      <c r="BJ608" s="200">
        <f t="shared" si="7694"/>
        <v>0</v>
      </c>
      <c r="BK608" s="200">
        <f t="shared" si="7694"/>
        <v>0</v>
      </c>
      <c r="BL608" s="200">
        <f t="shared" si="7694"/>
        <v>0</v>
      </c>
      <c r="BM608" s="200">
        <f t="shared" si="7694"/>
        <v>0</v>
      </c>
      <c r="BN608" s="200">
        <f t="shared" si="7694"/>
        <v>0</v>
      </c>
      <c r="BO608" s="200">
        <f t="shared" si="7694"/>
        <v>0</v>
      </c>
      <c r="BP608" s="200">
        <f t="shared" si="7694"/>
        <v>0</v>
      </c>
      <c r="BQ608" s="200">
        <f t="shared" si="7694"/>
        <v>0</v>
      </c>
      <c r="BR608" s="200">
        <f t="shared" si="7694"/>
        <v>0</v>
      </c>
      <c r="BS608" s="374">
        <f t="shared" si="7694"/>
        <v>0</v>
      </c>
      <c r="BT608" s="200">
        <f t="shared" si="7695"/>
        <v>0</v>
      </c>
      <c r="BU608" s="200">
        <f t="shared" si="7695"/>
        <v>0</v>
      </c>
      <c r="BV608" s="200">
        <f t="shared" si="7695"/>
        <v>0</v>
      </c>
      <c r="BW608" s="200">
        <f t="shared" si="7695"/>
        <v>0</v>
      </c>
      <c r="BX608" s="200">
        <f t="shared" si="7695"/>
        <v>0</v>
      </c>
      <c r="BY608" s="200">
        <f t="shared" si="7695"/>
        <v>0</v>
      </c>
      <c r="BZ608" s="200">
        <f t="shared" si="7695"/>
        <v>0</v>
      </c>
      <c r="CA608" s="200">
        <f t="shared" si="7695"/>
        <v>0</v>
      </c>
      <c r="CB608" s="200">
        <f t="shared" si="7695"/>
        <v>0</v>
      </c>
      <c r="CC608" s="200">
        <f t="shared" si="7695"/>
        <v>0</v>
      </c>
      <c r="CD608" s="200">
        <f t="shared" si="7695"/>
        <v>0</v>
      </c>
      <c r="CE608" s="374">
        <f t="shared" si="7695"/>
        <v>0</v>
      </c>
      <c r="CF608" s="200">
        <f t="shared" si="7669"/>
        <v>0</v>
      </c>
      <c r="CG608" s="200">
        <f t="shared" si="7670"/>
        <v>0</v>
      </c>
      <c r="CH608" s="200">
        <f t="shared" si="7671"/>
        <v>0</v>
      </c>
      <c r="CI608" s="200">
        <f t="shared" si="7672"/>
        <v>0</v>
      </c>
      <c r="CJ608" s="200">
        <f t="shared" si="7673"/>
        <v>0</v>
      </c>
      <c r="CK608" s="200">
        <f t="shared" si="7674"/>
        <v>0</v>
      </c>
      <c r="CL608" s="200">
        <f t="shared" si="7675"/>
        <v>0</v>
      </c>
      <c r="CM608" s="200">
        <f t="shared" si="7676"/>
        <v>0</v>
      </c>
      <c r="CN608" s="200">
        <f t="shared" si="7677"/>
        <v>0</v>
      </c>
      <c r="CO608" s="200">
        <f t="shared" si="7678"/>
        <v>0</v>
      </c>
      <c r="CP608" s="200">
        <f t="shared" si="7679"/>
        <v>0</v>
      </c>
      <c r="CQ608" s="374">
        <f t="shared" si="7680"/>
        <v>0</v>
      </c>
      <c r="CR608" s="200">
        <f t="shared" si="7681"/>
        <v>0</v>
      </c>
      <c r="CS608" s="200">
        <f t="shared" si="7682"/>
        <v>0</v>
      </c>
      <c r="CT608" s="200">
        <f t="shared" si="7683"/>
        <v>0</v>
      </c>
      <c r="CU608" s="200">
        <f t="shared" si="7684"/>
        <v>0</v>
      </c>
      <c r="CV608" s="200">
        <f t="shared" si="7685"/>
        <v>0</v>
      </c>
      <c r="CW608" s="200">
        <f t="shared" si="7686"/>
        <v>0</v>
      </c>
      <c r="CX608" s="200">
        <f t="shared" si="7687"/>
        <v>0</v>
      </c>
      <c r="CY608" s="200">
        <f t="shared" si="7688"/>
        <v>0</v>
      </c>
      <c r="CZ608" s="200">
        <f t="shared" si="7689"/>
        <v>0</v>
      </c>
      <c r="DA608" s="200">
        <f t="shared" si="7690"/>
        <v>0</v>
      </c>
      <c r="DB608" s="200">
        <f t="shared" si="7691"/>
        <v>0</v>
      </c>
      <c r="DC608" s="374">
        <f t="shared" si="7692"/>
        <v>0</v>
      </c>
    </row>
    <row r="609" spans="3:107" x14ac:dyDescent="0.3">
      <c r="C609" s="231" t="s">
        <v>375</v>
      </c>
      <c r="D609" s="191"/>
      <c r="E609" s="191"/>
      <c r="G609" s="198">
        <f>SUM(G604:G608)</f>
        <v>0</v>
      </c>
      <c r="H609" s="380">
        <f t="shared" ref="H609:BS609" si="7696">SUM(H604:H608)</f>
        <v>0</v>
      </c>
      <c r="I609" s="380">
        <f t="shared" si="7696"/>
        <v>0</v>
      </c>
      <c r="J609" s="380">
        <f t="shared" si="7696"/>
        <v>0</v>
      </c>
      <c r="K609" s="198">
        <f t="shared" si="7696"/>
        <v>0</v>
      </c>
      <c r="L609" s="380">
        <f t="shared" si="7696"/>
        <v>0</v>
      </c>
      <c r="M609" s="380">
        <f t="shared" si="7696"/>
        <v>0</v>
      </c>
      <c r="N609" s="380">
        <f t="shared" si="7696"/>
        <v>0</v>
      </c>
      <c r="O609" s="380">
        <f t="shared" si="7696"/>
        <v>0</v>
      </c>
      <c r="P609" s="380">
        <f t="shared" si="7696"/>
        <v>0</v>
      </c>
      <c r="Q609" s="380">
        <f t="shared" si="7696"/>
        <v>0</v>
      </c>
      <c r="R609" s="380">
        <f t="shared" si="7696"/>
        <v>0</v>
      </c>
      <c r="S609" s="380">
        <f t="shared" si="7696"/>
        <v>0</v>
      </c>
      <c r="T609" s="380">
        <f t="shared" si="7696"/>
        <v>0</v>
      </c>
      <c r="U609" s="380">
        <f t="shared" si="7696"/>
        <v>0</v>
      </c>
      <c r="V609" s="380">
        <f t="shared" si="7696"/>
        <v>0</v>
      </c>
      <c r="W609" s="198">
        <f t="shared" si="7696"/>
        <v>0</v>
      </c>
      <c r="X609" s="380">
        <f t="shared" si="7696"/>
        <v>0</v>
      </c>
      <c r="Y609" s="380">
        <f t="shared" ref="Y609" si="7697">SUM(Y604:Y608)</f>
        <v>0</v>
      </c>
      <c r="Z609" s="380">
        <f t="shared" si="7696"/>
        <v>0</v>
      </c>
      <c r="AA609" s="380">
        <f t="shared" si="7696"/>
        <v>0</v>
      </c>
      <c r="AB609" s="380">
        <f t="shared" si="7696"/>
        <v>0</v>
      </c>
      <c r="AC609" s="380">
        <f t="shared" si="7696"/>
        <v>0</v>
      </c>
      <c r="AD609" s="380">
        <f t="shared" si="7696"/>
        <v>0</v>
      </c>
      <c r="AE609" s="380">
        <f t="shared" si="7696"/>
        <v>0</v>
      </c>
      <c r="AF609" s="380">
        <f t="shared" si="7696"/>
        <v>0</v>
      </c>
      <c r="AG609" s="380">
        <f t="shared" si="7696"/>
        <v>0</v>
      </c>
      <c r="AH609" s="380">
        <f t="shared" si="7696"/>
        <v>0</v>
      </c>
      <c r="AI609" s="198">
        <f t="shared" si="7696"/>
        <v>0</v>
      </c>
      <c r="AJ609" s="380">
        <f t="shared" si="7696"/>
        <v>0</v>
      </c>
      <c r="AK609" s="380">
        <f t="shared" si="7696"/>
        <v>0</v>
      </c>
      <c r="AL609" s="380">
        <f t="shared" si="7696"/>
        <v>0</v>
      </c>
      <c r="AM609" s="380">
        <f t="shared" si="7696"/>
        <v>0</v>
      </c>
      <c r="AN609" s="380">
        <f t="shared" si="7696"/>
        <v>0</v>
      </c>
      <c r="AO609" s="380">
        <f t="shared" si="7696"/>
        <v>0</v>
      </c>
      <c r="AP609" s="380">
        <f t="shared" si="7696"/>
        <v>0</v>
      </c>
      <c r="AQ609" s="380">
        <f t="shared" si="7696"/>
        <v>0</v>
      </c>
      <c r="AR609" s="380">
        <f t="shared" si="7696"/>
        <v>0</v>
      </c>
      <c r="AS609" s="380">
        <f t="shared" si="7696"/>
        <v>0</v>
      </c>
      <c r="AT609" s="380">
        <f t="shared" si="7696"/>
        <v>0</v>
      </c>
      <c r="AU609" s="198">
        <f t="shared" si="7696"/>
        <v>0</v>
      </c>
      <c r="AV609" s="380">
        <f t="shared" si="7696"/>
        <v>0</v>
      </c>
      <c r="AW609" s="380">
        <f t="shared" si="7696"/>
        <v>0</v>
      </c>
      <c r="AX609" s="380">
        <f t="shared" si="7696"/>
        <v>0</v>
      </c>
      <c r="AY609" s="380">
        <f t="shared" si="7696"/>
        <v>0</v>
      </c>
      <c r="AZ609" s="380">
        <f t="shared" si="7696"/>
        <v>0</v>
      </c>
      <c r="BA609" s="380">
        <f t="shared" si="7696"/>
        <v>0</v>
      </c>
      <c r="BB609" s="380">
        <f t="shared" si="7696"/>
        <v>0</v>
      </c>
      <c r="BC609" s="380">
        <f t="shared" si="7696"/>
        <v>0</v>
      </c>
      <c r="BD609" s="380">
        <f t="shared" si="7696"/>
        <v>0</v>
      </c>
      <c r="BE609" s="380">
        <f t="shared" si="7696"/>
        <v>0</v>
      </c>
      <c r="BF609" s="380">
        <f t="shared" si="7696"/>
        <v>0</v>
      </c>
      <c r="BG609" s="198">
        <f t="shared" si="7696"/>
        <v>0</v>
      </c>
      <c r="BH609" s="380">
        <f t="shared" si="7696"/>
        <v>0</v>
      </c>
      <c r="BI609" s="380">
        <f t="shared" si="7696"/>
        <v>0</v>
      </c>
      <c r="BJ609" s="380">
        <f t="shared" si="7696"/>
        <v>0</v>
      </c>
      <c r="BK609" s="380">
        <f t="shared" si="7696"/>
        <v>0</v>
      </c>
      <c r="BL609" s="380">
        <f t="shared" si="7696"/>
        <v>0</v>
      </c>
      <c r="BM609" s="380">
        <f t="shared" si="7696"/>
        <v>0</v>
      </c>
      <c r="BN609" s="380">
        <f t="shared" si="7696"/>
        <v>0</v>
      </c>
      <c r="BO609" s="380">
        <f t="shared" si="7696"/>
        <v>0</v>
      </c>
      <c r="BP609" s="380">
        <f t="shared" si="7696"/>
        <v>0</v>
      </c>
      <c r="BQ609" s="380">
        <f t="shared" si="7696"/>
        <v>0</v>
      </c>
      <c r="BR609" s="380">
        <f t="shared" si="7696"/>
        <v>0</v>
      </c>
      <c r="BS609" s="198">
        <f t="shared" si="7696"/>
        <v>0</v>
      </c>
      <c r="BT609" s="380">
        <f t="shared" ref="BT609:CE609" si="7698">SUM(BT604:BT608)</f>
        <v>0</v>
      </c>
      <c r="BU609" s="380">
        <f t="shared" si="7698"/>
        <v>0</v>
      </c>
      <c r="BV609" s="380">
        <f t="shared" si="7698"/>
        <v>0</v>
      </c>
      <c r="BW609" s="380">
        <f t="shared" si="7698"/>
        <v>0</v>
      </c>
      <c r="BX609" s="380">
        <f t="shared" si="7698"/>
        <v>0</v>
      </c>
      <c r="BY609" s="380">
        <f t="shared" si="7698"/>
        <v>0</v>
      </c>
      <c r="BZ609" s="380">
        <f t="shared" si="7698"/>
        <v>0</v>
      </c>
      <c r="CA609" s="380">
        <f t="shared" si="7698"/>
        <v>0</v>
      </c>
      <c r="CB609" s="380">
        <f t="shared" si="7698"/>
        <v>0</v>
      </c>
      <c r="CC609" s="380">
        <f t="shared" si="7698"/>
        <v>0</v>
      </c>
      <c r="CD609" s="380">
        <f t="shared" si="7698"/>
        <v>0</v>
      </c>
      <c r="CE609" s="198">
        <f t="shared" si="7698"/>
        <v>0</v>
      </c>
      <c r="CF609" s="380">
        <f t="shared" ref="CF609:DC609" si="7699">SUM(CF604:CF608)</f>
        <v>0</v>
      </c>
      <c r="CG609" s="380">
        <f t="shared" si="7699"/>
        <v>0</v>
      </c>
      <c r="CH609" s="380">
        <f t="shared" si="7699"/>
        <v>0</v>
      </c>
      <c r="CI609" s="380">
        <f t="shared" si="7699"/>
        <v>0</v>
      </c>
      <c r="CJ609" s="380">
        <f t="shared" si="7699"/>
        <v>0</v>
      </c>
      <c r="CK609" s="380">
        <f t="shared" si="7699"/>
        <v>0</v>
      </c>
      <c r="CL609" s="380">
        <f t="shared" si="7699"/>
        <v>0</v>
      </c>
      <c r="CM609" s="380">
        <f t="shared" si="7699"/>
        <v>0</v>
      </c>
      <c r="CN609" s="380">
        <f t="shared" si="7699"/>
        <v>0</v>
      </c>
      <c r="CO609" s="380">
        <f t="shared" si="7699"/>
        <v>0</v>
      </c>
      <c r="CP609" s="380">
        <f t="shared" si="7699"/>
        <v>0</v>
      </c>
      <c r="CQ609" s="198">
        <f t="shared" si="7699"/>
        <v>0</v>
      </c>
      <c r="CR609" s="380">
        <f t="shared" si="7699"/>
        <v>0</v>
      </c>
      <c r="CS609" s="380">
        <f t="shared" si="7699"/>
        <v>0</v>
      </c>
      <c r="CT609" s="380">
        <f t="shared" si="7699"/>
        <v>0</v>
      </c>
      <c r="CU609" s="380">
        <f t="shared" si="7699"/>
        <v>0</v>
      </c>
      <c r="CV609" s="380">
        <f t="shared" si="7699"/>
        <v>0</v>
      </c>
      <c r="CW609" s="380">
        <f t="shared" si="7699"/>
        <v>0</v>
      </c>
      <c r="CX609" s="380">
        <f t="shared" si="7699"/>
        <v>0</v>
      </c>
      <c r="CY609" s="380">
        <f t="shared" si="7699"/>
        <v>0</v>
      </c>
      <c r="CZ609" s="380">
        <f t="shared" si="7699"/>
        <v>0</v>
      </c>
      <c r="DA609" s="380">
        <f t="shared" si="7699"/>
        <v>0</v>
      </c>
      <c r="DB609" s="380">
        <f t="shared" si="7699"/>
        <v>0</v>
      </c>
      <c r="DC609" s="198">
        <f t="shared" si="7699"/>
        <v>0</v>
      </c>
    </row>
    <row r="610" spans="3:107" x14ac:dyDescent="0.3">
      <c r="G610" s="203"/>
      <c r="K610" s="203"/>
      <c r="W610" s="203"/>
      <c r="AI610" s="203"/>
      <c r="AU610" s="203"/>
      <c r="BG610" s="203"/>
      <c r="BS610" s="203"/>
      <c r="CE610" s="203"/>
      <c r="CQ610" s="203"/>
      <c r="DC610" s="203"/>
    </row>
    <row r="611" spans="3:107" x14ac:dyDescent="0.3">
      <c r="C611" s="342" t="str">
        <f>++'Trade Ticket Input'!C$218</f>
        <v>Subordinated Notes</v>
      </c>
      <c r="G611" s="126">
        <v>0</v>
      </c>
      <c r="H611" s="200">
        <f t="shared" ref="H611:L615" si="7700">++G611</f>
        <v>0</v>
      </c>
      <c r="I611" s="200">
        <f t="shared" si="7700"/>
        <v>0</v>
      </c>
      <c r="J611" s="200">
        <f t="shared" si="7700"/>
        <v>0</v>
      </c>
      <c r="K611" s="374">
        <f t="shared" si="7700"/>
        <v>0</v>
      </c>
      <c r="L611" s="200">
        <f t="shared" si="7700"/>
        <v>0</v>
      </c>
      <c r="M611" s="200">
        <f t="shared" ref="M611:M615" si="7701">++L611</f>
        <v>0</v>
      </c>
      <c r="N611" s="200">
        <f t="shared" ref="N611:N615" si="7702">++M611</f>
        <v>0</v>
      </c>
      <c r="O611" s="200">
        <f t="shared" ref="O611:O615" si="7703">++N611</f>
        <v>0</v>
      </c>
      <c r="P611" s="200">
        <f t="shared" ref="P611:P615" si="7704">++O611</f>
        <v>0</v>
      </c>
      <c r="Q611" s="200">
        <f t="shared" ref="Q611:Q615" si="7705">++P611</f>
        <v>0</v>
      </c>
      <c r="R611" s="200">
        <f t="shared" ref="R611:R615" si="7706">++Q611</f>
        <v>0</v>
      </c>
      <c r="S611" s="200">
        <f t="shared" ref="S611:S615" si="7707">++R611</f>
        <v>0</v>
      </c>
      <c r="T611" s="200">
        <f t="shared" ref="T611:T615" si="7708">++S611</f>
        <v>0</v>
      </c>
      <c r="U611" s="200">
        <f t="shared" ref="U611:U615" si="7709">++T611</f>
        <v>0</v>
      </c>
      <c r="V611" s="200">
        <f t="shared" ref="V611:V615" si="7710">++U611</f>
        <v>0</v>
      </c>
      <c r="W611" s="374">
        <f t="shared" ref="W611:W615" si="7711">++V611</f>
        <v>0</v>
      </c>
      <c r="X611" s="200">
        <f t="shared" ref="X611:X615" si="7712">++W611</f>
        <v>0</v>
      </c>
      <c r="Y611" s="200">
        <f t="shared" ref="Y611:Y615" si="7713">++X611</f>
        <v>0</v>
      </c>
      <c r="Z611" s="200">
        <f t="shared" ref="Z611:Z615" si="7714">++Y611</f>
        <v>0</v>
      </c>
      <c r="AA611" s="200">
        <f t="shared" ref="AA611:AA615" si="7715">++Z611</f>
        <v>0</v>
      </c>
      <c r="AB611" s="200">
        <f t="shared" ref="AB611:AB615" si="7716">++AA611</f>
        <v>0</v>
      </c>
      <c r="AC611" s="200">
        <f t="shared" ref="AC611:AC615" si="7717">++AB611</f>
        <v>0</v>
      </c>
      <c r="AD611" s="200">
        <f t="shared" ref="AD611:AD615" si="7718">++AC611</f>
        <v>0</v>
      </c>
      <c r="AE611" s="200">
        <f t="shared" ref="AE611:AE615" si="7719">++AD611</f>
        <v>0</v>
      </c>
      <c r="AF611" s="200">
        <f t="shared" ref="AF611:AF615" si="7720">++AE611</f>
        <v>0</v>
      </c>
      <c r="AG611" s="200">
        <f t="shared" ref="AG611:AG615" si="7721">++AF611</f>
        <v>0</v>
      </c>
      <c r="AH611" s="200">
        <f t="shared" ref="AH611:AH615" si="7722">++AG611</f>
        <v>0</v>
      </c>
      <c r="AI611" s="374">
        <f t="shared" ref="AI611:AI615" si="7723">++AH611</f>
        <v>0</v>
      </c>
      <c r="AJ611" s="200">
        <f t="shared" ref="AJ611:AJ615" si="7724">++AI611</f>
        <v>0</v>
      </c>
      <c r="AK611" s="200">
        <f t="shared" ref="AK611:AK615" si="7725">++AJ611</f>
        <v>0</v>
      </c>
      <c r="AL611" s="200">
        <f t="shared" ref="AL611:AL615" si="7726">++AK611</f>
        <v>0</v>
      </c>
      <c r="AM611" s="200">
        <f t="shared" ref="AM611:AM615" si="7727">++AL611</f>
        <v>0</v>
      </c>
      <c r="AN611" s="200">
        <f t="shared" ref="AN611:AN615" si="7728">++AM611</f>
        <v>0</v>
      </c>
      <c r="AO611" s="200">
        <f t="shared" ref="AO611:AO615" si="7729">++AN611</f>
        <v>0</v>
      </c>
      <c r="AP611" s="200">
        <f t="shared" ref="AP611:AP615" si="7730">++AO611</f>
        <v>0</v>
      </c>
      <c r="AQ611" s="200">
        <f t="shared" ref="AQ611:AQ615" si="7731">++AP611</f>
        <v>0</v>
      </c>
      <c r="AR611" s="200">
        <f t="shared" ref="AR611:AR615" si="7732">++AQ611</f>
        <v>0</v>
      </c>
      <c r="AS611" s="200">
        <f t="shared" ref="AS611:AS615" si="7733">++AR611</f>
        <v>0</v>
      </c>
      <c r="AT611" s="200">
        <f t="shared" ref="AT611:AT615" si="7734">++AS611</f>
        <v>0</v>
      </c>
      <c r="AU611" s="374">
        <f t="shared" ref="AU611:AU615" si="7735">++AT611</f>
        <v>0</v>
      </c>
      <c r="AV611" s="200">
        <f t="shared" ref="AV611:AV615" si="7736">++AU611</f>
        <v>0</v>
      </c>
      <c r="AW611" s="200">
        <f t="shared" ref="AW611:AW615" si="7737">++AV611</f>
        <v>0</v>
      </c>
      <c r="AX611" s="200">
        <f t="shared" ref="AX611:AX615" si="7738">++AW611</f>
        <v>0</v>
      </c>
      <c r="AY611" s="200">
        <f t="shared" ref="AY611:AY615" si="7739">++AX611</f>
        <v>0</v>
      </c>
      <c r="AZ611" s="200">
        <f t="shared" ref="AZ611:AZ615" si="7740">++AY611</f>
        <v>0</v>
      </c>
      <c r="BA611" s="200">
        <f t="shared" ref="BA611:BA615" si="7741">++AZ611</f>
        <v>0</v>
      </c>
      <c r="BB611" s="200">
        <f t="shared" ref="BB611:BB615" si="7742">++BA611</f>
        <v>0</v>
      </c>
      <c r="BC611" s="200">
        <f t="shared" ref="BC611:BC615" si="7743">++BB611</f>
        <v>0</v>
      </c>
      <c r="BD611" s="200">
        <f t="shared" ref="BD611:BD615" si="7744">++BC611</f>
        <v>0</v>
      </c>
      <c r="BE611" s="200">
        <f t="shared" ref="BE611:BE615" si="7745">++BD611</f>
        <v>0</v>
      </c>
      <c r="BF611" s="200">
        <f t="shared" ref="BF611:BF615" si="7746">++BE611</f>
        <v>0</v>
      </c>
      <c r="BG611" s="374">
        <f t="shared" ref="BG611:BG615" si="7747">++BF611</f>
        <v>0</v>
      </c>
      <c r="BH611" s="200">
        <f t="shared" ref="BH611:BH615" si="7748">++BG611</f>
        <v>0</v>
      </c>
      <c r="BI611" s="200">
        <f t="shared" ref="BI611:BI615" si="7749">++BH611</f>
        <v>0</v>
      </c>
      <c r="BJ611" s="200">
        <f t="shared" ref="BJ611:BJ615" si="7750">++BI611</f>
        <v>0</v>
      </c>
      <c r="BK611" s="200">
        <f t="shared" ref="BK611:BK615" si="7751">++BJ611</f>
        <v>0</v>
      </c>
      <c r="BL611" s="200">
        <f t="shared" ref="BL611:BL615" si="7752">++BK611</f>
        <v>0</v>
      </c>
      <c r="BM611" s="200">
        <f t="shared" ref="BM611:BM615" si="7753">++BL611</f>
        <v>0</v>
      </c>
      <c r="BN611" s="200">
        <f t="shared" ref="BN611:BN615" si="7754">++BM611</f>
        <v>0</v>
      </c>
      <c r="BO611" s="200">
        <f t="shared" ref="BO611:BO615" si="7755">++BN611</f>
        <v>0</v>
      </c>
      <c r="BP611" s="200">
        <f t="shared" ref="BP611:BP615" si="7756">++BO611</f>
        <v>0</v>
      </c>
      <c r="BQ611" s="200">
        <f t="shared" ref="BQ611:BQ615" si="7757">++BP611</f>
        <v>0</v>
      </c>
      <c r="BR611" s="200">
        <f t="shared" ref="BR611:BR615" si="7758">++BQ611</f>
        <v>0</v>
      </c>
      <c r="BS611" s="374">
        <f t="shared" ref="BS611:BS615" si="7759">++BR611</f>
        <v>0</v>
      </c>
      <c r="BT611" s="200">
        <f t="shared" ref="BT611:BT615" si="7760">++BS611</f>
        <v>0</v>
      </c>
      <c r="BU611" s="200">
        <f t="shared" ref="BU611:BU615" si="7761">++BT611</f>
        <v>0</v>
      </c>
      <c r="BV611" s="200">
        <f t="shared" ref="BV611:BV615" si="7762">++BU611</f>
        <v>0</v>
      </c>
      <c r="BW611" s="200">
        <f t="shared" ref="BW611:BW615" si="7763">++BV611</f>
        <v>0</v>
      </c>
      <c r="BX611" s="200">
        <f t="shared" ref="BX611:BX615" si="7764">++BW611</f>
        <v>0</v>
      </c>
      <c r="BY611" s="200">
        <f t="shared" ref="BY611:BY615" si="7765">++BX611</f>
        <v>0</v>
      </c>
      <c r="BZ611" s="200">
        <f t="shared" ref="BZ611:BZ615" si="7766">++BY611</f>
        <v>0</v>
      </c>
      <c r="CA611" s="200">
        <f t="shared" ref="CA611:CA615" si="7767">++BZ611</f>
        <v>0</v>
      </c>
      <c r="CB611" s="200">
        <f t="shared" ref="CB611:CB615" si="7768">++CA611</f>
        <v>0</v>
      </c>
      <c r="CC611" s="200">
        <f t="shared" ref="CC611:CC615" si="7769">++CB611</f>
        <v>0</v>
      </c>
      <c r="CD611" s="200">
        <f t="shared" ref="CD611:CD615" si="7770">++CC611</f>
        <v>0</v>
      </c>
      <c r="CE611" s="374">
        <f t="shared" ref="CE611:CE615" si="7771">++CD611</f>
        <v>0</v>
      </c>
      <c r="CF611" s="200">
        <f t="shared" ref="CF611:CF615" si="7772">++CE611</f>
        <v>0</v>
      </c>
      <c r="CG611" s="200">
        <f t="shared" ref="CG611:CG615" si="7773">++CF611</f>
        <v>0</v>
      </c>
      <c r="CH611" s="200">
        <f t="shared" ref="CH611:CH615" si="7774">++CG611</f>
        <v>0</v>
      </c>
      <c r="CI611" s="200">
        <f t="shared" ref="CI611:CI615" si="7775">++CH611</f>
        <v>0</v>
      </c>
      <c r="CJ611" s="200">
        <f t="shared" ref="CJ611:CJ615" si="7776">++CI611</f>
        <v>0</v>
      </c>
      <c r="CK611" s="200">
        <f t="shared" ref="CK611:CK615" si="7777">++CJ611</f>
        <v>0</v>
      </c>
      <c r="CL611" s="200">
        <f t="shared" ref="CL611:CL615" si="7778">++CK611</f>
        <v>0</v>
      </c>
      <c r="CM611" s="200">
        <f t="shared" ref="CM611:CM615" si="7779">++CL611</f>
        <v>0</v>
      </c>
      <c r="CN611" s="200">
        <f t="shared" ref="CN611:CN615" si="7780">++CM611</f>
        <v>0</v>
      </c>
      <c r="CO611" s="200">
        <f t="shared" ref="CO611:CO615" si="7781">++CN611</f>
        <v>0</v>
      </c>
      <c r="CP611" s="200">
        <f t="shared" ref="CP611:CP615" si="7782">++CO611</f>
        <v>0</v>
      </c>
      <c r="CQ611" s="374">
        <f t="shared" ref="CQ611:CQ615" si="7783">++CP611</f>
        <v>0</v>
      </c>
      <c r="CR611" s="200">
        <f t="shared" ref="CR611:CR615" si="7784">++CQ611</f>
        <v>0</v>
      </c>
      <c r="CS611" s="200">
        <f t="shared" ref="CS611:CS615" si="7785">++CR611</f>
        <v>0</v>
      </c>
      <c r="CT611" s="200">
        <f t="shared" ref="CT611:CT615" si="7786">++CS611</f>
        <v>0</v>
      </c>
      <c r="CU611" s="200">
        <f t="shared" ref="CU611:CU615" si="7787">++CT611</f>
        <v>0</v>
      </c>
      <c r="CV611" s="200">
        <f t="shared" ref="CV611:CV615" si="7788">++CU611</f>
        <v>0</v>
      </c>
      <c r="CW611" s="200">
        <f t="shared" ref="CW611:CW615" si="7789">++CV611</f>
        <v>0</v>
      </c>
      <c r="CX611" s="200">
        <f t="shared" ref="CX611:CX615" si="7790">++CW611</f>
        <v>0</v>
      </c>
      <c r="CY611" s="200">
        <f t="shared" ref="CY611:CY615" si="7791">++CX611</f>
        <v>0</v>
      </c>
      <c r="CZ611" s="200">
        <f t="shared" ref="CZ611:CZ615" si="7792">++CY611</f>
        <v>0</v>
      </c>
      <c r="DA611" s="200">
        <f t="shared" ref="DA611:DA615" si="7793">++CZ611</f>
        <v>0</v>
      </c>
      <c r="DB611" s="200">
        <f t="shared" ref="DB611:DB615" si="7794">++DA611</f>
        <v>0</v>
      </c>
      <c r="DC611" s="374">
        <f t="shared" ref="DC611:DC615" si="7795">++DB611</f>
        <v>0</v>
      </c>
    </row>
    <row r="612" spans="3:107" x14ac:dyDescent="0.3">
      <c r="C612" s="342" t="str">
        <f>++'Trade Ticket Input'!C$248</f>
        <v>Subordinated DD Notes ($0.0MM)</v>
      </c>
      <c r="G612" s="127">
        <v>0</v>
      </c>
      <c r="H612" s="200">
        <f t="shared" si="7700"/>
        <v>0</v>
      </c>
      <c r="I612" s="200">
        <f t="shared" si="7700"/>
        <v>0</v>
      </c>
      <c r="J612" s="200">
        <f t="shared" si="7700"/>
        <v>0</v>
      </c>
      <c r="K612" s="374">
        <f t="shared" si="7700"/>
        <v>0</v>
      </c>
      <c r="L612" s="200">
        <f t="shared" si="7700"/>
        <v>0</v>
      </c>
      <c r="M612" s="200">
        <f t="shared" si="7701"/>
        <v>0</v>
      </c>
      <c r="N612" s="200">
        <f t="shared" si="7702"/>
        <v>0</v>
      </c>
      <c r="O612" s="200">
        <f t="shared" si="7703"/>
        <v>0</v>
      </c>
      <c r="P612" s="200">
        <f t="shared" si="7704"/>
        <v>0</v>
      </c>
      <c r="Q612" s="200">
        <f t="shared" si="7705"/>
        <v>0</v>
      </c>
      <c r="R612" s="200">
        <f t="shared" si="7706"/>
        <v>0</v>
      </c>
      <c r="S612" s="200">
        <f t="shared" si="7707"/>
        <v>0</v>
      </c>
      <c r="T612" s="200">
        <f t="shared" si="7708"/>
        <v>0</v>
      </c>
      <c r="U612" s="200">
        <f t="shared" si="7709"/>
        <v>0</v>
      </c>
      <c r="V612" s="200">
        <f t="shared" si="7710"/>
        <v>0</v>
      </c>
      <c r="W612" s="374">
        <f t="shared" si="7711"/>
        <v>0</v>
      </c>
      <c r="X612" s="200">
        <f t="shared" si="7712"/>
        <v>0</v>
      </c>
      <c r="Y612" s="200">
        <f t="shared" si="7713"/>
        <v>0</v>
      </c>
      <c r="Z612" s="200">
        <f t="shared" si="7714"/>
        <v>0</v>
      </c>
      <c r="AA612" s="200">
        <f t="shared" si="7715"/>
        <v>0</v>
      </c>
      <c r="AB612" s="200">
        <f t="shared" si="7716"/>
        <v>0</v>
      </c>
      <c r="AC612" s="200">
        <f t="shared" si="7717"/>
        <v>0</v>
      </c>
      <c r="AD612" s="200">
        <f t="shared" si="7718"/>
        <v>0</v>
      </c>
      <c r="AE612" s="200">
        <f t="shared" si="7719"/>
        <v>0</v>
      </c>
      <c r="AF612" s="200">
        <f t="shared" si="7720"/>
        <v>0</v>
      </c>
      <c r="AG612" s="200">
        <f t="shared" si="7721"/>
        <v>0</v>
      </c>
      <c r="AH612" s="200">
        <f t="shared" si="7722"/>
        <v>0</v>
      </c>
      <c r="AI612" s="374">
        <f t="shared" si="7723"/>
        <v>0</v>
      </c>
      <c r="AJ612" s="200">
        <f t="shared" si="7724"/>
        <v>0</v>
      </c>
      <c r="AK612" s="200">
        <f t="shared" si="7725"/>
        <v>0</v>
      </c>
      <c r="AL612" s="200">
        <f t="shared" si="7726"/>
        <v>0</v>
      </c>
      <c r="AM612" s="200">
        <f t="shared" si="7727"/>
        <v>0</v>
      </c>
      <c r="AN612" s="200">
        <f t="shared" si="7728"/>
        <v>0</v>
      </c>
      <c r="AO612" s="200">
        <f t="shared" si="7729"/>
        <v>0</v>
      </c>
      <c r="AP612" s="200">
        <f t="shared" si="7730"/>
        <v>0</v>
      </c>
      <c r="AQ612" s="200">
        <f t="shared" si="7731"/>
        <v>0</v>
      </c>
      <c r="AR612" s="200">
        <f t="shared" si="7732"/>
        <v>0</v>
      </c>
      <c r="AS612" s="200">
        <f t="shared" si="7733"/>
        <v>0</v>
      </c>
      <c r="AT612" s="200">
        <f t="shared" si="7734"/>
        <v>0</v>
      </c>
      <c r="AU612" s="374">
        <f t="shared" si="7735"/>
        <v>0</v>
      </c>
      <c r="AV612" s="200">
        <f t="shared" si="7736"/>
        <v>0</v>
      </c>
      <c r="AW612" s="200">
        <f t="shared" si="7737"/>
        <v>0</v>
      </c>
      <c r="AX612" s="200">
        <f t="shared" si="7738"/>
        <v>0</v>
      </c>
      <c r="AY612" s="200">
        <f t="shared" si="7739"/>
        <v>0</v>
      </c>
      <c r="AZ612" s="200">
        <f t="shared" si="7740"/>
        <v>0</v>
      </c>
      <c r="BA612" s="200">
        <f t="shared" si="7741"/>
        <v>0</v>
      </c>
      <c r="BB612" s="200">
        <f t="shared" si="7742"/>
        <v>0</v>
      </c>
      <c r="BC612" s="200">
        <f t="shared" si="7743"/>
        <v>0</v>
      </c>
      <c r="BD612" s="200">
        <f t="shared" si="7744"/>
        <v>0</v>
      </c>
      <c r="BE612" s="200">
        <f t="shared" si="7745"/>
        <v>0</v>
      </c>
      <c r="BF612" s="200">
        <f t="shared" si="7746"/>
        <v>0</v>
      </c>
      <c r="BG612" s="374">
        <f t="shared" si="7747"/>
        <v>0</v>
      </c>
      <c r="BH612" s="200">
        <f t="shared" si="7748"/>
        <v>0</v>
      </c>
      <c r="BI612" s="200">
        <f t="shared" si="7749"/>
        <v>0</v>
      </c>
      <c r="BJ612" s="200">
        <f t="shared" si="7750"/>
        <v>0</v>
      </c>
      <c r="BK612" s="200">
        <f t="shared" si="7751"/>
        <v>0</v>
      </c>
      <c r="BL612" s="200">
        <f t="shared" si="7752"/>
        <v>0</v>
      </c>
      <c r="BM612" s="200">
        <f t="shared" si="7753"/>
        <v>0</v>
      </c>
      <c r="BN612" s="200">
        <f t="shared" si="7754"/>
        <v>0</v>
      </c>
      <c r="BO612" s="200">
        <f t="shared" si="7755"/>
        <v>0</v>
      </c>
      <c r="BP612" s="200">
        <f t="shared" si="7756"/>
        <v>0</v>
      </c>
      <c r="BQ612" s="200">
        <f t="shared" si="7757"/>
        <v>0</v>
      </c>
      <c r="BR612" s="200">
        <f t="shared" si="7758"/>
        <v>0</v>
      </c>
      <c r="BS612" s="374">
        <f t="shared" si="7759"/>
        <v>0</v>
      </c>
      <c r="BT612" s="200">
        <f t="shared" si="7760"/>
        <v>0</v>
      </c>
      <c r="BU612" s="200">
        <f t="shared" si="7761"/>
        <v>0</v>
      </c>
      <c r="BV612" s="200">
        <f t="shared" si="7762"/>
        <v>0</v>
      </c>
      <c r="BW612" s="200">
        <f t="shared" si="7763"/>
        <v>0</v>
      </c>
      <c r="BX612" s="200">
        <f t="shared" si="7764"/>
        <v>0</v>
      </c>
      <c r="BY612" s="200">
        <f t="shared" si="7765"/>
        <v>0</v>
      </c>
      <c r="BZ612" s="200">
        <f t="shared" si="7766"/>
        <v>0</v>
      </c>
      <c r="CA612" s="200">
        <f t="shared" si="7767"/>
        <v>0</v>
      </c>
      <c r="CB612" s="200">
        <f t="shared" si="7768"/>
        <v>0</v>
      </c>
      <c r="CC612" s="200">
        <f t="shared" si="7769"/>
        <v>0</v>
      </c>
      <c r="CD612" s="200">
        <f t="shared" si="7770"/>
        <v>0</v>
      </c>
      <c r="CE612" s="374">
        <f t="shared" si="7771"/>
        <v>0</v>
      </c>
      <c r="CF612" s="200">
        <f t="shared" si="7772"/>
        <v>0</v>
      </c>
      <c r="CG612" s="200">
        <f t="shared" si="7773"/>
        <v>0</v>
      </c>
      <c r="CH612" s="200">
        <f t="shared" si="7774"/>
        <v>0</v>
      </c>
      <c r="CI612" s="200">
        <f t="shared" si="7775"/>
        <v>0</v>
      </c>
      <c r="CJ612" s="200">
        <f t="shared" si="7776"/>
        <v>0</v>
      </c>
      <c r="CK612" s="200">
        <f t="shared" si="7777"/>
        <v>0</v>
      </c>
      <c r="CL612" s="200">
        <f t="shared" si="7778"/>
        <v>0</v>
      </c>
      <c r="CM612" s="200">
        <f t="shared" si="7779"/>
        <v>0</v>
      </c>
      <c r="CN612" s="200">
        <f t="shared" si="7780"/>
        <v>0</v>
      </c>
      <c r="CO612" s="200">
        <f t="shared" si="7781"/>
        <v>0</v>
      </c>
      <c r="CP612" s="200">
        <f t="shared" si="7782"/>
        <v>0</v>
      </c>
      <c r="CQ612" s="374">
        <f t="shared" si="7783"/>
        <v>0</v>
      </c>
      <c r="CR612" s="200">
        <f t="shared" si="7784"/>
        <v>0</v>
      </c>
      <c r="CS612" s="200">
        <f t="shared" si="7785"/>
        <v>0</v>
      </c>
      <c r="CT612" s="200">
        <f t="shared" si="7786"/>
        <v>0</v>
      </c>
      <c r="CU612" s="200">
        <f t="shared" si="7787"/>
        <v>0</v>
      </c>
      <c r="CV612" s="200">
        <f t="shared" si="7788"/>
        <v>0</v>
      </c>
      <c r="CW612" s="200">
        <f t="shared" si="7789"/>
        <v>0</v>
      </c>
      <c r="CX612" s="200">
        <f t="shared" si="7790"/>
        <v>0</v>
      </c>
      <c r="CY612" s="200">
        <f t="shared" si="7791"/>
        <v>0</v>
      </c>
      <c r="CZ612" s="200">
        <f t="shared" si="7792"/>
        <v>0</v>
      </c>
      <c r="DA612" s="200">
        <f t="shared" si="7793"/>
        <v>0</v>
      </c>
      <c r="DB612" s="200">
        <f t="shared" si="7794"/>
        <v>0</v>
      </c>
      <c r="DC612" s="374">
        <f t="shared" si="7795"/>
        <v>0</v>
      </c>
    </row>
    <row r="613" spans="3:107" x14ac:dyDescent="0.3">
      <c r="C613" s="101" t="s">
        <v>56</v>
      </c>
      <c r="G613" s="127">
        <v>0</v>
      </c>
      <c r="H613" s="200">
        <f t="shared" si="7700"/>
        <v>0</v>
      </c>
      <c r="I613" s="200">
        <f t="shared" si="7700"/>
        <v>0</v>
      </c>
      <c r="J613" s="200">
        <f t="shared" si="7700"/>
        <v>0</v>
      </c>
      <c r="K613" s="374">
        <f t="shared" si="7700"/>
        <v>0</v>
      </c>
      <c r="L613" s="200">
        <f t="shared" si="7700"/>
        <v>0</v>
      </c>
      <c r="M613" s="200">
        <f t="shared" si="7701"/>
        <v>0</v>
      </c>
      <c r="N613" s="200">
        <f t="shared" si="7702"/>
        <v>0</v>
      </c>
      <c r="O613" s="200">
        <f t="shared" si="7703"/>
        <v>0</v>
      </c>
      <c r="P613" s="200">
        <f t="shared" si="7704"/>
        <v>0</v>
      </c>
      <c r="Q613" s="200">
        <f t="shared" si="7705"/>
        <v>0</v>
      </c>
      <c r="R613" s="200">
        <f t="shared" si="7706"/>
        <v>0</v>
      </c>
      <c r="S613" s="200">
        <f t="shared" si="7707"/>
        <v>0</v>
      </c>
      <c r="T613" s="200">
        <f t="shared" si="7708"/>
        <v>0</v>
      </c>
      <c r="U613" s="200">
        <f t="shared" si="7709"/>
        <v>0</v>
      </c>
      <c r="V613" s="200">
        <f t="shared" si="7710"/>
        <v>0</v>
      </c>
      <c r="W613" s="374">
        <f t="shared" si="7711"/>
        <v>0</v>
      </c>
      <c r="X613" s="200">
        <f t="shared" si="7712"/>
        <v>0</v>
      </c>
      <c r="Y613" s="200">
        <f t="shared" si="7713"/>
        <v>0</v>
      </c>
      <c r="Z613" s="200">
        <f t="shared" si="7714"/>
        <v>0</v>
      </c>
      <c r="AA613" s="200">
        <f t="shared" si="7715"/>
        <v>0</v>
      </c>
      <c r="AB613" s="200">
        <f t="shared" si="7716"/>
        <v>0</v>
      </c>
      <c r="AC613" s="200">
        <f t="shared" si="7717"/>
        <v>0</v>
      </c>
      <c r="AD613" s="200">
        <f t="shared" si="7718"/>
        <v>0</v>
      </c>
      <c r="AE613" s="200">
        <f t="shared" si="7719"/>
        <v>0</v>
      </c>
      <c r="AF613" s="200">
        <f t="shared" si="7720"/>
        <v>0</v>
      </c>
      <c r="AG613" s="200">
        <f t="shared" si="7721"/>
        <v>0</v>
      </c>
      <c r="AH613" s="200">
        <f t="shared" si="7722"/>
        <v>0</v>
      </c>
      <c r="AI613" s="374">
        <f t="shared" si="7723"/>
        <v>0</v>
      </c>
      <c r="AJ613" s="200">
        <f t="shared" si="7724"/>
        <v>0</v>
      </c>
      <c r="AK613" s="200">
        <f t="shared" si="7725"/>
        <v>0</v>
      </c>
      <c r="AL613" s="200">
        <f t="shared" si="7726"/>
        <v>0</v>
      </c>
      <c r="AM613" s="200">
        <f t="shared" si="7727"/>
        <v>0</v>
      </c>
      <c r="AN613" s="200">
        <f t="shared" si="7728"/>
        <v>0</v>
      </c>
      <c r="AO613" s="200">
        <f t="shared" si="7729"/>
        <v>0</v>
      </c>
      <c r="AP613" s="200">
        <f t="shared" si="7730"/>
        <v>0</v>
      </c>
      <c r="AQ613" s="200">
        <f t="shared" si="7731"/>
        <v>0</v>
      </c>
      <c r="AR613" s="200">
        <f t="shared" si="7732"/>
        <v>0</v>
      </c>
      <c r="AS613" s="200">
        <f t="shared" si="7733"/>
        <v>0</v>
      </c>
      <c r="AT613" s="200">
        <f t="shared" si="7734"/>
        <v>0</v>
      </c>
      <c r="AU613" s="374">
        <f t="shared" si="7735"/>
        <v>0</v>
      </c>
      <c r="AV613" s="200">
        <f t="shared" si="7736"/>
        <v>0</v>
      </c>
      <c r="AW613" s="200">
        <f t="shared" si="7737"/>
        <v>0</v>
      </c>
      <c r="AX613" s="200">
        <f t="shared" si="7738"/>
        <v>0</v>
      </c>
      <c r="AY613" s="200">
        <f t="shared" si="7739"/>
        <v>0</v>
      </c>
      <c r="AZ613" s="200">
        <f t="shared" si="7740"/>
        <v>0</v>
      </c>
      <c r="BA613" s="200">
        <f t="shared" si="7741"/>
        <v>0</v>
      </c>
      <c r="BB613" s="200">
        <f t="shared" si="7742"/>
        <v>0</v>
      </c>
      <c r="BC613" s="200">
        <f t="shared" si="7743"/>
        <v>0</v>
      </c>
      <c r="BD613" s="200">
        <f t="shared" si="7744"/>
        <v>0</v>
      </c>
      <c r="BE613" s="200">
        <f t="shared" si="7745"/>
        <v>0</v>
      </c>
      <c r="BF613" s="200">
        <f t="shared" si="7746"/>
        <v>0</v>
      </c>
      <c r="BG613" s="374">
        <f t="shared" si="7747"/>
        <v>0</v>
      </c>
      <c r="BH613" s="200">
        <f t="shared" si="7748"/>
        <v>0</v>
      </c>
      <c r="BI613" s="200">
        <f t="shared" si="7749"/>
        <v>0</v>
      </c>
      <c r="BJ613" s="200">
        <f t="shared" si="7750"/>
        <v>0</v>
      </c>
      <c r="BK613" s="200">
        <f t="shared" si="7751"/>
        <v>0</v>
      </c>
      <c r="BL613" s="200">
        <f t="shared" si="7752"/>
        <v>0</v>
      </c>
      <c r="BM613" s="200">
        <f t="shared" si="7753"/>
        <v>0</v>
      </c>
      <c r="BN613" s="200">
        <f t="shared" si="7754"/>
        <v>0</v>
      </c>
      <c r="BO613" s="200">
        <f t="shared" si="7755"/>
        <v>0</v>
      </c>
      <c r="BP613" s="200">
        <f t="shared" si="7756"/>
        <v>0</v>
      </c>
      <c r="BQ613" s="200">
        <f t="shared" si="7757"/>
        <v>0</v>
      </c>
      <c r="BR613" s="200">
        <f t="shared" si="7758"/>
        <v>0</v>
      </c>
      <c r="BS613" s="374">
        <f t="shared" si="7759"/>
        <v>0</v>
      </c>
      <c r="BT613" s="200">
        <f t="shared" si="7760"/>
        <v>0</v>
      </c>
      <c r="BU613" s="200">
        <f t="shared" si="7761"/>
        <v>0</v>
      </c>
      <c r="BV613" s="200">
        <f t="shared" si="7762"/>
        <v>0</v>
      </c>
      <c r="BW613" s="200">
        <f t="shared" si="7763"/>
        <v>0</v>
      </c>
      <c r="BX613" s="200">
        <f t="shared" si="7764"/>
        <v>0</v>
      </c>
      <c r="BY613" s="200">
        <f t="shared" si="7765"/>
        <v>0</v>
      </c>
      <c r="BZ613" s="200">
        <f t="shared" si="7766"/>
        <v>0</v>
      </c>
      <c r="CA613" s="200">
        <f t="shared" si="7767"/>
        <v>0</v>
      </c>
      <c r="CB613" s="200">
        <f t="shared" si="7768"/>
        <v>0</v>
      </c>
      <c r="CC613" s="200">
        <f t="shared" si="7769"/>
        <v>0</v>
      </c>
      <c r="CD613" s="200">
        <f t="shared" si="7770"/>
        <v>0</v>
      </c>
      <c r="CE613" s="374">
        <f t="shared" si="7771"/>
        <v>0</v>
      </c>
      <c r="CF613" s="200">
        <f t="shared" si="7772"/>
        <v>0</v>
      </c>
      <c r="CG613" s="200">
        <f t="shared" si="7773"/>
        <v>0</v>
      </c>
      <c r="CH613" s="200">
        <f t="shared" si="7774"/>
        <v>0</v>
      </c>
      <c r="CI613" s="200">
        <f t="shared" si="7775"/>
        <v>0</v>
      </c>
      <c r="CJ613" s="200">
        <f t="shared" si="7776"/>
        <v>0</v>
      </c>
      <c r="CK613" s="200">
        <f t="shared" si="7777"/>
        <v>0</v>
      </c>
      <c r="CL613" s="200">
        <f t="shared" si="7778"/>
        <v>0</v>
      </c>
      <c r="CM613" s="200">
        <f t="shared" si="7779"/>
        <v>0</v>
      </c>
      <c r="CN613" s="200">
        <f t="shared" si="7780"/>
        <v>0</v>
      </c>
      <c r="CO613" s="200">
        <f t="shared" si="7781"/>
        <v>0</v>
      </c>
      <c r="CP613" s="200">
        <f t="shared" si="7782"/>
        <v>0</v>
      </c>
      <c r="CQ613" s="374">
        <f t="shared" si="7783"/>
        <v>0</v>
      </c>
      <c r="CR613" s="200">
        <f t="shared" si="7784"/>
        <v>0</v>
      </c>
      <c r="CS613" s="200">
        <f t="shared" si="7785"/>
        <v>0</v>
      </c>
      <c r="CT613" s="200">
        <f t="shared" si="7786"/>
        <v>0</v>
      </c>
      <c r="CU613" s="200">
        <f t="shared" si="7787"/>
        <v>0</v>
      </c>
      <c r="CV613" s="200">
        <f t="shared" si="7788"/>
        <v>0</v>
      </c>
      <c r="CW613" s="200">
        <f t="shared" si="7789"/>
        <v>0</v>
      </c>
      <c r="CX613" s="200">
        <f t="shared" si="7790"/>
        <v>0</v>
      </c>
      <c r="CY613" s="200">
        <f t="shared" si="7791"/>
        <v>0</v>
      </c>
      <c r="CZ613" s="200">
        <f t="shared" si="7792"/>
        <v>0</v>
      </c>
      <c r="DA613" s="200">
        <f t="shared" si="7793"/>
        <v>0</v>
      </c>
      <c r="DB613" s="200">
        <f t="shared" si="7794"/>
        <v>0</v>
      </c>
      <c r="DC613" s="374">
        <f t="shared" si="7795"/>
        <v>0</v>
      </c>
    </row>
    <row r="614" spans="3:107" x14ac:dyDescent="0.3">
      <c r="C614" s="101" t="s">
        <v>506</v>
      </c>
      <c r="G614" s="127">
        <v>0</v>
      </c>
      <c r="H614" s="200">
        <f t="shared" si="7700"/>
        <v>0</v>
      </c>
      <c r="I614" s="200">
        <f t="shared" si="7700"/>
        <v>0</v>
      </c>
      <c r="J614" s="200">
        <f t="shared" si="7700"/>
        <v>0</v>
      </c>
      <c r="K614" s="374">
        <f t="shared" si="7700"/>
        <v>0</v>
      </c>
      <c r="L614" s="200">
        <f t="shared" si="7700"/>
        <v>0</v>
      </c>
      <c r="M614" s="200">
        <f t="shared" si="7701"/>
        <v>0</v>
      </c>
      <c r="N614" s="200">
        <f t="shared" si="7702"/>
        <v>0</v>
      </c>
      <c r="O614" s="200">
        <f t="shared" si="7703"/>
        <v>0</v>
      </c>
      <c r="P614" s="200">
        <f t="shared" si="7704"/>
        <v>0</v>
      </c>
      <c r="Q614" s="200">
        <f t="shared" si="7705"/>
        <v>0</v>
      </c>
      <c r="R614" s="200">
        <f t="shared" si="7706"/>
        <v>0</v>
      </c>
      <c r="S614" s="200">
        <f t="shared" si="7707"/>
        <v>0</v>
      </c>
      <c r="T614" s="200">
        <f t="shared" si="7708"/>
        <v>0</v>
      </c>
      <c r="U614" s="200">
        <f t="shared" si="7709"/>
        <v>0</v>
      </c>
      <c r="V614" s="200">
        <f t="shared" si="7710"/>
        <v>0</v>
      </c>
      <c r="W614" s="374">
        <f t="shared" si="7711"/>
        <v>0</v>
      </c>
      <c r="X614" s="200">
        <f t="shared" si="7712"/>
        <v>0</v>
      </c>
      <c r="Y614" s="200">
        <f t="shared" si="7713"/>
        <v>0</v>
      </c>
      <c r="Z614" s="200">
        <f t="shared" si="7714"/>
        <v>0</v>
      </c>
      <c r="AA614" s="200">
        <f t="shared" si="7715"/>
        <v>0</v>
      </c>
      <c r="AB614" s="200">
        <f t="shared" si="7716"/>
        <v>0</v>
      </c>
      <c r="AC614" s="200">
        <f t="shared" si="7717"/>
        <v>0</v>
      </c>
      <c r="AD614" s="200">
        <f t="shared" si="7718"/>
        <v>0</v>
      </c>
      <c r="AE614" s="200">
        <f t="shared" si="7719"/>
        <v>0</v>
      </c>
      <c r="AF614" s="200">
        <f t="shared" si="7720"/>
        <v>0</v>
      </c>
      <c r="AG614" s="200">
        <f t="shared" si="7721"/>
        <v>0</v>
      </c>
      <c r="AH614" s="200">
        <f t="shared" si="7722"/>
        <v>0</v>
      </c>
      <c r="AI614" s="374">
        <f t="shared" si="7723"/>
        <v>0</v>
      </c>
      <c r="AJ614" s="200">
        <f t="shared" si="7724"/>
        <v>0</v>
      </c>
      <c r="AK614" s="200">
        <f t="shared" si="7725"/>
        <v>0</v>
      </c>
      <c r="AL614" s="200">
        <f t="shared" si="7726"/>
        <v>0</v>
      </c>
      <c r="AM614" s="200">
        <f t="shared" si="7727"/>
        <v>0</v>
      </c>
      <c r="AN614" s="200">
        <f t="shared" si="7728"/>
        <v>0</v>
      </c>
      <c r="AO614" s="200">
        <f t="shared" si="7729"/>
        <v>0</v>
      </c>
      <c r="AP614" s="200">
        <f t="shared" si="7730"/>
        <v>0</v>
      </c>
      <c r="AQ614" s="200">
        <f t="shared" si="7731"/>
        <v>0</v>
      </c>
      <c r="AR614" s="200">
        <f t="shared" si="7732"/>
        <v>0</v>
      </c>
      <c r="AS614" s="200">
        <f t="shared" si="7733"/>
        <v>0</v>
      </c>
      <c r="AT614" s="200">
        <f t="shared" si="7734"/>
        <v>0</v>
      </c>
      <c r="AU614" s="374">
        <f t="shared" si="7735"/>
        <v>0</v>
      </c>
      <c r="AV614" s="200">
        <f t="shared" si="7736"/>
        <v>0</v>
      </c>
      <c r="AW614" s="200">
        <f t="shared" si="7737"/>
        <v>0</v>
      </c>
      <c r="AX614" s="200">
        <f t="shared" si="7738"/>
        <v>0</v>
      </c>
      <c r="AY614" s="200">
        <f t="shared" si="7739"/>
        <v>0</v>
      </c>
      <c r="AZ614" s="200">
        <f t="shared" si="7740"/>
        <v>0</v>
      </c>
      <c r="BA614" s="200">
        <f t="shared" si="7741"/>
        <v>0</v>
      </c>
      <c r="BB614" s="200">
        <f t="shared" si="7742"/>
        <v>0</v>
      </c>
      <c r="BC614" s="200">
        <f t="shared" si="7743"/>
        <v>0</v>
      </c>
      <c r="BD614" s="200">
        <f t="shared" si="7744"/>
        <v>0</v>
      </c>
      <c r="BE614" s="200">
        <f t="shared" si="7745"/>
        <v>0</v>
      </c>
      <c r="BF614" s="200">
        <f t="shared" si="7746"/>
        <v>0</v>
      </c>
      <c r="BG614" s="374">
        <f t="shared" si="7747"/>
        <v>0</v>
      </c>
      <c r="BH614" s="200">
        <f t="shared" si="7748"/>
        <v>0</v>
      </c>
      <c r="BI614" s="200">
        <f t="shared" si="7749"/>
        <v>0</v>
      </c>
      <c r="BJ614" s="200">
        <f t="shared" si="7750"/>
        <v>0</v>
      </c>
      <c r="BK614" s="200">
        <f t="shared" si="7751"/>
        <v>0</v>
      </c>
      <c r="BL614" s="200">
        <f t="shared" si="7752"/>
        <v>0</v>
      </c>
      <c r="BM614" s="200">
        <f t="shared" si="7753"/>
        <v>0</v>
      </c>
      <c r="BN614" s="200">
        <f t="shared" si="7754"/>
        <v>0</v>
      </c>
      <c r="BO614" s="200">
        <f t="shared" si="7755"/>
        <v>0</v>
      </c>
      <c r="BP614" s="200">
        <f t="shared" si="7756"/>
        <v>0</v>
      </c>
      <c r="BQ614" s="200">
        <f t="shared" si="7757"/>
        <v>0</v>
      </c>
      <c r="BR614" s="200">
        <f t="shared" si="7758"/>
        <v>0</v>
      </c>
      <c r="BS614" s="374">
        <f t="shared" si="7759"/>
        <v>0</v>
      </c>
      <c r="BT614" s="200">
        <f t="shared" si="7760"/>
        <v>0</v>
      </c>
      <c r="BU614" s="200">
        <f t="shared" si="7761"/>
        <v>0</v>
      </c>
      <c r="BV614" s="200">
        <f t="shared" si="7762"/>
        <v>0</v>
      </c>
      <c r="BW614" s="200">
        <f t="shared" si="7763"/>
        <v>0</v>
      </c>
      <c r="BX614" s="200">
        <f t="shared" si="7764"/>
        <v>0</v>
      </c>
      <c r="BY614" s="200">
        <f t="shared" si="7765"/>
        <v>0</v>
      </c>
      <c r="BZ614" s="200">
        <f t="shared" si="7766"/>
        <v>0</v>
      </c>
      <c r="CA614" s="200">
        <f t="shared" si="7767"/>
        <v>0</v>
      </c>
      <c r="CB614" s="200">
        <f t="shared" si="7768"/>
        <v>0</v>
      </c>
      <c r="CC614" s="200">
        <f t="shared" si="7769"/>
        <v>0</v>
      </c>
      <c r="CD614" s="200">
        <f t="shared" si="7770"/>
        <v>0</v>
      </c>
      <c r="CE614" s="374">
        <f t="shared" si="7771"/>
        <v>0</v>
      </c>
      <c r="CF614" s="200">
        <f t="shared" si="7772"/>
        <v>0</v>
      </c>
      <c r="CG614" s="200">
        <f t="shared" si="7773"/>
        <v>0</v>
      </c>
      <c r="CH614" s="200">
        <f t="shared" si="7774"/>
        <v>0</v>
      </c>
      <c r="CI614" s="200">
        <f t="shared" si="7775"/>
        <v>0</v>
      </c>
      <c r="CJ614" s="200">
        <f t="shared" si="7776"/>
        <v>0</v>
      </c>
      <c r="CK614" s="200">
        <f t="shared" si="7777"/>
        <v>0</v>
      </c>
      <c r="CL614" s="200">
        <f t="shared" si="7778"/>
        <v>0</v>
      </c>
      <c r="CM614" s="200">
        <f t="shared" si="7779"/>
        <v>0</v>
      </c>
      <c r="CN614" s="200">
        <f t="shared" si="7780"/>
        <v>0</v>
      </c>
      <c r="CO614" s="200">
        <f t="shared" si="7781"/>
        <v>0</v>
      </c>
      <c r="CP614" s="200">
        <f t="shared" si="7782"/>
        <v>0</v>
      </c>
      <c r="CQ614" s="374">
        <f t="shared" si="7783"/>
        <v>0</v>
      </c>
      <c r="CR614" s="200">
        <f t="shared" si="7784"/>
        <v>0</v>
      </c>
      <c r="CS614" s="200">
        <f t="shared" si="7785"/>
        <v>0</v>
      </c>
      <c r="CT614" s="200">
        <f t="shared" si="7786"/>
        <v>0</v>
      </c>
      <c r="CU614" s="200">
        <f t="shared" si="7787"/>
        <v>0</v>
      </c>
      <c r="CV614" s="200">
        <f t="shared" si="7788"/>
        <v>0</v>
      </c>
      <c r="CW614" s="200">
        <f t="shared" si="7789"/>
        <v>0</v>
      </c>
      <c r="CX614" s="200">
        <f t="shared" si="7790"/>
        <v>0</v>
      </c>
      <c r="CY614" s="200">
        <f t="shared" si="7791"/>
        <v>0</v>
      </c>
      <c r="CZ614" s="200">
        <f t="shared" si="7792"/>
        <v>0</v>
      </c>
      <c r="DA614" s="200">
        <f t="shared" si="7793"/>
        <v>0</v>
      </c>
      <c r="DB614" s="200">
        <f t="shared" si="7794"/>
        <v>0</v>
      </c>
      <c r="DC614" s="374">
        <f t="shared" si="7795"/>
        <v>0</v>
      </c>
    </row>
    <row r="615" spans="3:107" x14ac:dyDescent="0.3">
      <c r="C615" s="101" t="s">
        <v>349</v>
      </c>
      <c r="G615" s="127">
        <v>0</v>
      </c>
      <c r="H615" s="200">
        <f t="shared" si="7700"/>
        <v>0</v>
      </c>
      <c r="I615" s="200">
        <f t="shared" si="7700"/>
        <v>0</v>
      </c>
      <c r="J615" s="200">
        <f t="shared" si="7700"/>
        <v>0</v>
      </c>
      <c r="K615" s="374">
        <f t="shared" si="7700"/>
        <v>0</v>
      </c>
      <c r="L615" s="200">
        <f t="shared" si="7700"/>
        <v>0</v>
      </c>
      <c r="M615" s="200">
        <f t="shared" si="7701"/>
        <v>0</v>
      </c>
      <c r="N615" s="200">
        <f t="shared" si="7702"/>
        <v>0</v>
      </c>
      <c r="O615" s="200">
        <f t="shared" si="7703"/>
        <v>0</v>
      </c>
      <c r="P615" s="200">
        <f t="shared" si="7704"/>
        <v>0</v>
      </c>
      <c r="Q615" s="200">
        <f t="shared" si="7705"/>
        <v>0</v>
      </c>
      <c r="R615" s="200">
        <f t="shared" si="7706"/>
        <v>0</v>
      </c>
      <c r="S615" s="200">
        <f t="shared" si="7707"/>
        <v>0</v>
      </c>
      <c r="T615" s="200">
        <f t="shared" si="7708"/>
        <v>0</v>
      </c>
      <c r="U615" s="200">
        <f t="shared" si="7709"/>
        <v>0</v>
      </c>
      <c r="V615" s="200">
        <f t="shared" si="7710"/>
        <v>0</v>
      </c>
      <c r="W615" s="374">
        <f t="shared" si="7711"/>
        <v>0</v>
      </c>
      <c r="X615" s="200">
        <f t="shared" si="7712"/>
        <v>0</v>
      </c>
      <c r="Y615" s="200">
        <f t="shared" si="7713"/>
        <v>0</v>
      </c>
      <c r="Z615" s="200">
        <f t="shared" si="7714"/>
        <v>0</v>
      </c>
      <c r="AA615" s="200">
        <f t="shared" si="7715"/>
        <v>0</v>
      </c>
      <c r="AB615" s="200">
        <f t="shared" si="7716"/>
        <v>0</v>
      </c>
      <c r="AC615" s="200">
        <f t="shared" si="7717"/>
        <v>0</v>
      </c>
      <c r="AD615" s="200">
        <f t="shared" si="7718"/>
        <v>0</v>
      </c>
      <c r="AE615" s="200">
        <f t="shared" si="7719"/>
        <v>0</v>
      </c>
      <c r="AF615" s="200">
        <f t="shared" si="7720"/>
        <v>0</v>
      </c>
      <c r="AG615" s="200">
        <f t="shared" si="7721"/>
        <v>0</v>
      </c>
      <c r="AH615" s="200">
        <f t="shared" si="7722"/>
        <v>0</v>
      </c>
      <c r="AI615" s="374">
        <f t="shared" si="7723"/>
        <v>0</v>
      </c>
      <c r="AJ615" s="200">
        <f t="shared" si="7724"/>
        <v>0</v>
      </c>
      <c r="AK615" s="200">
        <f t="shared" si="7725"/>
        <v>0</v>
      </c>
      <c r="AL615" s="200">
        <f t="shared" si="7726"/>
        <v>0</v>
      </c>
      <c r="AM615" s="200">
        <f t="shared" si="7727"/>
        <v>0</v>
      </c>
      <c r="AN615" s="200">
        <f t="shared" si="7728"/>
        <v>0</v>
      </c>
      <c r="AO615" s="200">
        <f t="shared" si="7729"/>
        <v>0</v>
      </c>
      <c r="AP615" s="200">
        <f t="shared" si="7730"/>
        <v>0</v>
      </c>
      <c r="AQ615" s="200">
        <f t="shared" si="7731"/>
        <v>0</v>
      </c>
      <c r="AR615" s="200">
        <f t="shared" si="7732"/>
        <v>0</v>
      </c>
      <c r="AS615" s="200">
        <f t="shared" si="7733"/>
        <v>0</v>
      </c>
      <c r="AT615" s="200">
        <f t="shared" si="7734"/>
        <v>0</v>
      </c>
      <c r="AU615" s="374">
        <f t="shared" si="7735"/>
        <v>0</v>
      </c>
      <c r="AV615" s="200">
        <f t="shared" si="7736"/>
        <v>0</v>
      </c>
      <c r="AW615" s="200">
        <f t="shared" si="7737"/>
        <v>0</v>
      </c>
      <c r="AX615" s="200">
        <f t="shared" si="7738"/>
        <v>0</v>
      </c>
      <c r="AY615" s="200">
        <f t="shared" si="7739"/>
        <v>0</v>
      </c>
      <c r="AZ615" s="200">
        <f t="shared" si="7740"/>
        <v>0</v>
      </c>
      <c r="BA615" s="200">
        <f t="shared" si="7741"/>
        <v>0</v>
      </c>
      <c r="BB615" s="200">
        <f t="shared" si="7742"/>
        <v>0</v>
      </c>
      <c r="BC615" s="200">
        <f t="shared" si="7743"/>
        <v>0</v>
      </c>
      <c r="BD615" s="200">
        <f t="shared" si="7744"/>
        <v>0</v>
      </c>
      <c r="BE615" s="200">
        <f t="shared" si="7745"/>
        <v>0</v>
      </c>
      <c r="BF615" s="200">
        <f t="shared" si="7746"/>
        <v>0</v>
      </c>
      <c r="BG615" s="374">
        <f t="shared" si="7747"/>
        <v>0</v>
      </c>
      <c r="BH615" s="200">
        <f t="shared" si="7748"/>
        <v>0</v>
      </c>
      <c r="BI615" s="200">
        <f t="shared" si="7749"/>
        <v>0</v>
      </c>
      <c r="BJ615" s="200">
        <f t="shared" si="7750"/>
        <v>0</v>
      </c>
      <c r="BK615" s="200">
        <f t="shared" si="7751"/>
        <v>0</v>
      </c>
      <c r="BL615" s="200">
        <f t="shared" si="7752"/>
        <v>0</v>
      </c>
      <c r="BM615" s="200">
        <f t="shared" si="7753"/>
        <v>0</v>
      </c>
      <c r="BN615" s="200">
        <f t="shared" si="7754"/>
        <v>0</v>
      </c>
      <c r="BO615" s="200">
        <f t="shared" si="7755"/>
        <v>0</v>
      </c>
      <c r="BP615" s="200">
        <f t="shared" si="7756"/>
        <v>0</v>
      </c>
      <c r="BQ615" s="200">
        <f t="shared" si="7757"/>
        <v>0</v>
      </c>
      <c r="BR615" s="200">
        <f t="shared" si="7758"/>
        <v>0</v>
      </c>
      <c r="BS615" s="374">
        <f t="shared" si="7759"/>
        <v>0</v>
      </c>
      <c r="BT615" s="200">
        <f t="shared" si="7760"/>
        <v>0</v>
      </c>
      <c r="BU615" s="200">
        <f t="shared" si="7761"/>
        <v>0</v>
      </c>
      <c r="BV615" s="200">
        <f t="shared" si="7762"/>
        <v>0</v>
      </c>
      <c r="BW615" s="200">
        <f t="shared" si="7763"/>
        <v>0</v>
      </c>
      <c r="BX615" s="200">
        <f t="shared" si="7764"/>
        <v>0</v>
      </c>
      <c r="BY615" s="200">
        <f t="shared" si="7765"/>
        <v>0</v>
      </c>
      <c r="BZ615" s="200">
        <f t="shared" si="7766"/>
        <v>0</v>
      </c>
      <c r="CA615" s="200">
        <f t="shared" si="7767"/>
        <v>0</v>
      </c>
      <c r="CB615" s="200">
        <f t="shared" si="7768"/>
        <v>0</v>
      </c>
      <c r="CC615" s="200">
        <f t="shared" si="7769"/>
        <v>0</v>
      </c>
      <c r="CD615" s="200">
        <f t="shared" si="7770"/>
        <v>0</v>
      </c>
      <c r="CE615" s="374">
        <f t="shared" si="7771"/>
        <v>0</v>
      </c>
      <c r="CF615" s="200">
        <f t="shared" si="7772"/>
        <v>0</v>
      </c>
      <c r="CG615" s="200">
        <f t="shared" si="7773"/>
        <v>0</v>
      </c>
      <c r="CH615" s="200">
        <f t="shared" si="7774"/>
        <v>0</v>
      </c>
      <c r="CI615" s="200">
        <f t="shared" si="7775"/>
        <v>0</v>
      </c>
      <c r="CJ615" s="200">
        <f t="shared" si="7776"/>
        <v>0</v>
      </c>
      <c r="CK615" s="200">
        <f t="shared" si="7777"/>
        <v>0</v>
      </c>
      <c r="CL615" s="200">
        <f t="shared" si="7778"/>
        <v>0</v>
      </c>
      <c r="CM615" s="200">
        <f t="shared" si="7779"/>
        <v>0</v>
      </c>
      <c r="CN615" s="200">
        <f t="shared" si="7780"/>
        <v>0</v>
      </c>
      <c r="CO615" s="200">
        <f t="shared" si="7781"/>
        <v>0</v>
      </c>
      <c r="CP615" s="200">
        <f t="shared" si="7782"/>
        <v>0</v>
      </c>
      <c r="CQ615" s="374">
        <f t="shared" si="7783"/>
        <v>0</v>
      </c>
      <c r="CR615" s="200">
        <f t="shared" si="7784"/>
        <v>0</v>
      </c>
      <c r="CS615" s="200">
        <f t="shared" si="7785"/>
        <v>0</v>
      </c>
      <c r="CT615" s="200">
        <f t="shared" si="7786"/>
        <v>0</v>
      </c>
      <c r="CU615" s="200">
        <f t="shared" si="7787"/>
        <v>0</v>
      </c>
      <c r="CV615" s="200">
        <f t="shared" si="7788"/>
        <v>0</v>
      </c>
      <c r="CW615" s="200">
        <f t="shared" si="7789"/>
        <v>0</v>
      </c>
      <c r="CX615" s="200">
        <f t="shared" si="7790"/>
        <v>0</v>
      </c>
      <c r="CY615" s="200">
        <f t="shared" si="7791"/>
        <v>0</v>
      </c>
      <c r="CZ615" s="200">
        <f t="shared" si="7792"/>
        <v>0</v>
      </c>
      <c r="DA615" s="200">
        <f t="shared" si="7793"/>
        <v>0</v>
      </c>
      <c r="DB615" s="200">
        <f t="shared" si="7794"/>
        <v>0</v>
      </c>
      <c r="DC615" s="374">
        <f t="shared" si="7795"/>
        <v>0</v>
      </c>
    </row>
    <row r="616" spans="3:107" x14ac:dyDescent="0.3">
      <c r="C616" s="231" t="s">
        <v>484</v>
      </c>
      <c r="D616" s="191"/>
      <c r="E616" s="191"/>
      <c r="G616" s="198">
        <f t="shared" ref="G616:AL616" si="7796">SUM(G609:G615)</f>
        <v>0</v>
      </c>
      <c r="H616" s="380">
        <f t="shared" si="7796"/>
        <v>0</v>
      </c>
      <c r="I616" s="380">
        <f t="shared" si="7796"/>
        <v>0</v>
      </c>
      <c r="J616" s="380">
        <f t="shared" si="7796"/>
        <v>0</v>
      </c>
      <c r="K616" s="198">
        <f t="shared" si="7796"/>
        <v>0</v>
      </c>
      <c r="L616" s="380">
        <f t="shared" si="7796"/>
        <v>0</v>
      </c>
      <c r="M616" s="380">
        <f t="shared" si="7796"/>
        <v>0</v>
      </c>
      <c r="N616" s="380">
        <f t="shared" si="7796"/>
        <v>0</v>
      </c>
      <c r="O616" s="380">
        <f t="shared" si="7796"/>
        <v>0</v>
      </c>
      <c r="P616" s="380">
        <f t="shared" si="7796"/>
        <v>0</v>
      </c>
      <c r="Q616" s="380">
        <f t="shared" si="7796"/>
        <v>0</v>
      </c>
      <c r="R616" s="380">
        <f t="shared" si="7796"/>
        <v>0</v>
      </c>
      <c r="S616" s="380">
        <f t="shared" si="7796"/>
        <v>0</v>
      </c>
      <c r="T616" s="380">
        <f t="shared" si="7796"/>
        <v>0</v>
      </c>
      <c r="U616" s="380">
        <f t="shared" si="7796"/>
        <v>0</v>
      </c>
      <c r="V616" s="380">
        <f t="shared" si="7796"/>
        <v>0</v>
      </c>
      <c r="W616" s="198">
        <f t="shared" si="7796"/>
        <v>0</v>
      </c>
      <c r="X616" s="380">
        <f t="shared" si="7796"/>
        <v>0</v>
      </c>
      <c r="Y616" s="380">
        <f t="shared" ref="Y616" si="7797">SUM(Y609:Y615)</f>
        <v>0</v>
      </c>
      <c r="Z616" s="380">
        <f t="shared" si="7796"/>
        <v>0</v>
      </c>
      <c r="AA616" s="380">
        <f t="shared" si="7796"/>
        <v>0</v>
      </c>
      <c r="AB616" s="380">
        <f t="shared" si="7796"/>
        <v>0</v>
      </c>
      <c r="AC616" s="380">
        <f t="shared" si="7796"/>
        <v>0</v>
      </c>
      <c r="AD616" s="380">
        <f t="shared" si="7796"/>
        <v>0</v>
      </c>
      <c r="AE616" s="380">
        <f t="shared" si="7796"/>
        <v>0</v>
      </c>
      <c r="AF616" s="380">
        <f t="shared" si="7796"/>
        <v>0</v>
      </c>
      <c r="AG616" s="380">
        <f t="shared" si="7796"/>
        <v>0</v>
      </c>
      <c r="AH616" s="380">
        <f t="shared" si="7796"/>
        <v>0</v>
      </c>
      <c r="AI616" s="198">
        <f t="shared" si="7796"/>
        <v>0</v>
      </c>
      <c r="AJ616" s="380">
        <f t="shared" si="7796"/>
        <v>0</v>
      </c>
      <c r="AK616" s="380">
        <f t="shared" si="7796"/>
        <v>0</v>
      </c>
      <c r="AL616" s="380">
        <f t="shared" si="7796"/>
        <v>0</v>
      </c>
      <c r="AM616" s="380">
        <f t="shared" ref="AM616:BR616" si="7798">SUM(AM609:AM615)</f>
        <v>0</v>
      </c>
      <c r="AN616" s="380">
        <f t="shared" si="7798"/>
        <v>0</v>
      </c>
      <c r="AO616" s="380">
        <f t="shared" si="7798"/>
        <v>0</v>
      </c>
      <c r="AP616" s="380">
        <f t="shared" si="7798"/>
        <v>0</v>
      </c>
      <c r="AQ616" s="380">
        <f t="shared" si="7798"/>
        <v>0</v>
      </c>
      <c r="AR616" s="380">
        <f t="shared" si="7798"/>
        <v>0</v>
      </c>
      <c r="AS616" s="380">
        <f t="shared" si="7798"/>
        <v>0</v>
      </c>
      <c r="AT616" s="380">
        <f t="shared" si="7798"/>
        <v>0</v>
      </c>
      <c r="AU616" s="198">
        <f t="shared" si="7798"/>
        <v>0</v>
      </c>
      <c r="AV616" s="380">
        <f t="shared" si="7798"/>
        <v>0</v>
      </c>
      <c r="AW616" s="380">
        <f t="shared" si="7798"/>
        <v>0</v>
      </c>
      <c r="AX616" s="380">
        <f t="shared" si="7798"/>
        <v>0</v>
      </c>
      <c r="AY616" s="380">
        <f t="shared" si="7798"/>
        <v>0</v>
      </c>
      <c r="AZ616" s="380">
        <f t="shared" si="7798"/>
        <v>0</v>
      </c>
      <c r="BA616" s="380">
        <f t="shared" si="7798"/>
        <v>0</v>
      </c>
      <c r="BB616" s="380">
        <f t="shared" si="7798"/>
        <v>0</v>
      </c>
      <c r="BC616" s="380">
        <f t="shared" si="7798"/>
        <v>0</v>
      </c>
      <c r="BD616" s="380">
        <f t="shared" si="7798"/>
        <v>0</v>
      </c>
      <c r="BE616" s="380">
        <f t="shared" si="7798"/>
        <v>0</v>
      </c>
      <c r="BF616" s="380">
        <f t="shared" si="7798"/>
        <v>0</v>
      </c>
      <c r="BG616" s="198">
        <f t="shared" si="7798"/>
        <v>0</v>
      </c>
      <c r="BH616" s="380">
        <f t="shared" si="7798"/>
        <v>0</v>
      </c>
      <c r="BI616" s="380">
        <f t="shared" si="7798"/>
        <v>0</v>
      </c>
      <c r="BJ616" s="380">
        <f t="shared" si="7798"/>
        <v>0</v>
      </c>
      <c r="BK616" s="380">
        <f t="shared" si="7798"/>
        <v>0</v>
      </c>
      <c r="BL616" s="380">
        <f t="shared" si="7798"/>
        <v>0</v>
      </c>
      <c r="BM616" s="380">
        <f t="shared" si="7798"/>
        <v>0</v>
      </c>
      <c r="BN616" s="380">
        <f t="shared" si="7798"/>
        <v>0</v>
      </c>
      <c r="BO616" s="380">
        <f t="shared" si="7798"/>
        <v>0</v>
      </c>
      <c r="BP616" s="380">
        <f t="shared" si="7798"/>
        <v>0</v>
      </c>
      <c r="BQ616" s="380">
        <f t="shared" si="7798"/>
        <v>0</v>
      </c>
      <c r="BR616" s="380">
        <f t="shared" si="7798"/>
        <v>0</v>
      </c>
      <c r="BS616" s="198">
        <f t="shared" ref="BS616:CE616" si="7799">SUM(BS609:BS615)</f>
        <v>0</v>
      </c>
      <c r="BT616" s="380">
        <f t="shared" si="7799"/>
        <v>0</v>
      </c>
      <c r="BU616" s="380">
        <f t="shared" si="7799"/>
        <v>0</v>
      </c>
      <c r="BV616" s="380">
        <f t="shared" si="7799"/>
        <v>0</v>
      </c>
      <c r="BW616" s="380">
        <f t="shared" si="7799"/>
        <v>0</v>
      </c>
      <c r="BX616" s="380">
        <f t="shared" si="7799"/>
        <v>0</v>
      </c>
      <c r="BY616" s="380">
        <f t="shared" si="7799"/>
        <v>0</v>
      </c>
      <c r="BZ616" s="380">
        <f t="shared" si="7799"/>
        <v>0</v>
      </c>
      <c r="CA616" s="380">
        <f t="shared" si="7799"/>
        <v>0</v>
      </c>
      <c r="CB616" s="380">
        <f t="shared" si="7799"/>
        <v>0</v>
      </c>
      <c r="CC616" s="380">
        <f t="shared" si="7799"/>
        <v>0</v>
      </c>
      <c r="CD616" s="380">
        <f t="shared" si="7799"/>
        <v>0</v>
      </c>
      <c r="CE616" s="198">
        <f t="shared" si="7799"/>
        <v>0</v>
      </c>
      <c r="CF616" s="380">
        <f t="shared" ref="CF616:DC616" si="7800">SUM(CF609:CF615)</f>
        <v>0</v>
      </c>
      <c r="CG616" s="380">
        <f t="shared" si="7800"/>
        <v>0</v>
      </c>
      <c r="CH616" s="380">
        <f t="shared" si="7800"/>
        <v>0</v>
      </c>
      <c r="CI616" s="380">
        <f t="shared" si="7800"/>
        <v>0</v>
      </c>
      <c r="CJ616" s="380">
        <f t="shared" si="7800"/>
        <v>0</v>
      </c>
      <c r="CK616" s="380">
        <f t="shared" si="7800"/>
        <v>0</v>
      </c>
      <c r="CL616" s="380">
        <f t="shared" si="7800"/>
        <v>0</v>
      </c>
      <c r="CM616" s="380">
        <f t="shared" si="7800"/>
        <v>0</v>
      </c>
      <c r="CN616" s="380">
        <f t="shared" si="7800"/>
        <v>0</v>
      </c>
      <c r="CO616" s="380">
        <f t="shared" si="7800"/>
        <v>0</v>
      </c>
      <c r="CP616" s="380">
        <f t="shared" si="7800"/>
        <v>0</v>
      </c>
      <c r="CQ616" s="198">
        <f t="shared" si="7800"/>
        <v>0</v>
      </c>
      <c r="CR616" s="380">
        <f t="shared" si="7800"/>
        <v>0</v>
      </c>
      <c r="CS616" s="380">
        <f t="shared" si="7800"/>
        <v>0</v>
      </c>
      <c r="CT616" s="380">
        <f t="shared" si="7800"/>
        <v>0</v>
      </c>
      <c r="CU616" s="380">
        <f t="shared" si="7800"/>
        <v>0</v>
      </c>
      <c r="CV616" s="380">
        <f t="shared" si="7800"/>
        <v>0</v>
      </c>
      <c r="CW616" s="380">
        <f t="shared" si="7800"/>
        <v>0</v>
      </c>
      <c r="CX616" s="380">
        <f t="shared" si="7800"/>
        <v>0</v>
      </c>
      <c r="CY616" s="380">
        <f t="shared" si="7800"/>
        <v>0</v>
      </c>
      <c r="CZ616" s="380">
        <f t="shared" si="7800"/>
        <v>0</v>
      </c>
      <c r="DA616" s="380">
        <f t="shared" si="7800"/>
        <v>0</v>
      </c>
      <c r="DB616" s="380">
        <f t="shared" si="7800"/>
        <v>0</v>
      </c>
      <c r="DC616" s="198">
        <f t="shared" si="7800"/>
        <v>0</v>
      </c>
    </row>
    <row r="617" spans="3:107" x14ac:dyDescent="0.3">
      <c r="G617" s="203"/>
      <c r="K617" s="203"/>
      <c r="W617" s="203"/>
      <c r="AI617" s="203"/>
      <c r="AU617" s="203"/>
      <c r="BG617" s="203"/>
      <c r="BS617" s="203"/>
      <c r="CE617" s="203"/>
      <c r="CQ617" s="203"/>
      <c r="DC617" s="203"/>
    </row>
    <row r="618" spans="3:107" x14ac:dyDescent="0.3">
      <c r="C618" s="342" t="str">
        <f>++'Trade Ticket Input'!C$278</f>
        <v>HoldCo Notes</v>
      </c>
      <c r="G618" s="126">
        <v>0</v>
      </c>
      <c r="H618" s="200">
        <f t="shared" ref="H618:AM618" si="7801">++G618</f>
        <v>0</v>
      </c>
      <c r="I618" s="200">
        <f t="shared" si="7801"/>
        <v>0</v>
      </c>
      <c r="J618" s="200">
        <f t="shared" si="7801"/>
        <v>0</v>
      </c>
      <c r="K618" s="374">
        <f t="shared" si="7801"/>
        <v>0</v>
      </c>
      <c r="L618" s="200">
        <f t="shared" si="7801"/>
        <v>0</v>
      </c>
      <c r="M618" s="200">
        <f t="shared" si="7801"/>
        <v>0</v>
      </c>
      <c r="N618" s="200">
        <f t="shared" si="7801"/>
        <v>0</v>
      </c>
      <c r="O618" s="200">
        <f t="shared" si="7801"/>
        <v>0</v>
      </c>
      <c r="P618" s="200">
        <f t="shared" si="7801"/>
        <v>0</v>
      </c>
      <c r="Q618" s="200">
        <f t="shared" si="7801"/>
        <v>0</v>
      </c>
      <c r="R618" s="200">
        <f t="shared" si="7801"/>
        <v>0</v>
      </c>
      <c r="S618" s="200">
        <f t="shared" si="7801"/>
        <v>0</v>
      </c>
      <c r="T618" s="200">
        <f t="shared" si="7801"/>
        <v>0</v>
      </c>
      <c r="U618" s="200">
        <f t="shared" si="7801"/>
        <v>0</v>
      </c>
      <c r="V618" s="200">
        <f t="shared" si="7801"/>
        <v>0</v>
      </c>
      <c r="W618" s="374">
        <f t="shared" si="7801"/>
        <v>0</v>
      </c>
      <c r="X618" s="200">
        <f t="shared" si="7801"/>
        <v>0</v>
      </c>
      <c r="Y618" s="200">
        <f t="shared" ref="Y618:Y620" si="7802">++X618</f>
        <v>0</v>
      </c>
      <c r="Z618" s="200">
        <f t="shared" si="7801"/>
        <v>0</v>
      </c>
      <c r="AA618" s="200">
        <f t="shared" si="7801"/>
        <v>0</v>
      </c>
      <c r="AB618" s="200">
        <f t="shared" si="7801"/>
        <v>0</v>
      </c>
      <c r="AC618" s="200">
        <f t="shared" si="7801"/>
        <v>0</v>
      </c>
      <c r="AD618" s="200">
        <f t="shared" si="7801"/>
        <v>0</v>
      </c>
      <c r="AE618" s="200">
        <f t="shared" si="7801"/>
        <v>0</v>
      </c>
      <c r="AF618" s="200">
        <f t="shared" si="7801"/>
        <v>0</v>
      </c>
      <c r="AG618" s="200">
        <f t="shared" si="7801"/>
        <v>0</v>
      </c>
      <c r="AH618" s="200">
        <f t="shared" si="7801"/>
        <v>0</v>
      </c>
      <c r="AI618" s="374">
        <f t="shared" si="7801"/>
        <v>0</v>
      </c>
      <c r="AJ618" s="200">
        <f t="shared" si="7801"/>
        <v>0</v>
      </c>
      <c r="AK618" s="200">
        <f t="shared" si="7801"/>
        <v>0</v>
      </c>
      <c r="AL618" s="200">
        <f t="shared" si="7801"/>
        <v>0</v>
      </c>
      <c r="AM618" s="200">
        <f t="shared" si="7801"/>
        <v>0</v>
      </c>
      <c r="AN618" s="200">
        <f t="shared" ref="AN618:BS618" si="7803">++AM618</f>
        <v>0</v>
      </c>
      <c r="AO618" s="200">
        <f t="shared" si="7803"/>
        <v>0</v>
      </c>
      <c r="AP618" s="200">
        <f t="shared" si="7803"/>
        <v>0</v>
      </c>
      <c r="AQ618" s="200">
        <f t="shared" si="7803"/>
        <v>0</v>
      </c>
      <c r="AR618" s="200">
        <f t="shared" si="7803"/>
        <v>0</v>
      </c>
      <c r="AS618" s="200">
        <f t="shared" si="7803"/>
        <v>0</v>
      </c>
      <c r="AT618" s="200">
        <f t="shared" si="7803"/>
        <v>0</v>
      </c>
      <c r="AU618" s="374">
        <f t="shared" si="7803"/>
        <v>0</v>
      </c>
      <c r="AV618" s="200">
        <f t="shared" si="7803"/>
        <v>0</v>
      </c>
      <c r="AW618" s="200">
        <f t="shared" si="7803"/>
        <v>0</v>
      </c>
      <c r="AX618" s="200">
        <f t="shared" si="7803"/>
        <v>0</v>
      </c>
      <c r="AY618" s="200">
        <f t="shared" si="7803"/>
        <v>0</v>
      </c>
      <c r="AZ618" s="200">
        <f t="shared" si="7803"/>
        <v>0</v>
      </c>
      <c r="BA618" s="200">
        <f t="shared" si="7803"/>
        <v>0</v>
      </c>
      <c r="BB618" s="200">
        <f t="shared" si="7803"/>
        <v>0</v>
      </c>
      <c r="BC618" s="200">
        <f t="shared" si="7803"/>
        <v>0</v>
      </c>
      <c r="BD618" s="200">
        <f t="shared" si="7803"/>
        <v>0</v>
      </c>
      <c r="BE618" s="200">
        <f t="shared" si="7803"/>
        <v>0</v>
      </c>
      <c r="BF618" s="200">
        <f t="shared" si="7803"/>
        <v>0</v>
      </c>
      <c r="BG618" s="374">
        <f t="shared" si="7803"/>
        <v>0</v>
      </c>
      <c r="BH618" s="200">
        <f t="shared" si="7803"/>
        <v>0</v>
      </c>
      <c r="BI618" s="200">
        <f t="shared" si="7803"/>
        <v>0</v>
      </c>
      <c r="BJ618" s="200">
        <f t="shared" si="7803"/>
        <v>0</v>
      </c>
      <c r="BK618" s="200">
        <f t="shared" si="7803"/>
        <v>0</v>
      </c>
      <c r="BL618" s="200">
        <f t="shared" si="7803"/>
        <v>0</v>
      </c>
      <c r="BM618" s="200">
        <f t="shared" si="7803"/>
        <v>0</v>
      </c>
      <c r="BN618" s="200">
        <f t="shared" si="7803"/>
        <v>0</v>
      </c>
      <c r="BO618" s="200">
        <f t="shared" si="7803"/>
        <v>0</v>
      </c>
      <c r="BP618" s="200">
        <f t="shared" si="7803"/>
        <v>0</v>
      </c>
      <c r="BQ618" s="200">
        <f t="shared" si="7803"/>
        <v>0</v>
      </c>
      <c r="BR618" s="200">
        <f t="shared" si="7803"/>
        <v>0</v>
      </c>
      <c r="BS618" s="374">
        <f t="shared" si="7803"/>
        <v>0</v>
      </c>
      <c r="BT618" s="200">
        <f t="shared" ref="BT618:CE618" si="7804">++BS618</f>
        <v>0</v>
      </c>
      <c r="BU618" s="200">
        <f t="shared" si="7804"/>
        <v>0</v>
      </c>
      <c r="BV618" s="200">
        <f t="shared" si="7804"/>
        <v>0</v>
      </c>
      <c r="BW618" s="200">
        <f t="shared" si="7804"/>
        <v>0</v>
      </c>
      <c r="BX618" s="200">
        <f t="shared" si="7804"/>
        <v>0</v>
      </c>
      <c r="BY618" s="200">
        <f t="shared" si="7804"/>
        <v>0</v>
      </c>
      <c r="BZ618" s="200">
        <f t="shared" si="7804"/>
        <v>0</v>
      </c>
      <c r="CA618" s="200">
        <f t="shared" si="7804"/>
        <v>0</v>
      </c>
      <c r="CB618" s="200">
        <f t="shared" si="7804"/>
        <v>0</v>
      </c>
      <c r="CC618" s="200">
        <f t="shared" si="7804"/>
        <v>0</v>
      </c>
      <c r="CD618" s="200">
        <f t="shared" si="7804"/>
        <v>0</v>
      </c>
      <c r="CE618" s="374">
        <f t="shared" si="7804"/>
        <v>0</v>
      </c>
      <c r="CF618" s="200">
        <f t="shared" ref="CF618:CF620" si="7805">++CE618</f>
        <v>0</v>
      </c>
      <c r="CG618" s="200">
        <f t="shared" ref="CG618:CG620" si="7806">++CF618</f>
        <v>0</v>
      </c>
      <c r="CH618" s="200">
        <f t="shared" ref="CH618:CH620" si="7807">++CG618</f>
        <v>0</v>
      </c>
      <c r="CI618" s="200">
        <f t="shared" ref="CI618:CI620" si="7808">++CH618</f>
        <v>0</v>
      </c>
      <c r="CJ618" s="200">
        <f t="shared" ref="CJ618:CJ620" si="7809">++CI618</f>
        <v>0</v>
      </c>
      <c r="CK618" s="200">
        <f t="shared" ref="CK618:CK620" si="7810">++CJ618</f>
        <v>0</v>
      </c>
      <c r="CL618" s="200">
        <f t="shared" ref="CL618:CL620" si="7811">++CK618</f>
        <v>0</v>
      </c>
      <c r="CM618" s="200">
        <f t="shared" ref="CM618:CM620" si="7812">++CL618</f>
        <v>0</v>
      </c>
      <c r="CN618" s="200">
        <f t="shared" ref="CN618:CN620" si="7813">++CM618</f>
        <v>0</v>
      </c>
      <c r="CO618" s="200">
        <f t="shared" ref="CO618:CO620" si="7814">++CN618</f>
        <v>0</v>
      </c>
      <c r="CP618" s="200">
        <f t="shared" ref="CP618:CP620" si="7815">++CO618</f>
        <v>0</v>
      </c>
      <c r="CQ618" s="374">
        <f t="shared" ref="CQ618:CQ620" si="7816">++CP618</f>
        <v>0</v>
      </c>
      <c r="CR618" s="200">
        <f t="shared" ref="CR618:CR620" si="7817">++CQ618</f>
        <v>0</v>
      </c>
      <c r="CS618" s="200">
        <f t="shared" ref="CS618:CS620" si="7818">++CR618</f>
        <v>0</v>
      </c>
      <c r="CT618" s="200">
        <f t="shared" ref="CT618:CT620" si="7819">++CS618</f>
        <v>0</v>
      </c>
      <c r="CU618" s="200">
        <f t="shared" ref="CU618:CU620" si="7820">++CT618</f>
        <v>0</v>
      </c>
      <c r="CV618" s="200">
        <f t="shared" ref="CV618:CV620" si="7821">++CU618</f>
        <v>0</v>
      </c>
      <c r="CW618" s="200">
        <f t="shared" ref="CW618:CW620" si="7822">++CV618</f>
        <v>0</v>
      </c>
      <c r="CX618" s="200">
        <f t="shared" ref="CX618:CX620" si="7823">++CW618</f>
        <v>0</v>
      </c>
      <c r="CY618" s="200">
        <f t="shared" ref="CY618:CY620" si="7824">++CX618</f>
        <v>0</v>
      </c>
      <c r="CZ618" s="200">
        <f t="shared" ref="CZ618:CZ620" si="7825">++CY618</f>
        <v>0</v>
      </c>
      <c r="DA618" s="200">
        <f t="shared" ref="DA618:DA620" si="7826">++CZ618</f>
        <v>0</v>
      </c>
      <c r="DB618" s="200">
        <f t="shared" ref="DB618:DB620" si="7827">++DA618</f>
        <v>0</v>
      </c>
      <c r="DC618" s="374">
        <f t="shared" ref="DC618:DC620" si="7828">++DB618</f>
        <v>0</v>
      </c>
    </row>
    <row r="619" spans="3:107" x14ac:dyDescent="0.3">
      <c r="C619" s="342" t="str">
        <f>++'Trade Ticket Input'!C$308</f>
        <v>HoldCo DD Notes ($0.0MM)</v>
      </c>
      <c r="G619" s="127">
        <v>0</v>
      </c>
      <c r="H619" s="200">
        <f t="shared" ref="H619:AM619" si="7829">++G619</f>
        <v>0</v>
      </c>
      <c r="I619" s="200">
        <f t="shared" si="7829"/>
        <v>0</v>
      </c>
      <c r="J619" s="200">
        <f t="shared" si="7829"/>
        <v>0</v>
      </c>
      <c r="K619" s="374">
        <f t="shared" si="7829"/>
        <v>0</v>
      </c>
      <c r="L619" s="200">
        <f t="shared" si="7829"/>
        <v>0</v>
      </c>
      <c r="M619" s="200">
        <f t="shared" si="7829"/>
        <v>0</v>
      </c>
      <c r="N619" s="200">
        <f t="shared" si="7829"/>
        <v>0</v>
      </c>
      <c r="O619" s="200">
        <f t="shared" si="7829"/>
        <v>0</v>
      </c>
      <c r="P619" s="200">
        <f t="shared" si="7829"/>
        <v>0</v>
      </c>
      <c r="Q619" s="200">
        <f t="shared" si="7829"/>
        <v>0</v>
      </c>
      <c r="R619" s="200">
        <f t="shared" si="7829"/>
        <v>0</v>
      </c>
      <c r="S619" s="200">
        <f t="shared" si="7829"/>
        <v>0</v>
      </c>
      <c r="T619" s="200">
        <f t="shared" si="7829"/>
        <v>0</v>
      </c>
      <c r="U619" s="200">
        <f t="shared" si="7829"/>
        <v>0</v>
      </c>
      <c r="V619" s="200">
        <f t="shared" si="7829"/>
        <v>0</v>
      </c>
      <c r="W619" s="374">
        <f t="shared" si="7829"/>
        <v>0</v>
      </c>
      <c r="X619" s="200">
        <f t="shared" si="7829"/>
        <v>0</v>
      </c>
      <c r="Y619" s="200">
        <f t="shared" si="7802"/>
        <v>0</v>
      </c>
      <c r="Z619" s="200">
        <f t="shared" si="7829"/>
        <v>0</v>
      </c>
      <c r="AA619" s="200">
        <f t="shared" si="7829"/>
        <v>0</v>
      </c>
      <c r="AB619" s="200">
        <f t="shared" si="7829"/>
        <v>0</v>
      </c>
      <c r="AC619" s="200">
        <f t="shared" si="7829"/>
        <v>0</v>
      </c>
      <c r="AD619" s="200">
        <f t="shared" si="7829"/>
        <v>0</v>
      </c>
      <c r="AE619" s="200">
        <f t="shared" si="7829"/>
        <v>0</v>
      </c>
      <c r="AF619" s="200">
        <f t="shared" si="7829"/>
        <v>0</v>
      </c>
      <c r="AG619" s="200">
        <f t="shared" si="7829"/>
        <v>0</v>
      </c>
      <c r="AH619" s="200">
        <f t="shared" si="7829"/>
        <v>0</v>
      </c>
      <c r="AI619" s="374">
        <f t="shared" si="7829"/>
        <v>0</v>
      </c>
      <c r="AJ619" s="200">
        <f t="shared" si="7829"/>
        <v>0</v>
      </c>
      <c r="AK619" s="200">
        <f t="shared" si="7829"/>
        <v>0</v>
      </c>
      <c r="AL619" s="200">
        <f t="shared" si="7829"/>
        <v>0</v>
      </c>
      <c r="AM619" s="200">
        <f t="shared" si="7829"/>
        <v>0</v>
      </c>
      <c r="AN619" s="200">
        <f t="shared" ref="AN619:BS619" si="7830">++AM619</f>
        <v>0</v>
      </c>
      <c r="AO619" s="200">
        <f t="shared" si="7830"/>
        <v>0</v>
      </c>
      <c r="AP619" s="200">
        <f t="shared" si="7830"/>
        <v>0</v>
      </c>
      <c r="AQ619" s="200">
        <f t="shared" si="7830"/>
        <v>0</v>
      </c>
      <c r="AR619" s="200">
        <f t="shared" si="7830"/>
        <v>0</v>
      </c>
      <c r="AS619" s="200">
        <f t="shared" si="7830"/>
        <v>0</v>
      </c>
      <c r="AT619" s="200">
        <f t="shared" si="7830"/>
        <v>0</v>
      </c>
      <c r="AU619" s="374">
        <f t="shared" si="7830"/>
        <v>0</v>
      </c>
      <c r="AV619" s="200">
        <f t="shared" si="7830"/>
        <v>0</v>
      </c>
      <c r="AW619" s="200">
        <f t="shared" si="7830"/>
        <v>0</v>
      </c>
      <c r="AX619" s="200">
        <f t="shared" si="7830"/>
        <v>0</v>
      </c>
      <c r="AY619" s="200">
        <f t="shared" si="7830"/>
        <v>0</v>
      </c>
      <c r="AZ619" s="200">
        <f t="shared" si="7830"/>
        <v>0</v>
      </c>
      <c r="BA619" s="200">
        <f t="shared" si="7830"/>
        <v>0</v>
      </c>
      <c r="BB619" s="200">
        <f t="shared" si="7830"/>
        <v>0</v>
      </c>
      <c r="BC619" s="200">
        <f t="shared" si="7830"/>
        <v>0</v>
      </c>
      <c r="BD619" s="200">
        <f t="shared" si="7830"/>
        <v>0</v>
      </c>
      <c r="BE619" s="200">
        <f t="shared" si="7830"/>
        <v>0</v>
      </c>
      <c r="BF619" s="200">
        <f t="shared" si="7830"/>
        <v>0</v>
      </c>
      <c r="BG619" s="374">
        <f t="shared" si="7830"/>
        <v>0</v>
      </c>
      <c r="BH619" s="200">
        <f t="shared" si="7830"/>
        <v>0</v>
      </c>
      <c r="BI619" s="200">
        <f t="shared" si="7830"/>
        <v>0</v>
      </c>
      <c r="BJ619" s="200">
        <f t="shared" si="7830"/>
        <v>0</v>
      </c>
      <c r="BK619" s="200">
        <f t="shared" si="7830"/>
        <v>0</v>
      </c>
      <c r="BL619" s="200">
        <f t="shared" si="7830"/>
        <v>0</v>
      </c>
      <c r="BM619" s="200">
        <f t="shared" si="7830"/>
        <v>0</v>
      </c>
      <c r="BN619" s="200">
        <f t="shared" si="7830"/>
        <v>0</v>
      </c>
      <c r="BO619" s="200">
        <f t="shared" si="7830"/>
        <v>0</v>
      </c>
      <c r="BP619" s="200">
        <f t="shared" si="7830"/>
        <v>0</v>
      </c>
      <c r="BQ619" s="200">
        <f t="shared" si="7830"/>
        <v>0</v>
      </c>
      <c r="BR619" s="200">
        <f t="shared" si="7830"/>
        <v>0</v>
      </c>
      <c r="BS619" s="374">
        <f t="shared" si="7830"/>
        <v>0</v>
      </c>
      <c r="BT619" s="200">
        <f t="shared" ref="BT619:CE619" si="7831">++BS619</f>
        <v>0</v>
      </c>
      <c r="BU619" s="200">
        <f t="shared" si="7831"/>
        <v>0</v>
      </c>
      <c r="BV619" s="200">
        <f t="shared" si="7831"/>
        <v>0</v>
      </c>
      <c r="BW619" s="200">
        <f t="shared" si="7831"/>
        <v>0</v>
      </c>
      <c r="BX619" s="200">
        <f t="shared" si="7831"/>
        <v>0</v>
      </c>
      <c r="BY619" s="200">
        <f t="shared" si="7831"/>
        <v>0</v>
      </c>
      <c r="BZ619" s="200">
        <f t="shared" si="7831"/>
        <v>0</v>
      </c>
      <c r="CA619" s="200">
        <f t="shared" si="7831"/>
        <v>0</v>
      </c>
      <c r="CB619" s="200">
        <f t="shared" si="7831"/>
        <v>0</v>
      </c>
      <c r="CC619" s="200">
        <f t="shared" si="7831"/>
        <v>0</v>
      </c>
      <c r="CD619" s="200">
        <f t="shared" si="7831"/>
        <v>0</v>
      </c>
      <c r="CE619" s="374">
        <f t="shared" si="7831"/>
        <v>0</v>
      </c>
      <c r="CF619" s="200">
        <f t="shared" si="7805"/>
        <v>0</v>
      </c>
      <c r="CG619" s="200">
        <f t="shared" si="7806"/>
        <v>0</v>
      </c>
      <c r="CH619" s="200">
        <f t="shared" si="7807"/>
        <v>0</v>
      </c>
      <c r="CI619" s="200">
        <f t="shared" si="7808"/>
        <v>0</v>
      </c>
      <c r="CJ619" s="200">
        <f t="shared" si="7809"/>
        <v>0</v>
      </c>
      <c r="CK619" s="200">
        <f t="shared" si="7810"/>
        <v>0</v>
      </c>
      <c r="CL619" s="200">
        <f t="shared" si="7811"/>
        <v>0</v>
      </c>
      <c r="CM619" s="200">
        <f t="shared" si="7812"/>
        <v>0</v>
      </c>
      <c r="CN619" s="200">
        <f t="shared" si="7813"/>
        <v>0</v>
      </c>
      <c r="CO619" s="200">
        <f t="shared" si="7814"/>
        <v>0</v>
      </c>
      <c r="CP619" s="200">
        <f t="shared" si="7815"/>
        <v>0</v>
      </c>
      <c r="CQ619" s="374">
        <f t="shared" si="7816"/>
        <v>0</v>
      </c>
      <c r="CR619" s="200">
        <f t="shared" si="7817"/>
        <v>0</v>
      </c>
      <c r="CS619" s="200">
        <f t="shared" si="7818"/>
        <v>0</v>
      </c>
      <c r="CT619" s="200">
        <f t="shared" si="7819"/>
        <v>0</v>
      </c>
      <c r="CU619" s="200">
        <f t="shared" si="7820"/>
        <v>0</v>
      </c>
      <c r="CV619" s="200">
        <f t="shared" si="7821"/>
        <v>0</v>
      </c>
      <c r="CW619" s="200">
        <f t="shared" si="7822"/>
        <v>0</v>
      </c>
      <c r="CX619" s="200">
        <f t="shared" si="7823"/>
        <v>0</v>
      </c>
      <c r="CY619" s="200">
        <f t="shared" si="7824"/>
        <v>0</v>
      </c>
      <c r="CZ619" s="200">
        <f t="shared" si="7825"/>
        <v>0</v>
      </c>
      <c r="DA619" s="200">
        <f t="shared" si="7826"/>
        <v>0</v>
      </c>
      <c r="DB619" s="200">
        <f t="shared" si="7827"/>
        <v>0</v>
      </c>
      <c r="DC619" s="374">
        <f t="shared" si="7828"/>
        <v>0</v>
      </c>
    </row>
    <row r="620" spans="3:107" x14ac:dyDescent="0.3">
      <c r="C620" s="101" t="s">
        <v>57</v>
      </c>
      <c r="G620" s="127">
        <v>0</v>
      </c>
      <c r="H620" s="200">
        <f t="shared" ref="H620" si="7832">++G620</f>
        <v>0</v>
      </c>
      <c r="I620" s="200">
        <f t="shared" ref="I620" si="7833">++H620</f>
        <v>0</v>
      </c>
      <c r="J620" s="200">
        <f t="shared" ref="J620" si="7834">++I620</f>
        <v>0</v>
      </c>
      <c r="K620" s="374">
        <f t="shared" ref="K620" si="7835">++J620</f>
        <v>0</v>
      </c>
      <c r="L620" s="200">
        <f t="shared" ref="L620" si="7836">++K620</f>
        <v>0</v>
      </c>
      <c r="M620" s="200">
        <f t="shared" ref="M620" si="7837">++L620</f>
        <v>0</v>
      </c>
      <c r="N620" s="200">
        <f t="shared" ref="N620" si="7838">++M620</f>
        <v>0</v>
      </c>
      <c r="O620" s="200">
        <f t="shared" ref="O620" si="7839">++N620</f>
        <v>0</v>
      </c>
      <c r="P620" s="200">
        <f t="shared" ref="P620" si="7840">++O620</f>
        <v>0</v>
      </c>
      <c r="Q620" s="200">
        <f t="shared" ref="Q620" si="7841">++P620</f>
        <v>0</v>
      </c>
      <c r="R620" s="200">
        <f t="shared" ref="R620" si="7842">++Q620</f>
        <v>0</v>
      </c>
      <c r="S620" s="200">
        <f t="shared" ref="S620" si="7843">++R620</f>
        <v>0</v>
      </c>
      <c r="T620" s="200">
        <f t="shared" ref="T620" si="7844">++S620</f>
        <v>0</v>
      </c>
      <c r="U620" s="200">
        <f t="shared" ref="U620" si="7845">++T620</f>
        <v>0</v>
      </c>
      <c r="V620" s="200">
        <f t="shared" ref="V620" si="7846">++U620</f>
        <v>0</v>
      </c>
      <c r="W620" s="374">
        <f t="shared" ref="W620" si="7847">++V620</f>
        <v>0</v>
      </c>
      <c r="X620" s="200">
        <f t="shared" ref="X620" si="7848">++W620</f>
        <v>0</v>
      </c>
      <c r="Y620" s="200">
        <f t="shared" si="7802"/>
        <v>0</v>
      </c>
      <c r="Z620" s="200">
        <f t="shared" ref="Z620" si="7849">++Y620</f>
        <v>0</v>
      </c>
      <c r="AA620" s="200">
        <f t="shared" ref="AA620" si="7850">++Z620</f>
        <v>0</v>
      </c>
      <c r="AB620" s="200">
        <f t="shared" ref="AB620" si="7851">++AA620</f>
        <v>0</v>
      </c>
      <c r="AC620" s="200">
        <f t="shared" ref="AC620" si="7852">++AB620</f>
        <v>0</v>
      </c>
      <c r="AD620" s="200">
        <f t="shared" ref="AD620" si="7853">++AC620</f>
        <v>0</v>
      </c>
      <c r="AE620" s="200">
        <f t="shared" ref="AE620" si="7854">++AD620</f>
        <v>0</v>
      </c>
      <c r="AF620" s="200">
        <f t="shared" ref="AF620" si="7855">++AE620</f>
        <v>0</v>
      </c>
      <c r="AG620" s="200">
        <f t="shared" ref="AG620" si="7856">++AF620</f>
        <v>0</v>
      </c>
      <c r="AH620" s="200">
        <f t="shared" ref="AH620" si="7857">++AG620</f>
        <v>0</v>
      </c>
      <c r="AI620" s="374">
        <f t="shared" ref="AI620" si="7858">++AH620</f>
        <v>0</v>
      </c>
      <c r="AJ620" s="200">
        <f t="shared" ref="AJ620" si="7859">++AI620</f>
        <v>0</v>
      </c>
      <c r="AK620" s="200">
        <f t="shared" ref="AK620" si="7860">++AJ620</f>
        <v>0</v>
      </c>
      <c r="AL620" s="200">
        <f t="shared" ref="AL620" si="7861">++AK620</f>
        <v>0</v>
      </c>
      <c r="AM620" s="200">
        <f t="shared" ref="AM620" si="7862">++AL620</f>
        <v>0</v>
      </c>
      <c r="AN620" s="200">
        <f t="shared" ref="AN620" si="7863">++AM620</f>
        <v>0</v>
      </c>
      <c r="AO620" s="200">
        <f t="shared" ref="AO620" si="7864">++AN620</f>
        <v>0</v>
      </c>
      <c r="AP620" s="200">
        <f t="shared" ref="AP620" si="7865">++AO620</f>
        <v>0</v>
      </c>
      <c r="AQ620" s="200">
        <f t="shared" ref="AQ620" si="7866">++AP620</f>
        <v>0</v>
      </c>
      <c r="AR620" s="200">
        <f t="shared" ref="AR620" si="7867">++AQ620</f>
        <v>0</v>
      </c>
      <c r="AS620" s="200">
        <f t="shared" ref="AS620" si="7868">++AR620</f>
        <v>0</v>
      </c>
      <c r="AT620" s="200">
        <f t="shared" ref="AT620" si="7869">++AS620</f>
        <v>0</v>
      </c>
      <c r="AU620" s="374">
        <f t="shared" ref="AU620" si="7870">++AT620</f>
        <v>0</v>
      </c>
      <c r="AV620" s="200">
        <f t="shared" ref="AV620" si="7871">++AU620</f>
        <v>0</v>
      </c>
      <c r="AW620" s="200">
        <f t="shared" ref="AW620" si="7872">++AV620</f>
        <v>0</v>
      </c>
      <c r="AX620" s="200">
        <f t="shared" ref="AX620" si="7873">++AW620</f>
        <v>0</v>
      </c>
      <c r="AY620" s="200">
        <f t="shared" ref="AY620" si="7874">++AX620</f>
        <v>0</v>
      </c>
      <c r="AZ620" s="200">
        <f t="shared" ref="AZ620" si="7875">++AY620</f>
        <v>0</v>
      </c>
      <c r="BA620" s="200">
        <f t="shared" ref="BA620" si="7876">++AZ620</f>
        <v>0</v>
      </c>
      <c r="BB620" s="200">
        <f t="shared" ref="BB620" si="7877">++BA620</f>
        <v>0</v>
      </c>
      <c r="BC620" s="200">
        <f t="shared" ref="BC620" si="7878">++BB620</f>
        <v>0</v>
      </c>
      <c r="BD620" s="200">
        <f t="shared" ref="BD620" si="7879">++BC620</f>
        <v>0</v>
      </c>
      <c r="BE620" s="200">
        <f t="shared" ref="BE620" si="7880">++BD620</f>
        <v>0</v>
      </c>
      <c r="BF620" s="200">
        <f t="shared" ref="BF620" si="7881">++BE620</f>
        <v>0</v>
      </c>
      <c r="BG620" s="374">
        <f t="shared" ref="BG620" si="7882">++BF620</f>
        <v>0</v>
      </c>
      <c r="BH620" s="200">
        <f t="shared" ref="BH620" si="7883">++BG620</f>
        <v>0</v>
      </c>
      <c r="BI620" s="200">
        <f t="shared" ref="BI620" si="7884">++BH620</f>
        <v>0</v>
      </c>
      <c r="BJ620" s="200">
        <f t="shared" ref="BJ620" si="7885">++BI620</f>
        <v>0</v>
      </c>
      <c r="BK620" s="200">
        <f t="shared" ref="BK620" si="7886">++BJ620</f>
        <v>0</v>
      </c>
      <c r="BL620" s="200">
        <f t="shared" ref="BL620" si="7887">++BK620</f>
        <v>0</v>
      </c>
      <c r="BM620" s="200">
        <f t="shared" ref="BM620" si="7888">++BL620</f>
        <v>0</v>
      </c>
      <c r="BN620" s="200">
        <f t="shared" ref="BN620" si="7889">++BM620</f>
        <v>0</v>
      </c>
      <c r="BO620" s="200">
        <f t="shared" ref="BO620" si="7890">++BN620</f>
        <v>0</v>
      </c>
      <c r="BP620" s="200">
        <f t="shared" ref="BP620" si="7891">++BO620</f>
        <v>0</v>
      </c>
      <c r="BQ620" s="200">
        <f t="shared" ref="BQ620" si="7892">++BP620</f>
        <v>0</v>
      </c>
      <c r="BR620" s="200">
        <f t="shared" ref="BR620" si="7893">++BQ620</f>
        <v>0</v>
      </c>
      <c r="BS620" s="374">
        <f t="shared" ref="BS620" si="7894">++BR620</f>
        <v>0</v>
      </c>
      <c r="BT620" s="200">
        <f t="shared" ref="BT620" si="7895">++BS620</f>
        <v>0</v>
      </c>
      <c r="BU620" s="200">
        <f t="shared" ref="BU620" si="7896">++BT620</f>
        <v>0</v>
      </c>
      <c r="BV620" s="200">
        <f t="shared" ref="BV620" si="7897">++BU620</f>
        <v>0</v>
      </c>
      <c r="BW620" s="200">
        <f t="shared" ref="BW620" si="7898">++BV620</f>
        <v>0</v>
      </c>
      <c r="BX620" s="200">
        <f t="shared" ref="BX620" si="7899">++BW620</f>
        <v>0</v>
      </c>
      <c r="BY620" s="200">
        <f t="shared" ref="BY620" si="7900">++BX620</f>
        <v>0</v>
      </c>
      <c r="BZ620" s="200">
        <f t="shared" ref="BZ620" si="7901">++BY620</f>
        <v>0</v>
      </c>
      <c r="CA620" s="200">
        <f t="shared" ref="CA620" si="7902">++BZ620</f>
        <v>0</v>
      </c>
      <c r="CB620" s="200">
        <f t="shared" ref="CB620" si="7903">++CA620</f>
        <v>0</v>
      </c>
      <c r="CC620" s="200">
        <f t="shared" ref="CC620" si="7904">++CB620</f>
        <v>0</v>
      </c>
      <c r="CD620" s="200">
        <f t="shared" ref="CD620" si="7905">++CC620</f>
        <v>0</v>
      </c>
      <c r="CE620" s="374">
        <f t="shared" ref="CE620" si="7906">++CD620</f>
        <v>0</v>
      </c>
      <c r="CF620" s="200">
        <f t="shared" si="7805"/>
        <v>0</v>
      </c>
      <c r="CG620" s="200">
        <f t="shared" si="7806"/>
        <v>0</v>
      </c>
      <c r="CH620" s="200">
        <f t="shared" si="7807"/>
        <v>0</v>
      </c>
      <c r="CI620" s="200">
        <f t="shared" si="7808"/>
        <v>0</v>
      </c>
      <c r="CJ620" s="200">
        <f t="shared" si="7809"/>
        <v>0</v>
      </c>
      <c r="CK620" s="200">
        <f t="shared" si="7810"/>
        <v>0</v>
      </c>
      <c r="CL620" s="200">
        <f t="shared" si="7811"/>
        <v>0</v>
      </c>
      <c r="CM620" s="200">
        <f t="shared" si="7812"/>
        <v>0</v>
      </c>
      <c r="CN620" s="200">
        <f t="shared" si="7813"/>
        <v>0</v>
      </c>
      <c r="CO620" s="200">
        <f t="shared" si="7814"/>
        <v>0</v>
      </c>
      <c r="CP620" s="200">
        <f t="shared" si="7815"/>
        <v>0</v>
      </c>
      <c r="CQ620" s="374">
        <f t="shared" si="7816"/>
        <v>0</v>
      </c>
      <c r="CR620" s="200">
        <f t="shared" si="7817"/>
        <v>0</v>
      </c>
      <c r="CS620" s="200">
        <f t="shared" si="7818"/>
        <v>0</v>
      </c>
      <c r="CT620" s="200">
        <f t="shared" si="7819"/>
        <v>0</v>
      </c>
      <c r="CU620" s="200">
        <f t="shared" si="7820"/>
        <v>0</v>
      </c>
      <c r="CV620" s="200">
        <f t="shared" si="7821"/>
        <v>0</v>
      </c>
      <c r="CW620" s="200">
        <f t="shared" si="7822"/>
        <v>0</v>
      </c>
      <c r="CX620" s="200">
        <f t="shared" si="7823"/>
        <v>0</v>
      </c>
      <c r="CY620" s="200">
        <f t="shared" si="7824"/>
        <v>0</v>
      </c>
      <c r="CZ620" s="200">
        <f t="shared" si="7825"/>
        <v>0</v>
      </c>
      <c r="DA620" s="200">
        <f t="shared" si="7826"/>
        <v>0</v>
      </c>
      <c r="DB620" s="200">
        <f t="shared" si="7827"/>
        <v>0</v>
      </c>
      <c r="DC620" s="374">
        <f t="shared" si="7828"/>
        <v>0</v>
      </c>
    </row>
    <row r="621" spans="3:107" x14ac:dyDescent="0.3">
      <c r="C621" s="231" t="s">
        <v>485</v>
      </c>
      <c r="D621" s="191"/>
      <c r="E621" s="191"/>
      <c r="G621" s="198">
        <f>SUM(G616:G620)</f>
        <v>0</v>
      </c>
      <c r="H621" s="380">
        <f t="shared" ref="H621:BS621" si="7907">SUM(H616:H620)</f>
        <v>0</v>
      </c>
      <c r="I621" s="380">
        <f t="shared" si="7907"/>
        <v>0</v>
      </c>
      <c r="J621" s="380">
        <f t="shared" si="7907"/>
        <v>0</v>
      </c>
      <c r="K621" s="198">
        <f t="shared" si="7907"/>
        <v>0</v>
      </c>
      <c r="L621" s="380">
        <f t="shared" si="7907"/>
        <v>0</v>
      </c>
      <c r="M621" s="380">
        <f t="shared" si="7907"/>
        <v>0</v>
      </c>
      <c r="N621" s="380">
        <f t="shared" si="7907"/>
        <v>0</v>
      </c>
      <c r="O621" s="380">
        <f t="shared" si="7907"/>
        <v>0</v>
      </c>
      <c r="P621" s="380">
        <f t="shared" si="7907"/>
        <v>0</v>
      </c>
      <c r="Q621" s="380">
        <f t="shared" si="7907"/>
        <v>0</v>
      </c>
      <c r="R621" s="380">
        <f t="shared" si="7907"/>
        <v>0</v>
      </c>
      <c r="S621" s="380">
        <f t="shared" si="7907"/>
        <v>0</v>
      </c>
      <c r="T621" s="380">
        <f t="shared" si="7907"/>
        <v>0</v>
      </c>
      <c r="U621" s="380">
        <f t="shared" si="7907"/>
        <v>0</v>
      </c>
      <c r="V621" s="380">
        <f t="shared" si="7907"/>
        <v>0</v>
      </c>
      <c r="W621" s="198">
        <f t="shared" si="7907"/>
        <v>0</v>
      </c>
      <c r="X621" s="380">
        <f t="shared" si="7907"/>
        <v>0</v>
      </c>
      <c r="Y621" s="380">
        <f t="shared" ref="Y621" si="7908">SUM(Y616:Y620)</f>
        <v>0</v>
      </c>
      <c r="Z621" s="380">
        <f t="shared" si="7907"/>
        <v>0</v>
      </c>
      <c r="AA621" s="380">
        <f t="shared" si="7907"/>
        <v>0</v>
      </c>
      <c r="AB621" s="380">
        <f t="shared" si="7907"/>
        <v>0</v>
      </c>
      <c r="AC621" s="380">
        <f t="shared" si="7907"/>
        <v>0</v>
      </c>
      <c r="AD621" s="380">
        <f t="shared" si="7907"/>
        <v>0</v>
      </c>
      <c r="AE621" s="380">
        <f t="shared" si="7907"/>
        <v>0</v>
      </c>
      <c r="AF621" s="380">
        <f t="shared" si="7907"/>
        <v>0</v>
      </c>
      <c r="AG621" s="380">
        <f t="shared" si="7907"/>
        <v>0</v>
      </c>
      <c r="AH621" s="380">
        <f t="shared" si="7907"/>
        <v>0</v>
      </c>
      <c r="AI621" s="198">
        <f t="shared" si="7907"/>
        <v>0</v>
      </c>
      <c r="AJ621" s="380">
        <f t="shared" si="7907"/>
        <v>0</v>
      </c>
      <c r="AK621" s="380">
        <f t="shared" si="7907"/>
        <v>0</v>
      </c>
      <c r="AL621" s="380">
        <f t="shared" si="7907"/>
        <v>0</v>
      </c>
      <c r="AM621" s="380">
        <f t="shared" si="7907"/>
        <v>0</v>
      </c>
      <c r="AN621" s="380">
        <f t="shared" si="7907"/>
        <v>0</v>
      </c>
      <c r="AO621" s="380">
        <f t="shared" si="7907"/>
        <v>0</v>
      </c>
      <c r="AP621" s="380">
        <f t="shared" si="7907"/>
        <v>0</v>
      </c>
      <c r="AQ621" s="380">
        <f t="shared" si="7907"/>
        <v>0</v>
      </c>
      <c r="AR621" s="380">
        <f t="shared" si="7907"/>
        <v>0</v>
      </c>
      <c r="AS621" s="380">
        <f t="shared" si="7907"/>
        <v>0</v>
      </c>
      <c r="AT621" s="380">
        <f t="shared" si="7907"/>
        <v>0</v>
      </c>
      <c r="AU621" s="198">
        <f t="shared" si="7907"/>
        <v>0</v>
      </c>
      <c r="AV621" s="380">
        <f t="shared" si="7907"/>
        <v>0</v>
      </c>
      <c r="AW621" s="380">
        <f t="shared" si="7907"/>
        <v>0</v>
      </c>
      <c r="AX621" s="380">
        <f t="shared" si="7907"/>
        <v>0</v>
      </c>
      <c r="AY621" s="380">
        <f t="shared" si="7907"/>
        <v>0</v>
      </c>
      <c r="AZ621" s="380">
        <f t="shared" si="7907"/>
        <v>0</v>
      </c>
      <c r="BA621" s="380">
        <f t="shared" si="7907"/>
        <v>0</v>
      </c>
      <c r="BB621" s="380">
        <f t="shared" si="7907"/>
        <v>0</v>
      </c>
      <c r="BC621" s="380">
        <f t="shared" si="7907"/>
        <v>0</v>
      </c>
      <c r="BD621" s="380">
        <f t="shared" si="7907"/>
        <v>0</v>
      </c>
      <c r="BE621" s="380">
        <f t="shared" si="7907"/>
        <v>0</v>
      </c>
      <c r="BF621" s="380">
        <f t="shared" si="7907"/>
        <v>0</v>
      </c>
      <c r="BG621" s="198">
        <f t="shared" si="7907"/>
        <v>0</v>
      </c>
      <c r="BH621" s="380">
        <f t="shared" si="7907"/>
        <v>0</v>
      </c>
      <c r="BI621" s="380">
        <f t="shared" si="7907"/>
        <v>0</v>
      </c>
      <c r="BJ621" s="380">
        <f t="shared" si="7907"/>
        <v>0</v>
      </c>
      <c r="BK621" s="380">
        <f t="shared" si="7907"/>
        <v>0</v>
      </c>
      <c r="BL621" s="380">
        <f t="shared" si="7907"/>
        <v>0</v>
      </c>
      <c r="BM621" s="380">
        <f t="shared" si="7907"/>
        <v>0</v>
      </c>
      <c r="BN621" s="380">
        <f t="shared" si="7907"/>
        <v>0</v>
      </c>
      <c r="BO621" s="380">
        <f t="shared" si="7907"/>
        <v>0</v>
      </c>
      <c r="BP621" s="380">
        <f t="shared" si="7907"/>
        <v>0</v>
      </c>
      <c r="BQ621" s="380">
        <f t="shared" si="7907"/>
        <v>0</v>
      </c>
      <c r="BR621" s="380">
        <f t="shared" si="7907"/>
        <v>0</v>
      </c>
      <c r="BS621" s="198">
        <f t="shared" si="7907"/>
        <v>0</v>
      </c>
      <c r="BT621" s="380">
        <f t="shared" ref="BT621:CE621" si="7909">SUM(BT616:BT620)</f>
        <v>0</v>
      </c>
      <c r="BU621" s="380">
        <f t="shared" si="7909"/>
        <v>0</v>
      </c>
      <c r="BV621" s="380">
        <f t="shared" si="7909"/>
        <v>0</v>
      </c>
      <c r="BW621" s="380">
        <f t="shared" si="7909"/>
        <v>0</v>
      </c>
      <c r="BX621" s="380">
        <f t="shared" si="7909"/>
        <v>0</v>
      </c>
      <c r="BY621" s="380">
        <f t="shared" si="7909"/>
        <v>0</v>
      </c>
      <c r="BZ621" s="380">
        <f t="shared" si="7909"/>
        <v>0</v>
      </c>
      <c r="CA621" s="380">
        <f t="shared" si="7909"/>
        <v>0</v>
      </c>
      <c r="CB621" s="380">
        <f t="shared" si="7909"/>
        <v>0</v>
      </c>
      <c r="CC621" s="380">
        <f t="shared" si="7909"/>
        <v>0</v>
      </c>
      <c r="CD621" s="380">
        <f t="shared" si="7909"/>
        <v>0</v>
      </c>
      <c r="CE621" s="198">
        <f t="shared" si="7909"/>
        <v>0</v>
      </c>
      <c r="CF621" s="380">
        <f t="shared" ref="CF621:DC621" si="7910">SUM(CF616:CF620)</f>
        <v>0</v>
      </c>
      <c r="CG621" s="380">
        <f t="shared" si="7910"/>
        <v>0</v>
      </c>
      <c r="CH621" s="380">
        <f t="shared" si="7910"/>
        <v>0</v>
      </c>
      <c r="CI621" s="380">
        <f t="shared" si="7910"/>
        <v>0</v>
      </c>
      <c r="CJ621" s="380">
        <f t="shared" si="7910"/>
        <v>0</v>
      </c>
      <c r="CK621" s="380">
        <f t="shared" si="7910"/>
        <v>0</v>
      </c>
      <c r="CL621" s="380">
        <f t="shared" si="7910"/>
        <v>0</v>
      </c>
      <c r="CM621" s="380">
        <f t="shared" si="7910"/>
        <v>0</v>
      </c>
      <c r="CN621" s="380">
        <f t="shared" si="7910"/>
        <v>0</v>
      </c>
      <c r="CO621" s="380">
        <f t="shared" si="7910"/>
        <v>0</v>
      </c>
      <c r="CP621" s="380">
        <f t="shared" si="7910"/>
        <v>0</v>
      </c>
      <c r="CQ621" s="198">
        <f t="shared" si="7910"/>
        <v>0</v>
      </c>
      <c r="CR621" s="380">
        <f t="shared" si="7910"/>
        <v>0</v>
      </c>
      <c r="CS621" s="380">
        <f t="shared" si="7910"/>
        <v>0</v>
      </c>
      <c r="CT621" s="380">
        <f t="shared" si="7910"/>
        <v>0</v>
      </c>
      <c r="CU621" s="380">
        <f t="shared" si="7910"/>
        <v>0</v>
      </c>
      <c r="CV621" s="380">
        <f t="shared" si="7910"/>
        <v>0</v>
      </c>
      <c r="CW621" s="380">
        <f t="shared" si="7910"/>
        <v>0</v>
      </c>
      <c r="CX621" s="380">
        <f t="shared" si="7910"/>
        <v>0</v>
      </c>
      <c r="CY621" s="380">
        <f t="shared" si="7910"/>
        <v>0</v>
      </c>
      <c r="CZ621" s="380">
        <f t="shared" si="7910"/>
        <v>0</v>
      </c>
      <c r="DA621" s="380">
        <f t="shared" si="7910"/>
        <v>0</v>
      </c>
      <c r="DB621" s="380">
        <f t="shared" si="7910"/>
        <v>0</v>
      </c>
      <c r="DC621" s="198">
        <f t="shared" si="7910"/>
        <v>0</v>
      </c>
    </row>
    <row r="622" spans="3:107" x14ac:dyDescent="0.3">
      <c r="G622" s="203"/>
      <c r="K622" s="203"/>
      <c r="W622" s="203"/>
      <c r="AI622" s="203"/>
      <c r="AU622" s="203"/>
      <c r="BG622" s="203"/>
      <c r="BS622" s="203"/>
      <c r="CE622" s="203"/>
      <c r="CQ622" s="203"/>
      <c r="DC622" s="203"/>
    </row>
    <row r="623" spans="3:107" x14ac:dyDescent="0.3">
      <c r="C623" s="342" t="str">
        <f>++'Trade Ticket Input'!C$338</f>
        <v>Preferred Equity</v>
      </c>
      <c r="G623" s="126">
        <v>0</v>
      </c>
      <c r="H623" s="200">
        <f t="shared" ref="H623:AM623" si="7911">++G623</f>
        <v>0</v>
      </c>
      <c r="I623" s="200">
        <f t="shared" si="7911"/>
        <v>0</v>
      </c>
      <c r="J623" s="200">
        <f t="shared" si="7911"/>
        <v>0</v>
      </c>
      <c r="K623" s="374">
        <f t="shared" si="7911"/>
        <v>0</v>
      </c>
      <c r="L623" s="200">
        <f t="shared" si="7911"/>
        <v>0</v>
      </c>
      <c r="M623" s="200">
        <f t="shared" si="7911"/>
        <v>0</v>
      </c>
      <c r="N623" s="200">
        <f t="shared" si="7911"/>
        <v>0</v>
      </c>
      <c r="O623" s="200">
        <f t="shared" si="7911"/>
        <v>0</v>
      </c>
      <c r="P623" s="200">
        <f t="shared" si="7911"/>
        <v>0</v>
      </c>
      <c r="Q623" s="200">
        <f t="shared" si="7911"/>
        <v>0</v>
      </c>
      <c r="R623" s="200">
        <f t="shared" si="7911"/>
        <v>0</v>
      </c>
      <c r="S623" s="200">
        <f t="shared" si="7911"/>
        <v>0</v>
      </c>
      <c r="T623" s="200">
        <f t="shared" si="7911"/>
        <v>0</v>
      </c>
      <c r="U623" s="200">
        <f t="shared" si="7911"/>
        <v>0</v>
      </c>
      <c r="V623" s="200">
        <f t="shared" si="7911"/>
        <v>0</v>
      </c>
      <c r="W623" s="374">
        <f t="shared" si="7911"/>
        <v>0</v>
      </c>
      <c r="X623" s="200">
        <f t="shared" si="7911"/>
        <v>0</v>
      </c>
      <c r="Y623" s="200">
        <f t="shared" ref="Y623:Y625" si="7912">++X623</f>
        <v>0</v>
      </c>
      <c r="Z623" s="200">
        <f t="shared" si="7911"/>
        <v>0</v>
      </c>
      <c r="AA623" s="200">
        <f t="shared" si="7911"/>
        <v>0</v>
      </c>
      <c r="AB623" s="200">
        <f t="shared" si="7911"/>
        <v>0</v>
      </c>
      <c r="AC623" s="200">
        <f t="shared" si="7911"/>
        <v>0</v>
      </c>
      <c r="AD623" s="200">
        <f t="shared" si="7911"/>
        <v>0</v>
      </c>
      <c r="AE623" s="200">
        <f t="shared" si="7911"/>
        <v>0</v>
      </c>
      <c r="AF623" s="200">
        <f t="shared" si="7911"/>
        <v>0</v>
      </c>
      <c r="AG623" s="200">
        <f t="shared" si="7911"/>
        <v>0</v>
      </c>
      <c r="AH623" s="200">
        <f t="shared" si="7911"/>
        <v>0</v>
      </c>
      <c r="AI623" s="374">
        <f t="shared" si="7911"/>
        <v>0</v>
      </c>
      <c r="AJ623" s="200">
        <f t="shared" si="7911"/>
        <v>0</v>
      </c>
      <c r="AK623" s="200">
        <f t="shared" si="7911"/>
        <v>0</v>
      </c>
      <c r="AL623" s="200">
        <f t="shared" si="7911"/>
        <v>0</v>
      </c>
      <c r="AM623" s="200">
        <f t="shared" si="7911"/>
        <v>0</v>
      </c>
      <c r="AN623" s="200">
        <f t="shared" ref="AN623:BS623" si="7913">++AM623</f>
        <v>0</v>
      </c>
      <c r="AO623" s="200">
        <f t="shared" si="7913"/>
        <v>0</v>
      </c>
      <c r="AP623" s="200">
        <f t="shared" si="7913"/>
        <v>0</v>
      </c>
      <c r="AQ623" s="200">
        <f t="shared" si="7913"/>
        <v>0</v>
      </c>
      <c r="AR623" s="200">
        <f t="shared" si="7913"/>
        <v>0</v>
      </c>
      <c r="AS623" s="200">
        <f t="shared" si="7913"/>
        <v>0</v>
      </c>
      <c r="AT623" s="200">
        <f t="shared" si="7913"/>
        <v>0</v>
      </c>
      <c r="AU623" s="374">
        <f t="shared" si="7913"/>
        <v>0</v>
      </c>
      <c r="AV623" s="200">
        <f t="shared" si="7913"/>
        <v>0</v>
      </c>
      <c r="AW623" s="200">
        <f t="shared" si="7913"/>
        <v>0</v>
      </c>
      <c r="AX623" s="200">
        <f t="shared" si="7913"/>
        <v>0</v>
      </c>
      <c r="AY623" s="200">
        <f t="shared" si="7913"/>
        <v>0</v>
      </c>
      <c r="AZ623" s="200">
        <f t="shared" si="7913"/>
        <v>0</v>
      </c>
      <c r="BA623" s="200">
        <f t="shared" si="7913"/>
        <v>0</v>
      </c>
      <c r="BB623" s="200">
        <f t="shared" si="7913"/>
        <v>0</v>
      </c>
      <c r="BC623" s="200">
        <f t="shared" si="7913"/>
        <v>0</v>
      </c>
      <c r="BD623" s="200">
        <f t="shared" si="7913"/>
        <v>0</v>
      </c>
      <c r="BE623" s="200">
        <f t="shared" si="7913"/>
        <v>0</v>
      </c>
      <c r="BF623" s="200">
        <f t="shared" si="7913"/>
        <v>0</v>
      </c>
      <c r="BG623" s="374">
        <f t="shared" si="7913"/>
        <v>0</v>
      </c>
      <c r="BH623" s="200">
        <f t="shared" si="7913"/>
        <v>0</v>
      </c>
      <c r="BI623" s="200">
        <f t="shared" si="7913"/>
        <v>0</v>
      </c>
      <c r="BJ623" s="200">
        <f t="shared" si="7913"/>
        <v>0</v>
      </c>
      <c r="BK623" s="200">
        <f t="shared" si="7913"/>
        <v>0</v>
      </c>
      <c r="BL623" s="200">
        <f t="shared" si="7913"/>
        <v>0</v>
      </c>
      <c r="BM623" s="200">
        <f t="shared" si="7913"/>
        <v>0</v>
      </c>
      <c r="BN623" s="200">
        <f t="shared" si="7913"/>
        <v>0</v>
      </c>
      <c r="BO623" s="200">
        <f t="shared" si="7913"/>
        <v>0</v>
      </c>
      <c r="BP623" s="200">
        <f t="shared" si="7913"/>
        <v>0</v>
      </c>
      <c r="BQ623" s="200">
        <f t="shared" si="7913"/>
        <v>0</v>
      </c>
      <c r="BR623" s="200">
        <f t="shared" si="7913"/>
        <v>0</v>
      </c>
      <c r="BS623" s="374">
        <f t="shared" si="7913"/>
        <v>0</v>
      </c>
      <c r="BT623" s="200">
        <f t="shared" ref="BT623:CE623" si="7914">++BS623</f>
        <v>0</v>
      </c>
      <c r="BU623" s="200">
        <f t="shared" si="7914"/>
        <v>0</v>
      </c>
      <c r="BV623" s="200">
        <f t="shared" si="7914"/>
        <v>0</v>
      </c>
      <c r="BW623" s="200">
        <f t="shared" si="7914"/>
        <v>0</v>
      </c>
      <c r="BX623" s="200">
        <f t="shared" si="7914"/>
        <v>0</v>
      </c>
      <c r="BY623" s="200">
        <f t="shared" si="7914"/>
        <v>0</v>
      </c>
      <c r="BZ623" s="200">
        <f t="shared" si="7914"/>
        <v>0</v>
      </c>
      <c r="CA623" s="200">
        <f t="shared" si="7914"/>
        <v>0</v>
      </c>
      <c r="CB623" s="200">
        <f t="shared" si="7914"/>
        <v>0</v>
      </c>
      <c r="CC623" s="200">
        <f t="shared" si="7914"/>
        <v>0</v>
      </c>
      <c r="CD623" s="200">
        <f t="shared" si="7914"/>
        <v>0</v>
      </c>
      <c r="CE623" s="374">
        <f t="shared" si="7914"/>
        <v>0</v>
      </c>
      <c r="CF623" s="200">
        <f t="shared" ref="CF623:CF625" si="7915">++CE623</f>
        <v>0</v>
      </c>
      <c r="CG623" s="200">
        <f t="shared" ref="CG623:CG625" si="7916">++CF623</f>
        <v>0</v>
      </c>
      <c r="CH623" s="200">
        <f t="shared" ref="CH623:CH625" si="7917">++CG623</f>
        <v>0</v>
      </c>
      <c r="CI623" s="200">
        <f t="shared" ref="CI623:CI625" si="7918">++CH623</f>
        <v>0</v>
      </c>
      <c r="CJ623" s="200">
        <f t="shared" ref="CJ623:CJ625" si="7919">++CI623</f>
        <v>0</v>
      </c>
      <c r="CK623" s="200">
        <f t="shared" ref="CK623:CK625" si="7920">++CJ623</f>
        <v>0</v>
      </c>
      <c r="CL623" s="200">
        <f t="shared" ref="CL623:CL625" si="7921">++CK623</f>
        <v>0</v>
      </c>
      <c r="CM623" s="200">
        <f t="shared" ref="CM623:CM625" si="7922">++CL623</f>
        <v>0</v>
      </c>
      <c r="CN623" s="200">
        <f t="shared" ref="CN623:CN625" si="7923">++CM623</f>
        <v>0</v>
      </c>
      <c r="CO623" s="200">
        <f t="shared" ref="CO623:CO625" si="7924">++CN623</f>
        <v>0</v>
      </c>
      <c r="CP623" s="200">
        <f t="shared" ref="CP623:CP625" si="7925">++CO623</f>
        <v>0</v>
      </c>
      <c r="CQ623" s="374">
        <f t="shared" ref="CQ623:CQ625" si="7926">++CP623</f>
        <v>0</v>
      </c>
      <c r="CR623" s="200">
        <f t="shared" ref="CR623:CR625" si="7927">++CQ623</f>
        <v>0</v>
      </c>
      <c r="CS623" s="200">
        <f t="shared" ref="CS623:CS625" si="7928">++CR623</f>
        <v>0</v>
      </c>
      <c r="CT623" s="200">
        <f t="shared" ref="CT623:CT625" si="7929">++CS623</f>
        <v>0</v>
      </c>
      <c r="CU623" s="200">
        <f t="shared" ref="CU623:CU625" si="7930">++CT623</f>
        <v>0</v>
      </c>
      <c r="CV623" s="200">
        <f t="shared" ref="CV623:CV625" si="7931">++CU623</f>
        <v>0</v>
      </c>
      <c r="CW623" s="200">
        <f t="shared" ref="CW623:CW625" si="7932">++CV623</f>
        <v>0</v>
      </c>
      <c r="CX623" s="200">
        <f t="shared" ref="CX623:CX625" si="7933">++CW623</f>
        <v>0</v>
      </c>
      <c r="CY623" s="200">
        <f t="shared" ref="CY623:CY625" si="7934">++CX623</f>
        <v>0</v>
      </c>
      <c r="CZ623" s="200">
        <f t="shared" ref="CZ623:CZ625" si="7935">++CY623</f>
        <v>0</v>
      </c>
      <c r="DA623" s="200">
        <f t="shared" ref="DA623:DA625" si="7936">++CZ623</f>
        <v>0</v>
      </c>
      <c r="DB623" s="200">
        <f t="shared" ref="DB623:DB625" si="7937">++DA623</f>
        <v>0</v>
      </c>
      <c r="DC623" s="374">
        <f t="shared" ref="DC623:DC625" si="7938">++DB623</f>
        <v>0</v>
      </c>
    </row>
    <row r="624" spans="3:107" x14ac:dyDescent="0.3">
      <c r="C624" s="342" t="str">
        <f>++'Trade Ticket Input'!C$368&amp;" (Cash)"</f>
        <v>Common Equity (Cash)</v>
      </c>
      <c r="G624" s="127">
        <v>0</v>
      </c>
      <c r="H624" s="200">
        <f t="shared" ref="H624:AM624" si="7939">++G624</f>
        <v>0</v>
      </c>
      <c r="I624" s="200">
        <f t="shared" si="7939"/>
        <v>0</v>
      </c>
      <c r="J624" s="200">
        <f t="shared" si="7939"/>
        <v>0</v>
      </c>
      <c r="K624" s="374">
        <f t="shared" si="7939"/>
        <v>0</v>
      </c>
      <c r="L624" s="200">
        <f t="shared" si="7939"/>
        <v>0</v>
      </c>
      <c r="M624" s="200">
        <f t="shared" si="7939"/>
        <v>0</v>
      </c>
      <c r="N624" s="200">
        <f t="shared" si="7939"/>
        <v>0</v>
      </c>
      <c r="O624" s="200">
        <f t="shared" si="7939"/>
        <v>0</v>
      </c>
      <c r="P624" s="200">
        <f t="shared" si="7939"/>
        <v>0</v>
      </c>
      <c r="Q624" s="200">
        <f t="shared" si="7939"/>
        <v>0</v>
      </c>
      <c r="R624" s="200">
        <f t="shared" si="7939"/>
        <v>0</v>
      </c>
      <c r="S624" s="200">
        <f t="shared" si="7939"/>
        <v>0</v>
      </c>
      <c r="T624" s="200">
        <f t="shared" si="7939"/>
        <v>0</v>
      </c>
      <c r="U624" s="200">
        <f t="shared" si="7939"/>
        <v>0</v>
      </c>
      <c r="V624" s="200">
        <f t="shared" si="7939"/>
        <v>0</v>
      </c>
      <c r="W624" s="374">
        <f t="shared" si="7939"/>
        <v>0</v>
      </c>
      <c r="X624" s="200">
        <f t="shared" si="7939"/>
        <v>0</v>
      </c>
      <c r="Y624" s="200">
        <f t="shared" si="7912"/>
        <v>0</v>
      </c>
      <c r="Z624" s="200">
        <f t="shared" si="7939"/>
        <v>0</v>
      </c>
      <c r="AA624" s="200">
        <f t="shared" si="7939"/>
        <v>0</v>
      </c>
      <c r="AB624" s="200">
        <f t="shared" si="7939"/>
        <v>0</v>
      </c>
      <c r="AC624" s="200">
        <f t="shared" si="7939"/>
        <v>0</v>
      </c>
      <c r="AD624" s="200">
        <f t="shared" si="7939"/>
        <v>0</v>
      </c>
      <c r="AE624" s="200">
        <f t="shared" si="7939"/>
        <v>0</v>
      </c>
      <c r="AF624" s="200">
        <f t="shared" si="7939"/>
        <v>0</v>
      </c>
      <c r="AG624" s="200">
        <f t="shared" si="7939"/>
        <v>0</v>
      </c>
      <c r="AH624" s="200">
        <f t="shared" si="7939"/>
        <v>0</v>
      </c>
      <c r="AI624" s="374">
        <f t="shared" si="7939"/>
        <v>0</v>
      </c>
      <c r="AJ624" s="200">
        <f t="shared" si="7939"/>
        <v>0</v>
      </c>
      <c r="AK624" s="200">
        <f t="shared" si="7939"/>
        <v>0</v>
      </c>
      <c r="AL624" s="200">
        <f t="shared" si="7939"/>
        <v>0</v>
      </c>
      <c r="AM624" s="200">
        <f t="shared" si="7939"/>
        <v>0</v>
      </c>
      <c r="AN624" s="200">
        <f t="shared" ref="AN624:BS624" si="7940">++AM624</f>
        <v>0</v>
      </c>
      <c r="AO624" s="200">
        <f t="shared" si="7940"/>
        <v>0</v>
      </c>
      <c r="AP624" s="200">
        <f t="shared" si="7940"/>
        <v>0</v>
      </c>
      <c r="AQ624" s="200">
        <f t="shared" si="7940"/>
        <v>0</v>
      </c>
      <c r="AR624" s="200">
        <f t="shared" si="7940"/>
        <v>0</v>
      </c>
      <c r="AS624" s="200">
        <f t="shared" si="7940"/>
        <v>0</v>
      </c>
      <c r="AT624" s="200">
        <f t="shared" si="7940"/>
        <v>0</v>
      </c>
      <c r="AU624" s="374">
        <f t="shared" si="7940"/>
        <v>0</v>
      </c>
      <c r="AV624" s="200">
        <f t="shared" si="7940"/>
        <v>0</v>
      </c>
      <c r="AW624" s="200">
        <f t="shared" si="7940"/>
        <v>0</v>
      </c>
      <c r="AX624" s="200">
        <f t="shared" si="7940"/>
        <v>0</v>
      </c>
      <c r="AY624" s="200">
        <f t="shared" si="7940"/>
        <v>0</v>
      </c>
      <c r="AZ624" s="200">
        <f t="shared" si="7940"/>
        <v>0</v>
      </c>
      <c r="BA624" s="200">
        <f t="shared" si="7940"/>
        <v>0</v>
      </c>
      <c r="BB624" s="200">
        <f t="shared" si="7940"/>
        <v>0</v>
      </c>
      <c r="BC624" s="200">
        <f t="shared" si="7940"/>
        <v>0</v>
      </c>
      <c r="BD624" s="200">
        <f t="shared" si="7940"/>
        <v>0</v>
      </c>
      <c r="BE624" s="200">
        <f t="shared" si="7940"/>
        <v>0</v>
      </c>
      <c r="BF624" s="200">
        <f t="shared" si="7940"/>
        <v>0</v>
      </c>
      <c r="BG624" s="374">
        <f t="shared" si="7940"/>
        <v>0</v>
      </c>
      <c r="BH624" s="200">
        <f t="shared" si="7940"/>
        <v>0</v>
      </c>
      <c r="BI624" s="200">
        <f t="shared" si="7940"/>
        <v>0</v>
      </c>
      <c r="BJ624" s="200">
        <f t="shared" si="7940"/>
        <v>0</v>
      </c>
      <c r="BK624" s="200">
        <f t="shared" si="7940"/>
        <v>0</v>
      </c>
      <c r="BL624" s="200">
        <f t="shared" si="7940"/>
        <v>0</v>
      </c>
      <c r="BM624" s="200">
        <f t="shared" si="7940"/>
        <v>0</v>
      </c>
      <c r="BN624" s="200">
        <f t="shared" si="7940"/>
        <v>0</v>
      </c>
      <c r="BO624" s="200">
        <f t="shared" si="7940"/>
        <v>0</v>
      </c>
      <c r="BP624" s="200">
        <f t="shared" si="7940"/>
        <v>0</v>
      </c>
      <c r="BQ624" s="200">
        <f t="shared" si="7940"/>
        <v>0</v>
      </c>
      <c r="BR624" s="200">
        <f t="shared" si="7940"/>
        <v>0</v>
      </c>
      <c r="BS624" s="374">
        <f t="shared" si="7940"/>
        <v>0</v>
      </c>
      <c r="BT624" s="200">
        <f t="shared" ref="BT624:CE624" si="7941">++BS624</f>
        <v>0</v>
      </c>
      <c r="BU624" s="200">
        <f t="shared" si="7941"/>
        <v>0</v>
      </c>
      <c r="BV624" s="200">
        <f t="shared" si="7941"/>
        <v>0</v>
      </c>
      <c r="BW624" s="200">
        <f t="shared" si="7941"/>
        <v>0</v>
      </c>
      <c r="BX624" s="200">
        <f t="shared" si="7941"/>
        <v>0</v>
      </c>
      <c r="BY624" s="200">
        <f t="shared" si="7941"/>
        <v>0</v>
      </c>
      <c r="BZ624" s="200">
        <f t="shared" si="7941"/>
        <v>0</v>
      </c>
      <c r="CA624" s="200">
        <f t="shared" si="7941"/>
        <v>0</v>
      </c>
      <c r="CB624" s="200">
        <f t="shared" si="7941"/>
        <v>0</v>
      </c>
      <c r="CC624" s="200">
        <f t="shared" si="7941"/>
        <v>0</v>
      </c>
      <c r="CD624" s="200">
        <f t="shared" si="7941"/>
        <v>0</v>
      </c>
      <c r="CE624" s="374">
        <f t="shared" si="7941"/>
        <v>0</v>
      </c>
      <c r="CF624" s="200">
        <f t="shared" si="7915"/>
        <v>0</v>
      </c>
      <c r="CG624" s="200">
        <f t="shared" si="7916"/>
        <v>0</v>
      </c>
      <c r="CH624" s="200">
        <f t="shared" si="7917"/>
        <v>0</v>
      </c>
      <c r="CI624" s="200">
        <f t="shared" si="7918"/>
        <v>0</v>
      </c>
      <c r="CJ624" s="200">
        <f t="shared" si="7919"/>
        <v>0</v>
      </c>
      <c r="CK624" s="200">
        <f t="shared" si="7920"/>
        <v>0</v>
      </c>
      <c r="CL624" s="200">
        <f t="shared" si="7921"/>
        <v>0</v>
      </c>
      <c r="CM624" s="200">
        <f t="shared" si="7922"/>
        <v>0</v>
      </c>
      <c r="CN624" s="200">
        <f t="shared" si="7923"/>
        <v>0</v>
      </c>
      <c r="CO624" s="200">
        <f t="shared" si="7924"/>
        <v>0</v>
      </c>
      <c r="CP624" s="200">
        <f t="shared" si="7925"/>
        <v>0</v>
      </c>
      <c r="CQ624" s="374">
        <f t="shared" si="7926"/>
        <v>0</v>
      </c>
      <c r="CR624" s="200">
        <f t="shared" si="7927"/>
        <v>0</v>
      </c>
      <c r="CS624" s="200">
        <f t="shared" si="7928"/>
        <v>0</v>
      </c>
      <c r="CT624" s="200">
        <f t="shared" si="7929"/>
        <v>0</v>
      </c>
      <c r="CU624" s="200">
        <f t="shared" si="7930"/>
        <v>0</v>
      </c>
      <c r="CV624" s="200">
        <f t="shared" si="7931"/>
        <v>0</v>
      </c>
      <c r="CW624" s="200">
        <f t="shared" si="7932"/>
        <v>0</v>
      </c>
      <c r="CX624" s="200">
        <f t="shared" si="7933"/>
        <v>0</v>
      </c>
      <c r="CY624" s="200">
        <f t="shared" si="7934"/>
        <v>0</v>
      </c>
      <c r="CZ624" s="200">
        <f t="shared" si="7935"/>
        <v>0</v>
      </c>
      <c r="DA624" s="200">
        <f t="shared" si="7936"/>
        <v>0</v>
      </c>
      <c r="DB624" s="200">
        <f t="shared" si="7937"/>
        <v>0</v>
      </c>
      <c r="DC624" s="374">
        <f t="shared" si="7938"/>
        <v>0</v>
      </c>
    </row>
    <row r="625" spans="3:107" x14ac:dyDescent="0.3">
      <c r="C625" s="101" t="s">
        <v>58</v>
      </c>
      <c r="G625" s="127">
        <v>0</v>
      </c>
      <c r="H625" s="200">
        <f t="shared" ref="H625:AM625" si="7942">++G625</f>
        <v>0</v>
      </c>
      <c r="I625" s="200">
        <f t="shared" si="7942"/>
        <v>0</v>
      </c>
      <c r="J625" s="200">
        <f t="shared" si="7942"/>
        <v>0</v>
      </c>
      <c r="K625" s="374">
        <f t="shared" si="7942"/>
        <v>0</v>
      </c>
      <c r="L625" s="200">
        <f t="shared" si="7942"/>
        <v>0</v>
      </c>
      <c r="M625" s="200">
        <f t="shared" si="7942"/>
        <v>0</v>
      </c>
      <c r="N625" s="200">
        <f t="shared" si="7942"/>
        <v>0</v>
      </c>
      <c r="O625" s="200">
        <f t="shared" si="7942"/>
        <v>0</v>
      </c>
      <c r="P625" s="200">
        <f t="shared" si="7942"/>
        <v>0</v>
      </c>
      <c r="Q625" s="200">
        <f t="shared" si="7942"/>
        <v>0</v>
      </c>
      <c r="R625" s="200">
        <f t="shared" si="7942"/>
        <v>0</v>
      </c>
      <c r="S625" s="200">
        <f t="shared" si="7942"/>
        <v>0</v>
      </c>
      <c r="T625" s="200">
        <f t="shared" si="7942"/>
        <v>0</v>
      </c>
      <c r="U625" s="200">
        <f t="shared" si="7942"/>
        <v>0</v>
      </c>
      <c r="V625" s="200">
        <f t="shared" si="7942"/>
        <v>0</v>
      </c>
      <c r="W625" s="374">
        <f t="shared" si="7942"/>
        <v>0</v>
      </c>
      <c r="X625" s="200">
        <f t="shared" si="7942"/>
        <v>0</v>
      </c>
      <c r="Y625" s="200">
        <f t="shared" si="7912"/>
        <v>0</v>
      </c>
      <c r="Z625" s="200">
        <f t="shared" si="7942"/>
        <v>0</v>
      </c>
      <c r="AA625" s="200">
        <f t="shared" si="7942"/>
        <v>0</v>
      </c>
      <c r="AB625" s="200">
        <f t="shared" si="7942"/>
        <v>0</v>
      </c>
      <c r="AC625" s="200">
        <f t="shared" si="7942"/>
        <v>0</v>
      </c>
      <c r="AD625" s="200">
        <f t="shared" si="7942"/>
        <v>0</v>
      </c>
      <c r="AE625" s="200">
        <f t="shared" si="7942"/>
        <v>0</v>
      </c>
      <c r="AF625" s="200">
        <f t="shared" si="7942"/>
        <v>0</v>
      </c>
      <c r="AG625" s="200">
        <f t="shared" si="7942"/>
        <v>0</v>
      </c>
      <c r="AH625" s="200">
        <f t="shared" si="7942"/>
        <v>0</v>
      </c>
      <c r="AI625" s="374">
        <f t="shared" si="7942"/>
        <v>0</v>
      </c>
      <c r="AJ625" s="200">
        <f t="shared" si="7942"/>
        <v>0</v>
      </c>
      <c r="AK625" s="200">
        <f t="shared" si="7942"/>
        <v>0</v>
      </c>
      <c r="AL625" s="200">
        <f t="shared" si="7942"/>
        <v>0</v>
      </c>
      <c r="AM625" s="200">
        <f t="shared" si="7942"/>
        <v>0</v>
      </c>
      <c r="AN625" s="200">
        <f t="shared" ref="AN625:BS625" si="7943">++AM625</f>
        <v>0</v>
      </c>
      <c r="AO625" s="200">
        <f t="shared" si="7943"/>
        <v>0</v>
      </c>
      <c r="AP625" s="200">
        <f t="shared" si="7943"/>
        <v>0</v>
      </c>
      <c r="AQ625" s="200">
        <f t="shared" si="7943"/>
        <v>0</v>
      </c>
      <c r="AR625" s="200">
        <f t="shared" si="7943"/>
        <v>0</v>
      </c>
      <c r="AS625" s="200">
        <f t="shared" si="7943"/>
        <v>0</v>
      </c>
      <c r="AT625" s="200">
        <f t="shared" si="7943"/>
        <v>0</v>
      </c>
      <c r="AU625" s="374">
        <f t="shared" si="7943"/>
        <v>0</v>
      </c>
      <c r="AV625" s="200">
        <f t="shared" si="7943"/>
        <v>0</v>
      </c>
      <c r="AW625" s="200">
        <f t="shared" si="7943"/>
        <v>0</v>
      </c>
      <c r="AX625" s="200">
        <f t="shared" si="7943"/>
        <v>0</v>
      </c>
      <c r="AY625" s="200">
        <f t="shared" si="7943"/>
        <v>0</v>
      </c>
      <c r="AZ625" s="200">
        <f t="shared" si="7943"/>
        <v>0</v>
      </c>
      <c r="BA625" s="200">
        <f t="shared" si="7943"/>
        <v>0</v>
      </c>
      <c r="BB625" s="200">
        <f t="shared" si="7943"/>
        <v>0</v>
      </c>
      <c r="BC625" s="200">
        <f t="shared" si="7943"/>
        <v>0</v>
      </c>
      <c r="BD625" s="200">
        <f t="shared" si="7943"/>
        <v>0</v>
      </c>
      <c r="BE625" s="200">
        <f t="shared" si="7943"/>
        <v>0</v>
      </c>
      <c r="BF625" s="200">
        <f t="shared" si="7943"/>
        <v>0</v>
      </c>
      <c r="BG625" s="374">
        <f t="shared" si="7943"/>
        <v>0</v>
      </c>
      <c r="BH625" s="200">
        <f t="shared" si="7943"/>
        <v>0</v>
      </c>
      <c r="BI625" s="200">
        <f t="shared" si="7943"/>
        <v>0</v>
      </c>
      <c r="BJ625" s="200">
        <f t="shared" si="7943"/>
        <v>0</v>
      </c>
      <c r="BK625" s="200">
        <f t="shared" si="7943"/>
        <v>0</v>
      </c>
      <c r="BL625" s="200">
        <f t="shared" si="7943"/>
        <v>0</v>
      </c>
      <c r="BM625" s="200">
        <f t="shared" si="7943"/>
        <v>0</v>
      </c>
      <c r="BN625" s="200">
        <f t="shared" si="7943"/>
        <v>0</v>
      </c>
      <c r="BO625" s="200">
        <f t="shared" si="7943"/>
        <v>0</v>
      </c>
      <c r="BP625" s="200">
        <f t="shared" si="7943"/>
        <v>0</v>
      </c>
      <c r="BQ625" s="200">
        <f t="shared" si="7943"/>
        <v>0</v>
      </c>
      <c r="BR625" s="200">
        <f t="shared" si="7943"/>
        <v>0</v>
      </c>
      <c r="BS625" s="374">
        <f t="shared" si="7943"/>
        <v>0</v>
      </c>
      <c r="BT625" s="200">
        <f t="shared" ref="BT625:CE625" si="7944">++BS625</f>
        <v>0</v>
      </c>
      <c r="BU625" s="200">
        <f t="shared" si="7944"/>
        <v>0</v>
      </c>
      <c r="BV625" s="200">
        <f t="shared" si="7944"/>
        <v>0</v>
      </c>
      <c r="BW625" s="200">
        <f t="shared" si="7944"/>
        <v>0</v>
      </c>
      <c r="BX625" s="200">
        <f t="shared" si="7944"/>
        <v>0</v>
      </c>
      <c r="BY625" s="200">
        <f t="shared" si="7944"/>
        <v>0</v>
      </c>
      <c r="BZ625" s="200">
        <f t="shared" si="7944"/>
        <v>0</v>
      </c>
      <c r="CA625" s="200">
        <f t="shared" si="7944"/>
        <v>0</v>
      </c>
      <c r="CB625" s="200">
        <f t="shared" si="7944"/>
        <v>0</v>
      </c>
      <c r="CC625" s="200">
        <f t="shared" si="7944"/>
        <v>0</v>
      </c>
      <c r="CD625" s="200">
        <f t="shared" si="7944"/>
        <v>0</v>
      </c>
      <c r="CE625" s="374">
        <f t="shared" si="7944"/>
        <v>0</v>
      </c>
      <c r="CF625" s="200">
        <f t="shared" si="7915"/>
        <v>0</v>
      </c>
      <c r="CG625" s="200">
        <f t="shared" si="7916"/>
        <v>0</v>
      </c>
      <c r="CH625" s="200">
        <f t="shared" si="7917"/>
        <v>0</v>
      </c>
      <c r="CI625" s="200">
        <f t="shared" si="7918"/>
        <v>0</v>
      </c>
      <c r="CJ625" s="200">
        <f t="shared" si="7919"/>
        <v>0</v>
      </c>
      <c r="CK625" s="200">
        <f t="shared" si="7920"/>
        <v>0</v>
      </c>
      <c r="CL625" s="200">
        <f t="shared" si="7921"/>
        <v>0</v>
      </c>
      <c r="CM625" s="200">
        <f t="shared" si="7922"/>
        <v>0</v>
      </c>
      <c r="CN625" s="200">
        <f t="shared" si="7923"/>
        <v>0</v>
      </c>
      <c r="CO625" s="200">
        <f t="shared" si="7924"/>
        <v>0</v>
      </c>
      <c r="CP625" s="200">
        <f t="shared" si="7925"/>
        <v>0</v>
      </c>
      <c r="CQ625" s="374">
        <f t="shared" si="7926"/>
        <v>0</v>
      </c>
      <c r="CR625" s="200">
        <f t="shared" si="7927"/>
        <v>0</v>
      </c>
      <c r="CS625" s="200">
        <f t="shared" si="7928"/>
        <v>0</v>
      </c>
      <c r="CT625" s="200">
        <f t="shared" si="7929"/>
        <v>0</v>
      </c>
      <c r="CU625" s="200">
        <f t="shared" si="7930"/>
        <v>0</v>
      </c>
      <c r="CV625" s="200">
        <f t="shared" si="7931"/>
        <v>0</v>
      </c>
      <c r="CW625" s="200">
        <f t="shared" si="7932"/>
        <v>0</v>
      </c>
      <c r="CX625" s="200">
        <f t="shared" si="7933"/>
        <v>0</v>
      </c>
      <c r="CY625" s="200">
        <f t="shared" si="7934"/>
        <v>0</v>
      </c>
      <c r="CZ625" s="200">
        <f t="shared" si="7935"/>
        <v>0</v>
      </c>
      <c r="DA625" s="200">
        <f t="shared" si="7936"/>
        <v>0</v>
      </c>
      <c r="DB625" s="200">
        <f t="shared" si="7937"/>
        <v>0</v>
      </c>
      <c r="DC625" s="374">
        <f t="shared" si="7938"/>
        <v>0</v>
      </c>
    </row>
    <row r="626" spans="3:107" x14ac:dyDescent="0.3">
      <c r="C626" s="231" t="s">
        <v>59</v>
      </c>
      <c r="D626" s="191"/>
      <c r="E626" s="191"/>
      <c r="G626" s="198">
        <f t="shared" ref="G626:AL626" si="7945">SUM(G623:G625)</f>
        <v>0</v>
      </c>
      <c r="H626" s="380">
        <f t="shared" si="7945"/>
        <v>0</v>
      </c>
      <c r="I626" s="380">
        <f t="shared" si="7945"/>
        <v>0</v>
      </c>
      <c r="J626" s="380">
        <f t="shared" si="7945"/>
        <v>0</v>
      </c>
      <c r="K626" s="198">
        <f t="shared" si="7945"/>
        <v>0</v>
      </c>
      <c r="L626" s="380">
        <f t="shared" si="7945"/>
        <v>0</v>
      </c>
      <c r="M626" s="380">
        <f t="shared" si="7945"/>
        <v>0</v>
      </c>
      <c r="N626" s="380">
        <f t="shared" si="7945"/>
        <v>0</v>
      </c>
      <c r="O626" s="380">
        <f t="shared" si="7945"/>
        <v>0</v>
      </c>
      <c r="P626" s="380">
        <f t="shared" si="7945"/>
        <v>0</v>
      </c>
      <c r="Q626" s="380">
        <f t="shared" si="7945"/>
        <v>0</v>
      </c>
      <c r="R626" s="380">
        <f t="shared" si="7945"/>
        <v>0</v>
      </c>
      <c r="S626" s="380">
        <f t="shared" si="7945"/>
        <v>0</v>
      </c>
      <c r="T626" s="380">
        <f t="shared" si="7945"/>
        <v>0</v>
      </c>
      <c r="U626" s="380">
        <f t="shared" si="7945"/>
        <v>0</v>
      </c>
      <c r="V626" s="380">
        <f t="shared" si="7945"/>
        <v>0</v>
      </c>
      <c r="W626" s="198">
        <f t="shared" si="7945"/>
        <v>0</v>
      </c>
      <c r="X626" s="380">
        <f t="shared" si="7945"/>
        <v>0</v>
      </c>
      <c r="Y626" s="380">
        <f t="shared" ref="Y626" si="7946">SUM(Y623:Y625)</f>
        <v>0</v>
      </c>
      <c r="Z626" s="380">
        <f t="shared" si="7945"/>
        <v>0</v>
      </c>
      <c r="AA626" s="380">
        <f t="shared" si="7945"/>
        <v>0</v>
      </c>
      <c r="AB626" s="380">
        <f t="shared" si="7945"/>
        <v>0</v>
      </c>
      <c r="AC626" s="380">
        <f t="shared" si="7945"/>
        <v>0</v>
      </c>
      <c r="AD626" s="380">
        <f t="shared" si="7945"/>
        <v>0</v>
      </c>
      <c r="AE626" s="380">
        <f t="shared" si="7945"/>
        <v>0</v>
      </c>
      <c r="AF626" s="380">
        <f t="shared" si="7945"/>
        <v>0</v>
      </c>
      <c r="AG626" s="380">
        <f t="shared" si="7945"/>
        <v>0</v>
      </c>
      <c r="AH626" s="380">
        <f t="shared" si="7945"/>
        <v>0</v>
      </c>
      <c r="AI626" s="198">
        <f t="shared" si="7945"/>
        <v>0</v>
      </c>
      <c r="AJ626" s="380">
        <f t="shared" si="7945"/>
        <v>0</v>
      </c>
      <c r="AK626" s="380">
        <f t="shared" si="7945"/>
        <v>0</v>
      </c>
      <c r="AL626" s="380">
        <f t="shared" si="7945"/>
        <v>0</v>
      </c>
      <c r="AM626" s="380">
        <f t="shared" ref="AM626:BR626" si="7947">SUM(AM623:AM625)</f>
        <v>0</v>
      </c>
      <c r="AN626" s="380">
        <f t="shared" si="7947"/>
        <v>0</v>
      </c>
      <c r="AO626" s="380">
        <f t="shared" si="7947"/>
        <v>0</v>
      </c>
      <c r="AP626" s="380">
        <f t="shared" si="7947"/>
        <v>0</v>
      </c>
      <c r="AQ626" s="380">
        <f t="shared" si="7947"/>
        <v>0</v>
      </c>
      <c r="AR626" s="380">
        <f t="shared" si="7947"/>
        <v>0</v>
      </c>
      <c r="AS626" s="380">
        <f t="shared" si="7947"/>
        <v>0</v>
      </c>
      <c r="AT626" s="380">
        <f t="shared" si="7947"/>
        <v>0</v>
      </c>
      <c r="AU626" s="198">
        <f t="shared" si="7947"/>
        <v>0</v>
      </c>
      <c r="AV626" s="380">
        <f t="shared" si="7947"/>
        <v>0</v>
      </c>
      <c r="AW626" s="380">
        <f t="shared" si="7947"/>
        <v>0</v>
      </c>
      <c r="AX626" s="380">
        <f t="shared" si="7947"/>
        <v>0</v>
      </c>
      <c r="AY626" s="380">
        <f t="shared" si="7947"/>
        <v>0</v>
      </c>
      <c r="AZ626" s="380">
        <f t="shared" si="7947"/>
        <v>0</v>
      </c>
      <c r="BA626" s="380">
        <f t="shared" si="7947"/>
        <v>0</v>
      </c>
      <c r="BB626" s="380">
        <f t="shared" si="7947"/>
        <v>0</v>
      </c>
      <c r="BC626" s="380">
        <f t="shared" si="7947"/>
        <v>0</v>
      </c>
      <c r="BD626" s="380">
        <f t="shared" si="7947"/>
        <v>0</v>
      </c>
      <c r="BE626" s="380">
        <f t="shared" si="7947"/>
        <v>0</v>
      </c>
      <c r="BF626" s="380">
        <f t="shared" si="7947"/>
        <v>0</v>
      </c>
      <c r="BG626" s="198">
        <f t="shared" si="7947"/>
        <v>0</v>
      </c>
      <c r="BH626" s="380">
        <f t="shared" si="7947"/>
        <v>0</v>
      </c>
      <c r="BI626" s="380">
        <f t="shared" si="7947"/>
        <v>0</v>
      </c>
      <c r="BJ626" s="380">
        <f t="shared" si="7947"/>
        <v>0</v>
      </c>
      <c r="BK626" s="380">
        <f t="shared" si="7947"/>
        <v>0</v>
      </c>
      <c r="BL626" s="380">
        <f t="shared" si="7947"/>
        <v>0</v>
      </c>
      <c r="BM626" s="380">
        <f t="shared" si="7947"/>
        <v>0</v>
      </c>
      <c r="BN626" s="380">
        <f t="shared" si="7947"/>
        <v>0</v>
      </c>
      <c r="BO626" s="380">
        <f t="shared" si="7947"/>
        <v>0</v>
      </c>
      <c r="BP626" s="380">
        <f t="shared" si="7947"/>
        <v>0</v>
      </c>
      <c r="BQ626" s="380">
        <f t="shared" si="7947"/>
        <v>0</v>
      </c>
      <c r="BR626" s="380">
        <f t="shared" si="7947"/>
        <v>0</v>
      </c>
      <c r="BS626" s="198">
        <f t="shared" ref="BS626:CE626" si="7948">SUM(BS623:BS625)</f>
        <v>0</v>
      </c>
      <c r="BT626" s="380">
        <f t="shared" si="7948"/>
        <v>0</v>
      </c>
      <c r="BU626" s="380">
        <f t="shared" si="7948"/>
        <v>0</v>
      </c>
      <c r="BV626" s="380">
        <f t="shared" si="7948"/>
        <v>0</v>
      </c>
      <c r="BW626" s="380">
        <f t="shared" si="7948"/>
        <v>0</v>
      </c>
      <c r="BX626" s="380">
        <f t="shared" si="7948"/>
        <v>0</v>
      </c>
      <c r="BY626" s="380">
        <f t="shared" si="7948"/>
        <v>0</v>
      </c>
      <c r="BZ626" s="380">
        <f t="shared" si="7948"/>
        <v>0</v>
      </c>
      <c r="CA626" s="380">
        <f t="shared" si="7948"/>
        <v>0</v>
      </c>
      <c r="CB626" s="380">
        <f t="shared" si="7948"/>
        <v>0</v>
      </c>
      <c r="CC626" s="380">
        <f t="shared" si="7948"/>
        <v>0</v>
      </c>
      <c r="CD626" s="380">
        <f t="shared" si="7948"/>
        <v>0</v>
      </c>
      <c r="CE626" s="198">
        <f t="shared" si="7948"/>
        <v>0</v>
      </c>
      <c r="CF626" s="380">
        <f t="shared" ref="CF626:DC626" si="7949">SUM(CF623:CF625)</f>
        <v>0</v>
      </c>
      <c r="CG626" s="380">
        <f t="shared" si="7949"/>
        <v>0</v>
      </c>
      <c r="CH626" s="380">
        <f t="shared" si="7949"/>
        <v>0</v>
      </c>
      <c r="CI626" s="380">
        <f t="shared" si="7949"/>
        <v>0</v>
      </c>
      <c r="CJ626" s="380">
        <f t="shared" si="7949"/>
        <v>0</v>
      </c>
      <c r="CK626" s="380">
        <f t="shared" si="7949"/>
        <v>0</v>
      </c>
      <c r="CL626" s="380">
        <f t="shared" si="7949"/>
        <v>0</v>
      </c>
      <c r="CM626" s="380">
        <f t="shared" si="7949"/>
        <v>0</v>
      </c>
      <c r="CN626" s="380">
        <f t="shared" si="7949"/>
        <v>0</v>
      </c>
      <c r="CO626" s="380">
        <f t="shared" si="7949"/>
        <v>0</v>
      </c>
      <c r="CP626" s="380">
        <f t="shared" si="7949"/>
        <v>0</v>
      </c>
      <c r="CQ626" s="198">
        <f t="shared" si="7949"/>
        <v>0</v>
      </c>
      <c r="CR626" s="380">
        <f t="shared" si="7949"/>
        <v>0</v>
      </c>
      <c r="CS626" s="380">
        <f t="shared" si="7949"/>
        <v>0</v>
      </c>
      <c r="CT626" s="380">
        <f t="shared" si="7949"/>
        <v>0</v>
      </c>
      <c r="CU626" s="380">
        <f t="shared" si="7949"/>
        <v>0</v>
      </c>
      <c r="CV626" s="380">
        <f t="shared" si="7949"/>
        <v>0</v>
      </c>
      <c r="CW626" s="380">
        <f t="shared" si="7949"/>
        <v>0</v>
      </c>
      <c r="CX626" s="380">
        <f t="shared" si="7949"/>
        <v>0</v>
      </c>
      <c r="CY626" s="380">
        <f t="shared" si="7949"/>
        <v>0</v>
      </c>
      <c r="CZ626" s="380">
        <f t="shared" si="7949"/>
        <v>0</v>
      </c>
      <c r="DA626" s="380">
        <f t="shared" si="7949"/>
        <v>0</v>
      </c>
      <c r="DB626" s="380">
        <f t="shared" si="7949"/>
        <v>0</v>
      </c>
      <c r="DC626" s="198">
        <f t="shared" si="7949"/>
        <v>0</v>
      </c>
    </row>
    <row r="627" spans="3:107" x14ac:dyDescent="0.3">
      <c r="G627" s="203"/>
      <c r="K627" s="203"/>
      <c r="W627" s="203"/>
      <c r="AI627" s="203"/>
      <c r="AU627" s="203"/>
      <c r="BG627" s="203"/>
      <c r="BS627" s="203"/>
      <c r="CE627" s="203"/>
      <c r="CQ627" s="203"/>
      <c r="DC627" s="203"/>
    </row>
    <row r="628" spans="3:107" ht="13.5" thickBot="1" x14ac:dyDescent="0.35">
      <c r="C628" s="369" t="s">
        <v>60</v>
      </c>
      <c r="D628" s="370"/>
      <c r="E628" s="370"/>
      <c r="G628" s="204">
        <f>++SUM(G621,G626)</f>
        <v>0</v>
      </c>
      <c r="H628" s="371">
        <f t="shared" ref="H628:BS628" si="7950">++SUM(H621,H626)</f>
        <v>0</v>
      </c>
      <c r="I628" s="371">
        <f t="shared" si="7950"/>
        <v>0</v>
      </c>
      <c r="J628" s="371">
        <f t="shared" si="7950"/>
        <v>0</v>
      </c>
      <c r="K628" s="204">
        <f t="shared" si="7950"/>
        <v>0</v>
      </c>
      <c r="L628" s="371">
        <f t="shared" si="7950"/>
        <v>0</v>
      </c>
      <c r="M628" s="371">
        <f t="shared" si="7950"/>
        <v>0</v>
      </c>
      <c r="N628" s="371">
        <f t="shared" si="7950"/>
        <v>0</v>
      </c>
      <c r="O628" s="371">
        <f t="shared" si="7950"/>
        <v>0</v>
      </c>
      <c r="P628" s="371">
        <f t="shared" si="7950"/>
        <v>0</v>
      </c>
      <c r="Q628" s="371">
        <f t="shared" si="7950"/>
        <v>0</v>
      </c>
      <c r="R628" s="371">
        <f t="shared" si="7950"/>
        <v>0</v>
      </c>
      <c r="S628" s="371">
        <f t="shared" si="7950"/>
        <v>0</v>
      </c>
      <c r="T628" s="371">
        <f t="shared" si="7950"/>
        <v>0</v>
      </c>
      <c r="U628" s="371">
        <f t="shared" si="7950"/>
        <v>0</v>
      </c>
      <c r="V628" s="371">
        <f t="shared" si="7950"/>
        <v>0</v>
      </c>
      <c r="W628" s="204">
        <f t="shared" si="7950"/>
        <v>0</v>
      </c>
      <c r="X628" s="371">
        <f t="shared" si="7950"/>
        <v>0</v>
      </c>
      <c r="Y628" s="371">
        <f t="shared" ref="Y628" si="7951">++SUM(Y621,Y626)</f>
        <v>0</v>
      </c>
      <c r="Z628" s="371">
        <f t="shared" si="7950"/>
        <v>0</v>
      </c>
      <c r="AA628" s="371">
        <f t="shared" si="7950"/>
        <v>0</v>
      </c>
      <c r="AB628" s="371">
        <f t="shared" si="7950"/>
        <v>0</v>
      </c>
      <c r="AC628" s="371">
        <f t="shared" si="7950"/>
        <v>0</v>
      </c>
      <c r="AD628" s="371">
        <f t="shared" si="7950"/>
        <v>0</v>
      </c>
      <c r="AE628" s="371">
        <f t="shared" si="7950"/>
        <v>0</v>
      </c>
      <c r="AF628" s="371">
        <f t="shared" si="7950"/>
        <v>0</v>
      </c>
      <c r="AG628" s="371">
        <f t="shared" si="7950"/>
        <v>0</v>
      </c>
      <c r="AH628" s="371">
        <f t="shared" si="7950"/>
        <v>0</v>
      </c>
      <c r="AI628" s="204">
        <f t="shared" si="7950"/>
        <v>0</v>
      </c>
      <c r="AJ628" s="371">
        <f t="shared" si="7950"/>
        <v>0</v>
      </c>
      <c r="AK628" s="371">
        <f t="shared" si="7950"/>
        <v>0</v>
      </c>
      <c r="AL628" s="371">
        <f t="shared" si="7950"/>
        <v>0</v>
      </c>
      <c r="AM628" s="371">
        <f t="shared" si="7950"/>
        <v>0</v>
      </c>
      <c r="AN628" s="371">
        <f t="shared" si="7950"/>
        <v>0</v>
      </c>
      <c r="AO628" s="371">
        <f t="shared" si="7950"/>
        <v>0</v>
      </c>
      <c r="AP628" s="371">
        <f t="shared" si="7950"/>
        <v>0</v>
      </c>
      <c r="AQ628" s="371">
        <f t="shared" si="7950"/>
        <v>0</v>
      </c>
      <c r="AR628" s="371">
        <f t="shared" si="7950"/>
        <v>0</v>
      </c>
      <c r="AS628" s="371">
        <f t="shared" si="7950"/>
        <v>0</v>
      </c>
      <c r="AT628" s="371">
        <f t="shared" si="7950"/>
        <v>0</v>
      </c>
      <c r="AU628" s="204">
        <f t="shared" si="7950"/>
        <v>0</v>
      </c>
      <c r="AV628" s="371">
        <f t="shared" si="7950"/>
        <v>0</v>
      </c>
      <c r="AW628" s="371">
        <f t="shared" si="7950"/>
        <v>0</v>
      </c>
      <c r="AX628" s="371">
        <f t="shared" si="7950"/>
        <v>0</v>
      </c>
      <c r="AY628" s="371">
        <f t="shared" si="7950"/>
        <v>0</v>
      </c>
      <c r="AZ628" s="371">
        <f t="shared" si="7950"/>
        <v>0</v>
      </c>
      <c r="BA628" s="371">
        <f t="shared" si="7950"/>
        <v>0</v>
      </c>
      <c r="BB628" s="371">
        <f t="shared" si="7950"/>
        <v>0</v>
      </c>
      <c r="BC628" s="371">
        <f t="shared" si="7950"/>
        <v>0</v>
      </c>
      <c r="BD628" s="371">
        <f t="shared" si="7950"/>
        <v>0</v>
      </c>
      <c r="BE628" s="371">
        <f t="shared" si="7950"/>
        <v>0</v>
      </c>
      <c r="BF628" s="371">
        <f t="shared" si="7950"/>
        <v>0</v>
      </c>
      <c r="BG628" s="204">
        <f t="shared" si="7950"/>
        <v>0</v>
      </c>
      <c r="BH628" s="371">
        <f t="shared" si="7950"/>
        <v>0</v>
      </c>
      <c r="BI628" s="371">
        <f t="shared" si="7950"/>
        <v>0</v>
      </c>
      <c r="BJ628" s="371">
        <f t="shared" si="7950"/>
        <v>0</v>
      </c>
      <c r="BK628" s="371">
        <f t="shared" si="7950"/>
        <v>0</v>
      </c>
      <c r="BL628" s="371">
        <f t="shared" si="7950"/>
        <v>0</v>
      </c>
      <c r="BM628" s="371">
        <f t="shared" si="7950"/>
        <v>0</v>
      </c>
      <c r="BN628" s="371">
        <f t="shared" si="7950"/>
        <v>0</v>
      </c>
      <c r="BO628" s="371">
        <f t="shared" si="7950"/>
        <v>0</v>
      </c>
      <c r="BP628" s="371">
        <f t="shared" si="7950"/>
        <v>0</v>
      </c>
      <c r="BQ628" s="371">
        <f t="shared" si="7950"/>
        <v>0</v>
      </c>
      <c r="BR628" s="371">
        <f t="shared" si="7950"/>
        <v>0</v>
      </c>
      <c r="BS628" s="204">
        <f t="shared" si="7950"/>
        <v>0</v>
      </c>
      <c r="BT628" s="371">
        <f t="shared" ref="BT628:CE628" si="7952">++SUM(BT621,BT626)</f>
        <v>0</v>
      </c>
      <c r="BU628" s="371">
        <f t="shared" si="7952"/>
        <v>0</v>
      </c>
      <c r="BV628" s="371">
        <f t="shared" si="7952"/>
        <v>0</v>
      </c>
      <c r="BW628" s="371">
        <f t="shared" si="7952"/>
        <v>0</v>
      </c>
      <c r="BX628" s="371">
        <f t="shared" si="7952"/>
        <v>0</v>
      </c>
      <c r="BY628" s="371">
        <f t="shared" si="7952"/>
        <v>0</v>
      </c>
      <c r="BZ628" s="371">
        <f t="shared" si="7952"/>
        <v>0</v>
      </c>
      <c r="CA628" s="371">
        <f t="shared" si="7952"/>
        <v>0</v>
      </c>
      <c r="CB628" s="371">
        <f t="shared" si="7952"/>
        <v>0</v>
      </c>
      <c r="CC628" s="371">
        <f t="shared" si="7952"/>
        <v>0</v>
      </c>
      <c r="CD628" s="371">
        <f t="shared" si="7952"/>
        <v>0</v>
      </c>
      <c r="CE628" s="204">
        <f t="shared" si="7952"/>
        <v>0</v>
      </c>
      <c r="CF628" s="371">
        <f t="shared" ref="CF628:DC628" si="7953">++SUM(CF621,CF626)</f>
        <v>0</v>
      </c>
      <c r="CG628" s="371">
        <f t="shared" si="7953"/>
        <v>0</v>
      </c>
      <c r="CH628" s="371">
        <f t="shared" si="7953"/>
        <v>0</v>
      </c>
      <c r="CI628" s="371">
        <f t="shared" si="7953"/>
        <v>0</v>
      </c>
      <c r="CJ628" s="371">
        <f t="shared" si="7953"/>
        <v>0</v>
      </c>
      <c r="CK628" s="371">
        <f t="shared" si="7953"/>
        <v>0</v>
      </c>
      <c r="CL628" s="371">
        <f t="shared" si="7953"/>
        <v>0</v>
      </c>
      <c r="CM628" s="371">
        <f t="shared" si="7953"/>
        <v>0</v>
      </c>
      <c r="CN628" s="371">
        <f t="shared" si="7953"/>
        <v>0</v>
      </c>
      <c r="CO628" s="371">
        <f t="shared" si="7953"/>
        <v>0</v>
      </c>
      <c r="CP628" s="371">
        <f t="shared" si="7953"/>
        <v>0</v>
      </c>
      <c r="CQ628" s="204">
        <f t="shared" si="7953"/>
        <v>0</v>
      </c>
      <c r="CR628" s="371">
        <f t="shared" si="7953"/>
        <v>0</v>
      </c>
      <c r="CS628" s="371">
        <f t="shared" si="7953"/>
        <v>0</v>
      </c>
      <c r="CT628" s="371">
        <f t="shared" si="7953"/>
        <v>0</v>
      </c>
      <c r="CU628" s="371">
        <f t="shared" si="7953"/>
        <v>0</v>
      </c>
      <c r="CV628" s="371">
        <f t="shared" si="7953"/>
        <v>0</v>
      </c>
      <c r="CW628" s="371">
        <f t="shared" si="7953"/>
        <v>0</v>
      </c>
      <c r="CX628" s="371">
        <f t="shared" si="7953"/>
        <v>0</v>
      </c>
      <c r="CY628" s="371">
        <f t="shared" si="7953"/>
        <v>0</v>
      </c>
      <c r="CZ628" s="371">
        <f t="shared" si="7953"/>
        <v>0</v>
      </c>
      <c r="DA628" s="371">
        <f t="shared" si="7953"/>
        <v>0</v>
      </c>
      <c r="DB628" s="371">
        <f t="shared" si="7953"/>
        <v>0</v>
      </c>
      <c r="DC628" s="204">
        <f t="shared" si="7953"/>
        <v>0</v>
      </c>
    </row>
    <row r="629" spans="3:107" ht="13.5" thickTop="1" x14ac:dyDescent="0.3">
      <c r="C629" s="321" t="s">
        <v>88</v>
      </c>
      <c r="G629" s="324">
        <f>++G628-G591</f>
        <v>0</v>
      </c>
      <c r="H629" s="376">
        <f t="shared" ref="H629:BS629" si="7954">++H628-H591</f>
        <v>0</v>
      </c>
      <c r="I629" s="376">
        <f t="shared" si="7954"/>
        <v>0</v>
      </c>
      <c r="J629" s="376">
        <f t="shared" si="7954"/>
        <v>0</v>
      </c>
      <c r="K629" s="324">
        <f t="shared" si="7954"/>
        <v>0</v>
      </c>
      <c r="L629" s="376">
        <f t="shared" si="7954"/>
        <v>0</v>
      </c>
      <c r="M629" s="376">
        <f t="shared" si="7954"/>
        <v>0</v>
      </c>
      <c r="N629" s="376">
        <f t="shared" si="7954"/>
        <v>0</v>
      </c>
      <c r="O629" s="376">
        <f t="shared" si="7954"/>
        <v>0</v>
      </c>
      <c r="P629" s="376">
        <f t="shared" si="7954"/>
        <v>0</v>
      </c>
      <c r="Q629" s="376">
        <f t="shared" si="7954"/>
        <v>0</v>
      </c>
      <c r="R629" s="376">
        <f t="shared" si="7954"/>
        <v>0</v>
      </c>
      <c r="S629" s="376">
        <f t="shared" si="7954"/>
        <v>0</v>
      </c>
      <c r="T629" s="376">
        <f t="shared" si="7954"/>
        <v>0</v>
      </c>
      <c r="U629" s="376">
        <f t="shared" si="7954"/>
        <v>0</v>
      </c>
      <c r="V629" s="376">
        <f t="shared" si="7954"/>
        <v>0</v>
      </c>
      <c r="W629" s="324">
        <f t="shared" si="7954"/>
        <v>0</v>
      </c>
      <c r="X629" s="376">
        <f t="shared" si="7954"/>
        <v>0</v>
      </c>
      <c r="Y629" s="376">
        <f t="shared" ref="Y629" si="7955">++Y628-Y591</f>
        <v>0</v>
      </c>
      <c r="Z629" s="376">
        <f t="shared" si="7954"/>
        <v>0</v>
      </c>
      <c r="AA629" s="376">
        <f t="shared" si="7954"/>
        <v>0</v>
      </c>
      <c r="AB629" s="376">
        <f t="shared" si="7954"/>
        <v>0</v>
      </c>
      <c r="AC629" s="376">
        <f t="shared" si="7954"/>
        <v>0</v>
      </c>
      <c r="AD629" s="376">
        <f t="shared" si="7954"/>
        <v>0</v>
      </c>
      <c r="AE629" s="376">
        <f t="shared" si="7954"/>
        <v>0</v>
      </c>
      <c r="AF629" s="376">
        <f t="shared" si="7954"/>
        <v>0</v>
      </c>
      <c r="AG629" s="376">
        <f t="shared" si="7954"/>
        <v>0</v>
      </c>
      <c r="AH629" s="376">
        <f t="shared" si="7954"/>
        <v>0</v>
      </c>
      <c r="AI629" s="324">
        <f t="shared" si="7954"/>
        <v>0</v>
      </c>
      <c r="AJ629" s="376">
        <f t="shared" si="7954"/>
        <v>0</v>
      </c>
      <c r="AK629" s="376">
        <f t="shared" si="7954"/>
        <v>0</v>
      </c>
      <c r="AL629" s="376">
        <f t="shared" si="7954"/>
        <v>0</v>
      </c>
      <c r="AM629" s="376">
        <f t="shared" si="7954"/>
        <v>0</v>
      </c>
      <c r="AN629" s="376">
        <f t="shared" si="7954"/>
        <v>0</v>
      </c>
      <c r="AO629" s="376">
        <f t="shared" si="7954"/>
        <v>0</v>
      </c>
      <c r="AP629" s="376">
        <f t="shared" si="7954"/>
        <v>0</v>
      </c>
      <c r="AQ629" s="376">
        <f t="shared" si="7954"/>
        <v>0</v>
      </c>
      <c r="AR629" s="376">
        <f t="shared" si="7954"/>
        <v>0</v>
      </c>
      <c r="AS629" s="376">
        <f t="shared" si="7954"/>
        <v>0</v>
      </c>
      <c r="AT629" s="376">
        <f t="shared" si="7954"/>
        <v>0</v>
      </c>
      <c r="AU629" s="324">
        <f t="shared" si="7954"/>
        <v>0</v>
      </c>
      <c r="AV629" s="376">
        <f t="shared" si="7954"/>
        <v>0</v>
      </c>
      <c r="AW629" s="376">
        <f t="shared" si="7954"/>
        <v>0</v>
      </c>
      <c r="AX629" s="376">
        <f t="shared" si="7954"/>
        <v>0</v>
      </c>
      <c r="AY629" s="376">
        <f t="shared" si="7954"/>
        <v>0</v>
      </c>
      <c r="AZ629" s="376">
        <f t="shared" si="7954"/>
        <v>0</v>
      </c>
      <c r="BA629" s="376">
        <f t="shared" si="7954"/>
        <v>0</v>
      </c>
      <c r="BB629" s="376">
        <f t="shared" si="7954"/>
        <v>0</v>
      </c>
      <c r="BC629" s="376">
        <f t="shared" si="7954"/>
        <v>0</v>
      </c>
      <c r="BD629" s="376">
        <f t="shared" si="7954"/>
        <v>0</v>
      </c>
      <c r="BE629" s="376">
        <f t="shared" si="7954"/>
        <v>0</v>
      </c>
      <c r="BF629" s="376">
        <f t="shared" si="7954"/>
        <v>0</v>
      </c>
      <c r="BG629" s="324">
        <f t="shared" si="7954"/>
        <v>0</v>
      </c>
      <c r="BH629" s="376">
        <f t="shared" si="7954"/>
        <v>0</v>
      </c>
      <c r="BI629" s="376">
        <f t="shared" si="7954"/>
        <v>0</v>
      </c>
      <c r="BJ629" s="376">
        <f t="shared" si="7954"/>
        <v>0</v>
      </c>
      <c r="BK629" s="376">
        <f t="shared" si="7954"/>
        <v>0</v>
      </c>
      <c r="BL629" s="376">
        <f t="shared" si="7954"/>
        <v>0</v>
      </c>
      <c r="BM629" s="376">
        <f t="shared" si="7954"/>
        <v>0</v>
      </c>
      <c r="BN629" s="376">
        <f t="shared" si="7954"/>
        <v>0</v>
      </c>
      <c r="BO629" s="376">
        <f t="shared" si="7954"/>
        <v>0</v>
      </c>
      <c r="BP629" s="376">
        <f t="shared" si="7954"/>
        <v>0</v>
      </c>
      <c r="BQ629" s="376">
        <f t="shared" si="7954"/>
        <v>0</v>
      </c>
      <c r="BR629" s="376">
        <f t="shared" si="7954"/>
        <v>0</v>
      </c>
      <c r="BS629" s="324">
        <f t="shared" si="7954"/>
        <v>0</v>
      </c>
      <c r="BT629" s="376">
        <f t="shared" ref="BT629:DC629" si="7956">++BT628-BT591</f>
        <v>0</v>
      </c>
      <c r="BU629" s="376">
        <f t="shared" si="7956"/>
        <v>0</v>
      </c>
      <c r="BV629" s="376">
        <f t="shared" si="7956"/>
        <v>0</v>
      </c>
      <c r="BW629" s="376">
        <f t="shared" si="7956"/>
        <v>0</v>
      </c>
      <c r="BX629" s="376">
        <f t="shared" si="7956"/>
        <v>0</v>
      </c>
      <c r="BY629" s="376">
        <f t="shared" si="7956"/>
        <v>0</v>
      </c>
      <c r="BZ629" s="376">
        <f t="shared" si="7956"/>
        <v>0</v>
      </c>
      <c r="CA629" s="376">
        <f t="shared" si="7956"/>
        <v>0</v>
      </c>
      <c r="CB629" s="376">
        <f t="shared" si="7956"/>
        <v>0</v>
      </c>
      <c r="CC629" s="376">
        <f t="shared" si="7956"/>
        <v>0</v>
      </c>
      <c r="CD629" s="376">
        <f t="shared" si="7956"/>
        <v>0</v>
      </c>
      <c r="CE629" s="324">
        <f t="shared" si="7956"/>
        <v>0</v>
      </c>
      <c r="CF629" s="376">
        <f t="shared" si="7956"/>
        <v>0</v>
      </c>
      <c r="CG629" s="376">
        <f t="shared" si="7956"/>
        <v>0</v>
      </c>
      <c r="CH629" s="376">
        <f t="shared" si="7956"/>
        <v>0</v>
      </c>
      <c r="CI629" s="376">
        <f t="shared" si="7956"/>
        <v>0</v>
      </c>
      <c r="CJ629" s="376">
        <f t="shared" si="7956"/>
        <v>0</v>
      </c>
      <c r="CK629" s="376">
        <f t="shared" si="7956"/>
        <v>0</v>
      </c>
      <c r="CL629" s="376">
        <f t="shared" si="7956"/>
        <v>0</v>
      </c>
      <c r="CM629" s="376">
        <f t="shared" si="7956"/>
        <v>0</v>
      </c>
      <c r="CN629" s="376">
        <f t="shared" si="7956"/>
        <v>0</v>
      </c>
      <c r="CO629" s="376">
        <f t="shared" si="7956"/>
        <v>0</v>
      </c>
      <c r="CP629" s="376">
        <f t="shared" si="7956"/>
        <v>0</v>
      </c>
      <c r="CQ629" s="324">
        <f t="shared" si="7956"/>
        <v>0</v>
      </c>
      <c r="CR629" s="376">
        <f t="shared" si="7956"/>
        <v>0</v>
      </c>
      <c r="CS629" s="376">
        <f t="shared" si="7956"/>
        <v>0</v>
      </c>
      <c r="CT629" s="376">
        <f t="shared" si="7956"/>
        <v>0</v>
      </c>
      <c r="CU629" s="376">
        <f t="shared" si="7956"/>
        <v>0</v>
      </c>
      <c r="CV629" s="376">
        <f t="shared" si="7956"/>
        <v>0</v>
      </c>
      <c r="CW629" s="376">
        <f t="shared" si="7956"/>
        <v>0</v>
      </c>
      <c r="CX629" s="376">
        <f t="shared" si="7956"/>
        <v>0</v>
      </c>
      <c r="CY629" s="376">
        <f t="shared" si="7956"/>
        <v>0</v>
      </c>
      <c r="CZ629" s="376">
        <f t="shared" si="7956"/>
        <v>0</v>
      </c>
      <c r="DA629" s="376">
        <f t="shared" si="7956"/>
        <v>0</v>
      </c>
      <c r="DB629" s="376">
        <f t="shared" si="7956"/>
        <v>0</v>
      </c>
      <c r="DC629" s="324">
        <f t="shared" si="7956"/>
        <v>0</v>
      </c>
    </row>
    <row r="630" spans="3:107" x14ac:dyDescent="0.3">
      <c r="G630" s="203"/>
      <c r="K630" s="203"/>
      <c r="W630" s="203"/>
      <c r="AI630" s="203"/>
      <c r="AU630" s="203"/>
      <c r="BG630" s="203"/>
      <c r="BS630" s="203"/>
      <c r="CE630" s="203"/>
      <c r="CQ630" s="203"/>
      <c r="DC630" s="203"/>
    </row>
    <row r="631" spans="3:107" x14ac:dyDescent="0.3">
      <c r="C631" s="101" t="s">
        <v>498</v>
      </c>
      <c r="G631" s="77">
        <v>0</v>
      </c>
      <c r="H631" s="195">
        <f t="shared" ref="H631:AM631" si="7957">++G631</f>
        <v>0</v>
      </c>
      <c r="I631" s="195">
        <f t="shared" si="7957"/>
        <v>0</v>
      </c>
      <c r="J631" s="195">
        <f t="shared" si="7957"/>
        <v>0</v>
      </c>
      <c r="K631" s="410">
        <f t="shared" si="7957"/>
        <v>0</v>
      </c>
      <c r="L631" s="195">
        <f t="shared" si="7957"/>
        <v>0</v>
      </c>
      <c r="M631" s="195">
        <f t="shared" si="7957"/>
        <v>0</v>
      </c>
      <c r="N631" s="195">
        <f t="shared" si="7957"/>
        <v>0</v>
      </c>
      <c r="O631" s="195">
        <f t="shared" si="7957"/>
        <v>0</v>
      </c>
      <c r="P631" s="195">
        <f t="shared" si="7957"/>
        <v>0</v>
      </c>
      <c r="Q631" s="195">
        <f t="shared" si="7957"/>
        <v>0</v>
      </c>
      <c r="R631" s="195">
        <f t="shared" si="7957"/>
        <v>0</v>
      </c>
      <c r="S631" s="195">
        <f t="shared" si="7957"/>
        <v>0</v>
      </c>
      <c r="T631" s="195">
        <f t="shared" si="7957"/>
        <v>0</v>
      </c>
      <c r="U631" s="195">
        <f t="shared" si="7957"/>
        <v>0</v>
      </c>
      <c r="V631" s="195">
        <f t="shared" si="7957"/>
        <v>0</v>
      </c>
      <c r="W631" s="410">
        <f t="shared" si="7957"/>
        <v>0</v>
      </c>
      <c r="X631" s="195">
        <f t="shared" si="7957"/>
        <v>0</v>
      </c>
      <c r="Y631" s="195">
        <f t="shared" ref="Y631" si="7958">++X631</f>
        <v>0</v>
      </c>
      <c r="Z631" s="195">
        <f t="shared" si="7957"/>
        <v>0</v>
      </c>
      <c r="AA631" s="195">
        <f t="shared" si="7957"/>
        <v>0</v>
      </c>
      <c r="AB631" s="195">
        <f t="shared" si="7957"/>
        <v>0</v>
      </c>
      <c r="AC631" s="195">
        <f t="shared" si="7957"/>
        <v>0</v>
      </c>
      <c r="AD631" s="195">
        <f t="shared" si="7957"/>
        <v>0</v>
      </c>
      <c r="AE631" s="195">
        <f t="shared" si="7957"/>
        <v>0</v>
      </c>
      <c r="AF631" s="195">
        <f t="shared" si="7957"/>
        <v>0</v>
      </c>
      <c r="AG631" s="195">
        <f t="shared" si="7957"/>
        <v>0</v>
      </c>
      <c r="AH631" s="195">
        <f t="shared" si="7957"/>
        <v>0</v>
      </c>
      <c r="AI631" s="410">
        <f t="shared" si="7957"/>
        <v>0</v>
      </c>
      <c r="AJ631" s="195">
        <f t="shared" si="7957"/>
        <v>0</v>
      </c>
      <c r="AK631" s="195">
        <f t="shared" si="7957"/>
        <v>0</v>
      </c>
      <c r="AL631" s="195">
        <f t="shared" si="7957"/>
        <v>0</v>
      </c>
      <c r="AM631" s="195">
        <f t="shared" si="7957"/>
        <v>0</v>
      </c>
      <c r="AN631" s="195">
        <f t="shared" ref="AN631:BS631" si="7959">++AM631</f>
        <v>0</v>
      </c>
      <c r="AO631" s="195">
        <f t="shared" si="7959"/>
        <v>0</v>
      </c>
      <c r="AP631" s="195">
        <f t="shared" si="7959"/>
        <v>0</v>
      </c>
      <c r="AQ631" s="195">
        <f t="shared" si="7959"/>
        <v>0</v>
      </c>
      <c r="AR631" s="195">
        <f t="shared" si="7959"/>
        <v>0</v>
      </c>
      <c r="AS631" s="195">
        <f t="shared" si="7959"/>
        <v>0</v>
      </c>
      <c r="AT631" s="195">
        <f t="shared" si="7959"/>
        <v>0</v>
      </c>
      <c r="AU631" s="410">
        <f t="shared" si="7959"/>
        <v>0</v>
      </c>
      <c r="AV631" s="195">
        <f t="shared" si="7959"/>
        <v>0</v>
      </c>
      <c r="AW631" s="195">
        <f t="shared" si="7959"/>
        <v>0</v>
      </c>
      <c r="AX631" s="195">
        <f t="shared" si="7959"/>
        <v>0</v>
      </c>
      <c r="AY631" s="195">
        <f t="shared" si="7959"/>
        <v>0</v>
      </c>
      <c r="AZ631" s="195">
        <f t="shared" si="7959"/>
        <v>0</v>
      </c>
      <c r="BA631" s="195">
        <f t="shared" si="7959"/>
        <v>0</v>
      </c>
      <c r="BB631" s="195">
        <f t="shared" si="7959"/>
        <v>0</v>
      </c>
      <c r="BC631" s="195">
        <f t="shared" si="7959"/>
        <v>0</v>
      </c>
      <c r="BD631" s="195">
        <f t="shared" si="7959"/>
        <v>0</v>
      </c>
      <c r="BE631" s="195">
        <f t="shared" si="7959"/>
        <v>0</v>
      </c>
      <c r="BF631" s="195">
        <f t="shared" si="7959"/>
        <v>0</v>
      </c>
      <c r="BG631" s="410">
        <f t="shared" si="7959"/>
        <v>0</v>
      </c>
      <c r="BH631" s="195">
        <f t="shared" si="7959"/>
        <v>0</v>
      </c>
      <c r="BI631" s="195">
        <f t="shared" si="7959"/>
        <v>0</v>
      </c>
      <c r="BJ631" s="195">
        <f t="shared" si="7959"/>
        <v>0</v>
      </c>
      <c r="BK631" s="195">
        <f t="shared" si="7959"/>
        <v>0</v>
      </c>
      <c r="BL631" s="195">
        <f t="shared" si="7959"/>
        <v>0</v>
      </c>
      <c r="BM631" s="195">
        <f t="shared" si="7959"/>
        <v>0</v>
      </c>
      <c r="BN631" s="195">
        <f t="shared" si="7959"/>
        <v>0</v>
      </c>
      <c r="BO631" s="195">
        <f t="shared" si="7959"/>
        <v>0</v>
      </c>
      <c r="BP631" s="195">
        <f t="shared" si="7959"/>
        <v>0</v>
      </c>
      <c r="BQ631" s="195">
        <f t="shared" si="7959"/>
        <v>0</v>
      </c>
      <c r="BR631" s="195">
        <f t="shared" si="7959"/>
        <v>0</v>
      </c>
      <c r="BS631" s="410">
        <f t="shared" si="7959"/>
        <v>0</v>
      </c>
      <c r="BT631" s="195">
        <f t="shared" ref="BT631:CE631" si="7960">++BS631</f>
        <v>0</v>
      </c>
      <c r="BU631" s="195">
        <f t="shared" si="7960"/>
        <v>0</v>
      </c>
      <c r="BV631" s="195">
        <f t="shared" si="7960"/>
        <v>0</v>
      </c>
      <c r="BW631" s="195">
        <f t="shared" si="7960"/>
        <v>0</v>
      </c>
      <c r="BX631" s="195">
        <f t="shared" si="7960"/>
        <v>0</v>
      </c>
      <c r="BY631" s="195">
        <f t="shared" si="7960"/>
        <v>0</v>
      </c>
      <c r="BZ631" s="195">
        <f t="shared" si="7960"/>
        <v>0</v>
      </c>
      <c r="CA631" s="195">
        <f t="shared" si="7960"/>
        <v>0</v>
      </c>
      <c r="CB631" s="195">
        <f t="shared" si="7960"/>
        <v>0</v>
      </c>
      <c r="CC631" s="195">
        <f t="shared" si="7960"/>
        <v>0</v>
      </c>
      <c r="CD631" s="195">
        <f t="shared" si="7960"/>
        <v>0</v>
      </c>
      <c r="CE631" s="410">
        <f t="shared" si="7960"/>
        <v>0</v>
      </c>
      <c r="CF631" s="195">
        <f t="shared" ref="CF631:DC631" si="7961">++CE631</f>
        <v>0</v>
      </c>
      <c r="CG631" s="195">
        <f t="shared" si="7961"/>
        <v>0</v>
      </c>
      <c r="CH631" s="195">
        <f t="shared" si="7961"/>
        <v>0</v>
      </c>
      <c r="CI631" s="195">
        <f t="shared" si="7961"/>
        <v>0</v>
      </c>
      <c r="CJ631" s="195">
        <f t="shared" si="7961"/>
        <v>0</v>
      </c>
      <c r="CK631" s="195">
        <f t="shared" si="7961"/>
        <v>0</v>
      </c>
      <c r="CL631" s="195">
        <f t="shared" si="7961"/>
        <v>0</v>
      </c>
      <c r="CM631" s="195">
        <f t="shared" si="7961"/>
        <v>0</v>
      </c>
      <c r="CN631" s="195">
        <f t="shared" si="7961"/>
        <v>0</v>
      </c>
      <c r="CO631" s="195">
        <f t="shared" si="7961"/>
        <v>0</v>
      </c>
      <c r="CP631" s="195">
        <f t="shared" si="7961"/>
        <v>0</v>
      </c>
      <c r="CQ631" s="410">
        <f t="shared" si="7961"/>
        <v>0</v>
      </c>
      <c r="CR631" s="195">
        <f t="shared" si="7961"/>
        <v>0</v>
      </c>
      <c r="CS631" s="195">
        <f t="shared" si="7961"/>
        <v>0</v>
      </c>
      <c r="CT631" s="195">
        <f t="shared" si="7961"/>
        <v>0</v>
      </c>
      <c r="CU631" s="195">
        <f t="shared" si="7961"/>
        <v>0</v>
      </c>
      <c r="CV631" s="195">
        <f t="shared" si="7961"/>
        <v>0</v>
      </c>
      <c r="CW631" s="195">
        <f t="shared" si="7961"/>
        <v>0</v>
      </c>
      <c r="CX631" s="195">
        <f t="shared" si="7961"/>
        <v>0</v>
      </c>
      <c r="CY631" s="195">
        <f t="shared" si="7961"/>
        <v>0</v>
      </c>
      <c r="CZ631" s="195">
        <f t="shared" si="7961"/>
        <v>0</v>
      </c>
      <c r="DA631" s="195">
        <f t="shared" si="7961"/>
        <v>0</v>
      </c>
      <c r="DB631" s="195">
        <f t="shared" si="7961"/>
        <v>0</v>
      </c>
      <c r="DC631" s="410">
        <f t="shared" si="7961"/>
        <v>0</v>
      </c>
    </row>
    <row r="632" spans="3:107" x14ac:dyDescent="0.3">
      <c r="G632" s="203"/>
      <c r="K632" s="203"/>
      <c r="W632" s="203"/>
      <c r="AI632" s="203"/>
      <c r="AU632" s="203"/>
      <c r="BG632" s="203"/>
      <c r="BS632" s="203"/>
      <c r="CE632" s="203"/>
      <c r="CQ632" s="203"/>
      <c r="DC632" s="203"/>
    </row>
    <row r="633" spans="3:107" x14ac:dyDescent="0.3">
      <c r="C633" s="101" t="s">
        <v>61</v>
      </c>
      <c r="G633" s="189">
        <f t="shared" ref="G633:AL633" si="7962">++IFERROR((G604-G595)/G631,0)</f>
        <v>0</v>
      </c>
      <c r="H633" s="255">
        <f t="shared" si="7962"/>
        <v>0</v>
      </c>
      <c r="I633" s="255">
        <f t="shared" si="7962"/>
        <v>0</v>
      </c>
      <c r="J633" s="255">
        <f t="shared" si="7962"/>
        <v>0</v>
      </c>
      <c r="K633" s="189">
        <f t="shared" si="7962"/>
        <v>0</v>
      </c>
      <c r="L633" s="255">
        <f t="shared" si="7962"/>
        <v>0</v>
      </c>
      <c r="M633" s="255">
        <f t="shared" si="7962"/>
        <v>0</v>
      </c>
      <c r="N633" s="255">
        <f t="shared" si="7962"/>
        <v>0</v>
      </c>
      <c r="O633" s="255">
        <f t="shared" si="7962"/>
        <v>0</v>
      </c>
      <c r="P633" s="255">
        <f t="shared" si="7962"/>
        <v>0</v>
      </c>
      <c r="Q633" s="255">
        <f t="shared" si="7962"/>
        <v>0</v>
      </c>
      <c r="R633" s="255">
        <f t="shared" si="7962"/>
        <v>0</v>
      </c>
      <c r="S633" s="255">
        <f t="shared" si="7962"/>
        <v>0</v>
      </c>
      <c r="T633" s="255">
        <f t="shared" si="7962"/>
        <v>0</v>
      </c>
      <c r="U633" s="255">
        <f t="shared" si="7962"/>
        <v>0</v>
      </c>
      <c r="V633" s="255">
        <f t="shared" si="7962"/>
        <v>0</v>
      </c>
      <c r="W633" s="189">
        <f t="shared" si="7962"/>
        <v>0</v>
      </c>
      <c r="X633" s="255">
        <f t="shared" si="7962"/>
        <v>0</v>
      </c>
      <c r="Y633" s="255">
        <f t="shared" ref="Y633" si="7963">++IFERROR((Y604-Y595)/Y631,0)</f>
        <v>0</v>
      </c>
      <c r="Z633" s="255">
        <f t="shared" si="7962"/>
        <v>0</v>
      </c>
      <c r="AA633" s="255">
        <f t="shared" si="7962"/>
        <v>0</v>
      </c>
      <c r="AB633" s="255">
        <f t="shared" si="7962"/>
        <v>0</v>
      </c>
      <c r="AC633" s="255">
        <f t="shared" si="7962"/>
        <v>0</v>
      </c>
      <c r="AD633" s="255">
        <f t="shared" si="7962"/>
        <v>0</v>
      </c>
      <c r="AE633" s="255">
        <f t="shared" si="7962"/>
        <v>0</v>
      </c>
      <c r="AF633" s="255">
        <f t="shared" si="7962"/>
        <v>0</v>
      </c>
      <c r="AG633" s="255">
        <f t="shared" si="7962"/>
        <v>0</v>
      </c>
      <c r="AH633" s="255">
        <f t="shared" si="7962"/>
        <v>0</v>
      </c>
      <c r="AI633" s="189">
        <f t="shared" si="7962"/>
        <v>0</v>
      </c>
      <c r="AJ633" s="255">
        <f t="shared" si="7962"/>
        <v>0</v>
      </c>
      <c r="AK633" s="255">
        <f t="shared" si="7962"/>
        <v>0</v>
      </c>
      <c r="AL633" s="255">
        <f t="shared" si="7962"/>
        <v>0</v>
      </c>
      <c r="AM633" s="255">
        <f t="shared" ref="AM633:BR633" si="7964">++IFERROR((AM604-AM595)/AM631,0)</f>
        <v>0</v>
      </c>
      <c r="AN633" s="255">
        <f t="shared" si="7964"/>
        <v>0</v>
      </c>
      <c r="AO633" s="255">
        <f t="shared" si="7964"/>
        <v>0</v>
      </c>
      <c r="AP633" s="255">
        <f t="shared" si="7964"/>
        <v>0</v>
      </c>
      <c r="AQ633" s="255">
        <f t="shared" si="7964"/>
        <v>0</v>
      </c>
      <c r="AR633" s="255">
        <f t="shared" si="7964"/>
        <v>0</v>
      </c>
      <c r="AS633" s="255">
        <f t="shared" si="7964"/>
        <v>0</v>
      </c>
      <c r="AT633" s="255">
        <f t="shared" si="7964"/>
        <v>0</v>
      </c>
      <c r="AU633" s="189">
        <f t="shared" si="7964"/>
        <v>0</v>
      </c>
      <c r="AV633" s="255">
        <f t="shared" si="7964"/>
        <v>0</v>
      </c>
      <c r="AW633" s="255">
        <f t="shared" si="7964"/>
        <v>0</v>
      </c>
      <c r="AX633" s="255">
        <f t="shared" si="7964"/>
        <v>0</v>
      </c>
      <c r="AY633" s="255">
        <f t="shared" si="7964"/>
        <v>0</v>
      </c>
      <c r="AZ633" s="255">
        <f t="shared" si="7964"/>
        <v>0</v>
      </c>
      <c r="BA633" s="255">
        <f t="shared" si="7964"/>
        <v>0</v>
      </c>
      <c r="BB633" s="255">
        <f t="shared" si="7964"/>
        <v>0</v>
      </c>
      <c r="BC633" s="255">
        <f t="shared" si="7964"/>
        <v>0</v>
      </c>
      <c r="BD633" s="255">
        <f t="shared" si="7964"/>
        <v>0</v>
      </c>
      <c r="BE633" s="255">
        <f t="shared" si="7964"/>
        <v>0</v>
      </c>
      <c r="BF633" s="255">
        <f t="shared" si="7964"/>
        <v>0</v>
      </c>
      <c r="BG633" s="189">
        <f t="shared" si="7964"/>
        <v>0</v>
      </c>
      <c r="BH633" s="255">
        <f t="shared" si="7964"/>
        <v>0</v>
      </c>
      <c r="BI633" s="255">
        <f t="shared" si="7964"/>
        <v>0</v>
      </c>
      <c r="BJ633" s="255">
        <f t="shared" si="7964"/>
        <v>0</v>
      </c>
      <c r="BK633" s="255">
        <f t="shared" si="7964"/>
        <v>0</v>
      </c>
      <c r="BL633" s="255">
        <f t="shared" si="7964"/>
        <v>0</v>
      </c>
      <c r="BM633" s="255">
        <f t="shared" si="7964"/>
        <v>0</v>
      </c>
      <c r="BN633" s="255">
        <f t="shared" si="7964"/>
        <v>0</v>
      </c>
      <c r="BO633" s="255">
        <f t="shared" si="7964"/>
        <v>0</v>
      </c>
      <c r="BP633" s="255">
        <f t="shared" si="7964"/>
        <v>0</v>
      </c>
      <c r="BQ633" s="255">
        <f t="shared" si="7964"/>
        <v>0</v>
      </c>
      <c r="BR633" s="255">
        <f t="shared" si="7964"/>
        <v>0</v>
      </c>
      <c r="BS633" s="189">
        <f t="shared" ref="BS633:DC633" si="7965">++IFERROR((BS604-BS595)/BS631,0)</f>
        <v>0</v>
      </c>
      <c r="BT633" s="255">
        <f t="shared" si="7965"/>
        <v>0</v>
      </c>
      <c r="BU633" s="255">
        <f t="shared" si="7965"/>
        <v>0</v>
      </c>
      <c r="BV633" s="255">
        <f t="shared" si="7965"/>
        <v>0</v>
      </c>
      <c r="BW633" s="255">
        <f t="shared" si="7965"/>
        <v>0</v>
      </c>
      <c r="BX633" s="255">
        <f t="shared" si="7965"/>
        <v>0</v>
      </c>
      <c r="BY633" s="255">
        <f t="shared" si="7965"/>
        <v>0</v>
      </c>
      <c r="BZ633" s="255">
        <f t="shared" si="7965"/>
        <v>0</v>
      </c>
      <c r="CA633" s="255">
        <f t="shared" si="7965"/>
        <v>0</v>
      </c>
      <c r="CB633" s="255">
        <f t="shared" si="7965"/>
        <v>0</v>
      </c>
      <c r="CC633" s="255">
        <f t="shared" si="7965"/>
        <v>0</v>
      </c>
      <c r="CD633" s="255">
        <f t="shared" si="7965"/>
        <v>0</v>
      </c>
      <c r="CE633" s="189">
        <f t="shared" si="7965"/>
        <v>0</v>
      </c>
      <c r="CF633" s="255">
        <f t="shared" si="7965"/>
        <v>0</v>
      </c>
      <c r="CG633" s="255">
        <f t="shared" si="7965"/>
        <v>0</v>
      </c>
      <c r="CH633" s="255">
        <f t="shared" si="7965"/>
        <v>0</v>
      </c>
      <c r="CI633" s="255">
        <f t="shared" si="7965"/>
        <v>0</v>
      </c>
      <c r="CJ633" s="255">
        <f t="shared" si="7965"/>
        <v>0</v>
      </c>
      <c r="CK633" s="255">
        <f t="shared" si="7965"/>
        <v>0</v>
      </c>
      <c r="CL633" s="255">
        <f t="shared" si="7965"/>
        <v>0</v>
      </c>
      <c r="CM633" s="255">
        <f t="shared" si="7965"/>
        <v>0</v>
      </c>
      <c r="CN633" s="255">
        <f t="shared" si="7965"/>
        <v>0</v>
      </c>
      <c r="CO633" s="255">
        <f t="shared" si="7965"/>
        <v>0</v>
      </c>
      <c r="CP633" s="255">
        <f t="shared" si="7965"/>
        <v>0</v>
      </c>
      <c r="CQ633" s="189">
        <f t="shared" si="7965"/>
        <v>0</v>
      </c>
      <c r="CR633" s="255">
        <f t="shared" si="7965"/>
        <v>0</v>
      </c>
      <c r="CS633" s="255">
        <f t="shared" si="7965"/>
        <v>0</v>
      </c>
      <c r="CT633" s="255">
        <f t="shared" si="7965"/>
        <v>0</v>
      </c>
      <c r="CU633" s="255">
        <f t="shared" si="7965"/>
        <v>0</v>
      </c>
      <c r="CV633" s="255">
        <f t="shared" si="7965"/>
        <v>0</v>
      </c>
      <c r="CW633" s="255">
        <f t="shared" si="7965"/>
        <v>0</v>
      </c>
      <c r="CX633" s="255">
        <f t="shared" si="7965"/>
        <v>0</v>
      </c>
      <c r="CY633" s="255">
        <f t="shared" si="7965"/>
        <v>0</v>
      </c>
      <c r="CZ633" s="255">
        <f t="shared" si="7965"/>
        <v>0</v>
      </c>
      <c r="DA633" s="255">
        <f t="shared" si="7965"/>
        <v>0</v>
      </c>
      <c r="DB633" s="255">
        <f t="shared" si="7965"/>
        <v>0</v>
      </c>
      <c r="DC633" s="189">
        <f t="shared" si="7965"/>
        <v>0</v>
      </c>
    </row>
    <row r="634" spans="3:107" x14ac:dyDescent="0.3">
      <c r="C634" s="101" t="s">
        <v>62</v>
      </c>
      <c r="G634" s="189">
        <f t="shared" ref="G634:AL634" si="7966">++IFERROR((G609-G595)/G631,0)</f>
        <v>0</v>
      </c>
      <c r="H634" s="255">
        <f t="shared" si="7966"/>
        <v>0</v>
      </c>
      <c r="I634" s="255">
        <f t="shared" si="7966"/>
        <v>0</v>
      </c>
      <c r="J634" s="255">
        <f t="shared" si="7966"/>
        <v>0</v>
      </c>
      <c r="K634" s="189">
        <f t="shared" si="7966"/>
        <v>0</v>
      </c>
      <c r="L634" s="255">
        <f t="shared" si="7966"/>
        <v>0</v>
      </c>
      <c r="M634" s="255">
        <f t="shared" si="7966"/>
        <v>0</v>
      </c>
      <c r="N634" s="255">
        <f t="shared" si="7966"/>
        <v>0</v>
      </c>
      <c r="O634" s="255">
        <f t="shared" si="7966"/>
        <v>0</v>
      </c>
      <c r="P634" s="255">
        <f t="shared" si="7966"/>
        <v>0</v>
      </c>
      <c r="Q634" s="255">
        <f t="shared" si="7966"/>
        <v>0</v>
      </c>
      <c r="R634" s="255">
        <f t="shared" si="7966"/>
        <v>0</v>
      </c>
      <c r="S634" s="255">
        <f t="shared" si="7966"/>
        <v>0</v>
      </c>
      <c r="T634" s="255">
        <f t="shared" si="7966"/>
        <v>0</v>
      </c>
      <c r="U634" s="255">
        <f t="shared" si="7966"/>
        <v>0</v>
      </c>
      <c r="V634" s="255">
        <f t="shared" si="7966"/>
        <v>0</v>
      </c>
      <c r="W634" s="189">
        <f t="shared" si="7966"/>
        <v>0</v>
      </c>
      <c r="X634" s="255">
        <f t="shared" si="7966"/>
        <v>0</v>
      </c>
      <c r="Y634" s="255">
        <f t="shared" ref="Y634" si="7967">++IFERROR((Y609-Y595)/Y631,0)</f>
        <v>0</v>
      </c>
      <c r="Z634" s="255">
        <f t="shared" si="7966"/>
        <v>0</v>
      </c>
      <c r="AA634" s="255">
        <f t="shared" si="7966"/>
        <v>0</v>
      </c>
      <c r="AB634" s="255">
        <f t="shared" si="7966"/>
        <v>0</v>
      </c>
      <c r="AC634" s="255">
        <f t="shared" si="7966"/>
        <v>0</v>
      </c>
      <c r="AD634" s="255">
        <f t="shared" si="7966"/>
        <v>0</v>
      </c>
      <c r="AE634" s="255">
        <f t="shared" si="7966"/>
        <v>0</v>
      </c>
      <c r="AF634" s="255">
        <f t="shared" si="7966"/>
        <v>0</v>
      </c>
      <c r="AG634" s="255">
        <f t="shared" si="7966"/>
        <v>0</v>
      </c>
      <c r="AH634" s="255">
        <f t="shared" si="7966"/>
        <v>0</v>
      </c>
      <c r="AI634" s="189">
        <f t="shared" si="7966"/>
        <v>0</v>
      </c>
      <c r="AJ634" s="255">
        <f t="shared" si="7966"/>
        <v>0</v>
      </c>
      <c r="AK634" s="255">
        <f t="shared" si="7966"/>
        <v>0</v>
      </c>
      <c r="AL634" s="255">
        <f t="shared" si="7966"/>
        <v>0</v>
      </c>
      <c r="AM634" s="255">
        <f t="shared" ref="AM634:BR634" si="7968">++IFERROR((AM609-AM595)/AM631,0)</f>
        <v>0</v>
      </c>
      <c r="AN634" s="255">
        <f t="shared" si="7968"/>
        <v>0</v>
      </c>
      <c r="AO634" s="255">
        <f t="shared" si="7968"/>
        <v>0</v>
      </c>
      <c r="AP634" s="255">
        <f t="shared" si="7968"/>
        <v>0</v>
      </c>
      <c r="AQ634" s="255">
        <f t="shared" si="7968"/>
        <v>0</v>
      </c>
      <c r="AR634" s="255">
        <f t="shared" si="7968"/>
        <v>0</v>
      </c>
      <c r="AS634" s="255">
        <f t="shared" si="7968"/>
        <v>0</v>
      </c>
      <c r="AT634" s="255">
        <f t="shared" si="7968"/>
        <v>0</v>
      </c>
      <c r="AU634" s="189">
        <f t="shared" si="7968"/>
        <v>0</v>
      </c>
      <c r="AV634" s="255">
        <f t="shared" si="7968"/>
        <v>0</v>
      </c>
      <c r="AW634" s="255">
        <f t="shared" si="7968"/>
        <v>0</v>
      </c>
      <c r="AX634" s="255">
        <f t="shared" si="7968"/>
        <v>0</v>
      </c>
      <c r="AY634" s="255">
        <f t="shared" si="7968"/>
        <v>0</v>
      </c>
      <c r="AZ634" s="255">
        <f t="shared" si="7968"/>
        <v>0</v>
      </c>
      <c r="BA634" s="255">
        <f t="shared" si="7968"/>
        <v>0</v>
      </c>
      <c r="BB634" s="255">
        <f t="shared" si="7968"/>
        <v>0</v>
      </c>
      <c r="BC634" s="255">
        <f t="shared" si="7968"/>
        <v>0</v>
      </c>
      <c r="BD634" s="255">
        <f t="shared" si="7968"/>
        <v>0</v>
      </c>
      <c r="BE634" s="255">
        <f t="shared" si="7968"/>
        <v>0</v>
      </c>
      <c r="BF634" s="255">
        <f t="shared" si="7968"/>
        <v>0</v>
      </c>
      <c r="BG634" s="189">
        <f t="shared" si="7968"/>
        <v>0</v>
      </c>
      <c r="BH634" s="255">
        <f t="shared" si="7968"/>
        <v>0</v>
      </c>
      <c r="BI634" s="255">
        <f t="shared" si="7968"/>
        <v>0</v>
      </c>
      <c r="BJ634" s="255">
        <f t="shared" si="7968"/>
        <v>0</v>
      </c>
      <c r="BK634" s="255">
        <f t="shared" si="7968"/>
        <v>0</v>
      </c>
      <c r="BL634" s="255">
        <f t="shared" si="7968"/>
        <v>0</v>
      </c>
      <c r="BM634" s="255">
        <f t="shared" si="7968"/>
        <v>0</v>
      </c>
      <c r="BN634" s="255">
        <f t="shared" si="7968"/>
        <v>0</v>
      </c>
      <c r="BO634" s="255">
        <f t="shared" si="7968"/>
        <v>0</v>
      </c>
      <c r="BP634" s="255">
        <f t="shared" si="7968"/>
        <v>0</v>
      </c>
      <c r="BQ634" s="255">
        <f t="shared" si="7968"/>
        <v>0</v>
      </c>
      <c r="BR634" s="255">
        <f t="shared" si="7968"/>
        <v>0</v>
      </c>
      <c r="BS634" s="189">
        <f t="shared" ref="BS634:DC634" si="7969">++IFERROR((BS609-BS595)/BS631,0)</f>
        <v>0</v>
      </c>
      <c r="BT634" s="255">
        <f t="shared" si="7969"/>
        <v>0</v>
      </c>
      <c r="BU634" s="255">
        <f t="shared" si="7969"/>
        <v>0</v>
      </c>
      <c r="BV634" s="255">
        <f t="shared" si="7969"/>
        <v>0</v>
      </c>
      <c r="BW634" s="255">
        <f t="shared" si="7969"/>
        <v>0</v>
      </c>
      <c r="BX634" s="255">
        <f t="shared" si="7969"/>
        <v>0</v>
      </c>
      <c r="BY634" s="255">
        <f t="shared" si="7969"/>
        <v>0</v>
      </c>
      <c r="BZ634" s="255">
        <f t="shared" si="7969"/>
        <v>0</v>
      </c>
      <c r="CA634" s="255">
        <f t="shared" si="7969"/>
        <v>0</v>
      </c>
      <c r="CB634" s="255">
        <f t="shared" si="7969"/>
        <v>0</v>
      </c>
      <c r="CC634" s="255">
        <f t="shared" si="7969"/>
        <v>0</v>
      </c>
      <c r="CD634" s="255">
        <f t="shared" si="7969"/>
        <v>0</v>
      </c>
      <c r="CE634" s="189">
        <f t="shared" si="7969"/>
        <v>0</v>
      </c>
      <c r="CF634" s="255">
        <f t="shared" si="7969"/>
        <v>0</v>
      </c>
      <c r="CG634" s="255">
        <f t="shared" si="7969"/>
        <v>0</v>
      </c>
      <c r="CH634" s="255">
        <f t="shared" si="7969"/>
        <v>0</v>
      </c>
      <c r="CI634" s="255">
        <f t="shared" si="7969"/>
        <v>0</v>
      </c>
      <c r="CJ634" s="255">
        <f t="shared" si="7969"/>
        <v>0</v>
      </c>
      <c r="CK634" s="255">
        <f t="shared" si="7969"/>
        <v>0</v>
      </c>
      <c r="CL634" s="255">
        <f t="shared" si="7969"/>
        <v>0</v>
      </c>
      <c r="CM634" s="255">
        <f t="shared" si="7969"/>
        <v>0</v>
      </c>
      <c r="CN634" s="255">
        <f t="shared" si="7969"/>
        <v>0</v>
      </c>
      <c r="CO634" s="255">
        <f t="shared" si="7969"/>
        <v>0</v>
      </c>
      <c r="CP634" s="255">
        <f t="shared" si="7969"/>
        <v>0</v>
      </c>
      <c r="CQ634" s="189">
        <f t="shared" si="7969"/>
        <v>0</v>
      </c>
      <c r="CR634" s="255">
        <f t="shared" si="7969"/>
        <v>0</v>
      </c>
      <c r="CS634" s="255">
        <f t="shared" si="7969"/>
        <v>0</v>
      </c>
      <c r="CT634" s="255">
        <f t="shared" si="7969"/>
        <v>0</v>
      </c>
      <c r="CU634" s="255">
        <f t="shared" si="7969"/>
        <v>0</v>
      </c>
      <c r="CV634" s="255">
        <f t="shared" si="7969"/>
        <v>0</v>
      </c>
      <c r="CW634" s="255">
        <f t="shared" si="7969"/>
        <v>0</v>
      </c>
      <c r="CX634" s="255">
        <f t="shared" si="7969"/>
        <v>0</v>
      </c>
      <c r="CY634" s="255">
        <f t="shared" si="7969"/>
        <v>0</v>
      </c>
      <c r="CZ634" s="255">
        <f t="shared" si="7969"/>
        <v>0</v>
      </c>
      <c r="DA634" s="255">
        <f t="shared" si="7969"/>
        <v>0</v>
      </c>
      <c r="DB634" s="255">
        <f t="shared" si="7969"/>
        <v>0</v>
      </c>
      <c r="DC634" s="189">
        <f t="shared" si="7969"/>
        <v>0</v>
      </c>
    </row>
    <row r="635" spans="3:107" x14ac:dyDescent="0.3">
      <c r="C635" s="101" t="s">
        <v>146</v>
      </c>
      <c r="G635" s="189">
        <f t="shared" ref="G635:AL635" si="7970">++IFERROR((G616-G595)/G631,0)</f>
        <v>0</v>
      </c>
      <c r="H635" s="255">
        <f t="shared" si="7970"/>
        <v>0</v>
      </c>
      <c r="I635" s="255">
        <f t="shared" si="7970"/>
        <v>0</v>
      </c>
      <c r="J635" s="255">
        <f t="shared" si="7970"/>
        <v>0</v>
      </c>
      <c r="K635" s="189">
        <f t="shared" si="7970"/>
        <v>0</v>
      </c>
      <c r="L635" s="255">
        <f t="shared" si="7970"/>
        <v>0</v>
      </c>
      <c r="M635" s="255">
        <f t="shared" si="7970"/>
        <v>0</v>
      </c>
      <c r="N635" s="255">
        <f t="shared" si="7970"/>
        <v>0</v>
      </c>
      <c r="O635" s="255">
        <f t="shared" si="7970"/>
        <v>0</v>
      </c>
      <c r="P635" s="255">
        <f t="shared" si="7970"/>
        <v>0</v>
      </c>
      <c r="Q635" s="255">
        <f t="shared" si="7970"/>
        <v>0</v>
      </c>
      <c r="R635" s="255">
        <f t="shared" si="7970"/>
        <v>0</v>
      </c>
      <c r="S635" s="255">
        <f t="shared" si="7970"/>
        <v>0</v>
      </c>
      <c r="T635" s="255">
        <f t="shared" si="7970"/>
        <v>0</v>
      </c>
      <c r="U635" s="255">
        <f t="shared" si="7970"/>
        <v>0</v>
      </c>
      <c r="V635" s="255">
        <f t="shared" si="7970"/>
        <v>0</v>
      </c>
      <c r="W635" s="189">
        <f t="shared" si="7970"/>
        <v>0</v>
      </c>
      <c r="X635" s="255">
        <f t="shared" si="7970"/>
        <v>0</v>
      </c>
      <c r="Y635" s="255">
        <f t="shared" ref="Y635" si="7971">++IFERROR((Y616-Y595)/Y631,0)</f>
        <v>0</v>
      </c>
      <c r="Z635" s="255">
        <f t="shared" si="7970"/>
        <v>0</v>
      </c>
      <c r="AA635" s="255">
        <f t="shared" si="7970"/>
        <v>0</v>
      </c>
      <c r="AB635" s="255">
        <f t="shared" si="7970"/>
        <v>0</v>
      </c>
      <c r="AC635" s="255">
        <f t="shared" si="7970"/>
        <v>0</v>
      </c>
      <c r="AD635" s="255">
        <f t="shared" si="7970"/>
        <v>0</v>
      </c>
      <c r="AE635" s="255">
        <f t="shared" si="7970"/>
        <v>0</v>
      </c>
      <c r="AF635" s="255">
        <f t="shared" si="7970"/>
        <v>0</v>
      </c>
      <c r="AG635" s="255">
        <f t="shared" si="7970"/>
        <v>0</v>
      </c>
      <c r="AH635" s="255">
        <f t="shared" si="7970"/>
        <v>0</v>
      </c>
      <c r="AI635" s="189">
        <f t="shared" si="7970"/>
        <v>0</v>
      </c>
      <c r="AJ635" s="255">
        <f t="shared" si="7970"/>
        <v>0</v>
      </c>
      <c r="AK635" s="255">
        <f t="shared" si="7970"/>
        <v>0</v>
      </c>
      <c r="AL635" s="255">
        <f t="shared" si="7970"/>
        <v>0</v>
      </c>
      <c r="AM635" s="255">
        <f t="shared" ref="AM635:BR635" si="7972">++IFERROR((AM616-AM595)/AM631,0)</f>
        <v>0</v>
      </c>
      <c r="AN635" s="255">
        <f t="shared" si="7972"/>
        <v>0</v>
      </c>
      <c r="AO635" s="255">
        <f t="shared" si="7972"/>
        <v>0</v>
      </c>
      <c r="AP635" s="255">
        <f t="shared" si="7972"/>
        <v>0</v>
      </c>
      <c r="AQ635" s="255">
        <f t="shared" si="7972"/>
        <v>0</v>
      </c>
      <c r="AR635" s="255">
        <f t="shared" si="7972"/>
        <v>0</v>
      </c>
      <c r="AS635" s="255">
        <f t="shared" si="7972"/>
        <v>0</v>
      </c>
      <c r="AT635" s="255">
        <f t="shared" si="7972"/>
        <v>0</v>
      </c>
      <c r="AU635" s="189">
        <f t="shared" si="7972"/>
        <v>0</v>
      </c>
      <c r="AV635" s="255">
        <f t="shared" si="7972"/>
        <v>0</v>
      </c>
      <c r="AW635" s="255">
        <f t="shared" si="7972"/>
        <v>0</v>
      </c>
      <c r="AX635" s="255">
        <f t="shared" si="7972"/>
        <v>0</v>
      </c>
      <c r="AY635" s="255">
        <f t="shared" si="7972"/>
        <v>0</v>
      </c>
      <c r="AZ635" s="255">
        <f t="shared" si="7972"/>
        <v>0</v>
      </c>
      <c r="BA635" s="255">
        <f t="shared" si="7972"/>
        <v>0</v>
      </c>
      <c r="BB635" s="255">
        <f t="shared" si="7972"/>
        <v>0</v>
      </c>
      <c r="BC635" s="255">
        <f t="shared" si="7972"/>
        <v>0</v>
      </c>
      <c r="BD635" s="255">
        <f t="shared" si="7972"/>
        <v>0</v>
      </c>
      <c r="BE635" s="255">
        <f t="shared" si="7972"/>
        <v>0</v>
      </c>
      <c r="BF635" s="255">
        <f t="shared" si="7972"/>
        <v>0</v>
      </c>
      <c r="BG635" s="189">
        <f t="shared" si="7972"/>
        <v>0</v>
      </c>
      <c r="BH635" s="255">
        <f t="shared" si="7972"/>
        <v>0</v>
      </c>
      <c r="BI635" s="255">
        <f t="shared" si="7972"/>
        <v>0</v>
      </c>
      <c r="BJ635" s="255">
        <f t="shared" si="7972"/>
        <v>0</v>
      </c>
      <c r="BK635" s="255">
        <f t="shared" si="7972"/>
        <v>0</v>
      </c>
      <c r="BL635" s="255">
        <f t="shared" si="7972"/>
        <v>0</v>
      </c>
      <c r="BM635" s="255">
        <f t="shared" si="7972"/>
        <v>0</v>
      </c>
      <c r="BN635" s="255">
        <f t="shared" si="7972"/>
        <v>0</v>
      </c>
      <c r="BO635" s="255">
        <f t="shared" si="7972"/>
        <v>0</v>
      </c>
      <c r="BP635" s="255">
        <f t="shared" si="7972"/>
        <v>0</v>
      </c>
      <c r="BQ635" s="255">
        <f t="shared" si="7972"/>
        <v>0</v>
      </c>
      <c r="BR635" s="255">
        <f t="shared" si="7972"/>
        <v>0</v>
      </c>
      <c r="BS635" s="189">
        <f t="shared" ref="BS635:DC635" si="7973">++IFERROR((BS616-BS595)/BS631,0)</f>
        <v>0</v>
      </c>
      <c r="BT635" s="255">
        <f t="shared" si="7973"/>
        <v>0</v>
      </c>
      <c r="BU635" s="255">
        <f t="shared" si="7973"/>
        <v>0</v>
      </c>
      <c r="BV635" s="255">
        <f t="shared" si="7973"/>
        <v>0</v>
      </c>
      <c r="BW635" s="255">
        <f t="shared" si="7973"/>
        <v>0</v>
      </c>
      <c r="BX635" s="255">
        <f t="shared" si="7973"/>
        <v>0</v>
      </c>
      <c r="BY635" s="255">
        <f t="shared" si="7973"/>
        <v>0</v>
      </c>
      <c r="BZ635" s="255">
        <f t="shared" si="7973"/>
        <v>0</v>
      </c>
      <c r="CA635" s="255">
        <f t="shared" si="7973"/>
        <v>0</v>
      </c>
      <c r="CB635" s="255">
        <f t="shared" si="7973"/>
        <v>0</v>
      </c>
      <c r="CC635" s="255">
        <f t="shared" si="7973"/>
        <v>0</v>
      </c>
      <c r="CD635" s="255">
        <f t="shared" si="7973"/>
        <v>0</v>
      </c>
      <c r="CE635" s="189">
        <f t="shared" si="7973"/>
        <v>0</v>
      </c>
      <c r="CF635" s="255">
        <f t="shared" si="7973"/>
        <v>0</v>
      </c>
      <c r="CG635" s="255">
        <f t="shared" si="7973"/>
        <v>0</v>
      </c>
      <c r="CH635" s="255">
        <f t="shared" si="7973"/>
        <v>0</v>
      </c>
      <c r="CI635" s="255">
        <f t="shared" si="7973"/>
        <v>0</v>
      </c>
      <c r="CJ635" s="255">
        <f t="shared" si="7973"/>
        <v>0</v>
      </c>
      <c r="CK635" s="255">
        <f t="shared" si="7973"/>
        <v>0</v>
      </c>
      <c r="CL635" s="255">
        <f t="shared" si="7973"/>
        <v>0</v>
      </c>
      <c r="CM635" s="255">
        <f t="shared" si="7973"/>
        <v>0</v>
      </c>
      <c r="CN635" s="255">
        <f t="shared" si="7973"/>
        <v>0</v>
      </c>
      <c r="CO635" s="255">
        <f t="shared" si="7973"/>
        <v>0</v>
      </c>
      <c r="CP635" s="255">
        <f t="shared" si="7973"/>
        <v>0</v>
      </c>
      <c r="CQ635" s="189">
        <f t="shared" si="7973"/>
        <v>0</v>
      </c>
      <c r="CR635" s="255">
        <f t="shared" si="7973"/>
        <v>0</v>
      </c>
      <c r="CS635" s="255">
        <f t="shared" si="7973"/>
        <v>0</v>
      </c>
      <c r="CT635" s="255">
        <f t="shared" si="7973"/>
        <v>0</v>
      </c>
      <c r="CU635" s="255">
        <f t="shared" si="7973"/>
        <v>0</v>
      </c>
      <c r="CV635" s="255">
        <f t="shared" si="7973"/>
        <v>0</v>
      </c>
      <c r="CW635" s="255">
        <f t="shared" si="7973"/>
        <v>0</v>
      </c>
      <c r="CX635" s="255">
        <f t="shared" si="7973"/>
        <v>0</v>
      </c>
      <c r="CY635" s="255">
        <f t="shared" si="7973"/>
        <v>0</v>
      </c>
      <c r="CZ635" s="255">
        <f t="shared" si="7973"/>
        <v>0</v>
      </c>
      <c r="DA635" s="255">
        <f t="shared" si="7973"/>
        <v>0</v>
      </c>
      <c r="DB635" s="255">
        <f t="shared" si="7973"/>
        <v>0</v>
      </c>
      <c r="DC635" s="189">
        <f t="shared" si="7973"/>
        <v>0</v>
      </c>
    </row>
    <row r="636" spans="3:107" x14ac:dyDescent="0.3">
      <c r="C636" s="101" t="s">
        <v>344</v>
      </c>
      <c r="G636" s="189">
        <f t="shared" ref="G636:AL636" si="7974">++IFERROR((G621-G595)/G631,0)</f>
        <v>0</v>
      </c>
      <c r="H636" s="255">
        <f t="shared" si="7974"/>
        <v>0</v>
      </c>
      <c r="I636" s="255">
        <f t="shared" si="7974"/>
        <v>0</v>
      </c>
      <c r="J636" s="255">
        <f t="shared" si="7974"/>
        <v>0</v>
      </c>
      <c r="K636" s="189">
        <f t="shared" si="7974"/>
        <v>0</v>
      </c>
      <c r="L636" s="255">
        <f t="shared" si="7974"/>
        <v>0</v>
      </c>
      <c r="M636" s="255">
        <f t="shared" si="7974"/>
        <v>0</v>
      </c>
      <c r="N636" s="255">
        <f t="shared" si="7974"/>
        <v>0</v>
      </c>
      <c r="O636" s="255">
        <f t="shared" si="7974"/>
        <v>0</v>
      </c>
      <c r="P636" s="255">
        <f t="shared" si="7974"/>
        <v>0</v>
      </c>
      <c r="Q636" s="255">
        <f t="shared" si="7974"/>
        <v>0</v>
      </c>
      <c r="R636" s="255">
        <f t="shared" si="7974"/>
        <v>0</v>
      </c>
      <c r="S636" s="255">
        <f t="shared" si="7974"/>
        <v>0</v>
      </c>
      <c r="T636" s="255">
        <f t="shared" si="7974"/>
        <v>0</v>
      </c>
      <c r="U636" s="255">
        <f t="shared" si="7974"/>
        <v>0</v>
      </c>
      <c r="V636" s="255">
        <f t="shared" si="7974"/>
        <v>0</v>
      </c>
      <c r="W636" s="189">
        <f t="shared" si="7974"/>
        <v>0</v>
      </c>
      <c r="X636" s="255">
        <f t="shared" si="7974"/>
        <v>0</v>
      </c>
      <c r="Y636" s="255">
        <f t="shared" ref="Y636" si="7975">++IFERROR((Y621-Y595)/Y631,0)</f>
        <v>0</v>
      </c>
      <c r="Z636" s="255">
        <f t="shared" si="7974"/>
        <v>0</v>
      </c>
      <c r="AA636" s="255">
        <f t="shared" si="7974"/>
        <v>0</v>
      </c>
      <c r="AB636" s="255">
        <f t="shared" si="7974"/>
        <v>0</v>
      </c>
      <c r="AC636" s="255">
        <f t="shared" si="7974"/>
        <v>0</v>
      </c>
      <c r="AD636" s="255">
        <f t="shared" si="7974"/>
        <v>0</v>
      </c>
      <c r="AE636" s="255">
        <f t="shared" si="7974"/>
        <v>0</v>
      </c>
      <c r="AF636" s="255">
        <f t="shared" si="7974"/>
        <v>0</v>
      </c>
      <c r="AG636" s="255">
        <f t="shared" si="7974"/>
        <v>0</v>
      </c>
      <c r="AH636" s="255">
        <f t="shared" si="7974"/>
        <v>0</v>
      </c>
      <c r="AI636" s="189">
        <f t="shared" si="7974"/>
        <v>0</v>
      </c>
      <c r="AJ636" s="255">
        <f t="shared" si="7974"/>
        <v>0</v>
      </c>
      <c r="AK636" s="255">
        <f t="shared" si="7974"/>
        <v>0</v>
      </c>
      <c r="AL636" s="255">
        <f t="shared" si="7974"/>
        <v>0</v>
      </c>
      <c r="AM636" s="255">
        <f t="shared" ref="AM636:BR636" si="7976">++IFERROR((AM621-AM595)/AM631,0)</f>
        <v>0</v>
      </c>
      <c r="AN636" s="255">
        <f t="shared" si="7976"/>
        <v>0</v>
      </c>
      <c r="AO636" s="255">
        <f t="shared" si="7976"/>
        <v>0</v>
      </c>
      <c r="AP636" s="255">
        <f t="shared" si="7976"/>
        <v>0</v>
      </c>
      <c r="AQ636" s="255">
        <f t="shared" si="7976"/>
        <v>0</v>
      </c>
      <c r="AR636" s="255">
        <f t="shared" si="7976"/>
        <v>0</v>
      </c>
      <c r="AS636" s="255">
        <f t="shared" si="7976"/>
        <v>0</v>
      </c>
      <c r="AT636" s="255">
        <f t="shared" si="7976"/>
        <v>0</v>
      </c>
      <c r="AU636" s="189">
        <f t="shared" si="7976"/>
        <v>0</v>
      </c>
      <c r="AV636" s="255">
        <f t="shared" si="7976"/>
        <v>0</v>
      </c>
      <c r="AW636" s="255">
        <f t="shared" si="7976"/>
        <v>0</v>
      </c>
      <c r="AX636" s="255">
        <f t="shared" si="7976"/>
        <v>0</v>
      </c>
      <c r="AY636" s="255">
        <f t="shared" si="7976"/>
        <v>0</v>
      </c>
      <c r="AZ636" s="255">
        <f t="shared" si="7976"/>
        <v>0</v>
      </c>
      <c r="BA636" s="255">
        <f t="shared" si="7976"/>
        <v>0</v>
      </c>
      <c r="BB636" s="255">
        <f t="shared" si="7976"/>
        <v>0</v>
      </c>
      <c r="BC636" s="255">
        <f t="shared" si="7976"/>
        <v>0</v>
      </c>
      <c r="BD636" s="255">
        <f t="shared" si="7976"/>
        <v>0</v>
      </c>
      <c r="BE636" s="255">
        <f t="shared" si="7976"/>
        <v>0</v>
      </c>
      <c r="BF636" s="255">
        <f t="shared" si="7976"/>
        <v>0</v>
      </c>
      <c r="BG636" s="189">
        <f t="shared" si="7976"/>
        <v>0</v>
      </c>
      <c r="BH636" s="255">
        <f t="shared" si="7976"/>
        <v>0</v>
      </c>
      <c r="BI636" s="255">
        <f t="shared" si="7976"/>
        <v>0</v>
      </c>
      <c r="BJ636" s="255">
        <f t="shared" si="7976"/>
        <v>0</v>
      </c>
      <c r="BK636" s="255">
        <f t="shared" si="7976"/>
        <v>0</v>
      </c>
      <c r="BL636" s="255">
        <f t="shared" si="7976"/>
        <v>0</v>
      </c>
      <c r="BM636" s="255">
        <f t="shared" si="7976"/>
        <v>0</v>
      </c>
      <c r="BN636" s="255">
        <f t="shared" si="7976"/>
        <v>0</v>
      </c>
      <c r="BO636" s="255">
        <f t="shared" si="7976"/>
        <v>0</v>
      </c>
      <c r="BP636" s="255">
        <f t="shared" si="7976"/>
        <v>0</v>
      </c>
      <c r="BQ636" s="255">
        <f t="shared" si="7976"/>
        <v>0</v>
      </c>
      <c r="BR636" s="255">
        <f t="shared" si="7976"/>
        <v>0</v>
      </c>
      <c r="BS636" s="189">
        <f t="shared" ref="BS636:DC636" si="7977">++IFERROR((BS621-BS595)/BS631,0)</f>
        <v>0</v>
      </c>
      <c r="BT636" s="255">
        <f t="shared" si="7977"/>
        <v>0</v>
      </c>
      <c r="BU636" s="255">
        <f t="shared" si="7977"/>
        <v>0</v>
      </c>
      <c r="BV636" s="255">
        <f t="shared" si="7977"/>
        <v>0</v>
      </c>
      <c r="BW636" s="255">
        <f t="shared" si="7977"/>
        <v>0</v>
      </c>
      <c r="BX636" s="255">
        <f t="shared" si="7977"/>
        <v>0</v>
      </c>
      <c r="BY636" s="255">
        <f t="shared" si="7977"/>
        <v>0</v>
      </c>
      <c r="BZ636" s="255">
        <f t="shared" si="7977"/>
        <v>0</v>
      </c>
      <c r="CA636" s="255">
        <f t="shared" si="7977"/>
        <v>0</v>
      </c>
      <c r="CB636" s="255">
        <f t="shared" si="7977"/>
        <v>0</v>
      </c>
      <c r="CC636" s="255">
        <f t="shared" si="7977"/>
        <v>0</v>
      </c>
      <c r="CD636" s="255">
        <f t="shared" si="7977"/>
        <v>0</v>
      </c>
      <c r="CE636" s="189">
        <f t="shared" si="7977"/>
        <v>0</v>
      </c>
      <c r="CF636" s="255">
        <f t="shared" si="7977"/>
        <v>0</v>
      </c>
      <c r="CG636" s="255">
        <f t="shared" si="7977"/>
        <v>0</v>
      </c>
      <c r="CH636" s="255">
        <f t="shared" si="7977"/>
        <v>0</v>
      </c>
      <c r="CI636" s="255">
        <f t="shared" si="7977"/>
        <v>0</v>
      </c>
      <c r="CJ636" s="255">
        <f t="shared" si="7977"/>
        <v>0</v>
      </c>
      <c r="CK636" s="255">
        <f t="shared" si="7977"/>
        <v>0</v>
      </c>
      <c r="CL636" s="255">
        <f t="shared" si="7977"/>
        <v>0</v>
      </c>
      <c r="CM636" s="255">
        <f t="shared" si="7977"/>
        <v>0</v>
      </c>
      <c r="CN636" s="255">
        <f t="shared" si="7977"/>
        <v>0</v>
      </c>
      <c r="CO636" s="255">
        <f t="shared" si="7977"/>
        <v>0</v>
      </c>
      <c r="CP636" s="255">
        <f t="shared" si="7977"/>
        <v>0</v>
      </c>
      <c r="CQ636" s="189">
        <f t="shared" si="7977"/>
        <v>0</v>
      </c>
      <c r="CR636" s="255">
        <f t="shared" si="7977"/>
        <v>0</v>
      </c>
      <c r="CS636" s="255">
        <f t="shared" si="7977"/>
        <v>0</v>
      </c>
      <c r="CT636" s="255">
        <f t="shared" si="7977"/>
        <v>0</v>
      </c>
      <c r="CU636" s="255">
        <f t="shared" si="7977"/>
        <v>0</v>
      </c>
      <c r="CV636" s="255">
        <f t="shared" si="7977"/>
        <v>0</v>
      </c>
      <c r="CW636" s="255">
        <f t="shared" si="7977"/>
        <v>0</v>
      </c>
      <c r="CX636" s="255">
        <f t="shared" si="7977"/>
        <v>0</v>
      </c>
      <c r="CY636" s="255">
        <f t="shared" si="7977"/>
        <v>0</v>
      </c>
      <c r="CZ636" s="255">
        <f t="shared" si="7977"/>
        <v>0</v>
      </c>
      <c r="DA636" s="255">
        <f t="shared" si="7977"/>
        <v>0</v>
      </c>
      <c r="DB636" s="255">
        <f t="shared" si="7977"/>
        <v>0</v>
      </c>
      <c r="DC636" s="189">
        <f t="shared" si="7977"/>
        <v>0</v>
      </c>
    </row>
    <row r="637" spans="3:107" x14ac:dyDescent="0.3">
      <c r="C637" s="101" t="s">
        <v>509</v>
      </c>
      <c r="G637" s="189">
        <f t="shared" ref="G637:AL637" si="7978">++IFERROR((G629-G591)/G631,0)</f>
        <v>0</v>
      </c>
      <c r="H637" s="255">
        <f t="shared" si="7978"/>
        <v>0</v>
      </c>
      <c r="I637" s="255">
        <f t="shared" si="7978"/>
        <v>0</v>
      </c>
      <c r="J637" s="255">
        <f t="shared" si="7978"/>
        <v>0</v>
      </c>
      <c r="K637" s="189">
        <f t="shared" si="7978"/>
        <v>0</v>
      </c>
      <c r="L637" s="255">
        <f t="shared" si="7978"/>
        <v>0</v>
      </c>
      <c r="M637" s="255">
        <f t="shared" si="7978"/>
        <v>0</v>
      </c>
      <c r="N637" s="255">
        <f t="shared" si="7978"/>
        <v>0</v>
      </c>
      <c r="O637" s="255">
        <f t="shared" si="7978"/>
        <v>0</v>
      </c>
      <c r="P637" s="255">
        <f t="shared" si="7978"/>
        <v>0</v>
      </c>
      <c r="Q637" s="255">
        <f t="shared" si="7978"/>
        <v>0</v>
      </c>
      <c r="R637" s="255">
        <f t="shared" si="7978"/>
        <v>0</v>
      </c>
      <c r="S637" s="255">
        <f t="shared" si="7978"/>
        <v>0</v>
      </c>
      <c r="T637" s="255">
        <f t="shared" si="7978"/>
        <v>0</v>
      </c>
      <c r="U637" s="255">
        <f t="shared" si="7978"/>
        <v>0</v>
      </c>
      <c r="V637" s="255">
        <f t="shared" si="7978"/>
        <v>0</v>
      </c>
      <c r="W637" s="189">
        <f t="shared" si="7978"/>
        <v>0</v>
      </c>
      <c r="X637" s="255">
        <f t="shared" si="7978"/>
        <v>0</v>
      </c>
      <c r="Y637" s="255">
        <f t="shared" ref="Y637" si="7979">++IFERROR((Y629-Y591)/Y631,0)</f>
        <v>0</v>
      </c>
      <c r="Z637" s="255">
        <f t="shared" si="7978"/>
        <v>0</v>
      </c>
      <c r="AA637" s="255">
        <f t="shared" si="7978"/>
        <v>0</v>
      </c>
      <c r="AB637" s="255">
        <f t="shared" si="7978"/>
        <v>0</v>
      </c>
      <c r="AC637" s="255">
        <f t="shared" si="7978"/>
        <v>0</v>
      </c>
      <c r="AD637" s="255">
        <f t="shared" si="7978"/>
        <v>0</v>
      </c>
      <c r="AE637" s="255">
        <f t="shared" si="7978"/>
        <v>0</v>
      </c>
      <c r="AF637" s="255">
        <f t="shared" si="7978"/>
        <v>0</v>
      </c>
      <c r="AG637" s="255">
        <f t="shared" si="7978"/>
        <v>0</v>
      </c>
      <c r="AH637" s="255">
        <f t="shared" si="7978"/>
        <v>0</v>
      </c>
      <c r="AI637" s="189">
        <f t="shared" si="7978"/>
        <v>0</v>
      </c>
      <c r="AJ637" s="255">
        <f t="shared" si="7978"/>
        <v>0</v>
      </c>
      <c r="AK637" s="255">
        <f t="shared" si="7978"/>
        <v>0</v>
      </c>
      <c r="AL637" s="255">
        <f t="shared" si="7978"/>
        <v>0</v>
      </c>
      <c r="AM637" s="255">
        <f t="shared" ref="AM637:BR637" si="7980">++IFERROR((AM629-AM591)/AM631,0)</f>
        <v>0</v>
      </c>
      <c r="AN637" s="255">
        <f t="shared" si="7980"/>
        <v>0</v>
      </c>
      <c r="AO637" s="255">
        <f t="shared" si="7980"/>
        <v>0</v>
      </c>
      <c r="AP637" s="255">
        <f t="shared" si="7980"/>
        <v>0</v>
      </c>
      <c r="AQ637" s="255">
        <f t="shared" si="7980"/>
        <v>0</v>
      </c>
      <c r="AR637" s="255">
        <f t="shared" si="7980"/>
        <v>0</v>
      </c>
      <c r="AS637" s="255">
        <f t="shared" si="7980"/>
        <v>0</v>
      </c>
      <c r="AT637" s="255">
        <f t="shared" si="7980"/>
        <v>0</v>
      </c>
      <c r="AU637" s="189">
        <f t="shared" si="7980"/>
        <v>0</v>
      </c>
      <c r="AV637" s="255">
        <f t="shared" si="7980"/>
        <v>0</v>
      </c>
      <c r="AW637" s="255">
        <f t="shared" si="7980"/>
        <v>0</v>
      </c>
      <c r="AX637" s="255">
        <f t="shared" si="7980"/>
        <v>0</v>
      </c>
      <c r="AY637" s="255">
        <f t="shared" si="7980"/>
        <v>0</v>
      </c>
      <c r="AZ637" s="255">
        <f t="shared" si="7980"/>
        <v>0</v>
      </c>
      <c r="BA637" s="255">
        <f t="shared" si="7980"/>
        <v>0</v>
      </c>
      <c r="BB637" s="255">
        <f t="shared" si="7980"/>
        <v>0</v>
      </c>
      <c r="BC637" s="255">
        <f t="shared" si="7980"/>
        <v>0</v>
      </c>
      <c r="BD637" s="255">
        <f t="shared" si="7980"/>
        <v>0</v>
      </c>
      <c r="BE637" s="255">
        <f t="shared" si="7980"/>
        <v>0</v>
      </c>
      <c r="BF637" s="255">
        <f t="shared" si="7980"/>
        <v>0</v>
      </c>
      <c r="BG637" s="189">
        <f t="shared" si="7980"/>
        <v>0</v>
      </c>
      <c r="BH637" s="255">
        <f t="shared" si="7980"/>
        <v>0</v>
      </c>
      <c r="BI637" s="255">
        <f t="shared" si="7980"/>
        <v>0</v>
      </c>
      <c r="BJ637" s="255">
        <f t="shared" si="7980"/>
        <v>0</v>
      </c>
      <c r="BK637" s="255">
        <f t="shared" si="7980"/>
        <v>0</v>
      </c>
      <c r="BL637" s="255">
        <f t="shared" si="7980"/>
        <v>0</v>
      </c>
      <c r="BM637" s="255">
        <f t="shared" si="7980"/>
        <v>0</v>
      </c>
      <c r="BN637" s="255">
        <f t="shared" si="7980"/>
        <v>0</v>
      </c>
      <c r="BO637" s="255">
        <f t="shared" si="7980"/>
        <v>0</v>
      </c>
      <c r="BP637" s="255">
        <f t="shared" si="7980"/>
        <v>0</v>
      </c>
      <c r="BQ637" s="255">
        <f t="shared" si="7980"/>
        <v>0</v>
      </c>
      <c r="BR637" s="255">
        <f t="shared" si="7980"/>
        <v>0</v>
      </c>
      <c r="BS637" s="189">
        <f t="shared" ref="BS637:DC637" si="7981">++IFERROR((BS629-BS591)/BS631,0)</f>
        <v>0</v>
      </c>
      <c r="BT637" s="255">
        <f t="shared" si="7981"/>
        <v>0</v>
      </c>
      <c r="BU637" s="255">
        <f t="shared" si="7981"/>
        <v>0</v>
      </c>
      <c r="BV637" s="255">
        <f t="shared" si="7981"/>
        <v>0</v>
      </c>
      <c r="BW637" s="255">
        <f t="shared" si="7981"/>
        <v>0</v>
      </c>
      <c r="BX637" s="255">
        <f t="shared" si="7981"/>
        <v>0</v>
      </c>
      <c r="BY637" s="255">
        <f t="shared" si="7981"/>
        <v>0</v>
      </c>
      <c r="BZ637" s="255">
        <f t="shared" si="7981"/>
        <v>0</v>
      </c>
      <c r="CA637" s="255">
        <f t="shared" si="7981"/>
        <v>0</v>
      </c>
      <c r="CB637" s="255">
        <f t="shared" si="7981"/>
        <v>0</v>
      </c>
      <c r="CC637" s="255">
        <f t="shared" si="7981"/>
        <v>0</v>
      </c>
      <c r="CD637" s="255">
        <f t="shared" si="7981"/>
        <v>0</v>
      </c>
      <c r="CE637" s="189">
        <f t="shared" si="7981"/>
        <v>0</v>
      </c>
      <c r="CF637" s="255">
        <f t="shared" si="7981"/>
        <v>0</v>
      </c>
      <c r="CG637" s="255">
        <f t="shared" si="7981"/>
        <v>0</v>
      </c>
      <c r="CH637" s="255">
        <f t="shared" si="7981"/>
        <v>0</v>
      </c>
      <c r="CI637" s="255">
        <f t="shared" si="7981"/>
        <v>0</v>
      </c>
      <c r="CJ637" s="255">
        <f t="shared" si="7981"/>
        <v>0</v>
      </c>
      <c r="CK637" s="255">
        <f t="shared" si="7981"/>
        <v>0</v>
      </c>
      <c r="CL637" s="255">
        <f t="shared" si="7981"/>
        <v>0</v>
      </c>
      <c r="CM637" s="255">
        <f t="shared" si="7981"/>
        <v>0</v>
      </c>
      <c r="CN637" s="255">
        <f t="shared" si="7981"/>
        <v>0</v>
      </c>
      <c r="CO637" s="255">
        <f t="shared" si="7981"/>
        <v>0</v>
      </c>
      <c r="CP637" s="255">
        <f t="shared" si="7981"/>
        <v>0</v>
      </c>
      <c r="CQ637" s="189">
        <f t="shared" si="7981"/>
        <v>0</v>
      </c>
      <c r="CR637" s="255">
        <f t="shared" si="7981"/>
        <v>0</v>
      </c>
      <c r="CS637" s="255">
        <f t="shared" si="7981"/>
        <v>0</v>
      </c>
      <c r="CT637" s="255">
        <f t="shared" si="7981"/>
        <v>0</v>
      </c>
      <c r="CU637" s="255">
        <f t="shared" si="7981"/>
        <v>0</v>
      </c>
      <c r="CV637" s="255">
        <f t="shared" si="7981"/>
        <v>0</v>
      </c>
      <c r="CW637" s="255">
        <f t="shared" si="7981"/>
        <v>0</v>
      </c>
      <c r="CX637" s="255">
        <f t="shared" si="7981"/>
        <v>0</v>
      </c>
      <c r="CY637" s="255">
        <f t="shared" si="7981"/>
        <v>0</v>
      </c>
      <c r="CZ637" s="255">
        <f t="shared" si="7981"/>
        <v>0</v>
      </c>
      <c r="DA637" s="255">
        <f t="shared" si="7981"/>
        <v>0</v>
      </c>
      <c r="DB637" s="255">
        <f t="shared" si="7981"/>
        <v>0</v>
      </c>
      <c r="DC637" s="189">
        <f t="shared" si="7981"/>
        <v>0</v>
      </c>
    </row>
    <row r="638" spans="3:107" x14ac:dyDescent="0.3">
      <c r="G638" s="203"/>
      <c r="K638" s="203"/>
      <c r="W638" s="203"/>
      <c r="AI638" s="203"/>
      <c r="AU638" s="203"/>
      <c r="BG638" s="203"/>
      <c r="BS638" s="203"/>
      <c r="CE638" s="203"/>
      <c r="CQ638" s="203"/>
      <c r="DC638" s="203"/>
    </row>
    <row r="639" spans="3:107" x14ac:dyDescent="0.3">
      <c r="C639" s="101" t="s">
        <v>388</v>
      </c>
      <c r="G639" s="430">
        <v>0</v>
      </c>
      <c r="H639" s="429">
        <f t="shared" ref="H639:H640" si="7982">++G639</f>
        <v>0</v>
      </c>
      <c r="I639" s="429">
        <f t="shared" ref="I639:I640" si="7983">++H639</f>
        <v>0</v>
      </c>
      <c r="J639" s="429">
        <f t="shared" ref="J639:J640" si="7984">++I639</f>
        <v>0</v>
      </c>
      <c r="K639" s="431">
        <f t="shared" ref="K639:K640" si="7985">++J639</f>
        <v>0</v>
      </c>
      <c r="L639" s="429">
        <f t="shared" ref="L639:L640" si="7986">++K639</f>
        <v>0</v>
      </c>
      <c r="M639" s="429">
        <f t="shared" ref="M639:M640" si="7987">++L639</f>
        <v>0</v>
      </c>
      <c r="N639" s="429">
        <f t="shared" ref="N639:N640" si="7988">++M639</f>
        <v>0</v>
      </c>
      <c r="O639" s="429">
        <f t="shared" ref="O639:O640" si="7989">++N639</f>
        <v>0</v>
      </c>
      <c r="P639" s="429">
        <f t="shared" ref="P639:P640" si="7990">++O639</f>
        <v>0</v>
      </c>
      <c r="Q639" s="429">
        <f t="shared" ref="Q639:Q640" si="7991">++P639</f>
        <v>0</v>
      </c>
      <c r="R639" s="429">
        <f t="shared" ref="R639:R640" si="7992">++Q639</f>
        <v>0</v>
      </c>
      <c r="S639" s="429">
        <f t="shared" ref="S639:S640" si="7993">++R639</f>
        <v>0</v>
      </c>
      <c r="T639" s="429">
        <f t="shared" ref="T639:T640" si="7994">++S639</f>
        <v>0</v>
      </c>
      <c r="U639" s="429">
        <f t="shared" ref="U639:U640" si="7995">++T639</f>
        <v>0</v>
      </c>
      <c r="V639" s="429">
        <f t="shared" ref="V639:V640" si="7996">++U639</f>
        <v>0</v>
      </c>
      <c r="W639" s="431">
        <f t="shared" ref="W639:W640" si="7997">++V639</f>
        <v>0</v>
      </c>
      <c r="X639" s="429">
        <f t="shared" ref="X639:X640" si="7998">++W639</f>
        <v>0</v>
      </c>
      <c r="Y639" s="429">
        <f t="shared" ref="Y639:Y640" si="7999">++X639</f>
        <v>0</v>
      </c>
      <c r="Z639" s="429">
        <f t="shared" ref="Z639:Z640" si="8000">++Y639</f>
        <v>0</v>
      </c>
      <c r="AA639" s="429">
        <f t="shared" ref="AA639:AA640" si="8001">++Z639</f>
        <v>0</v>
      </c>
      <c r="AB639" s="429">
        <f t="shared" ref="AB639:AB640" si="8002">++AA639</f>
        <v>0</v>
      </c>
      <c r="AC639" s="429">
        <f t="shared" ref="AC639:AC640" si="8003">++AB639</f>
        <v>0</v>
      </c>
      <c r="AD639" s="429">
        <f t="shared" ref="AD639:AD640" si="8004">++AC639</f>
        <v>0</v>
      </c>
      <c r="AE639" s="429">
        <f t="shared" ref="AE639:AE640" si="8005">++AD639</f>
        <v>0</v>
      </c>
      <c r="AF639" s="429">
        <f t="shared" ref="AF639:AF640" si="8006">++AE639</f>
        <v>0</v>
      </c>
      <c r="AG639" s="429">
        <f t="shared" ref="AG639:AG640" si="8007">++AF639</f>
        <v>0</v>
      </c>
      <c r="AH639" s="429">
        <f t="shared" ref="AH639:AH640" si="8008">++AG639</f>
        <v>0</v>
      </c>
      <c r="AI639" s="431">
        <f t="shared" ref="AI639:AI640" si="8009">++AH639</f>
        <v>0</v>
      </c>
      <c r="AJ639" s="429">
        <f t="shared" ref="AJ639:AJ640" si="8010">++AI639</f>
        <v>0</v>
      </c>
      <c r="AK639" s="429">
        <f t="shared" ref="AK639:AK640" si="8011">++AJ639</f>
        <v>0</v>
      </c>
      <c r="AL639" s="429">
        <f t="shared" ref="AL639:AL640" si="8012">++AK639</f>
        <v>0</v>
      </c>
      <c r="AM639" s="429">
        <f t="shared" ref="AM639:AM640" si="8013">++AL639</f>
        <v>0</v>
      </c>
      <c r="AN639" s="429">
        <f t="shared" ref="AN639:AN640" si="8014">++AM639</f>
        <v>0</v>
      </c>
      <c r="AO639" s="429">
        <f t="shared" ref="AO639:AO640" si="8015">++AN639</f>
        <v>0</v>
      </c>
      <c r="AP639" s="429">
        <f t="shared" ref="AP639:AP640" si="8016">++AO639</f>
        <v>0</v>
      </c>
      <c r="AQ639" s="429">
        <f t="shared" ref="AQ639:AQ640" si="8017">++AP639</f>
        <v>0</v>
      </c>
      <c r="AR639" s="429">
        <f t="shared" ref="AR639:AR640" si="8018">++AQ639</f>
        <v>0</v>
      </c>
      <c r="AS639" s="429">
        <f t="shared" ref="AS639:AS640" si="8019">++AR639</f>
        <v>0</v>
      </c>
      <c r="AT639" s="429">
        <f t="shared" ref="AT639:AT640" si="8020">++AS639</f>
        <v>0</v>
      </c>
      <c r="AU639" s="431">
        <f t="shared" ref="AU639:AU640" si="8021">++AT639</f>
        <v>0</v>
      </c>
      <c r="AV639" s="429">
        <f t="shared" ref="AV639:AV640" si="8022">++AU639</f>
        <v>0</v>
      </c>
      <c r="AW639" s="429">
        <f t="shared" ref="AW639:AW640" si="8023">++AV639</f>
        <v>0</v>
      </c>
      <c r="AX639" s="429">
        <f t="shared" ref="AX639:AX640" si="8024">++AW639</f>
        <v>0</v>
      </c>
      <c r="AY639" s="429">
        <f t="shared" ref="AY639:AY640" si="8025">++AX639</f>
        <v>0</v>
      </c>
      <c r="AZ639" s="429">
        <f t="shared" ref="AZ639:AZ640" si="8026">++AY639</f>
        <v>0</v>
      </c>
      <c r="BA639" s="429">
        <f t="shared" ref="BA639:BA640" si="8027">++AZ639</f>
        <v>0</v>
      </c>
      <c r="BB639" s="429">
        <f t="shared" ref="BB639:BB640" si="8028">++BA639</f>
        <v>0</v>
      </c>
      <c r="BC639" s="429">
        <f t="shared" ref="BC639:BC640" si="8029">++BB639</f>
        <v>0</v>
      </c>
      <c r="BD639" s="429">
        <f t="shared" ref="BD639:BD640" si="8030">++BC639</f>
        <v>0</v>
      </c>
      <c r="BE639" s="429">
        <f t="shared" ref="BE639:BE640" si="8031">++BD639</f>
        <v>0</v>
      </c>
      <c r="BF639" s="429">
        <f t="shared" ref="BF639:BF640" si="8032">++BE639</f>
        <v>0</v>
      </c>
      <c r="BG639" s="431">
        <f t="shared" ref="BG639:BG640" si="8033">++BF639</f>
        <v>0</v>
      </c>
      <c r="BH639" s="429">
        <f t="shared" ref="BH639:BH640" si="8034">++BG639</f>
        <v>0</v>
      </c>
      <c r="BI639" s="429">
        <f t="shared" ref="BI639:BI640" si="8035">++BH639</f>
        <v>0</v>
      </c>
      <c r="BJ639" s="429">
        <f t="shared" ref="BJ639:BJ640" si="8036">++BI639</f>
        <v>0</v>
      </c>
      <c r="BK639" s="429">
        <f t="shared" ref="BK639:BK640" si="8037">++BJ639</f>
        <v>0</v>
      </c>
      <c r="BL639" s="429">
        <f t="shared" ref="BL639:BL640" si="8038">++BK639</f>
        <v>0</v>
      </c>
      <c r="BM639" s="429">
        <f t="shared" ref="BM639:BM640" si="8039">++BL639</f>
        <v>0</v>
      </c>
      <c r="BN639" s="429">
        <f t="shared" ref="BN639:BN640" si="8040">++BM639</f>
        <v>0</v>
      </c>
      <c r="BO639" s="429">
        <f t="shared" ref="BO639:BO640" si="8041">++BN639</f>
        <v>0</v>
      </c>
      <c r="BP639" s="429">
        <f t="shared" ref="BP639:BP640" si="8042">++BO639</f>
        <v>0</v>
      </c>
      <c r="BQ639" s="429">
        <f t="shared" ref="BQ639:BQ640" si="8043">++BP639</f>
        <v>0</v>
      </c>
      <c r="BR639" s="429">
        <f t="shared" ref="BR639:BR640" si="8044">++BQ639</f>
        <v>0</v>
      </c>
      <c r="BS639" s="431">
        <f t="shared" ref="BS639:BS640" si="8045">++BR639</f>
        <v>0</v>
      </c>
      <c r="BT639" s="429">
        <f t="shared" ref="BT639:BT640" si="8046">++BS639</f>
        <v>0</v>
      </c>
      <c r="BU639" s="429">
        <f t="shared" ref="BU639:BU640" si="8047">++BT639</f>
        <v>0</v>
      </c>
      <c r="BV639" s="429">
        <f t="shared" ref="BV639:BV640" si="8048">++BU639</f>
        <v>0</v>
      </c>
      <c r="BW639" s="429">
        <f t="shared" ref="BW639:BW640" si="8049">++BV639</f>
        <v>0</v>
      </c>
      <c r="BX639" s="429">
        <f t="shared" ref="BX639:BX640" si="8050">++BW639</f>
        <v>0</v>
      </c>
      <c r="BY639" s="429">
        <f t="shared" ref="BY639:BY640" si="8051">++BX639</f>
        <v>0</v>
      </c>
      <c r="BZ639" s="429">
        <f t="shared" ref="BZ639:BZ640" si="8052">++BY639</f>
        <v>0</v>
      </c>
      <c r="CA639" s="429">
        <f t="shared" ref="CA639:CA640" si="8053">++BZ639</f>
        <v>0</v>
      </c>
      <c r="CB639" s="429">
        <f t="shared" ref="CB639:CB640" si="8054">++CA639</f>
        <v>0</v>
      </c>
      <c r="CC639" s="429">
        <f t="shared" ref="CC639:CC640" si="8055">++CB639</f>
        <v>0</v>
      </c>
      <c r="CD639" s="429">
        <f t="shared" ref="CD639:CD640" si="8056">++CC639</f>
        <v>0</v>
      </c>
      <c r="CE639" s="431">
        <f t="shared" ref="CE639:DC640" si="8057">++CD639</f>
        <v>0</v>
      </c>
      <c r="CF639" s="429">
        <f t="shared" si="8057"/>
        <v>0</v>
      </c>
      <c r="CG639" s="429">
        <f t="shared" si="8057"/>
        <v>0</v>
      </c>
      <c r="CH639" s="429">
        <f t="shared" si="8057"/>
        <v>0</v>
      </c>
      <c r="CI639" s="429">
        <f t="shared" si="8057"/>
        <v>0</v>
      </c>
      <c r="CJ639" s="429">
        <f t="shared" si="8057"/>
        <v>0</v>
      </c>
      <c r="CK639" s="429">
        <f t="shared" si="8057"/>
        <v>0</v>
      </c>
      <c r="CL639" s="429">
        <f t="shared" si="8057"/>
        <v>0</v>
      </c>
      <c r="CM639" s="429">
        <f t="shared" si="8057"/>
        <v>0</v>
      </c>
      <c r="CN639" s="429">
        <f t="shared" si="8057"/>
        <v>0</v>
      </c>
      <c r="CO639" s="429">
        <f t="shared" si="8057"/>
        <v>0</v>
      </c>
      <c r="CP639" s="429">
        <f t="shared" si="8057"/>
        <v>0</v>
      </c>
      <c r="CQ639" s="431">
        <f t="shared" si="8057"/>
        <v>0</v>
      </c>
      <c r="CR639" s="429">
        <f t="shared" si="8057"/>
        <v>0</v>
      </c>
      <c r="CS639" s="429">
        <f t="shared" si="8057"/>
        <v>0</v>
      </c>
      <c r="CT639" s="429">
        <f t="shared" si="8057"/>
        <v>0</v>
      </c>
      <c r="CU639" s="429">
        <f t="shared" si="8057"/>
        <v>0</v>
      </c>
      <c r="CV639" s="429">
        <f t="shared" si="8057"/>
        <v>0</v>
      </c>
      <c r="CW639" s="429">
        <f t="shared" si="8057"/>
        <v>0</v>
      </c>
      <c r="CX639" s="429">
        <f t="shared" si="8057"/>
        <v>0</v>
      </c>
      <c r="CY639" s="429">
        <f t="shared" si="8057"/>
        <v>0</v>
      </c>
      <c r="CZ639" s="429">
        <f t="shared" si="8057"/>
        <v>0</v>
      </c>
      <c r="DA639" s="429">
        <f t="shared" si="8057"/>
        <v>0</v>
      </c>
      <c r="DB639" s="429">
        <f t="shared" si="8057"/>
        <v>0</v>
      </c>
      <c r="DC639" s="431">
        <f t="shared" si="8057"/>
        <v>0</v>
      </c>
    </row>
    <row r="640" spans="3:107" x14ac:dyDescent="0.3">
      <c r="C640" s="101" t="s">
        <v>467</v>
      </c>
      <c r="G640" s="77">
        <v>0</v>
      </c>
      <c r="H640" s="195">
        <f t="shared" si="7982"/>
        <v>0</v>
      </c>
      <c r="I640" s="195">
        <f t="shared" si="7983"/>
        <v>0</v>
      </c>
      <c r="J640" s="195">
        <f t="shared" si="7984"/>
        <v>0</v>
      </c>
      <c r="K640" s="410">
        <f t="shared" si="7985"/>
        <v>0</v>
      </c>
      <c r="L640" s="195">
        <f t="shared" si="7986"/>
        <v>0</v>
      </c>
      <c r="M640" s="195">
        <f t="shared" si="7987"/>
        <v>0</v>
      </c>
      <c r="N640" s="195">
        <f t="shared" si="7988"/>
        <v>0</v>
      </c>
      <c r="O640" s="195">
        <f t="shared" si="7989"/>
        <v>0</v>
      </c>
      <c r="P640" s="195">
        <f t="shared" si="7990"/>
        <v>0</v>
      </c>
      <c r="Q640" s="195">
        <f t="shared" si="7991"/>
        <v>0</v>
      </c>
      <c r="R640" s="195">
        <f t="shared" si="7992"/>
        <v>0</v>
      </c>
      <c r="S640" s="195">
        <f t="shared" si="7993"/>
        <v>0</v>
      </c>
      <c r="T640" s="195">
        <f t="shared" si="7994"/>
        <v>0</v>
      </c>
      <c r="U640" s="195">
        <f t="shared" si="7995"/>
        <v>0</v>
      </c>
      <c r="V640" s="195">
        <f t="shared" si="7996"/>
        <v>0</v>
      </c>
      <c r="W640" s="410">
        <f t="shared" si="7997"/>
        <v>0</v>
      </c>
      <c r="X640" s="195">
        <f t="shared" si="7998"/>
        <v>0</v>
      </c>
      <c r="Y640" s="195">
        <f t="shared" si="7999"/>
        <v>0</v>
      </c>
      <c r="Z640" s="195">
        <f t="shared" si="8000"/>
        <v>0</v>
      </c>
      <c r="AA640" s="195">
        <f t="shared" si="8001"/>
        <v>0</v>
      </c>
      <c r="AB640" s="195">
        <f t="shared" si="8002"/>
        <v>0</v>
      </c>
      <c r="AC640" s="195">
        <f t="shared" si="8003"/>
        <v>0</v>
      </c>
      <c r="AD640" s="195">
        <f t="shared" si="8004"/>
        <v>0</v>
      </c>
      <c r="AE640" s="195">
        <f t="shared" si="8005"/>
        <v>0</v>
      </c>
      <c r="AF640" s="195">
        <f t="shared" si="8006"/>
        <v>0</v>
      </c>
      <c r="AG640" s="195">
        <f t="shared" si="8007"/>
        <v>0</v>
      </c>
      <c r="AH640" s="195">
        <f t="shared" si="8008"/>
        <v>0</v>
      </c>
      <c r="AI640" s="410">
        <f t="shared" si="8009"/>
        <v>0</v>
      </c>
      <c r="AJ640" s="195">
        <f t="shared" si="8010"/>
        <v>0</v>
      </c>
      <c r="AK640" s="195">
        <f t="shared" si="8011"/>
        <v>0</v>
      </c>
      <c r="AL640" s="195">
        <f t="shared" si="8012"/>
        <v>0</v>
      </c>
      <c r="AM640" s="195">
        <f t="shared" si="8013"/>
        <v>0</v>
      </c>
      <c r="AN640" s="195">
        <f t="shared" si="8014"/>
        <v>0</v>
      </c>
      <c r="AO640" s="195">
        <f t="shared" si="8015"/>
        <v>0</v>
      </c>
      <c r="AP640" s="195">
        <f t="shared" si="8016"/>
        <v>0</v>
      </c>
      <c r="AQ640" s="195">
        <f t="shared" si="8017"/>
        <v>0</v>
      </c>
      <c r="AR640" s="195">
        <f t="shared" si="8018"/>
        <v>0</v>
      </c>
      <c r="AS640" s="195">
        <f t="shared" si="8019"/>
        <v>0</v>
      </c>
      <c r="AT640" s="195">
        <f t="shared" si="8020"/>
        <v>0</v>
      </c>
      <c r="AU640" s="410">
        <f t="shared" si="8021"/>
        <v>0</v>
      </c>
      <c r="AV640" s="195">
        <f t="shared" si="8022"/>
        <v>0</v>
      </c>
      <c r="AW640" s="195">
        <f t="shared" si="8023"/>
        <v>0</v>
      </c>
      <c r="AX640" s="195">
        <f t="shared" si="8024"/>
        <v>0</v>
      </c>
      <c r="AY640" s="195">
        <f t="shared" si="8025"/>
        <v>0</v>
      </c>
      <c r="AZ640" s="195">
        <f t="shared" si="8026"/>
        <v>0</v>
      </c>
      <c r="BA640" s="195">
        <f t="shared" si="8027"/>
        <v>0</v>
      </c>
      <c r="BB640" s="195">
        <f t="shared" si="8028"/>
        <v>0</v>
      </c>
      <c r="BC640" s="195">
        <f t="shared" si="8029"/>
        <v>0</v>
      </c>
      <c r="BD640" s="195">
        <f t="shared" si="8030"/>
        <v>0</v>
      </c>
      <c r="BE640" s="195">
        <f t="shared" si="8031"/>
        <v>0</v>
      </c>
      <c r="BF640" s="195">
        <f t="shared" si="8032"/>
        <v>0</v>
      </c>
      <c r="BG640" s="410">
        <f t="shared" si="8033"/>
        <v>0</v>
      </c>
      <c r="BH640" s="195">
        <f t="shared" si="8034"/>
        <v>0</v>
      </c>
      <c r="BI640" s="195">
        <f t="shared" si="8035"/>
        <v>0</v>
      </c>
      <c r="BJ640" s="195">
        <f t="shared" si="8036"/>
        <v>0</v>
      </c>
      <c r="BK640" s="195">
        <f t="shared" si="8037"/>
        <v>0</v>
      </c>
      <c r="BL640" s="195">
        <f t="shared" si="8038"/>
        <v>0</v>
      </c>
      <c r="BM640" s="195">
        <f t="shared" si="8039"/>
        <v>0</v>
      </c>
      <c r="BN640" s="195">
        <f t="shared" si="8040"/>
        <v>0</v>
      </c>
      <c r="BO640" s="195">
        <f t="shared" si="8041"/>
        <v>0</v>
      </c>
      <c r="BP640" s="195">
        <f t="shared" si="8042"/>
        <v>0</v>
      </c>
      <c r="BQ640" s="195">
        <f t="shared" si="8043"/>
        <v>0</v>
      </c>
      <c r="BR640" s="195">
        <f t="shared" si="8044"/>
        <v>0</v>
      </c>
      <c r="BS640" s="410">
        <f t="shared" si="8045"/>
        <v>0</v>
      </c>
      <c r="BT640" s="195">
        <f t="shared" si="8046"/>
        <v>0</v>
      </c>
      <c r="BU640" s="195">
        <f t="shared" si="8047"/>
        <v>0</v>
      </c>
      <c r="BV640" s="195">
        <f t="shared" si="8048"/>
        <v>0</v>
      </c>
      <c r="BW640" s="195">
        <f t="shared" si="8049"/>
        <v>0</v>
      </c>
      <c r="BX640" s="195">
        <f t="shared" si="8050"/>
        <v>0</v>
      </c>
      <c r="BY640" s="195">
        <f t="shared" si="8051"/>
        <v>0</v>
      </c>
      <c r="BZ640" s="195">
        <f t="shared" si="8052"/>
        <v>0</v>
      </c>
      <c r="CA640" s="195">
        <f t="shared" si="8053"/>
        <v>0</v>
      </c>
      <c r="CB640" s="195">
        <f t="shared" si="8054"/>
        <v>0</v>
      </c>
      <c r="CC640" s="195">
        <f t="shared" si="8055"/>
        <v>0</v>
      </c>
      <c r="CD640" s="195">
        <f t="shared" si="8056"/>
        <v>0</v>
      </c>
      <c r="CE640" s="410">
        <f t="shared" si="8057"/>
        <v>0</v>
      </c>
      <c r="CF640" s="195">
        <f t="shared" si="8057"/>
        <v>0</v>
      </c>
      <c r="CG640" s="195">
        <f t="shared" si="8057"/>
        <v>0</v>
      </c>
      <c r="CH640" s="195">
        <f t="shared" si="8057"/>
        <v>0</v>
      </c>
      <c r="CI640" s="195">
        <f t="shared" si="8057"/>
        <v>0</v>
      </c>
      <c r="CJ640" s="195">
        <f t="shared" si="8057"/>
        <v>0</v>
      </c>
      <c r="CK640" s="195">
        <f t="shared" si="8057"/>
        <v>0</v>
      </c>
      <c r="CL640" s="195">
        <f t="shared" si="8057"/>
        <v>0</v>
      </c>
      <c r="CM640" s="195">
        <f t="shared" si="8057"/>
        <v>0</v>
      </c>
      <c r="CN640" s="195">
        <f t="shared" si="8057"/>
        <v>0</v>
      </c>
      <c r="CO640" s="195">
        <f t="shared" si="8057"/>
        <v>0</v>
      </c>
      <c r="CP640" s="195">
        <f t="shared" si="8057"/>
        <v>0</v>
      </c>
      <c r="CQ640" s="410">
        <f t="shared" si="8057"/>
        <v>0</v>
      </c>
      <c r="CR640" s="195">
        <f t="shared" si="8057"/>
        <v>0</v>
      </c>
      <c r="CS640" s="195">
        <f t="shared" si="8057"/>
        <v>0</v>
      </c>
      <c r="CT640" s="195">
        <f t="shared" si="8057"/>
        <v>0</v>
      </c>
      <c r="CU640" s="195">
        <f t="shared" si="8057"/>
        <v>0</v>
      </c>
      <c r="CV640" s="195">
        <f t="shared" si="8057"/>
        <v>0</v>
      </c>
      <c r="CW640" s="195">
        <f t="shared" si="8057"/>
        <v>0</v>
      </c>
      <c r="CX640" s="195">
        <f t="shared" si="8057"/>
        <v>0</v>
      </c>
      <c r="CY640" s="195">
        <f t="shared" si="8057"/>
        <v>0</v>
      </c>
      <c r="CZ640" s="195">
        <f t="shared" si="8057"/>
        <v>0</v>
      </c>
      <c r="DA640" s="195">
        <f t="shared" si="8057"/>
        <v>0</v>
      </c>
      <c r="DB640" s="195">
        <f t="shared" si="8057"/>
        <v>0</v>
      </c>
      <c r="DC640" s="410">
        <f t="shared" si="8057"/>
        <v>0</v>
      </c>
    </row>
    <row r="641" spans="1:107" x14ac:dyDescent="0.3">
      <c r="G641" s="203"/>
      <c r="K641" s="203"/>
      <c r="W641" s="203"/>
      <c r="AI641" s="203"/>
      <c r="AU641" s="203"/>
      <c r="BG641" s="203"/>
      <c r="BS641" s="203"/>
      <c r="CE641" s="203"/>
      <c r="CQ641" s="203"/>
      <c r="DC641" s="203"/>
    </row>
    <row r="642" spans="1:107" x14ac:dyDescent="0.3">
      <c r="G642" s="203"/>
      <c r="K642" s="203"/>
      <c r="W642" s="203"/>
      <c r="AI642" s="203"/>
      <c r="AU642" s="203"/>
      <c r="BG642" s="203"/>
      <c r="BS642" s="203"/>
      <c r="CE642" s="203"/>
      <c r="CQ642" s="203"/>
      <c r="DC642" s="203"/>
    </row>
    <row r="643" spans="1:107" x14ac:dyDescent="0.3">
      <c r="A643" s="319"/>
      <c r="B643" s="319" t="s">
        <v>0</v>
      </c>
      <c r="C643" s="166" t="s">
        <v>132</v>
      </c>
      <c r="D643" s="365"/>
      <c r="E643" s="365"/>
      <c r="F643" s="365"/>
      <c r="G643" s="365"/>
      <c r="H643" s="365"/>
      <c r="I643" s="365"/>
      <c r="J643" s="365"/>
      <c r="K643" s="365"/>
      <c r="L643" s="365"/>
      <c r="M643" s="365"/>
      <c r="N643" s="365"/>
      <c r="O643" s="365"/>
      <c r="P643" s="365"/>
      <c r="Q643" s="365"/>
      <c r="R643" s="365"/>
      <c r="S643" s="365"/>
      <c r="T643" s="365"/>
      <c r="U643" s="365"/>
      <c r="V643" s="365"/>
      <c r="W643" s="365"/>
      <c r="X643" s="365"/>
      <c r="Y643" s="365"/>
      <c r="Z643" s="365"/>
      <c r="AA643" s="365"/>
      <c r="AB643" s="365"/>
      <c r="AC643" s="365"/>
      <c r="AD643" s="365"/>
      <c r="AE643" s="365"/>
      <c r="AF643" s="365"/>
      <c r="AG643" s="365"/>
      <c r="AH643" s="365"/>
      <c r="AI643" s="365"/>
      <c r="AJ643" s="365"/>
      <c r="AK643" s="365"/>
      <c r="AL643" s="365"/>
      <c r="AM643" s="365"/>
      <c r="AN643" s="365"/>
      <c r="AO643" s="365"/>
      <c r="AP643" s="365"/>
      <c r="AQ643" s="365"/>
      <c r="AR643" s="365"/>
      <c r="AS643" s="365"/>
      <c r="AT643" s="365"/>
      <c r="AU643" s="365"/>
      <c r="AV643" s="365"/>
      <c r="AW643" s="365"/>
      <c r="AX643" s="365"/>
      <c r="AY643" s="365"/>
      <c r="AZ643" s="365"/>
      <c r="BA643" s="365"/>
      <c r="BB643" s="365"/>
      <c r="BC643" s="365"/>
      <c r="BD643" s="365"/>
      <c r="BE643" s="365"/>
      <c r="BF643" s="365"/>
      <c r="BG643" s="365"/>
      <c r="BH643" s="365"/>
      <c r="BI643" s="365"/>
      <c r="BJ643" s="365"/>
      <c r="BK643" s="365"/>
      <c r="BL643" s="365"/>
      <c r="BM643" s="365"/>
      <c r="BN643" s="365"/>
      <c r="BO643" s="365"/>
      <c r="BP643" s="365"/>
      <c r="BQ643" s="365"/>
      <c r="BR643" s="365"/>
      <c r="BS643" s="365"/>
      <c r="BT643" s="365"/>
      <c r="BU643" s="365"/>
      <c r="BV643" s="365"/>
      <c r="BW643" s="365"/>
      <c r="BX643" s="365"/>
      <c r="BY643" s="365"/>
      <c r="BZ643" s="365"/>
      <c r="CA643" s="365"/>
      <c r="CB643" s="365"/>
      <c r="CC643" s="365"/>
      <c r="CD643" s="365"/>
      <c r="CE643" s="365"/>
      <c r="CF643" s="365"/>
      <c r="CG643" s="365"/>
      <c r="CH643" s="365"/>
      <c r="CI643" s="365"/>
      <c r="CJ643" s="365"/>
      <c r="CK643" s="365"/>
      <c r="CL643" s="365"/>
      <c r="CM643" s="365"/>
      <c r="CN643" s="365"/>
      <c r="CO643" s="365"/>
      <c r="CP643" s="365"/>
      <c r="CQ643" s="365"/>
      <c r="CR643" s="365"/>
      <c r="CS643" s="365"/>
      <c r="CT643" s="365"/>
      <c r="CU643" s="365"/>
      <c r="CV643" s="365"/>
      <c r="CW643" s="365"/>
      <c r="CX643" s="365"/>
      <c r="CY643" s="365"/>
      <c r="CZ643" s="365"/>
      <c r="DA643" s="365"/>
      <c r="DB643" s="365"/>
      <c r="DC643" s="366"/>
    </row>
    <row r="644" spans="1:107" ht="5.15" customHeight="1" x14ac:dyDescent="0.3">
      <c r="G644" s="203"/>
      <c r="K644" s="203"/>
      <c r="W644" s="203"/>
      <c r="AI644" s="203"/>
      <c r="AU644" s="203"/>
      <c r="BG644" s="203"/>
      <c r="BS644" s="203"/>
      <c r="CE644" s="203"/>
      <c r="CQ644" s="203"/>
      <c r="DC644" s="203"/>
    </row>
    <row r="645" spans="1:107" x14ac:dyDescent="0.3">
      <c r="C645" s="101" t="str">
        <f>++C591</f>
        <v>Cash &amp; Equivalents (Reported)</v>
      </c>
      <c r="G645" s="108">
        <v>0</v>
      </c>
      <c r="H645" s="108">
        <v>0</v>
      </c>
      <c r="I645" s="108">
        <v>0</v>
      </c>
      <c r="J645" s="108">
        <v>0</v>
      </c>
      <c r="K645" s="108">
        <v>0</v>
      </c>
      <c r="L645" s="108">
        <v>0</v>
      </c>
      <c r="M645" s="108">
        <v>0</v>
      </c>
      <c r="N645" s="108">
        <v>0</v>
      </c>
      <c r="O645" s="108">
        <v>0</v>
      </c>
      <c r="P645" s="108">
        <v>0</v>
      </c>
      <c r="Q645" s="108">
        <v>0</v>
      </c>
      <c r="R645" s="108">
        <v>0</v>
      </c>
      <c r="S645" s="108">
        <v>0</v>
      </c>
      <c r="T645" s="108">
        <v>0</v>
      </c>
      <c r="U645" s="108">
        <v>0</v>
      </c>
      <c r="V645" s="108">
        <v>0</v>
      </c>
      <c r="W645" s="108">
        <v>0</v>
      </c>
      <c r="X645" s="108">
        <v>0</v>
      </c>
      <c r="Y645" s="108">
        <v>0</v>
      </c>
      <c r="Z645" s="108">
        <v>0</v>
      </c>
      <c r="AA645" s="108">
        <v>0</v>
      </c>
      <c r="AB645" s="108">
        <v>0</v>
      </c>
      <c r="AC645" s="108">
        <v>0</v>
      </c>
      <c r="AD645" s="108">
        <v>0</v>
      </c>
      <c r="AE645" s="108">
        <v>0</v>
      </c>
      <c r="AF645" s="108">
        <v>0</v>
      </c>
      <c r="AG645" s="108">
        <v>0</v>
      </c>
      <c r="AH645" s="108">
        <v>0</v>
      </c>
      <c r="AI645" s="108">
        <v>0</v>
      </c>
      <c r="AJ645" s="108">
        <v>0</v>
      </c>
      <c r="AK645" s="108">
        <v>0</v>
      </c>
      <c r="AL645" s="108">
        <v>0</v>
      </c>
      <c r="AM645" s="108">
        <v>0</v>
      </c>
      <c r="AN645" s="108">
        <v>0</v>
      </c>
      <c r="AO645" s="108">
        <v>0</v>
      </c>
      <c r="AP645" s="108">
        <v>0</v>
      </c>
      <c r="AQ645" s="108">
        <v>0</v>
      </c>
      <c r="AR645" s="108">
        <v>0</v>
      </c>
      <c r="AS645" s="108">
        <v>0</v>
      </c>
      <c r="AT645" s="108">
        <v>0</v>
      </c>
      <c r="AU645" s="108">
        <v>0</v>
      </c>
      <c r="AV645" s="108">
        <v>0</v>
      </c>
      <c r="AW645" s="108">
        <v>0</v>
      </c>
      <c r="AX645" s="108">
        <v>0</v>
      </c>
      <c r="AY645" s="108">
        <v>0</v>
      </c>
      <c r="AZ645" s="108">
        <v>0</v>
      </c>
      <c r="BA645" s="108">
        <v>0</v>
      </c>
      <c r="BB645" s="108">
        <v>0</v>
      </c>
      <c r="BC645" s="108">
        <v>0</v>
      </c>
      <c r="BD645" s="108">
        <v>0</v>
      </c>
      <c r="BE645" s="108">
        <v>0</v>
      </c>
      <c r="BF645" s="108">
        <v>0</v>
      </c>
      <c r="BG645" s="108">
        <v>0</v>
      </c>
      <c r="BH645" s="108">
        <v>0</v>
      </c>
      <c r="BI645" s="108">
        <v>0</v>
      </c>
      <c r="BJ645" s="108">
        <v>0</v>
      </c>
      <c r="BK645" s="108">
        <v>0</v>
      </c>
      <c r="BL645" s="108">
        <v>0</v>
      </c>
      <c r="BM645" s="108">
        <v>0</v>
      </c>
      <c r="BN645" s="108">
        <v>0</v>
      </c>
      <c r="BO645" s="108">
        <v>0</v>
      </c>
      <c r="BP645" s="108">
        <v>0</v>
      </c>
      <c r="BQ645" s="108">
        <v>0</v>
      </c>
      <c r="BR645" s="108">
        <v>0</v>
      </c>
      <c r="BS645" s="108">
        <v>0</v>
      </c>
      <c r="BT645" s="108">
        <v>0</v>
      </c>
      <c r="BU645" s="108">
        <v>0</v>
      </c>
      <c r="BV645" s="108">
        <v>0</v>
      </c>
      <c r="BW645" s="108">
        <v>0</v>
      </c>
      <c r="BX645" s="108">
        <v>0</v>
      </c>
      <c r="BY645" s="108">
        <v>0</v>
      </c>
      <c r="BZ645" s="108">
        <v>0</v>
      </c>
      <c r="CA645" s="108">
        <v>0</v>
      </c>
      <c r="CB645" s="108">
        <v>0</v>
      </c>
      <c r="CC645" s="108">
        <v>0</v>
      </c>
      <c r="CD645" s="108">
        <v>0</v>
      </c>
      <c r="CE645" s="108">
        <v>0</v>
      </c>
      <c r="CF645" s="108">
        <v>0</v>
      </c>
      <c r="CG645" s="108">
        <v>0</v>
      </c>
      <c r="CH645" s="108">
        <v>0</v>
      </c>
      <c r="CI645" s="108">
        <v>0</v>
      </c>
      <c r="CJ645" s="108">
        <v>0</v>
      </c>
      <c r="CK645" s="108">
        <v>0</v>
      </c>
      <c r="CL645" s="108">
        <v>0</v>
      </c>
      <c r="CM645" s="108">
        <v>0</v>
      </c>
      <c r="CN645" s="108">
        <v>0</v>
      </c>
      <c r="CO645" s="108">
        <v>0</v>
      </c>
      <c r="CP645" s="108">
        <v>0</v>
      </c>
      <c r="CQ645" s="108">
        <v>0</v>
      </c>
      <c r="CR645" s="108">
        <v>0</v>
      </c>
      <c r="CS645" s="108">
        <v>0</v>
      </c>
      <c r="CT645" s="108">
        <v>0</v>
      </c>
      <c r="CU645" s="108">
        <v>0</v>
      </c>
      <c r="CV645" s="108">
        <v>0</v>
      </c>
      <c r="CW645" s="108">
        <v>0</v>
      </c>
      <c r="CX645" s="108">
        <v>0</v>
      </c>
      <c r="CY645" s="108">
        <v>0</v>
      </c>
      <c r="CZ645" s="108">
        <v>0</v>
      </c>
      <c r="DA645" s="108">
        <v>0</v>
      </c>
      <c r="DB645" s="108">
        <v>0</v>
      </c>
      <c r="DC645" s="108">
        <v>0</v>
      </c>
    </row>
    <row r="646" spans="1:107" x14ac:dyDescent="0.3">
      <c r="C646" s="321" t="s">
        <v>479</v>
      </c>
      <c r="G646" s="324" t="str">
        <f>++G592</f>
        <v>n/a</v>
      </c>
      <c r="H646" s="376" t="str">
        <f t="shared" ref="H646:BS646" si="8058">++H592</f>
        <v>n/a</v>
      </c>
      <c r="I646" s="376" t="str">
        <f t="shared" si="8058"/>
        <v>n/a</v>
      </c>
      <c r="J646" s="376" t="str">
        <f t="shared" si="8058"/>
        <v>n/a</v>
      </c>
      <c r="K646" s="324" t="str">
        <f t="shared" si="8058"/>
        <v>n/a</v>
      </c>
      <c r="L646" s="376" t="str">
        <f t="shared" si="8058"/>
        <v>n/a</v>
      </c>
      <c r="M646" s="376" t="str">
        <f t="shared" si="8058"/>
        <v>n/a</v>
      </c>
      <c r="N646" s="376" t="str">
        <f t="shared" si="8058"/>
        <v>n/a</v>
      </c>
      <c r="O646" s="376" t="str">
        <f t="shared" si="8058"/>
        <v>n/a</v>
      </c>
      <c r="P646" s="376" t="str">
        <f t="shared" si="8058"/>
        <v>n/a</v>
      </c>
      <c r="Q646" s="376" t="str">
        <f t="shared" si="8058"/>
        <v>n/a</v>
      </c>
      <c r="R646" s="376" t="str">
        <f t="shared" si="8058"/>
        <v>n/a</v>
      </c>
      <c r="S646" s="376" t="str">
        <f t="shared" si="8058"/>
        <v>n/a</v>
      </c>
      <c r="T646" s="376" t="str">
        <f t="shared" si="8058"/>
        <v>n/a</v>
      </c>
      <c r="U646" s="376" t="str">
        <f t="shared" si="8058"/>
        <v>n/a</v>
      </c>
      <c r="V646" s="376" t="str">
        <f t="shared" si="8058"/>
        <v>n/a</v>
      </c>
      <c r="W646" s="324" t="str">
        <f t="shared" si="8058"/>
        <v>n/a</v>
      </c>
      <c r="X646" s="376" t="str">
        <f t="shared" si="8058"/>
        <v>n/a</v>
      </c>
      <c r="Y646" s="376" t="str">
        <f t="shared" si="8058"/>
        <v>n/a</v>
      </c>
      <c r="Z646" s="376" t="str">
        <f t="shared" si="8058"/>
        <v>n/a</v>
      </c>
      <c r="AA646" s="376" t="str">
        <f t="shared" si="8058"/>
        <v>n/a</v>
      </c>
      <c r="AB646" s="376" t="str">
        <f t="shared" si="8058"/>
        <v>n/a</v>
      </c>
      <c r="AC646" s="376" t="str">
        <f t="shared" si="8058"/>
        <v>n/a</v>
      </c>
      <c r="AD646" s="376" t="str">
        <f t="shared" si="8058"/>
        <v>n/a</v>
      </c>
      <c r="AE646" s="376" t="str">
        <f t="shared" si="8058"/>
        <v>n/a</v>
      </c>
      <c r="AF646" s="376" t="str">
        <f t="shared" si="8058"/>
        <v>n/a</v>
      </c>
      <c r="AG646" s="376" t="str">
        <f t="shared" si="8058"/>
        <v>n/a</v>
      </c>
      <c r="AH646" s="376" t="str">
        <f t="shared" si="8058"/>
        <v>n/a</v>
      </c>
      <c r="AI646" s="324" t="str">
        <f t="shared" si="8058"/>
        <v>n/a</v>
      </c>
      <c r="AJ646" s="376" t="str">
        <f t="shared" si="8058"/>
        <v>n/a</v>
      </c>
      <c r="AK646" s="376" t="str">
        <f t="shared" si="8058"/>
        <v>n/a</v>
      </c>
      <c r="AL646" s="376" t="str">
        <f t="shared" si="8058"/>
        <v>n/a</v>
      </c>
      <c r="AM646" s="376" t="str">
        <f t="shared" si="8058"/>
        <v>n/a</v>
      </c>
      <c r="AN646" s="376" t="str">
        <f t="shared" si="8058"/>
        <v>n/a</v>
      </c>
      <c r="AO646" s="376" t="str">
        <f t="shared" si="8058"/>
        <v>n/a</v>
      </c>
      <c r="AP646" s="376" t="str">
        <f t="shared" si="8058"/>
        <v>n/a</v>
      </c>
      <c r="AQ646" s="376" t="str">
        <f t="shared" si="8058"/>
        <v>n/a</v>
      </c>
      <c r="AR646" s="376" t="str">
        <f t="shared" si="8058"/>
        <v>n/a</v>
      </c>
      <c r="AS646" s="376" t="str">
        <f t="shared" si="8058"/>
        <v>n/a</v>
      </c>
      <c r="AT646" s="376" t="str">
        <f t="shared" si="8058"/>
        <v>n/a</v>
      </c>
      <c r="AU646" s="324" t="str">
        <f t="shared" si="8058"/>
        <v>n/a</v>
      </c>
      <c r="AV646" s="376" t="str">
        <f t="shared" si="8058"/>
        <v>n/a</v>
      </c>
      <c r="AW646" s="376" t="str">
        <f t="shared" si="8058"/>
        <v>n/a</v>
      </c>
      <c r="AX646" s="376" t="str">
        <f t="shared" si="8058"/>
        <v>n/a</v>
      </c>
      <c r="AY646" s="376" t="str">
        <f t="shared" si="8058"/>
        <v>n/a</v>
      </c>
      <c r="AZ646" s="376" t="str">
        <f t="shared" si="8058"/>
        <v>n/a</v>
      </c>
      <c r="BA646" s="376" t="str">
        <f t="shared" si="8058"/>
        <v>n/a</v>
      </c>
      <c r="BB646" s="376" t="str">
        <f t="shared" si="8058"/>
        <v>n/a</v>
      </c>
      <c r="BC646" s="376" t="str">
        <f t="shared" si="8058"/>
        <v>n/a</v>
      </c>
      <c r="BD646" s="376" t="str">
        <f t="shared" si="8058"/>
        <v>n/a</v>
      </c>
      <c r="BE646" s="376" t="str">
        <f t="shared" si="8058"/>
        <v>n/a</v>
      </c>
      <c r="BF646" s="376" t="str">
        <f t="shared" si="8058"/>
        <v>n/a</v>
      </c>
      <c r="BG646" s="324" t="str">
        <f t="shared" si="8058"/>
        <v>n/a</v>
      </c>
      <c r="BH646" s="376" t="str">
        <f t="shared" si="8058"/>
        <v>n/a</v>
      </c>
      <c r="BI646" s="376" t="str">
        <f t="shared" si="8058"/>
        <v>n/a</v>
      </c>
      <c r="BJ646" s="376" t="str">
        <f t="shared" si="8058"/>
        <v>n/a</v>
      </c>
      <c r="BK646" s="376" t="str">
        <f t="shared" si="8058"/>
        <v>n/a</v>
      </c>
      <c r="BL646" s="376" t="str">
        <f t="shared" si="8058"/>
        <v>n/a</v>
      </c>
      <c r="BM646" s="376" t="str">
        <f t="shared" si="8058"/>
        <v>n/a</v>
      </c>
      <c r="BN646" s="376" t="str">
        <f t="shared" si="8058"/>
        <v>n/a</v>
      </c>
      <c r="BO646" s="376" t="str">
        <f t="shared" si="8058"/>
        <v>n/a</v>
      </c>
      <c r="BP646" s="376" t="str">
        <f t="shared" si="8058"/>
        <v>n/a</v>
      </c>
      <c r="BQ646" s="376" t="str">
        <f t="shared" si="8058"/>
        <v>n/a</v>
      </c>
      <c r="BR646" s="376" t="str">
        <f t="shared" si="8058"/>
        <v>n/a</v>
      </c>
      <c r="BS646" s="324" t="str">
        <f t="shared" si="8058"/>
        <v>n/a</v>
      </c>
      <c r="BT646" s="376" t="str">
        <f t="shared" ref="BT646:DC646" si="8059">++BT592</f>
        <v>n/a</v>
      </c>
      <c r="BU646" s="376" t="str">
        <f t="shared" si="8059"/>
        <v>n/a</v>
      </c>
      <c r="BV646" s="376" t="str">
        <f t="shared" si="8059"/>
        <v>n/a</v>
      </c>
      <c r="BW646" s="376" t="str">
        <f t="shared" si="8059"/>
        <v>n/a</v>
      </c>
      <c r="BX646" s="376" t="str">
        <f t="shared" si="8059"/>
        <v>n/a</v>
      </c>
      <c r="BY646" s="376" t="str">
        <f t="shared" si="8059"/>
        <v>n/a</v>
      </c>
      <c r="BZ646" s="376" t="str">
        <f t="shared" si="8059"/>
        <v>n/a</v>
      </c>
      <c r="CA646" s="376" t="str">
        <f t="shared" si="8059"/>
        <v>n/a</v>
      </c>
      <c r="CB646" s="376" t="str">
        <f t="shared" si="8059"/>
        <v>n/a</v>
      </c>
      <c r="CC646" s="376" t="str">
        <f t="shared" si="8059"/>
        <v>n/a</v>
      </c>
      <c r="CD646" s="376" t="str">
        <f t="shared" si="8059"/>
        <v>n/a</v>
      </c>
      <c r="CE646" s="324" t="str">
        <f t="shared" si="8059"/>
        <v>n/a</v>
      </c>
      <c r="CF646" s="376" t="str">
        <f t="shared" si="8059"/>
        <v>n/a</v>
      </c>
      <c r="CG646" s="376" t="str">
        <f t="shared" si="8059"/>
        <v>n/a</v>
      </c>
      <c r="CH646" s="376" t="str">
        <f t="shared" si="8059"/>
        <v>n/a</v>
      </c>
      <c r="CI646" s="376" t="str">
        <f t="shared" si="8059"/>
        <v>n/a</v>
      </c>
      <c r="CJ646" s="376" t="str">
        <f t="shared" si="8059"/>
        <v>n/a</v>
      </c>
      <c r="CK646" s="376" t="str">
        <f t="shared" si="8059"/>
        <v>n/a</v>
      </c>
      <c r="CL646" s="376" t="str">
        <f t="shared" si="8059"/>
        <v>n/a</v>
      </c>
      <c r="CM646" s="376" t="str">
        <f t="shared" si="8059"/>
        <v>n/a</v>
      </c>
      <c r="CN646" s="376" t="str">
        <f t="shared" si="8059"/>
        <v>n/a</v>
      </c>
      <c r="CO646" s="376" t="str">
        <f t="shared" si="8059"/>
        <v>n/a</v>
      </c>
      <c r="CP646" s="376" t="str">
        <f t="shared" si="8059"/>
        <v>n/a</v>
      </c>
      <c r="CQ646" s="324" t="str">
        <f t="shared" si="8059"/>
        <v>n/a</v>
      </c>
      <c r="CR646" s="376" t="str">
        <f t="shared" si="8059"/>
        <v>n/a</v>
      </c>
      <c r="CS646" s="376" t="str">
        <f t="shared" si="8059"/>
        <v>n/a</v>
      </c>
      <c r="CT646" s="376" t="str">
        <f t="shared" si="8059"/>
        <v>n/a</v>
      </c>
      <c r="CU646" s="376" t="str">
        <f t="shared" si="8059"/>
        <v>n/a</v>
      </c>
      <c r="CV646" s="376" t="str">
        <f t="shared" si="8059"/>
        <v>n/a</v>
      </c>
      <c r="CW646" s="376" t="str">
        <f t="shared" si="8059"/>
        <v>n/a</v>
      </c>
      <c r="CX646" s="376" t="str">
        <f t="shared" si="8059"/>
        <v>n/a</v>
      </c>
      <c r="CY646" s="376" t="str">
        <f t="shared" si="8059"/>
        <v>n/a</v>
      </c>
      <c r="CZ646" s="376" t="str">
        <f t="shared" si="8059"/>
        <v>n/a</v>
      </c>
      <c r="DA646" s="376" t="str">
        <f t="shared" si="8059"/>
        <v>n/a</v>
      </c>
      <c r="DB646" s="376" t="str">
        <f t="shared" si="8059"/>
        <v>n/a</v>
      </c>
      <c r="DC646" s="324" t="str">
        <f t="shared" si="8059"/>
        <v>n/a</v>
      </c>
    </row>
    <row r="647" spans="1:107" x14ac:dyDescent="0.3">
      <c r="C647" s="321" t="s">
        <v>139</v>
      </c>
      <c r="G647" s="324" t="str">
        <f t="shared" ref="G647:BR647" si="8060">++G593</f>
        <v>n/a</v>
      </c>
      <c r="H647" s="376" t="str">
        <f t="shared" si="8060"/>
        <v>n/a</v>
      </c>
      <c r="I647" s="376" t="str">
        <f t="shared" si="8060"/>
        <v>n/a</v>
      </c>
      <c r="J647" s="376" t="str">
        <f t="shared" si="8060"/>
        <v>n/a</v>
      </c>
      <c r="K647" s="324" t="str">
        <f t="shared" si="8060"/>
        <v>n/a</v>
      </c>
      <c r="L647" s="376" t="str">
        <f t="shared" si="8060"/>
        <v>n/a</v>
      </c>
      <c r="M647" s="376" t="str">
        <f t="shared" si="8060"/>
        <v>n/a</v>
      </c>
      <c r="N647" s="376" t="str">
        <f t="shared" si="8060"/>
        <v>n/a</v>
      </c>
      <c r="O647" s="376" t="str">
        <f t="shared" si="8060"/>
        <v>n/a</v>
      </c>
      <c r="P647" s="376" t="str">
        <f t="shared" si="8060"/>
        <v>n/a</v>
      </c>
      <c r="Q647" s="376" t="str">
        <f t="shared" si="8060"/>
        <v>n/a</v>
      </c>
      <c r="R647" s="376" t="str">
        <f t="shared" si="8060"/>
        <v>n/a</v>
      </c>
      <c r="S647" s="376" t="str">
        <f t="shared" si="8060"/>
        <v>n/a</v>
      </c>
      <c r="T647" s="376" t="str">
        <f t="shared" si="8060"/>
        <v>n/a</v>
      </c>
      <c r="U647" s="376" t="str">
        <f t="shared" si="8060"/>
        <v>n/a</v>
      </c>
      <c r="V647" s="376" t="str">
        <f t="shared" si="8060"/>
        <v>n/a</v>
      </c>
      <c r="W647" s="324" t="str">
        <f t="shared" si="8060"/>
        <v>n/a</v>
      </c>
      <c r="X647" s="376" t="str">
        <f t="shared" si="8060"/>
        <v>n/a</v>
      </c>
      <c r="Y647" s="376" t="str">
        <f t="shared" si="8060"/>
        <v>n/a</v>
      </c>
      <c r="Z647" s="376" t="str">
        <f t="shared" si="8060"/>
        <v>n/a</v>
      </c>
      <c r="AA647" s="376" t="str">
        <f t="shared" si="8060"/>
        <v>n/a</v>
      </c>
      <c r="AB647" s="376" t="str">
        <f t="shared" si="8060"/>
        <v>n/a</v>
      </c>
      <c r="AC647" s="376" t="str">
        <f t="shared" si="8060"/>
        <v>n/a</v>
      </c>
      <c r="AD647" s="376" t="str">
        <f t="shared" si="8060"/>
        <v>n/a</v>
      </c>
      <c r="AE647" s="376" t="str">
        <f t="shared" si="8060"/>
        <v>n/a</v>
      </c>
      <c r="AF647" s="376" t="str">
        <f t="shared" si="8060"/>
        <v>n/a</v>
      </c>
      <c r="AG647" s="376" t="str">
        <f t="shared" si="8060"/>
        <v>n/a</v>
      </c>
      <c r="AH647" s="376" t="str">
        <f t="shared" si="8060"/>
        <v>n/a</v>
      </c>
      <c r="AI647" s="324" t="str">
        <f t="shared" si="8060"/>
        <v>n/a</v>
      </c>
      <c r="AJ647" s="376" t="str">
        <f t="shared" si="8060"/>
        <v>n/a</v>
      </c>
      <c r="AK647" s="376" t="str">
        <f t="shared" si="8060"/>
        <v>n/a</v>
      </c>
      <c r="AL647" s="376" t="str">
        <f t="shared" si="8060"/>
        <v>n/a</v>
      </c>
      <c r="AM647" s="376" t="str">
        <f t="shared" si="8060"/>
        <v>n/a</v>
      </c>
      <c r="AN647" s="376" t="str">
        <f t="shared" si="8060"/>
        <v>n/a</v>
      </c>
      <c r="AO647" s="376" t="str">
        <f t="shared" si="8060"/>
        <v>n/a</v>
      </c>
      <c r="AP647" s="376" t="str">
        <f t="shared" si="8060"/>
        <v>n/a</v>
      </c>
      <c r="AQ647" s="376" t="str">
        <f t="shared" si="8060"/>
        <v>n/a</v>
      </c>
      <c r="AR647" s="376" t="str">
        <f t="shared" si="8060"/>
        <v>n/a</v>
      </c>
      <c r="AS647" s="376" t="str">
        <f t="shared" si="8060"/>
        <v>n/a</v>
      </c>
      <c r="AT647" s="376" t="str">
        <f t="shared" si="8060"/>
        <v>n/a</v>
      </c>
      <c r="AU647" s="324" t="str">
        <f t="shared" si="8060"/>
        <v>n/a</v>
      </c>
      <c r="AV647" s="376" t="str">
        <f t="shared" si="8060"/>
        <v>n/a</v>
      </c>
      <c r="AW647" s="376" t="str">
        <f t="shared" si="8060"/>
        <v>n/a</v>
      </c>
      <c r="AX647" s="376" t="str">
        <f t="shared" si="8060"/>
        <v>n/a</v>
      </c>
      <c r="AY647" s="376" t="str">
        <f t="shared" si="8060"/>
        <v>n/a</v>
      </c>
      <c r="AZ647" s="376" t="str">
        <f t="shared" si="8060"/>
        <v>n/a</v>
      </c>
      <c r="BA647" s="376" t="str">
        <f t="shared" si="8060"/>
        <v>n/a</v>
      </c>
      <c r="BB647" s="376" t="str">
        <f t="shared" si="8060"/>
        <v>n/a</v>
      </c>
      <c r="BC647" s="376" t="str">
        <f t="shared" si="8060"/>
        <v>n/a</v>
      </c>
      <c r="BD647" s="376" t="str">
        <f t="shared" si="8060"/>
        <v>n/a</v>
      </c>
      <c r="BE647" s="376" t="str">
        <f t="shared" si="8060"/>
        <v>n/a</v>
      </c>
      <c r="BF647" s="376" t="str">
        <f t="shared" si="8060"/>
        <v>n/a</v>
      </c>
      <c r="BG647" s="324" t="str">
        <f t="shared" si="8060"/>
        <v>n/a</v>
      </c>
      <c r="BH647" s="376" t="str">
        <f t="shared" si="8060"/>
        <v>n/a</v>
      </c>
      <c r="BI647" s="376" t="str">
        <f t="shared" si="8060"/>
        <v>n/a</v>
      </c>
      <c r="BJ647" s="376" t="str">
        <f t="shared" si="8060"/>
        <v>n/a</v>
      </c>
      <c r="BK647" s="376" t="str">
        <f t="shared" si="8060"/>
        <v>n/a</v>
      </c>
      <c r="BL647" s="376" t="str">
        <f t="shared" si="8060"/>
        <v>n/a</v>
      </c>
      <c r="BM647" s="376" t="str">
        <f t="shared" si="8060"/>
        <v>n/a</v>
      </c>
      <c r="BN647" s="376" t="str">
        <f t="shared" si="8060"/>
        <v>n/a</v>
      </c>
      <c r="BO647" s="376" t="str">
        <f t="shared" si="8060"/>
        <v>n/a</v>
      </c>
      <c r="BP647" s="376" t="str">
        <f t="shared" si="8060"/>
        <v>n/a</v>
      </c>
      <c r="BQ647" s="376" t="str">
        <f t="shared" si="8060"/>
        <v>n/a</v>
      </c>
      <c r="BR647" s="376" t="str">
        <f t="shared" si="8060"/>
        <v>n/a</v>
      </c>
      <c r="BS647" s="324" t="str">
        <f t="shared" ref="BS647:DC647" si="8061">++BS593</f>
        <v>n/a</v>
      </c>
      <c r="BT647" s="376" t="str">
        <f t="shared" si="8061"/>
        <v>n/a</v>
      </c>
      <c r="BU647" s="376" t="str">
        <f t="shared" si="8061"/>
        <v>n/a</v>
      </c>
      <c r="BV647" s="376" t="str">
        <f t="shared" si="8061"/>
        <v>n/a</v>
      </c>
      <c r="BW647" s="376" t="str">
        <f t="shared" si="8061"/>
        <v>n/a</v>
      </c>
      <c r="BX647" s="376" t="str">
        <f t="shared" si="8061"/>
        <v>n/a</v>
      </c>
      <c r="BY647" s="376" t="str">
        <f t="shared" si="8061"/>
        <v>n/a</v>
      </c>
      <c r="BZ647" s="376" t="str">
        <f t="shared" si="8061"/>
        <v>n/a</v>
      </c>
      <c r="CA647" s="376" t="str">
        <f t="shared" si="8061"/>
        <v>n/a</v>
      </c>
      <c r="CB647" s="376" t="str">
        <f t="shared" si="8061"/>
        <v>n/a</v>
      </c>
      <c r="CC647" s="376" t="str">
        <f t="shared" si="8061"/>
        <v>n/a</v>
      </c>
      <c r="CD647" s="376" t="str">
        <f t="shared" si="8061"/>
        <v>n/a</v>
      </c>
      <c r="CE647" s="324" t="str">
        <f t="shared" si="8061"/>
        <v>n/a</v>
      </c>
      <c r="CF647" s="376" t="str">
        <f t="shared" si="8061"/>
        <v>n/a</v>
      </c>
      <c r="CG647" s="376" t="str">
        <f t="shared" si="8061"/>
        <v>n/a</v>
      </c>
      <c r="CH647" s="376" t="str">
        <f t="shared" si="8061"/>
        <v>n/a</v>
      </c>
      <c r="CI647" s="376" t="str">
        <f t="shared" si="8061"/>
        <v>n/a</v>
      </c>
      <c r="CJ647" s="376" t="str">
        <f t="shared" si="8061"/>
        <v>n/a</v>
      </c>
      <c r="CK647" s="376" t="str">
        <f t="shared" si="8061"/>
        <v>n/a</v>
      </c>
      <c r="CL647" s="376" t="str">
        <f t="shared" si="8061"/>
        <v>n/a</v>
      </c>
      <c r="CM647" s="376" t="str">
        <f t="shared" si="8061"/>
        <v>n/a</v>
      </c>
      <c r="CN647" s="376" t="str">
        <f t="shared" si="8061"/>
        <v>n/a</v>
      </c>
      <c r="CO647" s="376" t="str">
        <f t="shared" si="8061"/>
        <v>n/a</v>
      </c>
      <c r="CP647" s="376" t="str">
        <f t="shared" si="8061"/>
        <v>n/a</v>
      </c>
      <c r="CQ647" s="324" t="str">
        <f t="shared" si="8061"/>
        <v>n/a</v>
      </c>
      <c r="CR647" s="376" t="str">
        <f t="shared" si="8061"/>
        <v>n/a</v>
      </c>
      <c r="CS647" s="376" t="str">
        <f t="shared" si="8061"/>
        <v>n/a</v>
      </c>
      <c r="CT647" s="376" t="str">
        <f t="shared" si="8061"/>
        <v>n/a</v>
      </c>
      <c r="CU647" s="376" t="str">
        <f t="shared" si="8061"/>
        <v>n/a</v>
      </c>
      <c r="CV647" s="376" t="str">
        <f t="shared" si="8061"/>
        <v>n/a</v>
      </c>
      <c r="CW647" s="376" t="str">
        <f t="shared" si="8061"/>
        <v>n/a</v>
      </c>
      <c r="CX647" s="376" t="str">
        <f t="shared" si="8061"/>
        <v>n/a</v>
      </c>
      <c r="CY647" s="376" t="str">
        <f t="shared" si="8061"/>
        <v>n/a</v>
      </c>
      <c r="CZ647" s="376" t="str">
        <f t="shared" si="8061"/>
        <v>n/a</v>
      </c>
      <c r="DA647" s="376" t="str">
        <f t="shared" si="8061"/>
        <v>n/a</v>
      </c>
      <c r="DB647" s="376" t="str">
        <f t="shared" si="8061"/>
        <v>n/a</v>
      </c>
      <c r="DC647" s="324" t="str">
        <f t="shared" si="8061"/>
        <v>n/a</v>
      </c>
    </row>
    <row r="648" spans="1:107" x14ac:dyDescent="0.3">
      <c r="G648" s="203"/>
      <c r="K648" s="203"/>
      <c r="W648" s="203"/>
      <c r="AI648" s="203"/>
      <c r="AU648" s="203"/>
      <c r="BG648" s="203"/>
      <c r="BS648" s="203"/>
      <c r="CE648" s="203"/>
      <c r="CQ648" s="203"/>
      <c r="DC648" s="203"/>
    </row>
    <row r="649" spans="1:107" x14ac:dyDescent="0.3">
      <c r="C649" s="101" t="s">
        <v>508</v>
      </c>
      <c r="G649" s="375">
        <f>++IF(AND(G646="n/a",G647="n/a"),G645,IF(AND(G646&lt;&gt;"n/a",G647="n/a"),MAX(G645-G646,0),IF(AND(G646="n/a",G647&lt;&gt;"n/a"),MIN(G645,G647),MAX(MIN(G645-G646,G647),0))))</f>
        <v>0</v>
      </c>
      <c r="H649" s="199">
        <f t="shared" ref="H649:BS649" si="8062">++IF(AND(H646="n/a",H647="n/a"),H645,IF(AND(H646&lt;&gt;"n/a",H647="n/a"),MAX(H645-H646,0),IF(AND(H646="n/a",H647&lt;&gt;"n/a"),MIN(H645,H647),MAX(MIN(H645-H646,H647),0))))</f>
        <v>0</v>
      </c>
      <c r="I649" s="199">
        <f t="shared" si="8062"/>
        <v>0</v>
      </c>
      <c r="J649" s="199">
        <f t="shared" si="8062"/>
        <v>0</v>
      </c>
      <c r="K649" s="375">
        <f t="shared" si="8062"/>
        <v>0</v>
      </c>
      <c r="L649" s="199">
        <f t="shared" si="8062"/>
        <v>0</v>
      </c>
      <c r="M649" s="199">
        <f t="shared" si="8062"/>
        <v>0</v>
      </c>
      <c r="N649" s="199">
        <f t="shared" si="8062"/>
        <v>0</v>
      </c>
      <c r="O649" s="199">
        <f t="shared" si="8062"/>
        <v>0</v>
      </c>
      <c r="P649" s="199">
        <f t="shared" si="8062"/>
        <v>0</v>
      </c>
      <c r="Q649" s="199">
        <f t="shared" si="8062"/>
        <v>0</v>
      </c>
      <c r="R649" s="199">
        <f t="shared" si="8062"/>
        <v>0</v>
      </c>
      <c r="S649" s="199">
        <f t="shared" si="8062"/>
        <v>0</v>
      </c>
      <c r="T649" s="199">
        <f t="shared" si="8062"/>
        <v>0</v>
      </c>
      <c r="U649" s="199">
        <f t="shared" si="8062"/>
        <v>0</v>
      </c>
      <c r="V649" s="199">
        <f t="shared" si="8062"/>
        <v>0</v>
      </c>
      <c r="W649" s="375">
        <f t="shared" si="8062"/>
        <v>0</v>
      </c>
      <c r="X649" s="199">
        <f t="shared" si="8062"/>
        <v>0</v>
      </c>
      <c r="Y649" s="199">
        <f t="shared" si="8062"/>
        <v>0</v>
      </c>
      <c r="Z649" s="199">
        <f t="shared" si="8062"/>
        <v>0</v>
      </c>
      <c r="AA649" s="199">
        <f t="shared" si="8062"/>
        <v>0</v>
      </c>
      <c r="AB649" s="199">
        <f t="shared" si="8062"/>
        <v>0</v>
      </c>
      <c r="AC649" s="199">
        <f t="shared" si="8062"/>
        <v>0</v>
      </c>
      <c r="AD649" s="199">
        <f t="shared" si="8062"/>
        <v>0</v>
      </c>
      <c r="AE649" s="199">
        <f t="shared" si="8062"/>
        <v>0</v>
      </c>
      <c r="AF649" s="199">
        <f t="shared" si="8062"/>
        <v>0</v>
      </c>
      <c r="AG649" s="199">
        <f t="shared" si="8062"/>
        <v>0</v>
      </c>
      <c r="AH649" s="199">
        <f t="shared" si="8062"/>
        <v>0</v>
      </c>
      <c r="AI649" s="375">
        <f t="shared" si="8062"/>
        <v>0</v>
      </c>
      <c r="AJ649" s="199">
        <f t="shared" si="8062"/>
        <v>0</v>
      </c>
      <c r="AK649" s="199">
        <f t="shared" si="8062"/>
        <v>0</v>
      </c>
      <c r="AL649" s="199">
        <f t="shared" si="8062"/>
        <v>0</v>
      </c>
      <c r="AM649" s="199">
        <f t="shared" si="8062"/>
        <v>0</v>
      </c>
      <c r="AN649" s="199">
        <f t="shared" si="8062"/>
        <v>0</v>
      </c>
      <c r="AO649" s="199">
        <f t="shared" si="8062"/>
        <v>0</v>
      </c>
      <c r="AP649" s="199">
        <f t="shared" si="8062"/>
        <v>0</v>
      </c>
      <c r="AQ649" s="199">
        <f t="shared" si="8062"/>
        <v>0</v>
      </c>
      <c r="AR649" s="199">
        <f t="shared" si="8062"/>
        <v>0</v>
      </c>
      <c r="AS649" s="199">
        <f t="shared" si="8062"/>
        <v>0</v>
      </c>
      <c r="AT649" s="199">
        <f t="shared" si="8062"/>
        <v>0</v>
      </c>
      <c r="AU649" s="375">
        <f t="shared" si="8062"/>
        <v>0</v>
      </c>
      <c r="AV649" s="199">
        <f t="shared" si="8062"/>
        <v>0</v>
      </c>
      <c r="AW649" s="199">
        <f t="shared" si="8062"/>
        <v>0</v>
      </c>
      <c r="AX649" s="199">
        <f t="shared" si="8062"/>
        <v>0</v>
      </c>
      <c r="AY649" s="199">
        <f t="shared" si="8062"/>
        <v>0</v>
      </c>
      <c r="AZ649" s="199">
        <f t="shared" si="8062"/>
        <v>0</v>
      </c>
      <c r="BA649" s="199">
        <f t="shared" si="8062"/>
        <v>0</v>
      </c>
      <c r="BB649" s="199">
        <f t="shared" si="8062"/>
        <v>0</v>
      </c>
      <c r="BC649" s="199">
        <f t="shared" si="8062"/>
        <v>0</v>
      </c>
      <c r="BD649" s="199">
        <f t="shared" si="8062"/>
        <v>0</v>
      </c>
      <c r="BE649" s="199">
        <f t="shared" si="8062"/>
        <v>0</v>
      </c>
      <c r="BF649" s="199">
        <f t="shared" si="8062"/>
        <v>0</v>
      </c>
      <c r="BG649" s="375">
        <f t="shared" si="8062"/>
        <v>0</v>
      </c>
      <c r="BH649" s="199">
        <f t="shared" si="8062"/>
        <v>0</v>
      </c>
      <c r="BI649" s="199">
        <f t="shared" si="8062"/>
        <v>0</v>
      </c>
      <c r="BJ649" s="199">
        <f t="shared" si="8062"/>
        <v>0</v>
      </c>
      <c r="BK649" s="199">
        <f t="shared" si="8062"/>
        <v>0</v>
      </c>
      <c r="BL649" s="199">
        <f t="shared" si="8062"/>
        <v>0</v>
      </c>
      <c r="BM649" s="199">
        <f t="shared" si="8062"/>
        <v>0</v>
      </c>
      <c r="BN649" s="199">
        <f t="shared" si="8062"/>
        <v>0</v>
      </c>
      <c r="BO649" s="199">
        <f t="shared" si="8062"/>
        <v>0</v>
      </c>
      <c r="BP649" s="199">
        <f t="shared" si="8062"/>
        <v>0</v>
      </c>
      <c r="BQ649" s="199">
        <f t="shared" si="8062"/>
        <v>0</v>
      </c>
      <c r="BR649" s="199">
        <f t="shared" si="8062"/>
        <v>0</v>
      </c>
      <c r="BS649" s="375">
        <f t="shared" si="8062"/>
        <v>0</v>
      </c>
      <c r="BT649" s="199">
        <f t="shared" ref="BT649:DC649" si="8063">++IF(AND(BT646="n/a",BT647="n/a"),BT645,IF(AND(BT646&lt;&gt;"n/a",BT647="n/a"),MAX(BT645-BT646,0),IF(AND(BT646="n/a",BT647&lt;&gt;"n/a"),MIN(BT645,BT647),MAX(MIN(BT645-BT646,BT647),0))))</f>
        <v>0</v>
      </c>
      <c r="BU649" s="199">
        <f t="shared" si="8063"/>
        <v>0</v>
      </c>
      <c r="BV649" s="199">
        <f t="shared" si="8063"/>
        <v>0</v>
      </c>
      <c r="BW649" s="199">
        <f t="shared" si="8063"/>
        <v>0</v>
      </c>
      <c r="BX649" s="199">
        <f t="shared" si="8063"/>
        <v>0</v>
      </c>
      <c r="BY649" s="199">
        <f t="shared" si="8063"/>
        <v>0</v>
      </c>
      <c r="BZ649" s="199">
        <f t="shared" si="8063"/>
        <v>0</v>
      </c>
      <c r="CA649" s="199">
        <f t="shared" si="8063"/>
        <v>0</v>
      </c>
      <c r="CB649" s="199">
        <f t="shared" si="8063"/>
        <v>0</v>
      </c>
      <c r="CC649" s="199">
        <f t="shared" si="8063"/>
        <v>0</v>
      </c>
      <c r="CD649" s="199">
        <f t="shared" si="8063"/>
        <v>0</v>
      </c>
      <c r="CE649" s="375">
        <f t="shared" si="8063"/>
        <v>0</v>
      </c>
      <c r="CF649" s="199">
        <f t="shared" si="8063"/>
        <v>0</v>
      </c>
      <c r="CG649" s="199">
        <f t="shared" si="8063"/>
        <v>0</v>
      </c>
      <c r="CH649" s="199">
        <f t="shared" si="8063"/>
        <v>0</v>
      </c>
      <c r="CI649" s="199">
        <f t="shared" si="8063"/>
        <v>0</v>
      </c>
      <c r="CJ649" s="199">
        <f t="shared" si="8063"/>
        <v>0</v>
      </c>
      <c r="CK649" s="199">
        <f t="shared" si="8063"/>
        <v>0</v>
      </c>
      <c r="CL649" s="199">
        <f t="shared" si="8063"/>
        <v>0</v>
      </c>
      <c r="CM649" s="199">
        <f t="shared" si="8063"/>
        <v>0</v>
      </c>
      <c r="CN649" s="199">
        <f t="shared" si="8063"/>
        <v>0</v>
      </c>
      <c r="CO649" s="199">
        <f t="shared" si="8063"/>
        <v>0</v>
      </c>
      <c r="CP649" s="199">
        <f t="shared" si="8063"/>
        <v>0</v>
      </c>
      <c r="CQ649" s="375">
        <f t="shared" si="8063"/>
        <v>0</v>
      </c>
      <c r="CR649" s="199">
        <f t="shared" si="8063"/>
        <v>0</v>
      </c>
      <c r="CS649" s="199">
        <f t="shared" si="8063"/>
        <v>0</v>
      </c>
      <c r="CT649" s="199">
        <f t="shared" si="8063"/>
        <v>0</v>
      </c>
      <c r="CU649" s="199">
        <f t="shared" si="8063"/>
        <v>0</v>
      </c>
      <c r="CV649" s="199">
        <f t="shared" si="8063"/>
        <v>0</v>
      </c>
      <c r="CW649" s="199">
        <f t="shared" si="8063"/>
        <v>0</v>
      </c>
      <c r="CX649" s="199">
        <f t="shared" si="8063"/>
        <v>0</v>
      </c>
      <c r="CY649" s="199">
        <f t="shared" si="8063"/>
        <v>0</v>
      </c>
      <c r="CZ649" s="199">
        <f t="shared" si="8063"/>
        <v>0</v>
      </c>
      <c r="DA649" s="199">
        <f t="shared" si="8063"/>
        <v>0</v>
      </c>
      <c r="DB649" s="199">
        <f t="shared" si="8063"/>
        <v>0</v>
      </c>
      <c r="DC649" s="375">
        <f t="shared" si="8063"/>
        <v>0</v>
      </c>
    </row>
    <row r="650" spans="1:107" x14ac:dyDescent="0.3">
      <c r="G650" s="203"/>
      <c r="K650" s="203"/>
      <c r="W650" s="203"/>
      <c r="AI650" s="203"/>
      <c r="AU650" s="203"/>
      <c r="BG650" s="203"/>
      <c r="BS650" s="203"/>
      <c r="CE650" s="203"/>
      <c r="CQ650" s="203"/>
      <c r="DC650" s="203"/>
    </row>
    <row r="651" spans="1:107" x14ac:dyDescent="0.3">
      <c r="C651" s="342" t="str">
        <f>++'Trade Ticket Input'!C$8</f>
        <v>ABL Revolver ($0.0MM)</v>
      </c>
      <c r="G651" s="45">
        <v>0</v>
      </c>
      <c r="H651" s="45">
        <v>0</v>
      </c>
      <c r="I651" s="45">
        <v>0</v>
      </c>
      <c r="J651" s="45">
        <v>0</v>
      </c>
      <c r="K651" s="45">
        <v>0</v>
      </c>
      <c r="L651" s="45">
        <v>0</v>
      </c>
      <c r="M651" s="45">
        <v>0</v>
      </c>
      <c r="N651" s="45">
        <v>0</v>
      </c>
      <c r="O651" s="45">
        <v>0</v>
      </c>
      <c r="P651" s="45">
        <v>0</v>
      </c>
      <c r="Q651" s="45">
        <v>0</v>
      </c>
      <c r="R651" s="45">
        <v>0</v>
      </c>
      <c r="S651" s="45">
        <v>0</v>
      </c>
      <c r="T651" s="45">
        <v>0</v>
      </c>
      <c r="U651" s="45">
        <v>0</v>
      </c>
      <c r="V651" s="45">
        <v>0</v>
      </c>
      <c r="W651" s="45">
        <v>0</v>
      </c>
      <c r="X651" s="45">
        <v>0</v>
      </c>
      <c r="Y651" s="45">
        <v>0</v>
      </c>
      <c r="Z651" s="45">
        <v>0</v>
      </c>
      <c r="AA651" s="45">
        <v>0</v>
      </c>
      <c r="AB651" s="45">
        <v>0</v>
      </c>
      <c r="AC651" s="45">
        <v>0</v>
      </c>
      <c r="AD651" s="45">
        <v>0</v>
      </c>
      <c r="AE651" s="45">
        <v>0</v>
      </c>
      <c r="AF651" s="45">
        <v>0</v>
      </c>
      <c r="AG651" s="45">
        <v>0</v>
      </c>
      <c r="AH651" s="45">
        <v>0</v>
      </c>
      <c r="AI651" s="45">
        <v>0</v>
      </c>
      <c r="AJ651" s="45">
        <v>0</v>
      </c>
      <c r="AK651" s="45">
        <v>0</v>
      </c>
      <c r="AL651" s="45">
        <v>0</v>
      </c>
      <c r="AM651" s="45">
        <v>0</v>
      </c>
      <c r="AN651" s="45">
        <v>0</v>
      </c>
      <c r="AO651" s="45">
        <v>0</v>
      </c>
      <c r="AP651" s="45">
        <v>0</v>
      </c>
      <c r="AQ651" s="45">
        <v>0</v>
      </c>
      <c r="AR651" s="45">
        <v>0</v>
      </c>
      <c r="AS651" s="45">
        <v>0</v>
      </c>
      <c r="AT651" s="45">
        <v>0</v>
      </c>
      <c r="AU651" s="45">
        <v>0</v>
      </c>
      <c r="AV651" s="45">
        <v>0</v>
      </c>
      <c r="AW651" s="45">
        <v>0</v>
      </c>
      <c r="AX651" s="45">
        <v>0</v>
      </c>
      <c r="AY651" s="45">
        <v>0</v>
      </c>
      <c r="AZ651" s="45">
        <v>0</v>
      </c>
      <c r="BA651" s="45">
        <v>0</v>
      </c>
      <c r="BB651" s="45">
        <v>0</v>
      </c>
      <c r="BC651" s="45">
        <v>0</v>
      </c>
      <c r="BD651" s="45">
        <v>0</v>
      </c>
      <c r="BE651" s="45">
        <v>0</v>
      </c>
      <c r="BF651" s="45">
        <v>0</v>
      </c>
      <c r="BG651" s="45">
        <v>0</v>
      </c>
      <c r="BH651" s="45">
        <v>0</v>
      </c>
      <c r="BI651" s="45">
        <v>0</v>
      </c>
      <c r="BJ651" s="45">
        <v>0</v>
      </c>
      <c r="BK651" s="45">
        <v>0</v>
      </c>
      <c r="BL651" s="45">
        <v>0</v>
      </c>
      <c r="BM651" s="45">
        <v>0</v>
      </c>
      <c r="BN651" s="45">
        <v>0</v>
      </c>
      <c r="BO651" s="45">
        <v>0</v>
      </c>
      <c r="BP651" s="45">
        <v>0</v>
      </c>
      <c r="BQ651" s="45">
        <v>0</v>
      </c>
      <c r="BR651" s="45">
        <v>0</v>
      </c>
      <c r="BS651" s="45">
        <v>0</v>
      </c>
      <c r="BT651" s="45">
        <v>0</v>
      </c>
      <c r="BU651" s="45">
        <v>0</v>
      </c>
      <c r="BV651" s="45">
        <v>0</v>
      </c>
      <c r="BW651" s="45">
        <v>0</v>
      </c>
      <c r="BX651" s="45">
        <v>0</v>
      </c>
      <c r="BY651" s="45">
        <v>0</v>
      </c>
      <c r="BZ651" s="45">
        <v>0</v>
      </c>
      <c r="CA651" s="45">
        <v>0</v>
      </c>
      <c r="CB651" s="45">
        <v>0</v>
      </c>
      <c r="CC651" s="45">
        <v>0</v>
      </c>
      <c r="CD651" s="45">
        <v>0</v>
      </c>
      <c r="CE651" s="45">
        <v>0</v>
      </c>
      <c r="CF651" s="45">
        <v>0</v>
      </c>
      <c r="CG651" s="45">
        <v>0</v>
      </c>
      <c r="CH651" s="45">
        <v>0</v>
      </c>
      <c r="CI651" s="45">
        <v>0</v>
      </c>
      <c r="CJ651" s="45">
        <v>0</v>
      </c>
      <c r="CK651" s="45">
        <v>0</v>
      </c>
      <c r="CL651" s="45">
        <v>0</v>
      </c>
      <c r="CM651" s="45">
        <v>0</v>
      </c>
      <c r="CN651" s="45">
        <v>0</v>
      </c>
      <c r="CO651" s="45">
        <v>0</v>
      </c>
      <c r="CP651" s="45">
        <v>0</v>
      </c>
      <c r="CQ651" s="45">
        <v>0</v>
      </c>
      <c r="CR651" s="45">
        <v>0</v>
      </c>
      <c r="CS651" s="45">
        <v>0</v>
      </c>
      <c r="CT651" s="45">
        <v>0</v>
      </c>
      <c r="CU651" s="45">
        <v>0</v>
      </c>
      <c r="CV651" s="45">
        <v>0</v>
      </c>
      <c r="CW651" s="45">
        <v>0</v>
      </c>
      <c r="CX651" s="45">
        <v>0</v>
      </c>
      <c r="CY651" s="45">
        <v>0</v>
      </c>
      <c r="CZ651" s="45">
        <v>0</v>
      </c>
      <c r="DA651" s="45">
        <v>0</v>
      </c>
      <c r="DB651" s="45">
        <v>0</v>
      </c>
      <c r="DC651" s="45">
        <v>0</v>
      </c>
    </row>
    <row r="652" spans="1:107" x14ac:dyDescent="0.3">
      <c r="C652" s="342" t="str">
        <f>++'Trade Ticket Input'!C$38</f>
        <v>Priority Revolver ($0.0MM)</v>
      </c>
      <c r="G652" s="45">
        <v>0</v>
      </c>
      <c r="H652" s="45">
        <v>0</v>
      </c>
      <c r="I652" s="45">
        <v>0</v>
      </c>
      <c r="J652" s="45">
        <v>0</v>
      </c>
      <c r="K652" s="45">
        <v>0</v>
      </c>
      <c r="L652" s="45">
        <v>0</v>
      </c>
      <c r="M652" s="45">
        <v>0</v>
      </c>
      <c r="N652" s="45">
        <v>0</v>
      </c>
      <c r="O652" s="45">
        <v>0</v>
      </c>
      <c r="P652" s="45">
        <v>0</v>
      </c>
      <c r="Q652" s="45">
        <v>0</v>
      </c>
      <c r="R652" s="45">
        <v>0</v>
      </c>
      <c r="S652" s="45">
        <v>0</v>
      </c>
      <c r="T652" s="45">
        <v>0</v>
      </c>
      <c r="U652" s="45">
        <v>0</v>
      </c>
      <c r="V652" s="45">
        <v>0</v>
      </c>
      <c r="W652" s="45">
        <v>0</v>
      </c>
      <c r="X652" s="45">
        <v>0</v>
      </c>
      <c r="Y652" s="45">
        <v>0</v>
      </c>
      <c r="Z652" s="45">
        <v>0</v>
      </c>
      <c r="AA652" s="45">
        <v>0</v>
      </c>
      <c r="AB652" s="45">
        <v>0</v>
      </c>
      <c r="AC652" s="45">
        <v>0</v>
      </c>
      <c r="AD652" s="45">
        <v>0</v>
      </c>
      <c r="AE652" s="45">
        <v>0</v>
      </c>
      <c r="AF652" s="45">
        <v>0</v>
      </c>
      <c r="AG652" s="45">
        <v>0</v>
      </c>
      <c r="AH652" s="45">
        <v>0</v>
      </c>
      <c r="AI652" s="45">
        <v>0</v>
      </c>
      <c r="AJ652" s="45">
        <v>0</v>
      </c>
      <c r="AK652" s="45">
        <v>0</v>
      </c>
      <c r="AL652" s="45">
        <v>0</v>
      </c>
      <c r="AM652" s="45">
        <v>0</v>
      </c>
      <c r="AN652" s="45">
        <v>0</v>
      </c>
      <c r="AO652" s="45">
        <v>0</v>
      </c>
      <c r="AP652" s="45">
        <v>0</v>
      </c>
      <c r="AQ652" s="45">
        <v>0</v>
      </c>
      <c r="AR652" s="45">
        <v>0</v>
      </c>
      <c r="AS652" s="45">
        <v>0</v>
      </c>
      <c r="AT652" s="45">
        <v>0</v>
      </c>
      <c r="AU652" s="45">
        <v>0</v>
      </c>
      <c r="AV652" s="45">
        <v>0</v>
      </c>
      <c r="AW652" s="45">
        <v>0</v>
      </c>
      <c r="AX652" s="45">
        <v>0</v>
      </c>
      <c r="AY652" s="45">
        <v>0</v>
      </c>
      <c r="AZ652" s="45">
        <v>0</v>
      </c>
      <c r="BA652" s="45">
        <v>0</v>
      </c>
      <c r="BB652" s="45">
        <v>0</v>
      </c>
      <c r="BC652" s="45">
        <v>0</v>
      </c>
      <c r="BD652" s="45">
        <v>0</v>
      </c>
      <c r="BE652" s="45">
        <v>0</v>
      </c>
      <c r="BF652" s="45">
        <v>0</v>
      </c>
      <c r="BG652" s="45">
        <v>0</v>
      </c>
      <c r="BH652" s="45">
        <v>0</v>
      </c>
      <c r="BI652" s="45">
        <v>0</v>
      </c>
      <c r="BJ652" s="45">
        <v>0</v>
      </c>
      <c r="BK652" s="45">
        <v>0</v>
      </c>
      <c r="BL652" s="45">
        <v>0</v>
      </c>
      <c r="BM652" s="45">
        <v>0</v>
      </c>
      <c r="BN652" s="45">
        <v>0</v>
      </c>
      <c r="BO652" s="45">
        <v>0</v>
      </c>
      <c r="BP652" s="45">
        <v>0</v>
      </c>
      <c r="BQ652" s="45">
        <v>0</v>
      </c>
      <c r="BR652" s="45">
        <v>0</v>
      </c>
      <c r="BS652" s="45">
        <v>0</v>
      </c>
      <c r="BT652" s="45">
        <v>0</v>
      </c>
      <c r="BU652" s="45">
        <v>0</v>
      </c>
      <c r="BV652" s="45">
        <v>0</v>
      </c>
      <c r="BW652" s="45">
        <v>0</v>
      </c>
      <c r="BX652" s="45">
        <v>0</v>
      </c>
      <c r="BY652" s="45">
        <v>0</v>
      </c>
      <c r="BZ652" s="45">
        <v>0</v>
      </c>
      <c r="CA652" s="45">
        <v>0</v>
      </c>
      <c r="CB652" s="45">
        <v>0</v>
      </c>
      <c r="CC652" s="45">
        <v>0</v>
      </c>
      <c r="CD652" s="45">
        <v>0</v>
      </c>
      <c r="CE652" s="45">
        <v>0</v>
      </c>
      <c r="CF652" s="45">
        <v>0</v>
      </c>
      <c r="CG652" s="45">
        <v>0</v>
      </c>
      <c r="CH652" s="45">
        <v>0</v>
      </c>
      <c r="CI652" s="45">
        <v>0</v>
      </c>
      <c r="CJ652" s="45">
        <v>0</v>
      </c>
      <c r="CK652" s="45">
        <v>0</v>
      </c>
      <c r="CL652" s="45">
        <v>0</v>
      </c>
      <c r="CM652" s="45">
        <v>0</v>
      </c>
      <c r="CN652" s="45">
        <v>0</v>
      </c>
      <c r="CO652" s="45">
        <v>0</v>
      </c>
      <c r="CP652" s="45">
        <v>0</v>
      </c>
      <c r="CQ652" s="45">
        <v>0</v>
      </c>
      <c r="CR652" s="45">
        <v>0</v>
      </c>
      <c r="CS652" s="45">
        <v>0</v>
      </c>
      <c r="CT652" s="45">
        <v>0</v>
      </c>
      <c r="CU652" s="45">
        <v>0</v>
      </c>
      <c r="CV652" s="45">
        <v>0</v>
      </c>
      <c r="CW652" s="45">
        <v>0</v>
      </c>
      <c r="CX652" s="45">
        <v>0</v>
      </c>
      <c r="CY652" s="45">
        <v>0</v>
      </c>
      <c r="CZ652" s="45">
        <v>0</v>
      </c>
      <c r="DA652" s="45">
        <v>0</v>
      </c>
      <c r="DB652" s="45">
        <v>0</v>
      </c>
      <c r="DC652" s="45">
        <v>0</v>
      </c>
    </row>
    <row r="653" spans="1:107" x14ac:dyDescent="0.3">
      <c r="C653" s="342" t="str">
        <f>++'Trade Ticket Input'!C$68</f>
        <v>First Lien Term Loan</v>
      </c>
      <c r="G653" s="45">
        <v>0</v>
      </c>
      <c r="H653" s="45">
        <v>0</v>
      </c>
      <c r="I653" s="45">
        <v>0</v>
      </c>
      <c r="J653" s="45">
        <v>0</v>
      </c>
      <c r="K653" s="45">
        <v>0</v>
      </c>
      <c r="L653" s="45">
        <v>0</v>
      </c>
      <c r="M653" s="45">
        <v>0</v>
      </c>
      <c r="N653" s="45">
        <v>0</v>
      </c>
      <c r="O653" s="45">
        <v>0</v>
      </c>
      <c r="P653" s="45">
        <v>0</v>
      </c>
      <c r="Q653" s="45">
        <v>0</v>
      </c>
      <c r="R653" s="45">
        <v>0</v>
      </c>
      <c r="S653" s="45">
        <v>0</v>
      </c>
      <c r="T653" s="45">
        <v>0</v>
      </c>
      <c r="U653" s="45">
        <v>0</v>
      </c>
      <c r="V653" s="45">
        <v>0</v>
      </c>
      <c r="W653" s="45">
        <v>0</v>
      </c>
      <c r="X653" s="45">
        <v>0</v>
      </c>
      <c r="Y653" s="45">
        <v>0</v>
      </c>
      <c r="Z653" s="45">
        <v>0</v>
      </c>
      <c r="AA653" s="45">
        <v>0</v>
      </c>
      <c r="AB653" s="45">
        <v>0</v>
      </c>
      <c r="AC653" s="45">
        <v>0</v>
      </c>
      <c r="AD653" s="45">
        <v>0</v>
      </c>
      <c r="AE653" s="45">
        <v>0</v>
      </c>
      <c r="AF653" s="45">
        <v>0</v>
      </c>
      <c r="AG653" s="45">
        <v>0</v>
      </c>
      <c r="AH653" s="45">
        <v>0</v>
      </c>
      <c r="AI653" s="45">
        <v>0</v>
      </c>
      <c r="AJ653" s="45">
        <v>0</v>
      </c>
      <c r="AK653" s="45">
        <v>0</v>
      </c>
      <c r="AL653" s="45">
        <v>0</v>
      </c>
      <c r="AM653" s="45">
        <v>0</v>
      </c>
      <c r="AN653" s="45">
        <v>0</v>
      </c>
      <c r="AO653" s="45">
        <v>0</v>
      </c>
      <c r="AP653" s="45">
        <v>0</v>
      </c>
      <c r="AQ653" s="45">
        <v>0</v>
      </c>
      <c r="AR653" s="45">
        <v>0</v>
      </c>
      <c r="AS653" s="45">
        <v>0</v>
      </c>
      <c r="AT653" s="45">
        <v>0</v>
      </c>
      <c r="AU653" s="45">
        <v>0</v>
      </c>
      <c r="AV653" s="45">
        <v>0</v>
      </c>
      <c r="AW653" s="45">
        <v>0</v>
      </c>
      <c r="AX653" s="45">
        <v>0</v>
      </c>
      <c r="AY653" s="45">
        <v>0</v>
      </c>
      <c r="AZ653" s="45">
        <v>0</v>
      </c>
      <c r="BA653" s="45">
        <v>0</v>
      </c>
      <c r="BB653" s="45">
        <v>0</v>
      </c>
      <c r="BC653" s="45">
        <v>0</v>
      </c>
      <c r="BD653" s="45">
        <v>0</v>
      </c>
      <c r="BE653" s="45">
        <v>0</v>
      </c>
      <c r="BF653" s="45">
        <v>0</v>
      </c>
      <c r="BG653" s="45">
        <v>0</v>
      </c>
      <c r="BH653" s="45">
        <v>0</v>
      </c>
      <c r="BI653" s="45">
        <v>0</v>
      </c>
      <c r="BJ653" s="45">
        <v>0</v>
      </c>
      <c r="BK653" s="45">
        <v>0</v>
      </c>
      <c r="BL653" s="45">
        <v>0</v>
      </c>
      <c r="BM653" s="45">
        <v>0</v>
      </c>
      <c r="BN653" s="45">
        <v>0</v>
      </c>
      <c r="BO653" s="45">
        <v>0</v>
      </c>
      <c r="BP653" s="45">
        <v>0</v>
      </c>
      <c r="BQ653" s="45">
        <v>0</v>
      </c>
      <c r="BR653" s="45">
        <v>0</v>
      </c>
      <c r="BS653" s="45">
        <v>0</v>
      </c>
      <c r="BT653" s="45">
        <v>0</v>
      </c>
      <c r="BU653" s="45">
        <v>0</v>
      </c>
      <c r="BV653" s="45">
        <v>0</v>
      </c>
      <c r="BW653" s="45">
        <v>0</v>
      </c>
      <c r="BX653" s="45">
        <v>0</v>
      </c>
      <c r="BY653" s="45">
        <v>0</v>
      </c>
      <c r="BZ653" s="45">
        <v>0</v>
      </c>
      <c r="CA653" s="45">
        <v>0</v>
      </c>
      <c r="CB653" s="45">
        <v>0</v>
      </c>
      <c r="CC653" s="45">
        <v>0</v>
      </c>
      <c r="CD653" s="45">
        <v>0</v>
      </c>
      <c r="CE653" s="45">
        <v>0</v>
      </c>
      <c r="CF653" s="45">
        <v>0</v>
      </c>
      <c r="CG653" s="45">
        <v>0</v>
      </c>
      <c r="CH653" s="45">
        <v>0</v>
      </c>
      <c r="CI653" s="45">
        <v>0</v>
      </c>
      <c r="CJ653" s="45">
        <v>0</v>
      </c>
      <c r="CK653" s="45">
        <v>0</v>
      </c>
      <c r="CL653" s="45">
        <v>0</v>
      </c>
      <c r="CM653" s="45">
        <v>0</v>
      </c>
      <c r="CN653" s="45">
        <v>0</v>
      </c>
      <c r="CO653" s="45">
        <v>0</v>
      </c>
      <c r="CP653" s="45">
        <v>0</v>
      </c>
      <c r="CQ653" s="45">
        <v>0</v>
      </c>
      <c r="CR653" s="45">
        <v>0</v>
      </c>
      <c r="CS653" s="45">
        <v>0</v>
      </c>
      <c r="CT653" s="45">
        <v>0</v>
      </c>
      <c r="CU653" s="45">
        <v>0</v>
      </c>
      <c r="CV653" s="45">
        <v>0</v>
      </c>
      <c r="CW653" s="45">
        <v>0</v>
      </c>
      <c r="CX653" s="45">
        <v>0</v>
      </c>
      <c r="CY653" s="45">
        <v>0</v>
      </c>
      <c r="CZ653" s="45">
        <v>0</v>
      </c>
      <c r="DA653" s="45">
        <v>0</v>
      </c>
      <c r="DB653" s="45">
        <v>0</v>
      </c>
      <c r="DC653" s="45">
        <v>0</v>
      </c>
    </row>
    <row r="654" spans="1:107" x14ac:dyDescent="0.3">
      <c r="C654" s="342" t="str">
        <f>++'Trade Ticket Input'!C$98</f>
        <v>First Lien Last-Out Term Loan</v>
      </c>
      <c r="G654" s="45">
        <v>0</v>
      </c>
      <c r="H654" s="45">
        <v>0</v>
      </c>
      <c r="I654" s="45">
        <v>0</v>
      </c>
      <c r="J654" s="45">
        <v>0</v>
      </c>
      <c r="K654" s="45">
        <v>0</v>
      </c>
      <c r="L654" s="45">
        <v>0</v>
      </c>
      <c r="M654" s="45">
        <v>0</v>
      </c>
      <c r="N654" s="45">
        <v>0</v>
      </c>
      <c r="O654" s="45">
        <v>0</v>
      </c>
      <c r="P654" s="45">
        <v>0</v>
      </c>
      <c r="Q654" s="45">
        <v>0</v>
      </c>
      <c r="R654" s="45">
        <v>0</v>
      </c>
      <c r="S654" s="45">
        <v>0</v>
      </c>
      <c r="T654" s="45">
        <v>0</v>
      </c>
      <c r="U654" s="45">
        <v>0</v>
      </c>
      <c r="V654" s="45">
        <v>0</v>
      </c>
      <c r="W654" s="45">
        <v>0</v>
      </c>
      <c r="X654" s="45">
        <v>0</v>
      </c>
      <c r="Y654" s="45">
        <v>0</v>
      </c>
      <c r="Z654" s="45">
        <v>0</v>
      </c>
      <c r="AA654" s="45">
        <v>0</v>
      </c>
      <c r="AB654" s="45">
        <v>0</v>
      </c>
      <c r="AC654" s="45">
        <v>0</v>
      </c>
      <c r="AD654" s="45">
        <v>0</v>
      </c>
      <c r="AE654" s="45">
        <v>0</v>
      </c>
      <c r="AF654" s="45">
        <v>0</v>
      </c>
      <c r="AG654" s="45">
        <v>0</v>
      </c>
      <c r="AH654" s="45">
        <v>0</v>
      </c>
      <c r="AI654" s="45">
        <v>0</v>
      </c>
      <c r="AJ654" s="45">
        <v>0</v>
      </c>
      <c r="AK654" s="45">
        <v>0</v>
      </c>
      <c r="AL654" s="45">
        <v>0</v>
      </c>
      <c r="AM654" s="45">
        <v>0</v>
      </c>
      <c r="AN654" s="45">
        <v>0</v>
      </c>
      <c r="AO654" s="45">
        <v>0</v>
      </c>
      <c r="AP654" s="45">
        <v>0</v>
      </c>
      <c r="AQ654" s="45">
        <v>0</v>
      </c>
      <c r="AR654" s="45">
        <v>0</v>
      </c>
      <c r="AS654" s="45">
        <v>0</v>
      </c>
      <c r="AT654" s="45">
        <v>0</v>
      </c>
      <c r="AU654" s="45">
        <v>0</v>
      </c>
      <c r="AV654" s="45">
        <v>0</v>
      </c>
      <c r="AW654" s="45">
        <v>0</v>
      </c>
      <c r="AX654" s="45">
        <v>0</v>
      </c>
      <c r="AY654" s="45">
        <v>0</v>
      </c>
      <c r="AZ654" s="45">
        <v>0</v>
      </c>
      <c r="BA654" s="45">
        <v>0</v>
      </c>
      <c r="BB654" s="45">
        <v>0</v>
      </c>
      <c r="BC654" s="45">
        <v>0</v>
      </c>
      <c r="BD654" s="45">
        <v>0</v>
      </c>
      <c r="BE654" s="45">
        <v>0</v>
      </c>
      <c r="BF654" s="45">
        <v>0</v>
      </c>
      <c r="BG654" s="45">
        <v>0</v>
      </c>
      <c r="BH654" s="45">
        <v>0</v>
      </c>
      <c r="BI654" s="45">
        <v>0</v>
      </c>
      <c r="BJ654" s="45">
        <v>0</v>
      </c>
      <c r="BK654" s="45">
        <v>0</v>
      </c>
      <c r="BL654" s="45">
        <v>0</v>
      </c>
      <c r="BM654" s="45">
        <v>0</v>
      </c>
      <c r="BN654" s="45">
        <v>0</v>
      </c>
      <c r="BO654" s="45">
        <v>0</v>
      </c>
      <c r="BP654" s="45">
        <v>0</v>
      </c>
      <c r="BQ654" s="45">
        <v>0</v>
      </c>
      <c r="BR654" s="45">
        <v>0</v>
      </c>
      <c r="BS654" s="45">
        <v>0</v>
      </c>
      <c r="BT654" s="45">
        <v>0</v>
      </c>
      <c r="BU654" s="45">
        <v>0</v>
      </c>
      <c r="BV654" s="45">
        <v>0</v>
      </c>
      <c r="BW654" s="45">
        <v>0</v>
      </c>
      <c r="BX654" s="45">
        <v>0</v>
      </c>
      <c r="BY654" s="45">
        <v>0</v>
      </c>
      <c r="BZ654" s="45">
        <v>0</v>
      </c>
      <c r="CA654" s="45">
        <v>0</v>
      </c>
      <c r="CB654" s="45">
        <v>0</v>
      </c>
      <c r="CC654" s="45">
        <v>0</v>
      </c>
      <c r="CD654" s="45">
        <v>0</v>
      </c>
      <c r="CE654" s="45">
        <v>0</v>
      </c>
      <c r="CF654" s="45">
        <v>0</v>
      </c>
      <c r="CG654" s="45">
        <v>0</v>
      </c>
      <c r="CH654" s="45">
        <v>0</v>
      </c>
      <c r="CI654" s="45">
        <v>0</v>
      </c>
      <c r="CJ654" s="45">
        <v>0</v>
      </c>
      <c r="CK654" s="45">
        <v>0</v>
      </c>
      <c r="CL654" s="45">
        <v>0</v>
      </c>
      <c r="CM654" s="45">
        <v>0</v>
      </c>
      <c r="CN654" s="45">
        <v>0</v>
      </c>
      <c r="CO654" s="45">
        <v>0</v>
      </c>
      <c r="CP654" s="45">
        <v>0</v>
      </c>
      <c r="CQ654" s="45">
        <v>0</v>
      </c>
      <c r="CR654" s="45">
        <v>0</v>
      </c>
      <c r="CS654" s="45">
        <v>0</v>
      </c>
      <c r="CT654" s="45">
        <v>0</v>
      </c>
      <c r="CU654" s="45">
        <v>0</v>
      </c>
      <c r="CV654" s="45">
        <v>0</v>
      </c>
      <c r="CW654" s="45">
        <v>0</v>
      </c>
      <c r="CX654" s="45">
        <v>0</v>
      </c>
      <c r="CY654" s="45">
        <v>0</v>
      </c>
      <c r="CZ654" s="45">
        <v>0</v>
      </c>
      <c r="DA654" s="45">
        <v>0</v>
      </c>
      <c r="DB654" s="45">
        <v>0</v>
      </c>
      <c r="DC654" s="45">
        <v>0</v>
      </c>
    </row>
    <row r="655" spans="1:107" x14ac:dyDescent="0.3">
      <c r="C655" s="342" t="str">
        <f>++'Trade Ticket Input'!C$128</f>
        <v>First Lien DDTL ($0.0MM)</v>
      </c>
      <c r="G655" s="45">
        <v>0</v>
      </c>
      <c r="H655" s="45">
        <v>0</v>
      </c>
      <c r="I655" s="45">
        <v>0</v>
      </c>
      <c r="J655" s="45">
        <v>0</v>
      </c>
      <c r="K655" s="45">
        <v>0</v>
      </c>
      <c r="L655" s="45">
        <v>0</v>
      </c>
      <c r="M655" s="45">
        <v>0</v>
      </c>
      <c r="N655" s="45">
        <v>0</v>
      </c>
      <c r="O655" s="45">
        <v>0</v>
      </c>
      <c r="P655" s="45">
        <v>0</v>
      </c>
      <c r="Q655" s="45">
        <v>0</v>
      </c>
      <c r="R655" s="45">
        <v>0</v>
      </c>
      <c r="S655" s="45">
        <v>0</v>
      </c>
      <c r="T655" s="45">
        <v>0</v>
      </c>
      <c r="U655" s="45">
        <v>0</v>
      </c>
      <c r="V655" s="45">
        <v>0</v>
      </c>
      <c r="W655" s="45">
        <v>0</v>
      </c>
      <c r="X655" s="45">
        <v>0</v>
      </c>
      <c r="Y655" s="45">
        <v>0</v>
      </c>
      <c r="Z655" s="45">
        <v>0</v>
      </c>
      <c r="AA655" s="45">
        <v>0</v>
      </c>
      <c r="AB655" s="45">
        <v>0</v>
      </c>
      <c r="AC655" s="45">
        <v>0</v>
      </c>
      <c r="AD655" s="45">
        <v>0</v>
      </c>
      <c r="AE655" s="45">
        <v>0</v>
      </c>
      <c r="AF655" s="45">
        <v>0</v>
      </c>
      <c r="AG655" s="45">
        <v>0</v>
      </c>
      <c r="AH655" s="45">
        <v>0</v>
      </c>
      <c r="AI655" s="45">
        <v>0</v>
      </c>
      <c r="AJ655" s="45">
        <v>0</v>
      </c>
      <c r="AK655" s="45">
        <v>0</v>
      </c>
      <c r="AL655" s="45">
        <v>0</v>
      </c>
      <c r="AM655" s="45">
        <v>0</v>
      </c>
      <c r="AN655" s="45">
        <v>0</v>
      </c>
      <c r="AO655" s="45">
        <v>0</v>
      </c>
      <c r="AP655" s="45">
        <v>0</v>
      </c>
      <c r="AQ655" s="45">
        <v>0</v>
      </c>
      <c r="AR655" s="45">
        <v>0</v>
      </c>
      <c r="AS655" s="45">
        <v>0</v>
      </c>
      <c r="AT655" s="45">
        <v>0</v>
      </c>
      <c r="AU655" s="45">
        <v>0</v>
      </c>
      <c r="AV655" s="45">
        <v>0</v>
      </c>
      <c r="AW655" s="45">
        <v>0</v>
      </c>
      <c r="AX655" s="45">
        <v>0</v>
      </c>
      <c r="AY655" s="45">
        <v>0</v>
      </c>
      <c r="AZ655" s="45">
        <v>0</v>
      </c>
      <c r="BA655" s="45">
        <v>0</v>
      </c>
      <c r="BB655" s="45">
        <v>0</v>
      </c>
      <c r="BC655" s="45">
        <v>0</v>
      </c>
      <c r="BD655" s="45">
        <v>0</v>
      </c>
      <c r="BE655" s="45">
        <v>0</v>
      </c>
      <c r="BF655" s="45">
        <v>0</v>
      </c>
      <c r="BG655" s="45">
        <v>0</v>
      </c>
      <c r="BH655" s="45">
        <v>0</v>
      </c>
      <c r="BI655" s="45">
        <v>0</v>
      </c>
      <c r="BJ655" s="45">
        <v>0</v>
      </c>
      <c r="BK655" s="45">
        <v>0</v>
      </c>
      <c r="BL655" s="45">
        <v>0</v>
      </c>
      <c r="BM655" s="45">
        <v>0</v>
      </c>
      <c r="BN655" s="45">
        <v>0</v>
      </c>
      <c r="BO655" s="45">
        <v>0</v>
      </c>
      <c r="BP655" s="45">
        <v>0</v>
      </c>
      <c r="BQ655" s="45">
        <v>0</v>
      </c>
      <c r="BR655" s="45">
        <v>0</v>
      </c>
      <c r="BS655" s="45">
        <v>0</v>
      </c>
      <c r="BT655" s="45">
        <v>0</v>
      </c>
      <c r="BU655" s="45">
        <v>0</v>
      </c>
      <c r="BV655" s="45">
        <v>0</v>
      </c>
      <c r="BW655" s="45">
        <v>0</v>
      </c>
      <c r="BX655" s="45">
        <v>0</v>
      </c>
      <c r="BY655" s="45">
        <v>0</v>
      </c>
      <c r="BZ655" s="45">
        <v>0</v>
      </c>
      <c r="CA655" s="45">
        <v>0</v>
      </c>
      <c r="CB655" s="45">
        <v>0</v>
      </c>
      <c r="CC655" s="45">
        <v>0</v>
      </c>
      <c r="CD655" s="45">
        <v>0</v>
      </c>
      <c r="CE655" s="45">
        <v>0</v>
      </c>
      <c r="CF655" s="45">
        <v>0</v>
      </c>
      <c r="CG655" s="45">
        <v>0</v>
      </c>
      <c r="CH655" s="45">
        <v>0</v>
      </c>
      <c r="CI655" s="45">
        <v>0</v>
      </c>
      <c r="CJ655" s="45">
        <v>0</v>
      </c>
      <c r="CK655" s="45">
        <v>0</v>
      </c>
      <c r="CL655" s="45">
        <v>0</v>
      </c>
      <c r="CM655" s="45">
        <v>0</v>
      </c>
      <c r="CN655" s="45">
        <v>0</v>
      </c>
      <c r="CO655" s="45">
        <v>0</v>
      </c>
      <c r="CP655" s="45">
        <v>0</v>
      </c>
      <c r="CQ655" s="45">
        <v>0</v>
      </c>
      <c r="CR655" s="45">
        <v>0</v>
      </c>
      <c r="CS655" s="45">
        <v>0</v>
      </c>
      <c r="CT655" s="45">
        <v>0</v>
      </c>
      <c r="CU655" s="45">
        <v>0</v>
      </c>
      <c r="CV655" s="45">
        <v>0</v>
      </c>
      <c r="CW655" s="45">
        <v>0</v>
      </c>
      <c r="CX655" s="45">
        <v>0</v>
      </c>
      <c r="CY655" s="45">
        <v>0</v>
      </c>
      <c r="CZ655" s="45">
        <v>0</v>
      </c>
      <c r="DA655" s="45">
        <v>0</v>
      </c>
      <c r="DB655" s="45">
        <v>0</v>
      </c>
      <c r="DC655" s="45">
        <v>0</v>
      </c>
    </row>
    <row r="656" spans="1:107" x14ac:dyDescent="0.3">
      <c r="C656" s="101" t="str">
        <f>++C602</f>
        <v>Capital Leases</v>
      </c>
      <c r="G656" s="45">
        <v>0</v>
      </c>
      <c r="H656" s="45">
        <v>0</v>
      </c>
      <c r="I656" s="45">
        <v>0</v>
      </c>
      <c r="J656" s="45">
        <v>0</v>
      </c>
      <c r="K656" s="45">
        <v>0</v>
      </c>
      <c r="L656" s="45">
        <v>0</v>
      </c>
      <c r="M656" s="45">
        <v>0</v>
      </c>
      <c r="N656" s="45">
        <v>0</v>
      </c>
      <c r="O656" s="45">
        <v>0</v>
      </c>
      <c r="P656" s="45">
        <v>0</v>
      </c>
      <c r="Q656" s="45">
        <v>0</v>
      </c>
      <c r="R656" s="45">
        <v>0</v>
      </c>
      <c r="S656" s="45">
        <v>0</v>
      </c>
      <c r="T656" s="45">
        <v>0</v>
      </c>
      <c r="U656" s="45">
        <v>0</v>
      </c>
      <c r="V656" s="45">
        <v>0</v>
      </c>
      <c r="W656" s="45">
        <v>0</v>
      </c>
      <c r="X656" s="45">
        <v>0</v>
      </c>
      <c r="Y656" s="45">
        <v>0</v>
      </c>
      <c r="Z656" s="45">
        <v>0</v>
      </c>
      <c r="AA656" s="45">
        <v>0</v>
      </c>
      <c r="AB656" s="45">
        <v>0</v>
      </c>
      <c r="AC656" s="45">
        <v>0</v>
      </c>
      <c r="AD656" s="45">
        <v>0</v>
      </c>
      <c r="AE656" s="45">
        <v>0</v>
      </c>
      <c r="AF656" s="45">
        <v>0</v>
      </c>
      <c r="AG656" s="45">
        <v>0</v>
      </c>
      <c r="AH656" s="45">
        <v>0</v>
      </c>
      <c r="AI656" s="45">
        <v>0</v>
      </c>
      <c r="AJ656" s="45">
        <v>0</v>
      </c>
      <c r="AK656" s="45">
        <v>0</v>
      </c>
      <c r="AL656" s="45">
        <v>0</v>
      </c>
      <c r="AM656" s="45">
        <v>0</v>
      </c>
      <c r="AN656" s="45">
        <v>0</v>
      </c>
      <c r="AO656" s="45">
        <v>0</v>
      </c>
      <c r="AP656" s="45">
        <v>0</v>
      </c>
      <c r="AQ656" s="45">
        <v>0</v>
      </c>
      <c r="AR656" s="45">
        <v>0</v>
      </c>
      <c r="AS656" s="45">
        <v>0</v>
      </c>
      <c r="AT656" s="45">
        <v>0</v>
      </c>
      <c r="AU656" s="45">
        <v>0</v>
      </c>
      <c r="AV656" s="45">
        <v>0</v>
      </c>
      <c r="AW656" s="45">
        <v>0</v>
      </c>
      <c r="AX656" s="45">
        <v>0</v>
      </c>
      <c r="AY656" s="45">
        <v>0</v>
      </c>
      <c r="AZ656" s="45">
        <v>0</v>
      </c>
      <c r="BA656" s="45">
        <v>0</v>
      </c>
      <c r="BB656" s="45">
        <v>0</v>
      </c>
      <c r="BC656" s="45">
        <v>0</v>
      </c>
      <c r="BD656" s="45">
        <v>0</v>
      </c>
      <c r="BE656" s="45">
        <v>0</v>
      </c>
      <c r="BF656" s="45">
        <v>0</v>
      </c>
      <c r="BG656" s="45">
        <v>0</v>
      </c>
      <c r="BH656" s="45">
        <v>0</v>
      </c>
      <c r="BI656" s="45">
        <v>0</v>
      </c>
      <c r="BJ656" s="45">
        <v>0</v>
      </c>
      <c r="BK656" s="45">
        <v>0</v>
      </c>
      <c r="BL656" s="45">
        <v>0</v>
      </c>
      <c r="BM656" s="45">
        <v>0</v>
      </c>
      <c r="BN656" s="45">
        <v>0</v>
      </c>
      <c r="BO656" s="45">
        <v>0</v>
      </c>
      <c r="BP656" s="45">
        <v>0</v>
      </c>
      <c r="BQ656" s="45">
        <v>0</v>
      </c>
      <c r="BR656" s="45">
        <v>0</v>
      </c>
      <c r="BS656" s="45">
        <v>0</v>
      </c>
      <c r="BT656" s="45">
        <v>0</v>
      </c>
      <c r="BU656" s="45">
        <v>0</v>
      </c>
      <c r="BV656" s="45">
        <v>0</v>
      </c>
      <c r="BW656" s="45">
        <v>0</v>
      </c>
      <c r="BX656" s="45">
        <v>0</v>
      </c>
      <c r="BY656" s="45">
        <v>0</v>
      </c>
      <c r="BZ656" s="45">
        <v>0</v>
      </c>
      <c r="CA656" s="45">
        <v>0</v>
      </c>
      <c r="CB656" s="45">
        <v>0</v>
      </c>
      <c r="CC656" s="45">
        <v>0</v>
      </c>
      <c r="CD656" s="45">
        <v>0</v>
      </c>
      <c r="CE656" s="45">
        <v>0</v>
      </c>
      <c r="CF656" s="45">
        <v>0</v>
      </c>
      <c r="CG656" s="45">
        <v>0</v>
      </c>
      <c r="CH656" s="45">
        <v>0</v>
      </c>
      <c r="CI656" s="45">
        <v>0</v>
      </c>
      <c r="CJ656" s="45">
        <v>0</v>
      </c>
      <c r="CK656" s="45">
        <v>0</v>
      </c>
      <c r="CL656" s="45">
        <v>0</v>
      </c>
      <c r="CM656" s="45">
        <v>0</v>
      </c>
      <c r="CN656" s="45">
        <v>0</v>
      </c>
      <c r="CO656" s="45">
        <v>0</v>
      </c>
      <c r="CP656" s="45">
        <v>0</v>
      </c>
      <c r="CQ656" s="45">
        <v>0</v>
      </c>
      <c r="CR656" s="45">
        <v>0</v>
      </c>
      <c r="CS656" s="45">
        <v>0</v>
      </c>
      <c r="CT656" s="45">
        <v>0</v>
      </c>
      <c r="CU656" s="45">
        <v>0</v>
      </c>
      <c r="CV656" s="45">
        <v>0</v>
      </c>
      <c r="CW656" s="45">
        <v>0</v>
      </c>
      <c r="CX656" s="45">
        <v>0</v>
      </c>
      <c r="CY656" s="45">
        <v>0</v>
      </c>
      <c r="CZ656" s="45">
        <v>0</v>
      </c>
      <c r="DA656" s="45">
        <v>0</v>
      </c>
      <c r="DB656" s="45">
        <v>0</v>
      </c>
      <c r="DC656" s="45">
        <v>0</v>
      </c>
    </row>
    <row r="657" spans="3:107" x14ac:dyDescent="0.3">
      <c r="C657" s="101" t="str">
        <f>++C603</f>
        <v>Other First Lien Debt</v>
      </c>
      <c r="G657" s="45">
        <v>0</v>
      </c>
      <c r="H657" s="45">
        <v>0</v>
      </c>
      <c r="I657" s="45">
        <v>0</v>
      </c>
      <c r="J657" s="45">
        <v>0</v>
      </c>
      <c r="K657" s="45">
        <v>0</v>
      </c>
      <c r="L657" s="45">
        <v>0</v>
      </c>
      <c r="M657" s="45">
        <v>0</v>
      </c>
      <c r="N657" s="45">
        <v>0</v>
      </c>
      <c r="O657" s="45">
        <v>0</v>
      </c>
      <c r="P657" s="45">
        <v>0</v>
      </c>
      <c r="Q657" s="45">
        <v>0</v>
      </c>
      <c r="R657" s="45">
        <v>0</v>
      </c>
      <c r="S657" s="45">
        <v>0</v>
      </c>
      <c r="T657" s="45">
        <v>0</v>
      </c>
      <c r="U657" s="45">
        <v>0</v>
      </c>
      <c r="V657" s="45">
        <v>0</v>
      </c>
      <c r="W657" s="45">
        <v>0</v>
      </c>
      <c r="X657" s="45">
        <v>0</v>
      </c>
      <c r="Y657" s="45">
        <v>0</v>
      </c>
      <c r="Z657" s="45">
        <v>0</v>
      </c>
      <c r="AA657" s="45">
        <v>0</v>
      </c>
      <c r="AB657" s="45">
        <v>0</v>
      </c>
      <c r="AC657" s="45">
        <v>0</v>
      </c>
      <c r="AD657" s="45">
        <v>0</v>
      </c>
      <c r="AE657" s="45">
        <v>0</v>
      </c>
      <c r="AF657" s="45">
        <v>0</v>
      </c>
      <c r="AG657" s="45">
        <v>0</v>
      </c>
      <c r="AH657" s="45">
        <v>0</v>
      </c>
      <c r="AI657" s="45">
        <v>0</v>
      </c>
      <c r="AJ657" s="45">
        <v>0</v>
      </c>
      <c r="AK657" s="45">
        <v>0</v>
      </c>
      <c r="AL657" s="45">
        <v>0</v>
      </c>
      <c r="AM657" s="45">
        <v>0</v>
      </c>
      <c r="AN657" s="45">
        <v>0</v>
      </c>
      <c r="AO657" s="45">
        <v>0</v>
      </c>
      <c r="AP657" s="45">
        <v>0</v>
      </c>
      <c r="AQ657" s="45">
        <v>0</v>
      </c>
      <c r="AR657" s="45">
        <v>0</v>
      </c>
      <c r="AS657" s="45">
        <v>0</v>
      </c>
      <c r="AT657" s="45">
        <v>0</v>
      </c>
      <c r="AU657" s="45">
        <v>0</v>
      </c>
      <c r="AV657" s="45">
        <v>0</v>
      </c>
      <c r="AW657" s="45">
        <v>0</v>
      </c>
      <c r="AX657" s="45">
        <v>0</v>
      </c>
      <c r="AY657" s="45">
        <v>0</v>
      </c>
      <c r="AZ657" s="45">
        <v>0</v>
      </c>
      <c r="BA657" s="45">
        <v>0</v>
      </c>
      <c r="BB657" s="45">
        <v>0</v>
      </c>
      <c r="BC657" s="45">
        <v>0</v>
      </c>
      <c r="BD657" s="45">
        <v>0</v>
      </c>
      <c r="BE657" s="45">
        <v>0</v>
      </c>
      <c r="BF657" s="45">
        <v>0</v>
      </c>
      <c r="BG657" s="45">
        <v>0</v>
      </c>
      <c r="BH657" s="45">
        <v>0</v>
      </c>
      <c r="BI657" s="45">
        <v>0</v>
      </c>
      <c r="BJ657" s="45">
        <v>0</v>
      </c>
      <c r="BK657" s="45">
        <v>0</v>
      </c>
      <c r="BL657" s="45">
        <v>0</v>
      </c>
      <c r="BM657" s="45">
        <v>0</v>
      </c>
      <c r="BN657" s="45">
        <v>0</v>
      </c>
      <c r="BO657" s="45">
        <v>0</v>
      </c>
      <c r="BP657" s="45">
        <v>0</v>
      </c>
      <c r="BQ657" s="45">
        <v>0</v>
      </c>
      <c r="BR657" s="45">
        <v>0</v>
      </c>
      <c r="BS657" s="45">
        <v>0</v>
      </c>
      <c r="BT657" s="45">
        <v>0</v>
      </c>
      <c r="BU657" s="45">
        <v>0</v>
      </c>
      <c r="BV657" s="45">
        <v>0</v>
      </c>
      <c r="BW657" s="45">
        <v>0</v>
      </c>
      <c r="BX657" s="45">
        <v>0</v>
      </c>
      <c r="BY657" s="45">
        <v>0</v>
      </c>
      <c r="BZ657" s="45">
        <v>0</v>
      </c>
      <c r="CA657" s="45">
        <v>0</v>
      </c>
      <c r="CB657" s="45">
        <v>0</v>
      </c>
      <c r="CC657" s="45">
        <v>0</v>
      </c>
      <c r="CD657" s="45">
        <v>0</v>
      </c>
      <c r="CE657" s="45">
        <v>0</v>
      </c>
      <c r="CF657" s="45">
        <v>0</v>
      </c>
      <c r="CG657" s="45">
        <v>0</v>
      </c>
      <c r="CH657" s="45">
        <v>0</v>
      </c>
      <c r="CI657" s="45">
        <v>0</v>
      </c>
      <c r="CJ657" s="45">
        <v>0</v>
      </c>
      <c r="CK657" s="45">
        <v>0</v>
      </c>
      <c r="CL657" s="45">
        <v>0</v>
      </c>
      <c r="CM657" s="45">
        <v>0</v>
      </c>
      <c r="CN657" s="45">
        <v>0</v>
      </c>
      <c r="CO657" s="45">
        <v>0</v>
      </c>
      <c r="CP657" s="45">
        <v>0</v>
      </c>
      <c r="CQ657" s="45">
        <v>0</v>
      </c>
      <c r="CR657" s="45">
        <v>0</v>
      </c>
      <c r="CS657" s="45">
        <v>0</v>
      </c>
      <c r="CT657" s="45">
        <v>0</v>
      </c>
      <c r="CU657" s="45">
        <v>0</v>
      </c>
      <c r="CV657" s="45">
        <v>0</v>
      </c>
      <c r="CW657" s="45">
        <v>0</v>
      </c>
      <c r="CX657" s="45">
        <v>0</v>
      </c>
      <c r="CY657" s="45">
        <v>0</v>
      </c>
      <c r="CZ657" s="45">
        <v>0</v>
      </c>
      <c r="DA657" s="45">
        <v>0</v>
      </c>
      <c r="DB657" s="45">
        <v>0</v>
      </c>
      <c r="DC657" s="45">
        <v>0</v>
      </c>
    </row>
    <row r="658" spans="3:107" x14ac:dyDescent="0.3">
      <c r="C658" s="231" t="str">
        <f>++C604</f>
        <v>First Lien Debt</v>
      </c>
      <c r="D658" s="191"/>
      <c r="E658" s="191"/>
      <c r="G658" s="198">
        <f>SUM(G651:G657)</f>
        <v>0</v>
      </c>
      <c r="H658" s="380">
        <f>SUM(H651:H657)</f>
        <v>0</v>
      </c>
      <c r="I658" s="380">
        <f>SUM(I651:I657)</f>
        <v>0</v>
      </c>
      <c r="J658" s="380">
        <f>SUM(J651:J657)</f>
        <v>0</v>
      </c>
      <c r="K658" s="198">
        <f>SUM(K651:K657)</f>
        <v>0</v>
      </c>
      <c r="L658" s="380">
        <f t="shared" ref="L658:V658" si="8064">SUM(L651:L657)</f>
        <v>0</v>
      </c>
      <c r="M658" s="380">
        <f t="shared" si="8064"/>
        <v>0</v>
      </c>
      <c r="N658" s="380">
        <f t="shared" si="8064"/>
        <v>0</v>
      </c>
      <c r="O658" s="380">
        <f t="shared" si="8064"/>
        <v>0</v>
      </c>
      <c r="P658" s="380">
        <f t="shared" si="8064"/>
        <v>0</v>
      </c>
      <c r="Q658" s="380">
        <f t="shared" si="8064"/>
        <v>0</v>
      </c>
      <c r="R658" s="380">
        <f t="shared" si="8064"/>
        <v>0</v>
      </c>
      <c r="S658" s="380">
        <f t="shared" si="8064"/>
        <v>0</v>
      </c>
      <c r="T658" s="380">
        <f t="shared" si="8064"/>
        <v>0</v>
      </c>
      <c r="U658" s="380">
        <f t="shared" si="8064"/>
        <v>0</v>
      </c>
      <c r="V658" s="380">
        <f t="shared" si="8064"/>
        <v>0</v>
      </c>
      <c r="W658" s="198">
        <f t="shared" ref="W658:AH658" si="8065">SUM(W651:W657)</f>
        <v>0</v>
      </c>
      <c r="X658" s="380">
        <f t="shared" si="8065"/>
        <v>0</v>
      </c>
      <c r="Y658" s="380">
        <f t="shared" si="8065"/>
        <v>0</v>
      </c>
      <c r="Z658" s="380">
        <f t="shared" si="8065"/>
        <v>0</v>
      </c>
      <c r="AA658" s="380">
        <f t="shared" si="8065"/>
        <v>0</v>
      </c>
      <c r="AB658" s="380">
        <f t="shared" si="8065"/>
        <v>0</v>
      </c>
      <c r="AC658" s="380">
        <f t="shared" si="8065"/>
        <v>0</v>
      </c>
      <c r="AD658" s="380">
        <f t="shared" si="8065"/>
        <v>0</v>
      </c>
      <c r="AE658" s="380">
        <f t="shared" si="8065"/>
        <v>0</v>
      </c>
      <c r="AF658" s="380">
        <f t="shared" si="8065"/>
        <v>0</v>
      </c>
      <c r="AG658" s="380">
        <f t="shared" si="8065"/>
        <v>0</v>
      </c>
      <c r="AH658" s="380">
        <f t="shared" si="8065"/>
        <v>0</v>
      </c>
      <c r="AI658" s="198">
        <f t="shared" ref="AI658:CE658" si="8066">SUM(AI651:AI657)</f>
        <v>0</v>
      </c>
      <c r="AJ658" s="380">
        <f t="shared" si="8066"/>
        <v>0</v>
      </c>
      <c r="AK658" s="380">
        <f t="shared" si="8066"/>
        <v>0</v>
      </c>
      <c r="AL658" s="380">
        <f t="shared" si="8066"/>
        <v>0</v>
      </c>
      <c r="AM658" s="380">
        <f t="shared" si="8066"/>
        <v>0</v>
      </c>
      <c r="AN658" s="380">
        <f t="shared" si="8066"/>
        <v>0</v>
      </c>
      <c r="AO658" s="380">
        <f t="shared" si="8066"/>
        <v>0</v>
      </c>
      <c r="AP658" s="380">
        <f t="shared" si="8066"/>
        <v>0</v>
      </c>
      <c r="AQ658" s="380">
        <f t="shared" si="8066"/>
        <v>0</v>
      </c>
      <c r="AR658" s="380">
        <f t="shared" si="8066"/>
        <v>0</v>
      </c>
      <c r="AS658" s="380">
        <f t="shared" si="8066"/>
        <v>0</v>
      </c>
      <c r="AT658" s="380">
        <f t="shared" si="8066"/>
        <v>0</v>
      </c>
      <c r="AU658" s="198">
        <f t="shared" si="8066"/>
        <v>0</v>
      </c>
      <c r="AV658" s="380">
        <f t="shared" si="8066"/>
        <v>0</v>
      </c>
      <c r="AW658" s="380">
        <f t="shared" si="8066"/>
        <v>0</v>
      </c>
      <c r="AX658" s="380">
        <f t="shared" si="8066"/>
        <v>0</v>
      </c>
      <c r="AY658" s="380">
        <f t="shared" si="8066"/>
        <v>0</v>
      </c>
      <c r="AZ658" s="380">
        <f t="shared" si="8066"/>
        <v>0</v>
      </c>
      <c r="BA658" s="380">
        <f t="shared" si="8066"/>
        <v>0</v>
      </c>
      <c r="BB658" s="380">
        <f t="shared" si="8066"/>
        <v>0</v>
      </c>
      <c r="BC658" s="380">
        <f t="shared" si="8066"/>
        <v>0</v>
      </c>
      <c r="BD658" s="380">
        <f t="shared" si="8066"/>
        <v>0</v>
      </c>
      <c r="BE658" s="380">
        <f t="shared" si="8066"/>
        <v>0</v>
      </c>
      <c r="BF658" s="380">
        <f t="shared" si="8066"/>
        <v>0</v>
      </c>
      <c r="BG658" s="198">
        <f t="shared" si="8066"/>
        <v>0</v>
      </c>
      <c r="BH658" s="380">
        <f t="shared" si="8066"/>
        <v>0</v>
      </c>
      <c r="BI658" s="380">
        <f t="shared" si="8066"/>
        <v>0</v>
      </c>
      <c r="BJ658" s="380">
        <f t="shared" si="8066"/>
        <v>0</v>
      </c>
      <c r="BK658" s="380">
        <f t="shared" si="8066"/>
        <v>0</v>
      </c>
      <c r="BL658" s="380">
        <f t="shared" si="8066"/>
        <v>0</v>
      </c>
      <c r="BM658" s="380">
        <f t="shared" si="8066"/>
        <v>0</v>
      </c>
      <c r="BN658" s="380">
        <f t="shared" si="8066"/>
        <v>0</v>
      </c>
      <c r="BO658" s="380">
        <f t="shared" si="8066"/>
        <v>0</v>
      </c>
      <c r="BP658" s="380">
        <f t="shared" si="8066"/>
        <v>0</v>
      </c>
      <c r="BQ658" s="380">
        <f t="shared" si="8066"/>
        <v>0</v>
      </c>
      <c r="BR658" s="380">
        <f t="shared" si="8066"/>
        <v>0</v>
      </c>
      <c r="BS658" s="198">
        <f t="shared" si="8066"/>
        <v>0</v>
      </c>
      <c r="BT658" s="380">
        <f t="shared" si="8066"/>
        <v>0</v>
      </c>
      <c r="BU658" s="380">
        <f t="shared" si="8066"/>
        <v>0</v>
      </c>
      <c r="BV658" s="380">
        <f t="shared" si="8066"/>
        <v>0</v>
      </c>
      <c r="BW658" s="380">
        <f t="shared" si="8066"/>
        <v>0</v>
      </c>
      <c r="BX658" s="380">
        <f t="shared" si="8066"/>
        <v>0</v>
      </c>
      <c r="BY658" s="380">
        <f t="shared" si="8066"/>
        <v>0</v>
      </c>
      <c r="BZ658" s="380">
        <f t="shared" si="8066"/>
        <v>0</v>
      </c>
      <c r="CA658" s="380">
        <f t="shared" si="8066"/>
        <v>0</v>
      </c>
      <c r="CB658" s="380">
        <f t="shared" si="8066"/>
        <v>0</v>
      </c>
      <c r="CC658" s="380">
        <f t="shared" si="8066"/>
        <v>0</v>
      </c>
      <c r="CD658" s="380">
        <f t="shared" si="8066"/>
        <v>0</v>
      </c>
      <c r="CE658" s="198">
        <f t="shared" si="8066"/>
        <v>0</v>
      </c>
      <c r="CF658" s="380">
        <f t="shared" ref="CF658:DC658" si="8067">SUM(CF651:CF657)</f>
        <v>0</v>
      </c>
      <c r="CG658" s="380">
        <f t="shared" si="8067"/>
        <v>0</v>
      </c>
      <c r="CH658" s="380">
        <f t="shared" si="8067"/>
        <v>0</v>
      </c>
      <c r="CI658" s="380">
        <f t="shared" si="8067"/>
        <v>0</v>
      </c>
      <c r="CJ658" s="380">
        <f t="shared" si="8067"/>
        <v>0</v>
      </c>
      <c r="CK658" s="380">
        <f t="shared" si="8067"/>
        <v>0</v>
      </c>
      <c r="CL658" s="380">
        <f t="shared" si="8067"/>
        <v>0</v>
      </c>
      <c r="CM658" s="380">
        <f t="shared" si="8067"/>
        <v>0</v>
      </c>
      <c r="CN658" s="380">
        <f t="shared" si="8067"/>
        <v>0</v>
      </c>
      <c r="CO658" s="380">
        <f t="shared" si="8067"/>
        <v>0</v>
      </c>
      <c r="CP658" s="380">
        <f t="shared" si="8067"/>
        <v>0</v>
      </c>
      <c r="CQ658" s="198">
        <f t="shared" si="8067"/>
        <v>0</v>
      </c>
      <c r="CR658" s="380">
        <f t="shared" si="8067"/>
        <v>0</v>
      </c>
      <c r="CS658" s="380">
        <f t="shared" si="8067"/>
        <v>0</v>
      </c>
      <c r="CT658" s="380">
        <f t="shared" si="8067"/>
        <v>0</v>
      </c>
      <c r="CU658" s="380">
        <f t="shared" si="8067"/>
        <v>0</v>
      </c>
      <c r="CV658" s="380">
        <f t="shared" si="8067"/>
        <v>0</v>
      </c>
      <c r="CW658" s="380">
        <f t="shared" si="8067"/>
        <v>0</v>
      </c>
      <c r="CX658" s="380">
        <f t="shared" si="8067"/>
        <v>0</v>
      </c>
      <c r="CY658" s="380">
        <f t="shared" si="8067"/>
        <v>0</v>
      </c>
      <c r="CZ658" s="380">
        <f t="shared" si="8067"/>
        <v>0</v>
      </c>
      <c r="DA658" s="380">
        <f t="shared" si="8067"/>
        <v>0</v>
      </c>
      <c r="DB658" s="380">
        <f t="shared" si="8067"/>
        <v>0</v>
      </c>
      <c r="DC658" s="198">
        <f t="shared" si="8067"/>
        <v>0</v>
      </c>
    </row>
    <row r="659" spans="3:107" x14ac:dyDescent="0.3">
      <c r="G659" s="203"/>
      <c r="K659" s="203"/>
      <c r="W659" s="203"/>
      <c r="AI659" s="203"/>
      <c r="AU659" s="203"/>
      <c r="BG659" s="203"/>
      <c r="BS659" s="203"/>
      <c r="CE659" s="203"/>
      <c r="CQ659" s="203"/>
      <c r="DC659" s="203"/>
    </row>
    <row r="660" spans="3:107" x14ac:dyDescent="0.3">
      <c r="C660" s="342" t="str">
        <f>++'Trade Ticket Input'!C$158</f>
        <v>Second Lien Term Loan</v>
      </c>
      <c r="G660" s="45">
        <v>0</v>
      </c>
      <c r="H660" s="45">
        <v>0</v>
      </c>
      <c r="I660" s="45">
        <v>0</v>
      </c>
      <c r="J660" s="45">
        <v>0</v>
      </c>
      <c r="K660" s="45">
        <v>0</v>
      </c>
      <c r="L660" s="45">
        <v>0</v>
      </c>
      <c r="M660" s="45">
        <v>0</v>
      </c>
      <c r="N660" s="45">
        <v>0</v>
      </c>
      <c r="O660" s="45">
        <v>0</v>
      </c>
      <c r="P660" s="45">
        <v>0</v>
      </c>
      <c r="Q660" s="45">
        <v>0</v>
      </c>
      <c r="R660" s="45">
        <v>0</v>
      </c>
      <c r="S660" s="45">
        <v>0</v>
      </c>
      <c r="T660" s="45">
        <v>0</v>
      </c>
      <c r="U660" s="45">
        <v>0</v>
      </c>
      <c r="V660" s="45">
        <v>0</v>
      </c>
      <c r="W660" s="45">
        <v>0</v>
      </c>
      <c r="X660" s="45">
        <v>0</v>
      </c>
      <c r="Y660" s="45">
        <v>0</v>
      </c>
      <c r="Z660" s="45">
        <v>0</v>
      </c>
      <c r="AA660" s="45">
        <v>0</v>
      </c>
      <c r="AB660" s="45">
        <v>0</v>
      </c>
      <c r="AC660" s="45">
        <v>0</v>
      </c>
      <c r="AD660" s="45">
        <v>0</v>
      </c>
      <c r="AE660" s="45">
        <v>0</v>
      </c>
      <c r="AF660" s="45">
        <v>0</v>
      </c>
      <c r="AG660" s="45">
        <v>0</v>
      </c>
      <c r="AH660" s="45">
        <v>0</v>
      </c>
      <c r="AI660" s="45">
        <v>0</v>
      </c>
      <c r="AJ660" s="45">
        <v>0</v>
      </c>
      <c r="AK660" s="45">
        <v>0</v>
      </c>
      <c r="AL660" s="45">
        <v>0</v>
      </c>
      <c r="AM660" s="45">
        <v>0</v>
      </c>
      <c r="AN660" s="45">
        <v>0</v>
      </c>
      <c r="AO660" s="45">
        <v>0</v>
      </c>
      <c r="AP660" s="45">
        <v>0</v>
      </c>
      <c r="AQ660" s="45">
        <v>0</v>
      </c>
      <c r="AR660" s="45">
        <v>0</v>
      </c>
      <c r="AS660" s="45">
        <v>0</v>
      </c>
      <c r="AT660" s="45">
        <v>0</v>
      </c>
      <c r="AU660" s="45">
        <v>0</v>
      </c>
      <c r="AV660" s="45">
        <v>0</v>
      </c>
      <c r="AW660" s="45">
        <v>0</v>
      </c>
      <c r="AX660" s="45">
        <v>0</v>
      </c>
      <c r="AY660" s="45">
        <v>0</v>
      </c>
      <c r="AZ660" s="45">
        <v>0</v>
      </c>
      <c r="BA660" s="45">
        <v>0</v>
      </c>
      <c r="BB660" s="45">
        <v>0</v>
      </c>
      <c r="BC660" s="45">
        <v>0</v>
      </c>
      <c r="BD660" s="45">
        <v>0</v>
      </c>
      <c r="BE660" s="45">
        <v>0</v>
      </c>
      <c r="BF660" s="45">
        <v>0</v>
      </c>
      <c r="BG660" s="45">
        <v>0</v>
      </c>
      <c r="BH660" s="45">
        <v>0</v>
      </c>
      <c r="BI660" s="45">
        <v>0</v>
      </c>
      <c r="BJ660" s="45">
        <v>0</v>
      </c>
      <c r="BK660" s="45">
        <v>0</v>
      </c>
      <c r="BL660" s="45">
        <v>0</v>
      </c>
      <c r="BM660" s="45">
        <v>0</v>
      </c>
      <c r="BN660" s="45">
        <v>0</v>
      </c>
      <c r="BO660" s="45">
        <v>0</v>
      </c>
      <c r="BP660" s="45">
        <v>0</v>
      </c>
      <c r="BQ660" s="45">
        <v>0</v>
      </c>
      <c r="BR660" s="45">
        <v>0</v>
      </c>
      <c r="BS660" s="45">
        <v>0</v>
      </c>
      <c r="BT660" s="45">
        <v>0</v>
      </c>
      <c r="BU660" s="45">
        <v>0</v>
      </c>
      <c r="BV660" s="45">
        <v>0</v>
      </c>
      <c r="BW660" s="45">
        <v>0</v>
      </c>
      <c r="BX660" s="45">
        <v>0</v>
      </c>
      <c r="BY660" s="45">
        <v>0</v>
      </c>
      <c r="BZ660" s="45">
        <v>0</v>
      </c>
      <c r="CA660" s="45">
        <v>0</v>
      </c>
      <c r="CB660" s="45">
        <v>0</v>
      </c>
      <c r="CC660" s="45">
        <v>0</v>
      </c>
      <c r="CD660" s="45">
        <v>0</v>
      </c>
      <c r="CE660" s="45">
        <v>0</v>
      </c>
      <c r="CF660" s="45">
        <v>0</v>
      </c>
      <c r="CG660" s="45">
        <v>0</v>
      </c>
      <c r="CH660" s="45">
        <v>0</v>
      </c>
      <c r="CI660" s="45">
        <v>0</v>
      </c>
      <c r="CJ660" s="45">
        <v>0</v>
      </c>
      <c r="CK660" s="45">
        <v>0</v>
      </c>
      <c r="CL660" s="45">
        <v>0</v>
      </c>
      <c r="CM660" s="45">
        <v>0</v>
      </c>
      <c r="CN660" s="45">
        <v>0</v>
      </c>
      <c r="CO660" s="45">
        <v>0</v>
      </c>
      <c r="CP660" s="45">
        <v>0</v>
      </c>
      <c r="CQ660" s="45">
        <v>0</v>
      </c>
      <c r="CR660" s="45">
        <v>0</v>
      </c>
      <c r="CS660" s="45">
        <v>0</v>
      </c>
      <c r="CT660" s="45">
        <v>0</v>
      </c>
      <c r="CU660" s="45">
        <v>0</v>
      </c>
      <c r="CV660" s="45">
        <v>0</v>
      </c>
      <c r="CW660" s="45">
        <v>0</v>
      </c>
      <c r="CX660" s="45">
        <v>0</v>
      </c>
      <c r="CY660" s="45">
        <v>0</v>
      </c>
      <c r="CZ660" s="45">
        <v>0</v>
      </c>
      <c r="DA660" s="45">
        <v>0</v>
      </c>
      <c r="DB660" s="45">
        <v>0</v>
      </c>
      <c r="DC660" s="45">
        <v>0</v>
      </c>
    </row>
    <row r="661" spans="3:107" x14ac:dyDescent="0.3">
      <c r="C661" s="342" t="str">
        <f>++'Trade Ticket Input'!C$188</f>
        <v>Second Lien DDTL ($0.0MM)</v>
      </c>
      <c r="G661" s="45">
        <v>0</v>
      </c>
      <c r="H661" s="45">
        <v>0</v>
      </c>
      <c r="I661" s="45">
        <v>0</v>
      </c>
      <c r="J661" s="45">
        <v>0</v>
      </c>
      <c r="K661" s="45">
        <v>0</v>
      </c>
      <c r="L661" s="45">
        <v>0</v>
      </c>
      <c r="M661" s="45">
        <v>0</v>
      </c>
      <c r="N661" s="45">
        <v>0</v>
      </c>
      <c r="O661" s="45">
        <v>0</v>
      </c>
      <c r="P661" s="45">
        <v>0</v>
      </c>
      <c r="Q661" s="45">
        <v>0</v>
      </c>
      <c r="R661" s="45">
        <v>0</v>
      </c>
      <c r="S661" s="45">
        <v>0</v>
      </c>
      <c r="T661" s="45">
        <v>0</v>
      </c>
      <c r="U661" s="45">
        <v>0</v>
      </c>
      <c r="V661" s="45">
        <v>0</v>
      </c>
      <c r="W661" s="45">
        <v>0</v>
      </c>
      <c r="X661" s="45">
        <v>0</v>
      </c>
      <c r="Y661" s="45">
        <v>0</v>
      </c>
      <c r="Z661" s="45">
        <v>0</v>
      </c>
      <c r="AA661" s="45">
        <v>0</v>
      </c>
      <c r="AB661" s="45">
        <v>0</v>
      </c>
      <c r="AC661" s="45">
        <v>0</v>
      </c>
      <c r="AD661" s="45">
        <v>0</v>
      </c>
      <c r="AE661" s="45">
        <v>0</v>
      </c>
      <c r="AF661" s="45">
        <v>0</v>
      </c>
      <c r="AG661" s="45">
        <v>0</v>
      </c>
      <c r="AH661" s="45">
        <v>0</v>
      </c>
      <c r="AI661" s="45">
        <v>0</v>
      </c>
      <c r="AJ661" s="45">
        <v>0</v>
      </c>
      <c r="AK661" s="45">
        <v>0</v>
      </c>
      <c r="AL661" s="45">
        <v>0</v>
      </c>
      <c r="AM661" s="45">
        <v>0</v>
      </c>
      <c r="AN661" s="45">
        <v>0</v>
      </c>
      <c r="AO661" s="45">
        <v>0</v>
      </c>
      <c r="AP661" s="45">
        <v>0</v>
      </c>
      <c r="AQ661" s="45">
        <v>0</v>
      </c>
      <c r="AR661" s="45">
        <v>0</v>
      </c>
      <c r="AS661" s="45">
        <v>0</v>
      </c>
      <c r="AT661" s="45">
        <v>0</v>
      </c>
      <c r="AU661" s="45">
        <v>0</v>
      </c>
      <c r="AV661" s="45">
        <v>0</v>
      </c>
      <c r="AW661" s="45">
        <v>0</v>
      </c>
      <c r="AX661" s="45">
        <v>0</v>
      </c>
      <c r="AY661" s="45">
        <v>0</v>
      </c>
      <c r="AZ661" s="45">
        <v>0</v>
      </c>
      <c r="BA661" s="45">
        <v>0</v>
      </c>
      <c r="BB661" s="45">
        <v>0</v>
      </c>
      <c r="BC661" s="45">
        <v>0</v>
      </c>
      <c r="BD661" s="45">
        <v>0</v>
      </c>
      <c r="BE661" s="45">
        <v>0</v>
      </c>
      <c r="BF661" s="45">
        <v>0</v>
      </c>
      <c r="BG661" s="45">
        <v>0</v>
      </c>
      <c r="BH661" s="45">
        <v>0</v>
      </c>
      <c r="BI661" s="45">
        <v>0</v>
      </c>
      <c r="BJ661" s="45">
        <v>0</v>
      </c>
      <c r="BK661" s="45">
        <v>0</v>
      </c>
      <c r="BL661" s="45">
        <v>0</v>
      </c>
      <c r="BM661" s="45">
        <v>0</v>
      </c>
      <c r="BN661" s="45">
        <v>0</v>
      </c>
      <c r="BO661" s="45">
        <v>0</v>
      </c>
      <c r="BP661" s="45">
        <v>0</v>
      </c>
      <c r="BQ661" s="45">
        <v>0</v>
      </c>
      <c r="BR661" s="45">
        <v>0</v>
      </c>
      <c r="BS661" s="45">
        <v>0</v>
      </c>
      <c r="BT661" s="45">
        <v>0</v>
      </c>
      <c r="BU661" s="45">
        <v>0</v>
      </c>
      <c r="BV661" s="45">
        <v>0</v>
      </c>
      <c r="BW661" s="45">
        <v>0</v>
      </c>
      <c r="BX661" s="45">
        <v>0</v>
      </c>
      <c r="BY661" s="45">
        <v>0</v>
      </c>
      <c r="BZ661" s="45">
        <v>0</v>
      </c>
      <c r="CA661" s="45">
        <v>0</v>
      </c>
      <c r="CB661" s="45">
        <v>0</v>
      </c>
      <c r="CC661" s="45">
        <v>0</v>
      </c>
      <c r="CD661" s="45">
        <v>0</v>
      </c>
      <c r="CE661" s="45">
        <v>0</v>
      </c>
      <c r="CF661" s="45">
        <v>0</v>
      </c>
      <c r="CG661" s="45">
        <v>0</v>
      </c>
      <c r="CH661" s="45">
        <v>0</v>
      </c>
      <c r="CI661" s="45">
        <v>0</v>
      </c>
      <c r="CJ661" s="45">
        <v>0</v>
      </c>
      <c r="CK661" s="45">
        <v>0</v>
      </c>
      <c r="CL661" s="45">
        <v>0</v>
      </c>
      <c r="CM661" s="45">
        <v>0</v>
      </c>
      <c r="CN661" s="45">
        <v>0</v>
      </c>
      <c r="CO661" s="45">
        <v>0</v>
      </c>
      <c r="CP661" s="45">
        <v>0</v>
      </c>
      <c r="CQ661" s="45">
        <v>0</v>
      </c>
      <c r="CR661" s="45">
        <v>0</v>
      </c>
      <c r="CS661" s="45">
        <v>0</v>
      </c>
      <c r="CT661" s="45">
        <v>0</v>
      </c>
      <c r="CU661" s="45">
        <v>0</v>
      </c>
      <c r="CV661" s="45">
        <v>0</v>
      </c>
      <c r="CW661" s="45">
        <v>0</v>
      </c>
      <c r="CX661" s="45">
        <v>0</v>
      </c>
      <c r="CY661" s="45">
        <v>0</v>
      </c>
      <c r="CZ661" s="45">
        <v>0</v>
      </c>
      <c r="DA661" s="45">
        <v>0</v>
      </c>
      <c r="DB661" s="45">
        <v>0</v>
      </c>
      <c r="DC661" s="45">
        <v>0</v>
      </c>
    </row>
    <row r="662" spans="3:107" x14ac:dyDescent="0.3">
      <c r="C662" s="101" t="str">
        <f>++C608</f>
        <v>Other Senior Debt</v>
      </c>
      <c r="G662" s="45">
        <v>0</v>
      </c>
      <c r="H662" s="45">
        <v>0</v>
      </c>
      <c r="I662" s="45">
        <v>0</v>
      </c>
      <c r="J662" s="45">
        <v>0</v>
      </c>
      <c r="K662" s="45">
        <v>0</v>
      </c>
      <c r="L662" s="45">
        <v>0</v>
      </c>
      <c r="M662" s="45">
        <v>0</v>
      </c>
      <c r="N662" s="45">
        <v>0</v>
      </c>
      <c r="O662" s="45">
        <v>0</v>
      </c>
      <c r="P662" s="45">
        <v>0</v>
      </c>
      <c r="Q662" s="45">
        <v>0</v>
      </c>
      <c r="R662" s="45">
        <v>0</v>
      </c>
      <c r="S662" s="45">
        <v>0</v>
      </c>
      <c r="T662" s="45">
        <v>0</v>
      </c>
      <c r="U662" s="45">
        <v>0</v>
      </c>
      <c r="V662" s="45">
        <v>0</v>
      </c>
      <c r="W662" s="45">
        <v>0</v>
      </c>
      <c r="X662" s="45">
        <v>0</v>
      </c>
      <c r="Y662" s="45">
        <v>0</v>
      </c>
      <c r="Z662" s="45">
        <v>0</v>
      </c>
      <c r="AA662" s="45">
        <v>0</v>
      </c>
      <c r="AB662" s="45">
        <v>0</v>
      </c>
      <c r="AC662" s="45">
        <v>0</v>
      </c>
      <c r="AD662" s="45">
        <v>0</v>
      </c>
      <c r="AE662" s="45">
        <v>0</v>
      </c>
      <c r="AF662" s="45">
        <v>0</v>
      </c>
      <c r="AG662" s="45">
        <v>0</v>
      </c>
      <c r="AH662" s="45">
        <v>0</v>
      </c>
      <c r="AI662" s="45">
        <v>0</v>
      </c>
      <c r="AJ662" s="45">
        <v>0</v>
      </c>
      <c r="AK662" s="45">
        <v>0</v>
      </c>
      <c r="AL662" s="45">
        <v>0</v>
      </c>
      <c r="AM662" s="45">
        <v>0</v>
      </c>
      <c r="AN662" s="45">
        <v>0</v>
      </c>
      <c r="AO662" s="45">
        <v>0</v>
      </c>
      <c r="AP662" s="45">
        <v>0</v>
      </c>
      <c r="AQ662" s="45">
        <v>0</v>
      </c>
      <c r="AR662" s="45">
        <v>0</v>
      </c>
      <c r="AS662" s="45">
        <v>0</v>
      </c>
      <c r="AT662" s="45">
        <v>0</v>
      </c>
      <c r="AU662" s="45">
        <v>0</v>
      </c>
      <c r="AV662" s="45">
        <v>0</v>
      </c>
      <c r="AW662" s="45">
        <v>0</v>
      </c>
      <c r="AX662" s="45">
        <v>0</v>
      </c>
      <c r="AY662" s="45">
        <v>0</v>
      </c>
      <c r="AZ662" s="45">
        <v>0</v>
      </c>
      <c r="BA662" s="45">
        <v>0</v>
      </c>
      <c r="BB662" s="45">
        <v>0</v>
      </c>
      <c r="BC662" s="45">
        <v>0</v>
      </c>
      <c r="BD662" s="45">
        <v>0</v>
      </c>
      <c r="BE662" s="45">
        <v>0</v>
      </c>
      <c r="BF662" s="45">
        <v>0</v>
      </c>
      <c r="BG662" s="45">
        <v>0</v>
      </c>
      <c r="BH662" s="45">
        <v>0</v>
      </c>
      <c r="BI662" s="45">
        <v>0</v>
      </c>
      <c r="BJ662" s="45">
        <v>0</v>
      </c>
      <c r="BK662" s="45">
        <v>0</v>
      </c>
      <c r="BL662" s="45">
        <v>0</v>
      </c>
      <c r="BM662" s="45">
        <v>0</v>
      </c>
      <c r="BN662" s="45">
        <v>0</v>
      </c>
      <c r="BO662" s="45">
        <v>0</v>
      </c>
      <c r="BP662" s="45">
        <v>0</v>
      </c>
      <c r="BQ662" s="45">
        <v>0</v>
      </c>
      <c r="BR662" s="45">
        <v>0</v>
      </c>
      <c r="BS662" s="45">
        <v>0</v>
      </c>
      <c r="BT662" s="45">
        <v>0</v>
      </c>
      <c r="BU662" s="45">
        <v>0</v>
      </c>
      <c r="BV662" s="45">
        <v>0</v>
      </c>
      <c r="BW662" s="45">
        <v>0</v>
      </c>
      <c r="BX662" s="45">
        <v>0</v>
      </c>
      <c r="BY662" s="45">
        <v>0</v>
      </c>
      <c r="BZ662" s="45">
        <v>0</v>
      </c>
      <c r="CA662" s="45">
        <v>0</v>
      </c>
      <c r="CB662" s="45">
        <v>0</v>
      </c>
      <c r="CC662" s="45">
        <v>0</v>
      </c>
      <c r="CD662" s="45">
        <v>0</v>
      </c>
      <c r="CE662" s="45">
        <v>0</v>
      </c>
      <c r="CF662" s="45">
        <v>0</v>
      </c>
      <c r="CG662" s="45">
        <v>0</v>
      </c>
      <c r="CH662" s="45">
        <v>0</v>
      </c>
      <c r="CI662" s="45">
        <v>0</v>
      </c>
      <c r="CJ662" s="45">
        <v>0</v>
      </c>
      <c r="CK662" s="45">
        <v>0</v>
      </c>
      <c r="CL662" s="45">
        <v>0</v>
      </c>
      <c r="CM662" s="45">
        <v>0</v>
      </c>
      <c r="CN662" s="45">
        <v>0</v>
      </c>
      <c r="CO662" s="45">
        <v>0</v>
      </c>
      <c r="CP662" s="45">
        <v>0</v>
      </c>
      <c r="CQ662" s="45">
        <v>0</v>
      </c>
      <c r="CR662" s="45">
        <v>0</v>
      </c>
      <c r="CS662" s="45">
        <v>0</v>
      </c>
      <c r="CT662" s="45">
        <v>0</v>
      </c>
      <c r="CU662" s="45">
        <v>0</v>
      </c>
      <c r="CV662" s="45">
        <v>0</v>
      </c>
      <c r="CW662" s="45">
        <v>0</v>
      </c>
      <c r="CX662" s="45">
        <v>0</v>
      </c>
      <c r="CY662" s="45">
        <v>0</v>
      </c>
      <c r="CZ662" s="45">
        <v>0</v>
      </c>
      <c r="DA662" s="45">
        <v>0</v>
      </c>
      <c r="DB662" s="45">
        <v>0</v>
      </c>
      <c r="DC662" s="45">
        <v>0</v>
      </c>
    </row>
    <row r="663" spans="3:107" x14ac:dyDescent="0.3">
      <c r="C663" s="231" t="str">
        <f>++C609</f>
        <v>Senior Debt</v>
      </c>
      <c r="D663" s="191"/>
      <c r="E663" s="191"/>
      <c r="G663" s="198">
        <f>SUM(G658:G662)</f>
        <v>0</v>
      </c>
      <c r="H663" s="380">
        <f t="shared" ref="H663:BS663" si="8068">SUM(H658:H662)</f>
        <v>0</v>
      </c>
      <c r="I663" s="380">
        <f t="shared" si="8068"/>
        <v>0</v>
      </c>
      <c r="J663" s="380">
        <f t="shared" si="8068"/>
        <v>0</v>
      </c>
      <c r="K663" s="198">
        <f t="shared" si="8068"/>
        <v>0</v>
      </c>
      <c r="L663" s="380">
        <f t="shared" si="8068"/>
        <v>0</v>
      </c>
      <c r="M663" s="380">
        <f t="shared" si="8068"/>
        <v>0</v>
      </c>
      <c r="N663" s="380">
        <f t="shared" si="8068"/>
        <v>0</v>
      </c>
      <c r="O663" s="380">
        <f t="shared" si="8068"/>
        <v>0</v>
      </c>
      <c r="P663" s="380">
        <f t="shared" si="8068"/>
        <v>0</v>
      </c>
      <c r="Q663" s="380">
        <f t="shared" si="8068"/>
        <v>0</v>
      </c>
      <c r="R663" s="380">
        <f t="shared" si="8068"/>
        <v>0</v>
      </c>
      <c r="S663" s="380">
        <f t="shared" si="8068"/>
        <v>0</v>
      </c>
      <c r="T663" s="380">
        <f t="shared" si="8068"/>
        <v>0</v>
      </c>
      <c r="U663" s="380">
        <f t="shared" si="8068"/>
        <v>0</v>
      </c>
      <c r="V663" s="380">
        <f t="shared" si="8068"/>
        <v>0</v>
      </c>
      <c r="W663" s="198">
        <f t="shared" si="8068"/>
        <v>0</v>
      </c>
      <c r="X663" s="380">
        <f t="shared" si="8068"/>
        <v>0</v>
      </c>
      <c r="Y663" s="380">
        <f t="shared" si="8068"/>
        <v>0</v>
      </c>
      <c r="Z663" s="380">
        <f t="shared" si="8068"/>
        <v>0</v>
      </c>
      <c r="AA663" s="380">
        <f t="shared" si="8068"/>
        <v>0</v>
      </c>
      <c r="AB663" s="380">
        <f t="shared" si="8068"/>
        <v>0</v>
      </c>
      <c r="AC663" s="380">
        <f t="shared" si="8068"/>
        <v>0</v>
      </c>
      <c r="AD663" s="380">
        <f t="shared" si="8068"/>
        <v>0</v>
      </c>
      <c r="AE663" s="380">
        <f t="shared" si="8068"/>
        <v>0</v>
      </c>
      <c r="AF663" s="380">
        <f t="shared" si="8068"/>
        <v>0</v>
      </c>
      <c r="AG663" s="380">
        <f t="shared" si="8068"/>
        <v>0</v>
      </c>
      <c r="AH663" s="380">
        <f t="shared" si="8068"/>
        <v>0</v>
      </c>
      <c r="AI663" s="198">
        <f t="shared" si="8068"/>
        <v>0</v>
      </c>
      <c r="AJ663" s="380">
        <f t="shared" si="8068"/>
        <v>0</v>
      </c>
      <c r="AK663" s="380">
        <f t="shared" si="8068"/>
        <v>0</v>
      </c>
      <c r="AL663" s="380">
        <f t="shared" si="8068"/>
        <v>0</v>
      </c>
      <c r="AM663" s="380">
        <f t="shared" si="8068"/>
        <v>0</v>
      </c>
      <c r="AN663" s="380">
        <f t="shared" si="8068"/>
        <v>0</v>
      </c>
      <c r="AO663" s="380">
        <f t="shared" si="8068"/>
        <v>0</v>
      </c>
      <c r="AP663" s="380">
        <f t="shared" si="8068"/>
        <v>0</v>
      </c>
      <c r="AQ663" s="380">
        <f t="shared" si="8068"/>
        <v>0</v>
      </c>
      <c r="AR663" s="380">
        <f t="shared" si="8068"/>
        <v>0</v>
      </c>
      <c r="AS663" s="380">
        <f t="shared" si="8068"/>
        <v>0</v>
      </c>
      <c r="AT663" s="380">
        <f t="shared" si="8068"/>
        <v>0</v>
      </c>
      <c r="AU663" s="198">
        <f t="shared" si="8068"/>
        <v>0</v>
      </c>
      <c r="AV663" s="380">
        <f t="shared" si="8068"/>
        <v>0</v>
      </c>
      <c r="AW663" s="380">
        <f t="shared" si="8068"/>
        <v>0</v>
      </c>
      <c r="AX663" s="380">
        <f t="shared" si="8068"/>
        <v>0</v>
      </c>
      <c r="AY663" s="380">
        <f t="shared" si="8068"/>
        <v>0</v>
      </c>
      <c r="AZ663" s="380">
        <f t="shared" si="8068"/>
        <v>0</v>
      </c>
      <c r="BA663" s="380">
        <f t="shared" si="8068"/>
        <v>0</v>
      </c>
      <c r="BB663" s="380">
        <f t="shared" si="8068"/>
        <v>0</v>
      </c>
      <c r="BC663" s="380">
        <f t="shared" si="8068"/>
        <v>0</v>
      </c>
      <c r="BD663" s="380">
        <f t="shared" si="8068"/>
        <v>0</v>
      </c>
      <c r="BE663" s="380">
        <f t="shared" si="8068"/>
        <v>0</v>
      </c>
      <c r="BF663" s="380">
        <f t="shared" si="8068"/>
        <v>0</v>
      </c>
      <c r="BG663" s="198">
        <f t="shared" si="8068"/>
        <v>0</v>
      </c>
      <c r="BH663" s="380">
        <f t="shared" si="8068"/>
        <v>0</v>
      </c>
      <c r="BI663" s="380">
        <f t="shared" si="8068"/>
        <v>0</v>
      </c>
      <c r="BJ663" s="380">
        <f t="shared" si="8068"/>
        <v>0</v>
      </c>
      <c r="BK663" s="380">
        <f t="shared" si="8068"/>
        <v>0</v>
      </c>
      <c r="BL663" s="380">
        <f t="shared" si="8068"/>
        <v>0</v>
      </c>
      <c r="BM663" s="380">
        <f t="shared" si="8068"/>
        <v>0</v>
      </c>
      <c r="BN663" s="380">
        <f t="shared" si="8068"/>
        <v>0</v>
      </c>
      <c r="BO663" s="380">
        <f t="shared" si="8068"/>
        <v>0</v>
      </c>
      <c r="BP663" s="380">
        <f t="shared" si="8068"/>
        <v>0</v>
      </c>
      <c r="BQ663" s="380">
        <f t="shared" si="8068"/>
        <v>0</v>
      </c>
      <c r="BR663" s="380">
        <f t="shared" si="8068"/>
        <v>0</v>
      </c>
      <c r="BS663" s="198">
        <f t="shared" si="8068"/>
        <v>0</v>
      </c>
      <c r="BT663" s="380">
        <f t="shared" ref="BT663:CE663" si="8069">SUM(BT658:BT662)</f>
        <v>0</v>
      </c>
      <c r="BU663" s="380">
        <f t="shared" si="8069"/>
        <v>0</v>
      </c>
      <c r="BV663" s="380">
        <f t="shared" si="8069"/>
        <v>0</v>
      </c>
      <c r="BW663" s="380">
        <f t="shared" si="8069"/>
        <v>0</v>
      </c>
      <c r="BX663" s="380">
        <f t="shared" si="8069"/>
        <v>0</v>
      </c>
      <c r="BY663" s="380">
        <f t="shared" si="8069"/>
        <v>0</v>
      </c>
      <c r="BZ663" s="380">
        <f t="shared" si="8069"/>
        <v>0</v>
      </c>
      <c r="CA663" s="380">
        <f t="shared" si="8069"/>
        <v>0</v>
      </c>
      <c r="CB663" s="380">
        <f t="shared" si="8069"/>
        <v>0</v>
      </c>
      <c r="CC663" s="380">
        <f t="shared" si="8069"/>
        <v>0</v>
      </c>
      <c r="CD663" s="380">
        <f t="shared" si="8069"/>
        <v>0</v>
      </c>
      <c r="CE663" s="198">
        <f t="shared" si="8069"/>
        <v>0</v>
      </c>
      <c r="CF663" s="380">
        <f t="shared" ref="CF663:DC663" si="8070">SUM(CF658:CF662)</f>
        <v>0</v>
      </c>
      <c r="CG663" s="380">
        <f t="shared" si="8070"/>
        <v>0</v>
      </c>
      <c r="CH663" s="380">
        <f t="shared" si="8070"/>
        <v>0</v>
      </c>
      <c r="CI663" s="380">
        <f t="shared" si="8070"/>
        <v>0</v>
      </c>
      <c r="CJ663" s="380">
        <f t="shared" si="8070"/>
        <v>0</v>
      </c>
      <c r="CK663" s="380">
        <f t="shared" si="8070"/>
        <v>0</v>
      </c>
      <c r="CL663" s="380">
        <f t="shared" si="8070"/>
        <v>0</v>
      </c>
      <c r="CM663" s="380">
        <f t="shared" si="8070"/>
        <v>0</v>
      </c>
      <c r="CN663" s="380">
        <f t="shared" si="8070"/>
        <v>0</v>
      </c>
      <c r="CO663" s="380">
        <f t="shared" si="8070"/>
        <v>0</v>
      </c>
      <c r="CP663" s="380">
        <f t="shared" si="8070"/>
        <v>0</v>
      </c>
      <c r="CQ663" s="198">
        <f t="shared" si="8070"/>
        <v>0</v>
      </c>
      <c r="CR663" s="380">
        <f t="shared" si="8070"/>
        <v>0</v>
      </c>
      <c r="CS663" s="380">
        <f t="shared" si="8070"/>
        <v>0</v>
      </c>
      <c r="CT663" s="380">
        <f t="shared" si="8070"/>
        <v>0</v>
      </c>
      <c r="CU663" s="380">
        <f t="shared" si="8070"/>
        <v>0</v>
      </c>
      <c r="CV663" s="380">
        <f t="shared" si="8070"/>
        <v>0</v>
      </c>
      <c r="CW663" s="380">
        <f t="shared" si="8070"/>
        <v>0</v>
      </c>
      <c r="CX663" s="380">
        <f t="shared" si="8070"/>
        <v>0</v>
      </c>
      <c r="CY663" s="380">
        <f t="shared" si="8070"/>
        <v>0</v>
      </c>
      <c r="CZ663" s="380">
        <f t="shared" si="8070"/>
        <v>0</v>
      </c>
      <c r="DA663" s="380">
        <f t="shared" si="8070"/>
        <v>0</v>
      </c>
      <c r="DB663" s="380">
        <f t="shared" si="8070"/>
        <v>0</v>
      </c>
      <c r="DC663" s="198">
        <f t="shared" si="8070"/>
        <v>0</v>
      </c>
    </row>
    <row r="664" spans="3:107" x14ac:dyDescent="0.3">
      <c r="G664" s="203"/>
      <c r="K664" s="203"/>
      <c r="W664" s="203"/>
      <c r="AI664" s="203"/>
      <c r="AU664" s="203"/>
      <c r="BG664" s="203"/>
      <c r="BS664" s="203"/>
      <c r="CE664" s="203"/>
      <c r="CQ664" s="203"/>
      <c r="DC664" s="203"/>
    </row>
    <row r="665" spans="3:107" x14ac:dyDescent="0.3">
      <c r="C665" s="342" t="str">
        <f>++'Trade Ticket Input'!C$218</f>
        <v>Subordinated Notes</v>
      </c>
      <c r="G665" s="45">
        <v>0</v>
      </c>
      <c r="H665" s="45">
        <v>0</v>
      </c>
      <c r="I665" s="45">
        <v>0</v>
      </c>
      <c r="J665" s="45">
        <v>0</v>
      </c>
      <c r="K665" s="45">
        <v>0</v>
      </c>
      <c r="L665" s="45">
        <v>0</v>
      </c>
      <c r="M665" s="45">
        <v>0</v>
      </c>
      <c r="N665" s="45">
        <v>0</v>
      </c>
      <c r="O665" s="45">
        <v>0</v>
      </c>
      <c r="P665" s="45">
        <v>0</v>
      </c>
      <c r="Q665" s="45">
        <v>0</v>
      </c>
      <c r="R665" s="45">
        <v>0</v>
      </c>
      <c r="S665" s="45">
        <v>0</v>
      </c>
      <c r="T665" s="45">
        <v>0</v>
      </c>
      <c r="U665" s="45">
        <v>0</v>
      </c>
      <c r="V665" s="45">
        <v>0</v>
      </c>
      <c r="W665" s="45">
        <v>0</v>
      </c>
      <c r="X665" s="45">
        <v>0</v>
      </c>
      <c r="Y665" s="45">
        <v>0</v>
      </c>
      <c r="Z665" s="45">
        <v>0</v>
      </c>
      <c r="AA665" s="45">
        <v>0</v>
      </c>
      <c r="AB665" s="45">
        <v>0</v>
      </c>
      <c r="AC665" s="45">
        <v>0</v>
      </c>
      <c r="AD665" s="45">
        <v>0</v>
      </c>
      <c r="AE665" s="45">
        <v>0</v>
      </c>
      <c r="AF665" s="45">
        <v>0</v>
      </c>
      <c r="AG665" s="45">
        <v>0</v>
      </c>
      <c r="AH665" s="45">
        <v>0</v>
      </c>
      <c r="AI665" s="45">
        <v>0</v>
      </c>
      <c r="AJ665" s="45">
        <v>0</v>
      </c>
      <c r="AK665" s="45">
        <v>0</v>
      </c>
      <c r="AL665" s="45">
        <v>0</v>
      </c>
      <c r="AM665" s="45">
        <v>0</v>
      </c>
      <c r="AN665" s="45">
        <v>0</v>
      </c>
      <c r="AO665" s="45">
        <v>0</v>
      </c>
      <c r="AP665" s="45">
        <v>0</v>
      </c>
      <c r="AQ665" s="45">
        <v>0</v>
      </c>
      <c r="AR665" s="45">
        <v>0</v>
      </c>
      <c r="AS665" s="45">
        <v>0</v>
      </c>
      <c r="AT665" s="45">
        <v>0</v>
      </c>
      <c r="AU665" s="45">
        <v>0</v>
      </c>
      <c r="AV665" s="45">
        <v>0</v>
      </c>
      <c r="AW665" s="45">
        <v>0</v>
      </c>
      <c r="AX665" s="45">
        <v>0</v>
      </c>
      <c r="AY665" s="45">
        <v>0</v>
      </c>
      <c r="AZ665" s="45">
        <v>0</v>
      </c>
      <c r="BA665" s="45">
        <v>0</v>
      </c>
      <c r="BB665" s="45">
        <v>0</v>
      </c>
      <c r="BC665" s="45">
        <v>0</v>
      </c>
      <c r="BD665" s="45">
        <v>0</v>
      </c>
      <c r="BE665" s="45">
        <v>0</v>
      </c>
      <c r="BF665" s="45">
        <v>0</v>
      </c>
      <c r="BG665" s="45">
        <v>0</v>
      </c>
      <c r="BH665" s="45">
        <v>0</v>
      </c>
      <c r="BI665" s="45">
        <v>0</v>
      </c>
      <c r="BJ665" s="45">
        <v>0</v>
      </c>
      <c r="BK665" s="45">
        <v>0</v>
      </c>
      <c r="BL665" s="45">
        <v>0</v>
      </c>
      <c r="BM665" s="45">
        <v>0</v>
      </c>
      <c r="BN665" s="45">
        <v>0</v>
      </c>
      <c r="BO665" s="45">
        <v>0</v>
      </c>
      <c r="BP665" s="45">
        <v>0</v>
      </c>
      <c r="BQ665" s="45">
        <v>0</v>
      </c>
      <c r="BR665" s="45">
        <v>0</v>
      </c>
      <c r="BS665" s="45">
        <v>0</v>
      </c>
      <c r="BT665" s="45">
        <v>0</v>
      </c>
      <c r="BU665" s="45">
        <v>0</v>
      </c>
      <c r="BV665" s="45">
        <v>0</v>
      </c>
      <c r="BW665" s="45">
        <v>0</v>
      </c>
      <c r="BX665" s="45">
        <v>0</v>
      </c>
      <c r="BY665" s="45">
        <v>0</v>
      </c>
      <c r="BZ665" s="45">
        <v>0</v>
      </c>
      <c r="CA665" s="45">
        <v>0</v>
      </c>
      <c r="CB665" s="45">
        <v>0</v>
      </c>
      <c r="CC665" s="45">
        <v>0</v>
      </c>
      <c r="CD665" s="45">
        <v>0</v>
      </c>
      <c r="CE665" s="45">
        <v>0</v>
      </c>
      <c r="CF665" s="45">
        <v>0</v>
      </c>
      <c r="CG665" s="45">
        <v>0</v>
      </c>
      <c r="CH665" s="45">
        <v>0</v>
      </c>
      <c r="CI665" s="45">
        <v>0</v>
      </c>
      <c r="CJ665" s="45">
        <v>0</v>
      </c>
      <c r="CK665" s="45">
        <v>0</v>
      </c>
      <c r="CL665" s="45">
        <v>0</v>
      </c>
      <c r="CM665" s="45">
        <v>0</v>
      </c>
      <c r="CN665" s="45">
        <v>0</v>
      </c>
      <c r="CO665" s="45">
        <v>0</v>
      </c>
      <c r="CP665" s="45">
        <v>0</v>
      </c>
      <c r="CQ665" s="45">
        <v>0</v>
      </c>
      <c r="CR665" s="45">
        <v>0</v>
      </c>
      <c r="CS665" s="45">
        <v>0</v>
      </c>
      <c r="CT665" s="45">
        <v>0</v>
      </c>
      <c r="CU665" s="45">
        <v>0</v>
      </c>
      <c r="CV665" s="45">
        <v>0</v>
      </c>
      <c r="CW665" s="45">
        <v>0</v>
      </c>
      <c r="CX665" s="45">
        <v>0</v>
      </c>
      <c r="CY665" s="45">
        <v>0</v>
      </c>
      <c r="CZ665" s="45">
        <v>0</v>
      </c>
      <c r="DA665" s="45">
        <v>0</v>
      </c>
      <c r="DB665" s="45">
        <v>0</v>
      </c>
      <c r="DC665" s="45">
        <v>0</v>
      </c>
    </row>
    <row r="666" spans="3:107" x14ac:dyDescent="0.3">
      <c r="C666" s="342" t="str">
        <f>++'Trade Ticket Input'!C$248</f>
        <v>Subordinated DD Notes ($0.0MM)</v>
      </c>
      <c r="G666" s="45">
        <v>0</v>
      </c>
      <c r="H666" s="45">
        <v>0</v>
      </c>
      <c r="I666" s="45">
        <v>0</v>
      </c>
      <c r="J666" s="45">
        <v>0</v>
      </c>
      <c r="K666" s="45">
        <v>0</v>
      </c>
      <c r="L666" s="45">
        <v>0</v>
      </c>
      <c r="M666" s="45">
        <v>0</v>
      </c>
      <c r="N666" s="45">
        <v>0</v>
      </c>
      <c r="O666" s="45">
        <v>0</v>
      </c>
      <c r="P666" s="45">
        <v>0</v>
      </c>
      <c r="Q666" s="45">
        <v>0</v>
      </c>
      <c r="R666" s="45">
        <v>0</v>
      </c>
      <c r="S666" s="45">
        <v>0</v>
      </c>
      <c r="T666" s="45">
        <v>0</v>
      </c>
      <c r="U666" s="45">
        <v>0</v>
      </c>
      <c r="V666" s="45">
        <v>0</v>
      </c>
      <c r="W666" s="45">
        <v>0</v>
      </c>
      <c r="X666" s="45">
        <v>0</v>
      </c>
      <c r="Y666" s="45">
        <v>0</v>
      </c>
      <c r="Z666" s="45">
        <v>0</v>
      </c>
      <c r="AA666" s="45">
        <v>0</v>
      </c>
      <c r="AB666" s="45">
        <v>0</v>
      </c>
      <c r="AC666" s="45">
        <v>0</v>
      </c>
      <c r="AD666" s="45">
        <v>0</v>
      </c>
      <c r="AE666" s="45">
        <v>0</v>
      </c>
      <c r="AF666" s="45">
        <v>0</v>
      </c>
      <c r="AG666" s="45">
        <v>0</v>
      </c>
      <c r="AH666" s="45">
        <v>0</v>
      </c>
      <c r="AI666" s="45">
        <v>0</v>
      </c>
      <c r="AJ666" s="45">
        <v>0</v>
      </c>
      <c r="AK666" s="45">
        <v>0</v>
      </c>
      <c r="AL666" s="45">
        <v>0</v>
      </c>
      <c r="AM666" s="45">
        <v>0</v>
      </c>
      <c r="AN666" s="45">
        <v>0</v>
      </c>
      <c r="AO666" s="45">
        <v>0</v>
      </c>
      <c r="AP666" s="45">
        <v>0</v>
      </c>
      <c r="AQ666" s="45">
        <v>0</v>
      </c>
      <c r="AR666" s="45">
        <v>0</v>
      </c>
      <c r="AS666" s="45">
        <v>0</v>
      </c>
      <c r="AT666" s="45">
        <v>0</v>
      </c>
      <c r="AU666" s="45">
        <v>0</v>
      </c>
      <c r="AV666" s="45">
        <v>0</v>
      </c>
      <c r="AW666" s="45">
        <v>0</v>
      </c>
      <c r="AX666" s="45">
        <v>0</v>
      </c>
      <c r="AY666" s="45">
        <v>0</v>
      </c>
      <c r="AZ666" s="45">
        <v>0</v>
      </c>
      <c r="BA666" s="45">
        <v>0</v>
      </c>
      <c r="BB666" s="45">
        <v>0</v>
      </c>
      <c r="BC666" s="45">
        <v>0</v>
      </c>
      <c r="BD666" s="45">
        <v>0</v>
      </c>
      <c r="BE666" s="45">
        <v>0</v>
      </c>
      <c r="BF666" s="45">
        <v>0</v>
      </c>
      <c r="BG666" s="45">
        <v>0</v>
      </c>
      <c r="BH666" s="45">
        <v>0</v>
      </c>
      <c r="BI666" s="45">
        <v>0</v>
      </c>
      <c r="BJ666" s="45">
        <v>0</v>
      </c>
      <c r="BK666" s="45">
        <v>0</v>
      </c>
      <c r="BL666" s="45">
        <v>0</v>
      </c>
      <c r="BM666" s="45">
        <v>0</v>
      </c>
      <c r="BN666" s="45">
        <v>0</v>
      </c>
      <c r="BO666" s="45">
        <v>0</v>
      </c>
      <c r="BP666" s="45">
        <v>0</v>
      </c>
      <c r="BQ666" s="45">
        <v>0</v>
      </c>
      <c r="BR666" s="45">
        <v>0</v>
      </c>
      <c r="BS666" s="45">
        <v>0</v>
      </c>
      <c r="BT666" s="45">
        <v>0</v>
      </c>
      <c r="BU666" s="45">
        <v>0</v>
      </c>
      <c r="BV666" s="45">
        <v>0</v>
      </c>
      <c r="BW666" s="45">
        <v>0</v>
      </c>
      <c r="BX666" s="45">
        <v>0</v>
      </c>
      <c r="BY666" s="45">
        <v>0</v>
      </c>
      <c r="BZ666" s="45">
        <v>0</v>
      </c>
      <c r="CA666" s="45">
        <v>0</v>
      </c>
      <c r="CB666" s="45">
        <v>0</v>
      </c>
      <c r="CC666" s="45">
        <v>0</v>
      </c>
      <c r="CD666" s="45">
        <v>0</v>
      </c>
      <c r="CE666" s="45">
        <v>0</v>
      </c>
      <c r="CF666" s="45">
        <v>0</v>
      </c>
      <c r="CG666" s="45">
        <v>0</v>
      </c>
      <c r="CH666" s="45">
        <v>0</v>
      </c>
      <c r="CI666" s="45">
        <v>0</v>
      </c>
      <c r="CJ666" s="45">
        <v>0</v>
      </c>
      <c r="CK666" s="45">
        <v>0</v>
      </c>
      <c r="CL666" s="45">
        <v>0</v>
      </c>
      <c r="CM666" s="45">
        <v>0</v>
      </c>
      <c r="CN666" s="45">
        <v>0</v>
      </c>
      <c r="CO666" s="45">
        <v>0</v>
      </c>
      <c r="CP666" s="45">
        <v>0</v>
      </c>
      <c r="CQ666" s="45">
        <v>0</v>
      </c>
      <c r="CR666" s="45">
        <v>0</v>
      </c>
      <c r="CS666" s="45">
        <v>0</v>
      </c>
      <c r="CT666" s="45">
        <v>0</v>
      </c>
      <c r="CU666" s="45">
        <v>0</v>
      </c>
      <c r="CV666" s="45">
        <v>0</v>
      </c>
      <c r="CW666" s="45">
        <v>0</v>
      </c>
      <c r="CX666" s="45">
        <v>0</v>
      </c>
      <c r="CY666" s="45">
        <v>0</v>
      </c>
      <c r="CZ666" s="45">
        <v>0</v>
      </c>
      <c r="DA666" s="45">
        <v>0</v>
      </c>
      <c r="DB666" s="45">
        <v>0</v>
      </c>
      <c r="DC666" s="45">
        <v>0</v>
      </c>
    </row>
    <row r="667" spans="3:107" x14ac:dyDescent="0.3">
      <c r="C667" s="101" t="str">
        <f>++C613</f>
        <v>Seller Notes</v>
      </c>
      <c r="G667" s="45">
        <v>0</v>
      </c>
      <c r="H667" s="45">
        <v>0</v>
      </c>
      <c r="I667" s="45">
        <v>0</v>
      </c>
      <c r="J667" s="45">
        <v>0</v>
      </c>
      <c r="K667" s="45">
        <v>0</v>
      </c>
      <c r="L667" s="45">
        <v>0</v>
      </c>
      <c r="M667" s="45">
        <v>0</v>
      </c>
      <c r="N667" s="45">
        <v>0</v>
      </c>
      <c r="O667" s="45">
        <v>0</v>
      </c>
      <c r="P667" s="45">
        <v>0</v>
      </c>
      <c r="Q667" s="45">
        <v>0</v>
      </c>
      <c r="R667" s="45">
        <v>0</v>
      </c>
      <c r="S667" s="45">
        <v>0</v>
      </c>
      <c r="T667" s="45">
        <v>0</v>
      </c>
      <c r="U667" s="45">
        <v>0</v>
      </c>
      <c r="V667" s="45">
        <v>0</v>
      </c>
      <c r="W667" s="45">
        <v>0</v>
      </c>
      <c r="X667" s="45">
        <v>0</v>
      </c>
      <c r="Y667" s="45">
        <v>0</v>
      </c>
      <c r="Z667" s="45">
        <v>0</v>
      </c>
      <c r="AA667" s="45">
        <v>0</v>
      </c>
      <c r="AB667" s="45">
        <v>0</v>
      </c>
      <c r="AC667" s="45">
        <v>0</v>
      </c>
      <c r="AD667" s="45">
        <v>0</v>
      </c>
      <c r="AE667" s="45">
        <v>0</v>
      </c>
      <c r="AF667" s="45">
        <v>0</v>
      </c>
      <c r="AG667" s="45">
        <v>0</v>
      </c>
      <c r="AH667" s="45">
        <v>0</v>
      </c>
      <c r="AI667" s="45">
        <v>0</v>
      </c>
      <c r="AJ667" s="45">
        <v>0</v>
      </c>
      <c r="AK667" s="45">
        <v>0</v>
      </c>
      <c r="AL667" s="45">
        <v>0</v>
      </c>
      <c r="AM667" s="45">
        <v>0</v>
      </c>
      <c r="AN667" s="45">
        <v>0</v>
      </c>
      <c r="AO667" s="45">
        <v>0</v>
      </c>
      <c r="AP667" s="45">
        <v>0</v>
      </c>
      <c r="AQ667" s="45">
        <v>0</v>
      </c>
      <c r="AR667" s="45">
        <v>0</v>
      </c>
      <c r="AS667" s="45">
        <v>0</v>
      </c>
      <c r="AT667" s="45">
        <v>0</v>
      </c>
      <c r="AU667" s="45">
        <v>0</v>
      </c>
      <c r="AV667" s="45">
        <v>0</v>
      </c>
      <c r="AW667" s="45">
        <v>0</v>
      </c>
      <c r="AX667" s="45">
        <v>0</v>
      </c>
      <c r="AY667" s="45">
        <v>0</v>
      </c>
      <c r="AZ667" s="45">
        <v>0</v>
      </c>
      <c r="BA667" s="45">
        <v>0</v>
      </c>
      <c r="BB667" s="45">
        <v>0</v>
      </c>
      <c r="BC667" s="45">
        <v>0</v>
      </c>
      <c r="BD667" s="45">
        <v>0</v>
      </c>
      <c r="BE667" s="45">
        <v>0</v>
      </c>
      <c r="BF667" s="45">
        <v>0</v>
      </c>
      <c r="BG667" s="45">
        <v>0</v>
      </c>
      <c r="BH667" s="45">
        <v>0</v>
      </c>
      <c r="BI667" s="45">
        <v>0</v>
      </c>
      <c r="BJ667" s="45">
        <v>0</v>
      </c>
      <c r="BK667" s="45">
        <v>0</v>
      </c>
      <c r="BL667" s="45">
        <v>0</v>
      </c>
      <c r="BM667" s="45">
        <v>0</v>
      </c>
      <c r="BN667" s="45">
        <v>0</v>
      </c>
      <c r="BO667" s="45">
        <v>0</v>
      </c>
      <c r="BP667" s="45">
        <v>0</v>
      </c>
      <c r="BQ667" s="45">
        <v>0</v>
      </c>
      <c r="BR667" s="45">
        <v>0</v>
      </c>
      <c r="BS667" s="45">
        <v>0</v>
      </c>
      <c r="BT667" s="45">
        <v>0</v>
      </c>
      <c r="BU667" s="45">
        <v>0</v>
      </c>
      <c r="BV667" s="45">
        <v>0</v>
      </c>
      <c r="BW667" s="45">
        <v>0</v>
      </c>
      <c r="BX667" s="45">
        <v>0</v>
      </c>
      <c r="BY667" s="45">
        <v>0</v>
      </c>
      <c r="BZ667" s="45">
        <v>0</v>
      </c>
      <c r="CA667" s="45">
        <v>0</v>
      </c>
      <c r="CB667" s="45">
        <v>0</v>
      </c>
      <c r="CC667" s="45">
        <v>0</v>
      </c>
      <c r="CD667" s="45">
        <v>0</v>
      </c>
      <c r="CE667" s="45">
        <v>0</v>
      </c>
      <c r="CF667" s="45">
        <v>0</v>
      </c>
      <c r="CG667" s="45">
        <v>0</v>
      </c>
      <c r="CH667" s="45">
        <v>0</v>
      </c>
      <c r="CI667" s="45">
        <v>0</v>
      </c>
      <c r="CJ667" s="45">
        <v>0</v>
      </c>
      <c r="CK667" s="45">
        <v>0</v>
      </c>
      <c r="CL667" s="45">
        <v>0</v>
      </c>
      <c r="CM667" s="45">
        <v>0</v>
      </c>
      <c r="CN667" s="45">
        <v>0</v>
      </c>
      <c r="CO667" s="45">
        <v>0</v>
      </c>
      <c r="CP667" s="45">
        <v>0</v>
      </c>
      <c r="CQ667" s="45">
        <v>0</v>
      </c>
      <c r="CR667" s="45">
        <v>0</v>
      </c>
      <c r="CS667" s="45">
        <v>0</v>
      </c>
      <c r="CT667" s="45">
        <v>0</v>
      </c>
      <c r="CU667" s="45">
        <v>0</v>
      </c>
      <c r="CV667" s="45">
        <v>0</v>
      </c>
      <c r="CW667" s="45">
        <v>0</v>
      </c>
      <c r="CX667" s="45">
        <v>0</v>
      </c>
      <c r="CY667" s="45">
        <v>0</v>
      </c>
      <c r="CZ667" s="45">
        <v>0</v>
      </c>
      <c r="DA667" s="45">
        <v>0</v>
      </c>
      <c r="DB667" s="45">
        <v>0</v>
      </c>
      <c r="DC667" s="45">
        <v>0</v>
      </c>
    </row>
    <row r="668" spans="3:107" x14ac:dyDescent="0.3">
      <c r="C668" s="101" t="str">
        <f>++C614</f>
        <v>Earn-Outs</v>
      </c>
      <c r="G668" s="45">
        <v>0</v>
      </c>
      <c r="H668" s="45">
        <v>0</v>
      </c>
      <c r="I668" s="45">
        <v>0</v>
      </c>
      <c r="J668" s="45">
        <v>0</v>
      </c>
      <c r="K668" s="45">
        <v>0</v>
      </c>
      <c r="L668" s="45">
        <v>0</v>
      </c>
      <c r="M668" s="45">
        <v>0</v>
      </c>
      <c r="N668" s="45">
        <v>0</v>
      </c>
      <c r="O668" s="45">
        <v>0</v>
      </c>
      <c r="P668" s="45">
        <v>0</v>
      </c>
      <c r="Q668" s="45">
        <v>0</v>
      </c>
      <c r="R668" s="45">
        <v>0</v>
      </c>
      <c r="S668" s="45">
        <v>0</v>
      </c>
      <c r="T668" s="45">
        <v>0</v>
      </c>
      <c r="U668" s="45">
        <v>0</v>
      </c>
      <c r="V668" s="45">
        <v>0</v>
      </c>
      <c r="W668" s="45">
        <v>0</v>
      </c>
      <c r="X668" s="45">
        <v>0</v>
      </c>
      <c r="Y668" s="45">
        <v>0</v>
      </c>
      <c r="Z668" s="45">
        <v>0</v>
      </c>
      <c r="AA668" s="45">
        <v>0</v>
      </c>
      <c r="AB668" s="45">
        <v>0</v>
      </c>
      <c r="AC668" s="45">
        <v>0</v>
      </c>
      <c r="AD668" s="45">
        <v>0</v>
      </c>
      <c r="AE668" s="45">
        <v>0</v>
      </c>
      <c r="AF668" s="45">
        <v>0</v>
      </c>
      <c r="AG668" s="45">
        <v>0</v>
      </c>
      <c r="AH668" s="45">
        <v>0</v>
      </c>
      <c r="AI668" s="45">
        <v>0</v>
      </c>
      <c r="AJ668" s="45">
        <v>0</v>
      </c>
      <c r="AK668" s="45">
        <v>0</v>
      </c>
      <c r="AL668" s="45">
        <v>0</v>
      </c>
      <c r="AM668" s="45">
        <v>0</v>
      </c>
      <c r="AN668" s="45">
        <v>0</v>
      </c>
      <c r="AO668" s="45">
        <v>0</v>
      </c>
      <c r="AP668" s="45">
        <v>0</v>
      </c>
      <c r="AQ668" s="45">
        <v>0</v>
      </c>
      <c r="AR668" s="45">
        <v>0</v>
      </c>
      <c r="AS668" s="45">
        <v>0</v>
      </c>
      <c r="AT668" s="45">
        <v>0</v>
      </c>
      <c r="AU668" s="45">
        <v>0</v>
      </c>
      <c r="AV668" s="45">
        <v>0</v>
      </c>
      <c r="AW668" s="45">
        <v>0</v>
      </c>
      <c r="AX668" s="45">
        <v>0</v>
      </c>
      <c r="AY668" s="45">
        <v>0</v>
      </c>
      <c r="AZ668" s="45">
        <v>0</v>
      </c>
      <c r="BA668" s="45">
        <v>0</v>
      </c>
      <c r="BB668" s="45">
        <v>0</v>
      </c>
      <c r="BC668" s="45">
        <v>0</v>
      </c>
      <c r="BD668" s="45">
        <v>0</v>
      </c>
      <c r="BE668" s="45">
        <v>0</v>
      </c>
      <c r="BF668" s="45">
        <v>0</v>
      </c>
      <c r="BG668" s="45">
        <v>0</v>
      </c>
      <c r="BH668" s="45">
        <v>0</v>
      </c>
      <c r="BI668" s="45">
        <v>0</v>
      </c>
      <c r="BJ668" s="45">
        <v>0</v>
      </c>
      <c r="BK668" s="45">
        <v>0</v>
      </c>
      <c r="BL668" s="45">
        <v>0</v>
      </c>
      <c r="BM668" s="45">
        <v>0</v>
      </c>
      <c r="BN668" s="45">
        <v>0</v>
      </c>
      <c r="BO668" s="45">
        <v>0</v>
      </c>
      <c r="BP668" s="45">
        <v>0</v>
      </c>
      <c r="BQ668" s="45">
        <v>0</v>
      </c>
      <c r="BR668" s="45">
        <v>0</v>
      </c>
      <c r="BS668" s="45">
        <v>0</v>
      </c>
      <c r="BT668" s="45">
        <v>0</v>
      </c>
      <c r="BU668" s="45">
        <v>0</v>
      </c>
      <c r="BV668" s="45">
        <v>0</v>
      </c>
      <c r="BW668" s="45">
        <v>0</v>
      </c>
      <c r="BX668" s="45">
        <v>0</v>
      </c>
      <c r="BY668" s="45">
        <v>0</v>
      </c>
      <c r="BZ668" s="45">
        <v>0</v>
      </c>
      <c r="CA668" s="45">
        <v>0</v>
      </c>
      <c r="CB668" s="45">
        <v>0</v>
      </c>
      <c r="CC668" s="45">
        <v>0</v>
      </c>
      <c r="CD668" s="45">
        <v>0</v>
      </c>
      <c r="CE668" s="45">
        <v>0</v>
      </c>
      <c r="CF668" s="45">
        <v>0</v>
      </c>
      <c r="CG668" s="45">
        <v>0</v>
      </c>
      <c r="CH668" s="45">
        <v>0</v>
      </c>
      <c r="CI668" s="45">
        <v>0</v>
      </c>
      <c r="CJ668" s="45">
        <v>0</v>
      </c>
      <c r="CK668" s="45">
        <v>0</v>
      </c>
      <c r="CL668" s="45">
        <v>0</v>
      </c>
      <c r="CM668" s="45">
        <v>0</v>
      </c>
      <c r="CN668" s="45">
        <v>0</v>
      </c>
      <c r="CO668" s="45">
        <v>0</v>
      </c>
      <c r="CP668" s="45">
        <v>0</v>
      </c>
      <c r="CQ668" s="45">
        <v>0</v>
      </c>
      <c r="CR668" s="45">
        <v>0</v>
      </c>
      <c r="CS668" s="45">
        <v>0</v>
      </c>
      <c r="CT668" s="45">
        <v>0</v>
      </c>
      <c r="CU668" s="45">
        <v>0</v>
      </c>
      <c r="CV668" s="45">
        <v>0</v>
      </c>
      <c r="CW668" s="45">
        <v>0</v>
      </c>
      <c r="CX668" s="45">
        <v>0</v>
      </c>
      <c r="CY668" s="45">
        <v>0</v>
      </c>
      <c r="CZ668" s="45">
        <v>0</v>
      </c>
      <c r="DA668" s="45">
        <v>0</v>
      </c>
      <c r="DB668" s="45">
        <v>0</v>
      </c>
      <c r="DC668" s="45">
        <v>0</v>
      </c>
    </row>
    <row r="669" spans="3:107" x14ac:dyDescent="0.3">
      <c r="C669" s="101" t="str">
        <f>++C615</f>
        <v>Other OpCo Debt</v>
      </c>
      <c r="G669" s="45">
        <v>0</v>
      </c>
      <c r="H669" s="45">
        <v>0</v>
      </c>
      <c r="I669" s="45">
        <v>0</v>
      </c>
      <c r="J669" s="45">
        <v>0</v>
      </c>
      <c r="K669" s="45">
        <v>0</v>
      </c>
      <c r="L669" s="45">
        <v>0</v>
      </c>
      <c r="M669" s="45">
        <v>0</v>
      </c>
      <c r="N669" s="45">
        <v>0</v>
      </c>
      <c r="O669" s="45">
        <v>0</v>
      </c>
      <c r="P669" s="45">
        <v>0</v>
      </c>
      <c r="Q669" s="45">
        <v>0</v>
      </c>
      <c r="R669" s="45">
        <v>0</v>
      </c>
      <c r="S669" s="45">
        <v>0</v>
      </c>
      <c r="T669" s="45">
        <v>0</v>
      </c>
      <c r="U669" s="45">
        <v>0</v>
      </c>
      <c r="V669" s="45">
        <v>0</v>
      </c>
      <c r="W669" s="45">
        <v>0</v>
      </c>
      <c r="X669" s="45">
        <v>0</v>
      </c>
      <c r="Y669" s="45">
        <v>0</v>
      </c>
      <c r="Z669" s="45">
        <v>0</v>
      </c>
      <c r="AA669" s="45">
        <v>0</v>
      </c>
      <c r="AB669" s="45">
        <v>0</v>
      </c>
      <c r="AC669" s="45">
        <v>0</v>
      </c>
      <c r="AD669" s="45">
        <v>0</v>
      </c>
      <c r="AE669" s="45">
        <v>0</v>
      </c>
      <c r="AF669" s="45">
        <v>0</v>
      </c>
      <c r="AG669" s="45">
        <v>0</v>
      </c>
      <c r="AH669" s="45">
        <v>0</v>
      </c>
      <c r="AI669" s="45">
        <v>0</v>
      </c>
      <c r="AJ669" s="45">
        <v>0</v>
      </c>
      <c r="AK669" s="45">
        <v>0</v>
      </c>
      <c r="AL669" s="45">
        <v>0</v>
      </c>
      <c r="AM669" s="45">
        <v>0</v>
      </c>
      <c r="AN669" s="45">
        <v>0</v>
      </c>
      <c r="AO669" s="45">
        <v>0</v>
      </c>
      <c r="AP669" s="45">
        <v>0</v>
      </c>
      <c r="AQ669" s="45">
        <v>0</v>
      </c>
      <c r="AR669" s="45">
        <v>0</v>
      </c>
      <c r="AS669" s="45">
        <v>0</v>
      </c>
      <c r="AT669" s="45">
        <v>0</v>
      </c>
      <c r="AU669" s="45">
        <v>0</v>
      </c>
      <c r="AV669" s="45">
        <v>0</v>
      </c>
      <c r="AW669" s="45">
        <v>0</v>
      </c>
      <c r="AX669" s="45">
        <v>0</v>
      </c>
      <c r="AY669" s="45">
        <v>0</v>
      </c>
      <c r="AZ669" s="45">
        <v>0</v>
      </c>
      <c r="BA669" s="45">
        <v>0</v>
      </c>
      <c r="BB669" s="45">
        <v>0</v>
      </c>
      <c r="BC669" s="45">
        <v>0</v>
      </c>
      <c r="BD669" s="45">
        <v>0</v>
      </c>
      <c r="BE669" s="45">
        <v>0</v>
      </c>
      <c r="BF669" s="45">
        <v>0</v>
      </c>
      <c r="BG669" s="45">
        <v>0</v>
      </c>
      <c r="BH669" s="45">
        <v>0</v>
      </c>
      <c r="BI669" s="45">
        <v>0</v>
      </c>
      <c r="BJ669" s="45">
        <v>0</v>
      </c>
      <c r="BK669" s="45">
        <v>0</v>
      </c>
      <c r="BL669" s="45">
        <v>0</v>
      </c>
      <c r="BM669" s="45">
        <v>0</v>
      </c>
      <c r="BN669" s="45">
        <v>0</v>
      </c>
      <c r="BO669" s="45">
        <v>0</v>
      </c>
      <c r="BP669" s="45">
        <v>0</v>
      </c>
      <c r="BQ669" s="45">
        <v>0</v>
      </c>
      <c r="BR669" s="45">
        <v>0</v>
      </c>
      <c r="BS669" s="45">
        <v>0</v>
      </c>
      <c r="BT669" s="45">
        <v>0</v>
      </c>
      <c r="BU669" s="45">
        <v>0</v>
      </c>
      <c r="BV669" s="45">
        <v>0</v>
      </c>
      <c r="BW669" s="45">
        <v>0</v>
      </c>
      <c r="BX669" s="45">
        <v>0</v>
      </c>
      <c r="BY669" s="45">
        <v>0</v>
      </c>
      <c r="BZ669" s="45">
        <v>0</v>
      </c>
      <c r="CA669" s="45">
        <v>0</v>
      </c>
      <c r="CB669" s="45">
        <v>0</v>
      </c>
      <c r="CC669" s="45">
        <v>0</v>
      </c>
      <c r="CD669" s="45">
        <v>0</v>
      </c>
      <c r="CE669" s="45">
        <v>0</v>
      </c>
      <c r="CF669" s="45">
        <v>0</v>
      </c>
      <c r="CG669" s="45">
        <v>0</v>
      </c>
      <c r="CH669" s="45">
        <v>0</v>
      </c>
      <c r="CI669" s="45">
        <v>0</v>
      </c>
      <c r="CJ669" s="45">
        <v>0</v>
      </c>
      <c r="CK669" s="45">
        <v>0</v>
      </c>
      <c r="CL669" s="45">
        <v>0</v>
      </c>
      <c r="CM669" s="45">
        <v>0</v>
      </c>
      <c r="CN669" s="45">
        <v>0</v>
      </c>
      <c r="CO669" s="45">
        <v>0</v>
      </c>
      <c r="CP669" s="45">
        <v>0</v>
      </c>
      <c r="CQ669" s="45">
        <v>0</v>
      </c>
      <c r="CR669" s="45">
        <v>0</v>
      </c>
      <c r="CS669" s="45">
        <v>0</v>
      </c>
      <c r="CT669" s="45">
        <v>0</v>
      </c>
      <c r="CU669" s="45">
        <v>0</v>
      </c>
      <c r="CV669" s="45">
        <v>0</v>
      </c>
      <c r="CW669" s="45">
        <v>0</v>
      </c>
      <c r="CX669" s="45">
        <v>0</v>
      </c>
      <c r="CY669" s="45">
        <v>0</v>
      </c>
      <c r="CZ669" s="45">
        <v>0</v>
      </c>
      <c r="DA669" s="45">
        <v>0</v>
      </c>
      <c r="DB669" s="45">
        <v>0</v>
      </c>
      <c r="DC669" s="45">
        <v>0</v>
      </c>
    </row>
    <row r="670" spans="3:107" x14ac:dyDescent="0.3">
      <c r="C670" s="231" t="str">
        <f>++C616</f>
        <v>Total Debt (OpCo)</v>
      </c>
      <c r="D670" s="191"/>
      <c r="E670" s="191"/>
      <c r="G670" s="198">
        <f t="shared" ref="G670:AL670" si="8071">SUM(G663:G669)</f>
        <v>0</v>
      </c>
      <c r="H670" s="380">
        <f t="shared" si="8071"/>
        <v>0</v>
      </c>
      <c r="I670" s="380">
        <f t="shared" si="8071"/>
        <v>0</v>
      </c>
      <c r="J670" s="380">
        <f t="shared" si="8071"/>
        <v>0</v>
      </c>
      <c r="K670" s="198">
        <f t="shared" si="8071"/>
        <v>0</v>
      </c>
      <c r="L670" s="380">
        <f t="shared" si="8071"/>
        <v>0</v>
      </c>
      <c r="M670" s="380">
        <f t="shared" si="8071"/>
        <v>0</v>
      </c>
      <c r="N670" s="380">
        <f t="shared" si="8071"/>
        <v>0</v>
      </c>
      <c r="O670" s="380">
        <f t="shared" si="8071"/>
        <v>0</v>
      </c>
      <c r="P670" s="380">
        <f t="shared" si="8071"/>
        <v>0</v>
      </c>
      <c r="Q670" s="380">
        <f t="shared" si="8071"/>
        <v>0</v>
      </c>
      <c r="R670" s="380">
        <f t="shared" si="8071"/>
        <v>0</v>
      </c>
      <c r="S670" s="380">
        <f t="shared" si="8071"/>
        <v>0</v>
      </c>
      <c r="T670" s="380">
        <f t="shared" si="8071"/>
        <v>0</v>
      </c>
      <c r="U670" s="380">
        <f t="shared" si="8071"/>
        <v>0</v>
      </c>
      <c r="V670" s="380">
        <f t="shared" si="8071"/>
        <v>0</v>
      </c>
      <c r="W670" s="198">
        <f t="shared" si="8071"/>
        <v>0</v>
      </c>
      <c r="X670" s="380">
        <f t="shared" si="8071"/>
        <v>0</v>
      </c>
      <c r="Y670" s="380">
        <f t="shared" si="8071"/>
        <v>0</v>
      </c>
      <c r="Z670" s="380">
        <f t="shared" si="8071"/>
        <v>0</v>
      </c>
      <c r="AA670" s="380">
        <f t="shared" si="8071"/>
        <v>0</v>
      </c>
      <c r="AB670" s="380">
        <f t="shared" si="8071"/>
        <v>0</v>
      </c>
      <c r="AC670" s="380">
        <f t="shared" si="8071"/>
        <v>0</v>
      </c>
      <c r="AD670" s="380">
        <f t="shared" si="8071"/>
        <v>0</v>
      </c>
      <c r="AE670" s="380">
        <f t="shared" si="8071"/>
        <v>0</v>
      </c>
      <c r="AF670" s="380">
        <f t="shared" si="8071"/>
        <v>0</v>
      </c>
      <c r="AG670" s="380">
        <f t="shared" si="8071"/>
        <v>0</v>
      </c>
      <c r="AH670" s="380">
        <f t="shared" si="8071"/>
        <v>0</v>
      </c>
      <c r="AI670" s="198">
        <f t="shared" si="8071"/>
        <v>0</v>
      </c>
      <c r="AJ670" s="380">
        <f t="shared" si="8071"/>
        <v>0</v>
      </c>
      <c r="AK670" s="380">
        <f t="shared" si="8071"/>
        <v>0</v>
      </c>
      <c r="AL670" s="380">
        <f t="shared" si="8071"/>
        <v>0</v>
      </c>
      <c r="AM670" s="380">
        <f t="shared" ref="AM670:BR670" si="8072">SUM(AM663:AM669)</f>
        <v>0</v>
      </c>
      <c r="AN670" s="380">
        <f t="shared" si="8072"/>
        <v>0</v>
      </c>
      <c r="AO670" s="380">
        <f t="shared" si="8072"/>
        <v>0</v>
      </c>
      <c r="AP670" s="380">
        <f t="shared" si="8072"/>
        <v>0</v>
      </c>
      <c r="AQ670" s="380">
        <f t="shared" si="8072"/>
        <v>0</v>
      </c>
      <c r="AR670" s="380">
        <f t="shared" si="8072"/>
        <v>0</v>
      </c>
      <c r="AS670" s="380">
        <f t="shared" si="8072"/>
        <v>0</v>
      </c>
      <c r="AT670" s="380">
        <f t="shared" si="8072"/>
        <v>0</v>
      </c>
      <c r="AU670" s="198">
        <f t="shared" si="8072"/>
        <v>0</v>
      </c>
      <c r="AV670" s="380">
        <f t="shared" si="8072"/>
        <v>0</v>
      </c>
      <c r="AW670" s="380">
        <f t="shared" si="8072"/>
        <v>0</v>
      </c>
      <c r="AX670" s="380">
        <f t="shared" si="8072"/>
        <v>0</v>
      </c>
      <c r="AY670" s="380">
        <f t="shared" si="8072"/>
        <v>0</v>
      </c>
      <c r="AZ670" s="380">
        <f t="shared" si="8072"/>
        <v>0</v>
      </c>
      <c r="BA670" s="380">
        <f t="shared" si="8072"/>
        <v>0</v>
      </c>
      <c r="BB670" s="380">
        <f t="shared" si="8072"/>
        <v>0</v>
      </c>
      <c r="BC670" s="380">
        <f t="shared" si="8072"/>
        <v>0</v>
      </c>
      <c r="BD670" s="380">
        <f t="shared" si="8072"/>
        <v>0</v>
      </c>
      <c r="BE670" s="380">
        <f t="shared" si="8072"/>
        <v>0</v>
      </c>
      <c r="BF670" s="380">
        <f t="shared" si="8072"/>
        <v>0</v>
      </c>
      <c r="BG670" s="198">
        <f t="shared" si="8072"/>
        <v>0</v>
      </c>
      <c r="BH670" s="380">
        <f t="shared" si="8072"/>
        <v>0</v>
      </c>
      <c r="BI670" s="380">
        <f t="shared" si="8072"/>
        <v>0</v>
      </c>
      <c r="BJ670" s="380">
        <f t="shared" si="8072"/>
        <v>0</v>
      </c>
      <c r="BK670" s="380">
        <f t="shared" si="8072"/>
        <v>0</v>
      </c>
      <c r="BL670" s="380">
        <f t="shared" si="8072"/>
        <v>0</v>
      </c>
      <c r="BM670" s="380">
        <f t="shared" si="8072"/>
        <v>0</v>
      </c>
      <c r="BN670" s="380">
        <f t="shared" si="8072"/>
        <v>0</v>
      </c>
      <c r="BO670" s="380">
        <f t="shared" si="8072"/>
        <v>0</v>
      </c>
      <c r="BP670" s="380">
        <f t="shared" si="8072"/>
        <v>0</v>
      </c>
      <c r="BQ670" s="380">
        <f t="shared" si="8072"/>
        <v>0</v>
      </c>
      <c r="BR670" s="380">
        <f t="shared" si="8072"/>
        <v>0</v>
      </c>
      <c r="BS670" s="198">
        <f t="shared" ref="BS670:CE670" si="8073">SUM(BS663:BS669)</f>
        <v>0</v>
      </c>
      <c r="BT670" s="380">
        <f t="shared" si="8073"/>
        <v>0</v>
      </c>
      <c r="BU670" s="380">
        <f t="shared" si="8073"/>
        <v>0</v>
      </c>
      <c r="BV670" s="380">
        <f t="shared" si="8073"/>
        <v>0</v>
      </c>
      <c r="BW670" s="380">
        <f t="shared" si="8073"/>
        <v>0</v>
      </c>
      <c r="BX670" s="380">
        <f t="shared" si="8073"/>
        <v>0</v>
      </c>
      <c r="BY670" s="380">
        <f t="shared" si="8073"/>
        <v>0</v>
      </c>
      <c r="BZ670" s="380">
        <f t="shared" si="8073"/>
        <v>0</v>
      </c>
      <c r="CA670" s="380">
        <f t="shared" si="8073"/>
        <v>0</v>
      </c>
      <c r="CB670" s="380">
        <f t="shared" si="8073"/>
        <v>0</v>
      </c>
      <c r="CC670" s="380">
        <f t="shared" si="8073"/>
        <v>0</v>
      </c>
      <c r="CD670" s="380">
        <f t="shared" si="8073"/>
        <v>0</v>
      </c>
      <c r="CE670" s="198">
        <f t="shared" si="8073"/>
        <v>0</v>
      </c>
      <c r="CF670" s="380">
        <f t="shared" ref="CF670:DC670" si="8074">SUM(CF663:CF669)</f>
        <v>0</v>
      </c>
      <c r="CG670" s="380">
        <f t="shared" si="8074"/>
        <v>0</v>
      </c>
      <c r="CH670" s="380">
        <f t="shared" si="8074"/>
        <v>0</v>
      </c>
      <c r="CI670" s="380">
        <f t="shared" si="8074"/>
        <v>0</v>
      </c>
      <c r="CJ670" s="380">
        <f t="shared" si="8074"/>
        <v>0</v>
      </c>
      <c r="CK670" s="380">
        <f t="shared" si="8074"/>
        <v>0</v>
      </c>
      <c r="CL670" s="380">
        <f t="shared" si="8074"/>
        <v>0</v>
      </c>
      <c r="CM670" s="380">
        <f t="shared" si="8074"/>
        <v>0</v>
      </c>
      <c r="CN670" s="380">
        <f t="shared" si="8074"/>
        <v>0</v>
      </c>
      <c r="CO670" s="380">
        <f t="shared" si="8074"/>
        <v>0</v>
      </c>
      <c r="CP670" s="380">
        <f t="shared" si="8074"/>
        <v>0</v>
      </c>
      <c r="CQ670" s="198">
        <f t="shared" si="8074"/>
        <v>0</v>
      </c>
      <c r="CR670" s="380">
        <f t="shared" si="8074"/>
        <v>0</v>
      </c>
      <c r="CS670" s="380">
        <f t="shared" si="8074"/>
        <v>0</v>
      </c>
      <c r="CT670" s="380">
        <f t="shared" si="8074"/>
        <v>0</v>
      </c>
      <c r="CU670" s="380">
        <f t="shared" si="8074"/>
        <v>0</v>
      </c>
      <c r="CV670" s="380">
        <f t="shared" si="8074"/>
        <v>0</v>
      </c>
      <c r="CW670" s="380">
        <f t="shared" si="8074"/>
        <v>0</v>
      </c>
      <c r="CX670" s="380">
        <f t="shared" si="8074"/>
        <v>0</v>
      </c>
      <c r="CY670" s="380">
        <f t="shared" si="8074"/>
        <v>0</v>
      </c>
      <c r="CZ670" s="380">
        <f t="shared" si="8074"/>
        <v>0</v>
      </c>
      <c r="DA670" s="380">
        <f t="shared" si="8074"/>
        <v>0</v>
      </c>
      <c r="DB670" s="380">
        <f t="shared" si="8074"/>
        <v>0</v>
      </c>
      <c r="DC670" s="198">
        <f t="shared" si="8074"/>
        <v>0</v>
      </c>
    </row>
    <row r="671" spans="3:107" x14ac:dyDescent="0.3">
      <c r="G671" s="203"/>
      <c r="K671" s="203"/>
      <c r="W671" s="203"/>
      <c r="AI671" s="203"/>
      <c r="AU671" s="203"/>
      <c r="BG671" s="203"/>
      <c r="BS671" s="203"/>
      <c r="CE671" s="203"/>
      <c r="CQ671" s="203"/>
      <c r="DC671" s="203"/>
    </row>
    <row r="672" spans="3:107" x14ac:dyDescent="0.3">
      <c r="C672" s="342" t="str">
        <f>++'Trade Ticket Input'!C$278</f>
        <v>HoldCo Notes</v>
      </c>
      <c r="G672" s="45">
        <v>0</v>
      </c>
      <c r="H672" s="45">
        <v>0</v>
      </c>
      <c r="I672" s="45">
        <v>0</v>
      </c>
      <c r="J672" s="45">
        <v>0</v>
      </c>
      <c r="K672" s="45">
        <v>0</v>
      </c>
      <c r="L672" s="45">
        <v>0</v>
      </c>
      <c r="M672" s="45">
        <v>0</v>
      </c>
      <c r="N672" s="45">
        <v>0</v>
      </c>
      <c r="O672" s="45">
        <v>0</v>
      </c>
      <c r="P672" s="45">
        <v>0</v>
      </c>
      <c r="Q672" s="45">
        <v>0</v>
      </c>
      <c r="R672" s="45">
        <v>0</v>
      </c>
      <c r="S672" s="45">
        <v>0</v>
      </c>
      <c r="T672" s="45">
        <v>0</v>
      </c>
      <c r="U672" s="45">
        <v>0</v>
      </c>
      <c r="V672" s="45">
        <v>0</v>
      </c>
      <c r="W672" s="45">
        <v>0</v>
      </c>
      <c r="X672" s="45">
        <v>0</v>
      </c>
      <c r="Y672" s="45">
        <v>0</v>
      </c>
      <c r="Z672" s="45">
        <v>0</v>
      </c>
      <c r="AA672" s="45">
        <v>0</v>
      </c>
      <c r="AB672" s="45">
        <v>0</v>
      </c>
      <c r="AC672" s="45">
        <v>0</v>
      </c>
      <c r="AD672" s="45">
        <v>0</v>
      </c>
      <c r="AE672" s="45">
        <v>0</v>
      </c>
      <c r="AF672" s="45">
        <v>0</v>
      </c>
      <c r="AG672" s="45">
        <v>0</v>
      </c>
      <c r="AH672" s="45">
        <v>0</v>
      </c>
      <c r="AI672" s="45">
        <v>0</v>
      </c>
      <c r="AJ672" s="45">
        <v>0</v>
      </c>
      <c r="AK672" s="45">
        <v>0</v>
      </c>
      <c r="AL672" s="45">
        <v>0</v>
      </c>
      <c r="AM672" s="45">
        <v>0</v>
      </c>
      <c r="AN672" s="45">
        <v>0</v>
      </c>
      <c r="AO672" s="45">
        <v>0</v>
      </c>
      <c r="AP672" s="45">
        <v>0</v>
      </c>
      <c r="AQ672" s="45">
        <v>0</v>
      </c>
      <c r="AR672" s="45">
        <v>0</v>
      </c>
      <c r="AS672" s="45">
        <v>0</v>
      </c>
      <c r="AT672" s="45">
        <v>0</v>
      </c>
      <c r="AU672" s="45">
        <v>0</v>
      </c>
      <c r="AV672" s="45">
        <v>0</v>
      </c>
      <c r="AW672" s="45">
        <v>0</v>
      </c>
      <c r="AX672" s="45">
        <v>0</v>
      </c>
      <c r="AY672" s="45">
        <v>0</v>
      </c>
      <c r="AZ672" s="45">
        <v>0</v>
      </c>
      <c r="BA672" s="45">
        <v>0</v>
      </c>
      <c r="BB672" s="45">
        <v>0</v>
      </c>
      <c r="BC672" s="45">
        <v>0</v>
      </c>
      <c r="BD672" s="45">
        <v>0</v>
      </c>
      <c r="BE672" s="45">
        <v>0</v>
      </c>
      <c r="BF672" s="45">
        <v>0</v>
      </c>
      <c r="BG672" s="45">
        <v>0</v>
      </c>
      <c r="BH672" s="45">
        <v>0</v>
      </c>
      <c r="BI672" s="45">
        <v>0</v>
      </c>
      <c r="BJ672" s="45">
        <v>0</v>
      </c>
      <c r="BK672" s="45">
        <v>0</v>
      </c>
      <c r="BL672" s="45">
        <v>0</v>
      </c>
      <c r="BM672" s="45">
        <v>0</v>
      </c>
      <c r="BN672" s="45">
        <v>0</v>
      </c>
      <c r="BO672" s="45">
        <v>0</v>
      </c>
      <c r="BP672" s="45">
        <v>0</v>
      </c>
      <c r="BQ672" s="45">
        <v>0</v>
      </c>
      <c r="BR672" s="45">
        <v>0</v>
      </c>
      <c r="BS672" s="45">
        <v>0</v>
      </c>
      <c r="BT672" s="45">
        <v>0</v>
      </c>
      <c r="BU672" s="45">
        <v>0</v>
      </c>
      <c r="BV672" s="45">
        <v>0</v>
      </c>
      <c r="BW672" s="45">
        <v>0</v>
      </c>
      <c r="BX672" s="45">
        <v>0</v>
      </c>
      <c r="BY672" s="45">
        <v>0</v>
      </c>
      <c r="BZ672" s="45">
        <v>0</v>
      </c>
      <c r="CA672" s="45">
        <v>0</v>
      </c>
      <c r="CB672" s="45">
        <v>0</v>
      </c>
      <c r="CC672" s="45">
        <v>0</v>
      </c>
      <c r="CD672" s="45">
        <v>0</v>
      </c>
      <c r="CE672" s="45">
        <v>0</v>
      </c>
      <c r="CF672" s="45">
        <v>0</v>
      </c>
      <c r="CG672" s="45">
        <v>0</v>
      </c>
      <c r="CH672" s="45">
        <v>0</v>
      </c>
      <c r="CI672" s="45">
        <v>0</v>
      </c>
      <c r="CJ672" s="45">
        <v>0</v>
      </c>
      <c r="CK672" s="45">
        <v>0</v>
      </c>
      <c r="CL672" s="45">
        <v>0</v>
      </c>
      <c r="CM672" s="45">
        <v>0</v>
      </c>
      <c r="CN672" s="45">
        <v>0</v>
      </c>
      <c r="CO672" s="45">
        <v>0</v>
      </c>
      <c r="CP672" s="45">
        <v>0</v>
      </c>
      <c r="CQ672" s="45">
        <v>0</v>
      </c>
      <c r="CR672" s="45">
        <v>0</v>
      </c>
      <c r="CS672" s="45">
        <v>0</v>
      </c>
      <c r="CT672" s="45">
        <v>0</v>
      </c>
      <c r="CU672" s="45">
        <v>0</v>
      </c>
      <c r="CV672" s="45">
        <v>0</v>
      </c>
      <c r="CW672" s="45">
        <v>0</v>
      </c>
      <c r="CX672" s="45">
        <v>0</v>
      </c>
      <c r="CY672" s="45">
        <v>0</v>
      </c>
      <c r="CZ672" s="45">
        <v>0</v>
      </c>
      <c r="DA672" s="45">
        <v>0</v>
      </c>
      <c r="DB672" s="45">
        <v>0</v>
      </c>
      <c r="DC672" s="45">
        <v>0</v>
      </c>
    </row>
    <row r="673" spans="3:107" x14ac:dyDescent="0.3">
      <c r="C673" s="342" t="str">
        <f>++'Trade Ticket Input'!C$308</f>
        <v>HoldCo DD Notes ($0.0MM)</v>
      </c>
      <c r="G673" s="45">
        <v>0</v>
      </c>
      <c r="H673" s="45">
        <v>0</v>
      </c>
      <c r="I673" s="45">
        <v>0</v>
      </c>
      <c r="J673" s="45">
        <v>0</v>
      </c>
      <c r="K673" s="45">
        <v>0</v>
      </c>
      <c r="L673" s="45">
        <v>0</v>
      </c>
      <c r="M673" s="45">
        <v>0</v>
      </c>
      <c r="N673" s="45">
        <v>0</v>
      </c>
      <c r="O673" s="45">
        <v>0</v>
      </c>
      <c r="P673" s="45">
        <v>0</v>
      </c>
      <c r="Q673" s="45">
        <v>0</v>
      </c>
      <c r="R673" s="45">
        <v>0</v>
      </c>
      <c r="S673" s="45">
        <v>0</v>
      </c>
      <c r="T673" s="45">
        <v>0</v>
      </c>
      <c r="U673" s="45">
        <v>0</v>
      </c>
      <c r="V673" s="45">
        <v>0</v>
      </c>
      <c r="W673" s="45">
        <v>0</v>
      </c>
      <c r="X673" s="45">
        <v>0</v>
      </c>
      <c r="Y673" s="45">
        <v>0</v>
      </c>
      <c r="Z673" s="45">
        <v>0</v>
      </c>
      <c r="AA673" s="45">
        <v>0</v>
      </c>
      <c r="AB673" s="45">
        <v>0</v>
      </c>
      <c r="AC673" s="45">
        <v>0</v>
      </c>
      <c r="AD673" s="45">
        <v>0</v>
      </c>
      <c r="AE673" s="45">
        <v>0</v>
      </c>
      <c r="AF673" s="45">
        <v>0</v>
      </c>
      <c r="AG673" s="45">
        <v>0</v>
      </c>
      <c r="AH673" s="45">
        <v>0</v>
      </c>
      <c r="AI673" s="45">
        <v>0</v>
      </c>
      <c r="AJ673" s="45">
        <v>0</v>
      </c>
      <c r="AK673" s="45">
        <v>0</v>
      </c>
      <c r="AL673" s="45">
        <v>0</v>
      </c>
      <c r="AM673" s="45">
        <v>0</v>
      </c>
      <c r="AN673" s="45">
        <v>0</v>
      </c>
      <c r="AO673" s="45">
        <v>0</v>
      </c>
      <c r="AP673" s="45">
        <v>0</v>
      </c>
      <c r="AQ673" s="45">
        <v>0</v>
      </c>
      <c r="AR673" s="45">
        <v>0</v>
      </c>
      <c r="AS673" s="45">
        <v>0</v>
      </c>
      <c r="AT673" s="45">
        <v>0</v>
      </c>
      <c r="AU673" s="45">
        <v>0</v>
      </c>
      <c r="AV673" s="45">
        <v>0</v>
      </c>
      <c r="AW673" s="45">
        <v>0</v>
      </c>
      <c r="AX673" s="45">
        <v>0</v>
      </c>
      <c r="AY673" s="45">
        <v>0</v>
      </c>
      <c r="AZ673" s="45">
        <v>0</v>
      </c>
      <c r="BA673" s="45">
        <v>0</v>
      </c>
      <c r="BB673" s="45">
        <v>0</v>
      </c>
      <c r="BC673" s="45">
        <v>0</v>
      </c>
      <c r="BD673" s="45">
        <v>0</v>
      </c>
      <c r="BE673" s="45">
        <v>0</v>
      </c>
      <c r="BF673" s="45">
        <v>0</v>
      </c>
      <c r="BG673" s="45">
        <v>0</v>
      </c>
      <c r="BH673" s="45">
        <v>0</v>
      </c>
      <c r="BI673" s="45">
        <v>0</v>
      </c>
      <c r="BJ673" s="45">
        <v>0</v>
      </c>
      <c r="BK673" s="45">
        <v>0</v>
      </c>
      <c r="BL673" s="45">
        <v>0</v>
      </c>
      <c r="BM673" s="45">
        <v>0</v>
      </c>
      <c r="BN673" s="45">
        <v>0</v>
      </c>
      <c r="BO673" s="45">
        <v>0</v>
      </c>
      <c r="BP673" s="45">
        <v>0</v>
      </c>
      <c r="BQ673" s="45">
        <v>0</v>
      </c>
      <c r="BR673" s="45">
        <v>0</v>
      </c>
      <c r="BS673" s="45">
        <v>0</v>
      </c>
      <c r="BT673" s="45">
        <v>0</v>
      </c>
      <c r="BU673" s="45">
        <v>0</v>
      </c>
      <c r="BV673" s="45">
        <v>0</v>
      </c>
      <c r="BW673" s="45">
        <v>0</v>
      </c>
      <c r="BX673" s="45">
        <v>0</v>
      </c>
      <c r="BY673" s="45">
        <v>0</v>
      </c>
      <c r="BZ673" s="45">
        <v>0</v>
      </c>
      <c r="CA673" s="45">
        <v>0</v>
      </c>
      <c r="CB673" s="45">
        <v>0</v>
      </c>
      <c r="CC673" s="45">
        <v>0</v>
      </c>
      <c r="CD673" s="45">
        <v>0</v>
      </c>
      <c r="CE673" s="45">
        <v>0</v>
      </c>
      <c r="CF673" s="45">
        <v>0</v>
      </c>
      <c r="CG673" s="45">
        <v>0</v>
      </c>
      <c r="CH673" s="45">
        <v>0</v>
      </c>
      <c r="CI673" s="45">
        <v>0</v>
      </c>
      <c r="CJ673" s="45">
        <v>0</v>
      </c>
      <c r="CK673" s="45">
        <v>0</v>
      </c>
      <c r="CL673" s="45">
        <v>0</v>
      </c>
      <c r="CM673" s="45">
        <v>0</v>
      </c>
      <c r="CN673" s="45">
        <v>0</v>
      </c>
      <c r="CO673" s="45">
        <v>0</v>
      </c>
      <c r="CP673" s="45">
        <v>0</v>
      </c>
      <c r="CQ673" s="45">
        <v>0</v>
      </c>
      <c r="CR673" s="45">
        <v>0</v>
      </c>
      <c r="CS673" s="45">
        <v>0</v>
      </c>
      <c r="CT673" s="45">
        <v>0</v>
      </c>
      <c r="CU673" s="45">
        <v>0</v>
      </c>
      <c r="CV673" s="45">
        <v>0</v>
      </c>
      <c r="CW673" s="45">
        <v>0</v>
      </c>
      <c r="CX673" s="45">
        <v>0</v>
      </c>
      <c r="CY673" s="45">
        <v>0</v>
      </c>
      <c r="CZ673" s="45">
        <v>0</v>
      </c>
      <c r="DA673" s="45">
        <v>0</v>
      </c>
      <c r="DB673" s="45">
        <v>0</v>
      </c>
      <c r="DC673" s="45">
        <v>0</v>
      </c>
    </row>
    <row r="674" spans="3:107" x14ac:dyDescent="0.3">
      <c r="C674" s="101" t="str">
        <f>++C620</f>
        <v>Other Debt</v>
      </c>
      <c r="G674" s="45">
        <v>0</v>
      </c>
      <c r="H674" s="45">
        <v>0</v>
      </c>
      <c r="I674" s="45">
        <v>0</v>
      </c>
      <c r="J674" s="45">
        <v>0</v>
      </c>
      <c r="K674" s="45">
        <v>0</v>
      </c>
      <c r="L674" s="45">
        <v>0</v>
      </c>
      <c r="M674" s="45">
        <v>0</v>
      </c>
      <c r="N674" s="45">
        <v>0</v>
      </c>
      <c r="O674" s="45">
        <v>0</v>
      </c>
      <c r="P674" s="45">
        <v>0</v>
      </c>
      <c r="Q674" s="45">
        <v>0</v>
      </c>
      <c r="R674" s="45">
        <v>0</v>
      </c>
      <c r="S674" s="45">
        <v>0</v>
      </c>
      <c r="T674" s="45">
        <v>0</v>
      </c>
      <c r="U674" s="45">
        <v>0</v>
      </c>
      <c r="V674" s="45">
        <v>0</v>
      </c>
      <c r="W674" s="45">
        <v>0</v>
      </c>
      <c r="X674" s="45">
        <v>0</v>
      </c>
      <c r="Y674" s="45">
        <v>0</v>
      </c>
      <c r="Z674" s="45">
        <v>0</v>
      </c>
      <c r="AA674" s="45">
        <v>0</v>
      </c>
      <c r="AB674" s="45">
        <v>0</v>
      </c>
      <c r="AC674" s="45">
        <v>0</v>
      </c>
      <c r="AD674" s="45">
        <v>0</v>
      </c>
      <c r="AE674" s="45">
        <v>0</v>
      </c>
      <c r="AF674" s="45">
        <v>0</v>
      </c>
      <c r="AG674" s="45">
        <v>0</v>
      </c>
      <c r="AH674" s="45">
        <v>0</v>
      </c>
      <c r="AI674" s="45">
        <v>0</v>
      </c>
      <c r="AJ674" s="45">
        <v>0</v>
      </c>
      <c r="AK674" s="45">
        <v>0</v>
      </c>
      <c r="AL674" s="45">
        <v>0</v>
      </c>
      <c r="AM674" s="45">
        <v>0</v>
      </c>
      <c r="AN674" s="45">
        <v>0</v>
      </c>
      <c r="AO674" s="45">
        <v>0</v>
      </c>
      <c r="AP674" s="45">
        <v>0</v>
      </c>
      <c r="AQ674" s="45">
        <v>0</v>
      </c>
      <c r="AR674" s="45">
        <v>0</v>
      </c>
      <c r="AS674" s="45">
        <v>0</v>
      </c>
      <c r="AT674" s="45">
        <v>0</v>
      </c>
      <c r="AU674" s="45">
        <v>0</v>
      </c>
      <c r="AV674" s="45">
        <v>0</v>
      </c>
      <c r="AW674" s="45">
        <v>0</v>
      </c>
      <c r="AX674" s="45">
        <v>0</v>
      </c>
      <c r="AY674" s="45">
        <v>0</v>
      </c>
      <c r="AZ674" s="45">
        <v>0</v>
      </c>
      <c r="BA674" s="45">
        <v>0</v>
      </c>
      <c r="BB674" s="45">
        <v>0</v>
      </c>
      <c r="BC674" s="45">
        <v>0</v>
      </c>
      <c r="BD674" s="45">
        <v>0</v>
      </c>
      <c r="BE674" s="45">
        <v>0</v>
      </c>
      <c r="BF674" s="45">
        <v>0</v>
      </c>
      <c r="BG674" s="45">
        <v>0</v>
      </c>
      <c r="BH674" s="45">
        <v>0</v>
      </c>
      <c r="BI674" s="45">
        <v>0</v>
      </c>
      <c r="BJ674" s="45">
        <v>0</v>
      </c>
      <c r="BK674" s="45">
        <v>0</v>
      </c>
      <c r="BL674" s="45">
        <v>0</v>
      </c>
      <c r="BM674" s="45">
        <v>0</v>
      </c>
      <c r="BN674" s="45">
        <v>0</v>
      </c>
      <c r="BO674" s="45">
        <v>0</v>
      </c>
      <c r="BP674" s="45">
        <v>0</v>
      </c>
      <c r="BQ674" s="45">
        <v>0</v>
      </c>
      <c r="BR674" s="45">
        <v>0</v>
      </c>
      <c r="BS674" s="45">
        <v>0</v>
      </c>
      <c r="BT674" s="45">
        <v>0</v>
      </c>
      <c r="BU674" s="45">
        <v>0</v>
      </c>
      <c r="BV674" s="45">
        <v>0</v>
      </c>
      <c r="BW674" s="45">
        <v>0</v>
      </c>
      <c r="BX674" s="45">
        <v>0</v>
      </c>
      <c r="BY674" s="45">
        <v>0</v>
      </c>
      <c r="BZ674" s="45">
        <v>0</v>
      </c>
      <c r="CA674" s="45">
        <v>0</v>
      </c>
      <c r="CB674" s="45">
        <v>0</v>
      </c>
      <c r="CC674" s="45">
        <v>0</v>
      </c>
      <c r="CD674" s="45">
        <v>0</v>
      </c>
      <c r="CE674" s="45">
        <v>0</v>
      </c>
      <c r="CF674" s="45">
        <v>0</v>
      </c>
      <c r="CG674" s="45">
        <v>0</v>
      </c>
      <c r="CH674" s="45">
        <v>0</v>
      </c>
      <c r="CI674" s="45">
        <v>0</v>
      </c>
      <c r="CJ674" s="45">
        <v>0</v>
      </c>
      <c r="CK674" s="45">
        <v>0</v>
      </c>
      <c r="CL674" s="45">
        <v>0</v>
      </c>
      <c r="CM674" s="45">
        <v>0</v>
      </c>
      <c r="CN674" s="45">
        <v>0</v>
      </c>
      <c r="CO674" s="45">
        <v>0</v>
      </c>
      <c r="CP674" s="45">
        <v>0</v>
      </c>
      <c r="CQ674" s="45">
        <v>0</v>
      </c>
      <c r="CR674" s="45">
        <v>0</v>
      </c>
      <c r="CS674" s="45">
        <v>0</v>
      </c>
      <c r="CT674" s="45">
        <v>0</v>
      </c>
      <c r="CU674" s="45">
        <v>0</v>
      </c>
      <c r="CV674" s="45">
        <v>0</v>
      </c>
      <c r="CW674" s="45">
        <v>0</v>
      </c>
      <c r="CX674" s="45">
        <v>0</v>
      </c>
      <c r="CY674" s="45">
        <v>0</v>
      </c>
      <c r="CZ674" s="45">
        <v>0</v>
      </c>
      <c r="DA674" s="45">
        <v>0</v>
      </c>
      <c r="DB674" s="45">
        <v>0</v>
      </c>
      <c r="DC674" s="45">
        <v>0</v>
      </c>
    </row>
    <row r="675" spans="3:107" x14ac:dyDescent="0.3">
      <c r="C675" s="231" t="str">
        <f>++C621</f>
        <v>Total Debt (HoldCo)</v>
      </c>
      <c r="D675" s="191"/>
      <c r="E675" s="191"/>
      <c r="G675" s="198">
        <f>SUM(G670:G674)</f>
        <v>0</v>
      </c>
      <c r="H675" s="380">
        <f t="shared" ref="H675:BS675" si="8075">SUM(H670:H674)</f>
        <v>0</v>
      </c>
      <c r="I675" s="380">
        <f t="shared" si="8075"/>
        <v>0</v>
      </c>
      <c r="J675" s="380">
        <f t="shared" si="8075"/>
        <v>0</v>
      </c>
      <c r="K675" s="198">
        <f t="shared" si="8075"/>
        <v>0</v>
      </c>
      <c r="L675" s="380">
        <f t="shared" si="8075"/>
        <v>0</v>
      </c>
      <c r="M675" s="380">
        <f t="shared" si="8075"/>
        <v>0</v>
      </c>
      <c r="N675" s="380">
        <f t="shared" si="8075"/>
        <v>0</v>
      </c>
      <c r="O675" s="380">
        <f t="shared" si="8075"/>
        <v>0</v>
      </c>
      <c r="P675" s="380">
        <f t="shared" si="8075"/>
        <v>0</v>
      </c>
      <c r="Q675" s="380">
        <f t="shared" si="8075"/>
        <v>0</v>
      </c>
      <c r="R675" s="380">
        <f t="shared" si="8075"/>
        <v>0</v>
      </c>
      <c r="S675" s="380">
        <f t="shared" si="8075"/>
        <v>0</v>
      </c>
      <c r="T675" s="380">
        <f t="shared" si="8075"/>
        <v>0</v>
      </c>
      <c r="U675" s="380">
        <f t="shared" si="8075"/>
        <v>0</v>
      </c>
      <c r="V675" s="380">
        <f t="shared" si="8075"/>
        <v>0</v>
      </c>
      <c r="W675" s="198">
        <f t="shared" si="8075"/>
        <v>0</v>
      </c>
      <c r="X675" s="380">
        <f t="shared" si="8075"/>
        <v>0</v>
      </c>
      <c r="Y675" s="380">
        <f t="shared" si="8075"/>
        <v>0</v>
      </c>
      <c r="Z675" s="380">
        <f t="shared" si="8075"/>
        <v>0</v>
      </c>
      <c r="AA675" s="380">
        <f t="shared" si="8075"/>
        <v>0</v>
      </c>
      <c r="AB675" s="380">
        <f t="shared" si="8075"/>
        <v>0</v>
      </c>
      <c r="AC675" s="380">
        <f t="shared" si="8075"/>
        <v>0</v>
      </c>
      <c r="AD675" s="380">
        <f t="shared" si="8075"/>
        <v>0</v>
      </c>
      <c r="AE675" s="380">
        <f t="shared" si="8075"/>
        <v>0</v>
      </c>
      <c r="AF675" s="380">
        <f t="shared" si="8075"/>
        <v>0</v>
      </c>
      <c r="AG675" s="380">
        <f t="shared" si="8075"/>
        <v>0</v>
      </c>
      <c r="AH675" s="380">
        <f t="shared" si="8075"/>
        <v>0</v>
      </c>
      <c r="AI675" s="198">
        <f t="shared" si="8075"/>
        <v>0</v>
      </c>
      <c r="AJ675" s="380">
        <f t="shared" si="8075"/>
        <v>0</v>
      </c>
      <c r="AK675" s="380">
        <f t="shared" si="8075"/>
        <v>0</v>
      </c>
      <c r="AL675" s="380">
        <f t="shared" si="8075"/>
        <v>0</v>
      </c>
      <c r="AM675" s="380">
        <f t="shared" si="8075"/>
        <v>0</v>
      </c>
      <c r="AN675" s="380">
        <f t="shared" si="8075"/>
        <v>0</v>
      </c>
      <c r="AO675" s="380">
        <f t="shared" si="8075"/>
        <v>0</v>
      </c>
      <c r="AP675" s="380">
        <f t="shared" si="8075"/>
        <v>0</v>
      </c>
      <c r="AQ675" s="380">
        <f t="shared" si="8075"/>
        <v>0</v>
      </c>
      <c r="AR675" s="380">
        <f t="shared" si="8075"/>
        <v>0</v>
      </c>
      <c r="AS675" s="380">
        <f t="shared" si="8075"/>
        <v>0</v>
      </c>
      <c r="AT675" s="380">
        <f t="shared" si="8075"/>
        <v>0</v>
      </c>
      <c r="AU675" s="198">
        <f t="shared" si="8075"/>
        <v>0</v>
      </c>
      <c r="AV675" s="380">
        <f t="shared" si="8075"/>
        <v>0</v>
      </c>
      <c r="AW675" s="380">
        <f t="shared" si="8075"/>
        <v>0</v>
      </c>
      <c r="AX675" s="380">
        <f t="shared" si="8075"/>
        <v>0</v>
      </c>
      <c r="AY675" s="380">
        <f t="shared" si="8075"/>
        <v>0</v>
      </c>
      <c r="AZ675" s="380">
        <f t="shared" si="8075"/>
        <v>0</v>
      </c>
      <c r="BA675" s="380">
        <f t="shared" si="8075"/>
        <v>0</v>
      </c>
      <c r="BB675" s="380">
        <f t="shared" si="8075"/>
        <v>0</v>
      </c>
      <c r="BC675" s="380">
        <f t="shared" si="8075"/>
        <v>0</v>
      </c>
      <c r="BD675" s="380">
        <f t="shared" si="8075"/>
        <v>0</v>
      </c>
      <c r="BE675" s="380">
        <f t="shared" si="8075"/>
        <v>0</v>
      </c>
      <c r="BF675" s="380">
        <f t="shared" si="8075"/>
        <v>0</v>
      </c>
      <c r="BG675" s="198">
        <f t="shared" si="8075"/>
        <v>0</v>
      </c>
      <c r="BH675" s="380">
        <f t="shared" si="8075"/>
        <v>0</v>
      </c>
      <c r="BI675" s="380">
        <f t="shared" si="8075"/>
        <v>0</v>
      </c>
      <c r="BJ675" s="380">
        <f t="shared" si="8075"/>
        <v>0</v>
      </c>
      <c r="BK675" s="380">
        <f t="shared" si="8075"/>
        <v>0</v>
      </c>
      <c r="BL675" s="380">
        <f t="shared" si="8075"/>
        <v>0</v>
      </c>
      <c r="BM675" s="380">
        <f t="shared" si="8075"/>
        <v>0</v>
      </c>
      <c r="BN675" s="380">
        <f t="shared" si="8075"/>
        <v>0</v>
      </c>
      <c r="BO675" s="380">
        <f t="shared" si="8075"/>
        <v>0</v>
      </c>
      <c r="BP675" s="380">
        <f t="shared" si="8075"/>
        <v>0</v>
      </c>
      <c r="BQ675" s="380">
        <f t="shared" si="8075"/>
        <v>0</v>
      </c>
      <c r="BR675" s="380">
        <f t="shared" si="8075"/>
        <v>0</v>
      </c>
      <c r="BS675" s="198">
        <f t="shared" si="8075"/>
        <v>0</v>
      </c>
      <c r="BT675" s="380">
        <f t="shared" ref="BT675:CE675" si="8076">SUM(BT670:BT674)</f>
        <v>0</v>
      </c>
      <c r="BU675" s="380">
        <f t="shared" si="8076"/>
        <v>0</v>
      </c>
      <c r="BV675" s="380">
        <f t="shared" si="8076"/>
        <v>0</v>
      </c>
      <c r="BW675" s="380">
        <f t="shared" si="8076"/>
        <v>0</v>
      </c>
      <c r="BX675" s="380">
        <f t="shared" si="8076"/>
        <v>0</v>
      </c>
      <c r="BY675" s="380">
        <f t="shared" si="8076"/>
        <v>0</v>
      </c>
      <c r="BZ675" s="380">
        <f t="shared" si="8076"/>
        <v>0</v>
      </c>
      <c r="CA675" s="380">
        <f t="shared" si="8076"/>
        <v>0</v>
      </c>
      <c r="CB675" s="380">
        <f t="shared" si="8076"/>
        <v>0</v>
      </c>
      <c r="CC675" s="380">
        <f t="shared" si="8076"/>
        <v>0</v>
      </c>
      <c r="CD675" s="380">
        <f t="shared" si="8076"/>
        <v>0</v>
      </c>
      <c r="CE675" s="198">
        <f t="shared" si="8076"/>
        <v>0</v>
      </c>
      <c r="CF675" s="380">
        <f t="shared" ref="CF675:DC675" si="8077">SUM(CF670:CF674)</f>
        <v>0</v>
      </c>
      <c r="CG675" s="380">
        <f t="shared" si="8077"/>
        <v>0</v>
      </c>
      <c r="CH675" s="380">
        <f t="shared" si="8077"/>
        <v>0</v>
      </c>
      <c r="CI675" s="380">
        <f t="shared" si="8077"/>
        <v>0</v>
      </c>
      <c r="CJ675" s="380">
        <f t="shared" si="8077"/>
        <v>0</v>
      </c>
      <c r="CK675" s="380">
        <f t="shared" si="8077"/>
        <v>0</v>
      </c>
      <c r="CL675" s="380">
        <f t="shared" si="8077"/>
        <v>0</v>
      </c>
      <c r="CM675" s="380">
        <f t="shared" si="8077"/>
        <v>0</v>
      </c>
      <c r="CN675" s="380">
        <f t="shared" si="8077"/>
        <v>0</v>
      </c>
      <c r="CO675" s="380">
        <f t="shared" si="8077"/>
        <v>0</v>
      </c>
      <c r="CP675" s="380">
        <f t="shared" si="8077"/>
        <v>0</v>
      </c>
      <c r="CQ675" s="198">
        <f t="shared" si="8077"/>
        <v>0</v>
      </c>
      <c r="CR675" s="380">
        <f t="shared" si="8077"/>
        <v>0</v>
      </c>
      <c r="CS675" s="380">
        <f t="shared" si="8077"/>
        <v>0</v>
      </c>
      <c r="CT675" s="380">
        <f t="shared" si="8077"/>
        <v>0</v>
      </c>
      <c r="CU675" s="380">
        <f t="shared" si="8077"/>
        <v>0</v>
      </c>
      <c r="CV675" s="380">
        <f t="shared" si="8077"/>
        <v>0</v>
      </c>
      <c r="CW675" s="380">
        <f t="shared" si="8077"/>
        <v>0</v>
      </c>
      <c r="CX675" s="380">
        <f t="shared" si="8077"/>
        <v>0</v>
      </c>
      <c r="CY675" s="380">
        <f t="shared" si="8077"/>
        <v>0</v>
      </c>
      <c r="CZ675" s="380">
        <f t="shared" si="8077"/>
        <v>0</v>
      </c>
      <c r="DA675" s="380">
        <f t="shared" si="8077"/>
        <v>0</v>
      </c>
      <c r="DB675" s="380">
        <f t="shared" si="8077"/>
        <v>0</v>
      </c>
      <c r="DC675" s="198">
        <f t="shared" si="8077"/>
        <v>0</v>
      </c>
    </row>
    <row r="676" spans="3:107" x14ac:dyDescent="0.3">
      <c r="G676" s="203"/>
      <c r="K676" s="203"/>
      <c r="W676" s="203"/>
      <c r="AC676" s="195"/>
      <c r="AD676" s="195"/>
      <c r="AE676" s="195"/>
      <c r="AI676" s="203"/>
      <c r="AO676" s="195"/>
      <c r="AP676" s="195"/>
      <c r="AQ676" s="195"/>
      <c r="AU676" s="203"/>
      <c r="BA676" s="195"/>
      <c r="BB676" s="195"/>
      <c r="BC676" s="195"/>
      <c r="BG676" s="203"/>
      <c r="BM676" s="195"/>
      <c r="BN676" s="195"/>
      <c r="BO676" s="195"/>
      <c r="BS676" s="203"/>
      <c r="BY676" s="195"/>
      <c r="BZ676" s="195"/>
      <c r="CA676" s="195"/>
      <c r="CE676" s="203"/>
      <c r="CK676" s="195"/>
      <c r="CL676" s="195"/>
      <c r="CM676" s="195"/>
      <c r="CQ676" s="203"/>
      <c r="CW676" s="195"/>
      <c r="CX676" s="195"/>
      <c r="CY676" s="195"/>
      <c r="DC676" s="203"/>
    </row>
    <row r="677" spans="3:107" x14ac:dyDescent="0.3">
      <c r="C677" s="342" t="str">
        <f>++'Trade Ticket Input'!C$338</f>
        <v>Preferred Equity</v>
      </c>
      <c r="G677" s="45">
        <v>0</v>
      </c>
      <c r="H677" s="45">
        <v>0</v>
      </c>
      <c r="I677" s="45">
        <v>0</v>
      </c>
      <c r="J677" s="45">
        <v>0</v>
      </c>
      <c r="K677" s="45">
        <v>0</v>
      </c>
      <c r="L677" s="45">
        <v>0</v>
      </c>
      <c r="M677" s="45">
        <v>0</v>
      </c>
      <c r="N677" s="45">
        <v>0</v>
      </c>
      <c r="O677" s="45">
        <v>0</v>
      </c>
      <c r="P677" s="45">
        <v>0</v>
      </c>
      <c r="Q677" s="45">
        <v>0</v>
      </c>
      <c r="R677" s="45">
        <v>0</v>
      </c>
      <c r="S677" s="45">
        <v>0</v>
      </c>
      <c r="T677" s="45">
        <v>0</v>
      </c>
      <c r="U677" s="45">
        <v>0</v>
      </c>
      <c r="V677" s="45">
        <v>0</v>
      </c>
      <c r="W677" s="45">
        <v>0</v>
      </c>
      <c r="X677" s="45">
        <v>0</v>
      </c>
      <c r="Y677" s="45">
        <v>0</v>
      </c>
      <c r="Z677" s="45">
        <v>0</v>
      </c>
      <c r="AA677" s="45">
        <v>0</v>
      </c>
      <c r="AB677" s="45">
        <v>0</v>
      </c>
      <c r="AC677" s="45">
        <v>0</v>
      </c>
      <c r="AD677" s="45">
        <v>0</v>
      </c>
      <c r="AE677" s="45">
        <v>0</v>
      </c>
      <c r="AF677" s="45">
        <v>0</v>
      </c>
      <c r="AG677" s="45">
        <v>0</v>
      </c>
      <c r="AH677" s="45">
        <v>0</v>
      </c>
      <c r="AI677" s="45">
        <v>0</v>
      </c>
      <c r="AJ677" s="45">
        <v>0</v>
      </c>
      <c r="AK677" s="45">
        <v>0</v>
      </c>
      <c r="AL677" s="45">
        <v>0</v>
      </c>
      <c r="AM677" s="45">
        <v>0</v>
      </c>
      <c r="AN677" s="45">
        <v>0</v>
      </c>
      <c r="AO677" s="45">
        <v>0</v>
      </c>
      <c r="AP677" s="45">
        <v>0</v>
      </c>
      <c r="AQ677" s="45">
        <v>0</v>
      </c>
      <c r="AR677" s="45">
        <v>0</v>
      </c>
      <c r="AS677" s="45">
        <v>0</v>
      </c>
      <c r="AT677" s="45">
        <v>0</v>
      </c>
      <c r="AU677" s="45">
        <v>0</v>
      </c>
      <c r="AV677" s="45">
        <v>0</v>
      </c>
      <c r="AW677" s="45">
        <v>0</v>
      </c>
      <c r="AX677" s="45">
        <v>0</v>
      </c>
      <c r="AY677" s="45">
        <v>0</v>
      </c>
      <c r="AZ677" s="45">
        <v>0</v>
      </c>
      <c r="BA677" s="45">
        <v>0</v>
      </c>
      <c r="BB677" s="45">
        <v>0</v>
      </c>
      <c r="BC677" s="45">
        <v>0</v>
      </c>
      <c r="BD677" s="45">
        <v>0</v>
      </c>
      <c r="BE677" s="45">
        <v>0</v>
      </c>
      <c r="BF677" s="45">
        <v>0</v>
      </c>
      <c r="BG677" s="45">
        <v>0</v>
      </c>
      <c r="BH677" s="45">
        <v>0</v>
      </c>
      <c r="BI677" s="45">
        <v>0</v>
      </c>
      <c r="BJ677" s="45">
        <v>0</v>
      </c>
      <c r="BK677" s="45">
        <v>0</v>
      </c>
      <c r="BL677" s="45">
        <v>0</v>
      </c>
      <c r="BM677" s="45">
        <v>0</v>
      </c>
      <c r="BN677" s="45">
        <v>0</v>
      </c>
      <c r="BO677" s="45">
        <v>0</v>
      </c>
      <c r="BP677" s="45">
        <v>0</v>
      </c>
      <c r="BQ677" s="45">
        <v>0</v>
      </c>
      <c r="BR677" s="45">
        <v>0</v>
      </c>
      <c r="BS677" s="45">
        <v>0</v>
      </c>
      <c r="BT677" s="45">
        <v>0</v>
      </c>
      <c r="BU677" s="45">
        <v>0</v>
      </c>
      <c r="BV677" s="45">
        <v>0</v>
      </c>
      <c r="BW677" s="45">
        <v>0</v>
      </c>
      <c r="BX677" s="45">
        <v>0</v>
      </c>
      <c r="BY677" s="45">
        <v>0</v>
      </c>
      <c r="BZ677" s="45">
        <v>0</v>
      </c>
      <c r="CA677" s="45">
        <v>0</v>
      </c>
      <c r="CB677" s="45">
        <v>0</v>
      </c>
      <c r="CC677" s="45">
        <v>0</v>
      </c>
      <c r="CD677" s="45">
        <v>0</v>
      </c>
      <c r="CE677" s="45">
        <v>0</v>
      </c>
      <c r="CF677" s="45">
        <v>0</v>
      </c>
      <c r="CG677" s="45">
        <v>0</v>
      </c>
      <c r="CH677" s="45">
        <v>0</v>
      </c>
      <c r="CI677" s="45">
        <v>0</v>
      </c>
      <c r="CJ677" s="45">
        <v>0</v>
      </c>
      <c r="CK677" s="45">
        <v>0</v>
      </c>
      <c r="CL677" s="45">
        <v>0</v>
      </c>
      <c r="CM677" s="45">
        <v>0</v>
      </c>
      <c r="CN677" s="45">
        <v>0</v>
      </c>
      <c r="CO677" s="45">
        <v>0</v>
      </c>
      <c r="CP677" s="45">
        <v>0</v>
      </c>
      <c r="CQ677" s="45">
        <v>0</v>
      </c>
      <c r="CR677" s="45">
        <v>0</v>
      </c>
      <c r="CS677" s="45">
        <v>0</v>
      </c>
      <c r="CT677" s="45">
        <v>0</v>
      </c>
      <c r="CU677" s="45">
        <v>0</v>
      </c>
      <c r="CV677" s="45">
        <v>0</v>
      </c>
      <c r="CW677" s="45">
        <v>0</v>
      </c>
      <c r="CX677" s="45">
        <v>0</v>
      </c>
      <c r="CY677" s="45">
        <v>0</v>
      </c>
      <c r="CZ677" s="45">
        <v>0</v>
      </c>
      <c r="DA677" s="45">
        <v>0</v>
      </c>
      <c r="DB677" s="45">
        <v>0</v>
      </c>
      <c r="DC677" s="45">
        <v>0</v>
      </c>
    </row>
    <row r="678" spans="3:107" x14ac:dyDescent="0.3">
      <c r="C678" s="342" t="str">
        <f>++'Trade Ticket Input'!C$368&amp;" (Cash)"</f>
        <v>Common Equity (Cash)</v>
      </c>
      <c r="G678" s="45">
        <v>0</v>
      </c>
      <c r="H678" s="45">
        <v>0</v>
      </c>
      <c r="I678" s="45">
        <v>0</v>
      </c>
      <c r="J678" s="45">
        <v>0</v>
      </c>
      <c r="K678" s="45">
        <v>0</v>
      </c>
      <c r="L678" s="45">
        <v>0</v>
      </c>
      <c r="M678" s="45">
        <v>0</v>
      </c>
      <c r="N678" s="45">
        <v>0</v>
      </c>
      <c r="O678" s="45">
        <v>0</v>
      </c>
      <c r="P678" s="45">
        <v>0</v>
      </c>
      <c r="Q678" s="45">
        <v>0</v>
      </c>
      <c r="R678" s="45">
        <v>0</v>
      </c>
      <c r="S678" s="45">
        <v>0</v>
      </c>
      <c r="T678" s="45">
        <v>0</v>
      </c>
      <c r="U678" s="45">
        <v>0</v>
      </c>
      <c r="V678" s="45">
        <v>0</v>
      </c>
      <c r="W678" s="45">
        <v>0</v>
      </c>
      <c r="X678" s="45">
        <v>0</v>
      </c>
      <c r="Y678" s="45">
        <v>0</v>
      </c>
      <c r="Z678" s="45">
        <v>0</v>
      </c>
      <c r="AA678" s="45">
        <v>0</v>
      </c>
      <c r="AB678" s="45">
        <v>0</v>
      </c>
      <c r="AC678" s="45">
        <v>0</v>
      </c>
      <c r="AD678" s="45">
        <v>0</v>
      </c>
      <c r="AE678" s="45">
        <v>0</v>
      </c>
      <c r="AF678" s="45">
        <v>0</v>
      </c>
      <c r="AG678" s="45">
        <v>0</v>
      </c>
      <c r="AH678" s="45">
        <v>0</v>
      </c>
      <c r="AI678" s="45">
        <v>0</v>
      </c>
      <c r="AJ678" s="45">
        <v>0</v>
      </c>
      <c r="AK678" s="45">
        <v>0</v>
      </c>
      <c r="AL678" s="45">
        <v>0</v>
      </c>
      <c r="AM678" s="45">
        <v>0</v>
      </c>
      <c r="AN678" s="45">
        <v>0</v>
      </c>
      <c r="AO678" s="45">
        <v>0</v>
      </c>
      <c r="AP678" s="45">
        <v>0</v>
      </c>
      <c r="AQ678" s="45">
        <v>0</v>
      </c>
      <c r="AR678" s="45">
        <v>0</v>
      </c>
      <c r="AS678" s="45">
        <v>0</v>
      </c>
      <c r="AT678" s="45">
        <v>0</v>
      </c>
      <c r="AU678" s="45">
        <v>0</v>
      </c>
      <c r="AV678" s="45">
        <v>0</v>
      </c>
      <c r="AW678" s="45">
        <v>0</v>
      </c>
      <c r="AX678" s="45">
        <v>0</v>
      </c>
      <c r="AY678" s="45">
        <v>0</v>
      </c>
      <c r="AZ678" s="45">
        <v>0</v>
      </c>
      <c r="BA678" s="45">
        <v>0</v>
      </c>
      <c r="BB678" s="45">
        <v>0</v>
      </c>
      <c r="BC678" s="45">
        <v>0</v>
      </c>
      <c r="BD678" s="45">
        <v>0</v>
      </c>
      <c r="BE678" s="45">
        <v>0</v>
      </c>
      <c r="BF678" s="45">
        <v>0</v>
      </c>
      <c r="BG678" s="45">
        <v>0</v>
      </c>
      <c r="BH678" s="45">
        <v>0</v>
      </c>
      <c r="BI678" s="45">
        <v>0</v>
      </c>
      <c r="BJ678" s="45">
        <v>0</v>
      </c>
      <c r="BK678" s="45">
        <v>0</v>
      </c>
      <c r="BL678" s="45">
        <v>0</v>
      </c>
      <c r="BM678" s="45">
        <v>0</v>
      </c>
      <c r="BN678" s="45">
        <v>0</v>
      </c>
      <c r="BO678" s="45">
        <v>0</v>
      </c>
      <c r="BP678" s="45">
        <v>0</v>
      </c>
      <c r="BQ678" s="45">
        <v>0</v>
      </c>
      <c r="BR678" s="45">
        <v>0</v>
      </c>
      <c r="BS678" s="45">
        <v>0</v>
      </c>
      <c r="BT678" s="45">
        <v>0</v>
      </c>
      <c r="BU678" s="45">
        <v>0</v>
      </c>
      <c r="BV678" s="45">
        <v>0</v>
      </c>
      <c r="BW678" s="45">
        <v>0</v>
      </c>
      <c r="BX678" s="45">
        <v>0</v>
      </c>
      <c r="BY678" s="45">
        <v>0</v>
      </c>
      <c r="BZ678" s="45">
        <v>0</v>
      </c>
      <c r="CA678" s="45">
        <v>0</v>
      </c>
      <c r="CB678" s="45">
        <v>0</v>
      </c>
      <c r="CC678" s="45">
        <v>0</v>
      </c>
      <c r="CD678" s="45">
        <v>0</v>
      </c>
      <c r="CE678" s="45">
        <v>0</v>
      </c>
      <c r="CF678" s="45">
        <v>0</v>
      </c>
      <c r="CG678" s="45">
        <v>0</v>
      </c>
      <c r="CH678" s="45">
        <v>0</v>
      </c>
      <c r="CI678" s="45">
        <v>0</v>
      </c>
      <c r="CJ678" s="45">
        <v>0</v>
      </c>
      <c r="CK678" s="45">
        <v>0</v>
      </c>
      <c r="CL678" s="45">
        <v>0</v>
      </c>
      <c r="CM678" s="45">
        <v>0</v>
      </c>
      <c r="CN678" s="45">
        <v>0</v>
      </c>
      <c r="CO678" s="45">
        <v>0</v>
      </c>
      <c r="CP678" s="45">
        <v>0</v>
      </c>
      <c r="CQ678" s="45">
        <v>0</v>
      </c>
      <c r="CR678" s="45">
        <v>0</v>
      </c>
      <c r="CS678" s="45">
        <v>0</v>
      </c>
      <c r="CT678" s="45">
        <v>0</v>
      </c>
      <c r="CU678" s="45">
        <v>0</v>
      </c>
      <c r="CV678" s="45">
        <v>0</v>
      </c>
      <c r="CW678" s="45">
        <v>0</v>
      </c>
      <c r="CX678" s="45">
        <v>0</v>
      </c>
      <c r="CY678" s="45">
        <v>0</v>
      </c>
      <c r="CZ678" s="45">
        <v>0</v>
      </c>
      <c r="DA678" s="45">
        <v>0</v>
      </c>
      <c r="DB678" s="45">
        <v>0</v>
      </c>
      <c r="DC678" s="45">
        <v>0</v>
      </c>
    </row>
    <row r="679" spans="3:107" x14ac:dyDescent="0.3">
      <c r="C679" s="101" t="str">
        <f>++C625</f>
        <v>Common Equity (Implied Equity)</v>
      </c>
      <c r="G679" s="374">
        <f>++G680-SUM(G677:G678)</f>
        <v>0</v>
      </c>
      <c r="H679" s="200">
        <f t="shared" ref="H679:BS679" si="8078">++H680-SUM(H677:H678)</f>
        <v>0</v>
      </c>
      <c r="I679" s="200">
        <f t="shared" si="8078"/>
        <v>0</v>
      </c>
      <c r="J679" s="200">
        <f t="shared" si="8078"/>
        <v>0</v>
      </c>
      <c r="K679" s="374">
        <f t="shared" si="8078"/>
        <v>0</v>
      </c>
      <c r="L679" s="200">
        <f t="shared" si="8078"/>
        <v>0</v>
      </c>
      <c r="M679" s="200">
        <f t="shared" si="8078"/>
        <v>0</v>
      </c>
      <c r="N679" s="200">
        <f t="shared" si="8078"/>
        <v>0</v>
      </c>
      <c r="O679" s="200">
        <f t="shared" si="8078"/>
        <v>0</v>
      </c>
      <c r="P679" s="200">
        <f t="shared" si="8078"/>
        <v>0</v>
      </c>
      <c r="Q679" s="200">
        <f t="shared" si="8078"/>
        <v>0</v>
      </c>
      <c r="R679" s="200">
        <f t="shared" si="8078"/>
        <v>0</v>
      </c>
      <c r="S679" s="200">
        <f t="shared" si="8078"/>
        <v>0</v>
      </c>
      <c r="T679" s="200">
        <f t="shared" si="8078"/>
        <v>0</v>
      </c>
      <c r="U679" s="200">
        <f t="shared" si="8078"/>
        <v>0</v>
      </c>
      <c r="V679" s="200">
        <f t="shared" si="8078"/>
        <v>0</v>
      </c>
      <c r="W679" s="374">
        <f t="shared" si="8078"/>
        <v>0</v>
      </c>
      <c r="X679" s="200">
        <f t="shared" si="8078"/>
        <v>0</v>
      </c>
      <c r="Y679" s="200">
        <f t="shared" si="8078"/>
        <v>0</v>
      </c>
      <c r="Z679" s="200">
        <f t="shared" si="8078"/>
        <v>0</v>
      </c>
      <c r="AA679" s="200">
        <f t="shared" si="8078"/>
        <v>0</v>
      </c>
      <c r="AB679" s="200">
        <f t="shared" si="8078"/>
        <v>0</v>
      </c>
      <c r="AC679" s="200">
        <f t="shared" si="8078"/>
        <v>0</v>
      </c>
      <c r="AD679" s="200">
        <f t="shared" si="8078"/>
        <v>0</v>
      </c>
      <c r="AE679" s="200">
        <f t="shared" si="8078"/>
        <v>0</v>
      </c>
      <c r="AF679" s="200">
        <f t="shared" si="8078"/>
        <v>0</v>
      </c>
      <c r="AG679" s="200">
        <f t="shared" si="8078"/>
        <v>0</v>
      </c>
      <c r="AH679" s="200">
        <f t="shared" si="8078"/>
        <v>0</v>
      </c>
      <c r="AI679" s="374">
        <f t="shared" si="8078"/>
        <v>0</v>
      </c>
      <c r="AJ679" s="200">
        <f t="shared" si="8078"/>
        <v>0</v>
      </c>
      <c r="AK679" s="200">
        <f t="shared" si="8078"/>
        <v>0</v>
      </c>
      <c r="AL679" s="200">
        <f t="shared" si="8078"/>
        <v>0</v>
      </c>
      <c r="AM679" s="200">
        <f t="shared" si="8078"/>
        <v>0</v>
      </c>
      <c r="AN679" s="200">
        <f t="shared" si="8078"/>
        <v>0</v>
      </c>
      <c r="AO679" s="200">
        <f t="shared" si="8078"/>
        <v>0</v>
      </c>
      <c r="AP679" s="200">
        <f t="shared" si="8078"/>
        <v>0</v>
      </c>
      <c r="AQ679" s="200">
        <f t="shared" si="8078"/>
        <v>0</v>
      </c>
      <c r="AR679" s="200">
        <f t="shared" si="8078"/>
        <v>0</v>
      </c>
      <c r="AS679" s="200">
        <f t="shared" si="8078"/>
        <v>0</v>
      </c>
      <c r="AT679" s="200">
        <f t="shared" si="8078"/>
        <v>0</v>
      </c>
      <c r="AU679" s="374">
        <f t="shared" si="8078"/>
        <v>0</v>
      </c>
      <c r="AV679" s="200">
        <f t="shared" si="8078"/>
        <v>0</v>
      </c>
      <c r="AW679" s="200">
        <f t="shared" si="8078"/>
        <v>0</v>
      </c>
      <c r="AX679" s="200">
        <f t="shared" si="8078"/>
        <v>0</v>
      </c>
      <c r="AY679" s="200">
        <f t="shared" si="8078"/>
        <v>0</v>
      </c>
      <c r="AZ679" s="200">
        <f t="shared" si="8078"/>
        <v>0</v>
      </c>
      <c r="BA679" s="200">
        <f t="shared" si="8078"/>
        <v>0</v>
      </c>
      <c r="BB679" s="200">
        <f t="shared" si="8078"/>
        <v>0</v>
      </c>
      <c r="BC679" s="200">
        <f t="shared" si="8078"/>
        <v>0</v>
      </c>
      <c r="BD679" s="200">
        <f t="shared" si="8078"/>
        <v>0</v>
      </c>
      <c r="BE679" s="200">
        <f t="shared" si="8078"/>
        <v>0</v>
      </c>
      <c r="BF679" s="200">
        <f t="shared" si="8078"/>
        <v>0</v>
      </c>
      <c r="BG679" s="374">
        <f t="shared" si="8078"/>
        <v>0</v>
      </c>
      <c r="BH679" s="200">
        <f t="shared" si="8078"/>
        <v>0</v>
      </c>
      <c r="BI679" s="200">
        <f t="shared" si="8078"/>
        <v>0</v>
      </c>
      <c r="BJ679" s="200">
        <f t="shared" si="8078"/>
        <v>0</v>
      </c>
      <c r="BK679" s="200">
        <f t="shared" si="8078"/>
        <v>0</v>
      </c>
      <c r="BL679" s="200">
        <f t="shared" si="8078"/>
        <v>0</v>
      </c>
      <c r="BM679" s="200">
        <f t="shared" si="8078"/>
        <v>0</v>
      </c>
      <c r="BN679" s="200">
        <f t="shared" si="8078"/>
        <v>0</v>
      </c>
      <c r="BO679" s="200">
        <f t="shared" si="8078"/>
        <v>0</v>
      </c>
      <c r="BP679" s="200">
        <f t="shared" si="8078"/>
        <v>0</v>
      </c>
      <c r="BQ679" s="200">
        <f t="shared" si="8078"/>
        <v>0</v>
      </c>
      <c r="BR679" s="200">
        <f t="shared" si="8078"/>
        <v>0</v>
      </c>
      <c r="BS679" s="374">
        <f t="shared" si="8078"/>
        <v>0</v>
      </c>
      <c r="BT679" s="200">
        <f t="shared" ref="BT679:DC679" si="8079">++BT680-SUM(BT677:BT678)</f>
        <v>0</v>
      </c>
      <c r="BU679" s="200">
        <f t="shared" si="8079"/>
        <v>0</v>
      </c>
      <c r="BV679" s="200">
        <f t="shared" si="8079"/>
        <v>0</v>
      </c>
      <c r="BW679" s="200">
        <f t="shared" si="8079"/>
        <v>0</v>
      </c>
      <c r="BX679" s="200">
        <f t="shared" si="8079"/>
        <v>0</v>
      </c>
      <c r="BY679" s="200">
        <f t="shared" si="8079"/>
        <v>0</v>
      </c>
      <c r="BZ679" s="200">
        <f t="shared" si="8079"/>
        <v>0</v>
      </c>
      <c r="CA679" s="200">
        <f t="shared" si="8079"/>
        <v>0</v>
      </c>
      <c r="CB679" s="200">
        <f t="shared" si="8079"/>
        <v>0</v>
      </c>
      <c r="CC679" s="200">
        <f t="shared" si="8079"/>
        <v>0</v>
      </c>
      <c r="CD679" s="200">
        <f t="shared" si="8079"/>
        <v>0</v>
      </c>
      <c r="CE679" s="374">
        <f t="shared" si="8079"/>
        <v>0</v>
      </c>
      <c r="CF679" s="200">
        <f t="shared" si="8079"/>
        <v>0</v>
      </c>
      <c r="CG679" s="200">
        <f t="shared" si="8079"/>
        <v>0</v>
      </c>
      <c r="CH679" s="200">
        <f t="shared" si="8079"/>
        <v>0</v>
      </c>
      <c r="CI679" s="200">
        <f t="shared" si="8079"/>
        <v>0</v>
      </c>
      <c r="CJ679" s="200">
        <f t="shared" si="8079"/>
        <v>0</v>
      </c>
      <c r="CK679" s="200">
        <f t="shared" si="8079"/>
        <v>0</v>
      </c>
      <c r="CL679" s="200">
        <f t="shared" si="8079"/>
        <v>0</v>
      </c>
      <c r="CM679" s="200">
        <f t="shared" si="8079"/>
        <v>0</v>
      </c>
      <c r="CN679" s="200">
        <f t="shared" si="8079"/>
        <v>0</v>
      </c>
      <c r="CO679" s="200">
        <f t="shared" si="8079"/>
        <v>0</v>
      </c>
      <c r="CP679" s="200">
        <f t="shared" si="8079"/>
        <v>0</v>
      </c>
      <c r="CQ679" s="374">
        <f t="shared" si="8079"/>
        <v>0</v>
      </c>
      <c r="CR679" s="200">
        <f t="shared" si="8079"/>
        <v>0</v>
      </c>
      <c r="CS679" s="200">
        <f t="shared" si="8079"/>
        <v>0</v>
      </c>
      <c r="CT679" s="200">
        <f t="shared" si="8079"/>
        <v>0</v>
      </c>
      <c r="CU679" s="200">
        <f t="shared" si="8079"/>
        <v>0</v>
      </c>
      <c r="CV679" s="200">
        <f t="shared" si="8079"/>
        <v>0</v>
      </c>
      <c r="CW679" s="200">
        <f t="shared" si="8079"/>
        <v>0</v>
      </c>
      <c r="CX679" s="200">
        <f t="shared" si="8079"/>
        <v>0</v>
      </c>
      <c r="CY679" s="200">
        <f t="shared" si="8079"/>
        <v>0</v>
      </c>
      <c r="CZ679" s="200">
        <f t="shared" si="8079"/>
        <v>0</v>
      </c>
      <c r="DA679" s="200">
        <f t="shared" si="8079"/>
        <v>0</v>
      </c>
      <c r="DB679" s="200">
        <f t="shared" si="8079"/>
        <v>0</v>
      </c>
      <c r="DC679" s="374">
        <f t="shared" si="8079"/>
        <v>0</v>
      </c>
    </row>
    <row r="680" spans="3:107" x14ac:dyDescent="0.3">
      <c r="C680" s="231" t="str">
        <f>++C626</f>
        <v>Total Equity</v>
      </c>
      <c r="D680" s="191"/>
      <c r="E680" s="191"/>
      <c r="G680" s="198">
        <f>++G682-G675</f>
        <v>0</v>
      </c>
      <c r="H680" s="380">
        <f t="shared" ref="H680:BS680" si="8080">++H682-H675</f>
        <v>0</v>
      </c>
      <c r="I680" s="380">
        <f t="shared" si="8080"/>
        <v>0</v>
      </c>
      <c r="J680" s="380">
        <f t="shared" si="8080"/>
        <v>0</v>
      </c>
      <c r="K680" s="198">
        <f t="shared" si="8080"/>
        <v>0</v>
      </c>
      <c r="L680" s="380">
        <f t="shared" si="8080"/>
        <v>0</v>
      </c>
      <c r="M680" s="380">
        <f t="shared" si="8080"/>
        <v>0</v>
      </c>
      <c r="N680" s="380">
        <f t="shared" si="8080"/>
        <v>0</v>
      </c>
      <c r="O680" s="380">
        <f t="shared" si="8080"/>
        <v>0</v>
      </c>
      <c r="P680" s="380">
        <f t="shared" si="8080"/>
        <v>0</v>
      </c>
      <c r="Q680" s="380">
        <f t="shared" si="8080"/>
        <v>0</v>
      </c>
      <c r="R680" s="380">
        <f t="shared" si="8080"/>
        <v>0</v>
      </c>
      <c r="S680" s="380">
        <f t="shared" si="8080"/>
        <v>0</v>
      </c>
      <c r="T680" s="380">
        <f t="shared" si="8080"/>
        <v>0</v>
      </c>
      <c r="U680" s="380">
        <f t="shared" si="8080"/>
        <v>0</v>
      </c>
      <c r="V680" s="380">
        <f t="shared" si="8080"/>
        <v>0</v>
      </c>
      <c r="W680" s="198">
        <f t="shared" si="8080"/>
        <v>0</v>
      </c>
      <c r="X680" s="380">
        <f t="shared" si="8080"/>
        <v>0</v>
      </c>
      <c r="Y680" s="380">
        <f t="shared" si="8080"/>
        <v>0</v>
      </c>
      <c r="Z680" s="380">
        <f t="shared" si="8080"/>
        <v>0</v>
      </c>
      <c r="AA680" s="380">
        <f t="shared" si="8080"/>
        <v>0</v>
      </c>
      <c r="AB680" s="380">
        <f t="shared" si="8080"/>
        <v>0</v>
      </c>
      <c r="AC680" s="380">
        <f t="shared" si="8080"/>
        <v>0</v>
      </c>
      <c r="AD680" s="380">
        <f t="shared" si="8080"/>
        <v>0</v>
      </c>
      <c r="AE680" s="380">
        <f t="shared" si="8080"/>
        <v>0</v>
      </c>
      <c r="AF680" s="380">
        <f t="shared" si="8080"/>
        <v>0</v>
      </c>
      <c r="AG680" s="380">
        <f t="shared" si="8080"/>
        <v>0</v>
      </c>
      <c r="AH680" s="380">
        <f t="shared" si="8080"/>
        <v>0</v>
      </c>
      <c r="AI680" s="198">
        <f t="shared" si="8080"/>
        <v>0</v>
      </c>
      <c r="AJ680" s="380">
        <f t="shared" si="8080"/>
        <v>0</v>
      </c>
      <c r="AK680" s="380">
        <f t="shared" si="8080"/>
        <v>0</v>
      </c>
      <c r="AL680" s="380">
        <f t="shared" si="8080"/>
        <v>0</v>
      </c>
      <c r="AM680" s="380">
        <f t="shared" si="8080"/>
        <v>0</v>
      </c>
      <c r="AN680" s="380">
        <f t="shared" si="8080"/>
        <v>0</v>
      </c>
      <c r="AO680" s="380">
        <f t="shared" si="8080"/>
        <v>0</v>
      </c>
      <c r="AP680" s="380">
        <f t="shared" si="8080"/>
        <v>0</v>
      </c>
      <c r="AQ680" s="380">
        <f t="shared" si="8080"/>
        <v>0</v>
      </c>
      <c r="AR680" s="380">
        <f t="shared" si="8080"/>
        <v>0</v>
      </c>
      <c r="AS680" s="380">
        <f t="shared" si="8080"/>
        <v>0</v>
      </c>
      <c r="AT680" s="380">
        <f t="shared" si="8080"/>
        <v>0</v>
      </c>
      <c r="AU680" s="198">
        <f t="shared" si="8080"/>
        <v>0</v>
      </c>
      <c r="AV680" s="380">
        <f t="shared" si="8080"/>
        <v>0</v>
      </c>
      <c r="AW680" s="380">
        <f t="shared" si="8080"/>
        <v>0</v>
      </c>
      <c r="AX680" s="380">
        <f t="shared" si="8080"/>
        <v>0</v>
      </c>
      <c r="AY680" s="380">
        <f t="shared" si="8080"/>
        <v>0</v>
      </c>
      <c r="AZ680" s="380">
        <f t="shared" si="8080"/>
        <v>0</v>
      </c>
      <c r="BA680" s="380">
        <f t="shared" si="8080"/>
        <v>0</v>
      </c>
      <c r="BB680" s="380">
        <f t="shared" si="8080"/>
        <v>0</v>
      </c>
      <c r="BC680" s="380">
        <f t="shared" si="8080"/>
        <v>0</v>
      </c>
      <c r="BD680" s="380">
        <f t="shared" si="8080"/>
        <v>0</v>
      </c>
      <c r="BE680" s="380">
        <f t="shared" si="8080"/>
        <v>0</v>
      </c>
      <c r="BF680" s="380">
        <f t="shared" si="8080"/>
        <v>0</v>
      </c>
      <c r="BG680" s="198">
        <f t="shared" si="8080"/>
        <v>0</v>
      </c>
      <c r="BH680" s="380">
        <f t="shared" si="8080"/>
        <v>0</v>
      </c>
      <c r="BI680" s="380">
        <f t="shared" si="8080"/>
        <v>0</v>
      </c>
      <c r="BJ680" s="380">
        <f t="shared" si="8080"/>
        <v>0</v>
      </c>
      <c r="BK680" s="380">
        <f t="shared" si="8080"/>
        <v>0</v>
      </c>
      <c r="BL680" s="380">
        <f t="shared" si="8080"/>
        <v>0</v>
      </c>
      <c r="BM680" s="380">
        <f t="shared" si="8080"/>
        <v>0</v>
      </c>
      <c r="BN680" s="380">
        <f t="shared" si="8080"/>
        <v>0</v>
      </c>
      <c r="BO680" s="380">
        <f t="shared" si="8080"/>
        <v>0</v>
      </c>
      <c r="BP680" s="380">
        <f t="shared" si="8080"/>
        <v>0</v>
      </c>
      <c r="BQ680" s="380">
        <f t="shared" si="8080"/>
        <v>0</v>
      </c>
      <c r="BR680" s="380">
        <f t="shared" si="8080"/>
        <v>0</v>
      </c>
      <c r="BS680" s="198">
        <f t="shared" si="8080"/>
        <v>0</v>
      </c>
      <c r="BT680" s="380">
        <f t="shared" ref="BT680:DC680" si="8081">++BT682-BT675</f>
        <v>0</v>
      </c>
      <c r="BU680" s="380">
        <f t="shared" si="8081"/>
        <v>0</v>
      </c>
      <c r="BV680" s="380">
        <f t="shared" si="8081"/>
        <v>0</v>
      </c>
      <c r="BW680" s="380">
        <f t="shared" si="8081"/>
        <v>0</v>
      </c>
      <c r="BX680" s="380">
        <f t="shared" si="8081"/>
        <v>0</v>
      </c>
      <c r="BY680" s="380">
        <f t="shared" si="8081"/>
        <v>0</v>
      </c>
      <c r="BZ680" s="380">
        <f t="shared" si="8081"/>
        <v>0</v>
      </c>
      <c r="CA680" s="380">
        <f t="shared" si="8081"/>
        <v>0</v>
      </c>
      <c r="CB680" s="380">
        <f t="shared" si="8081"/>
        <v>0</v>
      </c>
      <c r="CC680" s="380">
        <f t="shared" si="8081"/>
        <v>0</v>
      </c>
      <c r="CD680" s="380">
        <f t="shared" si="8081"/>
        <v>0</v>
      </c>
      <c r="CE680" s="198">
        <f t="shared" si="8081"/>
        <v>0</v>
      </c>
      <c r="CF680" s="380">
        <f t="shared" si="8081"/>
        <v>0</v>
      </c>
      <c r="CG680" s="380">
        <f t="shared" si="8081"/>
        <v>0</v>
      </c>
      <c r="CH680" s="380">
        <f t="shared" si="8081"/>
        <v>0</v>
      </c>
      <c r="CI680" s="380">
        <f t="shared" si="8081"/>
        <v>0</v>
      </c>
      <c r="CJ680" s="380">
        <f t="shared" si="8081"/>
        <v>0</v>
      </c>
      <c r="CK680" s="380">
        <f t="shared" si="8081"/>
        <v>0</v>
      </c>
      <c r="CL680" s="380">
        <f t="shared" si="8081"/>
        <v>0</v>
      </c>
      <c r="CM680" s="380">
        <f t="shared" si="8081"/>
        <v>0</v>
      </c>
      <c r="CN680" s="380">
        <f t="shared" si="8081"/>
        <v>0</v>
      </c>
      <c r="CO680" s="380">
        <f t="shared" si="8081"/>
        <v>0</v>
      </c>
      <c r="CP680" s="380">
        <f t="shared" si="8081"/>
        <v>0</v>
      </c>
      <c r="CQ680" s="198">
        <f t="shared" si="8081"/>
        <v>0</v>
      </c>
      <c r="CR680" s="380">
        <f t="shared" si="8081"/>
        <v>0</v>
      </c>
      <c r="CS680" s="380">
        <f t="shared" si="8081"/>
        <v>0</v>
      </c>
      <c r="CT680" s="380">
        <f t="shared" si="8081"/>
        <v>0</v>
      </c>
      <c r="CU680" s="380">
        <f t="shared" si="8081"/>
        <v>0</v>
      </c>
      <c r="CV680" s="380">
        <f t="shared" si="8081"/>
        <v>0</v>
      </c>
      <c r="CW680" s="380">
        <f t="shared" si="8081"/>
        <v>0</v>
      </c>
      <c r="CX680" s="380">
        <f t="shared" si="8081"/>
        <v>0</v>
      </c>
      <c r="CY680" s="380">
        <f t="shared" si="8081"/>
        <v>0</v>
      </c>
      <c r="CZ680" s="380">
        <f t="shared" si="8081"/>
        <v>0</v>
      </c>
      <c r="DA680" s="380">
        <f t="shared" si="8081"/>
        <v>0</v>
      </c>
      <c r="DB680" s="380">
        <f t="shared" si="8081"/>
        <v>0</v>
      </c>
      <c r="DC680" s="198">
        <f t="shared" si="8081"/>
        <v>0</v>
      </c>
    </row>
    <row r="681" spans="3:107" x14ac:dyDescent="0.3">
      <c r="G681" s="203"/>
      <c r="K681" s="203"/>
      <c r="W681" s="203"/>
      <c r="AI681" s="203"/>
      <c r="AU681" s="203"/>
      <c r="BG681" s="203"/>
      <c r="BS681" s="203"/>
      <c r="CE681" s="203"/>
      <c r="CQ681" s="203"/>
      <c r="DC681" s="203"/>
    </row>
    <row r="682" spans="3:107" ht="13.5" thickBot="1" x14ac:dyDescent="0.35">
      <c r="C682" s="369" t="str">
        <f>++C628</f>
        <v>Total Capitalization</v>
      </c>
      <c r="D682" s="370"/>
      <c r="E682" s="370"/>
      <c r="G682" s="204">
        <f>++SUM(G645,G683)</f>
        <v>0</v>
      </c>
      <c r="H682" s="371">
        <f t="shared" ref="H682:BS682" si="8082">++SUM(H645,H683)</f>
        <v>0</v>
      </c>
      <c r="I682" s="371">
        <f t="shared" si="8082"/>
        <v>0</v>
      </c>
      <c r="J682" s="371">
        <f t="shared" si="8082"/>
        <v>0</v>
      </c>
      <c r="K682" s="204">
        <f t="shared" si="8082"/>
        <v>0</v>
      </c>
      <c r="L682" s="371">
        <f t="shared" si="8082"/>
        <v>0</v>
      </c>
      <c r="M682" s="371">
        <f t="shared" si="8082"/>
        <v>0</v>
      </c>
      <c r="N682" s="371">
        <f t="shared" si="8082"/>
        <v>0</v>
      </c>
      <c r="O682" s="371">
        <f t="shared" si="8082"/>
        <v>0</v>
      </c>
      <c r="P682" s="371">
        <f t="shared" si="8082"/>
        <v>0</v>
      </c>
      <c r="Q682" s="371">
        <f t="shared" si="8082"/>
        <v>0</v>
      </c>
      <c r="R682" s="371">
        <f t="shared" si="8082"/>
        <v>0</v>
      </c>
      <c r="S682" s="371">
        <f t="shared" si="8082"/>
        <v>0</v>
      </c>
      <c r="T682" s="371">
        <f t="shared" si="8082"/>
        <v>0</v>
      </c>
      <c r="U682" s="371">
        <f t="shared" si="8082"/>
        <v>0</v>
      </c>
      <c r="V682" s="371">
        <f t="shared" si="8082"/>
        <v>0</v>
      </c>
      <c r="W682" s="204">
        <f t="shared" si="8082"/>
        <v>0</v>
      </c>
      <c r="X682" s="371">
        <f t="shared" si="8082"/>
        <v>0</v>
      </c>
      <c r="Y682" s="371">
        <f t="shared" si="8082"/>
        <v>0</v>
      </c>
      <c r="Z682" s="371">
        <f t="shared" si="8082"/>
        <v>0</v>
      </c>
      <c r="AA682" s="371">
        <f t="shared" si="8082"/>
        <v>0</v>
      </c>
      <c r="AB682" s="371">
        <f t="shared" si="8082"/>
        <v>0</v>
      </c>
      <c r="AC682" s="371">
        <f t="shared" si="8082"/>
        <v>0</v>
      </c>
      <c r="AD682" s="371">
        <f t="shared" si="8082"/>
        <v>0</v>
      </c>
      <c r="AE682" s="371">
        <f t="shared" si="8082"/>
        <v>0</v>
      </c>
      <c r="AF682" s="371">
        <f t="shared" si="8082"/>
        <v>0</v>
      </c>
      <c r="AG682" s="371">
        <f t="shared" si="8082"/>
        <v>0</v>
      </c>
      <c r="AH682" s="371">
        <f t="shared" si="8082"/>
        <v>0</v>
      </c>
      <c r="AI682" s="204">
        <f t="shared" si="8082"/>
        <v>0</v>
      </c>
      <c r="AJ682" s="371">
        <f t="shared" si="8082"/>
        <v>0</v>
      </c>
      <c r="AK682" s="371">
        <f t="shared" si="8082"/>
        <v>0</v>
      </c>
      <c r="AL682" s="371">
        <f t="shared" si="8082"/>
        <v>0</v>
      </c>
      <c r="AM682" s="371">
        <f t="shared" si="8082"/>
        <v>0</v>
      </c>
      <c r="AN682" s="371">
        <f t="shared" si="8082"/>
        <v>0</v>
      </c>
      <c r="AO682" s="371">
        <f t="shared" si="8082"/>
        <v>0</v>
      </c>
      <c r="AP682" s="371">
        <f t="shared" si="8082"/>
        <v>0</v>
      </c>
      <c r="AQ682" s="371">
        <f t="shared" si="8082"/>
        <v>0</v>
      </c>
      <c r="AR682" s="371">
        <f t="shared" si="8082"/>
        <v>0</v>
      </c>
      <c r="AS682" s="371">
        <f t="shared" si="8082"/>
        <v>0</v>
      </c>
      <c r="AT682" s="371">
        <f t="shared" si="8082"/>
        <v>0</v>
      </c>
      <c r="AU682" s="204">
        <f t="shared" si="8082"/>
        <v>0</v>
      </c>
      <c r="AV682" s="371">
        <f t="shared" si="8082"/>
        <v>0</v>
      </c>
      <c r="AW682" s="371">
        <f t="shared" si="8082"/>
        <v>0</v>
      </c>
      <c r="AX682" s="371">
        <f t="shared" si="8082"/>
        <v>0</v>
      </c>
      <c r="AY682" s="371">
        <f t="shared" si="8082"/>
        <v>0</v>
      </c>
      <c r="AZ682" s="371">
        <f t="shared" si="8082"/>
        <v>0</v>
      </c>
      <c r="BA682" s="371">
        <f t="shared" si="8082"/>
        <v>0</v>
      </c>
      <c r="BB682" s="371">
        <f t="shared" si="8082"/>
        <v>0</v>
      </c>
      <c r="BC682" s="371">
        <f t="shared" si="8082"/>
        <v>0</v>
      </c>
      <c r="BD682" s="371">
        <f t="shared" si="8082"/>
        <v>0</v>
      </c>
      <c r="BE682" s="371">
        <f t="shared" si="8082"/>
        <v>0</v>
      </c>
      <c r="BF682" s="371">
        <f t="shared" si="8082"/>
        <v>0</v>
      </c>
      <c r="BG682" s="204">
        <f t="shared" si="8082"/>
        <v>0</v>
      </c>
      <c r="BH682" s="371">
        <f t="shared" si="8082"/>
        <v>0</v>
      </c>
      <c r="BI682" s="371">
        <f t="shared" si="8082"/>
        <v>0</v>
      </c>
      <c r="BJ682" s="371">
        <f t="shared" si="8082"/>
        <v>0</v>
      </c>
      <c r="BK682" s="371">
        <f t="shared" si="8082"/>
        <v>0</v>
      </c>
      <c r="BL682" s="371">
        <f t="shared" si="8082"/>
        <v>0</v>
      </c>
      <c r="BM682" s="371">
        <f t="shared" si="8082"/>
        <v>0</v>
      </c>
      <c r="BN682" s="371">
        <f t="shared" si="8082"/>
        <v>0</v>
      </c>
      <c r="BO682" s="371">
        <f t="shared" si="8082"/>
        <v>0</v>
      </c>
      <c r="BP682" s="371">
        <f t="shared" si="8082"/>
        <v>0</v>
      </c>
      <c r="BQ682" s="371">
        <f t="shared" si="8082"/>
        <v>0</v>
      </c>
      <c r="BR682" s="371">
        <f t="shared" si="8082"/>
        <v>0</v>
      </c>
      <c r="BS682" s="204">
        <f t="shared" si="8082"/>
        <v>0</v>
      </c>
      <c r="BT682" s="371">
        <f t="shared" ref="BT682:DC682" si="8083">++SUM(BT645,BT683)</f>
        <v>0</v>
      </c>
      <c r="BU682" s="371">
        <f t="shared" si="8083"/>
        <v>0</v>
      </c>
      <c r="BV682" s="371">
        <f t="shared" si="8083"/>
        <v>0</v>
      </c>
      <c r="BW682" s="371">
        <f t="shared" si="8083"/>
        <v>0</v>
      </c>
      <c r="BX682" s="371">
        <f t="shared" si="8083"/>
        <v>0</v>
      </c>
      <c r="BY682" s="371">
        <f t="shared" si="8083"/>
        <v>0</v>
      </c>
      <c r="BZ682" s="371">
        <f t="shared" si="8083"/>
        <v>0</v>
      </c>
      <c r="CA682" s="371">
        <f t="shared" si="8083"/>
        <v>0</v>
      </c>
      <c r="CB682" s="371">
        <f t="shared" si="8083"/>
        <v>0</v>
      </c>
      <c r="CC682" s="371">
        <f t="shared" si="8083"/>
        <v>0</v>
      </c>
      <c r="CD682" s="371">
        <f t="shared" si="8083"/>
        <v>0</v>
      </c>
      <c r="CE682" s="204">
        <f t="shared" si="8083"/>
        <v>0</v>
      </c>
      <c r="CF682" s="371">
        <f t="shared" si="8083"/>
        <v>0</v>
      </c>
      <c r="CG682" s="371">
        <f t="shared" si="8083"/>
        <v>0</v>
      </c>
      <c r="CH682" s="371">
        <f t="shared" si="8083"/>
        <v>0</v>
      </c>
      <c r="CI682" s="371">
        <f t="shared" si="8083"/>
        <v>0</v>
      </c>
      <c r="CJ682" s="371">
        <f t="shared" si="8083"/>
        <v>0</v>
      </c>
      <c r="CK682" s="371">
        <f t="shared" si="8083"/>
        <v>0</v>
      </c>
      <c r="CL682" s="371">
        <f t="shared" si="8083"/>
        <v>0</v>
      </c>
      <c r="CM682" s="371">
        <f t="shared" si="8083"/>
        <v>0</v>
      </c>
      <c r="CN682" s="371">
        <f t="shared" si="8083"/>
        <v>0</v>
      </c>
      <c r="CO682" s="371">
        <f t="shared" si="8083"/>
        <v>0</v>
      </c>
      <c r="CP682" s="371">
        <f t="shared" si="8083"/>
        <v>0</v>
      </c>
      <c r="CQ682" s="204">
        <f t="shared" si="8083"/>
        <v>0</v>
      </c>
      <c r="CR682" s="371">
        <f t="shared" si="8083"/>
        <v>0</v>
      </c>
      <c r="CS682" s="371">
        <f t="shared" si="8083"/>
        <v>0</v>
      </c>
      <c r="CT682" s="371">
        <f t="shared" si="8083"/>
        <v>0</v>
      </c>
      <c r="CU682" s="371">
        <f t="shared" si="8083"/>
        <v>0</v>
      </c>
      <c r="CV682" s="371">
        <f t="shared" si="8083"/>
        <v>0</v>
      </c>
      <c r="CW682" s="371">
        <f t="shared" si="8083"/>
        <v>0</v>
      </c>
      <c r="CX682" s="371">
        <f t="shared" si="8083"/>
        <v>0</v>
      </c>
      <c r="CY682" s="371">
        <f t="shared" si="8083"/>
        <v>0</v>
      </c>
      <c r="CZ682" s="371">
        <f t="shared" si="8083"/>
        <v>0</v>
      </c>
      <c r="DA682" s="371">
        <f t="shared" si="8083"/>
        <v>0</v>
      </c>
      <c r="DB682" s="371">
        <f t="shared" si="8083"/>
        <v>0</v>
      </c>
      <c r="DC682" s="204">
        <f t="shared" si="8083"/>
        <v>0</v>
      </c>
    </row>
    <row r="683" spans="3:107" ht="13.5" thickTop="1" x14ac:dyDescent="0.3">
      <c r="C683" s="321" t="s">
        <v>88</v>
      </c>
      <c r="G683" s="324">
        <f>++G691*G685</f>
        <v>0</v>
      </c>
      <c r="H683" s="376">
        <f t="shared" ref="H683:BS683" si="8084">++H691*H685</f>
        <v>0</v>
      </c>
      <c r="I683" s="376">
        <f t="shared" si="8084"/>
        <v>0</v>
      </c>
      <c r="J683" s="376">
        <f t="shared" si="8084"/>
        <v>0</v>
      </c>
      <c r="K683" s="324">
        <f t="shared" si="8084"/>
        <v>0</v>
      </c>
      <c r="L683" s="376">
        <f t="shared" si="8084"/>
        <v>0</v>
      </c>
      <c r="M683" s="376">
        <f t="shared" si="8084"/>
        <v>0</v>
      </c>
      <c r="N683" s="376">
        <f t="shared" si="8084"/>
        <v>0</v>
      </c>
      <c r="O683" s="376">
        <f t="shared" si="8084"/>
        <v>0</v>
      </c>
      <c r="P683" s="376">
        <f t="shared" si="8084"/>
        <v>0</v>
      </c>
      <c r="Q683" s="376">
        <f t="shared" si="8084"/>
        <v>0</v>
      </c>
      <c r="R683" s="376">
        <f t="shared" si="8084"/>
        <v>0</v>
      </c>
      <c r="S683" s="376">
        <f t="shared" si="8084"/>
        <v>0</v>
      </c>
      <c r="T683" s="376">
        <f t="shared" si="8084"/>
        <v>0</v>
      </c>
      <c r="U683" s="376">
        <f t="shared" si="8084"/>
        <v>0</v>
      </c>
      <c r="V683" s="376">
        <f t="shared" si="8084"/>
        <v>0</v>
      </c>
      <c r="W683" s="324">
        <f t="shared" si="8084"/>
        <v>0</v>
      </c>
      <c r="X683" s="376">
        <f t="shared" si="8084"/>
        <v>0</v>
      </c>
      <c r="Y683" s="376">
        <f t="shared" si="8084"/>
        <v>0</v>
      </c>
      <c r="Z683" s="376">
        <f t="shared" si="8084"/>
        <v>0</v>
      </c>
      <c r="AA683" s="376">
        <f t="shared" si="8084"/>
        <v>0</v>
      </c>
      <c r="AB683" s="376">
        <f t="shared" si="8084"/>
        <v>0</v>
      </c>
      <c r="AC683" s="376">
        <f t="shared" si="8084"/>
        <v>0</v>
      </c>
      <c r="AD683" s="376">
        <f t="shared" si="8084"/>
        <v>0</v>
      </c>
      <c r="AE683" s="376">
        <f t="shared" si="8084"/>
        <v>0</v>
      </c>
      <c r="AF683" s="376">
        <f t="shared" si="8084"/>
        <v>0</v>
      </c>
      <c r="AG683" s="376">
        <f t="shared" si="8084"/>
        <v>0</v>
      </c>
      <c r="AH683" s="376">
        <f t="shared" si="8084"/>
        <v>0</v>
      </c>
      <c r="AI683" s="324">
        <f t="shared" si="8084"/>
        <v>0</v>
      </c>
      <c r="AJ683" s="376">
        <f t="shared" si="8084"/>
        <v>0</v>
      </c>
      <c r="AK683" s="376">
        <f t="shared" si="8084"/>
        <v>0</v>
      </c>
      <c r="AL683" s="376">
        <f t="shared" si="8084"/>
        <v>0</v>
      </c>
      <c r="AM683" s="376">
        <f t="shared" si="8084"/>
        <v>0</v>
      </c>
      <c r="AN683" s="376">
        <f t="shared" si="8084"/>
        <v>0</v>
      </c>
      <c r="AO683" s="376">
        <f t="shared" si="8084"/>
        <v>0</v>
      </c>
      <c r="AP683" s="376">
        <f t="shared" si="8084"/>
        <v>0</v>
      </c>
      <c r="AQ683" s="376">
        <f t="shared" si="8084"/>
        <v>0</v>
      </c>
      <c r="AR683" s="376">
        <f t="shared" si="8084"/>
        <v>0</v>
      </c>
      <c r="AS683" s="376">
        <f t="shared" si="8084"/>
        <v>0</v>
      </c>
      <c r="AT683" s="376">
        <f t="shared" si="8084"/>
        <v>0</v>
      </c>
      <c r="AU683" s="324">
        <f t="shared" si="8084"/>
        <v>0</v>
      </c>
      <c r="AV683" s="376">
        <f t="shared" si="8084"/>
        <v>0</v>
      </c>
      <c r="AW683" s="376">
        <f t="shared" si="8084"/>
        <v>0</v>
      </c>
      <c r="AX683" s="376">
        <f t="shared" si="8084"/>
        <v>0</v>
      </c>
      <c r="AY683" s="376">
        <f t="shared" si="8084"/>
        <v>0</v>
      </c>
      <c r="AZ683" s="376">
        <f t="shared" si="8084"/>
        <v>0</v>
      </c>
      <c r="BA683" s="376">
        <f t="shared" si="8084"/>
        <v>0</v>
      </c>
      <c r="BB683" s="376">
        <f t="shared" si="8084"/>
        <v>0</v>
      </c>
      <c r="BC683" s="376">
        <f t="shared" si="8084"/>
        <v>0</v>
      </c>
      <c r="BD683" s="376">
        <f t="shared" si="8084"/>
        <v>0</v>
      </c>
      <c r="BE683" s="376">
        <f t="shared" si="8084"/>
        <v>0</v>
      </c>
      <c r="BF683" s="376">
        <f t="shared" si="8084"/>
        <v>0</v>
      </c>
      <c r="BG683" s="324">
        <f t="shared" si="8084"/>
        <v>0</v>
      </c>
      <c r="BH683" s="376">
        <f t="shared" si="8084"/>
        <v>0</v>
      </c>
      <c r="BI683" s="376">
        <f t="shared" si="8084"/>
        <v>0</v>
      </c>
      <c r="BJ683" s="376">
        <f t="shared" si="8084"/>
        <v>0</v>
      </c>
      <c r="BK683" s="376">
        <f t="shared" si="8084"/>
        <v>0</v>
      </c>
      <c r="BL683" s="376">
        <f t="shared" si="8084"/>
        <v>0</v>
      </c>
      <c r="BM683" s="376">
        <f t="shared" si="8084"/>
        <v>0</v>
      </c>
      <c r="BN683" s="376">
        <f t="shared" si="8084"/>
        <v>0</v>
      </c>
      <c r="BO683" s="376">
        <f t="shared" si="8084"/>
        <v>0</v>
      </c>
      <c r="BP683" s="376">
        <f t="shared" si="8084"/>
        <v>0</v>
      </c>
      <c r="BQ683" s="376">
        <f t="shared" si="8084"/>
        <v>0</v>
      </c>
      <c r="BR683" s="376">
        <f t="shared" si="8084"/>
        <v>0</v>
      </c>
      <c r="BS683" s="324">
        <f t="shared" si="8084"/>
        <v>0</v>
      </c>
      <c r="BT683" s="376">
        <f t="shared" ref="BT683:DC683" si="8085">++BT691*BT685</f>
        <v>0</v>
      </c>
      <c r="BU683" s="376">
        <f t="shared" si="8085"/>
        <v>0</v>
      </c>
      <c r="BV683" s="376">
        <f t="shared" si="8085"/>
        <v>0</v>
      </c>
      <c r="BW683" s="376">
        <f t="shared" si="8085"/>
        <v>0</v>
      </c>
      <c r="BX683" s="376">
        <f t="shared" si="8085"/>
        <v>0</v>
      </c>
      <c r="BY683" s="376">
        <f t="shared" si="8085"/>
        <v>0</v>
      </c>
      <c r="BZ683" s="376">
        <f t="shared" si="8085"/>
        <v>0</v>
      </c>
      <c r="CA683" s="376">
        <f t="shared" si="8085"/>
        <v>0</v>
      </c>
      <c r="CB683" s="376">
        <f t="shared" si="8085"/>
        <v>0</v>
      </c>
      <c r="CC683" s="376">
        <f t="shared" si="8085"/>
        <v>0</v>
      </c>
      <c r="CD683" s="376">
        <f t="shared" si="8085"/>
        <v>0</v>
      </c>
      <c r="CE683" s="324">
        <f t="shared" si="8085"/>
        <v>0</v>
      </c>
      <c r="CF683" s="376">
        <f t="shared" si="8085"/>
        <v>0</v>
      </c>
      <c r="CG683" s="376">
        <f t="shared" si="8085"/>
        <v>0</v>
      </c>
      <c r="CH683" s="376">
        <f t="shared" si="8085"/>
        <v>0</v>
      </c>
      <c r="CI683" s="376">
        <f t="shared" si="8085"/>
        <v>0</v>
      </c>
      <c r="CJ683" s="376">
        <f t="shared" si="8085"/>
        <v>0</v>
      </c>
      <c r="CK683" s="376">
        <f t="shared" si="8085"/>
        <v>0</v>
      </c>
      <c r="CL683" s="376">
        <f t="shared" si="8085"/>
        <v>0</v>
      </c>
      <c r="CM683" s="376">
        <f t="shared" si="8085"/>
        <v>0</v>
      </c>
      <c r="CN683" s="376">
        <f t="shared" si="8085"/>
        <v>0</v>
      </c>
      <c r="CO683" s="376">
        <f t="shared" si="8085"/>
        <v>0</v>
      </c>
      <c r="CP683" s="376">
        <f t="shared" si="8085"/>
        <v>0</v>
      </c>
      <c r="CQ683" s="324">
        <f t="shared" si="8085"/>
        <v>0</v>
      </c>
      <c r="CR683" s="376">
        <f t="shared" si="8085"/>
        <v>0</v>
      </c>
      <c r="CS683" s="376">
        <f t="shared" si="8085"/>
        <v>0</v>
      </c>
      <c r="CT683" s="376">
        <f t="shared" si="8085"/>
        <v>0</v>
      </c>
      <c r="CU683" s="376">
        <f t="shared" si="8085"/>
        <v>0</v>
      </c>
      <c r="CV683" s="376">
        <f t="shared" si="8085"/>
        <v>0</v>
      </c>
      <c r="CW683" s="376">
        <f t="shared" si="8085"/>
        <v>0</v>
      </c>
      <c r="CX683" s="376">
        <f t="shared" si="8085"/>
        <v>0</v>
      </c>
      <c r="CY683" s="376">
        <f t="shared" si="8085"/>
        <v>0</v>
      </c>
      <c r="CZ683" s="376">
        <f t="shared" si="8085"/>
        <v>0</v>
      </c>
      <c r="DA683" s="376">
        <f t="shared" si="8085"/>
        <v>0</v>
      </c>
      <c r="DB683" s="376">
        <f t="shared" si="8085"/>
        <v>0</v>
      </c>
      <c r="DC683" s="324">
        <f t="shared" si="8085"/>
        <v>0</v>
      </c>
    </row>
    <row r="684" spans="3:107" x14ac:dyDescent="0.3">
      <c r="G684" s="203"/>
      <c r="K684" s="203"/>
      <c r="W684" s="203"/>
      <c r="AI684" s="203"/>
      <c r="AU684" s="203"/>
      <c r="BG684" s="203"/>
      <c r="BS684" s="203"/>
      <c r="CE684" s="203"/>
      <c r="CQ684" s="203"/>
      <c r="DC684" s="203"/>
    </row>
    <row r="685" spans="3:107" x14ac:dyDescent="0.3">
      <c r="C685" s="101" t="s">
        <v>498</v>
      </c>
      <c r="G685" s="410">
        <f t="shared" ref="G685:AL685" si="8086">++G48</f>
        <v>0</v>
      </c>
      <c r="H685" s="195">
        <f t="shared" si="8086"/>
        <v>0</v>
      </c>
      <c r="I685" s="195">
        <f t="shared" si="8086"/>
        <v>0</v>
      </c>
      <c r="J685" s="195">
        <f t="shared" si="8086"/>
        <v>0</v>
      </c>
      <c r="K685" s="410">
        <f t="shared" si="8086"/>
        <v>0</v>
      </c>
      <c r="L685" s="195">
        <f t="shared" si="8086"/>
        <v>0</v>
      </c>
      <c r="M685" s="195">
        <f t="shared" si="8086"/>
        <v>0</v>
      </c>
      <c r="N685" s="195">
        <f t="shared" si="8086"/>
        <v>0</v>
      </c>
      <c r="O685" s="195">
        <f t="shared" si="8086"/>
        <v>0</v>
      </c>
      <c r="P685" s="195">
        <f t="shared" si="8086"/>
        <v>0</v>
      </c>
      <c r="Q685" s="195">
        <f t="shared" si="8086"/>
        <v>0</v>
      </c>
      <c r="R685" s="195">
        <f t="shared" si="8086"/>
        <v>0</v>
      </c>
      <c r="S685" s="195">
        <f t="shared" si="8086"/>
        <v>0</v>
      </c>
      <c r="T685" s="195">
        <f t="shared" si="8086"/>
        <v>0</v>
      </c>
      <c r="U685" s="195">
        <f t="shared" si="8086"/>
        <v>0</v>
      </c>
      <c r="V685" s="195">
        <f t="shared" si="8086"/>
        <v>0</v>
      </c>
      <c r="W685" s="410">
        <f t="shared" si="8086"/>
        <v>0</v>
      </c>
      <c r="X685" s="195">
        <f t="shared" si="8086"/>
        <v>0</v>
      </c>
      <c r="Y685" s="195">
        <f t="shared" si="8086"/>
        <v>0</v>
      </c>
      <c r="Z685" s="195">
        <f t="shared" si="8086"/>
        <v>0</v>
      </c>
      <c r="AA685" s="195">
        <f t="shared" si="8086"/>
        <v>0</v>
      </c>
      <c r="AB685" s="195">
        <f t="shared" si="8086"/>
        <v>0</v>
      </c>
      <c r="AC685" s="195">
        <f t="shared" si="8086"/>
        <v>0</v>
      </c>
      <c r="AD685" s="195">
        <f t="shared" si="8086"/>
        <v>0</v>
      </c>
      <c r="AE685" s="195">
        <f t="shared" si="8086"/>
        <v>0</v>
      </c>
      <c r="AF685" s="195">
        <f t="shared" si="8086"/>
        <v>0</v>
      </c>
      <c r="AG685" s="195">
        <f t="shared" si="8086"/>
        <v>0</v>
      </c>
      <c r="AH685" s="195">
        <f t="shared" si="8086"/>
        <v>0</v>
      </c>
      <c r="AI685" s="410">
        <f t="shared" si="8086"/>
        <v>0</v>
      </c>
      <c r="AJ685" s="195">
        <f t="shared" si="8086"/>
        <v>0</v>
      </c>
      <c r="AK685" s="195">
        <f t="shared" si="8086"/>
        <v>0</v>
      </c>
      <c r="AL685" s="195">
        <f t="shared" si="8086"/>
        <v>0</v>
      </c>
      <c r="AM685" s="195">
        <f t="shared" ref="AM685:BR685" si="8087">++AM48</f>
        <v>0</v>
      </c>
      <c r="AN685" s="195">
        <f t="shared" si="8087"/>
        <v>0</v>
      </c>
      <c r="AO685" s="195">
        <f t="shared" si="8087"/>
        <v>0</v>
      </c>
      <c r="AP685" s="195">
        <f t="shared" si="8087"/>
        <v>0</v>
      </c>
      <c r="AQ685" s="195">
        <f t="shared" si="8087"/>
        <v>0</v>
      </c>
      <c r="AR685" s="195">
        <f t="shared" si="8087"/>
        <v>0</v>
      </c>
      <c r="AS685" s="195">
        <f t="shared" si="8087"/>
        <v>0</v>
      </c>
      <c r="AT685" s="195">
        <f t="shared" si="8087"/>
        <v>0</v>
      </c>
      <c r="AU685" s="410">
        <f t="shared" si="8087"/>
        <v>0</v>
      </c>
      <c r="AV685" s="195">
        <f t="shared" si="8087"/>
        <v>0</v>
      </c>
      <c r="AW685" s="195">
        <f t="shared" si="8087"/>
        <v>0</v>
      </c>
      <c r="AX685" s="195">
        <f t="shared" si="8087"/>
        <v>0</v>
      </c>
      <c r="AY685" s="195">
        <f t="shared" si="8087"/>
        <v>0</v>
      </c>
      <c r="AZ685" s="195">
        <f t="shared" si="8087"/>
        <v>0</v>
      </c>
      <c r="BA685" s="195">
        <f t="shared" si="8087"/>
        <v>0</v>
      </c>
      <c r="BB685" s="195">
        <f t="shared" si="8087"/>
        <v>0</v>
      </c>
      <c r="BC685" s="195">
        <f t="shared" si="8087"/>
        <v>0</v>
      </c>
      <c r="BD685" s="195">
        <f t="shared" si="8087"/>
        <v>0</v>
      </c>
      <c r="BE685" s="195">
        <f t="shared" si="8087"/>
        <v>0</v>
      </c>
      <c r="BF685" s="195">
        <f t="shared" si="8087"/>
        <v>0</v>
      </c>
      <c r="BG685" s="410">
        <f t="shared" si="8087"/>
        <v>0</v>
      </c>
      <c r="BH685" s="195">
        <f t="shared" si="8087"/>
        <v>0</v>
      </c>
      <c r="BI685" s="195">
        <f t="shared" si="8087"/>
        <v>0</v>
      </c>
      <c r="BJ685" s="195">
        <f t="shared" si="8087"/>
        <v>0</v>
      </c>
      <c r="BK685" s="195">
        <f t="shared" si="8087"/>
        <v>0</v>
      </c>
      <c r="BL685" s="195">
        <f t="shared" si="8087"/>
        <v>0</v>
      </c>
      <c r="BM685" s="195">
        <f t="shared" si="8087"/>
        <v>0</v>
      </c>
      <c r="BN685" s="195">
        <f t="shared" si="8087"/>
        <v>0</v>
      </c>
      <c r="BO685" s="195">
        <f t="shared" si="8087"/>
        <v>0</v>
      </c>
      <c r="BP685" s="195">
        <f t="shared" si="8087"/>
        <v>0</v>
      </c>
      <c r="BQ685" s="195">
        <f t="shared" si="8087"/>
        <v>0</v>
      </c>
      <c r="BR685" s="195">
        <f t="shared" si="8087"/>
        <v>0</v>
      </c>
      <c r="BS685" s="410">
        <f t="shared" ref="BS685:DC685" si="8088">++BS48</f>
        <v>0</v>
      </c>
      <c r="BT685" s="195">
        <f t="shared" si="8088"/>
        <v>0</v>
      </c>
      <c r="BU685" s="195">
        <f t="shared" si="8088"/>
        <v>0</v>
      </c>
      <c r="BV685" s="195">
        <f t="shared" si="8088"/>
        <v>0</v>
      </c>
      <c r="BW685" s="195">
        <f t="shared" si="8088"/>
        <v>0</v>
      </c>
      <c r="BX685" s="195">
        <f t="shared" si="8088"/>
        <v>0</v>
      </c>
      <c r="BY685" s="195">
        <f t="shared" si="8088"/>
        <v>0</v>
      </c>
      <c r="BZ685" s="195">
        <f t="shared" si="8088"/>
        <v>0</v>
      </c>
      <c r="CA685" s="195">
        <f t="shared" si="8088"/>
        <v>0</v>
      </c>
      <c r="CB685" s="195">
        <f t="shared" si="8088"/>
        <v>0</v>
      </c>
      <c r="CC685" s="195">
        <f t="shared" si="8088"/>
        <v>0</v>
      </c>
      <c r="CD685" s="195">
        <f t="shared" si="8088"/>
        <v>0</v>
      </c>
      <c r="CE685" s="410">
        <f t="shared" si="8088"/>
        <v>0</v>
      </c>
      <c r="CF685" s="195">
        <f t="shared" si="8088"/>
        <v>0</v>
      </c>
      <c r="CG685" s="195">
        <f t="shared" si="8088"/>
        <v>0</v>
      </c>
      <c r="CH685" s="195">
        <f t="shared" si="8088"/>
        <v>0</v>
      </c>
      <c r="CI685" s="195">
        <f t="shared" si="8088"/>
        <v>0</v>
      </c>
      <c r="CJ685" s="195">
        <f t="shared" si="8088"/>
        <v>0</v>
      </c>
      <c r="CK685" s="195">
        <f t="shared" si="8088"/>
        <v>0</v>
      </c>
      <c r="CL685" s="195">
        <f t="shared" si="8088"/>
        <v>0</v>
      </c>
      <c r="CM685" s="195">
        <f t="shared" si="8088"/>
        <v>0</v>
      </c>
      <c r="CN685" s="195">
        <f t="shared" si="8088"/>
        <v>0</v>
      </c>
      <c r="CO685" s="195">
        <f t="shared" si="8088"/>
        <v>0</v>
      </c>
      <c r="CP685" s="195">
        <f t="shared" si="8088"/>
        <v>0</v>
      </c>
      <c r="CQ685" s="410">
        <f t="shared" si="8088"/>
        <v>0</v>
      </c>
      <c r="CR685" s="195">
        <f t="shared" si="8088"/>
        <v>0</v>
      </c>
      <c r="CS685" s="195">
        <f t="shared" si="8088"/>
        <v>0</v>
      </c>
      <c r="CT685" s="195">
        <f t="shared" si="8088"/>
        <v>0</v>
      </c>
      <c r="CU685" s="195">
        <f t="shared" si="8088"/>
        <v>0</v>
      </c>
      <c r="CV685" s="195">
        <f t="shared" si="8088"/>
        <v>0</v>
      </c>
      <c r="CW685" s="195">
        <f t="shared" si="8088"/>
        <v>0</v>
      </c>
      <c r="CX685" s="195">
        <f t="shared" si="8088"/>
        <v>0</v>
      </c>
      <c r="CY685" s="195">
        <f t="shared" si="8088"/>
        <v>0</v>
      </c>
      <c r="CZ685" s="195">
        <f t="shared" si="8088"/>
        <v>0</v>
      </c>
      <c r="DA685" s="195">
        <f t="shared" si="8088"/>
        <v>0</v>
      </c>
      <c r="DB685" s="195">
        <f t="shared" si="8088"/>
        <v>0</v>
      </c>
      <c r="DC685" s="410">
        <f t="shared" si="8088"/>
        <v>0</v>
      </c>
    </row>
    <row r="686" spans="3:107" x14ac:dyDescent="0.3">
      <c r="G686" s="203"/>
      <c r="K686" s="203"/>
      <c r="W686" s="203"/>
      <c r="AI686" s="203"/>
      <c r="AU686" s="203"/>
      <c r="BG686" s="203"/>
      <c r="BS686" s="203"/>
      <c r="CE686" s="203"/>
      <c r="CQ686" s="203"/>
      <c r="DC686" s="203"/>
    </row>
    <row r="687" spans="3:107" x14ac:dyDescent="0.3">
      <c r="C687" s="101" t="s">
        <v>61</v>
      </c>
      <c r="G687" s="189">
        <f t="shared" ref="G687:AL687" si="8089">++IFERROR((G658-G649)/G685,0)</f>
        <v>0</v>
      </c>
      <c r="H687" s="255">
        <f t="shared" si="8089"/>
        <v>0</v>
      </c>
      <c r="I687" s="255">
        <f t="shared" si="8089"/>
        <v>0</v>
      </c>
      <c r="J687" s="255">
        <f t="shared" si="8089"/>
        <v>0</v>
      </c>
      <c r="K687" s="189">
        <f t="shared" si="8089"/>
        <v>0</v>
      </c>
      <c r="L687" s="255">
        <f t="shared" si="8089"/>
        <v>0</v>
      </c>
      <c r="M687" s="255">
        <f t="shared" si="8089"/>
        <v>0</v>
      </c>
      <c r="N687" s="255">
        <f t="shared" si="8089"/>
        <v>0</v>
      </c>
      <c r="O687" s="255">
        <f t="shared" si="8089"/>
        <v>0</v>
      </c>
      <c r="P687" s="255">
        <f t="shared" si="8089"/>
        <v>0</v>
      </c>
      <c r="Q687" s="255">
        <f t="shared" si="8089"/>
        <v>0</v>
      </c>
      <c r="R687" s="255">
        <f t="shared" si="8089"/>
        <v>0</v>
      </c>
      <c r="S687" s="255">
        <f t="shared" si="8089"/>
        <v>0</v>
      </c>
      <c r="T687" s="255">
        <f t="shared" si="8089"/>
        <v>0</v>
      </c>
      <c r="U687" s="255">
        <f t="shared" si="8089"/>
        <v>0</v>
      </c>
      <c r="V687" s="255">
        <f t="shared" si="8089"/>
        <v>0</v>
      </c>
      <c r="W687" s="189">
        <f t="shared" si="8089"/>
        <v>0</v>
      </c>
      <c r="X687" s="255">
        <f t="shared" si="8089"/>
        <v>0</v>
      </c>
      <c r="Y687" s="255">
        <f t="shared" si="8089"/>
        <v>0</v>
      </c>
      <c r="Z687" s="255">
        <f t="shared" si="8089"/>
        <v>0</v>
      </c>
      <c r="AA687" s="255">
        <f t="shared" si="8089"/>
        <v>0</v>
      </c>
      <c r="AB687" s="255">
        <f t="shared" si="8089"/>
        <v>0</v>
      </c>
      <c r="AC687" s="255">
        <f t="shared" si="8089"/>
        <v>0</v>
      </c>
      <c r="AD687" s="255">
        <f t="shared" si="8089"/>
        <v>0</v>
      </c>
      <c r="AE687" s="255">
        <f t="shared" si="8089"/>
        <v>0</v>
      </c>
      <c r="AF687" s="255">
        <f t="shared" si="8089"/>
        <v>0</v>
      </c>
      <c r="AG687" s="255">
        <f t="shared" si="8089"/>
        <v>0</v>
      </c>
      <c r="AH687" s="255">
        <f t="shared" si="8089"/>
        <v>0</v>
      </c>
      <c r="AI687" s="189">
        <f t="shared" si="8089"/>
        <v>0</v>
      </c>
      <c r="AJ687" s="255">
        <f t="shared" si="8089"/>
        <v>0</v>
      </c>
      <c r="AK687" s="255">
        <f t="shared" si="8089"/>
        <v>0</v>
      </c>
      <c r="AL687" s="255">
        <f t="shared" si="8089"/>
        <v>0</v>
      </c>
      <c r="AM687" s="255">
        <f t="shared" ref="AM687:BR687" si="8090">++IFERROR((AM658-AM649)/AM685,0)</f>
        <v>0</v>
      </c>
      <c r="AN687" s="255">
        <f t="shared" si="8090"/>
        <v>0</v>
      </c>
      <c r="AO687" s="255">
        <f t="shared" si="8090"/>
        <v>0</v>
      </c>
      <c r="AP687" s="255">
        <f t="shared" si="8090"/>
        <v>0</v>
      </c>
      <c r="AQ687" s="255">
        <f t="shared" si="8090"/>
        <v>0</v>
      </c>
      <c r="AR687" s="255">
        <f t="shared" si="8090"/>
        <v>0</v>
      </c>
      <c r="AS687" s="255">
        <f t="shared" si="8090"/>
        <v>0</v>
      </c>
      <c r="AT687" s="255">
        <f t="shared" si="8090"/>
        <v>0</v>
      </c>
      <c r="AU687" s="189">
        <f t="shared" si="8090"/>
        <v>0</v>
      </c>
      <c r="AV687" s="255">
        <f t="shared" si="8090"/>
        <v>0</v>
      </c>
      <c r="AW687" s="255">
        <f t="shared" si="8090"/>
        <v>0</v>
      </c>
      <c r="AX687" s="255">
        <f t="shared" si="8090"/>
        <v>0</v>
      </c>
      <c r="AY687" s="255">
        <f t="shared" si="8090"/>
        <v>0</v>
      </c>
      <c r="AZ687" s="255">
        <f t="shared" si="8090"/>
        <v>0</v>
      </c>
      <c r="BA687" s="255">
        <f t="shared" si="8090"/>
        <v>0</v>
      </c>
      <c r="BB687" s="255">
        <f t="shared" si="8090"/>
        <v>0</v>
      </c>
      <c r="BC687" s="255">
        <f t="shared" si="8090"/>
        <v>0</v>
      </c>
      <c r="BD687" s="255">
        <f t="shared" si="8090"/>
        <v>0</v>
      </c>
      <c r="BE687" s="255">
        <f t="shared" si="8090"/>
        <v>0</v>
      </c>
      <c r="BF687" s="255">
        <f t="shared" si="8090"/>
        <v>0</v>
      </c>
      <c r="BG687" s="189">
        <f t="shared" si="8090"/>
        <v>0</v>
      </c>
      <c r="BH687" s="255">
        <f t="shared" si="8090"/>
        <v>0</v>
      </c>
      <c r="BI687" s="255">
        <f t="shared" si="8090"/>
        <v>0</v>
      </c>
      <c r="BJ687" s="255">
        <f t="shared" si="8090"/>
        <v>0</v>
      </c>
      <c r="BK687" s="255">
        <f t="shared" si="8090"/>
        <v>0</v>
      </c>
      <c r="BL687" s="255">
        <f t="shared" si="8090"/>
        <v>0</v>
      </c>
      <c r="BM687" s="255">
        <f t="shared" si="8090"/>
        <v>0</v>
      </c>
      <c r="BN687" s="255">
        <f t="shared" si="8090"/>
        <v>0</v>
      </c>
      <c r="BO687" s="255">
        <f t="shared" si="8090"/>
        <v>0</v>
      </c>
      <c r="BP687" s="255">
        <f t="shared" si="8090"/>
        <v>0</v>
      </c>
      <c r="BQ687" s="255">
        <f t="shared" si="8090"/>
        <v>0</v>
      </c>
      <c r="BR687" s="255">
        <f t="shared" si="8090"/>
        <v>0</v>
      </c>
      <c r="BS687" s="189">
        <f t="shared" ref="BS687:DC687" si="8091">++IFERROR((BS658-BS649)/BS685,0)</f>
        <v>0</v>
      </c>
      <c r="BT687" s="255">
        <f t="shared" si="8091"/>
        <v>0</v>
      </c>
      <c r="BU687" s="255">
        <f t="shared" si="8091"/>
        <v>0</v>
      </c>
      <c r="BV687" s="255">
        <f t="shared" si="8091"/>
        <v>0</v>
      </c>
      <c r="BW687" s="255">
        <f t="shared" si="8091"/>
        <v>0</v>
      </c>
      <c r="BX687" s="255">
        <f t="shared" si="8091"/>
        <v>0</v>
      </c>
      <c r="BY687" s="255">
        <f t="shared" si="8091"/>
        <v>0</v>
      </c>
      <c r="BZ687" s="255">
        <f t="shared" si="8091"/>
        <v>0</v>
      </c>
      <c r="CA687" s="255">
        <f t="shared" si="8091"/>
        <v>0</v>
      </c>
      <c r="CB687" s="255">
        <f t="shared" si="8091"/>
        <v>0</v>
      </c>
      <c r="CC687" s="255">
        <f t="shared" si="8091"/>
        <v>0</v>
      </c>
      <c r="CD687" s="255">
        <f t="shared" si="8091"/>
        <v>0</v>
      </c>
      <c r="CE687" s="189">
        <f t="shared" si="8091"/>
        <v>0</v>
      </c>
      <c r="CF687" s="255">
        <f t="shared" si="8091"/>
        <v>0</v>
      </c>
      <c r="CG687" s="255">
        <f t="shared" si="8091"/>
        <v>0</v>
      </c>
      <c r="CH687" s="255">
        <f t="shared" si="8091"/>
        <v>0</v>
      </c>
      <c r="CI687" s="255">
        <f t="shared" si="8091"/>
        <v>0</v>
      </c>
      <c r="CJ687" s="255">
        <f t="shared" si="8091"/>
        <v>0</v>
      </c>
      <c r="CK687" s="255">
        <f t="shared" si="8091"/>
        <v>0</v>
      </c>
      <c r="CL687" s="255">
        <f t="shared" si="8091"/>
        <v>0</v>
      </c>
      <c r="CM687" s="255">
        <f t="shared" si="8091"/>
        <v>0</v>
      </c>
      <c r="CN687" s="255">
        <f t="shared" si="8091"/>
        <v>0</v>
      </c>
      <c r="CO687" s="255">
        <f t="shared" si="8091"/>
        <v>0</v>
      </c>
      <c r="CP687" s="255">
        <f t="shared" si="8091"/>
        <v>0</v>
      </c>
      <c r="CQ687" s="189">
        <f t="shared" si="8091"/>
        <v>0</v>
      </c>
      <c r="CR687" s="255">
        <f t="shared" si="8091"/>
        <v>0</v>
      </c>
      <c r="CS687" s="255">
        <f t="shared" si="8091"/>
        <v>0</v>
      </c>
      <c r="CT687" s="255">
        <f t="shared" si="8091"/>
        <v>0</v>
      </c>
      <c r="CU687" s="255">
        <f t="shared" si="8091"/>
        <v>0</v>
      </c>
      <c r="CV687" s="255">
        <f t="shared" si="8091"/>
        <v>0</v>
      </c>
      <c r="CW687" s="255">
        <f t="shared" si="8091"/>
        <v>0</v>
      </c>
      <c r="CX687" s="255">
        <f t="shared" si="8091"/>
        <v>0</v>
      </c>
      <c r="CY687" s="255">
        <f t="shared" si="8091"/>
        <v>0</v>
      </c>
      <c r="CZ687" s="255">
        <f t="shared" si="8091"/>
        <v>0</v>
      </c>
      <c r="DA687" s="255">
        <f t="shared" si="8091"/>
        <v>0</v>
      </c>
      <c r="DB687" s="255">
        <f t="shared" si="8091"/>
        <v>0</v>
      </c>
      <c r="DC687" s="189">
        <f t="shared" si="8091"/>
        <v>0</v>
      </c>
    </row>
    <row r="688" spans="3:107" x14ac:dyDescent="0.3">
      <c r="C688" s="101" t="s">
        <v>62</v>
      </c>
      <c r="G688" s="189">
        <f t="shared" ref="G688:AL688" si="8092">++IFERROR((G663-G649)/G685,0)</f>
        <v>0</v>
      </c>
      <c r="H688" s="255">
        <f t="shared" si="8092"/>
        <v>0</v>
      </c>
      <c r="I688" s="255">
        <f t="shared" si="8092"/>
        <v>0</v>
      </c>
      <c r="J688" s="255">
        <f t="shared" si="8092"/>
        <v>0</v>
      </c>
      <c r="K688" s="189">
        <f t="shared" si="8092"/>
        <v>0</v>
      </c>
      <c r="L688" s="255">
        <f t="shared" si="8092"/>
        <v>0</v>
      </c>
      <c r="M688" s="255">
        <f t="shared" si="8092"/>
        <v>0</v>
      </c>
      <c r="N688" s="255">
        <f t="shared" si="8092"/>
        <v>0</v>
      </c>
      <c r="O688" s="255">
        <f t="shared" si="8092"/>
        <v>0</v>
      </c>
      <c r="P688" s="255">
        <f t="shared" si="8092"/>
        <v>0</v>
      </c>
      <c r="Q688" s="255">
        <f t="shared" si="8092"/>
        <v>0</v>
      </c>
      <c r="R688" s="255">
        <f t="shared" si="8092"/>
        <v>0</v>
      </c>
      <c r="S688" s="255">
        <f t="shared" si="8092"/>
        <v>0</v>
      </c>
      <c r="T688" s="255">
        <f t="shared" si="8092"/>
        <v>0</v>
      </c>
      <c r="U688" s="255">
        <f t="shared" si="8092"/>
        <v>0</v>
      </c>
      <c r="V688" s="255">
        <f t="shared" si="8092"/>
        <v>0</v>
      </c>
      <c r="W688" s="189">
        <f t="shared" si="8092"/>
        <v>0</v>
      </c>
      <c r="X688" s="255">
        <f t="shared" si="8092"/>
        <v>0</v>
      </c>
      <c r="Y688" s="255">
        <f t="shared" si="8092"/>
        <v>0</v>
      </c>
      <c r="Z688" s="255">
        <f t="shared" si="8092"/>
        <v>0</v>
      </c>
      <c r="AA688" s="255">
        <f t="shared" si="8092"/>
        <v>0</v>
      </c>
      <c r="AB688" s="255">
        <f t="shared" si="8092"/>
        <v>0</v>
      </c>
      <c r="AC688" s="255">
        <f t="shared" si="8092"/>
        <v>0</v>
      </c>
      <c r="AD688" s="255">
        <f t="shared" si="8092"/>
        <v>0</v>
      </c>
      <c r="AE688" s="255">
        <f t="shared" si="8092"/>
        <v>0</v>
      </c>
      <c r="AF688" s="255">
        <f t="shared" si="8092"/>
        <v>0</v>
      </c>
      <c r="AG688" s="255">
        <f t="shared" si="8092"/>
        <v>0</v>
      </c>
      <c r="AH688" s="255">
        <f t="shared" si="8092"/>
        <v>0</v>
      </c>
      <c r="AI688" s="189">
        <f t="shared" si="8092"/>
        <v>0</v>
      </c>
      <c r="AJ688" s="255">
        <f t="shared" si="8092"/>
        <v>0</v>
      </c>
      <c r="AK688" s="255">
        <f t="shared" si="8092"/>
        <v>0</v>
      </c>
      <c r="AL688" s="255">
        <f t="shared" si="8092"/>
        <v>0</v>
      </c>
      <c r="AM688" s="255">
        <f t="shared" ref="AM688:BR688" si="8093">++IFERROR((AM663-AM649)/AM685,0)</f>
        <v>0</v>
      </c>
      <c r="AN688" s="255">
        <f t="shared" si="8093"/>
        <v>0</v>
      </c>
      <c r="AO688" s="255">
        <f t="shared" si="8093"/>
        <v>0</v>
      </c>
      <c r="AP688" s="255">
        <f t="shared" si="8093"/>
        <v>0</v>
      </c>
      <c r="AQ688" s="255">
        <f t="shared" si="8093"/>
        <v>0</v>
      </c>
      <c r="AR688" s="255">
        <f t="shared" si="8093"/>
        <v>0</v>
      </c>
      <c r="AS688" s="255">
        <f t="shared" si="8093"/>
        <v>0</v>
      </c>
      <c r="AT688" s="255">
        <f t="shared" si="8093"/>
        <v>0</v>
      </c>
      <c r="AU688" s="189">
        <f t="shared" si="8093"/>
        <v>0</v>
      </c>
      <c r="AV688" s="255">
        <f t="shared" si="8093"/>
        <v>0</v>
      </c>
      <c r="AW688" s="255">
        <f t="shared" si="8093"/>
        <v>0</v>
      </c>
      <c r="AX688" s="255">
        <f t="shared" si="8093"/>
        <v>0</v>
      </c>
      <c r="AY688" s="255">
        <f t="shared" si="8093"/>
        <v>0</v>
      </c>
      <c r="AZ688" s="255">
        <f t="shared" si="8093"/>
        <v>0</v>
      </c>
      <c r="BA688" s="255">
        <f t="shared" si="8093"/>
        <v>0</v>
      </c>
      <c r="BB688" s="255">
        <f t="shared" si="8093"/>
        <v>0</v>
      </c>
      <c r="BC688" s="255">
        <f t="shared" si="8093"/>
        <v>0</v>
      </c>
      <c r="BD688" s="255">
        <f t="shared" si="8093"/>
        <v>0</v>
      </c>
      <c r="BE688" s="255">
        <f t="shared" si="8093"/>
        <v>0</v>
      </c>
      <c r="BF688" s="255">
        <f t="shared" si="8093"/>
        <v>0</v>
      </c>
      <c r="BG688" s="189">
        <f t="shared" si="8093"/>
        <v>0</v>
      </c>
      <c r="BH688" s="255">
        <f t="shared" si="8093"/>
        <v>0</v>
      </c>
      <c r="BI688" s="255">
        <f t="shared" si="8093"/>
        <v>0</v>
      </c>
      <c r="BJ688" s="255">
        <f t="shared" si="8093"/>
        <v>0</v>
      </c>
      <c r="BK688" s="255">
        <f t="shared" si="8093"/>
        <v>0</v>
      </c>
      <c r="BL688" s="255">
        <f t="shared" si="8093"/>
        <v>0</v>
      </c>
      <c r="BM688" s="255">
        <f t="shared" si="8093"/>
        <v>0</v>
      </c>
      <c r="BN688" s="255">
        <f t="shared" si="8093"/>
        <v>0</v>
      </c>
      <c r="BO688" s="255">
        <f t="shared" si="8093"/>
        <v>0</v>
      </c>
      <c r="BP688" s="255">
        <f t="shared" si="8093"/>
        <v>0</v>
      </c>
      <c r="BQ688" s="255">
        <f t="shared" si="8093"/>
        <v>0</v>
      </c>
      <c r="BR688" s="255">
        <f t="shared" si="8093"/>
        <v>0</v>
      </c>
      <c r="BS688" s="189">
        <f t="shared" ref="BS688:DC688" si="8094">++IFERROR((BS663-BS649)/BS685,0)</f>
        <v>0</v>
      </c>
      <c r="BT688" s="255">
        <f t="shared" si="8094"/>
        <v>0</v>
      </c>
      <c r="BU688" s="255">
        <f t="shared" si="8094"/>
        <v>0</v>
      </c>
      <c r="BV688" s="255">
        <f t="shared" si="8094"/>
        <v>0</v>
      </c>
      <c r="BW688" s="255">
        <f t="shared" si="8094"/>
        <v>0</v>
      </c>
      <c r="BX688" s="255">
        <f t="shared" si="8094"/>
        <v>0</v>
      </c>
      <c r="BY688" s="255">
        <f t="shared" si="8094"/>
        <v>0</v>
      </c>
      <c r="BZ688" s="255">
        <f t="shared" si="8094"/>
        <v>0</v>
      </c>
      <c r="CA688" s="255">
        <f t="shared" si="8094"/>
        <v>0</v>
      </c>
      <c r="CB688" s="255">
        <f t="shared" si="8094"/>
        <v>0</v>
      </c>
      <c r="CC688" s="255">
        <f t="shared" si="8094"/>
        <v>0</v>
      </c>
      <c r="CD688" s="255">
        <f t="shared" si="8094"/>
        <v>0</v>
      </c>
      <c r="CE688" s="189">
        <f t="shared" si="8094"/>
        <v>0</v>
      </c>
      <c r="CF688" s="255">
        <f t="shared" si="8094"/>
        <v>0</v>
      </c>
      <c r="CG688" s="255">
        <f t="shared" si="8094"/>
        <v>0</v>
      </c>
      <c r="CH688" s="255">
        <f t="shared" si="8094"/>
        <v>0</v>
      </c>
      <c r="CI688" s="255">
        <f t="shared" si="8094"/>
        <v>0</v>
      </c>
      <c r="CJ688" s="255">
        <f t="shared" si="8094"/>
        <v>0</v>
      </c>
      <c r="CK688" s="255">
        <f t="shared" si="8094"/>
        <v>0</v>
      </c>
      <c r="CL688" s="255">
        <f t="shared" si="8094"/>
        <v>0</v>
      </c>
      <c r="CM688" s="255">
        <f t="shared" si="8094"/>
        <v>0</v>
      </c>
      <c r="CN688" s="255">
        <f t="shared" si="8094"/>
        <v>0</v>
      </c>
      <c r="CO688" s="255">
        <f t="shared" si="8094"/>
        <v>0</v>
      </c>
      <c r="CP688" s="255">
        <f t="shared" si="8094"/>
        <v>0</v>
      </c>
      <c r="CQ688" s="189">
        <f t="shared" si="8094"/>
        <v>0</v>
      </c>
      <c r="CR688" s="255">
        <f t="shared" si="8094"/>
        <v>0</v>
      </c>
      <c r="CS688" s="255">
        <f t="shared" si="8094"/>
        <v>0</v>
      </c>
      <c r="CT688" s="255">
        <f t="shared" si="8094"/>
        <v>0</v>
      </c>
      <c r="CU688" s="255">
        <f t="shared" si="8094"/>
        <v>0</v>
      </c>
      <c r="CV688" s="255">
        <f t="shared" si="8094"/>
        <v>0</v>
      </c>
      <c r="CW688" s="255">
        <f t="shared" si="8094"/>
        <v>0</v>
      </c>
      <c r="CX688" s="255">
        <f t="shared" si="8094"/>
        <v>0</v>
      </c>
      <c r="CY688" s="255">
        <f t="shared" si="8094"/>
        <v>0</v>
      </c>
      <c r="CZ688" s="255">
        <f t="shared" si="8094"/>
        <v>0</v>
      </c>
      <c r="DA688" s="255">
        <f t="shared" si="8094"/>
        <v>0</v>
      </c>
      <c r="DB688" s="255">
        <f t="shared" si="8094"/>
        <v>0</v>
      </c>
      <c r="DC688" s="189">
        <f t="shared" si="8094"/>
        <v>0</v>
      </c>
    </row>
    <row r="689" spans="1:107" x14ac:dyDescent="0.3">
      <c r="C689" s="101" t="s">
        <v>146</v>
      </c>
      <c r="G689" s="189">
        <f t="shared" ref="G689:AL689" si="8095">++IFERROR((G670-G649)/G685,0)</f>
        <v>0</v>
      </c>
      <c r="H689" s="255">
        <f t="shared" si="8095"/>
        <v>0</v>
      </c>
      <c r="I689" s="255">
        <f t="shared" si="8095"/>
        <v>0</v>
      </c>
      <c r="J689" s="255">
        <f t="shared" si="8095"/>
        <v>0</v>
      </c>
      <c r="K689" s="189">
        <f t="shared" si="8095"/>
        <v>0</v>
      </c>
      <c r="L689" s="255">
        <f t="shared" si="8095"/>
        <v>0</v>
      </c>
      <c r="M689" s="255">
        <f t="shared" si="8095"/>
        <v>0</v>
      </c>
      <c r="N689" s="255">
        <f t="shared" si="8095"/>
        <v>0</v>
      </c>
      <c r="O689" s="255">
        <f t="shared" si="8095"/>
        <v>0</v>
      </c>
      <c r="P689" s="255">
        <f t="shared" si="8095"/>
        <v>0</v>
      </c>
      <c r="Q689" s="255">
        <f t="shared" si="8095"/>
        <v>0</v>
      </c>
      <c r="R689" s="255">
        <f t="shared" si="8095"/>
        <v>0</v>
      </c>
      <c r="S689" s="255">
        <f t="shared" si="8095"/>
        <v>0</v>
      </c>
      <c r="T689" s="255">
        <f t="shared" si="8095"/>
        <v>0</v>
      </c>
      <c r="U689" s="255">
        <f t="shared" si="8095"/>
        <v>0</v>
      </c>
      <c r="V689" s="255">
        <f t="shared" si="8095"/>
        <v>0</v>
      </c>
      <c r="W689" s="189">
        <f t="shared" si="8095"/>
        <v>0</v>
      </c>
      <c r="X689" s="255">
        <f t="shared" si="8095"/>
        <v>0</v>
      </c>
      <c r="Y689" s="255">
        <f t="shared" si="8095"/>
        <v>0</v>
      </c>
      <c r="Z689" s="255">
        <f t="shared" si="8095"/>
        <v>0</v>
      </c>
      <c r="AA689" s="255">
        <f t="shared" si="8095"/>
        <v>0</v>
      </c>
      <c r="AB689" s="255">
        <f t="shared" si="8095"/>
        <v>0</v>
      </c>
      <c r="AC689" s="255">
        <f t="shared" si="8095"/>
        <v>0</v>
      </c>
      <c r="AD689" s="255">
        <f t="shared" si="8095"/>
        <v>0</v>
      </c>
      <c r="AE689" s="255">
        <f t="shared" si="8095"/>
        <v>0</v>
      </c>
      <c r="AF689" s="255">
        <f t="shared" si="8095"/>
        <v>0</v>
      </c>
      <c r="AG689" s="255">
        <f t="shared" si="8095"/>
        <v>0</v>
      </c>
      <c r="AH689" s="255">
        <f t="shared" si="8095"/>
        <v>0</v>
      </c>
      <c r="AI689" s="189">
        <f t="shared" si="8095"/>
        <v>0</v>
      </c>
      <c r="AJ689" s="255">
        <f t="shared" si="8095"/>
        <v>0</v>
      </c>
      <c r="AK689" s="255">
        <f t="shared" si="8095"/>
        <v>0</v>
      </c>
      <c r="AL689" s="255">
        <f t="shared" si="8095"/>
        <v>0</v>
      </c>
      <c r="AM689" s="255">
        <f t="shared" ref="AM689:BR689" si="8096">++IFERROR((AM670-AM649)/AM685,0)</f>
        <v>0</v>
      </c>
      <c r="AN689" s="255">
        <f t="shared" si="8096"/>
        <v>0</v>
      </c>
      <c r="AO689" s="255">
        <f t="shared" si="8096"/>
        <v>0</v>
      </c>
      <c r="AP689" s="255">
        <f t="shared" si="8096"/>
        <v>0</v>
      </c>
      <c r="AQ689" s="255">
        <f t="shared" si="8096"/>
        <v>0</v>
      </c>
      <c r="AR689" s="255">
        <f t="shared" si="8096"/>
        <v>0</v>
      </c>
      <c r="AS689" s="255">
        <f t="shared" si="8096"/>
        <v>0</v>
      </c>
      <c r="AT689" s="255">
        <f t="shared" si="8096"/>
        <v>0</v>
      </c>
      <c r="AU689" s="189">
        <f t="shared" si="8096"/>
        <v>0</v>
      </c>
      <c r="AV689" s="255">
        <f t="shared" si="8096"/>
        <v>0</v>
      </c>
      <c r="AW689" s="255">
        <f t="shared" si="8096"/>
        <v>0</v>
      </c>
      <c r="AX689" s="255">
        <f t="shared" si="8096"/>
        <v>0</v>
      </c>
      <c r="AY689" s="255">
        <f t="shared" si="8096"/>
        <v>0</v>
      </c>
      <c r="AZ689" s="255">
        <f t="shared" si="8096"/>
        <v>0</v>
      </c>
      <c r="BA689" s="255">
        <f t="shared" si="8096"/>
        <v>0</v>
      </c>
      <c r="BB689" s="255">
        <f t="shared" si="8096"/>
        <v>0</v>
      </c>
      <c r="BC689" s="255">
        <f t="shared" si="8096"/>
        <v>0</v>
      </c>
      <c r="BD689" s="255">
        <f t="shared" si="8096"/>
        <v>0</v>
      </c>
      <c r="BE689" s="255">
        <f t="shared" si="8096"/>
        <v>0</v>
      </c>
      <c r="BF689" s="255">
        <f t="shared" si="8096"/>
        <v>0</v>
      </c>
      <c r="BG689" s="189">
        <f t="shared" si="8096"/>
        <v>0</v>
      </c>
      <c r="BH689" s="255">
        <f t="shared" si="8096"/>
        <v>0</v>
      </c>
      <c r="BI689" s="255">
        <f t="shared" si="8096"/>
        <v>0</v>
      </c>
      <c r="BJ689" s="255">
        <f t="shared" si="8096"/>
        <v>0</v>
      </c>
      <c r="BK689" s="255">
        <f t="shared" si="8096"/>
        <v>0</v>
      </c>
      <c r="BL689" s="255">
        <f t="shared" si="8096"/>
        <v>0</v>
      </c>
      <c r="BM689" s="255">
        <f t="shared" si="8096"/>
        <v>0</v>
      </c>
      <c r="BN689" s="255">
        <f t="shared" si="8096"/>
        <v>0</v>
      </c>
      <c r="BO689" s="255">
        <f t="shared" si="8096"/>
        <v>0</v>
      </c>
      <c r="BP689" s="255">
        <f t="shared" si="8096"/>
        <v>0</v>
      </c>
      <c r="BQ689" s="255">
        <f t="shared" si="8096"/>
        <v>0</v>
      </c>
      <c r="BR689" s="255">
        <f t="shared" si="8096"/>
        <v>0</v>
      </c>
      <c r="BS689" s="189">
        <f t="shared" ref="BS689:DC689" si="8097">++IFERROR((BS670-BS649)/BS685,0)</f>
        <v>0</v>
      </c>
      <c r="BT689" s="255">
        <f t="shared" si="8097"/>
        <v>0</v>
      </c>
      <c r="BU689" s="255">
        <f t="shared" si="8097"/>
        <v>0</v>
      </c>
      <c r="BV689" s="255">
        <f t="shared" si="8097"/>
        <v>0</v>
      </c>
      <c r="BW689" s="255">
        <f t="shared" si="8097"/>
        <v>0</v>
      </c>
      <c r="BX689" s="255">
        <f t="shared" si="8097"/>
        <v>0</v>
      </c>
      <c r="BY689" s="255">
        <f t="shared" si="8097"/>
        <v>0</v>
      </c>
      <c r="BZ689" s="255">
        <f t="shared" si="8097"/>
        <v>0</v>
      </c>
      <c r="CA689" s="255">
        <f t="shared" si="8097"/>
        <v>0</v>
      </c>
      <c r="CB689" s="255">
        <f t="shared" si="8097"/>
        <v>0</v>
      </c>
      <c r="CC689" s="255">
        <f t="shared" si="8097"/>
        <v>0</v>
      </c>
      <c r="CD689" s="255">
        <f t="shared" si="8097"/>
        <v>0</v>
      </c>
      <c r="CE689" s="189">
        <f t="shared" si="8097"/>
        <v>0</v>
      </c>
      <c r="CF689" s="255">
        <f t="shared" si="8097"/>
        <v>0</v>
      </c>
      <c r="CG689" s="255">
        <f t="shared" si="8097"/>
        <v>0</v>
      </c>
      <c r="CH689" s="255">
        <f t="shared" si="8097"/>
        <v>0</v>
      </c>
      <c r="CI689" s="255">
        <f t="shared" si="8097"/>
        <v>0</v>
      </c>
      <c r="CJ689" s="255">
        <f t="shared" si="8097"/>
        <v>0</v>
      </c>
      <c r="CK689" s="255">
        <f t="shared" si="8097"/>
        <v>0</v>
      </c>
      <c r="CL689" s="255">
        <f t="shared" si="8097"/>
        <v>0</v>
      </c>
      <c r="CM689" s="255">
        <f t="shared" si="8097"/>
        <v>0</v>
      </c>
      <c r="CN689" s="255">
        <f t="shared" si="8097"/>
        <v>0</v>
      </c>
      <c r="CO689" s="255">
        <f t="shared" si="8097"/>
        <v>0</v>
      </c>
      <c r="CP689" s="255">
        <f t="shared" si="8097"/>
        <v>0</v>
      </c>
      <c r="CQ689" s="189">
        <f t="shared" si="8097"/>
        <v>0</v>
      </c>
      <c r="CR689" s="255">
        <f t="shared" si="8097"/>
        <v>0</v>
      </c>
      <c r="CS689" s="255">
        <f t="shared" si="8097"/>
        <v>0</v>
      </c>
      <c r="CT689" s="255">
        <f t="shared" si="8097"/>
        <v>0</v>
      </c>
      <c r="CU689" s="255">
        <f t="shared" si="8097"/>
        <v>0</v>
      </c>
      <c r="CV689" s="255">
        <f t="shared" si="8097"/>
        <v>0</v>
      </c>
      <c r="CW689" s="255">
        <f t="shared" si="8097"/>
        <v>0</v>
      </c>
      <c r="CX689" s="255">
        <f t="shared" si="8097"/>
        <v>0</v>
      </c>
      <c r="CY689" s="255">
        <f t="shared" si="8097"/>
        <v>0</v>
      </c>
      <c r="CZ689" s="255">
        <f t="shared" si="8097"/>
        <v>0</v>
      </c>
      <c r="DA689" s="255">
        <f t="shared" si="8097"/>
        <v>0</v>
      </c>
      <c r="DB689" s="255">
        <f t="shared" si="8097"/>
        <v>0</v>
      </c>
      <c r="DC689" s="189">
        <f t="shared" si="8097"/>
        <v>0</v>
      </c>
    </row>
    <row r="690" spans="1:107" x14ac:dyDescent="0.3">
      <c r="C690" s="101" t="s">
        <v>344</v>
      </c>
      <c r="G690" s="189">
        <f t="shared" ref="G690:AL690" si="8098">++IFERROR((G675-G649)/G685,0)</f>
        <v>0</v>
      </c>
      <c r="H690" s="255">
        <f t="shared" si="8098"/>
        <v>0</v>
      </c>
      <c r="I690" s="255">
        <f t="shared" si="8098"/>
        <v>0</v>
      </c>
      <c r="J690" s="255">
        <f t="shared" si="8098"/>
        <v>0</v>
      </c>
      <c r="K690" s="189">
        <f t="shared" si="8098"/>
        <v>0</v>
      </c>
      <c r="L690" s="255">
        <f t="shared" si="8098"/>
        <v>0</v>
      </c>
      <c r="M690" s="255">
        <f t="shared" si="8098"/>
        <v>0</v>
      </c>
      <c r="N690" s="255">
        <f t="shared" si="8098"/>
        <v>0</v>
      </c>
      <c r="O690" s="255">
        <f t="shared" si="8098"/>
        <v>0</v>
      </c>
      <c r="P690" s="255">
        <f t="shared" si="8098"/>
        <v>0</v>
      </c>
      <c r="Q690" s="255">
        <f t="shared" si="8098"/>
        <v>0</v>
      </c>
      <c r="R690" s="255">
        <f t="shared" si="8098"/>
        <v>0</v>
      </c>
      <c r="S690" s="255">
        <f t="shared" si="8098"/>
        <v>0</v>
      </c>
      <c r="T690" s="255">
        <f t="shared" si="8098"/>
        <v>0</v>
      </c>
      <c r="U690" s="255">
        <f t="shared" si="8098"/>
        <v>0</v>
      </c>
      <c r="V690" s="255">
        <f t="shared" si="8098"/>
        <v>0</v>
      </c>
      <c r="W690" s="189">
        <f t="shared" si="8098"/>
        <v>0</v>
      </c>
      <c r="X690" s="255">
        <f t="shared" si="8098"/>
        <v>0</v>
      </c>
      <c r="Y690" s="255">
        <f t="shared" si="8098"/>
        <v>0</v>
      </c>
      <c r="Z690" s="255">
        <f t="shared" si="8098"/>
        <v>0</v>
      </c>
      <c r="AA690" s="255">
        <f t="shared" si="8098"/>
        <v>0</v>
      </c>
      <c r="AB690" s="255">
        <f t="shared" si="8098"/>
        <v>0</v>
      </c>
      <c r="AC690" s="255">
        <f t="shared" si="8098"/>
        <v>0</v>
      </c>
      <c r="AD690" s="255">
        <f t="shared" si="8098"/>
        <v>0</v>
      </c>
      <c r="AE690" s="255">
        <f t="shared" si="8098"/>
        <v>0</v>
      </c>
      <c r="AF690" s="255">
        <f t="shared" si="8098"/>
        <v>0</v>
      </c>
      <c r="AG690" s="255">
        <f t="shared" si="8098"/>
        <v>0</v>
      </c>
      <c r="AH690" s="255">
        <f t="shared" si="8098"/>
        <v>0</v>
      </c>
      <c r="AI690" s="189">
        <f t="shared" si="8098"/>
        <v>0</v>
      </c>
      <c r="AJ690" s="255">
        <f t="shared" si="8098"/>
        <v>0</v>
      </c>
      <c r="AK690" s="255">
        <f t="shared" si="8098"/>
        <v>0</v>
      </c>
      <c r="AL690" s="255">
        <f t="shared" si="8098"/>
        <v>0</v>
      </c>
      <c r="AM690" s="255">
        <f t="shared" ref="AM690:BR690" si="8099">++IFERROR((AM675-AM649)/AM685,0)</f>
        <v>0</v>
      </c>
      <c r="AN690" s="255">
        <f t="shared" si="8099"/>
        <v>0</v>
      </c>
      <c r="AO690" s="255">
        <f t="shared" si="8099"/>
        <v>0</v>
      </c>
      <c r="AP690" s="255">
        <f t="shared" si="8099"/>
        <v>0</v>
      </c>
      <c r="AQ690" s="255">
        <f t="shared" si="8099"/>
        <v>0</v>
      </c>
      <c r="AR690" s="255">
        <f t="shared" si="8099"/>
        <v>0</v>
      </c>
      <c r="AS690" s="255">
        <f t="shared" si="8099"/>
        <v>0</v>
      </c>
      <c r="AT690" s="255">
        <f t="shared" si="8099"/>
        <v>0</v>
      </c>
      <c r="AU690" s="189">
        <f t="shared" si="8099"/>
        <v>0</v>
      </c>
      <c r="AV690" s="255">
        <f t="shared" si="8099"/>
        <v>0</v>
      </c>
      <c r="AW690" s="255">
        <f t="shared" si="8099"/>
        <v>0</v>
      </c>
      <c r="AX690" s="255">
        <f t="shared" si="8099"/>
        <v>0</v>
      </c>
      <c r="AY690" s="255">
        <f t="shared" si="8099"/>
        <v>0</v>
      </c>
      <c r="AZ690" s="255">
        <f t="shared" si="8099"/>
        <v>0</v>
      </c>
      <c r="BA690" s="255">
        <f t="shared" si="8099"/>
        <v>0</v>
      </c>
      <c r="BB690" s="255">
        <f t="shared" si="8099"/>
        <v>0</v>
      </c>
      <c r="BC690" s="255">
        <f t="shared" si="8099"/>
        <v>0</v>
      </c>
      <c r="BD690" s="255">
        <f t="shared" si="8099"/>
        <v>0</v>
      </c>
      <c r="BE690" s="255">
        <f t="shared" si="8099"/>
        <v>0</v>
      </c>
      <c r="BF690" s="255">
        <f t="shared" si="8099"/>
        <v>0</v>
      </c>
      <c r="BG690" s="189">
        <f t="shared" si="8099"/>
        <v>0</v>
      </c>
      <c r="BH690" s="255">
        <f t="shared" si="8099"/>
        <v>0</v>
      </c>
      <c r="BI690" s="255">
        <f t="shared" si="8099"/>
        <v>0</v>
      </c>
      <c r="BJ690" s="255">
        <f t="shared" si="8099"/>
        <v>0</v>
      </c>
      <c r="BK690" s="255">
        <f t="shared" si="8099"/>
        <v>0</v>
      </c>
      <c r="BL690" s="255">
        <f t="shared" si="8099"/>
        <v>0</v>
      </c>
      <c r="BM690" s="255">
        <f t="shared" si="8099"/>
        <v>0</v>
      </c>
      <c r="BN690" s="255">
        <f t="shared" si="8099"/>
        <v>0</v>
      </c>
      <c r="BO690" s="255">
        <f t="shared" si="8099"/>
        <v>0</v>
      </c>
      <c r="BP690" s="255">
        <f t="shared" si="8099"/>
        <v>0</v>
      </c>
      <c r="BQ690" s="255">
        <f t="shared" si="8099"/>
        <v>0</v>
      </c>
      <c r="BR690" s="255">
        <f t="shared" si="8099"/>
        <v>0</v>
      </c>
      <c r="BS690" s="189">
        <f t="shared" ref="BS690:DC690" si="8100">++IFERROR((BS675-BS649)/BS685,0)</f>
        <v>0</v>
      </c>
      <c r="BT690" s="255">
        <f t="shared" si="8100"/>
        <v>0</v>
      </c>
      <c r="BU690" s="255">
        <f t="shared" si="8100"/>
        <v>0</v>
      </c>
      <c r="BV690" s="255">
        <f t="shared" si="8100"/>
        <v>0</v>
      </c>
      <c r="BW690" s="255">
        <f t="shared" si="8100"/>
        <v>0</v>
      </c>
      <c r="BX690" s="255">
        <f t="shared" si="8100"/>
        <v>0</v>
      </c>
      <c r="BY690" s="255">
        <f t="shared" si="8100"/>
        <v>0</v>
      </c>
      <c r="BZ690" s="255">
        <f t="shared" si="8100"/>
        <v>0</v>
      </c>
      <c r="CA690" s="255">
        <f t="shared" si="8100"/>
        <v>0</v>
      </c>
      <c r="CB690" s="255">
        <f t="shared" si="8100"/>
        <v>0</v>
      </c>
      <c r="CC690" s="255">
        <f t="shared" si="8100"/>
        <v>0</v>
      </c>
      <c r="CD690" s="255">
        <f t="shared" si="8100"/>
        <v>0</v>
      </c>
      <c r="CE690" s="189">
        <f t="shared" si="8100"/>
        <v>0</v>
      </c>
      <c r="CF690" s="255">
        <f t="shared" si="8100"/>
        <v>0</v>
      </c>
      <c r="CG690" s="255">
        <f t="shared" si="8100"/>
        <v>0</v>
      </c>
      <c r="CH690" s="255">
        <f t="shared" si="8100"/>
        <v>0</v>
      </c>
      <c r="CI690" s="255">
        <f t="shared" si="8100"/>
        <v>0</v>
      </c>
      <c r="CJ690" s="255">
        <f t="shared" si="8100"/>
        <v>0</v>
      </c>
      <c r="CK690" s="255">
        <f t="shared" si="8100"/>
        <v>0</v>
      </c>
      <c r="CL690" s="255">
        <f t="shared" si="8100"/>
        <v>0</v>
      </c>
      <c r="CM690" s="255">
        <f t="shared" si="8100"/>
        <v>0</v>
      </c>
      <c r="CN690" s="255">
        <f t="shared" si="8100"/>
        <v>0</v>
      </c>
      <c r="CO690" s="255">
        <f t="shared" si="8100"/>
        <v>0</v>
      </c>
      <c r="CP690" s="255">
        <f t="shared" si="8100"/>
        <v>0</v>
      </c>
      <c r="CQ690" s="189">
        <f t="shared" si="8100"/>
        <v>0</v>
      </c>
      <c r="CR690" s="255">
        <f t="shared" si="8100"/>
        <v>0</v>
      </c>
      <c r="CS690" s="255">
        <f t="shared" si="8100"/>
        <v>0</v>
      </c>
      <c r="CT690" s="255">
        <f t="shared" si="8100"/>
        <v>0</v>
      </c>
      <c r="CU690" s="255">
        <f t="shared" si="8100"/>
        <v>0</v>
      </c>
      <c r="CV690" s="255">
        <f t="shared" si="8100"/>
        <v>0</v>
      </c>
      <c r="CW690" s="255">
        <f t="shared" si="8100"/>
        <v>0</v>
      </c>
      <c r="CX690" s="255">
        <f t="shared" si="8100"/>
        <v>0</v>
      </c>
      <c r="CY690" s="255">
        <f t="shared" si="8100"/>
        <v>0</v>
      </c>
      <c r="CZ690" s="255">
        <f t="shared" si="8100"/>
        <v>0</v>
      </c>
      <c r="DA690" s="255">
        <f t="shared" si="8100"/>
        <v>0</v>
      </c>
      <c r="DB690" s="255">
        <f t="shared" si="8100"/>
        <v>0</v>
      </c>
      <c r="DC690" s="189">
        <f t="shared" si="8100"/>
        <v>0</v>
      </c>
    </row>
    <row r="691" spans="1:107" x14ac:dyDescent="0.3">
      <c r="C691" s="101" t="s">
        <v>509</v>
      </c>
      <c r="G691" s="128">
        <f t="shared" ref="G691:AL691" si="8101">++G637</f>
        <v>0</v>
      </c>
      <c r="H691" s="128">
        <f t="shared" si="8101"/>
        <v>0</v>
      </c>
      <c r="I691" s="128">
        <f t="shared" si="8101"/>
        <v>0</v>
      </c>
      <c r="J691" s="128">
        <f t="shared" si="8101"/>
        <v>0</v>
      </c>
      <c r="K691" s="128">
        <f t="shared" si="8101"/>
        <v>0</v>
      </c>
      <c r="L691" s="128">
        <f t="shared" si="8101"/>
        <v>0</v>
      </c>
      <c r="M691" s="128">
        <f t="shared" si="8101"/>
        <v>0</v>
      </c>
      <c r="N691" s="128">
        <f t="shared" si="8101"/>
        <v>0</v>
      </c>
      <c r="O691" s="128">
        <f t="shared" si="8101"/>
        <v>0</v>
      </c>
      <c r="P691" s="128">
        <f t="shared" si="8101"/>
        <v>0</v>
      </c>
      <c r="Q691" s="128">
        <f t="shared" si="8101"/>
        <v>0</v>
      </c>
      <c r="R691" s="128">
        <f t="shared" si="8101"/>
        <v>0</v>
      </c>
      <c r="S691" s="128">
        <f t="shared" si="8101"/>
        <v>0</v>
      </c>
      <c r="T691" s="128">
        <f t="shared" si="8101"/>
        <v>0</v>
      </c>
      <c r="U691" s="128">
        <f t="shared" si="8101"/>
        <v>0</v>
      </c>
      <c r="V691" s="128">
        <f t="shared" si="8101"/>
        <v>0</v>
      </c>
      <c r="W691" s="128">
        <f t="shared" si="8101"/>
        <v>0</v>
      </c>
      <c r="X691" s="128">
        <f t="shared" si="8101"/>
        <v>0</v>
      </c>
      <c r="Y691" s="128">
        <f t="shared" si="8101"/>
        <v>0</v>
      </c>
      <c r="Z691" s="128">
        <f t="shared" si="8101"/>
        <v>0</v>
      </c>
      <c r="AA691" s="128">
        <f t="shared" si="8101"/>
        <v>0</v>
      </c>
      <c r="AB691" s="128">
        <f t="shared" si="8101"/>
        <v>0</v>
      </c>
      <c r="AC691" s="128">
        <f t="shared" si="8101"/>
        <v>0</v>
      </c>
      <c r="AD691" s="128">
        <f t="shared" si="8101"/>
        <v>0</v>
      </c>
      <c r="AE691" s="128">
        <f t="shared" si="8101"/>
        <v>0</v>
      </c>
      <c r="AF691" s="128">
        <f t="shared" si="8101"/>
        <v>0</v>
      </c>
      <c r="AG691" s="128">
        <f t="shared" si="8101"/>
        <v>0</v>
      </c>
      <c r="AH691" s="128">
        <f t="shared" si="8101"/>
        <v>0</v>
      </c>
      <c r="AI691" s="128">
        <f t="shared" si="8101"/>
        <v>0</v>
      </c>
      <c r="AJ691" s="128">
        <f t="shared" si="8101"/>
        <v>0</v>
      </c>
      <c r="AK691" s="128">
        <f t="shared" si="8101"/>
        <v>0</v>
      </c>
      <c r="AL691" s="128">
        <f t="shared" si="8101"/>
        <v>0</v>
      </c>
      <c r="AM691" s="128">
        <f t="shared" ref="AM691:BR691" si="8102">++AM637</f>
        <v>0</v>
      </c>
      <c r="AN691" s="128">
        <f t="shared" si="8102"/>
        <v>0</v>
      </c>
      <c r="AO691" s="128">
        <f t="shared" si="8102"/>
        <v>0</v>
      </c>
      <c r="AP691" s="128">
        <f t="shared" si="8102"/>
        <v>0</v>
      </c>
      <c r="AQ691" s="128">
        <f t="shared" si="8102"/>
        <v>0</v>
      </c>
      <c r="AR691" s="128">
        <f t="shared" si="8102"/>
        <v>0</v>
      </c>
      <c r="AS691" s="128">
        <f t="shared" si="8102"/>
        <v>0</v>
      </c>
      <c r="AT691" s="128">
        <f t="shared" si="8102"/>
        <v>0</v>
      </c>
      <c r="AU691" s="128">
        <f t="shared" si="8102"/>
        <v>0</v>
      </c>
      <c r="AV691" s="128">
        <f t="shared" si="8102"/>
        <v>0</v>
      </c>
      <c r="AW691" s="128">
        <f t="shared" si="8102"/>
        <v>0</v>
      </c>
      <c r="AX691" s="128">
        <f t="shared" si="8102"/>
        <v>0</v>
      </c>
      <c r="AY691" s="128">
        <f t="shared" si="8102"/>
        <v>0</v>
      </c>
      <c r="AZ691" s="128">
        <f t="shared" si="8102"/>
        <v>0</v>
      </c>
      <c r="BA691" s="128">
        <f t="shared" si="8102"/>
        <v>0</v>
      </c>
      <c r="BB691" s="128">
        <f t="shared" si="8102"/>
        <v>0</v>
      </c>
      <c r="BC691" s="128">
        <f t="shared" si="8102"/>
        <v>0</v>
      </c>
      <c r="BD691" s="128">
        <f t="shared" si="8102"/>
        <v>0</v>
      </c>
      <c r="BE691" s="128">
        <f t="shared" si="8102"/>
        <v>0</v>
      </c>
      <c r="BF691" s="128">
        <f t="shared" si="8102"/>
        <v>0</v>
      </c>
      <c r="BG691" s="128">
        <f t="shared" si="8102"/>
        <v>0</v>
      </c>
      <c r="BH691" s="128">
        <f t="shared" si="8102"/>
        <v>0</v>
      </c>
      <c r="BI691" s="128">
        <f t="shared" si="8102"/>
        <v>0</v>
      </c>
      <c r="BJ691" s="128">
        <f t="shared" si="8102"/>
        <v>0</v>
      </c>
      <c r="BK691" s="128">
        <f t="shared" si="8102"/>
        <v>0</v>
      </c>
      <c r="BL691" s="128">
        <f t="shared" si="8102"/>
        <v>0</v>
      </c>
      <c r="BM691" s="128">
        <f t="shared" si="8102"/>
        <v>0</v>
      </c>
      <c r="BN691" s="128">
        <f t="shared" si="8102"/>
        <v>0</v>
      </c>
      <c r="BO691" s="128">
        <f t="shared" si="8102"/>
        <v>0</v>
      </c>
      <c r="BP691" s="128">
        <f t="shared" si="8102"/>
        <v>0</v>
      </c>
      <c r="BQ691" s="128">
        <f t="shared" si="8102"/>
        <v>0</v>
      </c>
      <c r="BR691" s="128">
        <f t="shared" si="8102"/>
        <v>0</v>
      </c>
      <c r="BS691" s="128">
        <f t="shared" ref="BS691:DC691" si="8103">++BS637</f>
        <v>0</v>
      </c>
      <c r="BT691" s="128">
        <f t="shared" si="8103"/>
        <v>0</v>
      </c>
      <c r="BU691" s="128">
        <f t="shared" si="8103"/>
        <v>0</v>
      </c>
      <c r="BV691" s="128">
        <f t="shared" si="8103"/>
        <v>0</v>
      </c>
      <c r="BW691" s="128">
        <f t="shared" si="8103"/>
        <v>0</v>
      </c>
      <c r="BX691" s="128">
        <f t="shared" si="8103"/>
        <v>0</v>
      </c>
      <c r="BY691" s="128">
        <f t="shared" si="8103"/>
        <v>0</v>
      </c>
      <c r="BZ691" s="128">
        <f t="shared" si="8103"/>
        <v>0</v>
      </c>
      <c r="CA691" s="128">
        <f t="shared" si="8103"/>
        <v>0</v>
      </c>
      <c r="CB691" s="128">
        <f t="shared" si="8103"/>
        <v>0</v>
      </c>
      <c r="CC691" s="128">
        <f t="shared" si="8103"/>
        <v>0</v>
      </c>
      <c r="CD691" s="128">
        <f t="shared" si="8103"/>
        <v>0</v>
      </c>
      <c r="CE691" s="128">
        <f t="shared" si="8103"/>
        <v>0</v>
      </c>
      <c r="CF691" s="128">
        <f t="shared" si="8103"/>
        <v>0</v>
      </c>
      <c r="CG691" s="128">
        <f t="shared" si="8103"/>
        <v>0</v>
      </c>
      <c r="CH691" s="128">
        <f t="shared" si="8103"/>
        <v>0</v>
      </c>
      <c r="CI691" s="128">
        <f t="shared" si="8103"/>
        <v>0</v>
      </c>
      <c r="CJ691" s="128">
        <f t="shared" si="8103"/>
        <v>0</v>
      </c>
      <c r="CK691" s="128">
        <f t="shared" si="8103"/>
        <v>0</v>
      </c>
      <c r="CL691" s="128">
        <f t="shared" si="8103"/>
        <v>0</v>
      </c>
      <c r="CM691" s="128">
        <f t="shared" si="8103"/>
        <v>0</v>
      </c>
      <c r="CN691" s="128">
        <f t="shared" si="8103"/>
        <v>0</v>
      </c>
      <c r="CO691" s="128">
        <f t="shared" si="8103"/>
        <v>0</v>
      </c>
      <c r="CP691" s="128">
        <f t="shared" si="8103"/>
        <v>0</v>
      </c>
      <c r="CQ691" s="128">
        <f t="shared" si="8103"/>
        <v>0</v>
      </c>
      <c r="CR691" s="128">
        <f t="shared" si="8103"/>
        <v>0</v>
      </c>
      <c r="CS691" s="128">
        <f t="shared" si="8103"/>
        <v>0</v>
      </c>
      <c r="CT691" s="128">
        <f t="shared" si="8103"/>
        <v>0</v>
      </c>
      <c r="CU691" s="128">
        <f t="shared" si="8103"/>
        <v>0</v>
      </c>
      <c r="CV691" s="128">
        <f t="shared" si="8103"/>
        <v>0</v>
      </c>
      <c r="CW691" s="128">
        <f t="shared" si="8103"/>
        <v>0</v>
      </c>
      <c r="CX691" s="128">
        <f t="shared" si="8103"/>
        <v>0</v>
      </c>
      <c r="CY691" s="128">
        <f t="shared" si="8103"/>
        <v>0</v>
      </c>
      <c r="CZ691" s="128">
        <f t="shared" si="8103"/>
        <v>0</v>
      </c>
      <c r="DA691" s="128">
        <f t="shared" si="8103"/>
        <v>0</v>
      </c>
      <c r="DB691" s="128">
        <f t="shared" si="8103"/>
        <v>0</v>
      </c>
      <c r="DC691" s="128">
        <f t="shared" si="8103"/>
        <v>0</v>
      </c>
    </row>
    <row r="692" spans="1:107" x14ac:dyDescent="0.3">
      <c r="G692" s="203"/>
      <c r="K692" s="203"/>
      <c r="W692" s="203"/>
      <c r="AI692" s="203"/>
      <c r="AU692" s="203"/>
      <c r="BG692" s="203"/>
      <c r="BS692" s="203"/>
      <c r="CE692" s="203"/>
      <c r="CQ692" s="203"/>
      <c r="DC692" s="203"/>
    </row>
    <row r="693" spans="1:107" x14ac:dyDescent="0.3">
      <c r="G693" s="203"/>
      <c r="K693" s="203"/>
      <c r="W693" s="203"/>
      <c r="AI693" s="203"/>
      <c r="AU693" s="203"/>
      <c r="BG693" s="203"/>
      <c r="BS693" s="203"/>
      <c r="CE693" s="203"/>
      <c r="CQ693" s="203"/>
      <c r="DC693" s="203"/>
    </row>
    <row r="694" spans="1:107" x14ac:dyDescent="0.3">
      <c r="A694" s="319" t="s">
        <v>0</v>
      </c>
      <c r="B694" s="319" t="s">
        <v>0</v>
      </c>
    </row>
  </sheetData>
  <pageMargins left="0.25" right="0.25" top="0.75" bottom="0.75" header="0.3" footer="0.3"/>
  <pageSetup fitToWidth="3" fitToHeight="0" pageOrder="overThenDown" orientation="landscape" r:id="rId1"/>
  <customProperties>
    <customPr name="OrphanNamesChecked" r:id="rId2"/>
  </customPropertie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9255C48B-A2C2-4577-B95E-9FC9648BA30E}">
            <xm:f>G$3:DC$3=Dashboard!$AC$1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G2:G4 G6:G7 G9:G12 G14:G56 G58:G61 G63:G105 G107:G110 G112:G154 G156:G159 G161:G203 G205:G208 G210:G252 G254:G257 G259:G301 G303:G306 G308:G350 G352:G355 G357:G399 G401:G404 G406:G448 G450:G497 G499:G546 G548:G555 G557:G583 G585:G591 Y586:Y591 G594:G642 Y631 Y639:Y640 G644:G645 G648:G684 Y685 G686:G693</xm:sqref>
        </x14:conditionalFormatting>
        <x14:conditionalFormatting xmlns:xm="http://schemas.microsoft.com/office/excel/2006/main">
          <x14:cfRule type="expression" priority="15" id="{161BD5A8-C777-4E4F-9358-5F7D5B03A65F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G13</xm:sqref>
        </x14:conditionalFormatting>
        <x14:conditionalFormatting xmlns:xm="http://schemas.microsoft.com/office/excel/2006/main">
          <x14:cfRule type="expression" priority="12" id="{5E722A87-D82C-4572-A5CA-82CA502C285F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expression" priority="11" id="{A6DA018A-DBF8-4E0F-B479-03FEE2271DAB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G111</xm:sqref>
        </x14:conditionalFormatting>
        <x14:conditionalFormatting xmlns:xm="http://schemas.microsoft.com/office/excel/2006/main">
          <x14:cfRule type="expression" priority="10" id="{1E3A0881-216B-4B11-A273-F413FBFE68FB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G160</xm:sqref>
        </x14:conditionalFormatting>
        <x14:conditionalFormatting xmlns:xm="http://schemas.microsoft.com/office/excel/2006/main">
          <x14:cfRule type="expression" priority="4" id="{9AC5F251-E210-4500-9CB3-E1E6EFB1A4D5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G209</xm:sqref>
        </x14:conditionalFormatting>
        <x14:conditionalFormatting xmlns:xm="http://schemas.microsoft.com/office/excel/2006/main">
          <x14:cfRule type="expression" priority="3" id="{AD372ABB-91BA-409C-9BE6-579F00EE3280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G258</xm:sqref>
        </x14:conditionalFormatting>
        <x14:conditionalFormatting xmlns:xm="http://schemas.microsoft.com/office/excel/2006/main">
          <x14:cfRule type="expression" priority="7" id="{461C0285-FFC0-4EAB-AFB0-83905D090B71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G307</xm:sqref>
        </x14:conditionalFormatting>
        <x14:conditionalFormatting xmlns:xm="http://schemas.microsoft.com/office/excel/2006/main">
          <x14:cfRule type="expression" priority="2" id="{E6FC60FE-58C5-41E4-9783-A38719DCE636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G356</xm:sqref>
        </x14:conditionalFormatting>
        <x14:conditionalFormatting xmlns:xm="http://schemas.microsoft.com/office/excel/2006/main">
          <x14:cfRule type="expression" priority="1" id="{979B41A8-C087-4273-AB48-36080F1BFFFA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G405</xm:sqref>
        </x14:conditionalFormatting>
        <x14:conditionalFormatting xmlns:xm="http://schemas.microsoft.com/office/excel/2006/main">
          <x14:cfRule type="expression" priority="117" id="{9255C48B-A2C2-4577-B95E-9FC9648BA30E}">
            <xm:f>H$3:DC$3=Dashboard!$AC$1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H2:U4 H6:U7 H548:U555 H585:U642 H644:U693</xm:sqref>
        </x14:conditionalFormatting>
        <x14:conditionalFormatting xmlns:xm="http://schemas.microsoft.com/office/excel/2006/main">
          <x14:cfRule type="expression" priority="18" id="{2E578D52-6D96-4E72-864E-55F2A46F89FC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H9:U56 L10:AF10 H58:U105 L59:AF59 H107:U154 L108:AF108 H156:U203 L157:AF157 H205:U252 L206:AF206 H254:U301 L255:AF255 H303:U350 L304:AF304 H352:U399 L353:AF353 H401:U448 L402:AF402 H450:U497 H499:U546 G646:G647</xm:sqref>
        </x14:conditionalFormatting>
        <x14:conditionalFormatting xmlns:xm="http://schemas.microsoft.com/office/excel/2006/main">
          <x14:cfRule type="expression" priority="16" id="{63A66804-9AD4-4D81-A9CA-0253A97BE9D7}">
            <xm:f>G$3:DB$3=Dashboard!$AC$1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H557:U583 G685</xm:sqref>
        </x14:conditionalFormatting>
        <x14:conditionalFormatting xmlns:xm="http://schemas.microsoft.com/office/excel/2006/main">
          <x14:cfRule type="expression" priority="116" id="{9255C48B-A2C2-4577-B95E-9FC9648BA30E}">
            <xm:f>V$3:DD$3=Dashboard!$AC$1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V2:DC4 V6:DC7 V9:DC56 V58:DC105 V107:DC154 V156:DC203 V205:DC252 V254:DC301 V303:DC350 V352:DC399 V401:DC448 V450:DC497 V499:DC546 V548:DC555 V557:DC583 V585:DC642 V644:DC645 V646:X649 Z646:DC649 V650:DC693</xm:sqref>
        </x14:conditionalFormatting>
        <x14:conditionalFormatting xmlns:xm="http://schemas.microsoft.com/office/excel/2006/main">
          <x14:cfRule type="expression" priority="20" id="{2E7F5F46-D633-4347-802F-75E173BAACBA}">
            <xm:f>Y$3:DU$3=Dashboard!$AC$1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Y594:Y628</xm:sqref>
        </x14:conditionalFormatting>
        <x14:conditionalFormatting xmlns:xm="http://schemas.microsoft.com/office/excel/2006/main">
          <x14:cfRule type="expression" priority="17" id="{133F5DE3-6175-44F4-9A90-01081B3ECE35}">
            <xm:f>Y$3:DG$3=Dashboard!$AC$1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Y646:Y647</xm:sqref>
        </x14:conditionalFormatting>
        <x14:conditionalFormatting xmlns:xm="http://schemas.microsoft.com/office/excel/2006/main">
          <x14:cfRule type="expression" priority="19" id="{2515411F-D8DA-4674-99A0-A696122001FC}">
            <xm:f>Y$3:DU$3=Dashboard!$AC$1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Y648:Y649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BAF9-7BD7-4076-8327-C6247CD5DD05}">
  <sheetPr codeName="Sheet15">
    <tabColor theme="5" tint="0.79998168889431442"/>
  </sheetPr>
  <dimension ref="A1:AO227"/>
  <sheetViews>
    <sheetView showGridLines="0" zoomScale="85" zoomScaleNormal="85" workbookViewId="0">
      <pane xSplit="8" ySplit="7" topLeftCell="I8" activePane="bottomRight" state="frozen"/>
      <selection activeCell="G8" sqref="G8"/>
      <selection pane="topRight" activeCell="G8" sqref="G8"/>
      <selection pane="bottomLeft" activeCell="G8" sqref="G8"/>
      <selection pane="bottomRight" activeCell="I8" sqref="I8"/>
    </sheetView>
  </sheetViews>
  <sheetFormatPr defaultColWidth="9.296875" defaultRowHeight="13" outlineLevelRow="1" outlineLevelCol="1" x14ac:dyDescent="0.3"/>
  <cols>
    <col min="1" max="2" width="2.796875" style="101" customWidth="1"/>
    <col min="3" max="3" width="9.19921875" style="101" bestFit="1" customWidth="1"/>
    <col min="4" max="7" width="15.796875" style="101" customWidth="1"/>
    <col min="8" max="8" width="2.796875" style="101" customWidth="1"/>
    <col min="9" max="9" width="13.296875" style="101" customWidth="1"/>
    <col min="10" max="12" width="13.296875" style="101" customWidth="1" outlineLevel="1"/>
    <col min="13" max="13" width="13.296875" style="101" customWidth="1"/>
    <col min="14" max="16" width="13.296875" style="101" customWidth="1" outlineLevel="1"/>
    <col min="17" max="17" width="13.296875" style="101" customWidth="1"/>
    <col min="18" max="20" width="13.296875" style="101" customWidth="1" outlineLevel="1"/>
    <col min="21" max="21" width="13.296875" style="101" customWidth="1"/>
    <col min="22" max="24" width="13.296875" style="101" customWidth="1" outlineLevel="1"/>
    <col min="25" max="25" width="13.296875" style="101" customWidth="1"/>
    <col min="26" max="28" width="13.296875" style="101" customWidth="1" outlineLevel="1"/>
    <col min="29" max="29" width="13.296875" style="101" customWidth="1"/>
    <col min="30" max="32" width="13.296875" style="101" customWidth="1" outlineLevel="1"/>
    <col min="33" max="33" width="13.296875" style="101" customWidth="1"/>
    <col min="34" max="36" width="13.296875" style="101" customWidth="1" outlineLevel="1"/>
    <col min="37" max="37" width="13.296875" style="101" customWidth="1"/>
    <col min="38" max="40" width="13.296875" style="101" customWidth="1" outlineLevel="1"/>
    <col min="41" max="41" width="13.296875" style="101" customWidth="1"/>
    <col min="42" max="16384" width="9.296875" style="101"/>
  </cols>
  <sheetData>
    <row r="1" spans="1:41" x14ac:dyDescent="0.3">
      <c r="C1" s="174" t="str">
        <f>++Dashboard!$C$1</f>
        <v>[Company Name]</v>
      </c>
      <c r="D1" s="273"/>
      <c r="E1" s="273"/>
      <c r="F1" s="314"/>
      <c r="I1" s="349" t="str">
        <f>++"FY'"&amp;RIGHT(YEAR(I3),2)</f>
        <v>FY'22</v>
      </c>
      <c r="J1" s="167" t="str">
        <f>++"FY'"&amp;RIGHT(YEAR(M3),2)</f>
        <v>FY'23</v>
      </c>
      <c r="K1" s="354"/>
      <c r="L1" s="354"/>
      <c r="M1" s="355"/>
      <c r="N1" s="167" t="str">
        <f>++"FY'"&amp;RIGHT(YEAR(Q3),2)</f>
        <v>FY'24</v>
      </c>
      <c r="O1" s="354"/>
      <c r="P1" s="354"/>
      <c r="Q1" s="355"/>
      <c r="R1" s="167" t="str">
        <f>++"FY'"&amp;RIGHT(YEAR(U3),2)</f>
        <v>FY'25</v>
      </c>
      <c r="S1" s="354"/>
      <c r="T1" s="354"/>
      <c r="U1" s="355"/>
      <c r="V1" s="168" t="str">
        <f>++"FY'"&amp;RIGHT(YEAR(Y3),2)</f>
        <v>FY'26</v>
      </c>
      <c r="W1" s="356"/>
      <c r="X1" s="356"/>
      <c r="Y1" s="357"/>
      <c r="Z1" s="168" t="str">
        <f>++"FY'"&amp;RIGHT(YEAR(AC3),2)</f>
        <v>FY'27</v>
      </c>
      <c r="AA1" s="356"/>
      <c r="AB1" s="356"/>
      <c r="AC1" s="357"/>
      <c r="AD1" s="168" t="str">
        <f>++"FY'"&amp;RIGHT(YEAR(AG3),2)</f>
        <v>FY'28</v>
      </c>
      <c r="AE1" s="356"/>
      <c r="AF1" s="356"/>
      <c r="AG1" s="357"/>
      <c r="AH1" s="168" t="str">
        <f>++"FY'"&amp;RIGHT(YEAR(AK3),2)</f>
        <v>FY'29</v>
      </c>
      <c r="AI1" s="356"/>
      <c r="AJ1" s="356"/>
      <c r="AK1" s="357"/>
      <c r="AL1" s="168" t="str">
        <f>++"FY'"&amp;RIGHT(YEAR(AO3),2)</f>
        <v>FY'30</v>
      </c>
      <c r="AM1" s="356"/>
      <c r="AN1" s="356"/>
      <c r="AO1" s="357"/>
    </row>
    <row r="2" spans="1:41" x14ac:dyDescent="0.3">
      <c r="C2" s="178" t="s">
        <v>486</v>
      </c>
      <c r="D2" s="277"/>
      <c r="E2" s="277"/>
      <c r="F2" s="315"/>
      <c r="I2" s="358" t="str">
        <f>++"Q4'"&amp;RIGHT(YEAR(I3),2)</f>
        <v>Q4'22</v>
      </c>
      <c r="J2" s="359" t="str">
        <f>++"Q1'"&amp;RIGHT(YEAR(J3),2)</f>
        <v>Q1'23</v>
      </c>
      <c r="K2" s="360" t="str">
        <f>++"Q2'"&amp;RIGHT(YEAR(K3),2)</f>
        <v>Q2'23</v>
      </c>
      <c r="L2" s="360" t="str">
        <f>++"Q3'"&amp;RIGHT(YEAR(L3),2)</f>
        <v>Q3'23</v>
      </c>
      <c r="M2" s="361" t="str">
        <f>++"Q4'"&amp;RIGHT(YEAR(M3),2)</f>
        <v>Q4'23</v>
      </c>
      <c r="N2" s="359" t="str">
        <f>++"Q1'"&amp;RIGHT(YEAR(N3),2)</f>
        <v>Q1'24</v>
      </c>
      <c r="O2" s="360" t="str">
        <f>++"Q2'"&amp;RIGHT(YEAR(O3),2)</f>
        <v>Q2'24</v>
      </c>
      <c r="P2" s="360" t="str">
        <f>++"Q3'"&amp;RIGHT(YEAR(P3),2)</f>
        <v>Q3'24</v>
      </c>
      <c r="Q2" s="361" t="str">
        <f>++"Q4'"&amp;RIGHT(YEAR(Q3),2)</f>
        <v>Q4'24</v>
      </c>
      <c r="R2" s="359" t="str">
        <f>++"Q1'"&amp;RIGHT(YEAR(R3),2)</f>
        <v>Q1'25</v>
      </c>
      <c r="S2" s="360" t="str">
        <f>++"Q2'"&amp;RIGHT(YEAR(S3),2)</f>
        <v>Q2'25</v>
      </c>
      <c r="T2" s="360" t="str">
        <f>++"Q3'"&amp;RIGHT(YEAR(T3),2)</f>
        <v>Q3'25</v>
      </c>
      <c r="U2" s="361" t="str">
        <f>++"Q4'"&amp;RIGHT(YEAR(U3),2)</f>
        <v>Q4'25</v>
      </c>
      <c r="V2" s="359" t="str">
        <f>++"Q1'"&amp;RIGHT(YEAR(V3),2)</f>
        <v>Q1'26</v>
      </c>
      <c r="W2" s="360" t="str">
        <f>++"Q2'"&amp;RIGHT(YEAR(W3),2)</f>
        <v>Q2'26</v>
      </c>
      <c r="X2" s="360" t="str">
        <f>++"Q3'"&amp;RIGHT(YEAR(X3),2)</f>
        <v>Q3'26</v>
      </c>
      <c r="Y2" s="361" t="str">
        <f>++"Q4'"&amp;RIGHT(YEAR(Y3),2)</f>
        <v>Q4'26</v>
      </c>
      <c r="Z2" s="359" t="str">
        <f>++"Q1'"&amp;RIGHT(YEAR(Z3),2)</f>
        <v>Q1'27</v>
      </c>
      <c r="AA2" s="360" t="str">
        <f>++"Q2'"&amp;RIGHT(YEAR(AA3),2)</f>
        <v>Q2'27</v>
      </c>
      <c r="AB2" s="360" t="str">
        <f>++"Q3'"&amp;RIGHT(YEAR(AB3),2)</f>
        <v>Q3'27</v>
      </c>
      <c r="AC2" s="361" t="str">
        <f>++"Q4'"&amp;RIGHT(YEAR(AC3),2)</f>
        <v>Q4'27</v>
      </c>
      <c r="AD2" s="359" t="str">
        <f>++"Q1'"&amp;RIGHT(YEAR(AD3),2)</f>
        <v>Q1'28</v>
      </c>
      <c r="AE2" s="360" t="str">
        <f>++"Q2'"&amp;RIGHT(YEAR(AE3),2)</f>
        <v>Q2'28</v>
      </c>
      <c r="AF2" s="360" t="str">
        <f>++"Q3'"&amp;RIGHT(YEAR(AF3),2)</f>
        <v>Q3'28</v>
      </c>
      <c r="AG2" s="361" t="str">
        <f>++"Q4'"&amp;RIGHT(YEAR(AG3),2)</f>
        <v>Q4'28</v>
      </c>
      <c r="AH2" s="359" t="str">
        <f>++"Q1'"&amp;RIGHT(YEAR(AH3),2)</f>
        <v>Q1'29</v>
      </c>
      <c r="AI2" s="360" t="str">
        <f>++"Q2'"&amp;RIGHT(YEAR(AI3),2)</f>
        <v>Q2'29</v>
      </c>
      <c r="AJ2" s="360" t="str">
        <f>++"Q3'"&amp;RIGHT(YEAR(AJ3),2)</f>
        <v>Q3'29</v>
      </c>
      <c r="AK2" s="361" t="str">
        <f>++"Q4'"&amp;RIGHT(YEAR(AK3),2)</f>
        <v>Q4'29</v>
      </c>
      <c r="AL2" s="359" t="str">
        <f>++"Q1'"&amp;RIGHT(YEAR(AL3),2)</f>
        <v>Q1'30</v>
      </c>
      <c r="AM2" s="360" t="str">
        <f>++"Q2'"&amp;RIGHT(YEAR(AM3),2)</f>
        <v>Q2'30</v>
      </c>
      <c r="AN2" s="360" t="str">
        <f>++"Q3'"&amp;RIGHT(YEAR(AN3),2)</f>
        <v>Q3'30</v>
      </c>
      <c r="AO2" s="361" t="str">
        <f>++"Q4'"&amp;RIGHT(YEAR(AO3),2)</f>
        <v>Q4'30</v>
      </c>
    </row>
    <row r="3" spans="1:41" x14ac:dyDescent="0.3">
      <c r="C3" s="316" t="str">
        <f ca="1">++TEXT(TODAY(),"MMMM D, YYYY")</f>
        <v>February 26, 2026</v>
      </c>
      <c r="D3" s="317"/>
      <c r="E3" s="317"/>
      <c r="F3" s="318"/>
      <c r="I3" s="353">
        <f>++EOMONTH(Dashboard!$E$11,-12*2)</f>
        <v>44926</v>
      </c>
      <c r="J3" s="362">
        <f>++EOMONTH(I3,3)</f>
        <v>45016</v>
      </c>
      <c r="K3" s="363">
        <f t="shared" ref="K3:AO3" si="0">++EOMONTH(J3,3)</f>
        <v>45107</v>
      </c>
      <c r="L3" s="363">
        <f t="shared" si="0"/>
        <v>45199</v>
      </c>
      <c r="M3" s="364">
        <f t="shared" si="0"/>
        <v>45291</v>
      </c>
      <c r="N3" s="362">
        <f t="shared" si="0"/>
        <v>45382</v>
      </c>
      <c r="O3" s="363">
        <f t="shared" si="0"/>
        <v>45473</v>
      </c>
      <c r="P3" s="363">
        <f t="shared" si="0"/>
        <v>45565</v>
      </c>
      <c r="Q3" s="364">
        <f t="shared" si="0"/>
        <v>45657</v>
      </c>
      <c r="R3" s="362">
        <f t="shared" si="0"/>
        <v>45747</v>
      </c>
      <c r="S3" s="363">
        <f t="shared" si="0"/>
        <v>45838</v>
      </c>
      <c r="T3" s="363">
        <f t="shared" si="0"/>
        <v>45930</v>
      </c>
      <c r="U3" s="364">
        <f t="shared" si="0"/>
        <v>46022</v>
      </c>
      <c r="V3" s="362">
        <f t="shared" si="0"/>
        <v>46112</v>
      </c>
      <c r="W3" s="363">
        <f t="shared" si="0"/>
        <v>46203</v>
      </c>
      <c r="X3" s="363">
        <f t="shared" si="0"/>
        <v>46295</v>
      </c>
      <c r="Y3" s="364">
        <f t="shared" si="0"/>
        <v>46387</v>
      </c>
      <c r="Z3" s="362">
        <f t="shared" si="0"/>
        <v>46477</v>
      </c>
      <c r="AA3" s="363">
        <f t="shared" si="0"/>
        <v>46568</v>
      </c>
      <c r="AB3" s="363">
        <f t="shared" si="0"/>
        <v>46660</v>
      </c>
      <c r="AC3" s="364">
        <f t="shared" si="0"/>
        <v>46752</v>
      </c>
      <c r="AD3" s="362">
        <f t="shared" si="0"/>
        <v>46843</v>
      </c>
      <c r="AE3" s="363">
        <f t="shared" si="0"/>
        <v>46934</v>
      </c>
      <c r="AF3" s="363">
        <f t="shared" si="0"/>
        <v>47026</v>
      </c>
      <c r="AG3" s="364">
        <f t="shared" si="0"/>
        <v>47118</v>
      </c>
      <c r="AH3" s="362">
        <f t="shared" si="0"/>
        <v>47208</v>
      </c>
      <c r="AI3" s="363">
        <f t="shared" si="0"/>
        <v>47299</v>
      </c>
      <c r="AJ3" s="363">
        <f t="shared" si="0"/>
        <v>47391</v>
      </c>
      <c r="AK3" s="364">
        <f t="shared" si="0"/>
        <v>47483</v>
      </c>
      <c r="AL3" s="362">
        <f t="shared" si="0"/>
        <v>47573</v>
      </c>
      <c r="AM3" s="363">
        <f t="shared" si="0"/>
        <v>47664</v>
      </c>
      <c r="AN3" s="363">
        <f t="shared" si="0"/>
        <v>47756</v>
      </c>
      <c r="AO3" s="364">
        <f t="shared" si="0"/>
        <v>47848</v>
      </c>
    </row>
    <row r="4" spans="1:41" x14ac:dyDescent="0.3">
      <c r="I4" s="203"/>
      <c r="M4" s="203"/>
      <c r="Q4" s="203"/>
      <c r="U4" s="203"/>
      <c r="Y4" s="203"/>
      <c r="AC4" s="203"/>
      <c r="AG4" s="203"/>
      <c r="AK4" s="203"/>
      <c r="AO4" s="203"/>
    </row>
    <row r="5" spans="1:41" x14ac:dyDescent="0.3">
      <c r="A5" s="319" t="s">
        <v>0</v>
      </c>
      <c r="B5" s="319" t="s">
        <v>0</v>
      </c>
      <c r="C5" s="166" t="str">
        <f>++C2</f>
        <v>Covenant Tracker</v>
      </c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  <c r="AA5" s="365"/>
      <c r="AB5" s="365"/>
      <c r="AC5" s="365"/>
      <c r="AD5" s="365"/>
      <c r="AE5" s="365"/>
      <c r="AF5" s="365"/>
      <c r="AG5" s="365"/>
      <c r="AH5" s="365"/>
      <c r="AI5" s="365"/>
      <c r="AJ5" s="365"/>
      <c r="AK5" s="365"/>
      <c r="AL5" s="365"/>
      <c r="AM5" s="365"/>
      <c r="AN5" s="365"/>
      <c r="AO5" s="366"/>
    </row>
    <row r="6" spans="1:41" x14ac:dyDescent="0.3">
      <c r="C6" s="186" t="s">
        <v>1</v>
      </c>
      <c r="I6" s="203"/>
      <c r="M6" s="203"/>
      <c r="Q6" s="203"/>
      <c r="U6" s="203"/>
      <c r="Y6" s="203"/>
      <c r="AC6" s="203"/>
      <c r="AG6" s="203"/>
      <c r="AK6" s="203"/>
      <c r="AO6" s="203"/>
    </row>
    <row r="7" spans="1:41" ht="5.15" customHeight="1" x14ac:dyDescent="0.3">
      <c r="I7" s="203"/>
      <c r="M7" s="203"/>
      <c r="Q7" s="203"/>
      <c r="U7" s="203"/>
      <c r="Y7" s="203"/>
      <c r="AC7" s="203"/>
      <c r="AG7" s="203"/>
      <c r="AK7" s="203"/>
      <c r="AO7" s="203"/>
    </row>
    <row r="8" spans="1:41" x14ac:dyDescent="0.3">
      <c r="A8" s="319"/>
      <c r="B8" s="319" t="s">
        <v>0</v>
      </c>
      <c r="C8" s="164" t="s">
        <v>474</v>
      </c>
      <c r="D8" s="367"/>
      <c r="E8" s="367"/>
      <c r="F8" s="367"/>
      <c r="G8" s="367"/>
      <c r="H8" s="367"/>
      <c r="I8" s="367"/>
      <c r="J8" s="367"/>
      <c r="K8" s="367"/>
      <c r="L8" s="367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  <c r="AE8" s="367"/>
      <c r="AF8" s="367"/>
      <c r="AG8" s="367"/>
      <c r="AH8" s="367"/>
      <c r="AI8" s="367"/>
      <c r="AJ8" s="367"/>
      <c r="AK8" s="367"/>
      <c r="AL8" s="367"/>
      <c r="AM8" s="367"/>
      <c r="AN8" s="367"/>
      <c r="AO8" s="367"/>
    </row>
    <row r="9" spans="1:41" ht="5.15" customHeight="1" x14ac:dyDescent="0.3">
      <c r="I9" s="203"/>
      <c r="M9" s="203"/>
      <c r="Q9" s="203"/>
      <c r="U9" s="203"/>
      <c r="Y9" s="203"/>
      <c r="AC9" s="203"/>
      <c r="AG9" s="203"/>
      <c r="AK9" s="203"/>
      <c r="AO9" s="203"/>
    </row>
    <row r="10" spans="1:41" ht="14.5" x14ac:dyDescent="0.45">
      <c r="C10" s="188" t="s">
        <v>135</v>
      </c>
      <c r="D10" s="51" t="s">
        <v>636</v>
      </c>
      <c r="E10" s="51"/>
      <c r="F10" s="51"/>
      <c r="G10" s="188" t="s">
        <v>637</v>
      </c>
      <c r="I10" s="203"/>
      <c r="M10" s="203"/>
      <c r="Q10" s="203"/>
      <c r="U10" s="203"/>
      <c r="Y10" s="203"/>
      <c r="AC10" s="203"/>
      <c r="AG10" s="203"/>
      <c r="AK10" s="203"/>
      <c r="AO10" s="203"/>
    </row>
    <row r="11" spans="1:41" ht="5.15" customHeight="1" x14ac:dyDescent="0.3">
      <c r="I11" s="203"/>
      <c r="M11" s="203"/>
      <c r="Q11" s="203"/>
      <c r="U11" s="203"/>
      <c r="Y11" s="203"/>
      <c r="AC11" s="203"/>
      <c r="AG11" s="203"/>
      <c r="AK11" s="203"/>
      <c r="AO11" s="203"/>
    </row>
    <row r="12" spans="1:41" x14ac:dyDescent="0.3">
      <c r="C12" s="438" t="s">
        <v>3</v>
      </c>
      <c r="D12" s="193" t="s">
        <v>353</v>
      </c>
      <c r="I12" s="400">
        <v>0</v>
      </c>
      <c r="J12" s="400">
        <v>0</v>
      </c>
      <c r="K12" s="400">
        <v>0</v>
      </c>
      <c r="L12" s="400">
        <v>0</v>
      </c>
      <c r="M12" s="400">
        <v>0</v>
      </c>
      <c r="N12" s="400">
        <v>0</v>
      </c>
      <c r="O12" s="400">
        <v>0</v>
      </c>
      <c r="P12" s="400">
        <v>0</v>
      </c>
      <c r="Q12" s="400">
        <v>0</v>
      </c>
      <c r="R12" s="400">
        <v>0</v>
      </c>
      <c r="S12" s="400">
        <v>0</v>
      </c>
      <c r="T12" s="400">
        <v>0</v>
      </c>
      <c r="U12" s="400">
        <v>0</v>
      </c>
      <c r="V12" s="400">
        <v>0</v>
      </c>
      <c r="W12" s="400">
        <v>0</v>
      </c>
      <c r="X12" s="400">
        <v>0</v>
      </c>
      <c r="Y12" s="400">
        <v>0</v>
      </c>
      <c r="Z12" s="400">
        <v>0</v>
      </c>
      <c r="AA12" s="400">
        <v>0</v>
      </c>
      <c r="AB12" s="400">
        <v>0</v>
      </c>
      <c r="AC12" s="400">
        <v>0</v>
      </c>
      <c r="AD12" s="400">
        <v>0</v>
      </c>
      <c r="AE12" s="400">
        <v>0</v>
      </c>
      <c r="AF12" s="400">
        <v>0</v>
      </c>
      <c r="AG12" s="400">
        <v>0</v>
      </c>
      <c r="AH12" s="400">
        <v>0</v>
      </c>
      <c r="AI12" s="400">
        <v>0</v>
      </c>
      <c r="AJ12" s="400">
        <v>0</v>
      </c>
      <c r="AK12" s="400">
        <v>0</v>
      </c>
      <c r="AL12" s="400">
        <v>0</v>
      </c>
      <c r="AM12" s="400">
        <v>0</v>
      </c>
      <c r="AN12" s="400">
        <v>0</v>
      </c>
      <c r="AO12" s="400">
        <v>0</v>
      </c>
    </row>
    <row r="13" spans="1:41" x14ac:dyDescent="0.3">
      <c r="C13" s="368"/>
      <c r="I13" s="203"/>
      <c r="M13" s="203"/>
      <c r="Q13" s="203"/>
      <c r="U13" s="203"/>
      <c r="Y13" s="203"/>
      <c r="AC13" s="203"/>
      <c r="AG13" s="203"/>
      <c r="AK13" s="203"/>
      <c r="AO13" s="203"/>
    </row>
    <row r="14" spans="1:41" x14ac:dyDescent="0.3">
      <c r="C14" s="436" t="s">
        <v>3</v>
      </c>
      <c r="D14" s="105" t="s">
        <v>586</v>
      </c>
      <c r="G14" s="88" t="s">
        <v>640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</row>
    <row r="15" spans="1:41" x14ac:dyDescent="0.3">
      <c r="C15" s="436" t="s">
        <v>3</v>
      </c>
      <c r="D15" s="105" t="s">
        <v>587</v>
      </c>
      <c r="G15" s="88" t="s">
        <v>640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</row>
    <row r="16" spans="1:41" x14ac:dyDescent="0.3">
      <c r="C16" s="436" t="s">
        <v>3</v>
      </c>
      <c r="D16" s="105" t="s">
        <v>588</v>
      </c>
      <c r="G16" s="88" t="s">
        <v>640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</row>
    <row r="17" spans="3:41" x14ac:dyDescent="0.3">
      <c r="C17" s="436" t="s">
        <v>3</v>
      </c>
      <c r="D17" s="105" t="s">
        <v>589</v>
      </c>
      <c r="G17" s="88" t="s">
        <v>640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</row>
    <row r="18" spans="3:41" x14ac:dyDescent="0.3">
      <c r="C18" s="436" t="s">
        <v>3</v>
      </c>
      <c r="D18" s="105" t="s">
        <v>590</v>
      </c>
      <c r="G18" s="88" t="s">
        <v>640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</row>
    <row r="19" spans="3:41" x14ac:dyDescent="0.3">
      <c r="C19" s="436" t="s">
        <v>3</v>
      </c>
      <c r="D19" s="105" t="s">
        <v>591</v>
      </c>
      <c r="G19" s="88" t="s">
        <v>640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</row>
    <row r="20" spans="3:41" x14ac:dyDescent="0.3">
      <c r="C20" s="436" t="s">
        <v>3</v>
      </c>
      <c r="D20" s="105" t="s">
        <v>592</v>
      </c>
      <c r="G20" s="88" t="s">
        <v>640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</row>
    <row r="21" spans="3:41" x14ac:dyDescent="0.3">
      <c r="C21" s="436" t="s">
        <v>3</v>
      </c>
      <c r="D21" s="105" t="s">
        <v>593</v>
      </c>
      <c r="G21" s="88" t="s">
        <v>640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</row>
    <row r="22" spans="3:41" x14ac:dyDescent="0.3">
      <c r="C22" s="436" t="s">
        <v>3</v>
      </c>
      <c r="D22" s="105" t="s">
        <v>594</v>
      </c>
      <c r="G22" s="88" t="s">
        <v>640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</row>
    <row r="23" spans="3:41" x14ac:dyDescent="0.3">
      <c r="C23" s="436" t="s">
        <v>3</v>
      </c>
      <c r="D23" s="105" t="s">
        <v>595</v>
      </c>
      <c r="G23" s="88" t="s">
        <v>640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</row>
    <row r="24" spans="3:41" x14ac:dyDescent="0.3">
      <c r="C24" s="436" t="s">
        <v>3</v>
      </c>
      <c r="D24" s="105" t="s">
        <v>596</v>
      </c>
      <c r="G24" s="88" t="s">
        <v>640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</row>
    <row r="25" spans="3:41" x14ac:dyDescent="0.3">
      <c r="C25" s="436" t="s">
        <v>3</v>
      </c>
      <c r="D25" s="105" t="s">
        <v>597</v>
      </c>
      <c r="G25" s="88" t="s">
        <v>640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</row>
    <row r="26" spans="3:41" x14ac:dyDescent="0.3">
      <c r="C26" s="436" t="s">
        <v>3</v>
      </c>
      <c r="D26" s="105" t="s">
        <v>598</v>
      </c>
      <c r="G26" s="88" t="s">
        <v>640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</row>
    <row r="27" spans="3:41" x14ac:dyDescent="0.3">
      <c r="C27" s="436" t="s">
        <v>3</v>
      </c>
      <c r="D27" s="105" t="s">
        <v>599</v>
      </c>
      <c r="G27" s="88" t="s">
        <v>640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</row>
    <row r="28" spans="3:41" x14ac:dyDescent="0.3">
      <c r="C28" s="436" t="s">
        <v>3</v>
      </c>
      <c r="D28" s="105" t="s">
        <v>600</v>
      </c>
      <c r="G28" s="88" t="s">
        <v>640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</row>
    <row r="29" spans="3:41" x14ac:dyDescent="0.3">
      <c r="C29" s="436" t="s">
        <v>3</v>
      </c>
      <c r="D29" s="105" t="s">
        <v>601</v>
      </c>
      <c r="G29" s="88" t="s">
        <v>640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</row>
    <row r="30" spans="3:41" x14ac:dyDescent="0.3">
      <c r="C30" s="436" t="s">
        <v>3</v>
      </c>
      <c r="D30" s="105" t="s">
        <v>602</v>
      </c>
      <c r="G30" s="88" t="s">
        <v>640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</row>
    <row r="31" spans="3:41" x14ac:dyDescent="0.3">
      <c r="C31" s="436" t="s">
        <v>3</v>
      </c>
      <c r="D31" s="105" t="s">
        <v>603</v>
      </c>
      <c r="G31" s="88" t="s">
        <v>640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</row>
    <row r="32" spans="3:41" x14ac:dyDescent="0.3">
      <c r="C32" s="436" t="s">
        <v>3</v>
      </c>
      <c r="D32" s="105" t="s">
        <v>604</v>
      </c>
      <c r="G32" s="88" t="s">
        <v>640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</row>
    <row r="33" spans="3:41" x14ac:dyDescent="0.3">
      <c r="C33" s="436" t="s">
        <v>3</v>
      </c>
      <c r="D33" s="105" t="s">
        <v>605</v>
      </c>
      <c r="G33" s="88" t="s">
        <v>640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</row>
    <row r="34" spans="3:41" x14ac:dyDescent="0.3">
      <c r="C34" s="436" t="s">
        <v>3</v>
      </c>
      <c r="D34" s="105" t="s">
        <v>606</v>
      </c>
      <c r="G34" s="88" t="s">
        <v>640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</row>
    <row r="35" spans="3:41" x14ac:dyDescent="0.3">
      <c r="C35" s="436" t="s">
        <v>3</v>
      </c>
      <c r="D35" s="105" t="s">
        <v>607</v>
      </c>
      <c r="G35" s="88" t="s">
        <v>640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</row>
    <row r="36" spans="3:41" x14ac:dyDescent="0.3">
      <c r="C36" s="436" t="s">
        <v>3</v>
      </c>
      <c r="D36" s="105" t="s">
        <v>608</v>
      </c>
      <c r="G36" s="88" t="s">
        <v>640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</row>
    <row r="37" spans="3:41" x14ac:dyDescent="0.3">
      <c r="C37" s="436" t="s">
        <v>3</v>
      </c>
      <c r="D37" s="488" t="s">
        <v>609</v>
      </c>
      <c r="E37" s="489"/>
      <c r="F37" s="489"/>
      <c r="G37" s="88" t="s">
        <v>640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</row>
    <row r="38" spans="3:41" x14ac:dyDescent="0.3">
      <c r="C38" s="436" t="s">
        <v>3</v>
      </c>
      <c r="D38" s="488" t="s">
        <v>610</v>
      </c>
      <c r="E38" s="489"/>
      <c r="F38" s="489"/>
      <c r="G38" s="88" t="s">
        <v>640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45">
        <v>0</v>
      </c>
      <c r="AM38" s="45">
        <v>0</v>
      </c>
      <c r="AN38" s="45">
        <v>0</v>
      </c>
      <c r="AO38" s="45">
        <v>0</v>
      </c>
    </row>
    <row r="39" spans="3:41" x14ac:dyDescent="0.3">
      <c r="C39" s="436" t="s">
        <v>3</v>
      </c>
      <c r="D39" s="488" t="s">
        <v>611</v>
      </c>
      <c r="E39" s="489"/>
      <c r="F39" s="489"/>
      <c r="G39" s="88" t="s">
        <v>640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45">
        <v>0</v>
      </c>
      <c r="AI39" s="45">
        <v>0</v>
      </c>
      <c r="AJ39" s="45">
        <v>0</v>
      </c>
      <c r="AK39" s="45">
        <v>0</v>
      </c>
      <c r="AL39" s="45">
        <v>0</v>
      </c>
      <c r="AM39" s="45">
        <v>0</v>
      </c>
      <c r="AN39" s="45">
        <v>0</v>
      </c>
      <c r="AO39" s="45">
        <v>0</v>
      </c>
    </row>
    <row r="40" spans="3:41" x14ac:dyDescent="0.3">
      <c r="C40" s="436" t="s">
        <v>3</v>
      </c>
      <c r="D40" s="105" t="s">
        <v>612</v>
      </c>
      <c r="G40" s="88" t="s">
        <v>640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45">
        <v>0</v>
      </c>
      <c r="AM40" s="45">
        <v>0</v>
      </c>
      <c r="AN40" s="45">
        <v>0</v>
      </c>
      <c r="AO40" s="45">
        <v>0</v>
      </c>
    </row>
    <row r="41" spans="3:41" x14ac:dyDescent="0.3">
      <c r="C41" s="436" t="s">
        <v>3</v>
      </c>
      <c r="D41" s="105" t="s">
        <v>613</v>
      </c>
      <c r="G41" s="88" t="s">
        <v>640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45">
        <v>0</v>
      </c>
      <c r="AM41" s="45">
        <v>0</v>
      </c>
      <c r="AN41" s="45">
        <v>0</v>
      </c>
      <c r="AO41" s="45">
        <v>0</v>
      </c>
    </row>
    <row r="42" spans="3:41" x14ac:dyDescent="0.3">
      <c r="C42" s="436" t="s">
        <v>3</v>
      </c>
      <c r="D42" s="105" t="s">
        <v>614</v>
      </c>
      <c r="G42" s="88" t="s">
        <v>640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45">
        <v>0</v>
      </c>
      <c r="AM42" s="45">
        <v>0</v>
      </c>
      <c r="AN42" s="45">
        <v>0</v>
      </c>
      <c r="AO42" s="45">
        <v>0</v>
      </c>
    </row>
    <row r="43" spans="3:41" x14ac:dyDescent="0.3">
      <c r="C43" s="436" t="s">
        <v>3</v>
      </c>
      <c r="D43" s="105" t="s">
        <v>615</v>
      </c>
      <c r="G43" s="88" t="s">
        <v>640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  <c r="AJ43" s="45">
        <v>0</v>
      </c>
      <c r="AK43" s="45">
        <v>0</v>
      </c>
      <c r="AL43" s="45">
        <v>0</v>
      </c>
      <c r="AM43" s="45">
        <v>0</v>
      </c>
      <c r="AN43" s="45">
        <v>0</v>
      </c>
      <c r="AO43" s="45">
        <v>0</v>
      </c>
    </row>
    <row r="44" spans="3:41" x14ac:dyDescent="0.3">
      <c r="C44" s="436" t="s">
        <v>3</v>
      </c>
      <c r="D44" s="105" t="s">
        <v>616</v>
      </c>
      <c r="G44" s="88" t="s">
        <v>640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5">
        <v>0</v>
      </c>
      <c r="U44" s="45">
        <v>0</v>
      </c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5">
        <v>0</v>
      </c>
      <c r="AH44" s="45">
        <v>0</v>
      </c>
      <c r="AI44" s="45">
        <v>0</v>
      </c>
      <c r="AJ44" s="45">
        <v>0</v>
      </c>
      <c r="AK44" s="45">
        <v>0</v>
      </c>
      <c r="AL44" s="45">
        <v>0</v>
      </c>
      <c r="AM44" s="45">
        <v>0</v>
      </c>
      <c r="AN44" s="45">
        <v>0</v>
      </c>
      <c r="AO44" s="45">
        <v>0</v>
      </c>
    </row>
    <row r="45" spans="3:41" x14ac:dyDescent="0.3">
      <c r="C45" s="436" t="s">
        <v>3</v>
      </c>
      <c r="D45" s="105" t="s">
        <v>617</v>
      </c>
      <c r="G45" s="88" t="s">
        <v>640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45">
        <v>0</v>
      </c>
      <c r="AI45" s="45">
        <v>0</v>
      </c>
      <c r="AJ45" s="45">
        <v>0</v>
      </c>
      <c r="AK45" s="45">
        <v>0</v>
      </c>
      <c r="AL45" s="45">
        <v>0</v>
      </c>
      <c r="AM45" s="45">
        <v>0</v>
      </c>
      <c r="AN45" s="45">
        <v>0</v>
      </c>
      <c r="AO45" s="45">
        <v>0</v>
      </c>
    </row>
    <row r="46" spans="3:41" x14ac:dyDescent="0.3">
      <c r="C46" s="436" t="s">
        <v>3</v>
      </c>
      <c r="D46" s="105" t="s">
        <v>618</v>
      </c>
      <c r="G46" s="88" t="s">
        <v>640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>
        <v>0</v>
      </c>
    </row>
    <row r="47" spans="3:41" x14ac:dyDescent="0.3">
      <c r="C47" s="436" t="s">
        <v>3</v>
      </c>
      <c r="D47" s="105" t="s">
        <v>619</v>
      </c>
      <c r="G47" s="88" t="s">
        <v>640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45">
        <v>0</v>
      </c>
      <c r="AH47" s="45">
        <v>0</v>
      </c>
      <c r="AI47" s="45">
        <v>0</v>
      </c>
      <c r="AJ47" s="45">
        <v>0</v>
      </c>
      <c r="AK47" s="45">
        <v>0</v>
      </c>
      <c r="AL47" s="45">
        <v>0</v>
      </c>
      <c r="AM47" s="45">
        <v>0</v>
      </c>
      <c r="AN47" s="45">
        <v>0</v>
      </c>
      <c r="AO47" s="45">
        <v>0</v>
      </c>
    </row>
    <row r="48" spans="3:41" x14ac:dyDescent="0.3">
      <c r="C48" s="436" t="s">
        <v>3</v>
      </c>
      <c r="D48" s="105" t="s">
        <v>620</v>
      </c>
      <c r="G48" s="88" t="s">
        <v>640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v>0</v>
      </c>
      <c r="Q48" s="45">
        <v>0</v>
      </c>
      <c r="R48" s="45">
        <v>0</v>
      </c>
      <c r="S48" s="45">
        <v>0</v>
      </c>
      <c r="T48" s="45">
        <v>0</v>
      </c>
      <c r="U48" s="45">
        <v>0</v>
      </c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45">
        <v>0</v>
      </c>
      <c r="AI48" s="45">
        <v>0</v>
      </c>
      <c r="AJ48" s="45">
        <v>0</v>
      </c>
      <c r="AK48" s="45">
        <v>0</v>
      </c>
      <c r="AL48" s="45">
        <v>0</v>
      </c>
      <c r="AM48" s="45">
        <v>0</v>
      </c>
      <c r="AN48" s="45">
        <v>0</v>
      </c>
      <c r="AO48" s="45">
        <v>0</v>
      </c>
    </row>
    <row r="49" spans="3:41" x14ac:dyDescent="0.3">
      <c r="C49" s="436" t="s">
        <v>3</v>
      </c>
      <c r="D49" s="105" t="s">
        <v>621</v>
      </c>
      <c r="G49" s="88" t="s">
        <v>640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  <c r="Z49" s="45">
        <v>0</v>
      </c>
      <c r="AA49" s="45">
        <v>0</v>
      </c>
      <c r="AB49" s="45">
        <v>0</v>
      </c>
      <c r="AC49" s="45">
        <v>0</v>
      </c>
      <c r="AD49" s="45">
        <v>0</v>
      </c>
      <c r="AE49" s="45">
        <v>0</v>
      </c>
      <c r="AF49" s="45">
        <v>0</v>
      </c>
      <c r="AG49" s="45">
        <v>0</v>
      </c>
      <c r="AH49" s="45">
        <v>0</v>
      </c>
      <c r="AI49" s="45">
        <v>0</v>
      </c>
      <c r="AJ49" s="45">
        <v>0</v>
      </c>
      <c r="AK49" s="45">
        <v>0</v>
      </c>
      <c r="AL49" s="45">
        <v>0</v>
      </c>
      <c r="AM49" s="45">
        <v>0</v>
      </c>
      <c r="AN49" s="45">
        <v>0</v>
      </c>
      <c r="AO49" s="45">
        <v>0</v>
      </c>
    </row>
    <row r="50" spans="3:41" x14ac:dyDescent="0.3">
      <c r="C50" s="436" t="s">
        <v>3</v>
      </c>
      <c r="D50" s="105" t="s">
        <v>622</v>
      </c>
      <c r="G50" s="88" t="s">
        <v>640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45">
        <v>0</v>
      </c>
      <c r="AH50" s="45">
        <v>0</v>
      </c>
      <c r="AI50" s="45">
        <v>0</v>
      </c>
      <c r="AJ50" s="45">
        <v>0</v>
      </c>
      <c r="AK50" s="45">
        <v>0</v>
      </c>
      <c r="AL50" s="45">
        <v>0</v>
      </c>
      <c r="AM50" s="45">
        <v>0</v>
      </c>
      <c r="AN50" s="45">
        <v>0</v>
      </c>
      <c r="AO50" s="45">
        <v>0</v>
      </c>
    </row>
    <row r="51" spans="3:41" x14ac:dyDescent="0.3">
      <c r="C51" s="436" t="s">
        <v>3</v>
      </c>
      <c r="D51" s="105" t="s">
        <v>623</v>
      </c>
      <c r="G51" s="88" t="s">
        <v>640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45">
        <v>0</v>
      </c>
      <c r="AI51" s="45">
        <v>0</v>
      </c>
      <c r="AJ51" s="45">
        <v>0</v>
      </c>
      <c r="AK51" s="45">
        <v>0</v>
      </c>
      <c r="AL51" s="45">
        <v>0</v>
      </c>
      <c r="AM51" s="45">
        <v>0</v>
      </c>
      <c r="AN51" s="45">
        <v>0</v>
      </c>
      <c r="AO51" s="45">
        <v>0</v>
      </c>
    </row>
    <row r="52" spans="3:41" x14ac:dyDescent="0.3">
      <c r="C52" s="436" t="s">
        <v>3</v>
      </c>
      <c r="D52" s="105" t="s">
        <v>624</v>
      </c>
      <c r="G52" s="88" t="s">
        <v>640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0</v>
      </c>
      <c r="R52" s="45">
        <v>0</v>
      </c>
      <c r="S52" s="45">
        <v>0</v>
      </c>
      <c r="T52" s="45">
        <v>0</v>
      </c>
      <c r="U52" s="45">
        <v>0</v>
      </c>
      <c r="V52" s="45">
        <v>0</v>
      </c>
      <c r="W52" s="45">
        <v>0</v>
      </c>
      <c r="X52" s="45">
        <v>0</v>
      </c>
      <c r="Y52" s="45">
        <v>0</v>
      </c>
      <c r="Z52" s="45">
        <v>0</v>
      </c>
      <c r="AA52" s="45">
        <v>0</v>
      </c>
      <c r="AB52" s="45">
        <v>0</v>
      </c>
      <c r="AC52" s="45">
        <v>0</v>
      </c>
      <c r="AD52" s="45">
        <v>0</v>
      </c>
      <c r="AE52" s="45">
        <v>0</v>
      </c>
      <c r="AF52" s="45">
        <v>0</v>
      </c>
      <c r="AG52" s="45">
        <v>0</v>
      </c>
      <c r="AH52" s="45">
        <v>0</v>
      </c>
      <c r="AI52" s="45">
        <v>0</v>
      </c>
      <c r="AJ52" s="45">
        <v>0</v>
      </c>
      <c r="AK52" s="45">
        <v>0</v>
      </c>
      <c r="AL52" s="45">
        <v>0</v>
      </c>
      <c r="AM52" s="45">
        <v>0</v>
      </c>
      <c r="AN52" s="45">
        <v>0</v>
      </c>
      <c r="AO52" s="45">
        <v>0</v>
      </c>
    </row>
    <row r="53" spans="3:41" x14ac:dyDescent="0.3">
      <c r="C53" s="436" t="s">
        <v>3</v>
      </c>
      <c r="D53" s="105" t="s">
        <v>625</v>
      </c>
      <c r="G53" s="88" t="s">
        <v>640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v>0</v>
      </c>
      <c r="Q53" s="4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45">
        <v>0</v>
      </c>
      <c r="AH53" s="45">
        <v>0</v>
      </c>
      <c r="AI53" s="45">
        <v>0</v>
      </c>
      <c r="AJ53" s="45">
        <v>0</v>
      </c>
      <c r="AK53" s="45">
        <v>0</v>
      </c>
      <c r="AL53" s="45">
        <v>0</v>
      </c>
      <c r="AM53" s="45">
        <v>0</v>
      </c>
      <c r="AN53" s="45">
        <v>0</v>
      </c>
      <c r="AO53" s="45">
        <v>0</v>
      </c>
    </row>
    <row r="54" spans="3:41" x14ac:dyDescent="0.3">
      <c r="C54" s="436" t="s">
        <v>3</v>
      </c>
      <c r="D54" s="105" t="s">
        <v>626</v>
      </c>
      <c r="G54" s="88" t="s">
        <v>640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45">
        <v>0</v>
      </c>
      <c r="AH54" s="45">
        <v>0</v>
      </c>
      <c r="AI54" s="45">
        <v>0</v>
      </c>
      <c r="AJ54" s="45">
        <v>0</v>
      </c>
      <c r="AK54" s="45">
        <v>0</v>
      </c>
      <c r="AL54" s="45">
        <v>0</v>
      </c>
      <c r="AM54" s="45">
        <v>0</v>
      </c>
      <c r="AN54" s="45">
        <v>0</v>
      </c>
      <c r="AO54" s="45">
        <v>0</v>
      </c>
    </row>
    <row r="55" spans="3:41" x14ac:dyDescent="0.3">
      <c r="C55" s="436" t="s">
        <v>3</v>
      </c>
      <c r="D55" s="105" t="s">
        <v>627</v>
      </c>
      <c r="G55" s="88" t="s">
        <v>640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45">
        <v>0</v>
      </c>
      <c r="AH55" s="45">
        <v>0</v>
      </c>
      <c r="AI55" s="45">
        <v>0</v>
      </c>
      <c r="AJ55" s="45">
        <v>0</v>
      </c>
      <c r="AK55" s="45">
        <v>0</v>
      </c>
      <c r="AL55" s="45">
        <v>0</v>
      </c>
      <c r="AM55" s="45">
        <v>0</v>
      </c>
      <c r="AN55" s="45">
        <v>0</v>
      </c>
      <c r="AO55" s="45">
        <v>0</v>
      </c>
    </row>
    <row r="56" spans="3:41" x14ac:dyDescent="0.3">
      <c r="C56" s="436" t="s">
        <v>3</v>
      </c>
      <c r="D56" s="105" t="s">
        <v>628</v>
      </c>
      <c r="G56" s="88" t="s">
        <v>640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 s="45">
        <v>0</v>
      </c>
      <c r="AL56" s="45">
        <v>0</v>
      </c>
      <c r="AM56" s="45">
        <v>0</v>
      </c>
      <c r="AN56" s="45">
        <v>0</v>
      </c>
      <c r="AO56" s="45">
        <v>0</v>
      </c>
    </row>
    <row r="57" spans="3:41" x14ac:dyDescent="0.3">
      <c r="C57" s="436" t="s">
        <v>3</v>
      </c>
      <c r="D57" s="105" t="s">
        <v>629</v>
      </c>
      <c r="G57" s="88" t="s">
        <v>640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v>0</v>
      </c>
      <c r="Q57" s="45">
        <v>0</v>
      </c>
      <c r="R57" s="45">
        <v>0</v>
      </c>
      <c r="S57" s="45">
        <v>0</v>
      </c>
      <c r="T57" s="45">
        <v>0</v>
      </c>
      <c r="U57" s="45">
        <v>0</v>
      </c>
      <c r="V57" s="45">
        <v>0</v>
      </c>
      <c r="W57" s="45">
        <v>0</v>
      </c>
      <c r="X57" s="45">
        <v>0</v>
      </c>
      <c r="Y57" s="45">
        <v>0</v>
      </c>
      <c r="Z57" s="45">
        <v>0</v>
      </c>
      <c r="AA57" s="45">
        <v>0</v>
      </c>
      <c r="AB57" s="45">
        <v>0</v>
      </c>
      <c r="AC57" s="45">
        <v>0</v>
      </c>
      <c r="AD57" s="45">
        <v>0</v>
      </c>
      <c r="AE57" s="45">
        <v>0</v>
      </c>
      <c r="AF57" s="45">
        <v>0</v>
      </c>
      <c r="AG57" s="45">
        <v>0</v>
      </c>
      <c r="AH57" s="45">
        <v>0</v>
      </c>
      <c r="AI57" s="45">
        <v>0</v>
      </c>
      <c r="AJ57" s="45">
        <v>0</v>
      </c>
      <c r="AK57" s="45">
        <v>0</v>
      </c>
      <c r="AL57" s="45">
        <v>0</v>
      </c>
      <c r="AM57" s="45">
        <v>0</v>
      </c>
      <c r="AN57" s="45">
        <v>0</v>
      </c>
      <c r="AO57" s="45">
        <v>0</v>
      </c>
    </row>
    <row r="58" spans="3:41" x14ac:dyDescent="0.3">
      <c r="C58" s="436" t="s">
        <v>3</v>
      </c>
      <c r="D58" s="105" t="s">
        <v>630</v>
      </c>
      <c r="G58" s="88" t="s">
        <v>640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v>0</v>
      </c>
      <c r="Q58" s="45">
        <v>0</v>
      </c>
      <c r="R58" s="45">
        <v>0</v>
      </c>
      <c r="S58" s="45">
        <v>0</v>
      </c>
      <c r="T58" s="45">
        <v>0</v>
      </c>
      <c r="U58" s="45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45">
        <v>0</v>
      </c>
      <c r="AH58" s="45">
        <v>0</v>
      </c>
      <c r="AI58" s="45">
        <v>0</v>
      </c>
      <c r="AJ58" s="45">
        <v>0</v>
      </c>
      <c r="AK58" s="45">
        <v>0</v>
      </c>
      <c r="AL58" s="45">
        <v>0</v>
      </c>
      <c r="AM58" s="45">
        <v>0</v>
      </c>
      <c r="AN58" s="45">
        <v>0</v>
      </c>
      <c r="AO58" s="45">
        <v>0</v>
      </c>
    </row>
    <row r="59" spans="3:41" x14ac:dyDescent="0.3">
      <c r="C59" s="436" t="s">
        <v>3</v>
      </c>
      <c r="D59" s="105" t="s">
        <v>631</v>
      </c>
      <c r="G59" s="88" t="s">
        <v>640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45">
        <v>0</v>
      </c>
      <c r="AH59" s="45">
        <v>0</v>
      </c>
      <c r="AI59" s="45">
        <v>0</v>
      </c>
      <c r="AJ59" s="45">
        <v>0</v>
      </c>
      <c r="AK59" s="45">
        <v>0</v>
      </c>
      <c r="AL59" s="45">
        <v>0</v>
      </c>
      <c r="AM59" s="45">
        <v>0</v>
      </c>
      <c r="AN59" s="45">
        <v>0</v>
      </c>
      <c r="AO59" s="45">
        <v>0</v>
      </c>
    </row>
    <row r="60" spans="3:41" x14ac:dyDescent="0.3">
      <c r="C60" s="436" t="s">
        <v>3</v>
      </c>
      <c r="D60" s="105" t="s">
        <v>632</v>
      </c>
      <c r="G60" s="88" t="s">
        <v>640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v>0</v>
      </c>
      <c r="Q60" s="45">
        <v>0</v>
      </c>
      <c r="R60" s="45">
        <v>0</v>
      </c>
      <c r="S60" s="45">
        <v>0</v>
      </c>
      <c r="T60" s="45">
        <v>0</v>
      </c>
      <c r="U60" s="45">
        <v>0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45">
        <v>0</v>
      </c>
      <c r="AH60" s="45">
        <v>0</v>
      </c>
      <c r="AI60" s="45">
        <v>0</v>
      </c>
      <c r="AJ60" s="45">
        <v>0</v>
      </c>
      <c r="AK60" s="45">
        <v>0</v>
      </c>
      <c r="AL60" s="45">
        <v>0</v>
      </c>
      <c r="AM60" s="45">
        <v>0</v>
      </c>
      <c r="AN60" s="45">
        <v>0</v>
      </c>
      <c r="AO60" s="45">
        <v>0</v>
      </c>
    </row>
    <row r="61" spans="3:41" x14ac:dyDescent="0.3">
      <c r="C61" s="436" t="s">
        <v>3</v>
      </c>
      <c r="D61" s="105" t="s">
        <v>633</v>
      </c>
      <c r="G61" s="88" t="s">
        <v>640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v>0</v>
      </c>
      <c r="Q61" s="45">
        <v>0</v>
      </c>
      <c r="R61" s="45">
        <v>0</v>
      </c>
      <c r="S61" s="45">
        <v>0</v>
      </c>
      <c r="T61" s="45">
        <v>0</v>
      </c>
      <c r="U61" s="45">
        <v>0</v>
      </c>
      <c r="V61" s="45">
        <v>0</v>
      </c>
      <c r="W61" s="45">
        <v>0</v>
      </c>
      <c r="X61" s="45">
        <v>0</v>
      </c>
      <c r="Y61" s="45">
        <v>0</v>
      </c>
      <c r="Z61" s="45">
        <v>0</v>
      </c>
      <c r="AA61" s="45">
        <v>0</v>
      </c>
      <c r="AB61" s="45">
        <v>0</v>
      </c>
      <c r="AC61" s="45">
        <v>0</v>
      </c>
      <c r="AD61" s="45">
        <v>0</v>
      </c>
      <c r="AE61" s="45">
        <v>0</v>
      </c>
      <c r="AF61" s="45">
        <v>0</v>
      </c>
      <c r="AG61" s="45">
        <v>0</v>
      </c>
      <c r="AH61" s="45">
        <v>0</v>
      </c>
      <c r="AI61" s="45">
        <v>0</v>
      </c>
      <c r="AJ61" s="45">
        <v>0</v>
      </c>
      <c r="AK61" s="45">
        <v>0</v>
      </c>
      <c r="AL61" s="45">
        <v>0</v>
      </c>
      <c r="AM61" s="45">
        <v>0</v>
      </c>
      <c r="AN61" s="45">
        <v>0</v>
      </c>
      <c r="AO61" s="45">
        <v>0</v>
      </c>
    </row>
    <row r="62" spans="3:41" x14ac:dyDescent="0.3">
      <c r="C62" s="436" t="s">
        <v>3</v>
      </c>
      <c r="D62" s="105" t="s">
        <v>634</v>
      </c>
      <c r="G62" s="88" t="s">
        <v>640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0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45">
        <v>0</v>
      </c>
      <c r="AH62" s="45">
        <v>0</v>
      </c>
      <c r="AI62" s="45">
        <v>0</v>
      </c>
      <c r="AJ62" s="45">
        <v>0</v>
      </c>
      <c r="AK62" s="45">
        <v>0</v>
      </c>
      <c r="AL62" s="45">
        <v>0</v>
      </c>
      <c r="AM62" s="45">
        <v>0</v>
      </c>
      <c r="AN62" s="45">
        <v>0</v>
      </c>
      <c r="AO62" s="45">
        <v>0</v>
      </c>
    </row>
    <row r="63" spans="3:41" x14ac:dyDescent="0.3">
      <c r="C63" s="436" t="s">
        <v>3</v>
      </c>
      <c r="D63" s="105" t="s">
        <v>635</v>
      </c>
      <c r="G63" s="88" t="s">
        <v>640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  <c r="AJ63" s="45">
        <v>0</v>
      </c>
      <c r="AK63" s="45">
        <v>0</v>
      </c>
      <c r="AL63" s="45">
        <v>0</v>
      </c>
      <c r="AM63" s="45">
        <v>0</v>
      </c>
      <c r="AN63" s="45">
        <v>0</v>
      </c>
      <c r="AO63" s="45">
        <v>0</v>
      </c>
    </row>
    <row r="64" spans="3:41" x14ac:dyDescent="0.3">
      <c r="C64" s="368"/>
      <c r="D64" s="231" t="s">
        <v>533</v>
      </c>
      <c r="E64" s="191"/>
      <c r="F64" s="191"/>
      <c r="G64" s="191"/>
      <c r="I64" s="239">
        <f t="shared" ref="I64:AO64" si="1">++SUM(I14:I63)</f>
        <v>0</v>
      </c>
      <c r="J64" s="232">
        <f t="shared" si="1"/>
        <v>0</v>
      </c>
      <c r="K64" s="232">
        <f t="shared" si="1"/>
        <v>0</v>
      </c>
      <c r="L64" s="232">
        <f t="shared" si="1"/>
        <v>0</v>
      </c>
      <c r="M64" s="239">
        <f t="shared" si="1"/>
        <v>0</v>
      </c>
      <c r="N64" s="232">
        <f t="shared" si="1"/>
        <v>0</v>
      </c>
      <c r="O64" s="232">
        <f t="shared" si="1"/>
        <v>0</v>
      </c>
      <c r="P64" s="232">
        <f t="shared" si="1"/>
        <v>0</v>
      </c>
      <c r="Q64" s="239">
        <f t="shared" si="1"/>
        <v>0</v>
      </c>
      <c r="R64" s="232">
        <f t="shared" si="1"/>
        <v>0</v>
      </c>
      <c r="S64" s="232">
        <f t="shared" si="1"/>
        <v>0</v>
      </c>
      <c r="T64" s="232">
        <f t="shared" si="1"/>
        <v>0</v>
      </c>
      <c r="U64" s="239">
        <f t="shared" si="1"/>
        <v>0</v>
      </c>
      <c r="V64" s="232">
        <f t="shared" si="1"/>
        <v>0</v>
      </c>
      <c r="W64" s="232">
        <f t="shared" si="1"/>
        <v>0</v>
      </c>
      <c r="X64" s="232">
        <f t="shared" si="1"/>
        <v>0</v>
      </c>
      <c r="Y64" s="239">
        <f t="shared" si="1"/>
        <v>0</v>
      </c>
      <c r="Z64" s="232">
        <f t="shared" si="1"/>
        <v>0</v>
      </c>
      <c r="AA64" s="232">
        <f t="shared" si="1"/>
        <v>0</v>
      </c>
      <c r="AB64" s="232">
        <f t="shared" si="1"/>
        <v>0</v>
      </c>
      <c r="AC64" s="239">
        <f t="shared" si="1"/>
        <v>0</v>
      </c>
      <c r="AD64" s="232">
        <f t="shared" si="1"/>
        <v>0</v>
      </c>
      <c r="AE64" s="232">
        <f t="shared" si="1"/>
        <v>0</v>
      </c>
      <c r="AF64" s="232">
        <f t="shared" si="1"/>
        <v>0</v>
      </c>
      <c r="AG64" s="239">
        <f t="shared" si="1"/>
        <v>0</v>
      </c>
      <c r="AH64" s="232">
        <f t="shared" si="1"/>
        <v>0</v>
      </c>
      <c r="AI64" s="232">
        <f t="shared" si="1"/>
        <v>0</v>
      </c>
      <c r="AJ64" s="232">
        <f t="shared" si="1"/>
        <v>0</v>
      </c>
      <c r="AK64" s="239">
        <f t="shared" si="1"/>
        <v>0</v>
      </c>
      <c r="AL64" s="232">
        <f t="shared" si="1"/>
        <v>0</v>
      </c>
      <c r="AM64" s="232">
        <f t="shared" si="1"/>
        <v>0</v>
      </c>
      <c r="AN64" s="232">
        <f t="shared" si="1"/>
        <v>0</v>
      </c>
      <c r="AO64" s="239">
        <f t="shared" si="1"/>
        <v>0</v>
      </c>
    </row>
    <row r="65" spans="3:41" x14ac:dyDescent="0.3">
      <c r="C65" s="368"/>
      <c r="I65" s="203"/>
      <c r="M65" s="203"/>
      <c r="Q65" s="203"/>
      <c r="U65" s="203"/>
      <c r="Y65" s="203"/>
      <c r="AC65" s="203"/>
      <c r="AG65" s="203"/>
      <c r="AK65" s="203"/>
      <c r="AO65" s="203"/>
    </row>
    <row r="66" spans="3:41" x14ac:dyDescent="0.3">
      <c r="C66" s="438" t="s">
        <v>3</v>
      </c>
      <c r="D66" s="193" t="s">
        <v>136</v>
      </c>
      <c r="I66" s="210">
        <f t="shared" ref="I66:AO66" si="2">++SUM(I12,I64)</f>
        <v>0</v>
      </c>
      <c r="J66" s="221">
        <f t="shared" si="2"/>
        <v>0</v>
      </c>
      <c r="K66" s="221">
        <f t="shared" si="2"/>
        <v>0</v>
      </c>
      <c r="L66" s="221">
        <f t="shared" si="2"/>
        <v>0</v>
      </c>
      <c r="M66" s="210">
        <f t="shared" si="2"/>
        <v>0</v>
      </c>
      <c r="N66" s="221">
        <f t="shared" si="2"/>
        <v>0</v>
      </c>
      <c r="O66" s="221">
        <f t="shared" si="2"/>
        <v>0</v>
      </c>
      <c r="P66" s="221">
        <f t="shared" si="2"/>
        <v>0</v>
      </c>
      <c r="Q66" s="210">
        <f t="shared" si="2"/>
        <v>0</v>
      </c>
      <c r="R66" s="221">
        <f t="shared" si="2"/>
        <v>0</v>
      </c>
      <c r="S66" s="221">
        <f t="shared" si="2"/>
        <v>0</v>
      </c>
      <c r="T66" s="221">
        <f t="shared" si="2"/>
        <v>0</v>
      </c>
      <c r="U66" s="210">
        <f t="shared" si="2"/>
        <v>0</v>
      </c>
      <c r="V66" s="221">
        <f t="shared" si="2"/>
        <v>0</v>
      </c>
      <c r="W66" s="221">
        <f t="shared" si="2"/>
        <v>0</v>
      </c>
      <c r="X66" s="221">
        <f t="shared" si="2"/>
        <v>0</v>
      </c>
      <c r="Y66" s="210">
        <f t="shared" si="2"/>
        <v>0</v>
      </c>
      <c r="Z66" s="221">
        <f t="shared" si="2"/>
        <v>0</v>
      </c>
      <c r="AA66" s="221">
        <f t="shared" si="2"/>
        <v>0</v>
      </c>
      <c r="AB66" s="221">
        <f t="shared" si="2"/>
        <v>0</v>
      </c>
      <c r="AC66" s="210">
        <f t="shared" si="2"/>
        <v>0</v>
      </c>
      <c r="AD66" s="221">
        <f t="shared" si="2"/>
        <v>0</v>
      </c>
      <c r="AE66" s="221">
        <f t="shared" si="2"/>
        <v>0</v>
      </c>
      <c r="AF66" s="221">
        <f t="shared" si="2"/>
        <v>0</v>
      </c>
      <c r="AG66" s="210">
        <f t="shared" si="2"/>
        <v>0</v>
      </c>
      <c r="AH66" s="221">
        <f t="shared" si="2"/>
        <v>0</v>
      </c>
      <c r="AI66" s="221">
        <f t="shared" si="2"/>
        <v>0</v>
      </c>
      <c r="AJ66" s="221">
        <f t="shared" si="2"/>
        <v>0</v>
      </c>
      <c r="AK66" s="210">
        <f t="shared" si="2"/>
        <v>0</v>
      </c>
      <c r="AL66" s="221">
        <f t="shared" si="2"/>
        <v>0</v>
      </c>
      <c r="AM66" s="221">
        <f t="shared" si="2"/>
        <v>0</v>
      </c>
      <c r="AN66" s="221">
        <f t="shared" si="2"/>
        <v>0</v>
      </c>
      <c r="AO66" s="210">
        <f t="shared" si="2"/>
        <v>0</v>
      </c>
    </row>
    <row r="67" spans="3:41" x14ac:dyDescent="0.3">
      <c r="C67" s="368"/>
      <c r="I67" s="203"/>
      <c r="M67" s="203"/>
      <c r="Q67" s="203"/>
      <c r="U67" s="203"/>
      <c r="Y67" s="203"/>
      <c r="AC67" s="203"/>
      <c r="AG67" s="203"/>
      <c r="AK67" s="203"/>
      <c r="AO67" s="203"/>
    </row>
    <row r="68" spans="3:41" x14ac:dyDescent="0.3">
      <c r="C68" s="436" t="s">
        <v>3</v>
      </c>
      <c r="D68" s="105" t="s">
        <v>69</v>
      </c>
      <c r="G68" s="88" t="s">
        <v>639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0</v>
      </c>
      <c r="T68" s="45">
        <v>0</v>
      </c>
      <c r="U68" s="45">
        <v>0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45">
        <v>0</v>
      </c>
      <c r="AH68" s="45">
        <v>0</v>
      </c>
      <c r="AI68" s="45">
        <v>0</v>
      </c>
      <c r="AJ68" s="45">
        <v>0</v>
      </c>
      <c r="AK68" s="45">
        <v>0</v>
      </c>
      <c r="AL68" s="45">
        <v>0</v>
      </c>
      <c r="AM68" s="45">
        <v>0</v>
      </c>
      <c r="AN68" s="45">
        <v>0</v>
      </c>
      <c r="AO68" s="45">
        <v>0</v>
      </c>
    </row>
    <row r="69" spans="3:41" x14ac:dyDescent="0.3">
      <c r="C69" s="437" t="s">
        <v>3</v>
      </c>
      <c r="D69" s="105" t="s">
        <v>525</v>
      </c>
      <c r="G69" s="88" t="s">
        <v>639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45">
        <v>0</v>
      </c>
      <c r="AI69" s="45">
        <v>0</v>
      </c>
      <c r="AJ69" s="45">
        <v>0</v>
      </c>
      <c r="AK69" s="45">
        <v>0</v>
      </c>
      <c r="AL69" s="45">
        <v>0</v>
      </c>
      <c r="AM69" s="45">
        <v>0</v>
      </c>
      <c r="AN69" s="45">
        <v>0</v>
      </c>
      <c r="AO69" s="45">
        <v>0</v>
      </c>
    </row>
    <row r="70" spans="3:41" x14ac:dyDescent="0.3">
      <c r="C70" s="437" t="s">
        <v>3</v>
      </c>
      <c r="D70" s="105" t="s">
        <v>534</v>
      </c>
      <c r="G70" s="88" t="s">
        <v>639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0</v>
      </c>
      <c r="AJ70" s="45">
        <v>0</v>
      </c>
      <c r="AK70" s="45">
        <v>0</v>
      </c>
      <c r="AL70" s="45">
        <v>0</v>
      </c>
      <c r="AM70" s="45">
        <v>0</v>
      </c>
      <c r="AN70" s="45">
        <v>0</v>
      </c>
      <c r="AO70" s="45">
        <v>0</v>
      </c>
    </row>
    <row r="71" spans="3:41" x14ac:dyDescent="0.3">
      <c r="C71" s="436" t="s">
        <v>3</v>
      </c>
      <c r="D71" s="105" t="s">
        <v>536</v>
      </c>
      <c r="G71" s="88" t="s">
        <v>642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45">
        <v>0</v>
      </c>
      <c r="AI71" s="45">
        <v>0</v>
      </c>
      <c r="AJ71" s="45">
        <v>0</v>
      </c>
      <c r="AK71" s="45">
        <v>0</v>
      </c>
      <c r="AL71" s="45">
        <v>0</v>
      </c>
      <c r="AM71" s="45">
        <v>0</v>
      </c>
      <c r="AN71" s="45">
        <v>0</v>
      </c>
      <c r="AO71" s="45">
        <v>0</v>
      </c>
    </row>
    <row r="72" spans="3:41" x14ac:dyDescent="0.3">
      <c r="C72" s="436" t="s">
        <v>3</v>
      </c>
      <c r="D72" s="105" t="s">
        <v>537</v>
      </c>
      <c r="G72" s="88" t="s">
        <v>640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v>0</v>
      </c>
      <c r="AD72" s="45">
        <v>0</v>
      </c>
      <c r="AE72" s="45">
        <v>0</v>
      </c>
      <c r="AF72" s="45">
        <v>0</v>
      </c>
      <c r="AG72" s="45">
        <v>0</v>
      </c>
      <c r="AH72" s="45">
        <v>0</v>
      </c>
      <c r="AI72" s="45">
        <v>0</v>
      </c>
      <c r="AJ72" s="45">
        <v>0</v>
      </c>
      <c r="AK72" s="45">
        <v>0</v>
      </c>
      <c r="AL72" s="45">
        <v>0</v>
      </c>
      <c r="AM72" s="45">
        <v>0</v>
      </c>
      <c r="AN72" s="45">
        <v>0</v>
      </c>
      <c r="AO72" s="45">
        <v>0</v>
      </c>
    </row>
    <row r="73" spans="3:41" x14ac:dyDescent="0.3">
      <c r="C73" s="436" t="s">
        <v>3</v>
      </c>
      <c r="D73" s="105" t="s">
        <v>538</v>
      </c>
      <c r="G73" s="88" t="s">
        <v>640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>
        <v>0</v>
      </c>
      <c r="T73" s="45">
        <v>0</v>
      </c>
      <c r="U73" s="45">
        <v>0</v>
      </c>
      <c r="V73" s="45">
        <v>0</v>
      </c>
      <c r="W73" s="45">
        <v>0</v>
      </c>
      <c r="X73" s="45">
        <v>0</v>
      </c>
      <c r="Y73" s="45">
        <v>0</v>
      </c>
      <c r="Z73" s="45">
        <v>0</v>
      </c>
      <c r="AA73" s="45">
        <v>0</v>
      </c>
      <c r="AB73" s="45">
        <v>0</v>
      </c>
      <c r="AC73" s="45">
        <v>0</v>
      </c>
      <c r="AD73" s="45">
        <v>0</v>
      </c>
      <c r="AE73" s="45">
        <v>0</v>
      </c>
      <c r="AF73" s="45">
        <v>0</v>
      </c>
      <c r="AG73" s="45">
        <v>0</v>
      </c>
      <c r="AH73" s="45">
        <v>0</v>
      </c>
      <c r="AI73" s="45">
        <v>0</v>
      </c>
      <c r="AJ73" s="45">
        <v>0</v>
      </c>
      <c r="AK73" s="45">
        <v>0</v>
      </c>
      <c r="AL73" s="45">
        <v>0</v>
      </c>
      <c r="AM73" s="45">
        <v>0</v>
      </c>
      <c r="AN73" s="45">
        <v>0</v>
      </c>
      <c r="AO73" s="45">
        <v>0</v>
      </c>
    </row>
    <row r="74" spans="3:41" x14ac:dyDescent="0.3">
      <c r="C74" s="436" t="s">
        <v>3</v>
      </c>
      <c r="D74" s="105" t="s">
        <v>539</v>
      </c>
      <c r="G74" s="88" t="s">
        <v>640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v>0</v>
      </c>
      <c r="Q74" s="45">
        <v>0</v>
      </c>
      <c r="R74" s="45">
        <v>0</v>
      </c>
      <c r="S74" s="45">
        <v>0</v>
      </c>
      <c r="T74" s="45">
        <v>0</v>
      </c>
      <c r="U74" s="45">
        <v>0</v>
      </c>
      <c r="V74" s="45">
        <v>0</v>
      </c>
      <c r="W74" s="45">
        <v>0</v>
      </c>
      <c r="X74" s="45">
        <v>0</v>
      </c>
      <c r="Y74" s="45">
        <v>0</v>
      </c>
      <c r="Z74" s="45">
        <v>0</v>
      </c>
      <c r="AA74" s="45">
        <v>0</v>
      </c>
      <c r="AB74" s="45">
        <v>0</v>
      </c>
      <c r="AC74" s="45">
        <v>0</v>
      </c>
      <c r="AD74" s="45">
        <v>0</v>
      </c>
      <c r="AE74" s="45">
        <v>0</v>
      </c>
      <c r="AF74" s="45">
        <v>0</v>
      </c>
      <c r="AG74" s="45">
        <v>0</v>
      </c>
      <c r="AH74" s="45">
        <v>0</v>
      </c>
      <c r="AI74" s="45">
        <v>0</v>
      </c>
      <c r="AJ74" s="45">
        <v>0</v>
      </c>
      <c r="AK74" s="45">
        <v>0</v>
      </c>
      <c r="AL74" s="45">
        <v>0</v>
      </c>
      <c r="AM74" s="45">
        <v>0</v>
      </c>
      <c r="AN74" s="45">
        <v>0</v>
      </c>
      <c r="AO74" s="45">
        <v>0</v>
      </c>
    </row>
    <row r="75" spans="3:41" x14ac:dyDescent="0.3">
      <c r="C75" s="436" t="s">
        <v>3</v>
      </c>
      <c r="D75" s="105" t="s">
        <v>540</v>
      </c>
      <c r="G75" s="88" t="s">
        <v>640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>
        <v>0</v>
      </c>
      <c r="T75" s="45">
        <v>0</v>
      </c>
      <c r="U75" s="45">
        <v>0</v>
      </c>
      <c r="V75" s="45">
        <v>0</v>
      </c>
      <c r="W75" s="45">
        <v>0</v>
      </c>
      <c r="X75" s="45">
        <v>0</v>
      </c>
      <c r="Y75" s="45">
        <v>0</v>
      </c>
      <c r="Z75" s="45">
        <v>0</v>
      </c>
      <c r="AA75" s="45">
        <v>0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45">
        <v>0</v>
      </c>
      <c r="AH75" s="45">
        <v>0</v>
      </c>
      <c r="AI75" s="45">
        <v>0</v>
      </c>
      <c r="AJ75" s="45">
        <v>0</v>
      </c>
      <c r="AK75" s="45">
        <v>0</v>
      </c>
      <c r="AL75" s="45">
        <v>0</v>
      </c>
      <c r="AM75" s="45">
        <v>0</v>
      </c>
      <c r="AN75" s="45">
        <v>0</v>
      </c>
      <c r="AO75" s="45">
        <v>0</v>
      </c>
    </row>
    <row r="76" spans="3:41" x14ac:dyDescent="0.3">
      <c r="C76" s="436" t="s">
        <v>3</v>
      </c>
      <c r="D76" s="105" t="s">
        <v>541</v>
      </c>
      <c r="G76" s="88" t="s">
        <v>640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v>0</v>
      </c>
      <c r="Q76" s="45">
        <v>0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5">
        <v>0</v>
      </c>
      <c r="X76" s="45">
        <v>0</v>
      </c>
      <c r="Y76" s="45">
        <v>0</v>
      </c>
      <c r="Z76" s="45">
        <v>0</v>
      </c>
      <c r="AA76" s="45">
        <v>0</v>
      </c>
      <c r="AB76" s="45">
        <v>0</v>
      </c>
      <c r="AC76" s="45">
        <v>0</v>
      </c>
      <c r="AD76" s="45">
        <v>0</v>
      </c>
      <c r="AE76" s="45">
        <v>0</v>
      </c>
      <c r="AF76" s="45">
        <v>0</v>
      </c>
      <c r="AG76" s="45">
        <v>0</v>
      </c>
      <c r="AH76" s="45">
        <v>0</v>
      </c>
      <c r="AI76" s="45">
        <v>0</v>
      </c>
      <c r="AJ76" s="45">
        <v>0</v>
      </c>
      <c r="AK76" s="45">
        <v>0</v>
      </c>
      <c r="AL76" s="45">
        <v>0</v>
      </c>
      <c r="AM76" s="45">
        <v>0</v>
      </c>
      <c r="AN76" s="45">
        <v>0</v>
      </c>
      <c r="AO76" s="45">
        <v>0</v>
      </c>
    </row>
    <row r="77" spans="3:41" x14ac:dyDescent="0.3">
      <c r="C77" s="436" t="s">
        <v>3</v>
      </c>
      <c r="D77" s="105" t="s">
        <v>542</v>
      </c>
      <c r="G77" s="88" t="s">
        <v>640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5">
        <v>0</v>
      </c>
      <c r="AK77" s="45">
        <v>0</v>
      </c>
      <c r="AL77" s="45">
        <v>0</v>
      </c>
      <c r="AM77" s="45">
        <v>0</v>
      </c>
      <c r="AN77" s="45">
        <v>0</v>
      </c>
      <c r="AO77" s="45">
        <v>0</v>
      </c>
    </row>
    <row r="78" spans="3:41" x14ac:dyDescent="0.3">
      <c r="C78" s="436" t="s">
        <v>3</v>
      </c>
      <c r="D78" s="105" t="s">
        <v>543</v>
      </c>
      <c r="G78" s="88" t="s">
        <v>640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v>0</v>
      </c>
      <c r="W78" s="45">
        <v>0</v>
      </c>
      <c r="X78" s="45">
        <v>0</v>
      </c>
      <c r="Y78" s="45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  <c r="AJ78" s="45">
        <v>0</v>
      </c>
      <c r="AK78" s="45">
        <v>0</v>
      </c>
      <c r="AL78" s="45">
        <v>0</v>
      </c>
      <c r="AM78" s="45">
        <v>0</v>
      </c>
      <c r="AN78" s="45">
        <v>0</v>
      </c>
      <c r="AO78" s="45">
        <v>0</v>
      </c>
    </row>
    <row r="79" spans="3:41" x14ac:dyDescent="0.3">
      <c r="C79" s="436" t="s">
        <v>3</v>
      </c>
      <c r="D79" s="105" t="s">
        <v>544</v>
      </c>
      <c r="G79" s="88" t="s">
        <v>640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45">
        <v>0</v>
      </c>
      <c r="V79" s="45">
        <v>0</v>
      </c>
      <c r="W79" s="45">
        <v>0</v>
      </c>
      <c r="X79" s="45">
        <v>0</v>
      </c>
      <c r="Y79" s="45">
        <v>0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45">
        <v>0</v>
      </c>
      <c r="AH79" s="45">
        <v>0</v>
      </c>
      <c r="AI79" s="45">
        <v>0</v>
      </c>
      <c r="AJ79" s="45">
        <v>0</v>
      </c>
      <c r="AK79" s="45">
        <v>0</v>
      </c>
      <c r="AL79" s="45">
        <v>0</v>
      </c>
      <c r="AM79" s="45">
        <v>0</v>
      </c>
      <c r="AN79" s="45">
        <v>0</v>
      </c>
      <c r="AO79" s="45">
        <v>0</v>
      </c>
    </row>
    <row r="80" spans="3:41" x14ac:dyDescent="0.3">
      <c r="C80" s="436" t="s">
        <v>3</v>
      </c>
      <c r="D80" s="105" t="s">
        <v>545</v>
      </c>
      <c r="G80" s="88" t="s">
        <v>640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45">
        <v>0</v>
      </c>
      <c r="V80" s="45">
        <v>0</v>
      </c>
      <c r="W80" s="45">
        <v>0</v>
      </c>
      <c r="X80" s="45">
        <v>0</v>
      </c>
      <c r="Y80" s="45">
        <v>0</v>
      </c>
      <c r="Z80" s="45">
        <v>0</v>
      </c>
      <c r="AA80" s="45">
        <v>0</v>
      </c>
      <c r="AB80" s="45">
        <v>0</v>
      </c>
      <c r="AC80" s="45">
        <v>0</v>
      </c>
      <c r="AD80" s="45">
        <v>0</v>
      </c>
      <c r="AE80" s="45">
        <v>0</v>
      </c>
      <c r="AF80" s="45">
        <v>0</v>
      </c>
      <c r="AG80" s="45">
        <v>0</v>
      </c>
      <c r="AH80" s="45">
        <v>0</v>
      </c>
      <c r="AI80" s="45">
        <v>0</v>
      </c>
      <c r="AJ80" s="45">
        <v>0</v>
      </c>
      <c r="AK80" s="45">
        <v>0</v>
      </c>
      <c r="AL80" s="45">
        <v>0</v>
      </c>
      <c r="AM80" s="45">
        <v>0</v>
      </c>
      <c r="AN80" s="45">
        <v>0</v>
      </c>
      <c r="AO80" s="45">
        <v>0</v>
      </c>
    </row>
    <row r="81" spans="3:41" x14ac:dyDescent="0.3">
      <c r="C81" s="436" t="s">
        <v>3</v>
      </c>
      <c r="D81" s="105" t="s">
        <v>546</v>
      </c>
      <c r="G81" s="88" t="s">
        <v>640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0</v>
      </c>
      <c r="R81" s="45">
        <v>0</v>
      </c>
      <c r="S81" s="45">
        <v>0</v>
      </c>
      <c r="T81" s="45">
        <v>0</v>
      </c>
      <c r="U81" s="45">
        <v>0</v>
      </c>
      <c r="V81" s="45">
        <v>0</v>
      </c>
      <c r="W81" s="45">
        <v>0</v>
      </c>
      <c r="X81" s="45">
        <v>0</v>
      </c>
      <c r="Y81" s="45">
        <v>0</v>
      </c>
      <c r="Z81" s="45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0</v>
      </c>
      <c r="AG81" s="45">
        <v>0</v>
      </c>
      <c r="AH81" s="45">
        <v>0</v>
      </c>
      <c r="AI81" s="45">
        <v>0</v>
      </c>
      <c r="AJ81" s="45">
        <v>0</v>
      </c>
      <c r="AK81" s="45">
        <v>0</v>
      </c>
      <c r="AL81" s="45">
        <v>0</v>
      </c>
      <c r="AM81" s="45">
        <v>0</v>
      </c>
      <c r="AN81" s="45">
        <v>0</v>
      </c>
      <c r="AO81" s="45">
        <v>0</v>
      </c>
    </row>
    <row r="82" spans="3:41" x14ac:dyDescent="0.3">
      <c r="C82" s="436" t="s">
        <v>3</v>
      </c>
      <c r="D82" s="105" t="s">
        <v>547</v>
      </c>
      <c r="G82" s="88" t="s">
        <v>640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  <c r="AJ82" s="45">
        <v>0</v>
      </c>
      <c r="AK82" s="45">
        <v>0</v>
      </c>
      <c r="AL82" s="45">
        <v>0</v>
      </c>
      <c r="AM82" s="45">
        <v>0</v>
      </c>
      <c r="AN82" s="45">
        <v>0</v>
      </c>
      <c r="AO82" s="45">
        <v>0</v>
      </c>
    </row>
    <row r="83" spans="3:41" x14ac:dyDescent="0.3">
      <c r="C83" s="436" t="s">
        <v>3</v>
      </c>
      <c r="D83" s="105" t="s">
        <v>548</v>
      </c>
      <c r="G83" s="88" t="s">
        <v>640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  <c r="AJ83" s="45">
        <v>0</v>
      </c>
      <c r="AK83" s="45">
        <v>0</v>
      </c>
      <c r="AL83" s="45">
        <v>0</v>
      </c>
      <c r="AM83" s="45">
        <v>0</v>
      </c>
      <c r="AN83" s="45">
        <v>0</v>
      </c>
      <c r="AO83" s="45">
        <v>0</v>
      </c>
    </row>
    <row r="84" spans="3:41" x14ac:dyDescent="0.3">
      <c r="C84" s="436" t="s">
        <v>3</v>
      </c>
      <c r="D84" s="105" t="s">
        <v>549</v>
      </c>
      <c r="G84" s="88" t="s">
        <v>640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v>0</v>
      </c>
      <c r="W84" s="45">
        <v>0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  <c r="AJ84" s="45">
        <v>0</v>
      </c>
      <c r="AK84" s="45">
        <v>0</v>
      </c>
      <c r="AL84" s="45">
        <v>0</v>
      </c>
      <c r="AM84" s="45">
        <v>0</v>
      </c>
      <c r="AN84" s="45">
        <v>0</v>
      </c>
      <c r="AO84" s="45">
        <v>0</v>
      </c>
    </row>
    <row r="85" spans="3:41" x14ac:dyDescent="0.3">
      <c r="C85" s="436" t="s">
        <v>3</v>
      </c>
      <c r="D85" s="105" t="s">
        <v>550</v>
      </c>
      <c r="G85" s="88" t="s">
        <v>640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  <c r="AJ85" s="45">
        <v>0</v>
      </c>
      <c r="AK85" s="45">
        <v>0</v>
      </c>
      <c r="AL85" s="45">
        <v>0</v>
      </c>
      <c r="AM85" s="45">
        <v>0</v>
      </c>
      <c r="AN85" s="45">
        <v>0</v>
      </c>
      <c r="AO85" s="45">
        <v>0</v>
      </c>
    </row>
    <row r="86" spans="3:41" x14ac:dyDescent="0.3">
      <c r="C86" s="436" t="s">
        <v>3</v>
      </c>
      <c r="D86" s="105" t="s">
        <v>551</v>
      </c>
      <c r="G86" s="88" t="s">
        <v>640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0</v>
      </c>
      <c r="Q86" s="45">
        <v>0</v>
      </c>
      <c r="R86" s="45">
        <v>0</v>
      </c>
      <c r="S86" s="45">
        <v>0</v>
      </c>
      <c r="T86" s="45">
        <v>0</v>
      </c>
      <c r="U86" s="45">
        <v>0</v>
      </c>
      <c r="V86" s="45">
        <v>0</v>
      </c>
      <c r="W86" s="45">
        <v>0</v>
      </c>
      <c r="X86" s="45">
        <v>0</v>
      </c>
      <c r="Y86" s="45">
        <v>0</v>
      </c>
      <c r="Z86" s="45">
        <v>0</v>
      </c>
      <c r="AA86" s="45">
        <v>0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0</v>
      </c>
      <c r="AH86" s="45">
        <v>0</v>
      </c>
      <c r="AI86" s="45">
        <v>0</v>
      </c>
      <c r="AJ86" s="45">
        <v>0</v>
      </c>
      <c r="AK86" s="45">
        <v>0</v>
      </c>
      <c r="AL86" s="45">
        <v>0</v>
      </c>
      <c r="AM86" s="45">
        <v>0</v>
      </c>
      <c r="AN86" s="45">
        <v>0</v>
      </c>
      <c r="AO86" s="45">
        <v>0</v>
      </c>
    </row>
    <row r="87" spans="3:41" x14ac:dyDescent="0.3">
      <c r="C87" s="436" t="s">
        <v>3</v>
      </c>
      <c r="D87" s="105" t="s">
        <v>552</v>
      </c>
      <c r="G87" s="88" t="s">
        <v>640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v>0</v>
      </c>
      <c r="Q87" s="45">
        <v>0</v>
      </c>
      <c r="R87" s="45">
        <v>0</v>
      </c>
      <c r="S87" s="45">
        <v>0</v>
      </c>
      <c r="T87" s="45">
        <v>0</v>
      </c>
      <c r="U87" s="45">
        <v>0</v>
      </c>
      <c r="V87" s="45">
        <v>0</v>
      </c>
      <c r="W87" s="45">
        <v>0</v>
      </c>
      <c r="X87" s="45">
        <v>0</v>
      </c>
      <c r="Y87" s="45">
        <v>0</v>
      </c>
      <c r="Z87" s="45">
        <v>0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0</v>
      </c>
      <c r="AH87" s="45">
        <v>0</v>
      </c>
      <c r="AI87" s="45">
        <v>0</v>
      </c>
      <c r="AJ87" s="45">
        <v>0</v>
      </c>
      <c r="AK87" s="45">
        <v>0</v>
      </c>
      <c r="AL87" s="45">
        <v>0</v>
      </c>
      <c r="AM87" s="45">
        <v>0</v>
      </c>
      <c r="AN87" s="45">
        <v>0</v>
      </c>
      <c r="AO87" s="45">
        <v>0</v>
      </c>
    </row>
    <row r="88" spans="3:41" x14ac:dyDescent="0.3">
      <c r="C88" s="436" t="s">
        <v>3</v>
      </c>
      <c r="D88" s="105" t="s">
        <v>553</v>
      </c>
      <c r="G88" s="88" t="s">
        <v>640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v>0</v>
      </c>
      <c r="Q88" s="45">
        <v>0</v>
      </c>
      <c r="R88" s="45">
        <v>0</v>
      </c>
      <c r="S88" s="45">
        <v>0</v>
      </c>
      <c r="T88" s="45">
        <v>0</v>
      </c>
      <c r="U88" s="45">
        <v>0</v>
      </c>
      <c r="V88" s="45">
        <v>0</v>
      </c>
      <c r="W88" s="45">
        <v>0</v>
      </c>
      <c r="X88" s="45">
        <v>0</v>
      </c>
      <c r="Y88" s="45">
        <v>0</v>
      </c>
      <c r="Z88" s="45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0</v>
      </c>
      <c r="AH88" s="45">
        <v>0</v>
      </c>
      <c r="AI88" s="45">
        <v>0</v>
      </c>
      <c r="AJ88" s="45">
        <v>0</v>
      </c>
      <c r="AK88" s="45">
        <v>0</v>
      </c>
      <c r="AL88" s="45">
        <v>0</v>
      </c>
      <c r="AM88" s="45">
        <v>0</v>
      </c>
      <c r="AN88" s="45">
        <v>0</v>
      </c>
      <c r="AO88" s="45">
        <v>0</v>
      </c>
    </row>
    <row r="89" spans="3:41" x14ac:dyDescent="0.3">
      <c r="C89" s="436" t="s">
        <v>3</v>
      </c>
      <c r="D89" s="105" t="s">
        <v>554</v>
      </c>
      <c r="G89" s="88" t="s">
        <v>640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0</v>
      </c>
      <c r="U89" s="45">
        <v>0</v>
      </c>
      <c r="V89" s="45">
        <v>0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  <c r="AJ89" s="45">
        <v>0</v>
      </c>
      <c r="AK89" s="45">
        <v>0</v>
      </c>
      <c r="AL89" s="45">
        <v>0</v>
      </c>
      <c r="AM89" s="45">
        <v>0</v>
      </c>
      <c r="AN89" s="45">
        <v>0</v>
      </c>
      <c r="AO89" s="45">
        <v>0</v>
      </c>
    </row>
    <row r="90" spans="3:41" x14ac:dyDescent="0.3">
      <c r="C90" s="436" t="s">
        <v>3</v>
      </c>
      <c r="D90" s="105" t="s">
        <v>555</v>
      </c>
      <c r="G90" s="88" t="s">
        <v>640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v>0</v>
      </c>
      <c r="Q90" s="45">
        <v>0</v>
      </c>
      <c r="R90" s="45">
        <v>0</v>
      </c>
      <c r="S90" s="45">
        <v>0</v>
      </c>
      <c r="T90" s="45">
        <v>0</v>
      </c>
      <c r="U90" s="45">
        <v>0</v>
      </c>
      <c r="V90" s="45">
        <v>0</v>
      </c>
      <c r="W90" s="45">
        <v>0</v>
      </c>
      <c r="X90" s="45">
        <v>0</v>
      </c>
      <c r="Y90" s="45">
        <v>0</v>
      </c>
      <c r="Z90" s="45">
        <v>0</v>
      </c>
      <c r="AA90" s="45">
        <v>0</v>
      </c>
      <c r="AB90" s="45">
        <v>0</v>
      </c>
      <c r="AC90" s="45">
        <v>0</v>
      </c>
      <c r="AD90" s="45">
        <v>0</v>
      </c>
      <c r="AE90" s="45">
        <v>0</v>
      </c>
      <c r="AF90" s="45">
        <v>0</v>
      </c>
      <c r="AG90" s="45">
        <v>0</v>
      </c>
      <c r="AH90" s="45">
        <v>0</v>
      </c>
      <c r="AI90" s="45">
        <v>0</v>
      </c>
      <c r="AJ90" s="45">
        <v>0</v>
      </c>
      <c r="AK90" s="45">
        <v>0</v>
      </c>
      <c r="AL90" s="45">
        <v>0</v>
      </c>
      <c r="AM90" s="45">
        <v>0</v>
      </c>
      <c r="AN90" s="45">
        <v>0</v>
      </c>
      <c r="AO90" s="45">
        <v>0</v>
      </c>
    </row>
    <row r="91" spans="3:41" x14ac:dyDescent="0.3">
      <c r="C91" s="436" t="s">
        <v>3</v>
      </c>
      <c r="D91" s="105" t="s">
        <v>556</v>
      </c>
      <c r="G91" s="88" t="s">
        <v>640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v>0</v>
      </c>
      <c r="Q91" s="45">
        <v>0</v>
      </c>
      <c r="R91" s="45">
        <v>0</v>
      </c>
      <c r="S91" s="45">
        <v>0</v>
      </c>
      <c r="T91" s="45">
        <v>0</v>
      </c>
      <c r="U91" s="45">
        <v>0</v>
      </c>
      <c r="V91" s="45">
        <v>0</v>
      </c>
      <c r="W91" s="45">
        <v>0</v>
      </c>
      <c r="X91" s="45">
        <v>0</v>
      </c>
      <c r="Y91" s="45">
        <v>0</v>
      </c>
      <c r="Z91" s="45">
        <v>0</v>
      </c>
      <c r="AA91" s="45">
        <v>0</v>
      </c>
      <c r="AB91" s="45">
        <v>0</v>
      </c>
      <c r="AC91" s="45">
        <v>0</v>
      </c>
      <c r="AD91" s="45">
        <v>0</v>
      </c>
      <c r="AE91" s="45">
        <v>0</v>
      </c>
      <c r="AF91" s="45">
        <v>0</v>
      </c>
      <c r="AG91" s="45">
        <v>0</v>
      </c>
      <c r="AH91" s="45">
        <v>0</v>
      </c>
      <c r="AI91" s="45">
        <v>0</v>
      </c>
      <c r="AJ91" s="45">
        <v>0</v>
      </c>
      <c r="AK91" s="45">
        <v>0</v>
      </c>
      <c r="AL91" s="45">
        <v>0</v>
      </c>
      <c r="AM91" s="45">
        <v>0</v>
      </c>
      <c r="AN91" s="45">
        <v>0</v>
      </c>
      <c r="AO91" s="45">
        <v>0</v>
      </c>
    </row>
    <row r="92" spans="3:41" x14ac:dyDescent="0.3">
      <c r="C92" s="436" t="s">
        <v>3</v>
      </c>
      <c r="D92" s="105" t="s">
        <v>557</v>
      </c>
      <c r="G92" s="88" t="s">
        <v>640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v>0</v>
      </c>
      <c r="O92" s="45">
        <v>0</v>
      </c>
      <c r="P92" s="45">
        <v>0</v>
      </c>
      <c r="Q92" s="45">
        <v>0</v>
      </c>
      <c r="R92" s="45">
        <v>0</v>
      </c>
      <c r="S92" s="45">
        <v>0</v>
      </c>
      <c r="T92" s="45">
        <v>0</v>
      </c>
      <c r="U92" s="45">
        <v>0</v>
      </c>
      <c r="V92" s="45">
        <v>0</v>
      </c>
      <c r="W92" s="45">
        <v>0</v>
      </c>
      <c r="X92" s="45">
        <v>0</v>
      </c>
      <c r="Y92" s="45">
        <v>0</v>
      </c>
      <c r="Z92" s="45">
        <v>0</v>
      </c>
      <c r="AA92" s="45">
        <v>0</v>
      </c>
      <c r="AB92" s="45">
        <v>0</v>
      </c>
      <c r="AC92" s="45">
        <v>0</v>
      </c>
      <c r="AD92" s="45">
        <v>0</v>
      </c>
      <c r="AE92" s="45">
        <v>0</v>
      </c>
      <c r="AF92" s="45">
        <v>0</v>
      </c>
      <c r="AG92" s="45">
        <v>0</v>
      </c>
      <c r="AH92" s="45">
        <v>0</v>
      </c>
      <c r="AI92" s="45">
        <v>0</v>
      </c>
      <c r="AJ92" s="45">
        <v>0</v>
      </c>
      <c r="AK92" s="45">
        <v>0</v>
      </c>
      <c r="AL92" s="45">
        <v>0</v>
      </c>
      <c r="AM92" s="45">
        <v>0</v>
      </c>
      <c r="AN92" s="45">
        <v>0</v>
      </c>
      <c r="AO92" s="45">
        <v>0</v>
      </c>
    </row>
    <row r="93" spans="3:41" x14ac:dyDescent="0.3">
      <c r="C93" s="436" t="s">
        <v>3</v>
      </c>
      <c r="D93" s="105" t="s">
        <v>558</v>
      </c>
      <c r="G93" s="88" t="s">
        <v>640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v>0</v>
      </c>
      <c r="O93" s="45">
        <v>0</v>
      </c>
      <c r="P93" s="45">
        <v>0</v>
      </c>
      <c r="Q93" s="45">
        <v>0</v>
      </c>
      <c r="R93" s="45">
        <v>0</v>
      </c>
      <c r="S93" s="45">
        <v>0</v>
      </c>
      <c r="T93" s="45">
        <v>0</v>
      </c>
      <c r="U93" s="45">
        <v>0</v>
      </c>
      <c r="V93" s="45">
        <v>0</v>
      </c>
      <c r="W93" s="45">
        <v>0</v>
      </c>
      <c r="X93" s="45">
        <v>0</v>
      </c>
      <c r="Y93" s="45">
        <v>0</v>
      </c>
      <c r="Z93" s="45">
        <v>0</v>
      </c>
      <c r="AA93" s="45">
        <v>0</v>
      </c>
      <c r="AB93" s="45">
        <v>0</v>
      </c>
      <c r="AC93" s="45">
        <v>0</v>
      </c>
      <c r="AD93" s="45">
        <v>0</v>
      </c>
      <c r="AE93" s="45">
        <v>0</v>
      </c>
      <c r="AF93" s="45">
        <v>0</v>
      </c>
      <c r="AG93" s="45">
        <v>0</v>
      </c>
      <c r="AH93" s="45">
        <v>0</v>
      </c>
      <c r="AI93" s="45">
        <v>0</v>
      </c>
      <c r="AJ93" s="45">
        <v>0</v>
      </c>
      <c r="AK93" s="45">
        <v>0</v>
      </c>
      <c r="AL93" s="45">
        <v>0</v>
      </c>
      <c r="AM93" s="45">
        <v>0</v>
      </c>
      <c r="AN93" s="45">
        <v>0</v>
      </c>
      <c r="AO93" s="45">
        <v>0</v>
      </c>
    </row>
    <row r="94" spans="3:41" x14ac:dyDescent="0.3">
      <c r="C94" s="436" t="s">
        <v>3</v>
      </c>
      <c r="D94" s="105" t="s">
        <v>559</v>
      </c>
      <c r="G94" s="88" t="s">
        <v>640</v>
      </c>
      <c r="I94" s="45">
        <v>0</v>
      </c>
      <c r="J94" s="45">
        <v>0</v>
      </c>
      <c r="K94" s="45">
        <v>0</v>
      </c>
      <c r="L94" s="45">
        <v>0</v>
      </c>
      <c r="M94" s="45">
        <v>0</v>
      </c>
      <c r="N94" s="45">
        <v>0</v>
      </c>
      <c r="O94" s="45">
        <v>0</v>
      </c>
      <c r="P94" s="45">
        <v>0</v>
      </c>
      <c r="Q94" s="45">
        <v>0</v>
      </c>
      <c r="R94" s="45">
        <v>0</v>
      </c>
      <c r="S94" s="45">
        <v>0</v>
      </c>
      <c r="T94" s="45">
        <v>0</v>
      </c>
      <c r="U94" s="45">
        <v>0</v>
      </c>
      <c r="V94" s="45">
        <v>0</v>
      </c>
      <c r="W94" s="45">
        <v>0</v>
      </c>
      <c r="X94" s="45">
        <v>0</v>
      </c>
      <c r="Y94" s="45">
        <v>0</v>
      </c>
      <c r="Z94" s="45">
        <v>0</v>
      </c>
      <c r="AA94" s="45">
        <v>0</v>
      </c>
      <c r="AB94" s="45">
        <v>0</v>
      </c>
      <c r="AC94" s="45">
        <v>0</v>
      </c>
      <c r="AD94" s="45">
        <v>0</v>
      </c>
      <c r="AE94" s="45">
        <v>0</v>
      </c>
      <c r="AF94" s="45">
        <v>0</v>
      </c>
      <c r="AG94" s="45">
        <v>0</v>
      </c>
      <c r="AH94" s="45">
        <v>0</v>
      </c>
      <c r="AI94" s="45">
        <v>0</v>
      </c>
      <c r="AJ94" s="45">
        <v>0</v>
      </c>
      <c r="AK94" s="45">
        <v>0</v>
      </c>
      <c r="AL94" s="45">
        <v>0</v>
      </c>
      <c r="AM94" s="45">
        <v>0</v>
      </c>
      <c r="AN94" s="45">
        <v>0</v>
      </c>
      <c r="AO94" s="45">
        <v>0</v>
      </c>
    </row>
    <row r="95" spans="3:41" x14ac:dyDescent="0.3">
      <c r="C95" s="436" t="s">
        <v>3</v>
      </c>
      <c r="D95" s="105" t="s">
        <v>560</v>
      </c>
      <c r="G95" s="88" t="s">
        <v>640</v>
      </c>
      <c r="I95" s="45">
        <v>0</v>
      </c>
      <c r="J95" s="45">
        <v>0</v>
      </c>
      <c r="K95" s="45">
        <v>0</v>
      </c>
      <c r="L95" s="45">
        <v>0</v>
      </c>
      <c r="M95" s="45">
        <v>0</v>
      </c>
      <c r="N95" s="45">
        <v>0</v>
      </c>
      <c r="O95" s="45">
        <v>0</v>
      </c>
      <c r="P95" s="45">
        <v>0</v>
      </c>
      <c r="Q95" s="45">
        <v>0</v>
      </c>
      <c r="R95" s="45">
        <v>0</v>
      </c>
      <c r="S95" s="45">
        <v>0</v>
      </c>
      <c r="T95" s="45">
        <v>0</v>
      </c>
      <c r="U95" s="45">
        <v>0</v>
      </c>
      <c r="V95" s="45">
        <v>0</v>
      </c>
      <c r="W95" s="45">
        <v>0</v>
      </c>
      <c r="X95" s="45">
        <v>0</v>
      </c>
      <c r="Y95" s="45">
        <v>0</v>
      </c>
      <c r="Z95" s="45">
        <v>0</v>
      </c>
      <c r="AA95" s="45">
        <v>0</v>
      </c>
      <c r="AB95" s="45">
        <v>0</v>
      </c>
      <c r="AC95" s="45">
        <v>0</v>
      </c>
      <c r="AD95" s="45">
        <v>0</v>
      </c>
      <c r="AE95" s="45">
        <v>0</v>
      </c>
      <c r="AF95" s="45">
        <v>0</v>
      </c>
      <c r="AG95" s="45">
        <v>0</v>
      </c>
      <c r="AH95" s="45">
        <v>0</v>
      </c>
      <c r="AI95" s="45">
        <v>0</v>
      </c>
      <c r="AJ95" s="45">
        <v>0</v>
      </c>
      <c r="AK95" s="45">
        <v>0</v>
      </c>
      <c r="AL95" s="45">
        <v>0</v>
      </c>
      <c r="AM95" s="45">
        <v>0</v>
      </c>
      <c r="AN95" s="45">
        <v>0</v>
      </c>
      <c r="AO95" s="45">
        <v>0</v>
      </c>
    </row>
    <row r="96" spans="3:41" x14ac:dyDescent="0.3">
      <c r="C96" s="437" t="s">
        <v>3</v>
      </c>
      <c r="D96" s="105" t="s">
        <v>561</v>
      </c>
      <c r="G96" s="88" t="s">
        <v>640</v>
      </c>
      <c r="I96" s="45">
        <v>0</v>
      </c>
      <c r="J96" s="45">
        <v>0</v>
      </c>
      <c r="K96" s="45">
        <v>0</v>
      </c>
      <c r="L96" s="45">
        <v>0</v>
      </c>
      <c r="M96" s="45">
        <v>0</v>
      </c>
      <c r="N96" s="45">
        <v>0</v>
      </c>
      <c r="O96" s="45">
        <v>0</v>
      </c>
      <c r="P96" s="45">
        <v>0</v>
      </c>
      <c r="Q96" s="45">
        <v>0</v>
      </c>
      <c r="R96" s="45">
        <v>0</v>
      </c>
      <c r="S96" s="45">
        <v>0</v>
      </c>
      <c r="T96" s="45">
        <v>0</v>
      </c>
      <c r="U96" s="45">
        <v>0</v>
      </c>
      <c r="V96" s="45">
        <v>0</v>
      </c>
      <c r="W96" s="45">
        <v>0</v>
      </c>
      <c r="X96" s="45">
        <v>0</v>
      </c>
      <c r="Y96" s="45">
        <v>0</v>
      </c>
      <c r="Z96" s="45">
        <v>0</v>
      </c>
      <c r="AA96" s="45">
        <v>0</v>
      </c>
      <c r="AB96" s="45">
        <v>0</v>
      </c>
      <c r="AC96" s="45">
        <v>0</v>
      </c>
      <c r="AD96" s="45">
        <v>0</v>
      </c>
      <c r="AE96" s="45">
        <v>0</v>
      </c>
      <c r="AF96" s="45">
        <v>0</v>
      </c>
      <c r="AG96" s="45">
        <v>0</v>
      </c>
      <c r="AH96" s="45">
        <v>0</v>
      </c>
      <c r="AI96" s="45">
        <v>0</v>
      </c>
      <c r="AJ96" s="45">
        <v>0</v>
      </c>
      <c r="AK96" s="45">
        <v>0</v>
      </c>
      <c r="AL96" s="45">
        <v>0</v>
      </c>
      <c r="AM96" s="45">
        <v>0</v>
      </c>
      <c r="AN96" s="45">
        <v>0</v>
      </c>
      <c r="AO96" s="45">
        <v>0</v>
      </c>
    </row>
    <row r="97" spans="3:41" x14ac:dyDescent="0.3">
      <c r="C97" s="437" t="s">
        <v>3</v>
      </c>
      <c r="D97" s="105" t="s">
        <v>562</v>
      </c>
      <c r="G97" s="88" t="s">
        <v>640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v>0</v>
      </c>
      <c r="Q97" s="45">
        <v>0</v>
      </c>
      <c r="R97" s="45">
        <v>0</v>
      </c>
      <c r="S97" s="45">
        <v>0</v>
      </c>
      <c r="T97" s="45">
        <v>0</v>
      </c>
      <c r="U97" s="45">
        <v>0</v>
      </c>
      <c r="V97" s="45">
        <v>0</v>
      </c>
      <c r="W97" s="45">
        <v>0</v>
      </c>
      <c r="X97" s="45">
        <v>0</v>
      </c>
      <c r="Y97" s="45">
        <v>0</v>
      </c>
      <c r="Z97" s="45">
        <v>0</v>
      </c>
      <c r="AA97" s="45">
        <v>0</v>
      </c>
      <c r="AB97" s="45">
        <v>0</v>
      </c>
      <c r="AC97" s="45">
        <v>0</v>
      </c>
      <c r="AD97" s="45">
        <v>0</v>
      </c>
      <c r="AE97" s="45">
        <v>0</v>
      </c>
      <c r="AF97" s="45">
        <v>0</v>
      </c>
      <c r="AG97" s="45">
        <v>0</v>
      </c>
      <c r="AH97" s="45">
        <v>0</v>
      </c>
      <c r="AI97" s="45">
        <v>0</v>
      </c>
      <c r="AJ97" s="45">
        <v>0</v>
      </c>
      <c r="AK97" s="45">
        <v>0</v>
      </c>
      <c r="AL97" s="45">
        <v>0</v>
      </c>
      <c r="AM97" s="45">
        <v>0</v>
      </c>
      <c r="AN97" s="45">
        <v>0</v>
      </c>
      <c r="AO97" s="45">
        <v>0</v>
      </c>
    </row>
    <row r="98" spans="3:41" x14ac:dyDescent="0.3">
      <c r="C98" s="437" t="s">
        <v>3</v>
      </c>
      <c r="D98" s="105" t="s">
        <v>563</v>
      </c>
      <c r="G98" s="88" t="s">
        <v>640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v>0</v>
      </c>
      <c r="R98" s="45">
        <v>0</v>
      </c>
      <c r="S98" s="45">
        <v>0</v>
      </c>
      <c r="T98" s="45">
        <v>0</v>
      </c>
      <c r="U98" s="45">
        <v>0</v>
      </c>
      <c r="V98" s="45">
        <v>0</v>
      </c>
      <c r="W98" s="45">
        <v>0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0</v>
      </c>
      <c r="AJ98" s="45">
        <v>0</v>
      </c>
      <c r="AK98" s="45">
        <v>0</v>
      </c>
      <c r="AL98" s="45">
        <v>0</v>
      </c>
      <c r="AM98" s="45">
        <v>0</v>
      </c>
      <c r="AN98" s="45">
        <v>0</v>
      </c>
      <c r="AO98" s="45">
        <v>0</v>
      </c>
    </row>
    <row r="99" spans="3:41" x14ac:dyDescent="0.3">
      <c r="C99" s="437" t="s">
        <v>3</v>
      </c>
      <c r="D99" s="105" t="s">
        <v>564</v>
      </c>
      <c r="G99" s="88" t="s">
        <v>640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0</v>
      </c>
      <c r="U99" s="45">
        <v>0</v>
      </c>
      <c r="V99" s="45">
        <v>0</v>
      </c>
      <c r="W99" s="45">
        <v>0</v>
      </c>
      <c r="X99" s="45">
        <v>0</v>
      </c>
      <c r="Y99" s="45">
        <v>0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0</v>
      </c>
      <c r="AF99" s="45">
        <v>0</v>
      </c>
      <c r="AG99" s="45">
        <v>0</v>
      </c>
      <c r="AH99" s="45">
        <v>0</v>
      </c>
      <c r="AI99" s="45">
        <v>0</v>
      </c>
      <c r="AJ99" s="45">
        <v>0</v>
      </c>
      <c r="AK99" s="45">
        <v>0</v>
      </c>
      <c r="AL99" s="45">
        <v>0</v>
      </c>
      <c r="AM99" s="45">
        <v>0</v>
      </c>
      <c r="AN99" s="45">
        <v>0</v>
      </c>
      <c r="AO99" s="45">
        <v>0</v>
      </c>
    </row>
    <row r="100" spans="3:41" x14ac:dyDescent="0.3">
      <c r="C100" s="436" t="s">
        <v>3</v>
      </c>
      <c r="D100" s="105" t="s">
        <v>565</v>
      </c>
      <c r="G100" s="88" t="s">
        <v>640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v>0</v>
      </c>
      <c r="O100" s="45">
        <v>0</v>
      </c>
      <c r="P100" s="45">
        <v>0</v>
      </c>
      <c r="Q100" s="45">
        <v>0</v>
      </c>
      <c r="R100" s="45">
        <v>0</v>
      </c>
      <c r="S100" s="45">
        <v>0</v>
      </c>
      <c r="T100" s="45">
        <v>0</v>
      </c>
      <c r="U100" s="45">
        <v>0</v>
      </c>
      <c r="V100" s="45">
        <v>0</v>
      </c>
      <c r="W100" s="45">
        <v>0</v>
      </c>
      <c r="X100" s="45">
        <v>0</v>
      </c>
      <c r="Y100" s="45">
        <v>0</v>
      </c>
      <c r="Z100" s="45">
        <v>0</v>
      </c>
      <c r="AA100" s="45">
        <v>0</v>
      </c>
      <c r="AB100" s="45">
        <v>0</v>
      </c>
      <c r="AC100" s="45">
        <v>0</v>
      </c>
      <c r="AD100" s="45">
        <v>0</v>
      </c>
      <c r="AE100" s="45">
        <v>0</v>
      </c>
      <c r="AF100" s="45">
        <v>0</v>
      </c>
      <c r="AG100" s="45">
        <v>0</v>
      </c>
      <c r="AH100" s="45">
        <v>0</v>
      </c>
      <c r="AI100" s="45">
        <v>0</v>
      </c>
      <c r="AJ100" s="45">
        <v>0</v>
      </c>
      <c r="AK100" s="45">
        <v>0</v>
      </c>
      <c r="AL100" s="45">
        <v>0</v>
      </c>
      <c r="AM100" s="45">
        <v>0</v>
      </c>
      <c r="AN100" s="45">
        <v>0</v>
      </c>
      <c r="AO100" s="45">
        <v>0</v>
      </c>
    </row>
    <row r="101" spans="3:41" x14ac:dyDescent="0.3">
      <c r="C101" s="437" t="s">
        <v>3</v>
      </c>
      <c r="D101" s="105" t="s">
        <v>566</v>
      </c>
      <c r="G101" s="88" t="s">
        <v>640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v>0</v>
      </c>
      <c r="O101" s="45">
        <v>0</v>
      </c>
      <c r="P101" s="45">
        <v>0</v>
      </c>
      <c r="Q101" s="45">
        <v>0</v>
      </c>
      <c r="R101" s="45">
        <v>0</v>
      </c>
      <c r="S101" s="45">
        <v>0</v>
      </c>
      <c r="T101" s="45">
        <v>0</v>
      </c>
      <c r="U101" s="45">
        <v>0</v>
      </c>
      <c r="V101" s="45">
        <v>0</v>
      </c>
      <c r="W101" s="45">
        <v>0</v>
      </c>
      <c r="X101" s="45">
        <v>0</v>
      </c>
      <c r="Y101" s="45">
        <v>0</v>
      </c>
      <c r="Z101" s="45">
        <v>0</v>
      </c>
      <c r="AA101" s="45">
        <v>0</v>
      </c>
      <c r="AB101" s="45">
        <v>0</v>
      </c>
      <c r="AC101" s="45">
        <v>0</v>
      </c>
      <c r="AD101" s="45">
        <v>0</v>
      </c>
      <c r="AE101" s="45">
        <v>0</v>
      </c>
      <c r="AF101" s="45">
        <v>0</v>
      </c>
      <c r="AG101" s="45">
        <v>0</v>
      </c>
      <c r="AH101" s="45">
        <v>0</v>
      </c>
      <c r="AI101" s="45">
        <v>0</v>
      </c>
      <c r="AJ101" s="45">
        <v>0</v>
      </c>
      <c r="AK101" s="45">
        <v>0</v>
      </c>
      <c r="AL101" s="45">
        <v>0</v>
      </c>
      <c r="AM101" s="45">
        <v>0</v>
      </c>
      <c r="AN101" s="45">
        <v>0</v>
      </c>
      <c r="AO101" s="45">
        <v>0</v>
      </c>
    </row>
    <row r="102" spans="3:41" x14ac:dyDescent="0.3">
      <c r="C102" s="437" t="s">
        <v>3</v>
      </c>
      <c r="D102" s="105" t="s">
        <v>567</v>
      </c>
      <c r="G102" s="88" t="s">
        <v>640</v>
      </c>
      <c r="I102" s="45">
        <v>0</v>
      </c>
      <c r="J102" s="45">
        <v>0</v>
      </c>
      <c r="K102" s="45">
        <v>0</v>
      </c>
      <c r="L102" s="45">
        <v>0</v>
      </c>
      <c r="M102" s="45">
        <v>0</v>
      </c>
      <c r="N102" s="45">
        <v>0</v>
      </c>
      <c r="O102" s="45">
        <v>0</v>
      </c>
      <c r="P102" s="45">
        <v>0</v>
      </c>
      <c r="Q102" s="45">
        <v>0</v>
      </c>
      <c r="R102" s="45">
        <v>0</v>
      </c>
      <c r="S102" s="45">
        <v>0</v>
      </c>
      <c r="T102" s="45">
        <v>0</v>
      </c>
      <c r="U102" s="45">
        <v>0</v>
      </c>
      <c r="V102" s="45">
        <v>0</v>
      </c>
      <c r="W102" s="45">
        <v>0</v>
      </c>
      <c r="X102" s="45">
        <v>0</v>
      </c>
      <c r="Y102" s="45">
        <v>0</v>
      </c>
      <c r="Z102" s="45">
        <v>0</v>
      </c>
      <c r="AA102" s="45">
        <v>0</v>
      </c>
      <c r="AB102" s="45">
        <v>0</v>
      </c>
      <c r="AC102" s="45">
        <v>0</v>
      </c>
      <c r="AD102" s="45">
        <v>0</v>
      </c>
      <c r="AE102" s="45">
        <v>0</v>
      </c>
      <c r="AF102" s="45">
        <v>0</v>
      </c>
      <c r="AG102" s="45">
        <v>0</v>
      </c>
      <c r="AH102" s="45">
        <v>0</v>
      </c>
      <c r="AI102" s="45">
        <v>0</v>
      </c>
      <c r="AJ102" s="45">
        <v>0</v>
      </c>
      <c r="AK102" s="45">
        <v>0</v>
      </c>
      <c r="AL102" s="45">
        <v>0</v>
      </c>
      <c r="AM102" s="45">
        <v>0</v>
      </c>
      <c r="AN102" s="45">
        <v>0</v>
      </c>
      <c r="AO102" s="45">
        <v>0</v>
      </c>
    </row>
    <row r="103" spans="3:41" x14ac:dyDescent="0.3">
      <c r="C103" s="437" t="s">
        <v>3</v>
      </c>
      <c r="D103" s="105" t="s">
        <v>568</v>
      </c>
      <c r="G103" s="88" t="s">
        <v>640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v>0</v>
      </c>
      <c r="O103" s="45">
        <v>0</v>
      </c>
      <c r="P103" s="45">
        <v>0</v>
      </c>
      <c r="Q103" s="45">
        <v>0</v>
      </c>
      <c r="R103" s="45">
        <v>0</v>
      </c>
      <c r="S103" s="45">
        <v>0</v>
      </c>
      <c r="T103" s="45">
        <v>0</v>
      </c>
      <c r="U103" s="45">
        <v>0</v>
      </c>
      <c r="V103" s="45">
        <v>0</v>
      </c>
      <c r="W103" s="45">
        <v>0</v>
      </c>
      <c r="X103" s="45">
        <v>0</v>
      </c>
      <c r="Y103" s="45">
        <v>0</v>
      </c>
      <c r="Z103" s="45">
        <v>0</v>
      </c>
      <c r="AA103" s="45">
        <v>0</v>
      </c>
      <c r="AB103" s="45">
        <v>0</v>
      </c>
      <c r="AC103" s="45">
        <v>0</v>
      </c>
      <c r="AD103" s="45">
        <v>0</v>
      </c>
      <c r="AE103" s="45">
        <v>0</v>
      </c>
      <c r="AF103" s="45">
        <v>0</v>
      </c>
      <c r="AG103" s="45">
        <v>0</v>
      </c>
      <c r="AH103" s="45">
        <v>0</v>
      </c>
      <c r="AI103" s="45">
        <v>0</v>
      </c>
      <c r="AJ103" s="45">
        <v>0</v>
      </c>
      <c r="AK103" s="45">
        <v>0</v>
      </c>
      <c r="AL103" s="45">
        <v>0</v>
      </c>
      <c r="AM103" s="45">
        <v>0</v>
      </c>
      <c r="AN103" s="45">
        <v>0</v>
      </c>
      <c r="AO103" s="45">
        <v>0</v>
      </c>
    </row>
    <row r="104" spans="3:41" x14ac:dyDescent="0.3">
      <c r="C104" s="437" t="s">
        <v>3</v>
      </c>
      <c r="D104" s="105" t="s">
        <v>569</v>
      </c>
      <c r="G104" s="88" t="s">
        <v>640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5">
        <v>0</v>
      </c>
      <c r="V104" s="45">
        <v>0</v>
      </c>
      <c r="W104" s="45">
        <v>0</v>
      </c>
      <c r="X104" s="45">
        <v>0</v>
      </c>
      <c r="Y104" s="45">
        <v>0</v>
      </c>
      <c r="Z104" s="45">
        <v>0</v>
      </c>
      <c r="AA104" s="45">
        <v>0</v>
      </c>
      <c r="AB104" s="45">
        <v>0</v>
      </c>
      <c r="AC104" s="45">
        <v>0</v>
      </c>
      <c r="AD104" s="45">
        <v>0</v>
      </c>
      <c r="AE104" s="45">
        <v>0</v>
      </c>
      <c r="AF104" s="45">
        <v>0</v>
      </c>
      <c r="AG104" s="45">
        <v>0</v>
      </c>
      <c r="AH104" s="45">
        <v>0</v>
      </c>
      <c r="AI104" s="45">
        <v>0</v>
      </c>
      <c r="AJ104" s="45">
        <v>0</v>
      </c>
      <c r="AK104" s="45">
        <v>0</v>
      </c>
      <c r="AL104" s="45">
        <v>0</v>
      </c>
      <c r="AM104" s="45">
        <v>0</v>
      </c>
      <c r="AN104" s="45">
        <v>0</v>
      </c>
      <c r="AO104" s="45">
        <v>0</v>
      </c>
    </row>
    <row r="105" spans="3:41" x14ac:dyDescent="0.3">
      <c r="C105" s="437" t="s">
        <v>3</v>
      </c>
      <c r="D105" s="105" t="s">
        <v>570</v>
      </c>
      <c r="G105" s="88" t="s">
        <v>640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v>0</v>
      </c>
      <c r="Q105" s="45">
        <v>0</v>
      </c>
      <c r="R105" s="45">
        <v>0</v>
      </c>
      <c r="S105" s="45">
        <v>0</v>
      </c>
      <c r="T105" s="45">
        <v>0</v>
      </c>
      <c r="U105" s="45">
        <v>0</v>
      </c>
      <c r="V105" s="45">
        <v>0</v>
      </c>
      <c r="W105" s="45">
        <v>0</v>
      </c>
      <c r="X105" s="45">
        <v>0</v>
      </c>
      <c r="Y105" s="45">
        <v>0</v>
      </c>
      <c r="Z105" s="45">
        <v>0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</v>
      </c>
      <c r="AH105" s="45">
        <v>0</v>
      </c>
      <c r="AI105" s="45">
        <v>0</v>
      </c>
      <c r="AJ105" s="45">
        <v>0</v>
      </c>
      <c r="AK105" s="45">
        <v>0</v>
      </c>
      <c r="AL105" s="45">
        <v>0</v>
      </c>
      <c r="AM105" s="45">
        <v>0</v>
      </c>
      <c r="AN105" s="45">
        <v>0</v>
      </c>
      <c r="AO105" s="45">
        <v>0</v>
      </c>
    </row>
    <row r="106" spans="3:41" x14ac:dyDescent="0.3">
      <c r="C106" s="437" t="s">
        <v>3</v>
      </c>
      <c r="D106" s="105" t="s">
        <v>571</v>
      </c>
      <c r="G106" s="88" t="s">
        <v>640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v>0</v>
      </c>
      <c r="Q106" s="45">
        <v>0</v>
      </c>
      <c r="R106" s="45">
        <v>0</v>
      </c>
      <c r="S106" s="45">
        <v>0</v>
      </c>
      <c r="T106" s="45">
        <v>0</v>
      </c>
      <c r="U106" s="45">
        <v>0</v>
      </c>
      <c r="V106" s="45">
        <v>0</v>
      </c>
      <c r="W106" s="45">
        <v>0</v>
      </c>
      <c r="X106" s="45">
        <v>0</v>
      </c>
      <c r="Y106" s="45">
        <v>0</v>
      </c>
      <c r="Z106" s="45">
        <v>0</v>
      </c>
      <c r="AA106" s="45">
        <v>0</v>
      </c>
      <c r="AB106" s="45">
        <v>0</v>
      </c>
      <c r="AC106" s="45">
        <v>0</v>
      </c>
      <c r="AD106" s="45">
        <v>0</v>
      </c>
      <c r="AE106" s="45">
        <v>0</v>
      </c>
      <c r="AF106" s="45">
        <v>0</v>
      </c>
      <c r="AG106" s="45">
        <v>0</v>
      </c>
      <c r="AH106" s="45">
        <v>0</v>
      </c>
      <c r="AI106" s="45">
        <v>0</v>
      </c>
      <c r="AJ106" s="45">
        <v>0</v>
      </c>
      <c r="AK106" s="45">
        <v>0</v>
      </c>
      <c r="AL106" s="45">
        <v>0</v>
      </c>
      <c r="AM106" s="45">
        <v>0</v>
      </c>
      <c r="AN106" s="45">
        <v>0</v>
      </c>
      <c r="AO106" s="45">
        <v>0</v>
      </c>
    </row>
    <row r="107" spans="3:41" x14ac:dyDescent="0.3">
      <c r="C107" s="436" t="s">
        <v>3</v>
      </c>
      <c r="D107" s="105" t="s">
        <v>572</v>
      </c>
      <c r="G107" s="88" t="s">
        <v>640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>
        <v>0</v>
      </c>
      <c r="Q107" s="45">
        <v>0</v>
      </c>
      <c r="R107" s="45">
        <v>0</v>
      </c>
      <c r="S107" s="45">
        <v>0</v>
      </c>
      <c r="T107" s="45">
        <v>0</v>
      </c>
      <c r="U107" s="45">
        <v>0</v>
      </c>
      <c r="V107" s="45">
        <v>0</v>
      </c>
      <c r="W107" s="45">
        <v>0</v>
      </c>
      <c r="X107" s="45">
        <v>0</v>
      </c>
      <c r="Y107" s="45">
        <v>0</v>
      </c>
      <c r="Z107" s="45">
        <v>0</v>
      </c>
      <c r="AA107" s="45">
        <v>0</v>
      </c>
      <c r="AB107" s="45">
        <v>0</v>
      </c>
      <c r="AC107" s="45">
        <v>0</v>
      </c>
      <c r="AD107" s="45">
        <v>0</v>
      </c>
      <c r="AE107" s="45">
        <v>0</v>
      </c>
      <c r="AF107" s="45">
        <v>0</v>
      </c>
      <c r="AG107" s="45">
        <v>0</v>
      </c>
      <c r="AH107" s="45">
        <v>0</v>
      </c>
      <c r="AI107" s="45">
        <v>0</v>
      </c>
      <c r="AJ107" s="45">
        <v>0</v>
      </c>
      <c r="AK107" s="45">
        <v>0</v>
      </c>
      <c r="AL107" s="45">
        <v>0</v>
      </c>
      <c r="AM107" s="45">
        <v>0</v>
      </c>
      <c r="AN107" s="45">
        <v>0</v>
      </c>
      <c r="AO107" s="45">
        <v>0</v>
      </c>
    </row>
    <row r="108" spans="3:41" x14ac:dyDescent="0.3">
      <c r="C108" s="436" t="s">
        <v>3</v>
      </c>
      <c r="D108" s="105" t="s">
        <v>573</v>
      </c>
      <c r="G108" s="88" t="s">
        <v>640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v>0</v>
      </c>
      <c r="R108" s="45">
        <v>0</v>
      </c>
      <c r="S108" s="45">
        <v>0</v>
      </c>
      <c r="T108" s="45">
        <v>0</v>
      </c>
      <c r="U108" s="45">
        <v>0</v>
      </c>
      <c r="V108" s="45">
        <v>0</v>
      </c>
      <c r="W108" s="45">
        <v>0</v>
      </c>
      <c r="X108" s="45">
        <v>0</v>
      </c>
      <c r="Y108" s="45">
        <v>0</v>
      </c>
      <c r="Z108" s="45">
        <v>0</v>
      </c>
      <c r="AA108" s="45">
        <v>0</v>
      </c>
      <c r="AB108" s="45">
        <v>0</v>
      </c>
      <c r="AC108" s="45">
        <v>0</v>
      </c>
      <c r="AD108" s="45">
        <v>0</v>
      </c>
      <c r="AE108" s="45">
        <v>0</v>
      </c>
      <c r="AF108" s="45">
        <v>0</v>
      </c>
      <c r="AG108" s="45">
        <v>0</v>
      </c>
      <c r="AH108" s="45">
        <v>0</v>
      </c>
      <c r="AI108" s="45">
        <v>0</v>
      </c>
      <c r="AJ108" s="45">
        <v>0</v>
      </c>
      <c r="AK108" s="45">
        <v>0</v>
      </c>
      <c r="AL108" s="45">
        <v>0</v>
      </c>
      <c r="AM108" s="45">
        <v>0</v>
      </c>
      <c r="AN108" s="45">
        <v>0</v>
      </c>
      <c r="AO108" s="45">
        <v>0</v>
      </c>
    </row>
    <row r="109" spans="3:41" x14ac:dyDescent="0.3">
      <c r="C109" s="436" t="s">
        <v>3</v>
      </c>
      <c r="D109" s="105" t="s">
        <v>574</v>
      </c>
      <c r="G109" s="88" t="s">
        <v>640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v>0</v>
      </c>
      <c r="Q109" s="45">
        <v>0</v>
      </c>
      <c r="R109" s="45">
        <v>0</v>
      </c>
      <c r="S109" s="45">
        <v>0</v>
      </c>
      <c r="T109" s="45">
        <v>0</v>
      </c>
      <c r="U109" s="45">
        <v>0</v>
      </c>
      <c r="V109" s="45">
        <v>0</v>
      </c>
      <c r="W109" s="45">
        <v>0</v>
      </c>
      <c r="X109" s="45">
        <v>0</v>
      </c>
      <c r="Y109" s="45">
        <v>0</v>
      </c>
      <c r="Z109" s="45">
        <v>0</v>
      </c>
      <c r="AA109" s="45">
        <v>0</v>
      </c>
      <c r="AB109" s="45">
        <v>0</v>
      </c>
      <c r="AC109" s="45">
        <v>0</v>
      </c>
      <c r="AD109" s="45">
        <v>0</v>
      </c>
      <c r="AE109" s="45">
        <v>0</v>
      </c>
      <c r="AF109" s="45">
        <v>0</v>
      </c>
      <c r="AG109" s="45">
        <v>0</v>
      </c>
      <c r="AH109" s="45">
        <v>0</v>
      </c>
      <c r="AI109" s="45">
        <v>0</v>
      </c>
      <c r="AJ109" s="45">
        <v>0</v>
      </c>
      <c r="AK109" s="45">
        <v>0</v>
      </c>
      <c r="AL109" s="45">
        <v>0</v>
      </c>
      <c r="AM109" s="45">
        <v>0</v>
      </c>
      <c r="AN109" s="45">
        <v>0</v>
      </c>
      <c r="AO109" s="45">
        <v>0</v>
      </c>
    </row>
    <row r="110" spans="3:41" x14ac:dyDescent="0.3">
      <c r="C110" s="436" t="s">
        <v>3</v>
      </c>
      <c r="D110" s="105" t="s">
        <v>575</v>
      </c>
      <c r="G110" s="88" t="s">
        <v>640</v>
      </c>
      <c r="I110" s="45">
        <v>0</v>
      </c>
      <c r="J110" s="45">
        <v>0</v>
      </c>
      <c r="K110" s="45">
        <v>0</v>
      </c>
      <c r="L110" s="45">
        <v>0</v>
      </c>
      <c r="M110" s="45">
        <v>0</v>
      </c>
      <c r="N110" s="45">
        <v>0</v>
      </c>
      <c r="O110" s="45">
        <v>0</v>
      </c>
      <c r="P110" s="45">
        <v>0</v>
      </c>
      <c r="Q110" s="45">
        <v>0</v>
      </c>
      <c r="R110" s="45">
        <v>0</v>
      </c>
      <c r="S110" s="45">
        <v>0</v>
      </c>
      <c r="T110" s="45">
        <v>0</v>
      </c>
      <c r="U110" s="45">
        <v>0</v>
      </c>
      <c r="V110" s="45">
        <v>0</v>
      </c>
      <c r="W110" s="45">
        <v>0</v>
      </c>
      <c r="X110" s="45">
        <v>0</v>
      </c>
      <c r="Y110" s="45">
        <v>0</v>
      </c>
      <c r="Z110" s="45">
        <v>0</v>
      </c>
      <c r="AA110" s="45">
        <v>0</v>
      </c>
      <c r="AB110" s="45">
        <v>0</v>
      </c>
      <c r="AC110" s="45">
        <v>0</v>
      </c>
      <c r="AD110" s="45">
        <v>0</v>
      </c>
      <c r="AE110" s="45">
        <v>0</v>
      </c>
      <c r="AF110" s="45">
        <v>0</v>
      </c>
      <c r="AG110" s="45">
        <v>0</v>
      </c>
      <c r="AH110" s="45">
        <v>0</v>
      </c>
      <c r="AI110" s="45">
        <v>0</v>
      </c>
      <c r="AJ110" s="45">
        <v>0</v>
      </c>
      <c r="AK110" s="45">
        <v>0</v>
      </c>
      <c r="AL110" s="45">
        <v>0</v>
      </c>
      <c r="AM110" s="45">
        <v>0</v>
      </c>
      <c r="AN110" s="45">
        <v>0</v>
      </c>
      <c r="AO110" s="45">
        <v>0</v>
      </c>
    </row>
    <row r="111" spans="3:41" x14ac:dyDescent="0.3">
      <c r="C111" s="436" t="s">
        <v>3</v>
      </c>
      <c r="D111" s="105" t="s">
        <v>576</v>
      </c>
      <c r="G111" s="88" t="s">
        <v>640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v>0</v>
      </c>
      <c r="Q111" s="45">
        <v>0</v>
      </c>
      <c r="R111" s="45">
        <v>0</v>
      </c>
      <c r="S111" s="45">
        <v>0</v>
      </c>
      <c r="T111" s="45">
        <v>0</v>
      </c>
      <c r="U111" s="45">
        <v>0</v>
      </c>
      <c r="V111" s="45">
        <v>0</v>
      </c>
      <c r="W111" s="45">
        <v>0</v>
      </c>
      <c r="X111" s="45">
        <v>0</v>
      </c>
      <c r="Y111" s="45">
        <v>0</v>
      </c>
      <c r="Z111" s="45">
        <v>0</v>
      </c>
      <c r="AA111" s="45">
        <v>0</v>
      </c>
      <c r="AB111" s="45">
        <v>0</v>
      </c>
      <c r="AC111" s="45">
        <v>0</v>
      </c>
      <c r="AD111" s="45">
        <v>0</v>
      </c>
      <c r="AE111" s="45">
        <v>0</v>
      </c>
      <c r="AF111" s="45">
        <v>0</v>
      </c>
      <c r="AG111" s="45">
        <v>0</v>
      </c>
      <c r="AH111" s="45">
        <v>0</v>
      </c>
      <c r="AI111" s="45">
        <v>0</v>
      </c>
      <c r="AJ111" s="45">
        <v>0</v>
      </c>
      <c r="AK111" s="45">
        <v>0</v>
      </c>
      <c r="AL111" s="45">
        <v>0</v>
      </c>
      <c r="AM111" s="45">
        <v>0</v>
      </c>
      <c r="AN111" s="45">
        <v>0</v>
      </c>
      <c r="AO111" s="45">
        <v>0</v>
      </c>
    </row>
    <row r="112" spans="3:41" x14ac:dyDescent="0.3">
      <c r="C112" s="436" t="s">
        <v>3</v>
      </c>
      <c r="D112" s="105" t="s">
        <v>577</v>
      </c>
      <c r="G112" s="88" t="s">
        <v>640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v>0</v>
      </c>
      <c r="O112" s="45">
        <v>0</v>
      </c>
      <c r="P112" s="45">
        <v>0</v>
      </c>
      <c r="Q112" s="45">
        <v>0</v>
      </c>
      <c r="R112" s="45">
        <v>0</v>
      </c>
      <c r="S112" s="45">
        <v>0</v>
      </c>
      <c r="T112" s="45">
        <v>0</v>
      </c>
      <c r="U112" s="45">
        <v>0</v>
      </c>
      <c r="V112" s="45">
        <v>0</v>
      </c>
      <c r="W112" s="45">
        <v>0</v>
      </c>
      <c r="X112" s="45">
        <v>0</v>
      </c>
      <c r="Y112" s="45">
        <v>0</v>
      </c>
      <c r="Z112" s="45">
        <v>0</v>
      </c>
      <c r="AA112" s="45">
        <v>0</v>
      </c>
      <c r="AB112" s="45">
        <v>0</v>
      </c>
      <c r="AC112" s="45">
        <v>0</v>
      </c>
      <c r="AD112" s="45">
        <v>0</v>
      </c>
      <c r="AE112" s="45">
        <v>0</v>
      </c>
      <c r="AF112" s="45">
        <v>0</v>
      </c>
      <c r="AG112" s="45">
        <v>0</v>
      </c>
      <c r="AH112" s="45">
        <v>0</v>
      </c>
      <c r="AI112" s="45">
        <v>0</v>
      </c>
      <c r="AJ112" s="45">
        <v>0</v>
      </c>
      <c r="AK112" s="45">
        <v>0</v>
      </c>
      <c r="AL112" s="45">
        <v>0</v>
      </c>
      <c r="AM112" s="45">
        <v>0</v>
      </c>
      <c r="AN112" s="45">
        <v>0</v>
      </c>
      <c r="AO112" s="45">
        <v>0</v>
      </c>
    </row>
    <row r="113" spans="3:41" x14ac:dyDescent="0.3">
      <c r="C113" s="436" t="s">
        <v>3</v>
      </c>
      <c r="D113" s="105" t="s">
        <v>578</v>
      </c>
      <c r="G113" s="88" t="s">
        <v>640</v>
      </c>
      <c r="I113" s="45">
        <v>0</v>
      </c>
      <c r="J113" s="45">
        <v>0</v>
      </c>
      <c r="K113" s="45">
        <v>0</v>
      </c>
      <c r="L113" s="45">
        <v>0</v>
      </c>
      <c r="M113" s="45">
        <v>0</v>
      </c>
      <c r="N113" s="45">
        <v>0</v>
      </c>
      <c r="O113" s="45">
        <v>0</v>
      </c>
      <c r="P113" s="45">
        <v>0</v>
      </c>
      <c r="Q113" s="45">
        <v>0</v>
      </c>
      <c r="R113" s="45">
        <v>0</v>
      </c>
      <c r="S113" s="45">
        <v>0</v>
      </c>
      <c r="T113" s="45">
        <v>0</v>
      </c>
      <c r="U113" s="45">
        <v>0</v>
      </c>
      <c r="V113" s="45">
        <v>0</v>
      </c>
      <c r="W113" s="45">
        <v>0</v>
      </c>
      <c r="X113" s="45">
        <v>0</v>
      </c>
      <c r="Y113" s="45">
        <v>0</v>
      </c>
      <c r="Z113" s="45">
        <v>0</v>
      </c>
      <c r="AA113" s="45">
        <v>0</v>
      </c>
      <c r="AB113" s="45">
        <v>0</v>
      </c>
      <c r="AC113" s="45">
        <v>0</v>
      </c>
      <c r="AD113" s="45">
        <v>0</v>
      </c>
      <c r="AE113" s="45">
        <v>0</v>
      </c>
      <c r="AF113" s="45">
        <v>0</v>
      </c>
      <c r="AG113" s="45">
        <v>0</v>
      </c>
      <c r="AH113" s="45">
        <v>0</v>
      </c>
      <c r="AI113" s="45">
        <v>0</v>
      </c>
      <c r="AJ113" s="45">
        <v>0</v>
      </c>
      <c r="AK113" s="45">
        <v>0</v>
      </c>
      <c r="AL113" s="45">
        <v>0</v>
      </c>
      <c r="AM113" s="45">
        <v>0</v>
      </c>
      <c r="AN113" s="45">
        <v>0</v>
      </c>
      <c r="AO113" s="45">
        <v>0</v>
      </c>
    </row>
    <row r="114" spans="3:41" x14ac:dyDescent="0.3">
      <c r="C114" s="436" t="s">
        <v>3</v>
      </c>
      <c r="D114" s="105" t="s">
        <v>579</v>
      </c>
      <c r="G114" s="88" t="s">
        <v>640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v>0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5">
        <v>0</v>
      </c>
      <c r="U114" s="45">
        <v>0</v>
      </c>
      <c r="V114" s="45">
        <v>0</v>
      </c>
      <c r="W114" s="45">
        <v>0</v>
      </c>
      <c r="X114" s="45">
        <v>0</v>
      </c>
      <c r="Y114" s="45">
        <v>0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0</v>
      </c>
      <c r="AF114" s="45">
        <v>0</v>
      </c>
      <c r="AG114" s="45">
        <v>0</v>
      </c>
      <c r="AH114" s="45">
        <v>0</v>
      </c>
      <c r="AI114" s="45">
        <v>0</v>
      </c>
      <c r="AJ114" s="45">
        <v>0</v>
      </c>
      <c r="AK114" s="45">
        <v>0</v>
      </c>
      <c r="AL114" s="45">
        <v>0</v>
      </c>
      <c r="AM114" s="45">
        <v>0</v>
      </c>
      <c r="AN114" s="45">
        <v>0</v>
      </c>
      <c r="AO114" s="45">
        <v>0</v>
      </c>
    </row>
    <row r="115" spans="3:41" x14ac:dyDescent="0.3">
      <c r="C115" s="436" t="s">
        <v>3</v>
      </c>
      <c r="D115" s="105" t="s">
        <v>580</v>
      </c>
      <c r="G115" s="88" t="s">
        <v>640</v>
      </c>
      <c r="I115" s="45">
        <v>0</v>
      </c>
      <c r="J115" s="45">
        <v>0</v>
      </c>
      <c r="K115" s="45">
        <v>0</v>
      </c>
      <c r="L115" s="45">
        <v>0</v>
      </c>
      <c r="M115" s="45">
        <v>0</v>
      </c>
      <c r="N115" s="45">
        <v>0</v>
      </c>
      <c r="O115" s="45">
        <v>0</v>
      </c>
      <c r="P115" s="45">
        <v>0</v>
      </c>
      <c r="Q115" s="45">
        <v>0</v>
      </c>
      <c r="R115" s="45">
        <v>0</v>
      </c>
      <c r="S115" s="45">
        <v>0</v>
      </c>
      <c r="T115" s="45">
        <v>0</v>
      </c>
      <c r="U115" s="45">
        <v>0</v>
      </c>
      <c r="V115" s="45">
        <v>0</v>
      </c>
      <c r="W115" s="45">
        <v>0</v>
      </c>
      <c r="X115" s="45">
        <v>0</v>
      </c>
      <c r="Y115" s="45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0</v>
      </c>
      <c r="AH115" s="45">
        <v>0</v>
      </c>
      <c r="AI115" s="45">
        <v>0</v>
      </c>
      <c r="AJ115" s="45">
        <v>0</v>
      </c>
      <c r="AK115" s="45">
        <v>0</v>
      </c>
      <c r="AL115" s="45">
        <v>0</v>
      </c>
      <c r="AM115" s="45">
        <v>0</v>
      </c>
      <c r="AN115" s="45">
        <v>0</v>
      </c>
      <c r="AO115" s="45">
        <v>0</v>
      </c>
    </row>
    <row r="116" spans="3:41" x14ac:dyDescent="0.3">
      <c r="C116" s="436" t="s">
        <v>3</v>
      </c>
      <c r="D116" s="105" t="s">
        <v>581</v>
      </c>
      <c r="G116" s="88" t="s">
        <v>641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0</v>
      </c>
      <c r="P116" s="45">
        <v>0</v>
      </c>
      <c r="Q116" s="45">
        <v>0</v>
      </c>
      <c r="R116" s="45">
        <v>0</v>
      </c>
      <c r="S116" s="45">
        <v>0</v>
      </c>
      <c r="T116" s="45">
        <v>0</v>
      </c>
      <c r="U116" s="45">
        <v>0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0</v>
      </c>
      <c r="AG116" s="45">
        <v>0</v>
      </c>
      <c r="AH116" s="45">
        <v>0</v>
      </c>
      <c r="AI116" s="45">
        <v>0</v>
      </c>
      <c r="AJ116" s="45">
        <v>0</v>
      </c>
      <c r="AK116" s="45">
        <v>0</v>
      </c>
      <c r="AL116" s="45">
        <v>0</v>
      </c>
      <c r="AM116" s="45">
        <v>0</v>
      </c>
      <c r="AN116" s="45">
        <v>0</v>
      </c>
      <c r="AO116" s="45">
        <v>0</v>
      </c>
    </row>
    <row r="117" spans="3:41" x14ac:dyDescent="0.3">
      <c r="C117" s="436" t="s">
        <v>3</v>
      </c>
      <c r="D117" s="105" t="s">
        <v>582</v>
      </c>
      <c r="G117" s="88" t="s">
        <v>641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0</v>
      </c>
      <c r="P117" s="45">
        <v>0</v>
      </c>
      <c r="Q117" s="45">
        <v>0</v>
      </c>
      <c r="R117" s="45">
        <v>0</v>
      </c>
      <c r="S117" s="45">
        <v>0</v>
      </c>
      <c r="T117" s="45">
        <v>0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0</v>
      </c>
      <c r="AG117" s="45">
        <v>0</v>
      </c>
      <c r="AH117" s="45">
        <v>0</v>
      </c>
      <c r="AI117" s="45">
        <v>0</v>
      </c>
      <c r="AJ117" s="45">
        <v>0</v>
      </c>
      <c r="AK117" s="45">
        <v>0</v>
      </c>
      <c r="AL117" s="45">
        <v>0</v>
      </c>
      <c r="AM117" s="45">
        <v>0</v>
      </c>
      <c r="AN117" s="45">
        <v>0</v>
      </c>
      <c r="AO117" s="45">
        <v>0</v>
      </c>
    </row>
    <row r="118" spans="3:41" x14ac:dyDescent="0.3">
      <c r="C118" s="436" t="s">
        <v>3</v>
      </c>
      <c r="D118" s="105" t="s">
        <v>583</v>
      </c>
      <c r="G118" s="88" t="s">
        <v>641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>
        <v>0</v>
      </c>
      <c r="P118" s="45">
        <v>0</v>
      </c>
      <c r="Q118" s="45">
        <v>0</v>
      </c>
      <c r="R118" s="45">
        <v>0</v>
      </c>
      <c r="S118" s="45">
        <v>0</v>
      </c>
      <c r="T118" s="45">
        <v>0</v>
      </c>
      <c r="U118" s="45">
        <v>0</v>
      </c>
      <c r="V118" s="45">
        <v>0</v>
      </c>
      <c r="W118" s="45">
        <v>0</v>
      </c>
      <c r="X118" s="45">
        <v>0</v>
      </c>
      <c r="Y118" s="45">
        <v>0</v>
      </c>
      <c r="Z118" s="45">
        <v>0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0</v>
      </c>
      <c r="AG118" s="45">
        <v>0</v>
      </c>
      <c r="AH118" s="45">
        <v>0</v>
      </c>
      <c r="AI118" s="45">
        <v>0</v>
      </c>
      <c r="AJ118" s="45">
        <v>0</v>
      </c>
      <c r="AK118" s="45">
        <v>0</v>
      </c>
      <c r="AL118" s="45">
        <v>0</v>
      </c>
      <c r="AM118" s="45">
        <v>0</v>
      </c>
      <c r="AN118" s="45">
        <v>0</v>
      </c>
      <c r="AO118" s="45">
        <v>0</v>
      </c>
    </row>
    <row r="119" spans="3:41" x14ac:dyDescent="0.3">
      <c r="C119" s="436" t="s">
        <v>3</v>
      </c>
      <c r="D119" s="105" t="s">
        <v>584</v>
      </c>
      <c r="G119" s="88" t="s">
        <v>641</v>
      </c>
      <c r="I119" s="45">
        <v>0</v>
      </c>
      <c r="J119" s="45">
        <v>0</v>
      </c>
      <c r="K119" s="45">
        <v>0</v>
      </c>
      <c r="L119" s="45">
        <v>0</v>
      </c>
      <c r="M119" s="45">
        <v>0</v>
      </c>
      <c r="N119" s="45">
        <v>0</v>
      </c>
      <c r="O119" s="45">
        <v>0</v>
      </c>
      <c r="P119" s="45">
        <v>0</v>
      </c>
      <c r="Q119" s="45">
        <v>0</v>
      </c>
      <c r="R119" s="45">
        <v>0</v>
      </c>
      <c r="S119" s="45">
        <v>0</v>
      </c>
      <c r="T119" s="45">
        <v>0</v>
      </c>
      <c r="U119" s="45">
        <v>0</v>
      </c>
      <c r="V119" s="45">
        <v>0</v>
      </c>
      <c r="W119" s="45">
        <v>0</v>
      </c>
      <c r="X119" s="45">
        <v>0</v>
      </c>
      <c r="Y119" s="45">
        <v>0</v>
      </c>
      <c r="Z119" s="45">
        <v>0</v>
      </c>
      <c r="AA119" s="45">
        <v>0</v>
      </c>
      <c r="AB119" s="45">
        <v>0</v>
      </c>
      <c r="AC119" s="45">
        <v>0</v>
      </c>
      <c r="AD119" s="45">
        <v>0</v>
      </c>
      <c r="AE119" s="45">
        <v>0</v>
      </c>
      <c r="AF119" s="45">
        <v>0</v>
      </c>
      <c r="AG119" s="45">
        <v>0</v>
      </c>
      <c r="AH119" s="45">
        <v>0</v>
      </c>
      <c r="AI119" s="45">
        <v>0</v>
      </c>
      <c r="AJ119" s="45">
        <v>0</v>
      </c>
      <c r="AK119" s="45">
        <v>0</v>
      </c>
      <c r="AL119" s="45">
        <v>0</v>
      </c>
      <c r="AM119" s="45">
        <v>0</v>
      </c>
      <c r="AN119" s="45">
        <v>0</v>
      </c>
      <c r="AO119" s="45">
        <v>0</v>
      </c>
    </row>
    <row r="120" spans="3:41" x14ac:dyDescent="0.3">
      <c r="C120" s="436" t="s">
        <v>3</v>
      </c>
      <c r="D120" s="105" t="s">
        <v>585</v>
      </c>
      <c r="G120" s="88" t="s">
        <v>641</v>
      </c>
      <c r="I120" s="45">
        <v>0</v>
      </c>
      <c r="J120" s="45">
        <v>0</v>
      </c>
      <c r="K120" s="45">
        <v>0</v>
      </c>
      <c r="L120" s="45">
        <v>0</v>
      </c>
      <c r="M120" s="45">
        <v>0</v>
      </c>
      <c r="N120" s="45">
        <v>0</v>
      </c>
      <c r="O120" s="45">
        <v>0</v>
      </c>
      <c r="P120" s="45">
        <v>0</v>
      </c>
      <c r="Q120" s="45">
        <v>0</v>
      </c>
      <c r="R120" s="45">
        <v>0</v>
      </c>
      <c r="S120" s="45">
        <v>0</v>
      </c>
      <c r="T120" s="45">
        <v>0</v>
      </c>
      <c r="U120" s="45">
        <v>0</v>
      </c>
      <c r="V120" s="45">
        <v>0</v>
      </c>
      <c r="W120" s="45">
        <v>0</v>
      </c>
      <c r="X120" s="45">
        <v>0</v>
      </c>
      <c r="Y120" s="45">
        <v>0</v>
      </c>
      <c r="Z120" s="45">
        <v>0</v>
      </c>
      <c r="AA120" s="45">
        <v>0</v>
      </c>
      <c r="AB120" s="45">
        <v>0</v>
      </c>
      <c r="AC120" s="45">
        <v>0</v>
      </c>
      <c r="AD120" s="45">
        <v>0</v>
      </c>
      <c r="AE120" s="45">
        <v>0</v>
      </c>
      <c r="AF120" s="45">
        <v>0</v>
      </c>
      <c r="AG120" s="45">
        <v>0</v>
      </c>
      <c r="AH120" s="45">
        <v>0</v>
      </c>
      <c r="AI120" s="45">
        <v>0</v>
      </c>
      <c r="AJ120" s="45">
        <v>0</v>
      </c>
      <c r="AK120" s="45">
        <v>0</v>
      </c>
      <c r="AL120" s="45">
        <v>0</v>
      </c>
      <c r="AM120" s="45">
        <v>0</v>
      </c>
      <c r="AN120" s="45">
        <v>0</v>
      </c>
      <c r="AO120" s="45">
        <v>0</v>
      </c>
    </row>
    <row r="121" spans="3:41" x14ac:dyDescent="0.3">
      <c r="C121" s="438" t="s">
        <v>3</v>
      </c>
      <c r="D121" s="231" t="s">
        <v>535</v>
      </c>
      <c r="E121" s="191"/>
      <c r="F121" s="191"/>
      <c r="G121" s="191"/>
      <c r="I121" s="239">
        <f>++SUM(I68:I120)</f>
        <v>0</v>
      </c>
      <c r="J121" s="232">
        <f t="shared" ref="J121:AO121" si="3">++SUM(J68:J120)</f>
        <v>0</v>
      </c>
      <c r="K121" s="232">
        <f t="shared" si="3"/>
        <v>0</v>
      </c>
      <c r="L121" s="232">
        <f t="shared" si="3"/>
        <v>0</v>
      </c>
      <c r="M121" s="239">
        <f t="shared" si="3"/>
        <v>0</v>
      </c>
      <c r="N121" s="232">
        <f t="shared" si="3"/>
        <v>0</v>
      </c>
      <c r="O121" s="232">
        <f t="shared" si="3"/>
        <v>0</v>
      </c>
      <c r="P121" s="232">
        <f t="shared" si="3"/>
        <v>0</v>
      </c>
      <c r="Q121" s="239">
        <f t="shared" si="3"/>
        <v>0</v>
      </c>
      <c r="R121" s="232">
        <f t="shared" si="3"/>
        <v>0</v>
      </c>
      <c r="S121" s="232">
        <f t="shared" si="3"/>
        <v>0</v>
      </c>
      <c r="T121" s="232">
        <f t="shared" si="3"/>
        <v>0</v>
      </c>
      <c r="U121" s="239">
        <f t="shared" si="3"/>
        <v>0</v>
      </c>
      <c r="V121" s="232">
        <f t="shared" si="3"/>
        <v>0</v>
      </c>
      <c r="W121" s="232">
        <f t="shared" si="3"/>
        <v>0</v>
      </c>
      <c r="X121" s="232">
        <f t="shared" si="3"/>
        <v>0</v>
      </c>
      <c r="Y121" s="239">
        <f t="shared" si="3"/>
        <v>0</v>
      </c>
      <c r="Z121" s="232">
        <f t="shared" si="3"/>
        <v>0</v>
      </c>
      <c r="AA121" s="232">
        <f t="shared" si="3"/>
        <v>0</v>
      </c>
      <c r="AB121" s="232">
        <f t="shared" si="3"/>
        <v>0</v>
      </c>
      <c r="AC121" s="239">
        <f t="shared" si="3"/>
        <v>0</v>
      </c>
      <c r="AD121" s="232">
        <f t="shared" si="3"/>
        <v>0</v>
      </c>
      <c r="AE121" s="232">
        <f t="shared" si="3"/>
        <v>0</v>
      </c>
      <c r="AF121" s="232">
        <f t="shared" si="3"/>
        <v>0</v>
      </c>
      <c r="AG121" s="239">
        <f t="shared" si="3"/>
        <v>0</v>
      </c>
      <c r="AH121" s="232">
        <f t="shared" si="3"/>
        <v>0</v>
      </c>
      <c r="AI121" s="232">
        <f t="shared" si="3"/>
        <v>0</v>
      </c>
      <c r="AJ121" s="232">
        <f t="shared" si="3"/>
        <v>0</v>
      </c>
      <c r="AK121" s="239">
        <f t="shared" si="3"/>
        <v>0</v>
      </c>
      <c r="AL121" s="232">
        <f t="shared" si="3"/>
        <v>0</v>
      </c>
      <c r="AM121" s="232">
        <f t="shared" si="3"/>
        <v>0</v>
      </c>
      <c r="AN121" s="232">
        <f t="shared" si="3"/>
        <v>0</v>
      </c>
      <c r="AO121" s="239">
        <f t="shared" si="3"/>
        <v>0</v>
      </c>
    </row>
    <row r="122" spans="3:41" x14ac:dyDescent="0.3">
      <c r="C122" s="368"/>
      <c r="I122" s="203"/>
      <c r="M122" s="203"/>
      <c r="Q122" s="203"/>
      <c r="U122" s="203"/>
      <c r="Y122" s="203"/>
      <c r="AC122" s="203"/>
      <c r="AG122" s="203"/>
      <c r="AK122" s="203"/>
      <c r="AO122" s="203"/>
    </row>
    <row r="123" spans="3:41" ht="13.5" thickBot="1" x14ac:dyDescent="0.35">
      <c r="D123" s="369" t="s">
        <v>474</v>
      </c>
      <c r="E123" s="370"/>
      <c r="F123" s="370"/>
      <c r="G123" s="370"/>
      <c r="I123" s="204">
        <f>++SUM(I66,I121)</f>
        <v>0</v>
      </c>
      <c r="J123" s="371">
        <f t="shared" ref="J123:AO123" si="4">++SUM(J66,J121)</f>
        <v>0</v>
      </c>
      <c r="K123" s="371">
        <f t="shared" si="4"/>
        <v>0</v>
      </c>
      <c r="L123" s="371">
        <f t="shared" si="4"/>
        <v>0</v>
      </c>
      <c r="M123" s="204">
        <f t="shared" si="4"/>
        <v>0</v>
      </c>
      <c r="N123" s="371">
        <f t="shared" si="4"/>
        <v>0</v>
      </c>
      <c r="O123" s="371">
        <f t="shared" si="4"/>
        <v>0</v>
      </c>
      <c r="P123" s="371">
        <f t="shared" si="4"/>
        <v>0</v>
      </c>
      <c r="Q123" s="204">
        <f t="shared" si="4"/>
        <v>0</v>
      </c>
      <c r="R123" s="371">
        <f t="shared" si="4"/>
        <v>0</v>
      </c>
      <c r="S123" s="371">
        <f t="shared" si="4"/>
        <v>0</v>
      </c>
      <c r="T123" s="371">
        <f t="shared" si="4"/>
        <v>0</v>
      </c>
      <c r="U123" s="204">
        <f t="shared" si="4"/>
        <v>0</v>
      </c>
      <c r="V123" s="371">
        <f t="shared" si="4"/>
        <v>0</v>
      </c>
      <c r="W123" s="371">
        <f t="shared" si="4"/>
        <v>0</v>
      </c>
      <c r="X123" s="371">
        <f t="shared" si="4"/>
        <v>0</v>
      </c>
      <c r="Y123" s="204">
        <f t="shared" si="4"/>
        <v>0</v>
      </c>
      <c r="Z123" s="371">
        <f t="shared" si="4"/>
        <v>0</v>
      </c>
      <c r="AA123" s="371">
        <f t="shared" si="4"/>
        <v>0</v>
      </c>
      <c r="AB123" s="371">
        <f t="shared" si="4"/>
        <v>0</v>
      </c>
      <c r="AC123" s="204">
        <f t="shared" si="4"/>
        <v>0</v>
      </c>
      <c r="AD123" s="371">
        <f t="shared" si="4"/>
        <v>0</v>
      </c>
      <c r="AE123" s="371">
        <f t="shared" si="4"/>
        <v>0</v>
      </c>
      <c r="AF123" s="371">
        <f t="shared" si="4"/>
        <v>0</v>
      </c>
      <c r="AG123" s="204">
        <f t="shared" si="4"/>
        <v>0</v>
      </c>
      <c r="AH123" s="371">
        <f t="shared" si="4"/>
        <v>0</v>
      </c>
      <c r="AI123" s="371">
        <f t="shared" si="4"/>
        <v>0</v>
      </c>
      <c r="AJ123" s="371">
        <f t="shared" si="4"/>
        <v>0</v>
      </c>
      <c r="AK123" s="204">
        <f t="shared" si="4"/>
        <v>0</v>
      </c>
      <c r="AL123" s="371">
        <f t="shared" si="4"/>
        <v>0</v>
      </c>
      <c r="AM123" s="371">
        <f t="shared" si="4"/>
        <v>0</v>
      </c>
      <c r="AN123" s="371">
        <f t="shared" si="4"/>
        <v>0</v>
      </c>
      <c r="AO123" s="204">
        <f t="shared" si="4"/>
        <v>0</v>
      </c>
    </row>
    <row r="124" spans="3:41" ht="13.5" thickTop="1" x14ac:dyDescent="0.3">
      <c r="D124" s="321" t="s">
        <v>67</v>
      </c>
      <c r="I124" s="214" t="str" cm="1">
        <f t="array" ref="I124">++IFERROR(I123/INDEX('Financials Input'!$G$157:$DC$157,0,MATCH('Covenant Input'!I$3,'Financials Input'!$G$3:$DC$3,0)),"n/a")</f>
        <v>n/a</v>
      </c>
      <c r="J124" s="225" t="str" cm="1">
        <f t="array" ref="J124">++IFERROR(J123/INDEX('Financials Input'!$G$157:$DC$157,0,MATCH('Covenant Input'!J$3,'Financials Input'!$G$3:$DC$3,0)),"n/a")</f>
        <v>n/a</v>
      </c>
      <c r="K124" s="225" t="str" cm="1">
        <f t="array" ref="K124">++IFERROR(K123/INDEX('Financials Input'!$G$157:$DC$157,0,MATCH('Covenant Input'!K$3,'Financials Input'!$G$3:$DC$3,0)),"n/a")</f>
        <v>n/a</v>
      </c>
      <c r="L124" s="225" t="str" cm="1">
        <f t="array" ref="L124">++IFERROR(L123/INDEX('Financials Input'!$G$157:$DC$157,0,MATCH('Covenant Input'!L$3,'Financials Input'!$G$3:$DC$3,0)),"n/a")</f>
        <v>n/a</v>
      </c>
      <c r="M124" s="214" t="str" cm="1">
        <f t="array" ref="M124">++IFERROR(M123/INDEX('Financials Input'!$G$157:$DC$157,0,MATCH('Covenant Input'!M$3,'Financials Input'!$G$3:$DC$3,0)),"n/a")</f>
        <v>n/a</v>
      </c>
      <c r="N124" s="225" t="str" cm="1">
        <f t="array" ref="N124">++IFERROR(N123/INDEX('Financials Input'!$G$157:$DC$157,0,MATCH('Covenant Input'!N$3,'Financials Input'!$G$3:$DC$3,0)),"n/a")</f>
        <v>n/a</v>
      </c>
      <c r="O124" s="225" t="str" cm="1">
        <f t="array" ref="O124">++IFERROR(O123/INDEX('Financials Input'!$G$157:$DC$157,0,MATCH('Covenant Input'!O$3,'Financials Input'!$G$3:$DC$3,0)),"n/a")</f>
        <v>n/a</v>
      </c>
      <c r="P124" s="225" t="str" cm="1">
        <f t="array" ref="P124">++IFERROR(P123/INDEX('Financials Input'!$G$157:$DC$157,0,MATCH('Covenant Input'!P$3,'Financials Input'!$G$3:$DC$3,0)),"n/a")</f>
        <v>n/a</v>
      </c>
      <c r="Q124" s="214" t="str" cm="1">
        <f t="array" ref="Q124">++IFERROR(Q123/INDEX('Financials Input'!$G$157:$DC$157,0,MATCH('Covenant Input'!Q$3,'Financials Input'!$G$3:$DC$3,0)),"n/a")</f>
        <v>n/a</v>
      </c>
      <c r="R124" s="225" t="str" cm="1">
        <f t="array" ref="R124">++IFERROR(R123/INDEX('Financials Input'!$G$157:$DC$157,0,MATCH('Covenant Input'!R$3,'Financials Input'!$G$3:$DC$3,0)),"n/a")</f>
        <v>n/a</v>
      </c>
      <c r="S124" s="225" t="str" cm="1">
        <f t="array" ref="S124">++IFERROR(S123/INDEX('Financials Input'!$G$157:$DC$157,0,MATCH('Covenant Input'!S$3,'Financials Input'!$G$3:$DC$3,0)),"n/a")</f>
        <v>n/a</v>
      </c>
      <c r="T124" s="225" t="str" cm="1">
        <f t="array" ref="T124">++IFERROR(T123/INDEX('Financials Input'!$G$157:$DC$157,0,MATCH('Covenant Input'!T$3,'Financials Input'!$G$3:$DC$3,0)),"n/a")</f>
        <v>n/a</v>
      </c>
      <c r="U124" s="214" t="str" cm="1">
        <f t="array" ref="U124">++IFERROR(U123/INDEX('Financials Input'!$G$157:$DC$157,0,MATCH('Covenant Input'!U$3,'Financials Input'!$G$3:$DC$3,0)),"n/a")</f>
        <v>n/a</v>
      </c>
      <c r="V124" s="225" t="str" cm="1">
        <f t="array" ref="V124">++IFERROR(V123/INDEX('Financials Input'!$G$157:$DC$157,0,MATCH('Covenant Input'!V$3,'Financials Input'!$G$3:$DC$3,0)),"n/a")</f>
        <v>n/a</v>
      </c>
      <c r="W124" s="225" t="str" cm="1">
        <f t="array" ref="W124">++IFERROR(W123/INDEX('Financials Input'!$G$157:$DC$157,0,MATCH('Covenant Input'!W$3,'Financials Input'!$G$3:$DC$3,0)),"n/a")</f>
        <v>n/a</v>
      </c>
      <c r="X124" s="225" t="str" cm="1">
        <f t="array" ref="X124">++IFERROR(X123/INDEX('Financials Input'!$G$157:$DC$157,0,MATCH('Covenant Input'!X$3,'Financials Input'!$G$3:$DC$3,0)),"n/a")</f>
        <v>n/a</v>
      </c>
      <c r="Y124" s="214" t="str" cm="1">
        <f t="array" ref="Y124">++IFERROR(Y123/INDEX('Financials Input'!$G$157:$DC$157,0,MATCH('Covenant Input'!Y$3,'Financials Input'!$G$3:$DC$3,0)),"n/a")</f>
        <v>n/a</v>
      </c>
      <c r="Z124" s="225" t="str" cm="1">
        <f t="array" ref="Z124">++IFERROR(Z123/INDEX('Financials Input'!$G$157:$DC$157,0,MATCH('Covenant Input'!Z$3,'Financials Input'!$G$3:$DC$3,0)),"n/a")</f>
        <v>n/a</v>
      </c>
      <c r="AA124" s="225" t="str" cm="1">
        <f t="array" ref="AA124">++IFERROR(AA123/INDEX('Financials Input'!$G$157:$DC$157,0,MATCH('Covenant Input'!AA$3,'Financials Input'!$G$3:$DC$3,0)),"n/a")</f>
        <v>n/a</v>
      </c>
      <c r="AB124" s="225" t="str" cm="1">
        <f t="array" ref="AB124">++IFERROR(AB123/INDEX('Financials Input'!$G$157:$DC$157,0,MATCH('Covenant Input'!AB$3,'Financials Input'!$G$3:$DC$3,0)),"n/a")</f>
        <v>n/a</v>
      </c>
      <c r="AC124" s="214" t="str" cm="1">
        <f t="array" ref="AC124">++IFERROR(AC123/INDEX('Financials Input'!$G$157:$DC$157,0,MATCH('Covenant Input'!AC$3,'Financials Input'!$G$3:$DC$3,0)),"n/a")</f>
        <v>n/a</v>
      </c>
      <c r="AD124" s="225" t="str" cm="1">
        <f t="array" ref="AD124">++IFERROR(AD123/INDEX('Financials Input'!$G$157:$DC$157,0,MATCH('Covenant Input'!AD$3,'Financials Input'!$G$3:$DC$3,0)),"n/a")</f>
        <v>n/a</v>
      </c>
      <c r="AE124" s="225" t="str" cm="1">
        <f t="array" ref="AE124">++IFERROR(AE123/INDEX('Financials Input'!$G$157:$DC$157,0,MATCH('Covenant Input'!AE$3,'Financials Input'!$G$3:$DC$3,0)),"n/a")</f>
        <v>n/a</v>
      </c>
      <c r="AF124" s="225" t="str" cm="1">
        <f t="array" ref="AF124">++IFERROR(AF123/INDEX('Financials Input'!$G$157:$DC$157,0,MATCH('Covenant Input'!AF$3,'Financials Input'!$G$3:$DC$3,0)),"n/a")</f>
        <v>n/a</v>
      </c>
      <c r="AG124" s="214" t="str" cm="1">
        <f t="array" ref="AG124">++IFERROR(AG123/INDEX('Financials Input'!$G$157:$DC$157,0,MATCH('Covenant Input'!AG$3,'Financials Input'!$G$3:$DC$3,0)),"n/a")</f>
        <v>n/a</v>
      </c>
      <c r="AH124" s="225" t="str" cm="1">
        <f t="array" ref="AH124">++IFERROR(AH123/INDEX('Financials Input'!$G$157:$DC$157,0,MATCH('Covenant Input'!AH$3,'Financials Input'!$G$3:$DC$3,0)),"n/a")</f>
        <v>n/a</v>
      </c>
      <c r="AI124" s="225" t="str" cm="1">
        <f t="array" ref="AI124">++IFERROR(AI123/INDEX('Financials Input'!$G$157:$DC$157,0,MATCH('Covenant Input'!AI$3,'Financials Input'!$G$3:$DC$3,0)),"n/a")</f>
        <v>n/a</v>
      </c>
      <c r="AJ124" s="225" t="str" cm="1">
        <f t="array" ref="AJ124">++IFERROR(AJ123/INDEX('Financials Input'!$G$157:$DC$157,0,MATCH('Covenant Input'!AJ$3,'Financials Input'!$G$3:$DC$3,0)),"n/a")</f>
        <v>n/a</v>
      </c>
      <c r="AK124" s="214" t="str" cm="1">
        <f t="array" ref="AK124">++IFERROR(AK123/INDEX('Financials Input'!$G$157:$DC$157,0,MATCH('Covenant Input'!AK$3,'Financials Input'!$G$3:$DC$3,0)),"n/a")</f>
        <v>n/a</v>
      </c>
      <c r="AL124" s="225" t="str" cm="1">
        <f t="array" ref="AL124">++IFERROR(AL123/INDEX('Financials Input'!$G$157:$DC$157,0,MATCH('Covenant Input'!AL$3,'Financials Input'!$G$3:$DC$3,0)),"n/a")</f>
        <v>n/a</v>
      </c>
      <c r="AM124" s="225" t="str" cm="1">
        <f t="array" ref="AM124">++IFERROR(AM123/INDEX('Financials Input'!$G$157:$DC$157,0,MATCH('Covenant Input'!AM$3,'Financials Input'!$G$3:$DC$3,0)),"n/a")</f>
        <v>n/a</v>
      </c>
      <c r="AN124" s="225" t="str" cm="1">
        <f t="array" ref="AN124">++IFERROR(AN123/INDEX('Financials Input'!$G$157:$DC$157,0,MATCH('Covenant Input'!AN$3,'Financials Input'!$G$3:$DC$3,0)),"n/a")</f>
        <v>n/a</v>
      </c>
      <c r="AO124" s="214" t="str" cm="1">
        <f t="array" ref="AO124">++IFERROR(AO123/INDEX('Financials Input'!$G$157:$DC$157,0,MATCH('Covenant Input'!AO$3,'Financials Input'!$G$3:$DC$3,0)),"n/a")</f>
        <v>n/a</v>
      </c>
    </row>
    <row r="125" spans="3:41" x14ac:dyDescent="0.3">
      <c r="D125" s="321" t="s">
        <v>65</v>
      </c>
      <c r="I125" s="122" t="s">
        <v>47</v>
      </c>
      <c r="J125" s="122" t="s">
        <v>47</v>
      </c>
      <c r="K125" s="122" t="s">
        <v>47</v>
      </c>
      <c r="L125" s="122" t="s">
        <v>47</v>
      </c>
      <c r="M125" s="214" t="str">
        <f>++IFERROR(M123/I123-1,"n/a")</f>
        <v>n/a</v>
      </c>
      <c r="N125" s="225" t="str">
        <f t="shared" ref="N125" si="5">++IFERROR(N123/J123-1,"n/a")</f>
        <v>n/a</v>
      </c>
      <c r="O125" s="225" t="str">
        <f t="shared" ref="O125" si="6">++IFERROR(O123/K123-1,"n/a")</f>
        <v>n/a</v>
      </c>
      <c r="P125" s="225" t="str">
        <f t="shared" ref="P125" si="7">++IFERROR(P123/L123-1,"n/a")</f>
        <v>n/a</v>
      </c>
      <c r="Q125" s="214" t="str">
        <f t="shared" ref="Q125" si="8">++IFERROR(Q123/M123-1,"n/a")</f>
        <v>n/a</v>
      </c>
      <c r="R125" s="225" t="str">
        <f t="shared" ref="R125" si="9">++IFERROR(R123/N123-1,"n/a")</f>
        <v>n/a</v>
      </c>
      <c r="S125" s="225" t="str">
        <f t="shared" ref="S125" si="10">++IFERROR(S123/O123-1,"n/a")</f>
        <v>n/a</v>
      </c>
      <c r="T125" s="225" t="str">
        <f t="shared" ref="T125" si="11">++IFERROR(T123/P123-1,"n/a")</f>
        <v>n/a</v>
      </c>
      <c r="U125" s="214" t="str">
        <f t="shared" ref="U125" si="12">++IFERROR(U123/Q123-1,"n/a")</f>
        <v>n/a</v>
      </c>
      <c r="V125" s="225" t="str">
        <f t="shared" ref="V125" si="13">++IFERROR(V123/R123-1,"n/a")</f>
        <v>n/a</v>
      </c>
      <c r="W125" s="225" t="str">
        <f t="shared" ref="W125" si="14">++IFERROR(W123/S123-1,"n/a")</f>
        <v>n/a</v>
      </c>
      <c r="X125" s="225" t="str">
        <f t="shared" ref="X125" si="15">++IFERROR(X123/T123-1,"n/a")</f>
        <v>n/a</v>
      </c>
      <c r="Y125" s="214" t="str">
        <f t="shared" ref="Y125" si="16">++IFERROR(Y123/U123-1,"n/a")</f>
        <v>n/a</v>
      </c>
      <c r="Z125" s="225" t="str">
        <f t="shared" ref="Z125" si="17">++IFERROR(Z123/V123-1,"n/a")</f>
        <v>n/a</v>
      </c>
      <c r="AA125" s="225" t="str">
        <f t="shared" ref="AA125" si="18">++IFERROR(AA123/W123-1,"n/a")</f>
        <v>n/a</v>
      </c>
      <c r="AB125" s="225" t="str">
        <f t="shared" ref="AB125" si="19">++IFERROR(AB123/X123-1,"n/a")</f>
        <v>n/a</v>
      </c>
      <c r="AC125" s="214" t="str">
        <f t="shared" ref="AC125" si="20">++IFERROR(AC123/Y123-1,"n/a")</f>
        <v>n/a</v>
      </c>
      <c r="AD125" s="225" t="str">
        <f t="shared" ref="AD125" si="21">++IFERROR(AD123/Z123-1,"n/a")</f>
        <v>n/a</v>
      </c>
      <c r="AE125" s="225" t="str">
        <f t="shared" ref="AE125" si="22">++IFERROR(AE123/AA123-1,"n/a")</f>
        <v>n/a</v>
      </c>
      <c r="AF125" s="225" t="str">
        <f t="shared" ref="AF125" si="23">++IFERROR(AF123/AB123-1,"n/a")</f>
        <v>n/a</v>
      </c>
      <c r="AG125" s="214" t="str">
        <f t="shared" ref="AG125" si="24">++IFERROR(AG123/AC123-1,"n/a")</f>
        <v>n/a</v>
      </c>
      <c r="AH125" s="225" t="str">
        <f t="shared" ref="AH125" si="25">++IFERROR(AH123/AD123-1,"n/a")</f>
        <v>n/a</v>
      </c>
      <c r="AI125" s="225" t="str">
        <f t="shared" ref="AI125" si="26">++IFERROR(AI123/AE123-1,"n/a")</f>
        <v>n/a</v>
      </c>
      <c r="AJ125" s="225" t="str">
        <f t="shared" ref="AJ125" si="27">++IFERROR(AJ123/AF123-1,"n/a")</f>
        <v>n/a</v>
      </c>
      <c r="AK125" s="214" t="str">
        <f t="shared" ref="AK125" si="28">++IFERROR(AK123/AG123-1,"n/a")</f>
        <v>n/a</v>
      </c>
      <c r="AL125" s="225" t="str">
        <f t="shared" ref="AL125" si="29">++IFERROR(AL123/AH123-1,"n/a")</f>
        <v>n/a</v>
      </c>
      <c r="AM125" s="225" t="str">
        <f t="shared" ref="AM125" si="30">++IFERROR(AM123/AI123-1,"n/a")</f>
        <v>n/a</v>
      </c>
      <c r="AN125" s="225" t="str">
        <f t="shared" ref="AN125" si="31">++IFERROR(AN123/AJ123-1,"n/a")</f>
        <v>n/a</v>
      </c>
      <c r="AO125" s="214" t="str">
        <f t="shared" ref="AO125" si="32">++IFERROR(AO123/AK123-1,"n/a")</f>
        <v>n/a</v>
      </c>
    </row>
    <row r="126" spans="3:41" x14ac:dyDescent="0.3">
      <c r="I126" s="203"/>
      <c r="M126" s="203"/>
      <c r="Q126" s="203"/>
      <c r="U126" s="203"/>
      <c r="Y126" s="203"/>
      <c r="AC126" s="203"/>
      <c r="AG126" s="203"/>
      <c r="AK126" s="203"/>
      <c r="AO126" s="203"/>
    </row>
    <row r="127" spans="3:41" hidden="1" outlineLevel="1" x14ac:dyDescent="0.3">
      <c r="D127" s="321" t="str">
        <f>++D123&amp;" (as Reported)"</f>
        <v>Consolidated EBITDA (as Reported)</v>
      </c>
      <c r="I127" s="39">
        <v>0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39">
        <v>0</v>
      </c>
      <c r="AI127" s="39">
        <v>0</v>
      </c>
      <c r="AJ127" s="39">
        <v>0</v>
      </c>
      <c r="AK127" s="39">
        <v>0</v>
      </c>
      <c r="AL127" s="39">
        <v>0</v>
      </c>
      <c r="AM127" s="39">
        <v>0</v>
      </c>
      <c r="AN127" s="39">
        <v>0</v>
      </c>
      <c r="AO127" s="39">
        <v>0</v>
      </c>
    </row>
    <row r="128" spans="3:41" hidden="1" outlineLevel="1" x14ac:dyDescent="0.3">
      <c r="D128" s="321" t="s">
        <v>354</v>
      </c>
      <c r="I128" s="372">
        <f t="shared" ref="I128:AO128" si="33">++I127-I123</f>
        <v>0</v>
      </c>
      <c r="J128" s="373">
        <f t="shared" si="33"/>
        <v>0</v>
      </c>
      <c r="K128" s="373">
        <f t="shared" si="33"/>
        <v>0</v>
      </c>
      <c r="L128" s="373">
        <f t="shared" si="33"/>
        <v>0</v>
      </c>
      <c r="M128" s="372">
        <f t="shared" si="33"/>
        <v>0</v>
      </c>
      <c r="N128" s="373">
        <f t="shared" si="33"/>
        <v>0</v>
      </c>
      <c r="O128" s="373">
        <f t="shared" si="33"/>
        <v>0</v>
      </c>
      <c r="P128" s="373">
        <f t="shared" si="33"/>
        <v>0</v>
      </c>
      <c r="Q128" s="372">
        <f t="shared" si="33"/>
        <v>0</v>
      </c>
      <c r="R128" s="373">
        <f t="shared" si="33"/>
        <v>0</v>
      </c>
      <c r="S128" s="373">
        <f t="shared" si="33"/>
        <v>0</v>
      </c>
      <c r="T128" s="373">
        <f t="shared" si="33"/>
        <v>0</v>
      </c>
      <c r="U128" s="372">
        <f t="shared" si="33"/>
        <v>0</v>
      </c>
      <c r="V128" s="373">
        <f t="shared" si="33"/>
        <v>0</v>
      </c>
      <c r="W128" s="373">
        <f t="shared" si="33"/>
        <v>0</v>
      </c>
      <c r="X128" s="373">
        <f t="shared" si="33"/>
        <v>0</v>
      </c>
      <c r="Y128" s="372">
        <f t="shared" si="33"/>
        <v>0</v>
      </c>
      <c r="Z128" s="373">
        <f t="shared" si="33"/>
        <v>0</v>
      </c>
      <c r="AA128" s="373">
        <f t="shared" si="33"/>
        <v>0</v>
      </c>
      <c r="AB128" s="373">
        <f t="shared" si="33"/>
        <v>0</v>
      </c>
      <c r="AC128" s="372">
        <f t="shared" si="33"/>
        <v>0</v>
      </c>
      <c r="AD128" s="373">
        <f t="shared" si="33"/>
        <v>0</v>
      </c>
      <c r="AE128" s="373">
        <f t="shared" si="33"/>
        <v>0</v>
      </c>
      <c r="AF128" s="373">
        <f t="shared" si="33"/>
        <v>0</v>
      </c>
      <c r="AG128" s="372">
        <f t="shared" si="33"/>
        <v>0</v>
      </c>
      <c r="AH128" s="373">
        <f t="shared" si="33"/>
        <v>0</v>
      </c>
      <c r="AI128" s="373">
        <f t="shared" si="33"/>
        <v>0</v>
      </c>
      <c r="AJ128" s="373">
        <f t="shared" si="33"/>
        <v>0</v>
      </c>
      <c r="AK128" s="372">
        <f t="shared" si="33"/>
        <v>0</v>
      </c>
      <c r="AL128" s="373">
        <f t="shared" si="33"/>
        <v>0</v>
      </c>
      <c r="AM128" s="373">
        <f t="shared" si="33"/>
        <v>0</v>
      </c>
      <c r="AN128" s="373">
        <f t="shared" si="33"/>
        <v>0</v>
      </c>
      <c r="AO128" s="372">
        <f t="shared" si="33"/>
        <v>0</v>
      </c>
    </row>
    <row r="129" spans="1:41" hidden="1" outlineLevel="1" x14ac:dyDescent="0.3">
      <c r="I129" s="203"/>
      <c r="M129" s="203"/>
      <c r="Q129" s="203"/>
      <c r="U129" s="203"/>
      <c r="Y129" s="203"/>
      <c r="AC129" s="203"/>
      <c r="AG129" s="203"/>
      <c r="AK129" s="203"/>
      <c r="AO129" s="203"/>
    </row>
    <row r="130" spans="1:41" collapsed="1" x14ac:dyDescent="0.3">
      <c r="D130" s="101" t="s">
        <v>140</v>
      </c>
      <c r="G130" s="88" t="s">
        <v>640</v>
      </c>
      <c r="I130" s="374">
        <f>++-SUMIFS(I$12:I$123,$G$12:$G$123,$G130)</f>
        <v>0</v>
      </c>
      <c r="J130" s="200">
        <f t="shared" ref="J130:AO130" si="34">++-SUMIFS(J$12:J$123,$G$12:$G$123,$G130)</f>
        <v>0</v>
      </c>
      <c r="K130" s="200">
        <f t="shared" si="34"/>
        <v>0</v>
      </c>
      <c r="L130" s="200">
        <f t="shared" si="34"/>
        <v>0</v>
      </c>
      <c r="M130" s="374">
        <f t="shared" si="34"/>
        <v>0</v>
      </c>
      <c r="N130" s="200">
        <f t="shared" si="34"/>
        <v>0</v>
      </c>
      <c r="O130" s="200">
        <f t="shared" si="34"/>
        <v>0</v>
      </c>
      <c r="P130" s="200">
        <f t="shared" si="34"/>
        <v>0</v>
      </c>
      <c r="Q130" s="374">
        <f t="shared" si="34"/>
        <v>0</v>
      </c>
      <c r="R130" s="200">
        <f t="shared" si="34"/>
        <v>0</v>
      </c>
      <c r="S130" s="200">
        <f t="shared" si="34"/>
        <v>0</v>
      </c>
      <c r="T130" s="200">
        <f t="shared" si="34"/>
        <v>0</v>
      </c>
      <c r="U130" s="374">
        <f t="shared" si="34"/>
        <v>0</v>
      </c>
      <c r="V130" s="200">
        <f t="shared" si="34"/>
        <v>0</v>
      </c>
      <c r="W130" s="200">
        <f t="shared" si="34"/>
        <v>0</v>
      </c>
      <c r="X130" s="200">
        <f t="shared" si="34"/>
        <v>0</v>
      </c>
      <c r="Y130" s="374">
        <f t="shared" si="34"/>
        <v>0</v>
      </c>
      <c r="Z130" s="200">
        <f t="shared" si="34"/>
        <v>0</v>
      </c>
      <c r="AA130" s="200">
        <f t="shared" si="34"/>
        <v>0</v>
      </c>
      <c r="AB130" s="200">
        <f t="shared" si="34"/>
        <v>0</v>
      </c>
      <c r="AC130" s="374">
        <f t="shared" si="34"/>
        <v>0</v>
      </c>
      <c r="AD130" s="200">
        <f t="shared" si="34"/>
        <v>0</v>
      </c>
      <c r="AE130" s="200">
        <f t="shared" si="34"/>
        <v>0</v>
      </c>
      <c r="AF130" s="200">
        <f t="shared" si="34"/>
        <v>0</v>
      </c>
      <c r="AG130" s="374">
        <f t="shared" si="34"/>
        <v>0</v>
      </c>
      <c r="AH130" s="200">
        <f t="shared" si="34"/>
        <v>0</v>
      </c>
      <c r="AI130" s="200">
        <f t="shared" si="34"/>
        <v>0</v>
      </c>
      <c r="AJ130" s="200">
        <f t="shared" si="34"/>
        <v>0</v>
      </c>
      <c r="AK130" s="374">
        <f t="shared" si="34"/>
        <v>0</v>
      </c>
      <c r="AL130" s="200">
        <f t="shared" si="34"/>
        <v>0</v>
      </c>
      <c r="AM130" s="200">
        <f t="shared" si="34"/>
        <v>0</v>
      </c>
      <c r="AN130" s="200">
        <f t="shared" si="34"/>
        <v>0</v>
      </c>
      <c r="AO130" s="374">
        <f t="shared" si="34"/>
        <v>0</v>
      </c>
    </row>
    <row r="131" spans="1:41" x14ac:dyDescent="0.3">
      <c r="D131" s="101" t="s">
        <v>137</v>
      </c>
      <c r="G131" s="88" t="s">
        <v>641</v>
      </c>
      <c r="I131" s="374">
        <f t="shared" ref="I131:AO131" si="35">++-SUMIFS(I$12:I$123,$G$12:$G$123,$G131)</f>
        <v>0</v>
      </c>
      <c r="J131" s="200">
        <f t="shared" si="35"/>
        <v>0</v>
      </c>
      <c r="K131" s="200">
        <f t="shared" si="35"/>
        <v>0</v>
      </c>
      <c r="L131" s="200">
        <f t="shared" si="35"/>
        <v>0</v>
      </c>
      <c r="M131" s="374">
        <f t="shared" si="35"/>
        <v>0</v>
      </c>
      <c r="N131" s="200">
        <f t="shared" si="35"/>
        <v>0</v>
      </c>
      <c r="O131" s="200">
        <f t="shared" si="35"/>
        <v>0</v>
      </c>
      <c r="P131" s="200">
        <f t="shared" si="35"/>
        <v>0</v>
      </c>
      <c r="Q131" s="374">
        <f t="shared" si="35"/>
        <v>0</v>
      </c>
      <c r="R131" s="200">
        <f t="shared" si="35"/>
        <v>0</v>
      </c>
      <c r="S131" s="200">
        <f t="shared" si="35"/>
        <v>0</v>
      </c>
      <c r="T131" s="200">
        <f t="shared" si="35"/>
        <v>0</v>
      </c>
      <c r="U131" s="374">
        <f t="shared" si="35"/>
        <v>0</v>
      </c>
      <c r="V131" s="200">
        <f t="shared" si="35"/>
        <v>0</v>
      </c>
      <c r="W131" s="200">
        <f t="shared" si="35"/>
        <v>0</v>
      </c>
      <c r="X131" s="200">
        <f t="shared" si="35"/>
        <v>0</v>
      </c>
      <c r="Y131" s="374">
        <f t="shared" si="35"/>
        <v>0</v>
      </c>
      <c r="Z131" s="200">
        <f t="shared" si="35"/>
        <v>0</v>
      </c>
      <c r="AA131" s="200">
        <f t="shared" si="35"/>
        <v>0</v>
      </c>
      <c r="AB131" s="200">
        <f t="shared" si="35"/>
        <v>0</v>
      </c>
      <c r="AC131" s="374">
        <f t="shared" si="35"/>
        <v>0</v>
      </c>
      <c r="AD131" s="200">
        <f t="shared" si="35"/>
        <v>0</v>
      </c>
      <c r="AE131" s="200">
        <f t="shared" si="35"/>
        <v>0</v>
      </c>
      <c r="AF131" s="200">
        <f t="shared" si="35"/>
        <v>0</v>
      </c>
      <c r="AG131" s="374">
        <f t="shared" si="35"/>
        <v>0</v>
      </c>
      <c r="AH131" s="200">
        <f t="shared" si="35"/>
        <v>0</v>
      </c>
      <c r="AI131" s="200">
        <f t="shared" si="35"/>
        <v>0</v>
      </c>
      <c r="AJ131" s="200">
        <f t="shared" si="35"/>
        <v>0</v>
      </c>
      <c r="AK131" s="374">
        <f t="shared" si="35"/>
        <v>0</v>
      </c>
      <c r="AL131" s="200">
        <f t="shared" si="35"/>
        <v>0</v>
      </c>
      <c r="AM131" s="200">
        <f t="shared" si="35"/>
        <v>0</v>
      </c>
      <c r="AN131" s="200">
        <f t="shared" si="35"/>
        <v>0</v>
      </c>
      <c r="AO131" s="374">
        <f t="shared" si="35"/>
        <v>0</v>
      </c>
    </row>
    <row r="132" spans="1:41" ht="13.5" thickBot="1" x14ac:dyDescent="0.35">
      <c r="D132" s="369" t="s">
        <v>377</v>
      </c>
      <c r="E132" s="370"/>
      <c r="F132" s="370"/>
      <c r="G132" s="370"/>
      <c r="I132" s="204">
        <f>++SUM(I123,I130:I131)</f>
        <v>0</v>
      </c>
      <c r="J132" s="371">
        <f t="shared" ref="J132:AO132" si="36">++SUM(J123,J130:J131)</f>
        <v>0</v>
      </c>
      <c r="K132" s="371">
        <f t="shared" si="36"/>
        <v>0</v>
      </c>
      <c r="L132" s="371">
        <f t="shared" si="36"/>
        <v>0</v>
      </c>
      <c r="M132" s="204">
        <f t="shared" si="36"/>
        <v>0</v>
      </c>
      <c r="N132" s="371">
        <f t="shared" si="36"/>
        <v>0</v>
      </c>
      <c r="O132" s="371">
        <f t="shared" si="36"/>
        <v>0</v>
      </c>
      <c r="P132" s="371">
        <f t="shared" si="36"/>
        <v>0</v>
      </c>
      <c r="Q132" s="204">
        <f t="shared" si="36"/>
        <v>0</v>
      </c>
      <c r="R132" s="371">
        <f t="shared" si="36"/>
        <v>0</v>
      </c>
      <c r="S132" s="371">
        <f t="shared" si="36"/>
        <v>0</v>
      </c>
      <c r="T132" s="371">
        <f t="shared" si="36"/>
        <v>0</v>
      </c>
      <c r="U132" s="204">
        <f t="shared" si="36"/>
        <v>0</v>
      </c>
      <c r="V132" s="371">
        <f t="shared" si="36"/>
        <v>0</v>
      </c>
      <c r="W132" s="371">
        <f t="shared" si="36"/>
        <v>0</v>
      </c>
      <c r="X132" s="371">
        <f t="shared" si="36"/>
        <v>0</v>
      </c>
      <c r="Y132" s="204">
        <f t="shared" si="36"/>
        <v>0</v>
      </c>
      <c r="Z132" s="371">
        <f t="shared" si="36"/>
        <v>0</v>
      </c>
      <c r="AA132" s="371">
        <f t="shared" si="36"/>
        <v>0</v>
      </c>
      <c r="AB132" s="371">
        <f t="shared" si="36"/>
        <v>0</v>
      </c>
      <c r="AC132" s="204">
        <f t="shared" si="36"/>
        <v>0</v>
      </c>
      <c r="AD132" s="371">
        <f t="shared" si="36"/>
        <v>0</v>
      </c>
      <c r="AE132" s="371">
        <f t="shared" si="36"/>
        <v>0</v>
      </c>
      <c r="AF132" s="371">
        <f t="shared" si="36"/>
        <v>0</v>
      </c>
      <c r="AG132" s="204">
        <f t="shared" si="36"/>
        <v>0</v>
      </c>
      <c r="AH132" s="371">
        <f t="shared" si="36"/>
        <v>0</v>
      </c>
      <c r="AI132" s="371">
        <f t="shared" si="36"/>
        <v>0</v>
      </c>
      <c r="AJ132" s="371">
        <f t="shared" si="36"/>
        <v>0</v>
      </c>
      <c r="AK132" s="204">
        <f t="shared" si="36"/>
        <v>0</v>
      </c>
      <c r="AL132" s="371">
        <f t="shared" si="36"/>
        <v>0</v>
      </c>
      <c r="AM132" s="371">
        <f t="shared" si="36"/>
        <v>0</v>
      </c>
      <c r="AN132" s="371">
        <f t="shared" si="36"/>
        <v>0</v>
      </c>
      <c r="AO132" s="204">
        <f t="shared" si="36"/>
        <v>0</v>
      </c>
    </row>
    <row r="133" spans="1:41" ht="13.5" thickTop="1" x14ac:dyDescent="0.3">
      <c r="D133" s="321" t="s">
        <v>67</v>
      </c>
      <c r="I133" s="214" t="str" cm="1">
        <f t="array" ref="I133">++IFERROR(I132/INDEX('Financials Input'!$G$157:$DC$157,0,MATCH(I$3,'Financials Input'!$G$3:$DC$3,0)),"n/a")</f>
        <v>n/a</v>
      </c>
      <c r="J133" s="225" t="str" cm="1">
        <f t="array" ref="J133">++IFERROR(J132/INDEX('Financials Input'!$G$157:$DC$157,0,MATCH(J$3,'Financials Input'!$G$3:$DC$3,0)),"n/a")</f>
        <v>n/a</v>
      </c>
      <c r="K133" s="225" t="str" cm="1">
        <f t="array" ref="K133">++IFERROR(K132/INDEX('Financials Input'!$G$157:$DC$157,0,MATCH(K$3,'Financials Input'!$G$3:$DC$3,0)),"n/a")</f>
        <v>n/a</v>
      </c>
      <c r="L133" s="225" t="str" cm="1">
        <f t="array" ref="L133">++IFERROR(L132/INDEX('Financials Input'!$G$157:$DC$157,0,MATCH(L$3,'Financials Input'!$G$3:$DC$3,0)),"n/a")</f>
        <v>n/a</v>
      </c>
      <c r="M133" s="214" t="str" cm="1">
        <f t="array" ref="M133">++IFERROR(M132/INDEX('Financials Input'!$G$157:$DC$157,0,MATCH(M$3,'Financials Input'!$G$3:$DC$3,0)),"n/a")</f>
        <v>n/a</v>
      </c>
      <c r="N133" s="225" t="str" cm="1">
        <f t="array" ref="N133">++IFERROR(N132/INDEX('Financials Input'!$G$157:$DC$157,0,MATCH(N$3,'Financials Input'!$G$3:$DC$3,0)),"n/a")</f>
        <v>n/a</v>
      </c>
      <c r="O133" s="225" t="str" cm="1">
        <f t="array" ref="O133">++IFERROR(O132/INDEX('Financials Input'!$G$157:$DC$157,0,MATCH(O$3,'Financials Input'!$G$3:$DC$3,0)),"n/a")</f>
        <v>n/a</v>
      </c>
      <c r="P133" s="225" t="str" cm="1">
        <f t="array" ref="P133">++IFERROR(P132/INDEX('Financials Input'!$G$157:$DC$157,0,MATCH(P$3,'Financials Input'!$G$3:$DC$3,0)),"n/a")</f>
        <v>n/a</v>
      </c>
      <c r="Q133" s="214" t="str" cm="1">
        <f t="array" ref="Q133">++IFERROR(Q132/INDEX('Financials Input'!$G$157:$DC$157,0,MATCH(Q$3,'Financials Input'!$G$3:$DC$3,0)),"n/a")</f>
        <v>n/a</v>
      </c>
      <c r="R133" s="225" t="str" cm="1">
        <f t="array" ref="R133">++IFERROR(R132/INDEX('Financials Input'!$G$157:$DC$157,0,MATCH(R$3,'Financials Input'!$G$3:$DC$3,0)),"n/a")</f>
        <v>n/a</v>
      </c>
      <c r="S133" s="225" t="str" cm="1">
        <f t="array" ref="S133">++IFERROR(S132/INDEX('Financials Input'!$G$157:$DC$157,0,MATCH(S$3,'Financials Input'!$G$3:$DC$3,0)),"n/a")</f>
        <v>n/a</v>
      </c>
      <c r="T133" s="225" t="str" cm="1">
        <f t="array" ref="T133">++IFERROR(T132/INDEX('Financials Input'!$G$157:$DC$157,0,MATCH(T$3,'Financials Input'!$G$3:$DC$3,0)),"n/a")</f>
        <v>n/a</v>
      </c>
      <c r="U133" s="214" t="str" cm="1">
        <f t="array" ref="U133">++IFERROR(U132/INDEX('Financials Input'!$G$157:$DC$157,0,MATCH(U$3,'Financials Input'!$G$3:$DC$3,0)),"n/a")</f>
        <v>n/a</v>
      </c>
      <c r="V133" s="225" t="str" cm="1">
        <f t="array" ref="V133">++IFERROR(V132/INDEX('Financials Input'!$G$157:$DC$157,0,MATCH(V$3,'Financials Input'!$G$3:$DC$3,0)),"n/a")</f>
        <v>n/a</v>
      </c>
      <c r="W133" s="225" t="str" cm="1">
        <f t="array" ref="W133">++IFERROR(W132/INDEX('Financials Input'!$G$157:$DC$157,0,MATCH(W$3,'Financials Input'!$G$3:$DC$3,0)),"n/a")</f>
        <v>n/a</v>
      </c>
      <c r="X133" s="225" t="str" cm="1">
        <f t="array" ref="X133">++IFERROR(X132/INDEX('Financials Input'!$G$157:$DC$157,0,MATCH(X$3,'Financials Input'!$G$3:$DC$3,0)),"n/a")</f>
        <v>n/a</v>
      </c>
      <c r="Y133" s="214" t="str" cm="1">
        <f t="array" ref="Y133">++IFERROR(Y132/INDEX('Financials Input'!$G$157:$DC$157,0,MATCH(Y$3,'Financials Input'!$G$3:$DC$3,0)),"n/a")</f>
        <v>n/a</v>
      </c>
      <c r="Z133" s="225" t="str" cm="1">
        <f t="array" ref="Z133">++IFERROR(Z132/INDEX('Financials Input'!$G$157:$DC$157,0,MATCH(Z$3,'Financials Input'!$G$3:$DC$3,0)),"n/a")</f>
        <v>n/a</v>
      </c>
      <c r="AA133" s="225" t="str" cm="1">
        <f t="array" ref="AA133">++IFERROR(AA132/INDEX('Financials Input'!$G$157:$DC$157,0,MATCH(AA$3,'Financials Input'!$G$3:$DC$3,0)),"n/a")</f>
        <v>n/a</v>
      </c>
      <c r="AB133" s="225" t="str" cm="1">
        <f t="array" ref="AB133">++IFERROR(AB132/INDEX('Financials Input'!$G$157:$DC$157,0,MATCH(AB$3,'Financials Input'!$G$3:$DC$3,0)),"n/a")</f>
        <v>n/a</v>
      </c>
      <c r="AC133" s="214" t="str" cm="1">
        <f t="array" ref="AC133">++IFERROR(AC132/INDEX('Financials Input'!$G$157:$DC$157,0,MATCH(AC$3,'Financials Input'!$G$3:$DC$3,0)),"n/a")</f>
        <v>n/a</v>
      </c>
      <c r="AD133" s="225" t="str" cm="1">
        <f t="array" ref="AD133">++IFERROR(AD132/INDEX('Financials Input'!$G$157:$DC$157,0,MATCH(AD$3,'Financials Input'!$G$3:$DC$3,0)),"n/a")</f>
        <v>n/a</v>
      </c>
      <c r="AE133" s="225" t="str" cm="1">
        <f t="array" ref="AE133">++IFERROR(AE132/INDEX('Financials Input'!$G$157:$DC$157,0,MATCH(AE$3,'Financials Input'!$G$3:$DC$3,0)),"n/a")</f>
        <v>n/a</v>
      </c>
      <c r="AF133" s="225" t="str" cm="1">
        <f t="array" ref="AF133">++IFERROR(AF132/INDEX('Financials Input'!$G$157:$DC$157,0,MATCH(AF$3,'Financials Input'!$G$3:$DC$3,0)),"n/a")</f>
        <v>n/a</v>
      </c>
      <c r="AG133" s="214" t="str" cm="1">
        <f t="array" ref="AG133">++IFERROR(AG132/INDEX('Financials Input'!$G$157:$DC$157,0,MATCH(AG$3,'Financials Input'!$G$3:$DC$3,0)),"n/a")</f>
        <v>n/a</v>
      </c>
      <c r="AH133" s="225" t="str" cm="1">
        <f t="array" ref="AH133">++IFERROR(AH132/INDEX('Financials Input'!$G$157:$DC$157,0,MATCH(AH$3,'Financials Input'!$G$3:$DC$3,0)),"n/a")</f>
        <v>n/a</v>
      </c>
      <c r="AI133" s="225" t="str" cm="1">
        <f t="array" ref="AI133">++IFERROR(AI132/INDEX('Financials Input'!$G$157:$DC$157,0,MATCH(AI$3,'Financials Input'!$G$3:$DC$3,0)),"n/a")</f>
        <v>n/a</v>
      </c>
      <c r="AJ133" s="225" t="str" cm="1">
        <f t="array" ref="AJ133">++IFERROR(AJ132/INDEX('Financials Input'!$G$157:$DC$157,0,MATCH(AJ$3,'Financials Input'!$G$3:$DC$3,0)),"n/a")</f>
        <v>n/a</v>
      </c>
      <c r="AK133" s="214" t="str" cm="1">
        <f t="array" ref="AK133">++IFERROR(AK132/INDEX('Financials Input'!$G$157:$DC$157,0,MATCH(AK$3,'Financials Input'!$G$3:$DC$3,0)),"n/a")</f>
        <v>n/a</v>
      </c>
      <c r="AL133" s="225" t="str" cm="1">
        <f t="array" ref="AL133">++IFERROR(AL132/INDEX('Financials Input'!$G$157:$DC$157,0,MATCH(AL$3,'Financials Input'!$G$3:$DC$3,0)),"n/a")</f>
        <v>n/a</v>
      </c>
      <c r="AM133" s="225" t="str" cm="1">
        <f t="array" ref="AM133">++IFERROR(AM132/INDEX('Financials Input'!$G$157:$DC$157,0,MATCH(AM$3,'Financials Input'!$G$3:$DC$3,0)),"n/a")</f>
        <v>n/a</v>
      </c>
      <c r="AN133" s="225" t="str" cm="1">
        <f t="array" ref="AN133">++IFERROR(AN132/INDEX('Financials Input'!$G$157:$DC$157,0,MATCH(AN$3,'Financials Input'!$G$3:$DC$3,0)),"n/a")</f>
        <v>n/a</v>
      </c>
      <c r="AO133" s="214" t="str" cm="1">
        <f t="array" ref="AO133">++IFERROR(AO132/INDEX('Financials Input'!$G$157:$DC$157,0,MATCH(AO$3,'Financials Input'!$G$3:$DC$3,0)),"n/a")</f>
        <v>n/a</v>
      </c>
    </row>
    <row r="134" spans="1:41" x14ac:dyDescent="0.3">
      <c r="D134" s="321" t="s">
        <v>65</v>
      </c>
      <c r="I134" s="122" t="s">
        <v>47</v>
      </c>
      <c r="J134" s="122" t="s">
        <v>47</v>
      </c>
      <c r="K134" s="122" t="s">
        <v>47</v>
      </c>
      <c r="L134" s="122" t="s">
        <v>47</v>
      </c>
      <c r="M134" s="214" t="str">
        <f>++IFERROR(M132/I132-1,"n/a")</f>
        <v>n/a</v>
      </c>
      <c r="N134" s="225" t="str">
        <f t="shared" ref="N134:AO134" si="37">++IFERROR(N132/J132-1,"n/a")</f>
        <v>n/a</v>
      </c>
      <c r="O134" s="225" t="str">
        <f t="shared" si="37"/>
        <v>n/a</v>
      </c>
      <c r="P134" s="225" t="str">
        <f t="shared" si="37"/>
        <v>n/a</v>
      </c>
      <c r="Q134" s="214" t="str">
        <f t="shared" si="37"/>
        <v>n/a</v>
      </c>
      <c r="R134" s="225" t="str">
        <f t="shared" si="37"/>
        <v>n/a</v>
      </c>
      <c r="S134" s="225" t="str">
        <f t="shared" si="37"/>
        <v>n/a</v>
      </c>
      <c r="T134" s="225" t="str">
        <f t="shared" si="37"/>
        <v>n/a</v>
      </c>
      <c r="U134" s="214" t="str">
        <f t="shared" si="37"/>
        <v>n/a</v>
      </c>
      <c r="V134" s="225" t="str">
        <f t="shared" si="37"/>
        <v>n/a</v>
      </c>
      <c r="W134" s="225" t="str">
        <f t="shared" si="37"/>
        <v>n/a</v>
      </c>
      <c r="X134" s="225" t="str">
        <f t="shared" si="37"/>
        <v>n/a</v>
      </c>
      <c r="Y134" s="214" t="str">
        <f t="shared" si="37"/>
        <v>n/a</v>
      </c>
      <c r="Z134" s="225" t="str">
        <f t="shared" si="37"/>
        <v>n/a</v>
      </c>
      <c r="AA134" s="225" t="str">
        <f t="shared" si="37"/>
        <v>n/a</v>
      </c>
      <c r="AB134" s="225" t="str">
        <f t="shared" si="37"/>
        <v>n/a</v>
      </c>
      <c r="AC134" s="214" t="str">
        <f t="shared" si="37"/>
        <v>n/a</v>
      </c>
      <c r="AD134" s="225" t="str">
        <f t="shared" si="37"/>
        <v>n/a</v>
      </c>
      <c r="AE134" s="225" t="str">
        <f t="shared" si="37"/>
        <v>n/a</v>
      </c>
      <c r="AF134" s="225" t="str">
        <f t="shared" si="37"/>
        <v>n/a</v>
      </c>
      <c r="AG134" s="214" t="str">
        <f t="shared" si="37"/>
        <v>n/a</v>
      </c>
      <c r="AH134" s="225" t="str">
        <f t="shared" si="37"/>
        <v>n/a</v>
      </c>
      <c r="AI134" s="225" t="str">
        <f t="shared" si="37"/>
        <v>n/a</v>
      </c>
      <c r="AJ134" s="225" t="str">
        <f t="shared" si="37"/>
        <v>n/a</v>
      </c>
      <c r="AK134" s="214" t="str">
        <f t="shared" si="37"/>
        <v>n/a</v>
      </c>
      <c r="AL134" s="225" t="str">
        <f t="shared" si="37"/>
        <v>n/a</v>
      </c>
      <c r="AM134" s="225" t="str">
        <f t="shared" si="37"/>
        <v>n/a</v>
      </c>
      <c r="AN134" s="225" t="str">
        <f t="shared" si="37"/>
        <v>n/a</v>
      </c>
      <c r="AO134" s="214" t="str">
        <f t="shared" si="37"/>
        <v>n/a</v>
      </c>
    </row>
    <row r="135" spans="1:41" x14ac:dyDescent="0.3">
      <c r="I135" s="203"/>
      <c r="M135" s="203"/>
      <c r="Q135" s="203"/>
      <c r="U135" s="203"/>
      <c r="Y135" s="203"/>
      <c r="AC135" s="203"/>
      <c r="AG135" s="203"/>
      <c r="AK135" s="203"/>
      <c r="AO135" s="203"/>
    </row>
    <row r="136" spans="1:41" x14ac:dyDescent="0.3">
      <c r="I136" s="203"/>
      <c r="M136" s="203"/>
      <c r="Q136" s="203"/>
      <c r="U136" s="203"/>
      <c r="Y136" s="203"/>
      <c r="AC136" s="203"/>
      <c r="AG136" s="203"/>
      <c r="AK136" s="203"/>
      <c r="AO136" s="203"/>
    </row>
    <row r="137" spans="1:41" x14ac:dyDescent="0.3">
      <c r="A137" s="319"/>
      <c r="B137" s="319" t="s">
        <v>0</v>
      </c>
      <c r="C137" s="164" t="s">
        <v>480</v>
      </c>
      <c r="D137" s="367"/>
      <c r="E137" s="367"/>
      <c r="F137" s="367"/>
      <c r="G137" s="367"/>
      <c r="H137" s="367"/>
      <c r="I137" s="367"/>
      <c r="J137" s="367"/>
      <c r="K137" s="367"/>
      <c r="L137" s="367"/>
      <c r="M137" s="367"/>
      <c r="N137" s="367"/>
      <c r="O137" s="367"/>
      <c r="P137" s="367"/>
      <c r="Q137" s="367"/>
      <c r="R137" s="367"/>
      <c r="S137" s="367"/>
      <c r="T137" s="367"/>
      <c r="U137" s="367"/>
      <c r="V137" s="367"/>
      <c r="W137" s="367"/>
      <c r="X137" s="367"/>
      <c r="Y137" s="367"/>
      <c r="Z137" s="367"/>
      <c r="AA137" s="367"/>
      <c r="AB137" s="367"/>
      <c r="AC137" s="367"/>
      <c r="AD137" s="367"/>
      <c r="AE137" s="367"/>
      <c r="AF137" s="367"/>
      <c r="AG137" s="367"/>
      <c r="AH137" s="367"/>
      <c r="AI137" s="367"/>
      <c r="AJ137" s="367"/>
      <c r="AK137" s="367"/>
      <c r="AL137" s="367"/>
      <c r="AM137" s="367"/>
      <c r="AN137" s="367"/>
      <c r="AO137" s="367"/>
    </row>
    <row r="138" spans="1:41" ht="5.15" customHeight="1" x14ac:dyDescent="0.3">
      <c r="I138" s="203"/>
      <c r="M138" s="203"/>
      <c r="Q138" s="203"/>
      <c r="U138" s="203"/>
      <c r="Y138" s="203"/>
      <c r="AC138" s="203"/>
      <c r="AG138" s="203"/>
      <c r="AK138" s="203"/>
      <c r="AO138" s="203"/>
    </row>
    <row r="139" spans="1:41" ht="14.5" x14ac:dyDescent="0.45">
      <c r="C139" s="188" t="s">
        <v>135</v>
      </c>
      <c r="D139" s="51" t="s">
        <v>477</v>
      </c>
      <c r="E139" s="188" t="s">
        <v>482</v>
      </c>
      <c r="F139" s="188" t="s">
        <v>481</v>
      </c>
      <c r="G139" s="188" t="s">
        <v>138</v>
      </c>
      <c r="I139" s="203"/>
      <c r="M139" s="203"/>
      <c r="Q139" s="203"/>
      <c r="U139" s="203"/>
      <c r="Y139" s="203"/>
      <c r="AC139" s="203"/>
      <c r="AG139" s="203"/>
      <c r="AK139" s="203"/>
      <c r="AO139" s="203"/>
    </row>
    <row r="140" spans="1:41" ht="5.15" customHeight="1" x14ac:dyDescent="0.3">
      <c r="I140" s="203"/>
      <c r="M140" s="203"/>
      <c r="Q140" s="203"/>
      <c r="U140" s="203"/>
      <c r="Y140" s="203"/>
      <c r="AC140" s="203"/>
      <c r="AG140" s="203"/>
      <c r="AK140" s="203"/>
      <c r="AO140" s="203"/>
    </row>
    <row r="141" spans="1:41" x14ac:dyDescent="0.3">
      <c r="C141" s="436" t="s">
        <v>3</v>
      </c>
      <c r="D141" s="105" t="str">
        <f>++D$71</f>
        <v>[Consolidated EBITDA Adjustment - #1]</v>
      </c>
      <c r="I141" s="439">
        <v>0</v>
      </c>
      <c r="J141" s="440">
        <v>0</v>
      </c>
      <c r="K141" s="440">
        <v>0</v>
      </c>
      <c r="L141" s="440">
        <v>0</v>
      </c>
      <c r="M141" s="439">
        <v>0</v>
      </c>
      <c r="N141" s="440">
        <v>0</v>
      </c>
      <c r="O141" s="440">
        <v>0</v>
      </c>
      <c r="P141" s="440">
        <v>0</v>
      </c>
      <c r="Q141" s="439">
        <v>0</v>
      </c>
      <c r="R141" s="440">
        <v>0</v>
      </c>
      <c r="S141" s="440">
        <v>0</v>
      </c>
      <c r="T141" s="440">
        <v>0</v>
      </c>
      <c r="U141" s="439">
        <v>0</v>
      </c>
      <c r="V141" s="440">
        <v>0</v>
      </c>
      <c r="W141" s="440">
        <v>0</v>
      </c>
      <c r="X141" s="440">
        <v>0</v>
      </c>
      <c r="Y141" s="439">
        <v>0</v>
      </c>
      <c r="Z141" s="440">
        <v>0</v>
      </c>
      <c r="AA141" s="440">
        <v>0</v>
      </c>
      <c r="AB141" s="440">
        <v>0</v>
      </c>
      <c r="AC141" s="439">
        <v>0</v>
      </c>
      <c r="AD141" s="440">
        <v>0</v>
      </c>
      <c r="AE141" s="440">
        <v>0</v>
      </c>
      <c r="AF141" s="440">
        <v>0</v>
      </c>
      <c r="AG141" s="439">
        <v>0</v>
      </c>
      <c r="AH141" s="440">
        <v>0</v>
      </c>
      <c r="AI141" s="440">
        <v>0</v>
      </c>
      <c r="AJ141" s="440">
        <v>0</v>
      </c>
      <c r="AK141" s="439">
        <v>0</v>
      </c>
      <c r="AL141" s="440">
        <v>0</v>
      </c>
      <c r="AM141" s="440">
        <v>0</v>
      </c>
      <c r="AN141" s="440">
        <v>0</v>
      </c>
      <c r="AO141" s="439">
        <v>0</v>
      </c>
    </row>
    <row r="142" spans="1:41" x14ac:dyDescent="0.3">
      <c r="C142" s="368"/>
      <c r="D142" s="443" t="s">
        <v>476</v>
      </c>
      <c r="E142" s="88" t="s">
        <v>53</v>
      </c>
      <c r="F142" s="350">
        <v>0</v>
      </c>
      <c r="G142" s="88" t="s">
        <v>47</v>
      </c>
      <c r="I142" s="324">
        <f>++IF($E142="$",I141-$F142,IF(OR($F142="n/a",$G142="n/a"),"n/a",IF($G142="Before",IFERROR(I141/(I$123-I141),0),IF($G142="After",IFERROR(I141/I$123,0),"Check"))))</f>
        <v>0</v>
      </c>
      <c r="J142" s="376">
        <f t="shared" ref="J142:AO142" si="38">++IF($E142="$",J141-$F142,IF(OR($F142="n/a",$G142="n/a"),"n/a",IF($G142="Before",IFERROR(J141/(J$123-J141),0),IF($G142="After",IFERROR(J141/J$123,0),"Check"))))</f>
        <v>0</v>
      </c>
      <c r="K142" s="376">
        <f t="shared" si="38"/>
        <v>0</v>
      </c>
      <c r="L142" s="376">
        <f t="shared" si="38"/>
        <v>0</v>
      </c>
      <c r="M142" s="324">
        <f t="shared" si="38"/>
        <v>0</v>
      </c>
      <c r="N142" s="376">
        <f t="shared" si="38"/>
        <v>0</v>
      </c>
      <c r="O142" s="376">
        <f t="shared" si="38"/>
        <v>0</v>
      </c>
      <c r="P142" s="376">
        <f t="shared" si="38"/>
        <v>0</v>
      </c>
      <c r="Q142" s="377">
        <f t="shared" si="38"/>
        <v>0</v>
      </c>
      <c r="R142" s="376">
        <f t="shared" si="38"/>
        <v>0</v>
      </c>
      <c r="S142" s="376">
        <f t="shared" si="38"/>
        <v>0</v>
      </c>
      <c r="T142" s="376">
        <f t="shared" si="38"/>
        <v>0</v>
      </c>
      <c r="U142" s="377">
        <f t="shared" si="38"/>
        <v>0</v>
      </c>
      <c r="V142" s="376">
        <f t="shared" si="38"/>
        <v>0</v>
      </c>
      <c r="W142" s="376">
        <f t="shared" si="38"/>
        <v>0</v>
      </c>
      <c r="X142" s="376">
        <f t="shared" si="38"/>
        <v>0</v>
      </c>
      <c r="Y142" s="377">
        <f t="shared" si="38"/>
        <v>0</v>
      </c>
      <c r="Z142" s="376">
        <f t="shared" si="38"/>
        <v>0</v>
      </c>
      <c r="AA142" s="376">
        <f t="shared" si="38"/>
        <v>0</v>
      </c>
      <c r="AB142" s="376">
        <f t="shared" si="38"/>
        <v>0</v>
      </c>
      <c r="AC142" s="377">
        <f t="shared" si="38"/>
        <v>0</v>
      </c>
      <c r="AD142" s="376">
        <f t="shared" si="38"/>
        <v>0</v>
      </c>
      <c r="AE142" s="376">
        <f t="shared" si="38"/>
        <v>0</v>
      </c>
      <c r="AF142" s="376">
        <f t="shared" si="38"/>
        <v>0</v>
      </c>
      <c r="AG142" s="377">
        <f t="shared" si="38"/>
        <v>0</v>
      </c>
      <c r="AH142" s="376">
        <f t="shared" si="38"/>
        <v>0</v>
      </c>
      <c r="AI142" s="376">
        <f t="shared" si="38"/>
        <v>0</v>
      </c>
      <c r="AJ142" s="376">
        <f t="shared" si="38"/>
        <v>0</v>
      </c>
      <c r="AK142" s="377">
        <f t="shared" si="38"/>
        <v>0</v>
      </c>
      <c r="AL142" s="376">
        <f t="shared" si="38"/>
        <v>0</v>
      </c>
      <c r="AM142" s="376">
        <f t="shared" si="38"/>
        <v>0</v>
      </c>
      <c r="AN142" s="376">
        <f t="shared" si="38"/>
        <v>0</v>
      </c>
      <c r="AO142" s="377">
        <f t="shared" si="38"/>
        <v>0</v>
      </c>
    </row>
    <row r="143" spans="1:41" x14ac:dyDescent="0.3">
      <c r="C143" s="340"/>
      <c r="I143" s="203"/>
      <c r="M143" s="203"/>
      <c r="Q143" s="203"/>
      <c r="U143" s="203"/>
      <c r="Y143" s="203"/>
      <c r="AC143" s="203"/>
      <c r="AG143" s="203"/>
      <c r="AK143" s="203"/>
      <c r="AO143" s="203"/>
    </row>
    <row r="144" spans="1:41" x14ac:dyDescent="0.3">
      <c r="C144" s="436" t="s">
        <v>3</v>
      </c>
      <c r="D144" s="105" t="str">
        <f>++D$72</f>
        <v>[Consolidated EBITDA Adjustment - #2]</v>
      </c>
      <c r="I144" s="439">
        <v>0</v>
      </c>
      <c r="J144" s="440">
        <v>0</v>
      </c>
      <c r="K144" s="440">
        <v>0</v>
      </c>
      <c r="L144" s="440">
        <v>0</v>
      </c>
      <c r="M144" s="439">
        <v>0</v>
      </c>
      <c r="N144" s="440">
        <v>0</v>
      </c>
      <c r="O144" s="440">
        <v>0</v>
      </c>
      <c r="P144" s="440">
        <v>0</v>
      </c>
      <c r="Q144" s="439">
        <v>0</v>
      </c>
      <c r="R144" s="440">
        <v>0</v>
      </c>
      <c r="S144" s="440">
        <v>0</v>
      </c>
      <c r="T144" s="440">
        <v>0</v>
      </c>
      <c r="U144" s="439">
        <v>0</v>
      </c>
      <c r="V144" s="440">
        <v>0</v>
      </c>
      <c r="W144" s="440">
        <v>0</v>
      </c>
      <c r="X144" s="440">
        <v>0</v>
      </c>
      <c r="Y144" s="439">
        <v>0</v>
      </c>
      <c r="Z144" s="440">
        <v>0</v>
      </c>
      <c r="AA144" s="440">
        <v>0</v>
      </c>
      <c r="AB144" s="440">
        <v>0</v>
      </c>
      <c r="AC144" s="439">
        <v>0</v>
      </c>
      <c r="AD144" s="440">
        <v>0</v>
      </c>
      <c r="AE144" s="440">
        <v>0</v>
      </c>
      <c r="AF144" s="440">
        <v>0</v>
      </c>
      <c r="AG144" s="439">
        <v>0</v>
      </c>
      <c r="AH144" s="440">
        <v>0</v>
      </c>
      <c r="AI144" s="440">
        <v>0</v>
      </c>
      <c r="AJ144" s="440">
        <v>0</v>
      </c>
      <c r="AK144" s="439">
        <v>0</v>
      </c>
      <c r="AL144" s="440">
        <v>0</v>
      </c>
      <c r="AM144" s="440">
        <v>0</v>
      </c>
      <c r="AN144" s="440">
        <v>0</v>
      </c>
      <c r="AO144" s="439">
        <v>0</v>
      </c>
    </row>
    <row r="145" spans="1:41" x14ac:dyDescent="0.3">
      <c r="C145" s="340"/>
      <c r="D145" s="443" t="s">
        <v>476</v>
      </c>
      <c r="E145" s="88" t="s">
        <v>369</v>
      </c>
      <c r="F145" s="350">
        <v>0</v>
      </c>
      <c r="G145" s="88" t="s">
        <v>475</v>
      </c>
      <c r="I145" s="324">
        <f>++IF($E145="$",I144-$F145,IF(OR($F145="n/a",$G145="n/a"),"n/a",IF($G145="Before",IFERROR(I144/(I$123-I144),0),IF($G145="After",IFERROR(I144/I$123,0),"Check"))))</f>
        <v>0</v>
      </c>
      <c r="J145" s="376">
        <f t="shared" ref="J145" si="39">++IF($E145="$",J144-$F145,IF(OR($F145="n/a",$G145="n/a"),"n/a",IF($G145="Before",IFERROR(J144/(J$123-J144),0),IF($G145="After",IFERROR(J144/J$123,0),"Check"))))</f>
        <v>0</v>
      </c>
      <c r="K145" s="376">
        <f t="shared" ref="K145" si="40">++IF($E145="$",K144-$F145,IF(OR($F145="n/a",$G145="n/a"),"n/a",IF($G145="Before",IFERROR(K144/(K$123-K144),0),IF($G145="After",IFERROR(K144/K$123,0),"Check"))))</f>
        <v>0</v>
      </c>
      <c r="L145" s="376">
        <f t="shared" ref="L145" si="41">++IF($E145="$",L144-$F145,IF(OR($F145="n/a",$G145="n/a"),"n/a",IF($G145="Before",IFERROR(L144/(L$123-L144),0),IF($G145="After",IFERROR(L144/L$123,0),"Check"))))</f>
        <v>0</v>
      </c>
      <c r="M145" s="324">
        <f t="shared" ref="M145" si="42">++IF($E145="$",M144-$F145,IF(OR($F145="n/a",$G145="n/a"),"n/a",IF($G145="Before",IFERROR(M144/(M$123-M144),0),IF($G145="After",IFERROR(M144/M$123,0),"Check"))))</f>
        <v>0</v>
      </c>
      <c r="N145" s="376">
        <f t="shared" ref="N145" si="43">++IF($E145="$",N144-$F145,IF(OR($F145="n/a",$G145="n/a"),"n/a",IF($G145="Before",IFERROR(N144/(N$123-N144),0),IF($G145="After",IFERROR(N144/N$123,0),"Check"))))</f>
        <v>0</v>
      </c>
      <c r="O145" s="376">
        <f t="shared" ref="O145" si="44">++IF($E145="$",O144-$F145,IF(OR($F145="n/a",$G145="n/a"),"n/a",IF($G145="Before",IFERROR(O144/(O$123-O144),0),IF($G145="After",IFERROR(O144/O$123,0),"Check"))))</f>
        <v>0</v>
      </c>
      <c r="P145" s="376">
        <f t="shared" ref="P145" si="45">++IF($E145="$",P144-$F145,IF(OR($F145="n/a",$G145="n/a"),"n/a",IF($G145="Before",IFERROR(P144/(P$123-P144),0),IF($G145="After",IFERROR(P144/P$123,0),"Check"))))</f>
        <v>0</v>
      </c>
      <c r="Q145" s="377">
        <f t="shared" ref="Q145" si="46">++IF($E145="$",Q144-$F145,IF(OR($F145="n/a",$G145="n/a"),"n/a",IF($G145="Before",IFERROR(Q144/(Q$123-Q144),0),IF($G145="After",IFERROR(Q144/Q$123,0),"Check"))))</f>
        <v>0</v>
      </c>
      <c r="R145" s="376">
        <f t="shared" ref="R145" si="47">++IF($E145="$",R144-$F145,IF(OR($F145="n/a",$G145="n/a"),"n/a",IF($G145="Before",IFERROR(R144/(R$123-R144),0),IF($G145="After",IFERROR(R144/R$123,0),"Check"))))</f>
        <v>0</v>
      </c>
      <c r="S145" s="376">
        <f t="shared" ref="S145" si="48">++IF($E145="$",S144-$F145,IF(OR($F145="n/a",$G145="n/a"),"n/a",IF($G145="Before",IFERROR(S144/(S$123-S144),0),IF($G145="After",IFERROR(S144/S$123,0),"Check"))))</f>
        <v>0</v>
      </c>
      <c r="T145" s="376">
        <f t="shared" ref="T145" si="49">++IF($E145="$",T144-$F145,IF(OR($F145="n/a",$G145="n/a"),"n/a",IF($G145="Before",IFERROR(T144/(T$123-T144),0),IF($G145="After",IFERROR(T144/T$123,0),"Check"))))</f>
        <v>0</v>
      </c>
      <c r="U145" s="377">
        <f t="shared" ref="U145" si="50">++IF($E145="$",U144-$F145,IF(OR($F145="n/a",$G145="n/a"),"n/a",IF($G145="Before",IFERROR(U144/(U$123-U144),0),IF($G145="After",IFERROR(U144/U$123,0),"Check"))))</f>
        <v>0</v>
      </c>
      <c r="V145" s="376">
        <f t="shared" ref="V145" si="51">++IF($E145="$",V144-$F145,IF(OR($F145="n/a",$G145="n/a"),"n/a",IF($G145="Before",IFERROR(V144/(V$123-V144),0),IF($G145="After",IFERROR(V144/V$123,0),"Check"))))</f>
        <v>0</v>
      </c>
      <c r="W145" s="376">
        <f t="shared" ref="W145" si="52">++IF($E145="$",W144-$F145,IF(OR($F145="n/a",$G145="n/a"),"n/a",IF($G145="Before",IFERROR(W144/(W$123-W144),0),IF($G145="After",IFERROR(W144/W$123,0),"Check"))))</f>
        <v>0</v>
      </c>
      <c r="X145" s="376">
        <f t="shared" ref="X145" si="53">++IF($E145="$",X144-$F145,IF(OR($F145="n/a",$G145="n/a"),"n/a",IF($G145="Before",IFERROR(X144/(X$123-X144),0),IF($G145="After",IFERROR(X144/X$123,0),"Check"))))</f>
        <v>0</v>
      </c>
      <c r="Y145" s="377">
        <f t="shared" ref="Y145" si="54">++IF($E145="$",Y144-$F145,IF(OR($F145="n/a",$G145="n/a"),"n/a",IF($G145="Before",IFERROR(Y144/(Y$123-Y144),0),IF($G145="After",IFERROR(Y144/Y$123,0),"Check"))))</f>
        <v>0</v>
      </c>
      <c r="Z145" s="376">
        <f t="shared" ref="Z145" si="55">++IF($E145="$",Z144-$F145,IF(OR($F145="n/a",$G145="n/a"),"n/a",IF($G145="Before",IFERROR(Z144/(Z$123-Z144),0),IF($G145="After",IFERROR(Z144/Z$123,0),"Check"))))</f>
        <v>0</v>
      </c>
      <c r="AA145" s="376">
        <f t="shared" ref="AA145" si="56">++IF($E145="$",AA144-$F145,IF(OR($F145="n/a",$G145="n/a"),"n/a",IF($G145="Before",IFERROR(AA144/(AA$123-AA144),0),IF($G145="After",IFERROR(AA144/AA$123,0),"Check"))))</f>
        <v>0</v>
      </c>
      <c r="AB145" s="376">
        <f t="shared" ref="AB145" si="57">++IF($E145="$",AB144-$F145,IF(OR($F145="n/a",$G145="n/a"),"n/a",IF($G145="Before",IFERROR(AB144/(AB$123-AB144),0),IF($G145="After",IFERROR(AB144/AB$123,0),"Check"))))</f>
        <v>0</v>
      </c>
      <c r="AC145" s="377">
        <f t="shared" ref="AC145" si="58">++IF($E145="$",AC144-$F145,IF(OR($F145="n/a",$G145="n/a"),"n/a",IF($G145="Before",IFERROR(AC144/(AC$123-AC144),0),IF($G145="After",IFERROR(AC144/AC$123,0),"Check"))))</f>
        <v>0</v>
      </c>
      <c r="AD145" s="376">
        <f t="shared" ref="AD145" si="59">++IF($E145="$",AD144-$F145,IF(OR($F145="n/a",$G145="n/a"),"n/a",IF($G145="Before",IFERROR(AD144/(AD$123-AD144),0),IF($G145="After",IFERROR(AD144/AD$123,0),"Check"))))</f>
        <v>0</v>
      </c>
      <c r="AE145" s="376">
        <f t="shared" ref="AE145" si="60">++IF($E145="$",AE144-$F145,IF(OR($F145="n/a",$G145="n/a"),"n/a",IF($G145="Before",IFERROR(AE144/(AE$123-AE144),0),IF($G145="After",IFERROR(AE144/AE$123,0),"Check"))))</f>
        <v>0</v>
      </c>
      <c r="AF145" s="376">
        <f t="shared" ref="AF145" si="61">++IF($E145="$",AF144-$F145,IF(OR($F145="n/a",$G145="n/a"),"n/a",IF($G145="Before",IFERROR(AF144/(AF$123-AF144),0),IF($G145="After",IFERROR(AF144/AF$123,0),"Check"))))</f>
        <v>0</v>
      </c>
      <c r="AG145" s="377">
        <f t="shared" ref="AG145" si="62">++IF($E145="$",AG144-$F145,IF(OR($F145="n/a",$G145="n/a"),"n/a",IF($G145="Before",IFERROR(AG144/(AG$123-AG144),0),IF($G145="After",IFERROR(AG144/AG$123,0),"Check"))))</f>
        <v>0</v>
      </c>
      <c r="AH145" s="376">
        <f t="shared" ref="AH145" si="63">++IF($E145="$",AH144-$F145,IF(OR($F145="n/a",$G145="n/a"),"n/a",IF($G145="Before",IFERROR(AH144/(AH$123-AH144),0),IF($G145="After",IFERROR(AH144/AH$123,0),"Check"))))</f>
        <v>0</v>
      </c>
      <c r="AI145" s="376">
        <f t="shared" ref="AI145" si="64">++IF($E145="$",AI144-$F145,IF(OR($F145="n/a",$G145="n/a"),"n/a",IF($G145="Before",IFERROR(AI144/(AI$123-AI144),0),IF($G145="After",IFERROR(AI144/AI$123,0),"Check"))))</f>
        <v>0</v>
      </c>
      <c r="AJ145" s="376">
        <f t="shared" ref="AJ145" si="65">++IF($E145="$",AJ144-$F145,IF(OR($F145="n/a",$G145="n/a"),"n/a",IF($G145="Before",IFERROR(AJ144/(AJ$123-AJ144),0),IF($G145="After",IFERROR(AJ144/AJ$123,0),"Check"))))</f>
        <v>0</v>
      </c>
      <c r="AK145" s="377">
        <f t="shared" ref="AK145" si="66">++IF($E145="$",AK144-$F145,IF(OR($F145="n/a",$G145="n/a"),"n/a",IF($G145="Before",IFERROR(AK144/(AK$123-AK144),0),IF($G145="After",IFERROR(AK144/AK$123,0),"Check"))))</f>
        <v>0</v>
      </c>
      <c r="AL145" s="376">
        <f t="shared" ref="AL145" si="67">++IF($E145="$",AL144-$F145,IF(OR($F145="n/a",$G145="n/a"),"n/a",IF($G145="Before",IFERROR(AL144/(AL$123-AL144),0),IF($G145="After",IFERROR(AL144/AL$123,0),"Check"))))</f>
        <v>0</v>
      </c>
      <c r="AM145" s="376">
        <f t="shared" ref="AM145" si="68">++IF($E145="$",AM144-$F145,IF(OR($F145="n/a",$G145="n/a"),"n/a",IF($G145="Before",IFERROR(AM144/(AM$123-AM144),0),IF($G145="After",IFERROR(AM144/AM$123,0),"Check"))))</f>
        <v>0</v>
      </c>
      <c r="AN145" s="376">
        <f t="shared" ref="AN145" si="69">++IF($E145="$",AN144-$F145,IF(OR($F145="n/a",$G145="n/a"),"n/a",IF($G145="Before",IFERROR(AN144/(AN$123-AN144),0),IF($G145="After",IFERROR(AN144/AN$123,0),"Check"))))</f>
        <v>0</v>
      </c>
      <c r="AO145" s="377">
        <f t="shared" ref="AO145" si="70">++IF($E145="$",AO144-$F145,IF(OR($F145="n/a",$G145="n/a"),"n/a",IF($G145="Before",IFERROR(AO144/(AO$123-AO144),0),IF($G145="After",IFERROR(AO144/AO$123,0),"Check"))))</f>
        <v>0</v>
      </c>
    </row>
    <row r="146" spans="1:41" x14ac:dyDescent="0.3">
      <c r="C146" s="340"/>
      <c r="I146" s="203"/>
      <c r="M146" s="203"/>
      <c r="Q146" s="203"/>
      <c r="U146" s="203"/>
      <c r="Y146" s="203"/>
      <c r="AC146" s="203"/>
      <c r="AG146" s="203"/>
      <c r="AK146" s="203"/>
      <c r="AO146" s="203"/>
    </row>
    <row r="147" spans="1:41" x14ac:dyDescent="0.3">
      <c r="C147" s="436" t="s">
        <v>3</v>
      </c>
      <c r="D147" s="105" t="str">
        <f>++D$73</f>
        <v>[Consolidated EBITDA Adjustment - #3]</v>
      </c>
      <c r="I147" s="439">
        <v>0</v>
      </c>
      <c r="J147" s="440">
        <v>0</v>
      </c>
      <c r="K147" s="440">
        <v>0</v>
      </c>
      <c r="L147" s="440">
        <v>0</v>
      </c>
      <c r="M147" s="439">
        <v>0</v>
      </c>
      <c r="N147" s="440">
        <v>0</v>
      </c>
      <c r="O147" s="440">
        <v>0</v>
      </c>
      <c r="P147" s="440">
        <v>0</v>
      </c>
      <c r="Q147" s="439">
        <v>0</v>
      </c>
      <c r="R147" s="440">
        <v>0</v>
      </c>
      <c r="S147" s="440">
        <v>0</v>
      </c>
      <c r="T147" s="440">
        <v>0</v>
      </c>
      <c r="U147" s="439">
        <v>0</v>
      </c>
      <c r="V147" s="440">
        <v>0</v>
      </c>
      <c r="W147" s="440">
        <v>0</v>
      </c>
      <c r="X147" s="440">
        <v>0</v>
      </c>
      <c r="Y147" s="439">
        <v>0</v>
      </c>
      <c r="Z147" s="440">
        <v>0</v>
      </c>
      <c r="AA147" s="440">
        <v>0</v>
      </c>
      <c r="AB147" s="440">
        <v>0</v>
      </c>
      <c r="AC147" s="439">
        <v>0</v>
      </c>
      <c r="AD147" s="440">
        <v>0</v>
      </c>
      <c r="AE147" s="440">
        <v>0</v>
      </c>
      <c r="AF147" s="440">
        <v>0</v>
      </c>
      <c r="AG147" s="439">
        <v>0</v>
      </c>
      <c r="AH147" s="440">
        <v>0</v>
      </c>
      <c r="AI147" s="440">
        <v>0</v>
      </c>
      <c r="AJ147" s="440">
        <v>0</v>
      </c>
      <c r="AK147" s="439">
        <v>0</v>
      </c>
      <c r="AL147" s="440">
        <v>0</v>
      </c>
      <c r="AM147" s="440">
        <v>0</v>
      </c>
      <c r="AN147" s="440">
        <v>0</v>
      </c>
      <c r="AO147" s="439">
        <v>0</v>
      </c>
    </row>
    <row r="148" spans="1:41" x14ac:dyDescent="0.3">
      <c r="C148" s="340"/>
      <c r="D148" s="443" t="s">
        <v>476</v>
      </c>
      <c r="E148" s="88" t="s">
        <v>53</v>
      </c>
      <c r="F148" s="350">
        <v>0</v>
      </c>
      <c r="G148" s="88" t="s">
        <v>47</v>
      </c>
      <c r="I148" s="324">
        <f>++IF($E148="$",I147-$F148,IF(OR($F148="n/a",$G148="n/a"),"n/a",IF($G148="Before",IFERROR(I147/(I$123-I147),0),IF($G148="After",IFERROR(I147/I$123,0),"Check"))))</f>
        <v>0</v>
      </c>
      <c r="J148" s="376">
        <f t="shared" ref="J148" si="71">++IF($E148="$",J147-$F148,IF(OR($F148="n/a",$G148="n/a"),"n/a",IF($G148="Before",IFERROR(J147/(J$123-J147),0),IF($G148="After",IFERROR(J147/J$123,0),"Check"))))</f>
        <v>0</v>
      </c>
      <c r="K148" s="376">
        <f t="shared" ref="K148" si="72">++IF($E148="$",K147-$F148,IF(OR($F148="n/a",$G148="n/a"),"n/a",IF($G148="Before",IFERROR(K147/(K$123-K147),0),IF($G148="After",IFERROR(K147/K$123,0),"Check"))))</f>
        <v>0</v>
      </c>
      <c r="L148" s="376">
        <f t="shared" ref="L148" si="73">++IF($E148="$",L147-$F148,IF(OR($F148="n/a",$G148="n/a"),"n/a",IF($G148="Before",IFERROR(L147/(L$123-L147),0),IF($G148="After",IFERROR(L147/L$123,0),"Check"))))</f>
        <v>0</v>
      </c>
      <c r="M148" s="324">
        <f t="shared" ref="M148" si="74">++IF($E148="$",M147-$F148,IF(OR($F148="n/a",$G148="n/a"),"n/a",IF($G148="Before",IFERROR(M147/(M$123-M147),0),IF($G148="After",IFERROR(M147/M$123,0),"Check"))))</f>
        <v>0</v>
      </c>
      <c r="N148" s="376">
        <f t="shared" ref="N148" si="75">++IF($E148="$",N147-$F148,IF(OR($F148="n/a",$G148="n/a"),"n/a",IF($G148="Before",IFERROR(N147/(N$123-N147),0),IF($G148="After",IFERROR(N147/N$123,0),"Check"))))</f>
        <v>0</v>
      </c>
      <c r="O148" s="376">
        <f t="shared" ref="O148" si="76">++IF($E148="$",O147-$F148,IF(OR($F148="n/a",$G148="n/a"),"n/a",IF($G148="Before",IFERROR(O147/(O$123-O147),0),IF($G148="After",IFERROR(O147/O$123,0),"Check"))))</f>
        <v>0</v>
      </c>
      <c r="P148" s="376">
        <f t="shared" ref="P148" si="77">++IF($E148="$",P147-$F148,IF(OR($F148="n/a",$G148="n/a"),"n/a",IF($G148="Before",IFERROR(P147/(P$123-P147),0),IF($G148="After",IFERROR(P147/P$123,0),"Check"))))</f>
        <v>0</v>
      </c>
      <c r="Q148" s="377">
        <f t="shared" ref="Q148" si="78">++IF($E148="$",Q147-$F148,IF(OR($F148="n/a",$G148="n/a"),"n/a",IF($G148="Before",IFERROR(Q147/(Q$123-Q147),0),IF($G148="After",IFERROR(Q147/Q$123,0),"Check"))))</f>
        <v>0</v>
      </c>
      <c r="R148" s="376">
        <f t="shared" ref="R148" si="79">++IF($E148="$",R147-$F148,IF(OR($F148="n/a",$G148="n/a"),"n/a",IF($G148="Before",IFERROR(R147/(R$123-R147),0),IF($G148="After",IFERROR(R147/R$123,0),"Check"))))</f>
        <v>0</v>
      </c>
      <c r="S148" s="376">
        <f t="shared" ref="S148" si="80">++IF($E148="$",S147-$F148,IF(OR($F148="n/a",$G148="n/a"),"n/a",IF($G148="Before",IFERROR(S147/(S$123-S147),0),IF($G148="After",IFERROR(S147/S$123,0),"Check"))))</f>
        <v>0</v>
      </c>
      <c r="T148" s="376">
        <f t="shared" ref="T148" si="81">++IF($E148="$",T147-$F148,IF(OR($F148="n/a",$G148="n/a"),"n/a",IF($G148="Before",IFERROR(T147/(T$123-T147),0),IF($G148="After",IFERROR(T147/T$123,0),"Check"))))</f>
        <v>0</v>
      </c>
      <c r="U148" s="377">
        <f t="shared" ref="U148" si="82">++IF($E148="$",U147-$F148,IF(OR($F148="n/a",$G148="n/a"),"n/a",IF($G148="Before",IFERROR(U147/(U$123-U147),0),IF($G148="After",IFERROR(U147/U$123,0),"Check"))))</f>
        <v>0</v>
      </c>
      <c r="V148" s="376">
        <f t="shared" ref="V148" si="83">++IF($E148="$",V147-$F148,IF(OR($F148="n/a",$G148="n/a"),"n/a",IF($G148="Before",IFERROR(V147/(V$123-V147),0),IF($G148="After",IFERROR(V147/V$123,0),"Check"))))</f>
        <v>0</v>
      </c>
      <c r="W148" s="376">
        <f t="shared" ref="W148" si="84">++IF($E148="$",W147-$F148,IF(OR($F148="n/a",$G148="n/a"),"n/a",IF($G148="Before",IFERROR(W147/(W$123-W147),0),IF($G148="After",IFERROR(W147/W$123,0),"Check"))))</f>
        <v>0</v>
      </c>
      <c r="X148" s="376">
        <f t="shared" ref="X148" si="85">++IF($E148="$",X147-$F148,IF(OR($F148="n/a",$G148="n/a"),"n/a",IF($G148="Before",IFERROR(X147/(X$123-X147),0),IF($G148="After",IFERROR(X147/X$123,0),"Check"))))</f>
        <v>0</v>
      </c>
      <c r="Y148" s="377">
        <f t="shared" ref="Y148" si="86">++IF($E148="$",Y147-$F148,IF(OR($F148="n/a",$G148="n/a"),"n/a",IF($G148="Before",IFERROR(Y147/(Y$123-Y147),0),IF($G148="After",IFERROR(Y147/Y$123,0),"Check"))))</f>
        <v>0</v>
      </c>
      <c r="Z148" s="376">
        <f t="shared" ref="Z148" si="87">++IF($E148="$",Z147-$F148,IF(OR($F148="n/a",$G148="n/a"),"n/a",IF($G148="Before",IFERROR(Z147/(Z$123-Z147),0),IF($G148="After",IFERROR(Z147/Z$123,0),"Check"))))</f>
        <v>0</v>
      </c>
      <c r="AA148" s="376">
        <f t="shared" ref="AA148" si="88">++IF($E148="$",AA147-$F148,IF(OR($F148="n/a",$G148="n/a"),"n/a",IF($G148="Before",IFERROR(AA147/(AA$123-AA147),0),IF($G148="After",IFERROR(AA147/AA$123,0),"Check"))))</f>
        <v>0</v>
      </c>
      <c r="AB148" s="376">
        <f t="shared" ref="AB148" si="89">++IF($E148="$",AB147-$F148,IF(OR($F148="n/a",$G148="n/a"),"n/a",IF($G148="Before",IFERROR(AB147/(AB$123-AB147),0),IF($G148="After",IFERROR(AB147/AB$123,0),"Check"))))</f>
        <v>0</v>
      </c>
      <c r="AC148" s="377">
        <f t="shared" ref="AC148" si="90">++IF($E148="$",AC147-$F148,IF(OR($F148="n/a",$G148="n/a"),"n/a",IF($G148="Before",IFERROR(AC147/(AC$123-AC147),0),IF($G148="After",IFERROR(AC147/AC$123,0),"Check"))))</f>
        <v>0</v>
      </c>
      <c r="AD148" s="376">
        <f t="shared" ref="AD148" si="91">++IF($E148="$",AD147-$F148,IF(OR($F148="n/a",$G148="n/a"),"n/a",IF($G148="Before",IFERROR(AD147/(AD$123-AD147),0),IF($G148="After",IFERROR(AD147/AD$123,0),"Check"))))</f>
        <v>0</v>
      </c>
      <c r="AE148" s="376">
        <f t="shared" ref="AE148" si="92">++IF($E148="$",AE147-$F148,IF(OR($F148="n/a",$G148="n/a"),"n/a",IF($G148="Before",IFERROR(AE147/(AE$123-AE147),0),IF($G148="After",IFERROR(AE147/AE$123,0),"Check"))))</f>
        <v>0</v>
      </c>
      <c r="AF148" s="376">
        <f t="shared" ref="AF148" si="93">++IF($E148="$",AF147-$F148,IF(OR($F148="n/a",$G148="n/a"),"n/a",IF($G148="Before",IFERROR(AF147/(AF$123-AF147),0),IF($G148="After",IFERROR(AF147/AF$123,0),"Check"))))</f>
        <v>0</v>
      </c>
      <c r="AG148" s="377">
        <f t="shared" ref="AG148" si="94">++IF($E148="$",AG147-$F148,IF(OR($F148="n/a",$G148="n/a"),"n/a",IF($G148="Before",IFERROR(AG147/(AG$123-AG147),0),IF($G148="After",IFERROR(AG147/AG$123,0),"Check"))))</f>
        <v>0</v>
      </c>
      <c r="AH148" s="376">
        <f t="shared" ref="AH148" si="95">++IF($E148="$",AH147-$F148,IF(OR($F148="n/a",$G148="n/a"),"n/a",IF($G148="Before",IFERROR(AH147/(AH$123-AH147),0),IF($G148="After",IFERROR(AH147/AH$123,0),"Check"))))</f>
        <v>0</v>
      </c>
      <c r="AI148" s="376">
        <f t="shared" ref="AI148" si="96">++IF($E148="$",AI147-$F148,IF(OR($F148="n/a",$G148="n/a"),"n/a",IF($G148="Before",IFERROR(AI147/(AI$123-AI147),0),IF($G148="After",IFERROR(AI147/AI$123,0),"Check"))))</f>
        <v>0</v>
      </c>
      <c r="AJ148" s="376">
        <f t="shared" ref="AJ148" si="97">++IF($E148="$",AJ147-$F148,IF(OR($F148="n/a",$G148="n/a"),"n/a",IF($G148="Before",IFERROR(AJ147/(AJ$123-AJ147),0),IF($G148="After",IFERROR(AJ147/AJ$123,0),"Check"))))</f>
        <v>0</v>
      </c>
      <c r="AK148" s="377">
        <f t="shared" ref="AK148" si="98">++IF($E148="$",AK147-$F148,IF(OR($F148="n/a",$G148="n/a"),"n/a",IF($G148="Before",IFERROR(AK147/(AK$123-AK147),0),IF($G148="After",IFERROR(AK147/AK$123,0),"Check"))))</f>
        <v>0</v>
      </c>
      <c r="AL148" s="376">
        <f t="shared" ref="AL148" si="99">++IF($E148="$",AL147-$F148,IF(OR($F148="n/a",$G148="n/a"),"n/a",IF($G148="Before",IFERROR(AL147/(AL$123-AL147),0),IF($G148="After",IFERROR(AL147/AL$123,0),"Check"))))</f>
        <v>0</v>
      </c>
      <c r="AM148" s="376">
        <f t="shared" ref="AM148" si="100">++IF($E148="$",AM147-$F148,IF(OR($F148="n/a",$G148="n/a"),"n/a",IF($G148="Before",IFERROR(AM147/(AM$123-AM147),0),IF($G148="After",IFERROR(AM147/AM$123,0),"Check"))))</f>
        <v>0</v>
      </c>
      <c r="AN148" s="376">
        <f t="shared" ref="AN148" si="101">++IF($E148="$",AN147-$F148,IF(OR($F148="n/a",$G148="n/a"),"n/a",IF($G148="Before",IFERROR(AN147/(AN$123-AN147),0),IF($G148="After",IFERROR(AN147/AN$123,0),"Check"))))</f>
        <v>0</v>
      </c>
      <c r="AO148" s="377">
        <f t="shared" ref="AO148" si="102">++IF($E148="$",AO147-$F148,IF(OR($F148="n/a",$G148="n/a"),"n/a",IF($G148="Before",IFERROR(AO147/(AO$123-AO147),0),IF($G148="After",IFERROR(AO147/AO$123,0),"Check"))))</f>
        <v>0</v>
      </c>
    </row>
    <row r="149" spans="1:41" x14ac:dyDescent="0.3">
      <c r="C149" s="340"/>
      <c r="I149" s="203"/>
      <c r="M149" s="203"/>
      <c r="Q149" s="203"/>
      <c r="U149" s="203"/>
      <c r="Y149" s="203"/>
      <c r="AC149" s="203"/>
      <c r="AG149" s="203"/>
      <c r="AK149" s="203"/>
      <c r="AO149" s="203"/>
    </row>
    <row r="150" spans="1:41" x14ac:dyDescent="0.3">
      <c r="C150" s="436" t="s">
        <v>3</v>
      </c>
      <c r="D150" s="105" t="str">
        <f>++D$74</f>
        <v>[Consolidated EBITDA Adjustment - #4]</v>
      </c>
      <c r="I150" s="439">
        <v>0</v>
      </c>
      <c r="J150" s="440">
        <v>0</v>
      </c>
      <c r="K150" s="440">
        <v>0</v>
      </c>
      <c r="L150" s="440">
        <v>0</v>
      </c>
      <c r="M150" s="439">
        <v>0</v>
      </c>
      <c r="N150" s="440">
        <v>0</v>
      </c>
      <c r="O150" s="440">
        <v>0</v>
      </c>
      <c r="P150" s="440">
        <v>0</v>
      </c>
      <c r="Q150" s="439">
        <v>0</v>
      </c>
      <c r="R150" s="440">
        <v>0</v>
      </c>
      <c r="S150" s="440">
        <v>0</v>
      </c>
      <c r="T150" s="440">
        <v>0</v>
      </c>
      <c r="U150" s="439">
        <v>0</v>
      </c>
      <c r="V150" s="440">
        <v>0</v>
      </c>
      <c r="W150" s="440">
        <v>0</v>
      </c>
      <c r="X150" s="440">
        <v>0</v>
      </c>
      <c r="Y150" s="439">
        <v>0</v>
      </c>
      <c r="Z150" s="440">
        <v>0</v>
      </c>
      <c r="AA150" s="440">
        <v>0</v>
      </c>
      <c r="AB150" s="440">
        <v>0</v>
      </c>
      <c r="AC150" s="439">
        <v>0</v>
      </c>
      <c r="AD150" s="440">
        <v>0</v>
      </c>
      <c r="AE150" s="440">
        <v>0</v>
      </c>
      <c r="AF150" s="440">
        <v>0</v>
      </c>
      <c r="AG150" s="439">
        <v>0</v>
      </c>
      <c r="AH150" s="440">
        <v>0</v>
      </c>
      <c r="AI150" s="440">
        <v>0</v>
      </c>
      <c r="AJ150" s="440">
        <v>0</v>
      </c>
      <c r="AK150" s="439">
        <v>0</v>
      </c>
      <c r="AL150" s="440">
        <v>0</v>
      </c>
      <c r="AM150" s="440">
        <v>0</v>
      </c>
      <c r="AN150" s="440">
        <v>0</v>
      </c>
      <c r="AO150" s="439">
        <v>0</v>
      </c>
    </row>
    <row r="151" spans="1:41" x14ac:dyDescent="0.3">
      <c r="C151" s="340"/>
      <c r="D151" s="443" t="s">
        <v>476</v>
      </c>
      <c r="E151" s="88" t="s">
        <v>369</v>
      </c>
      <c r="F151" s="350">
        <v>0</v>
      </c>
      <c r="G151" s="88" t="s">
        <v>475</v>
      </c>
      <c r="I151" s="324">
        <f>++IF($E151="$",I150-$F151,IF(OR($F151="n/a",$G151="n/a"),"n/a",IF($G151="Before",IFERROR(I150/(I$123-I150),0),IF($G151="After",IFERROR(I150/I$123,0),"Check"))))</f>
        <v>0</v>
      </c>
      <c r="J151" s="376">
        <f t="shared" ref="J151" si="103">++IF($E151="$",J150-$F151,IF(OR($F151="n/a",$G151="n/a"),"n/a",IF($G151="Before",IFERROR(J150/(J$123-J150),0),IF($G151="After",IFERROR(J150/J$123,0),"Check"))))</f>
        <v>0</v>
      </c>
      <c r="K151" s="376">
        <f t="shared" ref="K151" si="104">++IF($E151="$",K150-$F151,IF(OR($F151="n/a",$G151="n/a"),"n/a",IF($G151="Before",IFERROR(K150/(K$123-K150),0),IF($G151="After",IFERROR(K150/K$123,0),"Check"))))</f>
        <v>0</v>
      </c>
      <c r="L151" s="376">
        <f t="shared" ref="L151" si="105">++IF($E151="$",L150-$F151,IF(OR($F151="n/a",$G151="n/a"),"n/a",IF($G151="Before",IFERROR(L150/(L$123-L150),0),IF($G151="After",IFERROR(L150/L$123,0),"Check"))))</f>
        <v>0</v>
      </c>
      <c r="M151" s="324">
        <f t="shared" ref="M151" si="106">++IF($E151="$",M150-$F151,IF(OR($F151="n/a",$G151="n/a"),"n/a",IF($G151="Before",IFERROR(M150/(M$123-M150),0),IF($G151="After",IFERROR(M150/M$123,0),"Check"))))</f>
        <v>0</v>
      </c>
      <c r="N151" s="376">
        <f t="shared" ref="N151" si="107">++IF($E151="$",N150-$F151,IF(OR($F151="n/a",$G151="n/a"),"n/a",IF($G151="Before",IFERROR(N150/(N$123-N150),0),IF($G151="After",IFERROR(N150/N$123,0),"Check"))))</f>
        <v>0</v>
      </c>
      <c r="O151" s="376">
        <f t="shared" ref="O151" si="108">++IF($E151="$",O150-$F151,IF(OR($F151="n/a",$G151="n/a"),"n/a",IF($G151="Before",IFERROR(O150/(O$123-O150),0),IF($G151="After",IFERROR(O150/O$123,0),"Check"))))</f>
        <v>0</v>
      </c>
      <c r="P151" s="376">
        <f t="shared" ref="P151" si="109">++IF($E151="$",P150-$F151,IF(OR($F151="n/a",$G151="n/a"),"n/a",IF($G151="Before",IFERROR(P150/(P$123-P150),0),IF($G151="After",IFERROR(P150/P$123,0),"Check"))))</f>
        <v>0</v>
      </c>
      <c r="Q151" s="377">
        <f t="shared" ref="Q151" si="110">++IF($E151="$",Q150-$F151,IF(OR($F151="n/a",$G151="n/a"),"n/a",IF($G151="Before",IFERROR(Q150/(Q$123-Q150),0),IF($G151="After",IFERROR(Q150/Q$123,0),"Check"))))</f>
        <v>0</v>
      </c>
      <c r="R151" s="376">
        <f t="shared" ref="R151" si="111">++IF($E151="$",R150-$F151,IF(OR($F151="n/a",$G151="n/a"),"n/a",IF($G151="Before",IFERROR(R150/(R$123-R150),0),IF($G151="After",IFERROR(R150/R$123,0),"Check"))))</f>
        <v>0</v>
      </c>
      <c r="S151" s="376">
        <f t="shared" ref="S151" si="112">++IF($E151="$",S150-$F151,IF(OR($F151="n/a",$G151="n/a"),"n/a",IF($G151="Before",IFERROR(S150/(S$123-S150),0),IF($G151="After",IFERROR(S150/S$123,0),"Check"))))</f>
        <v>0</v>
      </c>
      <c r="T151" s="376">
        <f t="shared" ref="T151" si="113">++IF($E151="$",T150-$F151,IF(OR($F151="n/a",$G151="n/a"),"n/a",IF($G151="Before",IFERROR(T150/(T$123-T150),0),IF($G151="After",IFERROR(T150/T$123,0),"Check"))))</f>
        <v>0</v>
      </c>
      <c r="U151" s="377">
        <f t="shared" ref="U151" si="114">++IF($E151="$",U150-$F151,IF(OR($F151="n/a",$G151="n/a"),"n/a",IF($G151="Before",IFERROR(U150/(U$123-U150),0),IF($G151="After",IFERROR(U150/U$123,0),"Check"))))</f>
        <v>0</v>
      </c>
      <c r="V151" s="376">
        <f t="shared" ref="V151" si="115">++IF($E151="$",V150-$F151,IF(OR($F151="n/a",$G151="n/a"),"n/a",IF($G151="Before",IFERROR(V150/(V$123-V150),0),IF($G151="After",IFERROR(V150/V$123,0),"Check"))))</f>
        <v>0</v>
      </c>
      <c r="W151" s="376">
        <f t="shared" ref="W151" si="116">++IF($E151="$",W150-$F151,IF(OR($F151="n/a",$G151="n/a"),"n/a",IF($G151="Before",IFERROR(W150/(W$123-W150),0),IF($G151="After",IFERROR(W150/W$123,0),"Check"))))</f>
        <v>0</v>
      </c>
      <c r="X151" s="376">
        <f t="shared" ref="X151" si="117">++IF($E151="$",X150-$F151,IF(OR($F151="n/a",$G151="n/a"),"n/a",IF($G151="Before",IFERROR(X150/(X$123-X150),0),IF($G151="After",IFERROR(X150/X$123,0),"Check"))))</f>
        <v>0</v>
      </c>
      <c r="Y151" s="377">
        <f t="shared" ref="Y151" si="118">++IF($E151="$",Y150-$F151,IF(OR($F151="n/a",$G151="n/a"),"n/a",IF($G151="Before",IFERROR(Y150/(Y$123-Y150),0),IF($G151="After",IFERROR(Y150/Y$123,0),"Check"))))</f>
        <v>0</v>
      </c>
      <c r="Z151" s="376">
        <f t="shared" ref="Z151" si="119">++IF($E151="$",Z150-$F151,IF(OR($F151="n/a",$G151="n/a"),"n/a",IF($G151="Before",IFERROR(Z150/(Z$123-Z150),0),IF($G151="After",IFERROR(Z150/Z$123,0),"Check"))))</f>
        <v>0</v>
      </c>
      <c r="AA151" s="376">
        <f t="shared" ref="AA151" si="120">++IF($E151="$",AA150-$F151,IF(OR($F151="n/a",$G151="n/a"),"n/a",IF($G151="Before",IFERROR(AA150/(AA$123-AA150),0),IF($G151="After",IFERROR(AA150/AA$123,0),"Check"))))</f>
        <v>0</v>
      </c>
      <c r="AB151" s="376">
        <f t="shared" ref="AB151" si="121">++IF($E151="$",AB150-$F151,IF(OR($F151="n/a",$G151="n/a"),"n/a",IF($G151="Before",IFERROR(AB150/(AB$123-AB150),0),IF($G151="After",IFERROR(AB150/AB$123,0),"Check"))))</f>
        <v>0</v>
      </c>
      <c r="AC151" s="377">
        <f t="shared" ref="AC151" si="122">++IF($E151="$",AC150-$F151,IF(OR($F151="n/a",$G151="n/a"),"n/a",IF($G151="Before",IFERROR(AC150/(AC$123-AC150),0),IF($G151="After",IFERROR(AC150/AC$123,0),"Check"))))</f>
        <v>0</v>
      </c>
      <c r="AD151" s="376">
        <f t="shared" ref="AD151" si="123">++IF($E151="$",AD150-$F151,IF(OR($F151="n/a",$G151="n/a"),"n/a",IF($G151="Before",IFERROR(AD150/(AD$123-AD150),0),IF($G151="After",IFERROR(AD150/AD$123,0),"Check"))))</f>
        <v>0</v>
      </c>
      <c r="AE151" s="376">
        <f t="shared" ref="AE151" si="124">++IF($E151="$",AE150-$F151,IF(OR($F151="n/a",$G151="n/a"),"n/a",IF($G151="Before",IFERROR(AE150/(AE$123-AE150),0),IF($G151="After",IFERROR(AE150/AE$123,0),"Check"))))</f>
        <v>0</v>
      </c>
      <c r="AF151" s="376">
        <f t="shared" ref="AF151" si="125">++IF($E151="$",AF150-$F151,IF(OR($F151="n/a",$G151="n/a"),"n/a",IF($G151="Before",IFERROR(AF150/(AF$123-AF150),0),IF($G151="After",IFERROR(AF150/AF$123,0),"Check"))))</f>
        <v>0</v>
      </c>
      <c r="AG151" s="377">
        <f t="shared" ref="AG151" si="126">++IF($E151="$",AG150-$F151,IF(OR($F151="n/a",$G151="n/a"),"n/a",IF($G151="Before",IFERROR(AG150/(AG$123-AG150),0),IF($G151="After",IFERROR(AG150/AG$123,0),"Check"))))</f>
        <v>0</v>
      </c>
      <c r="AH151" s="376">
        <f t="shared" ref="AH151" si="127">++IF($E151="$",AH150-$F151,IF(OR($F151="n/a",$G151="n/a"),"n/a",IF($G151="Before",IFERROR(AH150/(AH$123-AH150),0),IF($G151="After",IFERROR(AH150/AH$123,0),"Check"))))</f>
        <v>0</v>
      </c>
      <c r="AI151" s="376">
        <f t="shared" ref="AI151" si="128">++IF($E151="$",AI150-$F151,IF(OR($F151="n/a",$G151="n/a"),"n/a",IF($G151="Before",IFERROR(AI150/(AI$123-AI150),0),IF($G151="After",IFERROR(AI150/AI$123,0),"Check"))))</f>
        <v>0</v>
      </c>
      <c r="AJ151" s="376">
        <f t="shared" ref="AJ151" si="129">++IF($E151="$",AJ150-$F151,IF(OR($F151="n/a",$G151="n/a"),"n/a",IF($G151="Before",IFERROR(AJ150/(AJ$123-AJ150),0),IF($G151="After",IFERROR(AJ150/AJ$123,0),"Check"))))</f>
        <v>0</v>
      </c>
      <c r="AK151" s="377">
        <f t="shared" ref="AK151" si="130">++IF($E151="$",AK150-$F151,IF(OR($F151="n/a",$G151="n/a"),"n/a",IF($G151="Before",IFERROR(AK150/(AK$123-AK150),0),IF($G151="After",IFERROR(AK150/AK$123,0),"Check"))))</f>
        <v>0</v>
      </c>
      <c r="AL151" s="376">
        <f t="shared" ref="AL151" si="131">++IF($E151="$",AL150-$F151,IF(OR($F151="n/a",$G151="n/a"),"n/a",IF($G151="Before",IFERROR(AL150/(AL$123-AL150),0),IF($G151="After",IFERROR(AL150/AL$123,0),"Check"))))</f>
        <v>0</v>
      </c>
      <c r="AM151" s="376">
        <f t="shared" ref="AM151" si="132">++IF($E151="$",AM150-$F151,IF(OR($F151="n/a",$G151="n/a"),"n/a",IF($G151="Before",IFERROR(AM150/(AM$123-AM150),0),IF($G151="After",IFERROR(AM150/AM$123,0),"Check"))))</f>
        <v>0</v>
      </c>
      <c r="AN151" s="376">
        <f t="shared" ref="AN151" si="133">++IF($E151="$",AN150-$F151,IF(OR($F151="n/a",$G151="n/a"),"n/a",IF($G151="Before",IFERROR(AN150/(AN$123-AN150),0),IF($G151="After",IFERROR(AN150/AN$123,0),"Check"))))</f>
        <v>0</v>
      </c>
      <c r="AO151" s="377">
        <f t="shared" ref="AO151" si="134">++IF($E151="$",AO150-$F151,IF(OR($F151="n/a",$G151="n/a"),"n/a",IF($G151="Before",IFERROR(AO150/(AO$123-AO150),0),IF($G151="After",IFERROR(AO150/AO$123,0),"Check"))))</f>
        <v>0</v>
      </c>
    </row>
    <row r="152" spans="1:41" x14ac:dyDescent="0.3">
      <c r="C152" s="340"/>
      <c r="I152" s="203"/>
      <c r="M152" s="203"/>
      <c r="Q152" s="203"/>
      <c r="U152" s="203"/>
      <c r="Y152" s="203"/>
      <c r="AC152" s="203"/>
      <c r="AG152" s="203"/>
      <c r="AK152" s="203"/>
      <c r="AO152" s="203"/>
    </row>
    <row r="153" spans="1:41" x14ac:dyDescent="0.3">
      <c r="C153" s="436" t="s">
        <v>3</v>
      </c>
      <c r="D153" s="105" t="str">
        <f>++D$75</f>
        <v>[Consolidated EBITDA Adjustment - #5]</v>
      </c>
      <c r="I153" s="439">
        <v>0</v>
      </c>
      <c r="J153" s="440">
        <v>0</v>
      </c>
      <c r="K153" s="440">
        <v>0</v>
      </c>
      <c r="L153" s="440">
        <v>0</v>
      </c>
      <c r="M153" s="439">
        <v>0</v>
      </c>
      <c r="N153" s="440">
        <v>0</v>
      </c>
      <c r="O153" s="440">
        <v>0</v>
      </c>
      <c r="P153" s="440">
        <v>0</v>
      </c>
      <c r="Q153" s="439">
        <v>0</v>
      </c>
      <c r="R153" s="440">
        <v>0</v>
      </c>
      <c r="S153" s="440">
        <v>0</v>
      </c>
      <c r="T153" s="440">
        <v>0</v>
      </c>
      <c r="U153" s="439">
        <v>0</v>
      </c>
      <c r="V153" s="440">
        <v>0</v>
      </c>
      <c r="W153" s="440">
        <v>0</v>
      </c>
      <c r="X153" s="440">
        <v>0</v>
      </c>
      <c r="Y153" s="439">
        <v>0</v>
      </c>
      <c r="Z153" s="440">
        <v>0</v>
      </c>
      <c r="AA153" s="440">
        <v>0</v>
      </c>
      <c r="AB153" s="440">
        <v>0</v>
      </c>
      <c r="AC153" s="439">
        <v>0</v>
      </c>
      <c r="AD153" s="440">
        <v>0</v>
      </c>
      <c r="AE153" s="440">
        <v>0</v>
      </c>
      <c r="AF153" s="440">
        <v>0</v>
      </c>
      <c r="AG153" s="439">
        <v>0</v>
      </c>
      <c r="AH153" s="440">
        <v>0</v>
      </c>
      <c r="AI153" s="440">
        <v>0</v>
      </c>
      <c r="AJ153" s="440">
        <v>0</v>
      </c>
      <c r="AK153" s="439">
        <v>0</v>
      </c>
      <c r="AL153" s="440">
        <v>0</v>
      </c>
      <c r="AM153" s="440">
        <v>0</v>
      </c>
      <c r="AN153" s="440">
        <v>0</v>
      </c>
      <c r="AO153" s="439">
        <v>0</v>
      </c>
    </row>
    <row r="154" spans="1:41" x14ac:dyDescent="0.3">
      <c r="C154" s="340"/>
      <c r="D154" s="443" t="s">
        <v>476</v>
      </c>
      <c r="E154" s="88" t="s">
        <v>53</v>
      </c>
      <c r="F154" s="350">
        <v>0</v>
      </c>
      <c r="G154" s="88" t="s">
        <v>47</v>
      </c>
      <c r="I154" s="324">
        <f>++IF($E154="$",I153-$F154,IF(OR($F154="n/a",$G154="n/a"),"n/a",IF($G154="Before",IFERROR(I153/(I$123-I153),0),IF($G154="After",IFERROR(I153/I$123,0),"Check"))))</f>
        <v>0</v>
      </c>
      <c r="J154" s="376">
        <f t="shared" ref="J154" si="135">++IF($E154="$",J153-$F154,IF(OR($F154="n/a",$G154="n/a"),"n/a",IF($G154="Before",IFERROR(J153/(J$123-J153),0),IF($G154="After",IFERROR(J153/J$123,0),"Check"))))</f>
        <v>0</v>
      </c>
      <c r="K154" s="376">
        <f t="shared" ref="K154" si="136">++IF($E154="$",K153-$F154,IF(OR($F154="n/a",$G154="n/a"),"n/a",IF($G154="Before",IFERROR(K153/(K$123-K153),0),IF($G154="After",IFERROR(K153/K$123,0),"Check"))))</f>
        <v>0</v>
      </c>
      <c r="L154" s="376">
        <f t="shared" ref="L154" si="137">++IF($E154="$",L153-$F154,IF(OR($F154="n/a",$G154="n/a"),"n/a",IF($G154="Before",IFERROR(L153/(L$123-L153),0),IF($G154="After",IFERROR(L153/L$123,0),"Check"))))</f>
        <v>0</v>
      </c>
      <c r="M154" s="324">
        <f t="shared" ref="M154" si="138">++IF($E154="$",M153-$F154,IF(OR($F154="n/a",$G154="n/a"),"n/a",IF($G154="Before",IFERROR(M153/(M$123-M153),0),IF($G154="After",IFERROR(M153/M$123,0),"Check"))))</f>
        <v>0</v>
      </c>
      <c r="N154" s="376">
        <f t="shared" ref="N154" si="139">++IF($E154="$",N153-$F154,IF(OR($F154="n/a",$G154="n/a"),"n/a",IF($G154="Before",IFERROR(N153/(N$123-N153),0),IF($G154="After",IFERROR(N153/N$123,0),"Check"))))</f>
        <v>0</v>
      </c>
      <c r="O154" s="376">
        <f t="shared" ref="O154" si="140">++IF($E154="$",O153-$F154,IF(OR($F154="n/a",$G154="n/a"),"n/a",IF($G154="Before",IFERROR(O153/(O$123-O153),0),IF($G154="After",IFERROR(O153/O$123,0),"Check"))))</f>
        <v>0</v>
      </c>
      <c r="P154" s="376">
        <f t="shared" ref="P154" si="141">++IF($E154="$",P153-$F154,IF(OR($F154="n/a",$G154="n/a"),"n/a",IF($G154="Before",IFERROR(P153/(P$123-P153),0),IF($G154="After",IFERROR(P153/P$123,0),"Check"))))</f>
        <v>0</v>
      </c>
      <c r="Q154" s="377">
        <f t="shared" ref="Q154" si="142">++IF($E154="$",Q153-$F154,IF(OR($F154="n/a",$G154="n/a"),"n/a",IF($G154="Before",IFERROR(Q153/(Q$123-Q153),0),IF($G154="After",IFERROR(Q153/Q$123,0),"Check"))))</f>
        <v>0</v>
      </c>
      <c r="R154" s="376">
        <f t="shared" ref="R154" si="143">++IF($E154="$",R153-$F154,IF(OR($F154="n/a",$G154="n/a"),"n/a",IF($G154="Before",IFERROR(R153/(R$123-R153),0),IF($G154="After",IFERROR(R153/R$123,0),"Check"))))</f>
        <v>0</v>
      </c>
      <c r="S154" s="376">
        <f t="shared" ref="S154" si="144">++IF($E154="$",S153-$F154,IF(OR($F154="n/a",$G154="n/a"),"n/a",IF($G154="Before",IFERROR(S153/(S$123-S153),0),IF($G154="After",IFERROR(S153/S$123,0),"Check"))))</f>
        <v>0</v>
      </c>
      <c r="T154" s="376">
        <f t="shared" ref="T154" si="145">++IF($E154="$",T153-$F154,IF(OR($F154="n/a",$G154="n/a"),"n/a",IF($G154="Before",IFERROR(T153/(T$123-T153),0),IF($G154="After",IFERROR(T153/T$123,0),"Check"))))</f>
        <v>0</v>
      </c>
      <c r="U154" s="377">
        <f t="shared" ref="U154" si="146">++IF($E154="$",U153-$F154,IF(OR($F154="n/a",$G154="n/a"),"n/a",IF($G154="Before",IFERROR(U153/(U$123-U153),0),IF($G154="After",IFERROR(U153/U$123,0),"Check"))))</f>
        <v>0</v>
      </c>
      <c r="V154" s="376">
        <f t="shared" ref="V154" si="147">++IF($E154="$",V153-$F154,IF(OR($F154="n/a",$G154="n/a"),"n/a",IF($G154="Before",IFERROR(V153/(V$123-V153),0),IF($G154="After",IFERROR(V153/V$123,0),"Check"))))</f>
        <v>0</v>
      </c>
      <c r="W154" s="376">
        <f t="shared" ref="W154" si="148">++IF($E154="$",W153-$F154,IF(OR($F154="n/a",$G154="n/a"),"n/a",IF($G154="Before",IFERROR(W153/(W$123-W153),0),IF($G154="After",IFERROR(W153/W$123,0),"Check"))))</f>
        <v>0</v>
      </c>
      <c r="X154" s="376">
        <f t="shared" ref="X154" si="149">++IF($E154="$",X153-$F154,IF(OR($F154="n/a",$G154="n/a"),"n/a",IF($G154="Before",IFERROR(X153/(X$123-X153),0),IF($G154="After",IFERROR(X153/X$123,0),"Check"))))</f>
        <v>0</v>
      </c>
      <c r="Y154" s="377">
        <f t="shared" ref="Y154" si="150">++IF($E154="$",Y153-$F154,IF(OR($F154="n/a",$G154="n/a"),"n/a",IF($G154="Before",IFERROR(Y153/(Y$123-Y153),0),IF($G154="After",IFERROR(Y153/Y$123,0),"Check"))))</f>
        <v>0</v>
      </c>
      <c r="Z154" s="376">
        <f t="shared" ref="Z154" si="151">++IF($E154="$",Z153-$F154,IF(OR($F154="n/a",$G154="n/a"),"n/a",IF($G154="Before",IFERROR(Z153/(Z$123-Z153),0),IF($G154="After",IFERROR(Z153/Z$123,0),"Check"))))</f>
        <v>0</v>
      </c>
      <c r="AA154" s="376">
        <f t="shared" ref="AA154" si="152">++IF($E154="$",AA153-$F154,IF(OR($F154="n/a",$G154="n/a"),"n/a",IF($G154="Before",IFERROR(AA153/(AA$123-AA153),0),IF($G154="After",IFERROR(AA153/AA$123,0),"Check"))))</f>
        <v>0</v>
      </c>
      <c r="AB154" s="376">
        <f t="shared" ref="AB154" si="153">++IF($E154="$",AB153-$F154,IF(OR($F154="n/a",$G154="n/a"),"n/a",IF($G154="Before",IFERROR(AB153/(AB$123-AB153),0),IF($G154="After",IFERROR(AB153/AB$123,0),"Check"))))</f>
        <v>0</v>
      </c>
      <c r="AC154" s="377">
        <f t="shared" ref="AC154" si="154">++IF($E154="$",AC153-$F154,IF(OR($F154="n/a",$G154="n/a"),"n/a",IF($G154="Before",IFERROR(AC153/(AC$123-AC153),0),IF($G154="After",IFERROR(AC153/AC$123,0),"Check"))))</f>
        <v>0</v>
      </c>
      <c r="AD154" s="376">
        <f t="shared" ref="AD154" si="155">++IF($E154="$",AD153-$F154,IF(OR($F154="n/a",$G154="n/a"),"n/a",IF($G154="Before",IFERROR(AD153/(AD$123-AD153),0),IF($G154="After",IFERROR(AD153/AD$123,0),"Check"))))</f>
        <v>0</v>
      </c>
      <c r="AE154" s="376">
        <f t="shared" ref="AE154" si="156">++IF($E154="$",AE153-$F154,IF(OR($F154="n/a",$G154="n/a"),"n/a",IF($G154="Before",IFERROR(AE153/(AE$123-AE153),0),IF($G154="After",IFERROR(AE153/AE$123,0),"Check"))))</f>
        <v>0</v>
      </c>
      <c r="AF154" s="376">
        <f t="shared" ref="AF154" si="157">++IF($E154="$",AF153-$F154,IF(OR($F154="n/a",$G154="n/a"),"n/a",IF($G154="Before",IFERROR(AF153/(AF$123-AF153),0),IF($G154="After",IFERROR(AF153/AF$123,0),"Check"))))</f>
        <v>0</v>
      </c>
      <c r="AG154" s="377">
        <f t="shared" ref="AG154" si="158">++IF($E154="$",AG153-$F154,IF(OR($F154="n/a",$G154="n/a"),"n/a",IF($G154="Before",IFERROR(AG153/(AG$123-AG153),0),IF($G154="After",IFERROR(AG153/AG$123,0),"Check"))))</f>
        <v>0</v>
      </c>
      <c r="AH154" s="376">
        <f t="shared" ref="AH154" si="159">++IF($E154="$",AH153-$F154,IF(OR($F154="n/a",$G154="n/a"),"n/a",IF($G154="Before",IFERROR(AH153/(AH$123-AH153),0),IF($G154="After",IFERROR(AH153/AH$123,0),"Check"))))</f>
        <v>0</v>
      </c>
      <c r="AI154" s="376">
        <f t="shared" ref="AI154" si="160">++IF($E154="$",AI153-$F154,IF(OR($F154="n/a",$G154="n/a"),"n/a",IF($G154="Before",IFERROR(AI153/(AI$123-AI153),0),IF($G154="After",IFERROR(AI153/AI$123,0),"Check"))))</f>
        <v>0</v>
      </c>
      <c r="AJ154" s="376">
        <f t="shared" ref="AJ154" si="161">++IF($E154="$",AJ153-$F154,IF(OR($F154="n/a",$G154="n/a"),"n/a",IF($G154="Before",IFERROR(AJ153/(AJ$123-AJ153),0),IF($G154="After",IFERROR(AJ153/AJ$123,0),"Check"))))</f>
        <v>0</v>
      </c>
      <c r="AK154" s="377">
        <f t="shared" ref="AK154" si="162">++IF($E154="$",AK153-$F154,IF(OR($F154="n/a",$G154="n/a"),"n/a",IF($G154="Before",IFERROR(AK153/(AK$123-AK153),0),IF($G154="After",IFERROR(AK153/AK$123,0),"Check"))))</f>
        <v>0</v>
      </c>
      <c r="AL154" s="376">
        <f t="shared" ref="AL154" si="163">++IF($E154="$",AL153-$F154,IF(OR($F154="n/a",$G154="n/a"),"n/a",IF($G154="Before",IFERROR(AL153/(AL$123-AL153),0),IF($G154="After",IFERROR(AL153/AL$123,0),"Check"))))</f>
        <v>0</v>
      </c>
      <c r="AM154" s="376">
        <f t="shared" ref="AM154" si="164">++IF($E154="$",AM153-$F154,IF(OR($F154="n/a",$G154="n/a"),"n/a",IF($G154="Before",IFERROR(AM153/(AM$123-AM153),0),IF($G154="After",IFERROR(AM153/AM$123,0),"Check"))))</f>
        <v>0</v>
      </c>
      <c r="AN154" s="376">
        <f t="shared" ref="AN154" si="165">++IF($E154="$",AN153-$F154,IF(OR($F154="n/a",$G154="n/a"),"n/a",IF($G154="Before",IFERROR(AN153/(AN$123-AN153),0),IF($G154="After",IFERROR(AN153/AN$123,0),"Check"))))</f>
        <v>0</v>
      </c>
      <c r="AO154" s="377">
        <f t="shared" ref="AO154" si="166">++IF($E154="$",AO153-$F154,IF(OR($F154="n/a",$G154="n/a"),"n/a",IF($G154="Before",IFERROR(AO153/(AO$123-AO153),0),IF($G154="After",IFERROR(AO153/AO$123,0),"Check"))))</f>
        <v>0</v>
      </c>
    </row>
    <row r="155" spans="1:41" x14ac:dyDescent="0.3">
      <c r="C155" s="340"/>
      <c r="I155" s="203"/>
      <c r="M155" s="203"/>
      <c r="Q155" s="203"/>
      <c r="U155" s="203"/>
      <c r="Y155" s="203"/>
      <c r="AC155" s="203"/>
      <c r="AG155" s="203"/>
      <c r="AK155" s="203"/>
      <c r="AO155" s="203"/>
    </row>
    <row r="156" spans="1:41" x14ac:dyDescent="0.3">
      <c r="C156" s="436" t="s">
        <v>3</v>
      </c>
      <c r="D156" s="105" t="str">
        <f>++D$76&amp;", "&amp;D$77&amp;", "&amp;D$78&amp;", "&amp;D$79</f>
        <v>[Consolidated EBITDA Adjustment - #6], [Consolidated EBITDA Adjustment - #7], [Consolidated EBITDA Adjustment - #8], [Consolidated EBITDA Adjustment - #9]</v>
      </c>
      <c r="I156" s="439">
        <v>0</v>
      </c>
      <c r="J156" s="440">
        <v>0</v>
      </c>
      <c r="K156" s="440">
        <v>0</v>
      </c>
      <c r="L156" s="440">
        <v>0</v>
      </c>
      <c r="M156" s="439">
        <v>0</v>
      </c>
      <c r="N156" s="440">
        <v>0</v>
      </c>
      <c r="O156" s="440">
        <v>0</v>
      </c>
      <c r="P156" s="440">
        <v>0</v>
      </c>
      <c r="Q156" s="439">
        <v>0</v>
      </c>
      <c r="R156" s="440">
        <v>0</v>
      </c>
      <c r="S156" s="440">
        <v>0</v>
      </c>
      <c r="T156" s="440">
        <v>0</v>
      </c>
      <c r="U156" s="439">
        <v>0</v>
      </c>
      <c r="V156" s="440">
        <v>0</v>
      </c>
      <c r="W156" s="440">
        <v>0</v>
      </c>
      <c r="X156" s="440">
        <v>0</v>
      </c>
      <c r="Y156" s="439">
        <v>0</v>
      </c>
      <c r="Z156" s="440">
        <v>0</v>
      </c>
      <c r="AA156" s="440">
        <v>0</v>
      </c>
      <c r="AB156" s="440">
        <v>0</v>
      </c>
      <c r="AC156" s="439">
        <v>0</v>
      </c>
      <c r="AD156" s="440">
        <v>0</v>
      </c>
      <c r="AE156" s="440">
        <v>0</v>
      </c>
      <c r="AF156" s="440">
        <v>0</v>
      </c>
      <c r="AG156" s="439">
        <v>0</v>
      </c>
      <c r="AH156" s="440">
        <v>0</v>
      </c>
      <c r="AI156" s="440">
        <v>0</v>
      </c>
      <c r="AJ156" s="440">
        <v>0</v>
      </c>
      <c r="AK156" s="439">
        <v>0</v>
      </c>
      <c r="AL156" s="440">
        <v>0</v>
      </c>
      <c r="AM156" s="440">
        <v>0</v>
      </c>
      <c r="AN156" s="440">
        <v>0</v>
      </c>
      <c r="AO156" s="439">
        <v>0</v>
      </c>
    </row>
    <row r="157" spans="1:41" x14ac:dyDescent="0.3">
      <c r="D157" s="443" t="s">
        <v>478</v>
      </c>
      <c r="E157" s="88" t="s">
        <v>369</v>
      </c>
      <c r="F157" s="350">
        <v>0.1</v>
      </c>
      <c r="G157" s="88" t="s">
        <v>475</v>
      </c>
      <c r="I157" s="378">
        <f>++IF(OR($F157="n/a",$G157="n/a"),"n/a",IF($G157="Before",IFERROR(I156/(I$123-I156),0),IF($G157="After",IFERROR(I156/I$123,0),"Check")))</f>
        <v>0</v>
      </c>
      <c r="J157" s="173">
        <f t="shared" ref="J157" si="167">++IF(OR($F157="n/a",$G157="n/a"),"n/a",IF($G157="Before",IFERROR(J156/(J$123-J156),0),IF($G157="After",IFERROR(J156/J$123,0),"Check")))</f>
        <v>0</v>
      </c>
      <c r="K157" s="173">
        <f t="shared" ref="K157" si="168">++IF(OR($F157="n/a",$G157="n/a"),"n/a",IF($G157="Before",IFERROR(K156/(K$123-K156),0),IF($G157="After",IFERROR(K156/K$123,0),"Check")))</f>
        <v>0</v>
      </c>
      <c r="L157" s="173">
        <f t="shared" ref="L157" si="169">++IF(OR($F157="n/a",$G157="n/a"),"n/a",IF($G157="Before",IFERROR(L156/(L$123-L156),0),IF($G157="After",IFERROR(L156/L$123,0),"Check")))</f>
        <v>0</v>
      </c>
      <c r="M157" s="378">
        <f t="shared" ref="M157" si="170">++IF(OR($F157="n/a",$G157="n/a"),"n/a",IF($G157="Before",IFERROR(M156/(M$123-M156),0),IF($G157="After",IFERROR(M156/M$123,0),"Check")))</f>
        <v>0</v>
      </c>
      <c r="N157" s="173">
        <f t="shared" ref="N157" si="171">++IF(OR($F157="n/a",$G157="n/a"),"n/a",IF($G157="Before",IFERROR(N156/(N$123-N156),0),IF($G157="After",IFERROR(N156/N$123,0),"Check")))</f>
        <v>0</v>
      </c>
      <c r="O157" s="173">
        <f t="shared" ref="O157" si="172">++IF(OR($F157="n/a",$G157="n/a"),"n/a",IF($G157="Before",IFERROR(O156/(O$123-O156),0),IF($G157="After",IFERROR(O156/O$123,0),"Check")))</f>
        <v>0</v>
      </c>
      <c r="P157" s="173">
        <f t="shared" ref="P157" si="173">++IF(OR($F157="n/a",$G157="n/a"),"n/a",IF($G157="Before",IFERROR(P156/(P$123-P156),0),IF($G157="After",IFERROR(P156/P$123,0),"Check")))</f>
        <v>0</v>
      </c>
      <c r="Q157" s="379">
        <f t="shared" ref="Q157" si="174">++IF(OR($F157="n/a",$G157="n/a"),"n/a",IF($G157="Before",IFERROR(Q156/(Q$123-Q156),0),IF($G157="After",IFERROR(Q156/Q$123,0),"Check")))</f>
        <v>0</v>
      </c>
      <c r="R157" s="173">
        <f t="shared" ref="R157" si="175">++IF(OR($F157="n/a",$G157="n/a"),"n/a",IF($G157="Before",IFERROR(R156/(R$123-R156),0),IF($G157="After",IFERROR(R156/R$123,0),"Check")))</f>
        <v>0</v>
      </c>
      <c r="S157" s="173">
        <f t="shared" ref="S157" si="176">++IF(OR($F157="n/a",$G157="n/a"),"n/a",IF($G157="Before",IFERROR(S156/(S$123-S156),0),IF($G157="After",IFERROR(S156/S$123,0),"Check")))</f>
        <v>0</v>
      </c>
      <c r="T157" s="173">
        <f t="shared" ref="T157" si="177">++IF(OR($F157="n/a",$G157="n/a"),"n/a",IF($G157="Before",IFERROR(T156/(T$123-T156),0),IF($G157="After",IFERROR(T156/T$123,0),"Check")))</f>
        <v>0</v>
      </c>
      <c r="U157" s="379">
        <f t="shared" ref="U157" si="178">++IF(OR($F157="n/a",$G157="n/a"),"n/a",IF($G157="Before",IFERROR(U156/(U$123-U156),0),IF($G157="After",IFERROR(U156/U$123,0),"Check")))</f>
        <v>0</v>
      </c>
      <c r="V157" s="173">
        <f t="shared" ref="V157" si="179">++IF(OR($F157="n/a",$G157="n/a"),"n/a",IF($G157="Before",IFERROR(V156/(V$123-V156),0),IF($G157="After",IFERROR(V156/V$123,0),"Check")))</f>
        <v>0</v>
      </c>
      <c r="W157" s="173">
        <f t="shared" ref="W157" si="180">++IF(OR($F157="n/a",$G157="n/a"),"n/a",IF($G157="Before",IFERROR(W156/(W$123-W156),0),IF($G157="After",IFERROR(W156/W$123,0),"Check")))</f>
        <v>0</v>
      </c>
      <c r="X157" s="173">
        <f t="shared" ref="X157" si="181">++IF(OR($F157="n/a",$G157="n/a"),"n/a",IF($G157="Before",IFERROR(X156/(X$123-X156),0),IF($G157="After",IFERROR(X156/X$123,0),"Check")))</f>
        <v>0</v>
      </c>
      <c r="Y157" s="379">
        <f t="shared" ref="Y157" si="182">++IF(OR($F157="n/a",$G157="n/a"),"n/a",IF($G157="Before",IFERROR(Y156/(Y$123-Y156),0),IF($G157="After",IFERROR(Y156/Y$123,0),"Check")))</f>
        <v>0</v>
      </c>
      <c r="Z157" s="173">
        <f t="shared" ref="Z157" si="183">++IF(OR($F157="n/a",$G157="n/a"),"n/a",IF($G157="Before",IFERROR(Z156/(Z$123-Z156),0),IF($G157="After",IFERROR(Z156/Z$123,0),"Check")))</f>
        <v>0</v>
      </c>
      <c r="AA157" s="173">
        <f t="shared" ref="AA157" si="184">++IF(OR($F157="n/a",$G157="n/a"),"n/a",IF($G157="Before",IFERROR(AA156/(AA$123-AA156),0),IF($G157="After",IFERROR(AA156/AA$123,0),"Check")))</f>
        <v>0</v>
      </c>
      <c r="AB157" s="173">
        <f t="shared" ref="AB157" si="185">++IF(OR($F157="n/a",$G157="n/a"),"n/a",IF($G157="Before",IFERROR(AB156/(AB$123-AB156),0),IF($G157="After",IFERROR(AB156/AB$123,0),"Check")))</f>
        <v>0</v>
      </c>
      <c r="AC157" s="379">
        <f t="shared" ref="AC157" si="186">++IF(OR($F157="n/a",$G157="n/a"),"n/a",IF($G157="Before",IFERROR(AC156/(AC$123-AC156),0),IF($G157="After",IFERROR(AC156/AC$123,0),"Check")))</f>
        <v>0</v>
      </c>
      <c r="AD157" s="173">
        <f t="shared" ref="AD157" si="187">++IF(OR($F157="n/a",$G157="n/a"),"n/a",IF($G157="Before",IFERROR(AD156/(AD$123-AD156),0),IF($G157="After",IFERROR(AD156/AD$123,0),"Check")))</f>
        <v>0</v>
      </c>
      <c r="AE157" s="173">
        <f t="shared" ref="AE157" si="188">++IF(OR($F157="n/a",$G157="n/a"),"n/a",IF($G157="Before",IFERROR(AE156/(AE$123-AE156),0),IF($G157="After",IFERROR(AE156/AE$123,0),"Check")))</f>
        <v>0</v>
      </c>
      <c r="AF157" s="173">
        <f t="shared" ref="AF157" si="189">++IF(OR($F157="n/a",$G157="n/a"),"n/a",IF($G157="Before",IFERROR(AF156/(AF$123-AF156),0),IF($G157="After",IFERROR(AF156/AF$123,0),"Check")))</f>
        <v>0</v>
      </c>
      <c r="AG157" s="379">
        <f t="shared" ref="AG157" si="190">++IF(OR($F157="n/a",$G157="n/a"),"n/a",IF($G157="Before",IFERROR(AG156/(AG$123-AG156),0),IF($G157="After",IFERROR(AG156/AG$123,0),"Check")))</f>
        <v>0</v>
      </c>
      <c r="AH157" s="173">
        <f t="shared" ref="AH157" si="191">++IF(OR($F157="n/a",$G157="n/a"),"n/a",IF($G157="Before",IFERROR(AH156/(AH$123-AH156),0),IF($G157="After",IFERROR(AH156/AH$123,0),"Check")))</f>
        <v>0</v>
      </c>
      <c r="AI157" s="173">
        <f t="shared" ref="AI157" si="192">++IF(OR($F157="n/a",$G157="n/a"),"n/a",IF($G157="Before",IFERROR(AI156/(AI$123-AI156),0),IF($G157="After",IFERROR(AI156/AI$123,0),"Check")))</f>
        <v>0</v>
      </c>
      <c r="AJ157" s="173">
        <f t="shared" ref="AJ157" si="193">++IF(OR($F157="n/a",$G157="n/a"),"n/a",IF($G157="Before",IFERROR(AJ156/(AJ$123-AJ156),0),IF($G157="After",IFERROR(AJ156/AJ$123,0),"Check")))</f>
        <v>0</v>
      </c>
      <c r="AK157" s="379">
        <f t="shared" ref="AK157" si="194">++IF(OR($F157="n/a",$G157="n/a"),"n/a",IF($G157="Before",IFERROR(AK156/(AK$123-AK156),0),IF($G157="After",IFERROR(AK156/AK$123,0),"Check")))</f>
        <v>0</v>
      </c>
      <c r="AL157" s="173">
        <f t="shared" ref="AL157" si="195">++IF(OR($F157="n/a",$G157="n/a"),"n/a",IF($G157="Before",IFERROR(AL156/(AL$123-AL156),0),IF($G157="After",IFERROR(AL156/AL$123,0),"Check")))</f>
        <v>0</v>
      </c>
      <c r="AM157" s="173">
        <f t="shared" ref="AM157" si="196">++IF(OR($F157="n/a",$G157="n/a"),"n/a",IF($G157="Before",IFERROR(AM156/(AM$123-AM156),0),IF($G157="After",IFERROR(AM156/AM$123,0),"Check")))</f>
        <v>0</v>
      </c>
      <c r="AN157" s="173">
        <f t="shared" ref="AN157" si="197">++IF(OR($F157="n/a",$G157="n/a"),"n/a",IF($G157="Before",IFERROR(AN156/(AN$123-AN156),0),IF($G157="After",IFERROR(AN156/AN$123,0),"Check")))</f>
        <v>0</v>
      </c>
      <c r="AO157" s="379">
        <f t="shared" ref="AO157" si="198">++IF(OR($F157="n/a",$G157="n/a"),"n/a",IF($G157="Before",IFERROR(AO156/(AO$123-AO156),0),IF($G157="After",IFERROR(AO156/AO$123,0),"Check")))</f>
        <v>0</v>
      </c>
    </row>
    <row r="158" spans="1:41" x14ac:dyDescent="0.3">
      <c r="I158" s="203"/>
      <c r="M158" s="203"/>
      <c r="Q158" s="203"/>
      <c r="U158" s="203"/>
      <c r="Y158" s="203"/>
      <c r="AC158" s="203"/>
      <c r="AG158" s="203"/>
      <c r="AK158" s="203"/>
      <c r="AO158" s="203"/>
    </row>
    <row r="159" spans="1:41" x14ac:dyDescent="0.3">
      <c r="I159" s="203"/>
      <c r="M159" s="203"/>
      <c r="Q159" s="203"/>
      <c r="U159" s="203"/>
      <c r="Y159" s="203"/>
      <c r="AC159" s="203"/>
      <c r="AG159" s="203"/>
      <c r="AK159" s="203"/>
      <c r="AO159" s="203"/>
    </row>
    <row r="160" spans="1:41" x14ac:dyDescent="0.3">
      <c r="A160" s="319"/>
      <c r="B160" s="319" t="s">
        <v>0</v>
      </c>
      <c r="C160" s="164" t="s">
        <v>487</v>
      </c>
      <c r="D160" s="367"/>
      <c r="E160" s="367"/>
      <c r="F160" s="367"/>
      <c r="G160" s="367"/>
      <c r="H160" s="367"/>
      <c r="I160" s="367"/>
      <c r="J160" s="367"/>
      <c r="K160" s="367"/>
      <c r="L160" s="367"/>
      <c r="M160" s="367"/>
      <c r="N160" s="367"/>
      <c r="O160" s="367"/>
      <c r="P160" s="367"/>
      <c r="Q160" s="367"/>
      <c r="R160" s="367"/>
      <c r="S160" s="367"/>
      <c r="T160" s="367"/>
      <c r="U160" s="367"/>
      <c r="V160" s="367"/>
      <c r="W160" s="367"/>
      <c r="X160" s="367"/>
      <c r="Y160" s="367"/>
      <c r="Z160" s="367"/>
      <c r="AA160" s="367"/>
      <c r="AB160" s="367"/>
      <c r="AC160" s="367"/>
      <c r="AD160" s="367"/>
      <c r="AE160" s="367"/>
      <c r="AF160" s="367"/>
      <c r="AG160" s="367"/>
      <c r="AH160" s="367"/>
      <c r="AI160" s="367"/>
      <c r="AJ160" s="367"/>
      <c r="AK160" s="367"/>
      <c r="AL160" s="367"/>
      <c r="AM160" s="367"/>
      <c r="AN160" s="367"/>
      <c r="AO160" s="367"/>
    </row>
    <row r="161" spans="3:41" ht="5.15" customHeight="1" x14ac:dyDescent="0.3">
      <c r="I161" s="203"/>
      <c r="M161" s="203"/>
      <c r="Q161" s="203"/>
      <c r="U161" s="203"/>
      <c r="Y161" s="203"/>
      <c r="AC161" s="203"/>
      <c r="AG161" s="203"/>
      <c r="AK161" s="203"/>
      <c r="AO161" s="203"/>
    </row>
    <row r="162" spans="3:41" x14ac:dyDescent="0.3">
      <c r="C162" s="101" t="str">
        <f>++'Financials Input'!C645</f>
        <v>Cash &amp; Equivalents (Reported)</v>
      </c>
      <c r="I162" s="351">
        <f>++INDEX('Financials Input'!$G645:$DC645,1,MATCH(I$3,'Financials Input'!$G$3:$DC$3,0))</f>
        <v>0</v>
      </c>
      <c r="J162" s="352">
        <f>++INDEX('Financials Input'!$G645:$DC645,1,MATCH(J$3,'Financials Input'!$G$3:$DC$3,0))</f>
        <v>0</v>
      </c>
      <c r="K162" s="352">
        <f>++INDEX('Financials Input'!$G645:$DC645,1,MATCH(K$3,'Financials Input'!$G$3:$DC$3,0))</f>
        <v>0</v>
      </c>
      <c r="L162" s="352">
        <f>++INDEX('Financials Input'!$G645:$DC645,1,MATCH(L$3,'Financials Input'!$G$3:$DC$3,0))</f>
        <v>0</v>
      </c>
      <c r="M162" s="351">
        <f>++INDEX('Financials Input'!$G645:$DC645,1,MATCH(M$3,'Financials Input'!$G$3:$DC$3,0))</f>
        <v>0</v>
      </c>
      <c r="N162" s="352">
        <f>++INDEX('Financials Input'!$G645:$DC645,1,MATCH(N$3,'Financials Input'!$G$3:$DC$3,0))</f>
        <v>0</v>
      </c>
      <c r="O162" s="352">
        <f>++INDEX('Financials Input'!$G645:$DC645,1,MATCH(O$3,'Financials Input'!$G$3:$DC$3,0))</f>
        <v>0</v>
      </c>
      <c r="P162" s="352">
        <f>++INDEX('Financials Input'!$G645:$DC645,1,MATCH(P$3,'Financials Input'!$G$3:$DC$3,0))</f>
        <v>0</v>
      </c>
      <c r="Q162" s="351">
        <f>++INDEX('Financials Input'!$G645:$DC645,1,MATCH(Q$3,'Financials Input'!$G$3:$DC$3,0))</f>
        <v>0</v>
      </c>
      <c r="R162" s="352">
        <f>++INDEX('Financials Input'!$G645:$DC645,1,MATCH(R$3,'Financials Input'!$G$3:$DC$3,0))</f>
        <v>0</v>
      </c>
      <c r="S162" s="352">
        <f>++INDEX('Financials Input'!$G645:$DC645,1,MATCH(S$3,'Financials Input'!$G$3:$DC$3,0))</f>
        <v>0</v>
      </c>
      <c r="T162" s="352">
        <f>++INDEX('Financials Input'!$G645:$DC645,1,MATCH(T$3,'Financials Input'!$G$3:$DC$3,0))</f>
        <v>0</v>
      </c>
      <c r="U162" s="351">
        <f>++INDEX('Financials Input'!$G645:$DC645,1,MATCH(U$3,'Financials Input'!$G$3:$DC$3,0))</f>
        <v>0</v>
      </c>
      <c r="V162" s="352">
        <f>++INDEX('Financials Input'!$G645:$DC645,1,MATCH(V$3,'Financials Input'!$G$3:$DC$3,0))</f>
        <v>0</v>
      </c>
      <c r="W162" s="352">
        <f>++INDEX('Financials Input'!$G645:$DC645,1,MATCH(W$3,'Financials Input'!$G$3:$DC$3,0))</f>
        <v>0</v>
      </c>
      <c r="X162" s="352">
        <f>++INDEX('Financials Input'!$G645:$DC645,1,MATCH(X$3,'Financials Input'!$G$3:$DC$3,0))</f>
        <v>0</v>
      </c>
      <c r="Y162" s="351">
        <f>++INDEX('Financials Input'!$G645:$DC645,1,MATCH(Y$3,'Financials Input'!$G$3:$DC$3,0))</f>
        <v>0</v>
      </c>
      <c r="Z162" s="352">
        <f>++INDEX('Financials Input'!$G645:$DC645,1,MATCH(Z$3,'Financials Input'!$G$3:$DC$3,0))</f>
        <v>0</v>
      </c>
      <c r="AA162" s="352">
        <f>++INDEX('Financials Input'!$G645:$DC645,1,MATCH(AA$3,'Financials Input'!$G$3:$DC$3,0))</f>
        <v>0</v>
      </c>
      <c r="AB162" s="352">
        <f>++INDEX('Financials Input'!$G645:$DC645,1,MATCH(AB$3,'Financials Input'!$G$3:$DC$3,0))</f>
        <v>0</v>
      </c>
      <c r="AC162" s="351">
        <f>++INDEX('Financials Input'!$G645:$DC645,1,MATCH(AC$3,'Financials Input'!$G$3:$DC$3,0))</f>
        <v>0</v>
      </c>
      <c r="AD162" s="352">
        <f>++INDEX('Financials Input'!$G645:$DC645,1,MATCH(AD$3,'Financials Input'!$G$3:$DC$3,0))</f>
        <v>0</v>
      </c>
      <c r="AE162" s="352">
        <f>++INDEX('Financials Input'!$G645:$DC645,1,MATCH(AE$3,'Financials Input'!$G$3:$DC$3,0))</f>
        <v>0</v>
      </c>
      <c r="AF162" s="352">
        <f>++INDEX('Financials Input'!$G645:$DC645,1,MATCH(AF$3,'Financials Input'!$G$3:$DC$3,0))</f>
        <v>0</v>
      </c>
      <c r="AG162" s="351">
        <f>++INDEX('Financials Input'!$G645:$DC645,1,MATCH(AG$3,'Financials Input'!$G$3:$DC$3,0))</f>
        <v>0</v>
      </c>
      <c r="AH162" s="352">
        <f>++INDEX('Financials Input'!$G645:$DC645,1,MATCH(AH$3,'Financials Input'!$G$3:$DC$3,0))</f>
        <v>0</v>
      </c>
      <c r="AI162" s="352">
        <f>++INDEX('Financials Input'!$G645:$DC645,1,MATCH(AI$3,'Financials Input'!$G$3:$DC$3,0))</f>
        <v>0</v>
      </c>
      <c r="AJ162" s="352">
        <f>++INDEX('Financials Input'!$G645:$DC645,1,MATCH(AJ$3,'Financials Input'!$G$3:$DC$3,0))</f>
        <v>0</v>
      </c>
      <c r="AK162" s="351">
        <f>++INDEX('Financials Input'!$G645:$DC645,1,MATCH(AK$3,'Financials Input'!$G$3:$DC$3,0))</f>
        <v>0</v>
      </c>
      <c r="AL162" s="352">
        <f>++INDEX('Financials Input'!$G645:$DC645,1,MATCH(AL$3,'Financials Input'!$G$3:$DC$3,0))</f>
        <v>0</v>
      </c>
      <c r="AM162" s="352">
        <f>++INDEX('Financials Input'!$G645:$DC645,1,MATCH(AM$3,'Financials Input'!$G$3:$DC$3,0))</f>
        <v>0</v>
      </c>
      <c r="AN162" s="352">
        <f>++INDEX('Financials Input'!$G645:$DC645,1,MATCH(AN$3,'Financials Input'!$G$3:$DC$3,0))</f>
        <v>0</v>
      </c>
      <c r="AO162" s="351">
        <f>++INDEX('Financials Input'!$G645:$DC645,1,MATCH(AO$3,'Financials Input'!$G$3:$DC$3,0))</f>
        <v>0</v>
      </c>
    </row>
    <row r="163" spans="3:41" x14ac:dyDescent="0.3">
      <c r="C163" s="321" t="str">
        <f>++'Financials Input'!C646</f>
        <v>Cash Netting Floor</v>
      </c>
      <c r="I163" s="419" t="str">
        <f>++INDEX('Financials Input'!$G646:$DC646,1,MATCH(I$3,'Financials Input'!$G$3:$DC$3,0))</f>
        <v>n/a</v>
      </c>
      <c r="J163" s="420" t="str">
        <f>++INDEX('Financials Input'!$G646:$DC646,1,MATCH(J$3,'Financials Input'!$G$3:$DC$3,0))</f>
        <v>n/a</v>
      </c>
      <c r="K163" s="420" t="str">
        <f>++INDEX('Financials Input'!$G646:$DC646,1,MATCH(K$3,'Financials Input'!$G$3:$DC$3,0))</f>
        <v>n/a</v>
      </c>
      <c r="L163" s="420" t="str">
        <f>++INDEX('Financials Input'!$G646:$DC646,1,MATCH(L$3,'Financials Input'!$G$3:$DC$3,0))</f>
        <v>n/a</v>
      </c>
      <c r="M163" s="419" t="str">
        <f>++INDEX('Financials Input'!$G646:$DC646,1,MATCH(M$3,'Financials Input'!$G$3:$DC$3,0))</f>
        <v>n/a</v>
      </c>
      <c r="N163" s="420" t="str">
        <f>++INDEX('Financials Input'!$G646:$DC646,1,MATCH(N$3,'Financials Input'!$G$3:$DC$3,0))</f>
        <v>n/a</v>
      </c>
      <c r="O163" s="420" t="str">
        <f>++INDEX('Financials Input'!$G646:$DC646,1,MATCH(O$3,'Financials Input'!$G$3:$DC$3,0))</f>
        <v>n/a</v>
      </c>
      <c r="P163" s="420" t="str">
        <f>++INDEX('Financials Input'!$G646:$DC646,1,MATCH(P$3,'Financials Input'!$G$3:$DC$3,0))</f>
        <v>n/a</v>
      </c>
      <c r="Q163" s="419" t="str">
        <f>++INDEX('Financials Input'!$G646:$DC646,1,MATCH(Q$3,'Financials Input'!$G$3:$DC$3,0))</f>
        <v>n/a</v>
      </c>
      <c r="R163" s="420" t="str">
        <f>++INDEX('Financials Input'!$G646:$DC646,1,MATCH(R$3,'Financials Input'!$G$3:$DC$3,0))</f>
        <v>n/a</v>
      </c>
      <c r="S163" s="420" t="str">
        <f>++INDEX('Financials Input'!$G646:$DC646,1,MATCH(S$3,'Financials Input'!$G$3:$DC$3,0))</f>
        <v>n/a</v>
      </c>
      <c r="T163" s="420" t="str">
        <f>++INDEX('Financials Input'!$G646:$DC646,1,MATCH(T$3,'Financials Input'!$G$3:$DC$3,0))</f>
        <v>n/a</v>
      </c>
      <c r="U163" s="419" t="str">
        <f>++INDEX('Financials Input'!$G646:$DC646,1,MATCH(U$3,'Financials Input'!$G$3:$DC$3,0))</f>
        <v>n/a</v>
      </c>
      <c r="V163" s="420" t="str">
        <f>++INDEX('Financials Input'!$G646:$DC646,1,MATCH(V$3,'Financials Input'!$G$3:$DC$3,0))</f>
        <v>n/a</v>
      </c>
      <c r="W163" s="420" t="str">
        <f>++INDEX('Financials Input'!$G646:$DC646,1,MATCH(W$3,'Financials Input'!$G$3:$DC$3,0))</f>
        <v>n/a</v>
      </c>
      <c r="X163" s="420" t="str">
        <f>++INDEX('Financials Input'!$G646:$DC646,1,MATCH(X$3,'Financials Input'!$G$3:$DC$3,0))</f>
        <v>n/a</v>
      </c>
      <c r="Y163" s="419" t="str">
        <f>++INDEX('Financials Input'!$G646:$DC646,1,MATCH(Y$3,'Financials Input'!$G$3:$DC$3,0))</f>
        <v>n/a</v>
      </c>
      <c r="Z163" s="420" t="str">
        <f>++INDEX('Financials Input'!$G646:$DC646,1,MATCH(Z$3,'Financials Input'!$G$3:$DC$3,0))</f>
        <v>n/a</v>
      </c>
      <c r="AA163" s="420" t="str">
        <f>++INDEX('Financials Input'!$G646:$DC646,1,MATCH(AA$3,'Financials Input'!$G$3:$DC$3,0))</f>
        <v>n/a</v>
      </c>
      <c r="AB163" s="420" t="str">
        <f>++INDEX('Financials Input'!$G646:$DC646,1,MATCH(AB$3,'Financials Input'!$G$3:$DC$3,0))</f>
        <v>n/a</v>
      </c>
      <c r="AC163" s="419" t="str">
        <f>++INDEX('Financials Input'!$G646:$DC646,1,MATCH(AC$3,'Financials Input'!$G$3:$DC$3,0))</f>
        <v>n/a</v>
      </c>
      <c r="AD163" s="420" t="str">
        <f>++INDEX('Financials Input'!$G646:$DC646,1,MATCH(AD$3,'Financials Input'!$G$3:$DC$3,0))</f>
        <v>n/a</v>
      </c>
      <c r="AE163" s="420" t="str">
        <f>++INDEX('Financials Input'!$G646:$DC646,1,MATCH(AE$3,'Financials Input'!$G$3:$DC$3,0))</f>
        <v>n/a</v>
      </c>
      <c r="AF163" s="420" t="str">
        <f>++INDEX('Financials Input'!$G646:$DC646,1,MATCH(AF$3,'Financials Input'!$G$3:$DC$3,0))</f>
        <v>n/a</v>
      </c>
      <c r="AG163" s="419" t="str">
        <f>++INDEX('Financials Input'!$G646:$DC646,1,MATCH(AG$3,'Financials Input'!$G$3:$DC$3,0))</f>
        <v>n/a</v>
      </c>
      <c r="AH163" s="420" t="str">
        <f>++INDEX('Financials Input'!$G646:$DC646,1,MATCH(AH$3,'Financials Input'!$G$3:$DC$3,0))</f>
        <v>n/a</v>
      </c>
      <c r="AI163" s="420" t="str">
        <f>++INDEX('Financials Input'!$G646:$DC646,1,MATCH(AI$3,'Financials Input'!$G$3:$DC$3,0))</f>
        <v>n/a</v>
      </c>
      <c r="AJ163" s="420" t="str">
        <f>++INDEX('Financials Input'!$G646:$DC646,1,MATCH(AJ$3,'Financials Input'!$G$3:$DC$3,0))</f>
        <v>n/a</v>
      </c>
      <c r="AK163" s="419" t="str">
        <f>++INDEX('Financials Input'!$G646:$DC646,1,MATCH(AK$3,'Financials Input'!$G$3:$DC$3,0))</f>
        <v>n/a</v>
      </c>
      <c r="AL163" s="420" t="str">
        <f>++INDEX('Financials Input'!$G646:$DC646,1,MATCH(AL$3,'Financials Input'!$G$3:$DC$3,0))</f>
        <v>n/a</v>
      </c>
      <c r="AM163" s="420" t="str">
        <f>++INDEX('Financials Input'!$G646:$DC646,1,MATCH(AM$3,'Financials Input'!$G$3:$DC$3,0))</f>
        <v>n/a</v>
      </c>
      <c r="AN163" s="420" t="str">
        <f>++INDEX('Financials Input'!$G646:$DC646,1,MATCH(AN$3,'Financials Input'!$G$3:$DC$3,0))</f>
        <v>n/a</v>
      </c>
      <c r="AO163" s="419" t="str">
        <f>++INDEX('Financials Input'!$G646:$DC646,1,MATCH(AO$3,'Financials Input'!$G$3:$DC$3,0))</f>
        <v>n/a</v>
      </c>
    </row>
    <row r="164" spans="3:41" x14ac:dyDescent="0.3">
      <c r="C164" s="321" t="str">
        <f>++'Financials Input'!C647</f>
        <v>Cash Netting Cap</v>
      </c>
      <c r="I164" s="419" t="str">
        <f>++INDEX('Financials Input'!$G647:$DC647,1,MATCH(I$3,'Financials Input'!$G$3:$DC$3,0))</f>
        <v>n/a</v>
      </c>
      <c r="J164" s="420" t="str">
        <f>++INDEX('Financials Input'!$G647:$DC647,1,MATCH(J$3,'Financials Input'!$G$3:$DC$3,0))</f>
        <v>n/a</v>
      </c>
      <c r="K164" s="420" t="str">
        <f>++INDEX('Financials Input'!$G647:$DC647,1,MATCH(K$3,'Financials Input'!$G$3:$DC$3,0))</f>
        <v>n/a</v>
      </c>
      <c r="L164" s="420" t="str">
        <f>++INDEX('Financials Input'!$G647:$DC647,1,MATCH(L$3,'Financials Input'!$G$3:$DC$3,0))</f>
        <v>n/a</v>
      </c>
      <c r="M164" s="419" t="str">
        <f>++INDEX('Financials Input'!$G647:$DC647,1,MATCH(M$3,'Financials Input'!$G$3:$DC$3,0))</f>
        <v>n/a</v>
      </c>
      <c r="N164" s="420" t="str">
        <f>++INDEX('Financials Input'!$G647:$DC647,1,MATCH(N$3,'Financials Input'!$G$3:$DC$3,0))</f>
        <v>n/a</v>
      </c>
      <c r="O164" s="420" t="str">
        <f>++INDEX('Financials Input'!$G647:$DC647,1,MATCH(O$3,'Financials Input'!$G$3:$DC$3,0))</f>
        <v>n/a</v>
      </c>
      <c r="P164" s="420" t="str">
        <f>++INDEX('Financials Input'!$G647:$DC647,1,MATCH(P$3,'Financials Input'!$G$3:$DC$3,0))</f>
        <v>n/a</v>
      </c>
      <c r="Q164" s="419" t="str">
        <f>++INDEX('Financials Input'!$G647:$DC647,1,MATCH(Q$3,'Financials Input'!$G$3:$DC$3,0))</f>
        <v>n/a</v>
      </c>
      <c r="R164" s="420" t="str">
        <f>++INDEX('Financials Input'!$G647:$DC647,1,MATCH(R$3,'Financials Input'!$G$3:$DC$3,0))</f>
        <v>n/a</v>
      </c>
      <c r="S164" s="420" t="str">
        <f>++INDEX('Financials Input'!$G647:$DC647,1,MATCH(S$3,'Financials Input'!$G$3:$DC$3,0))</f>
        <v>n/a</v>
      </c>
      <c r="T164" s="420" t="str">
        <f>++INDEX('Financials Input'!$G647:$DC647,1,MATCH(T$3,'Financials Input'!$G$3:$DC$3,0))</f>
        <v>n/a</v>
      </c>
      <c r="U164" s="419" t="str">
        <f>++INDEX('Financials Input'!$G647:$DC647,1,MATCH(U$3,'Financials Input'!$G$3:$DC$3,0))</f>
        <v>n/a</v>
      </c>
      <c r="V164" s="420" t="str">
        <f>++INDEX('Financials Input'!$G647:$DC647,1,MATCH(V$3,'Financials Input'!$G$3:$DC$3,0))</f>
        <v>n/a</v>
      </c>
      <c r="W164" s="420" t="str">
        <f>++INDEX('Financials Input'!$G647:$DC647,1,MATCH(W$3,'Financials Input'!$G$3:$DC$3,0))</f>
        <v>n/a</v>
      </c>
      <c r="X164" s="420" t="str">
        <f>++INDEX('Financials Input'!$G647:$DC647,1,MATCH(X$3,'Financials Input'!$G$3:$DC$3,0))</f>
        <v>n/a</v>
      </c>
      <c r="Y164" s="419" t="str">
        <f>++INDEX('Financials Input'!$G647:$DC647,1,MATCH(Y$3,'Financials Input'!$G$3:$DC$3,0))</f>
        <v>n/a</v>
      </c>
      <c r="Z164" s="420" t="str">
        <f>++INDEX('Financials Input'!$G647:$DC647,1,MATCH(Z$3,'Financials Input'!$G$3:$DC$3,0))</f>
        <v>n/a</v>
      </c>
      <c r="AA164" s="420" t="str">
        <f>++INDEX('Financials Input'!$G647:$DC647,1,MATCH(AA$3,'Financials Input'!$G$3:$DC$3,0))</f>
        <v>n/a</v>
      </c>
      <c r="AB164" s="420" t="str">
        <f>++INDEX('Financials Input'!$G647:$DC647,1,MATCH(AB$3,'Financials Input'!$G$3:$DC$3,0))</f>
        <v>n/a</v>
      </c>
      <c r="AC164" s="419" t="str">
        <f>++INDEX('Financials Input'!$G647:$DC647,1,MATCH(AC$3,'Financials Input'!$G$3:$DC$3,0))</f>
        <v>n/a</v>
      </c>
      <c r="AD164" s="420" t="str">
        <f>++INDEX('Financials Input'!$G647:$DC647,1,MATCH(AD$3,'Financials Input'!$G$3:$DC$3,0))</f>
        <v>n/a</v>
      </c>
      <c r="AE164" s="420" t="str">
        <f>++INDEX('Financials Input'!$G647:$DC647,1,MATCH(AE$3,'Financials Input'!$G$3:$DC$3,0))</f>
        <v>n/a</v>
      </c>
      <c r="AF164" s="420" t="str">
        <f>++INDEX('Financials Input'!$G647:$DC647,1,MATCH(AF$3,'Financials Input'!$G$3:$DC$3,0))</f>
        <v>n/a</v>
      </c>
      <c r="AG164" s="419" t="str">
        <f>++INDEX('Financials Input'!$G647:$DC647,1,MATCH(AG$3,'Financials Input'!$G$3:$DC$3,0))</f>
        <v>n/a</v>
      </c>
      <c r="AH164" s="420" t="str">
        <f>++INDEX('Financials Input'!$G647:$DC647,1,MATCH(AH$3,'Financials Input'!$G$3:$DC$3,0))</f>
        <v>n/a</v>
      </c>
      <c r="AI164" s="420" t="str">
        <f>++INDEX('Financials Input'!$G647:$DC647,1,MATCH(AI$3,'Financials Input'!$G$3:$DC$3,0))</f>
        <v>n/a</v>
      </c>
      <c r="AJ164" s="420" t="str">
        <f>++INDEX('Financials Input'!$G647:$DC647,1,MATCH(AJ$3,'Financials Input'!$G$3:$DC$3,0))</f>
        <v>n/a</v>
      </c>
      <c r="AK164" s="419" t="str">
        <f>++INDEX('Financials Input'!$G647:$DC647,1,MATCH(AK$3,'Financials Input'!$G$3:$DC$3,0))</f>
        <v>n/a</v>
      </c>
      <c r="AL164" s="420" t="str">
        <f>++INDEX('Financials Input'!$G647:$DC647,1,MATCH(AL$3,'Financials Input'!$G$3:$DC$3,0))</f>
        <v>n/a</v>
      </c>
      <c r="AM164" s="420" t="str">
        <f>++INDEX('Financials Input'!$G647:$DC647,1,MATCH(AM$3,'Financials Input'!$G$3:$DC$3,0))</f>
        <v>n/a</v>
      </c>
      <c r="AN164" s="420" t="str">
        <f>++INDEX('Financials Input'!$G647:$DC647,1,MATCH(AN$3,'Financials Input'!$G$3:$DC$3,0))</f>
        <v>n/a</v>
      </c>
      <c r="AO164" s="419" t="str">
        <f>++INDEX('Financials Input'!$G647:$DC647,1,MATCH(AO$3,'Financials Input'!$G$3:$DC$3,0))</f>
        <v>n/a</v>
      </c>
    </row>
    <row r="165" spans="3:41" x14ac:dyDescent="0.3">
      <c r="I165" s="203"/>
      <c r="M165" s="203"/>
      <c r="Q165" s="203"/>
      <c r="U165" s="203"/>
      <c r="Y165" s="203"/>
      <c r="AC165" s="203"/>
      <c r="AG165" s="203"/>
      <c r="AK165" s="203"/>
      <c r="AO165" s="203"/>
    </row>
    <row r="166" spans="3:41" x14ac:dyDescent="0.3">
      <c r="C166" s="101" t="str">
        <f>++'Financials Input'!C649</f>
        <v>Cash &amp; Equivalents (CA Definition)</v>
      </c>
      <c r="I166" s="351">
        <f>++INDEX('Financials Input'!$G649:$DC649,1,MATCH(I$3,'Financials Input'!$G$3:$DC$3,0))</f>
        <v>0</v>
      </c>
      <c r="J166" s="352">
        <f>++INDEX('Financials Input'!$G649:$DC649,1,MATCH(J$3,'Financials Input'!$G$3:$DC$3,0))</f>
        <v>0</v>
      </c>
      <c r="K166" s="352">
        <f>++INDEX('Financials Input'!$G649:$DC649,1,MATCH(K$3,'Financials Input'!$G$3:$DC$3,0))</f>
        <v>0</v>
      </c>
      <c r="L166" s="352">
        <f>++INDEX('Financials Input'!$G649:$DC649,1,MATCH(L$3,'Financials Input'!$G$3:$DC$3,0))</f>
        <v>0</v>
      </c>
      <c r="M166" s="351">
        <f>++INDEX('Financials Input'!$G649:$DC649,1,MATCH(M$3,'Financials Input'!$G$3:$DC$3,0))</f>
        <v>0</v>
      </c>
      <c r="N166" s="352">
        <f>++INDEX('Financials Input'!$G649:$DC649,1,MATCH(N$3,'Financials Input'!$G$3:$DC$3,0))</f>
        <v>0</v>
      </c>
      <c r="O166" s="352">
        <f>++INDEX('Financials Input'!$G649:$DC649,1,MATCH(O$3,'Financials Input'!$G$3:$DC$3,0))</f>
        <v>0</v>
      </c>
      <c r="P166" s="352">
        <f>++INDEX('Financials Input'!$G649:$DC649,1,MATCH(P$3,'Financials Input'!$G$3:$DC$3,0))</f>
        <v>0</v>
      </c>
      <c r="Q166" s="351">
        <f>++INDEX('Financials Input'!$G649:$DC649,1,MATCH(Q$3,'Financials Input'!$G$3:$DC$3,0))</f>
        <v>0</v>
      </c>
      <c r="R166" s="352">
        <f>++INDEX('Financials Input'!$G649:$DC649,1,MATCH(R$3,'Financials Input'!$G$3:$DC$3,0))</f>
        <v>0</v>
      </c>
      <c r="S166" s="352">
        <f>++INDEX('Financials Input'!$G649:$DC649,1,MATCH(S$3,'Financials Input'!$G$3:$DC$3,0))</f>
        <v>0</v>
      </c>
      <c r="T166" s="352">
        <f>++INDEX('Financials Input'!$G649:$DC649,1,MATCH(T$3,'Financials Input'!$G$3:$DC$3,0))</f>
        <v>0</v>
      </c>
      <c r="U166" s="351">
        <f>++INDEX('Financials Input'!$G649:$DC649,1,MATCH(U$3,'Financials Input'!$G$3:$DC$3,0))</f>
        <v>0</v>
      </c>
      <c r="V166" s="352">
        <f>++INDEX('Financials Input'!$G649:$DC649,1,MATCH(V$3,'Financials Input'!$G$3:$DC$3,0))</f>
        <v>0</v>
      </c>
      <c r="W166" s="352">
        <f>++INDEX('Financials Input'!$G649:$DC649,1,MATCH(W$3,'Financials Input'!$G$3:$DC$3,0))</f>
        <v>0</v>
      </c>
      <c r="X166" s="352">
        <f>++INDEX('Financials Input'!$G649:$DC649,1,MATCH(X$3,'Financials Input'!$G$3:$DC$3,0))</f>
        <v>0</v>
      </c>
      <c r="Y166" s="351">
        <f>++INDEX('Financials Input'!$G649:$DC649,1,MATCH(Y$3,'Financials Input'!$G$3:$DC$3,0))</f>
        <v>0</v>
      </c>
      <c r="Z166" s="352">
        <f>++INDEX('Financials Input'!$G649:$DC649,1,MATCH(Z$3,'Financials Input'!$G$3:$DC$3,0))</f>
        <v>0</v>
      </c>
      <c r="AA166" s="352">
        <f>++INDEX('Financials Input'!$G649:$DC649,1,MATCH(AA$3,'Financials Input'!$G$3:$DC$3,0))</f>
        <v>0</v>
      </c>
      <c r="AB166" s="352">
        <f>++INDEX('Financials Input'!$G649:$DC649,1,MATCH(AB$3,'Financials Input'!$G$3:$DC$3,0))</f>
        <v>0</v>
      </c>
      <c r="AC166" s="351">
        <f>++INDEX('Financials Input'!$G649:$DC649,1,MATCH(AC$3,'Financials Input'!$G$3:$DC$3,0))</f>
        <v>0</v>
      </c>
      <c r="AD166" s="352">
        <f>++INDEX('Financials Input'!$G649:$DC649,1,MATCH(AD$3,'Financials Input'!$G$3:$DC$3,0))</f>
        <v>0</v>
      </c>
      <c r="AE166" s="352">
        <f>++INDEX('Financials Input'!$G649:$DC649,1,MATCH(AE$3,'Financials Input'!$G$3:$DC$3,0))</f>
        <v>0</v>
      </c>
      <c r="AF166" s="352">
        <f>++INDEX('Financials Input'!$G649:$DC649,1,MATCH(AF$3,'Financials Input'!$G$3:$DC$3,0))</f>
        <v>0</v>
      </c>
      <c r="AG166" s="351">
        <f>++INDEX('Financials Input'!$G649:$DC649,1,MATCH(AG$3,'Financials Input'!$G$3:$DC$3,0))</f>
        <v>0</v>
      </c>
      <c r="AH166" s="352">
        <f>++INDEX('Financials Input'!$G649:$DC649,1,MATCH(AH$3,'Financials Input'!$G$3:$DC$3,0))</f>
        <v>0</v>
      </c>
      <c r="AI166" s="352">
        <f>++INDEX('Financials Input'!$G649:$DC649,1,MATCH(AI$3,'Financials Input'!$G$3:$DC$3,0))</f>
        <v>0</v>
      </c>
      <c r="AJ166" s="352">
        <f>++INDEX('Financials Input'!$G649:$DC649,1,MATCH(AJ$3,'Financials Input'!$G$3:$DC$3,0))</f>
        <v>0</v>
      </c>
      <c r="AK166" s="351">
        <f>++INDEX('Financials Input'!$G649:$DC649,1,MATCH(AK$3,'Financials Input'!$G$3:$DC$3,0))</f>
        <v>0</v>
      </c>
      <c r="AL166" s="352">
        <f>++INDEX('Financials Input'!$G649:$DC649,1,MATCH(AL$3,'Financials Input'!$G$3:$DC$3,0))</f>
        <v>0</v>
      </c>
      <c r="AM166" s="352">
        <f>++INDEX('Financials Input'!$G649:$DC649,1,MATCH(AM$3,'Financials Input'!$G$3:$DC$3,0))</f>
        <v>0</v>
      </c>
      <c r="AN166" s="352">
        <f>++INDEX('Financials Input'!$G649:$DC649,1,MATCH(AN$3,'Financials Input'!$G$3:$DC$3,0))</f>
        <v>0</v>
      </c>
      <c r="AO166" s="351">
        <f>++INDEX('Financials Input'!$G649:$DC649,1,MATCH(AO$3,'Financials Input'!$G$3:$DC$3,0))</f>
        <v>0</v>
      </c>
    </row>
    <row r="167" spans="3:41" x14ac:dyDescent="0.3">
      <c r="I167" s="203"/>
      <c r="M167" s="203"/>
      <c r="Q167" s="203"/>
      <c r="U167" s="203"/>
      <c r="Y167" s="203"/>
      <c r="AC167" s="203"/>
      <c r="AG167" s="203"/>
      <c r="AK167" s="203"/>
      <c r="AO167" s="203"/>
    </row>
    <row r="168" spans="3:41" x14ac:dyDescent="0.3">
      <c r="C168" s="342" t="str">
        <f>++'Financials Input'!C651</f>
        <v>ABL Revolver ($0.0MM)</v>
      </c>
      <c r="I168" s="381">
        <f>++INDEX('Financials Input'!$G651:$DC651,1,MATCH(I$3,'Financials Input'!$G$3:$DC$3,0))</f>
        <v>0</v>
      </c>
      <c r="J168" s="382">
        <f>++INDEX('Financials Input'!$G651:$DC651,1,MATCH(J$3,'Financials Input'!$G$3:$DC$3,0))</f>
        <v>0</v>
      </c>
      <c r="K168" s="382">
        <f>++INDEX('Financials Input'!$G651:$DC651,1,MATCH(K$3,'Financials Input'!$G$3:$DC$3,0))</f>
        <v>0</v>
      </c>
      <c r="L168" s="382">
        <f>++INDEX('Financials Input'!$G651:$DC651,1,MATCH(L$3,'Financials Input'!$G$3:$DC$3,0))</f>
        <v>0</v>
      </c>
      <c r="M168" s="381">
        <f>++INDEX('Financials Input'!$G651:$DC651,1,MATCH(M$3,'Financials Input'!$G$3:$DC$3,0))</f>
        <v>0</v>
      </c>
      <c r="N168" s="382">
        <f>++INDEX('Financials Input'!$G651:$DC651,1,MATCH(N$3,'Financials Input'!$G$3:$DC$3,0))</f>
        <v>0</v>
      </c>
      <c r="O168" s="382">
        <f>++INDEX('Financials Input'!$G651:$DC651,1,MATCH(O$3,'Financials Input'!$G$3:$DC$3,0))</f>
        <v>0</v>
      </c>
      <c r="P168" s="382">
        <f>++INDEX('Financials Input'!$G651:$DC651,1,MATCH(P$3,'Financials Input'!$G$3:$DC$3,0))</f>
        <v>0</v>
      </c>
      <c r="Q168" s="381">
        <f>++INDEX('Financials Input'!$G651:$DC651,1,MATCH(Q$3,'Financials Input'!$G$3:$DC$3,0))</f>
        <v>0</v>
      </c>
      <c r="R168" s="382">
        <f>++INDEX('Financials Input'!$G651:$DC651,1,MATCH(R$3,'Financials Input'!$G$3:$DC$3,0))</f>
        <v>0</v>
      </c>
      <c r="S168" s="382">
        <f>++INDEX('Financials Input'!$G651:$DC651,1,MATCH(S$3,'Financials Input'!$G$3:$DC$3,0))</f>
        <v>0</v>
      </c>
      <c r="T168" s="382">
        <f>++INDEX('Financials Input'!$G651:$DC651,1,MATCH(T$3,'Financials Input'!$G$3:$DC$3,0))</f>
        <v>0</v>
      </c>
      <c r="U168" s="381">
        <f>++INDEX('Financials Input'!$G651:$DC651,1,MATCH(U$3,'Financials Input'!$G$3:$DC$3,0))</f>
        <v>0</v>
      </c>
      <c r="V168" s="382">
        <f>++INDEX('Financials Input'!$G651:$DC651,1,MATCH(V$3,'Financials Input'!$G$3:$DC$3,0))</f>
        <v>0</v>
      </c>
      <c r="W168" s="382">
        <f>++INDEX('Financials Input'!$G651:$DC651,1,MATCH(W$3,'Financials Input'!$G$3:$DC$3,0))</f>
        <v>0</v>
      </c>
      <c r="X168" s="382">
        <f>++INDEX('Financials Input'!$G651:$DC651,1,MATCH(X$3,'Financials Input'!$G$3:$DC$3,0))</f>
        <v>0</v>
      </c>
      <c r="Y168" s="381">
        <f>++INDEX('Financials Input'!$G651:$DC651,1,MATCH(Y$3,'Financials Input'!$G$3:$DC$3,0))</f>
        <v>0</v>
      </c>
      <c r="Z168" s="382">
        <f>++INDEX('Financials Input'!$G651:$DC651,1,MATCH(Z$3,'Financials Input'!$G$3:$DC$3,0))</f>
        <v>0</v>
      </c>
      <c r="AA168" s="382">
        <f>++INDEX('Financials Input'!$G651:$DC651,1,MATCH(AA$3,'Financials Input'!$G$3:$DC$3,0))</f>
        <v>0</v>
      </c>
      <c r="AB168" s="382">
        <f>++INDEX('Financials Input'!$G651:$DC651,1,MATCH(AB$3,'Financials Input'!$G$3:$DC$3,0))</f>
        <v>0</v>
      </c>
      <c r="AC168" s="381">
        <f>++INDEX('Financials Input'!$G651:$DC651,1,MATCH(AC$3,'Financials Input'!$G$3:$DC$3,0))</f>
        <v>0</v>
      </c>
      <c r="AD168" s="382">
        <f>++INDEX('Financials Input'!$G651:$DC651,1,MATCH(AD$3,'Financials Input'!$G$3:$DC$3,0))</f>
        <v>0</v>
      </c>
      <c r="AE168" s="382">
        <f>++INDEX('Financials Input'!$G651:$DC651,1,MATCH(AE$3,'Financials Input'!$G$3:$DC$3,0))</f>
        <v>0</v>
      </c>
      <c r="AF168" s="382">
        <f>++INDEX('Financials Input'!$G651:$DC651,1,MATCH(AF$3,'Financials Input'!$G$3:$DC$3,0))</f>
        <v>0</v>
      </c>
      <c r="AG168" s="381">
        <f>++INDEX('Financials Input'!$G651:$DC651,1,MATCH(AG$3,'Financials Input'!$G$3:$DC$3,0))</f>
        <v>0</v>
      </c>
      <c r="AH168" s="382">
        <f>++INDEX('Financials Input'!$G651:$DC651,1,MATCH(AH$3,'Financials Input'!$G$3:$DC$3,0))</f>
        <v>0</v>
      </c>
      <c r="AI168" s="382">
        <f>++INDEX('Financials Input'!$G651:$DC651,1,MATCH(AI$3,'Financials Input'!$G$3:$DC$3,0))</f>
        <v>0</v>
      </c>
      <c r="AJ168" s="382">
        <f>++INDEX('Financials Input'!$G651:$DC651,1,MATCH(AJ$3,'Financials Input'!$G$3:$DC$3,0))</f>
        <v>0</v>
      </c>
      <c r="AK168" s="381">
        <f>++INDEX('Financials Input'!$G651:$DC651,1,MATCH(AK$3,'Financials Input'!$G$3:$DC$3,0))</f>
        <v>0</v>
      </c>
      <c r="AL168" s="382">
        <f>++INDEX('Financials Input'!$G651:$DC651,1,MATCH(AL$3,'Financials Input'!$G$3:$DC$3,0))</f>
        <v>0</v>
      </c>
      <c r="AM168" s="382">
        <f>++INDEX('Financials Input'!$G651:$DC651,1,MATCH(AM$3,'Financials Input'!$G$3:$DC$3,0))</f>
        <v>0</v>
      </c>
      <c r="AN168" s="382">
        <f>++INDEX('Financials Input'!$G651:$DC651,1,MATCH(AN$3,'Financials Input'!$G$3:$DC$3,0))</f>
        <v>0</v>
      </c>
      <c r="AO168" s="381">
        <f>++INDEX('Financials Input'!$G651:$DC651,1,MATCH(AO$3,'Financials Input'!$G$3:$DC$3,0))</f>
        <v>0</v>
      </c>
    </row>
    <row r="169" spans="3:41" x14ac:dyDescent="0.3">
      <c r="C169" s="342" t="str">
        <f>++'Financials Input'!C652</f>
        <v>Priority Revolver ($0.0MM)</v>
      </c>
      <c r="I169" s="381">
        <f>++INDEX('Financials Input'!$G652:$DC652,1,MATCH(I$3,'Financials Input'!$G$3:$DC$3,0))</f>
        <v>0</v>
      </c>
      <c r="J169" s="382">
        <f>++INDEX('Financials Input'!$G652:$DC652,1,MATCH(J$3,'Financials Input'!$G$3:$DC$3,0))</f>
        <v>0</v>
      </c>
      <c r="K169" s="382">
        <f>++INDEX('Financials Input'!$G652:$DC652,1,MATCH(K$3,'Financials Input'!$G$3:$DC$3,0))</f>
        <v>0</v>
      </c>
      <c r="L169" s="382">
        <f>++INDEX('Financials Input'!$G652:$DC652,1,MATCH(L$3,'Financials Input'!$G$3:$DC$3,0))</f>
        <v>0</v>
      </c>
      <c r="M169" s="381">
        <f>++INDEX('Financials Input'!$G652:$DC652,1,MATCH(M$3,'Financials Input'!$G$3:$DC$3,0))</f>
        <v>0</v>
      </c>
      <c r="N169" s="382">
        <f>++INDEX('Financials Input'!$G652:$DC652,1,MATCH(N$3,'Financials Input'!$G$3:$DC$3,0))</f>
        <v>0</v>
      </c>
      <c r="O169" s="382">
        <f>++INDEX('Financials Input'!$G652:$DC652,1,MATCH(O$3,'Financials Input'!$G$3:$DC$3,0))</f>
        <v>0</v>
      </c>
      <c r="P169" s="382">
        <f>++INDEX('Financials Input'!$G652:$DC652,1,MATCH(P$3,'Financials Input'!$G$3:$DC$3,0))</f>
        <v>0</v>
      </c>
      <c r="Q169" s="381">
        <f>++INDEX('Financials Input'!$G652:$DC652,1,MATCH(Q$3,'Financials Input'!$G$3:$DC$3,0))</f>
        <v>0</v>
      </c>
      <c r="R169" s="382">
        <f>++INDEX('Financials Input'!$G652:$DC652,1,MATCH(R$3,'Financials Input'!$G$3:$DC$3,0))</f>
        <v>0</v>
      </c>
      <c r="S169" s="382">
        <f>++INDEX('Financials Input'!$G652:$DC652,1,MATCH(S$3,'Financials Input'!$G$3:$DC$3,0))</f>
        <v>0</v>
      </c>
      <c r="T169" s="382">
        <f>++INDEX('Financials Input'!$G652:$DC652,1,MATCH(T$3,'Financials Input'!$G$3:$DC$3,0))</f>
        <v>0</v>
      </c>
      <c r="U169" s="381">
        <f>++INDEX('Financials Input'!$G652:$DC652,1,MATCH(U$3,'Financials Input'!$G$3:$DC$3,0))</f>
        <v>0</v>
      </c>
      <c r="V169" s="382">
        <f>++INDEX('Financials Input'!$G652:$DC652,1,MATCH(V$3,'Financials Input'!$G$3:$DC$3,0))</f>
        <v>0</v>
      </c>
      <c r="W169" s="382">
        <f>++INDEX('Financials Input'!$G652:$DC652,1,MATCH(W$3,'Financials Input'!$G$3:$DC$3,0))</f>
        <v>0</v>
      </c>
      <c r="X169" s="382">
        <f>++INDEX('Financials Input'!$G652:$DC652,1,MATCH(X$3,'Financials Input'!$G$3:$DC$3,0))</f>
        <v>0</v>
      </c>
      <c r="Y169" s="381">
        <f>++INDEX('Financials Input'!$G652:$DC652,1,MATCH(Y$3,'Financials Input'!$G$3:$DC$3,0))</f>
        <v>0</v>
      </c>
      <c r="Z169" s="382">
        <f>++INDEX('Financials Input'!$G652:$DC652,1,MATCH(Z$3,'Financials Input'!$G$3:$DC$3,0))</f>
        <v>0</v>
      </c>
      <c r="AA169" s="382">
        <f>++INDEX('Financials Input'!$G652:$DC652,1,MATCH(AA$3,'Financials Input'!$G$3:$DC$3,0))</f>
        <v>0</v>
      </c>
      <c r="AB169" s="382">
        <f>++INDEX('Financials Input'!$G652:$DC652,1,MATCH(AB$3,'Financials Input'!$G$3:$DC$3,0))</f>
        <v>0</v>
      </c>
      <c r="AC169" s="381">
        <f>++INDEX('Financials Input'!$G652:$DC652,1,MATCH(AC$3,'Financials Input'!$G$3:$DC$3,0))</f>
        <v>0</v>
      </c>
      <c r="AD169" s="382">
        <f>++INDEX('Financials Input'!$G652:$DC652,1,MATCH(AD$3,'Financials Input'!$G$3:$DC$3,0))</f>
        <v>0</v>
      </c>
      <c r="AE169" s="382">
        <f>++INDEX('Financials Input'!$G652:$DC652,1,MATCH(AE$3,'Financials Input'!$G$3:$DC$3,0))</f>
        <v>0</v>
      </c>
      <c r="AF169" s="382">
        <f>++INDEX('Financials Input'!$G652:$DC652,1,MATCH(AF$3,'Financials Input'!$G$3:$DC$3,0))</f>
        <v>0</v>
      </c>
      <c r="AG169" s="381">
        <f>++INDEX('Financials Input'!$G652:$DC652,1,MATCH(AG$3,'Financials Input'!$G$3:$DC$3,0))</f>
        <v>0</v>
      </c>
      <c r="AH169" s="382">
        <f>++INDEX('Financials Input'!$G652:$DC652,1,MATCH(AH$3,'Financials Input'!$G$3:$DC$3,0))</f>
        <v>0</v>
      </c>
      <c r="AI169" s="382">
        <f>++INDEX('Financials Input'!$G652:$DC652,1,MATCH(AI$3,'Financials Input'!$G$3:$DC$3,0))</f>
        <v>0</v>
      </c>
      <c r="AJ169" s="382">
        <f>++INDEX('Financials Input'!$G652:$DC652,1,MATCH(AJ$3,'Financials Input'!$G$3:$DC$3,0))</f>
        <v>0</v>
      </c>
      <c r="AK169" s="381">
        <f>++INDEX('Financials Input'!$G652:$DC652,1,MATCH(AK$3,'Financials Input'!$G$3:$DC$3,0))</f>
        <v>0</v>
      </c>
      <c r="AL169" s="382">
        <f>++INDEX('Financials Input'!$G652:$DC652,1,MATCH(AL$3,'Financials Input'!$G$3:$DC$3,0))</f>
        <v>0</v>
      </c>
      <c r="AM169" s="382">
        <f>++INDEX('Financials Input'!$G652:$DC652,1,MATCH(AM$3,'Financials Input'!$G$3:$DC$3,0))</f>
        <v>0</v>
      </c>
      <c r="AN169" s="382">
        <f>++INDEX('Financials Input'!$G652:$DC652,1,MATCH(AN$3,'Financials Input'!$G$3:$DC$3,0))</f>
        <v>0</v>
      </c>
      <c r="AO169" s="381">
        <f>++INDEX('Financials Input'!$G652:$DC652,1,MATCH(AO$3,'Financials Input'!$G$3:$DC$3,0))</f>
        <v>0</v>
      </c>
    </row>
    <row r="170" spans="3:41" x14ac:dyDescent="0.3">
      <c r="C170" s="342" t="str">
        <f>++'Financials Input'!C653</f>
        <v>First Lien Term Loan</v>
      </c>
      <c r="I170" s="381">
        <f>++INDEX('Financials Input'!$G653:$DC653,1,MATCH(I$3,'Financials Input'!$G$3:$DC$3,0))</f>
        <v>0</v>
      </c>
      <c r="J170" s="382">
        <f>++INDEX('Financials Input'!$G653:$DC653,1,MATCH(J$3,'Financials Input'!$G$3:$DC$3,0))</f>
        <v>0</v>
      </c>
      <c r="K170" s="382">
        <f>++INDEX('Financials Input'!$G653:$DC653,1,MATCH(K$3,'Financials Input'!$G$3:$DC$3,0))</f>
        <v>0</v>
      </c>
      <c r="L170" s="382">
        <f>++INDEX('Financials Input'!$G653:$DC653,1,MATCH(L$3,'Financials Input'!$G$3:$DC$3,0))</f>
        <v>0</v>
      </c>
      <c r="M170" s="381">
        <f>++INDEX('Financials Input'!$G653:$DC653,1,MATCH(M$3,'Financials Input'!$G$3:$DC$3,0))</f>
        <v>0</v>
      </c>
      <c r="N170" s="382">
        <f>++INDEX('Financials Input'!$G653:$DC653,1,MATCH(N$3,'Financials Input'!$G$3:$DC$3,0))</f>
        <v>0</v>
      </c>
      <c r="O170" s="382">
        <f>++INDEX('Financials Input'!$G653:$DC653,1,MATCH(O$3,'Financials Input'!$G$3:$DC$3,0))</f>
        <v>0</v>
      </c>
      <c r="P170" s="382">
        <f>++INDEX('Financials Input'!$G653:$DC653,1,MATCH(P$3,'Financials Input'!$G$3:$DC$3,0))</f>
        <v>0</v>
      </c>
      <c r="Q170" s="381">
        <f>++INDEX('Financials Input'!$G653:$DC653,1,MATCH(Q$3,'Financials Input'!$G$3:$DC$3,0))</f>
        <v>0</v>
      </c>
      <c r="R170" s="382">
        <f>++INDEX('Financials Input'!$G653:$DC653,1,MATCH(R$3,'Financials Input'!$G$3:$DC$3,0))</f>
        <v>0</v>
      </c>
      <c r="S170" s="382">
        <f>++INDEX('Financials Input'!$G653:$DC653,1,MATCH(S$3,'Financials Input'!$G$3:$DC$3,0))</f>
        <v>0</v>
      </c>
      <c r="T170" s="382">
        <f>++INDEX('Financials Input'!$G653:$DC653,1,MATCH(T$3,'Financials Input'!$G$3:$DC$3,0))</f>
        <v>0</v>
      </c>
      <c r="U170" s="381">
        <f>++INDEX('Financials Input'!$G653:$DC653,1,MATCH(U$3,'Financials Input'!$G$3:$DC$3,0))</f>
        <v>0</v>
      </c>
      <c r="V170" s="382">
        <f>++INDEX('Financials Input'!$G653:$DC653,1,MATCH(V$3,'Financials Input'!$G$3:$DC$3,0))</f>
        <v>0</v>
      </c>
      <c r="W170" s="382">
        <f>++INDEX('Financials Input'!$G653:$DC653,1,MATCH(W$3,'Financials Input'!$G$3:$DC$3,0))</f>
        <v>0</v>
      </c>
      <c r="X170" s="382">
        <f>++INDEX('Financials Input'!$G653:$DC653,1,MATCH(X$3,'Financials Input'!$G$3:$DC$3,0))</f>
        <v>0</v>
      </c>
      <c r="Y170" s="381">
        <f>++INDEX('Financials Input'!$G653:$DC653,1,MATCH(Y$3,'Financials Input'!$G$3:$DC$3,0))</f>
        <v>0</v>
      </c>
      <c r="Z170" s="382">
        <f>++INDEX('Financials Input'!$G653:$DC653,1,MATCH(Z$3,'Financials Input'!$G$3:$DC$3,0))</f>
        <v>0</v>
      </c>
      <c r="AA170" s="382">
        <f>++INDEX('Financials Input'!$G653:$DC653,1,MATCH(AA$3,'Financials Input'!$G$3:$DC$3,0))</f>
        <v>0</v>
      </c>
      <c r="AB170" s="382">
        <f>++INDEX('Financials Input'!$G653:$DC653,1,MATCH(AB$3,'Financials Input'!$G$3:$DC$3,0))</f>
        <v>0</v>
      </c>
      <c r="AC170" s="381">
        <f>++INDEX('Financials Input'!$G653:$DC653,1,MATCH(AC$3,'Financials Input'!$G$3:$DC$3,0))</f>
        <v>0</v>
      </c>
      <c r="AD170" s="382">
        <f>++INDEX('Financials Input'!$G653:$DC653,1,MATCH(AD$3,'Financials Input'!$G$3:$DC$3,0))</f>
        <v>0</v>
      </c>
      <c r="AE170" s="382">
        <f>++INDEX('Financials Input'!$G653:$DC653,1,MATCH(AE$3,'Financials Input'!$G$3:$DC$3,0))</f>
        <v>0</v>
      </c>
      <c r="AF170" s="382">
        <f>++INDEX('Financials Input'!$G653:$DC653,1,MATCH(AF$3,'Financials Input'!$G$3:$DC$3,0))</f>
        <v>0</v>
      </c>
      <c r="AG170" s="381">
        <f>++INDEX('Financials Input'!$G653:$DC653,1,MATCH(AG$3,'Financials Input'!$G$3:$DC$3,0))</f>
        <v>0</v>
      </c>
      <c r="AH170" s="382">
        <f>++INDEX('Financials Input'!$G653:$DC653,1,MATCH(AH$3,'Financials Input'!$G$3:$DC$3,0))</f>
        <v>0</v>
      </c>
      <c r="AI170" s="382">
        <f>++INDEX('Financials Input'!$G653:$DC653,1,MATCH(AI$3,'Financials Input'!$G$3:$DC$3,0))</f>
        <v>0</v>
      </c>
      <c r="AJ170" s="382">
        <f>++INDEX('Financials Input'!$G653:$DC653,1,MATCH(AJ$3,'Financials Input'!$G$3:$DC$3,0))</f>
        <v>0</v>
      </c>
      <c r="AK170" s="381">
        <f>++INDEX('Financials Input'!$G653:$DC653,1,MATCH(AK$3,'Financials Input'!$G$3:$DC$3,0))</f>
        <v>0</v>
      </c>
      <c r="AL170" s="382">
        <f>++INDEX('Financials Input'!$G653:$DC653,1,MATCH(AL$3,'Financials Input'!$G$3:$DC$3,0))</f>
        <v>0</v>
      </c>
      <c r="AM170" s="382">
        <f>++INDEX('Financials Input'!$G653:$DC653,1,MATCH(AM$3,'Financials Input'!$G$3:$DC$3,0))</f>
        <v>0</v>
      </c>
      <c r="AN170" s="382">
        <f>++INDEX('Financials Input'!$G653:$DC653,1,MATCH(AN$3,'Financials Input'!$G$3:$DC$3,0))</f>
        <v>0</v>
      </c>
      <c r="AO170" s="381">
        <f>++INDEX('Financials Input'!$G653:$DC653,1,MATCH(AO$3,'Financials Input'!$G$3:$DC$3,0))</f>
        <v>0</v>
      </c>
    </row>
    <row r="171" spans="3:41" x14ac:dyDescent="0.3">
      <c r="C171" s="342" t="str">
        <f>++'Financials Input'!C654</f>
        <v>First Lien Last-Out Term Loan</v>
      </c>
      <c r="I171" s="381">
        <f>++INDEX('Financials Input'!$G654:$DC654,1,MATCH(I$3,'Financials Input'!$G$3:$DC$3,0))</f>
        <v>0</v>
      </c>
      <c r="J171" s="382">
        <f>++INDEX('Financials Input'!$G654:$DC654,1,MATCH(J$3,'Financials Input'!$G$3:$DC$3,0))</f>
        <v>0</v>
      </c>
      <c r="K171" s="382">
        <f>++INDEX('Financials Input'!$G654:$DC654,1,MATCH(K$3,'Financials Input'!$G$3:$DC$3,0))</f>
        <v>0</v>
      </c>
      <c r="L171" s="382">
        <f>++INDEX('Financials Input'!$G654:$DC654,1,MATCH(L$3,'Financials Input'!$G$3:$DC$3,0))</f>
        <v>0</v>
      </c>
      <c r="M171" s="381">
        <f>++INDEX('Financials Input'!$G654:$DC654,1,MATCH(M$3,'Financials Input'!$G$3:$DC$3,0))</f>
        <v>0</v>
      </c>
      <c r="N171" s="382">
        <f>++INDEX('Financials Input'!$G654:$DC654,1,MATCH(N$3,'Financials Input'!$G$3:$DC$3,0))</f>
        <v>0</v>
      </c>
      <c r="O171" s="382">
        <f>++INDEX('Financials Input'!$G654:$DC654,1,MATCH(O$3,'Financials Input'!$G$3:$DC$3,0))</f>
        <v>0</v>
      </c>
      <c r="P171" s="382">
        <f>++INDEX('Financials Input'!$G654:$DC654,1,MATCH(P$3,'Financials Input'!$G$3:$DC$3,0))</f>
        <v>0</v>
      </c>
      <c r="Q171" s="381">
        <f>++INDEX('Financials Input'!$G654:$DC654,1,MATCH(Q$3,'Financials Input'!$G$3:$DC$3,0))</f>
        <v>0</v>
      </c>
      <c r="R171" s="382">
        <f>++INDEX('Financials Input'!$G654:$DC654,1,MATCH(R$3,'Financials Input'!$G$3:$DC$3,0))</f>
        <v>0</v>
      </c>
      <c r="S171" s="382">
        <f>++INDEX('Financials Input'!$G654:$DC654,1,MATCH(S$3,'Financials Input'!$G$3:$DC$3,0))</f>
        <v>0</v>
      </c>
      <c r="T171" s="382">
        <f>++INDEX('Financials Input'!$G654:$DC654,1,MATCH(T$3,'Financials Input'!$G$3:$DC$3,0))</f>
        <v>0</v>
      </c>
      <c r="U171" s="381">
        <f>++INDEX('Financials Input'!$G654:$DC654,1,MATCH(U$3,'Financials Input'!$G$3:$DC$3,0))</f>
        <v>0</v>
      </c>
      <c r="V171" s="382">
        <f>++INDEX('Financials Input'!$G654:$DC654,1,MATCH(V$3,'Financials Input'!$G$3:$DC$3,0))</f>
        <v>0</v>
      </c>
      <c r="W171" s="382">
        <f>++INDEX('Financials Input'!$G654:$DC654,1,MATCH(W$3,'Financials Input'!$G$3:$DC$3,0))</f>
        <v>0</v>
      </c>
      <c r="X171" s="382">
        <f>++INDEX('Financials Input'!$G654:$DC654,1,MATCH(X$3,'Financials Input'!$G$3:$DC$3,0))</f>
        <v>0</v>
      </c>
      <c r="Y171" s="381">
        <f>++INDEX('Financials Input'!$G654:$DC654,1,MATCH(Y$3,'Financials Input'!$G$3:$DC$3,0))</f>
        <v>0</v>
      </c>
      <c r="Z171" s="382">
        <f>++INDEX('Financials Input'!$G654:$DC654,1,MATCH(Z$3,'Financials Input'!$G$3:$DC$3,0))</f>
        <v>0</v>
      </c>
      <c r="AA171" s="382">
        <f>++INDEX('Financials Input'!$G654:$DC654,1,MATCH(AA$3,'Financials Input'!$G$3:$DC$3,0))</f>
        <v>0</v>
      </c>
      <c r="AB171" s="382">
        <f>++INDEX('Financials Input'!$G654:$DC654,1,MATCH(AB$3,'Financials Input'!$G$3:$DC$3,0))</f>
        <v>0</v>
      </c>
      <c r="AC171" s="381">
        <f>++INDEX('Financials Input'!$G654:$DC654,1,MATCH(AC$3,'Financials Input'!$G$3:$DC$3,0))</f>
        <v>0</v>
      </c>
      <c r="AD171" s="382">
        <f>++INDEX('Financials Input'!$G654:$DC654,1,MATCH(AD$3,'Financials Input'!$G$3:$DC$3,0))</f>
        <v>0</v>
      </c>
      <c r="AE171" s="382">
        <f>++INDEX('Financials Input'!$G654:$DC654,1,MATCH(AE$3,'Financials Input'!$G$3:$DC$3,0))</f>
        <v>0</v>
      </c>
      <c r="AF171" s="382">
        <f>++INDEX('Financials Input'!$G654:$DC654,1,MATCH(AF$3,'Financials Input'!$G$3:$DC$3,0))</f>
        <v>0</v>
      </c>
      <c r="AG171" s="381">
        <f>++INDEX('Financials Input'!$G654:$DC654,1,MATCH(AG$3,'Financials Input'!$G$3:$DC$3,0))</f>
        <v>0</v>
      </c>
      <c r="AH171" s="382">
        <f>++INDEX('Financials Input'!$G654:$DC654,1,MATCH(AH$3,'Financials Input'!$G$3:$DC$3,0))</f>
        <v>0</v>
      </c>
      <c r="AI171" s="382">
        <f>++INDEX('Financials Input'!$G654:$DC654,1,MATCH(AI$3,'Financials Input'!$G$3:$DC$3,0))</f>
        <v>0</v>
      </c>
      <c r="AJ171" s="382">
        <f>++INDEX('Financials Input'!$G654:$DC654,1,MATCH(AJ$3,'Financials Input'!$G$3:$DC$3,0))</f>
        <v>0</v>
      </c>
      <c r="AK171" s="381">
        <f>++INDEX('Financials Input'!$G654:$DC654,1,MATCH(AK$3,'Financials Input'!$G$3:$DC$3,0))</f>
        <v>0</v>
      </c>
      <c r="AL171" s="382">
        <f>++INDEX('Financials Input'!$G654:$DC654,1,MATCH(AL$3,'Financials Input'!$G$3:$DC$3,0))</f>
        <v>0</v>
      </c>
      <c r="AM171" s="382">
        <f>++INDEX('Financials Input'!$G654:$DC654,1,MATCH(AM$3,'Financials Input'!$G$3:$DC$3,0))</f>
        <v>0</v>
      </c>
      <c r="AN171" s="382">
        <f>++INDEX('Financials Input'!$G654:$DC654,1,MATCH(AN$3,'Financials Input'!$G$3:$DC$3,0))</f>
        <v>0</v>
      </c>
      <c r="AO171" s="381">
        <f>++INDEX('Financials Input'!$G654:$DC654,1,MATCH(AO$3,'Financials Input'!$G$3:$DC$3,0))</f>
        <v>0</v>
      </c>
    </row>
    <row r="172" spans="3:41" x14ac:dyDescent="0.3">
      <c r="C172" s="342" t="str">
        <f>++'Financials Input'!C655</f>
        <v>First Lien DDTL ($0.0MM)</v>
      </c>
      <c r="I172" s="381">
        <f>++INDEX('Financials Input'!$G655:$DC655,1,MATCH(I$3,'Financials Input'!$G$3:$DC$3,0))</f>
        <v>0</v>
      </c>
      <c r="J172" s="382">
        <f>++INDEX('Financials Input'!$G655:$DC655,1,MATCH(J$3,'Financials Input'!$G$3:$DC$3,0))</f>
        <v>0</v>
      </c>
      <c r="K172" s="382">
        <f>++INDEX('Financials Input'!$G655:$DC655,1,MATCH(K$3,'Financials Input'!$G$3:$DC$3,0))</f>
        <v>0</v>
      </c>
      <c r="L172" s="382">
        <f>++INDEX('Financials Input'!$G655:$DC655,1,MATCH(L$3,'Financials Input'!$G$3:$DC$3,0))</f>
        <v>0</v>
      </c>
      <c r="M172" s="381">
        <f>++INDEX('Financials Input'!$G655:$DC655,1,MATCH(M$3,'Financials Input'!$G$3:$DC$3,0))</f>
        <v>0</v>
      </c>
      <c r="N172" s="382">
        <f>++INDEX('Financials Input'!$G655:$DC655,1,MATCH(N$3,'Financials Input'!$G$3:$DC$3,0))</f>
        <v>0</v>
      </c>
      <c r="O172" s="382">
        <f>++INDEX('Financials Input'!$G655:$DC655,1,MATCH(O$3,'Financials Input'!$G$3:$DC$3,0))</f>
        <v>0</v>
      </c>
      <c r="P172" s="382">
        <f>++INDEX('Financials Input'!$G655:$DC655,1,MATCH(P$3,'Financials Input'!$G$3:$DC$3,0))</f>
        <v>0</v>
      </c>
      <c r="Q172" s="381">
        <f>++INDEX('Financials Input'!$G655:$DC655,1,MATCH(Q$3,'Financials Input'!$G$3:$DC$3,0))</f>
        <v>0</v>
      </c>
      <c r="R172" s="382">
        <f>++INDEX('Financials Input'!$G655:$DC655,1,MATCH(R$3,'Financials Input'!$G$3:$DC$3,0))</f>
        <v>0</v>
      </c>
      <c r="S172" s="382">
        <f>++INDEX('Financials Input'!$G655:$DC655,1,MATCH(S$3,'Financials Input'!$G$3:$DC$3,0))</f>
        <v>0</v>
      </c>
      <c r="T172" s="382">
        <f>++INDEX('Financials Input'!$G655:$DC655,1,MATCH(T$3,'Financials Input'!$G$3:$DC$3,0))</f>
        <v>0</v>
      </c>
      <c r="U172" s="381">
        <f>++INDEX('Financials Input'!$G655:$DC655,1,MATCH(U$3,'Financials Input'!$G$3:$DC$3,0))</f>
        <v>0</v>
      </c>
      <c r="V172" s="382">
        <f>++INDEX('Financials Input'!$G655:$DC655,1,MATCH(V$3,'Financials Input'!$G$3:$DC$3,0))</f>
        <v>0</v>
      </c>
      <c r="W172" s="382">
        <f>++INDEX('Financials Input'!$G655:$DC655,1,MATCH(W$3,'Financials Input'!$G$3:$DC$3,0))</f>
        <v>0</v>
      </c>
      <c r="X172" s="382">
        <f>++INDEX('Financials Input'!$G655:$DC655,1,MATCH(X$3,'Financials Input'!$G$3:$DC$3,0))</f>
        <v>0</v>
      </c>
      <c r="Y172" s="381">
        <f>++INDEX('Financials Input'!$G655:$DC655,1,MATCH(Y$3,'Financials Input'!$G$3:$DC$3,0))</f>
        <v>0</v>
      </c>
      <c r="Z172" s="382">
        <f>++INDEX('Financials Input'!$G655:$DC655,1,MATCH(Z$3,'Financials Input'!$G$3:$DC$3,0))</f>
        <v>0</v>
      </c>
      <c r="AA172" s="382">
        <f>++INDEX('Financials Input'!$G655:$DC655,1,MATCH(AA$3,'Financials Input'!$G$3:$DC$3,0))</f>
        <v>0</v>
      </c>
      <c r="AB172" s="382">
        <f>++INDEX('Financials Input'!$G655:$DC655,1,MATCH(AB$3,'Financials Input'!$G$3:$DC$3,0))</f>
        <v>0</v>
      </c>
      <c r="AC172" s="381">
        <f>++INDEX('Financials Input'!$G655:$DC655,1,MATCH(AC$3,'Financials Input'!$G$3:$DC$3,0))</f>
        <v>0</v>
      </c>
      <c r="AD172" s="382">
        <f>++INDEX('Financials Input'!$G655:$DC655,1,MATCH(AD$3,'Financials Input'!$G$3:$DC$3,0))</f>
        <v>0</v>
      </c>
      <c r="AE172" s="382">
        <f>++INDEX('Financials Input'!$G655:$DC655,1,MATCH(AE$3,'Financials Input'!$G$3:$DC$3,0))</f>
        <v>0</v>
      </c>
      <c r="AF172" s="382">
        <f>++INDEX('Financials Input'!$G655:$DC655,1,MATCH(AF$3,'Financials Input'!$G$3:$DC$3,0))</f>
        <v>0</v>
      </c>
      <c r="AG172" s="381">
        <f>++INDEX('Financials Input'!$G655:$DC655,1,MATCH(AG$3,'Financials Input'!$G$3:$DC$3,0))</f>
        <v>0</v>
      </c>
      <c r="AH172" s="382">
        <f>++INDEX('Financials Input'!$G655:$DC655,1,MATCH(AH$3,'Financials Input'!$G$3:$DC$3,0))</f>
        <v>0</v>
      </c>
      <c r="AI172" s="382">
        <f>++INDEX('Financials Input'!$G655:$DC655,1,MATCH(AI$3,'Financials Input'!$G$3:$DC$3,0))</f>
        <v>0</v>
      </c>
      <c r="AJ172" s="382">
        <f>++INDEX('Financials Input'!$G655:$DC655,1,MATCH(AJ$3,'Financials Input'!$G$3:$DC$3,0))</f>
        <v>0</v>
      </c>
      <c r="AK172" s="381">
        <f>++INDEX('Financials Input'!$G655:$DC655,1,MATCH(AK$3,'Financials Input'!$G$3:$DC$3,0))</f>
        <v>0</v>
      </c>
      <c r="AL172" s="382">
        <f>++INDEX('Financials Input'!$G655:$DC655,1,MATCH(AL$3,'Financials Input'!$G$3:$DC$3,0))</f>
        <v>0</v>
      </c>
      <c r="AM172" s="382">
        <f>++INDEX('Financials Input'!$G655:$DC655,1,MATCH(AM$3,'Financials Input'!$G$3:$DC$3,0))</f>
        <v>0</v>
      </c>
      <c r="AN172" s="382">
        <f>++INDEX('Financials Input'!$G655:$DC655,1,MATCH(AN$3,'Financials Input'!$G$3:$DC$3,0))</f>
        <v>0</v>
      </c>
      <c r="AO172" s="381">
        <f>++INDEX('Financials Input'!$G655:$DC655,1,MATCH(AO$3,'Financials Input'!$G$3:$DC$3,0))</f>
        <v>0</v>
      </c>
    </row>
    <row r="173" spans="3:41" x14ac:dyDescent="0.3">
      <c r="C173" s="342" t="str">
        <f>++'Financials Input'!C656</f>
        <v>Capital Leases</v>
      </c>
      <c r="I173" s="381">
        <f>++INDEX('Financials Input'!$G656:$DC656,1,MATCH(I$3,'Financials Input'!$G$3:$DC$3,0))</f>
        <v>0</v>
      </c>
      <c r="J173" s="382">
        <f>++INDEX('Financials Input'!$G656:$DC656,1,MATCH(J$3,'Financials Input'!$G$3:$DC$3,0))</f>
        <v>0</v>
      </c>
      <c r="K173" s="382">
        <f>++INDEX('Financials Input'!$G656:$DC656,1,MATCH(K$3,'Financials Input'!$G$3:$DC$3,0))</f>
        <v>0</v>
      </c>
      <c r="L173" s="382">
        <f>++INDEX('Financials Input'!$G656:$DC656,1,MATCH(L$3,'Financials Input'!$G$3:$DC$3,0))</f>
        <v>0</v>
      </c>
      <c r="M173" s="381">
        <f>++INDEX('Financials Input'!$G656:$DC656,1,MATCH(M$3,'Financials Input'!$G$3:$DC$3,0))</f>
        <v>0</v>
      </c>
      <c r="N173" s="382">
        <f>++INDEX('Financials Input'!$G656:$DC656,1,MATCH(N$3,'Financials Input'!$G$3:$DC$3,0))</f>
        <v>0</v>
      </c>
      <c r="O173" s="382">
        <f>++INDEX('Financials Input'!$G656:$DC656,1,MATCH(O$3,'Financials Input'!$G$3:$DC$3,0))</f>
        <v>0</v>
      </c>
      <c r="P173" s="382">
        <f>++INDEX('Financials Input'!$G656:$DC656,1,MATCH(P$3,'Financials Input'!$G$3:$DC$3,0))</f>
        <v>0</v>
      </c>
      <c r="Q173" s="381">
        <f>++INDEX('Financials Input'!$G656:$DC656,1,MATCH(Q$3,'Financials Input'!$G$3:$DC$3,0))</f>
        <v>0</v>
      </c>
      <c r="R173" s="382">
        <f>++INDEX('Financials Input'!$G656:$DC656,1,MATCH(R$3,'Financials Input'!$G$3:$DC$3,0))</f>
        <v>0</v>
      </c>
      <c r="S173" s="382">
        <f>++INDEX('Financials Input'!$G656:$DC656,1,MATCH(S$3,'Financials Input'!$G$3:$DC$3,0))</f>
        <v>0</v>
      </c>
      <c r="T173" s="382">
        <f>++INDEX('Financials Input'!$G656:$DC656,1,MATCH(T$3,'Financials Input'!$G$3:$DC$3,0))</f>
        <v>0</v>
      </c>
      <c r="U173" s="381">
        <f>++INDEX('Financials Input'!$G656:$DC656,1,MATCH(U$3,'Financials Input'!$G$3:$DC$3,0))</f>
        <v>0</v>
      </c>
      <c r="V173" s="382">
        <f>++INDEX('Financials Input'!$G656:$DC656,1,MATCH(V$3,'Financials Input'!$G$3:$DC$3,0))</f>
        <v>0</v>
      </c>
      <c r="W173" s="382">
        <f>++INDEX('Financials Input'!$G656:$DC656,1,MATCH(W$3,'Financials Input'!$G$3:$DC$3,0))</f>
        <v>0</v>
      </c>
      <c r="X173" s="382">
        <f>++INDEX('Financials Input'!$G656:$DC656,1,MATCH(X$3,'Financials Input'!$G$3:$DC$3,0))</f>
        <v>0</v>
      </c>
      <c r="Y173" s="381">
        <f>++INDEX('Financials Input'!$G656:$DC656,1,MATCH(Y$3,'Financials Input'!$G$3:$DC$3,0))</f>
        <v>0</v>
      </c>
      <c r="Z173" s="382">
        <f>++INDEX('Financials Input'!$G656:$DC656,1,MATCH(Z$3,'Financials Input'!$G$3:$DC$3,0))</f>
        <v>0</v>
      </c>
      <c r="AA173" s="382">
        <f>++INDEX('Financials Input'!$G656:$DC656,1,MATCH(AA$3,'Financials Input'!$G$3:$DC$3,0))</f>
        <v>0</v>
      </c>
      <c r="AB173" s="382">
        <f>++INDEX('Financials Input'!$G656:$DC656,1,MATCH(AB$3,'Financials Input'!$G$3:$DC$3,0))</f>
        <v>0</v>
      </c>
      <c r="AC173" s="381">
        <f>++INDEX('Financials Input'!$G656:$DC656,1,MATCH(AC$3,'Financials Input'!$G$3:$DC$3,0))</f>
        <v>0</v>
      </c>
      <c r="AD173" s="382">
        <f>++INDEX('Financials Input'!$G656:$DC656,1,MATCH(AD$3,'Financials Input'!$G$3:$DC$3,0))</f>
        <v>0</v>
      </c>
      <c r="AE173" s="382">
        <f>++INDEX('Financials Input'!$G656:$DC656,1,MATCH(AE$3,'Financials Input'!$G$3:$DC$3,0))</f>
        <v>0</v>
      </c>
      <c r="AF173" s="382">
        <f>++INDEX('Financials Input'!$G656:$DC656,1,MATCH(AF$3,'Financials Input'!$G$3:$DC$3,0))</f>
        <v>0</v>
      </c>
      <c r="AG173" s="381">
        <f>++INDEX('Financials Input'!$G656:$DC656,1,MATCH(AG$3,'Financials Input'!$G$3:$DC$3,0))</f>
        <v>0</v>
      </c>
      <c r="AH173" s="382">
        <f>++INDEX('Financials Input'!$G656:$DC656,1,MATCH(AH$3,'Financials Input'!$G$3:$DC$3,0))</f>
        <v>0</v>
      </c>
      <c r="AI173" s="382">
        <f>++INDEX('Financials Input'!$G656:$DC656,1,MATCH(AI$3,'Financials Input'!$G$3:$DC$3,0))</f>
        <v>0</v>
      </c>
      <c r="AJ173" s="382">
        <f>++INDEX('Financials Input'!$G656:$DC656,1,MATCH(AJ$3,'Financials Input'!$G$3:$DC$3,0))</f>
        <v>0</v>
      </c>
      <c r="AK173" s="381">
        <f>++INDEX('Financials Input'!$G656:$DC656,1,MATCH(AK$3,'Financials Input'!$G$3:$DC$3,0))</f>
        <v>0</v>
      </c>
      <c r="AL173" s="382">
        <f>++INDEX('Financials Input'!$G656:$DC656,1,MATCH(AL$3,'Financials Input'!$G$3:$DC$3,0))</f>
        <v>0</v>
      </c>
      <c r="AM173" s="382">
        <f>++INDEX('Financials Input'!$G656:$DC656,1,MATCH(AM$3,'Financials Input'!$G$3:$DC$3,0))</f>
        <v>0</v>
      </c>
      <c r="AN173" s="382">
        <f>++INDEX('Financials Input'!$G656:$DC656,1,MATCH(AN$3,'Financials Input'!$G$3:$DC$3,0))</f>
        <v>0</v>
      </c>
      <c r="AO173" s="381">
        <f>++INDEX('Financials Input'!$G656:$DC656,1,MATCH(AO$3,'Financials Input'!$G$3:$DC$3,0))</f>
        <v>0</v>
      </c>
    </row>
    <row r="174" spans="3:41" x14ac:dyDescent="0.3">
      <c r="C174" s="342" t="str">
        <f>++'Financials Input'!C657</f>
        <v>Other First Lien Debt</v>
      </c>
      <c r="I174" s="381">
        <f>++INDEX('Financials Input'!$G657:$DC657,1,MATCH(I$3,'Financials Input'!$G$3:$DC$3,0))</f>
        <v>0</v>
      </c>
      <c r="J174" s="382">
        <f>++INDEX('Financials Input'!$G657:$DC657,1,MATCH(J$3,'Financials Input'!$G$3:$DC$3,0))</f>
        <v>0</v>
      </c>
      <c r="K174" s="382">
        <f>++INDEX('Financials Input'!$G657:$DC657,1,MATCH(K$3,'Financials Input'!$G$3:$DC$3,0))</f>
        <v>0</v>
      </c>
      <c r="L174" s="382">
        <f>++INDEX('Financials Input'!$G657:$DC657,1,MATCH(L$3,'Financials Input'!$G$3:$DC$3,0))</f>
        <v>0</v>
      </c>
      <c r="M174" s="381">
        <f>++INDEX('Financials Input'!$G657:$DC657,1,MATCH(M$3,'Financials Input'!$G$3:$DC$3,0))</f>
        <v>0</v>
      </c>
      <c r="N174" s="382">
        <f>++INDEX('Financials Input'!$G657:$DC657,1,MATCH(N$3,'Financials Input'!$G$3:$DC$3,0))</f>
        <v>0</v>
      </c>
      <c r="O174" s="382">
        <f>++INDEX('Financials Input'!$G657:$DC657,1,MATCH(O$3,'Financials Input'!$G$3:$DC$3,0))</f>
        <v>0</v>
      </c>
      <c r="P174" s="382">
        <f>++INDEX('Financials Input'!$G657:$DC657,1,MATCH(P$3,'Financials Input'!$G$3:$DC$3,0))</f>
        <v>0</v>
      </c>
      <c r="Q174" s="381">
        <f>++INDEX('Financials Input'!$G657:$DC657,1,MATCH(Q$3,'Financials Input'!$G$3:$DC$3,0))</f>
        <v>0</v>
      </c>
      <c r="R174" s="382">
        <f>++INDEX('Financials Input'!$G657:$DC657,1,MATCH(R$3,'Financials Input'!$G$3:$DC$3,0))</f>
        <v>0</v>
      </c>
      <c r="S174" s="382">
        <f>++INDEX('Financials Input'!$G657:$DC657,1,MATCH(S$3,'Financials Input'!$G$3:$DC$3,0))</f>
        <v>0</v>
      </c>
      <c r="T174" s="382">
        <f>++INDEX('Financials Input'!$G657:$DC657,1,MATCH(T$3,'Financials Input'!$G$3:$DC$3,0))</f>
        <v>0</v>
      </c>
      <c r="U174" s="381">
        <f>++INDEX('Financials Input'!$G657:$DC657,1,MATCH(U$3,'Financials Input'!$G$3:$DC$3,0))</f>
        <v>0</v>
      </c>
      <c r="V174" s="382">
        <f>++INDEX('Financials Input'!$G657:$DC657,1,MATCH(V$3,'Financials Input'!$G$3:$DC$3,0))</f>
        <v>0</v>
      </c>
      <c r="W174" s="382">
        <f>++INDEX('Financials Input'!$G657:$DC657,1,MATCH(W$3,'Financials Input'!$G$3:$DC$3,0))</f>
        <v>0</v>
      </c>
      <c r="X174" s="382">
        <f>++INDEX('Financials Input'!$G657:$DC657,1,MATCH(X$3,'Financials Input'!$G$3:$DC$3,0))</f>
        <v>0</v>
      </c>
      <c r="Y174" s="381">
        <f>++INDEX('Financials Input'!$G657:$DC657,1,MATCH(Y$3,'Financials Input'!$G$3:$DC$3,0))</f>
        <v>0</v>
      </c>
      <c r="Z174" s="382">
        <f>++INDEX('Financials Input'!$G657:$DC657,1,MATCH(Z$3,'Financials Input'!$G$3:$DC$3,0))</f>
        <v>0</v>
      </c>
      <c r="AA174" s="382">
        <f>++INDEX('Financials Input'!$G657:$DC657,1,MATCH(AA$3,'Financials Input'!$G$3:$DC$3,0))</f>
        <v>0</v>
      </c>
      <c r="AB174" s="382">
        <f>++INDEX('Financials Input'!$G657:$DC657,1,MATCH(AB$3,'Financials Input'!$G$3:$DC$3,0))</f>
        <v>0</v>
      </c>
      <c r="AC174" s="381">
        <f>++INDEX('Financials Input'!$G657:$DC657,1,MATCH(AC$3,'Financials Input'!$G$3:$DC$3,0))</f>
        <v>0</v>
      </c>
      <c r="AD174" s="382">
        <f>++INDEX('Financials Input'!$G657:$DC657,1,MATCH(AD$3,'Financials Input'!$G$3:$DC$3,0))</f>
        <v>0</v>
      </c>
      <c r="AE174" s="382">
        <f>++INDEX('Financials Input'!$G657:$DC657,1,MATCH(AE$3,'Financials Input'!$G$3:$DC$3,0))</f>
        <v>0</v>
      </c>
      <c r="AF174" s="382">
        <f>++INDEX('Financials Input'!$G657:$DC657,1,MATCH(AF$3,'Financials Input'!$G$3:$DC$3,0))</f>
        <v>0</v>
      </c>
      <c r="AG174" s="381">
        <f>++INDEX('Financials Input'!$G657:$DC657,1,MATCH(AG$3,'Financials Input'!$G$3:$DC$3,0))</f>
        <v>0</v>
      </c>
      <c r="AH174" s="382">
        <f>++INDEX('Financials Input'!$G657:$DC657,1,MATCH(AH$3,'Financials Input'!$G$3:$DC$3,0))</f>
        <v>0</v>
      </c>
      <c r="AI174" s="382">
        <f>++INDEX('Financials Input'!$G657:$DC657,1,MATCH(AI$3,'Financials Input'!$G$3:$DC$3,0))</f>
        <v>0</v>
      </c>
      <c r="AJ174" s="382">
        <f>++INDEX('Financials Input'!$G657:$DC657,1,MATCH(AJ$3,'Financials Input'!$G$3:$DC$3,0))</f>
        <v>0</v>
      </c>
      <c r="AK174" s="381">
        <f>++INDEX('Financials Input'!$G657:$DC657,1,MATCH(AK$3,'Financials Input'!$G$3:$DC$3,0))</f>
        <v>0</v>
      </c>
      <c r="AL174" s="382">
        <f>++INDEX('Financials Input'!$G657:$DC657,1,MATCH(AL$3,'Financials Input'!$G$3:$DC$3,0))</f>
        <v>0</v>
      </c>
      <c r="AM174" s="382">
        <f>++INDEX('Financials Input'!$G657:$DC657,1,MATCH(AM$3,'Financials Input'!$G$3:$DC$3,0))</f>
        <v>0</v>
      </c>
      <c r="AN174" s="382">
        <f>++INDEX('Financials Input'!$G657:$DC657,1,MATCH(AN$3,'Financials Input'!$G$3:$DC$3,0))</f>
        <v>0</v>
      </c>
      <c r="AO174" s="381">
        <f>++INDEX('Financials Input'!$G657:$DC657,1,MATCH(AO$3,'Financials Input'!$G$3:$DC$3,0))</f>
        <v>0</v>
      </c>
    </row>
    <row r="175" spans="3:41" x14ac:dyDescent="0.3">
      <c r="C175" s="383" t="str">
        <f>++'Financials Input'!C658</f>
        <v>First Lien Debt</v>
      </c>
      <c r="D175" s="191"/>
      <c r="E175" s="191"/>
      <c r="F175" s="191"/>
      <c r="G175" s="191"/>
      <c r="I175" s="239">
        <f>++SUM(I168:I174)</f>
        <v>0</v>
      </c>
      <c r="J175" s="232">
        <f t="shared" ref="J175:AO175" si="199">++SUM(J168:J174)</f>
        <v>0</v>
      </c>
      <c r="K175" s="232">
        <f t="shared" si="199"/>
        <v>0</v>
      </c>
      <c r="L175" s="232">
        <f t="shared" si="199"/>
        <v>0</v>
      </c>
      <c r="M175" s="239">
        <f t="shared" si="199"/>
        <v>0</v>
      </c>
      <c r="N175" s="232">
        <f t="shared" si="199"/>
        <v>0</v>
      </c>
      <c r="O175" s="232">
        <f t="shared" si="199"/>
        <v>0</v>
      </c>
      <c r="P175" s="232">
        <f t="shared" si="199"/>
        <v>0</v>
      </c>
      <c r="Q175" s="239">
        <f t="shared" si="199"/>
        <v>0</v>
      </c>
      <c r="R175" s="232">
        <f t="shared" si="199"/>
        <v>0</v>
      </c>
      <c r="S175" s="232">
        <f t="shared" si="199"/>
        <v>0</v>
      </c>
      <c r="T175" s="232">
        <f t="shared" si="199"/>
        <v>0</v>
      </c>
      <c r="U175" s="239">
        <f t="shared" si="199"/>
        <v>0</v>
      </c>
      <c r="V175" s="232">
        <f t="shared" si="199"/>
        <v>0</v>
      </c>
      <c r="W175" s="232">
        <f t="shared" si="199"/>
        <v>0</v>
      </c>
      <c r="X175" s="232">
        <f t="shared" si="199"/>
        <v>0</v>
      </c>
      <c r="Y175" s="239">
        <f t="shared" si="199"/>
        <v>0</v>
      </c>
      <c r="Z175" s="232">
        <f t="shared" si="199"/>
        <v>0</v>
      </c>
      <c r="AA175" s="232">
        <f t="shared" si="199"/>
        <v>0</v>
      </c>
      <c r="AB175" s="232">
        <f t="shared" si="199"/>
        <v>0</v>
      </c>
      <c r="AC175" s="239">
        <f t="shared" si="199"/>
        <v>0</v>
      </c>
      <c r="AD175" s="232">
        <f t="shared" si="199"/>
        <v>0</v>
      </c>
      <c r="AE175" s="232">
        <f t="shared" si="199"/>
        <v>0</v>
      </c>
      <c r="AF175" s="232">
        <f t="shared" si="199"/>
        <v>0</v>
      </c>
      <c r="AG175" s="239">
        <f t="shared" si="199"/>
        <v>0</v>
      </c>
      <c r="AH175" s="232">
        <f t="shared" si="199"/>
        <v>0</v>
      </c>
      <c r="AI175" s="232">
        <f t="shared" si="199"/>
        <v>0</v>
      </c>
      <c r="AJ175" s="232">
        <f t="shared" si="199"/>
        <v>0</v>
      </c>
      <c r="AK175" s="239">
        <f t="shared" si="199"/>
        <v>0</v>
      </c>
      <c r="AL175" s="232">
        <f t="shared" si="199"/>
        <v>0</v>
      </c>
      <c r="AM175" s="232">
        <f t="shared" si="199"/>
        <v>0</v>
      </c>
      <c r="AN175" s="232">
        <f t="shared" si="199"/>
        <v>0</v>
      </c>
      <c r="AO175" s="239">
        <f t="shared" si="199"/>
        <v>0</v>
      </c>
    </row>
    <row r="176" spans="3:41" x14ac:dyDescent="0.3">
      <c r="I176" s="203"/>
      <c r="M176" s="203"/>
      <c r="Q176" s="203"/>
      <c r="U176" s="203"/>
      <c r="Y176" s="203"/>
      <c r="AC176" s="203"/>
      <c r="AG176" s="203"/>
      <c r="AK176" s="203"/>
      <c r="AO176" s="203"/>
    </row>
    <row r="177" spans="3:41" x14ac:dyDescent="0.3">
      <c r="C177" s="342" t="str">
        <f>++'Financials Input'!C660</f>
        <v>Second Lien Term Loan</v>
      </c>
      <c r="I177" s="381">
        <f>++INDEX('Financials Input'!$G660:$DC660,1,MATCH(I$3,'Financials Input'!$G$3:$DC$3,0))</f>
        <v>0</v>
      </c>
      <c r="J177" s="382">
        <f>++INDEX('Financials Input'!$G660:$DC660,1,MATCH(J$3,'Financials Input'!$G$3:$DC$3,0))</f>
        <v>0</v>
      </c>
      <c r="K177" s="382">
        <f>++INDEX('Financials Input'!$G660:$DC660,1,MATCH(K$3,'Financials Input'!$G$3:$DC$3,0))</f>
        <v>0</v>
      </c>
      <c r="L177" s="382">
        <f>++INDEX('Financials Input'!$G660:$DC660,1,MATCH(L$3,'Financials Input'!$G$3:$DC$3,0))</f>
        <v>0</v>
      </c>
      <c r="M177" s="381">
        <f>++INDEX('Financials Input'!$G660:$DC660,1,MATCH(M$3,'Financials Input'!$G$3:$DC$3,0))</f>
        <v>0</v>
      </c>
      <c r="N177" s="382">
        <f>++INDEX('Financials Input'!$G660:$DC660,1,MATCH(N$3,'Financials Input'!$G$3:$DC$3,0))</f>
        <v>0</v>
      </c>
      <c r="O177" s="382">
        <f>++INDEX('Financials Input'!$G660:$DC660,1,MATCH(O$3,'Financials Input'!$G$3:$DC$3,0))</f>
        <v>0</v>
      </c>
      <c r="P177" s="382">
        <f>++INDEX('Financials Input'!$G660:$DC660,1,MATCH(P$3,'Financials Input'!$G$3:$DC$3,0))</f>
        <v>0</v>
      </c>
      <c r="Q177" s="381">
        <f>++INDEX('Financials Input'!$G660:$DC660,1,MATCH(Q$3,'Financials Input'!$G$3:$DC$3,0))</f>
        <v>0</v>
      </c>
      <c r="R177" s="382">
        <f>++INDEX('Financials Input'!$G660:$DC660,1,MATCH(R$3,'Financials Input'!$G$3:$DC$3,0))</f>
        <v>0</v>
      </c>
      <c r="S177" s="382">
        <f>++INDEX('Financials Input'!$G660:$DC660,1,MATCH(S$3,'Financials Input'!$G$3:$DC$3,0))</f>
        <v>0</v>
      </c>
      <c r="T177" s="382">
        <f>++INDEX('Financials Input'!$G660:$DC660,1,MATCH(T$3,'Financials Input'!$G$3:$DC$3,0))</f>
        <v>0</v>
      </c>
      <c r="U177" s="381">
        <f>++INDEX('Financials Input'!$G660:$DC660,1,MATCH(U$3,'Financials Input'!$G$3:$DC$3,0))</f>
        <v>0</v>
      </c>
      <c r="V177" s="382">
        <f>++INDEX('Financials Input'!$G660:$DC660,1,MATCH(V$3,'Financials Input'!$G$3:$DC$3,0))</f>
        <v>0</v>
      </c>
      <c r="W177" s="382">
        <f>++INDEX('Financials Input'!$G660:$DC660,1,MATCH(W$3,'Financials Input'!$G$3:$DC$3,0))</f>
        <v>0</v>
      </c>
      <c r="X177" s="382">
        <f>++INDEX('Financials Input'!$G660:$DC660,1,MATCH(X$3,'Financials Input'!$G$3:$DC$3,0))</f>
        <v>0</v>
      </c>
      <c r="Y177" s="381">
        <f>++INDEX('Financials Input'!$G660:$DC660,1,MATCH(Y$3,'Financials Input'!$G$3:$DC$3,0))</f>
        <v>0</v>
      </c>
      <c r="Z177" s="382">
        <f>++INDEX('Financials Input'!$G660:$DC660,1,MATCH(Z$3,'Financials Input'!$G$3:$DC$3,0))</f>
        <v>0</v>
      </c>
      <c r="AA177" s="382">
        <f>++INDEX('Financials Input'!$G660:$DC660,1,MATCH(AA$3,'Financials Input'!$G$3:$DC$3,0))</f>
        <v>0</v>
      </c>
      <c r="AB177" s="382">
        <f>++INDEX('Financials Input'!$G660:$DC660,1,MATCH(AB$3,'Financials Input'!$G$3:$DC$3,0))</f>
        <v>0</v>
      </c>
      <c r="AC177" s="381">
        <f>++INDEX('Financials Input'!$G660:$DC660,1,MATCH(AC$3,'Financials Input'!$G$3:$DC$3,0))</f>
        <v>0</v>
      </c>
      <c r="AD177" s="382">
        <f>++INDEX('Financials Input'!$G660:$DC660,1,MATCH(AD$3,'Financials Input'!$G$3:$DC$3,0))</f>
        <v>0</v>
      </c>
      <c r="AE177" s="382">
        <f>++INDEX('Financials Input'!$G660:$DC660,1,MATCH(AE$3,'Financials Input'!$G$3:$DC$3,0))</f>
        <v>0</v>
      </c>
      <c r="AF177" s="382">
        <f>++INDEX('Financials Input'!$G660:$DC660,1,MATCH(AF$3,'Financials Input'!$G$3:$DC$3,0))</f>
        <v>0</v>
      </c>
      <c r="AG177" s="381">
        <f>++INDEX('Financials Input'!$G660:$DC660,1,MATCH(AG$3,'Financials Input'!$G$3:$DC$3,0))</f>
        <v>0</v>
      </c>
      <c r="AH177" s="382">
        <f>++INDEX('Financials Input'!$G660:$DC660,1,MATCH(AH$3,'Financials Input'!$G$3:$DC$3,0))</f>
        <v>0</v>
      </c>
      <c r="AI177" s="382">
        <f>++INDEX('Financials Input'!$G660:$DC660,1,MATCH(AI$3,'Financials Input'!$G$3:$DC$3,0))</f>
        <v>0</v>
      </c>
      <c r="AJ177" s="382">
        <f>++INDEX('Financials Input'!$G660:$DC660,1,MATCH(AJ$3,'Financials Input'!$G$3:$DC$3,0))</f>
        <v>0</v>
      </c>
      <c r="AK177" s="381">
        <f>++INDEX('Financials Input'!$G660:$DC660,1,MATCH(AK$3,'Financials Input'!$G$3:$DC$3,0))</f>
        <v>0</v>
      </c>
      <c r="AL177" s="382">
        <f>++INDEX('Financials Input'!$G660:$DC660,1,MATCH(AL$3,'Financials Input'!$G$3:$DC$3,0))</f>
        <v>0</v>
      </c>
      <c r="AM177" s="382">
        <f>++INDEX('Financials Input'!$G660:$DC660,1,MATCH(AM$3,'Financials Input'!$G$3:$DC$3,0))</f>
        <v>0</v>
      </c>
      <c r="AN177" s="382">
        <f>++INDEX('Financials Input'!$G660:$DC660,1,MATCH(AN$3,'Financials Input'!$G$3:$DC$3,0))</f>
        <v>0</v>
      </c>
      <c r="AO177" s="381">
        <f>++INDEX('Financials Input'!$G660:$DC660,1,MATCH(AO$3,'Financials Input'!$G$3:$DC$3,0))</f>
        <v>0</v>
      </c>
    </row>
    <row r="178" spans="3:41" x14ac:dyDescent="0.3">
      <c r="C178" s="342" t="str">
        <f>++'Financials Input'!C661</f>
        <v>Second Lien DDTL ($0.0MM)</v>
      </c>
      <c r="I178" s="381">
        <f>++INDEX('Financials Input'!$G661:$DC661,1,MATCH(I$3,'Financials Input'!$G$3:$DC$3,0))</f>
        <v>0</v>
      </c>
      <c r="J178" s="382">
        <f>++INDEX('Financials Input'!$G661:$DC661,1,MATCH(J$3,'Financials Input'!$G$3:$DC$3,0))</f>
        <v>0</v>
      </c>
      <c r="K178" s="382">
        <f>++INDEX('Financials Input'!$G661:$DC661,1,MATCH(K$3,'Financials Input'!$G$3:$DC$3,0))</f>
        <v>0</v>
      </c>
      <c r="L178" s="382">
        <f>++INDEX('Financials Input'!$G661:$DC661,1,MATCH(L$3,'Financials Input'!$G$3:$DC$3,0))</f>
        <v>0</v>
      </c>
      <c r="M178" s="381">
        <f>++INDEX('Financials Input'!$G661:$DC661,1,MATCH(M$3,'Financials Input'!$G$3:$DC$3,0))</f>
        <v>0</v>
      </c>
      <c r="N178" s="382">
        <f>++INDEX('Financials Input'!$G661:$DC661,1,MATCH(N$3,'Financials Input'!$G$3:$DC$3,0))</f>
        <v>0</v>
      </c>
      <c r="O178" s="382">
        <f>++INDEX('Financials Input'!$G661:$DC661,1,MATCH(O$3,'Financials Input'!$G$3:$DC$3,0))</f>
        <v>0</v>
      </c>
      <c r="P178" s="382">
        <f>++INDEX('Financials Input'!$G661:$DC661,1,MATCH(P$3,'Financials Input'!$G$3:$DC$3,0))</f>
        <v>0</v>
      </c>
      <c r="Q178" s="381">
        <f>++INDEX('Financials Input'!$G661:$DC661,1,MATCH(Q$3,'Financials Input'!$G$3:$DC$3,0))</f>
        <v>0</v>
      </c>
      <c r="R178" s="382">
        <f>++INDEX('Financials Input'!$G661:$DC661,1,MATCH(R$3,'Financials Input'!$G$3:$DC$3,0))</f>
        <v>0</v>
      </c>
      <c r="S178" s="382">
        <f>++INDEX('Financials Input'!$G661:$DC661,1,MATCH(S$3,'Financials Input'!$G$3:$DC$3,0))</f>
        <v>0</v>
      </c>
      <c r="T178" s="382">
        <f>++INDEX('Financials Input'!$G661:$DC661,1,MATCH(T$3,'Financials Input'!$G$3:$DC$3,0))</f>
        <v>0</v>
      </c>
      <c r="U178" s="381">
        <f>++INDEX('Financials Input'!$G661:$DC661,1,MATCH(U$3,'Financials Input'!$G$3:$DC$3,0))</f>
        <v>0</v>
      </c>
      <c r="V178" s="382">
        <f>++INDEX('Financials Input'!$G661:$DC661,1,MATCH(V$3,'Financials Input'!$G$3:$DC$3,0))</f>
        <v>0</v>
      </c>
      <c r="W178" s="382">
        <f>++INDEX('Financials Input'!$G661:$DC661,1,MATCH(W$3,'Financials Input'!$G$3:$DC$3,0))</f>
        <v>0</v>
      </c>
      <c r="X178" s="382">
        <f>++INDEX('Financials Input'!$G661:$DC661,1,MATCH(X$3,'Financials Input'!$G$3:$DC$3,0))</f>
        <v>0</v>
      </c>
      <c r="Y178" s="381">
        <f>++INDEX('Financials Input'!$G661:$DC661,1,MATCH(Y$3,'Financials Input'!$G$3:$DC$3,0))</f>
        <v>0</v>
      </c>
      <c r="Z178" s="382">
        <f>++INDEX('Financials Input'!$G661:$DC661,1,MATCH(Z$3,'Financials Input'!$G$3:$DC$3,0))</f>
        <v>0</v>
      </c>
      <c r="AA178" s="382">
        <f>++INDEX('Financials Input'!$G661:$DC661,1,MATCH(AA$3,'Financials Input'!$G$3:$DC$3,0))</f>
        <v>0</v>
      </c>
      <c r="AB178" s="382">
        <f>++INDEX('Financials Input'!$G661:$DC661,1,MATCH(AB$3,'Financials Input'!$G$3:$DC$3,0))</f>
        <v>0</v>
      </c>
      <c r="AC178" s="381">
        <f>++INDEX('Financials Input'!$G661:$DC661,1,MATCH(AC$3,'Financials Input'!$G$3:$DC$3,0))</f>
        <v>0</v>
      </c>
      <c r="AD178" s="382">
        <f>++INDEX('Financials Input'!$G661:$DC661,1,MATCH(AD$3,'Financials Input'!$G$3:$DC$3,0))</f>
        <v>0</v>
      </c>
      <c r="AE178" s="382">
        <f>++INDEX('Financials Input'!$G661:$DC661,1,MATCH(AE$3,'Financials Input'!$G$3:$DC$3,0))</f>
        <v>0</v>
      </c>
      <c r="AF178" s="382">
        <f>++INDEX('Financials Input'!$G661:$DC661,1,MATCH(AF$3,'Financials Input'!$G$3:$DC$3,0))</f>
        <v>0</v>
      </c>
      <c r="AG178" s="381">
        <f>++INDEX('Financials Input'!$G661:$DC661,1,MATCH(AG$3,'Financials Input'!$G$3:$DC$3,0))</f>
        <v>0</v>
      </c>
      <c r="AH178" s="382">
        <f>++INDEX('Financials Input'!$G661:$DC661,1,MATCH(AH$3,'Financials Input'!$G$3:$DC$3,0))</f>
        <v>0</v>
      </c>
      <c r="AI178" s="382">
        <f>++INDEX('Financials Input'!$G661:$DC661,1,MATCH(AI$3,'Financials Input'!$G$3:$DC$3,0))</f>
        <v>0</v>
      </c>
      <c r="AJ178" s="382">
        <f>++INDEX('Financials Input'!$G661:$DC661,1,MATCH(AJ$3,'Financials Input'!$G$3:$DC$3,0))</f>
        <v>0</v>
      </c>
      <c r="AK178" s="381">
        <f>++INDEX('Financials Input'!$G661:$DC661,1,MATCH(AK$3,'Financials Input'!$G$3:$DC$3,0))</f>
        <v>0</v>
      </c>
      <c r="AL178" s="382">
        <f>++INDEX('Financials Input'!$G661:$DC661,1,MATCH(AL$3,'Financials Input'!$G$3:$DC$3,0))</f>
        <v>0</v>
      </c>
      <c r="AM178" s="382">
        <f>++INDEX('Financials Input'!$G661:$DC661,1,MATCH(AM$3,'Financials Input'!$G$3:$DC$3,0))</f>
        <v>0</v>
      </c>
      <c r="AN178" s="382">
        <f>++INDEX('Financials Input'!$G661:$DC661,1,MATCH(AN$3,'Financials Input'!$G$3:$DC$3,0))</f>
        <v>0</v>
      </c>
      <c r="AO178" s="381">
        <f>++INDEX('Financials Input'!$G661:$DC661,1,MATCH(AO$3,'Financials Input'!$G$3:$DC$3,0))</f>
        <v>0</v>
      </c>
    </row>
    <row r="179" spans="3:41" x14ac:dyDescent="0.3">
      <c r="C179" s="342" t="str">
        <f>++'Financials Input'!C662</f>
        <v>Other Senior Debt</v>
      </c>
      <c r="I179" s="381">
        <f>++INDEX('Financials Input'!$G662:$DC662,1,MATCH(I$3,'Financials Input'!$G$3:$DC$3,0))</f>
        <v>0</v>
      </c>
      <c r="J179" s="382">
        <f>++INDEX('Financials Input'!$G662:$DC662,1,MATCH(J$3,'Financials Input'!$G$3:$DC$3,0))</f>
        <v>0</v>
      </c>
      <c r="K179" s="382">
        <f>++INDEX('Financials Input'!$G662:$DC662,1,MATCH(K$3,'Financials Input'!$G$3:$DC$3,0))</f>
        <v>0</v>
      </c>
      <c r="L179" s="382">
        <f>++INDEX('Financials Input'!$G662:$DC662,1,MATCH(L$3,'Financials Input'!$G$3:$DC$3,0))</f>
        <v>0</v>
      </c>
      <c r="M179" s="381">
        <f>++INDEX('Financials Input'!$G662:$DC662,1,MATCH(M$3,'Financials Input'!$G$3:$DC$3,0))</f>
        <v>0</v>
      </c>
      <c r="N179" s="382">
        <f>++INDEX('Financials Input'!$G662:$DC662,1,MATCH(N$3,'Financials Input'!$G$3:$DC$3,0))</f>
        <v>0</v>
      </c>
      <c r="O179" s="382">
        <f>++INDEX('Financials Input'!$G662:$DC662,1,MATCH(O$3,'Financials Input'!$G$3:$DC$3,0))</f>
        <v>0</v>
      </c>
      <c r="P179" s="382">
        <f>++INDEX('Financials Input'!$G662:$DC662,1,MATCH(P$3,'Financials Input'!$G$3:$DC$3,0))</f>
        <v>0</v>
      </c>
      <c r="Q179" s="381">
        <f>++INDEX('Financials Input'!$G662:$DC662,1,MATCH(Q$3,'Financials Input'!$G$3:$DC$3,0))</f>
        <v>0</v>
      </c>
      <c r="R179" s="382">
        <f>++INDEX('Financials Input'!$G662:$DC662,1,MATCH(R$3,'Financials Input'!$G$3:$DC$3,0))</f>
        <v>0</v>
      </c>
      <c r="S179" s="382">
        <f>++INDEX('Financials Input'!$G662:$DC662,1,MATCH(S$3,'Financials Input'!$G$3:$DC$3,0))</f>
        <v>0</v>
      </c>
      <c r="T179" s="382">
        <f>++INDEX('Financials Input'!$G662:$DC662,1,MATCH(T$3,'Financials Input'!$G$3:$DC$3,0))</f>
        <v>0</v>
      </c>
      <c r="U179" s="381">
        <f>++INDEX('Financials Input'!$G662:$DC662,1,MATCH(U$3,'Financials Input'!$G$3:$DC$3,0))</f>
        <v>0</v>
      </c>
      <c r="V179" s="382">
        <f>++INDEX('Financials Input'!$G662:$DC662,1,MATCH(V$3,'Financials Input'!$G$3:$DC$3,0))</f>
        <v>0</v>
      </c>
      <c r="W179" s="382">
        <f>++INDEX('Financials Input'!$G662:$DC662,1,MATCH(W$3,'Financials Input'!$G$3:$DC$3,0))</f>
        <v>0</v>
      </c>
      <c r="X179" s="382">
        <f>++INDEX('Financials Input'!$G662:$DC662,1,MATCH(X$3,'Financials Input'!$G$3:$DC$3,0))</f>
        <v>0</v>
      </c>
      <c r="Y179" s="381">
        <f>++INDEX('Financials Input'!$G662:$DC662,1,MATCH(Y$3,'Financials Input'!$G$3:$DC$3,0))</f>
        <v>0</v>
      </c>
      <c r="Z179" s="382">
        <f>++INDEX('Financials Input'!$G662:$DC662,1,MATCH(Z$3,'Financials Input'!$G$3:$DC$3,0))</f>
        <v>0</v>
      </c>
      <c r="AA179" s="382">
        <f>++INDEX('Financials Input'!$G662:$DC662,1,MATCH(AA$3,'Financials Input'!$G$3:$DC$3,0))</f>
        <v>0</v>
      </c>
      <c r="AB179" s="382">
        <f>++INDEX('Financials Input'!$G662:$DC662,1,MATCH(AB$3,'Financials Input'!$G$3:$DC$3,0))</f>
        <v>0</v>
      </c>
      <c r="AC179" s="381">
        <f>++INDEX('Financials Input'!$G662:$DC662,1,MATCH(AC$3,'Financials Input'!$G$3:$DC$3,0))</f>
        <v>0</v>
      </c>
      <c r="AD179" s="382">
        <f>++INDEX('Financials Input'!$G662:$DC662,1,MATCH(AD$3,'Financials Input'!$G$3:$DC$3,0))</f>
        <v>0</v>
      </c>
      <c r="AE179" s="382">
        <f>++INDEX('Financials Input'!$G662:$DC662,1,MATCH(AE$3,'Financials Input'!$G$3:$DC$3,0))</f>
        <v>0</v>
      </c>
      <c r="AF179" s="382">
        <f>++INDEX('Financials Input'!$G662:$DC662,1,MATCH(AF$3,'Financials Input'!$G$3:$DC$3,0))</f>
        <v>0</v>
      </c>
      <c r="AG179" s="381">
        <f>++INDEX('Financials Input'!$G662:$DC662,1,MATCH(AG$3,'Financials Input'!$G$3:$DC$3,0))</f>
        <v>0</v>
      </c>
      <c r="AH179" s="382">
        <f>++INDEX('Financials Input'!$G662:$DC662,1,MATCH(AH$3,'Financials Input'!$G$3:$DC$3,0))</f>
        <v>0</v>
      </c>
      <c r="AI179" s="382">
        <f>++INDEX('Financials Input'!$G662:$DC662,1,MATCH(AI$3,'Financials Input'!$G$3:$DC$3,0))</f>
        <v>0</v>
      </c>
      <c r="AJ179" s="382">
        <f>++INDEX('Financials Input'!$G662:$DC662,1,MATCH(AJ$3,'Financials Input'!$G$3:$DC$3,0))</f>
        <v>0</v>
      </c>
      <c r="AK179" s="381">
        <f>++INDEX('Financials Input'!$G662:$DC662,1,MATCH(AK$3,'Financials Input'!$G$3:$DC$3,0))</f>
        <v>0</v>
      </c>
      <c r="AL179" s="382">
        <f>++INDEX('Financials Input'!$G662:$DC662,1,MATCH(AL$3,'Financials Input'!$G$3:$DC$3,0))</f>
        <v>0</v>
      </c>
      <c r="AM179" s="382">
        <f>++INDEX('Financials Input'!$G662:$DC662,1,MATCH(AM$3,'Financials Input'!$G$3:$DC$3,0))</f>
        <v>0</v>
      </c>
      <c r="AN179" s="382">
        <f>++INDEX('Financials Input'!$G662:$DC662,1,MATCH(AN$3,'Financials Input'!$G$3:$DC$3,0))</f>
        <v>0</v>
      </c>
      <c r="AO179" s="381">
        <f>++INDEX('Financials Input'!$G662:$DC662,1,MATCH(AO$3,'Financials Input'!$G$3:$DC$3,0))</f>
        <v>0</v>
      </c>
    </row>
    <row r="180" spans="3:41" x14ac:dyDescent="0.3">
      <c r="C180" s="383" t="str">
        <f>++'Financials Input'!C663</f>
        <v>Senior Debt</v>
      </c>
      <c r="D180" s="191"/>
      <c r="E180" s="191"/>
      <c r="F180" s="191"/>
      <c r="G180" s="191"/>
      <c r="I180" s="239">
        <f>++SUM(I175,I177:I179)</f>
        <v>0</v>
      </c>
      <c r="J180" s="232">
        <f t="shared" ref="J180:AO180" si="200">++SUM(J175,J177:J179)</f>
        <v>0</v>
      </c>
      <c r="K180" s="232">
        <f t="shared" si="200"/>
        <v>0</v>
      </c>
      <c r="L180" s="232">
        <f t="shared" si="200"/>
        <v>0</v>
      </c>
      <c r="M180" s="239">
        <f t="shared" si="200"/>
        <v>0</v>
      </c>
      <c r="N180" s="232">
        <f t="shared" si="200"/>
        <v>0</v>
      </c>
      <c r="O180" s="232">
        <f t="shared" si="200"/>
        <v>0</v>
      </c>
      <c r="P180" s="232">
        <f t="shared" si="200"/>
        <v>0</v>
      </c>
      <c r="Q180" s="239">
        <f t="shared" si="200"/>
        <v>0</v>
      </c>
      <c r="R180" s="232">
        <f t="shared" si="200"/>
        <v>0</v>
      </c>
      <c r="S180" s="232">
        <f t="shared" si="200"/>
        <v>0</v>
      </c>
      <c r="T180" s="232">
        <f t="shared" si="200"/>
        <v>0</v>
      </c>
      <c r="U180" s="239">
        <f t="shared" si="200"/>
        <v>0</v>
      </c>
      <c r="V180" s="232">
        <f t="shared" si="200"/>
        <v>0</v>
      </c>
      <c r="W180" s="232">
        <f t="shared" si="200"/>
        <v>0</v>
      </c>
      <c r="X180" s="232">
        <f t="shared" si="200"/>
        <v>0</v>
      </c>
      <c r="Y180" s="239">
        <f t="shared" si="200"/>
        <v>0</v>
      </c>
      <c r="Z180" s="232">
        <f t="shared" si="200"/>
        <v>0</v>
      </c>
      <c r="AA180" s="232">
        <f t="shared" si="200"/>
        <v>0</v>
      </c>
      <c r="AB180" s="232">
        <f t="shared" si="200"/>
        <v>0</v>
      </c>
      <c r="AC180" s="239">
        <f t="shared" si="200"/>
        <v>0</v>
      </c>
      <c r="AD180" s="232">
        <f t="shared" si="200"/>
        <v>0</v>
      </c>
      <c r="AE180" s="232">
        <f t="shared" si="200"/>
        <v>0</v>
      </c>
      <c r="AF180" s="232">
        <f t="shared" si="200"/>
        <v>0</v>
      </c>
      <c r="AG180" s="239">
        <f t="shared" si="200"/>
        <v>0</v>
      </c>
      <c r="AH180" s="232">
        <f t="shared" si="200"/>
        <v>0</v>
      </c>
      <c r="AI180" s="232">
        <f t="shared" si="200"/>
        <v>0</v>
      </c>
      <c r="AJ180" s="232">
        <f t="shared" si="200"/>
        <v>0</v>
      </c>
      <c r="AK180" s="239">
        <f t="shared" si="200"/>
        <v>0</v>
      </c>
      <c r="AL180" s="232">
        <f t="shared" si="200"/>
        <v>0</v>
      </c>
      <c r="AM180" s="232">
        <f t="shared" si="200"/>
        <v>0</v>
      </c>
      <c r="AN180" s="232">
        <f t="shared" si="200"/>
        <v>0</v>
      </c>
      <c r="AO180" s="239">
        <f t="shared" si="200"/>
        <v>0</v>
      </c>
    </row>
    <row r="181" spans="3:41" x14ac:dyDescent="0.3">
      <c r="I181" s="203"/>
      <c r="M181" s="203"/>
      <c r="Q181" s="203"/>
      <c r="U181" s="203"/>
      <c r="Y181" s="203"/>
      <c r="AC181" s="203"/>
      <c r="AG181" s="203"/>
      <c r="AK181" s="203"/>
      <c r="AO181" s="203"/>
    </row>
    <row r="182" spans="3:41" x14ac:dyDescent="0.3">
      <c r="C182" s="342" t="str">
        <f>++'Financials Input'!C665</f>
        <v>Subordinated Notes</v>
      </c>
      <c r="I182" s="381">
        <f>++INDEX('Financials Input'!$G665:$DC665,1,MATCH(I$3,'Financials Input'!$G$3:$DC$3,0))</f>
        <v>0</v>
      </c>
      <c r="J182" s="382">
        <f>++INDEX('Financials Input'!$G665:$DC665,1,MATCH(J$3,'Financials Input'!$G$3:$DC$3,0))</f>
        <v>0</v>
      </c>
      <c r="K182" s="382">
        <f>++INDEX('Financials Input'!$G665:$DC665,1,MATCH(K$3,'Financials Input'!$G$3:$DC$3,0))</f>
        <v>0</v>
      </c>
      <c r="L182" s="382">
        <f>++INDEX('Financials Input'!$G665:$DC665,1,MATCH(L$3,'Financials Input'!$G$3:$DC$3,0))</f>
        <v>0</v>
      </c>
      <c r="M182" s="381">
        <f>++INDEX('Financials Input'!$G665:$DC665,1,MATCH(M$3,'Financials Input'!$G$3:$DC$3,0))</f>
        <v>0</v>
      </c>
      <c r="N182" s="382">
        <f>++INDEX('Financials Input'!$G665:$DC665,1,MATCH(N$3,'Financials Input'!$G$3:$DC$3,0))</f>
        <v>0</v>
      </c>
      <c r="O182" s="382">
        <f>++INDEX('Financials Input'!$G665:$DC665,1,MATCH(O$3,'Financials Input'!$G$3:$DC$3,0))</f>
        <v>0</v>
      </c>
      <c r="P182" s="382">
        <f>++INDEX('Financials Input'!$G665:$DC665,1,MATCH(P$3,'Financials Input'!$G$3:$DC$3,0))</f>
        <v>0</v>
      </c>
      <c r="Q182" s="381">
        <f>++INDEX('Financials Input'!$G665:$DC665,1,MATCH(Q$3,'Financials Input'!$G$3:$DC$3,0))</f>
        <v>0</v>
      </c>
      <c r="R182" s="382">
        <f>++INDEX('Financials Input'!$G665:$DC665,1,MATCH(R$3,'Financials Input'!$G$3:$DC$3,0))</f>
        <v>0</v>
      </c>
      <c r="S182" s="382">
        <f>++INDEX('Financials Input'!$G665:$DC665,1,MATCH(S$3,'Financials Input'!$G$3:$DC$3,0))</f>
        <v>0</v>
      </c>
      <c r="T182" s="382">
        <f>++INDEX('Financials Input'!$G665:$DC665,1,MATCH(T$3,'Financials Input'!$G$3:$DC$3,0))</f>
        <v>0</v>
      </c>
      <c r="U182" s="381">
        <f>++INDEX('Financials Input'!$G665:$DC665,1,MATCH(U$3,'Financials Input'!$G$3:$DC$3,0))</f>
        <v>0</v>
      </c>
      <c r="V182" s="382">
        <f>++INDEX('Financials Input'!$G665:$DC665,1,MATCH(V$3,'Financials Input'!$G$3:$DC$3,0))</f>
        <v>0</v>
      </c>
      <c r="W182" s="382">
        <f>++INDEX('Financials Input'!$G665:$DC665,1,MATCH(W$3,'Financials Input'!$G$3:$DC$3,0))</f>
        <v>0</v>
      </c>
      <c r="X182" s="382">
        <f>++INDEX('Financials Input'!$G665:$DC665,1,MATCH(X$3,'Financials Input'!$G$3:$DC$3,0))</f>
        <v>0</v>
      </c>
      <c r="Y182" s="381">
        <f>++INDEX('Financials Input'!$G665:$DC665,1,MATCH(Y$3,'Financials Input'!$G$3:$DC$3,0))</f>
        <v>0</v>
      </c>
      <c r="Z182" s="382">
        <f>++INDEX('Financials Input'!$G665:$DC665,1,MATCH(Z$3,'Financials Input'!$G$3:$DC$3,0))</f>
        <v>0</v>
      </c>
      <c r="AA182" s="382">
        <f>++INDEX('Financials Input'!$G665:$DC665,1,MATCH(AA$3,'Financials Input'!$G$3:$DC$3,0))</f>
        <v>0</v>
      </c>
      <c r="AB182" s="382">
        <f>++INDEX('Financials Input'!$G665:$DC665,1,MATCH(AB$3,'Financials Input'!$G$3:$DC$3,0))</f>
        <v>0</v>
      </c>
      <c r="AC182" s="381">
        <f>++INDEX('Financials Input'!$G665:$DC665,1,MATCH(AC$3,'Financials Input'!$G$3:$DC$3,0))</f>
        <v>0</v>
      </c>
      <c r="AD182" s="382">
        <f>++INDEX('Financials Input'!$G665:$DC665,1,MATCH(AD$3,'Financials Input'!$G$3:$DC$3,0))</f>
        <v>0</v>
      </c>
      <c r="AE182" s="382">
        <f>++INDEX('Financials Input'!$G665:$DC665,1,MATCH(AE$3,'Financials Input'!$G$3:$DC$3,0))</f>
        <v>0</v>
      </c>
      <c r="AF182" s="382">
        <f>++INDEX('Financials Input'!$G665:$DC665,1,MATCH(AF$3,'Financials Input'!$G$3:$DC$3,0))</f>
        <v>0</v>
      </c>
      <c r="AG182" s="381">
        <f>++INDEX('Financials Input'!$G665:$DC665,1,MATCH(AG$3,'Financials Input'!$G$3:$DC$3,0))</f>
        <v>0</v>
      </c>
      <c r="AH182" s="382">
        <f>++INDEX('Financials Input'!$G665:$DC665,1,MATCH(AH$3,'Financials Input'!$G$3:$DC$3,0))</f>
        <v>0</v>
      </c>
      <c r="AI182" s="382">
        <f>++INDEX('Financials Input'!$G665:$DC665,1,MATCH(AI$3,'Financials Input'!$G$3:$DC$3,0))</f>
        <v>0</v>
      </c>
      <c r="AJ182" s="382">
        <f>++INDEX('Financials Input'!$G665:$DC665,1,MATCH(AJ$3,'Financials Input'!$G$3:$DC$3,0))</f>
        <v>0</v>
      </c>
      <c r="AK182" s="381">
        <f>++INDEX('Financials Input'!$G665:$DC665,1,MATCH(AK$3,'Financials Input'!$G$3:$DC$3,0))</f>
        <v>0</v>
      </c>
      <c r="AL182" s="382">
        <f>++INDEX('Financials Input'!$G665:$DC665,1,MATCH(AL$3,'Financials Input'!$G$3:$DC$3,0))</f>
        <v>0</v>
      </c>
      <c r="AM182" s="382">
        <f>++INDEX('Financials Input'!$G665:$DC665,1,MATCH(AM$3,'Financials Input'!$G$3:$DC$3,0))</f>
        <v>0</v>
      </c>
      <c r="AN182" s="382">
        <f>++INDEX('Financials Input'!$G665:$DC665,1,MATCH(AN$3,'Financials Input'!$G$3:$DC$3,0))</f>
        <v>0</v>
      </c>
      <c r="AO182" s="381">
        <f>++INDEX('Financials Input'!$G665:$DC665,1,MATCH(AO$3,'Financials Input'!$G$3:$DC$3,0))</f>
        <v>0</v>
      </c>
    </row>
    <row r="183" spans="3:41" x14ac:dyDescent="0.3">
      <c r="C183" s="342" t="str">
        <f>++'Financials Input'!C666</f>
        <v>Subordinated DD Notes ($0.0MM)</v>
      </c>
      <c r="I183" s="381">
        <f>++INDEX('Financials Input'!$G666:$DC666,1,MATCH(I$3,'Financials Input'!$G$3:$DC$3,0))</f>
        <v>0</v>
      </c>
      <c r="J183" s="382">
        <f>++INDEX('Financials Input'!$G666:$DC666,1,MATCH(J$3,'Financials Input'!$G$3:$DC$3,0))</f>
        <v>0</v>
      </c>
      <c r="K183" s="382">
        <f>++INDEX('Financials Input'!$G666:$DC666,1,MATCH(K$3,'Financials Input'!$G$3:$DC$3,0))</f>
        <v>0</v>
      </c>
      <c r="L183" s="382">
        <f>++INDEX('Financials Input'!$G666:$DC666,1,MATCH(L$3,'Financials Input'!$G$3:$DC$3,0))</f>
        <v>0</v>
      </c>
      <c r="M183" s="381">
        <f>++INDEX('Financials Input'!$G666:$DC666,1,MATCH(M$3,'Financials Input'!$G$3:$DC$3,0))</f>
        <v>0</v>
      </c>
      <c r="N183" s="382">
        <f>++INDEX('Financials Input'!$G666:$DC666,1,MATCH(N$3,'Financials Input'!$G$3:$DC$3,0))</f>
        <v>0</v>
      </c>
      <c r="O183" s="382">
        <f>++INDEX('Financials Input'!$G666:$DC666,1,MATCH(O$3,'Financials Input'!$G$3:$DC$3,0))</f>
        <v>0</v>
      </c>
      <c r="P183" s="382">
        <f>++INDEX('Financials Input'!$G666:$DC666,1,MATCH(P$3,'Financials Input'!$G$3:$DC$3,0))</f>
        <v>0</v>
      </c>
      <c r="Q183" s="381">
        <f>++INDEX('Financials Input'!$G666:$DC666,1,MATCH(Q$3,'Financials Input'!$G$3:$DC$3,0))</f>
        <v>0</v>
      </c>
      <c r="R183" s="382">
        <f>++INDEX('Financials Input'!$G666:$DC666,1,MATCH(R$3,'Financials Input'!$G$3:$DC$3,0))</f>
        <v>0</v>
      </c>
      <c r="S183" s="382">
        <f>++INDEX('Financials Input'!$G666:$DC666,1,MATCH(S$3,'Financials Input'!$G$3:$DC$3,0))</f>
        <v>0</v>
      </c>
      <c r="T183" s="382">
        <f>++INDEX('Financials Input'!$G666:$DC666,1,MATCH(T$3,'Financials Input'!$G$3:$DC$3,0))</f>
        <v>0</v>
      </c>
      <c r="U183" s="381">
        <f>++INDEX('Financials Input'!$G666:$DC666,1,MATCH(U$3,'Financials Input'!$G$3:$DC$3,0))</f>
        <v>0</v>
      </c>
      <c r="V183" s="382">
        <f>++INDEX('Financials Input'!$G666:$DC666,1,MATCH(V$3,'Financials Input'!$G$3:$DC$3,0))</f>
        <v>0</v>
      </c>
      <c r="W183" s="382">
        <f>++INDEX('Financials Input'!$G666:$DC666,1,MATCH(W$3,'Financials Input'!$G$3:$DC$3,0))</f>
        <v>0</v>
      </c>
      <c r="X183" s="382">
        <f>++INDEX('Financials Input'!$G666:$DC666,1,MATCH(X$3,'Financials Input'!$G$3:$DC$3,0))</f>
        <v>0</v>
      </c>
      <c r="Y183" s="381">
        <f>++INDEX('Financials Input'!$G666:$DC666,1,MATCH(Y$3,'Financials Input'!$G$3:$DC$3,0))</f>
        <v>0</v>
      </c>
      <c r="Z183" s="382">
        <f>++INDEX('Financials Input'!$G666:$DC666,1,MATCH(Z$3,'Financials Input'!$G$3:$DC$3,0))</f>
        <v>0</v>
      </c>
      <c r="AA183" s="382">
        <f>++INDEX('Financials Input'!$G666:$DC666,1,MATCH(AA$3,'Financials Input'!$G$3:$DC$3,0))</f>
        <v>0</v>
      </c>
      <c r="AB183" s="382">
        <f>++INDEX('Financials Input'!$G666:$DC666,1,MATCH(AB$3,'Financials Input'!$G$3:$DC$3,0))</f>
        <v>0</v>
      </c>
      <c r="AC183" s="381">
        <f>++INDEX('Financials Input'!$G666:$DC666,1,MATCH(AC$3,'Financials Input'!$G$3:$DC$3,0))</f>
        <v>0</v>
      </c>
      <c r="AD183" s="382">
        <f>++INDEX('Financials Input'!$G666:$DC666,1,MATCH(AD$3,'Financials Input'!$G$3:$DC$3,0))</f>
        <v>0</v>
      </c>
      <c r="AE183" s="382">
        <f>++INDEX('Financials Input'!$G666:$DC666,1,MATCH(AE$3,'Financials Input'!$G$3:$DC$3,0))</f>
        <v>0</v>
      </c>
      <c r="AF183" s="382">
        <f>++INDEX('Financials Input'!$G666:$DC666,1,MATCH(AF$3,'Financials Input'!$G$3:$DC$3,0))</f>
        <v>0</v>
      </c>
      <c r="AG183" s="381">
        <f>++INDEX('Financials Input'!$G666:$DC666,1,MATCH(AG$3,'Financials Input'!$G$3:$DC$3,0))</f>
        <v>0</v>
      </c>
      <c r="AH183" s="382">
        <f>++INDEX('Financials Input'!$G666:$DC666,1,MATCH(AH$3,'Financials Input'!$G$3:$DC$3,0))</f>
        <v>0</v>
      </c>
      <c r="AI183" s="382">
        <f>++INDEX('Financials Input'!$G666:$DC666,1,MATCH(AI$3,'Financials Input'!$G$3:$DC$3,0))</f>
        <v>0</v>
      </c>
      <c r="AJ183" s="382">
        <f>++INDEX('Financials Input'!$G666:$DC666,1,MATCH(AJ$3,'Financials Input'!$G$3:$DC$3,0))</f>
        <v>0</v>
      </c>
      <c r="AK183" s="381">
        <f>++INDEX('Financials Input'!$G666:$DC666,1,MATCH(AK$3,'Financials Input'!$G$3:$DC$3,0))</f>
        <v>0</v>
      </c>
      <c r="AL183" s="382">
        <f>++INDEX('Financials Input'!$G666:$DC666,1,MATCH(AL$3,'Financials Input'!$G$3:$DC$3,0))</f>
        <v>0</v>
      </c>
      <c r="AM183" s="382">
        <f>++INDEX('Financials Input'!$G666:$DC666,1,MATCH(AM$3,'Financials Input'!$G$3:$DC$3,0))</f>
        <v>0</v>
      </c>
      <c r="AN183" s="382">
        <f>++INDEX('Financials Input'!$G666:$DC666,1,MATCH(AN$3,'Financials Input'!$G$3:$DC$3,0))</f>
        <v>0</v>
      </c>
      <c r="AO183" s="381">
        <f>++INDEX('Financials Input'!$G666:$DC666,1,MATCH(AO$3,'Financials Input'!$G$3:$DC$3,0))</f>
        <v>0</v>
      </c>
    </row>
    <row r="184" spans="3:41" x14ac:dyDescent="0.3">
      <c r="C184" s="342" t="str">
        <f>++'Financials Input'!C667</f>
        <v>Seller Notes</v>
      </c>
      <c r="I184" s="381">
        <f>++INDEX('Financials Input'!$G667:$DC667,1,MATCH(I$3,'Financials Input'!$G$3:$DC$3,0))</f>
        <v>0</v>
      </c>
      <c r="J184" s="382">
        <f>++INDEX('Financials Input'!$G667:$DC667,1,MATCH(J$3,'Financials Input'!$G$3:$DC$3,0))</f>
        <v>0</v>
      </c>
      <c r="K184" s="382">
        <f>++INDEX('Financials Input'!$G667:$DC667,1,MATCH(K$3,'Financials Input'!$G$3:$DC$3,0))</f>
        <v>0</v>
      </c>
      <c r="L184" s="382">
        <f>++INDEX('Financials Input'!$G667:$DC667,1,MATCH(L$3,'Financials Input'!$G$3:$DC$3,0))</f>
        <v>0</v>
      </c>
      <c r="M184" s="381">
        <f>++INDEX('Financials Input'!$G667:$DC667,1,MATCH(M$3,'Financials Input'!$G$3:$DC$3,0))</f>
        <v>0</v>
      </c>
      <c r="N184" s="382">
        <f>++INDEX('Financials Input'!$G667:$DC667,1,MATCH(N$3,'Financials Input'!$G$3:$DC$3,0))</f>
        <v>0</v>
      </c>
      <c r="O184" s="382">
        <f>++INDEX('Financials Input'!$G667:$DC667,1,MATCH(O$3,'Financials Input'!$G$3:$DC$3,0))</f>
        <v>0</v>
      </c>
      <c r="P184" s="382">
        <f>++INDEX('Financials Input'!$G667:$DC667,1,MATCH(P$3,'Financials Input'!$G$3:$DC$3,0))</f>
        <v>0</v>
      </c>
      <c r="Q184" s="381">
        <f>++INDEX('Financials Input'!$G667:$DC667,1,MATCH(Q$3,'Financials Input'!$G$3:$DC$3,0))</f>
        <v>0</v>
      </c>
      <c r="R184" s="382">
        <f>++INDEX('Financials Input'!$G667:$DC667,1,MATCH(R$3,'Financials Input'!$G$3:$DC$3,0))</f>
        <v>0</v>
      </c>
      <c r="S184" s="382">
        <f>++INDEX('Financials Input'!$G667:$DC667,1,MATCH(S$3,'Financials Input'!$G$3:$DC$3,0))</f>
        <v>0</v>
      </c>
      <c r="T184" s="382">
        <f>++INDEX('Financials Input'!$G667:$DC667,1,MATCH(T$3,'Financials Input'!$G$3:$DC$3,0))</f>
        <v>0</v>
      </c>
      <c r="U184" s="381">
        <f>++INDEX('Financials Input'!$G667:$DC667,1,MATCH(U$3,'Financials Input'!$G$3:$DC$3,0))</f>
        <v>0</v>
      </c>
      <c r="V184" s="382">
        <f>++INDEX('Financials Input'!$G667:$DC667,1,MATCH(V$3,'Financials Input'!$G$3:$DC$3,0))</f>
        <v>0</v>
      </c>
      <c r="W184" s="382">
        <f>++INDEX('Financials Input'!$G667:$DC667,1,MATCH(W$3,'Financials Input'!$G$3:$DC$3,0))</f>
        <v>0</v>
      </c>
      <c r="X184" s="382">
        <f>++INDEX('Financials Input'!$G667:$DC667,1,MATCH(X$3,'Financials Input'!$G$3:$DC$3,0))</f>
        <v>0</v>
      </c>
      <c r="Y184" s="381">
        <f>++INDEX('Financials Input'!$G667:$DC667,1,MATCH(Y$3,'Financials Input'!$G$3:$DC$3,0))</f>
        <v>0</v>
      </c>
      <c r="Z184" s="382">
        <f>++INDEX('Financials Input'!$G667:$DC667,1,MATCH(Z$3,'Financials Input'!$G$3:$DC$3,0))</f>
        <v>0</v>
      </c>
      <c r="AA184" s="382">
        <f>++INDEX('Financials Input'!$G667:$DC667,1,MATCH(AA$3,'Financials Input'!$G$3:$DC$3,0))</f>
        <v>0</v>
      </c>
      <c r="AB184" s="382">
        <f>++INDEX('Financials Input'!$G667:$DC667,1,MATCH(AB$3,'Financials Input'!$G$3:$DC$3,0))</f>
        <v>0</v>
      </c>
      <c r="AC184" s="381">
        <f>++INDEX('Financials Input'!$G667:$DC667,1,MATCH(AC$3,'Financials Input'!$G$3:$DC$3,0))</f>
        <v>0</v>
      </c>
      <c r="AD184" s="382">
        <f>++INDEX('Financials Input'!$G667:$DC667,1,MATCH(AD$3,'Financials Input'!$G$3:$DC$3,0))</f>
        <v>0</v>
      </c>
      <c r="AE184" s="382">
        <f>++INDEX('Financials Input'!$G667:$DC667,1,MATCH(AE$3,'Financials Input'!$G$3:$DC$3,0))</f>
        <v>0</v>
      </c>
      <c r="AF184" s="382">
        <f>++INDEX('Financials Input'!$G667:$DC667,1,MATCH(AF$3,'Financials Input'!$G$3:$DC$3,0))</f>
        <v>0</v>
      </c>
      <c r="AG184" s="381">
        <f>++INDEX('Financials Input'!$G667:$DC667,1,MATCH(AG$3,'Financials Input'!$G$3:$DC$3,0))</f>
        <v>0</v>
      </c>
      <c r="AH184" s="382">
        <f>++INDEX('Financials Input'!$G667:$DC667,1,MATCH(AH$3,'Financials Input'!$G$3:$DC$3,0))</f>
        <v>0</v>
      </c>
      <c r="AI184" s="382">
        <f>++INDEX('Financials Input'!$G667:$DC667,1,MATCH(AI$3,'Financials Input'!$G$3:$DC$3,0))</f>
        <v>0</v>
      </c>
      <c r="AJ184" s="382">
        <f>++INDEX('Financials Input'!$G667:$DC667,1,MATCH(AJ$3,'Financials Input'!$G$3:$DC$3,0))</f>
        <v>0</v>
      </c>
      <c r="AK184" s="381">
        <f>++INDEX('Financials Input'!$G667:$DC667,1,MATCH(AK$3,'Financials Input'!$G$3:$DC$3,0))</f>
        <v>0</v>
      </c>
      <c r="AL184" s="382">
        <f>++INDEX('Financials Input'!$G667:$DC667,1,MATCH(AL$3,'Financials Input'!$G$3:$DC$3,0))</f>
        <v>0</v>
      </c>
      <c r="AM184" s="382">
        <f>++INDEX('Financials Input'!$G667:$DC667,1,MATCH(AM$3,'Financials Input'!$G$3:$DC$3,0))</f>
        <v>0</v>
      </c>
      <c r="AN184" s="382">
        <f>++INDEX('Financials Input'!$G667:$DC667,1,MATCH(AN$3,'Financials Input'!$G$3:$DC$3,0))</f>
        <v>0</v>
      </c>
      <c r="AO184" s="381">
        <f>++INDEX('Financials Input'!$G667:$DC667,1,MATCH(AO$3,'Financials Input'!$G$3:$DC$3,0))</f>
        <v>0</v>
      </c>
    </row>
    <row r="185" spans="3:41" x14ac:dyDescent="0.3">
      <c r="C185" s="342" t="str">
        <f>++'Financials Input'!C668</f>
        <v>Earn-Outs</v>
      </c>
      <c r="I185" s="381">
        <f>++INDEX('Financials Input'!$G668:$DC668,1,MATCH(I$3,'Financials Input'!$G$3:$DC$3,0))</f>
        <v>0</v>
      </c>
      <c r="J185" s="382">
        <f>++INDEX('Financials Input'!$G668:$DC668,1,MATCH(J$3,'Financials Input'!$G$3:$DC$3,0))</f>
        <v>0</v>
      </c>
      <c r="K185" s="382">
        <f>++INDEX('Financials Input'!$G668:$DC668,1,MATCH(K$3,'Financials Input'!$G$3:$DC$3,0))</f>
        <v>0</v>
      </c>
      <c r="L185" s="382">
        <f>++INDEX('Financials Input'!$G668:$DC668,1,MATCH(L$3,'Financials Input'!$G$3:$DC$3,0))</f>
        <v>0</v>
      </c>
      <c r="M185" s="381">
        <f>++INDEX('Financials Input'!$G668:$DC668,1,MATCH(M$3,'Financials Input'!$G$3:$DC$3,0))</f>
        <v>0</v>
      </c>
      <c r="N185" s="382">
        <f>++INDEX('Financials Input'!$G668:$DC668,1,MATCH(N$3,'Financials Input'!$G$3:$DC$3,0))</f>
        <v>0</v>
      </c>
      <c r="O185" s="382">
        <f>++INDEX('Financials Input'!$G668:$DC668,1,MATCH(O$3,'Financials Input'!$G$3:$DC$3,0))</f>
        <v>0</v>
      </c>
      <c r="P185" s="382">
        <f>++INDEX('Financials Input'!$G668:$DC668,1,MATCH(P$3,'Financials Input'!$G$3:$DC$3,0))</f>
        <v>0</v>
      </c>
      <c r="Q185" s="381">
        <f>++INDEX('Financials Input'!$G668:$DC668,1,MATCH(Q$3,'Financials Input'!$G$3:$DC$3,0))</f>
        <v>0</v>
      </c>
      <c r="R185" s="382">
        <f>++INDEX('Financials Input'!$G668:$DC668,1,MATCH(R$3,'Financials Input'!$G$3:$DC$3,0))</f>
        <v>0</v>
      </c>
      <c r="S185" s="382">
        <f>++INDEX('Financials Input'!$G668:$DC668,1,MATCH(S$3,'Financials Input'!$G$3:$DC$3,0))</f>
        <v>0</v>
      </c>
      <c r="T185" s="382">
        <f>++INDEX('Financials Input'!$G668:$DC668,1,MATCH(T$3,'Financials Input'!$G$3:$DC$3,0))</f>
        <v>0</v>
      </c>
      <c r="U185" s="381">
        <f>++INDEX('Financials Input'!$G668:$DC668,1,MATCH(U$3,'Financials Input'!$G$3:$DC$3,0))</f>
        <v>0</v>
      </c>
      <c r="V185" s="382">
        <f>++INDEX('Financials Input'!$G668:$DC668,1,MATCH(V$3,'Financials Input'!$G$3:$DC$3,0))</f>
        <v>0</v>
      </c>
      <c r="W185" s="382">
        <f>++INDEX('Financials Input'!$G668:$DC668,1,MATCH(W$3,'Financials Input'!$G$3:$DC$3,0))</f>
        <v>0</v>
      </c>
      <c r="X185" s="382">
        <f>++INDEX('Financials Input'!$G668:$DC668,1,MATCH(X$3,'Financials Input'!$G$3:$DC$3,0))</f>
        <v>0</v>
      </c>
      <c r="Y185" s="381">
        <f>++INDEX('Financials Input'!$G668:$DC668,1,MATCH(Y$3,'Financials Input'!$G$3:$DC$3,0))</f>
        <v>0</v>
      </c>
      <c r="Z185" s="382">
        <f>++INDEX('Financials Input'!$G668:$DC668,1,MATCH(Z$3,'Financials Input'!$G$3:$DC$3,0))</f>
        <v>0</v>
      </c>
      <c r="AA185" s="382">
        <f>++INDEX('Financials Input'!$G668:$DC668,1,MATCH(AA$3,'Financials Input'!$G$3:$DC$3,0))</f>
        <v>0</v>
      </c>
      <c r="AB185" s="382">
        <f>++INDEX('Financials Input'!$G668:$DC668,1,MATCH(AB$3,'Financials Input'!$G$3:$DC$3,0))</f>
        <v>0</v>
      </c>
      <c r="AC185" s="381">
        <f>++INDEX('Financials Input'!$G668:$DC668,1,MATCH(AC$3,'Financials Input'!$G$3:$DC$3,0))</f>
        <v>0</v>
      </c>
      <c r="AD185" s="382">
        <f>++INDEX('Financials Input'!$G668:$DC668,1,MATCH(AD$3,'Financials Input'!$G$3:$DC$3,0))</f>
        <v>0</v>
      </c>
      <c r="AE185" s="382">
        <f>++INDEX('Financials Input'!$G668:$DC668,1,MATCH(AE$3,'Financials Input'!$G$3:$DC$3,0))</f>
        <v>0</v>
      </c>
      <c r="AF185" s="382">
        <f>++INDEX('Financials Input'!$G668:$DC668,1,MATCH(AF$3,'Financials Input'!$G$3:$DC$3,0))</f>
        <v>0</v>
      </c>
      <c r="AG185" s="381">
        <f>++INDEX('Financials Input'!$G668:$DC668,1,MATCH(AG$3,'Financials Input'!$G$3:$DC$3,0))</f>
        <v>0</v>
      </c>
      <c r="AH185" s="382">
        <f>++INDEX('Financials Input'!$G668:$DC668,1,MATCH(AH$3,'Financials Input'!$G$3:$DC$3,0))</f>
        <v>0</v>
      </c>
      <c r="AI185" s="382">
        <f>++INDEX('Financials Input'!$G668:$DC668,1,MATCH(AI$3,'Financials Input'!$G$3:$DC$3,0))</f>
        <v>0</v>
      </c>
      <c r="AJ185" s="382">
        <f>++INDEX('Financials Input'!$G668:$DC668,1,MATCH(AJ$3,'Financials Input'!$G$3:$DC$3,0))</f>
        <v>0</v>
      </c>
      <c r="AK185" s="381">
        <f>++INDEX('Financials Input'!$G668:$DC668,1,MATCH(AK$3,'Financials Input'!$G$3:$DC$3,0))</f>
        <v>0</v>
      </c>
      <c r="AL185" s="382">
        <f>++INDEX('Financials Input'!$G668:$DC668,1,MATCH(AL$3,'Financials Input'!$G$3:$DC$3,0))</f>
        <v>0</v>
      </c>
      <c r="AM185" s="382">
        <f>++INDEX('Financials Input'!$G668:$DC668,1,MATCH(AM$3,'Financials Input'!$G$3:$DC$3,0))</f>
        <v>0</v>
      </c>
      <c r="AN185" s="382">
        <f>++INDEX('Financials Input'!$G668:$DC668,1,MATCH(AN$3,'Financials Input'!$G$3:$DC$3,0))</f>
        <v>0</v>
      </c>
      <c r="AO185" s="381">
        <f>++INDEX('Financials Input'!$G668:$DC668,1,MATCH(AO$3,'Financials Input'!$G$3:$DC$3,0))</f>
        <v>0</v>
      </c>
    </row>
    <row r="186" spans="3:41" x14ac:dyDescent="0.3">
      <c r="C186" s="342" t="str">
        <f>++'Financials Input'!C669</f>
        <v>Other OpCo Debt</v>
      </c>
      <c r="I186" s="381">
        <f>++INDEX('Financials Input'!$G669:$DC669,1,MATCH(I$3,'Financials Input'!$G$3:$DC$3,0))</f>
        <v>0</v>
      </c>
      <c r="J186" s="382">
        <f>++INDEX('Financials Input'!$G669:$DC669,1,MATCH(J$3,'Financials Input'!$G$3:$DC$3,0))</f>
        <v>0</v>
      </c>
      <c r="K186" s="382">
        <f>++INDEX('Financials Input'!$G669:$DC669,1,MATCH(K$3,'Financials Input'!$G$3:$DC$3,0))</f>
        <v>0</v>
      </c>
      <c r="L186" s="382">
        <f>++INDEX('Financials Input'!$G669:$DC669,1,MATCH(L$3,'Financials Input'!$G$3:$DC$3,0))</f>
        <v>0</v>
      </c>
      <c r="M186" s="381">
        <f>++INDEX('Financials Input'!$G669:$DC669,1,MATCH(M$3,'Financials Input'!$G$3:$DC$3,0))</f>
        <v>0</v>
      </c>
      <c r="N186" s="382">
        <f>++INDEX('Financials Input'!$G669:$DC669,1,MATCH(N$3,'Financials Input'!$G$3:$DC$3,0))</f>
        <v>0</v>
      </c>
      <c r="O186" s="382">
        <f>++INDEX('Financials Input'!$G669:$DC669,1,MATCH(O$3,'Financials Input'!$G$3:$DC$3,0))</f>
        <v>0</v>
      </c>
      <c r="P186" s="382">
        <f>++INDEX('Financials Input'!$G669:$DC669,1,MATCH(P$3,'Financials Input'!$G$3:$DC$3,0))</f>
        <v>0</v>
      </c>
      <c r="Q186" s="381">
        <f>++INDEX('Financials Input'!$G669:$DC669,1,MATCH(Q$3,'Financials Input'!$G$3:$DC$3,0))</f>
        <v>0</v>
      </c>
      <c r="R186" s="382">
        <f>++INDEX('Financials Input'!$G669:$DC669,1,MATCH(R$3,'Financials Input'!$G$3:$DC$3,0))</f>
        <v>0</v>
      </c>
      <c r="S186" s="382">
        <f>++INDEX('Financials Input'!$G669:$DC669,1,MATCH(S$3,'Financials Input'!$G$3:$DC$3,0))</f>
        <v>0</v>
      </c>
      <c r="T186" s="382">
        <f>++INDEX('Financials Input'!$G669:$DC669,1,MATCH(T$3,'Financials Input'!$G$3:$DC$3,0))</f>
        <v>0</v>
      </c>
      <c r="U186" s="381">
        <f>++INDEX('Financials Input'!$G669:$DC669,1,MATCH(U$3,'Financials Input'!$G$3:$DC$3,0))</f>
        <v>0</v>
      </c>
      <c r="V186" s="382">
        <f>++INDEX('Financials Input'!$G669:$DC669,1,MATCH(V$3,'Financials Input'!$G$3:$DC$3,0))</f>
        <v>0</v>
      </c>
      <c r="W186" s="382">
        <f>++INDEX('Financials Input'!$G669:$DC669,1,MATCH(W$3,'Financials Input'!$G$3:$DC$3,0))</f>
        <v>0</v>
      </c>
      <c r="X186" s="382">
        <f>++INDEX('Financials Input'!$G669:$DC669,1,MATCH(X$3,'Financials Input'!$G$3:$DC$3,0))</f>
        <v>0</v>
      </c>
      <c r="Y186" s="381">
        <f>++INDEX('Financials Input'!$G669:$DC669,1,MATCH(Y$3,'Financials Input'!$G$3:$DC$3,0))</f>
        <v>0</v>
      </c>
      <c r="Z186" s="382">
        <f>++INDEX('Financials Input'!$G669:$DC669,1,MATCH(Z$3,'Financials Input'!$G$3:$DC$3,0))</f>
        <v>0</v>
      </c>
      <c r="AA186" s="382">
        <f>++INDEX('Financials Input'!$G669:$DC669,1,MATCH(AA$3,'Financials Input'!$G$3:$DC$3,0))</f>
        <v>0</v>
      </c>
      <c r="AB186" s="382">
        <f>++INDEX('Financials Input'!$G669:$DC669,1,MATCH(AB$3,'Financials Input'!$G$3:$DC$3,0))</f>
        <v>0</v>
      </c>
      <c r="AC186" s="381">
        <f>++INDEX('Financials Input'!$G669:$DC669,1,MATCH(AC$3,'Financials Input'!$G$3:$DC$3,0))</f>
        <v>0</v>
      </c>
      <c r="AD186" s="382">
        <f>++INDEX('Financials Input'!$G669:$DC669,1,MATCH(AD$3,'Financials Input'!$G$3:$DC$3,0))</f>
        <v>0</v>
      </c>
      <c r="AE186" s="382">
        <f>++INDEX('Financials Input'!$G669:$DC669,1,MATCH(AE$3,'Financials Input'!$G$3:$DC$3,0))</f>
        <v>0</v>
      </c>
      <c r="AF186" s="382">
        <f>++INDEX('Financials Input'!$G669:$DC669,1,MATCH(AF$3,'Financials Input'!$G$3:$DC$3,0))</f>
        <v>0</v>
      </c>
      <c r="AG186" s="381">
        <f>++INDEX('Financials Input'!$G669:$DC669,1,MATCH(AG$3,'Financials Input'!$G$3:$DC$3,0))</f>
        <v>0</v>
      </c>
      <c r="AH186" s="382">
        <f>++INDEX('Financials Input'!$G669:$DC669,1,MATCH(AH$3,'Financials Input'!$G$3:$DC$3,0))</f>
        <v>0</v>
      </c>
      <c r="AI186" s="382">
        <f>++INDEX('Financials Input'!$G669:$DC669,1,MATCH(AI$3,'Financials Input'!$G$3:$DC$3,0))</f>
        <v>0</v>
      </c>
      <c r="AJ186" s="382">
        <f>++INDEX('Financials Input'!$G669:$DC669,1,MATCH(AJ$3,'Financials Input'!$G$3:$DC$3,0))</f>
        <v>0</v>
      </c>
      <c r="AK186" s="381">
        <f>++INDEX('Financials Input'!$G669:$DC669,1,MATCH(AK$3,'Financials Input'!$G$3:$DC$3,0))</f>
        <v>0</v>
      </c>
      <c r="AL186" s="382">
        <f>++INDEX('Financials Input'!$G669:$DC669,1,MATCH(AL$3,'Financials Input'!$G$3:$DC$3,0))</f>
        <v>0</v>
      </c>
      <c r="AM186" s="382">
        <f>++INDEX('Financials Input'!$G669:$DC669,1,MATCH(AM$3,'Financials Input'!$G$3:$DC$3,0))</f>
        <v>0</v>
      </c>
      <c r="AN186" s="382">
        <f>++INDEX('Financials Input'!$G669:$DC669,1,MATCH(AN$3,'Financials Input'!$G$3:$DC$3,0))</f>
        <v>0</v>
      </c>
      <c r="AO186" s="381">
        <f>++INDEX('Financials Input'!$G669:$DC669,1,MATCH(AO$3,'Financials Input'!$G$3:$DC$3,0))</f>
        <v>0</v>
      </c>
    </row>
    <row r="187" spans="3:41" x14ac:dyDescent="0.3">
      <c r="C187" s="383" t="str">
        <f>++'Financials Input'!C670</f>
        <v>Total Debt (OpCo)</v>
      </c>
      <c r="D187" s="191"/>
      <c r="E187" s="191"/>
      <c r="F187" s="191"/>
      <c r="G187" s="191"/>
      <c r="I187" s="198">
        <f>++SUM(I180,I182:I186)</f>
        <v>0</v>
      </c>
      <c r="J187" s="380">
        <f t="shared" ref="J187:AO187" si="201">++SUM(J180,J182:J186)</f>
        <v>0</v>
      </c>
      <c r="K187" s="380">
        <f t="shared" si="201"/>
        <v>0</v>
      </c>
      <c r="L187" s="380">
        <f t="shared" si="201"/>
        <v>0</v>
      </c>
      <c r="M187" s="198">
        <f t="shared" si="201"/>
        <v>0</v>
      </c>
      <c r="N187" s="380">
        <f t="shared" si="201"/>
        <v>0</v>
      </c>
      <c r="O187" s="380">
        <f t="shared" si="201"/>
        <v>0</v>
      </c>
      <c r="P187" s="380">
        <f t="shared" si="201"/>
        <v>0</v>
      </c>
      <c r="Q187" s="198">
        <f t="shared" si="201"/>
        <v>0</v>
      </c>
      <c r="R187" s="380">
        <f t="shared" si="201"/>
        <v>0</v>
      </c>
      <c r="S187" s="380">
        <f t="shared" si="201"/>
        <v>0</v>
      </c>
      <c r="T187" s="380">
        <f t="shared" si="201"/>
        <v>0</v>
      </c>
      <c r="U187" s="198">
        <f t="shared" si="201"/>
        <v>0</v>
      </c>
      <c r="V187" s="380">
        <f t="shared" si="201"/>
        <v>0</v>
      </c>
      <c r="W187" s="380">
        <f t="shared" si="201"/>
        <v>0</v>
      </c>
      <c r="X187" s="380">
        <f t="shared" si="201"/>
        <v>0</v>
      </c>
      <c r="Y187" s="198">
        <f t="shared" si="201"/>
        <v>0</v>
      </c>
      <c r="Z187" s="380">
        <f t="shared" si="201"/>
        <v>0</v>
      </c>
      <c r="AA187" s="380">
        <f t="shared" si="201"/>
        <v>0</v>
      </c>
      <c r="AB187" s="380">
        <f t="shared" si="201"/>
        <v>0</v>
      </c>
      <c r="AC187" s="198">
        <f t="shared" si="201"/>
        <v>0</v>
      </c>
      <c r="AD187" s="380">
        <f t="shared" si="201"/>
        <v>0</v>
      </c>
      <c r="AE187" s="380">
        <f t="shared" si="201"/>
        <v>0</v>
      </c>
      <c r="AF187" s="380">
        <f t="shared" si="201"/>
        <v>0</v>
      </c>
      <c r="AG187" s="198">
        <f t="shared" si="201"/>
        <v>0</v>
      </c>
      <c r="AH187" s="380">
        <f t="shared" si="201"/>
        <v>0</v>
      </c>
      <c r="AI187" s="380">
        <f t="shared" si="201"/>
        <v>0</v>
      </c>
      <c r="AJ187" s="380">
        <f t="shared" si="201"/>
        <v>0</v>
      </c>
      <c r="AK187" s="198">
        <f t="shared" si="201"/>
        <v>0</v>
      </c>
      <c r="AL187" s="380">
        <f t="shared" si="201"/>
        <v>0</v>
      </c>
      <c r="AM187" s="380">
        <f t="shared" si="201"/>
        <v>0</v>
      </c>
      <c r="AN187" s="380">
        <f t="shared" si="201"/>
        <v>0</v>
      </c>
      <c r="AO187" s="198">
        <f t="shared" si="201"/>
        <v>0</v>
      </c>
    </row>
    <row r="188" spans="3:41" x14ac:dyDescent="0.3">
      <c r="I188" s="203"/>
      <c r="M188" s="203"/>
      <c r="Q188" s="203"/>
      <c r="U188" s="203"/>
      <c r="Y188" s="203"/>
      <c r="AC188" s="203"/>
      <c r="AG188" s="203"/>
      <c r="AK188" s="203"/>
      <c r="AO188" s="203"/>
    </row>
    <row r="189" spans="3:41" x14ac:dyDescent="0.3">
      <c r="C189" s="342" t="str">
        <f>++'Financials Input'!C672</f>
        <v>HoldCo Notes</v>
      </c>
      <c r="I189" s="381">
        <f>++INDEX('Financials Input'!$G672:$DC672,1,MATCH(I$3,'Financials Input'!$G$3:$DC$3,0))</f>
        <v>0</v>
      </c>
      <c r="J189" s="382">
        <f>++INDEX('Financials Input'!$G672:$DC672,1,MATCH(J$3,'Financials Input'!$G$3:$DC$3,0))</f>
        <v>0</v>
      </c>
      <c r="K189" s="382">
        <f>++INDEX('Financials Input'!$G672:$DC672,1,MATCH(K$3,'Financials Input'!$G$3:$DC$3,0))</f>
        <v>0</v>
      </c>
      <c r="L189" s="382">
        <f>++INDEX('Financials Input'!$G672:$DC672,1,MATCH(L$3,'Financials Input'!$G$3:$DC$3,0))</f>
        <v>0</v>
      </c>
      <c r="M189" s="381">
        <f>++INDEX('Financials Input'!$G672:$DC672,1,MATCH(M$3,'Financials Input'!$G$3:$DC$3,0))</f>
        <v>0</v>
      </c>
      <c r="N189" s="382">
        <f>++INDEX('Financials Input'!$G672:$DC672,1,MATCH(N$3,'Financials Input'!$G$3:$DC$3,0))</f>
        <v>0</v>
      </c>
      <c r="O189" s="382">
        <f>++INDEX('Financials Input'!$G672:$DC672,1,MATCH(O$3,'Financials Input'!$G$3:$DC$3,0))</f>
        <v>0</v>
      </c>
      <c r="P189" s="382">
        <f>++INDEX('Financials Input'!$G672:$DC672,1,MATCH(P$3,'Financials Input'!$G$3:$DC$3,0))</f>
        <v>0</v>
      </c>
      <c r="Q189" s="381">
        <f>++INDEX('Financials Input'!$G672:$DC672,1,MATCH(Q$3,'Financials Input'!$G$3:$DC$3,0))</f>
        <v>0</v>
      </c>
      <c r="R189" s="382">
        <f>++INDEX('Financials Input'!$G672:$DC672,1,MATCH(R$3,'Financials Input'!$G$3:$DC$3,0))</f>
        <v>0</v>
      </c>
      <c r="S189" s="382">
        <f>++INDEX('Financials Input'!$G672:$DC672,1,MATCH(S$3,'Financials Input'!$G$3:$DC$3,0))</f>
        <v>0</v>
      </c>
      <c r="T189" s="382">
        <f>++INDEX('Financials Input'!$G672:$DC672,1,MATCH(T$3,'Financials Input'!$G$3:$DC$3,0))</f>
        <v>0</v>
      </c>
      <c r="U189" s="381">
        <f>++INDEX('Financials Input'!$G672:$DC672,1,MATCH(U$3,'Financials Input'!$G$3:$DC$3,0))</f>
        <v>0</v>
      </c>
      <c r="V189" s="382">
        <f>++INDEX('Financials Input'!$G672:$DC672,1,MATCH(V$3,'Financials Input'!$G$3:$DC$3,0))</f>
        <v>0</v>
      </c>
      <c r="W189" s="382">
        <f>++INDEX('Financials Input'!$G672:$DC672,1,MATCH(W$3,'Financials Input'!$G$3:$DC$3,0))</f>
        <v>0</v>
      </c>
      <c r="X189" s="382">
        <f>++INDEX('Financials Input'!$G672:$DC672,1,MATCH(X$3,'Financials Input'!$G$3:$DC$3,0))</f>
        <v>0</v>
      </c>
      <c r="Y189" s="381">
        <f>++INDEX('Financials Input'!$G672:$DC672,1,MATCH(Y$3,'Financials Input'!$G$3:$DC$3,0))</f>
        <v>0</v>
      </c>
      <c r="Z189" s="382">
        <f>++INDEX('Financials Input'!$G672:$DC672,1,MATCH(Z$3,'Financials Input'!$G$3:$DC$3,0))</f>
        <v>0</v>
      </c>
      <c r="AA189" s="382">
        <f>++INDEX('Financials Input'!$G672:$DC672,1,MATCH(AA$3,'Financials Input'!$G$3:$DC$3,0))</f>
        <v>0</v>
      </c>
      <c r="AB189" s="382">
        <f>++INDEX('Financials Input'!$G672:$DC672,1,MATCH(AB$3,'Financials Input'!$G$3:$DC$3,0))</f>
        <v>0</v>
      </c>
      <c r="AC189" s="381">
        <f>++INDEX('Financials Input'!$G672:$DC672,1,MATCH(AC$3,'Financials Input'!$G$3:$DC$3,0))</f>
        <v>0</v>
      </c>
      <c r="AD189" s="382">
        <f>++INDEX('Financials Input'!$G672:$DC672,1,MATCH(AD$3,'Financials Input'!$G$3:$DC$3,0))</f>
        <v>0</v>
      </c>
      <c r="AE189" s="382">
        <f>++INDEX('Financials Input'!$G672:$DC672,1,MATCH(AE$3,'Financials Input'!$G$3:$DC$3,0))</f>
        <v>0</v>
      </c>
      <c r="AF189" s="382">
        <f>++INDEX('Financials Input'!$G672:$DC672,1,MATCH(AF$3,'Financials Input'!$G$3:$DC$3,0))</f>
        <v>0</v>
      </c>
      <c r="AG189" s="381">
        <f>++INDEX('Financials Input'!$G672:$DC672,1,MATCH(AG$3,'Financials Input'!$G$3:$DC$3,0))</f>
        <v>0</v>
      </c>
      <c r="AH189" s="382">
        <f>++INDEX('Financials Input'!$G672:$DC672,1,MATCH(AH$3,'Financials Input'!$G$3:$DC$3,0))</f>
        <v>0</v>
      </c>
      <c r="AI189" s="382">
        <f>++INDEX('Financials Input'!$G672:$DC672,1,MATCH(AI$3,'Financials Input'!$G$3:$DC$3,0))</f>
        <v>0</v>
      </c>
      <c r="AJ189" s="382">
        <f>++INDEX('Financials Input'!$G672:$DC672,1,MATCH(AJ$3,'Financials Input'!$G$3:$DC$3,0))</f>
        <v>0</v>
      </c>
      <c r="AK189" s="381">
        <f>++INDEX('Financials Input'!$G672:$DC672,1,MATCH(AK$3,'Financials Input'!$G$3:$DC$3,0))</f>
        <v>0</v>
      </c>
      <c r="AL189" s="382">
        <f>++INDEX('Financials Input'!$G672:$DC672,1,MATCH(AL$3,'Financials Input'!$G$3:$DC$3,0))</f>
        <v>0</v>
      </c>
      <c r="AM189" s="382">
        <f>++INDEX('Financials Input'!$G672:$DC672,1,MATCH(AM$3,'Financials Input'!$G$3:$DC$3,0))</f>
        <v>0</v>
      </c>
      <c r="AN189" s="382">
        <f>++INDEX('Financials Input'!$G672:$DC672,1,MATCH(AN$3,'Financials Input'!$G$3:$DC$3,0))</f>
        <v>0</v>
      </c>
      <c r="AO189" s="381">
        <f>++INDEX('Financials Input'!$G672:$DC672,1,MATCH(AO$3,'Financials Input'!$G$3:$DC$3,0))</f>
        <v>0</v>
      </c>
    </row>
    <row r="190" spans="3:41" x14ac:dyDescent="0.3">
      <c r="C190" s="342" t="str">
        <f>++'Financials Input'!C673</f>
        <v>HoldCo DD Notes ($0.0MM)</v>
      </c>
      <c r="I190" s="381">
        <f>++INDEX('Financials Input'!$G673:$DC673,1,MATCH(I$3,'Financials Input'!$G$3:$DC$3,0))</f>
        <v>0</v>
      </c>
      <c r="J190" s="382">
        <f>++INDEX('Financials Input'!$G673:$DC673,1,MATCH(J$3,'Financials Input'!$G$3:$DC$3,0))</f>
        <v>0</v>
      </c>
      <c r="K190" s="382">
        <f>++INDEX('Financials Input'!$G673:$DC673,1,MATCH(K$3,'Financials Input'!$G$3:$DC$3,0))</f>
        <v>0</v>
      </c>
      <c r="L190" s="382">
        <f>++INDEX('Financials Input'!$G673:$DC673,1,MATCH(L$3,'Financials Input'!$G$3:$DC$3,0))</f>
        <v>0</v>
      </c>
      <c r="M190" s="381">
        <f>++INDEX('Financials Input'!$G673:$DC673,1,MATCH(M$3,'Financials Input'!$G$3:$DC$3,0))</f>
        <v>0</v>
      </c>
      <c r="N190" s="382">
        <f>++INDEX('Financials Input'!$G673:$DC673,1,MATCH(N$3,'Financials Input'!$G$3:$DC$3,0))</f>
        <v>0</v>
      </c>
      <c r="O190" s="382">
        <f>++INDEX('Financials Input'!$G673:$DC673,1,MATCH(O$3,'Financials Input'!$G$3:$DC$3,0))</f>
        <v>0</v>
      </c>
      <c r="P190" s="382">
        <f>++INDEX('Financials Input'!$G673:$DC673,1,MATCH(P$3,'Financials Input'!$G$3:$DC$3,0))</f>
        <v>0</v>
      </c>
      <c r="Q190" s="381">
        <f>++INDEX('Financials Input'!$G673:$DC673,1,MATCH(Q$3,'Financials Input'!$G$3:$DC$3,0))</f>
        <v>0</v>
      </c>
      <c r="R190" s="382">
        <f>++INDEX('Financials Input'!$G673:$DC673,1,MATCH(R$3,'Financials Input'!$G$3:$DC$3,0))</f>
        <v>0</v>
      </c>
      <c r="S190" s="382">
        <f>++INDEX('Financials Input'!$G673:$DC673,1,MATCH(S$3,'Financials Input'!$G$3:$DC$3,0))</f>
        <v>0</v>
      </c>
      <c r="T190" s="382">
        <f>++INDEX('Financials Input'!$G673:$DC673,1,MATCH(T$3,'Financials Input'!$G$3:$DC$3,0))</f>
        <v>0</v>
      </c>
      <c r="U190" s="381">
        <f>++INDEX('Financials Input'!$G673:$DC673,1,MATCH(U$3,'Financials Input'!$G$3:$DC$3,0))</f>
        <v>0</v>
      </c>
      <c r="V190" s="382">
        <f>++INDEX('Financials Input'!$G673:$DC673,1,MATCH(V$3,'Financials Input'!$G$3:$DC$3,0))</f>
        <v>0</v>
      </c>
      <c r="W190" s="382">
        <f>++INDEX('Financials Input'!$G673:$DC673,1,MATCH(W$3,'Financials Input'!$G$3:$DC$3,0))</f>
        <v>0</v>
      </c>
      <c r="X190" s="382">
        <f>++INDEX('Financials Input'!$G673:$DC673,1,MATCH(X$3,'Financials Input'!$G$3:$DC$3,0))</f>
        <v>0</v>
      </c>
      <c r="Y190" s="381">
        <f>++INDEX('Financials Input'!$G673:$DC673,1,MATCH(Y$3,'Financials Input'!$G$3:$DC$3,0))</f>
        <v>0</v>
      </c>
      <c r="Z190" s="382">
        <f>++INDEX('Financials Input'!$G673:$DC673,1,MATCH(Z$3,'Financials Input'!$G$3:$DC$3,0))</f>
        <v>0</v>
      </c>
      <c r="AA190" s="382">
        <f>++INDEX('Financials Input'!$G673:$DC673,1,MATCH(AA$3,'Financials Input'!$G$3:$DC$3,0))</f>
        <v>0</v>
      </c>
      <c r="AB190" s="382">
        <f>++INDEX('Financials Input'!$G673:$DC673,1,MATCH(AB$3,'Financials Input'!$G$3:$DC$3,0))</f>
        <v>0</v>
      </c>
      <c r="AC190" s="381">
        <f>++INDEX('Financials Input'!$G673:$DC673,1,MATCH(AC$3,'Financials Input'!$G$3:$DC$3,0))</f>
        <v>0</v>
      </c>
      <c r="AD190" s="382">
        <f>++INDEX('Financials Input'!$G673:$DC673,1,MATCH(AD$3,'Financials Input'!$G$3:$DC$3,0))</f>
        <v>0</v>
      </c>
      <c r="AE190" s="382">
        <f>++INDEX('Financials Input'!$G673:$DC673,1,MATCH(AE$3,'Financials Input'!$G$3:$DC$3,0))</f>
        <v>0</v>
      </c>
      <c r="AF190" s="382">
        <f>++INDEX('Financials Input'!$G673:$DC673,1,MATCH(AF$3,'Financials Input'!$G$3:$DC$3,0))</f>
        <v>0</v>
      </c>
      <c r="AG190" s="381">
        <f>++INDEX('Financials Input'!$G673:$DC673,1,MATCH(AG$3,'Financials Input'!$G$3:$DC$3,0))</f>
        <v>0</v>
      </c>
      <c r="AH190" s="382">
        <f>++INDEX('Financials Input'!$G673:$DC673,1,MATCH(AH$3,'Financials Input'!$G$3:$DC$3,0))</f>
        <v>0</v>
      </c>
      <c r="AI190" s="382">
        <f>++INDEX('Financials Input'!$G673:$DC673,1,MATCH(AI$3,'Financials Input'!$G$3:$DC$3,0))</f>
        <v>0</v>
      </c>
      <c r="AJ190" s="382">
        <f>++INDEX('Financials Input'!$G673:$DC673,1,MATCH(AJ$3,'Financials Input'!$G$3:$DC$3,0))</f>
        <v>0</v>
      </c>
      <c r="AK190" s="381">
        <f>++INDEX('Financials Input'!$G673:$DC673,1,MATCH(AK$3,'Financials Input'!$G$3:$DC$3,0))</f>
        <v>0</v>
      </c>
      <c r="AL190" s="382">
        <f>++INDEX('Financials Input'!$G673:$DC673,1,MATCH(AL$3,'Financials Input'!$G$3:$DC$3,0))</f>
        <v>0</v>
      </c>
      <c r="AM190" s="382">
        <f>++INDEX('Financials Input'!$G673:$DC673,1,MATCH(AM$3,'Financials Input'!$G$3:$DC$3,0))</f>
        <v>0</v>
      </c>
      <c r="AN190" s="382">
        <f>++INDEX('Financials Input'!$G673:$DC673,1,MATCH(AN$3,'Financials Input'!$G$3:$DC$3,0))</f>
        <v>0</v>
      </c>
      <c r="AO190" s="381">
        <f>++INDEX('Financials Input'!$G673:$DC673,1,MATCH(AO$3,'Financials Input'!$G$3:$DC$3,0))</f>
        <v>0</v>
      </c>
    </row>
    <row r="191" spans="3:41" x14ac:dyDescent="0.3">
      <c r="C191" s="342" t="str">
        <f>++'Financials Input'!C674</f>
        <v>Other Debt</v>
      </c>
      <c r="I191" s="381">
        <f>++INDEX('Financials Input'!$G674:$DC674,1,MATCH(I$3,'Financials Input'!$G$3:$DC$3,0))</f>
        <v>0</v>
      </c>
      <c r="J191" s="382">
        <f>++INDEX('Financials Input'!$G674:$DC674,1,MATCH(J$3,'Financials Input'!$G$3:$DC$3,0))</f>
        <v>0</v>
      </c>
      <c r="K191" s="382">
        <f>++INDEX('Financials Input'!$G674:$DC674,1,MATCH(K$3,'Financials Input'!$G$3:$DC$3,0))</f>
        <v>0</v>
      </c>
      <c r="L191" s="382">
        <f>++INDEX('Financials Input'!$G674:$DC674,1,MATCH(L$3,'Financials Input'!$G$3:$DC$3,0))</f>
        <v>0</v>
      </c>
      <c r="M191" s="381">
        <f>++INDEX('Financials Input'!$G674:$DC674,1,MATCH(M$3,'Financials Input'!$G$3:$DC$3,0))</f>
        <v>0</v>
      </c>
      <c r="N191" s="382">
        <f>++INDEX('Financials Input'!$G674:$DC674,1,MATCH(N$3,'Financials Input'!$G$3:$DC$3,0))</f>
        <v>0</v>
      </c>
      <c r="O191" s="382">
        <f>++INDEX('Financials Input'!$G674:$DC674,1,MATCH(O$3,'Financials Input'!$G$3:$DC$3,0))</f>
        <v>0</v>
      </c>
      <c r="P191" s="382">
        <f>++INDEX('Financials Input'!$G674:$DC674,1,MATCH(P$3,'Financials Input'!$G$3:$DC$3,0))</f>
        <v>0</v>
      </c>
      <c r="Q191" s="381">
        <f>++INDEX('Financials Input'!$G674:$DC674,1,MATCH(Q$3,'Financials Input'!$G$3:$DC$3,0))</f>
        <v>0</v>
      </c>
      <c r="R191" s="382">
        <f>++INDEX('Financials Input'!$G674:$DC674,1,MATCH(R$3,'Financials Input'!$G$3:$DC$3,0))</f>
        <v>0</v>
      </c>
      <c r="S191" s="382">
        <f>++INDEX('Financials Input'!$G674:$DC674,1,MATCH(S$3,'Financials Input'!$G$3:$DC$3,0))</f>
        <v>0</v>
      </c>
      <c r="T191" s="382">
        <f>++INDEX('Financials Input'!$G674:$DC674,1,MATCH(T$3,'Financials Input'!$G$3:$DC$3,0))</f>
        <v>0</v>
      </c>
      <c r="U191" s="381">
        <f>++INDEX('Financials Input'!$G674:$DC674,1,MATCH(U$3,'Financials Input'!$G$3:$DC$3,0))</f>
        <v>0</v>
      </c>
      <c r="V191" s="382">
        <f>++INDEX('Financials Input'!$G674:$DC674,1,MATCH(V$3,'Financials Input'!$G$3:$DC$3,0))</f>
        <v>0</v>
      </c>
      <c r="W191" s="382">
        <f>++INDEX('Financials Input'!$G674:$DC674,1,MATCH(W$3,'Financials Input'!$G$3:$DC$3,0))</f>
        <v>0</v>
      </c>
      <c r="X191" s="382">
        <f>++INDEX('Financials Input'!$G674:$DC674,1,MATCH(X$3,'Financials Input'!$G$3:$DC$3,0))</f>
        <v>0</v>
      </c>
      <c r="Y191" s="381">
        <f>++INDEX('Financials Input'!$G674:$DC674,1,MATCH(Y$3,'Financials Input'!$G$3:$DC$3,0))</f>
        <v>0</v>
      </c>
      <c r="Z191" s="382">
        <f>++INDEX('Financials Input'!$G674:$DC674,1,MATCH(Z$3,'Financials Input'!$G$3:$DC$3,0))</f>
        <v>0</v>
      </c>
      <c r="AA191" s="382">
        <f>++INDEX('Financials Input'!$G674:$DC674,1,MATCH(AA$3,'Financials Input'!$G$3:$DC$3,0))</f>
        <v>0</v>
      </c>
      <c r="AB191" s="382">
        <f>++INDEX('Financials Input'!$G674:$DC674,1,MATCH(AB$3,'Financials Input'!$G$3:$DC$3,0))</f>
        <v>0</v>
      </c>
      <c r="AC191" s="381">
        <f>++INDEX('Financials Input'!$G674:$DC674,1,MATCH(AC$3,'Financials Input'!$G$3:$DC$3,0))</f>
        <v>0</v>
      </c>
      <c r="AD191" s="382">
        <f>++INDEX('Financials Input'!$G674:$DC674,1,MATCH(AD$3,'Financials Input'!$G$3:$DC$3,0))</f>
        <v>0</v>
      </c>
      <c r="AE191" s="382">
        <f>++INDEX('Financials Input'!$G674:$DC674,1,MATCH(AE$3,'Financials Input'!$G$3:$DC$3,0))</f>
        <v>0</v>
      </c>
      <c r="AF191" s="382">
        <f>++INDEX('Financials Input'!$G674:$DC674,1,MATCH(AF$3,'Financials Input'!$G$3:$DC$3,0))</f>
        <v>0</v>
      </c>
      <c r="AG191" s="381">
        <f>++INDEX('Financials Input'!$G674:$DC674,1,MATCH(AG$3,'Financials Input'!$G$3:$DC$3,0))</f>
        <v>0</v>
      </c>
      <c r="AH191" s="382">
        <f>++INDEX('Financials Input'!$G674:$DC674,1,MATCH(AH$3,'Financials Input'!$G$3:$DC$3,0))</f>
        <v>0</v>
      </c>
      <c r="AI191" s="382">
        <f>++INDEX('Financials Input'!$G674:$DC674,1,MATCH(AI$3,'Financials Input'!$G$3:$DC$3,0))</f>
        <v>0</v>
      </c>
      <c r="AJ191" s="382">
        <f>++INDEX('Financials Input'!$G674:$DC674,1,MATCH(AJ$3,'Financials Input'!$G$3:$DC$3,0))</f>
        <v>0</v>
      </c>
      <c r="AK191" s="381">
        <f>++INDEX('Financials Input'!$G674:$DC674,1,MATCH(AK$3,'Financials Input'!$G$3:$DC$3,0))</f>
        <v>0</v>
      </c>
      <c r="AL191" s="382">
        <f>++INDEX('Financials Input'!$G674:$DC674,1,MATCH(AL$3,'Financials Input'!$G$3:$DC$3,0))</f>
        <v>0</v>
      </c>
      <c r="AM191" s="382">
        <f>++INDEX('Financials Input'!$G674:$DC674,1,MATCH(AM$3,'Financials Input'!$G$3:$DC$3,0))</f>
        <v>0</v>
      </c>
      <c r="AN191" s="382">
        <f>++INDEX('Financials Input'!$G674:$DC674,1,MATCH(AN$3,'Financials Input'!$G$3:$DC$3,0))</f>
        <v>0</v>
      </c>
      <c r="AO191" s="381">
        <f>++INDEX('Financials Input'!$G674:$DC674,1,MATCH(AO$3,'Financials Input'!$G$3:$DC$3,0))</f>
        <v>0</v>
      </c>
    </row>
    <row r="192" spans="3:41" x14ac:dyDescent="0.3">
      <c r="C192" s="383" t="str">
        <f>++'Financials Input'!C675</f>
        <v>Total Debt (HoldCo)</v>
      </c>
      <c r="D192" s="191"/>
      <c r="E192" s="191"/>
      <c r="F192" s="191"/>
      <c r="G192" s="191"/>
      <c r="I192" s="198">
        <f>++SUM(I187,I189:I191)</f>
        <v>0</v>
      </c>
      <c r="J192" s="380">
        <f t="shared" ref="J192:AO192" si="202">++SUM(J187,J189:J191)</f>
        <v>0</v>
      </c>
      <c r="K192" s="380">
        <f t="shared" si="202"/>
        <v>0</v>
      </c>
      <c r="L192" s="380">
        <f t="shared" si="202"/>
        <v>0</v>
      </c>
      <c r="M192" s="198">
        <f t="shared" si="202"/>
        <v>0</v>
      </c>
      <c r="N192" s="380">
        <f t="shared" si="202"/>
        <v>0</v>
      </c>
      <c r="O192" s="380">
        <f t="shared" si="202"/>
        <v>0</v>
      </c>
      <c r="P192" s="380">
        <f t="shared" si="202"/>
        <v>0</v>
      </c>
      <c r="Q192" s="198">
        <f t="shared" si="202"/>
        <v>0</v>
      </c>
      <c r="R192" s="380">
        <f t="shared" si="202"/>
        <v>0</v>
      </c>
      <c r="S192" s="380">
        <f t="shared" si="202"/>
        <v>0</v>
      </c>
      <c r="T192" s="380">
        <f t="shared" si="202"/>
        <v>0</v>
      </c>
      <c r="U192" s="198">
        <f t="shared" si="202"/>
        <v>0</v>
      </c>
      <c r="V192" s="380">
        <f t="shared" si="202"/>
        <v>0</v>
      </c>
      <c r="W192" s="380">
        <f t="shared" si="202"/>
        <v>0</v>
      </c>
      <c r="X192" s="380">
        <f t="shared" si="202"/>
        <v>0</v>
      </c>
      <c r="Y192" s="198">
        <f t="shared" si="202"/>
        <v>0</v>
      </c>
      <c r="Z192" s="380">
        <f t="shared" si="202"/>
        <v>0</v>
      </c>
      <c r="AA192" s="380">
        <f t="shared" si="202"/>
        <v>0</v>
      </c>
      <c r="AB192" s="380">
        <f t="shared" si="202"/>
        <v>0</v>
      </c>
      <c r="AC192" s="198">
        <f t="shared" si="202"/>
        <v>0</v>
      </c>
      <c r="AD192" s="380">
        <f t="shared" si="202"/>
        <v>0</v>
      </c>
      <c r="AE192" s="380">
        <f t="shared" si="202"/>
        <v>0</v>
      </c>
      <c r="AF192" s="380">
        <f t="shared" si="202"/>
        <v>0</v>
      </c>
      <c r="AG192" s="198">
        <f t="shared" si="202"/>
        <v>0</v>
      </c>
      <c r="AH192" s="380">
        <f t="shared" si="202"/>
        <v>0</v>
      </c>
      <c r="AI192" s="380">
        <f t="shared" si="202"/>
        <v>0</v>
      </c>
      <c r="AJ192" s="380">
        <f t="shared" si="202"/>
        <v>0</v>
      </c>
      <c r="AK192" s="198">
        <f t="shared" si="202"/>
        <v>0</v>
      </c>
      <c r="AL192" s="380">
        <f t="shared" si="202"/>
        <v>0</v>
      </c>
      <c r="AM192" s="380">
        <f t="shared" si="202"/>
        <v>0</v>
      </c>
      <c r="AN192" s="380">
        <f t="shared" si="202"/>
        <v>0</v>
      </c>
      <c r="AO192" s="198">
        <f t="shared" si="202"/>
        <v>0</v>
      </c>
    </row>
    <row r="193" spans="1:41" x14ac:dyDescent="0.3">
      <c r="I193" s="203"/>
      <c r="M193" s="203"/>
      <c r="Q193" s="203"/>
      <c r="U193" s="203"/>
      <c r="Y193" s="203"/>
      <c r="AC193" s="203"/>
      <c r="AG193" s="203"/>
      <c r="AK193" s="203"/>
      <c r="AO193" s="203"/>
    </row>
    <row r="194" spans="1:41" x14ac:dyDescent="0.3">
      <c r="C194" s="101" t="str">
        <f>++"( ÷ ) "&amp;D123</f>
        <v>( ÷ ) Consolidated EBITDA</v>
      </c>
      <c r="I194" s="410">
        <f t="shared" ref="I194:AO194" si="203">++I123</f>
        <v>0</v>
      </c>
      <c r="J194" s="195">
        <f t="shared" si="203"/>
        <v>0</v>
      </c>
      <c r="K194" s="195">
        <f t="shared" si="203"/>
        <v>0</v>
      </c>
      <c r="L194" s="195">
        <f t="shared" si="203"/>
        <v>0</v>
      </c>
      <c r="M194" s="410">
        <f t="shared" si="203"/>
        <v>0</v>
      </c>
      <c r="N194" s="195">
        <f t="shared" si="203"/>
        <v>0</v>
      </c>
      <c r="O194" s="195">
        <f t="shared" si="203"/>
        <v>0</v>
      </c>
      <c r="P194" s="195">
        <f t="shared" si="203"/>
        <v>0</v>
      </c>
      <c r="Q194" s="410">
        <f t="shared" si="203"/>
        <v>0</v>
      </c>
      <c r="R194" s="195">
        <f t="shared" si="203"/>
        <v>0</v>
      </c>
      <c r="S194" s="195">
        <f t="shared" si="203"/>
        <v>0</v>
      </c>
      <c r="T194" s="195">
        <f t="shared" si="203"/>
        <v>0</v>
      </c>
      <c r="U194" s="410">
        <f t="shared" si="203"/>
        <v>0</v>
      </c>
      <c r="V194" s="195">
        <f t="shared" si="203"/>
        <v>0</v>
      </c>
      <c r="W194" s="195">
        <f t="shared" si="203"/>
        <v>0</v>
      </c>
      <c r="X194" s="195">
        <f t="shared" si="203"/>
        <v>0</v>
      </c>
      <c r="Y194" s="410">
        <f t="shared" si="203"/>
        <v>0</v>
      </c>
      <c r="Z194" s="195">
        <f t="shared" si="203"/>
        <v>0</v>
      </c>
      <c r="AA194" s="195">
        <f t="shared" si="203"/>
        <v>0</v>
      </c>
      <c r="AB194" s="195">
        <f t="shared" si="203"/>
        <v>0</v>
      </c>
      <c r="AC194" s="410">
        <f t="shared" si="203"/>
        <v>0</v>
      </c>
      <c r="AD194" s="195">
        <f t="shared" si="203"/>
        <v>0</v>
      </c>
      <c r="AE194" s="195">
        <f t="shared" si="203"/>
        <v>0</v>
      </c>
      <c r="AF194" s="195">
        <f t="shared" si="203"/>
        <v>0</v>
      </c>
      <c r="AG194" s="410">
        <f t="shared" si="203"/>
        <v>0</v>
      </c>
      <c r="AH194" s="195">
        <f t="shared" si="203"/>
        <v>0</v>
      </c>
      <c r="AI194" s="195">
        <f t="shared" si="203"/>
        <v>0</v>
      </c>
      <c r="AJ194" s="195">
        <f t="shared" si="203"/>
        <v>0</v>
      </c>
      <c r="AK194" s="410">
        <f t="shared" si="203"/>
        <v>0</v>
      </c>
      <c r="AL194" s="195">
        <f t="shared" si="203"/>
        <v>0</v>
      </c>
      <c r="AM194" s="195">
        <f t="shared" si="203"/>
        <v>0</v>
      </c>
      <c r="AN194" s="195">
        <f t="shared" si="203"/>
        <v>0</v>
      </c>
      <c r="AO194" s="410">
        <f t="shared" si="203"/>
        <v>0</v>
      </c>
    </row>
    <row r="195" spans="1:41" ht="13.5" thickBot="1" x14ac:dyDescent="0.35">
      <c r="C195" s="421" t="s">
        <v>643</v>
      </c>
      <c r="D195" s="422"/>
      <c r="E195" s="422"/>
      <c r="F195" s="370"/>
      <c r="G195" s="370"/>
      <c r="I195" s="269">
        <f t="shared" ref="I195:P195" si="204">++IFERROR((I187-I166)/I194,0)</f>
        <v>0</v>
      </c>
      <c r="J195" s="389">
        <f t="shared" si="204"/>
        <v>0</v>
      </c>
      <c r="K195" s="389">
        <f t="shared" si="204"/>
        <v>0</v>
      </c>
      <c r="L195" s="389">
        <f t="shared" si="204"/>
        <v>0</v>
      </c>
      <c r="M195" s="269">
        <f t="shared" si="204"/>
        <v>0</v>
      </c>
      <c r="N195" s="389">
        <f t="shared" si="204"/>
        <v>0</v>
      </c>
      <c r="O195" s="389">
        <f t="shared" si="204"/>
        <v>0</v>
      </c>
      <c r="P195" s="389">
        <f t="shared" si="204"/>
        <v>0</v>
      </c>
      <c r="Q195" s="269">
        <f t="shared" ref="Q195:AO195" si="205">++IFERROR((Q187-Q166)/Q194,0)</f>
        <v>0</v>
      </c>
      <c r="R195" s="389">
        <f t="shared" si="205"/>
        <v>0</v>
      </c>
      <c r="S195" s="389">
        <f t="shared" si="205"/>
        <v>0</v>
      </c>
      <c r="T195" s="389">
        <f t="shared" si="205"/>
        <v>0</v>
      </c>
      <c r="U195" s="269">
        <f t="shared" si="205"/>
        <v>0</v>
      </c>
      <c r="V195" s="389">
        <f t="shared" si="205"/>
        <v>0</v>
      </c>
      <c r="W195" s="389">
        <f t="shared" si="205"/>
        <v>0</v>
      </c>
      <c r="X195" s="389">
        <f t="shared" si="205"/>
        <v>0</v>
      </c>
      <c r="Y195" s="269">
        <f t="shared" si="205"/>
        <v>0</v>
      </c>
      <c r="Z195" s="389">
        <f t="shared" si="205"/>
        <v>0</v>
      </c>
      <c r="AA195" s="389">
        <f t="shared" si="205"/>
        <v>0</v>
      </c>
      <c r="AB195" s="389">
        <f t="shared" si="205"/>
        <v>0</v>
      </c>
      <c r="AC195" s="269">
        <f t="shared" si="205"/>
        <v>0</v>
      </c>
      <c r="AD195" s="389">
        <f t="shared" si="205"/>
        <v>0</v>
      </c>
      <c r="AE195" s="389">
        <f t="shared" si="205"/>
        <v>0</v>
      </c>
      <c r="AF195" s="389">
        <f t="shared" si="205"/>
        <v>0</v>
      </c>
      <c r="AG195" s="269">
        <f t="shared" si="205"/>
        <v>0</v>
      </c>
      <c r="AH195" s="389">
        <f t="shared" si="205"/>
        <v>0</v>
      </c>
      <c r="AI195" s="389">
        <f t="shared" si="205"/>
        <v>0</v>
      </c>
      <c r="AJ195" s="389">
        <f t="shared" si="205"/>
        <v>0</v>
      </c>
      <c r="AK195" s="269">
        <f t="shared" si="205"/>
        <v>0</v>
      </c>
      <c r="AL195" s="389">
        <f t="shared" si="205"/>
        <v>0</v>
      </c>
      <c r="AM195" s="389">
        <f t="shared" si="205"/>
        <v>0</v>
      </c>
      <c r="AN195" s="389">
        <f t="shared" si="205"/>
        <v>0</v>
      </c>
      <c r="AO195" s="269">
        <f t="shared" si="205"/>
        <v>0</v>
      </c>
    </row>
    <row r="196" spans="1:41" ht="13.5" thickTop="1" x14ac:dyDescent="0.3">
      <c r="C196" s="442" t="s">
        <v>644</v>
      </c>
      <c r="D196" s="323"/>
      <c r="E196" s="323"/>
      <c r="I196" s="384">
        <v>0</v>
      </c>
      <c r="J196" s="384">
        <v>0</v>
      </c>
      <c r="K196" s="384">
        <v>0</v>
      </c>
      <c r="L196" s="384">
        <v>0</v>
      </c>
      <c r="M196" s="384">
        <v>0</v>
      </c>
      <c r="N196" s="384">
        <v>0</v>
      </c>
      <c r="O196" s="384">
        <v>0</v>
      </c>
      <c r="P196" s="384">
        <v>0</v>
      </c>
      <c r="Q196" s="384">
        <v>0</v>
      </c>
      <c r="R196" s="384">
        <v>0</v>
      </c>
      <c r="S196" s="384">
        <v>0</v>
      </c>
      <c r="T196" s="384">
        <v>0</v>
      </c>
      <c r="U196" s="384">
        <v>0</v>
      </c>
      <c r="V196" s="384">
        <v>0</v>
      </c>
      <c r="W196" s="384">
        <v>0</v>
      </c>
      <c r="X196" s="384">
        <v>0</v>
      </c>
      <c r="Y196" s="384">
        <v>0</v>
      </c>
      <c r="Z196" s="384">
        <v>0</v>
      </c>
      <c r="AA196" s="384">
        <v>0</v>
      </c>
      <c r="AB196" s="384">
        <v>0</v>
      </c>
      <c r="AC196" s="384">
        <v>0</v>
      </c>
      <c r="AD196" s="384">
        <v>0</v>
      </c>
      <c r="AE196" s="384">
        <v>0</v>
      </c>
      <c r="AF196" s="384">
        <v>0</v>
      </c>
      <c r="AG196" s="384">
        <v>0</v>
      </c>
      <c r="AH196" s="384">
        <v>0</v>
      </c>
      <c r="AI196" s="384">
        <v>0</v>
      </c>
      <c r="AJ196" s="384">
        <v>0</v>
      </c>
      <c r="AK196" s="384">
        <v>0</v>
      </c>
      <c r="AL196" s="384">
        <v>0</v>
      </c>
      <c r="AM196" s="384">
        <v>0</v>
      </c>
      <c r="AN196" s="384">
        <v>0</v>
      </c>
      <c r="AO196" s="384">
        <v>0</v>
      </c>
    </row>
    <row r="197" spans="1:41" x14ac:dyDescent="0.3">
      <c r="C197" s="321" t="s">
        <v>108</v>
      </c>
      <c r="I197" s="214">
        <f>++IFERROR(1-I195/I196,0)</f>
        <v>0</v>
      </c>
      <c r="J197" s="225">
        <f t="shared" ref="J197:AO197" si="206">++IFERROR(1-J195/J196,0)</f>
        <v>0</v>
      </c>
      <c r="K197" s="225">
        <f t="shared" si="206"/>
        <v>0</v>
      </c>
      <c r="L197" s="225">
        <f t="shared" si="206"/>
        <v>0</v>
      </c>
      <c r="M197" s="214">
        <f t="shared" si="206"/>
        <v>0</v>
      </c>
      <c r="N197" s="225">
        <f t="shared" si="206"/>
        <v>0</v>
      </c>
      <c r="O197" s="225">
        <f t="shared" si="206"/>
        <v>0</v>
      </c>
      <c r="P197" s="225">
        <f t="shared" si="206"/>
        <v>0</v>
      </c>
      <c r="Q197" s="214">
        <f t="shared" si="206"/>
        <v>0</v>
      </c>
      <c r="R197" s="225">
        <f t="shared" si="206"/>
        <v>0</v>
      </c>
      <c r="S197" s="225">
        <f t="shared" si="206"/>
        <v>0</v>
      </c>
      <c r="T197" s="225">
        <f t="shared" si="206"/>
        <v>0</v>
      </c>
      <c r="U197" s="214">
        <f t="shared" si="206"/>
        <v>0</v>
      </c>
      <c r="V197" s="225">
        <f t="shared" si="206"/>
        <v>0</v>
      </c>
      <c r="W197" s="225">
        <f t="shared" si="206"/>
        <v>0</v>
      </c>
      <c r="X197" s="225">
        <f t="shared" si="206"/>
        <v>0</v>
      </c>
      <c r="Y197" s="214">
        <f t="shared" si="206"/>
        <v>0</v>
      </c>
      <c r="Z197" s="225">
        <f t="shared" si="206"/>
        <v>0</v>
      </c>
      <c r="AA197" s="225">
        <f t="shared" si="206"/>
        <v>0</v>
      </c>
      <c r="AB197" s="225">
        <f t="shared" si="206"/>
        <v>0</v>
      </c>
      <c r="AC197" s="214">
        <f t="shared" si="206"/>
        <v>0</v>
      </c>
      <c r="AD197" s="225">
        <f t="shared" si="206"/>
        <v>0</v>
      </c>
      <c r="AE197" s="225">
        <f t="shared" si="206"/>
        <v>0</v>
      </c>
      <c r="AF197" s="225">
        <f t="shared" si="206"/>
        <v>0</v>
      </c>
      <c r="AG197" s="214">
        <f t="shared" si="206"/>
        <v>0</v>
      </c>
      <c r="AH197" s="225">
        <f t="shared" si="206"/>
        <v>0</v>
      </c>
      <c r="AI197" s="225">
        <f t="shared" si="206"/>
        <v>0</v>
      </c>
      <c r="AJ197" s="225">
        <f t="shared" si="206"/>
        <v>0</v>
      </c>
      <c r="AK197" s="214">
        <f t="shared" si="206"/>
        <v>0</v>
      </c>
      <c r="AL197" s="225">
        <f t="shared" si="206"/>
        <v>0</v>
      </c>
      <c r="AM197" s="225">
        <f t="shared" si="206"/>
        <v>0</v>
      </c>
      <c r="AN197" s="225">
        <f t="shared" si="206"/>
        <v>0</v>
      </c>
      <c r="AO197" s="214">
        <f t="shared" si="206"/>
        <v>0</v>
      </c>
    </row>
    <row r="198" spans="1:41" x14ac:dyDescent="0.3">
      <c r="I198" s="203"/>
      <c r="M198" s="203"/>
      <c r="Q198" s="203"/>
      <c r="U198" s="203"/>
      <c r="Y198" s="203"/>
      <c r="AC198" s="203"/>
      <c r="AG198" s="203"/>
      <c r="AK198" s="203"/>
      <c r="AO198" s="203"/>
    </row>
    <row r="199" spans="1:41" x14ac:dyDescent="0.3">
      <c r="I199" s="203"/>
      <c r="M199" s="203"/>
      <c r="Q199" s="203"/>
      <c r="U199" s="203"/>
      <c r="Y199" s="203"/>
      <c r="AC199" s="203"/>
      <c r="AG199" s="203"/>
      <c r="AK199" s="203"/>
      <c r="AO199" s="203"/>
    </row>
    <row r="200" spans="1:41" x14ac:dyDescent="0.3">
      <c r="A200" s="319"/>
      <c r="B200" s="319" t="s">
        <v>0</v>
      </c>
      <c r="C200" s="164" t="s">
        <v>488</v>
      </c>
      <c r="D200" s="367"/>
      <c r="E200" s="367"/>
      <c r="F200" s="367"/>
      <c r="G200" s="367"/>
      <c r="H200" s="367"/>
      <c r="I200" s="367"/>
      <c r="J200" s="367"/>
      <c r="K200" s="367"/>
      <c r="L200" s="367"/>
      <c r="M200" s="367"/>
      <c r="N200" s="367"/>
      <c r="O200" s="367"/>
      <c r="P200" s="367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  <c r="AA200" s="367"/>
      <c r="AB200" s="367"/>
      <c r="AC200" s="367"/>
      <c r="AD200" s="367"/>
      <c r="AE200" s="367"/>
      <c r="AF200" s="367"/>
      <c r="AG200" s="367"/>
      <c r="AH200" s="367"/>
      <c r="AI200" s="367"/>
      <c r="AJ200" s="367"/>
      <c r="AK200" s="367"/>
      <c r="AL200" s="367"/>
      <c r="AM200" s="367"/>
      <c r="AN200" s="367"/>
      <c r="AO200" s="367"/>
    </row>
    <row r="201" spans="1:41" ht="5.15" customHeight="1" x14ac:dyDescent="0.3">
      <c r="I201" s="203"/>
      <c r="M201" s="203"/>
      <c r="Q201" s="203"/>
      <c r="U201" s="203"/>
      <c r="Y201" s="203"/>
      <c r="AC201" s="203"/>
      <c r="AG201" s="203"/>
      <c r="AK201" s="203"/>
      <c r="AO201" s="203"/>
    </row>
    <row r="202" spans="1:41" x14ac:dyDescent="0.3">
      <c r="C202" s="101" t="str">
        <f>++D123</f>
        <v>Consolidated EBITDA</v>
      </c>
      <c r="I202" s="375">
        <f t="shared" ref="I202:AO202" si="207">++I123</f>
        <v>0</v>
      </c>
      <c r="J202" s="199">
        <f t="shared" si="207"/>
        <v>0</v>
      </c>
      <c r="K202" s="199">
        <f t="shared" si="207"/>
        <v>0</v>
      </c>
      <c r="L202" s="199">
        <f t="shared" si="207"/>
        <v>0</v>
      </c>
      <c r="M202" s="375">
        <f t="shared" si="207"/>
        <v>0</v>
      </c>
      <c r="N202" s="199">
        <f t="shared" si="207"/>
        <v>0</v>
      </c>
      <c r="O202" s="199">
        <f t="shared" si="207"/>
        <v>0</v>
      </c>
      <c r="P202" s="199">
        <f t="shared" si="207"/>
        <v>0</v>
      </c>
      <c r="Q202" s="375">
        <f t="shared" si="207"/>
        <v>0</v>
      </c>
      <c r="R202" s="199">
        <f t="shared" si="207"/>
        <v>0</v>
      </c>
      <c r="S202" s="199">
        <f t="shared" si="207"/>
        <v>0</v>
      </c>
      <c r="T202" s="199">
        <f t="shared" si="207"/>
        <v>0</v>
      </c>
      <c r="U202" s="375">
        <f t="shared" si="207"/>
        <v>0</v>
      </c>
      <c r="V202" s="199">
        <f t="shared" si="207"/>
        <v>0</v>
      </c>
      <c r="W202" s="199">
        <f t="shared" si="207"/>
        <v>0</v>
      </c>
      <c r="X202" s="199">
        <f t="shared" si="207"/>
        <v>0</v>
      </c>
      <c r="Y202" s="375">
        <f t="shared" si="207"/>
        <v>0</v>
      </c>
      <c r="Z202" s="199">
        <f t="shared" si="207"/>
        <v>0</v>
      </c>
      <c r="AA202" s="199">
        <f t="shared" si="207"/>
        <v>0</v>
      </c>
      <c r="AB202" s="199">
        <f t="shared" si="207"/>
        <v>0</v>
      </c>
      <c r="AC202" s="375">
        <f t="shared" si="207"/>
        <v>0</v>
      </c>
      <c r="AD202" s="199">
        <f t="shared" si="207"/>
        <v>0</v>
      </c>
      <c r="AE202" s="199">
        <f t="shared" si="207"/>
        <v>0</v>
      </c>
      <c r="AF202" s="199">
        <f t="shared" si="207"/>
        <v>0</v>
      </c>
      <c r="AG202" s="375">
        <f t="shared" si="207"/>
        <v>0</v>
      </c>
      <c r="AH202" s="199">
        <f t="shared" si="207"/>
        <v>0</v>
      </c>
      <c r="AI202" s="199">
        <f t="shared" si="207"/>
        <v>0</v>
      </c>
      <c r="AJ202" s="199">
        <f t="shared" si="207"/>
        <v>0</v>
      </c>
      <c r="AK202" s="375">
        <f t="shared" si="207"/>
        <v>0</v>
      </c>
      <c r="AL202" s="199">
        <f t="shared" si="207"/>
        <v>0</v>
      </c>
      <c r="AM202" s="199">
        <f t="shared" si="207"/>
        <v>0</v>
      </c>
      <c r="AN202" s="199">
        <f t="shared" si="207"/>
        <v>0</v>
      </c>
      <c r="AO202" s="375">
        <f t="shared" si="207"/>
        <v>0</v>
      </c>
    </row>
    <row r="203" spans="1:41" x14ac:dyDescent="0.3">
      <c r="C203" s="423" t="s">
        <v>499</v>
      </c>
      <c r="D203" s="424"/>
      <c r="E203" s="424"/>
      <c r="F203" s="196"/>
      <c r="G203" s="196"/>
      <c r="I203" s="385" cm="1">
        <f t="array" ref="I203">++-INDEX('Financials Input'!$G52:$DC52,0,MATCH(I$3,'Financials Input'!$G$3:$DC$3,0))</f>
        <v>0</v>
      </c>
      <c r="J203" s="386" cm="1">
        <f t="array" ref="J203">++-INDEX('Financials Input'!$G52:$DC52,0,MATCH(J$3,'Financials Input'!$G$3:$DC$3,0))</f>
        <v>0</v>
      </c>
      <c r="K203" s="386" cm="1">
        <f t="array" ref="K203">++-INDEX('Financials Input'!$G52:$DC52,0,MATCH(K$3,'Financials Input'!$G$3:$DC$3,0))</f>
        <v>0</v>
      </c>
      <c r="L203" s="386" cm="1">
        <f t="array" ref="L203">++-INDEX('Financials Input'!$G52:$DC52,0,MATCH(L$3,'Financials Input'!$G$3:$DC$3,0))</f>
        <v>0</v>
      </c>
      <c r="M203" s="385" cm="1">
        <f t="array" ref="M203">++-INDEX('Financials Input'!$G52:$DC52,0,MATCH(M$3,'Financials Input'!$G$3:$DC$3,0))</f>
        <v>0</v>
      </c>
      <c r="N203" s="386" cm="1">
        <f t="array" ref="N203">++-INDEX('Financials Input'!$G52:$DC52,0,MATCH(N$3,'Financials Input'!$G$3:$DC$3,0))</f>
        <v>0</v>
      </c>
      <c r="O203" s="386" cm="1">
        <f t="array" ref="O203">++-INDEX('Financials Input'!$G52:$DC52,0,MATCH(O$3,'Financials Input'!$G$3:$DC$3,0))</f>
        <v>0</v>
      </c>
      <c r="P203" s="386" cm="1">
        <f t="array" ref="P203">++-INDEX('Financials Input'!$G52:$DC52,0,MATCH(P$3,'Financials Input'!$G$3:$DC$3,0))</f>
        <v>0</v>
      </c>
      <c r="Q203" s="385" cm="1">
        <f t="array" ref="Q203">++-INDEX('Financials Input'!$G52:$DC52,0,MATCH(Q$3,'Financials Input'!$G$3:$DC$3,0))</f>
        <v>0</v>
      </c>
      <c r="R203" s="386" cm="1">
        <f t="array" ref="R203">++-INDEX('Financials Input'!$G52:$DC52,0,MATCH(R$3,'Financials Input'!$G$3:$DC$3,0))</f>
        <v>0</v>
      </c>
      <c r="S203" s="386" cm="1">
        <f t="array" ref="S203">++-INDEX('Financials Input'!$G52:$DC52,0,MATCH(S$3,'Financials Input'!$G$3:$DC$3,0))</f>
        <v>0</v>
      </c>
      <c r="T203" s="386" cm="1">
        <f t="array" ref="T203">++-INDEX('Financials Input'!$G52:$DC52,0,MATCH(T$3,'Financials Input'!$G$3:$DC$3,0))</f>
        <v>0</v>
      </c>
      <c r="U203" s="385" cm="1">
        <f t="array" ref="U203">++-INDEX('Financials Input'!$G52:$DC52,0,MATCH(U$3,'Financials Input'!$G$3:$DC$3,0))</f>
        <v>0</v>
      </c>
      <c r="V203" s="386" cm="1">
        <f t="array" ref="V203">++-INDEX('Financials Input'!$G52:$DC52,0,MATCH(V$3,'Financials Input'!$G$3:$DC$3,0))</f>
        <v>0</v>
      </c>
      <c r="W203" s="386" cm="1">
        <f t="array" ref="W203">++-INDEX('Financials Input'!$G52:$DC52,0,MATCH(W$3,'Financials Input'!$G$3:$DC$3,0))</f>
        <v>0</v>
      </c>
      <c r="X203" s="386" cm="1">
        <f t="array" ref="X203">++-INDEX('Financials Input'!$G52:$DC52,0,MATCH(X$3,'Financials Input'!$G$3:$DC$3,0))</f>
        <v>0</v>
      </c>
      <c r="Y203" s="385" cm="1">
        <f t="array" ref="Y203">++-INDEX('Financials Input'!$G52:$DC52,0,MATCH(Y$3,'Financials Input'!$G$3:$DC$3,0))</f>
        <v>0</v>
      </c>
      <c r="Z203" s="386" cm="1">
        <f t="array" ref="Z203">++-INDEX('Financials Input'!$G52:$DC52,0,MATCH(Z$3,'Financials Input'!$G$3:$DC$3,0))</f>
        <v>0</v>
      </c>
      <c r="AA203" s="386" cm="1">
        <f t="array" ref="AA203">++-INDEX('Financials Input'!$G52:$DC52,0,MATCH(AA$3,'Financials Input'!$G$3:$DC$3,0))</f>
        <v>0</v>
      </c>
      <c r="AB203" s="386" cm="1">
        <f t="array" ref="AB203">++-INDEX('Financials Input'!$G52:$DC52,0,MATCH(AB$3,'Financials Input'!$G$3:$DC$3,0))</f>
        <v>0</v>
      </c>
      <c r="AC203" s="385" cm="1">
        <f t="array" ref="AC203">++-INDEX('Financials Input'!$G52:$DC52,0,MATCH(AC$3,'Financials Input'!$G$3:$DC$3,0))</f>
        <v>0</v>
      </c>
      <c r="AD203" s="386" cm="1">
        <f t="array" ref="AD203">++-INDEX('Financials Input'!$G52:$DC52,0,MATCH(AD$3,'Financials Input'!$G$3:$DC$3,0))</f>
        <v>0</v>
      </c>
      <c r="AE203" s="386" cm="1">
        <f t="array" ref="AE203">++-INDEX('Financials Input'!$G52:$DC52,0,MATCH(AE$3,'Financials Input'!$G$3:$DC$3,0))</f>
        <v>0</v>
      </c>
      <c r="AF203" s="386" cm="1">
        <f t="array" ref="AF203">++-INDEX('Financials Input'!$G52:$DC52,0,MATCH(AF$3,'Financials Input'!$G$3:$DC$3,0))</f>
        <v>0</v>
      </c>
      <c r="AG203" s="385" cm="1">
        <f t="array" ref="AG203">++-INDEX('Financials Input'!$G52:$DC52,0,MATCH(AG$3,'Financials Input'!$G$3:$DC$3,0))</f>
        <v>0</v>
      </c>
      <c r="AH203" s="386" cm="1">
        <f t="array" ref="AH203">++-INDEX('Financials Input'!$G52:$DC52,0,MATCH(AH$3,'Financials Input'!$G$3:$DC$3,0))</f>
        <v>0</v>
      </c>
      <c r="AI203" s="386" cm="1">
        <f t="array" ref="AI203">++-INDEX('Financials Input'!$G52:$DC52,0,MATCH(AI$3,'Financials Input'!$G$3:$DC$3,0))</f>
        <v>0</v>
      </c>
      <c r="AJ203" s="386" cm="1">
        <f t="array" ref="AJ203">++-INDEX('Financials Input'!$G52:$DC52,0,MATCH(AJ$3,'Financials Input'!$G$3:$DC$3,0))</f>
        <v>0</v>
      </c>
      <c r="AK203" s="385" cm="1">
        <f t="array" ref="AK203">++-INDEX('Financials Input'!$G52:$DC52,0,MATCH(AK$3,'Financials Input'!$G$3:$DC$3,0))</f>
        <v>0</v>
      </c>
      <c r="AL203" s="386" cm="1">
        <f t="array" ref="AL203">++-INDEX('Financials Input'!$G52:$DC52,0,MATCH(AL$3,'Financials Input'!$G$3:$DC$3,0))</f>
        <v>0</v>
      </c>
      <c r="AM203" s="386" cm="1">
        <f t="array" ref="AM203">++-INDEX('Financials Input'!$G52:$DC52,0,MATCH(AM$3,'Financials Input'!$G$3:$DC$3,0))</f>
        <v>0</v>
      </c>
      <c r="AN203" s="386" cm="1">
        <f t="array" ref="AN203">++-INDEX('Financials Input'!$G52:$DC52,0,MATCH(AN$3,'Financials Input'!$G$3:$DC$3,0))</f>
        <v>0</v>
      </c>
      <c r="AO203" s="385" cm="1">
        <f t="array" ref="AO203">++-INDEX('Financials Input'!$G52:$DC52,0,MATCH(AO$3,'Financials Input'!$G$3:$DC$3,0))</f>
        <v>0</v>
      </c>
    </row>
    <row r="204" spans="1:41" x14ac:dyDescent="0.3">
      <c r="C204" s="193" t="s">
        <v>489</v>
      </c>
      <c r="I204" s="210">
        <f>++SUM(I202:I203)</f>
        <v>0</v>
      </c>
      <c r="J204" s="221">
        <f t="shared" ref="J204:AO204" si="208">++SUM(J202:J203)</f>
        <v>0</v>
      </c>
      <c r="K204" s="221">
        <f t="shared" si="208"/>
        <v>0</v>
      </c>
      <c r="L204" s="221">
        <f t="shared" si="208"/>
        <v>0</v>
      </c>
      <c r="M204" s="210">
        <f t="shared" si="208"/>
        <v>0</v>
      </c>
      <c r="N204" s="221">
        <f t="shared" si="208"/>
        <v>0</v>
      </c>
      <c r="O204" s="221">
        <f t="shared" si="208"/>
        <v>0</v>
      </c>
      <c r="P204" s="221">
        <f t="shared" si="208"/>
        <v>0</v>
      </c>
      <c r="Q204" s="210">
        <f t="shared" si="208"/>
        <v>0</v>
      </c>
      <c r="R204" s="221">
        <f t="shared" si="208"/>
        <v>0</v>
      </c>
      <c r="S204" s="221">
        <f t="shared" si="208"/>
        <v>0</v>
      </c>
      <c r="T204" s="221">
        <f t="shared" si="208"/>
        <v>0</v>
      </c>
      <c r="U204" s="210">
        <f t="shared" si="208"/>
        <v>0</v>
      </c>
      <c r="V204" s="221">
        <f t="shared" si="208"/>
        <v>0</v>
      </c>
      <c r="W204" s="221">
        <f t="shared" si="208"/>
        <v>0</v>
      </c>
      <c r="X204" s="221">
        <f t="shared" si="208"/>
        <v>0</v>
      </c>
      <c r="Y204" s="210">
        <f t="shared" si="208"/>
        <v>0</v>
      </c>
      <c r="Z204" s="221">
        <f t="shared" si="208"/>
        <v>0</v>
      </c>
      <c r="AA204" s="221">
        <f t="shared" si="208"/>
        <v>0</v>
      </c>
      <c r="AB204" s="221">
        <f t="shared" si="208"/>
        <v>0</v>
      </c>
      <c r="AC204" s="210">
        <f t="shared" si="208"/>
        <v>0</v>
      </c>
      <c r="AD204" s="221">
        <f t="shared" si="208"/>
        <v>0</v>
      </c>
      <c r="AE204" s="221">
        <f t="shared" si="208"/>
        <v>0</v>
      </c>
      <c r="AF204" s="221">
        <f t="shared" si="208"/>
        <v>0</v>
      </c>
      <c r="AG204" s="210">
        <f t="shared" si="208"/>
        <v>0</v>
      </c>
      <c r="AH204" s="221">
        <f t="shared" si="208"/>
        <v>0</v>
      </c>
      <c r="AI204" s="221">
        <f t="shared" si="208"/>
        <v>0</v>
      </c>
      <c r="AJ204" s="221">
        <f t="shared" si="208"/>
        <v>0</v>
      </c>
      <c r="AK204" s="210">
        <f t="shared" si="208"/>
        <v>0</v>
      </c>
      <c r="AL204" s="221">
        <f t="shared" si="208"/>
        <v>0</v>
      </c>
      <c r="AM204" s="221">
        <f t="shared" si="208"/>
        <v>0</v>
      </c>
      <c r="AN204" s="221">
        <f t="shared" si="208"/>
        <v>0</v>
      </c>
      <c r="AO204" s="210">
        <f t="shared" si="208"/>
        <v>0</v>
      </c>
    </row>
    <row r="205" spans="1:41" x14ac:dyDescent="0.3">
      <c r="I205" s="203"/>
      <c r="M205" s="203"/>
      <c r="Q205" s="203"/>
      <c r="U205" s="203"/>
      <c r="Y205" s="203"/>
      <c r="AC205" s="203"/>
      <c r="AG205" s="203"/>
      <c r="AK205" s="203"/>
      <c r="AO205" s="203"/>
    </row>
    <row r="206" spans="1:41" x14ac:dyDescent="0.3">
      <c r="C206" s="123" t="s">
        <v>392</v>
      </c>
      <c r="D206" s="323"/>
      <c r="E206" s="323"/>
      <c r="I206" s="45">
        <v>0</v>
      </c>
      <c r="J206" s="45">
        <v>0</v>
      </c>
      <c r="K206" s="45">
        <v>0</v>
      </c>
      <c r="L206" s="45">
        <v>0</v>
      </c>
      <c r="M206" s="45">
        <v>0</v>
      </c>
      <c r="N206" s="45">
        <v>0</v>
      </c>
      <c r="O206" s="45">
        <v>0</v>
      </c>
      <c r="P206" s="45">
        <v>0</v>
      </c>
      <c r="Q206" s="45">
        <v>0</v>
      </c>
      <c r="R206" s="45">
        <v>0</v>
      </c>
      <c r="S206" s="45">
        <v>0</v>
      </c>
      <c r="T206" s="45">
        <v>0</v>
      </c>
      <c r="U206" s="45">
        <v>0</v>
      </c>
      <c r="V206" s="45">
        <v>0</v>
      </c>
      <c r="W206" s="45">
        <v>0</v>
      </c>
      <c r="X206" s="45">
        <v>0</v>
      </c>
      <c r="Y206" s="45">
        <v>0</v>
      </c>
      <c r="Z206" s="45">
        <v>0</v>
      </c>
      <c r="AA206" s="45">
        <v>0</v>
      </c>
      <c r="AB206" s="45">
        <v>0</v>
      </c>
      <c r="AC206" s="45">
        <v>0</v>
      </c>
      <c r="AD206" s="45">
        <v>0</v>
      </c>
      <c r="AE206" s="45">
        <v>0</v>
      </c>
      <c r="AF206" s="45">
        <v>0</v>
      </c>
      <c r="AG206" s="45">
        <v>0</v>
      </c>
      <c r="AH206" s="45">
        <v>0</v>
      </c>
      <c r="AI206" s="45">
        <v>0</v>
      </c>
      <c r="AJ206" s="45">
        <v>0</v>
      </c>
      <c r="AK206" s="45">
        <v>0</v>
      </c>
      <c r="AL206" s="45">
        <v>0</v>
      </c>
      <c r="AM206" s="45">
        <v>0</v>
      </c>
      <c r="AN206" s="45">
        <v>0</v>
      </c>
      <c r="AO206" s="45">
        <v>0</v>
      </c>
    </row>
    <row r="207" spans="1:41" x14ac:dyDescent="0.3">
      <c r="C207" s="123" t="s">
        <v>491</v>
      </c>
      <c r="D207" s="323"/>
      <c r="E207" s="323"/>
      <c r="I207" s="45">
        <v>0</v>
      </c>
      <c r="J207" s="45">
        <v>0</v>
      </c>
      <c r="K207" s="45">
        <v>0</v>
      </c>
      <c r="L207" s="45">
        <v>0</v>
      </c>
      <c r="M207" s="45">
        <v>0</v>
      </c>
      <c r="N207" s="45">
        <v>0</v>
      </c>
      <c r="O207" s="45">
        <v>0</v>
      </c>
      <c r="P207" s="45">
        <v>0</v>
      </c>
      <c r="Q207" s="45">
        <v>0</v>
      </c>
      <c r="R207" s="45">
        <v>0</v>
      </c>
      <c r="S207" s="45">
        <v>0</v>
      </c>
      <c r="T207" s="45">
        <v>0</v>
      </c>
      <c r="U207" s="45">
        <v>0</v>
      </c>
      <c r="V207" s="45">
        <v>0</v>
      </c>
      <c r="W207" s="45">
        <v>0</v>
      </c>
      <c r="X207" s="45">
        <v>0</v>
      </c>
      <c r="Y207" s="45">
        <v>0</v>
      </c>
      <c r="Z207" s="45">
        <v>0</v>
      </c>
      <c r="AA207" s="45">
        <v>0</v>
      </c>
      <c r="AB207" s="45">
        <v>0</v>
      </c>
      <c r="AC207" s="45">
        <v>0</v>
      </c>
      <c r="AD207" s="45">
        <v>0</v>
      </c>
      <c r="AE207" s="45">
        <v>0</v>
      </c>
      <c r="AF207" s="45">
        <v>0</v>
      </c>
      <c r="AG207" s="45">
        <v>0</v>
      </c>
      <c r="AH207" s="45">
        <v>0</v>
      </c>
      <c r="AI207" s="45">
        <v>0</v>
      </c>
      <c r="AJ207" s="45">
        <v>0</v>
      </c>
      <c r="AK207" s="45">
        <v>0</v>
      </c>
      <c r="AL207" s="45">
        <v>0</v>
      </c>
      <c r="AM207" s="45">
        <v>0</v>
      </c>
      <c r="AN207" s="45">
        <v>0</v>
      </c>
      <c r="AO207" s="45">
        <v>0</v>
      </c>
    </row>
    <row r="208" spans="1:41" x14ac:dyDescent="0.3">
      <c r="C208" s="123" t="s">
        <v>490</v>
      </c>
      <c r="D208" s="323"/>
      <c r="E208" s="323"/>
      <c r="I208" s="45">
        <v>0</v>
      </c>
      <c r="J208" s="45">
        <v>0</v>
      </c>
      <c r="K208" s="45">
        <v>0</v>
      </c>
      <c r="L208" s="45">
        <v>0</v>
      </c>
      <c r="M208" s="45">
        <v>0</v>
      </c>
      <c r="N208" s="45">
        <v>0</v>
      </c>
      <c r="O208" s="45">
        <v>0</v>
      </c>
      <c r="P208" s="45">
        <v>0</v>
      </c>
      <c r="Q208" s="45">
        <v>0</v>
      </c>
      <c r="R208" s="45">
        <v>0</v>
      </c>
      <c r="S208" s="45">
        <v>0</v>
      </c>
      <c r="T208" s="45">
        <v>0</v>
      </c>
      <c r="U208" s="45">
        <v>0</v>
      </c>
      <c r="V208" s="45">
        <v>0</v>
      </c>
      <c r="W208" s="45">
        <v>0</v>
      </c>
      <c r="X208" s="45">
        <v>0</v>
      </c>
      <c r="Y208" s="45">
        <v>0</v>
      </c>
      <c r="Z208" s="45">
        <v>0</v>
      </c>
      <c r="AA208" s="45">
        <v>0</v>
      </c>
      <c r="AB208" s="45">
        <v>0</v>
      </c>
      <c r="AC208" s="45">
        <v>0</v>
      </c>
      <c r="AD208" s="45">
        <v>0</v>
      </c>
      <c r="AE208" s="45">
        <v>0</v>
      </c>
      <c r="AF208" s="45">
        <v>0</v>
      </c>
      <c r="AG208" s="45">
        <v>0</v>
      </c>
      <c r="AH208" s="45">
        <v>0</v>
      </c>
      <c r="AI208" s="45">
        <v>0</v>
      </c>
      <c r="AJ208" s="45">
        <v>0</v>
      </c>
      <c r="AK208" s="45">
        <v>0</v>
      </c>
      <c r="AL208" s="45">
        <v>0</v>
      </c>
      <c r="AM208" s="45">
        <v>0</v>
      </c>
      <c r="AN208" s="45">
        <v>0</v>
      </c>
      <c r="AO208" s="45">
        <v>0</v>
      </c>
    </row>
    <row r="209" spans="1:41" x14ac:dyDescent="0.3">
      <c r="C209" s="423" t="s">
        <v>492</v>
      </c>
      <c r="D209" s="424"/>
      <c r="E209" s="424"/>
      <c r="F209" s="196"/>
      <c r="G209" s="196"/>
      <c r="I209" s="107">
        <v>0</v>
      </c>
      <c r="J209" s="107">
        <v>0</v>
      </c>
      <c r="K209" s="107">
        <v>0</v>
      </c>
      <c r="L209" s="107">
        <v>0</v>
      </c>
      <c r="M209" s="107">
        <v>0</v>
      </c>
      <c r="N209" s="107">
        <v>0</v>
      </c>
      <c r="O209" s="107">
        <v>0</v>
      </c>
      <c r="P209" s="107">
        <v>0</v>
      </c>
      <c r="Q209" s="107">
        <v>0</v>
      </c>
      <c r="R209" s="107">
        <v>0</v>
      </c>
      <c r="S209" s="107">
        <v>0</v>
      </c>
      <c r="T209" s="107">
        <v>0</v>
      </c>
      <c r="U209" s="107">
        <v>0</v>
      </c>
      <c r="V209" s="107">
        <v>0</v>
      </c>
      <c r="W209" s="107">
        <v>0</v>
      </c>
      <c r="X209" s="107">
        <v>0</v>
      </c>
      <c r="Y209" s="107">
        <v>0</v>
      </c>
      <c r="Z209" s="107">
        <v>0</v>
      </c>
      <c r="AA209" s="107">
        <v>0</v>
      </c>
      <c r="AB209" s="107">
        <v>0</v>
      </c>
      <c r="AC209" s="107">
        <v>0</v>
      </c>
      <c r="AD209" s="107">
        <v>0</v>
      </c>
      <c r="AE209" s="107">
        <v>0</v>
      </c>
      <c r="AF209" s="107">
        <v>0</v>
      </c>
      <c r="AG209" s="107">
        <v>0</v>
      </c>
      <c r="AH209" s="107">
        <v>0</v>
      </c>
      <c r="AI209" s="107">
        <v>0</v>
      </c>
      <c r="AJ209" s="107">
        <v>0</v>
      </c>
      <c r="AK209" s="107">
        <v>0</v>
      </c>
      <c r="AL209" s="107">
        <v>0</v>
      </c>
      <c r="AM209" s="107">
        <v>0</v>
      </c>
      <c r="AN209" s="107">
        <v>0</v>
      </c>
      <c r="AO209" s="107">
        <v>0</v>
      </c>
    </row>
    <row r="210" spans="1:41" x14ac:dyDescent="0.3">
      <c r="C210" s="193" t="s">
        <v>493</v>
      </c>
      <c r="I210" s="210">
        <f>++SUM(I206:I209)</f>
        <v>0</v>
      </c>
      <c r="J210" s="221">
        <f t="shared" ref="J210:AO210" si="209">++SUM(J206:J209)</f>
        <v>0</v>
      </c>
      <c r="K210" s="221">
        <f t="shared" si="209"/>
        <v>0</v>
      </c>
      <c r="L210" s="221">
        <f t="shared" si="209"/>
        <v>0</v>
      </c>
      <c r="M210" s="210">
        <f t="shared" si="209"/>
        <v>0</v>
      </c>
      <c r="N210" s="221">
        <f t="shared" si="209"/>
        <v>0</v>
      </c>
      <c r="O210" s="221">
        <f t="shared" si="209"/>
        <v>0</v>
      </c>
      <c r="P210" s="221">
        <f t="shared" si="209"/>
        <v>0</v>
      </c>
      <c r="Q210" s="210">
        <f t="shared" si="209"/>
        <v>0</v>
      </c>
      <c r="R210" s="221">
        <f t="shared" si="209"/>
        <v>0</v>
      </c>
      <c r="S210" s="221">
        <f t="shared" si="209"/>
        <v>0</v>
      </c>
      <c r="T210" s="221">
        <f t="shared" si="209"/>
        <v>0</v>
      </c>
      <c r="U210" s="210">
        <f t="shared" si="209"/>
        <v>0</v>
      </c>
      <c r="V210" s="221">
        <f t="shared" si="209"/>
        <v>0</v>
      </c>
      <c r="W210" s="221">
        <f t="shared" si="209"/>
        <v>0</v>
      </c>
      <c r="X210" s="221">
        <f t="shared" si="209"/>
        <v>0</v>
      </c>
      <c r="Y210" s="210">
        <f t="shared" si="209"/>
        <v>0</v>
      </c>
      <c r="Z210" s="221">
        <f t="shared" si="209"/>
        <v>0</v>
      </c>
      <c r="AA210" s="221">
        <f t="shared" si="209"/>
        <v>0</v>
      </c>
      <c r="AB210" s="221">
        <f t="shared" si="209"/>
        <v>0</v>
      </c>
      <c r="AC210" s="210">
        <f t="shared" si="209"/>
        <v>0</v>
      </c>
      <c r="AD210" s="221">
        <f t="shared" si="209"/>
        <v>0</v>
      </c>
      <c r="AE210" s="221">
        <f t="shared" si="209"/>
        <v>0</v>
      </c>
      <c r="AF210" s="221">
        <f t="shared" si="209"/>
        <v>0</v>
      </c>
      <c r="AG210" s="210">
        <f t="shared" si="209"/>
        <v>0</v>
      </c>
      <c r="AH210" s="221">
        <f t="shared" si="209"/>
        <v>0</v>
      </c>
      <c r="AI210" s="221">
        <f t="shared" si="209"/>
        <v>0</v>
      </c>
      <c r="AJ210" s="221">
        <f t="shared" si="209"/>
        <v>0</v>
      </c>
      <c r="AK210" s="210">
        <f t="shared" si="209"/>
        <v>0</v>
      </c>
      <c r="AL210" s="221">
        <f t="shared" si="209"/>
        <v>0</v>
      </c>
      <c r="AM210" s="221">
        <f t="shared" si="209"/>
        <v>0</v>
      </c>
      <c r="AN210" s="221">
        <f t="shared" si="209"/>
        <v>0</v>
      </c>
      <c r="AO210" s="210">
        <f t="shared" si="209"/>
        <v>0</v>
      </c>
    </row>
    <row r="211" spans="1:41" x14ac:dyDescent="0.3">
      <c r="I211" s="203"/>
      <c r="M211" s="203"/>
      <c r="Q211" s="203"/>
      <c r="U211" s="203"/>
      <c r="Y211" s="203"/>
      <c r="AC211" s="203"/>
      <c r="AG211" s="203"/>
      <c r="AK211" s="203"/>
      <c r="AO211" s="203"/>
    </row>
    <row r="212" spans="1:41" ht="13.5" thickBot="1" x14ac:dyDescent="0.35">
      <c r="C212" s="390" t="s">
        <v>505</v>
      </c>
      <c r="D212" s="391"/>
      <c r="E212" s="391"/>
      <c r="F212" s="391"/>
      <c r="G212" s="391"/>
      <c r="I212" s="387">
        <f>++IFERROR(I204/I210,0)</f>
        <v>0</v>
      </c>
      <c r="J212" s="388">
        <f t="shared" ref="J212:AO212" si="210">++IFERROR(J204/J210,0)</f>
        <v>0</v>
      </c>
      <c r="K212" s="388">
        <f t="shared" si="210"/>
        <v>0</v>
      </c>
      <c r="L212" s="388">
        <f t="shared" si="210"/>
        <v>0</v>
      </c>
      <c r="M212" s="387">
        <f t="shared" si="210"/>
        <v>0</v>
      </c>
      <c r="N212" s="388">
        <f t="shared" si="210"/>
        <v>0</v>
      </c>
      <c r="O212" s="388">
        <f t="shared" si="210"/>
        <v>0</v>
      </c>
      <c r="P212" s="388">
        <f t="shared" si="210"/>
        <v>0</v>
      </c>
      <c r="Q212" s="387">
        <f t="shared" ref="Q212:T212" si="211">++IFERROR(Q204/Q210,0)</f>
        <v>0</v>
      </c>
      <c r="R212" s="388">
        <f t="shared" si="211"/>
        <v>0</v>
      </c>
      <c r="S212" s="388">
        <f t="shared" si="211"/>
        <v>0</v>
      </c>
      <c r="T212" s="388">
        <f t="shared" si="211"/>
        <v>0</v>
      </c>
      <c r="U212" s="387">
        <f t="shared" si="210"/>
        <v>0</v>
      </c>
      <c r="V212" s="388">
        <f t="shared" si="210"/>
        <v>0</v>
      </c>
      <c r="W212" s="388">
        <f t="shared" si="210"/>
        <v>0</v>
      </c>
      <c r="X212" s="388">
        <f t="shared" si="210"/>
        <v>0</v>
      </c>
      <c r="Y212" s="387">
        <f t="shared" si="210"/>
        <v>0</v>
      </c>
      <c r="Z212" s="388">
        <f t="shared" si="210"/>
        <v>0</v>
      </c>
      <c r="AA212" s="388">
        <f t="shared" si="210"/>
        <v>0</v>
      </c>
      <c r="AB212" s="388">
        <f t="shared" si="210"/>
        <v>0</v>
      </c>
      <c r="AC212" s="387">
        <f t="shared" si="210"/>
        <v>0</v>
      </c>
      <c r="AD212" s="388">
        <f t="shared" si="210"/>
        <v>0</v>
      </c>
      <c r="AE212" s="388">
        <f t="shared" si="210"/>
        <v>0</v>
      </c>
      <c r="AF212" s="388">
        <f t="shared" si="210"/>
        <v>0</v>
      </c>
      <c r="AG212" s="387">
        <f t="shared" si="210"/>
        <v>0</v>
      </c>
      <c r="AH212" s="388">
        <f t="shared" si="210"/>
        <v>0</v>
      </c>
      <c r="AI212" s="388">
        <f t="shared" si="210"/>
        <v>0</v>
      </c>
      <c r="AJ212" s="388">
        <f t="shared" si="210"/>
        <v>0</v>
      </c>
      <c r="AK212" s="387">
        <f t="shared" si="210"/>
        <v>0</v>
      </c>
      <c r="AL212" s="388">
        <f t="shared" si="210"/>
        <v>0</v>
      </c>
      <c r="AM212" s="388">
        <f t="shared" si="210"/>
        <v>0</v>
      </c>
      <c r="AN212" s="388">
        <f t="shared" si="210"/>
        <v>0</v>
      </c>
      <c r="AO212" s="387">
        <f t="shared" si="210"/>
        <v>0</v>
      </c>
    </row>
    <row r="213" spans="1:41" ht="13.5" thickTop="1" x14ac:dyDescent="0.3">
      <c r="C213" s="392" t="s">
        <v>494</v>
      </c>
      <c r="D213" s="19"/>
      <c r="E213" s="19"/>
      <c r="I213" s="384">
        <v>0</v>
      </c>
      <c r="J213" s="384">
        <v>0</v>
      </c>
      <c r="K213" s="384">
        <v>0</v>
      </c>
      <c r="L213" s="384">
        <v>0</v>
      </c>
      <c r="M213" s="384">
        <v>0</v>
      </c>
      <c r="N213" s="384">
        <v>0</v>
      </c>
      <c r="O213" s="384">
        <v>0</v>
      </c>
      <c r="P213" s="384">
        <v>0</v>
      </c>
      <c r="Q213" s="384">
        <v>0</v>
      </c>
      <c r="R213" s="384">
        <v>0</v>
      </c>
      <c r="S213" s="384">
        <v>0</v>
      </c>
      <c r="T213" s="384">
        <v>0</v>
      </c>
      <c r="U213" s="384">
        <v>0</v>
      </c>
      <c r="V213" s="384">
        <v>0</v>
      </c>
      <c r="W213" s="384">
        <v>0</v>
      </c>
      <c r="X213" s="384">
        <v>0</v>
      </c>
      <c r="Y213" s="384">
        <v>0</v>
      </c>
      <c r="Z213" s="384">
        <v>0</v>
      </c>
      <c r="AA213" s="384">
        <v>0</v>
      </c>
      <c r="AB213" s="384">
        <v>0</v>
      </c>
      <c r="AC213" s="384">
        <v>0</v>
      </c>
      <c r="AD213" s="384">
        <v>0</v>
      </c>
      <c r="AE213" s="384">
        <v>0</v>
      </c>
      <c r="AF213" s="384">
        <v>0</v>
      </c>
      <c r="AG213" s="384">
        <v>0</v>
      </c>
      <c r="AH213" s="384">
        <v>0</v>
      </c>
      <c r="AI213" s="384">
        <v>0</v>
      </c>
      <c r="AJ213" s="384">
        <v>0</v>
      </c>
      <c r="AK213" s="384">
        <v>0</v>
      </c>
      <c r="AL213" s="384">
        <v>0</v>
      </c>
      <c r="AM213" s="384">
        <v>0</v>
      </c>
      <c r="AN213" s="384">
        <v>0</v>
      </c>
      <c r="AO213" s="384">
        <v>0</v>
      </c>
    </row>
    <row r="214" spans="1:41" x14ac:dyDescent="0.3">
      <c r="C214" s="321" t="s">
        <v>108</v>
      </c>
      <c r="I214" s="214">
        <f>++IFERROR(1-I213/I212,0)</f>
        <v>0</v>
      </c>
      <c r="J214" s="225">
        <f t="shared" ref="J214:AO214" si="212">++IFERROR(1-J213/J212,0)</f>
        <v>0</v>
      </c>
      <c r="K214" s="225">
        <f t="shared" si="212"/>
        <v>0</v>
      </c>
      <c r="L214" s="225">
        <f t="shared" si="212"/>
        <v>0</v>
      </c>
      <c r="M214" s="214">
        <f t="shared" si="212"/>
        <v>0</v>
      </c>
      <c r="N214" s="225">
        <f t="shared" si="212"/>
        <v>0</v>
      </c>
      <c r="O214" s="225">
        <f t="shared" si="212"/>
        <v>0</v>
      </c>
      <c r="P214" s="225">
        <f t="shared" si="212"/>
        <v>0</v>
      </c>
      <c r="Q214" s="214">
        <f t="shared" si="212"/>
        <v>0</v>
      </c>
      <c r="R214" s="225">
        <f t="shared" si="212"/>
        <v>0</v>
      </c>
      <c r="S214" s="225">
        <f t="shared" si="212"/>
        <v>0</v>
      </c>
      <c r="T214" s="225">
        <f t="shared" si="212"/>
        <v>0</v>
      </c>
      <c r="U214" s="214">
        <f t="shared" si="212"/>
        <v>0</v>
      </c>
      <c r="V214" s="225">
        <f t="shared" si="212"/>
        <v>0</v>
      </c>
      <c r="W214" s="225">
        <f t="shared" si="212"/>
        <v>0</v>
      </c>
      <c r="X214" s="225">
        <f t="shared" si="212"/>
        <v>0</v>
      </c>
      <c r="Y214" s="214">
        <f t="shared" si="212"/>
        <v>0</v>
      </c>
      <c r="Z214" s="225">
        <f t="shared" si="212"/>
        <v>0</v>
      </c>
      <c r="AA214" s="225">
        <f t="shared" si="212"/>
        <v>0</v>
      </c>
      <c r="AB214" s="225">
        <f t="shared" si="212"/>
        <v>0</v>
      </c>
      <c r="AC214" s="214">
        <f t="shared" si="212"/>
        <v>0</v>
      </c>
      <c r="AD214" s="225">
        <f t="shared" si="212"/>
        <v>0</v>
      </c>
      <c r="AE214" s="225">
        <f t="shared" si="212"/>
        <v>0</v>
      </c>
      <c r="AF214" s="225">
        <f t="shared" si="212"/>
        <v>0</v>
      </c>
      <c r="AG214" s="214">
        <f t="shared" si="212"/>
        <v>0</v>
      </c>
      <c r="AH214" s="225">
        <f t="shared" si="212"/>
        <v>0</v>
      </c>
      <c r="AI214" s="225">
        <f t="shared" si="212"/>
        <v>0</v>
      </c>
      <c r="AJ214" s="225">
        <f t="shared" si="212"/>
        <v>0</v>
      </c>
      <c r="AK214" s="214">
        <f t="shared" si="212"/>
        <v>0</v>
      </c>
      <c r="AL214" s="225">
        <f t="shared" si="212"/>
        <v>0</v>
      </c>
      <c r="AM214" s="225">
        <f t="shared" si="212"/>
        <v>0</v>
      </c>
      <c r="AN214" s="225">
        <f t="shared" si="212"/>
        <v>0</v>
      </c>
      <c r="AO214" s="214">
        <f t="shared" si="212"/>
        <v>0</v>
      </c>
    </row>
    <row r="215" spans="1:41" x14ac:dyDescent="0.3">
      <c r="I215" s="203"/>
      <c r="M215" s="203"/>
      <c r="Q215" s="203"/>
      <c r="U215" s="203"/>
      <c r="Y215" s="203"/>
      <c r="AC215" s="203"/>
      <c r="AG215" s="203"/>
      <c r="AK215" s="203"/>
      <c r="AO215" s="203"/>
    </row>
    <row r="216" spans="1:41" x14ac:dyDescent="0.3">
      <c r="I216" s="203"/>
      <c r="M216" s="203"/>
      <c r="Q216" s="203"/>
      <c r="U216" s="203"/>
      <c r="Y216" s="203"/>
      <c r="AC216" s="203"/>
      <c r="AG216" s="203"/>
      <c r="AK216" s="203"/>
      <c r="AO216" s="203"/>
    </row>
    <row r="217" spans="1:41" x14ac:dyDescent="0.3">
      <c r="A217" s="319"/>
      <c r="B217" s="319" t="s">
        <v>0</v>
      </c>
      <c r="C217" s="164" t="s">
        <v>495</v>
      </c>
      <c r="D217" s="367"/>
      <c r="E217" s="367"/>
      <c r="F217" s="367"/>
      <c r="G217" s="367"/>
      <c r="H217" s="367"/>
      <c r="I217" s="367"/>
      <c r="J217" s="367"/>
      <c r="K217" s="367"/>
      <c r="L217" s="367"/>
      <c r="M217" s="367"/>
      <c r="N217" s="367"/>
      <c r="O217" s="367"/>
      <c r="P217" s="367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  <c r="AA217" s="367"/>
      <c r="AB217" s="367"/>
      <c r="AC217" s="367"/>
      <c r="AD217" s="367"/>
      <c r="AE217" s="367"/>
      <c r="AF217" s="367"/>
      <c r="AG217" s="367"/>
      <c r="AH217" s="367"/>
      <c r="AI217" s="367"/>
      <c r="AJ217" s="367"/>
      <c r="AK217" s="367"/>
      <c r="AL217" s="367"/>
      <c r="AM217" s="367"/>
      <c r="AN217" s="367"/>
      <c r="AO217" s="367"/>
    </row>
    <row r="218" spans="1:41" ht="5.15" customHeight="1" x14ac:dyDescent="0.3">
      <c r="I218" s="203"/>
      <c r="M218" s="203"/>
      <c r="Q218" s="203"/>
      <c r="U218" s="203"/>
      <c r="Y218" s="203"/>
      <c r="AC218" s="203"/>
      <c r="AG218" s="203"/>
      <c r="AK218" s="203"/>
      <c r="AO218" s="203"/>
    </row>
    <row r="219" spans="1:41" x14ac:dyDescent="0.3">
      <c r="C219" s="342" t="str">
        <f>++"Available "&amp;'Trade Ticket Input'!C38</f>
        <v>Available Priority Revolver ($0.0MM)</v>
      </c>
      <c r="G219" s="393">
        <f>++'Trade Ticket Input'!E44</f>
        <v>0</v>
      </c>
      <c r="I219" s="375">
        <f>++$G219</f>
        <v>0</v>
      </c>
      <c r="J219" s="199">
        <f t="shared" ref="J219:AO219" si="213">++$G219</f>
        <v>0</v>
      </c>
      <c r="K219" s="199">
        <f t="shared" si="213"/>
        <v>0</v>
      </c>
      <c r="L219" s="199">
        <f t="shared" si="213"/>
        <v>0</v>
      </c>
      <c r="M219" s="375">
        <f t="shared" si="213"/>
        <v>0</v>
      </c>
      <c r="N219" s="199">
        <f t="shared" si="213"/>
        <v>0</v>
      </c>
      <c r="O219" s="199">
        <f t="shared" si="213"/>
        <v>0</v>
      </c>
      <c r="P219" s="199">
        <f t="shared" si="213"/>
        <v>0</v>
      </c>
      <c r="Q219" s="375">
        <f t="shared" si="213"/>
        <v>0</v>
      </c>
      <c r="R219" s="199">
        <f t="shared" si="213"/>
        <v>0</v>
      </c>
      <c r="S219" s="199">
        <f t="shared" si="213"/>
        <v>0</v>
      </c>
      <c r="T219" s="199">
        <f t="shared" si="213"/>
        <v>0</v>
      </c>
      <c r="U219" s="375">
        <f t="shared" si="213"/>
        <v>0</v>
      </c>
      <c r="V219" s="199">
        <f t="shared" si="213"/>
        <v>0</v>
      </c>
      <c r="W219" s="199">
        <f t="shared" si="213"/>
        <v>0</v>
      </c>
      <c r="X219" s="199">
        <f t="shared" si="213"/>
        <v>0</v>
      </c>
      <c r="Y219" s="375">
        <f t="shared" si="213"/>
        <v>0</v>
      </c>
      <c r="Z219" s="199">
        <f t="shared" si="213"/>
        <v>0</v>
      </c>
      <c r="AA219" s="199">
        <f t="shared" si="213"/>
        <v>0</v>
      </c>
      <c r="AB219" s="199">
        <f t="shared" si="213"/>
        <v>0</v>
      </c>
      <c r="AC219" s="375">
        <f t="shared" si="213"/>
        <v>0</v>
      </c>
      <c r="AD219" s="199">
        <f t="shared" si="213"/>
        <v>0</v>
      </c>
      <c r="AE219" s="199">
        <f t="shared" si="213"/>
        <v>0</v>
      </c>
      <c r="AF219" s="199">
        <f t="shared" si="213"/>
        <v>0</v>
      </c>
      <c r="AG219" s="375">
        <f t="shared" si="213"/>
        <v>0</v>
      </c>
      <c r="AH219" s="199">
        <f t="shared" si="213"/>
        <v>0</v>
      </c>
      <c r="AI219" s="199">
        <f t="shared" si="213"/>
        <v>0</v>
      </c>
      <c r="AJ219" s="199">
        <f t="shared" si="213"/>
        <v>0</v>
      </c>
      <c r="AK219" s="375">
        <f t="shared" si="213"/>
        <v>0</v>
      </c>
      <c r="AL219" s="199">
        <f t="shared" si="213"/>
        <v>0</v>
      </c>
      <c r="AM219" s="199">
        <f t="shared" si="213"/>
        <v>0</v>
      </c>
      <c r="AN219" s="199">
        <f t="shared" si="213"/>
        <v>0</v>
      </c>
      <c r="AO219" s="375">
        <f t="shared" si="213"/>
        <v>0</v>
      </c>
    </row>
    <row r="220" spans="1:41" x14ac:dyDescent="0.3">
      <c r="C220" s="342" t="str">
        <f>++"( − ) Drawn "&amp;'Financials Input'!C652</f>
        <v>( − ) Drawn Priority Revolver ($0.0MM)</v>
      </c>
      <c r="I220" s="381">
        <f>++-INDEX('Financials Input'!$G652:$DC652,1,MATCH(I$3,'Financials Input'!$G$3:$DC$3,0))</f>
        <v>0</v>
      </c>
      <c r="J220" s="382">
        <f>++-INDEX('Financials Input'!$G652:$DC652,1,MATCH(J$3,'Financials Input'!$G$3:$DC$3,0))</f>
        <v>0</v>
      </c>
      <c r="K220" s="382">
        <f>++-INDEX('Financials Input'!$G652:$DC652,1,MATCH(K$3,'Financials Input'!$G$3:$DC$3,0))</f>
        <v>0</v>
      </c>
      <c r="L220" s="382">
        <f>++-INDEX('Financials Input'!$G652:$DC652,1,MATCH(L$3,'Financials Input'!$G$3:$DC$3,0))</f>
        <v>0</v>
      </c>
      <c r="M220" s="381">
        <f>++-INDEX('Financials Input'!$G652:$DC652,1,MATCH(M$3,'Financials Input'!$G$3:$DC$3,0))</f>
        <v>0</v>
      </c>
      <c r="N220" s="382">
        <f>++-INDEX('Financials Input'!$G652:$DC652,1,MATCH(N$3,'Financials Input'!$G$3:$DC$3,0))</f>
        <v>0</v>
      </c>
      <c r="O220" s="382">
        <f>++-INDEX('Financials Input'!$G652:$DC652,1,MATCH(O$3,'Financials Input'!$G$3:$DC$3,0))</f>
        <v>0</v>
      </c>
      <c r="P220" s="382">
        <f>++-INDEX('Financials Input'!$G652:$DC652,1,MATCH(P$3,'Financials Input'!$G$3:$DC$3,0))</f>
        <v>0</v>
      </c>
      <c r="Q220" s="381">
        <f>++-INDEX('Financials Input'!$G652:$DC652,1,MATCH(Q$3,'Financials Input'!$G$3:$DC$3,0))</f>
        <v>0</v>
      </c>
      <c r="R220" s="382">
        <f>++-INDEX('Financials Input'!$G652:$DC652,1,MATCH(R$3,'Financials Input'!$G$3:$DC$3,0))</f>
        <v>0</v>
      </c>
      <c r="S220" s="382">
        <f>++-INDEX('Financials Input'!$G652:$DC652,1,MATCH(S$3,'Financials Input'!$G$3:$DC$3,0))</f>
        <v>0</v>
      </c>
      <c r="T220" s="382">
        <f>++-INDEX('Financials Input'!$G652:$DC652,1,MATCH(T$3,'Financials Input'!$G$3:$DC$3,0))</f>
        <v>0</v>
      </c>
      <c r="U220" s="381">
        <f>++-INDEX('Financials Input'!$G652:$DC652,1,MATCH(U$3,'Financials Input'!$G$3:$DC$3,0))</f>
        <v>0</v>
      </c>
      <c r="V220" s="382">
        <f>++-INDEX('Financials Input'!$G652:$DC652,1,MATCH(V$3,'Financials Input'!$G$3:$DC$3,0))</f>
        <v>0</v>
      </c>
      <c r="W220" s="382">
        <f>++-INDEX('Financials Input'!$G652:$DC652,1,MATCH(W$3,'Financials Input'!$G$3:$DC$3,0))</f>
        <v>0</v>
      </c>
      <c r="X220" s="382">
        <f>++-INDEX('Financials Input'!$G652:$DC652,1,MATCH(X$3,'Financials Input'!$G$3:$DC$3,0))</f>
        <v>0</v>
      </c>
      <c r="Y220" s="381">
        <f>++-INDEX('Financials Input'!$G652:$DC652,1,MATCH(Y$3,'Financials Input'!$G$3:$DC$3,0))</f>
        <v>0</v>
      </c>
      <c r="Z220" s="382">
        <f>++-INDEX('Financials Input'!$G652:$DC652,1,MATCH(Z$3,'Financials Input'!$G$3:$DC$3,0))</f>
        <v>0</v>
      </c>
      <c r="AA220" s="382">
        <f>++-INDEX('Financials Input'!$G652:$DC652,1,MATCH(AA$3,'Financials Input'!$G$3:$DC$3,0))</f>
        <v>0</v>
      </c>
      <c r="AB220" s="382">
        <f>++-INDEX('Financials Input'!$G652:$DC652,1,MATCH(AB$3,'Financials Input'!$G$3:$DC$3,0))</f>
        <v>0</v>
      </c>
      <c r="AC220" s="381">
        <f>++-INDEX('Financials Input'!$G652:$DC652,1,MATCH(AC$3,'Financials Input'!$G$3:$DC$3,0))</f>
        <v>0</v>
      </c>
      <c r="AD220" s="382">
        <f>++-INDEX('Financials Input'!$G652:$DC652,1,MATCH(AD$3,'Financials Input'!$G$3:$DC$3,0))</f>
        <v>0</v>
      </c>
      <c r="AE220" s="382">
        <f>++-INDEX('Financials Input'!$G652:$DC652,1,MATCH(AE$3,'Financials Input'!$G$3:$DC$3,0))</f>
        <v>0</v>
      </c>
      <c r="AF220" s="382">
        <f>++-INDEX('Financials Input'!$G652:$DC652,1,MATCH(AF$3,'Financials Input'!$G$3:$DC$3,0))</f>
        <v>0</v>
      </c>
      <c r="AG220" s="381">
        <f>++-INDEX('Financials Input'!$G652:$DC652,1,MATCH(AG$3,'Financials Input'!$G$3:$DC$3,0))</f>
        <v>0</v>
      </c>
      <c r="AH220" s="382">
        <f>++-INDEX('Financials Input'!$G652:$DC652,1,MATCH(AH$3,'Financials Input'!$G$3:$DC$3,0))</f>
        <v>0</v>
      </c>
      <c r="AI220" s="382">
        <f>++-INDEX('Financials Input'!$G652:$DC652,1,MATCH(AI$3,'Financials Input'!$G$3:$DC$3,0))</f>
        <v>0</v>
      </c>
      <c r="AJ220" s="382">
        <f>++-INDEX('Financials Input'!$G652:$DC652,1,MATCH(AJ$3,'Financials Input'!$G$3:$DC$3,0))</f>
        <v>0</v>
      </c>
      <c r="AK220" s="381">
        <f>++-INDEX('Financials Input'!$G652:$DC652,1,MATCH(AK$3,'Financials Input'!$G$3:$DC$3,0))</f>
        <v>0</v>
      </c>
      <c r="AL220" s="382">
        <f>++-INDEX('Financials Input'!$G652:$DC652,1,MATCH(AL$3,'Financials Input'!$G$3:$DC$3,0))</f>
        <v>0</v>
      </c>
      <c r="AM220" s="382">
        <f>++-INDEX('Financials Input'!$G652:$DC652,1,MATCH(AM$3,'Financials Input'!$G$3:$DC$3,0))</f>
        <v>0</v>
      </c>
      <c r="AN220" s="382">
        <f>++-INDEX('Financials Input'!$G652:$DC652,1,MATCH(AN$3,'Financials Input'!$G$3:$DC$3,0))</f>
        <v>0</v>
      </c>
      <c r="AO220" s="381">
        <f>++-INDEX('Financials Input'!$G652:$DC652,1,MATCH(AO$3,'Financials Input'!$G$3:$DC$3,0))</f>
        <v>0</v>
      </c>
    </row>
    <row r="221" spans="1:41" x14ac:dyDescent="0.3">
      <c r="C221" s="123" t="s">
        <v>500</v>
      </c>
      <c r="D221" s="323"/>
      <c r="E221" s="323"/>
      <c r="I221" s="45">
        <v>0</v>
      </c>
      <c r="J221" s="45">
        <v>0</v>
      </c>
      <c r="K221" s="45">
        <v>0</v>
      </c>
      <c r="L221" s="45">
        <v>0</v>
      </c>
      <c r="M221" s="45">
        <v>0</v>
      </c>
      <c r="N221" s="45">
        <v>0</v>
      </c>
      <c r="O221" s="45">
        <v>0</v>
      </c>
      <c r="P221" s="45">
        <v>0</v>
      </c>
      <c r="Q221" s="45">
        <v>0</v>
      </c>
      <c r="R221" s="45">
        <v>0</v>
      </c>
      <c r="S221" s="45">
        <v>0</v>
      </c>
      <c r="T221" s="45">
        <v>0</v>
      </c>
      <c r="U221" s="45">
        <v>0</v>
      </c>
      <c r="V221" s="45">
        <v>0</v>
      </c>
      <c r="W221" s="45">
        <v>0</v>
      </c>
      <c r="X221" s="45">
        <v>0</v>
      </c>
      <c r="Y221" s="45">
        <v>0</v>
      </c>
      <c r="Z221" s="45">
        <v>0</v>
      </c>
      <c r="AA221" s="45">
        <v>0</v>
      </c>
      <c r="AB221" s="45">
        <v>0</v>
      </c>
      <c r="AC221" s="45">
        <v>0</v>
      </c>
      <c r="AD221" s="45">
        <v>0</v>
      </c>
      <c r="AE221" s="45">
        <v>0</v>
      </c>
      <c r="AF221" s="45">
        <v>0</v>
      </c>
      <c r="AG221" s="45">
        <v>0</v>
      </c>
      <c r="AH221" s="45">
        <v>0</v>
      </c>
      <c r="AI221" s="45">
        <v>0</v>
      </c>
      <c r="AJ221" s="45">
        <v>0</v>
      </c>
      <c r="AK221" s="45">
        <v>0</v>
      </c>
      <c r="AL221" s="45">
        <v>0</v>
      </c>
      <c r="AM221" s="45">
        <v>0</v>
      </c>
      <c r="AN221" s="45">
        <v>0</v>
      </c>
      <c r="AO221" s="45">
        <v>0</v>
      </c>
    </row>
    <row r="222" spans="1:41" x14ac:dyDescent="0.3">
      <c r="C222" s="123" t="str">
        <f>++"( + ) "&amp;'Financials Input'!C645</f>
        <v>( + ) Cash &amp; Equivalents (Reported)</v>
      </c>
      <c r="D222" s="323"/>
      <c r="E222" s="323"/>
      <c r="I222" s="381">
        <f>++-INDEX('Financials Input'!$G645:$DC645,1,MATCH(I$3,'Financials Input'!$G$3:$DC$3,0))</f>
        <v>0</v>
      </c>
      <c r="J222" s="382">
        <f>++-INDEX('Financials Input'!$G645:$DC645,1,MATCH(J$3,'Financials Input'!$G$3:$DC$3,0))</f>
        <v>0</v>
      </c>
      <c r="K222" s="382">
        <f>++-INDEX('Financials Input'!$G645:$DC645,1,MATCH(K$3,'Financials Input'!$G$3:$DC$3,0))</f>
        <v>0</v>
      </c>
      <c r="L222" s="382">
        <f>++-INDEX('Financials Input'!$G645:$DC645,1,MATCH(L$3,'Financials Input'!$G$3:$DC$3,0))</f>
        <v>0</v>
      </c>
      <c r="M222" s="381">
        <f>++-INDEX('Financials Input'!$G645:$DC645,1,MATCH(M$3,'Financials Input'!$G$3:$DC$3,0))</f>
        <v>0</v>
      </c>
      <c r="N222" s="382">
        <f>++-INDEX('Financials Input'!$G645:$DC645,1,MATCH(N$3,'Financials Input'!$G$3:$DC$3,0))</f>
        <v>0</v>
      </c>
      <c r="O222" s="382">
        <f>++-INDEX('Financials Input'!$G645:$DC645,1,MATCH(O$3,'Financials Input'!$G$3:$DC$3,0))</f>
        <v>0</v>
      </c>
      <c r="P222" s="382">
        <f>++-INDEX('Financials Input'!$G645:$DC645,1,MATCH(P$3,'Financials Input'!$G$3:$DC$3,0))</f>
        <v>0</v>
      </c>
      <c r="Q222" s="381">
        <f>++-INDEX('Financials Input'!$G645:$DC645,1,MATCH(Q$3,'Financials Input'!$G$3:$DC$3,0))</f>
        <v>0</v>
      </c>
      <c r="R222" s="382">
        <f>++-INDEX('Financials Input'!$G645:$DC645,1,MATCH(R$3,'Financials Input'!$G$3:$DC$3,0))</f>
        <v>0</v>
      </c>
      <c r="S222" s="382">
        <f>++-INDEX('Financials Input'!$G645:$DC645,1,MATCH(S$3,'Financials Input'!$G$3:$DC$3,0))</f>
        <v>0</v>
      </c>
      <c r="T222" s="382">
        <f>++-INDEX('Financials Input'!$G645:$DC645,1,MATCH(T$3,'Financials Input'!$G$3:$DC$3,0))</f>
        <v>0</v>
      </c>
      <c r="U222" s="381">
        <f>++-INDEX('Financials Input'!$G645:$DC645,1,MATCH(U$3,'Financials Input'!$G$3:$DC$3,0))</f>
        <v>0</v>
      </c>
      <c r="V222" s="382">
        <f>++-INDEX('Financials Input'!$G645:$DC645,1,MATCH(V$3,'Financials Input'!$G$3:$DC$3,0))</f>
        <v>0</v>
      </c>
      <c r="W222" s="382">
        <f>++-INDEX('Financials Input'!$G645:$DC645,1,MATCH(W$3,'Financials Input'!$G$3:$DC$3,0))</f>
        <v>0</v>
      </c>
      <c r="X222" s="382">
        <f>++-INDEX('Financials Input'!$G645:$DC645,1,MATCH(X$3,'Financials Input'!$G$3:$DC$3,0))</f>
        <v>0</v>
      </c>
      <c r="Y222" s="381">
        <f>++-INDEX('Financials Input'!$G645:$DC645,1,MATCH(Y$3,'Financials Input'!$G$3:$DC$3,0))</f>
        <v>0</v>
      </c>
      <c r="Z222" s="382">
        <f>++-INDEX('Financials Input'!$G645:$DC645,1,MATCH(Z$3,'Financials Input'!$G$3:$DC$3,0))</f>
        <v>0</v>
      </c>
      <c r="AA222" s="382">
        <f>++-INDEX('Financials Input'!$G645:$DC645,1,MATCH(AA$3,'Financials Input'!$G$3:$DC$3,0))</f>
        <v>0</v>
      </c>
      <c r="AB222" s="382">
        <f>++-INDEX('Financials Input'!$G645:$DC645,1,MATCH(AB$3,'Financials Input'!$G$3:$DC$3,0))</f>
        <v>0</v>
      </c>
      <c r="AC222" s="381">
        <f>++-INDEX('Financials Input'!$G645:$DC645,1,MATCH(AC$3,'Financials Input'!$G$3:$DC$3,0))</f>
        <v>0</v>
      </c>
      <c r="AD222" s="382">
        <f>++-INDEX('Financials Input'!$G645:$DC645,1,MATCH(AD$3,'Financials Input'!$G$3:$DC$3,0))</f>
        <v>0</v>
      </c>
      <c r="AE222" s="382">
        <f>++-INDEX('Financials Input'!$G645:$DC645,1,MATCH(AE$3,'Financials Input'!$G$3:$DC$3,0))</f>
        <v>0</v>
      </c>
      <c r="AF222" s="382">
        <f>++-INDEX('Financials Input'!$G645:$DC645,1,MATCH(AF$3,'Financials Input'!$G$3:$DC$3,0))</f>
        <v>0</v>
      </c>
      <c r="AG222" s="381">
        <f>++-INDEX('Financials Input'!$G645:$DC645,1,MATCH(AG$3,'Financials Input'!$G$3:$DC$3,0))</f>
        <v>0</v>
      </c>
      <c r="AH222" s="382">
        <f>++-INDEX('Financials Input'!$G645:$DC645,1,MATCH(AH$3,'Financials Input'!$G$3:$DC$3,0))</f>
        <v>0</v>
      </c>
      <c r="AI222" s="382">
        <f>++-INDEX('Financials Input'!$G645:$DC645,1,MATCH(AI$3,'Financials Input'!$G$3:$DC$3,0))</f>
        <v>0</v>
      </c>
      <c r="AJ222" s="382">
        <f>++-INDEX('Financials Input'!$G645:$DC645,1,MATCH(AJ$3,'Financials Input'!$G$3:$DC$3,0))</f>
        <v>0</v>
      </c>
      <c r="AK222" s="381">
        <f>++-INDEX('Financials Input'!$G645:$DC645,1,MATCH(AK$3,'Financials Input'!$G$3:$DC$3,0))</f>
        <v>0</v>
      </c>
      <c r="AL222" s="382">
        <f>++-INDEX('Financials Input'!$G645:$DC645,1,MATCH(AL$3,'Financials Input'!$G$3:$DC$3,0))</f>
        <v>0</v>
      </c>
      <c r="AM222" s="382">
        <f>++-INDEX('Financials Input'!$G645:$DC645,1,MATCH(AM$3,'Financials Input'!$G$3:$DC$3,0))</f>
        <v>0</v>
      </c>
      <c r="AN222" s="382">
        <f>++-INDEX('Financials Input'!$G645:$DC645,1,MATCH(AN$3,'Financials Input'!$G$3:$DC$3,0))</f>
        <v>0</v>
      </c>
      <c r="AO222" s="381">
        <f>++-INDEX('Financials Input'!$G645:$DC645,1,MATCH(AO$3,'Financials Input'!$G$3:$DC$3,0))</f>
        <v>0</v>
      </c>
    </row>
    <row r="223" spans="1:41" ht="13.5" thickBot="1" x14ac:dyDescent="0.35">
      <c r="C223" s="390" t="s">
        <v>496</v>
      </c>
      <c r="D223" s="391"/>
      <c r="E223" s="391"/>
      <c r="F223" s="391"/>
      <c r="G223" s="391"/>
      <c r="I223" s="394">
        <f>++SUM(I219:I222)</f>
        <v>0</v>
      </c>
      <c r="J223" s="395">
        <f t="shared" ref="J223:AO223" si="214">++SUM(J219:J222)</f>
        <v>0</v>
      </c>
      <c r="K223" s="395">
        <f t="shared" si="214"/>
        <v>0</v>
      </c>
      <c r="L223" s="395">
        <f t="shared" si="214"/>
        <v>0</v>
      </c>
      <c r="M223" s="394">
        <f t="shared" si="214"/>
        <v>0</v>
      </c>
      <c r="N223" s="395">
        <f t="shared" si="214"/>
        <v>0</v>
      </c>
      <c r="O223" s="395">
        <f t="shared" si="214"/>
        <v>0</v>
      </c>
      <c r="P223" s="395">
        <f t="shared" si="214"/>
        <v>0</v>
      </c>
      <c r="Q223" s="394">
        <f t="shared" ref="Q223:T223" si="215">++SUM(Q219:Q222)</f>
        <v>0</v>
      </c>
      <c r="R223" s="395">
        <f t="shared" si="215"/>
        <v>0</v>
      </c>
      <c r="S223" s="395">
        <f t="shared" si="215"/>
        <v>0</v>
      </c>
      <c r="T223" s="395">
        <f t="shared" si="215"/>
        <v>0</v>
      </c>
      <c r="U223" s="394">
        <f t="shared" si="214"/>
        <v>0</v>
      </c>
      <c r="V223" s="395">
        <f t="shared" si="214"/>
        <v>0</v>
      </c>
      <c r="W223" s="395">
        <f t="shared" si="214"/>
        <v>0</v>
      </c>
      <c r="X223" s="395">
        <f t="shared" si="214"/>
        <v>0</v>
      </c>
      <c r="Y223" s="394">
        <f t="shared" si="214"/>
        <v>0</v>
      </c>
      <c r="Z223" s="395">
        <f t="shared" si="214"/>
        <v>0</v>
      </c>
      <c r="AA223" s="395">
        <f t="shared" si="214"/>
        <v>0</v>
      </c>
      <c r="AB223" s="395">
        <f t="shared" si="214"/>
        <v>0</v>
      </c>
      <c r="AC223" s="394">
        <f t="shared" si="214"/>
        <v>0</v>
      </c>
      <c r="AD223" s="395">
        <f t="shared" si="214"/>
        <v>0</v>
      </c>
      <c r="AE223" s="395">
        <f t="shared" si="214"/>
        <v>0</v>
      </c>
      <c r="AF223" s="395">
        <f t="shared" si="214"/>
        <v>0</v>
      </c>
      <c r="AG223" s="394">
        <f t="shared" si="214"/>
        <v>0</v>
      </c>
      <c r="AH223" s="395">
        <f t="shared" si="214"/>
        <v>0</v>
      </c>
      <c r="AI223" s="395">
        <f t="shared" si="214"/>
        <v>0</v>
      </c>
      <c r="AJ223" s="395">
        <f t="shared" si="214"/>
        <v>0</v>
      </c>
      <c r="AK223" s="394">
        <f t="shared" si="214"/>
        <v>0</v>
      </c>
      <c r="AL223" s="395">
        <f t="shared" si="214"/>
        <v>0</v>
      </c>
      <c r="AM223" s="395">
        <f t="shared" si="214"/>
        <v>0</v>
      </c>
      <c r="AN223" s="395">
        <f t="shared" si="214"/>
        <v>0</v>
      </c>
      <c r="AO223" s="394">
        <f t="shared" si="214"/>
        <v>0</v>
      </c>
    </row>
    <row r="224" spans="1:41" ht="13.5" thickTop="1" x14ac:dyDescent="0.3">
      <c r="C224" s="392" t="s">
        <v>497</v>
      </c>
      <c r="D224" s="19"/>
      <c r="E224" s="19"/>
      <c r="F224" s="19"/>
      <c r="G224" s="19"/>
      <c r="I224" s="396">
        <v>0</v>
      </c>
      <c r="J224" s="396">
        <v>0</v>
      </c>
      <c r="K224" s="396">
        <v>0</v>
      </c>
      <c r="L224" s="396">
        <v>0</v>
      </c>
      <c r="M224" s="396">
        <v>0</v>
      </c>
      <c r="N224" s="396">
        <v>0</v>
      </c>
      <c r="O224" s="396">
        <v>0</v>
      </c>
      <c r="P224" s="396">
        <v>0</v>
      </c>
      <c r="Q224" s="396">
        <v>0</v>
      </c>
      <c r="R224" s="396">
        <v>0</v>
      </c>
      <c r="S224" s="396">
        <v>0</v>
      </c>
      <c r="T224" s="396">
        <v>0</v>
      </c>
      <c r="U224" s="396">
        <v>0</v>
      </c>
      <c r="V224" s="396">
        <v>0</v>
      </c>
      <c r="W224" s="396">
        <v>0</v>
      </c>
      <c r="X224" s="396">
        <v>0</v>
      </c>
      <c r="Y224" s="396">
        <v>0</v>
      </c>
      <c r="Z224" s="396">
        <v>0</v>
      </c>
      <c r="AA224" s="396">
        <v>0</v>
      </c>
      <c r="AB224" s="396">
        <v>0</v>
      </c>
      <c r="AC224" s="396">
        <v>0</v>
      </c>
      <c r="AD224" s="396">
        <v>0</v>
      </c>
      <c r="AE224" s="396">
        <v>0</v>
      </c>
      <c r="AF224" s="396">
        <v>0</v>
      </c>
      <c r="AG224" s="396">
        <v>0</v>
      </c>
      <c r="AH224" s="396">
        <v>0</v>
      </c>
      <c r="AI224" s="396">
        <v>0</v>
      </c>
      <c r="AJ224" s="396">
        <v>0</v>
      </c>
      <c r="AK224" s="396">
        <v>0</v>
      </c>
      <c r="AL224" s="396">
        <v>0</v>
      </c>
      <c r="AM224" s="396">
        <v>0</v>
      </c>
      <c r="AN224" s="396">
        <v>0</v>
      </c>
      <c r="AO224" s="396">
        <v>0</v>
      </c>
    </row>
    <row r="225" spans="3:41" x14ac:dyDescent="0.3">
      <c r="C225" s="321" t="s">
        <v>108</v>
      </c>
      <c r="I225" s="214">
        <f>++IFERROR(1-I224/I223,0)</f>
        <v>0</v>
      </c>
      <c r="J225" s="225">
        <f t="shared" ref="J225:AO225" si="216">++IFERROR(1-J224/J223,0)</f>
        <v>0</v>
      </c>
      <c r="K225" s="225">
        <f t="shared" si="216"/>
        <v>0</v>
      </c>
      <c r="L225" s="225">
        <f t="shared" si="216"/>
        <v>0</v>
      </c>
      <c r="M225" s="214">
        <f t="shared" si="216"/>
        <v>0</v>
      </c>
      <c r="N225" s="225">
        <f t="shared" si="216"/>
        <v>0</v>
      </c>
      <c r="O225" s="225">
        <f t="shared" si="216"/>
        <v>0</v>
      </c>
      <c r="P225" s="225">
        <f t="shared" si="216"/>
        <v>0</v>
      </c>
      <c r="Q225" s="214">
        <f t="shared" si="216"/>
        <v>0</v>
      </c>
      <c r="R225" s="225">
        <f t="shared" si="216"/>
        <v>0</v>
      </c>
      <c r="S225" s="225">
        <f t="shared" si="216"/>
        <v>0</v>
      </c>
      <c r="T225" s="225">
        <f t="shared" si="216"/>
        <v>0</v>
      </c>
      <c r="U225" s="214">
        <f t="shared" si="216"/>
        <v>0</v>
      </c>
      <c r="V225" s="225">
        <f t="shared" si="216"/>
        <v>0</v>
      </c>
      <c r="W225" s="225">
        <f t="shared" si="216"/>
        <v>0</v>
      </c>
      <c r="X225" s="225">
        <f t="shared" si="216"/>
        <v>0</v>
      </c>
      <c r="Y225" s="214">
        <f t="shared" si="216"/>
        <v>0</v>
      </c>
      <c r="Z225" s="225">
        <f t="shared" si="216"/>
        <v>0</v>
      </c>
      <c r="AA225" s="225">
        <f t="shared" si="216"/>
        <v>0</v>
      </c>
      <c r="AB225" s="225">
        <f t="shared" si="216"/>
        <v>0</v>
      </c>
      <c r="AC225" s="214">
        <f t="shared" si="216"/>
        <v>0</v>
      </c>
      <c r="AD225" s="225">
        <f t="shared" si="216"/>
        <v>0</v>
      </c>
      <c r="AE225" s="225">
        <f t="shared" si="216"/>
        <v>0</v>
      </c>
      <c r="AF225" s="225">
        <f t="shared" si="216"/>
        <v>0</v>
      </c>
      <c r="AG225" s="214">
        <f t="shared" si="216"/>
        <v>0</v>
      </c>
      <c r="AH225" s="225">
        <f t="shared" si="216"/>
        <v>0</v>
      </c>
      <c r="AI225" s="225">
        <f t="shared" si="216"/>
        <v>0</v>
      </c>
      <c r="AJ225" s="225">
        <f t="shared" si="216"/>
        <v>0</v>
      </c>
      <c r="AK225" s="214">
        <f t="shared" si="216"/>
        <v>0</v>
      </c>
      <c r="AL225" s="225">
        <f t="shared" si="216"/>
        <v>0</v>
      </c>
      <c r="AM225" s="225">
        <f t="shared" si="216"/>
        <v>0</v>
      </c>
      <c r="AN225" s="225">
        <f t="shared" si="216"/>
        <v>0</v>
      </c>
      <c r="AO225" s="214">
        <f t="shared" si="216"/>
        <v>0</v>
      </c>
    </row>
    <row r="226" spans="3:41" x14ac:dyDescent="0.3">
      <c r="I226" s="203"/>
      <c r="M226" s="203"/>
      <c r="Q226" s="203"/>
      <c r="U226" s="203"/>
      <c r="Y226" s="203"/>
      <c r="AC226" s="203"/>
      <c r="AG226" s="203"/>
      <c r="AK226" s="203"/>
      <c r="AO226" s="203"/>
    </row>
    <row r="227" spans="3:41" x14ac:dyDescent="0.3">
      <c r="I227" s="203"/>
      <c r="M227" s="203"/>
      <c r="Q227" s="203"/>
      <c r="U227" s="203"/>
      <c r="Y227" s="203"/>
      <c r="AC227" s="203"/>
      <c r="AG227" s="203"/>
      <c r="AK227" s="203"/>
      <c r="AO227" s="203"/>
    </row>
  </sheetData>
  <conditionalFormatting sqref="I142:AO142">
    <cfRule type="cellIs" dxfId="32" priority="101" operator="equal">
      <formula>"Check"</formula>
    </cfRule>
    <cfRule type="cellIs" dxfId="31" priority="95" operator="greaterThan">
      <formula>$F142</formula>
    </cfRule>
    <cfRule type="cellIs" dxfId="30" priority="102" operator="notEqual">
      <formula>"Check"</formula>
    </cfRule>
  </conditionalFormatting>
  <conditionalFormatting sqref="I145:AO145">
    <cfRule type="cellIs" dxfId="28" priority="35" operator="notEqual">
      <formula>"Check"</formula>
    </cfRule>
    <cfRule type="cellIs" dxfId="27" priority="34" operator="equal">
      <formula>"Check"</formula>
    </cfRule>
    <cfRule type="cellIs" dxfId="26" priority="33" operator="greaterThan">
      <formula>$F145</formula>
    </cfRule>
  </conditionalFormatting>
  <conditionalFormatting sqref="I148:AO148">
    <cfRule type="cellIs" dxfId="23" priority="31" operator="notEqual">
      <formula>"Check"</formula>
    </cfRule>
    <cfRule type="cellIs" dxfId="22" priority="30" operator="equal">
      <formula>"Check"</formula>
    </cfRule>
    <cfRule type="cellIs" dxfId="21" priority="29" operator="greaterThan">
      <formula>$F148</formula>
    </cfRule>
  </conditionalFormatting>
  <conditionalFormatting sqref="I151:AO151">
    <cfRule type="cellIs" dxfId="18" priority="27" operator="notEqual">
      <formula>"Check"</formula>
    </cfRule>
    <cfRule type="cellIs" dxfId="17" priority="25" operator="greaterThan">
      <formula>$F151</formula>
    </cfRule>
    <cfRule type="cellIs" dxfId="16" priority="26" operator="equal">
      <formula>"Check"</formula>
    </cfRule>
  </conditionalFormatting>
  <conditionalFormatting sqref="I154:AO154">
    <cfRule type="cellIs" dxfId="13" priority="23" operator="notEqual">
      <formula>"Check"</formula>
    </cfRule>
    <cfRule type="cellIs" dxfId="12" priority="21" operator="greaterThan">
      <formula>$F154</formula>
    </cfRule>
    <cfRule type="cellIs" dxfId="11" priority="22" operator="equal">
      <formula>"Check"</formula>
    </cfRule>
  </conditionalFormatting>
  <conditionalFormatting sqref="I157:AO157">
    <cfRule type="cellIs" dxfId="8" priority="37" operator="greaterThan">
      <formula>$F157</formula>
    </cfRule>
    <cfRule type="cellIs" dxfId="7" priority="39" operator="notEqual">
      <formula>"Check"</formula>
    </cfRule>
    <cfRule type="cellIs" dxfId="6" priority="38" operator="equal">
      <formula>"Check"</formula>
    </cfRule>
  </conditionalFormatting>
  <conditionalFormatting sqref="I197:AO197">
    <cfRule type="cellIs" dxfId="4" priority="113" operator="lessThan">
      <formula>0</formula>
    </cfRule>
  </conditionalFormatting>
  <conditionalFormatting sqref="I214:AO214">
    <cfRule type="cellIs" dxfId="3" priority="112" operator="lessThan">
      <formula>0</formula>
    </cfRule>
  </conditionalFormatting>
  <conditionalFormatting sqref="I225:AO225">
    <cfRule type="cellIs" dxfId="1" priority="20" operator="lessThan">
      <formula>0</formula>
    </cfRule>
    <cfRule type="cellIs" dxfId="0" priority="111" operator="lessThan">
      <formula>0</formula>
    </cfRule>
  </conditionalFormatting>
  <pageMargins left="0.7" right="0.7" top="0.75" bottom="0.75" header="0.3" footer="0.3"/>
  <pageSetup orientation="portrait" horizontalDpi="1200" verticalDpi="1200" r:id="rId1"/>
  <customProperties>
    <customPr name="OrphanNamesChecked" r:id="rId2"/>
  </customProperti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2ECADCDF-B7C7-49E0-B850-6706AAD88F13}">
            <xm:f>$E142='Data Validation'!$C$66</xm:f>
            <x14:dxf>
              <font>
                <color rgb="FF0000FF"/>
              </font>
              <numFmt numFmtId="167" formatCode="&quot;$&quot;#,##0_);\(&quot;$&quot;#,##0\);&quot;$--&quot;_);@_)"/>
              <fill>
                <patternFill>
                  <bgColor rgb="FFFFFFCC"/>
                </patternFill>
              </fill>
            </x14:dxf>
          </x14:cfRule>
          <x14:cfRule type="expression" priority="14" id="{22164B7E-D637-4AB2-B393-87FC2CE00FEB}">
            <xm:f>$E142='Data Validation'!$C$67</xm:f>
            <x14:dxf>
              <font>
                <color rgb="FF0000FF"/>
              </font>
              <numFmt numFmtId="165" formatCode="#,##0.0%_);\(#,##0.0%\);&quot;--%&quot;_);@_)"/>
              <fill>
                <patternFill>
                  <bgColor rgb="FFFFFFCC"/>
                </patternFill>
              </fill>
            </x14:dxf>
          </x14:cfRule>
          <xm:sqref>F142</xm:sqref>
        </x14:conditionalFormatting>
        <x14:conditionalFormatting xmlns:xm="http://schemas.microsoft.com/office/excel/2006/main">
          <x14:cfRule type="expression" priority="9" id="{040477E2-F185-4BA7-AAD4-7F89EB8526F6}">
            <xm:f>$E145='Data Validation'!$C$66</xm:f>
            <x14:dxf>
              <font>
                <color rgb="FF0000FF"/>
              </font>
              <numFmt numFmtId="167" formatCode="&quot;$&quot;#,##0_);\(&quot;$&quot;#,##0\);&quot;$--&quot;_);@_)"/>
              <fill>
                <patternFill>
                  <bgColor rgb="FFFFFFCC"/>
                </patternFill>
              </fill>
            </x14:dxf>
          </x14:cfRule>
          <x14:cfRule type="expression" priority="10" id="{4FB7F896-89F6-4344-8F12-B78CE232A9ED}">
            <xm:f>$E145='Data Validation'!$C$67</xm:f>
            <x14:dxf>
              <font>
                <color rgb="FF0000FF"/>
              </font>
              <numFmt numFmtId="165" formatCode="#,##0.0%_);\(#,##0.0%\);&quot;--%&quot;_);@_)"/>
              <fill>
                <patternFill>
                  <bgColor rgb="FFFFFFCC"/>
                </patternFill>
              </fill>
            </x14:dxf>
          </x14:cfRule>
          <xm:sqref>F145</xm:sqref>
        </x14:conditionalFormatting>
        <x14:conditionalFormatting xmlns:xm="http://schemas.microsoft.com/office/excel/2006/main">
          <x14:cfRule type="expression" priority="7" id="{70727D7F-E14F-4A79-A44F-A3A9DEFCFF3A}">
            <xm:f>$E148='Data Validation'!$C$66</xm:f>
            <x14:dxf>
              <font>
                <color rgb="FF0000FF"/>
              </font>
              <numFmt numFmtId="167" formatCode="&quot;$&quot;#,##0_);\(&quot;$&quot;#,##0\);&quot;$--&quot;_);@_)"/>
              <fill>
                <patternFill>
                  <bgColor rgb="FFFFFFCC"/>
                </patternFill>
              </fill>
            </x14:dxf>
          </x14:cfRule>
          <x14:cfRule type="expression" priority="8" id="{64CEC3C5-DB80-4A71-8DC1-419C3A06D8E9}">
            <xm:f>$E148='Data Validation'!$C$67</xm:f>
            <x14:dxf>
              <font>
                <color rgb="FF0000FF"/>
              </font>
              <numFmt numFmtId="165" formatCode="#,##0.0%_);\(#,##0.0%\);&quot;--%&quot;_);@_)"/>
              <fill>
                <patternFill>
                  <bgColor rgb="FFFFFFCC"/>
                </patternFill>
              </fill>
            </x14:dxf>
          </x14:cfRule>
          <xm:sqref>F148</xm:sqref>
        </x14:conditionalFormatting>
        <x14:conditionalFormatting xmlns:xm="http://schemas.microsoft.com/office/excel/2006/main">
          <x14:cfRule type="expression" priority="5" id="{C5DE83E4-74F8-478B-ADB2-1760D861380D}">
            <xm:f>$E151='Data Validation'!$C$66</xm:f>
            <x14:dxf>
              <font>
                <color rgb="FF0000FF"/>
              </font>
              <numFmt numFmtId="167" formatCode="&quot;$&quot;#,##0_);\(&quot;$&quot;#,##0\);&quot;$--&quot;_);@_)"/>
              <fill>
                <patternFill>
                  <bgColor rgb="FFFFFFCC"/>
                </patternFill>
              </fill>
            </x14:dxf>
          </x14:cfRule>
          <x14:cfRule type="expression" priority="6" id="{77633FEC-FB45-4C87-9B37-96755A32BEB8}">
            <xm:f>$E151='Data Validation'!$C$67</xm:f>
            <x14:dxf>
              <font>
                <color rgb="FF0000FF"/>
              </font>
              <numFmt numFmtId="165" formatCode="#,##0.0%_);\(#,##0.0%\);&quot;--%&quot;_);@_)"/>
              <fill>
                <patternFill>
                  <bgColor rgb="FFFFFFCC"/>
                </patternFill>
              </fill>
            </x14:dxf>
          </x14:cfRule>
          <xm:sqref>F151</xm:sqref>
        </x14:conditionalFormatting>
        <x14:conditionalFormatting xmlns:xm="http://schemas.microsoft.com/office/excel/2006/main">
          <x14:cfRule type="expression" priority="3" id="{0BC61C44-EE78-4E3E-936A-842FB78E2288}">
            <xm:f>$E154='Data Validation'!$C$66</xm:f>
            <x14:dxf>
              <font>
                <color rgb="FF0000FF"/>
              </font>
              <numFmt numFmtId="167" formatCode="&quot;$&quot;#,##0_);\(&quot;$&quot;#,##0\);&quot;$--&quot;_);@_)"/>
              <fill>
                <patternFill>
                  <bgColor rgb="FFFFFFCC"/>
                </patternFill>
              </fill>
            </x14:dxf>
          </x14:cfRule>
          <x14:cfRule type="expression" priority="4" id="{389D24F2-6AAA-45BB-8669-87069BBA634E}">
            <xm:f>$E154='Data Validation'!$C$67</xm:f>
            <x14:dxf>
              <font>
                <color rgb="FF0000FF"/>
              </font>
              <numFmt numFmtId="165" formatCode="#,##0.0%_);\(#,##0.0%\);&quot;--%&quot;_);@_)"/>
              <fill>
                <patternFill>
                  <bgColor rgb="FFFFFFCC"/>
                </patternFill>
              </fill>
            </x14:dxf>
          </x14:cfRule>
          <xm:sqref>F154</xm:sqref>
        </x14:conditionalFormatting>
        <x14:conditionalFormatting xmlns:xm="http://schemas.microsoft.com/office/excel/2006/main">
          <x14:cfRule type="expression" priority="2" id="{9AE1A02C-6B37-4AD3-B6BE-06AEB430A445}">
            <xm:f>$E157='Data Validation'!$C$67</xm:f>
            <x14:dxf>
              <font>
                <color rgb="FF0000FF"/>
              </font>
              <numFmt numFmtId="165" formatCode="#,##0.0%_);\(#,##0.0%\);&quot;--%&quot;_);@_)"/>
              <fill>
                <patternFill>
                  <bgColor rgb="FFFFFFCC"/>
                </patternFill>
              </fill>
            </x14:dxf>
          </x14:cfRule>
          <x14:cfRule type="expression" priority="1" id="{1CEBC5EC-570D-4891-8E04-997CFEFA5142}">
            <xm:f>$E157='Data Validation'!$C$66</xm:f>
            <x14:dxf>
              <font>
                <color rgb="FF0000FF"/>
              </font>
              <numFmt numFmtId="167" formatCode="&quot;$&quot;#,##0_);\(&quot;$&quot;#,##0\);&quot;$--&quot;_);@_)"/>
              <fill>
                <patternFill>
                  <bgColor rgb="FFFFFFCC"/>
                </patternFill>
              </fill>
            </x14:dxf>
          </x14:cfRule>
          <xm:sqref>F157</xm:sqref>
        </x14:conditionalFormatting>
        <x14:conditionalFormatting xmlns:xm="http://schemas.microsoft.com/office/excel/2006/main">
          <x14:cfRule type="expression" priority="19" id="{90BA04BE-298F-4C42-AF24-951FEC210819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I9:AO136 I143:AO144</xm:sqref>
        </x14:conditionalFormatting>
        <x14:conditionalFormatting xmlns:xm="http://schemas.microsoft.com/office/excel/2006/main">
          <x14:cfRule type="expression" priority="103" id="{AAA388AA-3477-413D-8C18-6C1B8A7F40F6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I142:AO142</xm:sqref>
        </x14:conditionalFormatting>
        <x14:conditionalFormatting xmlns:xm="http://schemas.microsoft.com/office/excel/2006/main">
          <x14:cfRule type="expression" priority="36" id="{D4B1760B-06CF-40DF-BFFF-A173EE60141F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I145:AO146 I161:AO199</xm:sqref>
        </x14:conditionalFormatting>
        <x14:conditionalFormatting xmlns:xm="http://schemas.microsoft.com/office/excel/2006/main">
          <x14:cfRule type="expression" priority="18" id="{6EA6BB9C-DAE3-4355-9DB0-AFA487A188F5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I147:AO147</xm:sqref>
        </x14:conditionalFormatting>
        <x14:conditionalFormatting xmlns:xm="http://schemas.microsoft.com/office/excel/2006/main">
          <x14:cfRule type="expression" priority="32" id="{7AB94C76-4F70-46E2-8AE2-7262ED32CD30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I148:AO149</xm:sqref>
        </x14:conditionalFormatting>
        <x14:conditionalFormatting xmlns:xm="http://schemas.microsoft.com/office/excel/2006/main">
          <x14:cfRule type="expression" priority="17" id="{E10BFF37-28E5-4F6D-AB23-FAAF03E5C1ED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I150:AO150</xm:sqref>
        </x14:conditionalFormatting>
        <x14:conditionalFormatting xmlns:xm="http://schemas.microsoft.com/office/excel/2006/main">
          <x14:cfRule type="expression" priority="28" id="{65253645-8C50-437D-A01D-070E066C4B28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I151:AO152</xm:sqref>
        </x14:conditionalFormatting>
        <x14:conditionalFormatting xmlns:xm="http://schemas.microsoft.com/office/excel/2006/main">
          <x14:cfRule type="expression" priority="16" id="{692E85F7-DEB2-46FA-8C1D-71DFF800E249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I153:AO153</xm:sqref>
        </x14:conditionalFormatting>
        <x14:conditionalFormatting xmlns:xm="http://schemas.microsoft.com/office/excel/2006/main">
          <x14:cfRule type="expression" priority="24" id="{14B89EA9-8CB0-45FE-9857-D901BEC1D9F0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I154:AO155</xm:sqref>
        </x14:conditionalFormatting>
        <x14:conditionalFormatting xmlns:xm="http://schemas.microsoft.com/office/excel/2006/main">
          <x14:cfRule type="expression" priority="15" id="{B037A8FF-E703-47A1-AF2A-75C4EC716D17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I156:AO156</xm:sqref>
        </x14:conditionalFormatting>
        <x14:conditionalFormatting xmlns:xm="http://schemas.microsoft.com/office/excel/2006/main">
          <x14:cfRule type="expression" priority="40" id="{6CC681B8-3372-4DB6-9045-9AECC785D1D2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I157:AO159</xm:sqref>
        </x14:conditionalFormatting>
        <x14:conditionalFormatting xmlns:xm="http://schemas.microsoft.com/office/excel/2006/main">
          <x14:cfRule type="expression" priority="82" id="{DAECE45C-34AF-4E26-AAE7-041DBFE5B805}">
            <xm:f>I$3:AO$3=Dashboard!$AC$1</xm:f>
            <x14:dxf>
              <fill>
                <patternFill>
                  <bgColor theme="6" tint="0.59996337778862885"/>
                </patternFill>
              </fill>
            </x14:dxf>
          </x14:cfRule>
          <xm:sqref>I218:AO227 I2:AO4 I6:AO7 I138:AO141 I201:AO216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779A67-F9B6-44A5-AF05-5E6E02052475}">
          <x14:formula1>
            <xm:f>'Data Validation'!$C$66:$C$68</xm:f>
          </x14:formula1>
          <xm:sqref>E142 E145 E148 E151 E154 E157</xm:sqref>
        </x14:dataValidation>
        <x14:dataValidation type="list" allowBlank="1" showInputMessage="1" showErrorMessage="1" xr:uid="{84971FF2-23B0-4ABC-953B-89B766444311}">
          <x14:formula1>
            <xm:f>'Data Validation'!$C$72:$C$74</xm:f>
          </x14:formula1>
          <xm:sqref>G142 G145 G148 G151 G154 G157</xm:sqref>
        </x14:dataValidation>
        <x14:dataValidation type="list" allowBlank="1" showInputMessage="1" showErrorMessage="1" xr:uid="{CCF0970A-AB91-4317-A9AA-3E4FF4B11B55}">
          <x14:formula1>
            <xm:f>'Data Validation'!$C$78:$C$81</xm:f>
          </x14:formula1>
          <xm:sqref>G14:G63 G68:G120 G130:G131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9569-4CA5-4FBF-941C-678240E3E3C9}">
  <sheetPr codeName="Sheet13">
    <tabColor theme="5" tint="0.79998168889431442"/>
    <pageSetUpPr fitToPage="1"/>
  </sheetPr>
  <dimension ref="A1:AE400"/>
  <sheetViews>
    <sheetView showGridLines="0" view="pageBreakPreview" zoomScale="85" zoomScaleNormal="85" zoomScaleSheetLayoutView="85" workbookViewId="0">
      <pane xSplit="2" ySplit="7" topLeftCell="C8" activePane="bottomRight" state="frozen"/>
      <selection activeCell="C90" sqref="C90:M95"/>
      <selection pane="topRight" activeCell="C90" sqref="C90:M95"/>
      <selection pane="bottomLeft" activeCell="C90" sqref="C90:M95"/>
      <selection pane="bottomRight" activeCell="C38" sqref="C38"/>
    </sheetView>
  </sheetViews>
  <sheetFormatPr defaultColWidth="9.296875" defaultRowHeight="13" outlineLevelRow="2" outlineLevelCol="1" x14ac:dyDescent="0.3"/>
  <cols>
    <col min="1" max="2" width="2.796875" style="1" customWidth="1"/>
    <col min="3" max="13" width="15.796875" style="1" customWidth="1"/>
    <col min="14" max="15" width="9.296875" style="1"/>
    <col min="16" max="30" width="13.296875" style="1" hidden="1" customWidth="1" outlineLevel="1"/>
    <col min="31" max="31" width="9.296875" style="1" collapsed="1"/>
    <col min="32" max="16384" width="9.296875" style="1"/>
  </cols>
  <sheetData>
    <row r="1" spans="1:13" x14ac:dyDescent="0.3">
      <c r="C1" s="2" t="str">
        <f>++Dashboard!$C$1</f>
        <v>[Company Name]</v>
      </c>
      <c r="D1" s="3"/>
      <c r="E1" s="4"/>
    </row>
    <row r="2" spans="1:13" x14ac:dyDescent="0.3">
      <c r="C2" s="10" t="s">
        <v>434</v>
      </c>
      <c r="D2" s="11"/>
      <c r="E2" s="12"/>
    </row>
    <row r="3" spans="1:13" x14ac:dyDescent="0.3">
      <c r="C3" s="13" t="str">
        <f ca="1">++TEXT(TODAY(),"MMMM D, YYYY")</f>
        <v>February 26, 2026</v>
      </c>
      <c r="D3" s="14"/>
      <c r="E3" s="15"/>
    </row>
    <row r="5" spans="1:13" x14ac:dyDescent="0.3">
      <c r="A5" s="16" t="s">
        <v>0</v>
      </c>
      <c r="B5" s="16" t="s">
        <v>0</v>
      </c>
      <c r="C5" s="146" t="str">
        <f>++C2</f>
        <v>Trade Ticket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</row>
    <row r="6" spans="1:13" x14ac:dyDescent="0.3">
      <c r="C6" s="74" t="s">
        <v>1</v>
      </c>
    </row>
    <row r="7" spans="1:13" ht="5.15" customHeight="1" x14ac:dyDescent="0.3"/>
    <row r="8" spans="1:13" hidden="1" outlineLevel="2" x14ac:dyDescent="0.3">
      <c r="A8" s="16"/>
      <c r="B8" s="16" t="s">
        <v>0</v>
      </c>
      <c r="C8" s="201" t="str">
        <f>++"ABL Revolver ("&amp;TEXT(E14/1000,"$#,##0.0")&amp;"MM)"</f>
        <v>ABL Revolver ($0.0MM)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</row>
    <row r="9" spans="1:13" ht="5.15" hidden="1" customHeight="1" outlineLevel="2" x14ac:dyDescent="0.3"/>
    <row r="10" spans="1:13" hidden="1" outlineLevel="2" x14ac:dyDescent="0.3">
      <c r="C10" s="1" t="s">
        <v>161</v>
      </c>
      <c r="E10" s="75">
        <v>45838</v>
      </c>
      <c r="G10" s="1" t="s">
        <v>167</v>
      </c>
      <c r="I10" s="76">
        <v>0</v>
      </c>
      <c r="K10" s="1" t="s">
        <v>192</v>
      </c>
      <c r="M10" s="77" t="s">
        <v>172</v>
      </c>
    </row>
    <row r="11" spans="1:13" hidden="1" outlineLevel="2" x14ac:dyDescent="0.3">
      <c r="C11" s="1" t="s">
        <v>162</v>
      </c>
      <c r="E11" s="75">
        <f>++EDATE(E10,12*5)</f>
        <v>47664</v>
      </c>
      <c r="G11" s="1" t="s">
        <v>166</v>
      </c>
      <c r="I11" s="76">
        <v>0</v>
      </c>
      <c r="K11" s="1" t="s">
        <v>193</v>
      </c>
      <c r="M11" s="77" t="s">
        <v>194</v>
      </c>
    </row>
    <row r="12" spans="1:13" hidden="1" outlineLevel="2" x14ac:dyDescent="0.3">
      <c r="C12" s="1" t="s">
        <v>163</v>
      </c>
      <c r="E12" s="78">
        <f>++IFERROR(YEARFRAC(E10,E11,1),"n/a")</f>
        <v>5.0004564125969875</v>
      </c>
      <c r="G12" s="1" t="s">
        <v>165</v>
      </c>
      <c r="I12" s="76">
        <v>0</v>
      </c>
      <c r="K12" s="1" t="s">
        <v>173</v>
      </c>
      <c r="M12" s="77" t="str">
        <f>++IF(M10="Floating","Term SOFR","n/a")</f>
        <v>Term SOFR</v>
      </c>
    </row>
    <row r="13" spans="1:13" hidden="1" outlineLevel="2" x14ac:dyDescent="0.3">
      <c r="E13" s="79"/>
      <c r="G13" s="1" t="s">
        <v>168</v>
      </c>
      <c r="I13" s="76">
        <v>0</v>
      </c>
      <c r="K13" s="1" t="s">
        <v>174</v>
      </c>
      <c r="M13" s="76">
        <v>0</v>
      </c>
    </row>
    <row r="14" spans="1:13" hidden="1" outlineLevel="2" x14ac:dyDescent="0.3">
      <c r="C14" s="1" t="s">
        <v>159</v>
      </c>
      <c r="E14" s="77">
        <v>0</v>
      </c>
      <c r="G14" s="1" t="s">
        <v>164</v>
      </c>
      <c r="I14" s="77">
        <v>0</v>
      </c>
      <c r="K14" s="1" t="s">
        <v>186</v>
      </c>
      <c r="M14" s="76">
        <v>0</v>
      </c>
    </row>
    <row r="15" spans="1:13" hidden="1" outlineLevel="2" x14ac:dyDescent="0.3">
      <c r="C15" s="1" t="s">
        <v>429</v>
      </c>
      <c r="E15" s="77">
        <v>0</v>
      </c>
      <c r="I15" s="79"/>
      <c r="K15" s="1" t="s">
        <v>185</v>
      </c>
      <c r="M15" s="76">
        <v>0</v>
      </c>
    </row>
    <row r="16" spans="1:13" hidden="1" outlineLevel="2" x14ac:dyDescent="0.3">
      <c r="C16" s="1" t="s">
        <v>430</v>
      </c>
      <c r="E16" s="77">
        <f>++E15</f>
        <v>0</v>
      </c>
      <c r="G16" s="1" t="s">
        <v>169</v>
      </c>
      <c r="I16" s="76" t="s">
        <v>47</v>
      </c>
      <c r="K16" s="1" t="s">
        <v>184</v>
      </c>
      <c r="M16" s="76">
        <v>0</v>
      </c>
    </row>
    <row r="17" spans="3:13" hidden="1" outlineLevel="2" x14ac:dyDescent="0.3">
      <c r="C17" s="80" t="s">
        <v>160</v>
      </c>
      <c r="E17" s="81" t="str">
        <f>++IFERROR(E16/E14,"n/a")</f>
        <v>n/a</v>
      </c>
      <c r="G17" s="1" t="s">
        <v>170</v>
      </c>
      <c r="I17" s="82" t="str">
        <f>++IFERROR(E14*I16/4,"n/a")</f>
        <v>n/a</v>
      </c>
      <c r="K17" s="1" t="s">
        <v>175</v>
      </c>
      <c r="M17" s="76">
        <v>0</v>
      </c>
    </row>
    <row r="18" spans="3:13" hidden="1" outlineLevel="2" x14ac:dyDescent="0.3">
      <c r="K18" s="1" t="s">
        <v>343</v>
      </c>
      <c r="M18" s="76" t="s">
        <v>47</v>
      </c>
    </row>
    <row r="19" spans="3:13" hidden="1" outlineLevel="2" x14ac:dyDescent="0.3"/>
    <row r="20" spans="3:13" ht="14.5" hidden="1" outlineLevel="2" x14ac:dyDescent="0.45">
      <c r="C20" s="26" t="s">
        <v>179</v>
      </c>
      <c r="D20" s="26"/>
      <c r="E20" s="26"/>
      <c r="F20" s="26"/>
      <c r="G20" s="26"/>
      <c r="H20" s="26"/>
      <c r="I20" s="26"/>
    </row>
    <row r="21" spans="3:13" ht="14.5" hidden="1" outlineLevel="2" x14ac:dyDescent="0.45">
      <c r="F21" s="26" t="s">
        <v>178</v>
      </c>
      <c r="G21" s="26"/>
      <c r="H21" s="26" t="s">
        <v>180</v>
      </c>
      <c r="I21" s="26"/>
      <c r="K21" s="26" t="s">
        <v>182</v>
      </c>
      <c r="L21" s="26"/>
      <c r="M21" s="26"/>
    </row>
    <row r="22" spans="3:13" ht="14.5" hidden="1" outlineLevel="2" x14ac:dyDescent="0.45">
      <c r="C22" s="26" t="s">
        <v>176</v>
      </c>
      <c r="D22" s="26"/>
      <c r="E22" s="30" t="s">
        <v>177</v>
      </c>
      <c r="F22" s="30" t="str">
        <f>++M12</f>
        <v>Term SOFR</v>
      </c>
      <c r="G22" s="30" t="str">
        <f>++IF(F22="n/a","n/a","ABR")</f>
        <v>ABR</v>
      </c>
      <c r="H22" s="30" t="s">
        <v>111</v>
      </c>
      <c r="I22" s="30" t="s">
        <v>181</v>
      </c>
      <c r="K22" s="30" t="s">
        <v>143</v>
      </c>
      <c r="L22" s="30" t="s">
        <v>98</v>
      </c>
      <c r="M22" s="30" t="s">
        <v>191</v>
      </c>
    </row>
    <row r="23" spans="3:13" hidden="1" outlineLevel="2" x14ac:dyDescent="0.3">
      <c r="C23" s="84" t="s">
        <v>63</v>
      </c>
      <c r="D23" s="445"/>
      <c r="E23" s="85">
        <v>7</v>
      </c>
      <c r="F23" s="76">
        <f>++IFERROR(F24+0.25%,"n/a")</f>
        <v>2.5000000000000001E-3</v>
      </c>
      <c r="G23" s="76">
        <f>++IFERROR(F23-1%,"n/a")</f>
        <v>-7.4999999999999997E-3</v>
      </c>
      <c r="H23" s="76" t="str">
        <f>++IFERROR(H24+0.25%,"n/a")</f>
        <v>n/a</v>
      </c>
      <c r="I23" s="76" t="s">
        <v>47</v>
      </c>
      <c r="K23" s="86" t="s">
        <v>183</v>
      </c>
      <c r="L23" s="87">
        <f>++EDATE(E10,6)</f>
        <v>46021</v>
      </c>
      <c r="M23" s="88" t="s">
        <v>47</v>
      </c>
    </row>
    <row r="24" spans="3:13" hidden="1" outlineLevel="2" x14ac:dyDescent="0.3">
      <c r="C24" s="1" t="str">
        <f>++C23</f>
        <v>Total Net Leverage</v>
      </c>
      <c r="E24" s="85">
        <f>++E23-0.5</f>
        <v>6.5</v>
      </c>
      <c r="F24" s="89">
        <f>++M17</f>
        <v>0</v>
      </c>
      <c r="G24" s="76">
        <f t="shared" ref="G24:G27" si="0">++IFERROR(F24-1%,"n/a")</f>
        <v>-0.01</v>
      </c>
      <c r="H24" s="89" t="str">
        <f>++M18</f>
        <v>n/a</v>
      </c>
      <c r="I24" s="76" t="s">
        <v>47</v>
      </c>
      <c r="K24" s="90" t="s">
        <v>187</v>
      </c>
      <c r="L24" s="87">
        <f>++EDATE(E10,12)</f>
        <v>46203</v>
      </c>
      <c r="M24" s="88">
        <v>102</v>
      </c>
    </row>
    <row r="25" spans="3:13" hidden="1" outlineLevel="2" x14ac:dyDescent="0.3">
      <c r="C25" s="1" t="str">
        <f t="shared" ref="C25:C27" si="1">++C24</f>
        <v>Total Net Leverage</v>
      </c>
      <c r="E25" s="85">
        <f t="shared" ref="E25:E26" si="2">++E24-0.5</f>
        <v>6</v>
      </c>
      <c r="F25" s="76">
        <f>++IFERROR(F24-0.25%,"n/a")</f>
        <v>-2.5000000000000001E-3</v>
      </c>
      <c r="G25" s="76">
        <f t="shared" si="0"/>
        <v>-1.2500000000000001E-2</v>
      </c>
      <c r="H25" s="76" t="str">
        <f>++IFERROR(H24-0.25%,"n/a")</f>
        <v>n/a</v>
      </c>
      <c r="I25" s="76" t="s">
        <v>47</v>
      </c>
      <c r="K25" s="90" t="s">
        <v>188</v>
      </c>
      <c r="L25" s="87">
        <f>++EDATE(E10,2*12)</f>
        <v>46568</v>
      </c>
      <c r="M25" s="88">
        <v>101</v>
      </c>
    </row>
    <row r="26" spans="3:13" hidden="1" outlineLevel="2" x14ac:dyDescent="0.3">
      <c r="C26" s="1" t="str">
        <f t="shared" si="1"/>
        <v>Total Net Leverage</v>
      </c>
      <c r="E26" s="85">
        <f t="shared" si="2"/>
        <v>5.5</v>
      </c>
      <c r="F26" s="76">
        <f t="shared" ref="F26:F27" si="3">++IFERROR(F25-0.25%,"n/a")</f>
        <v>-5.0000000000000001E-3</v>
      </c>
      <c r="G26" s="76">
        <f t="shared" si="0"/>
        <v>-1.4999999999999999E-2</v>
      </c>
      <c r="H26" s="76" t="str">
        <f t="shared" ref="H26:H27" si="4">++IFERROR(H25-0.25%,"n/a")</f>
        <v>n/a</v>
      </c>
      <c r="I26" s="76" t="s">
        <v>47</v>
      </c>
      <c r="K26" s="90" t="s">
        <v>189</v>
      </c>
      <c r="L26" s="87">
        <f>++EDATE(E10,3*12)</f>
        <v>46934</v>
      </c>
      <c r="M26" s="88">
        <v>100</v>
      </c>
    </row>
    <row r="27" spans="3:13" hidden="1" outlineLevel="2" x14ac:dyDescent="0.3">
      <c r="C27" s="1" t="str">
        <f t="shared" si="1"/>
        <v>Total Net Leverage</v>
      </c>
      <c r="E27" s="91">
        <f>++E26</f>
        <v>5.5</v>
      </c>
      <c r="F27" s="76">
        <f t="shared" si="3"/>
        <v>-7.4999999999999997E-3</v>
      </c>
      <c r="G27" s="76">
        <f t="shared" si="0"/>
        <v>-1.7500000000000002E-2</v>
      </c>
      <c r="H27" s="76" t="str">
        <f t="shared" si="4"/>
        <v>n/a</v>
      </c>
      <c r="I27" s="76" t="s">
        <v>47</v>
      </c>
      <c r="K27" s="90" t="s">
        <v>190</v>
      </c>
      <c r="L27" s="87">
        <f>++EDATE(E10,4*12)</f>
        <v>47299</v>
      </c>
      <c r="M27" s="88">
        <v>100</v>
      </c>
    </row>
    <row r="28" spans="3:13" hidden="1" outlineLevel="2" x14ac:dyDescent="0.3"/>
    <row r="29" spans="3:13" hidden="1" outlineLevel="2" x14ac:dyDescent="0.3">
      <c r="C29" s="92" t="s">
        <v>195</v>
      </c>
    </row>
    <row r="30" spans="3:13" ht="12.75" hidden="1" customHeight="1" outlineLevel="2" x14ac:dyDescent="0.3">
      <c r="C30" s="479" t="s">
        <v>417</v>
      </c>
      <c r="D30" s="480"/>
      <c r="E30" s="480"/>
      <c r="F30" s="480"/>
      <c r="G30" s="480"/>
      <c r="H30" s="480"/>
      <c r="I30" s="480"/>
      <c r="J30" s="480"/>
      <c r="K30" s="480"/>
      <c r="L30" s="480"/>
      <c r="M30" s="481"/>
    </row>
    <row r="31" spans="3:13" hidden="1" outlineLevel="2" x14ac:dyDescent="0.3">
      <c r="C31" s="482"/>
      <c r="D31" s="483"/>
      <c r="E31" s="483"/>
      <c r="F31" s="483"/>
      <c r="G31" s="483"/>
      <c r="H31" s="483"/>
      <c r="I31" s="483"/>
      <c r="J31" s="483"/>
      <c r="K31" s="483"/>
      <c r="L31" s="483"/>
      <c r="M31" s="484"/>
    </row>
    <row r="32" spans="3:13" hidden="1" outlineLevel="2" x14ac:dyDescent="0.3">
      <c r="C32" s="482"/>
      <c r="D32" s="483"/>
      <c r="E32" s="483"/>
      <c r="F32" s="483"/>
      <c r="G32" s="483"/>
      <c r="H32" s="483"/>
      <c r="I32" s="483"/>
      <c r="J32" s="483"/>
      <c r="K32" s="483"/>
      <c r="L32" s="483"/>
      <c r="M32" s="484"/>
    </row>
    <row r="33" spans="1:13" hidden="1" outlineLevel="2" x14ac:dyDescent="0.3">
      <c r="C33" s="482"/>
      <c r="D33" s="483"/>
      <c r="E33" s="483"/>
      <c r="F33" s="483"/>
      <c r="G33" s="483"/>
      <c r="H33" s="483"/>
      <c r="I33" s="483"/>
      <c r="J33" s="483"/>
      <c r="K33" s="483"/>
      <c r="L33" s="483"/>
      <c r="M33" s="484"/>
    </row>
    <row r="34" spans="1:13" hidden="1" outlineLevel="2" x14ac:dyDescent="0.3">
      <c r="C34" s="482"/>
      <c r="D34" s="483"/>
      <c r="E34" s="483"/>
      <c r="F34" s="483"/>
      <c r="G34" s="483"/>
      <c r="H34" s="483"/>
      <c r="I34" s="483"/>
      <c r="J34" s="483"/>
      <c r="K34" s="483"/>
      <c r="L34" s="483"/>
      <c r="M34" s="484"/>
    </row>
    <row r="35" spans="1:13" hidden="1" outlineLevel="2" x14ac:dyDescent="0.3">
      <c r="C35" s="485"/>
      <c r="D35" s="486"/>
      <c r="E35" s="486"/>
      <c r="F35" s="486"/>
      <c r="G35" s="486"/>
      <c r="H35" s="486"/>
      <c r="I35" s="486"/>
      <c r="J35" s="486"/>
      <c r="K35" s="486"/>
      <c r="L35" s="486"/>
      <c r="M35" s="487"/>
    </row>
    <row r="36" spans="1:13" hidden="1" outlineLevel="2" x14ac:dyDescent="0.3"/>
    <row r="37" spans="1:13" hidden="1" outlineLevel="2" x14ac:dyDescent="0.3"/>
    <row r="38" spans="1:13" collapsed="1" x14ac:dyDescent="0.3">
      <c r="A38" s="16"/>
      <c r="B38" s="16" t="s">
        <v>0</v>
      </c>
      <c r="C38" s="201" t="str">
        <f>++"Priority Revolver ("&amp;TEXT(E44/1000,"$#,##0.0")&amp;"MM)"</f>
        <v>Priority Revolver ($0.0MM)</v>
      </c>
      <c r="D38" s="154"/>
      <c r="E38" s="154"/>
      <c r="F38" s="154"/>
      <c r="G38" s="154"/>
      <c r="H38" s="154"/>
      <c r="I38" s="154"/>
      <c r="J38" s="154"/>
      <c r="K38" s="154"/>
      <c r="L38" s="154"/>
      <c r="M38" s="154"/>
    </row>
    <row r="39" spans="1:13" ht="5.15" customHeight="1" x14ac:dyDescent="0.3"/>
    <row r="40" spans="1:13" outlineLevel="1" x14ac:dyDescent="0.3">
      <c r="C40" s="1" t="s">
        <v>161</v>
      </c>
      <c r="E40" s="75">
        <v>45838</v>
      </c>
      <c r="G40" s="1" t="s">
        <v>167</v>
      </c>
      <c r="I40" s="76">
        <v>0</v>
      </c>
      <c r="K40" s="1" t="s">
        <v>192</v>
      </c>
      <c r="M40" s="77" t="s">
        <v>172</v>
      </c>
    </row>
    <row r="41" spans="1:13" outlineLevel="1" x14ac:dyDescent="0.3">
      <c r="C41" s="1" t="s">
        <v>162</v>
      </c>
      <c r="E41" s="75">
        <f>++EDATE(E40,12*5)</f>
        <v>47664</v>
      </c>
      <c r="G41" s="1" t="s">
        <v>166</v>
      </c>
      <c r="I41" s="76">
        <v>0</v>
      </c>
      <c r="K41" s="1" t="s">
        <v>193</v>
      </c>
      <c r="M41" s="77" t="s">
        <v>194</v>
      </c>
    </row>
    <row r="42" spans="1:13" outlineLevel="1" x14ac:dyDescent="0.3">
      <c r="C42" s="1" t="s">
        <v>163</v>
      </c>
      <c r="E42" s="78">
        <f>++IFERROR(YEARFRAC(E40,E41,1),"n/a")</f>
        <v>5.0004564125969875</v>
      </c>
      <c r="G42" s="1" t="s">
        <v>165</v>
      </c>
      <c r="I42" s="76">
        <v>0</v>
      </c>
      <c r="K42" s="1" t="s">
        <v>173</v>
      </c>
      <c r="M42" s="77" t="str">
        <f>++IF(M40="Floating","Term SOFR","n/a")</f>
        <v>Term SOFR</v>
      </c>
    </row>
    <row r="43" spans="1:13" outlineLevel="1" x14ac:dyDescent="0.3">
      <c r="E43" s="79"/>
      <c r="G43" s="1" t="s">
        <v>168</v>
      </c>
      <c r="I43" s="76">
        <v>0</v>
      </c>
      <c r="K43" s="1" t="s">
        <v>174</v>
      </c>
      <c r="M43" s="76">
        <v>0</v>
      </c>
    </row>
    <row r="44" spans="1:13" outlineLevel="1" x14ac:dyDescent="0.3">
      <c r="C44" s="1" t="s">
        <v>159</v>
      </c>
      <c r="E44" s="77">
        <v>0</v>
      </c>
      <c r="G44" s="1" t="s">
        <v>164</v>
      </c>
      <c r="I44" s="77">
        <v>0</v>
      </c>
      <c r="K44" s="1" t="s">
        <v>186</v>
      </c>
      <c r="M44" s="76">
        <v>0</v>
      </c>
    </row>
    <row r="45" spans="1:13" outlineLevel="1" x14ac:dyDescent="0.3">
      <c r="C45" s="1" t="s">
        <v>429</v>
      </c>
      <c r="E45" s="77">
        <v>0</v>
      </c>
      <c r="I45" s="79"/>
      <c r="K45" s="1" t="s">
        <v>185</v>
      </c>
      <c r="M45" s="76">
        <v>0</v>
      </c>
    </row>
    <row r="46" spans="1:13" outlineLevel="1" x14ac:dyDescent="0.3">
      <c r="C46" s="1" t="s">
        <v>430</v>
      </c>
      <c r="E46" s="77">
        <f>++E45</f>
        <v>0</v>
      </c>
      <c r="G46" s="1" t="s">
        <v>169</v>
      </c>
      <c r="I46" s="76" t="s">
        <v>47</v>
      </c>
      <c r="K46" s="1" t="s">
        <v>184</v>
      </c>
      <c r="M46" s="76">
        <v>0</v>
      </c>
    </row>
    <row r="47" spans="1:13" outlineLevel="1" x14ac:dyDescent="0.3">
      <c r="C47" s="80" t="s">
        <v>160</v>
      </c>
      <c r="E47" s="81" t="str">
        <f>++IFERROR(E46/E44,"n/a")</f>
        <v>n/a</v>
      </c>
      <c r="G47" s="1" t="s">
        <v>170</v>
      </c>
      <c r="I47" s="82" t="str">
        <f>++IFERROR(E44*I46/4,"n/a")</f>
        <v>n/a</v>
      </c>
      <c r="K47" s="1" t="s">
        <v>175</v>
      </c>
      <c r="M47" s="76">
        <v>0</v>
      </c>
    </row>
    <row r="48" spans="1:13" outlineLevel="1" x14ac:dyDescent="0.3">
      <c r="K48" s="1" t="s">
        <v>343</v>
      </c>
      <c r="M48" s="76" t="s">
        <v>47</v>
      </c>
    </row>
    <row r="49" spans="3:13" outlineLevel="1" x14ac:dyDescent="0.3"/>
    <row r="50" spans="3:13" ht="14.5" outlineLevel="1" x14ac:dyDescent="0.45">
      <c r="C50" s="26" t="s">
        <v>179</v>
      </c>
      <c r="D50" s="26"/>
      <c r="E50" s="26"/>
      <c r="F50" s="26"/>
      <c r="G50" s="26"/>
      <c r="H50" s="26"/>
      <c r="I50" s="26"/>
    </row>
    <row r="51" spans="3:13" ht="14.5" outlineLevel="1" x14ac:dyDescent="0.45">
      <c r="F51" s="26" t="s">
        <v>178</v>
      </c>
      <c r="G51" s="26"/>
      <c r="H51" s="26" t="s">
        <v>180</v>
      </c>
      <c r="I51" s="26"/>
      <c r="K51" s="26" t="s">
        <v>182</v>
      </c>
      <c r="L51" s="26"/>
      <c r="M51" s="26"/>
    </row>
    <row r="52" spans="3:13" ht="14.5" outlineLevel="1" x14ac:dyDescent="0.45">
      <c r="C52" s="26" t="s">
        <v>176</v>
      </c>
      <c r="D52" s="26"/>
      <c r="E52" s="30" t="s">
        <v>177</v>
      </c>
      <c r="F52" s="30" t="str">
        <f>++M42</f>
        <v>Term SOFR</v>
      </c>
      <c r="G52" s="30" t="str">
        <f>++IF(F52="n/a","n/a","ABR")</f>
        <v>ABR</v>
      </c>
      <c r="H52" s="30" t="s">
        <v>111</v>
      </c>
      <c r="I52" s="30" t="s">
        <v>181</v>
      </c>
      <c r="K52" s="30" t="s">
        <v>143</v>
      </c>
      <c r="L52" s="30" t="s">
        <v>98</v>
      </c>
      <c r="M52" s="30" t="s">
        <v>191</v>
      </c>
    </row>
    <row r="53" spans="3:13" outlineLevel="1" x14ac:dyDescent="0.3">
      <c r="C53" s="84" t="s">
        <v>63</v>
      </c>
      <c r="D53" s="445"/>
      <c r="E53" s="444">
        <v>7</v>
      </c>
      <c r="F53" s="76">
        <f>++IFERROR(F54+0.25%,"n/a")</f>
        <v>2.5000000000000001E-3</v>
      </c>
      <c r="G53" s="76">
        <f>++IFERROR(F53-1%,"n/a")</f>
        <v>-7.4999999999999997E-3</v>
      </c>
      <c r="H53" s="76" t="str">
        <f>++IFERROR(H54+0.25%,"n/a")</f>
        <v>n/a</v>
      </c>
      <c r="I53" s="76" t="s">
        <v>47</v>
      </c>
      <c r="K53" s="86" t="s">
        <v>183</v>
      </c>
      <c r="L53" s="87">
        <f>++EDATE(E40,6)</f>
        <v>46021</v>
      </c>
      <c r="M53" s="88" t="s">
        <v>47</v>
      </c>
    </row>
    <row r="54" spans="3:13" outlineLevel="1" x14ac:dyDescent="0.3">
      <c r="C54" s="1" t="str">
        <f>++C53</f>
        <v>Total Net Leverage</v>
      </c>
      <c r="E54" s="85">
        <f>++E53-0.5</f>
        <v>6.5</v>
      </c>
      <c r="F54" s="89">
        <f>++M47</f>
        <v>0</v>
      </c>
      <c r="G54" s="76">
        <f t="shared" ref="G54:G57" si="5">++IFERROR(F54-1%,"n/a")</f>
        <v>-0.01</v>
      </c>
      <c r="H54" s="89" t="str">
        <f>++M48</f>
        <v>n/a</v>
      </c>
      <c r="I54" s="76" t="s">
        <v>47</v>
      </c>
      <c r="K54" s="90" t="s">
        <v>187</v>
      </c>
      <c r="L54" s="87">
        <f>++EDATE(E40,12)</f>
        <v>46203</v>
      </c>
      <c r="M54" s="88">
        <v>102</v>
      </c>
    </row>
    <row r="55" spans="3:13" outlineLevel="1" x14ac:dyDescent="0.3">
      <c r="C55" s="1" t="str">
        <f t="shared" ref="C55:C57" si="6">++C54</f>
        <v>Total Net Leverage</v>
      </c>
      <c r="E55" s="85">
        <f t="shared" ref="E55:E56" si="7">++E54-0.5</f>
        <v>6</v>
      </c>
      <c r="F55" s="76">
        <f>++IFERROR(F54-0.25%,"n/a")</f>
        <v>-2.5000000000000001E-3</v>
      </c>
      <c r="G55" s="76">
        <f t="shared" si="5"/>
        <v>-1.2500000000000001E-2</v>
      </c>
      <c r="H55" s="76" t="str">
        <f>++IFERROR(H54-0.25%,"n/a")</f>
        <v>n/a</v>
      </c>
      <c r="I55" s="76" t="s">
        <v>47</v>
      </c>
      <c r="K55" s="90" t="s">
        <v>188</v>
      </c>
      <c r="L55" s="87">
        <f>++EDATE(E40,2*12)</f>
        <v>46568</v>
      </c>
      <c r="M55" s="88">
        <v>101</v>
      </c>
    </row>
    <row r="56" spans="3:13" outlineLevel="1" x14ac:dyDescent="0.3">
      <c r="C56" s="1" t="str">
        <f t="shared" si="6"/>
        <v>Total Net Leverage</v>
      </c>
      <c r="E56" s="85">
        <f t="shared" si="7"/>
        <v>5.5</v>
      </c>
      <c r="F56" s="76">
        <f t="shared" ref="F56:F57" si="8">++IFERROR(F55-0.25%,"n/a")</f>
        <v>-5.0000000000000001E-3</v>
      </c>
      <c r="G56" s="76">
        <f t="shared" si="5"/>
        <v>-1.4999999999999999E-2</v>
      </c>
      <c r="H56" s="76" t="str">
        <f t="shared" ref="H56:H57" si="9">++IFERROR(H55-0.25%,"n/a")</f>
        <v>n/a</v>
      </c>
      <c r="I56" s="76" t="s">
        <v>47</v>
      </c>
      <c r="K56" s="90" t="s">
        <v>189</v>
      </c>
      <c r="L56" s="87">
        <f>++EDATE(E40,3*12)</f>
        <v>46934</v>
      </c>
      <c r="M56" s="88">
        <v>100</v>
      </c>
    </row>
    <row r="57" spans="3:13" outlineLevel="1" x14ac:dyDescent="0.3">
      <c r="C57" s="1" t="str">
        <f t="shared" si="6"/>
        <v>Total Net Leverage</v>
      </c>
      <c r="E57" s="91">
        <f>++E56</f>
        <v>5.5</v>
      </c>
      <c r="F57" s="76">
        <f t="shared" si="8"/>
        <v>-7.4999999999999997E-3</v>
      </c>
      <c r="G57" s="76">
        <f t="shared" si="5"/>
        <v>-1.7500000000000002E-2</v>
      </c>
      <c r="H57" s="76" t="str">
        <f t="shared" si="9"/>
        <v>n/a</v>
      </c>
      <c r="I57" s="76" t="s">
        <v>47</v>
      </c>
      <c r="K57" s="90" t="s">
        <v>190</v>
      </c>
      <c r="L57" s="87">
        <f>++EDATE(E40,4*12)</f>
        <v>47299</v>
      </c>
      <c r="M57" s="88">
        <v>100</v>
      </c>
    </row>
    <row r="58" spans="3:13" outlineLevel="1" x14ac:dyDescent="0.3"/>
    <row r="59" spans="3:13" outlineLevel="1" x14ac:dyDescent="0.3">
      <c r="C59" s="92" t="s">
        <v>195</v>
      </c>
    </row>
    <row r="60" spans="3:13" ht="12.75" customHeight="1" outlineLevel="1" x14ac:dyDescent="0.3">
      <c r="C60" s="479" t="s">
        <v>417</v>
      </c>
      <c r="D60" s="480"/>
      <c r="E60" s="480"/>
      <c r="F60" s="480"/>
      <c r="G60" s="480"/>
      <c r="H60" s="480"/>
      <c r="I60" s="480"/>
      <c r="J60" s="480"/>
      <c r="K60" s="480"/>
      <c r="L60" s="480"/>
      <c r="M60" s="481"/>
    </row>
    <row r="61" spans="3:13" outlineLevel="1" x14ac:dyDescent="0.3">
      <c r="C61" s="482"/>
      <c r="D61" s="483"/>
      <c r="E61" s="483"/>
      <c r="F61" s="483"/>
      <c r="G61" s="483"/>
      <c r="H61" s="483"/>
      <c r="I61" s="483"/>
      <c r="J61" s="483"/>
      <c r="K61" s="483"/>
      <c r="L61" s="483"/>
      <c r="M61" s="484"/>
    </row>
    <row r="62" spans="3:13" outlineLevel="1" x14ac:dyDescent="0.3">
      <c r="C62" s="482"/>
      <c r="D62" s="483"/>
      <c r="E62" s="483"/>
      <c r="F62" s="483"/>
      <c r="G62" s="483"/>
      <c r="H62" s="483"/>
      <c r="I62" s="483"/>
      <c r="J62" s="483"/>
      <c r="K62" s="483"/>
      <c r="L62" s="483"/>
      <c r="M62" s="484"/>
    </row>
    <row r="63" spans="3:13" outlineLevel="1" x14ac:dyDescent="0.3">
      <c r="C63" s="482"/>
      <c r="D63" s="483"/>
      <c r="E63" s="483"/>
      <c r="F63" s="483"/>
      <c r="G63" s="483"/>
      <c r="H63" s="483"/>
      <c r="I63" s="483"/>
      <c r="J63" s="483"/>
      <c r="K63" s="483"/>
      <c r="L63" s="483"/>
      <c r="M63" s="484"/>
    </row>
    <row r="64" spans="3:13" outlineLevel="1" x14ac:dyDescent="0.3">
      <c r="C64" s="482"/>
      <c r="D64" s="483"/>
      <c r="E64" s="483"/>
      <c r="F64" s="483"/>
      <c r="G64" s="483"/>
      <c r="H64" s="483"/>
      <c r="I64" s="483"/>
      <c r="J64" s="483"/>
      <c r="K64" s="483"/>
      <c r="L64" s="483"/>
      <c r="M64" s="484"/>
    </row>
    <row r="65" spans="1:13" outlineLevel="1" x14ac:dyDescent="0.3">
      <c r="C65" s="485"/>
      <c r="D65" s="486"/>
      <c r="E65" s="486"/>
      <c r="F65" s="486"/>
      <c r="G65" s="486"/>
      <c r="H65" s="486"/>
      <c r="I65" s="486"/>
      <c r="J65" s="486"/>
      <c r="K65" s="486"/>
      <c r="L65" s="486"/>
      <c r="M65" s="487"/>
    </row>
    <row r="66" spans="1:13" outlineLevel="1" x14ac:dyDescent="0.3"/>
    <row r="67" spans="1:13" outlineLevel="1" x14ac:dyDescent="0.3"/>
    <row r="68" spans="1:13" x14ac:dyDescent="0.3">
      <c r="A68" s="16"/>
      <c r="B68" s="16" t="s">
        <v>0</v>
      </c>
      <c r="C68" s="201" t="s">
        <v>41</v>
      </c>
      <c r="D68" s="154"/>
      <c r="E68" s="154"/>
      <c r="F68" s="154"/>
      <c r="G68" s="154"/>
      <c r="H68" s="154"/>
      <c r="I68" s="154"/>
      <c r="J68" s="154"/>
      <c r="K68" s="154"/>
      <c r="L68" s="154"/>
      <c r="M68" s="154"/>
    </row>
    <row r="69" spans="1:13" ht="5.15" customHeight="1" x14ac:dyDescent="0.3"/>
    <row r="70" spans="1:13" outlineLevel="1" x14ac:dyDescent="0.3">
      <c r="C70" s="1" t="s">
        <v>161</v>
      </c>
      <c r="E70" s="75">
        <v>45838</v>
      </c>
      <c r="G70" s="1" t="s">
        <v>167</v>
      </c>
      <c r="I70" s="76">
        <v>0</v>
      </c>
      <c r="K70" s="1" t="s">
        <v>192</v>
      </c>
      <c r="M70" s="77" t="s">
        <v>172</v>
      </c>
    </row>
    <row r="71" spans="1:13" outlineLevel="1" x14ac:dyDescent="0.3">
      <c r="C71" s="1" t="s">
        <v>162</v>
      </c>
      <c r="E71" s="75">
        <f>++EDATE(E70,12*5)</f>
        <v>47664</v>
      </c>
      <c r="G71" s="1" t="s">
        <v>166</v>
      </c>
      <c r="I71" s="76">
        <v>0</v>
      </c>
      <c r="K71" s="1" t="s">
        <v>193</v>
      </c>
      <c r="M71" s="77" t="s">
        <v>194</v>
      </c>
    </row>
    <row r="72" spans="1:13" outlineLevel="1" x14ac:dyDescent="0.3">
      <c r="C72" s="1" t="s">
        <v>163</v>
      </c>
      <c r="E72" s="78">
        <f>++IFERROR(YEARFRAC(E70,E71,1),"n/a")</f>
        <v>5.0004564125969875</v>
      </c>
      <c r="G72" s="1" t="s">
        <v>165</v>
      </c>
      <c r="I72" s="76">
        <v>0</v>
      </c>
      <c r="K72" s="1" t="s">
        <v>173</v>
      </c>
      <c r="M72" s="77" t="str">
        <f>++IF(M70="Floating","Term SOFR","n/a")</f>
        <v>Term SOFR</v>
      </c>
    </row>
    <row r="73" spans="1:13" outlineLevel="1" x14ac:dyDescent="0.3">
      <c r="E73" s="79"/>
      <c r="G73" s="1" t="s">
        <v>168</v>
      </c>
      <c r="I73" s="76">
        <v>0</v>
      </c>
      <c r="K73" s="1" t="s">
        <v>174</v>
      </c>
      <c r="M73" s="76">
        <v>0</v>
      </c>
    </row>
    <row r="74" spans="1:13" outlineLevel="1" x14ac:dyDescent="0.3">
      <c r="C74" s="1" t="s">
        <v>159</v>
      </c>
      <c r="E74" s="77">
        <v>0</v>
      </c>
      <c r="G74" s="1" t="s">
        <v>164</v>
      </c>
      <c r="I74" s="77">
        <v>0</v>
      </c>
      <c r="K74" s="1" t="s">
        <v>186</v>
      </c>
      <c r="M74" s="76">
        <v>0</v>
      </c>
    </row>
    <row r="75" spans="1:13" outlineLevel="1" x14ac:dyDescent="0.3">
      <c r="C75" s="1" t="s">
        <v>429</v>
      </c>
      <c r="E75" s="77">
        <v>0</v>
      </c>
      <c r="I75" s="79"/>
      <c r="K75" s="1" t="s">
        <v>185</v>
      </c>
      <c r="M75" s="76">
        <v>0</v>
      </c>
    </row>
    <row r="76" spans="1:13" outlineLevel="1" x14ac:dyDescent="0.3">
      <c r="C76" s="1" t="s">
        <v>430</v>
      </c>
      <c r="E76" s="77">
        <f>++E75</f>
        <v>0</v>
      </c>
      <c r="G76" s="1" t="s">
        <v>169</v>
      </c>
      <c r="I76" s="76" t="s">
        <v>47</v>
      </c>
      <c r="K76" s="1" t="s">
        <v>184</v>
      </c>
      <c r="M76" s="76">
        <v>0</v>
      </c>
    </row>
    <row r="77" spans="1:13" outlineLevel="1" x14ac:dyDescent="0.3">
      <c r="C77" s="80" t="s">
        <v>160</v>
      </c>
      <c r="E77" s="81" t="str">
        <f>++IFERROR(E76/E74,"n/a")</f>
        <v>n/a</v>
      </c>
      <c r="G77" s="1" t="s">
        <v>170</v>
      </c>
      <c r="I77" s="82" t="str">
        <f>++IFERROR(E74*I76/4,"n/a")</f>
        <v>n/a</v>
      </c>
      <c r="K77" s="1" t="s">
        <v>175</v>
      </c>
      <c r="M77" s="76">
        <v>0</v>
      </c>
    </row>
    <row r="78" spans="1:13" outlineLevel="1" x14ac:dyDescent="0.3">
      <c r="K78" s="1" t="s">
        <v>343</v>
      </c>
      <c r="M78" s="76" t="s">
        <v>47</v>
      </c>
    </row>
    <row r="79" spans="1:13" outlineLevel="1" x14ac:dyDescent="0.3"/>
    <row r="80" spans="1:13" ht="14.5" outlineLevel="1" x14ac:dyDescent="0.45">
      <c r="C80" s="26" t="s">
        <v>179</v>
      </c>
      <c r="D80" s="26"/>
      <c r="E80" s="26"/>
      <c r="F80" s="26"/>
      <c r="G80" s="26"/>
      <c r="H80" s="26"/>
      <c r="I80" s="26"/>
    </row>
    <row r="81" spans="3:13" ht="14.5" outlineLevel="1" x14ac:dyDescent="0.45">
      <c r="F81" s="26" t="s">
        <v>178</v>
      </c>
      <c r="G81" s="26"/>
      <c r="H81" s="26" t="s">
        <v>180</v>
      </c>
      <c r="I81" s="26"/>
      <c r="K81" s="26" t="s">
        <v>182</v>
      </c>
      <c r="L81" s="26"/>
      <c r="M81" s="26"/>
    </row>
    <row r="82" spans="3:13" ht="14.5" outlineLevel="1" x14ac:dyDescent="0.45">
      <c r="C82" s="26" t="s">
        <v>176</v>
      </c>
      <c r="D82" s="26"/>
      <c r="E82" s="30" t="s">
        <v>177</v>
      </c>
      <c r="F82" s="30" t="str">
        <f>++M72</f>
        <v>Term SOFR</v>
      </c>
      <c r="G82" s="30" t="str">
        <f>++IF(F82="n/a","n/a","ABR")</f>
        <v>ABR</v>
      </c>
      <c r="H82" s="30" t="s">
        <v>111</v>
      </c>
      <c r="I82" s="30" t="s">
        <v>181</v>
      </c>
      <c r="K82" s="30" t="s">
        <v>143</v>
      </c>
      <c r="L82" s="30" t="s">
        <v>98</v>
      </c>
      <c r="M82" s="30" t="s">
        <v>191</v>
      </c>
    </row>
    <row r="83" spans="3:13" outlineLevel="1" x14ac:dyDescent="0.3">
      <c r="C83" s="84" t="s">
        <v>63</v>
      </c>
      <c r="D83" s="445"/>
      <c r="E83" s="85">
        <v>7</v>
      </c>
      <c r="F83" s="76">
        <f>++IFERROR(F84+0.25%,"n/a")</f>
        <v>2.5000000000000001E-3</v>
      </c>
      <c r="G83" s="76">
        <f>++IFERROR(F83-1%,"n/a")</f>
        <v>-7.4999999999999997E-3</v>
      </c>
      <c r="H83" s="76" t="str">
        <f>++IFERROR(H84+0.25%,"n/a")</f>
        <v>n/a</v>
      </c>
      <c r="I83" s="76" t="s">
        <v>47</v>
      </c>
      <c r="K83" s="86" t="s">
        <v>183</v>
      </c>
      <c r="L83" s="87">
        <f>++EDATE(E70,6)</f>
        <v>46021</v>
      </c>
      <c r="M83" s="88" t="s">
        <v>47</v>
      </c>
    </row>
    <row r="84" spans="3:13" outlineLevel="1" x14ac:dyDescent="0.3">
      <c r="C84" s="1" t="str">
        <f>++C83</f>
        <v>Total Net Leverage</v>
      </c>
      <c r="E84" s="85">
        <f>++E83-0.5</f>
        <v>6.5</v>
      </c>
      <c r="F84" s="89">
        <f>++M77</f>
        <v>0</v>
      </c>
      <c r="G84" s="76">
        <f t="shared" ref="G84:G87" si="10">++IFERROR(F84-1%,"n/a")</f>
        <v>-0.01</v>
      </c>
      <c r="H84" s="89" t="str">
        <f>++M78</f>
        <v>n/a</v>
      </c>
      <c r="I84" s="76" t="s">
        <v>47</v>
      </c>
      <c r="K84" s="90" t="s">
        <v>187</v>
      </c>
      <c r="L84" s="87">
        <f>++EDATE(E70,12)</f>
        <v>46203</v>
      </c>
      <c r="M84" s="88">
        <v>102</v>
      </c>
    </row>
    <row r="85" spans="3:13" outlineLevel="1" x14ac:dyDescent="0.3">
      <c r="C85" s="1" t="str">
        <f t="shared" ref="C85:C87" si="11">++C84</f>
        <v>Total Net Leverage</v>
      </c>
      <c r="E85" s="85">
        <f t="shared" ref="E85:E86" si="12">++E84-0.5</f>
        <v>6</v>
      </c>
      <c r="F85" s="76">
        <f>++IFERROR(F84-0.25%,"n/a")</f>
        <v>-2.5000000000000001E-3</v>
      </c>
      <c r="G85" s="76">
        <f t="shared" si="10"/>
        <v>-1.2500000000000001E-2</v>
      </c>
      <c r="H85" s="76" t="str">
        <f>++IFERROR(H84-0.25%,"n/a")</f>
        <v>n/a</v>
      </c>
      <c r="I85" s="76" t="s">
        <v>47</v>
      </c>
      <c r="K85" s="90" t="s">
        <v>188</v>
      </c>
      <c r="L85" s="87">
        <f>++EDATE(E70,2*12)</f>
        <v>46568</v>
      </c>
      <c r="M85" s="88">
        <v>101</v>
      </c>
    </row>
    <row r="86" spans="3:13" outlineLevel="1" x14ac:dyDescent="0.3">
      <c r="C86" s="1" t="str">
        <f t="shared" si="11"/>
        <v>Total Net Leverage</v>
      </c>
      <c r="E86" s="85">
        <f t="shared" si="12"/>
        <v>5.5</v>
      </c>
      <c r="F86" s="76">
        <f t="shared" ref="F86:F87" si="13">++IFERROR(F85-0.25%,"n/a")</f>
        <v>-5.0000000000000001E-3</v>
      </c>
      <c r="G86" s="76">
        <f t="shared" si="10"/>
        <v>-1.4999999999999999E-2</v>
      </c>
      <c r="H86" s="76" t="str">
        <f t="shared" ref="H86:H87" si="14">++IFERROR(H85-0.25%,"n/a")</f>
        <v>n/a</v>
      </c>
      <c r="I86" s="76" t="s">
        <v>47</v>
      </c>
      <c r="K86" s="90" t="s">
        <v>189</v>
      </c>
      <c r="L86" s="87">
        <f>++EDATE(E70,3*12)</f>
        <v>46934</v>
      </c>
      <c r="M86" s="88">
        <v>100</v>
      </c>
    </row>
    <row r="87" spans="3:13" outlineLevel="1" x14ac:dyDescent="0.3">
      <c r="C87" s="1" t="str">
        <f t="shared" si="11"/>
        <v>Total Net Leverage</v>
      </c>
      <c r="E87" s="91">
        <f>++E86</f>
        <v>5.5</v>
      </c>
      <c r="F87" s="76">
        <f t="shared" si="13"/>
        <v>-7.4999999999999997E-3</v>
      </c>
      <c r="G87" s="76">
        <f t="shared" si="10"/>
        <v>-1.7500000000000002E-2</v>
      </c>
      <c r="H87" s="76" t="str">
        <f t="shared" si="14"/>
        <v>n/a</v>
      </c>
      <c r="I87" s="76" t="s">
        <v>47</v>
      </c>
      <c r="K87" s="90" t="s">
        <v>190</v>
      </c>
      <c r="L87" s="87">
        <f>++EDATE(E70,4*12)</f>
        <v>47299</v>
      </c>
      <c r="M87" s="88">
        <v>100</v>
      </c>
    </row>
    <row r="88" spans="3:13" outlineLevel="1" x14ac:dyDescent="0.3"/>
    <row r="89" spans="3:13" outlineLevel="1" x14ac:dyDescent="0.3">
      <c r="C89" s="92" t="s">
        <v>195</v>
      </c>
    </row>
    <row r="90" spans="3:13" ht="12.75" customHeight="1" outlineLevel="1" x14ac:dyDescent="0.3">
      <c r="C90" s="479" t="s">
        <v>417</v>
      </c>
      <c r="D90" s="480"/>
      <c r="E90" s="480"/>
      <c r="F90" s="480"/>
      <c r="G90" s="480"/>
      <c r="H90" s="480"/>
      <c r="I90" s="480"/>
      <c r="J90" s="480"/>
      <c r="K90" s="480"/>
      <c r="L90" s="480"/>
      <c r="M90" s="481"/>
    </row>
    <row r="91" spans="3:13" outlineLevel="1" x14ac:dyDescent="0.3">
      <c r="C91" s="482"/>
      <c r="D91" s="483"/>
      <c r="E91" s="483"/>
      <c r="F91" s="483"/>
      <c r="G91" s="483"/>
      <c r="H91" s="483"/>
      <c r="I91" s="483"/>
      <c r="J91" s="483"/>
      <c r="K91" s="483"/>
      <c r="L91" s="483"/>
      <c r="M91" s="484"/>
    </row>
    <row r="92" spans="3:13" outlineLevel="1" x14ac:dyDescent="0.3">
      <c r="C92" s="482"/>
      <c r="D92" s="483"/>
      <c r="E92" s="483"/>
      <c r="F92" s="483"/>
      <c r="G92" s="483"/>
      <c r="H92" s="483"/>
      <c r="I92" s="483"/>
      <c r="J92" s="483"/>
      <c r="K92" s="483"/>
      <c r="L92" s="483"/>
      <c r="M92" s="484"/>
    </row>
    <row r="93" spans="3:13" outlineLevel="1" x14ac:dyDescent="0.3">
      <c r="C93" s="482"/>
      <c r="D93" s="483"/>
      <c r="E93" s="483"/>
      <c r="F93" s="483"/>
      <c r="G93" s="483"/>
      <c r="H93" s="483"/>
      <c r="I93" s="483"/>
      <c r="J93" s="483"/>
      <c r="K93" s="483"/>
      <c r="L93" s="483"/>
      <c r="M93" s="484"/>
    </row>
    <row r="94" spans="3:13" outlineLevel="1" x14ac:dyDescent="0.3">
      <c r="C94" s="482"/>
      <c r="D94" s="483"/>
      <c r="E94" s="483"/>
      <c r="F94" s="483"/>
      <c r="G94" s="483"/>
      <c r="H94" s="483"/>
      <c r="I94" s="483"/>
      <c r="J94" s="483"/>
      <c r="K94" s="483"/>
      <c r="L94" s="483"/>
      <c r="M94" s="484"/>
    </row>
    <row r="95" spans="3:13" outlineLevel="1" x14ac:dyDescent="0.3">
      <c r="C95" s="485"/>
      <c r="D95" s="486"/>
      <c r="E95" s="486"/>
      <c r="F95" s="486"/>
      <c r="G95" s="486"/>
      <c r="H95" s="486"/>
      <c r="I95" s="486"/>
      <c r="J95" s="486"/>
      <c r="K95" s="486"/>
      <c r="L95" s="486"/>
      <c r="M95" s="487"/>
    </row>
    <row r="96" spans="3:13" outlineLevel="1" x14ac:dyDescent="0.3"/>
    <row r="97" spans="1:13" outlineLevel="1" x14ac:dyDescent="0.3"/>
    <row r="98" spans="1:13" hidden="1" outlineLevel="2" x14ac:dyDescent="0.3">
      <c r="A98" s="16"/>
      <c r="B98" s="16" t="s">
        <v>0</v>
      </c>
      <c r="C98" s="201" t="s">
        <v>651</v>
      </c>
      <c r="D98" s="154"/>
      <c r="E98" s="154"/>
      <c r="F98" s="154"/>
      <c r="G98" s="154"/>
      <c r="H98" s="154"/>
      <c r="I98" s="154"/>
      <c r="J98" s="154"/>
      <c r="K98" s="154"/>
      <c r="L98" s="154"/>
      <c r="M98" s="154"/>
    </row>
    <row r="99" spans="1:13" ht="5.15" hidden="1" customHeight="1" outlineLevel="2" x14ac:dyDescent="0.3"/>
    <row r="100" spans="1:13" hidden="1" outlineLevel="2" x14ac:dyDescent="0.3">
      <c r="C100" s="1" t="s">
        <v>161</v>
      </c>
      <c r="E100" s="75">
        <v>45838</v>
      </c>
      <c r="G100" s="1" t="s">
        <v>167</v>
      </c>
      <c r="I100" s="76">
        <v>0</v>
      </c>
      <c r="K100" s="1" t="s">
        <v>192</v>
      </c>
      <c r="M100" s="77" t="s">
        <v>172</v>
      </c>
    </row>
    <row r="101" spans="1:13" hidden="1" outlineLevel="2" x14ac:dyDescent="0.3">
      <c r="C101" s="1" t="s">
        <v>162</v>
      </c>
      <c r="E101" s="75">
        <f>++EDATE(E100,12*5)</f>
        <v>47664</v>
      </c>
      <c r="G101" s="1" t="s">
        <v>166</v>
      </c>
      <c r="I101" s="76">
        <v>0</v>
      </c>
      <c r="K101" s="1" t="s">
        <v>193</v>
      </c>
      <c r="M101" s="77" t="s">
        <v>194</v>
      </c>
    </row>
    <row r="102" spans="1:13" hidden="1" outlineLevel="2" x14ac:dyDescent="0.3">
      <c r="C102" s="1" t="s">
        <v>163</v>
      </c>
      <c r="E102" s="78">
        <f>++IFERROR(YEARFRAC(E100,E101,1),"n/a")</f>
        <v>5.0004564125969875</v>
      </c>
      <c r="G102" s="1" t="s">
        <v>165</v>
      </c>
      <c r="I102" s="76">
        <v>0</v>
      </c>
      <c r="K102" s="1" t="s">
        <v>173</v>
      </c>
      <c r="M102" s="77" t="str">
        <f>++IF(M100="Floating","Term SOFR","n/a")</f>
        <v>Term SOFR</v>
      </c>
    </row>
    <row r="103" spans="1:13" hidden="1" outlineLevel="2" x14ac:dyDescent="0.3">
      <c r="E103" s="79"/>
      <c r="G103" s="1" t="s">
        <v>168</v>
      </c>
      <c r="I103" s="76">
        <v>0</v>
      </c>
      <c r="K103" s="1" t="s">
        <v>174</v>
      </c>
      <c r="M103" s="76">
        <v>0</v>
      </c>
    </row>
    <row r="104" spans="1:13" hidden="1" outlineLevel="2" x14ac:dyDescent="0.3">
      <c r="C104" s="1" t="s">
        <v>159</v>
      </c>
      <c r="E104" s="77">
        <v>0</v>
      </c>
      <c r="G104" s="1" t="s">
        <v>164</v>
      </c>
      <c r="I104" s="77">
        <v>0</v>
      </c>
      <c r="K104" s="1" t="s">
        <v>186</v>
      </c>
      <c r="M104" s="76">
        <v>0</v>
      </c>
    </row>
    <row r="105" spans="1:13" hidden="1" outlineLevel="2" x14ac:dyDescent="0.3">
      <c r="C105" s="1" t="s">
        <v>429</v>
      </c>
      <c r="E105" s="77">
        <v>0</v>
      </c>
      <c r="I105" s="79"/>
      <c r="K105" s="1" t="s">
        <v>185</v>
      </c>
      <c r="M105" s="76">
        <v>0</v>
      </c>
    </row>
    <row r="106" spans="1:13" hidden="1" outlineLevel="2" x14ac:dyDescent="0.3">
      <c r="C106" s="1" t="s">
        <v>430</v>
      </c>
      <c r="E106" s="77">
        <f>++E105</f>
        <v>0</v>
      </c>
      <c r="G106" s="1" t="s">
        <v>169</v>
      </c>
      <c r="I106" s="76">
        <v>0.01</v>
      </c>
      <c r="K106" s="1" t="s">
        <v>184</v>
      </c>
      <c r="M106" s="76">
        <v>0</v>
      </c>
    </row>
    <row r="107" spans="1:13" hidden="1" outlineLevel="2" x14ac:dyDescent="0.3">
      <c r="C107" s="80" t="s">
        <v>160</v>
      </c>
      <c r="E107" s="81" t="str">
        <f>++IFERROR(E106/E104,"n/a")</f>
        <v>n/a</v>
      </c>
      <c r="G107" s="1" t="s">
        <v>170</v>
      </c>
      <c r="I107" s="82">
        <f>++IFERROR(E104*I106/4,"n/a")</f>
        <v>0</v>
      </c>
      <c r="K107" s="1" t="s">
        <v>175</v>
      </c>
      <c r="M107" s="76">
        <v>0</v>
      </c>
    </row>
    <row r="108" spans="1:13" hidden="1" outlineLevel="2" x14ac:dyDescent="0.3">
      <c r="K108" s="1" t="s">
        <v>343</v>
      </c>
      <c r="M108" s="76" t="s">
        <v>47</v>
      </c>
    </row>
    <row r="109" spans="1:13" hidden="1" outlineLevel="2" x14ac:dyDescent="0.3"/>
    <row r="110" spans="1:13" ht="14.5" hidden="1" outlineLevel="2" x14ac:dyDescent="0.45">
      <c r="C110" s="26" t="s">
        <v>179</v>
      </c>
      <c r="D110" s="26"/>
      <c r="E110" s="26"/>
      <c r="F110" s="26"/>
      <c r="G110" s="26"/>
      <c r="H110" s="26"/>
      <c r="I110" s="26"/>
    </row>
    <row r="111" spans="1:13" ht="14.5" hidden="1" outlineLevel="2" x14ac:dyDescent="0.45">
      <c r="F111" s="26" t="s">
        <v>178</v>
      </c>
      <c r="G111" s="26"/>
      <c r="H111" s="26" t="s">
        <v>180</v>
      </c>
      <c r="I111" s="26"/>
      <c r="K111" s="26" t="s">
        <v>182</v>
      </c>
      <c r="L111" s="26"/>
      <c r="M111" s="26"/>
    </row>
    <row r="112" spans="1:13" ht="14.5" hidden="1" outlineLevel="2" x14ac:dyDescent="0.45">
      <c r="C112" s="26" t="s">
        <v>176</v>
      </c>
      <c r="D112" s="26"/>
      <c r="E112" s="30" t="s">
        <v>177</v>
      </c>
      <c r="F112" s="30" t="str">
        <f>++M102</f>
        <v>Term SOFR</v>
      </c>
      <c r="G112" s="30" t="str">
        <f>++IF(F112="n/a","n/a","ABR")</f>
        <v>ABR</v>
      </c>
      <c r="H112" s="30" t="s">
        <v>111</v>
      </c>
      <c r="I112" s="30" t="s">
        <v>181</v>
      </c>
      <c r="K112" s="30" t="s">
        <v>143</v>
      </c>
      <c r="L112" s="30" t="s">
        <v>98</v>
      </c>
      <c r="M112" s="30" t="s">
        <v>191</v>
      </c>
    </row>
    <row r="113" spans="1:13" hidden="1" outlineLevel="2" x14ac:dyDescent="0.3">
      <c r="C113" s="84" t="s">
        <v>63</v>
      </c>
      <c r="D113" s="445"/>
      <c r="E113" s="85">
        <v>7</v>
      </c>
      <c r="F113" s="76">
        <f>++IFERROR(F114+0.25%,"n/a")</f>
        <v>2.5000000000000001E-3</v>
      </c>
      <c r="G113" s="76">
        <f>++IFERROR(F113-1%,"n/a")</f>
        <v>-7.4999999999999997E-3</v>
      </c>
      <c r="H113" s="76" t="str">
        <f>++IFERROR(H114+0.25%,"n/a")</f>
        <v>n/a</v>
      </c>
      <c r="I113" s="76" t="s">
        <v>47</v>
      </c>
      <c r="K113" s="86" t="s">
        <v>183</v>
      </c>
      <c r="L113" s="87">
        <f>++EDATE(E100,6)</f>
        <v>46021</v>
      </c>
      <c r="M113" s="88" t="s">
        <v>47</v>
      </c>
    </row>
    <row r="114" spans="1:13" hidden="1" outlineLevel="2" x14ac:dyDescent="0.3">
      <c r="C114" s="1" t="str">
        <f>++C113</f>
        <v>Total Net Leverage</v>
      </c>
      <c r="E114" s="85">
        <f>++E113-0.5</f>
        <v>6.5</v>
      </c>
      <c r="F114" s="89">
        <f>++M107</f>
        <v>0</v>
      </c>
      <c r="G114" s="76">
        <f t="shared" ref="G114:G117" si="15">++IFERROR(F114-1%,"n/a")</f>
        <v>-0.01</v>
      </c>
      <c r="H114" s="89" t="str">
        <f>++M108</f>
        <v>n/a</v>
      </c>
      <c r="I114" s="76" t="s">
        <v>47</v>
      </c>
      <c r="K114" s="90" t="s">
        <v>187</v>
      </c>
      <c r="L114" s="87">
        <f>++EDATE(E100,12)</f>
        <v>46203</v>
      </c>
      <c r="M114" s="88">
        <v>102</v>
      </c>
    </row>
    <row r="115" spans="1:13" hidden="1" outlineLevel="2" x14ac:dyDescent="0.3">
      <c r="C115" s="1" t="str">
        <f t="shared" ref="C115:C117" si="16">++C114</f>
        <v>Total Net Leverage</v>
      </c>
      <c r="E115" s="85">
        <f t="shared" ref="E115:E116" si="17">++E114-0.5</f>
        <v>6</v>
      </c>
      <c r="F115" s="76">
        <f>++IFERROR(F114-0.25%,"n/a")</f>
        <v>-2.5000000000000001E-3</v>
      </c>
      <c r="G115" s="76">
        <f t="shared" si="15"/>
        <v>-1.2500000000000001E-2</v>
      </c>
      <c r="H115" s="76" t="str">
        <f>++IFERROR(H114-0.25%,"n/a")</f>
        <v>n/a</v>
      </c>
      <c r="I115" s="76" t="s">
        <v>47</v>
      </c>
      <c r="K115" s="90" t="s">
        <v>188</v>
      </c>
      <c r="L115" s="87">
        <f>++EDATE(E100,2*12)</f>
        <v>46568</v>
      </c>
      <c r="M115" s="88">
        <v>101</v>
      </c>
    </row>
    <row r="116" spans="1:13" hidden="1" outlineLevel="2" x14ac:dyDescent="0.3">
      <c r="C116" s="1" t="str">
        <f t="shared" si="16"/>
        <v>Total Net Leverage</v>
      </c>
      <c r="E116" s="85">
        <f t="shared" si="17"/>
        <v>5.5</v>
      </c>
      <c r="F116" s="76">
        <f t="shared" ref="F116:F117" si="18">++IFERROR(F115-0.25%,"n/a")</f>
        <v>-5.0000000000000001E-3</v>
      </c>
      <c r="G116" s="76">
        <f t="shared" si="15"/>
        <v>-1.4999999999999999E-2</v>
      </c>
      <c r="H116" s="76" t="str">
        <f t="shared" ref="H116:H117" si="19">++IFERROR(H115-0.25%,"n/a")</f>
        <v>n/a</v>
      </c>
      <c r="I116" s="76" t="s">
        <v>47</v>
      </c>
      <c r="K116" s="90" t="s">
        <v>189</v>
      </c>
      <c r="L116" s="87">
        <f>++EDATE(E100,3*12)</f>
        <v>46934</v>
      </c>
      <c r="M116" s="88">
        <v>100</v>
      </c>
    </row>
    <row r="117" spans="1:13" hidden="1" outlineLevel="2" x14ac:dyDescent="0.3">
      <c r="C117" s="1" t="str">
        <f t="shared" si="16"/>
        <v>Total Net Leverage</v>
      </c>
      <c r="E117" s="91">
        <f>++E116</f>
        <v>5.5</v>
      </c>
      <c r="F117" s="76">
        <f t="shared" si="18"/>
        <v>-7.4999999999999997E-3</v>
      </c>
      <c r="G117" s="76">
        <f t="shared" si="15"/>
        <v>-1.7500000000000002E-2</v>
      </c>
      <c r="H117" s="76" t="str">
        <f t="shared" si="19"/>
        <v>n/a</v>
      </c>
      <c r="I117" s="76" t="s">
        <v>47</v>
      </c>
      <c r="K117" s="90" t="s">
        <v>190</v>
      </c>
      <c r="L117" s="87">
        <f>++EDATE(E100,4*12)</f>
        <v>47299</v>
      </c>
      <c r="M117" s="88">
        <v>100</v>
      </c>
    </row>
    <row r="118" spans="1:13" hidden="1" outlineLevel="2" x14ac:dyDescent="0.3"/>
    <row r="119" spans="1:13" hidden="1" outlineLevel="2" x14ac:dyDescent="0.3">
      <c r="C119" s="92" t="s">
        <v>195</v>
      </c>
    </row>
    <row r="120" spans="1:13" ht="12.75" hidden="1" customHeight="1" outlineLevel="2" x14ac:dyDescent="0.3">
      <c r="C120" s="479" t="s">
        <v>417</v>
      </c>
      <c r="D120" s="480"/>
      <c r="E120" s="480"/>
      <c r="F120" s="480"/>
      <c r="G120" s="480"/>
      <c r="H120" s="480"/>
      <c r="I120" s="480"/>
      <c r="J120" s="480"/>
      <c r="K120" s="480"/>
      <c r="L120" s="480"/>
      <c r="M120" s="481"/>
    </row>
    <row r="121" spans="1:13" hidden="1" outlineLevel="2" x14ac:dyDescent="0.3">
      <c r="C121" s="482"/>
      <c r="D121" s="483"/>
      <c r="E121" s="483"/>
      <c r="F121" s="483"/>
      <c r="G121" s="483"/>
      <c r="H121" s="483"/>
      <c r="I121" s="483"/>
      <c r="J121" s="483"/>
      <c r="K121" s="483"/>
      <c r="L121" s="483"/>
      <c r="M121" s="484"/>
    </row>
    <row r="122" spans="1:13" hidden="1" outlineLevel="2" x14ac:dyDescent="0.3">
      <c r="C122" s="482"/>
      <c r="D122" s="483"/>
      <c r="E122" s="483"/>
      <c r="F122" s="483"/>
      <c r="G122" s="483"/>
      <c r="H122" s="483"/>
      <c r="I122" s="483"/>
      <c r="J122" s="483"/>
      <c r="K122" s="483"/>
      <c r="L122" s="483"/>
      <c r="M122" s="484"/>
    </row>
    <row r="123" spans="1:13" hidden="1" outlineLevel="2" x14ac:dyDescent="0.3">
      <c r="C123" s="482"/>
      <c r="D123" s="483"/>
      <c r="E123" s="483"/>
      <c r="F123" s="483"/>
      <c r="G123" s="483"/>
      <c r="H123" s="483"/>
      <c r="I123" s="483"/>
      <c r="J123" s="483"/>
      <c r="K123" s="483"/>
      <c r="L123" s="483"/>
      <c r="M123" s="484"/>
    </row>
    <row r="124" spans="1:13" hidden="1" outlineLevel="2" x14ac:dyDescent="0.3">
      <c r="C124" s="482"/>
      <c r="D124" s="483"/>
      <c r="E124" s="483"/>
      <c r="F124" s="483"/>
      <c r="G124" s="483"/>
      <c r="H124" s="483"/>
      <c r="I124" s="483"/>
      <c r="J124" s="483"/>
      <c r="K124" s="483"/>
      <c r="L124" s="483"/>
      <c r="M124" s="484"/>
    </row>
    <row r="125" spans="1:13" hidden="1" outlineLevel="2" x14ac:dyDescent="0.3">
      <c r="C125" s="485"/>
      <c r="D125" s="486"/>
      <c r="E125" s="486"/>
      <c r="F125" s="486"/>
      <c r="G125" s="486"/>
      <c r="H125" s="486"/>
      <c r="I125" s="486"/>
      <c r="J125" s="486"/>
      <c r="K125" s="486"/>
      <c r="L125" s="486"/>
      <c r="M125" s="487"/>
    </row>
    <row r="126" spans="1:13" hidden="1" outlineLevel="2" x14ac:dyDescent="0.3"/>
    <row r="127" spans="1:13" hidden="1" outlineLevel="2" x14ac:dyDescent="0.3"/>
    <row r="128" spans="1:13" x14ac:dyDescent="0.3">
      <c r="A128" s="16"/>
      <c r="B128" s="16" t="s">
        <v>0</v>
      </c>
      <c r="C128" s="201" t="str">
        <f>++"First Lien DDTL ("&amp;TEXT(E134/1000,"$#,##0.0")&amp;"MM)"</f>
        <v>First Lien DDTL ($0.0MM)</v>
      </c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</row>
    <row r="129" spans="3:13" ht="5.15" customHeight="1" x14ac:dyDescent="0.3"/>
    <row r="130" spans="3:13" outlineLevel="1" x14ac:dyDescent="0.3">
      <c r="C130" s="1" t="s">
        <v>161</v>
      </c>
      <c r="E130" s="75">
        <v>45838</v>
      </c>
      <c r="G130" s="1" t="s">
        <v>167</v>
      </c>
      <c r="I130" s="76">
        <v>0</v>
      </c>
      <c r="K130" s="1" t="s">
        <v>192</v>
      </c>
      <c r="M130" s="77" t="s">
        <v>172</v>
      </c>
    </row>
    <row r="131" spans="3:13" outlineLevel="1" x14ac:dyDescent="0.3">
      <c r="C131" s="1" t="s">
        <v>162</v>
      </c>
      <c r="E131" s="75">
        <f>++EDATE(E130,12*5)</f>
        <v>47664</v>
      </c>
      <c r="G131" s="1" t="s">
        <v>166</v>
      </c>
      <c r="I131" s="76">
        <v>0</v>
      </c>
      <c r="K131" s="1" t="s">
        <v>193</v>
      </c>
      <c r="M131" s="77" t="s">
        <v>194</v>
      </c>
    </row>
    <row r="132" spans="3:13" outlineLevel="1" x14ac:dyDescent="0.3">
      <c r="C132" s="1" t="s">
        <v>163</v>
      </c>
      <c r="E132" s="78">
        <f>++IFERROR(YEARFRAC(E130,E131,1),"n/a")</f>
        <v>5.0004564125969875</v>
      </c>
      <c r="G132" s="1" t="s">
        <v>165</v>
      </c>
      <c r="I132" s="76">
        <v>0</v>
      </c>
      <c r="K132" s="1" t="s">
        <v>173</v>
      </c>
      <c r="M132" s="77" t="str">
        <f>++IF(M130="Floating","Term SOFR","n/a")</f>
        <v>Term SOFR</v>
      </c>
    </row>
    <row r="133" spans="3:13" outlineLevel="1" x14ac:dyDescent="0.3">
      <c r="E133" s="79"/>
      <c r="G133" s="1" t="s">
        <v>168</v>
      </c>
      <c r="I133" s="76">
        <v>0</v>
      </c>
      <c r="K133" s="1" t="s">
        <v>174</v>
      </c>
      <c r="M133" s="76">
        <v>0</v>
      </c>
    </row>
    <row r="134" spans="3:13" outlineLevel="1" x14ac:dyDescent="0.3">
      <c r="C134" s="1" t="s">
        <v>159</v>
      </c>
      <c r="E134" s="77">
        <v>0</v>
      </c>
      <c r="G134" s="1" t="s">
        <v>164</v>
      </c>
      <c r="I134" s="77">
        <v>0</v>
      </c>
      <c r="K134" s="1" t="s">
        <v>186</v>
      </c>
      <c r="M134" s="76">
        <v>0</v>
      </c>
    </row>
    <row r="135" spans="3:13" outlineLevel="1" x14ac:dyDescent="0.3">
      <c r="C135" s="1" t="s">
        <v>429</v>
      </c>
      <c r="E135" s="77">
        <v>0</v>
      </c>
      <c r="I135" s="79"/>
      <c r="K135" s="1" t="s">
        <v>185</v>
      </c>
      <c r="M135" s="76">
        <v>0</v>
      </c>
    </row>
    <row r="136" spans="3:13" outlineLevel="1" x14ac:dyDescent="0.3">
      <c r="C136" s="1" t="s">
        <v>430</v>
      </c>
      <c r="E136" s="77">
        <f>++E135</f>
        <v>0</v>
      </c>
      <c r="G136" s="1" t="s">
        <v>169</v>
      </c>
      <c r="I136" s="76">
        <v>0.01</v>
      </c>
      <c r="K136" s="1" t="s">
        <v>184</v>
      </c>
      <c r="M136" s="76">
        <v>0</v>
      </c>
    </row>
    <row r="137" spans="3:13" outlineLevel="1" x14ac:dyDescent="0.3">
      <c r="C137" s="80" t="s">
        <v>160</v>
      </c>
      <c r="E137" s="81" t="str">
        <f>++IFERROR(E136/E134,"n/a")</f>
        <v>n/a</v>
      </c>
      <c r="G137" s="1" t="s">
        <v>170</v>
      </c>
      <c r="I137" s="82">
        <f>++IFERROR(E134*I136/4,"n/a")</f>
        <v>0</v>
      </c>
      <c r="K137" s="1" t="s">
        <v>175</v>
      </c>
      <c r="M137" s="76">
        <v>0</v>
      </c>
    </row>
    <row r="138" spans="3:13" outlineLevel="1" x14ac:dyDescent="0.3">
      <c r="K138" s="1" t="s">
        <v>343</v>
      </c>
      <c r="M138" s="76" t="s">
        <v>47</v>
      </c>
    </row>
    <row r="139" spans="3:13" outlineLevel="1" x14ac:dyDescent="0.3"/>
    <row r="140" spans="3:13" ht="14.5" outlineLevel="1" x14ac:dyDescent="0.45">
      <c r="C140" s="26" t="s">
        <v>179</v>
      </c>
      <c r="D140" s="26"/>
      <c r="E140" s="26"/>
      <c r="F140" s="26"/>
      <c r="G140" s="26"/>
      <c r="H140" s="26"/>
      <c r="I140" s="26"/>
    </row>
    <row r="141" spans="3:13" ht="14.5" outlineLevel="1" x14ac:dyDescent="0.45">
      <c r="F141" s="26" t="s">
        <v>178</v>
      </c>
      <c r="G141" s="26"/>
      <c r="H141" s="26" t="s">
        <v>180</v>
      </c>
      <c r="I141" s="26"/>
      <c r="K141" s="26" t="s">
        <v>182</v>
      </c>
      <c r="L141" s="26"/>
      <c r="M141" s="26"/>
    </row>
    <row r="142" spans="3:13" ht="14.5" outlineLevel="1" x14ac:dyDescent="0.45">
      <c r="C142" s="26" t="s">
        <v>176</v>
      </c>
      <c r="D142" s="26"/>
      <c r="E142" s="30" t="s">
        <v>177</v>
      </c>
      <c r="F142" s="30" t="str">
        <f>++M132</f>
        <v>Term SOFR</v>
      </c>
      <c r="G142" s="30" t="str">
        <f>++IF(F142="n/a","n/a","ABR")</f>
        <v>ABR</v>
      </c>
      <c r="H142" s="30" t="s">
        <v>111</v>
      </c>
      <c r="I142" s="30" t="s">
        <v>181</v>
      </c>
      <c r="K142" s="30" t="s">
        <v>143</v>
      </c>
      <c r="L142" s="30" t="s">
        <v>98</v>
      </c>
      <c r="M142" s="30" t="s">
        <v>191</v>
      </c>
    </row>
    <row r="143" spans="3:13" outlineLevel="1" x14ac:dyDescent="0.3">
      <c r="C143" s="84" t="s">
        <v>63</v>
      </c>
      <c r="D143" s="445"/>
      <c r="E143" s="85">
        <v>7</v>
      </c>
      <c r="F143" s="76">
        <f>++IFERROR(F144+0.25%,"n/a")</f>
        <v>2.5000000000000001E-3</v>
      </c>
      <c r="G143" s="76">
        <f>++IFERROR(F143-1%,"n/a")</f>
        <v>-7.4999999999999997E-3</v>
      </c>
      <c r="H143" s="76" t="str">
        <f>++IFERROR(H144+0.25%,"n/a")</f>
        <v>n/a</v>
      </c>
      <c r="I143" s="76" t="s">
        <v>47</v>
      </c>
      <c r="K143" s="86" t="s">
        <v>183</v>
      </c>
      <c r="L143" s="87">
        <f>++EDATE(E130,6)</f>
        <v>46021</v>
      </c>
      <c r="M143" s="88" t="s">
        <v>47</v>
      </c>
    </row>
    <row r="144" spans="3:13" outlineLevel="1" x14ac:dyDescent="0.3">
      <c r="C144" s="1" t="str">
        <f>++C143</f>
        <v>Total Net Leverage</v>
      </c>
      <c r="E144" s="85">
        <f>++E143-0.5</f>
        <v>6.5</v>
      </c>
      <c r="F144" s="89">
        <f>++M137</f>
        <v>0</v>
      </c>
      <c r="G144" s="76">
        <f t="shared" ref="G144:G147" si="20">++IFERROR(F144-1%,"n/a")</f>
        <v>-0.01</v>
      </c>
      <c r="H144" s="89" t="str">
        <f>++M138</f>
        <v>n/a</v>
      </c>
      <c r="I144" s="76" t="s">
        <v>47</v>
      </c>
      <c r="K144" s="90" t="s">
        <v>187</v>
      </c>
      <c r="L144" s="87">
        <f>++EDATE(E130,12)</f>
        <v>46203</v>
      </c>
      <c r="M144" s="88">
        <v>102</v>
      </c>
    </row>
    <row r="145" spans="1:13" outlineLevel="1" x14ac:dyDescent="0.3">
      <c r="C145" s="1" t="str">
        <f t="shared" ref="C145:C147" si="21">++C144</f>
        <v>Total Net Leverage</v>
      </c>
      <c r="E145" s="85">
        <f t="shared" ref="E145:E146" si="22">++E144-0.5</f>
        <v>6</v>
      </c>
      <c r="F145" s="76">
        <f>++IFERROR(F144-0.25%,"n/a")</f>
        <v>-2.5000000000000001E-3</v>
      </c>
      <c r="G145" s="76">
        <f t="shared" si="20"/>
        <v>-1.2500000000000001E-2</v>
      </c>
      <c r="H145" s="76" t="str">
        <f>++IFERROR(H144-0.25%,"n/a")</f>
        <v>n/a</v>
      </c>
      <c r="I145" s="76" t="s">
        <v>47</v>
      </c>
      <c r="K145" s="90" t="s">
        <v>188</v>
      </c>
      <c r="L145" s="87">
        <f>++EDATE(E130,2*12)</f>
        <v>46568</v>
      </c>
      <c r="M145" s="88">
        <v>101</v>
      </c>
    </row>
    <row r="146" spans="1:13" outlineLevel="1" x14ac:dyDescent="0.3">
      <c r="C146" s="1" t="str">
        <f t="shared" si="21"/>
        <v>Total Net Leverage</v>
      </c>
      <c r="E146" s="85">
        <f t="shared" si="22"/>
        <v>5.5</v>
      </c>
      <c r="F146" s="76">
        <f t="shared" ref="F146:F147" si="23">++IFERROR(F145-0.25%,"n/a")</f>
        <v>-5.0000000000000001E-3</v>
      </c>
      <c r="G146" s="76">
        <f t="shared" si="20"/>
        <v>-1.4999999999999999E-2</v>
      </c>
      <c r="H146" s="76" t="str">
        <f t="shared" ref="H146:H147" si="24">++IFERROR(H145-0.25%,"n/a")</f>
        <v>n/a</v>
      </c>
      <c r="I146" s="76" t="s">
        <v>47</v>
      </c>
      <c r="K146" s="90" t="s">
        <v>189</v>
      </c>
      <c r="L146" s="87">
        <f>++EDATE(E130,3*12)</f>
        <v>46934</v>
      </c>
      <c r="M146" s="88">
        <v>100</v>
      </c>
    </row>
    <row r="147" spans="1:13" outlineLevel="1" x14ac:dyDescent="0.3">
      <c r="C147" s="1" t="str">
        <f t="shared" si="21"/>
        <v>Total Net Leverage</v>
      </c>
      <c r="E147" s="91">
        <f>++E146</f>
        <v>5.5</v>
      </c>
      <c r="F147" s="76">
        <f t="shared" si="23"/>
        <v>-7.4999999999999997E-3</v>
      </c>
      <c r="G147" s="76">
        <f t="shared" si="20"/>
        <v>-1.7500000000000002E-2</v>
      </c>
      <c r="H147" s="76" t="str">
        <f t="shared" si="24"/>
        <v>n/a</v>
      </c>
      <c r="I147" s="76" t="s">
        <v>47</v>
      </c>
      <c r="K147" s="90" t="s">
        <v>190</v>
      </c>
      <c r="L147" s="87">
        <f>++EDATE(E130,4*12)</f>
        <v>47299</v>
      </c>
      <c r="M147" s="88">
        <v>100</v>
      </c>
    </row>
    <row r="148" spans="1:13" outlineLevel="1" x14ac:dyDescent="0.3"/>
    <row r="149" spans="1:13" outlineLevel="1" x14ac:dyDescent="0.3">
      <c r="C149" s="92" t="s">
        <v>195</v>
      </c>
    </row>
    <row r="150" spans="1:13" ht="12.75" customHeight="1" outlineLevel="1" x14ac:dyDescent="0.3">
      <c r="C150" s="479" t="s">
        <v>417</v>
      </c>
      <c r="D150" s="480"/>
      <c r="E150" s="480"/>
      <c r="F150" s="480"/>
      <c r="G150" s="480"/>
      <c r="H150" s="480"/>
      <c r="I150" s="480"/>
      <c r="J150" s="480"/>
      <c r="K150" s="480"/>
      <c r="L150" s="480"/>
      <c r="M150" s="481"/>
    </row>
    <row r="151" spans="1:13" outlineLevel="1" x14ac:dyDescent="0.3">
      <c r="C151" s="482"/>
      <c r="D151" s="483"/>
      <c r="E151" s="483"/>
      <c r="F151" s="483"/>
      <c r="G151" s="483"/>
      <c r="H151" s="483"/>
      <c r="I151" s="483"/>
      <c r="J151" s="483"/>
      <c r="K151" s="483"/>
      <c r="L151" s="483"/>
      <c r="M151" s="484"/>
    </row>
    <row r="152" spans="1:13" outlineLevel="1" x14ac:dyDescent="0.3">
      <c r="C152" s="482"/>
      <c r="D152" s="483"/>
      <c r="E152" s="483"/>
      <c r="F152" s="483"/>
      <c r="G152" s="483"/>
      <c r="H152" s="483"/>
      <c r="I152" s="483"/>
      <c r="J152" s="483"/>
      <c r="K152" s="483"/>
      <c r="L152" s="483"/>
      <c r="M152" s="484"/>
    </row>
    <row r="153" spans="1:13" outlineLevel="1" x14ac:dyDescent="0.3">
      <c r="C153" s="482"/>
      <c r="D153" s="483"/>
      <c r="E153" s="483"/>
      <c r="F153" s="483"/>
      <c r="G153" s="483"/>
      <c r="H153" s="483"/>
      <c r="I153" s="483"/>
      <c r="J153" s="483"/>
      <c r="K153" s="483"/>
      <c r="L153" s="483"/>
      <c r="M153" s="484"/>
    </row>
    <row r="154" spans="1:13" outlineLevel="1" x14ac:dyDescent="0.3">
      <c r="C154" s="482"/>
      <c r="D154" s="483"/>
      <c r="E154" s="483"/>
      <c r="F154" s="483"/>
      <c r="G154" s="483"/>
      <c r="H154" s="483"/>
      <c r="I154" s="483"/>
      <c r="J154" s="483"/>
      <c r="K154" s="483"/>
      <c r="L154" s="483"/>
      <c r="M154" s="484"/>
    </row>
    <row r="155" spans="1:13" outlineLevel="1" x14ac:dyDescent="0.3">
      <c r="C155" s="485"/>
      <c r="D155" s="486"/>
      <c r="E155" s="486"/>
      <c r="F155" s="486"/>
      <c r="G155" s="486"/>
      <c r="H155" s="486"/>
      <c r="I155" s="486"/>
      <c r="J155" s="486"/>
      <c r="K155" s="486"/>
      <c r="L155" s="486"/>
      <c r="M155" s="487"/>
    </row>
    <row r="156" spans="1:13" outlineLevel="1" x14ac:dyDescent="0.3"/>
    <row r="157" spans="1:13" outlineLevel="1" x14ac:dyDescent="0.3"/>
    <row r="158" spans="1:13" hidden="1" outlineLevel="2" collapsed="1" x14ac:dyDescent="0.3">
      <c r="A158" s="16"/>
      <c r="B158" s="16" t="s">
        <v>0</v>
      </c>
      <c r="C158" s="201" t="s">
        <v>42</v>
      </c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</row>
    <row r="159" spans="1:13" ht="5.15" hidden="1" customHeight="1" outlineLevel="2" x14ac:dyDescent="0.3"/>
    <row r="160" spans="1:13" hidden="1" outlineLevel="2" x14ac:dyDescent="0.3">
      <c r="C160" s="1" t="s">
        <v>161</v>
      </c>
      <c r="E160" s="75">
        <v>45838</v>
      </c>
      <c r="G160" s="1" t="s">
        <v>167</v>
      </c>
      <c r="I160" s="76">
        <v>0</v>
      </c>
      <c r="K160" s="1" t="s">
        <v>192</v>
      </c>
      <c r="M160" s="77" t="s">
        <v>172</v>
      </c>
    </row>
    <row r="161" spans="3:13" hidden="1" outlineLevel="2" x14ac:dyDescent="0.3">
      <c r="C161" s="1" t="s">
        <v>162</v>
      </c>
      <c r="E161" s="75">
        <f>++EDATE(E160,12*5)</f>
        <v>47664</v>
      </c>
      <c r="G161" s="1" t="s">
        <v>166</v>
      </c>
      <c r="I161" s="76">
        <v>0</v>
      </c>
      <c r="K161" s="1" t="s">
        <v>193</v>
      </c>
      <c r="M161" s="77" t="s">
        <v>194</v>
      </c>
    </row>
    <row r="162" spans="3:13" hidden="1" outlineLevel="2" x14ac:dyDescent="0.3">
      <c r="C162" s="1" t="s">
        <v>163</v>
      </c>
      <c r="E162" s="78">
        <f>++IFERROR(YEARFRAC(E160,E161,1),"n/a")</f>
        <v>5.0004564125969875</v>
      </c>
      <c r="G162" s="1" t="s">
        <v>165</v>
      </c>
      <c r="I162" s="76">
        <v>0</v>
      </c>
      <c r="K162" s="1" t="s">
        <v>173</v>
      </c>
      <c r="M162" s="77" t="str">
        <f>++IF(M160="Floating","Term SOFR","n/a")</f>
        <v>Term SOFR</v>
      </c>
    </row>
    <row r="163" spans="3:13" hidden="1" outlineLevel="2" x14ac:dyDescent="0.3">
      <c r="E163" s="79"/>
      <c r="G163" s="1" t="s">
        <v>168</v>
      </c>
      <c r="I163" s="76">
        <v>0</v>
      </c>
      <c r="K163" s="1" t="s">
        <v>174</v>
      </c>
      <c r="M163" s="76">
        <v>0</v>
      </c>
    </row>
    <row r="164" spans="3:13" hidden="1" outlineLevel="2" x14ac:dyDescent="0.3">
      <c r="C164" s="1" t="s">
        <v>159</v>
      </c>
      <c r="E164" s="77">
        <v>0</v>
      </c>
      <c r="G164" s="1" t="s">
        <v>164</v>
      </c>
      <c r="I164" s="77">
        <v>0</v>
      </c>
      <c r="K164" s="1" t="s">
        <v>186</v>
      </c>
      <c r="M164" s="76">
        <v>0</v>
      </c>
    </row>
    <row r="165" spans="3:13" hidden="1" outlineLevel="2" x14ac:dyDescent="0.3">
      <c r="C165" s="1" t="s">
        <v>429</v>
      </c>
      <c r="E165" s="77">
        <v>0</v>
      </c>
      <c r="I165" s="79"/>
      <c r="K165" s="1" t="s">
        <v>185</v>
      </c>
      <c r="M165" s="76">
        <v>0</v>
      </c>
    </row>
    <row r="166" spans="3:13" hidden="1" outlineLevel="2" x14ac:dyDescent="0.3">
      <c r="C166" s="1" t="s">
        <v>430</v>
      </c>
      <c r="E166" s="77">
        <f>++E165</f>
        <v>0</v>
      </c>
      <c r="G166" s="1" t="s">
        <v>169</v>
      </c>
      <c r="I166" s="76" t="s">
        <v>47</v>
      </c>
      <c r="K166" s="1" t="s">
        <v>184</v>
      </c>
      <c r="M166" s="76">
        <v>0</v>
      </c>
    </row>
    <row r="167" spans="3:13" hidden="1" outlineLevel="2" x14ac:dyDescent="0.3">
      <c r="C167" s="80" t="s">
        <v>160</v>
      </c>
      <c r="E167" s="81" t="str">
        <f>++IFERROR(E166/E164,"n/a")</f>
        <v>n/a</v>
      </c>
      <c r="G167" s="1" t="s">
        <v>170</v>
      </c>
      <c r="I167" s="82" t="str">
        <f>++IFERROR(E164*I166/4,"n/a")</f>
        <v>n/a</v>
      </c>
      <c r="K167" s="1" t="s">
        <v>175</v>
      </c>
      <c r="M167" s="76">
        <v>0</v>
      </c>
    </row>
    <row r="168" spans="3:13" hidden="1" outlineLevel="2" x14ac:dyDescent="0.3">
      <c r="K168" s="1" t="s">
        <v>343</v>
      </c>
      <c r="M168" s="76" t="s">
        <v>47</v>
      </c>
    </row>
    <row r="169" spans="3:13" hidden="1" outlineLevel="2" x14ac:dyDescent="0.3"/>
    <row r="170" spans="3:13" ht="14.5" hidden="1" outlineLevel="2" x14ac:dyDescent="0.45">
      <c r="C170" s="26" t="s">
        <v>179</v>
      </c>
      <c r="D170" s="26"/>
      <c r="E170" s="26"/>
      <c r="F170" s="26"/>
      <c r="G170" s="26"/>
      <c r="H170" s="26"/>
      <c r="I170" s="26"/>
    </row>
    <row r="171" spans="3:13" ht="14.5" hidden="1" outlineLevel="2" x14ac:dyDescent="0.45">
      <c r="F171" s="26" t="s">
        <v>178</v>
      </c>
      <c r="G171" s="26"/>
      <c r="H171" s="26" t="s">
        <v>180</v>
      </c>
      <c r="I171" s="26"/>
      <c r="K171" s="26" t="s">
        <v>182</v>
      </c>
      <c r="L171" s="26"/>
      <c r="M171" s="26"/>
    </row>
    <row r="172" spans="3:13" ht="14.5" hidden="1" outlineLevel="2" x14ac:dyDescent="0.45">
      <c r="C172" s="26" t="s">
        <v>176</v>
      </c>
      <c r="D172" s="26"/>
      <c r="E172" s="30" t="s">
        <v>177</v>
      </c>
      <c r="F172" s="30" t="str">
        <f>++M162</f>
        <v>Term SOFR</v>
      </c>
      <c r="G172" s="30" t="str">
        <f>++IF(F172="n/a","n/a","ABR")</f>
        <v>ABR</v>
      </c>
      <c r="H172" s="30" t="s">
        <v>111</v>
      </c>
      <c r="I172" s="30" t="s">
        <v>181</v>
      </c>
      <c r="K172" s="30" t="s">
        <v>143</v>
      </c>
      <c r="L172" s="30" t="s">
        <v>98</v>
      </c>
      <c r="M172" s="30" t="s">
        <v>191</v>
      </c>
    </row>
    <row r="173" spans="3:13" hidden="1" outlineLevel="2" x14ac:dyDescent="0.3">
      <c r="C173" s="84" t="s">
        <v>63</v>
      </c>
      <c r="D173" s="445"/>
      <c r="E173" s="85">
        <v>7</v>
      </c>
      <c r="F173" s="76">
        <f>++IFERROR(F174+0.25%,"n/a")</f>
        <v>2.5000000000000001E-3</v>
      </c>
      <c r="G173" s="76">
        <f>++IFERROR(F173-1%,"n/a")</f>
        <v>-7.4999999999999997E-3</v>
      </c>
      <c r="H173" s="76" t="str">
        <f>++IFERROR(H174+0.25%,"n/a")</f>
        <v>n/a</v>
      </c>
      <c r="I173" s="76" t="s">
        <v>47</v>
      </c>
      <c r="K173" s="86" t="s">
        <v>183</v>
      </c>
      <c r="L173" s="87">
        <f>++EDATE(E160,6)</f>
        <v>46021</v>
      </c>
      <c r="M173" s="88" t="s">
        <v>47</v>
      </c>
    </row>
    <row r="174" spans="3:13" hidden="1" outlineLevel="2" x14ac:dyDescent="0.3">
      <c r="C174" s="1" t="str">
        <f>++C173</f>
        <v>Total Net Leverage</v>
      </c>
      <c r="E174" s="85">
        <f>++E173-0.5</f>
        <v>6.5</v>
      </c>
      <c r="F174" s="89">
        <f>++M167</f>
        <v>0</v>
      </c>
      <c r="G174" s="76">
        <f t="shared" ref="G174:G177" si="25">++IFERROR(F174-1%,"n/a")</f>
        <v>-0.01</v>
      </c>
      <c r="H174" s="89" t="str">
        <f>++M168</f>
        <v>n/a</v>
      </c>
      <c r="I174" s="76" t="s">
        <v>47</v>
      </c>
      <c r="K174" s="90" t="s">
        <v>187</v>
      </c>
      <c r="L174" s="87">
        <f>++EDATE(E160,12)</f>
        <v>46203</v>
      </c>
      <c r="M174" s="88">
        <v>102</v>
      </c>
    </row>
    <row r="175" spans="3:13" hidden="1" outlineLevel="2" x14ac:dyDescent="0.3">
      <c r="C175" s="1" t="str">
        <f t="shared" ref="C175:C177" si="26">++C174</f>
        <v>Total Net Leverage</v>
      </c>
      <c r="E175" s="85">
        <f t="shared" ref="E175:E176" si="27">++E174-0.5</f>
        <v>6</v>
      </c>
      <c r="F175" s="76">
        <f>++IFERROR(F174-0.25%,"n/a")</f>
        <v>-2.5000000000000001E-3</v>
      </c>
      <c r="G175" s="76">
        <f t="shared" si="25"/>
        <v>-1.2500000000000001E-2</v>
      </c>
      <c r="H175" s="76" t="str">
        <f>++IFERROR(H174-0.25%,"n/a")</f>
        <v>n/a</v>
      </c>
      <c r="I175" s="76" t="s">
        <v>47</v>
      </c>
      <c r="K175" s="90" t="s">
        <v>188</v>
      </c>
      <c r="L175" s="87">
        <f>++EDATE(E160,2*12)</f>
        <v>46568</v>
      </c>
      <c r="M175" s="88">
        <v>101</v>
      </c>
    </row>
    <row r="176" spans="3:13" hidden="1" outlineLevel="2" x14ac:dyDescent="0.3">
      <c r="C176" s="1" t="str">
        <f t="shared" si="26"/>
        <v>Total Net Leverage</v>
      </c>
      <c r="E176" s="85">
        <f t="shared" si="27"/>
        <v>5.5</v>
      </c>
      <c r="F176" s="76">
        <f t="shared" ref="F176:F177" si="28">++IFERROR(F175-0.25%,"n/a")</f>
        <v>-5.0000000000000001E-3</v>
      </c>
      <c r="G176" s="76">
        <f t="shared" si="25"/>
        <v>-1.4999999999999999E-2</v>
      </c>
      <c r="H176" s="76" t="str">
        <f t="shared" ref="H176:H177" si="29">++IFERROR(H175-0.25%,"n/a")</f>
        <v>n/a</v>
      </c>
      <c r="I176" s="76" t="s">
        <v>47</v>
      </c>
      <c r="K176" s="90" t="s">
        <v>189</v>
      </c>
      <c r="L176" s="87">
        <f>++EDATE(E160,3*12)</f>
        <v>46934</v>
      </c>
      <c r="M176" s="88">
        <v>100</v>
      </c>
    </row>
    <row r="177" spans="1:13" hidden="1" outlineLevel="2" x14ac:dyDescent="0.3">
      <c r="C177" s="1" t="str">
        <f t="shared" si="26"/>
        <v>Total Net Leverage</v>
      </c>
      <c r="E177" s="91">
        <f>++E176</f>
        <v>5.5</v>
      </c>
      <c r="F177" s="76">
        <f t="shared" si="28"/>
        <v>-7.4999999999999997E-3</v>
      </c>
      <c r="G177" s="76">
        <f t="shared" si="25"/>
        <v>-1.7500000000000002E-2</v>
      </c>
      <c r="H177" s="76" t="str">
        <f t="shared" si="29"/>
        <v>n/a</v>
      </c>
      <c r="I177" s="76" t="s">
        <v>47</v>
      </c>
      <c r="K177" s="90" t="s">
        <v>190</v>
      </c>
      <c r="L177" s="87">
        <f>++EDATE(E160,4*12)</f>
        <v>47299</v>
      </c>
      <c r="M177" s="88">
        <v>100</v>
      </c>
    </row>
    <row r="178" spans="1:13" hidden="1" outlineLevel="2" x14ac:dyDescent="0.3"/>
    <row r="179" spans="1:13" hidden="1" outlineLevel="2" x14ac:dyDescent="0.3">
      <c r="C179" s="92" t="s">
        <v>195</v>
      </c>
    </row>
    <row r="180" spans="1:13" ht="12.75" hidden="1" customHeight="1" outlineLevel="2" x14ac:dyDescent="0.3">
      <c r="C180" s="479" t="s">
        <v>417</v>
      </c>
      <c r="D180" s="480"/>
      <c r="E180" s="480"/>
      <c r="F180" s="480"/>
      <c r="G180" s="480"/>
      <c r="H180" s="480"/>
      <c r="I180" s="480"/>
      <c r="J180" s="480"/>
      <c r="K180" s="480"/>
      <c r="L180" s="480"/>
      <c r="M180" s="481"/>
    </row>
    <row r="181" spans="1:13" hidden="1" outlineLevel="2" x14ac:dyDescent="0.3">
      <c r="C181" s="482"/>
      <c r="D181" s="483"/>
      <c r="E181" s="483"/>
      <c r="F181" s="483"/>
      <c r="G181" s="483"/>
      <c r="H181" s="483"/>
      <c r="I181" s="483"/>
      <c r="J181" s="483"/>
      <c r="K181" s="483"/>
      <c r="L181" s="483"/>
      <c r="M181" s="484"/>
    </row>
    <row r="182" spans="1:13" hidden="1" outlineLevel="2" x14ac:dyDescent="0.3">
      <c r="C182" s="482"/>
      <c r="D182" s="483"/>
      <c r="E182" s="483"/>
      <c r="F182" s="483"/>
      <c r="G182" s="483"/>
      <c r="H182" s="483"/>
      <c r="I182" s="483"/>
      <c r="J182" s="483"/>
      <c r="K182" s="483"/>
      <c r="L182" s="483"/>
      <c r="M182" s="484"/>
    </row>
    <row r="183" spans="1:13" hidden="1" outlineLevel="2" x14ac:dyDescent="0.3">
      <c r="C183" s="482"/>
      <c r="D183" s="483"/>
      <c r="E183" s="483"/>
      <c r="F183" s="483"/>
      <c r="G183" s="483"/>
      <c r="H183" s="483"/>
      <c r="I183" s="483"/>
      <c r="J183" s="483"/>
      <c r="K183" s="483"/>
      <c r="L183" s="483"/>
      <c r="M183" s="484"/>
    </row>
    <row r="184" spans="1:13" hidden="1" outlineLevel="2" x14ac:dyDescent="0.3">
      <c r="C184" s="482"/>
      <c r="D184" s="483"/>
      <c r="E184" s="483"/>
      <c r="F184" s="483"/>
      <c r="G184" s="483"/>
      <c r="H184" s="483"/>
      <c r="I184" s="483"/>
      <c r="J184" s="483"/>
      <c r="K184" s="483"/>
      <c r="L184" s="483"/>
      <c r="M184" s="484"/>
    </row>
    <row r="185" spans="1:13" hidden="1" outlineLevel="2" x14ac:dyDescent="0.3">
      <c r="C185" s="485"/>
      <c r="D185" s="486"/>
      <c r="E185" s="486"/>
      <c r="F185" s="486"/>
      <c r="G185" s="486"/>
      <c r="H185" s="486"/>
      <c r="I185" s="486"/>
      <c r="J185" s="486"/>
      <c r="K185" s="486"/>
      <c r="L185" s="486"/>
      <c r="M185" s="487"/>
    </row>
    <row r="186" spans="1:13" hidden="1" outlineLevel="2" x14ac:dyDescent="0.3"/>
    <row r="187" spans="1:13" hidden="1" outlineLevel="2" x14ac:dyDescent="0.3"/>
    <row r="188" spans="1:13" hidden="1" outlineLevel="2" x14ac:dyDescent="0.3">
      <c r="A188" s="16"/>
      <c r="B188" s="16" t="s">
        <v>0</v>
      </c>
      <c r="C188" s="201" t="str">
        <f>++"Second Lien DDTL ("&amp;TEXT(E194/1000,"$#,##0.0")&amp;"MM)"</f>
        <v>Second Lien DDTL ($0.0MM)</v>
      </c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</row>
    <row r="189" spans="1:13" ht="5.15" hidden="1" customHeight="1" outlineLevel="2" x14ac:dyDescent="0.3"/>
    <row r="190" spans="1:13" hidden="1" outlineLevel="2" x14ac:dyDescent="0.3">
      <c r="C190" s="1" t="s">
        <v>161</v>
      </c>
      <c r="E190" s="75">
        <v>45838</v>
      </c>
      <c r="G190" s="1" t="s">
        <v>167</v>
      </c>
      <c r="I190" s="76">
        <v>0</v>
      </c>
      <c r="K190" s="1" t="s">
        <v>192</v>
      </c>
      <c r="M190" s="77" t="s">
        <v>172</v>
      </c>
    </row>
    <row r="191" spans="1:13" hidden="1" outlineLevel="2" x14ac:dyDescent="0.3">
      <c r="C191" s="1" t="s">
        <v>162</v>
      </c>
      <c r="E191" s="75">
        <f>++EDATE(E190,12*5)</f>
        <v>47664</v>
      </c>
      <c r="G191" s="1" t="s">
        <v>166</v>
      </c>
      <c r="I191" s="76">
        <v>0</v>
      </c>
      <c r="K191" s="1" t="s">
        <v>193</v>
      </c>
      <c r="M191" s="77" t="s">
        <v>194</v>
      </c>
    </row>
    <row r="192" spans="1:13" hidden="1" outlineLevel="2" x14ac:dyDescent="0.3">
      <c r="C192" s="1" t="s">
        <v>163</v>
      </c>
      <c r="E192" s="78">
        <f>++IFERROR(YEARFRAC(E190,E191,1),"n/a")</f>
        <v>5.0004564125969875</v>
      </c>
      <c r="G192" s="1" t="s">
        <v>165</v>
      </c>
      <c r="I192" s="76">
        <v>0</v>
      </c>
      <c r="K192" s="1" t="s">
        <v>173</v>
      </c>
      <c r="M192" s="77" t="str">
        <f>++IF(M190="Floating","Term SOFR","n/a")</f>
        <v>Term SOFR</v>
      </c>
    </row>
    <row r="193" spans="3:13" hidden="1" outlineLevel="2" x14ac:dyDescent="0.3">
      <c r="E193" s="79"/>
      <c r="G193" s="1" t="s">
        <v>168</v>
      </c>
      <c r="I193" s="76">
        <v>0</v>
      </c>
      <c r="K193" s="1" t="s">
        <v>174</v>
      </c>
      <c r="M193" s="76">
        <v>0</v>
      </c>
    </row>
    <row r="194" spans="3:13" hidden="1" outlineLevel="2" x14ac:dyDescent="0.3">
      <c r="C194" s="1" t="s">
        <v>159</v>
      </c>
      <c r="E194" s="77">
        <v>0</v>
      </c>
      <c r="G194" s="1" t="s">
        <v>164</v>
      </c>
      <c r="I194" s="77">
        <v>0</v>
      </c>
      <c r="K194" s="1" t="s">
        <v>186</v>
      </c>
      <c r="M194" s="76">
        <v>0</v>
      </c>
    </row>
    <row r="195" spans="3:13" hidden="1" outlineLevel="2" x14ac:dyDescent="0.3">
      <c r="C195" s="1" t="s">
        <v>429</v>
      </c>
      <c r="E195" s="77">
        <v>0</v>
      </c>
      <c r="I195" s="79"/>
      <c r="K195" s="1" t="s">
        <v>185</v>
      </c>
      <c r="M195" s="76">
        <v>0</v>
      </c>
    </row>
    <row r="196" spans="3:13" hidden="1" outlineLevel="2" x14ac:dyDescent="0.3">
      <c r="C196" s="1" t="s">
        <v>430</v>
      </c>
      <c r="E196" s="77">
        <f>++E195</f>
        <v>0</v>
      </c>
      <c r="G196" s="1" t="s">
        <v>169</v>
      </c>
      <c r="I196" s="76" t="s">
        <v>47</v>
      </c>
      <c r="K196" s="1" t="s">
        <v>184</v>
      </c>
      <c r="M196" s="76">
        <v>0</v>
      </c>
    </row>
    <row r="197" spans="3:13" hidden="1" outlineLevel="2" x14ac:dyDescent="0.3">
      <c r="C197" s="80" t="s">
        <v>160</v>
      </c>
      <c r="E197" s="81" t="str">
        <f>++IFERROR(E196/E194,"n/a")</f>
        <v>n/a</v>
      </c>
      <c r="G197" s="1" t="s">
        <v>170</v>
      </c>
      <c r="I197" s="82" t="str">
        <f>++IFERROR(E194*I196/4,"n/a")</f>
        <v>n/a</v>
      </c>
      <c r="K197" s="1" t="s">
        <v>175</v>
      </c>
      <c r="M197" s="76">
        <v>0</v>
      </c>
    </row>
    <row r="198" spans="3:13" hidden="1" outlineLevel="2" x14ac:dyDescent="0.3">
      <c r="K198" s="1" t="s">
        <v>343</v>
      </c>
      <c r="M198" s="76" t="s">
        <v>47</v>
      </c>
    </row>
    <row r="199" spans="3:13" hidden="1" outlineLevel="2" x14ac:dyDescent="0.3"/>
    <row r="200" spans="3:13" ht="14.5" hidden="1" outlineLevel="2" x14ac:dyDescent="0.45">
      <c r="C200" s="26" t="s">
        <v>179</v>
      </c>
      <c r="D200" s="26"/>
      <c r="E200" s="26"/>
      <c r="F200" s="26"/>
      <c r="G200" s="26"/>
      <c r="H200" s="26"/>
      <c r="I200" s="26"/>
    </row>
    <row r="201" spans="3:13" ht="14.5" hidden="1" outlineLevel="2" x14ac:dyDescent="0.45">
      <c r="F201" s="26" t="s">
        <v>178</v>
      </c>
      <c r="G201" s="26"/>
      <c r="H201" s="26" t="s">
        <v>180</v>
      </c>
      <c r="I201" s="26"/>
      <c r="K201" s="26" t="s">
        <v>182</v>
      </c>
      <c r="L201" s="26"/>
      <c r="M201" s="26"/>
    </row>
    <row r="202" spans="3:13" ht="14.5" hidden="1" outlineLevel="2" x14ac:dyDescent="0.45">
      <c r="C202" s="26" t="s">
        <v>176</v>
      </c>
      <c r="D202" s="26"/>
      <c r="E202" s="30" t="s">
        <v>177</v>
      </c>
      <c r="F202" s="30" t="str">
        <f>++M192</f>
        <v>Term SOFR</v>
      </c>
      <c r="G202" s="30" t="str">
        <f>++IF(F202="n/a","n/a","ABR")</f>
        <v>ABR</v>
      </c>
      <c r="H202" s="30" t="s">
        <v>111</v>
      </c>
      <c r="I202" s="30" t="s">
        <v>181</v>
      </c>
      <c r="K202" s="30" t="s">
        <v>143</v>
      </c>
      <c r="L202" s="30" t="s">
        <v>98</v>
      </c>
      <c r="M202" s="30" t="s">
        <v>191</v>
      </c>
    </row>
    <row r="203" spans="3:13" hidden="1" outlineLevel="2" x14ac:dyDescent="0.3">
      <c r="C203" s="84" t="s">
        <v>63</v>
      </c>
      <c r="D203" s="445"/>
      <c r="E203" s="85">
        <v>7</v>
      </c>
      <c r="F203" s="76">
        <f>++IFERROR(F204+0.25%,"n/a")</f>
        <v>2.5000000000000001E-3</v>
      </c>
      <c r="G203" s="76">
        <f>++IFERROR(F203-1%,"n/a")</f>
        <v>-7.4999999999999997E-3</v>
      </c>
      <c r="H203" s="76" t="str">
        <f>++IFERROR(H204+0.25%,"n/a")</f>
        <v>n/a</v>
      </c>
      <c r="I203" s="76" t="s">
        <v>47</v>
      </c>
      <c r="K203" s="86" t="s">
        <v>183</v>
      </c>
      <c r="L203" s="87">
        <f>++EDATE(E190,6)</f>
        <v>46021</v>
      </c>
      <c r="M203" s="88" t="s">
        <v>47</v>
      </c>
    </row>
    <row r="204" spans="3:13" hidden="1" outlineLevel="2" x14ac:dyDescent="0.3">
      <c r="C204" s="1" t="str">
        <f>++C203</f>
        <v>Total Net Leverage</v>
      </c>
      <c r="E204" s="85">
        <f>++E203-0.5</f>
        <v>6.5</v>
      </c>
      <c r="F204" s="89">
        <f>++M197</f>
        <v>0</v>
      </c>
      <c r="G204" s="76">
        <f t="shared" ref="G204:G207" si="30">++IFERROR(F204-1%,"n/a")</f>
        <v>-0.01</v>
      </c>
      <c r="H204" s="89" t="str">
        <f>++M198</f>
        <v>n/a</v>
      </c>
      <c r="I204" s="76" t="s">
        <v>47</v>
      </c>
      <c r="K204" s="90" t="s">
        <v>187</v>
      </c>
      <c r="L204" s="87">
        <f>++EDATE(E190,12)</f>
        <v>46203</v>
      </c>
      <c r="M204" s="88">
        <v>102</v>
      </c>
    </row>
    <row r="205" spans="3:13" hidden="1" outlineLevel="2" x14ac:dyDescent="0.3">
      <c r="C205" s="1" t="str">
        <f t="shared" ref="C205:C207" si="31">++C204</f>
        <v>Total Net Leverage</v>
      </c>
      <c r="E205" s="85">
        <f t="shared" ref="E205:E206" si="32">++E204-0.5</f>
        <v>6</v>
      </c>
      <c r="F205" s="76">
        <f>++IFERROR(F204-0.25%,"n/a")</f>
        <v>-2.5000000000000001E-3</v>
      </c>
      <c r="G205" s="76">
        <f t="shared" si="30"/>
        <v>-1.2500000000000001E-2</v>
      </c>
      <c r="H205" s="76" t="str">
        <f>++IFERROR(H204-0.25%,"n/a")</f>
        <v>n/a</v>
      </c>
      <c r="I205" s="76" t="s">
        <v>47</v>
      </c>
      <c r="K205" s="90" t="s">
        <v>188</v>
      </c>
      <c r="L205" s="87">
        <f>++EDATE(E190,2*12)</f>
        <v>46568</v>
      </c>
      <c r="M205" s="88">
        <v>101</v>
      </c>
    </row>
    <row r="206" spans="3:13" hidden="1" outlineLevel="2" x14ac:dyDescent="0.3">
      <c r="C206" s="1" t="str">
        <f t="shared" si="31"/>
        <v>Total Net Leverage</v>
      </c>
      <c r="E206" s="85">
        <f t="shared" si="32"/>
        <v>5.5</v>
      </c>
      <c r="F206" s="76">
        <f t="shared" ref="F206:F207" si="33">++IFERROR(F205-0.25%,"n/a")</f>
        <v>-5.0000000000000001E-3</v>
      </c>
      <c r="G206" s="76">
        <f t="shared" si="30"/>
        <v>-1.4999999999999999E-2</v>
      </c>
      <c r="H206" s="76" t="str">
        <f t="shared" ref="H206:H207" si="34">++IFERROR(H205-0.25%,"n/a")</f>
        <v>n/a</v>
      </c>
      <c r="I206" s="76" t="s">
        <v>47</v>
      </c>
      <c r="K206" s="90" t="s">
        <v>189</v>
      </c>
      <c r="L206" s="87">
        <f>++EDATE(E190,3*12)</f>
        <v>46934</v>
      </c>
      <c r="M206" s="88">
        <v>100</v>
      </c>
    </row>
    <row r="207" spans="3:13" hidden="1" outlineLevel="2" x14ac:dyDescent="0.3">
      <c r="C207" s="1" t="str">
        <f t="shared" si="31"/>
        <v>Total Net Leverage</v>
      </c>
      <c r="E207" s="91">
        <f>++E206</f>
        <v>5.5</v>
      </c>
      <c r="F207" s="76">
        <f t="shared" si="33"/>
        <v>-7.4999999999999997E-3</v>
      </c>
      <c r="G207" s="76">
        <f t="shared" si="30"/>
        <v>-1.7500000000000002E-2</v>
      </c>
      <c r="H207" s="76" t="str">
        <f t="shared" si="34"/>
        <v>n/a</v>
      </c>
      <c r="I207" s="76" t="s">
        <v>47</v>
      </c>
      <c r="K207" s="90" t="s">
        <v>190</v>
      </c>
      <c r="L207" s="87">
        <f>++EDATE(E190,4*12)</f>
        <v>47299</v>
      </c>
      <c r="M207" s="88">
        <v>100</v>
      </c>
    </row>
    <row r="208" spans="3:13" hidden="1" outlineLevel="2" x14ac:dyDescent="0.3"/>
    <row r="209" spans="1:13" hidden="1" outlineLevel="2" x14ac:dyDescent="0.3">
      <c r="C209" s="92" t="s">
        <v>195</v>
      </c>
    </row>
    <row r="210" spans="1:13" ht="12.75" hidden="1" customHeight="1" outlineLevel="2" x14ac:dyDescent="0.3">
      <c r="C210" s="479" t="s">
        <v>417</v>
      </c>
      <c r="D210" s="480"/>
      <c r="E210" s="480"/>
      <c r="F210" s="480"/>
      <c r="G210" s="480"/>
      <c r="H210" s="480"/>
      <c r="I210" s="480"/>
      <c r="J210" s="480"/>
      <c r="K210" s="480"/>
      <c r="L210" s="480"/>
      <c r="M210" s="481"/>
    </row>
    <row r="211" spans="1:13" hidden="1" outlineLevel="2" x14ac:dyDescent="0.3">
      <c r="C211" s="482"/>
      <c r="D211" s="483"/>
      <c r="E211" s="483"/>
      <c r="F211" s="483"/>
      <c r="G211" s="483"/>
      <c r="H211" s="483"/>
      <c r="I211" s="483"/>
      <c r="J211" s="483"/>
      <c r="K211" s="483"/>
      <c r="L211" s="483"/>
      <c r="M211" s="484"/>
    </row>
    <row r="212" spans="1:13" hidden="1" outlineLevel="2" x14ac:dyDescent="0.3">
      <c r="C212" s="482"/>
      <c r="D212" s="483"/>
      <c r="E212" s="483"/>
      <c r="F212" s="483"/>
      <c r="G212" s="483"/>
      <c r="H212" s="483"/>
      <c r="I212" s="483"/>
      <c r="J212" s="483"/>
      <c r="K212" s="483"/>
      <c r="L212" s="483"/>
      <c r="M212" s="484"/>
    </row>
    <row r="213" spans="1:13" hidden="1" outlineLevel="2" x14ac:dyDescent="0.3">
      <c r="C213" s="482"/>
      <c r="D213" s="483"/>
      <c r="E213" s="483"/>
      <c r="F213" s="483"/>
      <c r="G213" s="483"/>
      <c r="H213" s="483"/>
      <c r="I213" s="483"/>
      <c r="J213" s="483"/>
      <c r="K213" s="483"/>
      <c r="L213" s="483"/>
      <c r="M213" s="484"/>
    </row>
    <row r="214" spans="1:13" hidden="1" outlineLevel="2" x14ac:dyDescent="0.3">
      <c r="C214" s="482"/>
      <c r="D214" s="483"/>
      <c r="E214" s="483"/>
      <c r="F214" s="483"/>
      <c r="G214" s="483"/>
      <c r="H214" s="483"/>
      <c r="I214" s="483"/>
      <c r="J214" s="483"/>
      <c r="K214" s="483"/>
      <c r="L214" s="483"/>
      <c r="M214" s="484"/>
    </row>
    <row r="215" spans="1:13" hidden="1" outlineLevel="2" x14ac:dyDescent="0.3">
      <c r="C215" s="485"/>
      <c r="D215" s="486"/>
      <c r="E215" s="486"/>
      <c r="F215" s="486"/>
      <c r="G215" s="486"/>
      <c r="H215" s="486"/>
      <c r="I215" s="486"/>
      <c r="J215" s="486"/>
      <c r="K215" s="486"/>
      <c r="L215" s="486"/>
      <c r="M215" s="487"/>
    </row>
    <row r="216" spans="1:13" hidden="1" outlineLevel="2" x14ac:dyDescent="0.3"/>
    <row r="217" spans="1:13" hidden="1" outlineLevel="2" x14ac:dyDescent="0.3"/>
    <row r="218" spans="1:13" hidden="1" outlineLevel="2" x14ac:dyDescent="0.3">
      <c r="A218" s="16"/>
      <c r="B218" s="16" t="s">
        <v>0</v>
      </c>
      <c r="C218" s="201" t="s">
        <v>652</v>
      </c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</row>
    <row r="219" spans="1:13" ht="5.15" hidden="1" customHeight="1" outlineLevel="2" x14ac:dyDescent="0.3"/>
    <row r="220" spans="1:13" hidden="1" outlineLevel="2" x14ac:dyDescent="0.3">
      <c r="C220" s="1" t="s">
        <v>161</v>
      </c>
      <c r="E220" s="75">
        <v>45838</v>
      </c>
      <c r="G220" s="1" t="s">
        <v>167</v>
      </c>
      <c r="I220" s="76">
        <v>0</v>
      </c>
      <c r="K220" s="1" t="s">
        <v>192</v>
      </c>
      <c r="M220" s="77" t="s">
        <v>205</v>
      </c>
    </row>
    <row r="221" spans="1:13" hidden="1" outlineLevel="2" x14ac:dyDescent="0.3">
      <c r="C221" s="1" t="s">
        <v>162</v>
      </c>
      <c r="E221" s="75">
        <f>++EDATE(E220,12*5)</f>
        <v>47664</v>
      </c>
      <c r="G221" s="1" t="s">
        <v>166</v>
      </c>
      <c r="I221" s="76">
        <v>0</v>
      </c>
      <c r="K221" s="1" t="s">
        <v>193</v>
      </c>
      <c r="M221" s="77" t="s">
        <v>203</v>
      </c>
    </row>
    <row r="222" spans="1:13" hidden="1" outlineLevel="2" x14ac:dyDescent="0.3">
      <c r="C222" s="1" t="s">
        <v>163</v>
      </c>
      <c r="E222" s="78">
        <f>++IFERROR(YEARFRAC(E220,E221,1),"n/a")</f>
        <v>5.0004564125969875</v>
      </c>
      <c r="G222" s="1" t="s">
        <v>165</v>
      </c>
      <c r="I222" s="76">
        <v>0</v>
      </c>
      <c r="K222" s="1" t="s">
        <v>173</v>
      </c>
      <c r="M222" s="77" t="str">
        <f>++IF(M220="Floating","Term SOFR","n/a")</f>
        <v>n/a</v>
      </c>
    </row>
    <row r="223" spans="1:13" hidden="1" outlineLevel="2" x14ac:dyDescent="0.3">
      <c r="E223" s="79"/>
      <c r="G223" s="1" t="s">
        <v>168</v>
      </c>
      <c r="I223" s="76">
        <v>0</v>
      </c>
      <c r="K223" s="1" t="s">
        <v>174</v>
      </c>
      <c r="M223" s="76" t="s">
        <v>47</v>
      </c>
    </row>
    <row r="224" spans="1:13" hidden="1" outlineLevel="2" x14ac:dyDescent="0.3">
      <c r="C224" s="1" t="s">
        <v>159</v>
      </c>
      <c r="E224" s="77">
        <v>0</v>
      </c>
      <c r="G224" s="1" t="s">
        <v>164</v>
      </c>
      <c r="I224" s="77">
        <v>0</v>
      </c>
      <c r="K224" s="1" t="s">
        <v>186</v>
      </c>
      <c r="M224" s="76" t="s">
        <v>47</v>
      </c>
    </row>
    <row r="225" spans="3:13" hidden="1" outlineLevel="2" x14ac:dyDescent="0.3">
      <c r="C225" s="1" t="s">
        <v>429</v>
      </c>
      <c r="E225" s="77">
        <v>0</v>
      </c>
      <c r="I225" s="79"/>
      <c r="K225" s="1" t="s">
        <v>185</v>
      </c>
      <c r="M225" s="76" t="s">
        <v>47</v>
      </c>
    </row>
    <row r="226" spans="3:13" hidden="1" outlineLevel="2" x14ac:dyDescent="0.3">
      <c r="C226" s="1" t="s">
        <v>430</v>
      </c>
      <c r="E226" s="77">
        <f>++E225</f>
        <v>0</v>
      </c>
      <c r="G226" s="1" t="s">
        <v>169</v>
      </c>
      <c r="I226" s="76" t="s">
        <v>47</v>
      </c>
      <c r="K226" s="1" t="s">
        <v>184</v>
      </c>
      <c r="M226" s="76" t="s">
        <v>47</v>
      </c>
    </row>
    <row r="227" spans="3:13" hidden="1" outlineLevel="2" x14ac:dyDescent="0.3">
      <c r="C227" s="80" t="s">
        <v>160</v>
      </c>
      <c r="E227" s="81" t="str">
        <f>++IFERROR(E226/E224,"n/a")</f>
        <v>n/a</v>
      </c>
      <c r="G227" s="1" t="s">
        <v>170</v>
      </c>
      <c r="I227" s="82" t="str">
        <f>++IFERROR(E224*I226/4,"n/a")</f>
        <v>n/a</v>
      </c>
      <c r="K227" s="1" t="s">
        <v>175</v>
      </c>
      <c r="M227" s="76" t="s">
        <v>47</v>
      </c>
    </row>
    <row r="228" spans="3:13" hidden="1" outlineLevel="2" x14ac:dyDescent="0.3">
      <c r="K228" s="1" t="s">
        <v>343</v>
      </c>
      <c r="M228" s="76">
        <v>0</v>
      </c>
    </row>
    <row r="229" spans="3:13" hidden="1" outlineLevel="2" x14ac:dyDescent="0.3"/>
    <row r="230" spans="3:13" ht="14.5" hidden="1" outlineLevel="2" x14ac:dyDescent="0.45">
      <c r="C230" s="26" t="s">
        <v>179</v>
      </c>
      <c r="D230" s="26"/>
      <c r="E230" s="26"/>
      <c r="F230" s="26"/>
      <c r="G230" s="26"/>
      <c r="H230" s="26"/>
      <c r="I230" s="26"/>
    </row>
    <row r="231" spans="3:13" ht="14.5" hidden="1" outlineLevel="2" x14ac:dyDescent="0.45">
      <c r="F231" s="26" t="s">
        <v>178</v>
      </c>
      <c r="G231" s="26"/>
      <c r="H231" s="26" t="s">
        <v>180</v>
      </c>
      <c r="I231" s="26"/>
      <c r="K231" s="26" t="s">
        <v>182</v>
      </c>
      <c r="L231" s="26"/>
      <c r="M231" s="26"/>
    </row>
    <row r="232" spans="3:13" ht="14.5" hidden="1" outlineLevel="2" x14ac:dyDescent="0.45">
      <c r="C232" s="26" t="s">
        <v>176</v>
      </c>
      <c r="D232" s="26"/>
      <c r="E232" s="30" t="s">
        <v>177</v>
      </c>
      <c r="F232" s="30" t="str">
        <f>++M222</f>
        <v>n/a</v>
      </c>
      <c r="G232" s="30" t="str">
        <f>++IF(F232="n/a","n/a","ABR")</f>
        <v>n/a</v>
      </c>
      <c r="H232" s="30" t="s">
        <v>111</v>
      </c>
      <c r="I232" s="30" t="s">
        <v>181</v>
      </c>
      <c r="K232" s="30" t="s">
        <v>143</v>
      </c>
      <c r="L232" s="30" t="s">
        <v>98</v>
      </c>
      <c r="M232" s="30" t="s">
        <v>191</v>
      </c>
    </row>
    <row r="233" spans="3:13" hidden="1" outlineLevel="2" x14ac:dyDescent="0.3">
      <c r="C233" s="84" t="s">
        <v>63</v>
      </c>
      <c r="D233" s="445"/>
      <c r="E233" s="85">
        <v>7</v>
      </c>
      <c r="F233" s="76" t="str">
        <f>++IFERROR(F234+0.25%,"n/a")</f>
        <v>n/a</v>
      </c>
      <c r="G233" s="76" t="str">
        <f>++IFERROR(F233-1%,"n/a")</f>
        <v>n/a</v>
      </c>
      <c r="H233" s="76">
        <f>++IFERROR(H234+0.25%,"n/a")</f>
        <v>2.5000000000000001E-3</v>
      </c>
      <c r="I233" s="76" t="s">
        <v>47</v>
      </c>
      <c r="K233" s="86" t="s">
        <v>183</v>
      </c>
      <c r="L233" s="87">
        <f>++EDATE(E220,6)</f>
        <v>46021</v>
      </c>
      <c r="M233" s="88" t="s">
        <v>47</v>
      </c>
    </row>
    <row r="234" spans="3:13" hidden="1" outlineLevel="2" x14ac:dyDescent="0.3">
      <c r="C234" s="1" t="str">
        <f>++C233</f>
        <v>Total Net Leverage</v>
      </c>
      <c r="E234" s="85">
        <f>++E233-0.5</f>
        <v>6.5</v>
      </c>
      <c r="F234" s="89" t="str">
        <f>++M227</f>
        <v>n/a</v>
      </c>
      <c r="G234" s="76" t="str">
        <f t="shared" ref="G234:G237" si="35">++IFERROR(F234-1%,"n/a")</f>
        <v>n/a</v>
      </c>
      <c r="H234" s="89">
        <f>++M228</f>
        <v>0</v>
      </c>
      <c r="I234" s="76" t="s">
        <v>47</v>
      </c>
      <c r="K234" s="90" t="s">
        <v>187</v>
      </c>
      <c r="L234" s="87">
        <f>++EDATE(E220,12)</f>
        <v>46203</v>
      </c>
      <c r="M234" s="88">
        <v>102</v>
      </c>
    </row>
    <row r="235" spans="3:13" hidden="1" outlineLevel="2" x14ac:dyDescent="0.3">
      <c r="C235" s="1" t="str">
        <f t="shared" ref="C235:C237" si="36">++C234</f>
        <v>Total Net Leverage</v>
      </c>
      <c r="E235" s="85">
        <f t="shared" ref="E235:E236" si="37">++E234-0.5</f>
        <v>6</v>
      </c>
      <c r="F235" s="76" t="str">
        <f>++IFERROR(F234-0.25%,"n/a")</f>
        <v>n/a</v>
      </c>
      <c r="G235" s="76" t="str">
        <f t="shared" si="35"/>
        <v>n/a</v>
      </c>
      <c r="H235" s="76">
        <f>++IFERROR(H234-0.25%,"n/a")</f>
        <v>-2.5000000000000001E-3</v>
      </c>
      <c r="I235" s="76" t="s">
        <v>47</v>
      </c>
      <c r="K235" s="90" t="s">
        <v>188</v>
      </c>
      <c r="L235" s="87">
        <f>++EDATE(E220,2*12)</f>
        <v>46568</v>
      </c>
      <c r="M235" s="88">
        <v>101</v>
      </c>
    </row>
    <row r="236" spans="3:13" hidden="1" outlineLevel="2" x14ac:dyDescent="0.3">
      <c r="C236" s="1" t="str">
        <f t="shared" si="36"/>
        <v>Total Net Leverage</v>
      </c>
      <c r="E236" s="85">
        <f t="shared" si="37"/>
        <v>5.5</v>
      </c>
      <c r="F236" s="76" t="str">
        <f t="shared" ref="F236:H237" si="38">++IFERROR(F235-0.25%,"n/a")</f>
        <v>n/a</v>
      </c>
      <c r="G236" s="76" t="str">
        <f t="shared" si="35"/>
        <v>n/a</v>
      </c>
      <c r="H236" s="76">
        <f t="shared" si="38"/>
        <v>-5.0000000000000001E-3</v>
      </c>
      <c r="I236" s="76" t="s">
        <v>47</v>
      </c>
      <c r="K236" s="90" t="s">
        <v>189</v>
      </c>
      <c r="L236" s="87">
        <f>++EDATE(E220,3*12)</f>
        <v>46934</v>
      </c>
      <c r="M236" s="88">
        <v>100</v>
      </c>
    </row>
    <row r="237" spans="3:13" hidden="1" outlineLevel="2" x14ac:dyDescent="0.3">
      <c r="C237" s="1" t="str">
        <f t="shared" si="36"/>
        <v>Total Net Leverage</v>
      </c>
      <c r="E237" s="91">
        <f>++E236</f>
        <v>5.5</v>
      </c>
      <c r="F237" s="76" t="str">
        <f t="shared" si="38"/>
        <v>n/a</v>
      </c>
      <c r="G237" s="76" t="str">
        <f t="shared" si="35"/>
        <v>n/a</v>
      </c>
      <c r="H237" s="76">
        <f t="shared" si="38"/>
        <v>-7.4999999999999997E-3</v>
      </c>
      <c r="I237" s="76" t="s">
        <v>47</v>
      </c>
      <c r="K237" s="90" t="s">
        <v>190</v>
      </c>
      <c r="L237" s="87">
        <f>++EDATE(E220,4*12)</f>
        <v>47299</v>
      </c>
      <c r="M237" s="88">
        <v>100</v>
      </c>
    </row>
    <row r="238" spans="3:13" hidden="1" outlineLevel="2" x14ac:dyDescent="0.3"/>
    <row r="239" spans="3:13" hidden="1" outlineLevel="2" x14ac:dyDescent="0.3">
      <c r="C239" s="92" t="s">
        <v>195</v>
      </c>
    </row>
    <row r="240" spans="3:13" ht="12.75" hidden="1" customHeight="1" outlineLevel="2" x14ac:dyDescent="0.3">
      <c r="C240" s="479" t="s">
        <v>417</v>
      </c>
      <c r="D240" s="480"/>
      <c r="E240" s="480"/>
      <c r="F240" s="480"/>
      <c r="G240" s="480"/>
      <c r="H240" s="480"/>
      <c r="I240" s="480"/>
      <c r="J240" s="480"/>
      <c r="K240" s="480"/>
      <c r="L240" s="480"/>
      <c r="M240" s="481"/>
    </row>
    <row r="241" spans="1:13" hidden="1" outlineLevel="2" x14ac:dyDescent="0.3">
      <c r="C241" s="482"/>
      <c r="D241" s="483"/>
      <c r="E241" s="483"/>
      <c r="F241" s="483"/>
      <c r="G241" s="483"/>
      <c r="H241" s="483"/>
      <c r="I241" s="483"/>
      <c r="J241" s="483"/>
      <c r="K241" s="483"/>
      <c r="L241" s="483"/>
      <c r="M241" s="484"/>
    </row>
    <row r="242" spans="1:13" hidden="1" outlineLevel="2" x14ac:dyDescent="0.3">
      <c r="C242" s="482"/>
      <c r="D242" s="483"/>
      <c r="E242" s="483"/>
      <c r="F242" s="483"/>
      <c r="G242" s="483"/>
      <c r="H242" s="483"/>
      <c r="I242" s="483"/>
      <c r="J242" s="483"/>
      <c r="K242" s="483"/>
      <c r="L242" s="483"/>
      <c r="M242" s="484"/>
    </row>
    <row r="243" spans="1:13" hidden="1" outlineLevel="2" x14ac:dyDescent="0.3">
      <c r="C243" s="482"/>
      <c r="D243" s="483"/>
      <c r="E243" s="483"/>
      <c r="F243" s="483"/>
      <c r="G243" s="483"/>
      <c r="H243" s="483"/>
      <c r="I243" s="483"/>
      <c r="J243" s="483"/>
      <c r="K243" s="483"/>
      <c r="L243" s="483"/>
      <c r="M243" s="484"/>
    </row>
    <row r="244" spans="1:13" hidden="1" outlineLevel="2" x14ac:dyDescent="0.3">
      <c r="C244" s="482"/>
      <c r="D244" s="483"/>
      <c r="E244" s="483"/>
      <c r="F244" s="483"/>
      <c r="G244" s="483"/>
      <c r="H244" s="483"/>
      <c r="I244" s="483"/>
      <c r="J244" s="483"/>
      <c r="K244" s="483"/>
      <c r="L244" s="483"/>
      <c r="M244" s="484"/>
    </row>
    <row r="245" spans="1:13" hidden="1" outlineLevel="2" x14ac:dyDescent="0.3">
      <c r="C245" s="485"/>
      <c r="D245" s="486"/>
      <c r="E245" s="486"/>
      <c r="F245" s="486"/>
      <c r="G245" s="486"/>
      <c r="H245" s="486"/>
      <c r="I245" s="486"/>
      <c r="J245" s="486"/>
      <c r="K245" s="486"/>
      <c r="L245" s="486"/>
      <c r="M245" s="487"/>
    </row>
    <row r="246" spans="1:13" hidden="1" outlineLevel="2" x14ac:dyDescent="0.3"/>
    <row r="247" spans="1:13" hidden="1" outlineLevel="2" x14ac:dyDescent="0.3"/>
    <row r="248" spans="1:13" hidden="1" outlineLevel="2" x14ac:dyDescent="0.3">
      <c r="A248" s="16"/>
      <c r="B248" s="16" t="s">
        <v>0</v>
      </c>
      <c r="C248" s="201" t="str">
        <f>++"Subordinated DD Notes ("&amp;TEXT(E254/1000,"$#,##0.0")&amp;"MM)"</f>
        <v>Subordinated DD Notes ($0.0MM)</v>
      </c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</row>
    <row r="249" spans="1:13" ht="5.15" hidden="1" customHeight="1" outlineLevel="2" x14ac:dyDescent="0.3"/>
    <row r="250" spans="1:13" hidden="1" outlineLevel="2" x14ac:dyDescent="0.3">
      <c r="C250" s="1" t="s">
        <v>161</v>
      </c>
      <c r="E250" s="75">
        <v>45838</v>
      </c>
      <c r="G250" s="1" t="s">
        <v>167</v>
      </c>
      <c r="I250" s="76">
        <v>0</v>
      </c>
      <c r="K250" s="1" t="s">
        <v>192</v>
      </c>
      <c r="M250" s="77" t="s">
        <v>205</v>
      </c>
    </row>
    <row r="251" spans="1:13" hidden="1" outlineLevel="2" x14ac:dyDescent="0.3">
      <c r="C251" s="1" t="s">
        <v>162</v>
      </c>
      <c r="E251" s="75">
        <f>++EDATE(E250,12*5)</f>
        <v>47664</v>
      </c>
      <c r="G251" s="1" t="s">
        <v>166</v>
      </c>
      <c r="I251" s="76">
        <v>0</v>
      </c>
      <c r="K251" s="1" t="s">
        <v>193</v>
      </c>
      <c r="M251" s="77" t="s">
        <v>203</v>
      </c>
    </row>
    <row r="252" spans="1:13" hidden="1" outlineLevel="2" x14ac:dyDescent="0.3">
      <c r="C252" s="1" t="s">
        <v>163</v>
      </c>
      <c r="E252" s="78">
        <f>++IFERROR(YEARFRAC(E250,E251,1),"n/a")</f>
        <v>5.0004564125969875</v>
      </c>
      <c r="G252" s="1" t="s">
        <v>165</v>
      </c>
      <c r="I252" s="76">
        <v>0</v>
      </c>
      <c r="K252" s="1" t="s">
        <v>173</v>
      </c>
      <c r="M252" s="77" t="str">
        <f>++IF(M250="Floating","Term SOFR","n/a")</f>
        <v>n/a</v>
      </c>
    </row>
    <row r="253" spans="1:13" hidden="1" outlineLevel="2" x14ac:dyDescent="0.3">
      <c r="E253" s="79"/>
      <c r="G253" s="1" t="s">
        <v>168</v>
      </c>
      <c r="I253" s="76">
        <v>0</v>
      </c>
      <c r="K253" s="1" t="s">
        <v>174</v>
      </c>
      <c r="M253" s="76" t="s">
        <v>47</v>
      </c>
    </row>
    <row r="254" spans="1:13" hidden="1" outlineLevel="2" x14ac:dyDescent="0.3">
      <c r="C254" s="1" t="s">
        <v>159</v>
      </c>
      <c r="E254" s="77">
        <v>0</v>
      </c>
      <c r="G254" s="1" t="s">
        <v>164</v>
      </c>
      <c r="I254" s="77">
        <v>0</v>
      </c>
      <c r="K254" s="1" t="s">
        <v>186</v>
      </c>
      <c r="M254" s="76" t="s">
        <v>47</v>
      </c>
    </row>
    <row r="255" spans="1:13" hidden="1" outlineLevel="2" x14ac:dyDescent="0.3">
      <c r="C255" s="1" t="s">
        <v>429</v>
      </c>
      <c r="E255" s="77">
        <v>0</v>
      </c>
      <c r="I255" s="79"/>
      <c r="K255" s="1" t="s">
        <v>185</v>
      </c>
      <c r="M255" s="76" t="s">
        <v>47</v>
      </c>
    </row>
    <row r="256" spans="1:13" hidden="1" outlineLevel="2" x14ac:dyDescent="0.3">
      <c r="C256" s="1" t="s">
        <v>430</v>
      </c>
      <c r="E256" s="77">
        <f>++E255</f>
        <v>0</v>
      </c>
      <c r="G256" s="1" t="s">
        <v>169</v>
      </c>
      <c r="I256" s="76" t="s">
        <v>47</v>
      </c>
      <c r="K256" s="1" t="s">
        <v>184</v>
      </c>
      <c r="M256" s="76" t="s">
        <v>47</v>
      </c>
    </row>
    <row r="257" spans="3:13" hidden="1" outlineLevel="2" x14ac:dyDescent="0.3">
      <c r="C257" s="80" t="s">
        <v>160</v>
      </c>
      <c r="E257" s="81" t="str">
        <f>++IFERROR(E256/E254,"n/a")</f>
        <v>n/a</v>
      </c>
      <c r="G257" s="1" t="s">
        <v>170</v>
      </c>
      <c r="I257" s="82" t="str">
        <f>++IFERROR(E254*I256/4,"n/a")</f>
        <v>n/a</v>
      </c>
      <c r="K257" s="1" t="s">
        <v>175</v>
      </c>
      <c r="M257" s="76" t="s">
        <v>47</v>
      </c>
    </row>
    <row r="258" spans="3:13" hidden="1" outlineLevel="2" x14ac:dyDescent="0.3">
      <c r="K258" s="1" t="s">
        <v>343</v>
      </c>
      <c r="M258" s="76">
        <v>0</v>
      </c>
    </row>
    <row r="259" spans="3:13" hidden="1" outlineLevel="2" x14ac:dyDescent="0.3"/>
    <row r="260" spans="3:13" ht="14.5" hidden="1" outlineLevel="2" x14ac:dyDescent="0.45">
      <c r="C260" s="26" t="s">
        <v>179</v>
      </c>
      <c r="D260" s="26"/>
      <c r="E260" s="26"/>
      <c r="F260" s="26"/>
      <c r="G260" s="26"/>
      <c r="H260" s="26"/>
      <c r="I260" s="26"/>
    </row>
    <row r="261" spans="3:13" ht="14.5" hidden="1" outlineLevel="2" x14ac:dyDescent="0.45">
      <c r="F261" s="26" t="s">
        <v>178</v>
      </c>
      <c r="G261" s="26"/>
      <c r="H261" s="26" t="s">
        <v>180</v>
      </c>
      <c r="I261" s="26"/>
      <c r="K261" s="26" t="s">
        <v>182</v>
      </c>
      <c r="L261" s="26"/>
      <c r="M261" s="26"/>
    </row>
    <row r="262" spans="3:13" ht="14.5" hidden="1" outlineLevel="2" x14ac:dyDescent="0.45">
      <c r="C262" s="26" t="s">
        <v>176</v>
      </c>
      <c r="D262" s="26"/>
      <c r="E262" s="30" t="s">
        <v>177</v>
      </c>
      <c r="F262" s="30" t="str">
        <f>++M252</f>
        <v>n/a</v>
      </c>
      <c r="G262" s="30" t="str">
        <f>++IF(F262="n/a","n/a","ABR")</f>
        <v>n/a</v>
      </c>
      <c r="H262" s="30" t="s">
        <v>111</v>
      </c>
      <c r="I262" s="30" t="s">
        <v>181</v>
      </c>
      <c r="K262" s="30" t="s">
        <v>143</v>
      </c>
      <c r="L262" s="30" t="s">
        <v>98</v>
      </c>
      <c r="M262" s="30" t="s">
        <v>191</v>
      </c>
    </row>
    <row r="263" spans="3:13" hidden="1" outlineLevel="2" x14ac:dyDescent="0.3">
      <c r="C263" s="84" t="s">
        <v>63</v>
      </c>
      <c r="D263" s="445"/>
      <c r="E263" s="85">
        <v>7</v>
      </c>
      <c r="F263" s="76" t="str">
        <f>++IFERROR(F264+0.25%,"n/a")</f>
        <v>n/a</v>
      </c>
      <c r="G263" s="76" t="str">
        <f>++IFERROR(F263-1%,"n/a")</f>
        <v>n/a</v>
      </c>
      <c r="H263" s="76">
        <f>++IFERROR(H264+0.25%,"n/a")</f>
        <v>2.5000000000000001E-3</v>
      </c>
      <c r="I263" s="76" t="s">
        <v>47</v>
      </c>
      <c r="K263" s="86" t="s">
        <v>183</v>
      </c>
      <c r="L263" s="87">
        <f>++EDATE(E250,6)</f>
        <v>46021</v>
      </c>
      <c r="M263" s="88" t="s">
        <v>47</v>
      </c>
    </row>
    <row r="264" spans="3:13" hidden="1" outlineLevel="2" x14ac:dyDescent="0.3">
      <c r="C264" s="1" t="str">
        <f>++C263</f>
        <v>Total Net Leverage</v>
      </c>
      <c r="E264" s="85">
        <f>++E263-0.5</f>
        <v>6.5</v>
      </c>
      <c r="F264" s="89" t="str">
        <f>++M257</f>
        <v>n/a</v>
      </c>
      <c r="G264" s="76" t="str">
        <f t="shared" ref="G264:G267" si="39">++IFERROR(F264-1%,"n/a")</f>
        <v>n/a</v>
      </c>
      <c r="H264" s="89">
        <f>++M258</f>
        <v>0</v>
      </c>
      <c r="I264" s="76" t="s">
        <v>47</v>
      </c>
      <c r="K264" s="90" t="s">
        <v>187</v>
      </c>
      <c r="L264" s="87">
        <f>++EDATE(E250,12)</f>
        <v>46203</v>
      </c>
      <c r="M264" s="88">
        <v>102</v>
      </c>
    </row>
    <row r="265" spans="3:13" hidden="1" outlineLevel="2" x14ac:dyDescent="0.3">
      <c r="C265" s="1" t="str">
        <f t="shared" ref="C265:C267" si="40">++C264</f>
        <v>Total Net Leverage</v>
      </c>
      <c r="E265" s="85">
        <f t="shared" ref="E265:E266" si="41">++E264-0.5</f>
        <v>6</v>
      </c>
      <c r="F265" s="76" t="str">
        <f>++IFERROR(F264-0.25%,"n/a")</f>
        <v>n/a</v>
      </c>
      <c r="G265" s="76" t="str">
        <f t="shared" si="39"/>
        <v>n/a</v>
      </c>
      <c r="H265" s="76">
        <f>++IFERROR(H264-0.25%,"n/a")</f>
        <v>-2.5000000000000001E-3</v>
      </c>
      <c r="I265" s="76" t="s">
        <v>47</v>
      </c>
      <c r="K265" s="90" t="s">
        <v>188</v>
      </c>
      <c r="L265" s="87">
        <f>++EDATE(E250,2*12)</f>
        <v>46568</v>
      </c>
      <c r="M265" s="88">
        <v>101</v>
      </c>
    </row>
    <row r="266" spans="3:13" hidden="1" outlineLevel="2" x14ac:dyDescent="0.3">
      <c r="C266" s="1" t="str">
        <f t="shared" si="40"/>
        <v>Total Net Leverage</v>
      </c>
      <c r="E266" s="85">
        <f t="shared" si="41"/>
        <v>5.5</v>
      </c>
      <c r="F266" s="76" t="str">
        <f t="shared" ref="F266:F267" si="42">++IFERROR(F265-0.25%,"n/a")</f>
        <v>n/a</v>
      </c>
      <c r="G266" s="76" t="str">
        <f t="shared" si="39"/>
        <v>n/a</v>
      </c>
      <c r="H266" s="76">
        <f t="shared" ref="H266:H267" si="43">++IFERROR(H265-0.25%,"n/a")</f>
        <v>-5.0000000000000001E-3</v>
      </c>
      <c r="I266" s="76" t="s">
        <v>47</v>
      </c>
      <c r="K266" s="90" t="s">
        <v>189</v>
      </c>
      <c r="L266" s="87">
        <f>++EDATE(E250,3*12)</f>
        <v>46934</v>
      </c>
      <c r="M266" s="88">
        <v>100</v>
      </c>
    </row>
    <row r="267" spans="3:13" hidden="1" outlineLevel="2" x14ac:dyDescent="0.3">
      <c r="C267" s="1" t="str">
        <f t="shared" si="40"/>
        <v>Total Net Leverage</v>
      </c>
      <c r="E267" s="91">
        <f>++E266</f>
        <v>5.5</v>
      </c>
      <c r="F267" s="76" t="str">
        <f t="shared" si="42"/>
        <v>n/a</v>
      </c>
      <c r="G267" s="76" t="str">
        <f t="shared" si="39"/>
        <v>n/a</v>
      </c>
      <c r="H267" s="76">
        <f t="shared" si="43"/>
        <v>-7.4999999999999997E-3</v>
      </c>
      <c r="I267" s="76" t="s">
        <v>47</v>
      </c>
      <c r="K267" s="90" t="s">
        <v>190</v>
      </c>
      <c r="L267" s="87">
        <f>++EDATE(E250,4*12)</f>
        <v>47299</v>
      </c>
      <c r="M267" s="88">
        <v>100</v>
      </c>
    </row>
    <row r="268" spans="3:13" hidden="1" outlineLevel="2" x14ac:dyDescent="0.3"/>
    <row r="269" spans="3:13" hidden="1" outlineLevel="2" x14ac:dyDescent="0.3">
      <c r="C269" s="92" t="s">
        <v>195</v>
      </c>
    </row>
    <row r="270" spans="3:13" ht="12.75" hidden="1" customHeight="1" outlineLevel="2" x14ac:dyDescent="0.3">
      <c r="C270" s="479" t="s">
        <v>417</v>
      </c>
      <c r="D270" s="480"/>
      <c r="E270" s="480"/>
      <c r="F270" s="480"/>
      <c r="G270" s="480"/>
      <c r="H270" s="480"/>
      <c r="I270" s="480"/>
      <c r="J270" s="480"/>
      <c r="K270" s="480"/>
      <c r="L270" s="480"/>
      <c r="M270" s="481"/>
    </row>
    <row r="271" spans="3:13" hidden="1" outlineLevel="2" x14ac:dyDescent="0.3">
      <c r="C271" s="482"/>
      <c r="D271" s="483"/>
      <c r="E271" s="483"/>
      <c r="F271" s="483"/>
      <c r="G271" s="483"/>
      <c r="H271" s="483"/>
      <c r="I271" s="483"/>
      <c r="J271" s="483"/>
      <c r="K271" s="483"/>
      <c r="L271" s="483"/>
      <c r="M271" s="484"/>
    </row>
    <row r="272" spans="3:13" hidden="1" outlineLevel="2" x14ac:dyDescent="0.3">
      <c r="C272" s="482"/>
      <c r="D272" s="483"/>
      <c r="E272" s="483"/>
      <c r="F272" s="483"/>
      <c r="G272" s="483"/>
      <c r="H272" s="483"/>
      <c r="I272" s="483"/>
      <c r="J272" s="483"/>
      <c r="K272" s="483"/>
      <c r="L272" s="483"/>
      <c r="M272" s="484"/>
    </row>
    <row r="273" spans="1:13" hidden="1" outlineLevel="2" x14ac:dyDescent="0.3">
      <c r="C273" s="482"/>
      <c r="D273" s="483"/>
      <c r="E273" s="483"/>
      <c r="F273" s="483"/>
      <c r="G273" s="483"/>
      <c r="H273" s="483"/>
      <c r="I273" s="483"/>
      <c r="J273" s="483"/>
      <c r="K273" s="483"/>
      <c r="L273" s="483"/>
      <c r="M273" s="484"/>
    </row>
    <row r="274" spans="1:13" hidden="1" outlineLevel="2" x14ac:dyDescent="0.3">
      <c r="C274" s="482"/>
      <c r="D274" s="483"/>
      <c r="E274" s="483"/>
      <c r="F274" s="483"/>
      <c r="G274" s="483"/>
      <c r="H274" s="483"/>
      <c r="I274" s="483"/>
      <c r="J274" s="483"/>
      <c r="K274" s="483"/>
      <c r="L274" s="483"/>
      <c r="M274" s="484"/>
    </row>
    <row r="275" spans="1:13" hidden="1" outlineLevel="2" x14ac:dyDescent="0.3">
      <c r="C275" s="485"/>
      <c r="D275" s="486"/>
      <c r="E275" s="486"/>
      <c r="F275" s="486"/>
      <c r="G275" s="486"/>
      <c r="H275" s="486"/>
      <c r="I275" s="486"/>
      <c r="J275" s="486"/>
      <c r="K275" s="486"/>
      <c r="L275" s="486"/>
      <c r="M275" s="487"/>
    </row>
    <row r="276" spans="1:13" hidden="1" outlineLevel="2" x14ac:dyDescent="0.3"/>
    <row r="277" spans="1:13" hidden="1" outlineLevel="2" x14ac:dyDescent="0.3"/>
    <row r="278" spans="1:13" hidden="1" outlineLevel="2" x14ac:dyDescent="0.3">
      <c r="A278" s="16"/>
      <c r="B278" s="16" t="s">
        <v>0</v>
      </c>
      <c r="C278" s="201" t="s">
        <v>55</v>
      </c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</row>
    <row r="279" spans="1:13" ht="5.15" hidden="1" customHeight="1" outlineLevel="2" x14ac:dyDescent="0.3"/>
    <row r="280" spans="1:13" hidden="1" outlineLevel="2" x14ac:dyDescent="0.3">
      <c r="C280" s="1" t="s">
        <v>161</v>
      </c>
      <c r="E280" s="75">
        <v>45838</v>
      </c>
      <c r="G280" s="1" t="s">
        <v>167</v>
      </c>
      <c r="I280" s="76">
        <v>0</v>
      </c>
      <c r="K280" s="1" t="s">
        <v>192</v>
      </c>
      <c r="M280" s="77" t="s">
        <v>205</v>
      </c>
    </row>
    <row r="281" spans="1:13" hidden="1" outlineLevel="2" x14ac:dyDescent="0.3">
      <c r="C281" s="1" t="s">
        <v>162</v>
      </c>
      <c r="E281" s="75">
        <f>++EDATE(E280,12*5)</f>
        <v>47664</v>
      </c>
      <c r="G281" s="1" t="s">
        <v>166</v>
      </c>
      <c r="I281" s="76">
        <v>0</v>
      </c>
      <c r="K281" s="1" t="s">
        <v>193</v>
      </c>
      <c r="M281" s="77" t="s">
        <v>203</v>
      </c>
    </row>
    <row r="282" spans="1:13" hidden="1" outlineLevel="2" x14ac:dyDescent="0.3">
      <c r="C282" s="1" t="s">
        <v>163</v>
      </c>
      <c r="E282" s="78">
        <f>++IFERROR(YEARFRAC(E280,E281,1),"n/a")</f>
        <v>5.0004564125969875</v>
      </c>
      <c r="G282" s="1" t="s">
        <v>165</v>
      </c>
      <c r="I282" s="76">
        <v>0</v>
      </c>
      <c r="K282" s="1" t="s">
        <v>173</v>
      </c>
      <c r="M282" s="77" t="str">
        <f>++IF(M280="Floating","Term SOFR","n/a")</f>
        <v>n/a</v>
      </c>
    </row>
    <row r="283" spans="1:13" hidden="1" outlineLevel="2" x14ac:dyDescent="0.3">
      <c r="E283" s="79"/>
      <c r="G283" s="1" t="s">
        <v>168</v>
      </c>
      <c r="I283" s="76">
        <v>0</v>
      </c>
      <c r="K283" s="1" t="s">
        <v>174</v>
      </c>
      <c r="M283" s="76" t="s">
        <v>47</v>
      </c>
    </row>
    <row r="284" spans="1:13" hidden="1" outlineLevel="2" x14ac:dyDescent="0.3">
      <c r="C284" s="1" t="s">
        <v>159</v>
      </c>
      <c r="E284" s="77">
        <v>0</v>
      </c>
      <c r="G284" s="1" t="s">
        <v>164</v>
      </c>
      <c r="I284" s="77">
        <v>0</v>
      </c>
      <c r="K284" s="1" t="s">
        <v>186</v>
      </c>
      <c r="M284" s="76" t="s">
        <v>47</v>
      </c>
    </row>
    <row r="285" spans="1:13" hidden="1" outlineLevel="2" x14ac:dyDescent="0.3">
      <c r="C285" s="1" t="s">
        <v>429</v>
      </c>
      <c r="E285" s="77">
        <v>0</v>
      </c>
      <c r="I285" s="79"/>
      <c r="K285" s="1" t="s">
        <v>185</v>
      </c>
      <c r="M285" s="76" t="s">
        <v>47</v>
      </c>
    </row>
    <row r="286" spans="1:13" hidden="1" outlineLevel="2" x14ac:dyDescent="0.3">
      <c r="C286" s="1" t="s">
        <v>430</v>
      </c>
      <c r="E286" s="77">
        <f>++E285</f>
        <v>0</v>
      </c>
      <c r="G286" s="1" t="s">
        <v>169</v>
      </c>
      <c r="I286" s="76" t="s">
        <v>47</v>
      </c>
      <c r="K286" s="1" t="s">
        <v>184</v>
      </c>
      <c r="M286" s="76" t="s">
        <v>47</v>
      </c>
    </row>
    <row r="287" spans="1:13" hidden="1" outlineLevel="2" x14ac:dyDescent="0.3">
      <c r="C287" s="80" t="s">
        <v>160</v>
      </c>
      <c r="E287" s="81" t="str">
        <f>++IFERROR(E286/E284,"n/a")</f>
        <v>n/a</v>
      </c>
      <c r="G287" s="1" t="s">
        <v>170</v>
      </c>
      <c r="I287" s="82" t="str">
        <f>++IFERROR(E284*I286/4,"n/a")</f>
        <v>n/a</v>
      </c>
      <c r="K287" s="1" t="s">
        <v>175</v>
      </c>
      <c r="M287" s="76" t="s">
        <v>47</v>
      </c>
    </row>
    <row r="288" spans="1:13" hidden="1" outlineLevel="2" x14ac:dyDescent="0.3">
      <c r="K288" s="1" t="s">
        <v>343</v>
      </c>
      <c r="M288" s="76">
        <v>0</v>
      </c>
    </row>
    <row r="289" spans="3:13" hidden="1" outlineLevel="2" x14ac:dyDescent="0.3"/>
    <row r="290" spans="3:13" ht="14.5" hidden="1" outlineLevel="2" x14ac:dyDescent="0.45">
      <c r="C290" s="26" t="s">
        <v>179</v>
      </c>
      <c r="D290" s="26"/>
      <c r="E290" s="26"/>
      <c r="F290" s="26"/>
      <c r="G290" s="26"/>
      <c r="H290" s="26"/>
      <c r="I290" s="26"/>
    </row>
    <row r="291" spans="3:13" ht="14.5" hidden="1" outlineLevel="2" x14ac:dyDescent="0.45">
      <c r="F291" s="26" t="s">
        <v>178</v>
      </c>
      <c r="G291" s="26"/>
      <c r="H291" s="26" t="s">
        <v>180</v>
      </c>
      <c r="I291" s="26"/>
      <c r="K291" s="26" t="s">
        <v>182</v>
      </c>
      <c r="L291" s="26"/>
      <c r="M291" s="26"/>
    </row>
    <row r="292" spans="3:13" ht="14.5" hidden="1" outlineLevel="2" x14ac:dyDescent="0.45">
      <c r="C292" s="26" t="s">
        <v>176</v>
      </c>
      <c r="D292" s="26"/>
      <c r="E292" s="30" t="s">
        <v>177</v>
      </c>
      <c r="F292" s="30" t="str">
        <f>++M282</f>
        <v>n/a</v>
      </c>
      <c r="G292" s="30" t="str">
        <f>++IF(F292="n/a","n/a","ABR")</f>
        <v>n/a</v>
      </c>
      <c r="H292" s="30" t="s">
        <v>111</v>
      </c>
      <c r="I292" s="30" t="s">
        <v>181</v>
      </c>
      <c r="K292" s="30" t="s">
        <v>143</v>
      </c>
      <c r="L292" s="30" t="s">
        <v>98</v>
      </c>
      <c r="M292" s="30" t="s">
        <v>191</v>
      </c>
    </row>
    <row r="293" spans="3:13" hidden="1" outlineLevel="2" x14ac:dyDescent="0.3">
      <c r="C293" s="84" t="s">
        <v>63</v>
      </c>
      <c r="D293" s="445"/>
      <c r="E293" s="85">
        <v>7</v>
      </c>
      <c r="F293" s="76" t="str">
        <f>++IFERROR(F294+0.25%,"n/a")</f>
        <v>n/a</v>
      </c>
      <c r="G293" s="76" t="str">
        <f>++IFERROR(F293-1%,"n/a")</f>
        <v>n/a</v>
      </c>
      <c r="H293" s="76">
        <f>++IFERROR(H294+0.25%,"n/a")</f>
        <v>2.5000000000000001E-3</v>
      </c>
      <c r="I293" s="76" t="s">
        <v>47</v>
      </c>
      <c r="K293" s="86" t="s">
        <v>183</v>
      </c>
      <c r="L293" s="87">
        <f>++EDATE(E280,6)</f>
        <v>46021</v>
      </c>
      <c r="M293" s="88" t="s">
        <v>47</v>
      </c>
    </row>
    <row r="294" spans="3:13" hidden="1" outlineLevel="2" x14ac:dyDescent="0.3">
      <c r="C294" s="1" t="str">
        <f>++C293</f>
        <v>Total Net Leverage</v>
      </c>
      <c r="E294" s="85">
        <f>++E293-0.5</f>
        <v>6.5</v>
      </c>
      <c r="F294" s="89" t="str">
        <f>++M287</f>
        <v>n/a</v>
      </c>
      <c r="G294" s="76" t="str">
        <f t="shared" ref="G294:G297" si="44">++IFERROR(F294-1%,"n/a")</f>
        <v>n/a</v>
      </c>
      <c r="H294" s="89">
        <f>++M288</f>
        <v>0</v>
      </c>
      <c r="I294" s="76" t="s">
        <v>47</v>
      </c>
      <c r="K294" s="90" t="s">
        <v>187</v>
      </c>
      <c r="L294" s="87">
        <f>++EDATE(E280,12)</f>
        <v>46203</v>
      </c>
      <c r="M294" s="88">
        <v>102</v>
      </c>
    </row>
    <row r="295" spans="3:13" hidden="1" outlineLevel="2" x14ac:dyDescent="0.3">
      <c r="C295" s="1" t="str">
        <f t="shared" ref="C295:C297" si="45">++C294</f>
        <v>Total Net Leverage</v>
      </c>
      <c r="E295" s="85">
        <f t="shared" ref="E295:E296" si="46">++E294-0.5</f>
        <v>6</v>
      </c>
      <c r="F295" s="76" t="str">
        <f>++IFERROR(F294-0.25%,"n/a")</f>
        <v>n/a</v>
      </c>
      <c r="G295" s="76" t="str">
        <f t="shared" si="44"/>
        <v>n/a</v>
      </c>
      <c r="H295" s="76">
        <f>++IFERROR(H294-0.25%,"n/a")</f>
        <v>-2.5000000000000001E-3</v>
      </c>
      <c r="I295" s="76" t="s">
        <v>47</v>
      </c>
      <c r="K295" s="90" t="s">
        <v>188</v>
      </c>
      <c r="L295" s="87">
        <f>++EDATE(E280,2*12)</f>
        <v>46568</v>
      </c>
      <c r="M295" s="88">
        <v>101</v>
      </c>
    </row>
    <row r="296" spans="3:13" hidden="1" outlineLevel="2" x14ac:dyDescent="0.3">
      <c r="C296" s="1" t="str">
        <f t="shared" si="45"/>
        <v>Total Net Leverage</v>
      </c>
      <c r="E296" s="85">
        <f t="shared" si="46"/>
        <v>5.5</v>
      </c>
      <c r="F296" s="76" t="str">
        <f t="shared" ref="F296:F297" si="47">++IFERROR(F295-0.25%,"n/a")</f>
        <v>n/a</v>
      </c>
      <c r="G296" s="76" t="str">
        <f t="shared" si="44"/>
        <v>n/a</v>
      </c>
      <c r="H296" s="76">
        <f t="shared" ref="H296:H297" si="48">++IFERROR(H295-0.25%,"n/a")</f>
        <v>-5.0000000000000001E-3</v>
      </c>
      <c r="I296" s="76" t="s">
        <v>47</v>
      </c>
      <c r="K296" s="90" t="s">
        <v>189</v>
      </c>
      <c r="L296" s="87">
        <f>++EDATE(E280,3*12)</f>
        <v>46934</v>
      </c>
      <c r="M296" s="88">
        <v>100</v>
      </c>
    </row>
    <row r="297" spans="3:13" hidden="1" outlineLevel="2" x14ac:dyDescent="0.3">
      <c r="C297" s="1" t="str">
        <f t="shared" si="45"/>
        <v>Total Net Leverage</v>
      </c>
      <c r="E297" s="91">
        <f>++E296</f>
        <v>5.5</v>
      </c>
      <c r="F297" s="76" t="str">
        <f t="shared" si="47"/>
        <v>n/a</v>
      </c>
      <c r="G297" s="76" t="str">
        <f t="shared" si="44"/>
        <v>n/a</v>
      </c>
      <c r="H297" s="76">
        <f t="shared" si="48"/>
        <v>-7.4999999999999997E-3</v>
      </c>
      <c r="I297" s="76" t="s">
        <v>47</v>
      </c>
      <c r="K297" s="90" t="s">
        <v>190</v>
      </c>
      <c r="L297" s="87">
        <f>++EDATE(E280,4*12)</f>
        <v>47299</v>
      </c>
      <c r="M297" s="88">
        <v>100</v>
      </c>
    </row>
    <row r="298" spans="3:13" hidden="1" outlineLevel="2" x14ac:dyDescent="0.3"/>
    <row r="299" spans="3:13" hidden="1" outlineLevel="2" x14ac:dyDescent="0.3">
      <c r="C299" s="92" t="s">
        <v>195</v>
      </c>
    </row>
    <row r="300" spans="3:13" ht="12.75" hidden="1" customHeight="1" outlineLevel="2" x14ac:dyDescent="0.3">
      <c r="C300" s="479" t="s">
        <v>417</v>
      </c>
      <c r="D300" s="480"/>
      <c r="E300" s="480"/>
      <c r="F300" s="480"/>
      <c r="G300" s="480"/>
      <c r="H300" s="480"/>
      <c r="I300" s="480"/>
      <c r="J300" s="480"/>
      <c r="K300" s="480"/>
      <c r="L300" s="480"/>
      <c r="M300" s="481"/>
    </row>
    <row r="301" spans="3:13" hidden="1" outlineLevel="2" x14ac:dyDescent="0.3">
      <c r="C301" s="482"/>
      <c r="D301" s="483"/>
      <c r="E301" s="483"/>
      <c r="F301" s="483"/>
      <c r="G301" s="483"/>
      <c r="H301" s="483"/>
      <c r="I301" s="483"/>
      <c r="J301" s="483"/>
      <c r="K301" s="483"/>
      <c r="L301" s="483"/>
      <c r="M301" s="484"/>
    </row>
    <row r="302" spans="3:13" hidden="1" outlineLevel="2" x14ac:dyDescent="0.3">
      <c r="C302" s="482"/>
      <c r="D302" s="483"/>
      <c r="E302" s="483"/>
      <c r="F302" s="483"/>
      <c r="G302" s="483"/>
      <c r="H302" s="483"/>
      <c r="I302" s="483"/>
      <c r="J302" s="483"/>
      <c r="K302" s="483"/>
      <c r="L302" s="483"/>
      <c r="M302" s="484"/>
    </row>
    <row r="303" spans="3:13" hidden="1" outlineLevel="2" x14ac:dyDescent="0.3">
      <c r="C303" s="482"/>
      <c r="D303" s="483"/>
      <c r="E303" s="483"/>
      <c r="F303" s="483"/>
      <c r="G303" s="483"/>
      <c r="H303" s="483"/>
      <c r="I303" s="483"/>
      <c r="J303" s="483"/>
      <c r="K303" s="483"/>
      <c r="L303" s="483"/>
      <c r="M303" s="484"/>
    </row>
    <row r="304" spans="3:13" hidden="1" outlineLevel="2" x14ac:dyDescent="0.3">
      <c r="C304" s="482"/>
      <c r="D304" s="483"/>
      <c r="E304" s="483"/>
      <c r="F304" s="483"/>
      <c r="G304" s="483"/>
      <c r="H304" s="483"/>
      <c r="I304" s="483"/>
      <c r="J304" s="483"/>
      <c r="K304" s="483"/>
      <c r="L304" s="483"/>
      <c r="M304" s="484"/>
    </row>
    <row r="305" spans="1:13" hidden="1" outlineLevel="2" x14ac:dyDescent="0.3">
      <c r="C305" s="485"/>
      <c r="D305" s="486"/>
      <c r="E305" s="486"/>
      <c r="F305" s="486"/>
      <c r="G305" s="486"/>
      <c r="H305" s="486"/>
      <c r="I305" s="486"/>
      <c r="J305" s="486"/>
      <c r="K305" s="486"/>
      <c r="L305" s="486"/>
      <c r="M305" s="487"/>
    </row>
    <row r="306" spans="1:13" hidden="1" outlineLevel="2" x14ac:dyDescent="0.3"/>
    <row r="307" spans="1:13" hidden="1" outlineLevel="2" x14ac:dyDescent="0.3"/>
    <row r="308" spans="1:13" hidden="1" outlineLevel="2" x14ac:dyDescent="0.3">
      <c r="A308" s="16"/>
      <c r="B308" s="16" t="s">
        <v>0</v>
      </c>
      <c r="C308" s="201" t="str">
        <f>++"HoldCo DD Notes ("&amp;TEXT(E314/1000,"$#,##0.0")&amp;"MM)"</f>
        <v>HoldCo DD Notes ($0.0MM)</v>
      </c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</row>
    <row r="309" spans="1:13" ht="5.15" hidden="1" customHeight="1" outlineLevel="2" x14ac:dyDescent="0.3"/>
    <row r="310" spans="1:13" hidden="1" outlineLevel="2" x14ac:dyDescent="0.3">
      <c r="C310" s="1" t="s">
        <v>161</v>
      </c>
      <c r="E310" s="75">
        <v>45838</v>
      </c>
      <c r="G310" s="1" t="s">
        <v>167</v>
      </c>
      <c r="I310" s="76">
        <v>0</v>
      </c>
      <c r="K310" s="1" t="s">
        <v>192</v>
      </c>
      <c r="M310" s="77" t="s">
        <v>205</v>
      </c>
    </row>
    <row r="311" spans="1:13" hidden="1" outlineLevel="2" x14ac:dyDescent="0.3">
      <c r="C311" s="1" t="s">
        <v>162</v>
      </c>
      <c r="E311" s="75">
        <f>++EDATE(E310,12*5)</f>
        <v>47664</v>
      </c>
      <c r="G311" s="1" t="s">
        <v>166</v>
      </c>
      <c r="I311" s="76">
        <v>0</v>
      </c>
      <c r="K311" s="1" t="s">
        <v>193</v>
      </c>
      <c r="M311" s="77" t="s">
        <v>203</v>
      </c>
    </row>
    <row r="312" spans="1:13" hidden="1" outlineLevel="2" x14ac:dyDescent="0.3">
      <c r="C312" s="1" t="s">
        <v>163</v>
      </c>
      <c r="E312" s="78">
        <f>++IFERROR(YEARFRAC(E310,E311,1),"n/a")</f>
        <v>5.0004564125969875</v>
      </c>
      <c r="G312" s="1" t="s">
        <v>165</v>
      </c>
      <c r="I312" s="76">
        <v>0</v>
      </c>
      <c r="K312" s="1" t="s">
        <v>173</v>
      </c>
      <c r="M312" s="77" t="str">
        <f>++IF(M310="Floating","Term SOFR","n/a")</f>
        <v>n/a</v>
      </c>
    </row>
    <row r="313" spans="1:13" hidden="1" outlineLevel="2" x14ac:dyDescent="0.3">
      <c r="E313" s="79"/>
      <c r="G313" s="1" t="s">
        <v>168</v>
      </c>
      <c r="I313" s="76">
        <v>0</v>
      </c>
      <c r="K313" s="1" t="s">
        <v>174</v>
      </c>
      <c r="M313" s="76" t="s">
        <v>47</v>
      </c>
    </row>
    <row r="314" spans="1:13" hidden="1" outlineLevel="2" x14ac:dyDescent="0.3">
      <c r="C314" s="1" t="s">
        <v>159</v>
      </c>
      <c r="E314" s="77">
        <v>0</v>
      </c>
      <c r="G314" s="1" t="s">
        <v>164</v>
      </c>
      <c r="I314" s="77">
        <v>0</v>
      </c>
      <c r="K314" s="1" t="s">
        <v>186</v>
      </c>
      <c r="M314" s="76" t="s">
        <v>47</v>
      </c>
    </row>
    <row r="315" spans="1:13" hidden="1" outlineLevel="2" x14ac:dyDescent="0.3">
      <c r="C315" s="1" t="s">
        <v>429</v>
      </c>
      <c r="E315" s="77">
        <v>0</v>
      </c>
      <c r="I315" s="79"/>
      <c r="K315" s="1" t="s">
        <v>185</v>
      </c>
      <c r="M315" s="76" t="s">
        <v>47</v>
      </c>
    </row>
    <row r="316" spans="1:13" hidden="1" outlineLevel="2" x14ac:dyDescent="0.3">
      <c r="C316" s="1" t="s">
        <v>430</v>
      </c>
      <c r="E316" s="77">
        <f>++E315</f>
        <v>0</v>
      </c>
      <c r="G316" s="1" t="s">
        <v>169</v>
      </c>
      <c r="I316" s="76" t="s">
        <v>47</v>
      </c>
      <c r="K316" s="1" t="s">
        <v>184</v>
      </c>
      <c r="M316" s="76" t="s">
        <v>47</v>
      </c>
    </row>
    <row r="317" spans="1:13" hidden="1" outlineLevel="2" x14ac:dyDescent="0.3">
      <c r="C317" s="80" t="s">
        <v>160</v>
      </c>
      <c r="E317" s="81" t="str">
        <f>++IFERROR(E316/E314,"n/a")</f>
        <v>n/a</v>
      </c>
      <c r="G317" s="1" t="s">
        <v>170</v>
      </c>
      <c r="I317" s="82" t="str">
        <f>++IFERROR(E314*I316/4,"n/a")</f>
        <v>n/a</v>
      </c>
      <c r="K317" s="1" t="s">
        <v>175</v>
      </c>
      <c r="M317" s="76" t="s">
        <v>47</v>
      </c>
    </row>
    <row r="318" spans="1:13" hidden="1" outlineLevel="2" x14ac:dyDescent="0.3">
      <c r="K318" s="1" t="s">
        <v>343</v>
      </c>
      <c r="M318" s="76">
        <v>0</v>
      </c>
    </row>
    <row r="319" spans="1:13" hidden="1" outlineLevel="2" x14ac:dyDescent="0.3"/>
    <row r="320" spans="1:13" ht="14.5" hidden="1" outlineLevel="2" x14ac:dyDescent="0.45">
      <c r="C320" s="26" t="s">
        <v>179</v>
      </c>
      <c r="D320" s="26"/>
      <c r="E320" s="26"/>
      <c r="F320" s="26"/>
      <c r="G320" s="26"/>
      <c r="H320" s="26"/>
      <c r="I320" s="26"/>
    </row>
    <row r="321" spans="3:13" ht="14.5" hidden="1" outlineLevel="2" x14ac:dyDescent="0.45">
      <c r="F321" s="26" t="s">
        <v>178</v>
      </c>
      <c r="G321" s="26"/>
      <c r="H321" s="26" t="s">
        <v>180</v>
      </c>
      <c r="I321" s="26"/>
      <c r="K321" s="26" t="s">
        <v>182</v>
      </c>
      <c r="L321" s="26"/>
      <c r="M321" s="26"/>
    </row>
    <row r="322" spans="3:13" ht="14.5" hidden="1" outlineLevel="2" x14ac:dyDescent="0.45">
      <c r="C322" s="26" t="s">
        <v>176</v>
      </c>
      <c r="D322" s="26"/>
      <c r="E322" s="30" t="s">
        <v>177</v>
      </c>
      <c r="F322" s="30" t="str">
        <f>++M312</f>
        <v>n/a</v>
      </c>
      <c r="G322" s="30" t="str">
        <f>++IF(F322="n/a","n/a","ABR")</f>
        <v>n/a</v>
      </c>
      <c r="H322" s="30" t="s">
        <v>111</v>
      </c>
      <c r="I322" s="30" t="s">
        <v>181</v>
      </c>
      <c r="K322" s="30" t="s">
        <v>143</v>
      </c>
      <c r="L322" s="30" t="s">
        <v>98</v>
      </c>
      <c r="M322" s="30" t="s">
        <v>191</v>
      </c>
    </row>
    <row r="323" spans="3:13" hidden="1" outlineLevel="2" x14ac:dyDescent="0.3">
      <c r="C323" s="84" t="s">
        <v>63</v>
      </c>
      <c r="D323" s="445"/>
      <c r="E323" s="85">
        <v>7</v>
      </c>
      <c r="F323" s="76" t="str">
        <f>++IFERROR(F324+0.25%,"n/a")</f>
        <v>n/a</v>
      </c>
      <c r="G323" s="76" t="str">
        <f>++IFERROR(F323-1%,"n/a")</f>
        <v>n/a</v>
      </c>
      <c r="H323" s="76">
        <f>++IFERROR(H324+0.25%,"n/a")</f>
        <v>2.5000000000000001E-3</v>
      </c>
      <c r="I323" s="76" t="s">
        <v>47</v>
      </c>
      <c r="K323" s="86" t="s">
        <v>183</v>
      </c>
      <c r="L323" s="87">
        <f>++EDATE(E310,6)</f>
        <v>46021</v>
      </c>
      <c r="M323" s="88" t="s">
        <v>47</v>
      </c>
    </row>
    <row r="324" spans="3:13" hidden="1" outlineLevel="2" x14ac:dyDescent="0.3">
      <c r="C324" s="1" t="str">
        <f>++C323</f>
        <v>Total Net Leverage</v>
      </c>
      <c r="E324" s="85">
        <f>++E323-0.5</f>
        <v>6.5</v>
      </c>
      <c r="F324" s="89" t="str">
        <f>++M317</f>
        <v>n/a</v>
      </c>
      <c r="G324" s="76" t="str">
        <f t="shared" ref="G324:G327" si="49">++IFERROR(F324-1%,"n/a")</f>
        <v>n/a</v>
      </c>
      <c r="H324" s="89">
        <f>++M318</f>
        <v>0</v>
      </c>
      <c r="I324" s="76" t="s">
        <v>47</v>
      </c>
      <c r="K324" s="90" t="s">
        <v>187</v>
      </c>
      <c r="L324" s="87">
        <f>++EDATE(E310,12)</f>
        <v>46203</v>
      </c>
      <c r="M324" s="88">
        <v>102</v>
      </c>
    </row>
    <row r="325" spans="3:13" hidden="1" outlineLevel="2" x14ac:dyDescent="0.3">
      <c r="C325" s="1" t="str">
        <f t="shared" ref="C325:C327" si="50">++C324</f>
        <v>Total Net Leverage</v>
      </c>
      <c r="E325" s="85">
        <f t="shared" ref="E325:E326" si="51">++E324-0.5</f>
        <v>6</v>
      </c>
      <c r="F325" s="76" t="str">
        <f>++IFERROR(F324-0.25%,"n/a")</f>
        <v>n/a</v>
      </c>
      <c r="G325" s="76" t="str">
        <f t="shared" si="49"/>
        <v>n/a</v>
      </c>
      <c r="H325" s="76">
        <f>++IFERROR(H324-0.25%,"n/a")</f>
        <v>-2.5000000000000001E-3</v>
      </c>
      <c r="I325" s="76" t="s">
        <v>47</v>
      </c>
      <c r="K325" s="90" t="s">
        <v>188</v>
      </c>
      <c r="L325" s="87">
        <f>++EDATE(E310,2*12)</f>
        <v>46568</v>
      </c>
      <c r="M325" s="88">
        <v>101</v>
      </c>
    </row>
    <row r="326" spans="3:13" hidden="1" outlineLevel="2" x14ac:dyDescent="0.3">
      <c r="C326" s="1" t="str">
        <f t="shared" si="50"/>
        <v>Total Net Leverage</v>
      </c>
      <c r="E326" s="85">
        <f t="shared" si="51"/>
        <v>5.5</v>
      </c>
      <c r="F326" s="76" t="str">
        <f t="shared" ref="F326:F327" si="52">++IFERROR(F325-0.25%,"n/a")</f>
        <v>n/a</v>
      </c>
      <c r="G326" s="76" t="str">
        <f t="shared" si="49"/>
        <v>n/a</v>
      </c>
      <c r="H326" s="76">
        <f t="shared" ref="H326:H327" si="53">++IFERROR(H325-0.25%,"n/a")</f>
        <v>-5.0000000000000001E-3</v>
      </c>
      <c r="I326" s="76" t="s">
        <v>47</v>
      </c>
      <c r="K326" s="90" t="s">
        <v>189</v>
      </c>
      <c r="L326" s="87">
        <f>++EDATE(E310,3*12)</f>
        <v>46934</v>
      </c>
      <c r="M326" s="88">
        <v>100</v>
      </c>
    </row>
    <row r="327" spans="3:13" hidden="1" outlineLevel="2" x14ac:dyDescent="0.3">
      <c r="C327" s="1" t="str">
        <f t="shared" si="50"/>
        <v>Total Net Leverage</v>
      </c>
      <c r="E327" s="91">
        <f>++E326</f>
        <v>5.5</v>
      </c>
      <c r="F327" s="76" t="str">
        <f t="shared" si="52"/>
        <v>n/a</v>
      </c>
      <c r="G327" s="76" t="str">
        <f t="shared" si="49"/>
        <v>n/a</v>
      </c>
      <c r="H327" s="76">
        <f t="shared" si="53"/>
        <v>-7.4999999999999997E-3</v>
      </c>
      <c r="I327" s="76" t="s">
        <v>47</v>
      </c>
      <c r="K327" s="90" t="s">
        <v>190</v>
      </c>
      <c r="L327" s="87">
        <f>++EDATE(E310,4*12)</f>
        <v>47299</v>
      </c>
      <c r="M327" s="88">
        <v>100</v>
      </c>
    </row>
    <row r="328" spans="3:13" hidden="1" outlineLevel="2" x14ac:dyDescent="0.3"/>
    <row r="329" spans="3:13" hidden="1" outlineLevel="2" x14ac:dyDescent="0.3">
      <c r="C329" s="92" t="s">
        <v>195</v>
      </c>
    </row>
    <row r="330" spans="3:13" ht="12.75" hidden="1" customHeight="1" outlineLevel="2" x14ac:dyDescent="0.3">
      <c r="C330" s="479" t="s">
        <v>417</v>
      </c>
      <c r="D330" s="480"/>
      <c r="E330" s="480"/>
      <c r="F330" s="480"/>
      <c r="G330" s="480"/>
      <c r="H330" s="480"/>
      <c r="I330" s="480"/>
      <c r="J330" s="480"/>
      <c r="K330" s="480"/>
      <c r="L330" s="480"/>
      <c r="M330" s="481"/>
    </row>
    <row r="331" spans="3:13" hidden="1" outlineLevel="2" x14ac:dyDescent="0.3">
      <c r="C331" s="482"/>
      <c r="D331" s="483"/>
      <c r="E331" s="483"/>
      <c r="F331" s="483"/>
      <c r="G331" s="483"/>
      <c r="H331" s="483"/>
      <c r="I331" s="483"/>
      <c r="J331" s="483"/>
      <c r="K331" s="483"/>
      <c r="L331" s="483"/>
      <c r="M331" s="484"/>
    </row>
    <row r="332" spans="3:13" hidden="1" outlineLevel="2" x14ac:dyDescent="0.3">
      <c r="C332" s="482"/>
      <c r="D332" s="483"/>
      <c r="E332" s="483"/>
      <c r="F332" s="483"/>
      <c r="G332" s="483"/>
      <c r="H332" s="483"/>
      <c r="I332" s="483"/>
      <c r="J332" s="483"/>
      <c r="K332" s="483"/>
      <c r="L332" s="483"/>
      <c r="M332" s="484"/>
    </row>
    <row r="333" spans="3:13" hidden="1" outlineLevel="2" x14ac:dyDescent="0.3">
      <c r="C333" s="482"/>
      <c r="D333" s="483"/>
      <c r="E333" s="483"/>
      <c r="F333" s="483"/>
      <c r="G333" s="483"/>
      <c r="H333" s="483"/>
      <c r="I333" s="483"/>
      <c r="J333" s="483"/>
      <c r="K333" s="483"/>
      <c r="L333" s="483"/>
      <c r="M333" s="484"/>
    </row>
    <row r="334" spans="3:13" hidden="1" outlineLevel="2" x14ac:dyDescent="0.3">
      <c r="C334" s="482"/>
      <c r="D334" s="483"/>
      <c r="E334" s="483"/>
      <c r="F334" s="483"/>
      <c r="G334" s="483"/>
      <c r="H334" s="483"/>
      <c r="I334" s="483"/>
      <c r="J334" s="483"/>
      <c r="K334" s="483"/>
      <c r="L334" s="483"/>
      <c r="M334" s="484"/>
    </row>
    <row r="335" spans="3:13" hidden="1" outlineLevel="2" x14ac:dyDescent="0.3">
      <c r="C335" s="485"/>
      <c r="D335" s="486"/>
      <c r="E335" s="486"/>
      <c r="F335" s="486"/>
      <c r="G335" s="486"/>
      <c r="H335" s="486"/>
      <c r="I335" s="486"/>
      <c r="J335" s="486"/>
      <c r="K335" s="486"/>
      <c r="L335" s="486"/>
      <c r="M335" s="487"/>
    </row>
    <row r="336" spans="3:13" hidden="1" outlineLevel="2" x14ac:dyDescent="0.3"/>
    <row r="337" spans="1:13" hidden="1" outlineLevel="2" x14ac:dyDescent="0.3"/>
    <row r="338" spans="1:13" hidden="1" outlineLevel="2" x14ac:dyDescent="0.3">
      <c r="A338" s="16"/>
      <c r="B338" s="16" t="s">
        <v>0</v>
      </c>
      <c r="C338" s="201" t="s">
        <v>44</v>
      </c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</row>
    <row r="339" spans="1:13" ht="5.15" hidden="1" customHeight="1" outlineLevel="2" x14ac:dyDescent="0.3"/>
    <row r="340" spans="1:13" hidden="1" outlineLevel="2" x14ac:dyDescent="0.3">
      <c r="C340" s="1" t="s">
        <v>161</v>
      </c>
      <c r="E340" s="75">
        <v>45838</v>
      </c>
      <c r="G340" s="1" t="s">
        <v>167</v>
      </c>
      <c r="I340" s="76">
        <v>0</v>
      </c>
      <c r="K340" s="1" t="s">
        <v>192</v>
      </c>
      <c r="M340" s="77" t="s">
        <v>205</v>
      </c>
    </row>
    <row r="341" spans="1:13" hidden="1" outlineLevel="2" x14ac:dyDescent="0.3">
      <c r="C341" s="1" t="s">
        <v>162</v>
      </c>
      <c r="E341" s="75">
        <f>++EDATE(E340,12*5)</f>
        <v>47664</v>
      </c>
      <c r="G341" s="1" t="s">
        <v>166</v>
      </c>
      <c r="I341" s="76">
        <v>0</v>
      </c>
      <c r="K341" s="1" t="s">
        <v>193</v>
      </c>
      <c r="M341" s="77" t="s">
        <v>203</v>
      </c>
    </row>
    <row r="342" spans="1:13" hidden="1" outlineLevel="2" x14ac:dyDescent="0.3">
      <c r="C342" s="1" t="s">
        <v>163</v>
      </c>
      <c r="E342" s="78">
        <f>++IFERROR(YEARFRAC(E340,E341,1),"n/a")</f>
        <v>5.0004564125969875</v>
      </c>
      <c r="G342" s="1" t="s">
        <v>165</v>
      </c>
      <c r="I342" s="76">
        <v>0</v>
      </c>
      <c r="K342" s="1" t="s">
        <v>173</v>
      </c>
      <c r="M342" s="77" t="str">
        <f>++IF(M340="Floating","Term SOFR","n/a")</f>
        <v>n/a</v>
      </c>
    </row>
    <row r="343" spans="1:13" hidden="1" outlineLevel="2" x14ac:dyDescent="0.3">
      <c r="E343" s="79"/>
      <c r="G343" s="1" t="s">
        <v>168</v>
      </c>
      <c r="I343" s="76">
        <v>0</v>
      </c>
      <c r="K343" s="1" t="s">
        <v>174</v>
      </c>
      <c r="M343" s="76" t="s">
        <v>47</v>
      </c>
    </row>
    <row r="344" spans="1:13" hidden="1" outlineLevel="2" x14ac:dyDescent="0.3">
      <c r="C344" s="1" t="s">
        <v>159</v>
      </c>
      <c r="E344" s="77">
        <v>0</v>
      </c>
      <c r="G344" s="1" t="s">
        <v>164</v>
      </c>
      <c r="I344" s="77">
        <v>0</v>
      </c>
      <c r="K344" s="1" t="s">
        <v>186</v>
      </c>
      <c r="M344" s="76" t="s">
        <v>47</v>
      </c>
    </row>
    <row r="345" spans="1:13" hidden="1" outlineLevel="2" x14ac:dyDescent="0.3">
      <c r="C345" s="1" t="s">
        <v>429</v>
      </c>
      <c r="E345" s="77">
        <v>0</v>
      </c>
      <c r="I345" s="79"/>
      <c r="K345" s="1" t="s">
        <v>185</v>
      </c>
      <c r="M345" s="76" t="s">
        <v>47</v>
      </c>
    </row>
    <row r="346" spans="1:13" hidden="1" outlineLevel="2" x14ac:dyDescent="0.3">
      <c r="C346" s="1" t="s">
        <v>430</v>
      </c>
      <c r="E346" s="77">
        <f>++E345</f>
        <v>0</v>
      </c>
      <c r="G346" s="1" t="s">
        <v>169</v>
      </c>
      <c r="I346" s="76" t="s">
        <v>47</v>
      </c>
      <c r="K346" s="1" t="s">
        <v>184</v>
      </c>
      <c r="M346" s="76" t="s">
        <v>47</v>
      </c>
    </row>
    <row r="347" spans="1:13" hidden="1" outlineLevel="2" x14ac:dyDescent="0.3">
      <c r="C347" s="80" t="s">
        <v>160</v>
      </c>
      <c r="E347" s="81" t="str">
        <f>++IFERROR(E346/E344,"n/a")</f>
        <v>n/a</v>
      </c>
      <c r="G347" s="1" t="s">
        <v>170</v>
      </c>
      <c r="I347" s="82" t="str">
        <f>++IFERROR(E344*I346/4,"n/a")</f>
        <v>n/a</v>
      </c>
      <c r="K347" s="1" t="s">
        <v>175</v>
      </c>
      <c r="M347" s="76" t="s">
        <v>47</v>
      </c>
    </row>
    <row r="348" spans="1:13" hidden="1" outlineLevel="2" x14ac:dyDescent="0.3">
      <c r="K348" s="1" t="s">
        <v>343</v>
      </c>
      <c r="M348" s="76">
        <v>0</v>
      </c>
    </row>
    <row r="349" spans="1:13" hidden="1" outlineLevel="2" x14ac:dyDescent="0.3"/>
    <row r="350" spans="1:13" ht="14.5" hidden="1" outlineLevel="2" x14ac:dyDescent="0.45">
      <c r="C350" s="26" t="s">
        <v>179</v>
      </c>
      <c r="D350" s="26"/>
      <c r="E350" s="26"/>
      <c r="F350" s="26"/>
      <c r="G350" s="26"/>
      <c r="H350" s="26"/>
      <c r="I350" s="26"/>
    </row>
    <row r="351" spans="1:13" ht="14.5" hidden="1" outlineLevel="2" x14ac:dyDescent="0.45">
      <c r="F351" s="26" t="s">
        <v>178</v>
      </c>
      <c r="G351" s="26"/>
      <c r="H351" s="26" t="s">
        <v>180</v>
      </c>
      <c r="I351" s="26"/>
      <c r="K351" s="26" t="s">
        <v>182</v>
      </c>
      <c r="L351" s="26"/>
      <c r="M351" s="26"/>
    </row>
    <row r="352" spans="1:13" ht="14.5" hidden="1" outlineLevel="2" x14ac:dyDescent="0.45">
      <c r="C352" s="26" t="s">
        <v>176</v>
      </c>
      <c r="D352" s="26"/>
      <c r="E352" s="30" t="s">
        <v>177</v>
      </c>
      <c r="F352" s="30" t="str">
        <f>++M342</f>
        <v>n/a</v>
      </c>
      <c r="G352" s="30" t="str">
        <f>++IF(F352="n/a","n/a","ABR")</f>
        <v>n/a</v>
      </c>
      <c r="H352" s="30" t="s">
        <v>111</v>
      </c>
      <c r="I352" s="30" t="s">
        <v>181</v>
      </c>
      <c r="K352" s="30" t="s">
        <v>143</v>
      </c>
      <c r="L352" s="30" t="s">
        <v>98</v>
      </c>
      <c r="M352" s="30" t="s">
        <v>191</v>
      </c>
    </row>
    <row r="353" spans="1:13" hidden="1" outlineLevel="2" x14ac:dyDescent="0.3">
      <c r="C353" s="84" t="s">
        <v>63</v>
      </c>
      <c r="D353" s="445"/>
      <c r="E353" s="85">
        <v>7</v>
      </c>
      <c r="F353" s="76" t="str">
        <f>++IFERROR(F354+0.25%,"n/a")</f>
        <v>n/a</v>
      </c>
      <c r="G353" s="76" t="str">
        <f>++IFERROR(F353-1%,"n/a")</f>
        <v>n/a</v>
      </c>
      <c r="H353" s="76">
        <f>++IFERROR(H354+0.25%,"n/a")</f>
        <v>2.5000000000000001E-3</v>
      </c>
      <c r="I353" s="76" t="s">
        <v>47</v>
      </c>
      <c r="K353" s="86" t="s">
        <v>183</v>
      </c>
      <c r="L353" s="87">
        <f>++EDATE(E340,6)</f>
        <v>46021</v>
      </c>
      <c r="M353" s="88" t="s">
        <v>47</v>
      </c>
    </row>
    <row r="354" spans="1:13" hidden="1" outlineLevel="2" x14ac:dyDescent="0.3">
      <c r="C354" s="1" t="str">
        <f>++C353</f>
        <v>Total Net Leverage</v>
      </c>
      <c r="E354" s="85">
        <f>++E353-0.5</f>
        <v>6.5</v>
      </c>
      <c r="F354" s="89" t="str">
        <f>++M347</f>
        <v>n/a</v>
      </c>
      <c r="G354" s="76" t="str">
        <f t="shared" ref="G354:G357" si="54">++IFERROR(F354-1%,"n/a")</f>
        <v>n/a</v>
      </c>
      <c r="H354" s="89">
        <f>++M348</f>
        <v>0</v>
      </c>
      <c r="I354" s="76" t="s">
        <v>47</v>
      </c>
      <c r="K354" s="90" t="s">
        <v>187</v>
      </c>
      <c r="L354" s="87">
        <f>++EDATE(E340,12)</f>
        <v>46203</v>
      </c>
      <c r="M354" s="88">
        <v>102</v>
      </c>
    </row>
    <row r="355" spans="1:13" hidden="1" outlineLevel="2" x14ac:dyDescent="0.3">
      <c r="C355" s="1" t="str">
        <f t="shared" ref="C355:C357" si="55">++C354</f>
        <v>Total Net Leverage</v>
      </c>
      <c r="E355" s="85">
        <f t="shared" ref="E355:E356" si="56">++E354-0.5</f>
        <v>6</v>
      </c>
      <c r="F355" s="76" t="str">
        <f>++IFERROR(F354-0.25%,"n/a")</f>
        <v>n/a</v>
      </c>
      <c r="G355" s="76" t="str">
        <f t="shared" si="54"/>
        <v>n/a</v>
      </c>
      <c r="H355" s="76">
        <f>++IFERROR(H354-0.25%,"n/a")</f>
        <v>-2.5000000000000001E-3</v>
      </c>
      <c r="I355" s="76" t="s">
        <v>47</v>
      </c>
      <c r="K355" s="90" t="s">
        <v>188</v>
      </c>
      <c r="L355" s="87">
        <f>++EDATE(E340,2*12)</f>
        <v>46568</v>
      </c>
      <c r="M355" s="88">
        <v>101</v>
      </c>
    </row>
    <row r="356" spans="1:13" hidden="1" outlineLevel="2" x14ac:dyDescent="0.3">
      <c r="C356" s="1" t="str">
        <f t="shared" si="55"/>
        <v>Total Net Leverage</v>
      </c>
      <c r="E356" s="85">
        <f t="shared" si="56"/>
        <v>5.5</v>
      </c>
      <c r="F356" s="76" t="str">
        <f t="shared" ref="F356:F357" si="57">++IFERROR(F355-0.25%,"n/a")</f>
        <v>n/a</v>
      </c>
      <c r="G356" s="76" t="str">
        <f t="shared" si="54"/>
        <v>n/a</v>
      </c>
      <c r="H356" s="76">
        <f t="shared" ref="H356:H357" si="58">++IFERROR(H355-0.25%,"n/a")</f>
        <v>-5.0000000000000001E-3</v>
      </c>
      <c r="I356" s="76" t="s">
        <v>47</v>
      </c>
      <c r="K356" s="90" t="s">
        <v>189</v>
      </c>
      <c r="L356" s="87">
        <f>++EDATE(E340,3*12)</f>
        <v>46934</v>
      </c>
      <c r="M356" s="88">
        <v>100</v>
      </c>
    </row>
    <row r="357" spans="1:13" hidden="1" outlineLevel="2" x14ac:dyDescent="0.3">
      <c r="C357" s="1" t="str">
        <f t="shared" si="55"/>
        <v>Total Net Leverage</v>
      </c>
      <c r="E357" s="91">
        <f>++E356</f>
        <v>5.5</v>
      </c>
      <c r="F357" s="76" t="str">
        <f t="shared" si="57"/>
        <v>n/a</v>
      </c>
      <c r="G357" s="76" t="str">
        <f t="shared" si="54"/>
        <v>n/a</v>
      </c>
      <c r="H357" s="76">
        <f t="shared" si="58"/>
        <v>-7.4999999999999997E-3</v>
      </c>
      <c r="I357" s="76" t="s">
        <v>47</v>
      </c>
      <c r="K357" s="90" t="s">
        <v>190</v>
      </c>
      <c r="L357" s="87">
        <f>++EDATE(E340,4*12)</f>
        <v>47299</v>
      </c>
      <c r="M357" s="88">
        <v>100</v>
      </c>
    </row>
    <row r="358" spans="1:13" hidden="1" outlineLevel="2" x14ac:dyDescent="0.3"/>
    <row r="359" spans="1:13" hidden="1" outlineLevel="2" x14ac:dyDescent="0.3">
      <c r="C359" s="92" t="s">
        <v>195</v>
      </c>
    </row>
    <row r="360" spans="1:13" ht="12.75" hidden="1" customHeight="1" outlineLevel="2" x14ac:dyDescent="0.3">
      <c r="C360" s="479" t="s">
        <v>417</v>
      </c>
      <c r="D360" s="480"/>
      <c r="E360" s="480"/>
      <c r="F360" s="480"/>
      <c r="G360" s="480"/>
      <c r="H360" s="480"/>
      <c r="I360" s="480"/>
      <c r="J360" s="480"/>
      <c r="K360" s="480"/>
      <c r="L360" s="480"/>
      <c r="M360" s="481"/>
    </row>
    <row r="361" spans="1:13" hidden="1" outlineLevel="2" x14ac:dyDescent="0.3">
      <c r="C361" s="482"/>
      <c r="D361" s="483"/>
      <c r="E361" s="483"/>
      <c r="F361" s="483"/>
      <c r="G361" s="483"/>
      <c r="H361" s="483"/>
      <c r="I361" s="483"/>
      <c r="J361" s="483"/>
      <c r="K361" s="483"/>
      <c r="L361" s="483"/>
      <c r="M361" s="484"/>
    </row>
    <row r="362" spans="1:13" hidden="1" outlineLevel="2" x14ac:dyDescent="0.3">
      <c r="C362" s="482"/>
      <c r="D362" s="483"/>
      <c r="E362" s="483"/>
      <c r="F362" s="483"/>
      <c r="G362" s="483"/>
      <c r="H362" s="483"/>
      <c r="I362" s="483"/>
      <c r="J362" s="483"/>
      <c r="K362" s="483"/>
      <c r="L362" s="483"/>
      <c r="M362" s="484"/>
    </row>
    <row r="363" spans="1:13" hidden="1" outlineLevel="2" x14ac:dyDescent="0.3">
      <c r="C363" s="482"/>
      <c r="D363" s="483"/>
      <c r="E363" s="483"/>
      <c r="F363" s="483"/>
      <c r="G363" s="483"/>
      <c r="H363" s="483"/>
      <c r="I363" s="483"/>
      <c r="J363" s="483"/>
      <c r="K363" s="483"/>
      <c r="L363" s="483"/>
      <c r="M363" s="484"/>
    </row>
    <row r="364" spans="1:13" hidden="1" outlineLevel="2" x14ac:dyDescent="0.3">
      <c r="C364" s="482"/>
      <c r="D364" s="483"/>
      <c r="E364" s="483"/>
      <c r="F364" s="483"/>
      <c r="G364" s="483"/>
      <c r="H364" s="483"/>
      <c r="I364" s="483"/>
      <c r="J364" s="483"/>
      <c r="K364" s="483"/>
      <c r="L364" s="483"/>
      <c r="M364" s="484"/>
    </row>
    <row r="365" spans="1:13" hidden="1" outlineLevel="2" x14ac:dyDescent="0.3">
      <c r="C365" s="485"/>
      <c r="D365" s="486"/>
      <c r="E365" s="486"/>
      <c r="F365" s="486"/>
      <c r="G365" s="486"/>
      <c r="H365" s="486"/>
      <c r="I365" s="486"/>
      <c r="J365" s="486"/>
      <c r="K365" s="486"/>
      <c r="L365" s="486"/>
      <c r="M365" s="487"/>
    </row>
    <row r="366" spans="1:13" hidden="1" outlineLevel="2" x14ac:dyDescent="0.3"/>
    <row r="367" spans="1:13" hidden="1" outlineLevel="2" x14ac:dyDescent="0.3"/>
    <row r="368" spans="1:13" hidden="1" outlineLevel="2" x14ac:dyDescent="0.3">
      <c r="A368" s="16"/>
      <c r="B368" s="16" t="s">
        <v>0</v>
      </c>
      <c r="C368" s="201" t="s">
        <v>45</v>
      </c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</row>
    <row r="369" spans="3:13" ht="5.15" hidden="1" customHeight="1" outlineLevel="2" x14ac:dyDescent="0.3"/>
    <row r="370" spans="3:13" hidden="1" outlineLevel="2" x14ac:dyDescent="0.3">
      <c r="C370" s="1" t="s">
        <v>161</v>
      </c>
      <c r="E370" s="75">
        <v>45838</v>
      </c>
      <c r="G370" s="1" t="s">
        <v>208</v>
      </c>
      <c r="I370" s="93">
        <v>0</v>
      </c>
      <c r="K370" s="1" t="s">
        <v>206</v>
      </c>
      <c r="M370" s="94" t="s">
        <v>213</v>
      </c>
    </row>
    <row r="371" spans="3:13" hidden="1" outlineLevel="2" x14ac:dyDescent="0.3">
      <c r="G371" s="1" t="s">
        <v>209</v>
      </c>
      <c r="I371" s="93">
        <v>0</v>
      </c>
      <c r="K371" s="1" t="s">
        <v>207</v>
      </c>
      <c r="M371" s="94" t="s">
        <v>213</v>
      </c>
    </row>
    <row r="372" spans="3:13" hidden="1" outlineLevel="2" x14ac:dyDescent="0.3">
      <c r="C372" s="1" t="s">
        <v>159</v>
      </c>
      <c r="E372" s="95">
        <v>0</v>
      </c>
      <c r="I372" s="79"/>
      <c r="K372" s="1" t="s">
        <v>431</v>
      </c>
      <c r="M372" s="94" t="s">
        <v>47</v>
      </c>
    </row>
    <row r="373" spans="3:13" hidden="1" outlineLevel="2" x14ac:dyDescent="0.3">
      <c r="C373" s="1" t="s">
        <v>429</v>
      </c>
      <c r="E373" s="95">
        <v>0</v>
      </c>
      <c r="G373" s="1" t="s">
        <v>432</v>
      </c>
      <c r="I373" s="93">
        <v>0</v>
      </c>
    </row>
    <row r="374" spans="3:13" hidden="1" outlineLevel="2" x14ac:dyDescent="0.3">
      <c r="C374" s="1" t="s">
        <v>430</v>
      </c>
      <c r="E374" s="95">
        <v>0</v>
      </c>
      <c r="G374" s="80" t="s">
        <v>210</v>
      </c>
      <c r="I374" s="81" t="str">
        <f>++IFERROR(I$373/I370,"n/a")</f>
        <v>n/a</v>
      </c>
    </row>
    <row r="375" spans="3:13" hidden="1" outlineLevel="2" x14ac:dyDescent="0.3">
      <c r="C375" s="80" t="s">
        <v>160</v>
      </c>
      <c r="E375" s="81" t="str">
        <f>++IFERROR(E374/E372,"n/a")</f>
        <v>n/a</v>
      </c>
      <c r="G375" s="80" t="s">
        <v>211</v>
      </c>
      <c r="I375" s="81" t="str">
        <f t="shared" ref="I375" si="59">++IFERROR(I$373/I371,"n/a")</f>
        <v>n/a</v>
      </c>
    </row>
    <row r="376" spans="3:13" hidden="1" outlineLevel="2" x14ac:dyDescent="0.3"/>
    <row r="377" spans="3:13" hidden="1" outlineLevel="2" x14ac:dyDescent="0.3">
      <c r="C377" s="92" t="s">
        <v>195</v>
      </c>
    </row>
    <row r="378" spans="3:13" hidden="1" outlineLevel="2" x14ac:dyDescent="0.3">
      <c r="C378" s="479" t="s">
        <v>417</v>
      </c>
      <c r="D378" s="480"/>
      <c r="E378" s="480"/>
      <c r="F378" s="480"/>
      <c r="G378" s="480"/>
      <c r="H378" s="480"/>
      <c r="I378" s="480"/>
      <c r="J378" s="480"/>
      <c r="K378" s="480"/>
      <c r="L378" s="480"/>
      <c r="M378" s="481"/>
    </row>
    <row r="379" spans="3:13" hidden="1" outlineLevel="2" x14ac:dyDescent="0.3">
      <c r="C379" s="482"/>
      <c r="D379" s="483"/>
      <c r="E379" s="483"/>
      <c r="F379" s="483"/>
      <c r="G379" s="483"/>
      <c r="H379" s="483"/>
      <c r="I379" s="483"/>
      <c r="J379" s="483"/>
      <c r="K379" s="483"/>
      <c r="L379" s="483"/>
      <c r="M379" s="484"/>
    </row>
    <row r="380" spans="3:13" hidden="1" outlineLevel="2" x14ac:dyDescent="0.3">
      <c r="C380" s="482"/>
      <c r="D380" s="483"/>
      <c r="E380" s="483"/>
      <c r="F380" s="483"/>
      <c r="G380" s="483"/>
      <c r="H380" s="483"/>
      <c r="I380" s="483"/>
      <c r="J380" s="483"/>
      <c r="K380" s="483"/>
      <c r="L380" s="483"/>
      <c r="M380" s="484"/>
    </row>
    <row r="381" spans="3:13" hidden="1" outlineLevel="2" x14ac:dyDescent="0.3">
      <c r="C381" s="482"/>
      <c r="D381" s="483"/>
      <c r="E381" s="483"/>
      <c r="F381" s="483"/>
      <c r="G381" s="483"/>
      <c r="H381" s="483"/>
      <c r="I381" s="483"/>
      <c r="J381" s="483"/>
      <c r="K381" s="483"/>
      <c r="L381" s="483"/>
      <c r="M381" s="484"/>
    </row>
    <row r="382" spans="3:13" hidden="1" outlineLevel="2" x14ac:dyDescent="0.3">
      <c r="C382" s="482"/>
      <c r="D382" s="483"/>
      <c r="E382" s="483"/>
      <c r="F382" s="483"/>
      <c r="G382" s="483"/>
      <c r="H382" s="483"/>
      <c r="I382" s="483"/>
      <c r="J382" s="483"/>
      <c r="K382" s="483"/>
      <c r="L382" s="483"/>
      <c r="M382" s="484"/>
    </row>
    <row r="383" spans="3:13" hidden="1" outlineLevel="2" x14ac:dyDescent="0.3">
      <c r="C383" s="485"/>
      <c r="D383" s="486"/>
      <c r="E383" s="486"/>
      <c r="F383" s="486"/>
      <c r="G383" s="486"/>
      <c r="H383" s="486"/>
      <c r="I383" s="486"/>
      <c r="J383" s="486"/>
      <c r="K383" s="486"/>
      <c r="L383" s="486"/>
      <c r="M383" s="487"/>
    </row>
    <row r="386" spans="1:30" ht="14.5" x14ac:dyDescent="0.45">
      <c r="A386" s="16" t="s">
        <v>0</v>
      </c>
      <c r="B386" s="16" t="s">
        <v>0</v>
      </c>
      <c r="S386" s="26" t="s">
        <v>38</v>
      </c>
      <c r="T386" s="26"/>
      <c r="W386" s="27" t="s">
        <v>48</v>
      </c>
      <c r="X386" s="26" t="s">
        <v>25</v>
      </c>
      <c r="Y386" s="26" t="s">
        <v>26</v>
      </c>
      <c r="Z386" s="26" t="s">
        <v>426</v>
      </c>
      <c r="AA386" s="26"/>
      <c r="AB386" s="26"/>
      <c r="AC386" s="26" t="s">
        <v>30</v>
      </c>
      <c r="AD386" s="26"/>
    </row>
    <row r="387" spans="1:30" ht="14.5" x14ac:dyDescent="0.45">
      <c r="P387" s="26" t="s">
        <v>24</v>
      </c>
      <c r="Q387" s="26"/>
      <c r="R387" s="26"/>
      <c r="S387" s="30" t="s">
        <v>39</v>
      </c>
      <c r="T387" s="30" t="s">
        <v>33</v>
      </c>
      <c r="U387" s="26" t="s">
        <v>341</v>
      </c>
      <c r="V387" s="26"/>
      <c r="W387" s="30" t="s">
        <v>43</v>
      </c>
      <c r="X387" s="30" t="s">
        <v>27</v>
      </c>
      <c r="Y387" s="30" t="s">
        <v>27</v>
      </c>
      <c r="Z387" s="30" t="s">
        <v>34</v>
      </c>
      <c r="AA387" s="30" t="s">
        <v>35</v>
      </c>
      <c r="AB387" s="30" t="s">
        <v>342</v>
      </c>
      <c r="AC387" s="30" t="s">
        <v>31</v>
      </c>
      <c r="AD387" s="30" t="s">
        <v>32</v>
      </c>
    </row>
    <row r="388" spans="1:30" hidden="1" outlineLevel="2" x14ac:dyDescent="0.3">
      <c r="P388" s="19" t="str">
        <f>++C8</f>
        <v>ABL Revolver ($0.0MM)</v>
      </c>
      <c r="Q388" s="19"/>
      <c r="R388" s="19"/>
      <c r="S388" s="5">
        <f>++E10</f>
        <v>45838</v>
      </c>
      <c r="T388" s="5">
        <f>++E11</f>
        <v>47664</v>
      </c>
      <c r="U388" s="96" t="s">
        <v>47</v>
      </c>
      <c r="V388" s="35"/>
      <c r="W388" s="97" t="s">
        <v>47</v>
      </c>
      <c r="X388" s="37">
        <f>++E14</f>
        <v>0</v>
      </c>
      <c r="Y388" s="37">
        <f>++E16</f>
        <v>0</v>
      </c>
      <c r="Z388" s="40">
        <f>++I10</f>
        <v>0</v>
      </c>
      <c r="AA388" s="40">
        <f>++I11</f>
        <v>0</v>
      </c>
      <c r="AB388" s="40">
        <f>++I12</f>
        <v>0</v>
      </c>
      <c r="AC388" s="40">
        <f>++IF(M10="Floating",M13,"n/a")</f>
        <v>0</v>
      </c>
      <c r="AD388" s="40">
        <f>++IF(M10="Floating",M17,M18)</f>
        <v>0</v>
      </c>
    </row>
    <row r="389" spans="1:30" collapsed="1" x14ac:dyDescent="0.3">
      <c r="P389" s="19" t="str">
        <f>++C38</f>
        <v>Priority Revolver ($0.0MM)</v>
      </c>
      <c r="Q389" s="19"/>
      <c r="R389" s="19"/>
      <c r="S389" s="5">
        <f>++E40</f>
        <v>45838</v>
      </c>
      <c r="T389" s="5">
        <f>++E41</f>
        <v>47664</v>
      </c>
      <c r="U389" s="96" t="s">
        <v>47</v>
      </c>
      <c r="V389" s="35"/>
      <c r="W389" s="97" t="s">
        <v>47</v>
      </c>
      <c r="X389" s="37">
        <f>++E44</f>
        <v>0</v>
      </c>
      <c r="Y389" s="37">
        <f>++E46</f>
        <v>0</v>
      </c>
      <c r="Z389" s="40">
        <f>++I40</f>
        <v>0</v>
      </c>
      <c r="AA389" s="40">
        <f>++I41</f>
        <v>0</v>
      </c>
      <c r="AB389" s="40">
        <f>++I42</f>
        <v>0</v>
      </c>
      <c r="AC389" s="40">
        <f>++IF(M40="Floating",M43,"n/a")</f>
        <v>0</v>
      </c>
      <c r="AD389" s="40">
        <f>++IF(M40="Floating",M47,M48)</f>
        <v>0</v>
      </c>
    </row>
    <row r="390" spans="1:30" hidden="1" outlineLevel="2" x14ac:dyDescent="0.3">
      <c r="P390" s="19" t="str">
        <f>++C68</f>
        <v>First Lien Term Loan</v>
      </c>
      <c r="Q390" s="19"/>
      <c r="R390" s="19"/>
      <c r="S390" s="5">
        <f>++E70</f>
        <v>45838</v>
      </c>
      <c r="T390" s="5">
        <f>++E71</f>
        <v>47664</v>
      </c>
      <c r="U390" s="35" t="str">
        <f>++IF('Trade Ticket Input'!M83="SC","6 mo. SC",_xlfn.CONCAT('Trade Ticket Input'!M84,IF('Trade Ticket Input'!M85&lt;&gt;100,"/"&amp;'Trade Ticket Input'!M85,""),IF('Trade Ticket Input'!M86&lt;&gt;100,"/"&amp;'Trade Ticket Input'!M86,""),IF('Trade Ticket Input'!M87&lt;&gt;100,"/"&amp;'Trade Ticket Input'!M87,"")))</f>
        <v>102/101</v>
      </c>
      <c r="V390" s="35"/>
      <c r="W390" s="5" cm="1">
        <f t="array" ref="W390">++IF('Trade Ticket Input'!M83="SC",'Trade Ticket Input'!L83,INDEX('Trade Ticket Input'!L83:L87,MATCH(100,'Trade Ticket Input'!M83:M87,0)-1))</f>
        <v>46568</v>
      </c>
      <c r="X390" s="37">
        <f>++E74</f>
        <v>0</v>
      </c>
      <c r="Y390" s="37">
        <f>++E76</f>
        <v>0</v>
      </c>
      <c r="Z390" s="40">
        <f>++I70</f>
        <v>0</v>
      </c>
      <c r="AA390" s="40">
        <f>++I71</f>
        <v>0</v>
      </c>
      <c r="AB390" s="40">
        <f>++I72</f>
        <v>0</v>
      </c>
      <c r="AC390" s="40">
        <f>++IF(M70="Floating",M73,"n/a")</f>
        <v>0</v>
      </c>
      <c r="AD390" s="40">
        <f>++IF(M70="Floating",M77,M78)</f>
        <v>0</v>
      </c>
    </row>
    <row r="391" spans="1:30" collapsed="1" x14ac:dyDescent="0.3">
      <c r="P391" s="19" t="str">
        <f>++C98</f>
        <v>First Lien Last-Out Term Loan</v>
      </c>
      <c r="Q391" s="19"/>
      <c r="R391" s="19"/>
      <c r="S391" s="5">
        <f>++E100</f>
        <v>45838</v>
      </c>
      <c r="T391" s="5">
        <f>++E101</f>
        <v>47664</v>
      </c>
      <c r="U391" s="35" t="str">
        <f>++IF('Trade Ticket Input'!M113="SC","6 mo. SC",_xlfn.CONCAT('Trade Ticket Input'!M114,IF('Trade Ticket Input'!M115&lt;&gt;100,"/"&amp;'Trade Ticket Input'!M115,""),IF('Trade Ticket Input'!M116&lt;&gt;100,"/"&amp;'Trade Ticket Input'!M116,""),IF('Trade Ticket Input'!M117&lt;&gt;100,"/"&amp;'Trade Ticket Input'!M117,"")))</f>
        <v>102/101</v>
      </c>
      <c r="V391" s="35"/>
      <c r="W391" s="5" cm="1">
        <f t="array" ref="W391">++IF('Trade Ticket Input'!M113="SC",'Trade Ticket Input'!L113,INDEX('Trade Ticket Input'!L113:L117,MATCH(100,'Trade Ticket Input'!M113:M117,0)-1))</f>
        <v>46568</v>
      </c>
      <c r="X391" s="37">
        <f>++E104</f>
        <v>0</v>
      </c>
      <c r="Y391" s="37">
        <f>++E106</f>
        <v>0</v>
      </c>
      <c r="Z391" s="40">
        <f>++I100</f>
        <v>0</v>
      </c>
      <c r="AA391" s="40">
        <f>++I101</f>
        <v>0</v>
      </c>
      <c r="AB391" s="40">
        <f>++I102</f>
        <v>0</v>
      </c>
      <c r="AC391" s="40">
        <f>++IF(M100="Floating",M103,"n/a")</f>
        <v>0</v>
      </c>
      <c r="AD391" s="40">
        <f>++IF(M100="Floating",M107,M108)</f>
        <v>0</v>
      </c>
    </row>
    <row r="392" spans="1:30" hidden="1" outlineLevel="2" x14ac:dyDescent="0.3">
      <c r="P392" s="19" t="str">
        <f>++C128</f>
        <v>First Lien DDTL ($0.0MM)</v>
      </c>
      <c r="Q392" s="19"/>
      <c r="R392" s="19"/>
      <c r="S392" s="5">
        <f>++E130</f>
        <v>45838</v>
      </c>
      <c r="T392" s="5">
        <f>++E131</f>
        <v>47664</v>
      </c>
      <c r="U392" s="35" t="str">
        <f>++IF('Trade Ticket Input'!M143="SC","6 mo. SC",_xlfn.CONCAT('Trade Ticket Input'!M144,IF('Trade Ticket Input'!M145&lt;&gt;100,"/"&amp;'Trade Ticket Input'!M145,""),IF('Trade Ticket Input'!M146&lt;&gt;100,"/"&amp;'Trade Ticket Input'!M146,""),IF('Trade Ticket Input'!M147&lt;&gt;100,"/"&amp;'Trade Ticket Input'!M147,"")))</f>
        <v>102/101</v>
      </c>
      <c r="V392" s="35"/>
      <c r="W392" s="5" cm="1">
        <f t="array" ref="W392">++IF('Trade Ticket Input'!M143="SC",'Trade Ticket Input'!L143,INDEX('Trade Ticket Input'!L143:L147,MATCH(100,'Trade Ticket Input'!M143:M147,0)-1))</f>
        <v>46568</v>
      </c>
      <c r="X392" s="37">
        <f>++E134</f>
        <v>0</v>
      </c>
      <c r="Y392" s="37">
        <f>++E136</f>
        <v>0</v>
      </c>
      <c r="Z392" s="40">
        <f>++I130</f>
        <v>0</v>
      </c>
      <c r="AA392" s="40">
        <f>++I131</f>
        <v>0</v>
      </c>
      <c r="AB392" s="40">
        <f>++I132</f>
        <v>0</v>
      </c>
      <c r="AC392" s="40">
        <f>++IF(M130="Floating",M133,"n/a")</f>
        <v>0</v>
      </c>
      <c r="AD392" s="40">
        <f>++IF(M130="Floating",M137,M138)</f>
        <v>0</v>
      </c>
    </row>
    <row r="393" spans="1:30" hidden="1" outlineLevel="2" x14ac:dyDescent="0.3">
      <c r="P393" s="19" t="str">
        <f>++C158</f>
        <v>Second Lien Term Loan</v>
      </c>
      <c r="Q393" s="19"/>
      <c r="R393" s="19"/>
      <c r="S393" s="5">
        <f>++E160</f>
        <v>45838</v>
      </c>
      <c r="T393" s="5">
        <f>++E161</f>
        <v>47664</v>
      </c>
      <c r="U393" s="35" t="str">
        <f>++IF('Trade Ticket Input'!M173="SC","6 mo. SC",_xlfn.CONCAT('Trade Ticket Input'!M174,IF('Trade Ticket Input'!M175&lt;&gt;100,"/"&amp;'Trade Ticket Input'!M175,""),IF('Trade Ticket Input'!M176&lt;&gt;100,"/"&amp;'Trade Ticket Input'!M176,""),IF('Trade Ticket Input'!M177&lt;&gt;100,"/"&amp;'Trade Ticket Input'!M177,"")))</f>
        <v>102/101</v>
      </c>
      <c r="V393" s="35"/>
      <c r="W393" s="5" cm="1">
        <f t="array" ref="W393">++IF('Trade Ticket Input'!M173="SC",'Trade Ticket Input'!L173,INDEX('Trade Ticket Input'!L173:L177,MATCH(100,'Trade Ticket Input'!M173:M177,0)-1))</f>
        <v>46568</v>
      </c>
      <c r="X393" s="37">
        <f>++E164</f>
        <v>0</v>
      </c>
      <c r="Y393" s="37">
        <f>++E166</f>
        <v>0</v>
      </c>
      <c r="Z393" s="40">
        <f>++I160</f>
        <v>0</v>
      </c>
      <c r="AA393" s="40">
        <f>++I161</f>
        <v>0</v>
      </c>
      <c r="AB393" s="40">
        <f>++I162</f>
        <v>0</v>
      </c>
      <c r="AC393" s="40">
        <f>++IF(M160="Floating",M163,"n/a")</f>
        <v>0</v>
      </c>
      <c r="AD393" s="40">
        <f>++IF(M160="Floating",M167,M168)</f>
        <v>0</v>
      </c>
    </row>
    <row r="394" spans="1:30" hidden="1" outlineLevel="2" x14ac:dyDescent="0.3">
      <c r="P394" s="19" t="str">
        <f>++C188</f>
        <v>Second Lien DDTL ($0.0MM)</v>
      </c>
      <c r="Q394" s="19"/>
      <c r="R394" s="19"/>
      <c r="S394" s="5">
        <f>++E190</f>
        <v>45838</v>
      </c>
      <c r="T394" s="5">
        <f>++E191</f>
        <v>47664</v>
      </c>
      <c r="U394" s="35" t="str">
        <f>++IF('Trade Ticket Input'!M203="SC","6 mo. SC",_xlfn.CONCAT('Trade Ticket Input'!M204,IF('Trade Ticket Input'!M205&lt;&gt;100,"/"&amp;'Trade Ticket Input'!M205,""),IF('Trade Ticket Input'!M206&lt;&gt;100,"/"&amp;'Trade Ticket Input'!M206,""),IF('Trade Ticket Input'!M207&lt;&gt;100,"/"&amp;'Trade Ticket Input'!M207,"")))</f>
        <v>102/101</v>
      </c>
      <c r="V394" s="35"/>
      <c r="W394" s="5" cm="1">
        <f t="array" ref="W394">++IF('Trade Ticket Input'!M203="SC",'Trade Ticket Input'!L203,INDEX('Trade Ticket Input'!L203:L207,MATCH(100,'Trade Ticket Input'!M203:M207,0)-1))</f>
        <v>46568</v>
      </c>
      <c r="X394" s="37">
        <f>++E194</f>
        <v>0</v>
      </c>
      <c r="Y394" s="37">
        <f>++E196</f>
        <v>0</v>
      </c>
      <c r="Z394" s="40">
        <f>++I190</f>
        <v>0</v>
      </c>
      <c r="AA394" s="40">
        <f>++I191</f>
        <v>0</v>
      </c>
      <c r="AB394" s="40">
        <f>++I192</f>
        <v>0</v>
      </c>
      <c r="AC394" s="40">
        <f>++IF(M190="Floating",M193,"n/a")</f>
        <v>0</v>
      </c>
      <c r="AD394" s="40">
        <f>++IF(M190="Floating",M197,M198)</f>
        <v>0</v>
      </c>
    </row>
    <row r="395" spans="1:30" hidden="1" outlineLevel="2" x14ac:dyDescent="0.3">
      <c r="P395" s="19" t="str">
        <f>++C218</f>
        <v>Subordinated Notes</v>
      </c>
      <c r="Q395" s="19"/>
      <c r="R395" s="19"/>
      <c r="S395" s="5">
        <f>++E220</f>
        <v>45838</v>
      </c>
      <c r="T395" s="5">
        <f>++E221</f>
        <v>47664</v>
      </c>
      <c r="U395" s="35" t="str">
        <f>++IF('Trade Ticket Input'!M233="SC","6 mo. SC",_xlfn.CONCAT('Trade Ticket Input'!M234,IF('Trade Ticket Input'!M235&lt;&gt;100,"/"&amp;'Trade Ticket Input'!M235,""),IF('Trade Ticket Input'!M236&lt;&gt;100,"/"&amp;'Trade Ticket Input'!M236,""),IF('Trade Ticket Input'!M237&lt;&gt;100,"/"&amp;'Trade Ticket Input'!M237,"")))</f>
        <v>102/101</v>
      </c>
      <c r="V395" s="35"/>
      <c r="W395" s="5" cm="1">
        <f t="array" ref="W395">++IF('Trade Ticket Input'!M233="SC",'Trade Ticket Input'!L233,INDEX('Trade Ticket Input'!L233:L237,MATCH(100,'Trade Ticket Input'!M233:M237,0)-1))</f>
        <v>46568</v>
      </c>
      <c r="X395" s="37">
        <f>++E224</f>
        <v>0</v>
      </c>
      <c r="Y395" s="37">
        <f>++E226</f>
        <v>0</v>
      </c>
      <c r="Z395" s="40">
        <f>++I220</f>
        <v>0</v>
      </c>
      <c r="AA395" s="40">
        <f>++I221</f>
        <v>0</v>
      </c>
      <c r="AB395" s="40">
        <f>++I222</f>
        <v>0</v>
      </c>
      <c r="AC395" s="40" t="str">
        <f>++IF(M220="Floating",M223,"n/a")</f>
        <v>n/a</v>
      </c>
      <c r="AD395" s="40">
        <f>++IF(M220="Floating",M227,M228)</f>
        <v>0</v>
      </c>
    </row>
    <row r="396" spans="1:30" hidden="1" outlineLevel="2" x14ac:dyDescent="0.3">
      <c r="P396" s="19" t="str">
        <f>++C248</f>
        <v>Subordinated DD Notes ($0.0MM)</v>
      </c>
      <c r="Q396" s="19"/>
      <c r="R396" s="19"/>
      <c r="S396" s="5">
        <f>++E250</f>
        <v>45838</v>
      </c>
      <c r="T396" s="5">
        <f>++E251</f>
        <v>47664</v>
      </c>
      <c r="U396" s="35" t="str">
        <f>++IF('Trade Ticket Input'!M263="SC","6 mo. SC",_xlfn.CONCAT('Trade Ticket Input'!M264,IF('Trade Ticket Input'!M265&lt;&gt;100,"/"&amp;'Trade Ticket Input'!M265,""),IF('Trade Ticket Input'!M266&lt;&gt;100,"/"&amp;'Trade Ticket Input'!M266,""),IF('Trade Ticket Input'!M267&lt;&gt;100,"/"&amp;'Trade Ticket Input'!M267,"")))</f>
        <v>102/101</v>
      </c>
      <c r="V396" s="35"/>
      <c r="W396" s="5" cm="1">
        <f t="array" ref="W396">++IF('Trade Ticket Input'!M263="SC",'Trade Ticket Input'!L263,INDEX('Trade Ticket Input'!L263:L267,MATCH(100,'Trade Ticket Input'!M263:M267,0)-1))</f>
        <v>46568</v>
      </c>
      <c r="X396" s="37">
        <f>++E254</f>
        <v>0</v>
      </c>
      <c r="Y396" s="37">
        <f>++E256</f>
        <v>0</v>
      </c>
      <c r="Z396" s="40">
        <f>++I250</f>
        <v>0</v>
      </c>
      <c r="AA396" s="40">
        <f>++I251</f>
        <v>0</v>
      </c>
      <c r="AB396" s="40">
        <f>++I252</f>
        <v>0</v>
      </c>
      <c r="AC396" s="40" t="str">
        <f>++IF(M250="Floating",M253,"n/a")</f>
        <v>n/a</v>
      </c>
      <c r="AD396" s="40">
        <f>++IF(M250="Floating",M257,M258)</f>
        <v>0</v>
      </c>
    </row>
    <row r="397" spans="1:30" hidden="1" outlineLevel="2" x14ac:dyDescent="0.3">
      <c r="P397" s="19" t="str">
        <f>++C278</f>
        <v>HoldCo Notes</v>
      </c>
      <c r="Q397" s="19"/>
      <c r="R397" s="19"/>
      <c r="S397" s="5">
        <f>++E280</f>
        <v>45838</v>
      </c>
      <c r="T397" s="5">
        <f>++E281</f>
        <v>47664</v>
      </c>
      <c r="U397" s="35" t="str">
        <f>++IF('Trade Ticket Input'!M293="SC","6 mo. SC",_xlfn.CONCAT('Trade Ticket Input'!M294,IF('Trade Ticket Input'!M295&lt;&gt;100,"/"&amp;'Trade Ticket Input'!M295,""),IF('Trade Ticket Input'!M296&lt;&gt;100,"/"&amp;'Trade Ticket Input'!M296,""),IF('Trade Ticket Input'!M297&lt;&gt;100,"/"&amp;'Trade Ticket Input'!M297,"")))</f>
        <v>102/101</v>
      </c>
      <c r="V397" s="35"/>
      <c r="W397" s="5" cm="1">
        <f t="array" ref="W397">++IF('Trade Ticket Input'!M293="SC",'Trade Ticket Input'!L293,INDEX('Trade Ticket Input'!L293:L297,MATCH(100,'Trade Ticket Input'!M293:M297,0)-1))</f>
        <v>46568</v>
      </c>
      <c r="X397" s="37">
        <f>++E284</f>
        <v>0</v>
      </c>
      <c r="Y397" s="37">
        <f>++E286</f>
        <v>0</v>
      </c>
      <c r="Z397" s="40">
        <f>++I280</f>
        <v>0</v>
      </c>
      <c r="AA397" s="40">
        <f>++I281</f>
        <v>0</v>
      </c>
      <c r="AB397" s="40">
        <f>++I282</f>
        <v>0</v>
      </c>
      <c r="AC397" s="40" t="str">
        <f>++IF(M280="Floating",M283,"n/a")</f>
        <v>n/a</v>
      </c>
      <c r="AD397" s="40">
        <f>++IF(M280="Floating",M287,M288)</f>
        <v>0</v>
      </c>
    </row>
    <row r="398" spans="1:30" hidden="1" outlineLevel="2" x14ac:dyDescent="0.3">
      <c r="P398" s="19" t="str">
        <f>++C308</f>
        <v>HoldCo DD Notes ($0.0MM)</v>
      </c>
      <c r="Q398" s="19"/>
      <c r="R398" s="19"/>
      <c r="S398" s="5">
        <f>++E310</f>
        <v>45838</v>
      </c>
      <c r="T398" s="5">
        <f>++E311</f>
        <v>47664</v>
      </c>
      <c r="U398" s="35" t="str">
        <f>++IF('Trade Ticket Input'!M323="SC","6 mo. SC",_xlfn.CONCAT('Trade Ticket Input'!M324,IF('Trade Ticket Input'!M325&lt;&gt;100,"/"&amp;'Trade Ticket Input'!M325,""),IF('Trade Ticket Input'!M326&lt;&gt;100,"/"&amp;'Trade Ticket Input'!M326,""),IF('Trade Ticket Input'!M327&lt;&gt;100,"/"&amp;'Trade Ticket Input'!M327,"")))</f>
        <v>102/101</v>
      </c>
      <c r="V398" s="35"/>
      <c r="W398" s="5" cm="1">
        <f t="array" ref="W398">++IF('Trade Ticket Input'!M323="SC",'Trade Ticket Input'!L323,INDEX('Trade Ticket Input'!L323:L327,MATCH(100,'Trade Ticket Input'!M323:M327,0)-1))</f>
        <v>46568</v>
      </c>
      <c r="X398" s="37">
        <f>++E314</f>
        <v>0</v>
      </c>
      <c r="Y398" s="37">
        <f>++E316</f>
        <v>0</v>
      </c>
      <c r="Z398" s="40">
        <f>++I310</f>
        <v>0</v>
      </c>
      <c r="AA398" s="40">
        <f>++I311</f>
        <v>0</v>
      </c>
      <c r="AB398" s="40">
        <f>++I312</f>
        <v>0</v>
      </c>
      <c r="AC398" s="40" t="str">
        <f>++IF(M310="Floating",M313,"n/a")</f>
        <v>n/a</v>
      </c>
      <c r="AD398" s="40">
        <f>++IF(M310="Floating",M317,M318)</f>
        <v>0</v>
      </c>
    </row>
    <row r="399" spans="1:30" hidden="1" outlineLevel="2" x14ac:dyDescent="0.3">
      <c r="P399" s="19" t="str">
        <f>++C338</f>
        <v>Preferred Equity</v>
      </c>
      <c r="Q399" s="19"/>
      <c r="R399" s="19"/>
      <c r="S399" s="5">
        <f>++E340</f>
        <v>45838</v>
      </c>
      <c r="T399" s="5">
        <f>++E341</f>
        <v>47664</v>
      </c>
      <c r="U399" s="35" t="str">
        <f>++IF('Trade Ticket Input'!M353="SC","6 mo. SC",_xlfn.CONCAT('Trade Ticket Input'!M354,IF('Trade Ticket Input'!M355&lt;&gt;100,"/"&amp;'Trade Ticket Input'!M355,""),IF('Trade Ticket Input'!M356&lt;&gt;100,"/"&amp;'Trade Ticket Input'!M356,""),IF('Trade Ticket Input'!M357&lt;&gt;100,"/"&amp;'Trade Ticket Input'!M357,"")))</f>
        <v>102/101</v>
      </c>
      <c r="V399" s="35"/>
      <c r="W399" s="5" cm="1">
        <f t="array" ref="W399">++IF('Trade Ticket Input'!M353="SC",'Trade Ticket Input'!L353,INDEX('Trade Ticket Input'!L353:L357,MATCH(100,'Trade Ticket Input'!M353:M357,0)-1))</f>
        <v>46568</v>
      </c>
      <c r="X399" s="37">
        <f>++E344</f>
        <v>0</v>
      </c>
      <c r="Y399" s="37">
        <f>++E346</f>
        <v>0</v>
      </c>
      <c r="Z399" s="40">
        <f>++I340</f>
        <v>0</v>
      </c>
      <c r="AA399" s="40">
        <f>++I341</f>
        <v>0</v>
      </c>
      <c r="AB399" s="40">
        <f>++I342</f>
        <v>0</v>
      </c>
      <c r="AC399" s="40" t="str">
        <f>++IF(M340="Floating",M343,"n/a")</f>
        <v>n/a</v>
      </c>
      <c r="AD399" s="40">
        <f>++IF(M340="Floating",M347,M348)</f>
        <v>0</v>
      </c>
    </row>
    <row r="400" spans="1:30" collapsed="1" x14ac:dyDescent="0.3">
      <c r="P400" s="19" t="str">
        <f>++C368</f>
        <v>Common Equity</v>
      </c>
      <c r="Q400" s="19"/>
      <c r="R400" s="19"/>
      <c r="S400" s="5">
        <f>++E370</f>
        <v>45838</v>
      </c>
      <c r="T400" s="97" t="s">
        <v>47</v>
      </c>
      <c r="U400" s="96" t="s">
        <v>47</v>
      </c>
      <c r="V400" s="35"/>
      <c r="W400" s="97" t="s">
        <v>47</v>
      </c>
      <c r="X400" s="37">
        <f>++E372</f>
        <v>0</v>
      </c>
      <c r="Y400" s="37">
        <f>++E374</f>
        <v>0</v>
      </c>
      <c r="Z400" s="98" t="s">
        <v>47</v>
      </c>
      <c r="AA400" s="98" t="s">
        <v>47</v>
      </c>
      <c r="AB400" s="98" t="s">
        <v>47</v>
      </c>
      <c r="AC400" s="98" t="s">
        <v>47</v>
      </c>
      <c r="AD400" s="98" t="s">
        <v>47</v>
      </c>
    </row>
  </sheetData>
  <mergeCells count="13">
    <mergeCell ref="C378:M383"/>
    <mergeCell ref="C210:M215"/>
    <mergeCell ref="C240:M245"/>
    <mergeCell ref="C270:M275"/>
    <mergeCell ref="C300:M305"/>
    <mergeCell ref="C330:M335"/>
    <mergeCell ref="C360:M365"/>
    <mergeCell ref="C180:M185"/>
    <mergeCell ref="C30:M35"/>
    <mergeCell ref="C60:M65"/>
    <mergeCell ref="C90:M95"/>
    <mergeCell ref="C120:M125"/>
    <mergeCell ref="C150:M155"/>
  </mergeCells>
  <printOptions horizontalCentered="1"/>
  <pageMargins left="0.25" right="0.25" top="0.25" bottom="0.25" header="0.3" footer="0.3"/>
  <pageSetup scale="65" fitToHeight="0" orientation="portrait" r:id="rId1"/>
  <customProperties>
    <customPr name="OrphanNamesChecked" r:id="rId2"/>
  </customProperties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7A8B0C4C-A4AE-4853-9232-0B78A65AC618}">
          <x14:formula1>
            <xm:f>'Data Validation'!$C$8:$C$10</xm:f>
          </x14:formula1>
          <xm:sqref>M10 M220 M190 M160 M130 M100 M40 M310 M70 M280 M250 M340</xm:sqref>
        </x14:dataValidation>
        <x14:dataValidation type="list" allowBlank="1" showInputMessage="1" showErrorMessage="1" xr:uid="{7F2B0BA8-06F2-4BF7-830F-1585BBE5E5F0}">
          <x14:formula1>
            <xm:f>'Data Validation'!$C$14:$C$19</xm:f>
          </x14:formula1>
          <xm:sqref>M12 M222 M252 M282 M72 M312 M42 M102 M132 M162 M192 M342</xm:sqref>
        </x14:dataValidation>
        <x14:dataValidation type="list" allowBlank="1" showInputMessage="1" showErrorMessage="1" xr:uid="{674D4619-A93A-4101-81C8-70C1E3E78FF2}">
          <x14:formula1>
            <xm:f>'Data Validation'!$C$23:$C$28</xm:f>
          </x14:formula1>
          <xm:sqref>M11 M221 M191 M161 M131 M101 M41 M311 M71 M281 M251 M341</xm:sqref>
        </x14:dataValidation>
        <x14:dataValidation type="list" allowBlank="1" showInputMessage="1" showErrorMessage="1" xr:uid="{4FBABD79-EA09-41EE-9F4F-3A64FF37789B}">
          <x14:formula1>
            <xm:f>'Data Validation'!$C$32:$C$34</xm:f>
          </x14:formula1>
          <xm:sqref>M370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0387-694E-426B-B3B8-EC67AA80A85F}">
  <sheetPr codeName="Sheet8">
    <tabColor theme="5" tint="0.79998168889431442"/>
    <pageSetUpPr fitToPage="1"/>
  </sheetPr>
  <dimension ref="A1:N31"/>
  <sheetViews>
    <sheetView showGridLines="0" view="pageBreakPreview" zoomScale="85" zoomScaleNormal="85" zoomScaleSheetLayoutView="85" workbookViewId="0">
      <pane xSplit="5" ySplit="9" topLeftCell="F10" activePane="bottomRight" state="frozen"/>
      <selection activeCell="F9" sqref="F9"/>
      <selection pane="topRight" activeCell="F9" sqref="F9"/>
      <selection pane="bottomLeft" activeCell="F9" sqref="F9"/>
      <selection pane="bottomRight" activeCell="F10" sqref="F10"/>
    </sheetView>
  </sheetViews>
  <sheetFormatPr defaultColWidth="9.296875" defaultRowHeight="13" x14ac:dyDescent="0.3"/>
  <cols>
    <col min="1" max="2" width="2.796875" style="1" customWidth="1"/>
    <col min="3" max="14" width="13.296875" style="1" customWidth="1"/>
    <col min="15" max="16384" width="9.296875" style="1"/>
  </cols>
  <sheetData>
    <row r="1" spans="1:14" x14ac:dyDescent="0.3">
      <c r="C1" s="2" t="str">
        <f>++Dashboard!$C$1</f>
        <v>[Company Name]</v>
      </c>
      <c r="D1" s="3"/>
      <c r="E1" s="4"/>
    </row>
    <row r="2" spans="1:14" x14ac:dyDescent="0.3">
      <c r="C2" s="10" t="s">
        <v>148</v>
      </c>
      <c r="D2" s="11"/>
      <c r="E2" s="12"/>
    </row>
    <row r="3" spans="1:14" x14ac:dyDescent="0.3">
      <c r="C3" s="13" t="str">
        <f ca="1">++TEXT(TODAY(),"MMMM D, YYYY")</f>
        <v>February 26, 2026</v>
      </c>
      <c r="D3" s="14"/>
      <c r="E3" s="15"/>
    </row>
    <row r="5" spans="1:14" x14ac:dyDescent="0.3">
      <c r="A5" s="16" t="s">
        <v>0</v>
      </c>
      <c r="B5" s="16" t="s">
        <v>0</v>
      </c>
      <c r="C5" s="146" t="str">
        <f>++C2</f>
        <v>Add-on M&amp;A Summary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</row>
    <row r="6" spans="1:14" ht="5.15" customHeight="1" x14ac:dyDescent="0.3"/>
    <row r="7" spans="1:14" ht="14.5" x14ac:dyDescent="0.3">
      <c r="C7" s="100" t="s">
        <v>1</v>
      </c>
      <c r="D7" s="101"/>
      <c r="E7" s="72"/>
      <c r="F7" s="336" t="s">
        <v>110</v>
      </c>
      <c r="G7" s="336"/>
      <c r="H7" s="336"/>
      <c r="I7" s="336"/>
      <c r="J7" s="336" t="s">
        <v>89</v>
      </c>
      <c r="K7" s="336"/>
      <c r="L7" s="336"/>
      <c r="M7" s="336" t="s">
        <v>114</v>
      </c>
      <c r="N7" s="336"/>
    </row>
    <row r="8" spans="1:14" ht="14.5" x14ac:dyDescent="0.45">
      <c r="C8" s="51" t="s">
        <v>98</v>
      </c>
      <c r="D8" s="51" t="s">
        <v>100</v>
      </c>
      <c r="E8" s="51"/>
      <c r="F8" s="68" t="s">
        <v>111</v>
      </c>
      <c r="G8" s="68" t="s">
        <v>112</v>
      </c>
      <c r="H8" s="68" t="s">
        <v>113</v>
      </c>
      <c r="I8" s="68" t="s">
        <v>46</v>
      </c>
      <c r="J8" s="68" t="s">
        <v>64</v>
      </c>
      <c r="K8" s="68" t="s">
        <v>86</v>
      </c>
      <c r="L8" s="68" t="s">
        <v>67</v>
      </c>
      <c r="M8" s="68" t="s">
        <v>111</v>
      </c>
      <c r="N8" s="68" t="s">
        <v>46</v>
      </c>
    </row>
    <row r="9" spans="1:14" ht="5.15" customHeight="1" x14ac:dyDescent="0.3">
      <c r="C9" s="72"/>
      <c r="D9" s="72"/>
      <c r="E9" s="72"/>
      <c r="F9" s="72"/>
      <c r="G9" s="72"/>
      <c r="H9" s="72"/>
      <c r="I9" s="72"/>
      <c r="J9" s="72"/>
      <c r="K9" s="72"/>
      <c r="L9" s="72"/>
      <c r="N9" s="72"/>
    </row>
    <row r="10" spans="1:14" x14ac:dyDescent="0.3">
      <c r="A10" s="16" t="s">
        <v>0</v>
      </c>
      <c r="B10" s="16" t="s">
        <v>0</v>
      </c>
      <c r="C10" s="325">
        <v>0</v>
      </c>
      <c r="D10" s="326" t="s">
        <v>383</v>
      </c>
      <c r="E10" s="327"/>
      <c r="F10" s="328">
        <v>0</v>
      </c>
      <c r="G10" s="328">
        <v>0</v>
      </c>
      <c r="H10" s="328">
        <v>0</v>
      </c>
      <c r="I10" s="339">
        <f t="shared" ref="I10" si="0">++SUM(F10:H10)</f>
        <v>0</v>
      </c>
      <c r="J10" s="328">
        <v>0</v>
      </c>
      <c r="K10" s="328">
        <v>0</v>
      </c>
      <c r="L10" s="337">
        <f t="shared" ref="L10" si="1">++IFERROR(K10/J10,0)</f>
        <v>0</v>
      </c>
      <c r="M10" s="338">
        <f t="shared" ref="M10" si="2">++IFERROR(F10/$K10,0)</f>
        <v>0</v>
      </c>
      <c r="N10" s="338">
        <f t="shared" ref="N10" si="3">++IFERROR(I10/$K10,0)</f>
        <v>0</v>
      </c>
    </row>
    <row r="11" spans="1:14" x14ac:dyDescent="0.3">
      <c r="C11" s="103">
        <v>0</v>
      </c>
      <c r="D11" s="71" t="s">
        <v>384</v>
      </c>
      <c r="E11" s="70"/>
      <c r="F11" s="73">
        <v>0</v>
      </c>
      <c r="G11" s="73">
        <v>0</v>
      </c>
      <c r="H11" s="73">
        <v>0</v>
      </c>
      <c r="I11" s="44">
        <f t="shared" ref="I11:I23" si="4">++SUM(F11:H11)</f>
        <v>0</v>
      </c>
      <c r="J11" s="73">
        <v>0</v>
      </c>
      <c r="K11" s="73">
        <v>0</v>
      </c>
      <c r="L11" s="57">
        <f t="shared" ref="L11:L23" si="5">++IFERROR(K11/J11,0)</f>
        <v>0</v>
      </c>
      <c r="M11" s="55">
        <f t="shared" ref="M11:M23" si="6">++IFERROR(F11/$K11,0)</f>
        <v>0</v>
      </c>
      <c r="N11" s="55">
        <f t="shared" ref="N11:N23" si="7">++IFERROR(I11/$K11,0)</f>
        <v>0</v>
      </c>
    </row>
    <row r="12" spans="1:14" x14ac:dyDescent="0.3">
      <c r="C12" s="103">
        <v>0</v>
      </c>
      <c r="D12" s="71" t="s">
        <v>384</v>
      </c>
      <c r="E12" s="70"/>
      <c r="F12" s="73">
        <v>0</v>
      </c>
      <c r="G12" s="73">
        <v>0</v>
      </c>
      <c r="H12" s="73">
        <v>0</v>
      </c>
      <c r="I12" s="44">
        <f t="shared" si="4"/>
        <v>0</v>
      </c>
      <c r="J12" s="73">
        <v>0</v>
      </c>
      <c r="K12" s="73">
        <v>0</v>
      </c>
      <c r="L12" s="57">
        <f t="shared" si="5"/>
        <v>0</v>
      </c>
      <c r="M12" s="55">
        <f t="shared" si="6"/>
        <v>0</v>
      </c>
      <c r="N12" s="55">
        <f t="shared" si="7"/>
        <v>0</v>
      </c>
    </row>
    <row r="13" spans="1:14" x14ac:dyDescent="0.3">
      <c r="C13" s="103">
        <v>0</v>
      </c>
      <c r="D13" s="71" t="s">
        <v>384</v>
      </c>
      <c r="E13" s="70"/>
      <c r="F13" s="73">
        <v>0</v>
      </c>
      <c r="G13" s="73">
        <v>0</v>
      </c>
      <c r="H13" s="73">
        <v>0</v>
      </c>
      <c r="I13" s="44">
        <f t="shared" si="4"/>
        <v>0</v>
      </c>
      <c r="J13" s="73">
        <v>0</v>
      </c>
      <c r="K13" s="73">
        <v>0</v>
      </c>
      <c r="L13" s="57">
        <f t="shared" si="5"/>
        <v>0</v>
      </c>
      <c r="M13" s="55">
        <f t="shared" si="6"/>
        <v>0</v>
      </c>
      <c r="N13" s="55">
        <f t="shared" si="7"/>
        <v>0</v>
      </c>
    </row>
    <row r="14" spans="1:14" x14ac:dyDescent="0.3">
      <c r="C14" s="103">
        <v>0</v>
      </c>
      <c r="D14" s="71" t="s">
        <v>384</v>
      </c>
      <c r="E14" s="70"/>
      <c r="F14" s="73">
        <v>0</v>
      </c>
      <c r="G14" s="73">
        <v>0</v>
      </c>
      <c r="H14" s="73">
        <v>0</v>
      </c>
      <c r="I14" s="44">
        <f t="shared" si="4"/>
        <v>0</v>
      </c>
      <c r="J14" s="73">
        <v>0</v>
      </c>
      <c r="K14" s="73">
        <v>0</v>
      </c>
      <c r="L14" s="57">
        <f t="shared" si="5"/>
        <v>0</v>
      </c>
      <c r="M14" s="55">
        <f t="shared" si="6"/>
        <v>0</v>
      </c>
      <c r="N14" s="55">
        <f t="shared" si="7"/>
        <v>0</v>
      </c>
    </row>
    <row r="15" spans="1:14" x14ac:dyDescent="0.3">
      <c r="C15" s="103">
        <v>0</v>
      </c>
      <c r="D15" s="71" t="s">
        <v>384</v>
      </c>
      <c r="E15" s="70"/>
      <c r="F15" s="73">
        <v>0</v>
      </c>
      <c r="G15" s="73">
        <v>0</v>
      </c>
      <c r="H15" s="73">
        <v>0</v>
      </c>
      <c r="I15" s="44">
        <f t="shared" si="4"/>
        <v>0</v>
      </c>
      <c r="J15" s="73">
        <v>0</v>
      </c>
      <c r="K15" s="73">
        <v>0</v>
      </c>
      <c r="L15" s="57">
        <f t="shared" si="5"/>
        <v>0</v>
      </c>
      <c r="M15" s="55">
        <f t="shared" si="6"/>
        <v>0</v>
      </c>
      <c r="N15" s="55">
        <f t="shared" si="7"/>
        <v>0</v>
      </c>
    </row>
    <row r="16" spans="1:14" x14ac:dyDescent="0.3">
      <c r="C16" s="103">
        <v>0</v>
      </c>
      <c r="D16" s="71" t="s">
        <v>384</v>
      </c>
      <c r="E16" s="70"/>
      <c r="F16" s="73">
        <v>0</v>
      </c>
      <c r="G16" s="73">
        <v>0</v>
      </c>
      <c r="H16" s="73">
        <v>0</v>
      </c>
      <c r="I16" s="44">
        <f t="shared" si="4"/>
        <v>0</v>
      </c>
      <c r="J16" s="73">
        <v>0</v>
      </c>
      <c r="K16" s="73">
        <v>0</v>
      </c>
      <c r="L16" s="57">
        <f t="shared" si="5"/>
        <v>0</v>
      </c>
      <c r="M16" s="55">
        <f t="shared" si="6"/>
        <v>0</v>
      </c>
      <c r="N16" s="55">
        <f t="shared" si="7"/>
        <v>0</v>
      </c>
    </row>
    <row r="17" spans="1:14" x14ac:dyDescent="0.3">
      <c r="C17" s="103">
        <v>0</v>
      </c>
      <c r="D17" s="71" t="s">
        <v>384</v>
      </c>
      <c r="E17" s="70"/>
      <c r="F17" s="73">
        <v>0</v>
      </c>
      <c r="G17" s="73">
        <v>0</v>
      </c>
      <c r="H17" s="73">
        <v>0</v>
      </c>
      <c r="I17" s="44">
        <f t="shared" si="4"/>
        <v>0</v>
      </c>
      <c r="J17" s="73">
        <v>0</v>
      </c>
      <c r="K17" s="73">
        <v>0</v>
      </c>
      <c r="L17" s="57">
        <f t="shared" si="5"/>
        <v>0</v>
      </c>
      <c r="M17" s="55">
        <f t="shared" si="6"/>
        <v>0</v>
      </c>
      <c r="N17" s="55">
        <f t="shared" si="7"/>
        <v>0</v>
      </c>
    </row>
    <row r="18" spans="1:14" x14ac:dyDescent="0.3">
      <c r="C18" s="103">
        <v>0</v>
      </c>
      <c r="D18" s="71" t="s">
        <v>384</v>
      </c>
      <c r="E18" s="70"/>
      <c r="F18" s="73">
        <v>0</v>
      </c>
      <c r="G18" s="73">
        <v>0</v>
      </c>
      <c r="H18" s="73">
        <v>0</v>
      </c>
      <c r="I18" s="44">
        <f t="shared" si="4"/>
        <v>0</v>
      </c>
      <c r="J18" s="73">
        <v>0</v>
      </c>
      <c r="K18" s="73">
        <v>0</v>
      </c>
      <c r="L18" s="57">
        <f t="shared" si="5"/>
        <v>0</v>
      </c>
      <c r="M18" s="55">
        <f t="shared" si="6"/>
        <v>0</v>
      </c>
      <c r="N18" s="55">
        <f t="shared" si="7"/>
        <v>0</v>
      </c>
    </row>
    <row r="19" spans="1:14" x14ac:dyDescent="0.3">
      <c r="C19" s="103">
        <v>0</v>
      </c>
      <c r="D19" s="71" t="s">
        <v>384</v>
      </c>
      <c r="E19" s="70"/>
      <c r="F19" s="73">
        <v>0</v>
      </c>
      <c r="G19" s="73">
        <v>0</v>
      </c>
      <c r="H19" s="73">
        <v>0</v>
      </c>
      <c r="I19" s="44">
        <f t="shared" si="4"/>
        <v>0</v>
      </c>
      <c r="J19" s="73">
        <v>0</v>
      </c>
      <c r="K19" s="73">
        <v>0</v>
      </c>
      <c r="L19" s="57">
        <f t="shared" si="5"/>
        <v>0</v>
      </c>
      <c r="M19" s="55">
        <f t="shared" si="6"/>
        <v>0</v>
      </c>
      <c r="N19" s="55">
        <f t="shared" si="7"/>
        <v>0</v>
      </c>
    </row>
    <row r="20" spans="1:14" x14ac:dyDescent="0.3">
      <c r="C20" s="103">
        <v>0</v>
      </c>
      <c r="D20" s="71" t="s">
        <v>384</v>
      </c>
      <c r="E20" s="70"/>
      <c r="F20" s="73">
        <v>0</v>
      </c>
      <c r="G20" s="73">
        <v>0</v>
      </c>
      <c r="H20" s="73">
        <v>0</v>
      </c>
      <c r="I20" s="44">
        <f t="shared" si="4"/>
        <v>0</v>
      </c>
      <c r="J20" s="73">
        <v>0</v>
      </c>
      <c r="K20" s="73">
        <v>0</v>
      </c>
      <c r="L20" s="57">
        <f t="shared" si="5"/>
        <v>0</v>
      </c>
      <c r="M20" s="55">
        <f t="shared" si="6"/>
        <v>0</v>
      </c>
      <c r="N20" s="55">
        <f t="shared" si="7"/>
        <v>0</v>
      </c>
    </row>
    <row r="21" spans="1:14" x14ac:dyDescent="0.3">
      <c r="C21" s="103">
        <v>0</v>
      </c>
      <c r="D21" s="71" t="s">
        <v>384</v>
      </c>
      <c r="E21" s="70"/>
      <c r="F21" s="73">
        <v>0</v>
      </c>
      <c r="G21" s="73">
        <v>0</v>
      </c>
      <c r="H21" s="73">
        <v>0</v>
      </c>
      <c r="I21" s="44">
        <f t="shared" si="4"/>
        <v>0</v>
      </c>
      <c r="J21" s="73">
        <v>0</v>
      </c>
      <c r="K21" s="73">
        <v>0</v>
      </c>
      <c r="L21" s="57">
        <f t="shared" si="5"/>
        <v>0</v>
      </c>
      <c r="M21" s="55">
        <f t="shared" si="6"/>
        <v>0</v>
      </c>
      <c r="N21" s="55">
        <f t="shared" si="7"/>
        <v>0</v>
      </c>
    </row>
    <row r="22" spans="1:14" x14ac:dyDescent="0.3">
      <c r="C22" s="103">
        <v>0</v>
      </c>
      <c r="D22" s="71" t="s">
        <v>384</v>
      </c>
      <c r="E22" s="70"/>
      <c r="F22" s="73">
        <v>0</v>
      </c>
      <c r="G22" s="73">
        <v>0</v>
      </c>
      <c r="H22" s="73">
        <v>0</v>
      </c>
      <c r="I22" s="44">
        <f t="shared" si="4"/>
        <v>0</v>
      </c>
      <c r="J22" s="73">
        <v>0</v>
      </c>
      <c r="K22" s="73">
        <v>0</v>
      </c>
      <c r="L22" s="57">
        <f t="shared" si="5"/>
        <v>0</v>
      </c>
      <c r="M22" s="55">
        <f t="shared" si="6"/>
        <v>0</v>
      </c>
      <c r="N22" s="55">
        <f t="shared" si="7"/>
        <v>0</v>
      </c>
    </row>
    <row r="23" spans="1:14" x14ac:dyDescent="0.3">
      <c r="C23" s="103">
        <v>0</v>
      </c>
      <c r="D23" s="71" t="s">
        <v>384</v>
      </c>
      <c r="E23" s="70"/>
      <c r="F23" s="73">
        <v>0</v>
      </c>
      <c r="G23" s="73">
        <v>0</v>
      </c>
      <c r="H23" s="73">
        <v>0</v>
      </c>
      <c r="I23" s="44">
        <f t="shared" si="4"/>
        <v>0</v>
      </c>
      <c r="J23" s="73">
        <v>0</v>
      </c>
      <c r="K23" s="73">
        <v>0</v>
      </c>
      <c r="L23" s="57">
        <f t="shared" si="5"/>
        <v>0</v>
      </c>
      <c r="M23" s="55">
        <f t="shared" si="6"/>
        <v>0</v>
      </c>
      <c r="N23" s="55">
        <f t="shared" si="7"/>
        <v>0</v>
      </c>
    </row>
    <row r="24" spans="1:14" ht="5.15" customHeight="1" x14ac:dyDescent="0.3">
      <c r="C24" s="72"/>
      <c r="D24" s="72"/>
      <c r="E24" s="72"/>
      <c r="F24" s="72"/>
      <c r="G24" s="72"/>
      <c r="H24" s="72"/>
      <c r="I24" s="72"/>
      <c r="J24" s="72"/>
      <c r="K24" s="72"/>
      <c r="L24" s="72"/>
      <c r="N24" s="72"/>
    </row>
    <row r="25" spans="1:14" x14ac:dyDescent="0.3">
      <c r="C25" s="329" t="s">
        <v>115</v>
      </c>
      <c r="D25" s="156"/>
      <c r="E25" s="156"/>
      <c r="F25" s="300">
        <f t="shared" ref="F25:K25" si="8">++SUM(F11:F24)</f>
        <v>0</v>
      </c>
      <c r="G25" s="300">
        <f t="shared" si="8"/>
        <v>0</v>
      </c>
      <c r="H25" s="300">
        <f t="shared" si="8"/>
        <v>0</v>
      </c>
      <c r="I25" s="300">
        <f t="shared" si="8"/>
        <v>0</v>
      </c>
      <c r="J25" s="300">
        <f t="shared" si="8"/>
        <v>0</v>
      </c>
      <c r="K25" s="300">
        <f t="shared" si="8"/>
        <v>0</v>
      </c>
      <c r="L25" s="330">
        <f t="shared" ref="L25:L26" si="9">++IFERROR(K25/J25,0)</f>
        <v>0</v>
      </c>
      <c r="M25" s="301">
        <f>++IFERROR(F25/$K25,0)</f>
        <v>0</v>
      </c>
      <c r="N25" s="301">
        <f>++IFERROR(I25/$K25,0)</f>
        <v>0</v>
      </c>
    </row>
    <row r="26" spans="1:14" ht="13.5" thickBot="1" x14ac:dyDescent="0.35">
      <c r="C26" s="331" t="s">
        <v>116</v>
      </c>
      <c r="D26" s="332"/>
      <c r="E26" s="332"/>
      <c r="F26" s="333">
        <f t="shared" ref="F26:K26" si="10">++SUM(F10:F24)</f>
        <v>0</v>
      </c>
      <c r="G26" s="333">
        <f t="shared" si="10"/>
        <v>0</v>
      </c>
      <c r="H26" s="333">
        <f t="shared" si="10"/>
        <v>0</v>
      </c>
      <c r="I26" s="333">
        <f t="shared" si="10"/>
        <v>0</v>
      </c>
      <c r="J26" s="333">
        <f t="shared" si="10"/>
        <v>0</v>
      </c>
      <c r="K26" s="333">
        <f t="shared" si="10"/>
        <v>0</v>
      </c>
      <c r="L26" s="334">
        <f t="shared" si="9"/>
        <v>0</v>
      </c>
      <c r="M26" s="335">
        <f>++IFERROR(F26/$K26,0)</f>
        <v>0</v>
      </c>
      <c r="N26" s="335">
        <f>++IFERROR(I26/$K26,0)</f>
        <v>0</v>
      </c>
    </row>
    <row r="27" spans="1:14" ht="5.15" customHeight="1" thickTop="1" x14ac:dyDescent="0.3"/>
    <row r="28" spans="1:14" x14ac:dyDescent="0.3">
      <c r="C28" s="99" t="s">
        <v>385</v>
      </c>
    </row>
    <row r="31" spans="1:14" x14ac:dyDescent="0.3">
      <c r="A31" s="16" t="s">
        <v>0</v>
      </c>
      <c r="B31" s="16" t="s">
        <v>0</v>
      </c>
    </row>
  </sheetData>
  <sortState xmlns:xlrd2="http://schemas.microsoft.com/office/spreadsheetml/2017/richdata2" ref="A11:N15">
    <sortCondition ref="C11:C15"/>
  </sortState>
  <printOptions horizontalCentered="1"/>
  <pageMargins left="0.25" right="0.25" top="0.25" bottom="0.25" header="0.3" footer="0.3"/>
  <pageSetup scale="94" fitToHeight="0" orientation="landscape" r:id="rId1"/>
  <customProperties>
    <customPr name="OrphanNamesChecked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ECD0-2C15-4DAB-8CE6-BFFF9B6D6EEF}">
  <sheetPr codeName="Sheet11">
    <tabColor theme="5" tint="0.79998168889431442"/>
    <pageSetUpPr fitToPage="1"/>
  </sheetPr>
  <dimension ref="A1:Z34"/>
  <sheetViews>
    <sheetView showGridLines="0" view="pageBreakPreview" zoomScale="85" zoomScaleNormal="85" zoomScaleSheetLayoutView="85" workbookViewId="0">
      <pane xSplit="2" ySplit="9" topLeftCell="C10" activePane="bottomRight" state="frozen"/>
      <selection activeCell="F9" sqref="F9"/>
      <selection pane="topRight" activeCell="F9" sqref="F9"/>
      <selection pane="bottomLeft" activeCell="F9" sqref="F9"/>
      <selection pane="bottomRight" activeCell="C10" sqref="C10"/>
    </sheetView>
  </sheetViews>
  <sheetFormatPr defaultColWidth="9.296875" defaultRowHeight="13" outlineLevelCol="1" x14ac:dyDescent="0.3"/>
  <cols>
    <col min="1" max="2" width="2.796875" style="1" customWidth="1"/>
    <col min="3" max="13" width="13.296875" style="1" customWidth="1"/>
    <col min="14" max="15" width="9.296875" style="1"/>
    <col min="16" max="18" width="13.296875" style="1" hidden="1" customWidth="1" outlineLevel="1"/>
    <col min="19" max="19" width="9.296875" style="1" hidden="1" customWidth="1" outlineLevel="1"/>
    <col min="20" max="25" width="13.296875" style="1" hidden="1" customWidth="1" outlineLevel="1"/>
    <col min="26" max="26" width="9.296875" style="1" collapsed="1"/>
    <col min="27" max="16384" width="9.296875" style="1"/>
  </cols>
  <sheetData>
    <row r="1" spans="1:25" x14ac:dyDescent="0.3">
      <c r="C1" s="2" t="str">
        <f>++Dashboard!$C$1</f>
        <v>[Company Name]</v>
      </c>
      <c r="D1" s="3"/>
      <c r="E1" s="4"/>
      <c r="P1" s="7" t="s">
        <v>155</v>
      </c>
      <c r="Q1" s="109"/>
      <c r="R1" s="110">
        <v>10</v>
      </c>
    </row>
    <row r="2" spans="1:25" x14ac:dyDescent="0.3">
      <c r="C2" s="10" t="s">
        <v>149</v>
      </c>
      <c r="D2" s="11"/>
      <c r="E2" s="12"/>
      <c r="P2" s="7" t="s">
        <v>156</v>
      </c>
      <c r="Q2" s="109"/>
      <c r="R2" s="110">
        <v>35</v>
      </c>
    </row>
    <row r="3" spans="1:25" x14ac:dyDescent="0.3">
      <c r="C3" s="13" t="str">
        <f ca="1">++TEXT(TODAY(),"MMMM D, YYYY")</f>
        <v>February 26, 2026</v>
      </c>
      <c r="D3" s="14"/>
      <c r="E3" s="15"/>
      <c r="P3" s="7" t="s">
        <v>151</v>
      </c>
      <c r="Q3" s="109"/>
      <c r="R3" s="110">
        <v>50</v>
      </c>
    </row>
    <row r="5" spans="1:25" x14ac:dyDescent="0.3">
      <c r="A5" s="16" t="s">
        <v>0</v>
      </c>
      <c r="B5" s="16" t="s">
        <v>0</v>
      </c>
      <c r="C5" s="146" t="str">
        <f>++C2</f>
        <v>Public Comparable Companies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</row>
    <row r="6" spans="1:25" ht="5.15" customHeight="1" x14ac:dyDescent="0.3"/>
    <row r="7" spans="1:25" ht="14.5" x14ac:dyDescent="0.45">
      <c r="C7" s="186" t="s">
        <v>96</v>
      </c>
      <c r="D7" s="101"/>
      <c r="E7" s="101"/>
      <c r="F7" s="101"/>
      <c r="G7" s="101"/>
      <c r="H7" s="51" t="s">
        <v>89</v>
      </c>
      <c r="I7" s="51"/>
      <c r="J7" s="51"/>
      <c r="K7" s="187" t="s">
        <v>90</v>
      </c>
      <c r="L7" s="51" t="s">
        <v>158</v>
      </c>
      <c r="M7" s="51"/>
    </row>
    <row r="8" spans="1:25" ht="14.5" x14ac:dyDescent="0.45">
      <c r="C8" s="51" t="s">
        <v>85</v>
      </c>
      <c r="D8" s="51"/>
      <c r="E8" s="51"/>
      <c r="F8" s="188" t="s">
        <v>88</v>
      </c>
      <c r="G8" s="188" t="s">
        <v>87</v>
      </c>
      <c r="H8" s="51" t="s">
        <v>64</v>
      </c>
      <c r="I8" s="188" t="s">
        <v>86</v>
      </c>
      <c r="J8" s="188" t="s">
        <v>67</v>
      </c>
      <c r="K8" s="188" t="s">
        <v>91</v>
      </c>
      <c r="L8" s="188" t="s">
        <v>64</v>
      </c>
      <c r="M8" s="188" t="s">
        <v>86</v>
      </c>
      <c r="P8" s="111" t="s">
        <v>144</v>
      </c>
      <c r="Q8" s="112" t="s">
        <v>150</v>
      </c>
      <c r="R8" s="113" t="s">
        <v>153</v>
      </c>
      <c r="T8" s="111" t="s">
        <v>144</v>
      </c>
      <c r="U8" s="112" t="s">
        <v>150</v>
      </c>
      <c r="V8" s="114" t="s">
        <v>88</v>
      </c>
      <c r="W8" s="115" t="s">
        <v>145</v>
      </c>
      <c r="X8" s="115" t="s">
        <v>152</v>
      </c>
      <c r="Y8" s="116" t="s">
        <v>153</v>
      </c>
    </row>
    <row r="9" spans="1:25" ht="5.15" customHeight="1" x14ac:dyDescent="0.3"/>
    <row r="10" spans="1:25" x14ac:dyDescent="0.3">
      <c r="C10" s="19" t="e">
        <f ca="1">_xll.ciqfunctions.udf.CIQ(Q10, "IQ_COMPANY_NAME")</f>
        <v>#NAME?</v>
      </c>
      <c r="D10" s="19"/>
      <c r="E10" s="19"/>
      <c r="F10" s="37" t="e">
        <f ca="1">_xll.ciqfunctions.udf.CIQ(Q10, "IQ_TEV", LTMDate, "USD")</f>
        <v>#NAME?</v>
      </c>
      <c r="G10" s="37" t="e">
        <f ca="1">_xll.ciqfunctions.udf.CIQ(Q10, "IQ_MARKETCAP", LTMDate, "USD")</f>
        <v>#NAME?</v>
      </c>
      <c r="H10" s="37" t="e">
        <f ca="1">_xll.ciqfunctions.udf.CIQ(Q10, "IQ_TOTAL_REV", IQ_LTM, LTMDate, , , "USD")</f>
        <v>#NAME?</v>
      </c>
      <c r="I10" s="37" t="e">
        <f ca="1">_xll.ciqfunctions.udf.CIQ(Q10, "IQ_EBITDA", IQ_LTM, LTMDate, , , "USD")</f>
        <v>#NAME?</v>
      </c>
      <c r="J10" s="57" t="str">
        <f ca="1">++IFERROR(I10/H10,"n/a")</f>
        <v>n/a</v>
      </c>
      <c r="K10" s="57" t="str">
        <f ca="1">IFERROR(_xll.ciqfunctions.udf.CIQ(Q10, "IQ_TOTAL_REV_5YR_ANN_CAGR", IQ_LTM, LTMDate)/100,"n/a")</f>
        <v>n/a</v>
      </c>
      <c r="L10" s="55" t="str">
        <f ca="1">++IF(OR(IFERROR($F10/H10,"n/a")&gt;$R$1,IFERROR($F10/H10,"n/a")&lt;=0),"nmf",IFERROR($F10/H10,"n/a"))</f>
        <v>nmf</v>
      </c>
      <c r="M10" s="55" t="str">
        <f ca="1">++IF(OR(IFERROR($F10/I10,"n/a")&gt;$R$2,IFERROR($F10/I10,"n/a")&lt;=0),"nmf",IFERROR($F10/I10,"n/a"))</f>
        <v>nmf</v>
      </c>
      <c r="P10" s="117">
        <v>1</v>
      </c>
      <c r="Q10" s="106" t="e">
        <f t="shared" ref="Q10:Q17" ca="1" si="0">++INDEX(U$10:U$23,MATCH($P10,$T$10:$T$23,0))</f>
        <v>#N/A</v>
      </c>
      <c r="R10" s="118" t="e">
        <f t="shared" ref="R10:R17" ca="1" si="1">++INDEX(Y$10:Y$23,MATCH($P10,$T$10:$T$23,0))</f>
        <v>#N/A</v>
      </c>
      <c r="T10" s="90" t="e">
        <f t="shared" ref="T10:T17" ca="1" si="2">++_xlfn.RANK.AVG(V10,V$10:V$23)</f>
        <v>#NAME?</v>
      </c>
      <c r="U10" s="117" t="s">
        <v>355</v>
      </c>
      <c r="V10" s="119" t="e">
        <f ca="1">_xll.ciqfunctions.udf.CIQ(U10, "IQ_TEV", LTMDate, "USD")</f>
        <v>#NAME?</v>
      </c>
      <c r="W10" s="120" t="e">
        <f ca="1">_xll.ciqfunctions.udf.CIQ(U10, "IQ_LASTSALEPRICE", LTMDate, "USD")</f>
        <v>#NAME?</v>
      </c>
      <c r="X10" s="120" t="e">
        <f ca="1">_xll.ciqfunctions.udf.CIQ(U10, "IQ_DILUT_EPS_EXCL", IQ_LTM, LTMDate, , , "USD")</f>
        <v>#NAME?</v>
      </c>
      <c r="Y10" s="121" t="str">
        <f t="shared" ref="Y10:Y17" ca="1" si="3">++IF(OR(IFERROR($W10/X10,"n/a")&gt;$R$3,IFERROR($W10/X10,"n/a")&lt;=0),"nmf",IFERROR($W10/X10,"n/a"))</f>
        <v>nmf</v>
      </c>
    </row>
    <row r="11" spans="1:25" x14ac:dyDescent="0.3">
      <c r="C11" s="19" t="e">
        <f ca="1">_xll.ciqfunctions.udf.CIQ(Q11, "IQ_COMPANY_NAME")</f>
        <v>#NAME?</v>
      </c>
      <c r="D11" s="19"/>
      <c r="E11" s="19"/>
      <c r="F11" s="37" t="e">
        <f ca="1">_xll.ciqfunctions.udf.CIQ(Q11, "IQ_TEV", LTMDate, "USD")</f>
        <v>#NAME?</v>
      </c>
      <c r="G11" s="37" t="e">
        <f ca="1">_xll.ciqfunctions.udf.CIQ(Q11, "IQ_MARKETCAP", LTMDate, "USD")</f>
        <v>#NAME?</v>
      </c>
      <c r="H11" s="37" t="e">
        <f ca="1">_xll.ciqfunctions.udf.CIQ(Q11, "IQ_TOTAL_REV", IQ_LTM, LTMDate, , , "USD")</f>
        <v>#NAME?</v>
      </c>
      <c r="I11" s="37" t="e">
        <f ca="1">_xll.ciqfunctions.udf.CIQ(Q11, "IQ_EBITDA", IQ_LTM, LTMDate, , , "USD")</f>
        <v>#NAME?</v>
      </c>
      <c r="J11" s="57" t="str">
        <f t="shared" ref="J11:J17" ca="1" si="4">++IFERROR(I11/H11,"n/a")</f>
        <v>n/a</v>
      </c>
      <c r="K11" s="57" t="str">
        <f ca="1">IFERROR(_xll.ciqfunctions.udf.CIQ(Q11, "IQ_TOTAL_REV_5YR_ANN_CAGR", IQ_LTM, LTMDate)/100,"n/a")</f>
        <v>n/a</v>
      </c>
      <c r="L11" s="55" t="str">
        <f t="shared" ref="L11:L17" ca="1" si="5">++IF(OR(IFERROR($F11/H11,"n/a")&gt;$R$1,IFERROR($F11/H11,"n/a")&lt;=0),"nmf",IFERROR($F11/H11,"n/a"))</f>
        <v>nmf</v>
      </c>
      <c r="M11" s="55" t="str">
        <f t="shared" ref="M11:M17" ca="1" si="6">++IF(OR(IFERROR($F11/I11,"n/a")&gt;$R$2,IFERROR($F11/I11,"n/a")&lt;=0),"nmf",IFERROR($F11/I11,"n/a"))</f>
        <v>nmf</v>
      </c>
      <c r="P11" s="90">
        <f>++P10+1</f>
        <v>2</v>
      </c>
      <c r="Q11" s="106" t="e">
        <f t="shared" ca="1" si="0"/>
        <v>#N/A</v>
      </c>
      <c r="R11" s="118" t="e">
        <f t="shared" ca="1" si="1"/>
        <v>#N/A</v>
      </c>
      <c r="T11" s="90" t="e">
        <f t="shared" ca="1" si="2"/>
        <v>#NAME?</v>
      </c>
      <c r="U11" s="117" t="s">
        <v>356</v>
      </c>
      <c r="V11" s="119" t="e">
        <f ca="1">_xll.ciqfunctions.udf.CIQ(U11, "IQ_TEV", LTMDate, "USD")</f>
        <v>#NAME?</v>
      </c>
      <c r="W11" s="120" t="e">
        <f ca="1">_xll.ciqfunctions.udf.CIQ(U11, "IQ_LASTSALEPRICE", LTMDate, "USD")</f>
        <v>#NAME?</v>
      </c>
      <c r="X11" s="120" t="e">
        <f ca="1">_xll.ciqfunctions.udf.CIQ(U11, "IQ_DILUT_EPS_EXCL", IQ_LTM, LTMDate, , , "USD")</f>
        <v>#NAME?</v>
      </c>
      <c r="Y11" s="121" t="str">
        <f t="shared" ca="1" si="3"/>
        <v>nmf</v>
      </c>
    </row>
    <row r="12" spans="1:25" x14ac:dyDescent="0.3">
      <c r="C12" s="19" t="e">
        <f ca="1">_xll.ciqfunctions.udf.CIQ(Q12, "IQ_COMPANY_NAME")</f>
        <v>#NAME?</v>
      </c>
      <c r="D12" s="19"/>
      <c r="E12" s="19"/>
      <c r="F12" s="37" t="e">
        <f ca="1">_xll.ciqfunctions.udf.CIQ(Q12, "IQ_TEV", LTMDate, "USD")</f>
        <v>#NAME?</v>
      </c>
      <c r="G12" s="37" t="e">
        <f ca="1">_xll.ciqfunctions.udf.CIQ(Q12, "IQ_MARKETCAP", LTMDate, "USD")</f>
        <v>#NAME?</v>
      </c>
      <c r="H12" s="37" t="e">
        <f ca="1">_xll.ciqfunctions.udf.CIQ(Q12, "IQ_TOTAL_REV", IQ_LTM, LTMDate, , , "USD")</f>
        <v>#NAME?</v>
      </c>
      <c r="I12" s="37" t="e">
        <f ca="1">_xll.ciqfunctions.udf.CIQ(Q12, "IQ_EBITDA", IQ_LTM, LTMDate, , , "USD")</f>
        <v>#NAME?</v>
      </c>
      <c r="J12" s="57" t="str">
        <f t="shared" ca="1" si="4"/>
        <v>n/a</v>
      </c>
      <c r="K12" s="57" t="str">
        <f ca="1">IFERROR(_xll.ciqfunctions.udf.CIQ(Q12, "IQ_TOTAL_REV_5YR_ANN_CAGR", IQ_LTM, LTMDate)/100,"n/a")</f>
        <v>n/a</v>
      </c>
      <c r="L12" s="55" t="str">
        <f t="shared" ca="1" si="5"/>
        <v>nmf</v>
      </c>
      <c r="M12" s="55" t="str">
        <f t="shared" ca="1" si="6"/>
        <v>nmf</v>
      </c>
      <c r="P12" s="90">
        <f t="shared" ref="P12:P23" si="7">++P11+1</f>
        <v>3</v>
      </c>
      <c r="Q12" s="106" t="e">
        <f t="shared" ca="1" si="0"/>
        <v>#N/A</v>
      </c>
      <c r="R12" s="118" t="e">
        <f t="shared" ca="1" si="1"/>
        <v>#N/A</v>
      </c>
      <c r="T12" s="90" t="e">
        <f t="shared" ca="1" si="2"/>
        <v>#NAME?</v>
      </c>
      <c r="U12" s="117" t="s">
        <v>357</v>
      </c>
      <c r="V12" s="119" t="e">
        <f ca="1">_xll.ciqfunctions.udf.CIQ(U12, "IQ_TEV", LTMDate, "USD")</f>
        <v>#NAME?</v>
      </c>
      <c r="W12" s="120" t="e">
        <f ca="1">_xll.ciqfunctions.udf.CIQ(U12, "IQ_LASTSALEPRICE", LTMDate, "USD")</f>
        <v>#NAME?</v>
      </c>
      <c r="X12" s="120" t="e">
        <f ca="1">_xll.ciqfunctions.udf.CIQ(U12, "IQ_DILUT_EPS_EXCL", IQ_LTM, LTMDate, , , "USD")</f>
        <v>#NAME?</v>
      </c>
      <c r="Y12" s="121" t="str">
        <f t="shared" ca="1" si="3"/>
        <v>nmf</v>
      </c>
    </row>
    <row r="13" spans="1:25" x14ac:dyDescent="0.3">
      <c r="C13" s="19" t="e">
        <f ca="1">_xll.ciqfunctions.udf.CIQ(Q13, "IQ_COMPANY_NAME")</f>
        <v>#NAME?</v>
      </c>
      <c r="D13" s="19"/>
      <c r="E13" s="19"/>
      <c r="F13" s="37" t="e">
        <f ca="1">_xll.ciqfunctions.udf.CIQ(Q13, "IQ_TEV", LTMDate, "USD")</f>
        <v>#NAME?</v>
      </c>
      <c r="G13" s="37" t="e">
        <f ca="1">_xll.ciqfunctions.udf.CIQ(Q13, "IQ_MARKETCAP", LTMDate, "USD")</f>
        <v>#NAME?</v>
      </c>
      <c r="H13" s="37" t="e">
        <f ca="1">_xll.ciqfunctions.udf.CIQ(Q13, "IQ_TOTAL_REV", IQ_LTM, LTMDate, , , "USD")</f>
        <v>#NAME?</v>
      </c>
      <c r="I13" s="37" t="e">
        <f ca="1">_xll.ciqfunctions.udf.CIQ(Q13, "IQ_EBITDA", IQ_LTM, LTMDate, , , "USD")</f>
        <v>#NAME?</v>
      </c>
      <c r="J13" s="57" t="str">
        <f t="shared" ca="1" si="4"/>
        <v>n/a</v>
      </c>
      <c r="K13" s="57" t="str">
        <f ca="1">IFERROR(_xll.ciqfunctions.udf.CIQ(Q13, "IQ_TOTAL_REV_5YR_ANN_CAGR", IQ_LTM, LTMDate)/100,"n/a")</f>
        <v>n/a</v>
      </c>
      <c r="L13" s="55" t="str">
        <f t="shared" ca="1" si="5"/>
        <v>nmf</v>
      </c>
      <c r="M13" s="55" t="str">
        <f t="shared" ca="1" si="6"/>
        <v>nmf</v>
      </c>
      <c r="P13" s="90">
        <f t="shared" si="7"/>
        <v>4</v>
      </c>
      <c r="Q13" s="106" t="e">
        <f t="shared" ca="1" si="0"/>
        <v>#N/A</v>
      </c>
      <c r="R13" s="118" t="e">
        <f t="shared" ca="1" si="1"/>
        <v>#N/A</v>
      </c>
      <c r="T13" s="90" t="e">
        <f t="shared" ca="1" si="2"/>
        <v>#NAME?</v>
      </c>
      <c r="U13" s="117" t="s">
        <v>358</v>
      </c>
      <c r="V13" s="119" t="e">
        <f ca="1">_xll.ciqfunctions.udf.CIQ(U13, "IQ_TEV", LTMDate, "USD")</f>
        <v>#NAME?</v>
      </c>
      <c r="W13" s="120" t="e">
        <f ca="1">_xll.ciqfunctions.udf.CIQ(U13, "IQ_LASTSALEPRICE", LTMDate, "USD")</f>
        <v>#NAME?</v>
      </c>
      <c r="X13" s="120" t="e">
        <f ca="1">_xll.ciqfunctions.udf.CIQ(U13, "IQ_DILUT_EPS_EXCL", IQ_LTM, LTMDate, , , "USD")</f>
        <v>#NAME?</v>
      </c>
      <c r="Y13" s="121" t="str">
        <f t="shared" ca="1" si="3"/>
        <v>nmf</v>
      </c>
    </row>
    <row r="14" spans="1:25" x14ac:dyDescent="0.3">
      <c r="C14" s="19" t="e">
        <f ca="1">_xll.ciqfunctions.udf.CIQ(Q14, "IQ_COMPANY_NAME")</f>
        <v>#NAME?</v>
      </c>
      <c r="D14" s="19"/>
      <c r="E14" s="19"/>
      <c r="F14" s="37" t="e">
        <f ca="1">_xll.ciqfunctions.udf.CIQ(Q14, "IQ_TEV", LTMDate, "USD")</f>
        <v>#NAME?</v>
      </c>
      <c r="G14" s="37" t="e">
        <f ca="1">_xll.ciqfunctions.udf.CIQ(Q14, "IQ_MARKETCAP", LTMDate, "USD")</f>
        <v>#NAME?</v>
      </c>
      <c r="H14" s="37" t="e">
        <f ca="1">_xll.ciqfunctions.udf.CIQ(Q14, "IQ_TOTAL_REV", IQ_LTM, LTMDate, , , "USD")</f>
        <v>#NAME?</v>
      </c>
      <c r="I14" s="37" t="e">
        <f ca="1">_xll.ciqfunctions.udf.CIQ(Q14, "IQ_EBITDA", IQ_LTM, LTMDate, , , "USD")</f>
        <v>#NAME?</v>
      </c>
      <c r="J14" s="57" t="str">
        <f t="shared" ca="1" si="4"/>
        <v>n/a</v>
      </c>
      <c r="K14" s="57" t="str">
        <f ca="1">IFERROR(_xll.ciqfunctions.udf.CIQ(Q14, "IQ_TOTAL_REV_5YR_ANN_CAGR", IQ_LTM, LTMDate)/100,"n/a")</f>
        <v>n/a</v>
      </c>
      <c r="L14" s="55" t="str">
        <f t="shared" ca="1" si="5"/>
        <v>nmf</v>
      </c>
      <c r="M14" s="55" t="str">
        <f t="shared" ca="1" si="6"/>
        <v>nmf</v>
      </c>
      <c r="P14" s="90">
        <f t="shared" si="7"/>
        <v>5</v>
      </c>
      <c r="Q14" s="106" t="e">
        <f t="shared" ca="1" si="0"/>
        <v>#N/A</v>
      </c>
      <c r="R14" s="118" t="e">
        <f t="shared" ca="1" si="1"/>
        <v>#N/A</v>
      </c>
      <c r="T14" s="90" t="e">
        <f t="shared" ca="1" si="2"/>
        <v>#NAME?</v>
      </c>
      <c r="U14" s="117" t="s">
        <v>359</v>
      </c>
      <c r="V14" s="119" t="e">
        <f ca="1">_xll.ciqfunctions.udf.CIQ(U14, "IQ_TEV", LTMDate, "USD")</f>
        <v>#NAME?</v>
      </c>
      <c r="W14" s="120" t="e">
        <f ca="1">_xll.ciqfunctions.udf.CIQ(U14, "IQ_LASTSALEPRICE", LTMDate, "USD")</f>
        <v>#NAME?</v>
      </c>
      <c r="X14" s="120" t="e">
        <f ca="1">_xll.ciqfunctions.udf.CIQ(U14, "IQ_DILUT_EPS_EXCL", IQ_LTM, LTMDate, , , "USD")</f>
        <v>#NAME?</v>
      </c>
      <c r="Y14" s="121" t="str">
        <f t="shared" ca="1" si="3"/>
        <v>nmf</v>
      </c>
    </row>
    <row r="15" spans="1:25" x14ac:dyDescent="0.3">
      <c r="C15" s="19" t="e">
        <f ca="1">_xll.ciqfunctions.udf.CIQ(Q15, "IQ_COMPANY_NAME")</f>
        <v>#NAME?</v>
      </c>
      <c r="D15" s="19"/>
      <c r="E15" s="19"/>
      <c r="F15" s="37" t="e">
        <f ca="1">_xll.ciqfunctions.udf.CIQ(Q15, "IQ_TEV", LTMDate, "USD")</f>
        <v>#NAME?</v>
      </c>
      <c r="G15" s="37" t="e">
        <f ca="1">_xll.ciqfunctions.udf.CIQ(Q15, "IQ_MARKETCAP", LTMDate, "USD")</f>
        <v>#NAME?</v>
      </c>
      <c r="H15" s="37" t="e">
        <f ca="1">_xll.ciqfunctions.udf.CIQ(Q15, "IQ_TOTAL_REV", IQ_LTM, LTMDate, , , "USD")</f>
        <v>#NAME?</v>
      </c>
      <c r="I15" s="37" t="e">
        <f ca="1">_xll.ciqfunctions.udf.CIQ(Q15, "IQ_EBITDA", IQ_LTM, LTMDate, , , "USD")</f>
        <v>#NAME?</v>
      </c>
      <c r="J15" s="57" t="str">
        <f t="shared" ca="1" si="4"/>
        <v>n/a</v>
      </c>
      <c r="K15" s="57" t="str">
        <f ca="1">IFERROR(_xll.ciqfunctions.udf.CIQ(Q15, "IQ_TOTAL_REV_5YR_ANN_CAGR", IQ_LTM, LTMDate)/100,"n/a")</f>
        <v>n/a</v>
      </c>
      <c r="L15" s="55" t="str">
        <f t="shared" ca="1" si="5"/>
        <v>nmf</v>
      </c>
      <c r="M15" s="55" t="str">
        <f t="shared" ca="1" si="6"/>
        <v>nmf</v>
      </c>
      <c r="P15" s="90">
        <f t="shared" si="7"/>
        <v>6</v>
      </c>
      <c r="Q15" s="106" t="e">
        <f t="shared" ca="1" si="0"/>
        <v>#N/A</v>
      </c>
      <c r="R15" s="118" t="e">
        <f t="shared" ca="1" si="1"/>
        <v>#N/A</v>
      </c>
      <c r="T15" s="90" t="e">
        <f t="shared" ca="1" si="2"/>
        <v>#NAME?</v>
      </c>
      <c r="U15" s="117" t="s">
        <v>360</v>
      </c>
      <c r="V15" s="119" t="e">
        <f ca="1">_xll.ciqfunctions.udf.CIQ(U15, "IQ_TEV", LTMDate, "USD")</f>
        <v>#NAME?</v>
      </c>
      <c r="W15" s="120" t="e">
        <f ca="1">_xll.ciqfunctions.udf.CIQ(U15, "IQ_LASTSALEPRICE", LTMDate, "USD")</f>
        <v>#NAME?</v>
      </c>
      <c r="X15" s="120" t="e">
        <f ca="1">_xll.ciqfunctions.udf.CIQ(U15, "IQ_DILUT_EPS_EXCL", IQ_LTM, LTMDate, , , "USD")</f>
        <v>#NAME?</v>
      </c>
      <c r="Y15" s="121" t="str">
        <f t="shared" ca="1" si="3"/>
        <v>nmf</v>
      </c>
    </row>
    <row r="16" spans="1:25" x14ac:dyDescent="0.3">
      <c r="C16" s="19" t="e">
        <f ca="1">_xll.ciqfunctions.udf.CIQ(Q16, "IQ_COMPANY_NAME")</f>
        <v>#NAME?</v>
      </c>
      <c r="D16" s="19"/>
      <c r="E16" s="19"/>
      <c r="F16" s="37" t="e">
        <f ca="1">_xll.ciqfunctions.udf.CIQ(Q16, "IQ_TEV", LTMDate, "USD")</f>
        <v>#NAME?</v>
      </c>
      <c r="G16" s="37" t="e">
        <f ca="1">_xll.ciqfunctions.udf.CIQ(Q16, "IQ_MARKETCAP", LTMDate, "USD")</f>
        <v>#NAME?</v>
      </c>
      <c r="H16" s="37" t="e">
        <f ca="1">_xll.ciqfunctions.udf.CIQ(Q16, "IQ_TOTAL_REV", IQ_LTM, LTMDate, , , "USD")</f>
        <v>#NAME?</v>
      </c>
      <c r="I16" s="37" t="e">
        <f ca="1">_xll.ciqfunctions.udf.CIQ(Q16, "IQ_EBITDA", IQ_LTM, LTMDate, , , "USD")</f>
        <v>#NAME?</v>
      </c>
      <c r="J16" s="57" t="str">
        <f t="shared" ca="1" si="4"/>
        <v>n/a</v>
      </c>
      <c r="K16" s="57" t="str">
        <f ca="1">IFERROR(_xll.ciqfunctions.udf.CIQ(Q16, "IQ_TOTAL_REV_5YR_ANN_CAGR", IQ_LTM, LTMDate)/100,"n/a")</f>
        <v>n/a</v>
      </c>
      <c r="L16" s="55" t="str">
        <f t="shared" ca="1" si="5"/>
        <v>nmf</v>
      </c>
      <c r="M16" s="55" t="str">
        <f t="shared" ca="1" si="6"/>
        <v>nmf</v>
      </c>
      <c r="P16" s="90">
        <f t="shared" si="7"/>
        <v>7</v>
      </c>
      <c r="Q16" s="106" t="e">
        <f t="shared" ca="1" si="0"/>
        <v>#N/A</v>
      </c>
      <c r="R16" s="118" t="e">
        <f t="shared" ca="1" si="1"/>
        <v>#N/A</v>
      </c>
      <c r="T16" s="90" t="e">
        <f t="shared" ca="1" si="2"/>
        <v>#NAME?</v>
      </c>
      <c r="U16" s="117" t="s">
        <v>361</v>
      </c>
      <c r="V16" s="119" t="e">
        <f ca="1">_xll.ciqfunctions.udf.CIQ(U16, "IQ_TEV", LTMDate, "USD")</f>
        <v>#NAME?</v>
      </c>
      <c r="W16" s="120" t="e">
        <f ca="1">_xll.ciqfunctions.udf.CIQ(U16, "IQ_LASTSALEPRICE", LTMDate, "USD")</f>
        <v>#NAME?</v>
      </c>
      <c r="X16" s="120" t="e">
        <f ca="1">_xll.ciqfunctions.udf.CIQ(U16, "IQ_DILUT_EPS_EXCL", IQ_LTM, LTMDate, , , "USD")</f>
        <v>#NAME?</v>
      </c>
      <c r="Y16" s="121" t="str">
        <f t="shared" ca="1" si="3"/>
        <v>nmf</v>
      </c>
    </row>
    <row r="17" spans="3:25" x14ac:dyDescent="0.3">
      <c r="C17" s="19" t="e">
        <f ca="1">_xll.ciqfunctions.udf.CIQ(Q17, "IQ_COMPANY_NAME")</f>
        <v>#NAME?</v>
      </c>
      <c r="D17" s="19"/>
      <c r="E17" s="19"/>
      <c r="F17" s="37" t="e">
        <f ca="1">_xll.ciqfunctions.udf.CIQ(Q17, "IQ_TEV", LTMDate, "USD")</f>
        <v>#NAME?</v>
      </c>
      <c r="G17" s="37" t="e">
        <f ca="1">_xll.ciqfunctions.udf.CIQ(Q17, "IQ_MARKETCAP", LTMDate, "USD")</f>
        <v>#NAME?</v>
      </c>
      <c r="H17" s="37" t="e">
        <f ca="1">_xll.ciqfunctions.udf.CIQ(Q17, "IQ_TOTAL_REV", IQ_LTM, LTMDate, , , "USD")</f>
        <v>#NAME?</v>
      </c>
      <c r="I17" s="37" t="e">
        <f ca="1">_xll.ciqfunctions.udf.CIQ(Q17, "IQ_EBITDA", IQ_LTM, LTMDate, , , "USD")</f>
        <v>#NAME?</v>
      </c>
      <c r="J17" s="57" t="str">
        <f t="shared" ca="1" si="4"/>
        <v>n/a</v>
      </c>
      <c r="K17" s="57" t="str">
        <f ca="1">IFERROR(_xll.ciqfunctions.udf.CIQ(Q17, "IQ_TOTAL_REV_5YR_ANN_CAGR", IQ_LTM, LTMDate)/100,"n/a")</f>
        <v>n/a</v>
      </c>
      <c r="L17" s="55" t="str">
        <f t="shared" ca="1" si="5"/>
        <v>nmf</v>
      </c>
      <c r="M17" s="55" t="str">
        <f t="shared" ca="1" si="6"/>
        <v>nmf</v>
      </c>
      <c r="P17" s="90">
        <f t="shared" si="7"/>
        <v>8</v>
      </c>
      <c r="Q17" s="106" t="e">
        <f t="shared" ca="1" si="0"/>
        <v>#N/A</v>
      </c>
      <c r="R17" s="118" t="e">
        <f t="shared" ca="1" si="1"/>
        <v>#N/A</v>
      </c>
      <c r="T17" s="90" t="e">
        <f t="shared" ca="1" si="2"/>
        <v>#NAME?</v>
      </c>
      <c r="U17" s="117" t="s">
        <v>362</v>
      </c>
      <c r="V17" s="119" t="e">
        <f ca="1">_xll.ciqfunctions.udf.CIQ(U17, "IQ_TEV", LTMDate, "USD")</f>
        <v>#NAME?</v>
      </c>
      <c r="W17" s="120" t="e">
        <f ca="1">_xll.ciqfunctions.udf.CIQ(U17, "IQ_LASTSALEPRICE", LTMDate, "USD")</f>
        <v>#NAME?</v>
      </c>
      <c r="X17" s="120" t="e">
        <f ca="1">_xll.ciqfunctions.udf.CIQ(U17, "IQ_DILUT_EPS_EXCL", IQ_LTM, LTMDate, , , "USD")</f>
        <v>#NAME?</v>
      </c>
      <c r="Y17" s="121" t="str">
        <f t="shared" ca="1" si="3"/>
        <v>nmf</v>
      </c>
    </row>
    <row r="18" spans="3:25" x14ac:dyDescent="0.3">
      <c r="C18" s="19" t="e">
        <f ca="1">_xll.ciqfunctions.udf.CIQ(Q18, "IQ_COMPANY_NAME")</f>
        <v>#NAME?</v>
      </c>
      <c r="D18" s="19"/>
      <c r="E18" s="19"/>
      <c r="F18" s="37" t="e">
        <f ca="1">_xll.ciqfunctions.udf.CIQ(Q18, "IQ_TEV", LTMDate, "USD")</f>
        <v>#NAME?</v>
      </c>
      <c r="G18" s="37" t="e">
        <f ca="1">_xll.ciqfunctions.udf.CIQ(Q18, "IQ_MARKETCAP", LTMDate, "USD")</f>
        <v>#NAME?</v>
      </c>
      <c r="H18" s="37" t="e">
        <f ca="1">_xll.ciqfunctions.udf.CIQ(Q18, "IQ_TOTAL_REV", IQ_LTM, LTMDate, , , "USD")</f>
        <v>#NAME?</v>
      </c>
      <c r="I18" s="37" t="e">
        <f ca="1">_xll.ciqfunctions.udf.CIQ(Q18, "IQ_EBITDA", IQ_LTM, LTMDate, , , "USD")</f>
        <v>#NAME?</v>
      </c>
      <c r="J18" s="57" t="str">
        <f t="shared" ref="J18:J23" ca="1" si="8">++IFERROR(I18/H18,"n/a")</f>
        <v>n/a</v>
      </c>
      <c r="K18" s="57" t="str">
        <f ca="1">IFERROR(_xll.ciqfunctions.udf.CIQ(Q18, "IQ_TOTAL_REV_5YR_ANN_CAGR", IQ_LTM, LTMDate)/100,"n/a")</f>
        <v>n/a</v>
      </c>
      <c r="L18" s="55" t="str">
        <f t="shared" ref="L18:L23" ca="1" si="9">++IF(OR(IFERROR($F18/H18,"n/a")&gt;$R$1,IFERROR($F18/H18,"n/a")&lt;=0),"nmf",IFERROR($F18/H18,"n/a"))</f>
        <v>nmf</v>
      </c>
      <c r="M18" s="55" t="str">
        <f t="shared" ref="M18:M23" ca="1" si="10">++IF(OR(IFERROR($F18/I18,"n/a")&gt;$R$2,IFERROR($F18/I18,"n/a")&lt;=0),"nmf",IFERROR($F18/I18,"n/a"))</f>
        <v>nmf</v>
      </c>
      <c r="P18" s="90">
        <f t="shared" si="7"/>
        <v>9</v>
      </c>
      <c r="Q18" s="106" t="e">
        <f t="shared" ref="Q18:Q23" ca="1" si="11">++INDEX(U$10:U$23,MATCH($P18,$T$10:$T$23,0))</f>
        <v>#N/A</v>
      </c>
      <c r="R18" s="118" t="e">
        <f t="shared" ref="R18:R23" ca="1" si="12">++INDEX(Y$10:Y$23,MATCH($P18,$T$10:$T$23,0))</f>
        <v>#N/A</v>
      </c>
      <c r="T18" s="90" t="e">
        <f t="shared" ref="T18:T23" ca="1" si="13">++_xlfn.RANK.AVG(V18,V$10:V$23)</f>
        <v>#NAME?</v>
      </c>
      <c r="U18" s="117" t="s">
        <v>363</v>
      </c>
      <c r="V18" s="119" t="e">
        <f ca="1">_xll.ciqfunctions.udf.CIQ(U18, "IQ_TEV", LTMDate, "USD")</f>
        <v>#NAME?</v>
      </c>
      <c r="W18" s="120" t="e">
        <f ca="1">_xll.ciqfunctions.udf.CIQ(U18, "IQ_LASTSALEPRICE", LTMDate, "USD")</f>
        <v>#NAME?</v>
      </c>
      <c r="X18" s="120" t="e">
        <f ca="1">_xll.ciqfunctions.udf.CIQ(U18, "IQ_DILUT_EPS_EXCL", IQ_LTM, LTMDate, , , "USD")</f>
        <v>#NAME?</v>
      </c>
      <c r="Y18" s="121" t="str">
        <f t="shared" ref="Y18:Y23" ca="1" si="14">++IF(OR(IFERROR($W18/X18,"n/a")&gt;$R$3,IFERROR($W18/X18,"n/a")&lt;=0),"nmf",IFERROR($W18/X18,"n/a"))</f>
        <v>nmf</v>
      </c>
    </row>
    <row r="19" spans="3:25" x14ac:dyDescent="0.3">
      <c r="C19" s="19" t="e">
        <f ca="1">_xll.ciqfunctions.udf.CIQ(Q19, "IQ_COMPANY_NAME")</f>
        <v>#NAME?</v>
      </c>
      <c r="D19" s="19"/>
      <c r="E19" s="19"/>
      <c r="F19" s="37" t="e">
        <f ca="1">_xll.ciqfunctions.udf.CIQ(Q19, "IQ_TEV", LTMDate, "USD")</f>
        <v>#NAME?</v>
      </c>
      <c r="G19" s="37" t="e">
        <f ca="1">_xll.ciqfunctions.udf.CIQ(Q19, "IQ_MARKETCAP", LTMDate, "USD")</f>
        <v>#NAME?</v>
      </c>
      <c r="H19" s="37" t="e">
        <f ca="1">_xll.ciqfunctions.udf.CIQ(Q19, "IQ_TOTAL_REV", IQ_LTM, LTMDate, , , "USD")</f>
        <v>#NAME?</v>
      </c>
      <c r="I19" s="37" t="e">
        <f ca="1">_xll.ciqfunctions.udf.CIQ(Q19, "IQ_EBITDA", IQ_LTM, LTMDate, , , "USD")</f>
        <v>#NAME?</v>
      </c>
      <c r="J19" s="57" t="str">
        <f t="shared" ca="1" si="8"/>
        <v>n/a</v>
      </c>
      <c r="K19" s="57" t="str">
        <f ca="1">IFERROR(_xll.ciqfunctions.udf.CIQ(Q19, "IQ_TOTAL_REV_5YR_ANN_CAGR", IQ_LTM, LTMDate)/100,"n/a")</f>
        <v>n/a</v>
      </c>
      <c r="L19" s="55" t="str">
        <f t="shared" ca="1" si="9"/>
        <v>nmf</v>
      </c>
      <c r="M19" s="55" t="str">
        <f t="shared" ca="1" si="10"/>
        <v>nmf</v>
      </c>
      <c r="P19" s="90">
        <f t="shared" si="7"/>
        <v>10</v>
      </c>
      <c r="Q19" s="106" t="e">
        <f t="shared" ca="1" si="11"/>
        <v>#N/A</v>
      </c>
      <c r="R19" s="118" t="e">
        <f t="shared" ca="1" si="12"/>
        <v>#N/A</v>
      </c>
      <c r="T19" s="90" t="e">
        <f t="shared" ca="1" si="13"/>
        <v>#NAME?</v>
      </c>
      <c r="U19" s="117" t="s">
        <v>364</v>
      </c>
      <c r="V19" s="119" t="e">
        <f ca="1">_xll.ciqfunctions.udf.CIQ(U19, "IQ_TEV", LTMDate, "USD")</f>
        <v>#NAME?</v>
      </c>
      <c r="W19" s="120" t="e">
        <f ca="1">_xll.ciqfunctions.udf.CIQ(U19, "IQ_LASTSALEPRICE", LTMDate, "USD")</f>
        <v>#NAME?</v>
      </c>
      <c r="X19" s="120" t="e">
        <f ca="1">_xll.ciqfunctions.udf.CIQ(U19, "IQ_DILUT_EPS_EXCL", IQ_LTM, LTMDate, , , "USD")</f>
        <v>#NAME?</v>
      </c>
      <c r="Y19" s="121" t="str">
        <f t="shared" ca="1" si="14"/>
        <v>nmf</v>
      </c>
    </row>
    <row r="20" spans="3:25" x14ac:dyDescent="0.3">
      <c r="C20" s="19" t="e">
        <f ca="1">_xll.ciqfunctions.udf.CIQ(Q20, "IQ_COMPANY_NAME")</f>
        <v>#NAME?</v>
      </c>
      <c r="D20" s="19"/>
      <c r="E20" s="19"/>
      <c r="F20" s="37" t="e">
        <f ca="1">_xll.ciqfunctions.udf.CIQ(Q20, "IQ_TEV", LTMDate, "USD")</f>
        <v>#NAME?</v>
      </c>
      <c r="G20" s="37" t="e">
        <f ca="1">_xll.ciqfunctions.udf.CIQ(Q20, "IQ_MARKETCAP", LTMDate, "USD")</f>
        <v>#NAME?</v>
      </c>
      <c r="H20" s="37" t="e">
        <f ca="1">_xll.ciqfunctions.udf.CIQ(Q20, "IQ_TOTAL_REV", IQ_LTM, LTMDate, , , "USD")</f>
        <v>#NAME?</v>
      </c>
      <c r="I20" s="37" t="e">
        <f ca="1">_xll.ciqfunctions.udf.CIQ(Q20, "IQ_EBITDA", IQ_LTM, LTMDate, , , "USD")</f>
        <v>#NAME?</v>
      </c>
      <c r="J20" s="57" t="str">
        <f t="shared" ca="1" si="8"/>
        <v>n/a</v>
      </c>
      <c r="K20" s="57" t="str">
        <f ca="1">IFERROR(_xll.ciqfunctions.udf.CIQ(Q20, "IQ_TOTAL_REV_5YR_ANN_CAGR", IQ_LTM, LTMDate)/100,"n/a")</f>
        <v>n/a</v>
      </c>
      <c r="L20" s="55" t="str">
        <f t="shared" ca="1" si="9"/>
        <v>nmf</v>
      </c>
      <c r="M20" s="55" t="str">
        <f t="shared" ca="1" si="10"/>
        <v>nmf</v>
      </c>
      <c r="P20" s="90">
        <f t="shared" si="7"/>
        <v>11</v>
      </c>
      <c r="Q20" s="106" t="e">
        <f t="shared" ca="1" si="11"/>
        <v>#N/A</v>
      </c>
      <c r="R20" s="118" t="e">
        <f t="shared" ca="1" si="12"/>
        <v>#N/A</v>
      </c>
      <c r="T20" s="90" t="e">
        <f t="shared" ca="1" si="13"/>
        <v>#NAME?</v>
      </c>
      <c r="U20" s="117" t="s">
        <v>365</v>
      </c>
      <c r="V20" s="119" t="e">
        <f ca="1">_xll.ciqfunctions.udf.CIQ(U20, "IQ_TEV", LTMDate, "USD")</f>
        <v>#NAME?</v>
      </c>
      <c r="W20" s="120" t="e">
        <f ca="1">_xll.ciqfunctions.udf.CIQ(U20, "IQ_LASTSALEPRICE", LTMDate, "USD")</f>
        <v>#NAME?</v>
      </c>
      <c r="X20" s="120" t="e">
        <f ca="1">_xll.ciqfunctions.udf.CIQ(U20, "IQ_DILUT_EPS_EXCL", IQ_LTM, LTMDate, , , "USD")</f>
        <v>#NAME?</v>
      </c>
      <c r="Y20" s="121" t="str">
        <f t="shared" ca="1" si="14"/>
        <v>nmf</v>
      </c>
    </row>
    <row r="21" spans="3:25" x14ac:dyDescent="0.3">
      <c r="C21" s="19" t="e">
        <f ca="1">_xll.ciqfunctions.udf.CIQ(Q21, "IQ_COMPANY_NAME")</f>
        <v>#NAME?</v>
      </c>
      <c r="D21" s="19"/>
      <c r="E21" s="19"/>
      <c r="F21" s="37" t="e">
        <f ca="1">_xll.ciqfunctions.udf.CIQ(Q21, "IQ_TEV", LTMDate, "USD")</f>
        <v>#NAME?</v>
      </c>
      <c r="G21" s="37" t="e">
        <f ca="1">_xll.ciqfunctions.udf.CIQ(Q21, "IQ_MARKETCAP", LTMDate, "USD")</f>
        <v>#NAME?</v>
      </c>
      <c r="H21" s="37" t="e">
        <f ca="1">_xll.ciqfunctions.udf.CIQ(Q21, "IQ_TOTAL_REV", IQ_LTM, LTMDate, , , "USD")</f>
        <v>#NAME?</v>
      </c>
      <c r="I21" s="37" t="e">
        <f ca="1">_xll.ciqfunctions.udf.CIQ(Q21, "IQ_EBITDA", IQ_LTM, LTMDate, , , "USD")</f>
        <v>#NAME?</v>
      </c>
      <c r="J21" s="57" t="str">
        <f t="shared" ca="1" si="8"/>
        <v>n/a</v>
      </c>
      <c r="K21" s="57" t="str">
        <f ca="1">IFERROR(_xll.ciqfunctions.udf.CIQ(Q21, "IQ_TOTAL_REV_5YR_ANN_CAGR", IQ_LTM, LTMDate)/100,"n/a")</f>
        <v>n/a</v>
      </c>
      <c r="L21" s="55" t="str">
        <f t="shared" ca="1" si="9"/>
        <v>nmf</v>
      </c>
      <c r="M21" s="55" t="str">
        <f t="shared" ca="1" si="10"/>
        <v>nmf</v>
      </c>
      <c r="P21" s="90">
        <f t="shared" si="7"/>
        <v>12</v>
      </c>
      <c r="Q21" s="106" t="e">
        <f t="shared" ca="1" si="11"/>
        <v>#N/A</v>
      </c>
      <c r="R21" s="118" t="e">
        <f t="shared" ca="1" si="12"/>
        <v>#N/A</v>
      </c>
      <c r="T21" s="90" t="e">
        <f t="shared" ca="1" si="13"/>
        <v>#NAME?</v>
      </c>
      <c r="U21" s="117" t="s">
        <v>366</v>
      </c>
      <c r="V21" s="119" t="e">
        <f ca="1">_xll.ciqfunctions.udf.CIQ(U21, "IQ_TEV", LTMDate, "USD")</f>
        <v>#NAME?</v>
      </c>
      <c r="W21" s="120" t="e">
        <f ca="1">_xll.ciqfunctions.udf.CIQ(U21, "IQ_LASTSALEPRICE", LTMDate, "USD")</f>
        <v>#NAME?</v>
      </c>
      <c r="X21" s="120" t="e">
        <f ca="1">_xll.ciqfunctions.udf.CIQ(U21, "IQ_DILUT_EPS_EXCL", IQ_LTM, LTMDate, , , "USD")</f>
        <v>#NAME?</v>
      </c>
      <c r="Y21" s="121" t="str">
        <f t="shared" ca="1" si="14"/>
        <v>nmf</v>
      </c>
    </row>
    <row r="22" spans="3:25" x14ac:dyDescent="0.3">
      <c r="C22" s="19" t="e">
        <f ca="1">_xll.ciqfunctions.udf.CIQ(Q22, "IQ_COMPANY_NAME")</f>
        <v>#NAME?</v>
      </c>
      <c r="D22" s="19"/>
      <c r="E22" s="19"/>
      <c r="F22" s="37" t="e">
        <f ca="1">_xll.ciqfunctions.udf.CIQ(Q22, "IQ_TEV", LTMDate, "USD")</f>
        <v>#NAME?</v>
      </c>
      <c r="G22" s="37" t="e">
        <f ca="1">_xll.ciqfunctions.udf.CIQ(Q22, "IQ_MARKETCAP", LTMDate, "USD")</f>
        <v>#NAME?</v>
      </c>
      <c r="H22" s="37" t="e">
        <f ca="1">_xll.ciqfunctions.udf.CIQ(Q22, "IQ_TOTAL_REV", IQ_LTM, LTMDate, , , "USD")</f>
        <v>#NAME?</v>
      </c>
      <c r="I22" s="37" t="e">
        <f ca="1">_xll.ciqfunctions.udf.CIQ(Q22, "IQ_EBITDA", IQ_LTM, LTMDate, , , "USD")</f>
        <v>#NAME?</v>
      </c>
      <c r="J22" s="57" t="str">
        <f t="shared" ca="1" si="8"/>
        <v>n/a</v>
      </c>
      <c r="K22" s="57" t="str">
        <f ca="1">IFERROR(_xll.ciqfunctions.udf.CIQ(Q22, "IQ_TOTAL_REV_5YR_ANN_CAGR", IQ_LTM, LTMDate)/100,"n/a")</f>
        <v>n/a</v>
      </c>
      <c r="L22" s="55" t="str">
        <f t="shared" ca="1" si="9"/>
        <v>nmf</v>
      </c>
      <c r="M22" s="55" t="str">
        <f t="shared" ca="1" si="10"/>
        <v>nmf</v>
      </c>
      <c r="P22" s="90">
        <f t="shared" si="7"/>
        <v>13</v>
      </c>
      <c r="Q22" s="106" t="e">
        <f t="shared" ca="1" si="11"/>
        <v>#N/A</v>
      </c>
      <c r="R22" s="118" t="e">
        <f t="shared" ca="1" si="12"/>
        <v>#N/A</v>
      </c>
      <c r="T22" s="90" t="e">
        <f t="shared" ca="1" si="13"/>
        <v>#NAME?</v>
      </c>
      <c r="U22" s="117" t="s">
        <v>367</v>
      </c>
      <c r="V22" s="119" t="e">
        <f ca="1">_xll.ciqfunctions.udf.CIQ(U22, "IQ_TEV", LTMDate, "USD")</f>
        <v>#NAME?</v>
      </c>
      <c r="W22" s="120" t="e">
        <f ca="1">_xll.ciqfunctions.udf.CIQ(U22, "IQ_LASTSALEPRICE", LTMDate, "USD")</f>
        <v>#NAME?</v>
      </c>
      <c r="X22" s="120" t="e">
        <f ca="1">_xll.ciqfunctions.udf.CIQ(U22, "IQ_DILUT_EPS_EXCL", IQ_LTM, LTMDate, , , "USD")</f>
        <v>#NAME?</v>
      </c>
      <c r="Y22" s="121" t="str">
        <f t="shared" ca="1" si="14"/>
        <v>nmf</v>
      </c>
    </row>
    <row r="23" spans="3:25" x14ac:dyDescent="0.3">
      <c r="C23" s="19" t="e">
        <f ca="1">_xll.ciqfunctions.udf.CIQ(Q23, "IQ_COMPANY_NAME")</f>
        <v>#NAME?</v>
      </c>
      <c r="D23" s="19"/>
      <c r="E23" s="19"/>
      <c r="F23" s="37" t="e">
        <f ca="1">_xll.ciqfunctions.udf.CIQ(Q23, "IQ_TEV", LTMDate, "USD")</f>
        <v>#NAME?</v>
      </c>
      <c r="G23" s="37" t="e">
        <f ca="1">_xll.ciqfunctions.udf.CIQ(Q23, "IQ_MARKETCAP", LTMDate, "USD")</f>
        <v>#NAME?</v>
      </c>
      <c r="H23" s="37" t="e">
        <f ca="1">_xll.ciqfunctions.udf.CIQ(Q23, "IQ_TOTAL_REV", IQ_LTM, LTMDate, , , "USD")</f>
        <v>#NAME?</v>
      </c>
      <c r="I23" s="37" t="e">
        <f ca="1">_xll.ciqfunctions.udf.CIQ(Q23, "IQ_EBITDA", IQ_LTM, LTMDate, , , "USD")</f>
        <v>#NAME?</v>
      </c>
      <c r="J23" s="57" t="str">
        <f t="shared" ca="1" si="8"/>
        <v>n/a</v>
      </c>
      <c r="K23" s="57" t="str">
        <f ca="1">IFERROR(_xll.ciqfunctions.udf.CIQ(Q23, "IQ_TOTAL_REV_5YR_ANN_CAGR", IQ_LTM, LTMDate)/100,"n/a")</f>
        <v>n/a</v>
      </c>
      <c r="L23" s="55" t="str">
        <f t="shared" ca="1" si="9"/>
        <v>nmf</v>
      </c>
      <c r="M23" s="55" t="str">
        <f t="shared" ca="1" si="10"/>
        <v>nmf</v>
      </c>
      <c r="P23" s="90">
        <f t="shared" si="7"/>
        <v>14</v>
      </c>
      <c r="Q23" s="106" t="e">
        <f t="shared" ca="1" si="11"/>
        <v>#N/A</v>
      </c>
      <c r="R23" s="118" t="e">
        <f t="shared" ca="1" si="12"/>
        <v>#N/A</v>
      </c>
      <c r="T23" s="90" t="e">
        <f t="shared" ca="1" si="13"/>
        <v>#NAME?</v>
      </c>
      <c r="U23" s="117" t="s">
        <v>368</v>
      </c>
      <c r="V23" s="119" t="e">
        <f ca="1">_xll.ciqfunctions.udf.CIQ(U23, "IQ_TEV", LTMDate, "USD")</f>
        <v>#NAME?</v>
      </c>
      <c r="W23" s="120" t="e">
        <f ca="1">_xll.ciqfunctions.udf.CIQ(U23, "IQ_LASTSALEPRICE", LTMDate, "USD")</f>
        <v>#NAME?</v>
      </c>
      <c r="X23" s="120" t="e">
        <f ca="1">_xll.ciqfunctions.udf.CIQ(U23, "IQ_DILUT_EPS_EXCL", IQ_LTM, LTMDate, , , "USD")</f>
        <v>#NAME?</v>
      </c>
      <c r="Y23" s="121" t="str">
        <f t="shared" ca="1" si="14"/>
        <v>nmf</v>
      </c>
    </row>
    <row r="24" spans="3:25" ht="5.15" customHeight="1" x14ac:dyDescent="0.3"/>
    <row r="25" spans="3:25" x14ac:dyDescent="0.3">
      <c r="I25" s="174" t="s">
        <v>92</v>
      </c>
      <c r="J25" s="175">
        <f t="shared" ref="J25:K25" ca="1" si="15">++IFERROR(MAX(J10:J24),"n/a")</f>
        <v>0</v>
      </c>
      <c r="K25" s="175">
        <f t="shared" ca="1" si="15"/>
        <v>0</v>
      </c>
      <c r="L25" s="176">
        <f ca="1">++IFERROR(MAX(L10:L24),"n/a")</f>
        <v>0</v>
      </c>
      <c r="M25" s="177">
        <f ca="1">++IFERROR(MAX(M10:M24),"n/a")</f>
        <v>0</v>
      </c>
    </row>
    <row r="26" spans="3:25" x14ac:dyDescent="0.3">
      <c r="I26" s="178" t="s">
        <v>93</v>
      </c>
      <c r="J26" s="179">
        <f t="shared" ref="J26:K26" ca="1" si="16">++IFERROR(MIN(J10:J24),"n/a")</f>
        <v>0</v>
      </c>
      <c r="K26" s="179">
        <f t="shared" ca="1" si="16"/>
        <v>0</v>
      </c>
      <c r="L26" s="180">
        <f ca="1">++IFERROR(MIN(L10:L24),"n/a")</f>
        <v>0</v>
      </c>
      <c r="M26" s="181">
        <f ca="1">++IFERROR(MIN(M10:M24),"n/a")</f>
        <v>0</v>
      </c>
    </row>
    <row r="27" spans="3:25" x14ac:dyDescent="0.3">
      <c r="I27" s="178" t="s">
        <v>94</v>
      </c>
      <c r="J27" s="179" t="str">
        <f t="shared" ref="J27:K27" ca="1" si="17">++IFERROR(AVERAGE(J10:J24),"n/a")</f>
        <v>n/a</v>
      </c>
      <c r="K27" s="179" t="str">
        <f t="shared" ca="1" si="17"/>
        <v>n/a</v>
      </c>
      <c r="L27" s="180" t="str">
        <f ca="1">++IFERROR(AVERAGE(L10:L24),"n/a")</f>
        <v>n/a</v>
      </c>
      <c r="M27" s="181" t="str">
        <f ca="1">++IFERROR(AVERAGE(M10:M24),"n/a")</f>
        <v>n/a</v>
      </c>
    </row>
    <row r="28" spans="3:25" x14ac:dyDescent="0.3">
      <c r="I28" s="182" t="s">
        <v>95</v>
      </c>
      <c r="J28" s="183" t="str">
        <f t="shared" ref="J28:K28" ca="1" si="18">++IFERROR(MEDIAN(J10:J24),"n/a")</f>
        <v>n/a</v>
      </c>
      <c r="K28" s="183" t="str">
        <f t="shared" ca="1" si="18"/>
        <v>n/a</v>
      </c>
      <c r="L28" s="184" t="str">
        <f ca="1">++IFERROR(MEDIAN(L10:L24),"n/a")</f>
        <v>n/a</v>
      </c>
      <c r="M28" s="185" t="str">
        <f ca="1">++IFERROR(MEDIAN(M10:M24),"n/a")</f>
        <v>n/a</v>
      </c>
    </row>
    <row r="29" spans="3:25" ht="5.15" customHeight="1" x14ac:dyDescent="0.3"/>
    <row r="30" spans="3:25" ht="5.15" customHeight="1" x14ac:dyDescent="0.3"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</row>
    <row r="31" spans="3:25" x14ac:dyDescent="0.3">
      <c r="C31" s="99" t="str">
        <f>++"Note: S&amp;P Capital IQ market data as of "&amp;TEXT(LTMDate,"M/D/YY")&amp;".  (1) TEV / LTM Revenue capped at "&amp;TEXT(R1,"#,##0.0x")&amp;" and TEV / LTM EBITDA capped at "&amp;TEXT(R2,"#,##0.0x")&amp;"."</f>
        <v>Note: S&amp;P Capital IQ market data as of 9/30/25.  (1) TEV / LTM Revenue capped at 10.0x and TEV / LTM EBITDA capped at 35.0x.</v>
      </c>
    </row>
    <row r="32" spans="3:25" x14ac:dyDescent="0.3">
      <c r="C32" s="99"/>
    </row>
    <row r="34" spans="1:2" x14ac:dyDescent="0.3">
      <c r="A34" s="16" t="s">
        <v>0</v>
      </c>
      <c r="B34" s="16" t="s">
        <v>0</v>
      </c>
    </row>
  </sheetData>
  <printOptions horizontalCentered="1"/>
  <pageMargins left="0.25" right="0.25" top="0.25" bottom="0.25" header="0.3" footer="0.3"/>
  <pageSetup fitToHeight="0" orientation="landscape" r:id="rId1"/>
  <customProperties>
    <customPr name="OrphanNamesChecke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0B1A-9FD2-4A61-955D-DEA3DAC26E13}">
  <sheetPr codeName="Sheet12">
    <tabColor theme="5" tint="0.79998168889431442"/>
    <pageSetUpPr fitToPage="1"/>
  </sheetPr>
  <dimension ref="A1:S35"/>
  <sheetViews>
    <sheetView showGridLines="0" view="pageBreakPreview" zoomScale="85" zoomScaleNormal="85" zoomScaleSheetLayoutView="85" workbookViewId="0">
      <pane xSplit="2" ySplit="9" topLeftCell="C10" activePane="bottomRight" state="frozen"/>
      <selection activeCell="F9" sqref="F9"/>
      <selection pane="topRight" activeCell="F9" sqref="F9"/>
      <selection pane="bottomLeft" activeCell="F9" sqref="F9"/>
      <selection pane="bottomRight" activeCell="C10" sqref="C10"/>
    </sheetView>
  </sheetViews>
  <sheetFormatPr defaultColWidth="9.296875" defaultRowHeight="13" outlineLevelCol="1" x14ac:dyDescent="0.3"/>
  <cols>
    <col min="1" max="2" width="2.796875" style="1" customWidth="1"/>
    <col min="3" max="3" width="13.296875" style="1" customWidth="1"/>
    <col min="4" max="4" width="20.796875" style="1" customWidth="1"/>
    <col min="5" max="5" width="13.296875" style="1" customWidth="1"/>
    <col min="6" max="6" width="20.796875" style="1" customWidth="1"/>
    <col min="7" max="13" width="13.296875" style="1" customWidth="1"/>
    <col min="14" max="15" width="9.296875" style="1"/>
    <col min="16" max="18" width="13.296875" style="1" hidden="1" customWidth="1" outlineLevel="1"/>
    <col min="19" max="19" width="9.296875" style="1" collapsed="1"/>
    <col min="20" max="16384" width="9.296875" style="1"/>
  </cols>
  <sheetData>
    <row r="1" spans="1:18" x14ac:dyDescent="0.3">
      <c r="C1" s="2" t="str">
        <f>++Dashboard!$C$1</f>
        <v>[Company Name]</v>
      </c>
      <c r="D1" s="3"/>
      <c r="E1" s="4"/>
      <c r="P1" s="7" t="s">
        <v>155</v>
      </c>
      <c r="Q1" s="109"/>
      <c r="R1" s="110">
        <v>10</v>
      </c>
    </row>
    <row r="2" spans="1:18" x14ac:dyDescent="0.3">
      <c r="C2" s="10" t="s">
        <v>154</v>
      </c>
      <c r="D2" s="11"/>
      <c r="E2" s="12"/>
      <c r="P2" s="7" t="s">
        <v>156</v>
      </c>
      <c r="Q2" s="109"/>
      <c r="R2" s="110">
        <v>35</v>
      </c>
    </row>
    <row r="3" spans="1:18" x14ac:dyDescent="0.3">
      <c r="C3" s="13" t="str">
        <f ca="1">++TEXT(TODAY(),"MMMM D, YYYY")</f>
        <v>February 26, 2026</v>
      </c>
      <c r="D3" s="14"/>
      <c r="E3" s="15"/>
    </row>
    <row r="5" spans="1:18" x14ac:dyDescent="0.3">
      <c r="A5" s="16" t="s">
        <v>0</v>
      </c>
      <c r="B5" s="16" t="s">
        <v>0</v>
      </c>
      <c r="C5" s="146" t="str">
        <f>++C2</f>
        <v>Precedent Transactions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</row>
    <row r="6" spans="1:18" ht="5.15" customHeight="1" x14ac:dyDescent="0.3"/>
    <row r="7" spans="1:18" ht="14.5" x14ac:dyDescent="0.45">
      <c r="C7" s="186" t="s">
        <v>96</v>
      </c>
      <c r="D7" s="101"/>
      <c r="E7" s="101"/>
      <c r="F7" s="101"/>
      <c r="G7" s="101"/>
      <c r="H7" s="187" t="s">
        <v>97</v>
      </c>
      <c r="I7" s="51" t="s">
        <v>89</v>
      </c>
      <c r="J7" s="51"/>
      <c r="K7" s="51"/>
      <c r="L7" s="51" t="s">
        <v>158</v>
      </c>
      <c r="M7" s="51"/>
    </row>
    <row r="8" spans="1:18" ht="14.5" x14ac:dyDescent="0.45">
      <c r="C8" s="51" t="s">
        <v>98</v>
      </c>
      <c r="D8" s="51" t="s">
        <v>157</v>
      </c>
      <c r="E8" s="51"/>
      <c r="F8" s="51" t="s">
        <v>101</v>
      </c>
      <c r="G8" s="190"/>
      <c r="H8" s="51" t="s">
        <v>99</v>
      </c>
      <c r="I8" s="51" t="s">
        <v>64</v>
      </c>
      <c r="J8" s="188" t="s">
        <v>86</v>
      </c>
      <c r="K8" s="188" t="s">
        <v>67</v>
      </c>
      <c r="L8" s="51" t="s">
        <v>64</v>
      </c>
      <c r="M8" s="188" t="s">
        <v>86</v>
      </c>
    </row>
    <row r="9" spans="1:18" ht="5.15" customHeight="1" x14ac:dyDescent="0.3"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</row>
    <row r="10" spans="1:18" x14ac:dyDescent="0.3">
      <c r="C10" s="97" t="s">
        <v>380</v>
      </c>
      <c r="D10" s="105" t="s">
        <v>381</v>
      </c>
      <c r="E10" s="101"/>
      <c r="F10" s="105" t="s">
        <v>382</v>
      </c>
      <c r="G10" s="101"/>
      <c r="H10" s="433">
        <v>0</v>
      </c>
      <c r="I10" s="434">
        <v>0</v>
      </c>
      <c r="J10" s="434">
        <v>0</v>
      </c>
      <c r="K10" s="173" t="str">
        <f t="shared" ref="K10" si="0">++IFERROR(J10/I10,"n/a")</f>
        <v>n/a</v>
      </c>
      <c r="L10" s="118" t="str">
        <f t="shared" ref="L10" si="1">++IF(OR(IFERROR($H10/I10,"n/a")&gt;$R$1,IFERROR($H10/I10,"n/a")&lt;=0),"nmf",IFERROR($H10/I10,"n/a"))</f>
        <v>nmf</v>
      </c>
      <c r="M10" s="118" t="str">
        <f t="shared" ref="M10" si="2">++IF(OR(IFERROR($H10/J10,"n/a")&gt;$R$2,IFERROR($H10/J10,"n/a")&lt;=0),"nmf",IFERROR($H10/J10,"n/a"))</f>
        <v>nmf</v>
      </c>
    </row>
    <row r="11" spans="1:18" x14ac:dyDescent="0.3">
      <c r="C11" s="97" t="s">
        <v>380</v>
      </c>
      <c r="D11" s="105" t="s">
        <v>381</v>
      </c>
      <c r="E11" s="101"/>
      <c r="F11" s="105" t="s">
        <v>382</v>
      </c>
      <c r="G11" s="101"/>
      <c r="H11" s="434">
        <v>0</v>
      </c>
      <c r="I11" s="434">
        <v>0</v>
      </c>
      <c r="J11" s="434">
        <v>0</v>
      </c>
      <c r="K11" s="173" t="str">
        <f t="shared" ref="K11:K24" si="3">++IFERROR(J11/I11,"n/a")</f>
        <v>n/a</v>
      </c>
      <c r="L11" s="118" t="str">
        <f t="shared" ref="L11:L24" si="4">++IF(OR(IFERROR($H11/I11,"n/a")&gt;$R$1,IFERROR($H11/I11,"n/a")&lt;=0),"nmf",IFERROR($H11/I11,"n/a"))</f>
        <v>nmf</v>
      </c>
      <c r="M11" s="118" t="str">
        <f t="shared" ref="M11:M24" si="5">++IF(OR(IFERROR($H11/J11,"n/a")&gt;$R$2,IFERROR($H11/J11,"n/a")&lt;=0),"nmf",IFERROR($H11/J11,"n/a"))</f>
        <v>nmf</v>
      </c>
    </row>
    <row r="12" spans="1:18" x14ac:dyDescent="0.3">
      <c r="C12" s="97" t="s">
        <v>380</v>
      </c>
      <c r="D12" s="105" t="s">
        <v>381</v>
      </c>
      <c r="E12" s="101"/>
      <c r="F12" s="105" t="s">
        <v>382</v>
      </c>
      <c r="G12" s="101"/>
      <c r="H12" s="434">
        <v>0</v>
      </c>
      <c r="I12" s="434">
        <v>0</v>
      </c>
      <c r="J12" s="434">
        <v>0</v>
      </c>
      <c r="K12" s="173" t="str">
        <f t="shared" si="3"/>
        <v>n/a</v>
      </c>
      <c r="L12" s="118" t="str">
        <f t="shared" si="4"/>
        <v>nmf</v>
      </c>
      <c r="M12" s="118" t="str">
        <f t="shared" si="5"/>
        <v>nmf</v>
      </c>
    </row>
    <row r="13" spans="1:18" x14ac:dyDescent="0.3">
      <c r="C13" s="97" t="s">
        <v>380</v>
      </c>
      <c r="D13" s="105" t="s">
        <v>381</v>
      </c>
      <c r="E13" s="101"/>
      <c r="F13" s="105" t="s">
        <v>382</v>
      </c>
      <c r="G13" s="101"/>
      <c r="H13" s="434">
        <v>0</v>
      </c>
      <c r="I13" s="434">
        <v>0</v>
      </c>
      <c r="J13" s="434">
        <v>0</v>
      </c>
      <c r="K13" s="173" t="str">
        <f t="shared" si="3"/>
        <v>n/a</v>
      </c>
      <c r="L13" s="118" t="str">
        <f t="shared" si="4"/>
        <v>nmf</v>
      </c>
      <c r="M13" s="118" t="str">
        <f t="shared" si="5"/>
        <v>nmf</v>
      </c>
    </row>
    <row r="14" spans="1:18" x14ac:dyDescent="0.3">
      <c r="C14" s="97" t="s">
        <v>380</v>
      </c>
      <c r="D14" s="105" t="s">
        <v>381</v>
      </c>
      <c r="E14" s="101"/>
      <c r="F14" s="105" t="s">
        <v>382</v>
      </c>
      <c r="G14" s="101"/>
      <c r="H14" s="434">
        <v>0</v>
      </c>
      <c r="I14" s="434">
        <v>0</v>
      </c>
      <c r="J14" s="434">
        <v>0</v>
      </c>
      <c r="K14" s="173" t="str">
        <f t="shared" si="3"/>
        <v>n/a</v>
      </c>
      <c r="L14" s="118" t="str">
        <f t="shared" si="4"/>
        <v>nmf</v>
      </c>
      <c r="M14" s="118" t="str">
        <f t="shared" si="5"/>
        <v>nmf</v>
      </c>
    </row>
    <row r="15" spans="1:18" x14ac:dyDescent="0.3">
      <c r="C15" s="97" t="s">
        <v>380</v>
      </c>
      <c r="D15" s="105" t="s">
        <v>381</v>
      </c>
      <c r="E15" s="101"/>
      <c r="F15" s="105" t="s">
        <v>382</v>
      </c>
      <c r="G15" s="101"/>
      <c r="H15" s="434">
        <v>0</v>
      </c>
      <c r="I15" s="434">
        <v>0</v>
      </c>
      <c r="J15" s="434">
        <v>0</v>
      </c>
      <c r="K15" s="173" t="str">
        <f t="shared" si="3"/>
        <v>n/a</v>
      </c>
      <c r="L15" s="118" t="str">
        <f t="shared" si="4"/>
        <v>nmf</v>
      </c>
      <c r="M15" s="118" t="str">
        <f t="shared" si="5"/>
        <v>nmf</v>
      </c>
    </row>
    <row r="16" spans="1:18" x14ac:dyDescent="0.3">
      <c r="C16" s="97" t="s">
        <v>380</v>
      </c>
      <c r="D16" s="105" t="s">
        <v>381</v>
      </c>
      <c r="E16" s="101"/>
      <c r="F16" s="105" t="s">
        <v>382</v>
      </c>
      <c r="G16" s="101"/>
      <c r="H16" s="434">
        <v>0</v>
      </c>
      <c r="I16" s="434">
        <v>0</v>
      </c>
      <c r="J16" s="434">
        <v>0</v>
      </c>
      <c r="K16" s="173" t="str">
        <f t="shared" si="3"/>
        <v>n/a</v>
      </c>
      <c r="L16" s="118" t="str">
        <f t="shared" si="4"/>
        <v>nmf</v>
      </c>
      <c r="M16" s="118" t="str">
        <f t="shared" si="5"/>
        <v>nmf</v>
      </c>
    </row>
    <row r="17" spans="3:13" x14ac:dyDescent="0.3">
      <c r="C17" s="97" t="s">
        <v>380</v>
      </c>
      <c r="D17" s="105" t="s">
        <v>381</v>
      </c>
      <c r="E17" s="101"/>
      <c r="F17" s="105" t="s">
        <v>382</v>
      </c>
      <c r="G17" s="101"/>
      <c r="H17" s="434">
        <v>0</v>
      </c>
      <c r="I17" s="434">
        <v>0</v>
      </c>
      <c r="J17" s="434">
        <v>0</v>
      </c>
      <c r="K17" s="173" t="str">
        <f t="shared" si="3"/>
        <v>n/a</v>
      </c>
      <c r="L17" s="118" t="str">
        <f t="shared" si="4"/>
        <v>nmf</v>
      </c>
      <c r="M17" s="118" t="str">
        <f t="shared" si="5"/>
        <v>nmf</v>
      </c>
    </row>
    <row r="18" spans="3:13" x14ac:dyDescent="0.3">
      <c r="C18" s="97" t="s">
        <v>380</v>
      </c>
      <c r="D18" s="105" t="s">
        <v>381</v>
      </c>
      <c r="E18" s="101"/>
      <c r="F18" s="105" t="s">
        <v>382</v>
      </c>
      <c r="G18" s="101"/>
      <c r="H18" s="434">
        <v>0</v>
      </c>
      <c r="I18" s="434">
        <v>0</v>
      </c>
      <c r="J18" s="434">
        <v>0</v>
      </c>
      <c r="K18" s="173" t="str">
        <f t="shared" si="3"/>
        <v>n/a</v>
      </c>
      <c r="L18" s="118" t="str">
        <f t="shared" si="4"/>
        <v>nmf</v>
      </c>
      <c r="M18" s="118" t="str">
        <f t="shared" si="5"/>
        <v>nmf</v>
      </c>
    </row>
    <row r="19" spans="3:13" x14ac:dyDescent="0.3">
      <c r="C19" s="97" t="s">
        <v>380</v>
      </c>
      <c r="D19" s="105" t="s">
        <v>381</v>
      </c>
      <c r="E19" s="101"/>
      <c r="F19" s="105" t="s">
        <v>382</v>
      </c>
      <c r="G19" s="101"/>
      <c r="H19" s="434">
        <v>0</v>
      </c>
      <c r="I19" s="434">
        <v>0</v>
      </c>
      <c r="J19" s="434">
        <v>0</v>
      </c>
      <c r="K19" s="173" t="str">
        <f t="shared" si="3"/>
        <v>n/a</v>
      </c>
      <c r="L19" s="118" t="str">
        <f t="shared" si="4"/>
        <v>nmf</v>
      </c>
      <c r="M19" s="118" t="str">
        <f t="shared" si="5"/>
        <v>nmf</v>
      </c>
    </row>
    <row r="20" spans="3:13" x14ac:dyDescent="0.3">
      <c r="C20" s="97" t="s">
        <v>380</v>
      </c>
      <c r="D20" s="105" t="s">
        <v>381</v>
      </c>
      <c r="E20" s="101"/>
      <c r="F20" s="105" t="s">
        <v>382</v>
      </c>
      <c r="G20" s="101"/>
      <c r="H20" s="434">
        <v>0</v>
      </c>
      <c r="I20" s="434">
        <v>0</v>
      </c>
      <c r="J20" s="434">
        <v>0</v>
      </c>
      <c r="K20" s="173" t="str">
        <f t="shared" si="3"/>
        <v>n/a</v>
      </c>
      <c r="L20" s="118" t="str">
        <f t="shared" si="4"/>
        <v>nmf</v>
      </c>
      <c r="M20" s="118" t="str">
        <f t="shared" si="5"/>
        <v>nmf</v>
      </c>
    </row>
    <row r="21" spans="3:13" x14ac:dyDescent="0.3">
      <c r="C21" s="97" t="s">
        <v>380</v>
      </c>
      <c r="D21" s="105" t="s">
        <v>381</v>
      </c>
      <c r="E21" s="101"/>
      <c r="F21" s="105" t="s">
        <v>382</v>
      </c>
      <c r="G21" s="101"/>
      <c r="H21" s="434">
        <v>0</v>
      </c>
      <c r="I21" s="434">
        <v>0</v>
      </c>
      <c r="J21" s="434">
        <v>0</v>
      </c>
      <c r="K21" s="173" t="str">
        <f t="shared" si="3"/>
        <v>n/a</v>
      </c>
      <c r="L21" s="118" t="str">
        <f t="shared" si="4"/>
        <v>nmf</v>
      </c>
      <c r="M21" s="118" t="str">
        <f t="shared" si="5"/>
        <v>nmf</v>
      </c>
    </row>
    <row r="22" spans="3:13" x14ac:dyDescent="0.3">
      <c r="C22" s="97" t="s">
        <v>380</v>
      </c>
      <c r="D22" s="105" t="s">
        <v>381</v>
      </c>
      <c r="E22" s="101"/>
      <c r="F22" s="105" t="s">
        <v>382</v>
      </c>
      <c r="G22" s="101"/>
      <c r="H22" s="434">
        <v>0</v>
      </c>
      <c r="I22" s="434">
        <v>0</v>
      </c>
      <c r="J22" s="434">
        <v>0</v>
      </c>
      <c r="K22" s="173" t="str">
        <f t="shared" si="3"/>
        <v>n/a</v>
      </c>
      <c r="L22" s="118" t="str">
        <f t="shared" si="4"/>
        <v>nmf</v>
      </c>
      <c r="M22" s="118" t="str">
        <f t="shared" si="5"/>
        <v>nmf</v>
      </c>
    </row>
    <row r="23" spans="3:13" x14ac:dyDescent="0.3">
      <c r="C23" s="97" t="s">
        <v>380</v>
      </c>
      <c r="D23" s="105" t="s">
        <v>381</v>
      </c>
      <c r="E23" s="101"/>
      <c r="F23" s="105" t="s">
        <v>382</v>
      </c>
      <c r="G23" s="101"/>
      <c r="H23" s="434">
        <v>0</v>
      </c>
      <c r="I23" s="434">
        <v>0</v>
      </c>
      <c r="J23" s="434">
        <v>0</v>
      </c>
      <c r="K23" s="173" t="str">
        <f t="shared" si="3"/>
        <v>n/a</v>
      </c>
      <c r="L23" s="118" t="str">
        <f t="shared" si="4"/>
        <v>nmf</v>
      </c>
      <c r="M23" s="118" t="str">
        <f t="shared" si="5"/>
        <v>nmf</v>
      </c>
    </row>
    <row r="24" spans="3:13" x14ac:dyDescent="0.3">
      <c r="C24" s="97" t="s">
        <v>380</v>
      </c>
      <c r="D24" s="105" t="s">
        <v>381</v>
      </c>
      <c r="E24" s="101"/>
      <c r="F24" s="105" t="s">
        <v>382</v>
      </c>
      <c r="G24" s="101"/>
      <c r="H24" s="434">
        <v>0</v>
      </c>
      <c r="I24" s="434">
        <v>0</v>
      </c>
      <c r="J24" s="434">
        <v>0</v>
      </c>
      <c r="K24" s="173" t="str">
        <f t="shared" si="3"/>
        <v>n/a</v>
      </c>
      <c r="L24" s="118" t="str">
        <f t="shared" si="4"/>
        <v>nmf</v>
      </c>
      <c r="M24" s="118" t="str">
        <f t="shared" si="5"/>
        <v>nmf</v>
      </c>
    </row>
    <row r="25" spans="3:13" ht="5.15" customHeight="1" x14ac:dyDescent="0.3"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</row>
    <row r="26" spans="3:13" x14ac:dyDescent="0.3">
      <c r="C26" s="101"/>
      <c r="D26" s="101"/>
      <c r="E26" s="101"/>
      <c r="F26" s="101"/>
      <c r="G26" s="101"/>
      <c r="H26" s="101"/>
      <c r="I26" s="101"/>
      <c r="J26" s="174" t="s">
        <v>92</v>
      </c>
      <c r="K26" s="175">
        <f>++IFERROR(MAX(K10:K25),"n/a")</f>
        <v>0</v>
      </c>
      <c r="L26" s="176">
        <f>++IFERROR(MAX(L10:L25),"n/a")</f>
        <v>0</v>
      </c>
      <c r="M26" s="177">
        <f>++IFERROR(MAX(M10:M25),"n/a")</f>
        <v>0</v>
      </c>
    </row>
    <row r="27" spans="3:13" x14ac:dyDescent="0.3">
      <c r="C27" s="101"/>
      <c r="D27" s="101"/>
      <c r="E27" s="101"/>
      <c r="F27" s="101"/>
      <c r="G27" s="101"/>
      <c r="H27" s="101"/>
      <c r="I27" s="101"/>
      <c r="J27" s="178" t="s">
        <v>93</v>
      </c>
      <c r="K27" s="179">
        <f>++IFERROR(MIN(K10:K25),"n/a")</f>
        <v>0</v>
      </c>
      <c r="L27" s="180">
        <f>++IFERROR(MIN(L10:L25),"n/a")</f>
        <v>0</v>
      </c>
      <c r="M27" s="181">
        <f>++IFERROR(MIN(M10:M25),"n/a")</f>
        <v>0</v>
      </c>
    </row>
    <row r="28" spans="3:13" x14ac:dyDescent="0.3">
      <c r="C28" s="101"/>
      <c r="D28" s="101"/>
      <c r="E28" s="101"/>
      <c r="F28" s="101"/>
      <c r="G28" s="101"/>
      <c r="H28" s="101"/>
      <c r="I28" s="101"/>
      <c r="J28" s="178" t="s">
        <v>94</v>
      </c>
      <c r="K28" s="179" t="str">
        <f>++IFERROR(AVERAGE(K10:K25),"n/a")</f>
        <v>n/a</v>
      </c>
      <c r="L28" s="180" t="str">
        <f>++IFERROR(AVERAGE(L10:L25),"n/a")</f>
        <v>n/a</v>
      </c>
      <c r="M28" s="181" t="str">
        <f>++IFERROR(AVERAGE(M10:M25),"n/a")</f>
        <v>n/a</v>
      </c>
    </row>
    <row r="29" spans="3:13" x14ac:dyDescent="0.3">
      <c r="C29" s="101"/>
      <c r="D29" s="101"/>
      <c r="E29" s="101"/>
      <c r="F29" s="101"/>
      <c r="G29" s="101"/>
      <c r="H29" s="101"/>
      <c r="I29" s="101"/>
      <c r="J29" s="182" t="s">
        <v>95</v>
      </c>
      <c r="K29" s="183" t="str">
        <f>++IFERROR(MEDIAN(K10:K25),"n/a")</f>
        <v>n/a</v>
      </c>
      <c r="L29" s="184" t="str">
        <f>++IFERROR(MEDIAN(L10:L25),"n/a")</f>
        <v>n/a</v>
      </c>
      <c r="M29" s="185" t="str">
        <f>++IFERROR(MEDIAN(M10:M25),"n/a")</f>
        <v>n/a</v>
      </c>
    </row>
    <row r="30" spans="3:13" ht="5.15" customHeight="1" x14ac:dyDescent="0.3"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</row>
    <row r="31" spans="3:13" ht="5.15" customHeight="1" x14ac:dyDescent="0.3"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</row>
    <row r="32" spans="3:13" x14ac:dyDescent="0.3">
      <c r="C32" s="192" t="str">
        <f>++"(1) TEV / LTM Revenue non-material figure capped at "&amp;TEXT(R1,"#,##0.0x")&amp;" and TEV / LTM EBITDA capped at "&amp;TEXT(R2,"#,##0.0x")</f>
        <v>(1) TEV / LTM Revenue non-material figure capped at 10.0x and TEV / LTM EBITDA capped at 35.0x</v>
      </c>
      <c r="D32" s="101"/>
      <c r="E32" s="101"/>
      <c r="F32" s="101"/>
      <c r="G32" s="101"/>
      <c r="H32" s="101"/>
      <c r="I32" s="101"/>
      <c r="J32" s="101"/>
      <c r="K32" s="101"/>
      <c r="L32" s="101"/>
      <c r="M32" s="101"/>
    </row>
    <row r="35" spans="1:2" x14ac:dyDescent="0.3">
      <c r="A35" s="16" t="s">
        <v>0</v>
      </c>
      <c r="B35" s="16" t="s">
        <v>0</v>
      </c>
    </row>
  </sheetData>
  <printOptions horizontalCentered="1"/>
  <pageMargins left="0.25" right="0.25" top="0.25" bottom="0.25" header="0.3" footer="0.3"/>
  <pageSetup scale="93" fitToHeight="0" orientation="landscape" r:id="rId1"/>
  <customProperties>
    <customPr name="OrphanNamesChecke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FCAE-4C91-4D2E-81E9-24F0A17934BA}">
  <sheetPr>
    <tabColor theme="5"/>
  </sheetPr>
  <dimension ref="A1"/>
  <sheetViews>
    <sheetView showGridLines="0" zoomScale="85" zoomScaleNormal="85" workbookViewId="0"/>
  </sheetViews>
  <sheetFormatPr defaultColWidth="9.296875" defaultRowHeight="13" x14ac:dyDescent="0.3"/>
  <cols>
    <col min="1" max="16384" width="9.296875" style="1"/>
  </cols>
  <sheetData/>
  <pageMargins left="0.7" right="0.7" top="0.75" bottom="0.75" header="0.3" footer="0.3"/>
  <pageSetup orientation="portrait" horizontalDpi="1200" verticalDpi="1200" r:id="rId1"/>
  <customProperties>
    <customPr name="OrphanNamesChecke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2622-9976-40F1-A5D1-56E7808D23FB}">
  <sheetPr codeName="Sheet26">
    <tabColor theme="5" tint="0.79998168889431442"/>
  </sheetPr>
  <dimension ref="A1:N87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9.296875" defaultRowHeight="13" x14ac:dyDescent="0.3"/>
  <cols>
    <col min="1" max="2" width="2.796875" style="1" customWidth="1"/>
    <col min="3" max="6" width="13.296875" style="1" customWidth="1"/>
    <col min="7" max="7" width="24.5" style="1" bestFit="1" customWidth="1"/>
    <col min="8" max="8" width="52.296875" style="1" bestFit="1" customWidth="1"/>
    <col min="9" max="9" width="13.296875" style="1" customWidth="1"/>
    <col min="10" max="10" width="24.5" style="1" bestFit="1" customWidth="1"/>
    <col min="11" max="11" width="51.296875" style="1" bestFit="1" customWidth="1"/>
    <col min="12" max="12" width="13.296875" style="1" customWidth="1"/>
    <col min="13" max="13" width="24.5" style="1" bestFit="1" customWidth="1"/>
    <col min="14" max="14" width="52.296875" style="1" bestFit="1" customWidth="1"/>
    <col min="15" max="16" width="13.296875" style="1" customWidth="1"/>
    <col min="17" max="16384" width="9.296875" style="1"/>
  </cols>
  <sheetData>
    <row r="1" spans="1:14" x14ac:dyDescent="0.3">
      <c r="C1" s="2" t="str">
        <f>++Dashboard!$C$1</f>
        <v>[Company Name]</v>
      </c>
      <c r="D1" s="3"/>
      <c r="E1" s="4"/>
    </row>
    <row r="2" spans="1:14" x14ac:dyDescent="0.3">
      <c r="C2" s="10" t="s">
        <v>214</v>
      </c>
      <c r="D2" s="11"/>
      <c r="E2" s="12"/>
    </row>
    <row r="3" spans="1:14" x14ac:dyDescent="0.3">
      <c r="C3" s="13" t="str">
        <f ca="1">++TEXT(TODAY(),"MMMM D, YYYY")</f>
        <v>February 26, 2026</v>
      </c>
      <c r="D3" s="14"/>
      <c r="E3" s="15"/>
    </row>
    <row r="5" spans="1:14" x14ac:dyDescent="0.3">
      <c r="A5" s="16" t="s">
        <v>0</v>
      </c>
      <c r="B5" s="16" t="s">
        <v>0</v>
      </c>
      <c r="C5" s="146" t="str">
        <f>++C2</f>
        <v>Data Validation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</row>
    <row r="6" spans="1:14" ht="5.15" customHeight="1" x14ac:dyDescent="0.3"/>
    <row r="7" spans="1:14" x14ac:dyDescent="0.3">
      <c r="C7" s="104" t="s">
        <v>171</v>
      </c>
      <c r="D7" s="104"/>
      <c r="G7" s="104" t="s">
        <v>4</v>
      </c>
      <c r="H7" s="104" t="s">
        <v>5</v>
      </c>
      <c r="J7" s="104" t="s">
        <v>303</v>
      </c>
      <c r="K7" s="104" t="s">
        <v>304</v>
      </c>
      <c r="M7" s="104" t="s">
        <v>298</v>
      </c>
      <c r="N7" s="102" t="str">
        <f>++Dashboard!$E$9</f>
        <v>Industrials</v>
      </c>
    </row>
    <row r="8" spans="1:14" x14ac:dyDescent="0.3">
      <c r="C8" s="129" t="s">
        <v>205</v>
      </c>
      <c r="G8" s="130" t="s">
        <v>216</v>
      </c>
      <c r="H8" s="131" t="s">
        <v>230</v>
      </c>
      <c r="J8" s="84" t="s">
        <v>300</v>
      </c>
      <c r="K8" s="83" t="s">
        <v>47</v>
      </c>
      <c r="M8" s="132" t="str" cm="1">
        <f t="array" ref="M8:N21">++_xlfn._xlws.FILTER($G$8:$H$77,$G$8:$G$77=$N$7)</f>
        <v>Industrials</v>
      </c>
      <c r="N8" s="132" t="str">
        <v>Aerospance &amp; Defense</v>
      </c>
    </row>
    <row r="9" spans="1:14" x14ac:dyDescent="0.3">
      <c r="C9" s="129" t="s">
        <v>172</v>
      </c>
      <c r="G9" s="133" t="s">
        <v>216</v>
      </c>
      <c r="H9" s="134" t="s">
        <v>231</v>
      </c>
      <c r="J9" s="130" t="s">
        <v>301</v>
      </c>
      <c r="K9" s="131" t="s">
        <v>305</v>
      </c>
      <c r="M9" s="135" t="str">
        <v>Industrials</v>
      </c>
      <c r="N9" s="135" t="str">
        <v>Air Freight &amp; Logistics</v>
      </c>
    </row>
    <row r="10" spans="1:14" x14ac:dyDescent="0.3">
      <c r="C10" s="129" t="s">
        <v>47</v>
      </c>
      <c r="G10" s="133" t="s">
        <v>216</v>
      </c>
      <c r="H10" s="134" t="s">
        <v>232</v>
      </c>
      <c r="J10" s="133" t="s">
        <v>301</v>
      </c>
      <c r="K10" s="134" t="s">
        <v>306</v>
      </c>
      <c r="M10" s="135" t="str">
        <v>Industrials</v>
      </c>
      <c r="N10" s="135" t="str">
        <v>Airlines</v>
      </c>
    </row>
    <row r="11" spans="1:14" x14ac:dyDescent="0.3">
      <c r="G11" s="133" t="s">
        <v>216</v>
      </c>
      <c r="H11" s="134" t="s">
        <v>233</v>
      </c>
      <c r="J11" s="133" t="s">
        <v>301</v>
      </c>
      <c r="K11" s="134" t="s">
        <v>307</v>
      </c>
      <c r="M11" s="135" t="str">
        <v>Industrials</v>
      </c>
      <c r="N11" s="135" t="str">
        <v>Building Products</v>
      </c>
    </row>
    <row r="12" spans="1:14" x14ac:dyDescent="0.3">
      <c r="G12" s="136" t="s">
        <v>216</v>
      </c>
      <c r="H12" s="137" t="s">
        <v>234</v>
      </c>
      <c r="J12" s="133" t="s">
        <v>301</v>
      </c>
      <c r="K12" s="134" t="s">
        <v>308</v>
      </c>
      <c r="M12" s="135" t="str">
        <v>Industrials</v>
      </c>
      <c r="N12" s="135" t="str">
        <v>Commercial Services &amp; Supplies</v>
      </c>
    </row>
    <row r="13" spans="1:14" x14ac:dyDescent="0.3">
      <c r="C13" s="104" t="s">
        <v>173</v>
      </c>
      <c r="D13" s="104"/>
      <c r="G13" s="130" t="s">
        <v>217</v>
      </c>
      <c r="H13" s="131" t="s">
        <v>235</v>
      </c>
      <c r="J13" s="133" t="s">
        <v>301</v>
      </c>
      <c r="K13" s="134" t="s">
        <v>309</v>
      </c>
      <c r="M13" s="135" t="str">
        <v>Industrials</v>
      </c>
      <c r="N13" s="135" t="str">
        <v>Engineering &amp; Construction</v>
      </c>
    </row>
    <row r="14" spans="1:14" x14ac:dyDescent="0.3">
      <c r="C14" s="138" t="s">
        <v>196</v>
      </c>
      <c r="D14" s="139"/>
      <c r="G14" s="133" t="s">
        <v>217</v>
      </c>
      <c r="H14" s="134" t="s">
        <v>236</v>
      </c>
      <c r="J14" s="133" t="s">
        <v>301</v>
      </c>
      <c r="K14" s="134" t="s">
        <v>310</v>
      </c>
      <c r="M14" s="135" t="str">
        <v>Industrials</v>
      </c>
      <c r="N14" s="135" t="str">
        <v>Electrical Equipment</v>
      </c>
    </row>
    <row r="15" spans="1:14" x14ac:dyDescent="0.3">
      <c r="C15" s="138" t="s">
        <v>200</v>
      </c>
      <c r="D15" s="139"/>
      <c r="G15" s="133" t="s">
        <v>217</v>
      </c>
      <c r="H15" s="134" t="s">
        <v>237</v>
      </c>
      <c r="J15" s="133" t="s">
        <v>301</v>
      </c>
      <c r="K15" s="134" t="s">
        <v>311</v>
      </c>
      <c r="M15" s="135" t="str">
        <v>Industrials</v>
      </c>
      <c r="N15" s="135" t="str">
        <v>Industrial Conglomerates</v>
      </c>
    </row>
    <row r="16" spans="1:14" x14ac:dyDescent="0.3">
      <c r="C16" s="138" t="s">
        <v>199</v>
      </c>
      <c r="D16" s="139"/>
      <c r="G16" s="133" t="s">
        <v>217</v>
      </c>
      <c r="H16" s="134" t="s">
        <v>238</v>
      </c>
      <c r="J16" s="133" t="s">
        <v>301</v>
      </c>
      <c r="K16" s="134" t="s">
        <v>312</v>
      </c>
      <c r="M16" s="135" t="str">
        <v>Industrials</v>
      </c>
      <c r="N16" s="135" t="str">
        <v>Machinery</v>
      </c>
    </row>
    <row r="17" spans="3:14" x14ac:dyDescent="0.3">
      <c r="C17" s="138" t="s">
        <v>197</v>
      </c>
      <c r="D17" s="139"/>
      <c r="G17" s="133" t="s">
        <v>217</v>
      </c>
      <c r="H17" s="134" t="s">
        <v>239</v>
      </c>
      <c r="J17" s="133" t="s">
        <v>301</v>
      </c>
      <c r="K17" s="134" t="s">
        <v>313</v>
      </c>
      <c r="M17" s="135" t="str">
        <v>Industrials</v>
      </c>
      <c r="N17" s="135" t="str">
        <v>Marine</v>
      </c>
    </row>
    <row r="18" spans="3:14" x14ac:dyDescent="0.3">
      <c r="C18" s="138" t="s">
        <v>198</v>
      </c>
      <c r="D18" s="139"/>
      <c r="G18" s="133" t="s">
        <v>217</v>
      </c>
      <c r="H18" s="134" t="s">
        <v>240</v>
      </c>
      <c r="J18" s="133" t="s">
        <v>301</v>
      </c>
      <c r="K18" s="134" t="s">
        <v>314</v>
      </c>
      <c r="M18" s="135" t="str">
        <v>Industrials</v>
      </c>
      <c r="N18" s="135" t="str">
        <v>Professional Services</v>
      </c>
    </row>
    <row r="19" spans="3:14" x14ac:dyDescent="0.3">
      <c r="C19" s="138" t="s">
        <v>47</v>
      </c>
      <c r="D19" s="139"/>
      <c r="G19" s="133" t="s">
        <v>217</v>
      </c>
      <c r="H19" s="134" t="s">
        <v>241</v>
      </c>
      <c r="J19" s="133" t="s">
        <v>301</v>
      </c>
      <c r="K19" s="134" t="s">
        <v>315</v>
      </c>
      <c r="M19" s="135" t="str">
        <v>Industrials</v>
      </c>
      <c r="N19" s="135" t="str">
        <v>Road &amp; Rail</v>
      </c>
    </row>
    <row r="20" spans="3:14" x14ac:dyDescent="0.3">
      <c r="G20" s="133" t="s">
        <v>217</v>
      </c>
      <c r="H20" s="134" t="s">
        <v>242</v>
      </c>
      <c r="J20" s="133" t="s">
        <v>301</v>
      </c>
      <c r="K20" s="134" t="s">
        <v>316</v>
      </c>
      <c r="M20" s="135" t="str">
        <v>Industrials</v>
      </c>
      <c r="N20" s="135" t="str">
        <v>Trading Companies &amp; Distributors</v>
      </c>
    </row>
    <row r="21" spans="3:14" x14ac:dyDescent="0.3">
      <c r="G21" s="133" t="s">
        <v>217</v>
      </c>
      <c r="H21" s="134" t="s">
        <v>243</v>
      </c>
      <c r="J21" s="133" t="s">
        <v>301</v>
      </c>
      <c r="K21" s="134" t="s">
        <v>317</v>
      </c>
      <c r="M21" s="140" t="str">
        <v>Industrials</v>
      </c>
      <c r="N21" s="140" t="str">
        <v>Transportation Infrastructure</v>
      </c>
    </row>
    <row r="22" spans="3:14" x14ac:dyDescent="0.3">
      <c r="C22" s="104" t="s">
        <v>193</v>
      </c>
      <c r="D22" s="104"/>
      <c r="E22" s="104"/>
      <c r="G22" s="133" t="s">
        <v>217</v>
      </c>
      <c r="H22" s="134" t="s">
        <v>244</v>
      </c>
      <c r="J22" s="133" t="s">
        <v>301</v>
      </c>
      <c r="K22" s="134" t="s">
        <v>318</v>
      </c>
    </row>
    <row r="23" spans="3:14" x14ac:dyDescent="0.3">
      <c r="C23" s="138" t="s">
        <v>201</v>
      </c>
      <c r="D23" s="139"/>
      <c r="E23" s="88">
        <v>0</v>
      </c>
      <c r="G23" s="136" t="s">
        <v>217</v>
      </c>
      <c r="H23" s="137" t="s">
        <v>245</v>
      </c>
      <c r="J23" s="133" t="s">
        <v>301</v>
      </c>
      <c r="K23" s="134" t="s">
        <v>319</v>
      </c>
    </row>
    <row r="24" spans="3:14" x14ac:dyDescent="0.3">
      <c r="C24" s="138" t="s">
        <v>202</v>
      </c>
      <c r="D24" s="139"/>
      <c r="E24" s="88">
        <v>1</v>
      </c>
      <c r="G24" s="130" t="s">
        <v>218</v>
      </c>
      <c r="H24" s="131" t="s">
        <v>246</v>
      </c>
      <c r="J24" s="133" t="s">
        <v>301</v>
      </c>
      <c r="K24" s="134" t="s">
        <v>320</v>
      </c>
      <c r="M24" s="104" t="s">
        <v>340</v>
      </c>
      <c r="N24" s="102" t="str">
        <f>++Dashboard!Q13</f>
        <v>ESG - 1</v>
      </c>
    </row>
    <row r="25" spans="3:14" x14ac:dyDescent="0.3">
      <c r="C25" s="138" t="s">
        <v>194</v>
      </c>
      <c r="D25" s="139"/>
      <c r="E25" s="88">
        <v>2</v>
      </c>
      <c r="G25" s="133" t="s">
        <v>218</v>
      </c>
      <c r="H25" s="134" t="s">
        <v>433</v>
      </c>
      <c r="J25" s="133" t="s">
        <v>301</v>
      </c>
      <c r="K25" s="134" t="s">
        <v>321</v>
      </c>
      <c r="M25" s="132" t="str" cm="1">
        <f t="array" ref="M25:N25">++_xlfn._xlws.FILTER($J$8:$K$45,$J$8:$J$45=$N$24)</f>
        <v>ESG - 1</v>
      </c>
      <c r="N25" s="132" t="str">
        <v>n/a</v>
      </c>
    </row>
    <row r="26" spans="3:14" x14ac:dyDescent="0.3">
      <c r="C26" s="138" t="s">
        <v>203</v>
      </c>
      <c r="D26" s="139"/>
      <c r="E26" s="88">
        <v>3</v>
      </c>
      <c r="G26" s="133" t="s">
        <v>218</v>
      </c>
      <c r="H26" s="134" t="s">
        <v>247</v>
      </c>
      <c r="J26" s="133" t="s">
        <v>301</v>
      </c>
      <c r="K26" s="134" t="s">
        <v>352</v>
      </c>
      <c r="M26" s="135"/>
      <c r="N26" s="135"/>
    </row>
    <row r="27" spans="3:14" x14ac:dyDescent="0.3">
      <c r="C27" s="138" t="s">
        <v>204</v>
      </c>
      <c r="D27" s="139"/>
      <c r="E27" s="88">
        <v>4</v>
      </c>
      <c r="G27" s="133" t="s">
        <v>218</v>
      </c>
      <c r="H27" s="134" t="s">
        <v>248</v>
      </c>
      <c r="J27" s="133" t="s">
        <v>301</v>
      </c>
      <c r="K27" s="134" t="s">
        <v>322</v>
      </c>
      <c r="M27" s="135"/>
      <c r="N27" s="135"/>
    </row>
    <row r="28" spans="3:14" x14ac:dyDescent="0.3">
      <c r="C28" s="138" t="s">
        <v>47</v>
      </c>
      <c r="D28" s="139"/>
      <c r="E28" s="88">
        <v>5</v>
      </c>
      <c r="G28" s="133" t="s">
        <v>218</v>
      </c>
      <c r="H28" s="134" t="s">
        <v>249</v>
      </c>
      <c r="J28" s="133" t="s">
        <v>301</v>
      </c>
      <c r="K28" s="134" t="s">
        <v>323</v>
      </c>
      <c r="M28" s="135"/>
      <c r="N28" s="135"/>
    </row>
    <row r="29" spans="3:14" x14ac:dyDescent="0.3">
      <c r="G29" s="136" t="s">
        <v>218</v>
      </c>
      <c r="H29" s="137" t="s">
        <v>250</v>
      </c>
      <c r="J29" s="133" t="s">
        <v>301</v>
      </c>
      <c r="K29" s="134" t="s">
        <v>324</v>
      </c>
      <c r="M29" s="135"/>
      <c r="N29" s="135"/>
    </row>
    <row r="30" spans="3:14" x14ac:dyDescent="0.3">
      <c r="G30" s="130" t="s">
        <v>219</v>
      </c>
      <c r="H30" s="131" t="s">
        <v>251</v>
      </c>
      <c r="J30" s="133" t="s">
        <v>301</v>
      </c>
      <c r="K30" s="134" t="s">
        <v>325</v>
      </c>
      <c r="M30" s="135"/>
      <c r="N30" s="135"/>
    </row>
    <row r="31" spans="3:14" x14ac:dyDescent="0.3">
      <c r="C31" s="104" t="s">
        <v>215</v>
      </c>
      <c r="G31" s="136" t="s">
        <v>219</v>
      </c>
      <c r="H31" s="137" t="s">
        <v>252</v>
      </c>
      <c r="J31" s="133" t="s">
        <v>301</v>
      </c>
      <c r="K31" s="134" t="s">
        <v>326</v>
      </c>
      <c r="M31" s="135"/>
      <c r="N31" s="135"/>
    </row>
    <row r="32" spans="3:14" x14ac:dyDescent="0.3">
      <c r="C32" s="129" t="s">
        <v>212</v>
      </c>
      <c r="G32" s="130" t="s">
        <v>220</v>
      </c>
      <c r="H32" s="131" t="s">
        <v>253</v>
      </c>
      <c r="J32" s="133" t="s">
        <v>301</v>
      </c>
      <c r="K32" s="134" t="s">
        <v>327</v>
      </c>
      <c r="M32" s="135"/>
      <c r="N32" s="135"/>
    </row>
    <row r="33" spans="3:14" x14ac:dyDescent="0.3">
      <c r="C33" s="129" t="s">
        <v>213</v>
      </c>
      <c r="G33" s="133" t="s">
        <v>220</v>
      </c>
      <c r="H33" s="134" t="s">
        <v>254</v>
      </c>
      <c r="J33" s="136" t="s">
        <v>301</v>
      </c>
      <c r="K33" s="137" t="s">
        <v>328</v>
      </c>
      <c r="M33" s="135"/>
      <c r="N33" s="135"/>
    </row>
    <row r="34" spans="3:14" x14ac:dyDescent="0.3">
      <c r="C34" s="129" t="s">
        <v>47</v>
      </c>
      <c r="G34" s="133" t="s">
        <v>220</v>
      </c>
      <c r="H34" s="134" t="s">
        <v>255</v>
      </c>
      <c r="J34" s="130" t="s">
        <v>302</v>
      </c>
      <c r="K34" s="131" t="s">
        <v>329</v>
      </c>
      <c r="M34" s="135"/>
      <c r="N34" s="135"/>
    </row>
    <row r="35" spans="3:14" x14ac:dyDescent="0.3">
      <c r="G35" s="133" t="s">
        <v>220</v>
      </c>
      <c r="H35" s="134" t="s">
        <v>256</v>
      </c>
      <c r="J35" s="133" t="s">
        <v>302</v>
      </c>
      <c r="K35" s="134" t="s">
        <v>330</v>
      </c>
      <c r="M35" s="135"/>
      <c r="N35" s="135"/>
    </row>
    <row r="36" spans="3:14" x14ac:dyDescent="0.3">
      <c r="G36" s="133" t="s">
        <v>220</v>
      </c>
      <c r="H36" s="134" t="s">
        <v>257</v>
      </c>
      <c r="J36" s="133" t="s">
        <v>302</v>
      </c>
      <c r="K36" s="134" t="s">
        <v>331</v>
      </c>
      <c r="M36" s="135"/>
      <c r="N36" s="135"/>
    </row>
    <row r="37" spans="3:14" x14ac:dyDescent="0.3">
      <c r="C37" s="104" t="s">
        <v>227</v>
      </c>
      <c r="D37" s="104"/>
      <c r="G37" s="133" t="s">
        <v>220</v>
      </c>
      <c r="H37" s="134" t="s">
        <v>258</v>
      </c>
      <c r="J37" s="133" t="s">
        <v>302</v>
      </c>
      <c r="K37" s="134" t="s">
        <v>332</v>
      </c>
      <c r="M37" s="135"/>
      <c r="N37" s="135"/>
    </row>
    <row r="38" spans="3:14" x14ac:dyDescent="0.3">
      <c r="C38" s="138" t="s">
        <v>134</v>
      </c>
      <c r="D38" s="139"/>
      <c r="G38" s="136" t="s">
        <v>220</v>
      </c>
      <c r="H38" s="137" t="s">
        <v>259</v>
      </c>
      <c r="J38" s="133" t="s">
        <v>302</v>
      </c>
      <c r="K38" s="134" t="s">
        <v>333</v>
      </c>
      <c r="M38" s="135"/>
      <c r="N38" s="135"/>
    </row>
    <row r="39" spans="3:14" x14ac:dyDescent="0.3">
      <c r="C39" s="138" t="s">
        <v>228</v>
      </c>
      <c r="D39" s="139"/>
      <c r="G39" s="130" t="s">
        <v>221</v>
      </c>
      <c r="H39" s="131" t="s">
        <v>260</v>
      </c>
      <c r="J39" s="133" t="s">
        <v>302</v>
      </c>
      <c r="K39" s="134" t="s">
        <v>334</v>
      </c>
      <c r="M39" s="135"/>
      <c r="N39" s="135"/>
    </row>
    <row r="40" spans="3:14" x14ac:dyDescent="0.3">
      <c r="C40" s="138" t="s">
        <v>229</v>
      </c>
      <c r="D40" s="139"/>
      <c r="G40" s="133" t="s">
        <v>221</v>
      </c>
      <c r="H40" s="134" t="s">
        <v>261</v>
      </c>
      <c r="J40" s="133" t="s">
        <v>302</v>
      </c>
      <c r="K40" s="134" t="s">
        <v>335</v>
      </c>
      <c r="M40" s="135"/>
      <c r="N40" s="135"/>
    </row>
    <row r="41" spans="3:14" x14ac:dyDescent="0.3">
      <c r="G41" s="133" t="s">
        <v>221</v>
      </c>
      <c r="H41" s="134" t="s">
        <v>262</v>
      </c>
      <c r="J41" s="133" t="s">
        <v>302</v>
      </c>
      <c r="K41" s="134" t="s">
        <v>336</v>
      </c>
      <c r="M41" s="135"/>
      <c r="N41" s="135"/>
    </row>
    <row r="42" spans="3:14" x14ac:dyDescent="0.3">
      <c r="G42" s="133" t="s">
        <v>221</v>
      </c>
      <c r="H42" s="134" t="s">
        <v>263</v>
      </c>
      <c r="J42" s="133" t="s">
        <v>302</v>
      </c>
      <c r="K42" s="134" t="s">
        <v>337</v>
      </c>
      <c r="M42" s="135"/>
      <c r="N42" s="135"/>
    </row>
    <row r="43" spans="3:14" x14ac:dyDescent="0.3">
      <c r="C43" s="104" t="s">
        <v>4</v>
      </c>
      <c r="G43" s="133" t="s">
        <v>221</v>
      </c>
      <c r="H43" s="134" t="s">
        <v>264</v>
      </c>
      <c r="J43" s="133" t="s">
        <v>302</v>
      </c>
      <c r="K43" s="134" t="s">
        <v>338</v>
      </c>
      <c r="M43" s="135"/>
      <c r="N43" s="135"/>
    </row>
    <row r="44" spans="3:14" x14ac:dyDescent="0.3">
      <c r="C44" s="138" t="s">
        <v>216</v>
      </c>
      <c r="D44" s="139"/>
      <c r="G44" s="136" t="s">
        <v>221</v>
      </c>
      <c r="H44" s="137" t="s">
        <v>265</v>
      </c>
      <c r="J44" s="136" t="s">
        <v>302</v>
      </c>
      <c r="K44" s="137" t="s">
        <v>339</v>
      </c>
      <c r="M44" s="135"/>
      <c r="N44" s="135"/>
    </row>
    <row r="45" spans="3:14" x14ac:dyDescent="0.3">
      <c r="C45" s="138" t="s">
        <v>217</v>
      </c>
      <c r="D45" s="139"/>
      <c r="G45" s="130" t="s">
        <v>222</v>
      </c>
      <c r="H45" s="131" t="s">
        <v>266</v>
      </c>
      <c r="J45" s="84" t="s">
        <v>47</v>
      </c>
      <c r="K45" s="83" t="s">
        <v>47</v>
      </c>
      <c r="M45" s="135"/>
      <c r="N45" s="135"/>
    </row>
    <row r="46" spans="3:14" x14ac:dyDescent="0.3">
      <c r="C46" s="138" t="s">
        <v>218</v>
      </c>
      <c r="D46" s="139"/>
      <c r="G46" s="133" t="s">
        <v>222</v>
      </c>
      <c r="H46" s="134" t="s">
        <v>267</v>
      </c>
      <c r="M46" s="135"/>
      <c r="N46" s="135"/>
    </row>
    <row r="47" spans="3:14" x14ac:dyDescent="0.3">
      <c r="C47" s="138" t="s">
        <v>219</v>
      </c>
      <c r="D47" s="139"/>
      <c r="G47" s="133" t="s">
        <v>222</v>
      </c>
      <c r="H47" s="134" t="s">
        <v>268</v>
      </c>
      <c r="M47" s="135"/>
      <c r="N47" s="135"/>
    </row>
    <row r="48" spans="3:14" x14ac:dyDescent="0.3">
      <c r="C48" s="138" t="s">
        <v>220</v>
      </c>
      <c r="D48" s="139"/>
      <c r="G48" s="133" t="s">
        <v>222</v>
      </c>
      <c r="H48" s="134" t="s">
        <v>269</v>
      </c>
      <c r="M48" s="135"/>
      <c r="N48" s="135"/>
    </row>
    <row r="49" spans="3:14" x14ac:dyDescent="0.3">
      <c r="C49" s="138" t="s">
        <v>221</v>
      </c>
      <c r="D49" s="139"/>
      <c r="G49" s="133" t="s">
        <v>222</v>
      </c>
      <c r="H49" s="134" t="s">
        <v>270</v>
      </c>
      <c r="M49" s="140"/>
      <c r="N49" s="140"/>
    </row>
    <row r="50" spans="3:14" x14ac:dyDescent="0.3">
      <c r="C50" s="138" t="s">
        <v>222</v>
      </c>
      <c r="D50" s="139"/>
      <c r="G50" s="133" t="s">
        <v>222</v>
      </c>
      <c r="H50" s="134" t="s">
        <v>271</v>
      </c>
    </row>
    <row r="51" spans="3:14" x14ac:dyDescent="0.3">
      <c r="C51" s="138" t="s">
        <v>223</v>
      </c>
      <c r="D51" s="139"/>
      <c r="G51" s="133" t="s">
        <v>222</v>
      </c>
      <c r="H51" s="134" t="s">
        <v>272</v>
      </c>
    </row>
    <row r="52" spans="3:14" x14ac:dyDescent="0.3">
      <c r="C52" s="138" t="s">
        <v>224</v>
      </c>
      <c r="D52" s="139"/>
      <c r="G52" s="133" t="s">
        <v>222</v>
      </c>
      <c r="H52" s="134" t="s">
        <v>273</v>
      </c>
    </row>
    <row r="53" spans="3:14" x14ac:dyDescent="0.3">
      <c r="C53" s="138" t="s">
        <v>225</v>
      </c>
      <c r="D53" s="139"/>
      <c r="G53" s="133" t="s">
        <v>222</v>
      </c>
      <c r="H53" s="134" t="s">
        <v>274</v>
      </c>
    </row>
    <row r="54" spans="3:14" x14ac:dyDescent="0.3">
      <c r="C54" s="138" t="s">
        <v>226</v>
      </c>
      <c r="D54" s="139"/>
      <c r="G54" s="133" t="s">
        <v>222</v>
      </c>
      <c r="H54" s="134" t="s">
        <v>275</v>
      </c>
    </row>
    <row r="55" spans="3:14" x14ac:dyDescent="0.3">
      <c r="C55" s="138" t="s">
        <v>47</v>
      </c>
      <c r="D55" s="139"/>
      <c r="G55" s="133" t="s">
        <v>222</v>
      </c>
      <c r="H55" s="134" t="s">
        <v>276</v>
      </c>
    </row>
    <row r="56" spans="3:14" x14ac:dyDescent="0.3">
      <c r="G56" s="133" t="s">
        <v>222</v>
      </c>
      <c r="H56" s="134" t="s">
        <v>277</v>
      </c>
    </row>
    <row r="57" spans="3:14" x14ac:dyDescent="0.3">
      <c r="G57" s="133" t="s">
        <v>222</v>
      </c>
      <c r="H57" s="134" t="s">
        <v>278</v>
      </c>
    </row>
    <row r="58" spans="3:14" x14ac:dyDescent="0.3">
      <c r="C58" s="104" t="s">
        <v>299</v>
      </c>
      <c r="D58" s="104"/>
      <c r="G58" s="136" t="s">
        <v>222</v>
      </c>
      <c r="H58" s="137" t="s">
        <v>279</v>
      </c>
    </row>
    <row r="59" spans="3:14" x14ac:dyDescent="0.3">
      <c r="C59" s="129" t="s">
        <v>300</v>
      </c>
      <c r="G59" s="130" t="s">
        <v>223</v>
      </c>
      <c r="H59" s="131" t="s">
        <v>280</v>
      </c>
    </row>
    <row r="60" spans="3:14" x14ac:dyDescent="0.3">
      <c r="C60" s="129" t="s">
        <v>301</v>
      </c>
      <c r="G60" s="133" t="s">
        <v>223</v>
      </c>
      <c r="H60" s="134" t="s">
        <v>281</v>
      </c>
    </row>
    <row r="61" spans="3:14" x14ac:dyDescent="0.3">
      <c r="C61" s="129" t="s">
        <v>302</v>
      </c>
      <c r="G61" s="133" t="s">
        <v>223</v>
      </c>
      <c r="H61" s="134" t="s">
        <v>282</v>
      </c>
    </row>
    <row r="62" spans="3:14" x14ac:dyDescent="0.3">
      <c r="C62" s="129" t="s">
        <v>47</v>
      </c>
      <c r="G62" s="133" t="s">
        <v>223</v>
      </c>
      <c r="H62" s="134" t="s">
        <v>283</v>
      </c>
    </row>
    <row r="63" spans="3:14" x14ac:dyDescent="0.3">
      <c r="G63" s="136" t="s">
        <v>223</v>
      </c>
      <c r="H63" s="137" t="s">
        <v>284</v>
      </c>
    </row>
    <row r="64" spans="3:14" x14ac:dyDescent="0.3">
      <c r="G64" s="130" t="s">
        <v>224</v>
      </c>
      <c r="H64" s="131" t="s">
        <v>285</v>
      </c>
    </row>
    <row r="65" spans="3:8" x14ac:dyDescent="0.3">
      <c r="C65" s="104" t="s">
        <v>530</v>
      </c>
      <c r="G65" s="136" t="s">
        <v>224</v>
      </c>
      <c r="H65" s="137" t="s">
        <v>286</v>
      </c>
    </row>
    <row r="66" spans="3:8" x14ac:dyDescent="0.3">
      <c r="C66" s="129" t="s">
        <v>53</v>
      </c>
      <c r="G66" s="130" t="s">
        <v>225</v>
      </c>
      <c r="H66" s="131" t="s">
        <v>287</v>
      </c>
    </row>
    <row r="67" spans="3:8" x14ac:dyDescent="0.3">
      <c r="C67" s="129" t="s">
        <v>369</v>
      </c>
      <c r="G67" s="133" t="s">
        <v>225</v>
      </c>
      <c r="H67" s="134" t="s">
        <v>288</v>
      </c>
    </row>
    <row r="68" spans="3:8" x14ac:dyDescent="0.3">
      <c r="C68" s="129" t="s">
        <v>47</v>
      </c>
      <c r="G68" s="133" t="s">
        <v>225</v>
      </c>
      <c r="H68" s="134" t="s">
        <v>289</v>
      </c>
    </row>
    <row r="69" spans="3:8" x14ac:dyDescent="0.3">
      <c r="G69" s="133" t="s">
        <v>225</v>
      </c>
      <c r="H69" s="134" t="s">
        <v>290</v>
      </c>
    </row>
    <row r="70" spans="3:8" x14ac:dyDescent="0.3">
      <c r="G70" s="133" t="s">
        <v>225</v>
      </c>
      <c r="H70" s="134" t="s">
        <v>291</v>
      </c>
    </row>
    <row r="71" spans="3:8" x14ac:dyDescent="0.3">
      <c r="C71" s="104" t="s">
        <v>638</v>
      </c>
      <c r="G71" s="136" t="s">
        <v>225</v>
      </c>
      <c r="H71" s="137" t="s">
        <v>292</v>
      </c>
    </row>
    <row r="72" spans="3:8" x14ac:dyDescent="0.3">
      <c r="C72" s="129" t="s">
        <v>475</v>
      </c>
      <c r="G72" s="130" t="s">
        <v>226</v>
      </c>
      <c r="H72" s="131" t="s">
        <v>293</v>
      </c>
    </row>
    <row r="73" spans="3:8" x14ac:dyDescent="0.3">
      <c r="C73" s="129" t="s">
        <v>532</v>
      </c>
      <c r="G73" s="133" t="s">
        <v>226</v>
      </c>
      <c r="H73" s="134" t="s">
        <v>294</v>
      </c>
    </row>
    <row r="74" spans="3:8" x14ac:dyDescent="0.3">
      <c r="C74" s="129" t="s">
        <v>47</v>
      </c>
      <c r="G74" s="133" t="s">
        <v>226</v>
      </c>
      <c r="H74" s="134" t="s">
        <v>295</v>
      </c>
    </row>
    <row r="75" spans="3:8" x14ac:dyDescent="0.3">
      <c r="G75" s="133" t="s">
        <v>226</v>
      </c>
      <c r="H75" s="134" t="s">
        <v>296</v>
      </c>
    </row>
    <row r="76" spans="3:8" x14ac:dyDescent="0.3">
      <c r="G76" s="136" t="s">
        <v>226</v>
      </c>
      <c r="H76" s="137" t="s">
        <v>297</v>
      </c>
    </row>
    <row r="77" spans="3:8" x14ac:dyDescent="0.3">
      <c r="C77" s="104" t="s">
        <v>531</v>
      </c>
      <c r="G77" s="84" t="s">
        <v>47</v>
      </c>
      <c r="H77" s="83" t="s">
        <v>47</v>
      </c>
    </row>
    <row r="78" spans="3:8" x14ac:dyDescent="0.3">
      <c r="C78" s="129" t="s">
        <v>639</v>
      </c>
    </row>
    <row r="79" spans="3:8" x14ac:dyDescent="0.3">
      <c r="C79" s="129" t="s">
        <v>642</v>
      </c>
    </row>
    <row r="80" spans="3:8" x14ac:dyDescent="0.3">
      <c r="C80" s="129" t="s">
        <v>640</v>
      </c>
    </row>
    <row r="81" spans="3:3" x14ac:dyDescent="0.3">
      <c r="C81" s="129" t="s">
        <v>641</v>
      </c>
    </row>
    <row r="84" spans="3:3" x14ac:dyDescent="0.3">
      <c r="C84" s="104" t="s">
        <v>646</v>
      </c>
    </row>
    <row r="85" spans="3:3" x14ac:dyDescent="0.3">
      <c r="C85" s="129" t="s">
        <v>647</v>
      </c>
    </row>
    <row r="86" spans="3:3" x14ac:dyDescent="0.3">
      <c r="C86" s="129" t="s">
        <v>648</v>
      </c>
    </row>
    <row r="87" spans="3:3" x14ac:dyDescent="0.3">
      <c r="C87" s="129" t="s">
        <v>641</v>
      </c>
    </row>
  </sheetData>
  <pageMargins left="0.7" right="0.7" top="0.75" bottom="0.75" header="0.3" footer="0.3"/>
  <pageSetup orientation="portrait" r:id="rId1"/>
  <customProperties>
    <customPr name="OrphanNamesChecke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Dashboard</vt:lpstr>
      <vt:lpstr>Charts</vt:lpstr>
      <vt:lpstr>Inputs --&gt;</vt:lpstr>
      <vt:lpstr>Financials Input</vt:lpstr>
      <vt:lpstr>Covenant Input</vt:lpstr>
      <vt:lpstr>Trade Ticket Input</vt:lpstr>
      <vt:lpstr>Add-On Input</vt:lpstr>
      <vt:lpstr>Public Comps Input</vt:lpstr>
      <vt:lpstr>Tnx Comps Input</vt:lpstr>
      <vt:lpstr>Misc --&gt;</vt:lpstr>
      <vt:lpstr>Data Validation</vt:lpstr>
      <vt:lpstr>FinChartType</vt:lpstr>
      <vt:lpstr>FYEDate</vt:lpstr>
      <vt:lpstr>LTMDate</vt:lpstr>
      <vt:lpstr>'Add-On Input'!Print_Area</vt:lpstr>
      <vt:lpstr>Charts!Print_Area</vt:lpstr>
      <vt:lpstr>Dashboard!Print_Area</vt:lpstr>
      <vt:lpstr>'Public Comps Input'!Print_Area</vt:lpstr>
      <vt:lpstr>'Tnx Comps Input'!Print_Area</vt:lpstr>
      <vt:lpstr>'Trade Ticket Input'!Print_Area</vt:lpstr>
      <vt:lpstr>Charts!Print_Titles</vt:lpstr>
      <vt:lpstr>'Financials Input'!Print_Titles</vt:lpstr>
      <vt:lpstr>'Trade Ticket Input'!Print_Titles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Anderson</dc:creator>
  <cp:lastModifiedBy>Jamie Anderson</cp:lastModifiedBy>
  <cp:lastPrinted>2025-12-17T22:47:45Z</cp:lastPrinted>
  <dcterms:created xsi:type="dcterms:W3CDTF">2021-12-22T20:19:26Z</dcterms:created>
  <dcterms:modified xsi:type="dcterms:W3CDTF">2026-02-26T18:01:15Z</dcterms:modified>
</cp:coreProperties>
</file>