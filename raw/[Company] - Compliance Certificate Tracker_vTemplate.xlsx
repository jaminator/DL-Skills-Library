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enterbridge.sharepoint.com/sites/Overland/Shared Documents/00 Underwriting Templates/03 Excel Templates/"/>
    </mc:Choice>
  </mc:AlternateContent>
  <xr:revisionPtr revIDLastSave="2" documentId="8_{830B0589-FDCE-458F-BCA9-EFB3B1E0769C}" xr6:coauthVersionLast="47" xr6:coauthVersionMax="47" xr10:uidLastSave="{78238979-CAF0-4F6B-BEF2-259CE139B0F9}"/>
  <bookViews>
    <workbookView xWindow="-120" yWindow="-120" windowWidth="29040" windowHeight="15720" tabRatio="409" xr2:uid="{21EB61DD-606C-4D9D-BA61-480432AFFA9B}"/>
  </bookViews>
  <sheets>
    <sheet name="Company Name" sheetId="5" r:id="rId1"/>
  </sheets>
  <definedNames>
    <definedName name="AS2DocOpenMode" hidden="1">"AS2DocumentEdit"</definedName>
    <definedName name="CIQWBGuid" hidden="1">"ea0906b8-26a0-4310-990f-27c320bc6fa2"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45706.5960069444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calcMode="autoNoTable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28" i="5" l="1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AQ128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AQ126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AQ12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AQ11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Q2" i="5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O2" i="5"/>
  <c r="C5" i="5"/>
  <c r="D72" i="5"/>
  <c r="D71" i="5"/>
  <c r="C3" i="5"/>
  <c r="AU82" i="5" l="1"/>
  <c r="AU84" i="5" s="1"/>
  <c r="AU124" i="5" s="1"/>
  <c r="AV82" i="5"/>
  <c r="AV84" i="5" s="1"/>
  <c r="AV124" i="5" s="1"/>
  <c r="AW82" i="5"/>
  <c r="AW84" i="5" s="1"/>
  <c r="AW124" i="5" s="1"/>
  <c r="AX82" i="5"/>
  <c r="AX84" i="5" s="1"/>
  <c r="AX124" i="5" s="1"/>
  <c r="AY82" i="5"/>
  <c r="AY84" i="5" s="1"/>
  <c r="AY124" i="5" s="1"/>
  <c r="AZ82" i="5"/>
  <c r="AZ84" i="5" s="1"/>
  <c r="AZ124" i="5" s="1"/>
  <c r="BA82" i="5"/>
  <c r="BA84" i="5" s="1"/>
  <c r="BA124" i="5" s="1"/>
  <c r="BB82" i="5"/>
  <c r="BB84" i="5" s="1"/>
  <c r="BB124" i="5" s="1"/>
  <c r="BC82" i="5"/>
  <c r="BC84" i="5" s="1"/>
  <c r="BC124" i="5" s="1"/>
  <c r="BD82" i="5"/>
  <c r="BD84" i="5" s="1"/>
  <c r="BD124" i="5" s="1"/>
  <c r="BE82" i="5"/>
  <c r="BE84" i="5" s="1"/>
  <c r="BE124" i="5" s="1"/>
  <c r="BF82" i="5"/>
  <c r="BF84" i="5" s="1"/>
  <c r="BF124" i="5" s="1"/>
  <c r="BG82" i="5"/>
  <c r="BG84" i="5" s="1"/>
  <c r="BG124" i="5" s="1"/>
  <c r="BH82" i="5"/>
  <c r="BH84" i="5" s="1"/>
  <c r="BH124" i="5" s="1"/>
  <c r="BI82" i="5"/>
  <c r="BI84" i="5" s="1"/>
  <c r="BI124" i="5" s="1"/>
  <c r="BJ82" i="5"/>
  <c r="BJ84" i="5" s="1"/>
  <c r="BJ124" i="5" s="1"/>
  <c r="BK82" i="5"/>
  <c r="BK84" i="5" s="1"/>
  <c r="BK124" i="5" s="1"/>
  <c r="BL82" i="5"/>
  <c r="BL84" i="5" s="1"/>
  <c r="BL124" i="5" s="1"/>
  <c r="AT82" i="5"/>
  <c r="AT84" i="5" s="1"/>
  <c r="AT124" i="5" s="1"/>
  <c r="AS82" i="5"/>
  <c r="AS84" i="5" s="1"/>
  <c r="AS124" i="5" s="1"/>
  <c r="AR2" i="5"/>
  <c r="AR3" i="5" s="1"/>
  <c r="AR82" i="5"/>
  <c r="AR84" i="5" s="1"/>
  <c r="AR124" i="5" s="1"/>
  <c r="AQ3" i="5"/>
  <c r="AQ82" i="5"/>
  <c r="AQ84" i="5" s="1"/>
  <c r="AQ124" i="5" s="1"/>
  <c r="O17" i="5"/>
  <c r="O19" i="5" s="1"/>
  <c r="N17" i="5"/>
  <c r="N19" i="5" s="1"/>
  <c r="M17" i="5"/>
  <c r="M19" i="5" s="1"/>
  <c r="L17" i="5"/>
  <c r="L19" i="5" s="1"/>
  <c r="O25" i="5"/>
  <c r="N25" i="5"/>
  <c r="M25" i="5"/>
  <c r="L25" i="5"/>
  <c r="O40" i="5"/>
  <c r="N40" i="5"/>
  <c r="M40" i="5"/>
  <c r="L40" i="5"/>
  <c r="O53" i="5"/>
  <c r="N53" i="5"/>
  <c r="M53" i="5"/>
  <c r="L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P25" i="5"/>
  <c r="N2" i="5"/>
  <c r="M2" i="5" s="1"/>
  <c r="L2" i="5" s="1"/>
  <c r="P17" i="5"/>
  <c r="P19" i="5" s="1"/>
  <c r="Q17" i="5"/>
  <c r="R17" i="5"/>
  <c r="R19" i="5" s="1"/>
  <c r="S17" i="5"/>
  <c r="S19" i="5" s="1"/>
  <c r="T17" i="5"/>
  <c r="T19" i="5" s="1"/>
  <c r="U17" i="5"/>
  <c r="U19" i="5" s="1"/>
  <c r="V17" i="5"/>
  <c r="V19" i="5" s="1"/>
  <c r="W17" i="5"/>
  <c r="W19" i="5" s="1"/>
  <c r="X17" i="5"/>
  <c r="X19" i="5" s="1"/>
  <c r="Y17" i="5"/>
  <c r="Y19" i="5" s="1"/>
  <c r="Z17" i="5"/>
  <c r="AA17" i="5"/>
  <c r="AB17" i="5"/>
  <c r="AB19" i="5" s="1"/>
  <c r="AC17" i="5"/>
  <c r="AD17" i="5"/>
  <c r="AD19" i="5" s="1"/>
  <c r="AE17" i="5"/>
  <c r="AE19" i="5" s="1"/>
  <c r="AF17" i="5"/>
  <c r="AF19" i="5" s="1"/>
  <c r="AG17" i="5"/>
  <c r="AG19" i="5" s="1"/>
  <c r="AH17" i="5"/>
  <c r="AH19" i="5" s="1"/>
  <c r="AI17" i="5"/>
  <c r="AI19" i="5" s="1"/>
  <c r="AJ17" i="5"/>
  <c r="AJ19" i="5" s="1"/>
  <c r="AK17" i="5"/>
  <c r="AK19" i="5" s="1"/>
  <c r="AL17" i="5"/>
  <c r="AL19" i="5" s="1"/>
  <c r="AM17" i="5"/>
  <c r="AN17" i="5"/>
  <c r="AN19" i="5" s="1"/>
  <c r="AO17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R39" i="5" l="1"/>
  <c r="AR23" i="5"/>
  <c r="AR22" i="5"/>
  <c r="AR38" i="5"/>
  <c r="AR32" i="5"/>
  <c r="AQ14" i="5"/>
  <c r="AR30" i="5"/>
  <c r="AR71" i="5" s="1"/>
  <c r="AR29" i="5"/>
  <c r="AR51" i="5"/>
  <c r="AR50" i="5"/>
  <c r="AR42" i="5"/>
  <c r="AR44" i="5"/>
  <c r="AR55" i="5"/>
  <c r="AR13" i="5"/>
  <c r="AQ34" i="5"/>
  <c r="AQ48" i="5"/>
  <c r="AQ36" i="5"/>
  <c r="AQ11" i="5"/>
  <c r="AR37" i="5"/>
  <c r="AR49" i="5"/>
  <c r="AQ46" i="5"/>
  <c r="AQ15" i="5"/>
  <c r="AQ49" i="5"/>
  <c r="AQ37" i="5"/>
  <c r="AR11" i="5"/>
  <c r="AR36" i="5"/>
  <c r="AR48" i="5"/>
  <c r="AQ47" i="5"/>
  <c r="AQ35" i="5"/>
  <c r="AQ72" i="5" s="1"/>
  <c r="AQ16" i="5"/>
  <c r="AQ50" i="5"/>
  <c r="AQ38" i="5"/>
  <c r="AR16" i="5"/>
  <c r="AR35" i="5"/>
  <c r="AR72" i="5" s="1"/>
  <c r="AR47" i="5"/>
  <c r="AS2" i="5"/>
  <c r="AQ51" i="5"/>
  <c r="AQ39" i="5"/>
  <c r="AR15" i="5"/>
  <c r="AR34" i="5"/>
  <c r="AR46" i="5"/>
  <c r="AQ55" i="5"/>
  <c r="AQ52" i="5"/>
  <c r="AQ21" i="5"/>
  <c r="AR14" i="5"/>
  <c r="AR33" i="5"/>
  <c r="AR45" i="5"/>
  <c r="AQ29" i="5"/>
  <c r="AQ22" i="5"/>
  <c r="AQ42" i="5"/>
  <c r="AQ102" i="5" s="1"/>
  <c r="AQ30" i="5"/>
  <c r="AQ71" i="5" s="1"/>
  <c r="AQ23" i="5"/>
  <c r="AR24" i="5"/>
  <c r="AR31" i="5"/>
  <c r="AR43" i="5"/>
  <c r="AQ43" i="5"/>
  <c r="AQ31" i="5"/>
  <c r="AQ24" i="5"/>
  <c r="AQ44" i="5"/>
  <c r="AQ32" i="5"/>
  <c r="AQ13" i="5"/>
  <c r="AQ45" i="5"/>
  <c r="AQ33" i="5"/>
  <c r="AR21" i="5"/>
  <c r="AR52" i="5"/>
  <c r="L27" i="5"/>
  <c r="L56" i="5" s="1"/>
  <c r="M27" i="5"/>
  <c r="M56" i="5" s="1"/>
  <c r="N27" i="5"/>
  <c r="N56" i="5" s="1"/>
  <c r="O27" i="5"/>
  <c r="O56" i="5" s="1"/>
  <c r="Z19" i="5"/>
  <c r="Z27" i="5" s="1"/>
  <c r="Z56" i="5" s="1"/>
  <c r="AO19" i="5"/>
  <c r="AO27" i="5" s="1"/>
  <c r="AO56" i="5" s="1"/>
  <c r="AC19" i="5"/>
  <c r="AC27" i="5" s="1"/>
  <c r="AC56" i="5" s="1"/>
  <c r="Q19" i="5"/>
  <c r="Q27" i="5" s="1"/>
  <c r="Q56" i="5" s="1"/>
  <c r="AM19" i="5"/>
  <c r="AM27" i="5" s="1"/>
  <c r="AM56" i="5" s="1"/>
  <c r="AA19" i="5"/>
  <c r="AA27" i="5" s="1"/>
  <c r="AA56" i="5" s="1"/>
  <c r="AN27" i="5"/>
  <c r="AN56" i="5" s="1"/>
  <c r="AL27" i="5"/>
  <c r="AL56" i="5" s="1"/>
  <c r="AB27" i="5"/>
  <c r="AB56" i="5" s="1"/>
  <c r="AK27" i="5"/>
  <c r="AK56" i="5" s="1"/>
  <c r="Y27" i="5"/>
  <c r="Y56" i="5" s="1"/>
  <c r="AJ27" i="5"/>
  <c r="AJ56" i="5" s="1"/>
  <c r="X27" i="5"/>
  <c r="X56" i="5" s="1"/>
  <c r="AI27" i="5"/>
  <c r="AI56" i="5" s="1"/>
  <c r="P27" i="5"/>
  <c r="P56" i="5" s="1"/>
  <c r="AH27" i="5"/>
  <c r="AH56" i="5" s="1"/>
  <c r="V27" i="5"/>
  <c r="V56" i="5" s="1"/>
  <c r="AG27" i="5"/>
  <c r="AG56" i="5" s="1"/>
  <c r="U27" i="5"/>
  <c r="U56" i="5" s="1"/>
  <c r="AF27" i="5"/>
  <c r="AF56" i="5" s="1"/>
  <c r="T27" i="5"/>
  <c r="T56" i="5" s="1"/>
  <c r="AE27" i="5"/>
  <c r="AE56" i="5" s="1"/>
  <c r="S27" i="5"/>
  <c r="S56" i="5" s="1"/>
  <c r="AD27" i="5"/>
  <c r="AD56" i="5" s="1"/>
  <c r="R27" i="5"/>
  <c r="W27" i="5"/>
  <c r="W56" i="5" s="1"/>
  <c r="AQ77" i="5" l="1"/>
  <c r="AR77" i="5"/>
  <c r="AQ17" i="5"/>
  <c r="AQ19" i="5" s="1"/>
  <c r="AQ40" i="5"/>
  <c r="AR17" i="5"/>
  <c r="AS3" i="5"/>
  <c r="AS39" i="5" s="1"/>
  <c r="AT2" i="5"/>
  <c r="AQ25" i="5"/>
  <c r="AR19" i="5"/>
  <c r="AQ53" i="5"/>
  <c r="AR53" i="5"/>
  <c r="AR25" i="5"/>
  <c r="AR40" i="5"/>
  <c r="R56" i="5"/>
  <c r="AQ27" i="5" l="1"/>
  <c r="AQ56" i="5" s="1"/>
  <c r="AR27" i="5"/>
  <c r="AR56" i="5" s="1"/>
  <c r="AS29" i="5"/>
  <c r="AS16" i="5"/>
  <c r="AS50" i="5"/>
  <c r="AS22" i="5"/>
  <c r="AS35" i="5"/>
  <c r="AS72" i="5" s="1"/>
  <c r="AS44" i="5"/>
  <c r="AS33" i="5"/>
  <c r="AS37" i="5"/>
  <c r="AS52" i="5"/>
  <c r="AU2" i="5"/>
  <c r="AT3" i="5"/>
  <c r="AT49" i="5" s="1"/>
  <c r="AS47" i="5"/>
  <c r="AS13" i="5"/>
  <c r="AS49" i="5"/>
  <c r="AS32" i="5"/>
  <c r="AS11" i="5"/>
  <c r="AS45" i="5"/>
  <c r="AS51" i="5"/>
  <c r="AS15" i="5"/>
  <c r="AS48" i="5"/>
  <c r="AS43" i="5"/>
  <c r="AS36" i="5"/>
  <c r="AS30" i="5"/>
  <c r="AS71" i="5" s="1"/>
  <c r="AS31" i="5"/>
  <c r="AS46" i="5"/>
  <c r="AS34" i="5"/>
  <c r="AS38" i="5"/>
  <c r="AS21" i="5"/>
  <c r="AS55" i="5"/>
  <c r="AS42" i="5"/>
  <c r="AS24" i="5"/>
  <c r="AS23" i="5"/>
  <c r="AS14" i="5"/>
  <c r="AT52" i="5" l="1"/>
  <c r="AT47" i="5"/>
  <c r="AT30" i="5"/>
  <c r="AT71" i="5" s="1"/>
  <c r="AR63" i="5"/>
  <c r="AR94" i="5"/>
  <c r="AR104" i="5" s="1"/>
  <c r="AR114" i="5" s="1"/>
  <c r="AR116" i="5" s="1"/>
  <c r="AQ88" i="5"/>
  <c r="AQ90" i="5" s="1"/>
  <c r="AQ104" i="5"/>
  <c r="AQ114" i="5" s="1"/>
  <c r="AQ116" i="5" s="1"/>
  <c r="AT13" i="5"/>
  <c r="AQ66" i="5"/>
  <c r="AS77" i="5"/>
  <c r="AQ63" i="5"/>
  <c r="AQ78" i="5"/>
  <c r="AR78" i="5"/>
  <c r="AT44" i="5"/>
  <c r="AT34" i="5"/>
  <c r="AR88" i="5"/>
  <c r="AR90" i="5" s="1"/>
  <c r="AR66" i="5"/>
  <c r="AT31" i="5"/>
  <c r="AS17" i="5"/>
  <c r="AS19" i="5" s="1"/>
  <c r="AT48" i="5"/>
  <c r="AT35" i="5"/>
  <c r="AT72" i="5" s="1"/>
  <c r="AT24" i="5"/>
  <c r="AT43" i="5"/>
  <c r="AT23" i="5"/>
  <c r="AT39" i="5"/>
  <c r="AT46" i="5"/>
  <c r="AT33" i="5"/>
  <c r="AT21" i="5"/>
  <c r="AT22" i="5"/>
  <c r="AT55" i="5"/>
  <c r="AT50" i="5"/>
  <c r="AT45" i="5"/>
  <c r="AT11" i="5"/>
  <c r="AS53" i="5"/>
  <c r="AT37" i="5"/>
  <c r="AT15" i="5"/>
  <c r="AT32" i="5"/>
  <c r="AT38" i="5"/>
  <c r="AT14" i="5"/>
  <c r="AU3" i="5"/>
  <c r="AU48" i="5" s="1"/>
  <c r="AV2" i="5"/>
  <c r="AS40" i="5"/>
  <c r="AT42" i="5"/>
  <c r="AT51" i="5"/>
  <c r="AS25" i="5"/>
  <c r="AT29" i="5"/>
  <c r="AT36" i="5"/>
  <c r="AT16" i="5"/>
  <c r="AT77" i="5" l="1"/>
  <c r="AU44" i="5"/>
  <c r="AU42" i="5"/>
  <c r="AU50" i="5"/>
  <c r="AU34" i="5"/>
  <c r="AU45" i="5"/>
  <c r="AU38" i="5"/>
  <c r="AU22" i="5"/>
  <c r="AS27" i="5"/>
  <c r="AU29" i="5"/>
  <c r="AU36" i="5"/>
  <c r="AU21" i="5"/>
  <c r="AU35" i="5"/>
  <c r="AU72" i="5" s="1"/>
  <c r="AU23" i="5"/>
  <c r="AU31" i="5"/>
  <c r="AU33" i="5"/>
  <c r="AU47" i="5"/>
  <c r="AU39" i="5"/>
  <c r="AU11" i="5"/>
  <c r="AU37" i="5"/>
  <c r="AU30" i="5"/>
  <c r="AU71" i="5" s="1"/>
  <c r="AU24" i="5"/>
  <c r="AT25" i="5"/>
  <c r="AT17" i="5"/>
  <c r="AT19" i="5" s="1"/>
  <c r="AU49" i="5"/>
  <c r="AU14" i="5"/>
  <c r="AU55" i="5"/>
  <c r="AU13" i="5"/>
  <c r="AU51" i="5"/>
  <c r="AU16" i="5"/>
  <c r="AU32" i="5"/>
  <c r="AU52" i="5"/>
  <c r="AU46" i="5"/>
  <c r="AU15" i="5"/>
  <c r="AU43" i="5"/>
  <c r="AS56" i="5"/>
  <c r="AW2" i="5"/>
  <c r="AV3" i="5"/>
  <c r="AV51" i="5" s="1"/>
  <c r="AT40" i="5"/>
  <c r="AT53" i="5"/>
  <c r="AS63" i="5" l="1"/>
  <c r="AS94" i="5"/>
  <c r="AS104" i="5" s="1"/>
  <c r="AS114" i="5" s="1"/>
  <c r="AS116" i="5" s="1"/>
  <c r="AU77" i="5"/>
  <c r="AU25" i="5"/>
  <c r="AU40" i="5"/>
  <c r="AU53" i="5"/>
  <c r="AT27" i="5"/>
  <c r="AT56" i="5" s="1"/>
  <c r="AU17" i="5"/>
  <c r="AU19" i="5" s="1"/>
  <c r="AS88" i="5"/>
  <c r="AS90" i="5" s="1"/>
  <c r="AS78" i="5"/>
  <c r="AS66" i="5"/>
  <c r="AV45" i="5"/>
  <c r="AV39" i="5"/>
  <c r="AV49" i="5"/>
  <c r="AV55" i="5"/>
  <c r="AV52" i="5"/>
  <c r="AV23" i="5"/>
  <c r="AV16" i="5"/>
  <c r="AV13" i="5"/>
  <c r="AV44" i="5"/>
  <c r="AV43" i="5"/>
  <c r="AV24" i="5"/>
  <c r="AV22" i="5"/>
  <c r="AV32" i="5"/>
  <c r="AV35" i="5"/>
  <c r="AV72" i="5" s="1"/>
  <c r="AV47" i="5"/>
  <c r="AV50" i="5"/>
  <c r="AV34" i="5"/>
  <c r="AV14" i="5"/>
  <c r="AV11" i="5"/>
  <c r="AV31" i="5"/>
  <c r="AV30" i="5"/>
  <c r="AV71" i="5" s="1"/>
  <c r="AV21" i="5"/>
  <c r="AV42" i="5"/>
  <c r="AX2" i="5"/>
  <c r="AW3" i="5"/>
  <c r="AW33" i="5" s="1"/>
  <c r="AV38" i="5"/>
  <c r="AV15" i="5"/>
  <c r="AV36" i="5"/>
  <c r="AV33" i="5"/>
  <c r="AV46" i="5"/>
  <c r="AV37" i="5"/>
  <c r="AV48" i="5"/>
  <c r="AV29" i="5"/>
  <c r="AT94" i="5" l="1"/>
  <c r="AT104" i="5" s="1"/>
  <c r="AT114" i="5" s="1"/>
  <c r="AT116" i="5" s="1"/>
  <c r="AU27" i="5"/>
  <c r="AU56" i="5" s="1"/>
  <c r="AV77" i="5"/>
  <c r="AW21" i="5"/>
  <c r="AU78" i="5"/>
  <c r="AU88" i="5"/>
  <c r="AU90" i="5" s="1"/>
  <c r="AU66" i="5"/>
  <c r="AU63" i="5"/>
  <c r="AV53" i="5"/>
  <c r="AT78" i="5"/>
  <c r="AT88" i="5"/>
  <c r="AT90" i="5" s="1"/>
  <c r="AT63" i="5"/>
  <c r="AT66" i="5"/>
  <c r="AW49" i="5"/>
  <c r="AY2" i="5"/>
  <c r="AX3" i="5"/>
  <c r="AX45" i="5" s="1"/>
  <c r="AV17" i="5"/>
  <c r="AV19" i="5" s="1"/>
  <c r="AW55" i="5"/>
  <c r="AW23" i="5"/>
  <c r="AW15" i="5"/>
  <c r="AW37" i="5"/>
  <c r="AW24" i="5"/>
  <c r="AW11" i="5"/>
  <c r="AW38" i="5"/>
  <c r="AV25" i="5"/>
  <c r="AW50" i="5"/>
  <c r="AW16" i="5"/>
  <c r="AW14" i="5"/>
  <c r="AW47" i="5"/>
  <c r="AW45" i="5"/>
  <c r="AV40" i="5"/>
  <c r="AW30" i="5"/>
  <c r="AW71" i="5" s="1"/>
  <c r="AW22" i="5"/>
  <c r="AW42" i="5"/>
  <c r="AW35" i="5"/>
  <c r="AW72" i="5" s="1"/>
  <c r="AW48" i="5"/>
  <c r="AW52" i="5"/>
  <c r="AW43" i="5"/>
  <c r="AW34" i="5"/>
  <c r="AW29" i="5"/>
  <c r="AW44" i="5"/>
  <c r="AW13" i="5"/>
  <c r="AW36" i="5"/>
  <c r="AW31" i="5"/>
  <c r="AW46" i="5"/>
  <c r="AW39" i="5"/>
  <c r="AW51" i="5"/>
  <c r="AW32" i="5"/>
  <c r="AU94" i="5" l="1"/>
  <c r="AU104" i="5" s="1"/>
  <c r="AU114" i="5" s="1"/>
  <c r="AU116" i="5" s="1"/>
  <c r="AW77" i="5"/>
  <c r="AV27" i="5"/>
  <c r="AW25" i="5"/>
  <c r="AX47" i="5"/>
  <c r="AX23" i="5"/>
  <c r="AX52" i="5"/>
  <c r="AX44" i="5"/>
  <c r="AX36" i="5"/>
  <c r="AX31" i="5"/>
  <c r="AX24" i="5"/>
  <c r="AX42" i="5"/>
  <c r="AX29" i="5"/>
  <c r="AX51" i="5"/>
  <c r="AX32" i="5"/>
  <c r="AX37" i="5"/>
  <c r="AX48" i="5"/>
  <c r="AX46" i="5"/>
  <c r="AX13" i="5"/>
  <c r="AX43" i="5"/>
  <c r="AX33" i="5"/>
  <c r="AX34" i="5"/>
  <c r="AX50" i="5"/>
  <c r="AX38" i="5"/>
  <c r="AX21" i="5"/>
  <c r="AX11" i="5"/>
  <c r="AX49" i="5"/>
  <c r="AX14" i="5"/>
  <c r="AX22" i="5"/>
  <c r="AX55" i="5"/>
  <c r="AX15" i="5"/>
  <c r="AX39" i="5"/>
  <c r="AX35" i="5"/>
  <c r="AX72" i="5" s="1"/>
  <c r="AV56" i="5"/>
  <c r="AW53" i="5"/>
  <c r="AX16" i="5"/>
  <c r="AW17" i="5"/>
  <c r="AW19" i="5" s="1"/>
  <c r="AX30" i="5"/>
  <c r="AX71" i="5" s="1"/>
  <c r="AZ2" i="5"/>
  <c r="AY3" i="5"/>
  <c r="AY33" i="5" s="1"/>
  <c r="AW40" i="5"/>
  <c r="AW27" i="5" l="1"/>
  <c r="AV94" i="5"/>
  <c r="AV104" i="5" s="1"/>
  <c r="AV114" i="5" s="1"/>
  <c r="AV116" i="5" s="1"/>
  <c r="AX17" i="5"/>
  <c r="AX25" i="5"/>
  <c r="AX77" i="5"/>
  <c r="AX19" i="5"/>
  <c r="AX53" i="5"/>
  <c r="AV88" i="5"/>
  <c r="AV90" i="5" s="1"/>
  <c r="AV78" i="5"/>
  <c r="AV66" i="5"/>
  <c r="AV63" i="5"/>
  <c r="AY21" i="5"/>
  <c r="AY51" i="5"/>
  <c r="BA2" i="5"/>
  <c r="AZ3" i="5"/>
  <c r="AZ39" i="5" s="1"/>
  <c r="AX40" i="5"/>
  <c r="AY52" i="5"/>
  <c r="AW56" i="5"/>
  <c r="AY47" i="5"/>
  <c r="AY43" i="5"/>
  <c r="AY44" i="5"/>
  <c r="AY15" i="5"/>
  <c r="AY32" i="5"/>
  <c r="AY46" i="5"/>
  <c r="AY45" i="5"/>
  <c r="AY14" i="5"/>
  <c r="AY30" i="5"/>
  <c r="AY71" i="5" s="1"/>
  <c r="AY23" i="5"/>
  <c r="AY31" i="5"/>
  <c r="AY49" i="5"/>
  <c r="AY38" i="5"/>
  <c r="AY34" i="5"/>
  <c r="AY35" i="5"/>
  <c r="AY72" i="5" s="1"/>
  <c r="AY16" i="5"/>
  <c r="AY37" i="5"/>
  <c r="AY50" i="5"/>
  <c r="AY11" i="5"/>
  <c r="AY13" i="5"/>
  <c r="AY29" i="5"/>
  <c r="AY24" i="5"/>
  <c r="AY22" i="5"/>
  <c r="AY36" i="5"/>
  <c r="AY48" i="5"/>
  <c r="AY42" i="5"/>
  <c r="AY39" i="5"/>
  <c r="AY55" i="5"/>
  <c r="AW94" i="5" l="1"/>
  <c r="AW104" i="5" s="1"/>
  <c r="AW114" i="5" s="1"/>
  <c r="AW116" i="5" s="1"/>
  <c r="AX27" i="5"/>
  <c r="AX56" i="5" s="1"/>
  <c r="AY77" i="5"/>
  <c r="AZ29" i="5"/>
  <c r="AZ36" i="5"/>
  <c r="AZ52" i="5"/>
  <c r="AW78" i="5"/>
  <c r="AW88" i="5"/>
  <c r="AW90" i="5" s="1"/>
  <c r="AW63" i="5"/>
  <c r="AW66" i="5"/>
  <c r="AZ45" i="5"/>
  <c r="AZ21" i="5"/>
  <c r="AZ44" i="5"/>
  <c r="AZ47" i="5"/>
  <c r="AZ35" i="5"/>
  <c r="AZ72" i="5" s="1"/>
  <c r="AZ13" i="5"/>
  <c r="AZ46" i="5"/>
  <c r="AZ38" i="5"/>
  <c r="AZ51" i="5"/>
  <c r="AZ37" i="5"/>
  <c r="AZ23" i="5"/>
  <c r="AZ50" i="5"/>
  <c r="AZ42" i="5"/>
  <c r="AZ48" i="5"/>
  <c r="AZ33" i="5"/>
  <c r="AZ16" i="5"/>
  <c r="AZ43" i="5"/>
  <c r="AZ55" i="5"/>
  <c r="AZ14" i="5"/>
  <c r="AZ30" i="5"/>
  <c r="AZ71" i="5" s="1"/>
  <c r="AZ77" i="5" s="1"/>
  <c r="AZ49" i="5"/>
  <c r="AZ32" i="5"/>
  <c r="BB2" i="5"/>
  <c r="BA3" i="5"/>
  <c r="BA33" i="5" s="1"/>
  <c r="AY53" i="5"/>
  <c r="AZ15" i="5"/>
  <c r="AZ11" i="5"/>
  <c r="AY40" i="5"/>
  <c r="AZ31" i="5"/>
  <c r="AZ22" i="5"/>
  <c r="AY25" i="5"/>
  <c r="AY17" i="5"/>
  <c r="AY19" i="5" s="1"/>
  <c r="AZ24" i="5"/>
  <c r="AZ34" i="5"/>
  <c r="AX94" i="5" l="1"/>
  <c r="AX104" i="5" s="1"/>
  <c r="AX114" i="5" s="1"/>
  <c r="AX116" i="5" s="1"/>
  <c r="AX63" i="5"/>
  <c r="AX78" i="5"/>
  <c r="AX88" i="5"/>
  <c r="AX90" i="5" s="1"/>
  <c r="AX66" i="5"/>
  <c r="AY27" i="5"/>
  <c r="AY56" i="5" s="1"/>
  <c r="BA49" i="5"/>
  <c r="AZ25" i="5"/>
  <c r="AZ17" i="5"/>
  <c r="AZ19" i="5" s="1"/>
  <c r="BA38" i="5"/>
  <c r="BA30" i="5"/>
  <c r="BA71" i="5" s="1"/>
  <c r="BA50" i="5"/>
  <c r="BA13" i="5"/>
  <c r="BA51" i="5"/>
  <c r="BA45" i="5"/>
  <c r="BA36" i="5"/>
  <c r="BA14" i="5"/>
  <c r="BA31" i="5"/>
  <c r="BA52" i="5"/>
  <c r="BA11" i="5"/>
  <c r="AZ53" i="5"/>
  <c r="BA44" i="5"/>
  <c r="BC2" i="5"/>
  <c r="BB3" i="5"/>
  <c r="BB47" i="5" s="1"/>
  <c r="BA15" i="5"/>
  <c r="BA55" i="5"/>
  <c r="BA37" i="5"/>
  <c r="BA42" i="5"/>
  <c r="BA24" i="5"/>
  <c r="BA32" i="5"/>
  <c r="AZ40" i="5"/>
  <c r="BA16" i="5"/>
  <c r="BA43" i="5"/>
  <c r="BA39" i="5"/>
  <c r="BA46" i="5"/>
  <c r="BA29" i="5"/>
  <c r="BA47" i="5"/>
  <c r="BA34" i="5"/>
  <c r="BA21" i="5"/>
  <c r="BA22" i="5"/>
  <c r="BA35" i="5"/>
  <c r="BA72" i="5" s="1"/>
  <c r="BA23" i="5"/>
  <c r="BA48" i="5"/>
  <c r="AY63" i="5" l="1"/>
  <c r="AY94" i="5"/>
  <c r="AY104" i="5" s="1"/>
  <c r="AY114" i="5" s="1"/>
  <c r="AY116" i="5" s="1"/>
  <c r="AZ27" i="5"/>
  <c r="AZ56" i="5" s="1"/>
  <c r="AY88" i="5"/>
  <c r="AY90" i="5" s="1"/>
  <c r="BA77" i="5"/>
  <c r="AY66" i="5"/>
  <c r="BA17" i="5"/>
  <c r="BA19" i="5" s="1"/>
  <c r="AY78" i="5"/>
  <c r="BB23" i="5"/>
  <c r="BB32" i="5"/>
  <c r="BB31" i="5"/>
  <c r="BB16" i="5"/>
  <c r="BB55" i="5"/>
  <c r="BB52" i="5"/>
  <c r="BB37" i="5"/>
  <c r="BB45" i="5"/>
  <c r="BB39" i="5"/>
  <c r="BB51" i="5"/>
  <c r="BB46" i="5"/>
  <c r="BB15" i="5"/>
  <c r="BB43" i="5"/>
  <c r="BB11" i="5"/>
  <c r="BB38" i="5"/>
  <c r="BB14" i="5"/>
  <c r="BB13" i="5"/>
  <c r="BB36" i="5"/>
  <c r="BB34" i="5"/>
  <c r="BB50" i="5"/>
  <c r="BB42" i="5"/>
  <c r="BB22" i="5"/>
  <c r="BB35" i="5"/>
  <c r="BB72" i="5" s="1"/>
  <c r="BB49" i="5"/>
  <c r="BB48" i="5"/>
  <c r="BB21" i="5"/>
  <c r="BB29" i="5"/>
  <c r="BA25" i="5"/>
  <c r="BA53" i="5"/>
  <c r="BB44" i="5"/>
  <c r="BD2" i="5"/>
  <c r="BC3" i="5"/>
  <c r="BC49" i="5" s="1"/>
  <c r="BA40" i="5"/>
  <c r="BB24" i="5"/>
  <c r="BB33" i="5"/>
  <c r="BB30" i="5"/>
  <c r="BB71" i="5" s="1"/>
  <c r="BA27" i="5" l="1"/>
  <c r="AZ94" i="5"/>
  <c r="AZ104" i="5" s="1"/>
  <c r="AZ114" i="5" s="1"/>
  <c r="AZ116" i="5" s="1"/>
  <c r="BB77" i="5"/>
  <c r="BB17" i="5"/>
  <c r="BB19" i="5" s="1"/>
  <c r="BC39" i="5"/>
  <c r="BC44" i="5"/>
  <c r="BC23" i="5"/>
  <c r="BB53" i="5"/>
  <c r="AZ88" i="5"/>
  <c r="AZ90" i="5" s="1"/>
  <c r="AZ78" i="5"/>
  <c r="AZ66" i="5"/>
  <c r="AZ63" i="5"/>
  <c r="BC34" i="5"/>
  <c r="BC24" i="5"/>
  <c r="BC31" i="5"/>
  <c r="BC29" i="5"/>
  <c r="BC55" i="5"/>
  <c r="BC33" i="5"/>
  <c r="BC21" i="5"/>
  <c r="BC38" i="5"/>
  <c r="BB25" i="5"/>
  <c r="BC48" i="5"/>
  <c r="BC35" i="5"/>
  <c r="BC72" i="5" s="1"/>
  <c r="BC22" i="5"/>
  <c r="BE2" i="5"/>
  <c r="BD3" i="5"/>
  <c r="BD36" i="5" s="1"/>
  <c r="BC51" i="5"/>
  <c r="BC14" i="5"/>
  <c r="BA56" i="5"/>
  <c r="BC32" i="5"/>
  <c r="BC52" i="5"/>
  <c r="BC43" i="5"/>
  <c r="BB27" i="5"/>
  <c r="BC45" i="5"/>
  <c r="BC37" i="5"/>
  <c r="BC50" i="5"/>
  <c r="BC13" i="5"/>
  <c r="BC11" i="5"/>
  <c r="BC16" i="5"/>
  <c r="BC15" i="5"/>
  <c r="BB40" i="5"/>
  <c r="BC42" i="5"/>
  <c r="BC46" i="5"/>
  <c r="BC30" i="5"/>
  <c r="BC71" i="5" s="1"/>
  <c r="BC36" i="5"/>
  <c r="BC47" i="5"/>
  <c r="BA94" i="5" l="1"/>
  <c r="BA104" i="5" s="1"/>
  <c r="BA114" i="5" s="1"/>
  <c r="BA116" i="5" s="1"/>
  <c r="BC77" i="5"/>
  <c r="BD15" i="5"/>
  <c r="BC25" i="5"/>
  <c r="BD13" i="5"/>
  <c r="BD47" i="5"/>
  <c r="BD52" i="5"/>
  <c r="BA78" i="5"/>
  <c r="BA88" i="5"/>
  <c r="BA90" i="5" s="1"/>
  <c r="BA66" i="5"/>
  <c r="BA63" i="5"/>
  <c r="BD35" i="5"/>
  <c r="BD72" i="5" s="1"/>
  <c r="BD22" i="5"/>
  <c r="BD29" i="5"/>
  <c r="BD34" i="5"/>
  <c r="BD49" i="5"/>
  <c r="BD37" i="5"/>
  <c r="BD33" i="5"/>
  <c r="BD43" i="5"/>
  <c r="BD46" i="5"/>
  <c r="BD50" i="5"/>
  <c r="BD44" i="5"/>
  <c r="BD23" i="5"/>
  <c r="BB56" i="5"/>
  <c r="BD32" i="5"/>
  <c r="BD11" i="5"/>
  <c r="BD42" i="5"/>
  <c r="BD16" i="5"/>
  <c r="BC53" i="5"/>
  <c r="BD31" i="5"/>
  <c r="BD24" i="5"/>
  <c r="BF2" i="5"/>
  <c r="BE3" i="5"/>
  <c r="BE22" i="5" s="1"/>
  <c r="BD51" i="5"/>
  <c r="BD55" i="5"/>
  <c r="BD39" i="5"/>
  <c r="BC17" i="5"/>
  <c r="BC19" i="5" s="1"/>
  <c r="BD45" i="5"/>
  <c r="BD48" i="5"/>
  <c r="BD21" i="5"/>
  <c r="BD14" i="5"/>
  <c r="BD30" i="5"/>
  <c r="BD71" i="5" s="1"/>
  <c r="BD38" i="5"/>
  <c r="BC40" i="5"/>
  <c r="BC27" i="5" l="1"/>
  <c r="BB94" i="5"/>
  <c r="BB104" i="5" s="1"/>
  <c r="BB114" i="5" s="1"/>
  <c r="BB116" i="5" s="1"/>
  <c r="BD17" i="5"/>
  <c r="BE50" i="5"/>
  <c r="BE14" i="5"/>
  <c r="BE35" i="5"/>
  <c r="BE72" i="5" s="1"/>
  <c r="BE47" i="5"/>
  <c r="BE48" i="5"/>
  <c r="BD77" i="5"/>
  <c r="BD25" i="5"/>
  <c r="BE38" i="5"/>
  <c r="BE52" i="5"/>
  <c r="BE49" i="5"/>
  <c r="BE11" i="5"/>
  <c r="BE33" i="5"/>
  <c r="BE16" i="5"/>
  <c r="BE55" i="5"/>
  <c r="BE29" i="5"/>
  <c r="BE31" i="5"/>
  <c r="BE44" i="5"/>
  <c r="BB88" i="5"/>
  <c r="BB90" i="5" s="1"/>
  <c r="BB78" i="5"/>
  <c r="BB63" i="5"/>
  <c r="BB66" i="5"/>
  <c r="BD19" i="5"/>
  <c r="BD53" i="5"/>
  <c r="BE15" i="5"/>
  <c r="BE23" i="5"/>
  <c r="BE42" i="5"/>
  <c r="BE51" i="5"/>
  <c r="BE30" i="5"/>
  <c r="BE71" i="5" s="1"/>
  <c r="BE45" i="5"/>
  <c r="BE37" i="5"/>
  <c r="BE46" i="5"/>
  <c r="BG2" i="5"/>
  <c r="BF3" i="5"/>
  <c r="BF16" i="5" s="1"/>
  <c r="BE36" i="5"/>
  <c r="BE13" i="5"/>
  <c r="BE21" i="5"/>
  <c r="BD40" i="5"/>
  <c r="BE32" i="5"/>
  <c r="BE34" i="5"/>
  <c r="BC56" i="5"/>
  <c r="BE43" i="5"/>
  <c r="BE39" i="5"/>
  <c r="BE24" i="5"/>
  <c r="BE77" i="5" l="1"/>
  <c r="BC94" i="5"/>
  <c r="BC104" i="5" s="1"/>
  <c r="BC114" i="5" s="1"/>
  <c r="BC116" i="5" s="1"/>
  <c r="BD27" i="5"/>
  <c r="BD56" i="5" s="1"/>
  <c r="BF37" i="5"/>
  <c r="BF11" i="5"/>
  <c r="BF48" i="5"/>
  <c r="BF21" i="5"/>
  <c r="BF47" i="5"/>
  <c r="BF13" i="5"/>
  <c r="BF30" i="5"/>
  <c r="BF71" i="5" s="1"/>
  <c r="BF46" i="5"/>
  <c r="BF44" i="5"/>
  <c r="BE25" i="5"/>
  <c r="BE17" i="5"/>
  <c r="BE19" i="5" s="1"/>
  <c r="BC88" i="5"/>
  <c r="BC90" i="5" s="1"/>
  <c r="BC78" i="5"/>
  <c r="BC63" i="5"/>
  <c r="BC66" i="5"/>
  <c r="BF33" i="5"/>
  <c r="BF52" i="5"/>
  <c r="BF22" i="5"/>
  <c r="BF32" i="5"/>
  <c r="BF36" i="5"/>
  <c r="BF38" i="5"/>
  <c r="BF50" i="5"/>
  <c r="BF34" i="5"/>
  <c r="BF45" i="5"/>
  <c r="BF15" i="5"/>
  <c r="BF24" i="5"/>
  <c r="BF49" i="5"/>
  <c r="BF42" i="5"/>
  <c r="BF55" i="5"/>
  <c r="BF29" i="5"/>
  <c r="BF35" i="5"/>
  <c r="BF72" i="5" s="1"/>
  <c r="BH2" i="5"/>
  <c r="BG3" i="5"/>
  <c r="BG15" i="5" s="1"/>
  <c r="BF14" i="5"/>
  <c r="BF39" i="5"/>
  <c r="BF31" i="5"/>
  <c r="BE40" i="5"/>
  <c r="BE53" i="5"/>
  <c r="BF43" i="5"/>
  <c r="BF51" i="5"/>
  <c r="BF23" i="5"/>
  <c r="BE27" i="5" l="1"/>
  <c r="BD63" i="5"/>
  <c r="BD94" i="5"/>
  <c r="BD104" i="5" s="1"/>
  <c r="BD114" i="5" s="1"/>
  <c r="BD116" i="5" s="1"/>
  <c r="BG51" i="5"/>
  <c r="BG43" i="5"/>
  <c r="BD78" i="5"/>
  <c r="BD66" i="5"/>
  <c r="BD88" i="5"/>
  <c r="BD90" i="5" s="1"/>
  <c r="BF77" i="5"/>
  <c r="BG29" i="5"/>
  <c r="BG35" i="5"/>
  <c r="BG72" i="5" s="1"/>
  <c r="BF17" i="5"/>
  <c r="BF19" i="5" s="1"/>
  <c r="BE56" i="5"/>
  <c r="BF53" i="5"/>
  <c r="BG13" i="5"/>
  <c r="BG32" i="5"/>
  <c r="BG37" i="5"/>
  <c r="BG46" i="5"/>
  <c r="BG45" i="5"/>
  <c r="BG39" i="5"/>
  <c r="BF25" i="5"/>
  <c r="BG30" i="5"/>
  <c r="BG71" i="5" s="1"/>
  <c r="BG33" i="5"/>
  <c r="BG44" i="5"/>
  <c r="BG22" i="5"/>
  <c r="BG38" i="5"/>
  <c r="BG55" i="5"/>
  <c r="BF40" i="5"/>
  <c r="BG31" i="5"/>
  <c r="BG49" i="5"/>
  <c r="BG48" i="5"/>
  <c r="BG23" i="5"/>
  <c r="BG50" i="5"/>
  <c r="BG24" i="5"/>
  <c r="BG21" i="5"/>
  <c r="BG34" i="5"/>
  <c r="BG11" i="5"/>
  <c r="BG42" i="5"/>
  <c r="BG36" i="5"/>
  <c r="BI2" i="5"/>
  <c r="BH3" i="5"/>
  <c r="BH24" i="5" s="1"/>
  <c r="BG14" i="5"/>
  <c r="BG52" i="5"/>
  <c r="BG47" i="5"/>
  <c r="BG16" i="5"/>
  <c r="BE78" i="5" l="1"/>
  <c r="BE94" i="5"/>
  <c r="BE104" i="5" s="1"/>
  <c r="BE114" i="5" s="1"/>
  <c r="BE116" i="5" s="1"/>
  <c r="BG77" i="5"/>
  <c r="BE63" i="5"/>
  <c r="BE66" i="5"/>
  <c r="BE88" i="5"/>
  <c r="BE90" i="5" s="1"/>
  <c r="BF27" i="5"/>
  <c r="BH23" i="5"/>
  <c r="BG40" i="5"/>
  <c r="BF56" i="5"/>
  <c r="BH33" i="5"/>
  <c r="BG17" i="5"/>
  <c r="BG19" i="5" s="1"/>
  <c r="BH49" i="5"/>
  <c r="BH13" i="5"/>
  <c r="BH43" i="5"/>
  <c r="BG25" i="5"/>
  <c r="BH39" i="5"/>
  <c r="BG53" i="5"/>
  <c r="BJ2" i="5"/>
  <c r="BI3" i="5"/>
  <c r="BI24" i="5" s="1"/>
  <c r="BH44" i="5"/>
  <c r="BH34" i="5"/>
  <c r="BH45" i="5"/>
  <c r="BH42" i="5"/>
  <c r="BH48" i="5"/>
  <c r="BH50" i="5"/>
  <c r="BH38" i="5"/>
  <c r="BH15" i="5"/>
  <c r="BH35" i="5"/>
  <c r="BH72" i="5" s="1"/>
  <c r="BH30" i="5"/>
  <c r="BH71" i="5" s="1"/>
  <c r="BH22" i="5"/>
  <c r="BH11" i="5"/>
  <c r="BH16" i="5"/>
  <c r="BH29" i="5"/>
  <c r="BH36" i="5"/>
  <c r="BH51" i="5"/>
  <c r="BH31" i="5"/>
  <c r="BH14" i="5"/>
  <c r="BH55" i="5"/>
  <c r="BH32" i="5"/>
  <c r="BH47" i="5"/>
  <c r="BH52" i="5"/>
  <c r="BH46" i="5"/>
  <c r="BH21" i="5"/>
  <c r="BH37" i="5"/>
  <c r="BF66" i="5" l="1"/>
  <c r="BF94" i="5"/>
  <c r="BF104" i="5" s="1"/>
  <c r="BF114" i="5" s="1"/>
  <c r="BF116" i="5" s="1"/>
  <c r="BI36" i="5"/>
  <c r="BI30" i="5"/>
  <c r="BI71" i="5" s="1"/>
  <c r="BI32" i="5"/>
  <c r="BI35" i="5"/>
  <c r="BI72" i="5" s="1"/>
  <c r="BI39" i="5"/>
  <c r="BF88" i="5"/>
  <c r="BF90" i="5" s="1"/>
  <c r="BF78" i="5"/>
  <c r="BF63" i="5"/>
  <c r="BI38" i="5"/>
  <c r="BI11" i="5"/>
  <c r="BI55" i="5"/>
  <c r="BI47" i="5"/>
  <c r="BI45" i="5"/>
  <c r="BI16" i="5"/>
  <c r="BI48" i="5"/>
  <c r="BI52" i="5"/>
  <c r="BI29" i="5"/>
  <c r="BH77" i="5"/>
  <c r="BI37" i="5"/>
  <c r="BI22" i="5"/>
  <c r="BI42" i="5"/>
  <c r="BI46" i="5"/>
  <c r="BI49" i="5"/>
  <c r="BI15" i="5"/>
  <c r="BI51" i="5"/>
  <c r="BI21" i="5"/>
  <c r="BI31" i="5"/>
  <c r="BI13" i="5"/>
  <c r="BI14" i="5"/>
  <c r="BI34" i="5"/>
  <c r="BH53" i="5"/>
  <c r="BG27" i="5"/>
  <c r="BG56" i="5" s="1"/>
  <c r="BH25" i="5"/>
  <c r="BH40" i="5"/>
  <c r="BI23" i="5"/>
  <c r="BH17" i="5"/>
  <c r="BH19" i="5" s="1"/>
  <c r="BI50" i="5"/>
  <c r="BI43" i="5"/>
  <c r="BK2" i="5"/>
  <c r="BJ3" i="5"/>
  <c r="BJ52" i="5" s="1"/>
  <c r="BI44" i="5"/>
  <c r="BI33" i="5"/>
  <c r="BG94" i="5" l="1"/>
  <c r="BG104" i="5" s="1"/>
  <c r="BG114" i="5" s="1"/>
  <c r="BG116" i="5" s="1"/>
  <c r="BI77" i="5"/>
  <c r="BI17" i="5"/>
  <c r="BI19" i="5" s="1"/>
  <c r="BI40" i="5"/>
  <c r="BI25" i="5"/>
  <c r="BI53" i="5"/>
  <c r="BJ35" i="5"/>
  <c r="BJ72" i="5" s="1"/>
  <c r="BJ34" i="5"/>
  <c r="BJ13" i="5"/>
  <c r="BJ50" i="5"/>
  <c r="BJ22" i="5"/>
  <c r="BJ30" i="5"/>
  <c r="BJ71" i="5" s="1"/>
  <c r="BG78" i="5"/>
  <c r="BG88" i="5"/>
  <c r="BG90" i="5" s="1"/>
  <c r="BG66" i="5"/>
  <c r="BG63" i="5"/>
  <c r="BJ23" i="5"/>
  <c r="BJ21" i="5"/>
  <c r="BJ39" i="5"/>
  <c r="BJ49" i="5"/>
  <c r="BJ29" i="5"/>
  <c r="BJ32" i="5"/>
  <c r="BJ46" i="5"/>
  <c r="BJ44" i="5"/>
  <c r="BJ37" i="5"/>
  <c r="BJ43" i="5"/>
  <c r="BJ16" i="5"/>
  <c r="BJ14" i="5"/>
  <c r="BJ31" i="5"/>
  <c r="BJ15" i="5"/>
  <c r="BJ36" i="5"/>
  <c r="BJ38" i="5"/>
  <c r="BJ47" i="5"/>
  <c r="BJ42" i="5"/>
  <c r="BJ33" i="5"/>
  <c r="BJ24" i="5"/>
  <c r="BI27" i="5"/>
  <c r="BJ51" i="5"/>
  <c r="BJ11" i="5"/>
  <c r="BJ45" i="5"/>
  <c r="BL2" i="5"/>
  <c r="BK3" i="5"/>
  <c r="BK34" i="5" s="1"/>
  <c r="BJ48" i="5"/>
  <c r="BJ55" i="5"/>
  <c r="BH27" i="5"/>
  <c r="BH56" i="5" s="1"/>
  <c r="BI56" i="5" l="1"/>
  <c r="BI94" i="5" s="1"/>
  <c r="BI104" i="5" s="1"/>
  <c r="BI114" i="5" s="1"/>
  <c r="BH94" i="5"/>
  <c r="BH104" i="5" s="1"/>
  <c r="BH114" i="5" s="1"/>
  <c r="BH116" i="5" s="1"/>
  <c r="BJ77" i="5"/>
  <c r="BK33" i="5"/>
  <c r="BK38" i="5"/>
  <c r="BK21" i="5"/>
  <c r="BJ17" i="5"/>
  <c r="BJ19" i="5" s="1"/>
  <c r="BJ40" i="5"/>
  <c r="BJ53" i="5"/>
  <c r="BJ25" i="5"/>
  <c r="BH78" i="5"/>
  <c r="BH88" i="5"/>
  <c r="BH90" i="5" s="1"/>
  <c r="BH66" i="5"/>
  <c r="BH63" i="5"/>
  <c r="BI78" i="5"/>
  <c r="BI88" i="5"/>
  <c r="BI90" i="5" s="1"/>
  <c r="BI66" i="5"/>
  <c r="BI63" i="5"/>
  <c r="BK14" i="5"/>
  <c r="BK30" i="5"/>
  <c r="BK71" i="5" s="1"/>
  <c r="BL3" i="5"/>
  <c r="BL52" i="5" s="1"/>
  <c r="BK16" i="5"/>
  <c r="BK37" i="5"/>
  <c r="BK22" i="5"/>
  <c r="BK47" i="5"/>
  <c r="BK48" i="5"/>
  <c r="BK50" i="5"/>
  <c r="BK39" i="5"/>
  <c r="BK36" i="5"/>
  <c r="BK32" i="5"/>
  <c r="BK31" i="5"/>
  <c r="BK55" i="5"/>
  <c r="BK46" i="5"/>
  <c r="BK49" i="5"/>
  <c r="BK44" i="5"/>
  <c r="BK15" i="5"/>
  <c r="BK52" i="5"/>
  <c r="BK29" i="5"/>
  <c r="BK23" i="5"/>
  <c r="BK43" i="5"/>
  <c r="BK35" i="5"/>
  <c r="BK72" i="5" s="1"/>
  <c r="BK24" i="5"/>
  <c r="BK42" i="5"/>
  <c r="BK51" i="5"/>
  <c r="BK11" i="5"/>
  <c r="BK45" i="5"/>
  <c r="BK13" i="5"/>
  <c r="BI116" i="5" l="1"/>
  <c r="BL42" i="5"/>
  <c r="BL44" i="5"/>
  <c r="BL49" i="5"/>
  <c r="BL43" i="5"/>
  <c r="BL13" i="5"/>
  <c r="BL48" i="5"/>
  <c r="BJ27" i="5"/>
  <c r="BJ56" i="5" s="1"/>
  <c r="BL29" i="5"/>
  <c r="BL51" i="5"/>
  <c r="BL14" i="5"/>
  <c r="BL15" i="5"/>
  <c r="BL11" i="5"/>
  <c r="BL46" i="5"/>
  <c r="BL37" i="5"/>
  <c r="BL23" i="5"/>
  <c r="BL55" i="5"/>
  <c r="BK77" i="5"/>
  <c r="BL35" i="5"/>
  <c r="BL72" i="5" s="1"/>
  <c r="BL16" i="5"/>
  <c r="BL33" i="5"/>
  <c r="BL50" i="5"/>
  <c r="BL32" i="5"/>
  <c r="BL21" i="5"/>
  <c r="BL38" i="5"/>
  <c r="BL22" i="5"/>
  <c r="BL31" i="5"/>
  <c r="BL47" i="5"/>
  <c r="BL36" i="5"/>
  <c r="BJ63" i="5"/>
  <c r="BK17" i="5"/>
  <c r="BK19" i="5" s="1"/>
  <c r="BK53" i="5"/>
  <c r="BL34" i="5"/>
  <c r="BL24" i="5"/>
  <c r="BL45" i="5"/>
  <c r="BK25" i="5"/>
  <c r="BK40" i="5"/>
  <c r="BL39" i="5"/>
  <c r="BL30" i="5"/>
  <c r="BL71" i="5" s="1"/>
  <c r="BJ66" i="5" l="1"/>
  <c r="BJ88" i="5"/>
  <c r="BJ90" i="5" s="1"/>
  <c r="BJ78" i="5"/>
  <c r="BJ94" i="5"/>
  <c r="BJ104" i="5" s="1"/>
  <c r="BJ114" i="5" s="1"/>
  <c r="BJ116" i="5" s="1"/>
  <c r="BL17" i="5"/>
  <c r="BL19" i="5" s="1"/>
  <c r="BL77" i="5"/>
  <c r="BL25" i="5"/>
  <c r="BL53" i="5"/>
  <c r="BK27" i="5"/>
  <c r="BK56" i="5" s="1"/>
  <c r="BL40" i="5"/>
  <c r="BK88" i="5" l="1"/>
  <c r="BK90" i="5" s="1"/>
  <c r="BK94" i="5"/>
  <c r="BK104" i="5" s="1"/>
  <c r="BK114" i="5" s="1"/>
  <c r="BK116" i="5" s="1"/>
  <c r="BL27" i="5"/>
  <c r="BK63" i="5"/>
  <c r="BK66" i="5"/>
  <c r="BK78" i="5"/>
  <c r="BL56" i="5"/>
  <c r="BL88" i="5" l="1"/>
  <c r="BL90" i="5" s="1"/>
  <c r="BL94" i="5"/>
  <c r="BL104" i="5" s="1"/>
  <c r="BL114" i="5" s="1"/>
  <c r="BL116" i="5" s="1"/>
  <c r="BL63" i="5"/>
  <c r="BL66" i="5"/>
  <c r="BL78" i="5"/>
</calcChain>
</file>

<file path=xl/sharedStrings.xml><?xml version="1.0" encoding="utf-8"?>
<sst xmlns="http://schemas.openxmlformats.org/spreadsheetml/2006/main" count="184" uniqueCount="49">
  <si>
    <t>[Company Name]</t>
  </si>
  <si>
    <t>Compliance Certificate Tracker</t>
  </si>
  <si>
    <t>x</t>
  </si>
  <si>
    <t>USD in 000s, except where noted</t>
  </si>
  <si>
    <t>Consolidated EBITDA</t>
  </si>
  <si>
    <t>No.</t>
  </si>
  <si>
    <t>Description</t>
  </si>
  <si>
    <t>Type</t>
  </si>
  <si>
    <t>Net Income (GAAP)</t>
  </si>
  <si>
    <t>[#]</t>
  </si>
  <si>
    <t>[X]</t>
  </si>
  <si>
    <t>Definitional</t>
  </si>
  <si>
    <t>Exclusions (Additions) to Net Income</t>
  </si>
  <si>
    <t>Consolidated Net Income (Loss)</t>
  </si>
  <si>
    <t>Total Definitional Adjustments</t>
  </si>
  <si>
    <t>Reported EBITDA</t>
  </si>
  <si>
    <t>Diligence</t>
  </si>
  <si>
    <t>Addbacks to Consolidated EBITDA</t>
  </si>
  <si>
    <t>Deductions to Consolidated EBITDA</t>
  </si>
  <si>
    <t>Deemed EBITDA</t>
  </si>
  <si>
    <t>Adjustment Individual &amp; Shared Caps</t>
  </si>
  <si>
    <t>Cap (% / $)</t>
  </si>
  <si>
    <t>Method</t>
  </si>
  <si>
    <t xml:space="preserve"> </t>
  </si>
  <si>
    <t>Individual Cap</t>
  </si>
  <si>
    <t>N/A</t>
  </si>
  <si>
    <t>Total Shared Adjustments</t>
  </si>
  <si>
    <t>Shared Cap</t>
  </si>
  <si>
    <t>Before</t>
  </si>
  <si>
    <t>Total Net Leverage Covenant Compliance</t>
  </si>
  <si>
    <t>Cash Netting Cap</t>
  </si>
  <si>
    <t>Cash &amp; Equivalents</t>
  </si>
  <si>
    <t>CA Cash &amp; Equivalents</t>
  </si>
  <si>
    <t>Consolidated Total Indebtedness</t>
  </si>
  <si>
    <t>Total Net Leverage (Reported)</t>
  </si>
  <si>
    <t>Total Net Leverage (Covenant)</t>
  </si>
  <si>
    <t>% cushion</t>
  </si>
  <si>
    <t>Fixed Charge Coverage Ratio Compliance</t>
  </si>
  <si>
    <t>Total Numerator</t>
  </si>
  <si>
    <t>Total Denominator</t>
  </si>
  <si>
    <t>Minimum Fixed Charge Coverage Ratio (Reported)</t>
  </si>
  <si>
    <t>Minimum Fixed Charge Coverage Ratio (Covenant)</t>
  </si>
  <si>
    <t>Minimum Liquidity Covenant Compliance</t>
  </si>
  <si>
    <t>Revolver Commitment</t>
  </si>
  <si>
    <t>Revolver Outstanding</t>
  </si>
  <si>
    <t>Revolver Availability</t>
  </si>
  <si>
    <t>Minimum Liquidity (Reported)</t>
  </si>
  <si>
    <t>Minimum Liquidity (Covenant)</t>
  </si>
  <si>
    <t>$ cushion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</si>
</sst>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_);\(&quot;$&quot;#,##0\);&quot;$--&quot;_);@_)"/>
    <numFmt numFmtId="165" formatCode="#,##0_);\(#,##0\);&quot;--&quot;_);@_)"/>
    <numFmt numFmtId="166" formatCode="#,##0.0%_);\(#,##0.0%\);&quot;--%&quot;_);@_)"/>
    <numFmt numFmtId="167" formatCode="#,##0.00\x_);\(#,##0.00\x\);&quot;--x&quot;_);@_)"/>
    <numFmt numFmtId="168" formatCode="0.0%"/>
  </numFmts>
  <fonts count="12" x14ac:knownFonts="1"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theme="0"/>
      <name val="Calibri"/>
      <family val="2"/>
    </font>
    <font>
      <i/>
      <sz val="10"/>
      <name val="Calibri"/>
      <family val="2"/>
    </font>
    <font>
      <b/>
      <u val="singleAccounting"/>
      <sz val="10"/>
      <name val="Calibri"/>
      <family val="2"/>
    </font>
    <font>
      <sz val="10"/>
      <color rgb="FF0000FF"/>
      <name val="Calibri"/>
      <family val="2"/>
    </font>
    <font>
      <sz val="10"/>
      <color theme="1"/>
      <name val="Calibri"/>
      <family val="2"/>
    </font>
    <font>
      <sz val="10"/>
      <color theme="0" tint="-0.14999847407452621"/>
      <name val="Calibri"/>
      <family val="2"/>
    </font>
    <font>
      <b/>
      <i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rgb="FF000000"/>
      </patternFill>
    </fill>
    <fill>
      <patternFill patternType="lightUp">
        <bgColor theme="0" tint="-4.9989318521683403E-2"/>
      </patternFill>
    </fill>
    <fill>
      <patternFill patternType="lightUp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/>
    <xf numFmtId="44" fontId="7" fillId="0" borderId="0" xfId="0" applyNumberFormat="1" applyFont="1" applyAlignment="1">
      <alignment horizontal="center"/>
    </xf>
    <xf numFmtId="44" fontId="7" fillId="0" borderId="0" xfId="0" applyNumberFormat="1" applyFont="1" applyAlignment="1">
      <alignment horizontal="centerContinuous"/>
    </xf>
    <xf numFmtId="0" fontId="3" fillId="0" borderId="0" xfId="0" applyFont="1" applyAlignment="1">
      <alignment horizontal="right" indent="1"/>
    </xf>
    <xf numFmtId="0" fontId="3" fillId="0" borderId="0" xfId="0" applyFont="1"/>
    <xf numFmtId="165" fontId="2" fillId="0" borderId="0" xfId="0" applyNumberFormat="1" applyFont="1" applyAlignment="1">
      <alignment horizontal="right" indent="1"/>
    </xf>
    <xf numFmtId="0" fontId="3" fillId="0" borderId="1" xfId="0" applyFont="1" applyBorder="1"/>
    <xf numFmtId="0" fontId="2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6" fillId="0" borderId="0" xfId="0" applyFont="1" applyAlignment="1">
      <alignment horizontal="left" indent="1"/>
    </xf>
    <xf numFmtId="0" fontId="8" fillId="3" borderId="0" xfId="0" applyFont="1" applyFill="1" applyAlignment="1">
      <alignment horizontal="right" indent="1"/>
    </xf>
    <xf numFmtId="0" fontId="8" fillId="3" borderId="0" xfId="0" applyFont="1" applyFill="1"/>
    <xf numFmtId="0" fontId="2" fillId="3" borderId="0" xfId="0" applyFont="1" applyFill="1"/>
    <xf numFmtId="164" fontId="4" fillId="3" borderId="0" xfId="0" applyNumberFormat="1" applyFont="1" applyFill="1" applyAlignment="1">
      <alignment horizontal="right"/>
    </xf>
    <xf numFmtId="166" fontId="8" fillId="3" borderId="3" xfId="0" applyNumberFormat="1" applyFont="1" applyFill="1" applyBorder="1" applyAlignment="1">
      <alignment horizontal="center"/>
    </xf>
    <xf numFmtId="166" fontId="6" fillId="0" borderId="0" xfId="0" applyNumberFormat="1" applyFont="1"/>
    <xf numFmtId="165" fontId="4" fillId="3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7" fontId="4" fillId="0" borderId="0" xfId="0" applyNumberFormat="1" applyFont="1" applyAlignment="1">
      <alignment horizontal="center" vertical="center"/>
    </xf>
    <xf numFmtId="0" fontId="6" fillId="0" borderId="0" xfId="0" applyFont="1"/>
    <xf numFmtId="165" fontId="8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2" fillId="4" borderId="0" xfId="0" applyFont="1" applyFill="1"/>
    <xf numFmtId="168" fontId="8" fillId="3" borderId="3" xfId="5" applyNumberFormat="1" applyFont="1" applyFill="1" applyBorder="1" applyAlignment="1">
      <alignment horizontal="center"/>
    </xf>
    <xf numFmtId="164" fontId="2" fillId="0" borderId="0" xfId="0" applyNumberFormat="1" applyFont="1"/>
    <xf numFmtId="0" fontId="3" fillId="0" borderId="1" xfId="0" quotePrefix="1" applyFont="1" applyBorder="1"/>
    <xf numFmtId="0" fontId="3" fillId="0" borderId="0" xfId="0" quotePrefix="1" applyFont="1"/>
    <xf numFmtId="164" fontId="3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8" fillId="5" borderId="3" xfId="0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right"/>
    </xf>
    <xf numFmtId="165" fontId="8" fillId="3" borderId="0" xfId="0" applyNumberFormat="1" applyFont="1" applyFill="1" applyAlignment="1">
      <alignment horizontal="right"/>
    </xf>
    <xf numFmtId="17" fontId="8" fillId="0" borderId="0" xfId="0" applyNumberFormat="1" applyFont="1" applyAlignment="1">
      <alignment horizontal="center" vertical="center"/>
    </xf>
    <xf numFmtId="0" fontId="3" fillId="0" borderId="4" xfId="0" quotePrefix="1" applyFont="1" applyBorder="1"/>
    <xf numFmtId="0" fontId="2" fillId="0" borderId="4" xfId="0" applyFont="1" applyBorder="1"/>
    <xf numFmtId="164" fontId="3" fillId="0" borderId="4" xfId="0" applyNumberFormat="1" applyFont="1" applyBorder="1" applyAlignment="1">
      <alignment horizontal="right"/>
    </xf>
    <xf numFmtId="164" fontId="8" fillId="6" borderId="0" xfId="0" applyNumberFormat="1" applyFont="1" applyFill="1" applyAlignment="1">
      <alignment horizontal="right"/>
    </xf>
    <xf numFmtId="165" fontId="8" fillId="6" borderId="0" xfId="0" applyNumberFormat="1" applyFont="1" applyFill="1" applyAlignment="1">
      <alignment horizontal="right"/>
    </xf>
    <xf numFmtId="164" fontId="3" fillId="6" borderId="0" xfId="0" applyNumberFormat="1" applyFont="1" applyFill="1" applyAlignment="1">
      <alignment horizontal="right"/>
    </xf>
    <xf numFmtId="17" fontId="10" fillId="0" borderId="0" xfId="0" applyNumberFormat="1" applyFont="1" applyAlignment="1">
      <alignment horizontal="center" vertical="center"/>
    </xf>
    <xf numFmtId="165" fontId="2" fillId="0" borderId="0" xfId="0" applyNumberFormat="1" applyFont="1"/>
    <xf numFmtId="0" fontId="8" fillId="0" borderId="0" xfId="0" applyFont="1" applyAlignment="1">
      <alignment horizontal="center"/>
    </xf>
    <xf numFmtId="10" fontId="6" fillId="0" borderId="0" xfId="0" applyNumberFormat="1" applyFont="1" applyAlignment="1">
      <alignment horizontal="right"/>
    </xf>
    <xf numFmtId="168" fontId="8" fillId="3" borderId="0" xfId="5" applyNumberFormat="1" applyFont="1" applyFill="1" applyBorder="1" applyAlignment="1">
      <alignment horizontal="center"/>
    </xf>
    <xf numFmtId="168" fontId="8" fillId="3" borderId="2" xfId="5" applyNumberFormat="1" applyFont="1" applyFill="1" applyBorder="1" applyAlignment="1">
      <alignment horizontal="center"/>
    </xf>
    <xf numFmtId="164" fontId="8" fillId="3" borderId="3" xfId="5" applyNumberFormat="1" applyFont="1" applyFill="1" applyBorder="1" applyAlignment="1">
      <alignment horizontal="center"/>
    </xf>
    <xf numFmtId="0" fontId="2" fillId="0" borderId="0" xfId="4" applyFont="1"/>
    <xf numFmtId="167" fontId="8" fillId="3" borderId="0" xfId="4" applyNumberFormat="1" applyFont="1" applyFill="1" applyAlignment="1">
      <alignment horizontal="right"/>
    </xf>
    <xf numFmtId="164" fontId="8" fillId="3" borderId="0" xfId="4" applyNumberFormat="1" applyFont="1" applyFill="1" applyAlignment="1">
      <alignment horizontal="right"/>
    </xf>
    <xf numFmtId="0" fontId="3" fillId="0" borderId="0" xfId="4" applyFont="1"/>
    <xf numFmtId="164" fontId="2" fillId="7" borderId="0" xfId="0" applyNumberFormat="1" applyFont="1" applyFill="1" applyAlignment="1">
      <alignment horizontal="right"/>
    </xf>
    <xf numFmtId="165" fontId="8" fillId="7" borderId="0" xfId="0" applyNumberFormat="1" applyFont="1" applyFill="1" applyAlignment="1">
      <alignment horizontal="right"/>
    </xf>
    <xf numFmtId="164" fontId="8" fillId="7" borderId="0" xfId="4" applyNumberFormat="1" applyFont="1" applyFill="1" applyAlignment="1">
      <alignment horizontal="right"/>
    </xf>
    <xf numFmtId="167" fontId="2" fillId="7" borderId="0" xfId="0" applyNumberFormat="1" applyFont="1" applyFill="1" applyAlignment="1">
      <alignment horizontal="right"/>
    </xf>
    <xf numFmtId="167" fontId="8" fillId="7" borderId="0" xfId="4" applyNumberFormat="1" applyFont="1" applyFill="1" applyAlignment="1">
      <alignment horizontal="right"/>
    </xf>
    <xf numFmtId="166" fontId="6" fillId="7" borderId="0" xfId="0" applyNumberFormat="1" applyFont="1" applyFill="1"/>
    <xf numFmtId="164" fontId="4" fillId="7" borderId="0" xfId="0" applyNumberFormat="1" applyFont="1" applyFill="1" applyAlignment="1">
      <alignment horizontal="right"/>
    </xf>
    <xf numFmtId="164" fontId="3" fillId="7" borderId="1" xfId="0" applyNumberFormat="1" applyFont="1" applyFill="1" applyBorder="1" applyAlignment="1">
      <alignment horizontal="right"/>
    </xf>
    <xf numFmtId="166" fontId="6" fillId="7" borderId="0" xfId="0" applyNumberFormat="1" applyFont="1" applyFill="1" applyAlignment="1">
      <alignment horizontal="right"/>
    </xf>
    <xf numFmtId="165" fontId="4" fillId="7" borderId="0" xfId="0" applyNumberFormat="1" applyFont="1" applyFill="1" applyAlignment="1">
      <alignment horizontal="right"/>
    </xf>
    <xf numFmtId="0" fontId="3" fillId="4" borderId="6" xfId="0" applyFont="1" applyFill="1" applyBorder="1"/>
    <xf numFmtId="0" fontId="2" fillId="4" borderId="1" xfId="0" applyFont="1" applyFill="1" applyBorder="1"/>
    <xf numFmtId="0" fontId="2" fillId="4" borderId="7" xfId="0" applyFont="1" applyFill="1" applyBorder="1"/>
    <xf numFmtId="0" fontId="3" fillId="4" borderId="8" xfId="0" applyFont="1" applyFill="1" applyBorder="1"/>
    <xf numFmtId="0" fontId="2" fillId="4" borderId="5" xfId="0" applyFont="1" applyFill="1" applyBorder="1"/>
    <xf numFmtId="0" fontId="11" fillId="4" borderId="9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164" fontId="3" fillId="0" borderId="0" xfId="0" applyNumberFormat="1" applyFont="1"/>
    <xf numFmtId="0" fontId="2" fillId="7" borderId="0" xfId="0" applyFont="1" applyFill="1"/>
    <xf numFmtId="0" fontId="2" fillId="7" borderId="1" xfId="0" applyFont="1" applyFill="1" applyBorder="1"/>
    <xf numFmtId="0" fontId="8" fillId="0" borderId="0" xfId="0" applyFont="1"/>
    <xf numFmtId="0" fontId="3" fillId="7" borderId="0" xfId="0" applyFont="1" applyFill="1"/>
    <xf numFmtId="164" fontId="2" fillId="3" borderId="0" xfId="0" applyNumberFormat="1" applyFont="1" applyFill="1" applyAlignment="1">
      <alignment horizontal="right"/>
    </xf>
    <xf numFmtId="167" fontId="3" fillId="7" borderId="0" xfId="0" applyNumberFormat="1" applyFont="1" applyFill="1" applyAlignment="1">
      <alignment horizontal="right"/>
    </xf>
    <xf numFmtId="167" fontId="3" fillId="0" borderId="0" xfId="0" applyNumberFormat="1" applyFont="1" applyAlignment="1">
      <alignment horizontal="right"/>
    </xf>
    <xf numFmtId="164" fontId="6" fillId="0" borderId="0" xfId="0" applyNumberFormat="1" applyFont="1"/>
  </cellXfs>
  <cellStyles count="6">
    <cellStyle name="Comma 2" xfId="3" xr:uid="{37A99D7B-B454-40E7-ABD7-1FC8F5120A9F}"/>
    <cellStyle name="Currency 2" xfId="2" xr:uid="{61870413-A0A4-495C-B0CB-BF3F51AB3D94}"/>
    <cellStyle name="Normal" xfId="0" builtinId="0"/>
    <cellStyle name="Normal 12" xfId="4" xr:uid="{B06C8A5C-0FDF-4877-A58E-B7B3B549BB20}"/>
    <cellStyle name="Normal 2" xfId="1" xr:uid="{0A0DB133-46CC-42A4-8A78-0E8638F39ABF}"/>
    <cellStyle name="Percent" xfId="5" builtinId="5"/>
  </cellStyles>
  <dxfs count="0"/>
  <tableStyles count="0" defaultTableStyle="TableStyleMedium2" defaultPivotStyle="PivotStyleLight16"/>
  <colors>
    <mruColors>
      <color rgb="FFFFFFCC"/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B New">
      <a:dk1>
        <a:srgbClr val="2E3035"/>
      </a:dk1>
      <a:lt1>
        <a:sysClr val="window" lastClr="FFFFFF"/>
      </a:lt1>
      <a:dk2>
        <a:srgbClr val="1C4A68"/>
      </a:dk2>
      <a:lt2>
        <a:srgbClr val="49839F"/>
      </a:lt2>
      <a:accent1>
        <a:srgbClr val="49839F"/>
      </a:accent1>
      <a:accent2>
        <a:srgbClr val="1C4A68"/>
      </a:accent2>
      <a:accent3>
        <a:srgbClr val="AFBE70"/>
      </a:accent3>
      <a:accent4>
        <a:srgbClr val="328F85"/>
      </a:accent4>
      <a:accent5>
        <a:srgbClr val="9098A4"/>
      </a:accent5>
      <a:accent6>
        <a:srgbClr val="5D616C"/>
      </a:accent6>
      <a:hlink>
        <a:srgbClr val="5BB6C7"/>
      </a:hlink>
      <a:folHlink>
        <a:srgbClr val="2E303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0A02-E053-4CCA-80D4-273D513778DE}">
  <dimension ref="A1:BL128"/>
  <sheetViews>
    <sheetView showGridLines="0" tabSelected="1" zoomScale="80" zoomScaleNormal="80" workbookViewId="0">
      <pane xSplit="11" ySplit="7" topLeftCell="AP8" activePane="bottomRight" state="frozen"/>
      <selection pane="topRight" activeCell="H1" sqref="H1"/>
      <selection pane="bottomLeft" activeCell="A8" sqref="A8"/>
      <selection pane="bottomRight" activeCell="AQ120" sqref="AQ120"/>
    </sheetView>
  </sheetViews>
  <sheetFormatPr defaultColWidth="9.140625" defaultRowHeight="12.75" outlineLevelRow="1" outlineLevelCol="1" x14ac:dyDescent="0.2"/>
  <cols>
    <col min="1" max="2" width="2.7109375" style="1" customWidth="1"/>
    <col min="3" max="10" width="11.28515625" style="1" customWidth="1"/>
    <col min="11" max="11" width="2.7109375" style="1" hidden="1" customWidth="1" outlineLevel="1"/>
    <col min="12" max="41" width="11.28515625" style="1" hidden="1" customWidth="1" outlineLevel="1"/>
    <col min="42" max="42" width="2.7109375" style="1" customWidth="1" collapsed="1"/>
    <col min="43" max="64" width="11.42578125" style="1" customWidth="1"/>
    <col min="65" max="16384" width="9.140625" style="1"/>
  </cols>
  <sheetData>
    <row r="1" spans="1:64" x14ac:dyDescent="0.2">
      <c r="C1" s="65" t="s">
        <v>0</v>
      </c>
      <c r="D1" s="66"/>
      <c r="E1" s="67"/>
    </row>
    <row r="2" spans="1:64" x14ac:dyDescent="0.2">
      <c r="B2"/>
      <c r="C2" s="68" t="s">
        <v>1</v>
      </c>
      <c r="D2" s="27"/>
      <c r="E2" s="69"/>
      <c r="F2"/>
      <c r="I2"/>
      <c r="J2"/>
      <c r="L2" s="23">
        <f t="shared" ref="L2:N2" si="0">EOMONTH(M2,-1)</f>
        <v>45657</v>
      </c>
      <c r="M2" s="23">
        <f t="shared" si="0"/>
        <v>45688</v>
      </c>
      <c r="N2" s="23">
        <f t="shared" si="0"/>
        <v>45716</v>
      </c>
      <c r="O2" s="23">
        <f>EOMONTH(P2,-3)</f>
        <v>45747</v>
      </c>
      <c r="P2" s="37">
        <v>45838</v>
      </c>
      <c r="Q2" s="23">
        <f>EOMONTH(P2,3)</f>
        <v>45930</v>
      </c>
      <c r="R2" s="23">
        <f t="shared" ref="R2:AO2" si="1">EOMONTH(Q2,3)</f>
        <v>46022</v>
      </c>
      <c r="S2" s="23">
        <f t="shared" si="1"/>
        <v>46112</v>
      </c>
      <c r="T2" s="23">
        <f t="shared" si="1"/>
        <v>46203</v>
      </c>
      <c r="U2" s="23">
        <f t="shared" si="1"/>
        <v>46295</v>
      </c>
      <c r="V2" s="23">
        <f t="shared" si="1"/>
        <v>46387</v>
      </c>
      <c r="W2" s="23">
        <f t="shared" si="1"/>
        <v>46477</v>
      </c>
      <c r="X2" s="23">
        <f t="shared" si="1"/>
        <v>46568</v>
      </c>
      <c r="Y2" s="23">
        <f t="shared" si="1"/>
        <v>46660</v>
      </c>
      <c r="Z2" s="23">
        <f t="shared" si="1"/>
        <v>46752</v>
      </c>
      <c r="AA2" s="23">
        <f t="shared" si="1"/>
        <v>46843</v>
      </c>
      <c r="AB2" s="23">
        <f t="shared" si="1"/>
        <v>46934</v>
      </c>
      <c r="AC2" s="23">
        <f t="shared" si="1"/>
        <v>47026</v>
      </c>
      <c r="AD2" s="23">
        <f t="shared" si="1"/>
        <v>47118</v>
      </c>
      <c r="AE2" s="23">
        <f t="shared" si="1"/>
        <v>47208</v>
      </c>
      <c r="AF2" s="23">
        <f t="shared" si="1"/>
        <v>47299</v>
      </c>
      <c r="AG2" s="23">
        <f t="shared" si="1"/>
        <v>47391</v>
      </c>
      <c r="AH2" s="23">
        <f t="shared" si="1"/>
        <v>47483</v>
      </c>
      <c r="AI2" s="23">
        <f t="shared" si="1"/>
        <v>47573</v>
      </c>
      <c r="AJ2" s="23">
        <f t="shared" si="1"/>
        <v>47664</v>
      </c>
      <c r="AK2" s="23">
        <f t="shared" si="1"/>
        <v>47756</v>
      </c>
      <c r="AL2" s="23">
        <f t="shared" si="1"/>
        <v>47848</v>
      </c>
      <c r="AM2" s="23">
        <f t="shared" si="1"/>
        <v>47938</v>
      </c>
      <c r="AN2" s="23">
        <f t="shared" si="1"/>
        <v>48029</v>
      </c>
      <c r="AO2" s="23">
        <f t="shared" si="1"/>
        <v>48121</v>
      </c>
      <c r="AQ2" s="37">
        <v>45838</v>
      </c>
      <c r="AR2" s="23">
        <f>EOMONTH(AQ2,3)</f>
        <v>45930</v>
      </c>
      <c r="AS2" s="23">
        <f>EOMONTH(AR2,3)</f>
        <v>46022</v>
      </c>
      <c r="AT2" s="23">
        <f>EOMONTH(AS2,3)</f>
        <v>46112</v>
      </c>
      <c r="AU2" s="23">
        <f>EOMONTH(AT2,3)</f>
        <v>46203</v>
      </c>
      <c r="AV2" s="23">
        <f t="shared" ref="AV2:BL2" si="2">EOMONTH(AU2,3)</f>
        <v>46295</v>
      </c>
      <c r="AW2" s="23">
        <f t="shared" si="2"/>
        <v>46387</v>
      </c>
      <c r="AX2" s="23">
        <f t="shared" si="2"/>
        <v>46477</v>
      </c>
      <c r="AY2" s="23">
        <f t="shared" si="2"/>
        <v>46568</v>
      </c>
      <c r="AZ2" s="23">
        <f t="shared" si="2"/>
        <v>46660</v>
      </c>
      <c r="BA2" s="23">
        <f t="shared" si="2"/>
        <v>46752</v>
      </c>
      <c r="BB2" s="23">
        <f t="shared" si="2"/>
        <v>46843</v>
      </c>
      <c r="BC2" s="23">
        <f t="shared" si="2"/>
        <v>46934</v>
      </c>
      <c r="BD2" s="23">
        <f t="shared" si="2"/>
        <v>47026</v>
      </c>
      <c r="BE2" s="23">
        <f t="shared" si="2"/>
        <v>47118</v>
      </c>
      <c r="BF2" s="23">
        <f t="shared" si="2"/>
        <v>47208</v>
      </c>
      <c r="BG2" s="23">
        <f t="shared" si="2"/>
        <v>47299</v>
      </c>
      <c r="BH2" s="23">
        <f t="shared" si="2"/>
        <v>47391</v>
      </c>
      <c r="BI2" s="23">
        <f t="shared" si="2"/>
        <v>47483</v>
      </c>
      <c r="BJ2" s="23">
        <f t="shared" si="2"/>
        <v>47573</v>
      </c>
      <c r="BK2" s="23">
        <f t="shared" si="2"/>
        <v>47664</v>
      </c>
      <c r="BL2" s="23">
        <f t="shared" si="2"/>
        <v>47756</v>
      </c>
    </row>
    <row r="3" spans="1:64" x14ac:dyDescent="0.2">
      <c r="B3"/>
      <c r="C3" s="70" t="str">
        <f ca="1">++TEXT(TODAY(),"MMMM D, YYYY")</f>
        <v>February 23, 2026</v>
      </c>
      <c r="D3" s="71"/>
      <c r="E3" s="72"/>
      <c r="F3"/>
      <c r="G3"/>
      <c r="H3"/>
      <c r="I3"/>
      <c r="J3"/>
      <c r="L3" s="23"/>
      <c r="M3" s="23"/>
      <c r="N3" s="23"/>
      <c r="O3" s="23"/>
      <c r="P3" s="37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Q3" s="44">
        <f>++EOMONTH(AQ2,-12)</f>
        <v>45473</v>
      </c>
      <c r="AR3" s="44">
        <f>++EOMONTH(AR2,-12)</f>
        <v>45565</v>
      </c>
      <c r="AS3" s="44">
        <f>++EOMONTH(AS2,-12)</f>
        <v>45657</v>
      </c>
      <c r="AT3" s="44">
        <f>++EOMONTH(AT2,-12)</f>
        <v>45747</v>
      </c>
      <c r="AU3" s="44">
        <f t="shared" ref="AU3:BL3" si="3">++EOMONTH(AU2,-12)</f>
        <v>45838</v>
      </c>
      <c r="AV3" s="44">
        <f t="shared" si="3"/>
        <v>45930</v>
      </c>
      <c r="AW3" s="44">
        <f t="shared" si="3"/>
        <v>46022</v>
      </c>
      <c r="AX3" s="44">
        <f t="shared" si="3"/>
        <v>46112</v>
      </c>
      <c r="AY3" s="44">
        <f t="shared" si="3"/>
        <v>46203</v>
      </c>
      <c r="AZ3" s="44">
        <f t="shared" si="3"/>
        <v>46295</v>
      </c>
      <c r="BA3" s="44">
        <f t="shared" si="3"/>
        <v>46387</v>
      </c>
      <c r="BB3" s="44">
        <f t="shared" si="3"/>
        <v>46477</v>
      </c>
      <c r="BC3" s="44">
        <f t="shared" si="3"/>
        <v>46568</v>
      </c>
      <c r="BD3" s="44">
        <f t="shared" si="3"/>
        <v>46660</v>
      </c>
      <c r="BE3" s="44">
        <f t="shared" si="3"/>
        <v>46752</v>
      </c>
      <c r="BF3" s="44">
        <f t="shared" si="3"/>
        <v>46843</v>
      </c>
      <c r="BG3" s="44">
        <f t="shared" si="3"/>
        <v>46934</v>
      </c>
      <c r="BH3" s="44">
        <f t="shared" si="3"/>
        <v>47026</v>
      </c>
      <c r="BI3" s="44">
        <f t="shared" si="3"/>
        <v>47118</v>
      </c>
      <c r="BJ3" s="44">
        <f t="shared" si="3"/>
        <v>47208</v>
      </c>
      <c r="BK3" s="44">
        <f t="shared" si="3"/>
        <v>47299</v>
      </c>
      <c r="BL3" s="44">
        <f t="shared" si="3"/>
        <v>47391</v>
      </c>
    </row>
    <row r="4" spans="1:64" x14ac:dyDescent="0.2">
      <c r="B4"/>
      <c r="C4"/>
      <c r="D4"/>
      <c r="E4"/>
      <c r="F4"/>
      <c r="G4"/>
      <c r="H4"/>
      <c r="I4"/>
      <c r="J4"/>
    </row>
    <row r="5" spans="1:64" x14ac:dyDescent="0.2">
      <c r="A5" s="2" t="s">
        <v>2</v>
      </c>
      <c r="B5" s="2" t="s">
        <v>2</v>
      </c>
      <c r="C5" s="3" t="str">
        <f>++C1</f>
        <v>[Company Name]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</row>
    <row r="6" spans="1:64" x14ac:dyDescent="0.2">
      <c r="C6" s="24" t="s">
        <v>3</v>
      </c>
    </row>
    <row r="7" spans="1:64" ht="5.0999999999999996" customHeight="1" x14ac:dyDescent="0.2"/>
    <row r="8" spans="1:64" x14ac:dyDescent="0.2">
      <c r="A8" s="2" t="s">
        <v>2</v>
      </c>
      <c r="B8" s="2" t="s">
        <v>2</v>
      </c>
      <c r="C8" s="3" t="s">
        <v>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64" ht="5.0999999999999996" customHeight="1" x14ac:dyDescent="0.2"/>
    <row r="10" spans="1:64" ht="15" x14ac:dyDescent="0.35">
      <c r="C10" s="5" t="s">
        <v>5</v>
      </c>
      <c r="D10" s="6" t="s">
        <v>6</v>
      </c>
      <c r="E10" s="6"/>
      <c r="F10" s="6"/>
      <c r="G10" s="6"/>
      <c r="H10" s="6"/>
      <c r="I10" s="6"/>
      <c r="J10" s="33" t="s">
        <v>7</v>
      </c>
    </row>
    <row r="11" spans="1:64" x14ac:dyDescent="0.2">
      <c r="C11" s="7"/>
      <c r="D11" s="8" t="s">
        <v>8</v>
      </c>
      <c r="E11" s="8"/>
      <c r="F11" s="8"/>
      <c r="G11" s="8"/>
      <c r="H11" s="8"/>
      <c r="L11" s="41"/>
      <c r="M11" s="41"/>
      <c r="N11" s="41"/>
      <c r="O11" s="41"/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5">
        <v>0</v>
      </c>
      <c r="AJ11" s="35">
        <v>0</v>
      </c>
      <c r="AK11" s="35">
        <v>0</v>
      </c>
      <c r="AL11" s="35">
        <v>0</v>
      </c>
      <c r="AM11" s="35">
        <v>0</v>
      </c>
      <c r="AN11" s="35">
        <v>0</v>
      </c>
      <c r="AO11" s="35">
        <v>0</v>
      </c>
      <c r="AQ11" s="35">
        <f t="shared" ref="AQ11:BL11" si="4">++SUMIFS($L11:$AO11,$L$2:$AO$2,"&lt;="&amp;AQ$2,$L$2:$AO$2,"&gt;"&amp;AQ$3)</f>
        <v>0</v>
      </c>
      <c r="AR11" s="35">
        <f t="shared" si="4"/>
        <v>0</v>
      </c>
      <c r="AS11" s="35">
        <f t="shared" si="4"/>
        <v>0</v>
      </c>
      <c r="AT11" s="35">
        <f t="shared" si="4"/>
        <v>0</v>
      </c>
      <c r="AU11" s="35">
        <f t="shared" si="4"/>
        <v>0</v>
      </c>
      <c r="AV11" s="35">
        <f t="shared" si="4"/>
        <v>0</v>
      </c>
      <c r="AW11" s="35">
        <f t="shared" si="4"/>
        <v>0</v>
      </c>
      <c r="AX11" s="35">
        <f t="shared" si="4"/>
        <v>0</v>
      </c>
      <c r="AY11" s="35">
        <f t="shared" si="4"/>
        <v>0</v>
      </c>
      <c r="AZ11" s="35">
        <f t="shared" si="4"/>
        <v>0</v>
      </c>
      <c r="BA11" s="35">
        <f t="shared" si="4"/>
        <v>0</v>
      </c>
      <c r="BB11" s="35">
        <f t="shared" si="4"/>
        <v>0</v>
      </c>
      <c r="BC11" s="35">
        <f t="shared" si="4"/>
        <v>0</v>
      </c>
      <c r="BD11" s="35">
        <f t="shared" si="4"/>
        <v>0</v>
      </c>
      <c r="BE11" s="35">
        <f t="shared" si="4"/>
        <v>0</v>
      </c>
      <c r="BF11" s="35">
        <f t="shared" si="4"/>
        <v>0</v>
      </c>
      <c r="BG11" s="35">
        <f t="shared" si="4"/>
        <v>0</v>
      </c>
      <c r="BH11" s="35">
        <f t="shared" si="4"/>
        <v>0</v>
      </c>
      <c r="BI11" s="35">
        <f t="shared" si="4"/>
        <v>0</v>
      </c>
      <c r="BJ11" s="35">
        <f t="shared" si="4"/>
        <v>0</v>
      </c>
      <c r="BK11" s="35">
        <f t="shared" si="4"/>
        <v>0</v>
      </c>
      <c r="BL11" s="35">
        <f t="shared" si="4"/>
        <v>0</v>
      </c>
    </row>
    <row r="12" spans="1:64" x14ac:dyDescent="0.2">
      <c r="R12" s="45"/>
    </row>
    <row r="13" spans="1:64" x14ac:dyDescent="0.2">
      <c r="C13" s="15" t="s">
        <v>9</v>
      </c>
      <c r="D13" s="16" t="s">
        <v>10</v>
      </c>
      <c r="E13" s="16"/>
      <c r="F13" s="16"/>
      <c r="G13" s="16"/>
      <c r="H13" s="16"/>
      <c r="I13" s="46"/>
      <c r="J13" s="34" t="s">
        <v>11</v>
      </c>
      <c r="L13" s="42"/>
      <c r="M13" s="42"/>
      <c r="N13" s="42"/>
      <c r="O13" s="42"/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Q13" s="36">
        <f t="shared" ref="AQ13:AZ16" si="5">++SUMIFS($L13:$AO13,$L$2:$AO$2,"&lt;="&amp;AQ$2,$L$2:$AO$2,"&gt;"&amp;AQ$3)</f>
        <v>0</v>
      </c>
      <c r="AR13" s="36">
        <f t="shared" si="5"/>
        <v>0</v>
      </c>
      <c r="AS13" s="36">
        <f t="shared" si="5"/>
        <v>0</v>
      </c>
      <c r="AT13" s="36">
        <f t="shared" si="5"/>
        <v>0</v>
      </c>
      <c r="AU13" s="36">
        <f t="shared" si="5"/>
        <v>0</v>
      </c>
      <c r="AV13" s="36">
        <f t="shared" si="5"/>
        <v>0</v>
      </c>
      <c r="AW13" s="36">
        <f t="shared" si="5"/>
        <v>0</v>
      </c>
      <c r="AX13" s="36">
        <f t="shared" si="5"/>
        <v>0</v>
      </c>
      <c r="AY13" s="36">
        <f t="shared" si="5"/>
        <v>0</v>
      </c>
      <c r="AZ13" s="36">
        <f t="shared" si="5"/>
        <v>0</v>
      </c>
      <c r="BA13" s="36">
        <f t="shared" ref="BA13:BL16" si="6">++SUMIFS($L13:$AO13,$L$2:$AO$2,"&lt;="&amp;BA$2,$L$2:$AO$2,"&gt;"&amp;BA$3)</f>
        <v>0</v>
      </c>
      <c r="BB13" s="36">
        <f t="shared" si="6"/>
        <v>0</v>
      </c>
      <c r="BC13" s="36">
        <f t="shared" si="6"/>
        <v>0</v>
      </c>
      <c r="BD13" s="36">
        <f t="shared" si="6"/>
        <v>0</v>
      </c>
      <c r="BE13" s="36">
        <f t="shared" si="6"/>
        <v>0</v>
      </c>
      <c r="BF13" s="36">
        <f t="shared" si="6"/>
        <v>0</v>
      </c>
      <c r="BG13" s="36">
        <f t="shared" si="6"/>
        <v>0</v>
      </c>
      <c r="BH13" s="36">
        <f t="shared" si="6"/>
        <v>0</v>
      </c>
      <c r="BI13" s="36">
        <f t="shared" si="6"/>
        <v>0</v>
      </c>
      <c r="BJ13" s="36">
        <f t="shared" si="6"/>
        <v>0</v>
      </c>
      <c r="BK13" s="36">
        <f t="shared" si="6"/>
        <v>0</v>
      </c>
      <c r="BL13" s="36">
        <f t="shared" si="6"/>
        <v>0</v>
      </c>
    </row>
    <row r="14" spans="1:64" x14ac:dyDescent="0.2">
      <c r="C14" s="15" t="s">
        <v>9</v>
      </c>
      <c r="D14" s="16" t="s">
        <v>10</v>
      </c>
      <c r="E14" s="16"/>
      <c r="F14" s="16"/>
      <c r="G14" s="16"/>
      <c r="H14" s="16"/>
      <c r="I14" s="46"/>
      <c r="J14" s="34" t="s">
        <v>11</v>
      </c>
      <c r="L14" s="42"/>
      <c r="M14" s="42"/>
      <c r="N14" s="42"/>
      <c r="O14" s="42"/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6">
        <v>0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Q14" s="36">
        <f t="shared" si="5"/>
        <v>0</v>
      </c>
      <c r="AR14" s="36">
        <f t="shared" si="5"/>
        <v>0</v>
      </c>
      <c r="AS14" s="36">
        <f t="shared" si="5"/>
        <v>0</v>
      </c>
      <c r="AT14" s="36">
        <f t="shared" si="5"/>
        <v>0</v>
      </c>
      <c r="AU14" s="36">
        <f t="shared" si="5"/>
        <v>0</v>
      </c>
      <c r="AV14" s="36">
        <f t="shared" si="5"/>
        <v>0</v>
      </c>
      <c r="AW14" s="36">
        <f t="shared" si="5"/>
        <v>0</v>
      </c>
      <c r="AX14" s="36">
        <f t="shared" si="5"/>
        <v>0</v>
      </c>
      <c r="AY14" s="36">
        <f t="shared" si="5"/>
        <v>0</v>
      </c>
      <c r="AZ14" s="36">
        <f t="shared" si="5"/>
        <v>0</v>
      </c>
      <c r="BA14" s="36">
        <f t="shared" si="6"/>
        <v>0</v>
      </c>
      <c r="BB14" s="36">
        <f t="shared" si="6"/>
        <v>0</v>
      </c>
      <c r="BC14" s="36">
        <f t="shared" si="6"/>
        <v>0</v>
      </c>
      <c r="BD14" s="36">
        <f t="shared" si="6"/>
        <v>0</v>
      </c>
      <c r="BE14" s="36">
        <f t="shared" si="6"/>
        <v>0</v>
      </c>
      <c r="BF14" s="36">
        <f t="shared" si="6"/>
        <v>0</v>
      </c>
      <c r="BG14" s="36">
        <f t="shared" si="6"/>
        <v>0</v>
      </c>
      <c r="BH14" s="36">
        <f t="shared" si="6"/>
        <v>0</v>
      </c>
      <c r="BI14" s="36">
        <f t="shared" si="6"/>
        <v>0</v>
      </c>
      <c r="BJ14" s="36">
        <f t="shared" si="6"/>
        <v>0</v>
      </c>
      <c r="BK14" s="36">
        <f t="shared" si="6"/>
        <v>0</v>
      </c>
      <c r="BL14" s="36">
        <f t="shared" si="6"/>
        <v>0</v>
      </c>
    </row>
    <row r="15" spans="1:64" x14ac:dyDescent="0.2">
      <c r="C15" s="15" t="s">
        <v>9</v>
      </c>
      <c r="D15" s="16" t="s">
        <v>10</v>
      </c>
      <c r="E15" s="16"/>
      <c r="F15" s="16"/>
      <c r="G15" s="16"/>
      <c r="H15" s="16"/>
      <c r="I15" s="46"/>
      <c r="J15" s="34" t="s">
        <v>11</v>
      </c>
      <c r="L15" s="42"/>
      <c r="M15" s="42"/>
      <c r="N15" s="42"/>
      <c r="O15" s="42"/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6">
        <v>0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Q15" s="36">
        <f t="shared" si="5"/>
        <v>0</v>
      </c>
      <c r="AR15" s="36">
        <f t="shared" si="5"/>
        <v>0</v>
      </c>
      <c r="AS15" s="36">
        <f t="shared" si="5"/>
        <v>0</v>
      </c>
      <c r="AT15" s="36">
        <f t="shared" si="5"/>
        <v>0</v>
      </c>
      <c r="AU15" s="36">
        <f t="shared" si="5"/>
        <v>0</v>
      </c>
      <c r="AV15" s="36">
        <f t="shared" si="5"/>
        <v>0</v>
      </c>
      <c r="AW15" s="36">
        <f t="shared" si="5"/>
        <v>0</v>
      </c>
      <c r="AX15" s="36">
        <f t="shared" si="5"/>
        <v>0</v>
      </c>
      <c r="AY15" s="36">
        <f t="shared" si="5"/>
        <v>0</v>
      </c>
      <c r="AZ15" s="36">
        <f t="shared" si="5"/>
        <v>0</v>
      </c>
      <c r="BA15" s="36">
        <f t="shared" si="6"/>
        <v>0</v>
      </c>
      <c r="BB15" s="36">
        <f t="shared" si="6"/>
        <v>0</v>
      </c>
      <c r="BC15" s="36">
        <f t="shared" si="6"/>
        <v>0</v>
      </c>
      <c r="BD15" s="36">
        <f t="shared" si="6"/>
        <v>0</v>
      </c>
      <c r="BE15" s="36">
        <f t="shared" si="6"/>
        <v>0</v>
      </c>
      <c r="BF15" s="36">
        <f t="shared" si="6"/>
        <v>0</v>
      </c>
      <c r="BG15" s="36">
        <f t="shared" si="6"/>
        <v>0</v>
      </c>
      <c r="BH15" s="36">
        <f t="shared" si="6"/>
        <v>0</v>
      </c>
      <c r="BI15" s="36">
        <f t="shared" si="6"/>
        <v>0</v>
      </c>
      <c r="BJ15" s="36">
        <f t="shared" si="6"/>
        <v>0</v>
      </c>
      <c r="BK15" s="36">
        <f t="shared" si="6"/>
        <v>0</v>
      </c>
      <c r="BL15" s="36">
        <f t="shared" si="6"/>
        <v>0</v>
      </c>
    </row>
    <row r="16" spans="1:64" x14ac:dyDescent="0.2">
      <c r="C16" s="15" t="s">
        <v>9</v>
      </c>
      <c r="D16" s="16" t="s">
        <v>10</v>
      </c>
      <c r="E16" s="16"/>
      <c r="F16" s="16"/>
      <c r="G16" s="16"/>
      <c r="H16" s="16"/>
      <c r="I16" s="46"/>
      <c r="J16" s="34" t="s">
        <v>11</v>
      </c>
      <c r="L16" s="42"/>
      <c r="M16" s="42"/>
      <c r="N16" s="42"/>
      <c r="O16" s="42"/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>
        <v>0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Q16" s="36">
        <f t="shared" si="5"/>
        <v>0</v>
      </c>
      <c r="AR16" s="36">
        <f t="shared" si="5"/>
        <v>0</v>
      </c>
      <c r="AS16" s="36">
        <f t="shared" si="5"/>
        <v>0</v>
      </c>
      <c r="AT16" s="36">
        <f t="shared" si="5"/>
        <v>0</v>
      </c>
      <c r="AU16" s="36">
        <f t="shared" si="5"/>
        <v>0</v>
      </c>
      <c r="AV16" s="36">
        <f t="shared" si="5"/>
        <v>0</v>
      </c>
      <c r="AW16" s="36">
        <f t="shared" si="5"/>
        <v>0</v>
      </c>
      <c r="AX16" s="36">
        <f t="shared" si="5"/>
        <v>0</v>
      </c>
      <c r="AY16" s="36">
        <f t="shared" si="5"/>
        <v>0</v>
      </c>
      <c r="AZ16" s="36">
        <f t="shared" si="5"/>
        <v>0</v>
      </c>
      <c r="BA16" s="36">
        <f t="shared" si="6"/>
        <v>0</v>
      </c>
      <c r="BB16" s="36">
        <f t="shared" si="6"/>
        <v>0</v>
      </c>
      <c r="BC16" s="36">
        <f t="shared" si="6"/>
        <v>0</v>
      </c>
      <c r="BD16" s="36">
        <f t="shared" si="6"/>
        <v>0</v>
      </c>
      <c r="BE16" s="36">
        <f t="shared" si="6"/>
        <v>0</v>
      </c>
      <c r="BF16" s="36">
        <f t="shared" si="6"/>
        <v>0</v>
      </c>
      <c r="BG16" s="36">
        <f t="shared" si="6"/>
        <v>0</v>
      </c>
      <c r="BH16" s="36">
        <f t="shared" si="6"/>
        <v>0</v>
      </c>
      <c r="BI16" s="36">
        <f t="shared" si="6"/>
        <v>0</v>
      </c>
      <c r="BJ16" s="36">
        <f t="shared" si="6"/>
        <v>0</v>
      </c>
      <c r="BK16" s="36">
        <f t="shared" si="6"/>
        <v>0</v>
      </c>
      <c r="BL16" s="36">
        <f t="shared" si="6"/>
        <v>0</v>
      </c>
    </row>
    <row r="17" spans="3:64" x14ac:dyDescent="0.2">
      <c r="D17" s="30" t="s">
        <v>12</v>
      </c>
      <c r="E17" s="30"/>
      <c r="F17" s="30"/>
      <c r="G17" s="30"/>
      <c r="H17" s="30"/>
      <c r="I17" s="30"/>
      <c r="J17" s="11"/>
      <c r="L17" s="12">
        <f t="shared" ref="L17:O17" si="7">++SUM(L13:L16)</f>
        <v>0</v>
      </c>
      <c r="M17" s="12">
        <f t="shared" si="7"/>
        <v>0</v>
      </c>
      <c r="N17" s="12">
        <f t="shared" si="7"/>
        <v>0</v>
      </c>
      <c r="O17" s="12">
        <f t="shared" si="7"/>
        <v>0</v>
      </c>
      <c r="P17" s="12">
        <f t="shared" ref="P17:AJ17" si="8">++SUM(P13:P16)</f>
        <v>0</v>
      </c>
      <c r="Q17" s="12">
        <f t="shared" si="8"/>
        <v>0</v>
      </c>
      <c r="R17" s="12">
        <f t="shared" si="8"/>
        <v>0</v>
      </c>
      <c r="S17" s="12">
        <f t="shared" si="8"/>
        <v>0</v>
      </c>
      <c r="T17" s="12">
        <f t="shared" si="8"/>
        <v>0</v>
      </c>
      <c r="U17" s="12">
        <f t="shared" si="8"/>
        <v>0</v>
      </c>
      <c r="V17" s="12">
        <f t="shared" si="8"/>
        <v>0</v>
      </c>
      <c r="W17" s="12">
        <f t="shared" si="8"/>
        <v>0</v>
      </c>
      <c r="X17" s="12">
        <f t="shared" si="8"/>
        <v>0</v>
      </c>
      <c r="Y17" s="12">
        <f t="shared" si="8"/>
        <v>0</v>
      </c>
      <c r="Z17" s="12">
        <f t="shared" si="8"/>
        <v>0</v>
      </c>
      <c r="AA17" s="12">
        <f t="shared" si="8"/>
        <v>0</v>
      </c>
      <c r="AB17" s="12">
        <f t="shared" si="8"/>
        <v>0</v>
      </c>
      <c r="AC17" s="12">
        <f t="shared" si="8"/>
        <v>0</v>
      </c>
      <c r="AD17" s="12">
        <f t="shared" si="8"/>
        <v>0</v>
      </c>
      <c r="AE17" s="12">
        <f t="shared" si="8"/>
        <v>0</v>
      </c>
      <c r="AF17" s="12">
        <f t="shared" si="8"/>
        <v>0</v>
      </c>
      <c r="AG17" s="12">
        <f t="shared" si="8"/>
        <v>0</v>
      </c>
      <c r="AH17" s="12">
        <f t="shared" si="8"/>
        <v>0</v>
      </c>
      <c r="AI17" s="12">
        <f t="shared" si="8"/>
        <v>0</v>
      </c>
      <c r="AJ17" s="12">
        <f t="shared" si="8"/>
        <v>0</v>
      </c>
      <c r="AK17" s="12">
        <f t="shared" ref="AK17:AO17" si="9">++SUM(AK13:AK16)</f>
        <v>0</v>
      </c>
      <c r="AL17" s="12">
        <f t="shared" si="9"/>
        <v>0</v>
      </c>
      <c r="AM17" s="12">
        <f t="shared" si="9"/>
        <v>0</v>
      </c>
      <c r="AN17" s="12">
        <f t="shared" si="9"/>
        <v>0</v>
      </c>
      <c r="AO17" s="12">
        <f t="shared" si="9"/>
        <v>0</v>
      </c>
      <c r="AQ17" s="12">
        <f t="shared" ref="AQ17:AR17" si="10">++SUM(AQ13:AQ16)</f>
        <v>0</v>
      </c>
      <c r="AR17" s="12">
        <f t="shared" si="10"/>
        <v>0</v>
      </c>
      <c r="AS17" s="12">
        <f t="shared" ref="AS17:AT17" si="11">++SUM(AS13:AS16)</f>
        <v>0</v>
      </c>
      <c r="AT17" s="12">
        <f t="shared" si="11"/>
        <v>0</v>
      </c>
      <c r="AU17" s="12">
        <f t="shared" ref="AU17:BL17" si="12">++SUM(AU13:AU16)</f>
        <v>0</v>
      </c>
      <c r="AV17" s="12">
        <f t="shared" si="12"/>
        <v>0</v>
      </c>
      <c r="AW17" s="12">
        <f t="shared" si="12"/>
        <v>0</v>
      </c>
      <c r="AX17" s="12">
        <f t="shared" si="12"/>
        <v>0</v>
      </c>
      <c r="AY17" s="12">
        <f t="shared" si="12"/>
        <v>0</v>
      </c>
      <c r="AZ17" s="12">
        <f t="shared" si="12"/>
        <v>0</v>
      </c>
      <c r="BA17" s="12">
        <f t="shared" si="12"/>
        <v>0</v>
      </c>
      <c r="BB17" s="12">
        <f t="shared" si="12"/>
        <v>0</v>
      </c>
      <c r="BC17" s="12">
        <f t="shared" si="12"/>
        <v>0</v>
      </c>
      <c r="BD17" s="12">
        <f t="shared" si="12"/>
        <v>0</v>
      </c>
      <c r="BE17" s="12">
        <f t="shared" si="12"/>
        <v>0</v>
      </c>
      <c r="BF17" s="12">
        <f t="shared" si="12"/>
        <v>0</v>
      </c>
      <c r="BG17" s="12">
        <f t="shared" si="12"/>
        <v>0</v>
      </c>
      <c r="BH17" s="12">
        <f t="shared" si="12"/>
        <v>0</v>
      </c>
      <c r="BI17" s="12">
        <f t="shared" si="12"/>
        <v>0</v>
      </c>
      <c r="BJ17" s="12">
        <f t="shared" si="12"/>
        <v>0</v>
      </c>
      <c r="BK17" s="12">
        <f t="shared" si="12"/>
        <v>0</v>
      </c>
      <c r="BL17" s="12">
        <f t="shared" si="12"/>
        <v>0</v>
      </c>
    </row>
    <row r="18" spans="3:64" x14ac:dyDescent="0.2">
      <c r="D18" s="31"/>
      <c r="E18" s="31"/>
      <c r="F18" s="31"/>
      <c r="G18" s="31"/>
      <c r="H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</row>
    <row r="19" spans="3:64" x14ac:dyDescent="0.2">
      <c r="D19" s="31" t="s">
        <v>13</v>
      </c>
      <c r="E19" s="31"/>
      <c r="F19" s="31"/>
      <c r="G19" s="31"/>
      <c r="H19" s="31"/>
      <c r="L19" s="32">
        <f t="shared" ref="L19:O19" si="13">++SUM(L11,-L17)</f>
        <v>0</v>
      </c>
      <c r="M19" s="32">
        <f t="shared" si="13"/>
        <v>0</v>
      </c>
      <c r="N19" s="32">
        <f t="shared" si="13"/>
        <v>0</v>
      </c>
      <c r="O19" s="32">
        <f t="shared" si="13"/>
        <v>0</v>
      </c>
      <c r="P19" s="32">
        <f>++SUM(P11,-P17)</f>
        <v>0</v>
      </c>
      <c r="Q19" s="32">
        <f t="shared" ref="Q19:AO19" si="14">++SUM(Q11,-Q17)</f>
        <v>0</v>
      </c>
      <c r="R19" s="32">
        <f t="shared" si="14"/>
        <v>0</v>
      </c>
      <c r="S19" s="32">
        <f t="shared" si="14"/>
        <v>0</v>
      </c>
      <c r="T19" s="32">
        <f t="shared" si="14"/>
        <v>0</v>
      </c>
      <c r="U19" s="32">
        <f t="shared" si="14"/>
        <v>0</v>
      </c>
      <c r="V19" s="32">
        <f t="shared" si="14"/>
        <v>0</v>
      </c>
      <c r="W19" s="32">
        <f t="shared" si="14"/>
        <v>0</v>
      </c>
      <c r="X19" s="32">
        <f t="shared" si="14"/>
        <v>0</v>
      </c>
      <c r="Y19" s="32">
        <f t="shared" si="14"/>
        <v>0</v>
      </c>
      <c r="Z19" s="32">
        <f t="shared" si="14"/>
        <v>0</v>
      </c>
      <c r="AA19" s="32">
        <f t="shared" si="14"/>
        <v>0</v>
      </c>
      <c r="AB19" s="32">
        <f t="shared" si="14"/>
        <v>0</v>
      </c>
      <c r="AC19" s="32">
        <f t="shared" si="14"/>
        <v>0</v>
      </c>
      <c r="AD19" s="32">
        <f t="shared" si="14"/>
        <v>0</v>
      </c>
      <c r="AE19" s="32">
        <f t="shared" si="14"/>
        <v>0</v>
      </c>
      <c r="AF19" s="32">
        <f t="shared" si="14"/>
        <v>0</v>
      </c>
      <c r="AG19" s="32">
        <f t="shared" si="14"/>
        <v>0</v>
      </c>
      <c r="AH19" s="32">
        <f t="shared" si="14"/>
        <v>0</v>
      </c>
      <c r="AI19" s="32">
        <f t="shared" si="14"/>
        <v>0</v>
      </c>
      <c r="AJ19" s="32">
        <f t="shared" si="14"/>
        <v>0</v>
      </c>
      <c r="AK19" s="32">
        <f t="shared" si="14"/>
        <v>0</v>
      </c>
      <c r="AL19" s="32">
        <f t="shared" si="14"/>
        <v>0</v>
      </c>
      <c r="AM19" s="32">
        <f t="shared" si="14"/>
        <v>0</v>
      </c>
      <c r="AN19" s="32">
        <f t="shared" si="14"/>
        <v>0</v>
      </c>
      <c r="AO19" s="32">
        <f t="shared" si="14"/>
        <v>0</v>
      </c>
      <c r="AQ19" s="32">
        <f>++SUM(AQ11,-AQ17)</f>
        <v>0</v>
      </c>
      <c r="AR19" s="32">
        <f t="shared" ref="AR19" si="15">++SUM(AR11,-AR17)</f>
        <v>0</v>
      </c>
      <c r="AS19" s="32">
        <f t="shared" ref="AS19:AT19" si="16">++SUM(AS11,-AS17)</f>
        <v>0</v>
      </c>
      <c r="AT19" s="32">
        <f t="shared" si="16"/>
        <v>0</v>
      </c>
      <c r="AU19" s="32">
        <f t="shared" ref="AU19:BL19" si="17">++SUM(AU11,-AU17)</f>
        <v>0</v>
      </c>
      <c r="AV19" s="32">
        <f t="shared" si="17"/>
        <v>0</v>
      </c>
      <c r="AW19" s="32">
        <f t="shared" si="17"/>
        <v>0</v>
      </c>
      <c r="AX19" s="32">
        <f t="shared" si="17"/>
        <v>0</v>
      </c>
      <c r="AY19" s="32">
        <f t="shared" si="17"/>
        <v>0</v>
      </c>
      <c r="AZ19" s="32">
        <f t="shared" si="17"/>
        <v>0</v>
      </c>
      <c r="BA19" s="32">
        <f t="shared" si="17"/>
        <v>0</v>
      </c>
      <c r="BB19" s="32">
        <f t="shared" si="17"/>
        <v>0</v>
      </c>
      <c r="BC19" s="32">
        <f t="shared" si="17"/>
        <v>0</v>
      </c>
      <c r="BD19" s="32">
        <f t="shared" si="17"/>
        <v>0</v>
      </c>
      <c r="BE19" s="32">
        <f t="shared" si="17"/>
        <v>0</v>
      </c>
      <c r="BF19" s="32">
        <f t="shared" si="17"/>
        <v>0</v>
      </c>
      <c r="BG19" s="32">
        <f t="shared" si="17"/>
        <v>0</v>
      </c>
      <c r="BH19" s="32">
        <f t="shared" si="17"/>
        <v>0</v>
      </c>
      <c r="BI19" s="32">
        <f t="shared" si="17"/>
        <v>0</v>
      </c>
      <c r="BJ19" s="32">
        <f t="shared" si="17"/>
        <v>0</v>
      </c>
      <c r="BK19" s="32">
        <f t="shared" si="17"/>
        <v>0</v>
      </c>
      <c r="BL19" s="32">
        <f t="shared" si="17"/>
        <v>0</v>
      </c>
    </row>
    <row r="21" spans="3:64" x14ac:dyDescent="0.2">
      <c r="C21" s="15" t="s">
        <v>9</v>
      </c>
      <c r="D21" s="16" t="s">
        <v>10</v>
      </c>
      <c r="E21" s="16"/>
      <c r="F21" s="16"/>
      <c r="G21" s="16"/>
      <c r="H21" s="16"/>
      <c r="I21" s="46"/>
      <c r="J21" s="34" t="s">
        <v>11</v>
      </c>
      <c r="L21" s="43"/>
      <c r="M21" s="43"/>
      <c r="N21" s="43"/>
      <c r="O21" s="43"/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6">
        <v>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Q21" s="36">
        <f t="shared" ref="AQ21:AZ24" si="18">++SUMIFS($L21:$AO21,$L$2:$AO$2,"&lt;="&amp;AQ$2,$L$2:$AO$2,"&gt;"&amp;AQ$3)</f>
        <v>0</v>
      </c>
      <c r="AR21" s="36">
        <f t="shared" si="18"/>
        <v>0</v>
      </c>
      <c r="AS21" s="36">
        <f t="shared" si="18"/>
        <v>0</v>
      </c>
      <c r="AT21" s="36">
        <f t="shared" si="18"/>
        <v>0</v>
      </c>
      <c r="AU21" s="36">
        <f t="shared" si="18"/>
        <v>0</v>
      </c>
      <c r="AV21" s="36">
        <f t="shared" si="18"/>
        <v>0</v>
      </c>
      <c r="AW21" s="36">
        <f t="shared" si="18"/>
        <v>0</v>
      </c>
      <c r="AX21" s="36">
        <f t="shared" si="18"/>
        <v>0</v>
      </c>
      <c r="AY21" s="36">
        <f t="shared" si="18"/>
        <v>0</v>
      </c>
      <c r="AZ21" s="36">
        <f t="shared" si="18"/>
        <v>0</v>
      </c>
      <c r="BA21" s="36">
        <f t="shared" ref="BA21:BL24" si="19">++SUMIFS($L21:$AO21,$L$2:$AO$2,"&lt;="&amp;BA$2,$L$2:$AO$2,"&gt;"&amp;BA$3)</f>
        <v>0</v>
      </c>
      <c r="BB21" s="36">
        <f t="shared" si="19"/>
        <v>0</v>
      </c>
      <c r="BC21" s="36">
        <f t="shared" si="19"/>
        <v>0</v>
      </c>
      <c r="BD21" s="36">
        <f t="shared" si="19"/>
        <v>0</v>
      </c>
      <c r="BE21" s="36">
        <f t="shared" si="19"/>
        <v>0</v>
      </c>
      <c r="BF21" s="36">
        <f t="shared" si="19"/>
        <v>0</v>
      </c>
      <c r="BG21" s="36">
        <f t="shared" si="19"/>
        <v>0</v>
      </c>
      <c r="BH21" s="36">
        <f t="shared" si="19"/>
        <v>0</v>
      </c>
      <c r="BI21" s="36">
        <f t="shared" si="19"/>
        <v>0</v>
      </c>
      <c r="BJ21" s="36">
        <f t="shared" si="19"/>
        <v>0</v>
      </c>
      <c r="BK21" s="36">
        <f t="shared" si="19"/>
        <v>0</v>
      </c>
      <c r="BL21" s="36">
        <f t="shared" si="19"/>
        <v>0</v>
      </c>
    </row>
    <row r="22" spans="3:64" x14ac:dyDescent="0.2">
      <c r="C22" s="15" t="s">
        <v>9</v>
      </c>
      <c r="D22" s="16" t="s">
        <v>10</v>
      </c>
      <c r="E22" s="16"/>
      <c r="F22" s="16"/>
      <c r="G22" s="16"/>
      <c r="H22" s="16"/>
      <c r="I22" s="46"/>
      <c r="J22" s="34" t="s">
        <v>11</v>
      </c>
      <c r="L22" s="43"/>
      <c r="M22" s="43"/>
      <c r="N22" s="43"/>
      <c r="O22" s="43"/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6">
        <v>0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Q22" s="36">
        <f t="shared" si="18"/>
        <v>0</v>
      </c>
      <c r="AR22" s="36">
        <f t="shared" si="18"/>
        <v>0</v>
      </c>
      <c r="AS22" s="36">
        <f t="shared" si="18"/>
        <v>0</v>
      </c>
      <c r="AT22" s="36">
        <f t="shared" si="18"/>
        <v>0</v>
      </c>
      <c r="AU22" s="36">
        <f t="shared" si="18"/>
        <v>0</v>
      </c>
      <c r="AV22" s="36">
        <f t="shared" si="18"/>
        <v>0</v>
      </c>
      <c r="AW22" s="36">
        <f t="shared" si="18"/>
        <v>0</v>
      </c>
      <c r="AX22" s="36">
        <f t="shared" si="18"/>
        <v>0</v>
      </c>
      <c r="AY22" s="36">
        <f t="shared" si="18"/>
        <v>0</v>
      </c>
      <c r="AZ22" s="36">
        <f t="shared" si="18"/>
        <v>0</v>
      </c>
      <c r="BA22" s="36">
        <f t="shared" si="19"/>
        <v>0</v>
      </c>
      <c r="BB22" s="36">
        <f t="shared" si="19"/>
        <v>0</v>
      </c>
      <c r="BC22" s="36">
        <f t="shared" si="19"/>
        <v>0</v>
      </c>
      <c r="BD22" s="36">
        <f t="shared" si="19"/>
        <v>0</v>
      </c>
      <c r="BE22" s="36">
        <f t="shared" si="19"/>
        <v>0</v>
      </c>
      <c r="BF22" s="36">
        <f t="shared" si="19"/>
        <v>0</v>
      </c>
      <c r="BG22" s="36">
        <f t="shared" si="19"/>
        <v>0</v>
      </c>
      <c r="BH22" s="36">
        <f t="shared" si="19"/>
        <v>0</v>
      </c>
      <c r="BI22" s="36">
        <f t="shared" si="19"/>
        <v>0</v>
      </c>
      <c r="BJ22" s="36">
        <f t="shared" si="19"/>
        <v>0</v>
      </c>
      <c r="BK22" s="36">
        <f t="shared" si="19"/>
        <v>0</v>
      </c>
      <c r="BL22" s="36">
        <f t="shared" si="19"/>
        <v>0</v>
      </c>
    </row>
    <row r="23" spans="3:64" x14ac:dyDescent="0.2">
      <c r="C23" s="15" t="s">
        <v>9</v>
      </c>
      <c r="D23" s="16" t="s">
        <v>10</v>
      </c>
      <c r="E23" s="16"/>
      <c r="F23" s="16"/>
      <c r="G23" s="16"/>
      <c r="H23" s="16"/>
      <c r="I23" s="46"/>
      <c r="J23" s="34" t="s">
        <v>11</v>
      </c>
      <c r="L23" s="43"/>
      <c r="M23" s="43"/>
      <c r="N23" s="43"/>
      <c r="O23" s="43"/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6">
        <v>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Q23" s="36">
        <f t="shared" si="18"/>
        <v>0</v>
      </c>
      <c r="AR23" s="36">
        <f t="shared" si="18"/>
        <v>0</v>
      </c>
      <c r="AS23" s="36">
        <f t="shared" si="18"/>
        <v>0</v>
      </c>
      <c r="AT23" s="36">
        <f t="shared" si="18"/>
        <v>0</v>
      </c>
      <c r="AU23" s="36">
        <f t="shared" si="18"/>
        <v>0</v>
      </c>
      <c r="AV23" s="36">
        <f t="shared" si="18"/>
        <v>0</v>
      </c>
      <c r="AW23" s="36">
        <f t="shared" si="18"/>
        <v>0</v>
      </c>
      <c r="AX23" s="36">
        <f t="shared" si="18"/>
        <v>0</v>
      </c>
      <c r="AY23" s="36">
        <f t="shared" si="18"/>
        <v>0</v>
      </c>
      <c r="AZ23" s="36">
        <f t="shared" si="18"/>
        <v>0</v>
      </c>
      <c r="BA23" s="36">
        <f t="shared" si="19"/>
        <v>0</v>
      </c>
      <c r="BB23" s="36">
        <f t="shared" si="19"/>
        <v>0</v>
      </c>
      <c r="BC23" s="36">
        <f t="shared" si="19"/>
        <v>0</v>
      </c>
      <c r="BD23" s="36">
        <f t="shared" si="19"/>
        <v>0</v>
      </c>
      <c r="BE23" s="36">
        <f t="shared" si="19"/>
        <v>0</v>
      </c>
      <c r="BF23" s="36">
        <f t="shared" si="19"/>
        <v>0</v>
      </c>
      <c r="BG23" s="36">
        <f t="shared" si="19"/>
        <v>0</v>
      </c>
      <c r="BH23" s="36">
        <f t="shared" si="19"/>
        <v>0</v>
      </c>
      <c r="BI23" s="36">
        <f t="shared" si="19"/>
        <v>0</v>
      </c>
      <c r="BJ23" s="36">
        <f t="shared" si="19"/>
        <v>0</v>
      </c>
      <c r="BK23" s="36">
        <f t="shared" si="19"/>
        <v>0</v>
      </c>
      <c r="BL23" s="36">
        <f t="shared" si="19"/>
        <v>0</v>
      </c>
    </row>
    <row r="24" spans="3:64" x14ac:dyDescent="0.2">
      <c r="C24" s="15" t="s">
        <v>9</v>
      </c>
      <c r="D24" s="16" t="s">
        <v>10</v>
      </c>
      <c r="E24" s="16"/>
      <c r="F24" s="16"/>
      <c r="G24" s="16"/>
      <c r="H24" s="16"/>
      <c r="I24" s="46"/>
      <c r="J24" s="34" t="s">
        <v>11</v>
      </c>
      <c r="L24" s="43"/>
      <c r="M24" s="43"/>
      <c r="N24" s="43"/>
      <c r="O24" s="43"/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6">
        <v>0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Q24" s="36">
        <f t="shared" si="18"/>
        <v>0</v>
      </c>
      <c r="AR24" s="36">
        <f t="shared" si="18"/>
        <v>0</v>
      </c>
      <c r="AS24" s="36">
        <f t="shared" si="18"/>
        <v>0</v>
      </c>
      <c r="AT24" s="36">
        <f t="shared" si="18"/>
        <v>0</v>
      </c>
      <c r="AU24" s="36">
        <f t="shared" si="18"/>
        <v>0</v>
      </c>
      <c r="AV24" s="36">
        <f t="shared" si="18"/>
        <v>0</v>
      </c>
      <c r="AW24" s="36">
        <f t="shared" si="18"/>
        <v>0</v>
      </c>
      <c r="AX24" s="36">
        <f t="shared" si="18"/>
        <v>0</v>
      </c>
      <c r="AY24" s="36">
        <f t="shared" si="18"/>
        <v>0</v>
      </c>
      <c r="AZ24" s="36">
        <f t="shared" si="18"/>
        <v>0</v>
      </c>
      <c r="BA24" s="36">
        <f t="shared" si="19"/>
        <v>0</v>
      </c>
      <c r="BB24" s="36">
        <f t="shared" si="19"/>
        <v>0</v>
      </c>
      <c r="BC24" s="36">
        <f t="shared" si="19"/>
        <v>0</v>
      </c>
      <c r="BD24" s="36">
        <f t="shared" si="19"/>
        <v>0</v>
      </c>
      <c r="BE24" s="36">
        <f t="shared" si="19"/>
        <v>0</v>
      </c>
      <c r="BF24" s="36">
        <f t="shared" si="19"/>
        <v>0</v>
      </c>
      <c r="BG24" s="36">
        <f t="shared" si="19"/>
        <v>0</v>
      </c>
      <c r="BH24" s="36">
        <f t="shared" si="19"/>
        <v>0</v>
      </c>
      <c r="BI24" s="36">
        <f t="shared" si="19"/>
        <v>0</v>
      </c>
      <c r="BJ24" s="36">
        <f t="shared" si="19"/>
        <v>0</v>
      </c>
      <c r="BK24" s="36">
        <f t="shared" si="19"/>
        <v>0</v>
      </c>
      <c r="BL24" s="36">
        <f t="shared" si="19"/>
        <v>0</v>
      </c>
    </row>
    <row r="25" spans="3:64" x14ac:dyDescent="0.2">
      <c r="C25" s="9"/>
      <c r="D25" s="10" t="s">
        <v>14</v>
      </c>
      <c r="E25" s="10"/>
      <c r="F25" s="10"/>
      <c r="G25" s="10"/>
      <c r="H25" s="10"/>
      <c r="I25" s="10"/>
      <c r="J25" s="11"/>
      <c r="L25" s="12">
        <f t="shared" ref="L25:O25" si="20">SUM(L21:L24)</f>
        <v>0</v>
      </c>
      <c r="M25" s="12">
        <f t="shared" si="20"/>
        <v>0</v>
      </c>
      <c r="N25" s="12">
        <f t="shared" si="20"/>
        <v>0</v>
      </c>
      <c r="O25" s="12">
        <f t="shared" si="20"/>
        <v>0</v>
      </c>
      <c r="P25" s="12">
        <f>SUM(P21:P24)</f>
        <v>0</v>
      </c>
      <c r="Q25" s="12">
        <f t="shared" ref="Q25:AT25" si="21">SUM(Q21:Q24)</f>
        <v>0</v>
      </c>
      <c r="R25" s="12">
        <f t="shared" si="21"/>
        <v>0</v>
      </c>
      <c r="S25" s="12">
        <f t="shared" si="21"/>
        <v>0</v>
      </c>
      <c r="T25" s="12">
        <f t="shared" si="21"/>
        <v>0</v>
      </c>
      <c r="U25" s="12">
        <f t="shared" si="21"/>
        <v>0</v>
      </c>
      <c r="V25" s="12">
        <f t="shared" si="21"/>
        <v>0</v>
      </c>
      <c r="W25" s="12">
        <f t="shared" si="21"/>
        <v>0</v>
      </c>
      <c r="X25" s="12">
        <f t="shared" si="21"/>
        <v>0</v>
      </c>
      <c r="Y25" s="12">
        <f t="shared" si="21"/>
        <v>0</v>
      </c>
      <c r="Z25" s="12">
        <f t="shared" si="21"/>
        <v>0</v>
      </c>
      <c r="AA25" s="12">
        <f t="shared" si="21"/>
        <v>0</v>
      </c>
      <c r="AB25" s="12">
        <f t="shared" si="21"/>
        <v>0</v>
      </c>
      <c r="AC25" s="12">
        <f t="shared" si="21"/>
        <v>0</v>
      </c>
      <c r="AD25" s="12">
        <f t="shared" si="21"/>
        <v>0</v>
      </c>
      <c r="AE25" s="12">
        <f t="shared" si="21"/>
        <v>0</v>
      </c>
      <c r="AF25" s="12">
        <f t="shared" si="21"/>
        <v>0</v>
      </c>
      <c r="AG25" s="12">
        <f t="shared" si="21"/>
        <v>0</v>
      </c>
      <c r="AH25" s="12">
        <f t="shared" si="21"/>
        <v>0</v>
      </c>
      <c r="AI25" s="12">
        <f t="shared" si="21"/>
        <v>0</v>
      </c>
      <c r="AJ25" s="12">
        <f t="shared" si="21"/>
        <v>0</v>
      </c>
      <c r="AK25" s="12">
        <f t="shared" si="21"/>
        <v>0</v>
      </c>
      <c r="AL25" s="12">
        <f t="shared" si="21"/>
        <v>0</v>
      </c>
      <c r="AM25" s="12">
        <f t="shared" si="21"/>
        <v>0</v>
      </c>
      <c r="AN25" s="12">
        <f t="shared" si="21"/>
        <v>0</v>
      </c>
      <c r="AO25" s="12">
        <f t="shared" si="21"/>
        <v>0</v>
      </c>
      <c r="AQ25" s="12">
        <f t="shared" si="21"/>
        <v>0</v>
      </c>
      <c r="AR25" s="12">
        <f t="shared" si="21"/>
        <v>0</v>
      </c>
      <c r="AS25" s="12">
        <f t="shared" si="21"/>
        <v>0</v>
      </c>
      <c r="AT25" s="12">
        <f t="shared" si="21"/>
        <v>0</v>
      </c>
      <c r="AU25" s="12">
        <f t="shared" ref="AU25" si="22">SUM(AU21:AU24)</f>
        <v>0</v>
      </c>
      <c r="AV25" s="12">
        <f t="shared" ref="AV25" si="23">SUM(AV21:AV24)</f>
        <v>0</v>
      </c>
      <c r="AW25" s="12">
        <f t="shared" ref="AW25" si="24">SUM(AW21:AW24)</f>
        <v>0</v>
      </c>
      <c r="AX25" s="12">
        <f t="shared" ref="AX25" si="25">SUM(AX21:AX24)</f>
        <v>0</v>
      </c>
      <c r="AY25" s="12">
        <f t="shared" ref="AY25" si="26">SUM(AY21:AY24)</f>
        <v>0</v>
      </c>
      <c r="AZ25" s="12">
        <f t="shared" ref="AZ25" si="27">SUM(AZ21:AZ24)</f>
        <v>0</v>
      </c>
      <c r="BA25" s="12">
        <f t="shared" ref="BA25" si="28">SUM(BA21:BA24)</f>
        <v>0</v>
      </c>
      <c r="BB25" s="12">
        <f t="shared" ref="BB25" si="29">SUM(BB21:BB24)</f>
        <v>0</v>
      </c>
      <c r="BC25" s="12">
        <f t="shared" ref="BC25" si="30">SUM(BC21:BC24)</f>
        <v>0</v>
      </c>
      <c r="BD25" s="12">
        <f t="shared" ref="BD25" si="31">SUM(BD21:BD24)</f>
        <v>0</v>
      </c>
      <c r="BE25" s="12">
        <f t="shared" ref="BE25" si="32">SUM(BE21:BE24)</f>
        <v>0</v>
      </c>
      <c r="BF25" s="12">
        <f t="shared" ref="BF25" si="33">SUM(BF21:BF24)</f>
        <v>0</v>
      </c>
      <c r="BG25" s="12">
        <f t="shared" ref="BG25" si="34">SUM(BG21:BG24)</f>
        <v>0</v>
      </c>
      <c r="BH25" s="12">
        <f t="shared" ref="BH25" si="35">SUM(BH21:BH24)</f>
        <v>0</v>
      </c>
      <c r="BI25" s="12">
        <f t="shared" ref="BI25" si="36">SUM(BI21:BI24)</f>
        <v>0</v>
      </c>
      <c r="BJ25" s="12">
        <f t="shared" ref="BJ25" si="37">SUM(BJ21:BJ24)</f>
        <v>0</v>
      </c>
      <c r="BK25" s="12">
        <f t="shared" ref="BK25" si="38">SUM(BK21:BK24)</f>
        <v>0</v>
      </c>
      <c r="BL25" s="12">
        <f t="shared" ref="BL25" si="39">SUM(BL21:BL24)</f>
        <v>0</v>
      </c>
    </row>
    <row r="26" spans="3:64" x14ac:dyDescent="0.2">
      <c r="C26" s="9"/>
      <c r="L26" s="32"/>
      <c r="M26" s="32"/>
      <c r="N26" s="32"/>
      <c r="O26" s="32"/>
      <c r="P26" s="25"/>
      <c r="Q26" s="25"/>
      <c r="R26" s="4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spans="3:64" x14ac:dyDescent="0.2">
      <c r="D27" s="31" t="s">
        <v>15</v>
      </c>
      <c r="E27" s="31"/>
      <c r="F27" s="31"/>
      <c r="G27" s="31"/>
      <c r="H27" s="31"/>
      <c r="L27" s="32">
        <f t="shared" ref="L27:O27" si="40">++SUM(L19,L25)</f>
        <v>0</v>
      </c>
      <c r="M27" s="32">
        <f t="shared" si="40"/>
        <v>0</v>
      </c>
      <c r="N27" s="32">
        <f t="shared" si="40"/>
        <v>0</v>
      </c>
      <c r="O27" s="32">
        <f t="shared" si="40"/>
        <v>0</v>
      </c>
      <c r="P27" s="32">
        <f>++SUM(P19,P25)</f>
        <v>0</v>
      </c>
      <c r="Q27" s="32">
        <f t="shared" ref="Q27:AO27" si="41">++SUM(Q19,Q25)</f>
        <v>0</v>
      </c>
      <c r="R27" s="32">
        <f t="shared" si="41"/>
        <v>0</v>
      </c>
      <c r="S27" s="32">
        <f t="shared" si="41"/>
        <v>0</v>
      </c>
      <c r="T27" s="32">
        <f t="shared" si="41"/>
        <v>0</v>
      </c>
      <c r="U27" s="32">
        <f t="shared" si="41"/>
        <v>0</v>
      </c>
      <c r="V27" s="32">
        <f t="shared" si="41"/>
        <v>0</v>
      </c>
      <c r="W27" s="32">
        <f t="shared" si="41"/>
        <v>0</v>
      </c>
      <c r="X27" s="32">
        <f t="shared" si="41"/>
        <v>0</v>
      </c>
      <c r="Y27" s="32">
        <f t="shared" si="41"/>
        <v>0</v>
      </c>
      <c r="Z27" s="32">
        <f t="shared" si="41"/>
        <v>0</v>
      </c>
      <c r="AA27" s="32">
        <f t="shared" si="41"/>
        <v>0</v>
      </c>
      <c r="AB27" s="32">
        <f t="shared" si="41"/>
        <v>0</v>
      </c>
      <c r="AC27" s="32">
        <f t="shared" si="41"/>
        <v>0</v>
      </c>
      <c r="AD27" s="32">
        <f t="shared" si="41"/>
        <v>0</v>
      </c>
      <c r="AE27" s="32">
        <f t="shared" si="41"/>
        <v>0</v>
      </c>
      <c r="AF27" s="32">
        <f t="shared" si="41"/>
        <v>0</v>
      </c>
      <c r="AG27" s="32">
        <f t="shared" si="41"/>
        <v>0</v>
      </c>
      <c r="AH27" s="32">
        <f t="shared" si="41"/>
        <v>0</v>
      </c>
      <c r="AI27" s="32">
        <f t="shared" si="41"/>
        <v>0</v>
      </c>
      <c r="AJ27" s="32">
        <f t="shared" si="41"/>
        <v>0</v>
      </c>
      <c r="AK27" s="32">
        <f t="shared" si="41"/>
        <v>0</v>
      </c>
      <c r="AL27" s="32">
        <f t="shared" si="41"/>
        <v>0</v>
      </c>
      <c r="AM27" s="32">
        <f t="shared" si="41"/>
        <v>0</v>
      </c>
      <c r="AN27" s="32">
        <f t="shared" si="41"/>
        <v>0</v>
      </c>
      <c r="AO27" s="32">
        <f t="shared" si="41"/>
        <v>0</v>
      </c>
      <c r="AQ27" s="32">
        <f t="shared" ref="AQ27:AR27" si="42">++SUM(AQ19,AQ25)</f>
        <v>0</v>
      </c>
      <c r="AR27" s="32">
        <f t="shared" si="42"/>
        <v>0</v>
      </c>
      <c r="AS27" s="32">
        <f t="shared" ref="AS27:AT27" si="43">++SUM(AS19,AS25)</f>
        <v>0</v>
      </c>
      <c r="AT27" s="32">
        <f t="shared" si="43"/>
        <v>0</v>
      </c>
      <c r="AU27" s="32">
        <f t="shared" ref="AU27:BL27" si="44">++SUM(AU19,AU25)</f>
        <v>0</v>
      </c>
      <c r="AV27" s="32">
        <f t="shared" si="44"/>
        <v>0</v>
      </c>
      <c r="AW27" s="32">
        <f t="shared" si="44"/>
        <v>0</v>
      </c>
      <c r="AX27" s="32">
        <f t="shared" si="44"/>
        <v>0</v>
      </c>
      <c r="AY27" s="32">
        <f t="shared" si="44"/>
        <v>0</v>
      </c>
      <c r="AZ27" s="32">
        <f t="shared" si="44"/>
        <v>0</v>
      </c>
      <c r="BA27" s="32">
        <f t="shared" si="44"/>
        <v>0</v>
      </c>
      <c r="BB27" s="32">
        <f t="shared" si="44"/>
        <v>0</v>
      </c>
      <c r="BC27" s="32">
        <f t="shared" si="44"/>
        <v>0</v>
      </c>
      <c r="BD27" s="32">
        <f t="shared" si="44"/>
        <v>0</v>
      </c>
      <c r="BE27" s="32">
        <f t="shared" si="44"/>
        <v>0</v>
      </c>
      <c r="BF27" s="32">
        <f t="shared" si="44"/>
        <v>0</v>
      </c>
      <c r="BG27" s="32">
        <f t="shared" si="44"/>
        <v>0</v>
      </c>
      <c r="BH27" s="32">
        <f t="shared" si="44"/>
        <v>0</v>
      </c>
      <c r="BI27" s="32">
        <f t="shared" si="44"/>
        <v>0</v>
      </c>
      <c r="BJ27" s="32">
        <f t="shared" si="44"/>
        <v>0</v>
      </c>
      <c r="BK27" s="32">
        <f t="shared" si="44"/>
        <v>0</v>
      </c>
      <c r="BL27" s="32">
        <f t="shared" si="44"/>
        <v>0</v>
      </c>
    </row>
    <row r="28" spans="3:64" x14ac:dyDescent="0.2">
      <c r="C28" s="9"/>
      <c r="L28" s="32"/>
      <c r="M28" s="32"/>
      <c r="N28" s="32"/>
      <c r="O28" s="32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spans="3:64" x14ac:dyDescent="0.2">
      <c r="C29" s="15" t="s">
        <v>9</v>
      </c>
      <c r="D29" s="16" t="s">
        <v>10</v>
      </c>
      <c r="E29" s="16"/>
      <c r="F29" s="16"/>
      <c r="G29" s="16"/>
      <c r="H29" s="16"/>
      <c r="I29" s="46"/>
      <c r="J29" s="34" t="s">
        <v>16</v>
      </c>
      <c r="L29" s="43"/>
      <c r="M29" s="43"/>
      <c r="N29" s="43"/>
      <c r="O29" s="43"/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6">
        <v>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Q29" s="36">
        <f t="shared" ref="AQ29:AZ39" si="45">++SUMIFS($L29:$AO29,$L$2:$AO$2,"&lt;="&amp;AQ$2,$L$2:$AO$2,"&gt;"&amp;AQ$3)</f>
        <v>0</v>
      </c>
      <c r="AR29" s="36">
        <f t="shared" si="45"/>
        <v>0</v>
      </c>
      <c r="AS29" s="36">
        <f t="shared" si="45"/>
        <v>0</v>
      </c>
      <c r="AT29" s="36">
        <f t="shared" si="45"/>
        <v>0</v>
      </c>
      <c r="AU29" s="36">
        <f t="shared" si="45"/>
        <v>0</v>
      </c>
      <c r="AV29" s="36">
        <f t="shared" si="45"/>
        <v>0</v>
      </c>
      <c r="AW29" s="36">
        <f t="shared" si="45"/>
        <v>0</v>
      </c>
      <c r="AX29" s="36">
        <f t="shared" si="45"/>
        <v>0</v>
      </c>
      <c r="AY29" s="36">
        <f t="shared" si="45"/>
        <v>0</v>
      </c>
      <c r="AZ29" s="36">
        <f t="shared" si="45"/>
        <v>0</v>
      </c>
      <c r="BA29" s="36">
        <f t="shared" ref="BA29:BL39" si="46">++SUMIFS($L29:$AO29,$L$2:$AO$2,"&lt;="&amp;BA$2,$L$2:$AO$2,"&gt;"&amp;BA$3)</f>
        <v>0</v>
      </c>
      <c r="BB29" s="36">
        <f t="shared" si="46"/>
        <v>0</v>
      </c>
      <c r="BC29" s="36">
        <f t="shared" si="46"/>
        <v>0</v>
      </c>
      <c r="BD29" s="36">
        <f t="shared" si="46"/>
        <v>0</v>
      </c>
      <c r="BE29" s="36">
        <f t="shared" si="46"/>
        <v>0</v>
      </c>
      <c r="BF29" s="36">
        <f t="shared" si="46"/>
        <v>0</v>
      </c>
      <c r="BG29" s="36">
        <f t="shared" si="46"/>
        <v>0</v>
      </c>
      <c r="BH29" s="36">
        <f t="shared" si="46"/>
        <v>0</v>
      </c>
      <c r="BI29" s="36">
        <f t="shared" si="46"/>
        <v>0</v>
      </c>
      <c r="BJ29" s="36">
        <f t="shared" si="46"/>
        <v>0</v>
      </c>
      <c r="BK29" s="36">
        <f t="shared" si="46"/>
        <v>0</v>
      </c>
      <c r="BL29" s="36">
        <f t="shared" si="46"/>
        <v>0</v>
      </c>
    </row>
    <row r="30" spans="3:64" x14ac:dyDescent="0.2">
      <c r="C30" s="15" t="s">
        <v>9</v>
      </c>
      <c r="D30" s="16" t="s">
        <v>10</v>
      </c>
      <c r="E30" s="16"/>
      <c r="F30" s="16"/>
      <c r="G30" s="16"/>
      <c r="H30" s="16"/>
      <c r="I30" s="46"/>
      <c r="J30" s="34" t="s">
        <v>16</v>
      </c>
      <c r="L30" s="43"/>
      <c r="M30" s="43"/>
      <c r="N30" s="43"/>
      <c r="O30" s="43"/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6">
        <v>0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Q30" s="36">
        <f t="shared" si="45"/>
        <v>0</v>
      </c>
      <c r="AR30" s="36">
        <f t="shared" si="45"/>
        <v>0</v>
      </c>
      <c r="AS30" s="36">
        <f t="shared" si="45"/>
        <v>0</v>
      </c>
      <c r="AT30" s="36">
        <f t="shared" si="45"/>
        <v>0</v>
      </c>
      <c r="AU30" s="36">
        <f t="shared" si="45"/>
        <v>0</v>
      </c>
      <c r="AV30" s="36">
        <f t="shared" si="45"/>
        <v>0</v>
      </c>
      <c r="AW30" s="36">
        <f t="shared" si="45"/>
        <v>0</v>
      </c>
      <c r="AX30" s="36">
        <f t="shared" si="45"/>
        <v>0</v>
      </c>
      <c r="AY30" s="36">
        <f t="shared" si="45"/>
        <v>0</v>
      </c>
      <c r="AZ30" s="36">
        <f t="shared" si="45"/>
        <v>0</v>
      </c>
      <c r="BA30" s="36">
        <f t="shared" si="46"/>
        <v>0</v>
      </c>
      <c r="BB30" s="36">
        <f t="shared" si="46"/>
        <v>0</v>
      </c>
      <c r="BC30" s="36">
        <f t="shared" si="46"/>
        <v>0</v>
      </c>
      <c r="BD30" s="36">
        <f t="shared" si="46"/>
        <v>0</v>
      </c>
      <c r="BE30" s="36">
        <f t="shared" si="46"/>
        <v>0</v>
      </c>
      <c r="BF30" s="36">
        <f t="shared" si="46"/>
        <v>0</v>
      </c>
      <c r="BG30" s="36">
        <f t="shared" si="46"/>
        <v>0</v>
      </c>
      <c r="BH30" s="36">
        <f t="shared" si="46"/>
        <v>0</v>
      </c>
      <c r="BI30" s="36">
        <f t="shared" si="46"/>
        <v>0</v>
      </c>
      <c r="BJ30" s="36">
        <f t="shared" si="46"/>
        <v>0</v>
      </c>
      <c r="BK30" s="36">
        <f t="shared" si="46"/>
        <v>0</v>
      </c>
      <c r="BL30" s="36">
        <f t="shared" si="46"/>
        <v>0</v>
      </c>
    </row>
    <row r="31" spans="3:64" x14ac:dyDescent="0.2">
      <c r="C31" s="15" t="s">
        <v>9</v>
      </c>
      <c r="D31" s="16" t="s">
        <v>10</v>
      </c>
      <c r="E31" s="16"/>
      <c r="F31" s="16"/>
      <c r="G31" s="16"/>
      <c r="H31" s="16"/>
      <c r="I31" s="46"/>
      <c r="J31" s="34" t="s">
        <v>16</v>
      </c>
      <c r="L31" s="43"/>
      <c r="M31" s="43"/>
      <c r="N31" s="43"/>
      <c r="O31" s="43"/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Q31" s="36">
        <f t="shared" si="45"/>
        <v>0</v>
      </c>
      <c r="AR31" s="36">
        <f t="shared" si="45"/>
        <v>0</v>
      </c>
      <c r="AS31" s="36">
        <f t="shared" si="45"/>
        <v>0</v>
      </c>
      <c r="AT31" s="36">
        <f t="shared" si="45"/>
        <v>0</v>
      </c>
      <c r="AU31" s="36">
        <f t="shared" si="45"/>
        <v>0</v>
      </c>
      <c r="AV31" s="36">
        <f t="shared" si="45"/>
        <v>0</v>
      </c>
      <c r="AW31" s="36">
        <f t="shared" si="45"/>
        <v>0</v>
      </c>
      <c r="AX31" s="36">
        <f t="shared" si="45"/>
        <v>0</v>
      </c>
      <c r="AY31" s="36">
        <f t="shared" si="45"/>
        <v>0</v>
      </c>
      <c r="AZ31" s="36">
        <f t="shared" si="45"/>
        <v>0</v>
      </c>
      <c r="BA31" s="36">
        <f t="shared" si="46"/>
        <v>0</v>
      </c>
      <c r="BB31" s="36">
        <f t="shared" si="46"/>
        <v>0</v>
      </c>
      <c r="BC31" s="36">
        <f t="shared" si="46"/>
        <v>0</v>
      </c>
      <c r="BD31" s="36">
        <f t="shared" si="46"/>
        <v>0</v>
      </c>
      <c r="BE31" s="36">
        <f t="shared" si="46"/>
        <v>0</v>
      </c>
      <c r="BF31" s="36">
        <f t="shared" si="46"/>
        <v>0</v>
      </c>
      <c r="BG31" s="36">
        <f t="shared" si="46"/>
        <v>0</v>
      </c>
      <c r="BH31" s="36">
        <f t="shared" si="46"/>
        <v>0</v>
      </c>
      <c r="BI31" s="36">
        <f t="shared" si="46"/>
        <v>0</v>
      </c>
      <c r="BJ31" s="36">
        <f t="shared" si="46"/>
        <v>0</v>
      </c>
      <c r="BK31" s="36">
        <f t="shared" si="46"/>
        <v>0</v>
      </c>
      <c r="BL31" s="36">
        <f t="shared" si="46"/>
        <v>0</v>
      </c>
    </row>
    <row r="32" spans="3:64" x14ac:dyDescent="0.2">
      <c r="C32" s="15" t="s">
        <v>9</v>
      </c>
      <c r="D32" s="16" t="s">
        <v>10</v>
      </c>
      <c r="E32" s="16"/>
      <c r="F32" s="16"/>
      <c r="G32" s="16"/>
      <c r="H32" s="16"/>
      <c r="I32" s="46"/>
      <c r="J32" s="34" t="s">
        <v>16</v>
      </c>
      <c r="L32" s="43"/>
      <c r="M32" s="43"/>
      <c r="N32" s="43"/>
      <c r="O32" s="43"/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  <c r="AJ32" s="36">
        <v>0</v>
      </c>
      <c r="AK32" s="36">
        <v>0</v>
      </c>
      <c r="AL32" s="36">
        <v>0</v>
      </c>
      <c r="AM32" s="36">
        <v>0</v>
      </c>
      <c r="AN32" s="36">
        <v>0</v>
      </c>
      <c r="AO32" s="36">
        <v>0</v>
      </c>
      <c r="AQ32" s="36">
        <f t="shared" si="45"/>
        <v>0</v>
      </c>
      <c r="AR32" s="36">
        <f t="shared" si="45"/>
        <v>0</v>
      </c>
      <c r="AS32" s="36">
        <f t="shared" si="45"/>
        <v>0</v>
      </c>
      <c r="AT32" s="36">
        <f t="shared" si="45"/>
        <v>0</v>
      </c>
      <c r="AU32" s="36">
        <f t="shared" si="45"/>
        <v>0</v>
      </c>
      <c r="AV32" s="36">
        <f t="shared" si="45"/>
        <v>0</v>
      </c>
      <c r="AW32" s="36">
        <f t="shared" si="45"/>
        <v>0</v>
      </c>
      <c r="AX32" s="36">
        <f t="shared" si="45"/>
        <v>0</v>
      </c>
      <c r="AY32" s="36">
        <f t="shared" si="45"/>
        <v>0</v>
      </c>
      <c r="AZ32" s="36">
        <f t="shared" si="45"/>
        <v>0</v>
      </c>
      <c r="BA32" s="36">
        <f t="shared" si="46"/>
        <v>0</v>
      </c>
      <c r="BB32" s="36">
        <f t="shared" si="46"/>
        <v>0</v>
      </c>
      <c r="BC32" s="36">
        <f t="shared" si="46"/>
        <v>0</v>
      </c>
      <c r="BD32" s="36">
        <f t="shared" si="46"/>
        <v>0</v>
      </c>
      <c r="BE32" s="36">
        <f t="shared" si="46"/>
        <v>0</v>
      </c>
      <c r="BF32" s="36">
        <f t="shared" si="46"/>
        <v>0</v>
      </c>
      <c r="BG32" s="36">
        <f t="shared" si="46"/>
        <v>0</v>
      </c>
      <c r="BH32" s="36">
        <f t="shared" si="46"/>
        <v>0</v>
      </c>
      <c r="BI32" s="36">
        <f t="shared" si="46"/>
        <v>0</v>
      </c>
      <c r="BJ32" s="36">
        <f t="shared" si="46"/>
        <v>0</v>
      </c>
      <c r="BK32" s="36">
        <f t="shared" si="46"/>
        <v>0</v>
      </c>
      <c r="BL32" s="36">
        <f t="shared" si="46"/>
        <v>0</v>
      </c>
    </row>
    <row r="33" spans="3:64" x14ac:dyDescent="0.2">
      <c r="C33" s="15" t="s">
        <v>9</v>
      </c>
      <c r="D33" s="16" t="s">
        <v>10</v>
      </c>
      <c r="E33" s="16"/>
      <c r="F33" s="16"/>
      <c r="G33" s="16"/>
      <c r="H33" s="16"/>
      <c r="I33" s="46"/>
      <c r="J33" s="34" t="s">
        <v>16</v>
      </c>
      <c r="L33" s="43"/>
      <c r="M33" s="43"/>
      <c r="N33" s="43"/>
      <c r="O33" s="43"/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  <c r="AJ33" s="36">
        <v>0</v>
      </c>
      <c r="AK33" s="36">
        <v>0</v>
      </c>
      <c r="AL33" s="36">
        <v>0</v>
      </c>
      <c r="AM33" s="36">
        <v>0</v>
      </c>
      <c r="AN33" s="36">
        <v>0</v>
      </c>
      <c r="AO33" s="36">
        <v>0</v>
      </c>
      <c r="AQ33" s="36">
        <f t="shared" si="45"/>
        <v>0</v>
      </c>
      <c r="AR33" s="36">
        <f t="shared" si="45"/>
        <v>0</v>
      </c>
      <c r="AS33" s="36">
        <f t="shared" si="45"/>
        <v>0</v>
      </c>
      <c r="AT33" s="36">
        <f t="shared" si="45"/>
        <v>0</v>
      </c>
      <c r="AU33" s="36">
        <f t="shared" si="45"/>
        <v>0</v>
      </c>
      <c r="AV33" s="36">
        <f t="shared" si="45"/>
        <v>0</v>
      </c>
      <c r="AW33" s="36">
        <f t="shared" si="45"/>
        <v>0</v>
      </c>
      <c r="AX33" s="36">
        <f t="shared" si="45"/>
        <v>0</v>
      </c>
      <c r="AY33" s="36">
        <f t="shared" si="45"/>
        <v>0</v>
      </c>
      <c r="AZ33" s="36">
        <f t="shared" si="45"/>
        <v>0</v>
      </c>
      <c r="BA33" s="36">
        <f t="shared" si="46"/>
        <v>0</v>
      </c>
      <c r="BB33" s="36">
        <f t="shared" si="46"/>
        <v>0</v>
      </c>
      <c r="BC33" s="36">
        <f t="shared" si="46"/>
        <v>0</v>
      </c>
      <c r="BD33" s="36">
        <f t="shared" si="46"/>
        <v>0</v>
      </c>
      <c r="BE33" s="36">
        <f t="shared" si="46"/>
        <v>0</v>
      </c>
      <c r="BF33" s="36">
        <f t="shared" si="46"/>
        <v>0</v>
      </c>
      <c r="BG33" s="36">
        <f t="shared" si="46"/>
        <v>0</v>
      </c>
      <c r="BH33" s="36">
        <f t="shared" si="46"/>
        <v>0</v>
      </c>
      <c r="BI33" s="36">
        <f t="shared" si="46"/>
        <v>0</v>
      </c>
      <c r="BJ33" s="36">
        <f t="shared" si="46"/>
        <v>0</v>
      </c>
      <c r="BK33" s="36">
        <f t="shared" si="46"/>
        <v>0</v>
      </c>
      <c r="BL33" s="36">
        <f t="shared" si="46"/>
        <v>0</v>
      </c>
    </row>
    <row r="34" spans="3:64" x14ac:dyDescent="0.2">
      <c r="C34" s="15" t="s">
        <v>9</v>
      </c>
      <c r="D34" s="16" t="s">
        <v>10</v>
      </c>
      <c r="E34" s="16"/>
      <c r="F34" s="16"/>
      <c r="G34" s="16"/>
      <c r="H34" s="16"/>
      <c r="I34" s="46"/>
      <c r="J34" s="34" t="s">
        <v>16</v>
      </c>
      <c r="L34" s="43"/>
      <c r="M34" s="43"/>
      <c r="N34" s="43"/>
      <c r="O34" s="43"/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  <c r="AJ34" s="36">
        <v>0</v>
      </c>
      <c r="AK34" s="36">
        <v>0</v>
      </c>
      <c r="AL34" s="36">
        <v>0</v>
      </c>
      <c r="AM34" s="36">
        <v>0</v>
      </c>
      <c r="AN34" s="36">
        <v>0</v>
      </c>
      <c r="AO34" s="36">
        <v>0</v>
      </c>
      <c r="AQ34" s="36">
        <f t="shared" si="45"/>
        <v>0</v>
      </c>
      <c r="AR34" s="36">
        <f t="shared" si="45"/>
        <v>0</v>
      </c>
      <c r="AS34" s="36">
        <f t="shared" si="45"/>
        <v>0</v>
      </c>
      <c r="AT34" s="36">
        <f t="shared" si="45"/>
        <v>0</v>
      </c>
      <c r="AU34" s="36">
        <f t="shared" si="45"/>
        <v>0</v>
      </c>
      <c r="AV34" s="36">
        <f t="shared" si="45"/>
        <v>0</v>
      </c>
      <c r="AW34" s="36">
        <f t="shared" si="45"/>
        <v>0</v>
      </c>
      <c r="AX34" s="36">
        <f t="shared" si="45"/>
        <v>0</v>
      </c>
      <c r="AY34" s="36">
        <f t="shared" si="45"/>
        <v>0</v>
      </c>
      <c r="AZ34" s="36">
        <f t="shared" si="45"/>
        <v>0</v>
      </c>
      <c r="BA34" s="36">
        <f t="shared" si="46"/>
        <v>0</v>
      </c>
      <c r="BB34" s="36">
        <f t="shared" si="46"/>
        <v>0</v>
      </c>
      <c r="BC34" s="36">
        <f t="shared" si="46"/>
        <v>0</v>
      </c>
      <c r="BD34" s="36">
        <f t="shared" si="46"/>
        <v>0</v>
      </c>
      <c r="BE34" s="36">
        <f t="shared" si="46"/>
        <v>0</v>
      </c>
      <c r="BF34" s="36">
        <f t="shared" si="46"/>
        <v>0</v>
      </c>
      <c r="BG34" s="36">
        <f t="shared" si="46"/>
        <v>0</v>
      </c>
      <c r="BH34" s="36">
        <f t="shared" si="46"/>
        <v>0</v>
      </c>
      <c r="BI34" s="36">
        <f t="shared" si="46"/>
        <v>0</v>
      </c>
      <c r="BJ34" s="36">
        <f t="shared" si="46"/>
        <v>0</v>
      </c>
      <c r="BK34" s="36">
        <f t="shared" si="46"/>
        <v>0</v>
      </c>
      <c r="BL34" s="36">
        <f t="shared" si="46"/>
        <v>0</v>
      </c>
    </row>
    <row r="35" spans="3:64" x14ac:dyDescent="0.2">
      <c r="C35" s="15" t="s">
        <v>9</v>
      </c>
      <c r="D35" s="16" t="s">
        <v>10</v>
      </c>
      <c r="E35" s="16"/>
      <c r="F35" s="16"/>
      <c r="G35" s="16"/>
      <c r="H35" s="16"/>
      <c r="I35" s="46"/>
      <c r="J35" s="34" t="s">
        <v>16</v>
      </c>
      <c r="L35" s="43"/>
      <c r="M35" s="43"/>
      <c r="N35" s="43"/>
      <c r="O35" s="43"/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  <c r="AB35" s="36">
        <v>0</v>
      </c>
      <c r="AC35" s="36">
        <v>0</v>
      </c>
      <c r="AD35" s="36">
        <v>0</v>
      </c>
      <c r="AE35" s="36">
        <v>0</v>
      </c>
      <c r="AF35" s="36">
        <v>0</v>
      </c>
      <c r="AG35" s="36">
        <v>0</v>
      </c>
      <c r="AH35" s="36">
        <v>0</v>
      </c>
      <c r="AI35" s="36">
        <v>0</v>
      </c>
      <c r="AJ35" s="36">
        <v>0</v>
      </c>
      <c r="AK35" s="36">
        <v>0</v>
      </c>
      <c r="AL35" s="36">
        <v>0</v>
      </c>
      <c r="AM35" s="36">
        <v>0</v>
      </c>
      <c r="AN35" s="36">
        <v>0</v>
      </c>
      <c r="AO35" s="36">
        <v>0</v>
      </c>
      <c r="AQ35" s="36">
        <f t="shared" si="45"/>
        <v>0</v>
      </c>
      <c r="AR35" s="36">
        <f t="shared" si="45"/>
        <v>0</v>
      </c>
      <c r="AS35" s="36">
        <f t="shared" si="45"/>
        <v>0</v>
      </c>
      <c r="AT35" s="36">
        <f t="shared" si="45"/>
        <v>0</v>
      </c>
      <c r="AU35" s="36">
        <f t="shared" si="45"/>
        <v>0</v>
      </c>
      <c r="AV35" s="36">
        <f t="shared" si="45"/>
        <v>0</v>
      </c>
      <c r="AW35" s="36">
        <f t="shared" si="45"/>
        <v>0</v>
      </c>
      <c r="AX35" s="36">
        <f t="shared" si="45"/>
        <v>0</v>
      </c>
      <c r="AY35" s="36">
        <f t="shared" si="45"/>
        <v>0</v>
      </c>
      <c r="AZ35" s="36">
        <f t="shared" si="45"/>
        <v>0</v>
      </c>
      <c r="BA35" s="36">
        <f t="shared" si="46"/>
        <v>0</v>
      </c>
      <c r="BB35" s="36">
        <f t="shared" si="46"/>
        <v>0</v>
      </c>
      <c r="BC35" s="36">
        <f t="shared" si="46"/>
        <v>0</v>
      </c>
      <c r="BD35" s="36">
        <f t="shared" si="46"/>
        <v>0</v>
      </c>
      <c r="BE35" s="36">
        <f t="shared" si="46"/>
        <v>0</v>
      </c>
      <c r="BF35" s="36">
        <f t="shared" si="46"/>
        <v>0</v>
      </c>
      <c r="BG35" s="36">
        <f t="shared" si="46"/>
        <v>0</v>
      </c>
      <c r="BH35" s="36">
        <f t="shared" si="46"/>
        <v>0</v>
      </c>
      <c r="BI35" s="36">
        <f t="shared" si="46"/>
        <v>0</v>
      </c>
      <c r="BJ35" s="36">
        <f t="shared" si="46"/>
        <v>0</v>
      </c>
      <c r="BK35" s="36">
        <f t="shared" si="46"/>
        <v>0</v>
      </c>
      <c r="BL35" s="36">
        <f t="shared" si="46"/>
        <v>0</v>
      </c>
    </row>
    <row r="36" spans="3:64" x14ac:dyDescent="0.2">
      <c r="C36" s="15" t="s">
        <v>9</v>
      </c>
      <c r="D36" s="16" t="s">
        <v>10</v>
      </c>
      <c r="E36" s="16"/>
      <c r="F36" s="16"/>
      <c r="G36" s="16"/>
      <c r="H36" s="16"/>
      <c r="I36" s="46"/>
      <c r="J36" s="34" t="s">
        <v>16</v>
      </c>
      <c r="L36" s="43"/>
      <c r="M36" s="43"/>
      <c r="N36" s="43"/>
      <c r="O36" s="43"/>
      <c r="P36" s="36">
        <v>0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  <c r="AD36" s="36">
        <v>0</v>
      </c>
      <c r="AE36" s="36">
        <v>0</v>
      </c>
      <c r="AF36" s="36">
        <v>0</v>
      </c>
      <c r="AG36" s="36">
        <v>0</v>
      </c>
      <c r="AH36" s="36">
        <v>0</v>
      </c>
      <c r="AI36" s="36">
        <v>0</v>
      </c>
      <c r="AJ36" s="36">
        <v>0</v>
      </c>
      <c r="AK36" s="36">
        <v>0</v>
      </c>
      <c r="AL36" s="36">
        <v>0</v>
      </c>
      <c r="AM36" s="36">
        <v>0</v>
      </c>
      <c r="AN36" s="36">
        <v>0</v>
      </c>
      <c r="AO36" s="36">
        <v>0</v>
      </c>
      <c r="AQ36" s="36">
        <f t="shared" si="45"/>
        <v>0</v>
      </c>
      <c r="AR36" s="36">
        <f t="shared" si="45"/>
        <v>0</v>
      </c>
      <c r="AS36" s="36">
        <f t="shared" si="45"/>
        <v>0</v>
      </c>
      <c r="AT36" s="36">
        <f t="shared" si="45"/>
        <v>0</v>
      </c>
      <c r="AU36" s="36">
        <f t="shared" si="45"/>
        <v>0</v>
      </c>
      <c r="AV36" s="36">
        <f t="shared" si="45"/>
        <v>0</v>
      </c>
      <c r="AW36" s="36">
        <f t="shared" si="45"/>
        <v>0</v>
      </c>
      <c r="AX36" s="36">
        <f t="shared" si="45"/>
        <v>0</v>
      </c>
      <c r="AY36" s="36">
        <f t="shared" si="45"/>
        <v>0</v>
      </c>
      <c r="AZ36" s="36">
        <f t="shared" si="45"/>
        <v>0</v>
      </c>
      <c r="BA36" s="36">
        <f t="shared" si="46"/>
        <v>0</v>
      </c>
      <c r="BB36" s="36">
        <f t="shared" si="46"/>
        <v>0</v>
      </c>
      <c r="BC36" s="36">
        <f t="shared" si="46"/>
        <v>0</v>
      </c>
      <c r="BD36" s="36">
        <f t="shared" si="46"/>
        <v>0</v>
      </c>
      <c r="BE36" s="36">
        <f t="shared" si="46"/>
        <v>0</v>
      </c>
      <c r="BF36" s="36">
        <f t="shared" si="46"/>
        <v>0</v>
      </c>
      <c r="BG36" s="36">
        <f t="shared" si="46"/>
        <v>0</v>
      </c>
      <c r="BH36" s="36">
        <f t="shared" si="46"/>
        <v>0</v>
      </c>
      <c r="BI36" s="36">
        <f t="shared" si="46"/>
        <v>0</v>
      </c>
      <c r="BJ36" s="36">
        <f t="shared" si="46"/>
        <v>0</v>
      </c>
      <c r="BK36" s="36">
        <f t="shared" si="46"/>
        <v>0</v>
      </c>
      <c r="BL36" s="36">
        <f t="shared" si="46"/>
        <v>0</v>
      </c>
    </row>
    <row r="37" spans="3:64" x14ac:dyDescent="0.2">
      <c r="C37" s="15" t="s">
        <v>9</v>
      </c>
      <c r="D37" s="16" t="s">
        <v>10</v>
      </c>
      <c r="E37" s="16"/>
      <c r="F37" s="16"/>
      <c r="G37" s="16"/>
      <c r="H37" s="16"/>
      <c r="I37" s="46"/>
      <c r="J37" s="34" t="s">
        <v>16</v>
      </c>
      <c r="L37" s="43"/>
      <c r="M37" s="43"/>
      <c r="N37" s="43"/>
      <c r="O37" s="43"/>
      <c r="P37" s="36">
        <v>0</v>
      </c>
      <c r="Q37" s="36">
        <v>0</v>
      </c>
      <c r="R37" s="36">
        <v>0</v>
      </c>
      <c r="S37" s="36">
        <v>0</v>
      </c>
      <c r="T37" s="36">
        <v>0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  <c r="AD37" s="36">
        <v>0</v>
      </c>
      <c r="AE37" s="36">
        <v>0</v>
      </c>
      <c r="AF37" s="36">
        <v>0</v>
      </c>
      <c r="AG37" s="36">
        <v>0</v>
      </c>
      <c r="AH37" s="36">
        <v>0</v>
      </c>
      <c r="AI37" s="36">
        <v>0</v>
      </c>
      <c r="AJ37" s="36">
        <v>0</v>
      </c>
      <c r="AK37" s="36">
        <v>0</v>
      </c>
      <c r="AL37" s="36">
        <v>0</v>
      </c>
      <c r="AM37" s="36">
        <v>0</v>
      </c>
      <c r="AN37" s="36">
        <v>0</v>
      </c>
      <c r="AO37" s="36">
        <v>0</v>
      </c>
      <c r="AQ37" s="36">
        <f t="shared" si="45"/>
        <v>0</v>
      </c>
      <c r="AR37" s="36">
        <f t="shared" si="45"/>
        <v>0</v>
      </c>
      <c r="AS37" s="36">
        <f t="shared" si="45"/>
        <v>0</v>
      </c>
      <c r="AT37" s="36">
        <f t="shared" si="45"/>
        <v>0</v>
      </c>
      <c r="AU37" s="36">
        <f t="shared" si="45"/>
        <v>0</v>
      </c>
      <c r="AV37" s="36">
        <f t="shared" si="45"/>
        <v>0</v>
      </c>
      <c r="AW37" s="36">
        <f t="shared" si="45"/>
        <v>0</v>
      </c>
      <c r="AX37" s="36">
        <f t="shared" si="45"/>
        <v>0</v>
      </c>
      <c r="AY37" s="36">
        <f t="shared" si="45"/>
        <v>0</v>
      </c>
      <c r="AZ37" s="36">
        <f t="shared" si="45"/>
        <v>0</v>
      </c>
      <c r="BA37" s="36">
        <f t="shared" si="46"/>
        <v>0</v>
      </c>
      <c r="BB37" s="36">
        <f t="shared" si="46"/>
        <v>0</v>
      </c>
      <c r="BC37" s="36">
        <f t="shared" si="46"/>
        <v>0</v>
      </c>
      <c r="BD37" s="36">
        <f t="shared" si="46"/>
        <v>0</v>
      </c>
      <c r="BE37" s="36">
        <f t="shared" si="46"/>
        <v>0</v>
      </c>
      <c r="BF37" s="36">
        <f t="shared" si="46"/>
        <v>0</v>
      </c>
      <c r="BG37" s="36">
        <f t="shared" si="46"/>
        <v>0</v>
      </c>
      <c r="BH37" s="36">
        <f t="shared" si="46"/>
        <v>0</v>
      </c>
      <c r="BI37" s="36">
        <f t="shared" si="46"/>
        <v>0</v>
      </c>
      <c r="BJ37" s="36">
        <f t="shared" si="46"/>
        <v>0</v>
      </c>
      <c r="BK37" s="36">
        <f t="shared" si="46"/>
        <v>0</v>
      </c>
      <c r="BL37" s="36">
        <f t="shared" si="46"/>
        <v>0</v>
      </c>
    </row>
    <row r="38" spans="3:64" x14ac:dyDescent="0.2">
      <c r="C38" s="15" t="s">
        <v>9</v>
      </c>
      <c r="D38" s="16" t="s">
        <v>10</v>
      </c>
      <c r="E38" s="16"/>
      <c r="F38" s="16"/>
      <c r="G38" s="16"/>
      <c r="H38" s="16"/>
      <c r="I38" s="46"/>
      <c r="J38" s="34" t="s">
        <v>16</v>
      </c>
      <c r="L38" s="43"/>
      <c r="M38" s="43"/>
      <c r="N38" s="43"/>
      <c r="O38" s="43"/>
      <c r="P38" s="36">
        <v>0</v>
      </c>
      <c r="Q38" s="36">
        <v>0</v>
      </c>
      <c r="R38" s="36">
        <v>0</v>
      </c>
      <c r="S38" s="36">
        <v>0</v>
      </c>
      <c r="T38" s="36">
        <v>0</v>
      </c>
      <c r="U38" s="36">
        <v>0</v>
      </c>
      <c r="V38" s="36">
        <v>0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  <c r="AD38" s="36">
        <v>0</v>
      </c>
      <c r="AE38" s="36">
        <v>0</v>
      </c>
      <c r="AF38" s="36">
        <v>0</v>
      </c>
      <c r="AG38" s="36">
        <v>0</v>
      </c>
      <c r="AH38" s="36">
        <v>0</v>
      </c>
      <c r="AI38" s="36">
        <v>0</v>
      </c>
      <c r="AJ38" s="36">
        <v>0</v>
      </c>
      <c r="AK38" s="36">
        <v>0</v>
      </c>
      <c r="AL38" s="36">
        <v>0</v>
      </c>
      <c r="AM38" s="36">
        <v>0</v>
      </c>
      <c r="AN38" s="36">
        <v>0</v>
      </c>
      <c r="AO38" s="36">
        <v>0</v>
      </c>
      <c r="AQ38" s="36">
        <f t="shared" si="45"/>
        <v>0</v>
      </c>
      <c r="AR38" s="36">
        <f t="shared" si="45"/>
        <v>0</v>
      </c>
      <c r="AS38" s="36">
        <f t="shared" si="45"/>
        <v>0</v>
      </c>
      <c r="AT38" s="36">
        <f t="shared" si="45"/>
        <v>0</v>
      </c>
      <c r="AU38" s="36">
        <f t="shared" si="45"/>
        <v>0</v>
      </c>
      <c r="AV38" s="36">
        <f t="shared" si="45"/>
        <v>0</v>
      </c>
      <c r="AW38" s="36">
        <f t="shared" si="45"/>
        <v>0</v>
      </c>
      <c r="AX38" s="36">
        <f t="shared" si="45"/>
        <v>0</v>
      </c>
      <c r="AY38" s="36">
        <f t="shared" si="45"/>
        <v>0</v>
      </c>
      <c r="AZ38" s="36">
        <f t="shared" si="45"/>
        <v>0</v>
      </c>
      <c r="BA38" s="36">
        <f t="shared" si="46"/>
        <v>0</v>
      </c>
      <c r="BB38" s="36">
        <f t="shared" si="46"/>
        <v>0</v>
      </c>
      <c r="BC38" s="36">
        <f t="shared" si="46"/>
        <v>0</v>
      </c>
      <c r="BD38" s="36">
        <f t="shared" si="46"/>
        <v>0</v>
      </c>
      <c r="BE38" s="36">
        <f t="shared" si="46"/>
        <v>0</v>
      </c>
      <c r="BF38" s="36">
        <f t="shared" si="46"/>
        <v>0</v>
      </c>
      <c r="BG38" s="36">
        <f t="shared" si="46"/>
        <v>0</v>
      </c>
      <c r="BH38" s="36">
        <f t="shared" si="46"/>
        <v>0</v>
      </c>
      <c r="BI38" s="36">
        <f t="shared" si="46"/>
        <v>0</v>
      </c>
      <c r="BJ38" s="36">
        <f t="shared" si="46"/>
        <v>0</v>
      </c>
      <c r="BK38" s="36">
        <f t="shared" si="46"/>
        <v>0</v>
      </c>
      <c r="BL38" s="36">
        <f t="shared" si="46"/>
        <v>0</v>
      </c>
    </row>
    <row r="39" spans="3:64" x14ac:dyDescent="0.2">
      <c r="C39" s="15" t="s">
        <v>9</v>
      </c>
      <c r="D39" s="16" t="s">
        <v>10</v>
      </c>
      <c r="E39" s="16"/>
      <c r="F39" s="16"/>
      <c r="G39" s="16"/>
      <c r="H39" s="16"/>
      <c r="I39" s="46"/>
      <c r="J39" s="34" t="s">
        <v>16</v>
      </c>
      <c r="L39" s="43"/>
      <c r="M39" s="43"/>
      <c r="N39" s="43"/>
      <c r="O39" s="43"/>
      <c r="P39" s="36">
        <v>0</v>
      </c>
      <c r="Q39" s="36">
        <v>0</v>
      </c>
      <c r="R39" s="36">
        <v>0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36">
        <v>0</v>
      </c>
      <c r="AB39" s="36">
        <v>0</v>
      </c>
      <c r="AC39" s="36">
        <v>0</v>
      </c>
      <c r="AD39" s="36">
        <v>0</v>
      </c>
      <c r="AE39" s="36">
        <v>0</v>
      </c>
      <c r="AF39" s="36">
        <v>0</v>
      </c>
      <c r="AG39" s="36">
        <v>0</v>
      </c>
      <c r="AH39" s="36">
        <v>0</v>
      </c>
      <c r="AI39" s="36">
        <v>0</v>
      </c>
      <c r="AJ39" s="36">
        <v>0</v>
      </c>
      <c r="AK39" s="36">
        <v>0</v>
      </c>
      <c r="AL39" s="36">
        <v>0</v>
      </c>
      <c r="AM39" s="36">
        <v>0</v>
      </c>
      <c r="AN39" s="36">
        <v>0</v>
      </c>
      <c r="AO39" s="36">
        <v>0</v>
      </c>
      <c r="AQ39" s="36">
        <f t="shared" si="45"/>
        <v>0</v>
      </c>
      <c r="AR39" s="36">
        <f t="shared" si="45"/>
        <v>0</v>
      </c>
      <c r="AS39" s="36">
        <f t="shared" si="45"/>
        <v>0</v>
      </c>
      <c r="AT39" s="36">
        <f t="shared" si="45"/>
        <v>0</v>
      </c>
      <c r="AU39" s="36">
        <f t="shared" si="45"/>
        <v>0</v>
      </c>
      <c r="AV39" s="36">
        <f t="shared" si="45"/>
        <v>0</v>
      </c>
      <c r="AW39" s="36">
        <f t="shared" si="45"/>
        <v>0</v>
      </c>
      <c r="AX39" s="36">
        <f t="shared" si="45"/>
        <v>0</v>
      </c>
      <c r="AY39" s="36">
        <f t="shared" si="45"/>
        <v>0</v>
      </c>
      <c r="AZ39" s="36">
        <f t="shared" si="45"/>
        <v>0</v>
      </c>
      <c r="BA39" s="36">
        <f t="shared" si="46"/>
        <v>0</v>
      </c>
      <c r="BB39" s="36">
        <f t="shared" si="46"/>
        <v>0</v>
      </c>
      <c r="BC39" s="36">
        <f t="shared" si="46"/>
        <v>0</v>
      </c>
      <c r="BD39" s="36">
        <f t="shared" si="46"/>
        <v>0</v>
      </c>
      <c r="BE39" s="36">
        <f t="shared" si="46"/>
        <v>0</v>
      </c>
      <c r="BF39" s="36">
        <f t="shared" si="46"/>
        <v>0</v>
      </c>
      <c r="BG39" s="36">
        <f t="shared" si="46"/>
        <v>0</v>
      </c>
      <c r="BH39" s="36">
        <f t="shared" si="46"/>
        <v>0</v>
      </c>
      <c r="BI39" s="36">
        <f t="shared" si="46"/>
        <v>0</v>
      </c>
      <c r="BJ39" s="36">
        <f t="shared" si="46"/>
        <v>0</v>
      </c>
      <c r="BK39" s="36">
        <f t="shared" si="46"/>
        <v>0</v>
      </c>
      <c r="BL39" s="36">
        <f t="shared" si="46"/>
        <v>0</v>
      </c>
    </row>
    <row r="40" spans="3:64" x14ac:dyDescent="0.2">
      <c r="C40" s="7"/>
      <c r="D40" s="30" t="s">
        <v>17</v>
      </c>
      <c r="E40" s="30"/>
      <c r="F40" s="30"/>
      <c r="G40" s="30"/>
      <c r="H40" s="30"/>
      <c r="I40" s="30"/>
      <c r="J40" s="11"/>
      <c r="L40" s="12">
        <f t="shared" ref="L40:O40" si="47">++SUM(L29:L39)</f>
        <v>0</v>
      </c>
      <c r="M40" s="12">
        <f t="shared" si="47"/>
        <v>0</v>
      </c>
      <c r="N40" s="12">
        <f t="shared" si="47"/>
        <v>0</v>
      </c>
      <c r="O40" s="12">
        <f t="shared" si="47"/>
        <v>0</v>
      </c>
      <c r="P40" s="12">
        <f t="shared" ref="P40:AO40" si="48">++SUM(P29:P39)</f>
        <v>0</v>
      </c>
      <c r="Q40" s="12">
        <f t="shared" si="48"/>
        <v>0</v>
      </c>
      <c r="R40" s="12">
        <f t="shared" si="48"/>
        <v>0</v>
      </c>
      <c r="S40" s="12">
        <f t="shared" si="48"/>
        <v>0</v>
      </c>
      <c r="T40" s="12">
        <f t="shared" si="48"/>
        <v>0</v>
      </c>
      <c r="U40" s="12">
        <f t="shared" si="48"/>
        <v>0</v>
      </c>
      <c r="V40" s="12">
        <f t="shared" si="48"/>
        <v>0</v>
      </c>
      <c r="W40" s="12">
        <f t="shared" si="48"/>
        <v>0</v>
      </c>
      <c r="X40" s="12">
        <f t="shared" si="48"/>
        <v>0</v>
      </c>
      <c r="Y40" s="12">
        <f t="shared" si="48"/>
        <v>0</v>
      </c>
      <c r="Z40" s="12">
        <f t="shared" si="48"/>
        <v>0</v>
      </c>
      <c r="AA40" s="12">
        <f t="shared" si="48"/>
        <v>0</v>
      </c>
      <c r="AB40" s="12">
        <f t="shared" si="48"/>
        <v>0</v>
      </c>
      <c r="AC40" s="12">
        <f t="shared" si="48"/>
        <v>0</v>
      </c>
      <c r="AD40" s="12">
        <f t="shared" si="48"/>
        <v>0</v>
      </c>
      <c r="AE40" s="12">
        <f t="shared" si="48"/>
        <v>0</v>
      </c>
      <c r="AF40" s="12">
        <f t="shared" si="48"/>
        <v>0</v>
      </c>
      <c r="AG40" s="12">
        <f t="shared" si="48"/>
        <v>0</v>
      </c>
      <c r="AH40" s="12">
        <f t="shared" si="48"/>
        <v>0</v>
      </c>
      <c r="AI40" s="12">
        <f t="shared" si="48"/>
        <v>0</v>
      </c>
      <c r="AJ40" s="12">
        <f t="shared" si="48"/>
        <v>0</v>
      </c>
      <c r="AK40" s="12">
        <f t="shared" si="48"/>
        <v>0</v>
      </c>
      <c r="AL40" s="12">
        <f t="shared" si="48"/>
        <v>0</v>
      </c>
      <c r="AM40" s="12">
        <f t="shared" si="48"/>
        <v>0</v>
      </c>
      <c r="AN40" s="12">
        <f t="shared" si="48"/>
        <v>0</v>
      </c>
      <c r="AO40" s="12">
        <f t="shared" si="48"/>
        <v>0</v>
      </c>
      <c r="AQ40" s="12">
        <f>++SUM(AQ29:AQ39)</f>
        <v>0</v>
      </c>
      <c r="AR40" s="12">
        <f>++SUM(AR29:AR39)</f>
        <v>0</v>
      </c>
      <c r="AS40" s="12">
        <f>++SUM(AS29:AS39)</f>
        <v>0</v>
      </c>
      <c r="AT40" s="12">
        <f>++SUM(AT29:AT39)</f>
        <v>0</v>
      </c>
      <c r="AU40" s="12">
        <f t="shared" ref="AU40:BL40" si="49">++SUM(AU29:AU39)</f>
        <v>0</v>
      </c>
      <c r="AV40" s="12">
        <f t="shared" si="49"/>
        <v>0</v>
      </c>
      <c r="AW40" s="12">
        <f t="shared" si="49"/>
        <v>0</v>
      </c>
      <c r="AX40" s="12">
        <f t="shared" si="49"/>
        <v>0</v>
      </c>
      <c r="AY40" s="12">
        <f t="shared" si="49"/>
        <v>0</v>
      </c>
      <c r="AZ40" s="12">
        <f t="shared" si="49"/>
        <v>0</v>
      </c>
      <c r="BA40" s="12">
        <f t="shared" si="49"/>
        <v>0</v>
      </c>
      <c r="BB40" s="12">
        <f t="shared" si="49"/>
        <v>0</v>
      </c>
      <c r="BC40" s="12">
        <f t="shared" si="49"/>
        <v>0</v>
      </c>
      <c r="BD40" s="12">
        <f t="shared" si="49"/>
        <v>0</v>
      </c>
      <c r="BE40" s="12">
        <f t="shared" si="49"/>
        <v>0</v>
      </c>
      <c r="BF40" s="12">
        <f t="shared" si="49"/>
        <v>0</v>
      </c>
      <c r="BG40" s="12">
        <f t="shared" si="49"/>
        <v>0</v>
      </c>
      <c r="BH40" s="12">
        <f t="shared" si="49"/>
        <v>0</v>
      </c>
      <c r="BI40" s="12">
        <f t="shared" si="49"/>
        <v>0</v>
      </c>
      <c r="BJ40" s="12">
        <f t="shared" si="49"/>
        <v>0</v>
      </c>
      <c r="BK40" s="12">
        <f t="shared" si="49"/>
        <v>0</v>
      </c>
      <c r="BL40" s="12">
        <f t="shared" si="49"/>
        <v>0</v>
      </c>
    </row>
    <row r="41" spans="3:64" x14ac:dyDescent="0.2">
      <c r="R41" s="45"/>
    </row>
    <row r="42" spans="3:64" x14ac:dyDescent="0.2">
      <c r="C42" s="15" t="s">
        <v>9</v>
      </c>
      <c r="D42" s="16" t="s">
        <v>10</v>
      </c>
      <c r="E42" s="16"/>
      <c r="F42" s="16"/>
      <c r="G42" s="16"/>
      <c r="H42" s="16"/>
      <c r="I42" s="46"/>
      <c r="J42" s="34" t="s">
        <v>10</v>
      </c>
      <c r="L42" s="43"/>
      <c r="M42" s="43"/>
      <c r="N42" s="43"/>
      <c r="O42" s="43"/>
      <c r="P42" s="36">
        <v>0</v>
      </c>
      <c r="Q42" s="36">
        <v>0</v>
      </c>
      <c r="R42" s="36">
        <v>0</v>
      </c>
      <c r="S42" s="36">
        <v>0</v>
      </c>
      <c r="T42" s="36">
        <v>0</v>
      </c>
      <c r="U42" s="36">
        <v>0</v>
      </c>
      <c r="V42" s="36">
        <v>0</v>
      </c>
      <c r="W42" s="36">
        <v>0</v>
      </c>
      <c r="X42" s="36">
        <v>0</v>
      </c>
      <c r="Y42" s="36">
        <v>0</v>
      </c>
      <c r="Z42" s="36">
        <v>0</v>
      </c>
      <c r="AA42" s="36">
        <v>0</v>
      </c>
      <c r="AB42" s="36">
        <v>0</v>
      </c>
      <c r="AC42" s="36">
        <v>0</v>
      </c>
      <c r="AD42" s="36">
        <v>0</v>
      </c>
      <c r="AE42" s="36">
        <v>0</v>
      </c>
      <c r="AF42" s="36">
        <v>0</v>
      </c>
      <c r="AG42" s="36">
        <v>0</v>
      </c>
      <c r="AH42" s="36">
        <v>0</v>
      </c>
      <c r="AI42" s="36">
        <v>0</v>
      </c>
      <c r="AJ42" s="36">
        <v>0</v>
      </c>
      <c r="AK42" s="36">
        <v>0</v>
      </c>
      <c r="AL42" s="36">
        <v>0</v>
      </c>
      <c r="AM42" s="36">
        <v>0</v>
      </c>
      <c r="AN42" s="36">
        <v>0</v>
      </c>
      <c r="AO42" s="36">
        <v>0</v>
      </c>
      <c r="AQ42" s="36">
        <f t="shared" ref="AQ42:AZ52" si="50">++SUMIFS($L42:$AO42,$L$2:$AO$2,"&lt;="&amp;AQ$2,$L$2:$AO$2,"&gt;"&amp;AQ$3)</f>
        <v>0</v>
      </c>
      <c r="AR42" s="36">
        <f t="shared" si="50"/>
        <v>0</v>
      </c>
      <c r="AS42" s="36">
        <f t="shared" si="50"/>
        <v>0</v>
      </c>
      <c r="AT42" s="36">
        <f t="shared" si="50"/>
        <v>0</v>
      </c>
      <c r="AU42" s="36">
        <f t="shared" si="50"/>
        <v>0</v>
      </c>
      <c r="AV42" s="36">
        <f t="shared" si="50"/>
        <v>0</v>
      </c>
      <c r="AW42" s="36">
        <f t="shared" si="50"/>
        <v>0</v>
      </c>
      <c r="AX42" s="36">
        <f t="shared" si="50"/>
        <v>0</v>
      </c>
      <c r="AY42" s="36">
        <f t="shared" si="50"/>
        <v>0</v>
      </c>
      <c r="AZ42" s="36">
        <f t="shared" si="50"/>
        <v>0</v>
      </c>
      <c r="BA42" s="36">
        <f t="shared" ref="BA42:BL52" si="51">++SUMIFS($L42:$AO42,$L$2:$AO$2,"&lt;="&amp;BA$2,$L$2:$AO$2,"&gt;"&amp;BA$3)</f>
        <v>0</v>
      </c>
      <c r="BB42" s="36">
        <f t="shared" si="51"/>
        <v>0</v>
      </c>
      <c r="BC42" s="36">
        <f t="shared" si="51"/>
        <v>0</v>
      </c>
      <c r="BD42" s="36">
        <f t="shared" si="51"/>
        <v>0</v>
      </c>
      <c r="BE42" s="36">
        <f t="shared" si="51"/>
        <v>0</v>
      </c>
      <c r="BF42" s="36">
        <f t="shared" si="51"/>
        <v>0</v>
      </c>
      <c r="BG42" s="36">
        <f t="shared" si="51"/>
        <v>0</v>
      </c>
      <c r="BH42" s="36">
        <f t="shared" si="51"/>
        <v>0</v>
      </c>
      <c r="BI42" s="36">
        <f t="shared" si="51"/>
        <v>0</v>
      </c>
      <c r="BJ42" s="36">
        <f t="shared" si="51"/>
        <v>0</v>
      </c>
      <c r="BK42" s="36">
        <f t="shared" si="51"/>
        <v>0</v>
      </c>
      <c r="BL42" s="36">
        <f t="shared" si="51"/>
        <v>0</v>
      </c>
    </row>
    <row r="43" spans="3:64" x14ac:dyDescent="0.2">
      <c r="C43" s="15" t="s">
        <v>9</v>
      </c>
      <c r="D43" s="16" t="s">
        <v>10</v>
      </c>
      <c r="E43" s="16"/>
      <c r="F43" s="16"/>
      <c r="G43" s="16"/>
      <c r="H43" s="16"/>
      <c r="I43" s="46"/>
      <c r="J43" s="34" t="s">
        <v>10</v>
      </c>
      <c r="L43" s="43"/>
      <c r="M43" s="43"/>
      <c r="N43" s="43"/>
      <c r="O43" s="43"/>
      <c r="P43" s="36">
        <v>0</v>
      </c>
      <c r="Q43" s="36">
        <v>0</v>
      </c>
      <c r="R43" s="36">
        <v>0</v>
      </c>
      <c r="S43" s="36">
        <v>0</v>
      </c>
      <c r="T43" s="36">
        <v>0</v>
      </c>
      <c r="U43" s="36">
        <v>0</v>
      </c>
      <c r="V43" s="36">
        <v>0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  <c r="AD43" s="36">
        <v>0</v>
      </c>
      <c r="AE43" s="36">
        <v>0</v>
      </c>
      <c r="AF43" s="36">
        <v>0</v>
      </c>
      <c r="AG43" s="36">
        <v>0</v>
      </c>
      <c r="AH43" s="36">
        <v>0</v>
      </c>
      <c r="AI43" s="36">
        <v>0</v>
      </c>
      <c r="AJ43" s="36">
        <v>0</v>
      </c>
      <c r="AK43" s="36">
        <v>0</v>
      </c>
      <c r="AL43" s="36">
        <v>0</v>
      </c>
      <c r="AM43" s="36">
        <v>0</v>
      </c>
      <c r="AN43" s="36">
        <v>0</v>
      </c>
      <c r="AO43" s="36">
        <v>0</v>
      </c>
      <c r="AQ43" s="36">
        <f t="shared" si="50"/>
        <v>0</v>
      </c>
      <c r="AR43" s="36">
        <f t="shared" si="50"/>
        <v>0</v>
      </c>
      <c r="AS43" s="36">
        <f t="shared" si="50"/>
        <v>0</v>
      </c>
      <c r="AT43" s="36">
        <f t="shared" si="50"/>
        <v>0</v>
      </c>
      <c r="AU43" s="36">
        <f t="shared" si="50"/>
        <v>0</v>
      </c>
      <c r="AV43" s="36">
        <f t="shared" si="50"/>
        <v>0</v>
      </c>
      <c r="AW43" s="36">
        <f t="shared" si="50"/>
        <v>0</v>
      </c>
      <c r="AX43" s="36">
        <f t="shared" si="50"/>
        <v>0</v>
      </c>
      <c r="AY43" s="36">
        <f t="shared" si="50"/>
        <v>0</v>
      </c>
      <c r="AZ43" s="36">
        <f t="shared" si="50"/>
        <v>0</v>
      </c>
      <c r="BA43" s="36">
        <f t="shared" si="51"/>
        <v>0</v>
      </c>
      <c r="BB43" s="36">
        <f t="shared" si="51"/>
        <v>0</v>
      </c>
      <c r="BC43" s="36">
        <f t="shared" si="51"/>
        <v>0</v>
      </c>
      <c r="BD43" s="36">
        <f t="shared" si="51"/>
        <v>0</v>
      </c>
      <c r="BE43" s="36">
        <f t="shared" si="51"/>
        <v>0</v>
      </c>
      <c r="BF43" s="36">
        <f t="shared" si="51"/>
        <v>0</v>
      </c>
      <c r="BG43" s="36">
        <f t="shared" si="51"/>
        <v>0</v>
      </c>
      <c r="BH43" s="36">
        <f t="shared" si="51"/>
        <v>0</v>
      </c>
      <c r="BI43" s="36">
        <f t="shared" si="51"/>
        <v>0</v>
      </c>
      <c r="BJ43" s="36">
        <f t="shared" si="51"/>
        <v>0</v>
      </c>
      <c r="BK43" s="36">
        <f t="shared" si="51"/>
        <v>0</v>
      </c>
      <c r="BL43" s="36">
        <f t="shared" si="51"/>
        <v>0</v>
      </c>
    </row>
    <row r="44" spans="3:64" x14ac:dyDescent="0.2">
      <c r="C44" s="15" t="s">
        <v>9</v>
      </c>
      <c r="D44" s="16" t="s">
        <v>10</v>
      </c>
      <c r="E44" s="16"/>
      <c r="F44" s="16"/>
      <c r="G44" s="16"/>
      <c r="H44" s="16"/>
      <c r="I44" s="46"/>
      <c r="J44" s="34" t="s">
        <v>10</v>
      </c>
      <c r="L44" s="43"/>
      <c r="M44" s="43"/>
      <c r="N44" s="43"/>
      <c r="O44" s="43"/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  <c r="AD44" s="36">
        <v>0</v>
      </c>
      <c r="AE44" s="36">
        <v>0</v>
      </c>
      <c r="AF44" s="36">
        <v>0</v>
      </c>
      <c r="AG44" s="36">
        <v>0</v>
      </c>
      <c r="AH44" s="36">
        <v>0</v>
      </c>
      <c r="AI44" s="36">
        <v>0</v>
      </c>
      <c r="AJ44" s="36">
        <v>0</v>
      </c>
      <c r="AK44" s="36">
        <v>0</v>
      </c>
      <c r="AL44" s="36">
        <v>0</v>
      </c>
      <c r="AM44" s="36">
        <v>0</v>
      </c>
      <c r="AN44" s="36">
        <v>0</v>
      </c>
      <c r="AO44" s="36">
        <v>0</v>
      </c>
      <c r="AQ44" s="36">
        <f t="shared" si="50"/>
        <v>0</v>
      </c>
      <c r="AR44" s="36">
        <f t="shared" si="50"/>
        <v>0</v>
      </c>
      <c r="AS44" s="36">
        <f t="shared" si="50"/>
        <v>0</v>
      </c>
      <c r="AT44" s="36">
        <f t="shared" si="50"/>
        <v>0</v>
      </c>
      <c r="AU44" s="36">
        <f t="shared" si="50"/>
        <v>0</v>
      </c>
      <c r="AV44" s="36">
        <f t="shared" si="50"/>
        <v>0</v>
      </c>
      <c r="AW44" s="36">
        <f t="shared" si="50"/>
        <v>0</v>
      </c>
      <c r="AX44" s="36">
        <f t="shared" si="50"/>
        <v>0</v>
      </c>
      <c r="AY44" s="36">
        <f t="shared" si="50"/>
        <v>0</v>
      </c>
      <c r="AZ44" s="36">
        <f t="shared" si="50"/>
        <v>0</v>
      </c>
      <c r="BA44" s="36">
        <f t="shared" si="51"/>
        <v>0</v>
      </c>
      <c r="BB44" s="36">
        <f t="shared" si="51"/>
        <v>0</v>
      </c>
      <c r="BC44" s="36">
        <f t="shared" si="51"/>
        <v>0</v>
      </c>
      <c r="BD44" s="36">
        <f t="shared" si="51"/>
        <v>0</v>
      </c>
      <c r="BE44" s="36">
        <f t="shared" si="51"/>
        <v>0</v>
      </c>
      <c r="BF44" s="36">
        <f t="shared" si="51"/>
        <v>0</v>
      </c>
      <c r="BG44" s="36">
        <f t="shared" si="51"/>
        <v>0</v>
      </c>
      <c r="BH44" s="36">
        <f t="shared" si="51"/>
        <v>0</v>
      </c>
      <c r="BI44" s="36">
        <f t="shared" si="51"/>
        <v>0</v>
      </c>
      <c r="BJ44" s="36">
        <f t="shared" si="51"/>
        <v>0</v>
      </c>
      <c r="BK44" s="36">
        <f t="shared" si="51"/>
        <v>0</v>
      </c>
      <c r="BL44" s="36">
        <f t="shared" si="51"/>
        <v>0</v>
      </c>
    </row>
    <row r="45" spans="3:64" x14ac:dyDescent="0.2">
      <c r="C45" s="15" t="s">
        <v>9</v>
      </c>
      <c r="D45" s="16" t="s">
        <v>10</v>
      </c>
      <c r="E45" s="16"/>
      <c r="F45" s="16"/>
      <c r="G45" s="16"/>
      <c r="H45" s="16"/>
      <c r="I45" s="46"/>
      <c r="J45" s="34" t="s">
        <v>10</v>
      </c>
      <c r="L45" s="43"/>
      <c r="M45" s="43"/>
      <c r="N45" s="43"/>
      <c r="O45" s="43"/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  <c r="AD45" s="36">
        <v>0</v>
      </c>
      <c r="AE45" s="36">
        <v>0</v>
      </c>
      <c r="AF45" s="36">
        <v>0</v>
      </c>
      <c r="AG45" s="36">
        <v>0</v>
      </c>
      <c r="AH45" s="36">
        <v>0</v>
      </c>
      <c r="AI45" s="36">
        <v>0</v>
      </c>
      <c r="AJ45" s="36">
        <v>0</v>
      </c>
      <c r="AK45" s="36">
        <v>0</v>
      </c>
      <c r="AL45" s="36">
        <v>0</v>
      </c>
      <c r="AM45" s="36">
        <v>0</v>
      </c>
      <c r="AN45" s="36">
        <v>0</v>
      </c>
      <c r="AO45" s="36">
        <v>0</v>
      </c>
      <c r="AQ45" s="36">
        <f t="shared" si="50"/>
        <v>0</v>
      </c>
      <c r="AR45" s="36">
        <f t="shared" si="50"/>
        <v>0</v>
      </c>
      <c r="AS45" s="36">
        <f t="shared" si="50"/>
        <v>0</v>
      </c>
      <c r="AT45" s="36">
        <f t="shared" si="50"/>
        <v>0</v>
      </c>
      <c r="AU45" s="36">
        <f t="shared" si="50"/>
        <v>0</v>
      </c>
      <c r="AV45" s="36">
        <f t="shared" si="50"/>
        <v>0</v>
      </c>
      <c r="AW45" s="36">
        <f t="shared" si="50"/>
        <v>0</v>
      </c>
      <c r="AX45" s="36">
        <f t="shared" si="50"/>
        <v>0</v>
      </c>
      <c r="AY45" s="36">
        <f t="shared" si="50"/>
        <v>0</v>
      </c>
      <c r="AZ45" s="36">
        <f t="shared" si="50"/>
        <v>0</v>
      </c>
      <c r="BA45" s="36">
        <f t="shared" si="51"/>
        <v>0</v>
      </c>
      <c r="BB45" s="36">
        <f t="shared" si="51"/>
        <v>0</v>
      </c>
      <c r="BC45" s="36">
        <f t="shared" si="51"/>
        <v>0</v>
      </c>
      <c r="BD45" s="36">
        <f t="shared" si="51"/>
        <v>0</v>
      </c>
      <c r="BE45" s="36">
        <f t="shared" si="51"/>
        <v>0</v>
      </c>
      <c r="BF45" s="36">
        <f t="shared" si="51"/>
        <v>0</v>
      </c>
      <c r="BG45" s="36">
        <f t="shared" si="51"/>
        <v>0</v>
      </c>
      <c r="BH45" s="36">
        <f t="shared" si="51"/>
        <v>0</v>
      </c>
      <c r="BI45" s="36">
        <f t="shared" si="51"/>
        <v>0</v>
      </c>
      <c r="BJ45" s="36">
        <f t="shared" si="51"/>
        <v>0</v>
      </c>
      <c r="BK45" s="36">
        <f t="shared" si="51"/>
        <v>0</v>
      </c>
      <c r="BL45" s="36">
        <f t="shared" si="51"/>
        <v>0</v>
      </c>
    </row>
    <row r="46" spans="3:64" x14ac:dyDescent="0.2">
      <c r="C46" s="15" t="s">
        <v>9</v>
      </c>
      <c r="D46" s="16" t="s">
        <v>10</v>
      </c>
      <c r="E46" s="16"/>
      <c r="F46" s="16"/>
      <c r="G46" s="16"/>
      <c r="H46" s="16"/>
      <c r="I46" s="46"/>
      <c r="J46" s="34" t="s">
        <v>10</v>
      </c>
      <c r="L46" s="43"/>
      <c r="M46" s="43"/>
      <c r="N46" s="43"/>
      <c r="O46" s="43"/>
      <c r="P46" s="36">
        <v>0</v>
      </c>
      <c r="Q46" s="36">
        <v>0</v>
      </c>
      <c r="R46" s="36">
        <v>0</v>
      </c>
      <c r="S46" s="36">
        <v>0</v>
      </c>
      <c r="T46" s="36">
        <v>0</v>
      </c>
      <c r="U46" s="36">
        <v>0</v>
      </c>
      <c r="V46" s="36">
        <v>0</v>
      </c>
      <c r="W46" s="36">
        <v>0</v>
      </c>
      <c r="X46" s="36">
        <v>0</v>
      </c>
      <c r="Y46" s="36">
        <v>0</v>
      </c>
      <c r="Z46" s="36">
        <v>0</v>
      </c>
      <c r="AA46" s="36">
        <v>0</v>
      </c>
      <c r="AB46" s="36">
        <v>0</v>
      </c>
      <c r="AC46" s="36">
        <v>0</v>
      </c>
      <c r="AD46" s="36">
        <v>0</v>
      </c>
      <c r="AE46" s="36">
        <v>0</v>
      </c>
      <c r="AF46" s="36">
        <v>0</v>
      </c>
      <c r="AG46" s="36">
        <v>0</v>
      </c>
      <c r="AH46" s="36">
        <v>0</v>
      </c>
      <c r="AI46" s="36">
        <v>0</v>
      </c>
      <c r="AJ46" s="36">
        <v>0</v>
      </c>
      <c r="AK46" s="36">
        <v>0</v>
      </c>
      <c r="AL46" s="36">
        <v>0</v>
      </c>
      <c r="AM46" s="36">
        <v>0</v>
      </c>
      <c r="AN46" s="36">
        <v>0</v>
      </c>
      <c r="AO46" s="36">
        <v>0</v>
      </c>
      <c r="AQ46" s="36">
        <f t="shared" si="50"/>
        <v>0</v>
      </c>
      <c r="AR46" s="36">
        <f t="shared" si="50"/>
        <v>0</v>
      </c>
      <c r="AS46" s="36">
        <f t="shared" si="50"/>
        <v>0</v>
      </c>
      <c r="AT46" s="36">
        <f t="shared" si="50"/>
        <v>0</v>
      </c>
      <c r="AU46" s="36">
        <f t="shared" si="50"/>
        <v>0</v>
      </c>
      <c r="AV46" s="36">
        <f t="shared" si="50"/>
        <v>0</v>
      </c>
      <c r="AW46" s="36">
        <f t="shared" si="50"/>
        <v>0</v>
      </c>
      <c r="AX46" s="36">
        <f t="shared" si="50"/>
        <v>0</v>
      </c>
      <c r="AY46" s="36">
        <f t="shared" si="50"/>
        <v>0</v>
      </c>
      <c r="AZ46" s="36">
        <f t="shared" si="50"/>
        <v>0</v>
      </c>
      <c r="BA46" s="36">
        <f t="shared" si="51"/>
        <v>0</v>
      </c>
      <c r="BB46" s="36">
        <f t="shared" si="51"/>
        <v>0</v>
      </c>
      <c r="BC46" s="36">
        <f t="shared" si="51"/>
        <v>0</v>
      </c>
      <c r="BD46" s="36">
        <f t="shared" si="51"/>
        <v>0</v>
      </c>
      <c r="BE46" s="36">
        <f t="shared" si="51"/>
        <v>0</v>
      </c>
      <c r="BF46" s="36">
        <f t="shared" si="51"/>
        <v>0</v>
      </c>
      <c r="BG46" s="36">
        <f t="shared" si="51"/>
        <v>0</v>
      </c>
      <c r="BH46" s="36">
        <f t="shared" si="51"/>
        <v>0</v>
      </c>
      <c r="BI46" s="36">
        <f t="shared" si="51"/>
        <v>0</v>
      </c>
      <c r="BJ46" s="36">
        <f t="shared" si="51"/>
        <v>0</v>
      </c>
      <c r="BK46" s="36">
        <f t="shared" si="51"/>
        <v>0</v>
      </c>
      <c r="BL46" s="36">
        <f t="shared" si="51"/>
        <v>0</v>
      </c>
    </row>
    <row r="47" spans="3:64" x14ac:dyDescent="0.2">
      <c r="C47" s="15" t="s">
        <v>9</v>
      </c>
      <c r="D47" s="16" t="s">
        <v>10</v>
      </c>
      <c r="E47" s="16"/>
      <c r="F47" s="16"/>
      <c r="G47" s="16"/>
      <c r="H47" s="16"/>
      <c r="I47" s="46"/>
      <c r="J47" s="34" t="s">
        <v>10</v>
      </c>
      <c r="L47" s="43"/>
      <c r="M47" s="43"/>
      <c r="N47" s="43"/>
      <c r="O47" s="43"/>
      <c r="P47" s="36">
        <v>0</v>
      </c>
      <c r="Q47" s="36">
        <v>0</v>
      </c>
      <c r="R47" s="36">
        <v>0</v>
      </c>
      <c r="S47" s="36">
        <v>0</v>
      </c>
      <c r="T47" s="36">
        <v>0</v>
      </c>
      <c r="U47" s="36">
        <v>0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  <c r="AD47" s="36">
        <v>0</v>
      </c>
      <c r="AE47" s="36">
        <v>0</v>
      </c>
      <c r="AF47" s="36">
        <v>0</v>
      </c>
      <c r="AG47" s="36">
        <v>0</v>
      </c>
      <c r="AH47" s="36">
        <v>0</v>
      </c>
      <c r="AI47" s="36">
        <v>0</v>
      </c>
      <c r="AJ47" s="36">
        <v>0</v>
      </c>
      <c r="AK47" s="36">
        <v>0</v>
      </c>
      <c r="AL47" s="36">
        <v>0</v>
      </c>
      <c r="AM47" s="36">
        <v>0</v>
      </c>
      <c r="AN47" s="36">
        <v>0</v>
      </c>
      <c r="AO47" s="36">
        <v>0</v>
      </c>
      <c r="AQ47" s="36">
        <f t="shared" si="50"/>
        <v>0</v>
      </c>
      <c r="AR47" s="36">
        <f t="shared" si="50"/>
        <v>0</v>
      </c>
      <c r="AS47" s="36">
        <f t="shared" si="50"/>
        <v>0</v>
      </c>
      <c r="AT47" s="36">
        <f t="shared" si="50"/>
        <v>0</v>
      </c>
      <c r="AU47" s="36">
        <f t="shared" si="50"/>
        <v>0</v>
      </c>
      <c r="AV47" s="36">
        <f t="shared" si="50"/>
        <v>0</v>
      </c>
      <c r="AW47" s="36">
        <f t="shared" si="50"/>
        <v>0</v>
      </c>
      <c r="AX47" s="36">
        <f t="shared" si="50"/>
        <v>0</v>
      </c>
      <c r="AY47" s="36">
        <f t="shared" si="50"/>
        <v>0</v>
      </c>
      <c r="AZ47" s="36">
        <f t="shared" si="50"/>
        <v>0</v>
      </c>
      <c r="BA47" s="36">
        <f t="shared" si="51"/>
        <v>0</v>
      </c>
      <c r="BB47" s="36">
        <f t="shared" si="51"/>
        <v>0</v>
      </c>
      <c r="BC47" s="36">
        <f t="shared" si="51"/>
        <v>0</v>
      </c>
      <c r="BD47" s="36">
        <f t="shared" si="51"/>
        <v>0</v>
      </c>
      <c r="BE47" s="36">
        <f t="shared" si="51"/>
        <v>0</v>
      </c>
      <c r="BF47" s="36">
        <f t="shared" si="51"/>
        <v>0</v>
      </c>
      <c r="BG47" s="36">
        <f t="shared" si="51"/>
        <v>0</v>
      </c>
      <c r="BH47" s="36">
        <f t="shared" si="51"/>
        <v>0</v>
      </c>
      <c r="BI47" s="36">
        <f t="shared" si="51"/>
        <v>0</v>
      </c>
      <c r="BJ47" s="36">
        <f t="shared" si="51"/>
        <v>0</v>
      </c>
      <c r="BK47" s="36">
        <f t="shared" si="51"/>
        <v>0</v>
      </c>
      <c r="BL47" s="36">
        <f t="shared" si="51"/>
        <v>0</v>
      </c>
    </row>
    <row r="48" spans="3:64" x14ac:dyDescent="0.2">
      <c r="C48" s="15" t="s">
        <v>9</v>
      </c>
      <c r="D48" s="16" t="s">
        <v>10</v>
      </c>
      <c r="E48" s="16"/>
      <c r="F48" s="16"/>
      <c r="G48" s="16"/>
      <c r="H48" s="16"/>
      <c r="I48" s="46"/>
      <c r="J48" s="34" t="s">
        <v>10</v>
      </c>
      <c r="L48" s="43"/>
      <c r="M48" s="43"/>
      <c r="N48" s="43"/>
      <c r="O48" s="43"/>
      <c r="P48" s="36">
        <v>0</v>
      </c>
      <c r="Q48" s="36">
        <v>0</v>
      </c>
      <c r="R48" s="36">
        <v>0</v>
      </c>
      <c r="S48" s="36">
        <v>0</v>
      </c>
      <c r="T48" s="36">
        <v>0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  <c r="AD48" s="36">
        <v>0</v>
      </c>
      <c r="AE48" s="36">
        <v>0</v>
      </c>
      <c r="AF48" s="36">
        <v>0</v>
      </c>
      <c r="AG48" s="36">
        <v>0</v>
      </c>
      <c r="AH48" s="36">
        <v>0</v>
      </c>
      <c r="AI48" s="36">
        <v>0</v>
      </c>
      <c r="AJ48" s="36">
        <v>0</v>
      </c>
      <c r="AK48" s="36">
        <v>0</v>
      </c>
      <c r="AL48" s="36">
        <v>0</v>
      </c>
      <c r="AM48" s="36">
        <v>0</v>
      </c>
      <c r="AN48" s="36">
        <v>0</v>
      </c>
      <c r="AO48" s="36">
        <v>0</v>
      </c>
      <c r="AQ48" s="36">
        <f t="shared" si="50"/>
        <v>0</v>
      </c>
      <c r="AR48" s="36">
        <f t="shared" si="50"/>
        <v>0</v>
      </c>
      <c r="AS48" s="36">
        <f t="shared" si="50"/>
        <v>0</v>
      </c>
      <c r="AT48" s="36">
        <f t="shared" si="50"/>
        <v>0</v>
      </c>
      <c r="AU48" s="36">
        <f t="shared" si="50"/>
        <v>0</v>
      </c>
      <c r="AV48" s="36">
        <f t="shared" si="50"/>
        <v>0</v>
      </c>
      <c r="AW48" s="36">
        <f t="shared" si="50"/>
        <v>0</v>
      </c>
      <c r="AX48" s="36">
        <f t="shared" si="50"/>
        <v>0</v>
      </c>
      <c r="AY48" s="36">
        <f t="shared" si="50"/>
        <v>0</v>
      </c>
      <c r="AZ48" s="36">
        <f t="shared" si="50"/>
        <v>0</v>
      </c>
      <c r="BA48" s="36">
        <f t="shared" si="51"/>
        <v>0</v>
      </c>
      <c r="BB48" s="36">
        <f t="shared" si="51"/>
        <v>0</v>
      </c>
      <c r="BC48" s="36">
        <f t="shared" si="51"/>
        <v>0</v>
      </c>
      <c r="BD48" s="36">
        <f t="shared" si="51"/>
        <v>0</v>
      </c>
      <c r="BE48" s="36">
        <f t="shared" si="51"/>
        <v>0</v>
      </c>
      <c r="BF48" s="36">
        <f t="shared" si="51"/>
        <v>0</v>
      </c>
      <c r="BG48" s="36">
        <f t="shared" si="51"/>
        <v>0</v>
      </c>
      <c r="BH48" s="36">
        <f t="shared" si="51"/>
        <v>0</v>
      </c>
      <c r="BI48" s="36">
        <f t="shared" si="51"/>
        <v>0</v>
      </c>
      <c r="BJ48" s="36">
        <f t="shared" si="51"/>
        <v>0</v>
      </c>
      <c r="BK48" s="36">
        <f t="shared" si="51"/>
        <v>0</v>
      </c>
      <c r="BL48" s="36">
        <f t="shared" si="51"/>
        <v>0</v>
      </c>
    </row>
    <row r="49" spans="1:64" x14ac:dyDescent="0.2">
      <c r="C49" s="15" t="s">
        <v>9</v>
      </c>
      <c r="D49" s="16" t="s">
        <v>10</v>
      </c>
      <c r="E49" s="16"/>
      <c r="F49" s="16"/>
      <c r="G49" s="16"/>
      <c r="H49" s="16"/>
      <c r="I49" s="46"/>
      <c r="J49" s="34" t="s">
        <v>10</v>
      </c>
      <c r="L49" s="43"/>
      <c r="M49" s="43"/>
      <c r="N49" s="43"/>
      <c r="O49" s="43"/>
      <c r="P49" s="36">
        <v>0</v>
      </c>
      <c r="Q49" s="36">
        <v>0</v>
      </c>
      <c r="R49" s="36">
        <v>0</v>
      </c>
      <c r="S49" s="36">
        <v>0</v>
      </c>
      <c r="T49" s="36">
        <v>0</v>
      </c>
      <c r="U49" s="36">
        <v>0</v>
      </c>
      <c r="V49" s="36">
        <v>0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  <c r="AD49" s="36">
        <v>0</v>
      </c>
      <c r="AE49" s="36">
        <v>0</v>
      </c>
      <c r="AF49" s="36">
        <v>0</v>
      </c>
      <c r="AG49" s="36">
        <v>0</v>
      </c>
      <c r="AH49" s="36">
        <v>0</v>
      </c>
      <c r="AI49" s="36">
        <v>0</v>
      </c>
      <c r="AJ49" s="36">
        <v>0</v>
      </c>
      <c r="AK49" s="36">
        <v>0</v>
      </c>
      <c r="AL49" s="36">
        <v>0</v>
      </c>
      <c r="AM49" s="36">
        <v>0</v>
      </c>
      <c r="AN49" s="36">
        <v>0</v>
      </c>
      <c r="AO49" s="36">
        <v>0</v>
      </c>
      <c r="AQ49" s="36">
        <f t="shared" si="50"/>
        <v>0</v>
      </c>
      <c r="AR49" s="36">
        <f t="shared" si="50"/>
        <v>0</v>
      </c>
      <c r="AS49" s="36">
        <f t="shared" si="50"/>
        <v>0</v>
      </c>
      <c r="AT49" s="36">
        <f t="shared" si="50"/>
        <v>0</v>
      </c>
      <c r="AU49" s="36">
        <f t="shared" si="50"/>
        <v>0</v>
      </c>
      <c r="AV49" s="36">
        <f t="shared" si="50"/>
        <v>0</v>
      </c>
      <c r="AW49" s="36">
        <f t="shared" si="50"/>
        <v>0</v>
      </c>
      <c r="AX49" s="36">
        <f t="shared" si="50"/>
        <v>0</v>
      </c>
      <c r="AY49" s="36">
        <f t="shared" si="50"/>
        <v>0</v>
      </c>
      <c r="AZ49" s="36">
        <f t="shared" si="50"/>
        <v>0</v>
      </c>
      <c r="BA49" s="36">
        <f t="shared" si="51"/>
        <v>0</v>
      </c>
      <c r="BB49" s="36">
        <f t="shared" si="51"/>
        <v>0</v>
      </c>
      <c r="BC49" s="36">
        <f t="shared" si="51"/>
        <v>0</v>
      </c>
      <c r="BD49" s="36">
        <f t="shared" si="51"/>
        <v>0</v>
      </c>
      <c r="BE49" s="36">
        <f t="shared" si="51"/>
        <v>0</v>
      </c>
      <c r="BF49" s="36">
        <f t="shared" si="51"/>
        <v>0</v>
      </c>
      <c r="BG49" s="36">
        <f t="shared" si="51"/>
        <v>0</v>
      </c>
      <c r="BH49" s="36">
        <f t="shared" si="51"/>
        <v>0</v>
      </c>
      <c r="BI49" s="36">
        <f t="shared" si="51"/>
        <v>0</v>
      </c>
      <c r="BJ49" s="36">
        <f t="shared" si="51"/>
        <v>0</v>
      </c>
      <c r="BK49" s="36">
        <f t="shared" si="51"/>
        <v>0</v>
      </c>
      <c r="BL49" s="36">
        <f t="shared" si="51"/>
        <v>0</v>
      </c>
    </row>
    <row r="50" spans="1:64" x14ac:dyDescent="0.2">
      <c r="C50" s="15" t="s">
        <v>9</v>
      </c>
      <c r="D50" s="16" t="s">
        <v>10</v>
      </c>
      <c r="E50" s="16"/>
      <c r="F50" s="16"/>
      <c r="G50" s="16"/>
      <c r="H50" s="16"/>
      <c r="I50" s="46"/>
      <c r="J50" s="34" t="s">
        <v>10</v>
      </c>
      <c r="L50" s="43"/>
      <c r="M50" s="43"/>
      <c r="N50" s="43"/>
      <c r="O50" s="43"/>
      <c r="P50" s="36">
        <v>0</v>
      </c>
      <c r="Q50" s="36">
        <v>0</v>
      </c>
      <c r="R50" s="36">
        <v>0</v>
      </c>
      <c r="S50" s="36">
        <v>0</v>
      </c>
      <c r="T50" s="36">
        <v>0</v>
      </c>
      <c r="U50" s="36">
        <v>0</v>
      </c>
      <c r="V50" s="36">
        <v>0</v>
      </c>
      <c r="W50" s="36">
        <v>0</v>
      </c>
      <c r="X50" s="36">
        <v>0</v>
      </c>
      <c r="Y50" s="36">
        <v>0</v>
      </c>
      <c r="Z50" s="36">
        <v>0</v>
      </c>
      <c r="AA50" s="36">
        <v>0</v>
      </c>
      <c r="AB50" s="36">
        <v>0</v>
      </c>
      <c r="AC50" s="36">
        <v>0</v>
      </c>
      <c r="AD50" s="36">
        <v>0</v>
      </c>
      <c r="AE50" s="36">
        <v>0</v>
      </c>
      <c r="AF50" s="36">
        <v>0</v>
      </c>
      <c r="AG50" s="36">
        <v>0</v>
      </c>
      <c r="AH50" s="36">
        <v>0</v>
      </c>
      <c r="AI50" s="36">
        <v>0</v>
      </c>
      <c r="AJ50" s="36">
        <v>0</v>
      </c>
      <c r="AK50" s="36">
        <v>0</v>
      </c>
      <c r="AL50" s="36">
        <v>0</v>
      </c>
      <c r="AM50" s="36">
        <v>0</v>
      </c>
      <c r="AN50" s="36">
        <v>0</v>
      </c>
      <c r="AO50" s="36">
        <v>0</v>
      </c>
      <c r="AQ50" s="36">
        <f t="shared" si="50"/>
        <v>0</v>
      </c>
      <c r="AR50" s="36">
        <f t="shared" si="50"/>
        <v>0</v>
      </c>
      <c r="AS50" s="36">
        <f t="shared" si="50"/>
        <v>0</v>
      </c>
      <c r="AT50" s="36">
        <f t="shared" si="50"/>
        <v>0</v>
      </c>
      <c r="AU50" s="36">
        <f t="shared" si="50"/>
        <v>0</v>
      </c>
      <c r="AV50" s="36">
        <f t="shared" si="50"/>
        <v>0</v>
      </c>
      <c r="AW50" s="36">
        <f t="shared" si="50"/>
        <v>0</v>
      </c>
      <c r="AX50" s="36">
        <f t="shared" si="50"/>
        <v>0</v>
      </c>
      <c r="AY50" s="36">
        <f t="shared" si="50"/>
        <v>0</v>
      </c>
      <c r="AZ50" s="36">
        <f t="shared" si="50"/>
        <v>0</v>
      </c>
      <c r="BA50" s="36">
        <f t="shared" si="51"/>
        <v>0</v>
      </c>
      <c r="BB50" s="36">
        <f t="shared" si="51"/>
        <v>0</v>
      </c>
      <c r="BC50" s="36">
        <f t="shared" si="51"/>
        <v>0</v>
      </c>
      <c r="BD50" s="36">
        <f t="shared" si="51"/>
        <v>0</v>
      </c>
      <c r="BE50" s="36">
        <f t="shared" si="51"/>
        <v>0</v>
      </c>
      <c r="BF50" s="36">
        <f t="shared" si="51"/>
        <v>0</v>
      </c>
      <c r="BG50" s="36">
        <f t="shared" si="51"/>
        <v>0</v>
      </c>
      <c r="BH50" s="36">
        <f t="shared" si="51"/>
        <v>0</v>
      </c>
      <c r="BI50" s="36">
        <f t="shared" si="51"/>
        <v>0</v>
      </c>
      <c r="BJ50" s="36">
        <f t="shared" si="51"/>
        <v>0</v>
      </c>
      <c r="BK50" s="36">
        <f t="shared" si="51"/>
        <v>0</v>
      </c>
      <c r="BL50" s="36">
        <f t="shared" si="51"/>
        <v>0</v>
      </c>
    </row>
    <row r="51" spans="1:64" x14ac:dyDescent="0.2">
      <c r="C51" s="15" t="s">
        <v>9</v>
      </c>
      <c r="D51" s="16" t="s">
        <v>10</v>
      </c>
      <c r="E51" s="16"/>
      <c r="F51" s="16"/>
      <c r="G51" s="16"/>
      <c r="H51" s="16"/>
      <c r="I51" s="46"/>
      <c r="J51" s="34" t="s">
        <v>10</v>
      </c>
      <c r="L51" s="43"/>
      <c r="M51" s="43"/>
      <c r="N51" s="43"/>
      <c r="O51" s="43"/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  <c r="AD51" s="36">
        <v>0</v>
      </c>
      <c r="AE51" s="36">
        <v>0</v>
      </c>
      <c r="AF51" s="36">
        <v>0</v>
      </c>
      <c r="AG51" s="36">
        <v>0</v>
      </c>
      <c r="AH51" s="36">
        <v>0</v>
      </c>
      <c r="AI51" s="36">
        <v>0</v>
      </c>
      <c r="AJ51" s="36">
        <v>0</v>
      </c>
      <c r="AK51" s="36">
        <v>0</v>
      </c>
      <c r="AL51" s="36">
        <v>0</v>
      </c>
      <c r="AM51" s="36">
        <v>0</v>
      </c>
      <c r="AN51" s="36">
        <v>0</v>
      </c>
      <c r="AO51" s="36">
        <v>0</v>
      </c>
      <c r="AQ51" s="36">
        <f t="shared" si="50"/>
        <v>0</v>
      </c>
      <c r="AR51" s="36">
        <f t="shared" si="50"/>
        <v>0</v>
      </c>
      <c r="AS51" s="36">
        <f t="shared" si="50"/>
        <v>0</v>
      </c>
      <c r="AT51" s="36">
        <f t="shared" si="50"/>
        <v>0</v>
      </c>
      <c r="AU51" s="36">
        <f t="shared" si="50"/>
        <v>0</v>
      </c>
      <c r="AV51" s="36">
        <f t="shared" si="50"/>
        <v>0</v>
      </c>
      <c r="AW51" s="36">
        <f t="shared" si="50"/>
        <v>0</v>
      </c>
      <c r="AX51" s="36">
        <f t="shared" si="50"/>
        <v>0</v>
      </c>
      <c r="AY51" s="36">
        <f t="shared" si="50"/>
        <v>0</v>
      </c>
      <c r="AZ51" s="36">
        <f t="shared" si="50"/>
        <v>0</v>
      </c>
      <c r="BA51" s="36">
        <f t="shared" si="51"/>
        <v>0</v>
      </c>
      <c r="BB51" s="36">
        <f t="shared" si="51"/>
        <v>0</v>
      </c>
      <c r="BC51" s="36">
        <f t="shared" si="51"/>
        <v>0</v>
      </c>
      <c r="BD51" s="36">
        <f t="shared" si="51"/>
        <v>0</v>
      </c>
      <c r="BE51" s="36">
        <f t="shared" si="51"/>
        <v>0</v>
      </c>
      <c r="BF51" s="36">
        <f t="shared" si="51"/>
        <v>0</v>
      </c>
      <c r="BG51" s="36">
        <f t="shared" si="51"/>
        <v>0</v>
      </c>
      <c r="BH51" s="36">
        <f t="shared" si="51"/>
        <v>0</v>
      </c>
      <c r="BI51" s="36">
        <f t="shared" si="51"/>
        <v>0</v>
      </c>
      <c r="BJ51" s="36">
        <f t="shared" si="51"/>
        <v>0</v>
      </c>
      <c r="BK51" s="36">
        <f t="shared" si="51"/>
        <v>0</v>
      </c>
      <c r="BL51" s="36">
        <f t="shared" si="51"/>
        <v>0</v>
      </c>
    </row>
    <row r="52" spans="1:64" x14ac:dyDescent="0.2">
      <c r="C52" s="15" t="s">
        <v>9</v>
      </c>
      <c r="D52" s="16" t="s">
        <v>10</v>
      </c>
      <c r="E52" s="16"/>
      <c r="F52" s="16"/>
      <c r="G52" s="16"/>
      <c r="H52" s="16"/>
      <c r="I52" s="46"/>
      <c r="J52" s="34" t="s">
        <v>10</v>
      </c>
      <c r="L52" s="43"/>
      <c r="M52" s="43"/>
      <c r="N52" s="43"/>
      <c r="O52" s="43"/>
      <c r="P52" s="36">
        <v>0</v>
      </c>
      <c r="Q52" s="36">
        <v>0</v>
      </c>
      <c r="R52" s="36">
        <v>0</v>
      </c>
      <c r="S52" s="36">
        <v>0</v>
      </c>
      <c r="T52" s="36">
        <v>0</v>
      </c>
      <c r="U52" s="36">
        <v>0</v>
      </c>
      <c r="V52" s="36">
        <v>0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  <c r="AD52" s="36">
        <v>0</v>
      </c>
      <c r="AE52" s="36">
        <v>0</v>
      </c>
      <c r="AF52" s="36">
        <v>0</v>
      </c>
      <c r="AG52" s="36">
        <v>0</v>
      </c>
      <c r="AH52" s="36">
        <v>0</v>
      </c>
      <c r="AI52" s="36">
        <v>0</v>
      </c>
      <c r="AJ52" s="36">
        <v>0</v>
      </c>
      <c r="AK52" s="36">
        <v>0</v>
      </c>
      <c r="AL52" s="36">
        <v>0</v>
      </c>
      <c r="AM52" s="36">
        <v>0</v>
      </c>
      <c r="AN52" s="36">
        <v>0</v>
      </c>
      <c r="AO52" s="36">
        <v>0</v>
      </c>
      <c r="AQ52" s="36">
        <f t="shared" si="50"/>
        <v>0</v>
      </c>
      <c r="AR52" s="36">
        <f t="shared" si="50"/>
        <v>0</v>
      </c>
      <c r="AS52" s="36">
        <f t="shared" si="50"/>
        <v>0</v>
      </c>
      <c r="AT52" s="36">
        <f t="shared" si="50"/>
        <v>0</v>
      </c>
      <c r="AU52" s="36">
        <f t="shared" si="50"/>
        <v>0</v>
      </c>
      <c r="AV52" s="36">
        <f t="shared" si="50"/>
        <v>0</v>
      </c>
      <c r="AW52" s="36">
        <f t="shared" si="50"/>
        <v>0</v>
      </c>
      <c r="AX52" s="36">
        <f t="shared" si="50"/>
        <v>0</v>
      </c>
      <c r="AY52" s="36">
        <f t="shared" si="50"/>
        <v>0</v>
      </c>
      <c r="AZ52" s="36">
        <f t="shared" si="50"/>
        <v>0</v>
      </c>
      <c r="BA52" s="36">
        <f t="shared" si="51"/>
        <v>0</v>
      </c>
      <c r="BB52" s="36">
        <f t="shared" si="51"/>
        <v>0</v>
      </c>
      <c r="BC52" s="36">
        <f t="shared" si="51"/>
        <v>0</v>
      </c>
      <c r="BD52" s="36">
        <f t="shared" si="51"/>
        <v>0</v>
      </c>
      <c r="BE52" s="36">
        <f t="shared" si="51"/>
        <v>0</v>
      </c>
      <c r="BF52" s="36">
        <f t="shared" si="51"/>
        <v>0</v>
      </c>
      <c r="BG52" s="36">
        <f t="shared" si="51"/>
        <v>0</v>
      </c>
      <c r="BH52" s="36">
        <f t="shared" si="51"/>
        <v>0</v>
      </c>
      <c r="BI52" s="36">
        <f t="shared" si="51"/>
        <v>0</v>
      </c>
      <c r="BJ52" s="36">
        <f t="shared" si="51"/>
        <v>0</v>
      </c>
      <c r="BK52" s="36">
        <f t="shared" si="51"/>
        <v>0</v>
      </c>
      <c r="BL52" s="36">
        <f t="shared" si="51"/>
        <v>0</v>
      </c>
    </row>
    <row r="53" spans="1:64" x14ac:dyDescent="0.2">
      <c r="C53" s="7"/>
      <c r="D53" s="30" t="s">
        <v>18</v>
      </c>
      <c r="E53" s="30"/>
      <c r="F53" s="30"/>
      <c r="G53" s="30"/>
      <c r="H53" s="30"/>
      <c r="I53" s="30"/>
      <c r="J53" s="11"/>
      <c r="L53" s="12">
        <f t="shared" ref="L53:O53" si="52">++SUM(L42:L52)</f>
        <v>0</v>
      </c>
      <c r="M53" s="12">
        <f t="shared" si="52"/>
        <v>0</v>
      </c>
      <c r="N53" s="12">
        <f t="shared" si="52"/>
        <v>0</v>
      </c>
      <c r="O53" s="12">
        <f t="shared" si="52"/>
        <v>0</v>
      </c>
      <c r="P53" s="12">
        <f t="shared" ref="P53:AO53" si="53">++SUM(P42:P52)</f>
        <v>0</v>
      </c>
      <c r="Q53" s="12">
        <f t="shared" si="53"/>
        <v>0</v>
      </c>
      <c r="R53" s="12">
        <f t="shared" si="53"/>
        <v>0</v>
      </c>
      <c r="S53" s="12">
        <f t="shared" si="53"/>
        <v>0</v>
      </c>
      <c r="T53" s="12">
        <f t="shared" si="53"/>
        <v>0</v>
      </c>
      <c r="U53" s="12">
        <f t="shared" si="53"/>
        <v>0</v>
      </c>
      <c r="V53" s="12">
        <f t="shared" si="53"/>
        <v>0</v>
      </c>
      <c r="W53" s="12">
        <f t="shared" si="53"/>
        <v>0</v>
      </c>
      <c r="X53" s="12">
        <f t="shared" si="53"/>
        <v>0</v>
      </c>
      <c r="Y53" s="12">
        <f t="shared" si="53"/>
        <v>0</v>
      </c>
      <c r="Z53" s="12">
        <f t="shared" si="53"/>
        <v>0</v>
      </c>
      <c r="AA53" s="12">
        <f t="shared" si="53"/>
        <v>0</v>
      </c>
      <c r="AB53" s="12">
        <f t="shared" si="53"/>
        <v>0</v>
      </c>
      <c r="AC53" s="12">
        <f t="shared" si="53"/>
        <v>0</v>
      </c>
      <c r="AD53" s="12">
        <f t="shared" si="53"/>
        <v>0</v>
      </c>
      <c r="AE53" s="12">
        <f t="shared" si="53"/>
        <v>0</v>
      </c>
      <c r="AF53" s="12">
        <f t="shared" si="53"/>
        <v>0</v>
      </c>
      <c r="AG53" s="12">
        <f t="shared" si="53"/>
        <v>0</v>
      </c>
      <c r="AH53" s="12">
        <f t="shared" si="53"/>
        <v>0</v>
      </c>
      <c r="AI53" s="12">
        <f t="shared" si="53"/>
        <v>0</v>
      </c>
      <c r="AJ53" s="12">
        <f t="shared" si="53"/>
        <v>0</v>
      </c>
      <c r="AK53" s="12">
        <f t="shared" si="53"/>
        <v>0</v>
      </c>
      <c r="AL53" s="12">
        <f t="shared" si="53"/>
        <v>0</v>
      </c>
      <c r="AM53" s="12">
        <f t="shared" si="53"/>
        <v>0</v>
      </c>
      <c r="AN53" s="12">
        <f t="shared" si="53"/>
        <v>0</v>
      </c>
      <c r="AO53" s="12">
        <f t="shared" si="53"/>
        <v>0</v>
      </c>
      <c r="AQ53" s="12">
        <f>++SUM(AQ42:AQ52)</f>
        <v>0</v>
      </c>
      <c r="AR53" s="12">
        <f>++SUM(AR42:AR52)</f>
        <v>0</v>
      </c>
      <c r="AS53" s="12">
        <f>++SUM(AS42:AS52)</f>
        <v>0</v>
      </c>
      <c r="AT53" s="12">
        <f>++SUM(AT42:AT52)</f>
        <v>0</v>
      </c>
      <c r="AU53" s="12">
        <f t="shared" ref="AU53:BL53" si="54">++SUM(AU42:AU52)</f>
        <v>0</v>
      </c>
      <c r="AV53" s="12">
        <f t="shared" si="54"/>
        <v>0</v>
      </c>
      <c r="AW53" s="12">
        <f t="shared" si="54"/>
        <v>0</v>
      </c>
      <c r="AX53" s="12">
        <f t="shared" si="54"/>
        <v>0</v>
      </c>
      <c r="AY53" s="12">
        <f t="shared" si="54"/>
        <v>0</v>
      </c>
      <c r="AZ53" s="12">
        <f t="shared" si="54"/>
        <v>0</v>
      </c>
      <c r="BA53" s="12">
        <f t="shared" si="54"/>
        <v>0</v>
      </c>
      <c r="BB53" s="12">
        <f t="shared" si="54"/>
        <v>0</v>
      </c>
      <c r="BC53" s="12">
        <f t="shared" si="54"/>
        <v>0</v>
      </c>
      <c r="BD53" s="12">
        <f t="shared" si="54"/>
        <v>0</v>
      </c>
      <c r="BE53" s="12">
        <f t="shared" si="54"/>
        <v>0</v>
      </c>
      <c r="BF53" s="12">
        <f t="shared" si="54"/>
        <v>0</v>
      </c>
      <c r="BG53" s="12">
        <f t="shared" si="54"/>
        <v>0</v>
      </c>
      <c r="BH53" s="12">
        <f t="shared" si="54"/>
        <v>0</v>
      </c>
      <c r="BI53" s="12">
        <f t="shared" si="54"/>
        <v>0</v>
      </c>
      <c r="BJ53" s="12">
        <f t="shared" si="54"/>
        <v>0</v>
      </c>
      <c r="BK53" s="12">
        <f t="shared" si="54"/>
        <v>0</v>
      </c>
      <c r="BL53" s="12">
        <f t="shared" si="54"/>
        <v>0</v>
      </c>
    </row>
    <row r="54" spans="1:64" x14ac:dyDescent="0.2">
      <c r="R54" s="45"/>
    </row>
    <row r="55" spans="1:64" x14ac:dyDescent="0.2">
      <c r="D55" s="1" t="s">
        <v>19</v>
      </c>
      <c r="L55" s="36">
        <v>0</v>
      </c>
      <c r="M55" s="36">
        <v>0</v>
      </c>
      <c r="N55" s="36">
        <v>0</v>
      </c>
      <c r="O55" s="36">
        <v>0</v>
      </c>
      <c r="P55" s="36">
        <v>0</v>
      </c>
      <c r="Q55" s="36">
        <v>0</v>
      </c>
      <c r="R55" s="36">
        <v>0</v>
      </c>
      <c r="S55" s="36">
        <v>0</v>
      </c>
      <c r="T55" s="36">
        <v>0</v>
      </c>
      <c r="U55" s="36">
        <v>0</v>
      </c>
      <c r="V55" s="36">
        <v>0</v>
      </c>
      <c r="W55" s="36">
        <v>0</v>
      </c>
      <c r="X55" s="36">
        <v>0</v>
      </c>
      <c r="Y55" s="36">
        <v>0</v>
      </c>
      <c r="Z55" s="36">
        <v>0</v>
      </c>
      <c r="AA55" s="36">
        <v>0</v>
      </c>
      <c r="AB55" s="36">
        <v>0</v>
      </c>
      <c r="AC55" s="36">
        <v>0</v>
      </c>
      <c r="AD55" s="36">
        <v>0</v>
      </c>
      <c r="AE55" s="36">
        <v>0</v>
      </c>
      <c r="AF55" s="36">
        <v>0</v>
      </c>
      <c r="AG55" s="36">
        <v>0</v>
      </c>
      <c r="AH55" s="36">
        <v>0</v>
      </c>
      <c r="AI55" s="36">
        <v>0</v>
      </c>
      <c r="AJ55" s="36">
        <v>0</v>
      </c>
      <c r="AK55" s="36">
        <v>0</v>
      </c>
      <c r="AL55" s="36">
        <v>0</v>
      </c>
      <c r="AM55" s="36">
        <v>0</v>
      </c>
      <c r="AN55" s="36">
        <v>0</v>
      </c>
      <c r="AO55" s="36">
        <v>0</v>
      </c>
      <c r="AQ55" s="36">
        <f t="shared" ref="AQ55:BL55" si="55">++SUMIFS($L55:$AO55,$L$2:$AO$2,"&lt;="&amp;AQ$2,$L$2:$AO$2,"&gt;"&amp;AQ$3)</f>
        <v>0</v>
      </c>
      <c r="AR55" s="36">
        <f t="shared" si="55"/>
        <v>0</v>
      </c>
      <c r="AS55" s="36">
        <f t="shared" si="55"/>
        <v>0</v>
      </c>
      <c r="AT55" s="36">
        <f t="shared" si="55"/>
        <v>0</v>
      </c>
      <c r="AU55" s="36">
        <f t="shared" si="55"/>
        <v>0</v>
      </c>
      <c r="AV55" s="36">
        <f t="shared" si="55"/>
        <v>0</v>
      </c>
      <c r="AW55" s="36">
        <f t="shared" si="55"/>
        <v>0</v>
      </c>
      <c r="AX55" s="36">
        <f t="shared" si="55"/>
        <v>0</v>
      </c>
      <c r="AY55" s="36">
        <f t="shared" si="55"/>
        <v>0</v>
      </c>
      <c r="AZ55" s="36">
        <f t="shared" si="55"/>
        <v>0</v>
      </c>
      <c r="BA55" s="36">
        <f t="shared" si="55"/>
        <v>0</v>
      </c>
      <c r="BB55" s="36">
        <f t="shared" si="55"/>
        <v>0</v>
      </c>
      <c r="BC55" s="36">
        <f t="shared" si="55"/>
        <v>0</v>
      </c>
      <c r="BD55" s="36">
        <f t="shared" si="55"/>
        <v>0</v>
      </c>
      <c r="BE55" s="36">
        <f t="shared" si="55"/>
        <v>0</v>
      </c>
      <c r="BF55" s="36">
        <f t="shared" si="55"/>
        <v>0</v>
      </c>
      <c r="BG55" s="36">
        <f t="shared" si="55"/>
        <v>0</v>
      </c>
      <c r="BH55" s="36">
        <f t="shared" si="55"/>
        <v>0</v>
      </c>
      <c r="BI55" s="36">
        <f t="shared" si="55"/>
        <v>0</v>
      </c>
      <c r="BJ55" s="36">
        <f t="shared" si="55"/>
        <v>0</v>
      </c>
      <c r="BK55" s="36">
        <f t="shared" si="55"/>
        <v>0</v>
      </c>
      <c r="BL55" s="36">
        <f t="shared" si="55"/>
        <v>0</v>
      </c>
    </row>
    <row r="56" spans="1:64" ht="13.5" thickBot="1" x14ac:dyDescent="0.25">
      <c r="D56" s="38" t="s">
        <v>4</v>
      </c>
      <c r="E56" s="38"/>
      <c r="F56" s="38"/>
      <c r="G56" s="38"/>
      <c r="H56" s="38"/>
      <c r="I56" s="39"/>
      <c r="J56" s="39"/>
      <c r="L56" s="40">
        <f t="shared" ref="L56:O56" si="56">++SUM(L27,L40,-L53,L55)</f>
        <v>0</v>
      </c>
      <c r="M56" s="40">
        <f t="shared" si="56"/>
        <v>0</v>
      </c>
      <c r="N56" s="40">
        <f t="shared" si="56"/>
        <v>0</v>
      </c>
      <c r="O56" s="40">
        <f t="shared" si="56"/>
        <v>0</v>
      </c>
      <c r="P56" s="40">
        <f>++SUM(P27,P40,-P53,P55)</f>
        <v>0</v>
      </c>
      <c r="Q56" s="40">
        <f t="shared" ref="Q56:AQ56" si="57">++SUM(Q27,Q40,-Q53,Q55)</f>
        <v>0</v>
      </c>
      <c r="R56" s="40">
        <f t="shared" si="57"/>
        <v>0</v>
      </c>
      <c r="S56" s="40">
        <f t="shared" si="57"/>
        <v>0</v>
      </c>
      <c r="T56" s="40">
        <f t="shared" si="57"/>
        <v>0</v>
      </c>
      <c r="U56" s="40">
        <f t="shared" si="57"/>
        <v>0</v>
      </c>
      <c r="V56" s="40">
        <f t="shared" si="57"/>
        <v>0</v>
      </c>
      <c r="W56" s="40">
        <f t="shared" si="57"/>
        <v>0</v>
      </c>
      <c r="X56" s="40">
        <f t="shared" si="57"/>
        <v>0</v>
      </c>
      <c r="Y56" s="40">
        <f t="shared" si="57"/>
        <v>0</v>
      </c>
      <c r="Z56" s="40">
        <f t="shared" si="57"/>
        <v>0</v>
      </c>
      <c r="AA56" s="40">
        <f t="shared" si="57"/>
        <v>0</v>
      </c>
      <c r="AB56" s="40">
        <f t="shared" si="57"/>
        <v>0</v>
      </c>
      <c r="AC56" s="40">
        <f t="shared" si="57"/>
        <v>0</v>
      </c>
      <c r="AD56" s="40">
        <f t="shared" si="57"/>
        <v>0</v>
      </c>
      <c r="AE56" s="40">
        <f t="shared" si="57"/>
        <v>0</v>
      </c>
      <c r="AF56" s="40">
        <f t="shared" si="57"/>
        <v>0</v>
      </c>
      <c r="AG56" s="40">
        <f t="shared" si="57"/>
        <v>0</v>
      </c>
      <c r="AH56" s="40">
        <f t="shared" si="57"/>
        <v>0</v>
      </c>
      <c r="AI56" s="40">
        <f t="shared" si="57"/>
        <v>0</v>
      </c>
      <c r="AJ56" s="40">
        <f t="shared" si="57"/>
        <v>0</v>
      </c>
      <c r="AK56" s="40">
        <f t="shared" si="57"/>
        <v>0</v>
      </c>
      <c r="AL56" s="40">
        <f t="shared" si="57"/>
        <v>0</v>
      </c>
      <c r="AM56" s="40">
        <f t="shared" si="57"/>
        <v>0</v>
      </c>
      <c r="AN56" s="40">
        <f t="shared" si="57"/>
        <v>0</v>
      </c>
      <c r="AO56" s="40">
        <f t="shared" si="57"/>
        <v>0</v>
      </c>
      <c r="AQ56" s="40">
        <f t="shared" si="57"/>
        <v>0</v>
      </c>
      <c r="AR56" s="40">
        <f>++SUM(AR27,AR40,-AR53,AR55)</f>
        <v>0</v>
      </c>
      <c r="AS56" s="40">
        <f>++SUM(AS27,AS40,-AS53,AS55)</f>
        <v>0</v>
      </c>
      <c r="AT56" s="40">
        <f>++SUM(AT27,AT40,-AT53,AT55)</f>
        <v>0</v>
      </c>
      <c r="AU56" s="40">
        <f t="shared" ref="AU56:BL56" si="58">++SUM(AU27,AU40,-AU53,AU55)</f>
        <v>0</v>
      </c>
      <c r="AV56" s="40">
        <f t="shared" si="58"/>
        <v>0</v>
      </c>
      <c r="AW56" s="40">
        <f t="shared" si="58"/>
        <v>0</v>
      </c>
      <c r="AX56" s="40">
        <f t="shared" si="58"/>
        <v>0</v>
      </c>
      <c r="AY56" s="40">
        <f t="shared" si="58"/>
        <v>0</v>
      </c>
      <c r="AZ56" s="40">
        <f t="shared" si="58"/>
        <v>0</v>
      </c>
      <c r="BA56" s="40">
        <f t="shared" si="58"/>
        <v>0</v>
      </c>
      <c r="BB56" s="40">
        <f t="shared" si="58"/>
        <v>0</v>
      </c>
      <c r="BC56" s="40">
        <f t="shared" si="58"/>
        <v>0</v>
      </c>
      <c r="BD56" s="40">
        <f t="shared" si="58"/>
        <v>0</v>
      </c>
      <c r="BE56" s="40">
        <f t="shared" si="58"/>
        <v>0</v>
      </c>
      <c r="BF56" s="40">
        <f t="shared" si="58"/>
        <v>0</v>
      </c>
      <c r="BG56" s="40">
        <f t="shared" si="58"/>
        <v>0</v>
      </c>
      <c r="BH56" s="40">
        <f t="shared" si="58"/>
        <v>0</v>
      </c>
      <c r="BI56" s="40">
        <f t="shared" si="58"/>
        <v>0</v>
      </c>
      <c r="BJ56" s="40">
        <f t="shared" si="58"/>
        <v>0</v>
      </c>
      <c r="BK56" s="40">
        <f t="shared" si="58"/>
        <v>0</v>
      </c>
      <c r="BL56" s="40">
        <f t="shared" si="58"/>
        <v>0</v>
      </c>
    </row>
    <row r="57" spans="1:64" ht="13.5" thickTop="1" x14ac:dyDescent="0.2"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</row>
    <row r="58" spans="1:64" x14ac:dyDescent="0.2">
      <c r="A58" s="2"/>
      <c r="B58" s="2" t="s">
        <v>2</v>
      </c>
      <c r="C58" s="3" t="s">
        <v>20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64" ht="5.0999999999999996" customHeight="1" x14ac:dyDescent="0.2"/>
    <row r="60" spans="1:64" ht="15" x14ac:dyDescent="0.35">
      <c r="C60" s="5" t="s">
        <v>5</v>
      </c>
      <c r="D60" s="6" t="s">
        <v>6</v>
      </c>
      <c r="E60" s="6"/>
      <c r="F60" s="6"/>
      <c r="G60" s="6"/>
      <c r="H60" s="6"/>
      <c r="I60" s="5" t="s">
        <v>21</v>
      </c>
      <c r="J60" s="5" t="s">
        <v>22</v>
      </c>
    </row>
    <row r="61" spans="1:64" ht="5.0999999999999996" customHeight="1" x14ac:dyDescent="0.2"/>
    <row r="62" spans="1:64" x14ac:dyDescent="0.2">
      <c r="C62" s="15" t="s">
        <v>9</v>
      </c>
      <c r="D62" s="16" t="s">
        <v>10</v>
      </c>
      <c r="E62" s="17"/>
      <c r="F62" s="17"/>
      <c r="G62" s="17"/>
      <c r="H62" s="17"/>
      <c r="I62" s="1" t="s">
        <v>23</v>
      </c>
      <c r="J62" s="1" t="s">
        <v>23</v>
      </c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Q62" s="26">
        <v>0</v>
      </c>
      <c r="AR62" s="26">
        <v>0</v>
      </c>
      <c r="AS62" s="26">
        <v>0</v>
      </c>
      <c r="AT62" s="26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G62" s="26">
        <v>0</v>
      </c>
      <c r="BH62" s="26">
        <v>0</v>
      </c>
      <c r="BI62" s="26">
        <v>0</v>
      </c>
      <c r="BJ62" s="26">
        <v>0</v>
      </c>
      <c r="BK62" s="26">
        <v>0</v>
      </c>
      <c r="BL62" s="26">
        <v>0</v>
      </c>
    </row>
    <row r="63" spans="1:64" x14ac:dyDescent="0.2">
      <c r="C63" s="8" t="s">
        <v>24</v>
      </c>
      <c r="I63" s="19">
        <v>0</v>
      </c>
      <c r="J63" s="28" t="s">
        <v>25</v>
      </c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Q63" s="47" t="str">
        <f t="shared" ref="AQ63:BL63" si="59">IFERROR(IF($J63="$",IF(AQ62&gt;$I63,"FAIL","PASS"),IF($J63="Before",IF(AQ62/(AQ$56-AQ62)&gt;$I63,"FAIL","PASS"),IF(AQ62/AQ$56&gt;$I63,"FAIL","PASS"))),"n/a")</f>
        <v>n/a</v>
      </c>
      <c r="AR63" s="47" t="str">
        <f t="shared" si="59"/>
        <v>n/a</v>
      </c>
      <c r="AS63" s="47" t="str">
        <f t="shared" si="59"/>
        <v>n/a</v>
      </c>
      <c r="AT63" s="47" t="str">
        <f t="shared" si="59"/>
        <v>n/a</v>
      </c>
      <c r="AU63" s="47" t="str">
        <f t="shared" si="59"/>
        <v>n/a</v>
      </c>
      <c r="AV63" s="47" t="str">
        <f t="shared" si="59"/>
        <v>n/a</v>
      </c>
      <c r="AW63" s="47" t="str">
        <f t="shared" si="59"/>
        <v>n/a</v>
      </c>
      <c r="AX63" s="47" t="str">
        <f t="shared" si="59"/>
        <v>n/a</v>
      </c>
      <c r="AY63" s="47" t="str">
        <f t="shared" si="59"/>
        <v>n/a</v>
      </c>
      <c r="AZ63" s="47" t="str">
        <f t="shared" si="59"/>
        <v>n/a</v>
      </c>
      <c r="BA63" s="47" t="str">
        <f t="shared" si="59"/>
        <v>n/a</v>
      </c>
      <c r="BB63" s="47" t="str">
        <f t="shared" si="59"/>
        <v>n/a</v>
      </c>
      <c r="BC63" s="47" t="str">
        <f t="shared" si="59"/>
        <v>n/a</v>
      </c>
      <c r="BD63" s="47" t="str">
        <f t="shared" si="59"/>
        <v>n/a</v>
      </c>
      <c r="BE63" s="47" t="str">
        <f t="shared" si="59"/>
        <v>n/a</v>
      </c>
      <c r="BF63" s="47" t="str">
        <f t="shared" si="59"/>
        <v>n/a</v>
      </c>
      <c r="BG63" s="47" t="str">
        <f t="shared" si="59"/>
        <v>n/a</v>
      </c>
      <c r="BH63" s="47" t="str">
        <f t="shared" si="59"/>
        <v>n/a</v>
      </c>
      <c r="BI63" s="47" t="str">
        <f t="shared" si="59"/>
        <v>n/a</v>
      </c>
      <c r="BJ63" s="47" t="str">
        <f t="shared" si="59"/>
        <v>n/a</v>
      </c>
      <c r="BK63" s="47" t="str">
        <f t="shared" si="59"/>
        <v>n/a</v>
      </c>
      <c r="BL63" s="47" t="str">
        <f t="shared" si="59"/>
        <v>n/a</v>
      </c>
    </row>
    <row r="65" spans="2:64" x14ac:dyDescent="0.2">
      <c r="C65" s="15" t="s">
        <v>9</v>
      </c>
      <c r="D65" s="16" t="s">
        <v>10</v>
      </c>
      <c r="E65" s="17"/>
      <c r="F65" s="17"/>
      <c r="G65" s="17"/>
      <c r="H65" s="17"/>
      <c r="I65" s="1" t="s">
        <v>23</v>
      </c>
      <c r="J65" s="1" t="s">
        <v>23</v>
      </c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Q65" s="26">
        <v>0</v>
      </c>
      <c r="AR65" s="26">
        <v>0</v>
      </c>
      <c r="AS65" s="26">
        <v>0</v>
      </c>
      <c r="AT65" s="26">
        <v>0</v>
      </c>
      <c r="AU65" s="26">
        <v>0</v>
      </c>
      <c r="AV65" s="26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G65" s="26">
        <v>0</v>
      </c>
      <c r="BH65" s="26">
        <v>0</v>
      </c>
      <c r="BI65" s="26">
        <v>0</v>
      </c>
      <c r="BJ65" s="26">
        <v>0</v>
      </c>
      <c r="BK65" s="26">
        <v>0</v>
      </c>
      <c r="BL65" s="26">
        <v>0</v>
      </c>
    </row>
    <row r="66" spans="2:64" x14ac:dyDescent="0.2">
      <c r="C66" s="8" t="s">
        <v>24</v>
      </c>
      <c r="I66" s="19">
        <v>0</v>
      </c>
      <c r="J66" s="28" t="s">
        <v>25</v>
      </c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Q66" s="47" t="str">
        <f t="shared" ref="AQ66:BL66" si="60">IFERROR(IF($J66="$",IF(AQ65&gt;$I66,"FAIL","PASS"),IF($J66="Before",IF(AQ65/(AQ$56-AQ65)&gt;$I66,"FAIL","PASS"),IF(AQ65/AQ$56&gt;$I66,"FAIL","PASS"))),"n/a")</f>
        <v>n/a</v>
      </c>
      <c r="AR66" s="47" t="str">
        <f t="shared" si="60"/>
        <v>n/a</v>
      </c>
      <c r="AS66" s="47" t="str">
        <f t="shared" si="60"/>
        <v>n/a</v>
      </c>
      <c r="AT66" s="47" t="str">
        <f t="shared" si="60"/>
        <v>n/a</v>
      </c>
      <c r="AU66" s="47" t="str">
        <f t="shared" si="60"/>
        <v>n/a</v>
      </c>
      <c r="AV66" s="47" t="str">
        <f t="shared" si="60"/>
        <v>n/a</v>
      </c>
      <c r="AW66" s="47" t="str">
        <f t="shared" si="60"/>
        <v>n/a</v>
      </c>
      <c r="AX66" s="47" t="str">
        <f t="shared" si="60"/>
        <v>n/a</v>
      </c>
      <c r="AY66" s="47" t="str">
        <f t="shared" si="60"/>
        <v>n/a</v>
      </c>
      <c r="AZ66" s="47" t="str">
        <f t="shared" si="60"/>
        <v>n/a</v>
      </c>
      <c r="BA66" s="47" t="str">
        <f t="shared" si="60"/>
        <v>n/a</v>
      </c>
      <c r="BB66" s="47" t="str">
        <f t="shared" si="60"/>
        <v>n/a</v>
      </c>
      <c r="BC66" s="47" t="str">
        <f t="shared" si="60"/>
        <v>n/a</v>
      </c>
      <c r="BD66" s="47" t="str">
        <f t="shared" si="60"/>
        <v>n/a</v>
      </c>
      <c r="BE66" s="47" t="str">
        <f t="shared" si="60"/>
        <v>n/a</v>
      </c>
      <c r="BF66" s="47" t="str">
        <f t="shared" si="60"/>
        <v>n/a</v>
      </c>
      <c r="BG66" s="47" t="str">
        <f t="shared" si="60"/>
        <v>n/a</v>
      </c>
      <c r="BH66" s="47" t="str">
        <f t="shared" si="60"/>
        <v>n/a</v>
      </c>
      <c r="BI66" s="47" t="str">
        <f t="shared" si="60"/>
        <v>n/a</v>
      </c>
      <c r="BJ66" s="47" t="str">
        <f t="shared" si="60"/>
        <v>n/a</v>
      </c>
      <c r="BK66" s="47" t="str">
        <f t="shared" si="60"/>
        <v>n/a</v>
      </c>
      <c r="BL66" s="47" t="str">
        <f t="shared" si="60"/>
        <v>n/a</v>
      </c>
    </row>
    <row r="68" spans="2:64" outlineLevel="1" x14ac:dyDescent="0.2"/>
    <row r="69" spans="2:64" ht="15" outlineLevel="1" x14ac:dyDescent="0.35">
      <c r="C69" s="5" t="s">
        <v>5</v>
      </c>
      <c r="D69" s="6" t="s">
        <v>6</v>
      </c>
      <c r="E69" s="6"/>
      <c r="F69" s="6"/>
      <c r="G69" s="6"/>
      <c r="H69" s="6"/>
      <c r="I69" s="5" t="s">
        <v>21</v>
      </c>
      <c r="J69" s="5" t="s">
        <v>22</v>
      </c>
    </row>
    <row r="70" spans="2:64" ht="5.0999999999999996" customHeight="1" outlineLevel="1" x14ac:dyDescent="0.2"/>
    <row r="71" spans="2:64" outlineLevel="1" x14ac:dyDescent="0.2">
      <c r="C71" s="15" t="s">
        <v>9</v>
      </c>
      <c r="D71" s="16" t="str">
        <f>D30</f>
        <v>[X]</v>
      </c>
      <c r="E71" s="16"/>
      <c r="F71" s="16"/>
      <c r="G71" s="16"/>
      <c r="H71" s="16"/>
      <c r="I71" s="17"/>
      <c r="J71" s="48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Q71" s="18">
        <f>AQ30</f>
        <v>0</v>
      </c>
      <c r="AR71" s="18">
        <f t="shared" ref="AR71:BL71" si="61">AR30</f>
        <v>0</v>
      </c>
      <c r="AS71" s="18">
        <f t="shared" si="61"/>
        <v>0</v>
      </c>
      <c r="AT71" s="18">
        <f t="shared" si="61"/>
        <v>0</v>
      </c>
      <c r="AU71" s="18">
        <f t="shared" si="61"/>
        <v>0</v>
      </c>
      <c r="AV71" s="18">
        <f t="shared" si="61"/>
        <v>0</v>
      </c>
      <c r="AW71" s="18">
        <f t="shared" si="61"/>
        <v>0</v>
      </c>
      <c r="AX71" s="18">
        <f t="shared" si="61"/>
        <v>0</v>
      </c>
      <c r="AY71" s="18">
        <f t="shared" si="61"/>
        <v>0</v>
      </c>
      <c r="AZ71" s="18">
        <f t="shared" si="61"/>
        <v>0</v>
      </c>
      <c r="BA71" s="18">
        <f t="shared" si="61"/>
        <v>0</v>
      </c>
      <c r="BB71" s="18">
        <f t="shared" si="61"/>
        <v>0</v>
      </c>
      <c r="BC71" s="18">
        <f t="shared" si="61"/>
        <v>0</v>
      </c>
      <c r="BD71" s="18">
        <f t="shared" si="61"/>
        <v>0</v>
      </c>
      <c r="BE71" s="18">
        <f t="shared" si="61"/>
        <v>0</v>
      </c>
      <c r="BF71" s="18">
        <f t="shared" si="61"/>
        <v>0</v>
      </c>
      <c r="BG71" s="18">
        <f t="shared" si="61"/>
        <v>0</v>
      </c>
      <c r="BH71" s="18">
        <f t="shared" si="61"/>
        <v>0</v>
      </c>
      <c r="BI71" s="18">
        <f t="shared" si="61"/>
        <v>0</v>
      </c>
      <c r="BJ71" s="18">
        <f t="shared" si="61"/>
        <v>0</v>
      </c>
      <c r="BK71" s="18">
        <f t="shared" si="61"/>
        <v>0</v>
      </c>
      <c r="BL71" s="18">
        <f t="shared" si="61"/>
        <v>0</v>
      </c>
    </row>
    <row r="72" spans="2:64" outlineLevel="1" x14ac:dyDescent="0.2">
      <c r="C72" s="15" t="s">
        <v>9</v>
      </c>
      <c r="D72" s="16" t="str">
        <f>D35</f>
        <v>[X]</v>
      </c>
      <c r="E72" s="16"/>
      <c r="F72" s="16"/>
      <c r="G72" s="16"/>
      <c r="H72" s="16"/>
      <c r="I72" s="17"/>
      <c r="J72" s="48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Q72" s="21">
        <f>AQ35</f>
        <v>0</v>
      </c>
      <c r="AR72" s="21">
        <f t="shared" ref="AR72:BL72" si="62">AR35</f>
        <v>0</v>
      </c>
      <c r="AS72" s="21">
        <f t="shared" si="62"/>
        <v>0</v>
      </c>
      <c r="AT72" s="21">
        <f t="shared" si="62"/>
        <v>0</v>
      </c>
      <c r="AU72" s="21">
        <f t="shared" si="62"/>
        <v>0</v>
      </c>
      <c r="AV72" s="21">
        <f t="shared" si="62"/>
        <v>0</v>
      </c>
      <c r="AW72" s="21">
        <f t="shared" si="62"/>
        <v>0</v>
      </c>
      <c r="AX72" s="21">
        <f t="shared" si="62"/>
        <v>0</v>
      </c>
      <c r="AY72" s="21">
        <f t="shared" si="62"/>
        <v>0</v>
      </c>
      <c r="AZ72" s="21">
        <f t="shared" si="62"/>
        <v>0</v>
      </c>
      <c r="BA72" s="21">
        <f t="shared" si="62"/>
        <v>0</v>
      </c>
      <c r="BB72" s="21">
        <f t="shared" si="62"/>
        <v>0</v>
      </c>
      <c r="BC72" s="21">
        <f t="shared" si="62"/>
        <v>0</v>
      </c>
      <c r="BD72" s="21">
        <f t="shared" si="62"/>
        <v>0</v>
      </c>
      <c r="BE72" s="21">
        <f t="shared" si="62"/>
        <v>0</v>
      </c>
      <c r="BF72" s="21">
        <f t="shared" si="62"/>
        <v>0</v>
      </c>
      <c r="BG72" s="21">
        <f t="shared" si="62"/>
        <v>0</v>
      </c>
      <c r="BH72" s="21">
        <f t="shared" si="62"/>
        <v>0</v>
      </c>
      <c r="BI72" s="21">
        <f t="shared" si="62"/>
        <v>0</v>
      </c>
      <c r="BJ72" s="21">
        <f t="shared" si="62"/>
        <v>0</v>
      </c>
      <c r="BK72" s="21">
        <f t="shared" si="62"/>
        <v>0</v>
      </c>
      <c r="BL72" s="21">
        <f t="shared" si="62"/>
        <v>0</v>
      </c>
    </row>
    <row r="73" spans="2:64" outlineLevel="1" x14ac:dyDescent="0.2">
      <c r="C73" s="15" t="s">
        <v>9</v>
      </c>
      <c r="D73" s="16" t="s">
        <v>10</v>
      </c>
      <c r="E73" s="16"/>
      <c r="F73" s="16"/>
      <c r="G73" s="16"/>
      <c r="H73" s="16"/>
      <c r="I73" s="17"/>
      <c r="J73" s="48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</row>
    <row r="74" spans="2:64" outlineLevel="1" x14ac:dyDescent="0.2">
      <c r="C74" s="15" t="s">
        <v>9</v>
      </c>
      <c r="D74" s="16" t="s">
        <v>10</v>
      </c>
      <c r="E74" s="16"/>
      <c r="F74" s="16"/>
      <c r="G74" s="16"/>
      <c r="H74" s="16"/>
      <c r="I74" s="17"/>
      <c r="J74" s="48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</row>
    <row r="75" spans="2:64" outlineLevel="1" x14ac:dyDescent="0.2">
      <c r="C75" s="15" t="s">
        <v>9</v>
      </c>
      <c r="D75" s="16" t="s">
        <v>10</v>
      </c>
      <c r="E75" s="16"/>
      <c r="F75" s="16"/>
      <c r="G75" s="16"/>
      <c r="H75" s="16"/>
      <c r="I75" s="17"/>
      <c r="J75" s="48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</row>
    <row r="76" spans="2:64" outlineLevel="1" x14ac:dyDescent="0.2">
      <c r="C76" s="15" t="s">
        <v>9</v>
      </c>
      <c r="D76" s="16" t="s">
        <v>10</v>
      </c>
      <c r="E76" s="16"/>
      <c r="F76" s="16"/>
      <c r="G76" s="16"/>
      <c r="H76" s="16"/>
      <c r="I76" s="17"/>
      <c r="J76" s="49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0</v>
      </c>
      <c r="BL76" s="21">
        <v>0</v>
      </c>
    </row>
    <row r="77" spans="2:64" outlineLevel="1" x14ac:dyDescent="0.2">
      <c r="C77" s="10" t="s">
        <v>26</v>
      </c>
      <c r="D77" s="11"/>
      <c r="E77" s="11"/>
      <c r="F77" s="11"/>
      <c r="G77" s="11"/>
      <c r="H77" s="11"/>
      <c r="I77" s="11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Q77" s="12">
        <f t="shared" ref="AQ77:AR77" si="63">++SUM(AQ71:AQ76)</f>
        <v>0</v>
      </c>
      <c r="AR77" s="12">
        <f t="shared" si="63"/>
        <v>0</v>
      </c>
      <c r="AS77" s="12">
        <f t="shared" ref="AS77:AT77" si="64">++SUM(AS71:AS76)</f>
        <v>0</v>
      </c>
      <c r="AT77" s="12">
        <f t="shared" si="64"/>
        <v>0</v>
      </c>
      <c r="AU77" s="12">
        <f t="shared" ref="AU77:BL77" si="65">++SUM(AU71:AU76)</f>
        <v>0</v>
      </c>
      <c r="AV77" s="12">
        <f t="shared" si="65"/>
        <v>0</v>
      </c>
      <c r="AW77" s="12">
        <f t="shared" si="65"/>
        <v>0</v>
      </c>
      <c r="AX77" s="12">
        <f t="shared" si="65"/>
        <v>0</v>
      </c>
      <c r="AY77" s="12">
        <f t="shared" si="65"/>
        <v>0</v>
      </c>
      <c r="AZ77" s="12">
        <f t="shared" si="65"/>
        <v>0</v>
      </c>
      <c r="BA77" s="12">
        <f t="shared" si="65"/>
        <v>0</v>
      </c>
      <c r="BB77" s="12">
        <f t="shared" si="65"/>
        <v>0</v>
      </c>
      <c r="BC77" s="12">
        <f t="shared" si="65"/>
        <v>0</v>
      </c>
      <c r="BD77" s="12">
        <f t="shared" si="65"/>
        <v>0</v>
      </c>
      <c r="BE77" s="12">
        <f t="shared" si="65"/>
        <v>0</v>
      </c>
      <c r="BF77" s="12">
        <f t="shared" si="65"/>
        <v>0</v>
      </c>
      <c r="BG77" s="12">
        <f t="shared" si="65"/>
        <v>0</v>
      </c>
      <c r="BH77" s="12">
        <f t="shared" si="65"/>
        <v>0</v>
      </c>
      <c r="BI77" s="12">
        <f t="shared" si="65"/>
        <v>0</v>
      </c>
      <c r="BJ77" s="12">
        <f t="shared" si="65"/>
        <v>0</v>
      </c>
      <c r="BK77" s="12">
        <f t="shared" si="65"/>
        <v>0</v>
      </c>
      <c r="BL77" s="12">
        <f t="shared" si="65"/>
        <v>0</v>
      </c>
    </row>
    <row r="78" spans="2:64" outlineLevel="1" x14ac:dyDescent="0.2">
      <c r="C78" s="8" t="s">
        <v>27</v>
      </c>
      <c r="I78" s="19">
        <v>0</v>
      </c>
      <c r="J78" s="28" t="s">
        <v>28</v>
      </c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Q78" s="47" t="str">
        <f t="shared" ref="AQ78:BL78" si="66">IFERROR(IF($J78="$",IF(AQ77&gt;$I78,"FAIL","PASS"),IF($J78="Before",IF(AQ77/(AQ$56-AQ77)&gt;$I78,"FAIL","PASS"),IF(AQ77/AQ$56&gt;$I78,"FAIL","PASS"))),"n/a")</f>
        <v>n/a</v>
      </c>
      <c r="AR78" s="47" t="str">
        <f t="shared" si="66"/>
        <v>n/a</v>
      </c>
      <c r="AS78" s="47" t="str">
        <f t="shared" si="66"/>
        <v>n/a</v>
      </c>
      <c r="AT78" s="47" t="str">
        <f t="shared" si="66"/>
        <v>n/a</v>
      </c>
      <c r="AU78" s="47" t="str">
        <f t="shared" si="66"/>
        <v>n/a</v>
      </c>
      <c r="AV78" s="47" t="str">
        <f t="shared" si="66"/>
        <v>n/a</v>
      </c>
      <c r="AW78" s="47" t="str">
        <f t="shared" si="66"/>
        <v>n/a</v>
      </c>
      <c r="AX78" s="47" t="str">
        <f t="shared" si="66"/>
        <v>n/a</v>
      </c>
      <c r="AY78" s="47" t="str">
        <f t="shared" si="66"/>
        <v>n/a</v>
      </c>
      <c r="AZ78" s="47" t="str">
        <f t="shared" si="66"/>
        <v>n/a</v>
      </c>
      <c r="BA78" s="47" t="str">
        <f t="shared" si="66"/>
        <v>n/a</v>
      </c>
      <c r="BB78" s="47" t="str">
        <f t="shared" si="66"/>
        <v>n/a</v>
      </c>
      <c r="BC78" s="47" t="str">
        <f t="shared" si="66"/>
        <v>n/a</v>
      </c>
      <c r="BD78" s="47" t="str">
        <f t="shared" si="66"/>
        <v>n/a</v>
      </c>
      <c r="BE78" s="47" t="str">
        <f t="shared" si="66"/>
        <v>n/a</v>
      </c>
      <c r="BF78" s="47" t="str">
        <f t="shared" si="66"/>
        <v>n/a</v>
      </c>
      <c r="BG78" s="47" t="str">
        <f t="shared" si="66"/>
        <v>n/a</v>
      </c>
      <c r="BH78" s="47" t="str">
        <f t="shared" si="66"/>
        <v>n/a</v>
      </c>
      <c r="BI78" s="47" t="str">
        <f t="shared" si="66"/>
        <v>n/a</v>
      </c>
      <c r="BJ78" s="47" t="str">
        <f t="shared" si="66"/>
        <v>n/a</v>
      </c>
      <c r="BK78" s="47" t="str">
        <f t="shared" si="66"/>
        <v>n/a</v>
      </c>
      <c r="BL78" s="47" t="str">
        <f t="shared" si="66"/>
        <v>n/a</v>
      </c>
    </row>
    <row r="80" spans="2:64" x14ac:dyDescent="0.2">
      <c r="B80" s="2" t="s">
        <v>2</v>
      </c>
      <c r="C80" s="3" t="s">
        <v>29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spans="1:64" ht="5.0999999999999996" customHeight="1" x14ac:dyDescent="0.2"/>
    <row r="82" spans="1:64" x14ac:dyDescent="0.2">
      <c r="C82" s="1" t="s">
        <v>30</v>
      </c>
      <c r="I82" s="50">
        <v>0</v>
      </c>
      <c r="J82" s="50">
        <v>0</v>
      </c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Q82" s="22">
        <f t="shared" ref="AQ82:BL82" si="67">$J$82</f>
        <v>0</v>
      </c>
      <c r="AR82" s="22">
        <f t="shared" si="67"/>
        <v>0</v>
      </c>
      <c r="AS82" s="22">
        <f t="shared" si="67"/>
        <v>0</v>
      </c>
      <c r="AT82" s="22">
        <f t="shared" si="67"/>
        <v>0</v>
      </c>
      <c r="AU82" s="22">
        <f t="shared" si="67"/>
        <v>0</v>
      </c>
      <c r="AV82" s="22">
        <f t="shared" si="67"/>
        <v>0</v>
      </c>
      <c r="AW82" s="22">
        <f t="shared" si="67"/>
        <v>0</v>
      </c>
      <c r="AX82" s="22">
        <f t="shared" si="67"/>
        <v>0</v>
      </c>
      <c r="AY82" s="22">
        <f t="shared" si="67"/>
        <v>0</v>
      </c>
      <c r="AZ82" s="22">
        <f t="shared" si="67"/>
        <v>0</v>
      </c>
      <c r="BA82" s="22">
        <f t="shared" si="67"/>
        <v>0</v>
      </c>
      <c r="BB82" s="22">
        <f t="shared" si="67"/>
        <v>0</v>
      </c>
      <c r="BC82" s="22">
        <f t="shared" si="67"/>
        <v>0</v>
      </c>
      <c r="BD82" s="22">
        <f t="shared" si="67"/>
        <v>0</v>
      </c>
      <c r="BE82" s="22">
        <f t="shared" si="67"/>
        <v>0</v>
      </c>
      <c r="BF82" s="22">
        <f t="shared" si="67"/>
        <v>0</v>
      </c>
      <c r="BG82" s="22">
        <f t="shared" si="67"/>
        <v>0</v>
      </c>
      <c r="BH82" s="22">
        <f t="shared" si="67"/>
        <v>0</v>
      </c>
      <c r="BI82" s="22">
        <f t="shared" si="67"/>
        <v>0</v>
      </c>
      <c r="BJ82" s="22">
        <f t="shared" si="67"/>
        <v>0</v>
      </c>
      <c r="BK82" s="22">
        <f t="shared" si="67"/>
        <v>0</v>
      </c>
      <c r="BL82" s="22">
        <f t="shared" si="67"/>
        <v>0</v>
      </c>
    </row>
    <row r="83" spans="1:64" x14ac:dyDescent="0.2">
      <c r="C83" s="13" t="s">
        <v>31</v>
      </c>
      <c r="D83" s="13"/>
      <c r="E83" s="13"/>
      <c r="F83" s="13"/>
      <c r="G83" s="13"/>
      <c r="H83" s="13"/>
      <c r="I83" s="13"/>
      <c r="J83" s="13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Q83" s="36">
        <v>0</v>
      </c>
      <c r="AR83" s="36">
        <v>0</v>
      </c>
      <c r="AS83" s="36">
        <v>0</v>
      </c>
      <c r="AT83" s="36">
        <v>0</v>
      </c>
      <c r="AU83" s="36">
        <v>0</v>
      </c>
      <c r="AV83" s="36">
        <v>0</v>
      </c>
      <c r="AW83" s="36">
        <v>0</v>
      </c>
      <c r="AX83" s="36">
        <v>0</v>
      </c>
      <c r="AY83" s="36">
        <v>0</v>
      </c>
      <c r="AZ83" s="36">
        <v>0</v>
      </c>
      <c r="BA83" s="36">
        <v>0</v>
      </c>
      <c r="BB83" s="36">
        <v>0</v>
      </c>
      <c r="BC83" s="36">
        <v>0</v>
      </c>
      <c r="BD83" s="36">
        <v>0</v>
      </c>
      <c r="BE83" s="36">
        <v>0</v>
      </c>
      <c r="BF83" s="36">
        <v>0</v>
      </c>
      <c r="BG83" s="36">
        <v>0</v>
      </c>
      <c r="BH83" s="36">
        <v>0</v>
      </c>
      <c r="BI83" s="36">
        <v>0</v>
      </c>
      <c r="BJ83" s="36">
        <v>0</v>
      </c>
      <c r="BK83" s="36">
        <v>0</v>
      </c>
      <c r="BL83" s="36">
        <v>0</v>
      </c>
    </row>
    <row r="84" spans="1:64" x14ac:dyDescent="0.2">
      <c r="C84" s="8" t="s">
        <v>32</v>
      </c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Q84" s="12">
        <f t="shared" ref="AQ84:AR84" si="68">++MIN(AQ82:AQ83)</f>
        <v>0</v>
      </c>
      <c r="AR84" s="12">
        <f t="shared" si="68"/>
        <v>0</v>
      </c>
      <c r="AS84" s="12">
        <f t="shared" ref="AS84:AT84" si="69">++MIN(AS82:AS83)</f>
        <v>0</v>
      </c>
      <c r="AT84" s="12">
        <f t="shared" si="69"/>
        <v>0</v>
      </c>
      <c r="AU84" s="12">
        <f t="shared" ref="AU84:BL84" si="70">++MIN(AU82:AU83)</f>
        <v>0</v>
      </c>
      <c r="AV84" s="12">
        <f t="shared" si="70"/>
        <v>0</v>
      </c>
      <c r="AW84" s="12">
        <f t="shared" si="70"/>
        <v>0</v>
      </c>
      <c r="AX84" s="12">
        <f t="shared" si="70"/>
        <v>0</v>
      </c>
      <c r="AY84" s="12">
        <f t="shared" si="70"/>
        <v>0</v>
      </c>
      <c r="AZ84" s="12">
        <f t="shared" si="70"/>
        <v>0</v>
      </c>
      <c r="BA84" s="12">
        <f t="shared" si="70"/>
        <v>0</v>
      </c>
      <c r="BB84" s="12">
        <f t="shared" si="70"/>
        <v>0</v>
      </c>
      <c r="BC84" s="12">
        <f t="shared" si="70"/>
        <v>0</v>
      </c>
      <c r="BD84" s="12">
        <f t="shared" si="70"/>
        <v>0</v>
      </c>
      <c r="BE84" s="12">
        <f t="shared" si="70"/>
        <v>0</v>
      </c>
      <c r="BF84" s="12">
        <f t="shared" si="70"/>
        <v>0</v>
      </c>
      <c r="BG84" s="12">
        <f t="shared" si="70"/>
        <v>0</v>
      </c>
      <c r="BH84" s="12">
        <f t="shared" si="70"/>
        <v>0</v>
      </c>
      <c r="BI84" s="12">
        <f t="shared" si="70"/>
        <v>0</v>
      </c>
      <c r="BJ84" s="12">
        <f t="shared" si="70"/>
        <v>0</v>
      </c>
      <c r="BK84" s="12">
        <f t="shared" si="70"/>
        <v>0</v>
      </c>
      <c r="BL84" s="12">
        <f t="shared" si="70"/>
        <v>0</v>
      </c>
    </row>
    <row r="86" spans="1:64" x14ac:dyDescent="0.2">
      <c r="C86" s="54" t="s">
        <v>33</v>
      </c>
      <c r="D86" s="51"/>
      <c r="E86" s="51"/>
      <c r="F86" s="51"/>
      <c r="G86" s="51"/>
      <c r="H86" s="51"/>
      <c r="I86" s="51"/>
      <c r="J86" s="51"/>
      <c r="K86" s="51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0</v>
      </c>
      <c r="AW86" s="53">
        <v>0</v>
      </c>
      <c r="AX86" s="53">
        <v>0</v>
      </c>
      <c r="AY86" s="53">
        <v>0</v>
      </c>
      <c r="AZ86" s="53">
        <v>0</v>
      </c>
      <c r="BA86" s="53">
        <v>0</v>
      </c>
      <c r="BB86" s="53">
        <v>0</v>
      </c>
      <c r="BC86" s="53">
        <v>0</v>
      </c>
      <c r="BD86" s="53">
        <v>0</v>
      </c>
      <c r="BE86" s="53">
        <v>0</v>
      </c>
      <c r="BF86" s="53">
        <v>0</v>
      </c>
      <c r="BG86" s="53">
        <v>0</v>
      </c>
      <c r="BH86" s="53">
        <v>0</v>
      </c>
      <c r="BI86" s="53">
        <v>0</v>
      </c>
      <c r="BJ86" s="53">
        <v>0</v>
      </c>
      <c r="BK86" s="53">
        <v>0</v>
      </c>
      <c r="BL86" s="53">
        <v>0</v>
      </c>
    </row>
    <row r="88" spans="1:64" s="8" customFormat="1" x14ac:dyDescent="0.2">
      <c r="C88" s="8" t="s">
        <v>34</v>
      </c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Q88" s="80">
        <f t="shared" ref="AQ88:BL88" si="71">++IFERROR((AQ86-AQ84)/AQ$56,0)</f>
        <v>0</v>
      </c>
      <c r="AR88" s="80">
        <f t="shared" si="71"/>
        <v>0</v>
      </c>
      <c r="AS88" s="80">
        <f t="shared" si="71"/>
        <v>0</v>
      </c>
      <c r="AT88" s="80">
        <f t="shared" si="71"/>
        <v>0</v>
      </c>
      <c r="AU88" s="80">
        <f t="shared" si="71"/>
        <v>0</v>
      </c>
      <c r="AV88" s="80">
        <f t="shared" si="71"/>
        <v>0</v>
      </c>
      <c r="AW88" s="80">
        <f t="shared" si="71"/>
        <v>0</v>
      </c>
      <c r="AX88" s="80">
        <f t="shared" si="71"/>
        <v>0</v>
      </c>
      <c r="AY88" s="80">
        <f t="shared" si="71"/>
        <v>0</v>
      </c>
      <c r="AZ88" s="80">
        <f t="shared" si="71"/>
        <v>0</v>
      </c>
      <c r="BA88" s="80">
        <f t="shared" si="71"/>
        <v>0</v>
      </c>
      <c r="BB88" s="80">
        <f t="shared" si="71"/>
        <v>0</v>
      </c>
      <c r="BC88" s="80">
        <f t="shared" si="71"/>
        <v>0</v>
      </c>
      <c r="BD88" s="80">
        <f t="shared" si="71"/>
        <v>0</v>
      </c>
      <c r="BE88" s="80">
        <f t="shared" si="71"/>
        <v>0</v>
      </c>
      <c r="BF88" s="80">
        <f t="shared" si="71"/>
        <v>0</v>
      </c>
      <c r="BG88" s="80">
        <f t="shared" si="71"/>
        <v>0</v>
      </c>
      <c r="BH88" s="80">
        <f t="shared" si="71"/>
        <v>0</v>
      </c>
      <c r="BI88" s="80">
        <f t="shared" si="71"/>
        <v>0</v>
      </c>
      <c r="BJ88" s="80">
        <f t="shared" si="71"/>
        <v>0</v>
      </c>
      <c r="BK88" s="80">
        <f t="shared" si="71"/>
        <v>0</v>
      </c>
      <c r="BL88" s="80">
        <f t="shared" si="71"/>
        <v>0</v>
      </c>
    </row>
    <row r="89" spans="1:64" x14ac:dyDescent="0.2">
      <c r="C89" s="51" t="s">
        <v>35</v>
      </c>
      <c r="D89" s="51"/>
      <c r="E89" s="51"/>
      <c r="F89" s="51"/>
      <c r="G89" s="51"/>
      <c r="H89" s="51"/>
      <c r="I89" s="51"/>
      <c r="J89" s="51"/>
      <c r="K89" s="51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Q89" s="52">
        <v>0</v>
      </c>
      <c r="AR89" s="52">
        <v>0</v>
      </c>
      <c r="AS89" s="52">
        <v>0</v>
      </c>
      <c r="AT89" s="52">
        <v>0</v>
      </c>
      <c r="AU89" s="52">
        <v>0</v>
      </c>
      <c r="AV89" s="52">
        <v>0</v>
      </c>
      <c r="AW89" s="52">
        <v>0</v>
      </c>
      <c r="AX89" s="52">
        <v>0</v>
      </c>
      <c r="AY89" s="52">
        <v>0</v>
      </c>
      <c r="AZ89" s="52">
        <v>0</v>
      </c>
      <c r="BA89" s="52">
        <v>0</v>
      </c>
      <c r="BB89" s="52">
        <v>0</v>
      </c>
      <c r="BC89" s="52">
        <v>0</v>
      </c>
      <c r="BD89" s="52">
        <v>0</v>
      </c>
      <c r="BE89" s="52">
        <v>0</v>
      </c>
      <c r="BF89" s="52">
        <v>0</v>
      </c>
      <c r="BG89" s="52">
        <v>0</v>
      </c>
      <c r="BH89" s="52">
        <v>0</v>
      </c>
      <c r="BI89" s="52">
        <v>0</v>
      </c>
      <c r="BJ89" s="52">
        <v>0</v>
      </c>
      <c r="BK89" s="52">
        <v>0</v>
      </c>
      <c r="BL89" s="52">
        <v>0</v>
      </c>
    </row>
    <row r="90" spans="1:64" x14ac:dyDescent="0.2">
      <c r="C90" s="14" t="s">
        <v>36</v>
      </c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Q90" s="20">
        <f t="shared" ref="AQ90:AR90" si="72">++IFERROR(1-AQ88/AQ89,0)</f>
        <v>0</v>
      </c>
      <c r="AR90" s="20">
        <f t="shared" si="72"/>
        <v>0</v>
      </c>
      <c r="AS90" s="20">
        <f t="shared" ref="AS90:AT90" si="73">++IFERROR(1-AS88/AS89,0)</f>
        <v>0</v>
      </c>
      <c r="AT90" s="20">
        <f t="shared" si="73"/>
        <v>0</v>
      </c>
      <c r="AU90" s="20">
        <f t="shared" ref="AU90:BL90" si="74">++IFERROR(1-AU88/AU89,0)</f>
        <v>0</v>
      </c>
      <c r="AV90" s="20">
        <f t="shared" si="74"/>
        <v>0</v>
      </c>
      <c r="AW90" s="20">
        <f t="shared" si="74"/>
        <v>0</v>
      </c>
      <c r="AX90" s="20">
        <f t="shared" si="74"/>
        <v>0</v>
      </c>
      <c r="AY90" s="20">
        <f t="shared" si="74"/>
        <v>0</v>
      </c>
      <c r="AZ90" s="20">
        <f t="shared" si="74"/>
        <v>0</v>
      </c>
      <c r="BA90" s="20">
        <f t="shared" si="74"/>
        <v>0</v>
      </c>
      <c r="BB90" s="20">
        <f t="shared" si="74"/>
        <v>0</v>
      </c>
      <c r="BC90" s="20">
        <f t="shared" si="74"/>
        <v>0</v>
      </c>
      <c r="BD90" s="20">
        <f t="shared" si="74"/>
        <v>0</v>
      </c>
      <c r="BE90" s="20">
        <f t="shared" si="74"/>
        <v>0</v>
      </c>
      <c r="BF90" s="20">
        <f t="shared" si="74"/>
        <v>0</v>
      </c>
      <c r="BG90" s="20">
        <f t="shared" si="74"/>
        <v>0</v>
      </c>
      <c r="BH90" s="20">
        <f t="shared" si="74"/>
        <v>0</v>
      </c>
      <c r="BI90" s="20">
        <f t="shared" si="74"/>
        <v>0</v>
      </c>
      <c r="BJ90" s="20">
        <f t="shared" si="74"/>
        <v>0</v>
      </c>
      <c r="BK90" s="20">
        <f t="shared" si="74"/>
        <v>0</v>
      </c>
      <c r="BL90" s="20">
        <f t="shared" si="74"/>
        <v>0</v>
      </c>
    </row>
    <row r="91" spans="1:64" x14ac:dyDescent="0.2"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</row>
    <row r="92" spans="1:64" x14ac:dyDescent="0.2">
      <c r="A92" s="2"/>
      <c r="B92" s="2" t="s">
        <v>2</v>
      </c>
      <c r="C92" s="3" t="s">
        <v>37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spans="1:64" ht="5.0999999999999996" customHeight="1" x14ac:dyDescent="0.2"/>
    <row r="94" spans="1:64" x14ac:dyDescent="0.2">
      <c r="C94" s="8" t="s">
        <v>4</v>
      </c>
      <c r="L94" s="61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Q94" s="73">
        <v>0</v>
      </c>
      <c r="AR94" s="73">
        <f t="shared" ref="AR94:BL94" si="75">++AR$56</f>
        <v>0</v>
      </c>
      <c r="AS94" s="73">
        <f t="shared" si="75"/>
        <v>0</v>
      </c>
      <c r="AT94" s="73">
        <f t="shared" si="75"/>
        <v>0</v>
      </c>
      <c r="AU94" s="73">
        <f t="shared" si="75"/>
        <v>0</v>
      </c>
      <c r="AV94" s="73">
        <f t="shared" si="75"/>
        <v>0</v>
      </c>
      <c r="AW94" s="73">
        <f t="shared" si="75"/>
        <v>0</v>
      </c>
      <c r="AX94" s="73">
        <f t="shared" si="75"/>
        <v>0</v>
      </c>
      <c r="AY94" s="73">
        <f t="shared" si="75"/>
        <v>0</v>
      </c>
      <c r="AZ94" s="73">
        <f t="shared" si="75"/>
        <v>0</v>
      </c>
      <c r="BA94" s="73">
        <f t="shared" si="75"/>
        <v>0</v>
      </c>
      <c r="BB94" s="73">
        <f t="shared" si="75"/>
        <v>0</v>
      </c>
      <c r="BC94" s="73">
        <f t="shared" si="75"/>
        <v>0</v>
      </c>
      <c r="BD94" s="73">
        <f t="shared" si="75"/>
        <v>0</v>
      </c>
      <c r="BE94" s="73">
        <f t="shared" si="75"/>
        <v>0</v>
      </c>
      <c r="BF94" s="73">
        <f t="shared" si="75"/>
        <v>0</v>
      </c>
      <c r="BG94" s="73">
        <f t="shared" si="75"/>
        <v>0</v>
      </c>
      <c r="BH94" s="73">
        <f t="shared" si="75"/>
        <v>0</v>
      </c>
      <c r="BI94" s="73">
        <f t="shared" si="75"/>
        <v>0</v>
      </c>
      <c r="BJ94" s="73">
        <f t="shared" si="75"/>
        <v>0</v>
      </c>
      <c r="BK94" s="73">
        <f t="shared" si="75"/>
        <v>0</v>
      </c>
      <c r="BL94" s="73">
        <f t="shared" si="75"/>
        <v>0</v>
      </c>
    </row>
    <row r="95" spans="1:64" x14ac:dyDescent="0.2">
      <c r="L95" s="26"/>
    </row>
    <row r="96" spans="1:64" x14ac:dyDescent="0.2">
      <c r="C96" s="16" t="s">
        <v>10</v>
      </c>
      <c r="D96" s="17"/>
      <c r="E96" s="17"/>
      <c r="F96" s="17"/>
      <c r="G96" s="17"/>
      <c r="H96" s="17"/>
      <c r="I96" s="17"/>
      <c r="J96" s="17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Q96" s="35">
        <v>0</v>
      </c>
      <c r="AR96" s="35">
        <v>0</v>
      </c>
      <c r="AS96" s="35">
        <v>0</v>
      </c>
      <c r="AT96" s="35">
        <v>0</v>
      </c>
      <c r="AU96" s="35">
        <v>0</v>
      </c>
      <c r="AV96" s="35">
        <v>0</v>
      </c>
      <c r="AW96" s="35">
        <v>0</v>
      </c>
      <c r="AX96" s="35">
        <v>0</v>
      </c>
      <c r="AY96" s="35">
        <v>0</v>
      </c>
      <c r="AZ96" s="35">
        <v>0</v>
      </c>
      <c r="BA96" s="35">
        <v>0</v>
      </c>
      <c r="BB96" s="35">
        <v>0</v>
      </c>
      <c r="BC96" s="35">
        <v>0</v>
      </c>
      <c r="BD96" s="35">
        <v>0</v>
      </c>
      <c r="BE96" s="35">
        <v>0</v>
      </c>
      <c r="BF96" s="35">
        <v>0</v>
      </c>
      <c r="BG96" s="35">
        <v>0</v>
      </c>
      <c r="BH96" s="35">
        <v>0</v>
      </c>
      <c r="BI96" s="35">
        <v>0</v>
      </c>
      <c r="BJ96" s="35">
        <v>0</v>
      </c>
      <c r="BK96" s="35">
        <v>0</v>
      </c>
      <c r="BL96" s="35">
        <v>0</v>
      </c>
    </row>
    <row r="97" spans="3:64" x14ac:dyDescent="0.2">
      <c r="C97" s="16" t="s">
        <v>10</v>
      </c>
      <c r="D97" s="17"/>
      <c r="E97" s="17"/>
      <c r="F97" s="17"/>
      <c r="G97" s="17"/>
      <c r="H97" s="17"/>
      <c r="I97" s="17"/>
      <c r="J97" s="17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Q97" s="36">
        <v>0</v>
      </c>
      <c r="AR97" s="36">
        <v>0</v>
      </c>
      <c r="AS97" s="36">
        <v>0</v>
      </c>
      <c r="AT97" s="36">
        <v>0</v>
      </c>
      <c r="AU97" s="36">
        <v>0</v>
      </c>
      <c r="AV97" s="36">
        <v>0</v>
      </c>
      <c r="AW97" s="36">
        <v>0</v>
      </c>
      <c r="AX97" s="36">
        <v>0</v>
      </c>
      <c r="AY97" s="36">
        <v>0</v>
      </c>
      <c r="AZ97" s="36">
        <v>0</v>
      </c>
      <c r="BA97" s="36">
        <v>0</v>
      </c>
      <c r="BB97" s="36">
        <v>0</v>
      </c>
      <c r="BC97" s="36">
        <v>0</v>
      </c>
      <c r="BD97" s="36">
        <v>0</v>
      </c>
      <c r="BE97" s="36">
        <v>0</v>
      </c>
      <c r="BF97" s="36">
        <v>0</v>
      </c>
      <c r="BG97" s="36">
        <v>0</v>
      </c>
      <c r="BH97" s="36">
        <v>0</v>
      </c>
      <c r="BI97" s="36">
        <v>0</v>
      </c>
      <c r="BJ97" s="36">
        <v>0</v>
      </c>
      <c r="BK97" s="36">
        <v>0</v>
      </c>
      <c r="BL97" s="36">
        <v>0</v>
      </c>
    </row>
    <row r="98" spans="3:64" x14ac:dyDescent="0.2">
      <c r="C98" s="16" t="s">
        <v>10</v>
      </c>
      <c r="D98" s="17"/>
      <c r="E98" s="17"/>
      <c r="F98" s="17"/>
      <c r="G98" s="17"/>
      <c r="H98" s="17"/>
      <c r="I98" s="17"/>
      <c r="J98" s="17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Q98" s="36">
        <v>0</v>
      </c>
      <c r="AR98" s="36">
        <v>0</v>
      </c>
      <c r="AS98" s="36">
        <v>0</v>
      </c>
      <c r="AT98" s="36">
        <v>0</v>
      </c>
      <c r="AU98" s="36">
        <v>0</v>
      </c>
      <c r="AV98" s="36">
        <v>0</v>
      </c>
      <c r="AW98" s="36">
        <v>0</v>
      </c>
      <c r="AX98" s="36">
        <v>0</v>
      </c>
      <c r="AY98" s="36">
        <v>0</v>
      </c>
      <c r="AZ98" s="36">
        <v>0</v>
      </c>
      <c r="BA98" s="36">
        <v>0</v>
      </c>
      <c r="BB98" s="36">
        <v>0</v>
      </c>
      <c r="BC98" s="36">
        <v>0</v>
      </c>
      <c r="BD98" s="36">
        <v>0</v>
      </c>
      <c r="BE98" s="36">
        <v>0</v>
      </c>
      <c r="BF98" s="36">
        <v>0</v>
      </c>
      <c r="BG98" s="36">
        <v>0</v>
      </c>
      <c r="BH98" s="36">
        <v>0</v>
      </c>
      <c r="BI98" s="36">
        <v>0</v>
      </c>
      <c r="BJ98" s="36">
        <v>0</v>
      </c>
      <c r="BK98" s="36">
        <v>0</v>
      </c>
      <c r="BL98" s="36">
        <v>0</v>
      </c>
    </row>
    <row r="99" spans="3:64" x14ac:dyDescent="0.2">
      <c r="C99" s="16" t="s">
        <v>10</v>
      </c>
      <c r="D99" s="17"/>
      <c r="E99" s="17"/>
      <c r="F99" s="17"/>
      <c r="G99" s="17"/>
      <c r="H99" s="17"/>
      <c r="I99" s="17"/>
      <c r="J99" s="17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Q99" s="36">
        <v>0</v>
      </c>
      <c r="AR99" s="36">
        <v>0</v>
      </c>
      <c r="AS99" s="36">
        <v>0</v>
      </c>
      <c r="AT99" s="36">
        <v>0</v>
      </c>
      <c r="AU99" s="36">
        <v>0</v>
      </c>
      <c r="AV99" s="36">
        <v>0</v>
      </c>
      <c r="AW99" s="36">
        <v>0</v>
      </c>
      <c r="AX99" s="36">
        <v>0</v>
      </c>
      <c r="AY99" s="36">
        <v>0</v>
      </c>
      <c r="AZ99" s="36">
        <v>0</v>
      </c>
      <c r="BA99" s="36">
        <v>0</v>
      </c>
      <c r="BB99" s="36">
        <v>0</v>
      </c>
      <c r="BC99" s="36">
        <v>0</v>
      </c>
      <c r="BD99" s="36">
        <v>0</v>
      </c>
      <c r="BE99" s="36">
        <v>0</v>
      </c>
      <c r="BF99" s="36">
        <v>0</v>
      </c>
      <c r="BG99" s="36">
        <v>0</v>
      </c>
      <c r="BH99" s="36">
        <v>0</v>
      </c>
      <c r="BI99" s="36">
        <v>0</v>
      </c>
      <c r="BJ99" s="36">
        <v>0</v>
      </c>
      <c r="BK99" s="36">
        <v>0</v>
      </c>
      <c r="BL99" s="36">
        <v>0</v>
      </c>
    </row>
    <row r="100" spans="3:64" x14ac:dyDescent="0.2">
      <c r="C100" s="16" t="s">
        <v>10</v>
      </c>
      <c r="D100" s="17"/>
      <c r="E100" s="17"/>
      <c r="F100" s="17"/>
      <c r="G100" s="17"/>
      <c r="H100" s="17"/>
      <c r="I100" s="17"/>
      <c r="J100" s="17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Q100" s="36">
        <v>0</v>
      </c>
      <c r="AR100" s="36">
        <v>0</v>
      </c>
      <c r="AS100" s="36">
        <v>0</v>
      </c>
      <c r="AT100" s="36">
        <v>0</v>
      </c>
      <c r="AU100" s="36">
        <v>0</v>
      </c>
      <c r="AV100" s="36">
        <v>0</v>
      </c>
      <c r="AW100" s="36">
        <v>0</v>
      </c>
      <c r="AX100" s="36">
        <v>0</v>
      </c>
      <c r="AY100" s="36">
        <v>0</v>
      </c>
      <c r="AZ100" s="36">
        <v>0</v>
      </c>
      <c r="BA100" s="36">
        <v>0</v>
      </c>
      <c r="BB100" s="36">
        <v>0</v>
      </c>
      <c r="BC100" s="36">
        <v>0</v>
      </c>
      <c r="BD100" s="36">
        <v>0</v>
      </c>
      <c r="BE100" s="36">
        <v>0</v>
      </c>
      <c r="BF100" s="36">
        <v>0</v>
      </c>
      <c r="BG100" s="36">
        <v>0</v>
      </c>
      <c r="BH100" s="36">
        <v>0</v>
      </c>
      <c r="BI100" s="36">
        <v>0</v>
      </c>
      <c r="BJ100" s="36">
        <v>0</v>
      </c>
      <c r="BK100" s="36">
        <v>0</v>
      </c>
      <c r="BL100" s="36">
        <v>0</v>
      </c>
    </row>
    <row r="101" spans="3:64" x14ac:dyDescent="0.2">
      <c r="C101" s="16" t="s">
        <v>10</v>
      </c>
      <c r="D101" s="17"/>
      <c r="E101" s="17"/>
      <c r="F101" s="17"/>
      <c r="G101" s="17"/>
      <c r="H101" s="17"/>
      <c r="I101" s="17"/>
      <c r="J101" s="17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Q101" s="36">
        <v>0</v>
      </c>
      <c r="AR101" s="36">
        <v>0</v>
      </c>
      <c r="AS101" s="36">
        <v>0</v>
      </c>
      <c r="AT101" s="36">
        <v>0</v>
      </c>
      <c r="AU101" s="36">
        <v>0</v>
      </c>
      <c r="AV101" s="36">
        <v>0</v>
      </c>
      <c r="AW101" s="36">
        <v>0</v>
      </c>
      <c r="AX101" s="36">
        <v>0</v>
      </c>
      <c r="AY101" s="36">
        <v>0</v>
      </c>
      <c r="AZ101" s="36">
        <v>0</v>
      </c>
      <c r="BA101" s="36">
        <v>0</v>
      </c>
      <c r="BB101" s="36">
        <v>0</v>
      </c>
      <c r="BC101" s="36">
        <v>0</v>
      </c>
      <c r="BD101" s="36">
        <v>0</v>
      </c>
      <c r="BE101" s="36">
        <v>0</v>
      </c>
      <c r="BF101" s="36">
        <v>0</v>
      </c>
      <c r="BG101" s="36">
        <v>0</v>
      </c>
      <c r="BH101" s="36">
        <v>0</v>
      </c>
      <c r="BI101" s="36">
        <v>0</v>
      </c>
      <c r="BJ101" s="36">
        <v>0</v>
      </c>
      <c r="BK101" s="36">
        <v>0</v>
      </c>
      <c r="BL101" s="36">
        <v>0</v>
      </c>
    </row>
    <row r="102" spans="3:64" x14ac:dyDescent="0.2">
      <c r="C102" s="10" t="s">
        <v>18</v>
      </c>
      <c r="D102" s="11"/>
      <c r="E102" s="11"/>
      <c r="F102" s="11"/>
      <c r="G102" s="11"/>
      <c r="H102" s="11"/>
      <c r="I102" s="11"/>
      <c r="J102" s="11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Q102" s="12">
        <f t="shared" ref="AQ102:BF102" si="76">++SUM(AQ96:AQ101)</f>
        <v>0</v>
      </c>
      <c r="AR102" s="12">
        <f t="shared" si="76"/>
        <v>0</v>
      </c>
      <c r="AS102" s="12">
        <f t="shared" si="76"/>
        <v>0</v>
      </c>
      <c r="AT102" s="12">
        <f t="shared" si="76"/>
        <v>0</v>
      </c>
      <c r="AU102" s="12">
        <f t="shared" si="76"/>
        <v>0</v>
      </c>
      <c r="AV102" s="12">
        <f t="shared" si="76"/>
        <v>0</v>
      </c>
      <c r="AW102" s="12">
        <f t="shared" si="76"/>
        <v>0</v>
      </c>
      <c r="AX102" s="12">
        <f t="shared" si="76"/>
        <v>0</v>
      </c>
      <c r="AY102" s="12">
        <f t="shared" si="76"/>
        <v>0</v>
      </c>
      <c r="AZ102" s="12">
        <f t="shared" si="76"/>
        <v>0</v>
      </c>
      <c r="BA102" s="12">
        <f t="shared" si="76"/>
        <v>0</v>
      </c>
      <c r="BB102" s="12">
        <f t="shared" si="76"/>
        <v>0</v>
      </c>
      <c r="BC102" s="12">
        <f t="shared" si="76"/>
        <v>0</v>
      </c>
      <c r="BD102" s="12">
        <f t="shared" si="76"/>
        <v>0</v>
      </c>
      <c r="BE102" s="12">
        <f t="shared" si="76"/>
        <v>0</v>
      </c>
      <c r="BF102" s="12">
        <f t="shared" si="76"/>
        <v>0</v>
      </c>
      <c r="BG102" s="12">
        <f t="shared" ref="BG102:BL102" si="77">++SUM(BG96:BG101)</f>
        <v>0</v>
      </c>
      <c r="BH102" s="12">
        <f t="shared" si="77"/>
        <v>0</v>
      </c>
      <c r="BI102" s="12">
        <f t="shared" si="77"/>
        <v>0</v>
      </c>
      <c r="BJ102" s="12">
        <f t="shared" si="77"/>
        <v>0</v>
      </c>
      <c r="BK102" s="12">
        <f t="shared" si="77"/>
        <v>0</v>
      </c>
      <c r="BL102" s="12">
        <f t="shared" si="77"/>
        <v>0</v>
      </c>
    </row>
    <row r="103" spans="3:64" x14ac:dyDescent="0.2">
      <c r="C103" s="8"/>
    </row>
    <row r="104" spans="3:64" x14ac:dyDescent="0.2">
      <c r="C104" s="10" t="s">
        <v>38</v>
      </c>
      <c r="D104" s="11"/>
      <c r="E104" s="11"/>
      <c r="F104" s="11"/>
      <c r="G104" s="11"/>
      <c r="H104" s="11"/>
      <c r="I104" s="11"/>
      <c r="J104" s="11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Q104" s="12">
        <f>++SUM(AQ94,-AQ102)</f>
        <v>0</v>
      </c>
      <c r="AR104" s="12">
        <f t="shared" ref="AR104:BL104" si="78">++SUM(AR94,-AR102)</f>
        <v>0</v>
      </c>
      <c r="AS104" s="12">
        <f t="shared" si="78"/>
        <v>0</v>
      </c>
      <c r="AT104" s="12">
        <f t="shared" si="78"/>
        <v>0</v>
      </c>
      <c r="AU104" s="12">
        <f t="shared" si="78"/>
        <v>0</v>
      </c>
      <c r="AV104" s="12">
        <f t="shared" si="78"/>
        <v>0</v>
      </c>
      <c r="AW104" s="12">
        <f t="shared" si="78"/>
        <v>0</v>
      </c>
      <c r="AX104" s="12">
        <f t="shared" si="78"/>
        <v>0</v>
      </c>
      <c r="AY104" s="12">
        <f t="shared" si="78"/>
        <v>0</v>
      </c>
      <c r="AZ104" s="12">
        <f t="shared" si="78"/>
        <v>0</v>
      </c>
      <c r="BA104" s="12">
        <f t="shared" si="78"/>
        <v>0</v>
      </c>
      <c r="BB104" s="12">
        <f t="shared" si="78"/>
        <v>0</v>
      </c>
      <c r="BC104" s="12">
        <f t="shared" si="78"/>
        <v>0</v>
      </c>
      <c r="BD104" s="12">
        <f t="shared" si="78"/>
        <v>0</v>
      </c>
      <c r="BE104" s="12">
        <f t="shared" si="78"/>
        <v>0</v>
      </c>
      <c r="BF104" s="12">
        <f t="shared" si="78"/>
        <v>0</v>
      </c>
      <c r="BG104" s="12">
        <f t="shared" si="78"/>
        <v>0</v>
      </c>
      <c r="BH104" s="12">
        <f t="shared" si="78"/>
        <v>0</v>
      </c>
      <c r="BI104" s="12">
        <f t="shared" si="78"/>
        <v>0</v>
      </c>
      <c r="BJ104" s="12">
        <f t="shared" si="78"/>
        <v>0</v>
      </c>
      <c r="BK104" s="12">
        <f t="shared" si="78"/>
        <v>0</v>
      </c>
      <c r="BL104" s="12">
        <f t="shared" si="78"/>
        <v>0</v>
      </c>
    </row>
    <row r="106" spans="3:64" x14ac:dyDescent="0.2">
      <c r="C106" s="16" t="s">
        <v>10</v>
      </c>
      <c r="D106" s="17"/>
      <c r="E106" s="17"/>
      <c r="F106" s="17"/>
      <c r="G106" s="17"/>
      <c r="H106" s="17"/>
      <c r="I106" s="17"/>
      <c r="J106" s="17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Q106" s="35">
        <v>0</v>
      </c>
      <c r="AR106" s="35">
        <v>0</v>
      </c>
      <c r="AS106" s="35">
        <v>0</v>
      </c>
      <c r="AT106" s="35">
        <v>0</v>
      </c>
      <c r="AU106" s="35">
        <v>0</v>
      </c>
      <c r="AV106" s="35">
        <v>0</v>
      </c>
      <c r="AW106" s="35">
        <v>0</v>
      </c>
      <c r="AX106" s="35">
        <v>0</v>
      </c>
      <c r="AY106" s="35">
        <v>0</v>
      </c>
      <c r="AZ106" s="35">
        <v>0</v>
      </c>
      <c r="BA106" s="35">
        <v>0</v>
      </c>
      <c r="BB106" s="35">
        <v>0</v>
      </c>
      <c r="BC106" s="35">
        <v>0</v>
      </c>
      <c r="BD106" s="35">
        <v>0</v>
      </c>
      <c r="BE106" s="35">
        <v>0</v>
      </c>
      <c r="BF106" s="35">
        <v>0</v>
      </c>
      <c r="BG106" s="35">
        <v>0</v>
      </c>
      <c r="BH106" s="35">
        <v>0</v>
      </c>
      <c r="BI106" s="35">
        <v>0</v>
      </c>
      <c r="BJ106" s="35">
        <v>0</v>
      </c>
      <c r="BK106" s="35">
        <v>0</v>
      </c>
      <c r="BL106" s="35">
        <v>0</v>
      </c>
    </row>
    <row r="107" spans="3:64" x14ac:dyDescent="0.2">
      <c r="C107" s="16" t="s">
        <v>10</v>
      </c>
      <c r="D107" s="17"/>
      <c r="E107" s="17"/>
      <c r="F107" s="17"/>
      <c r="G107" s="17"/>
      <c r="H107" s="17"/>
      <c r="I107" s="17"/>
      <c r="J107" s="17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Q107" s="36">
        <v>0</v>
      </c>
      <c r="AR107" s="36">
        <v>0</v>
      </c>
      <c r="AS107" s="36">
        <v>0</v>
      </c>
      <c r="AT107" s="36">
        <v>0</v>
      </c>
      <c r="AU107" s="36">
        <v>0</v>
      </c>
      <c r="AV107" s="36">
        <v>0</v>
      </c>
      <c r="AW107" s="36">
        <v>0</v>
      </c>
      <c r="AX107" s="36">
        <v>0</v>
      </c>
      <c r="AY107" s="36">
        <v>0</v>
      </c>
      <c r="AZ107" s="36">
        <v>0</v>
      </c>
      <c r="BA107" s="36">
        <v>0</v>
      </c>
      <c r="BB107" s="36">
        <v>0</v>
      </c>
      <c r="BC107" s="36">
        <v>0</v>
      </c>
      <c r="BD107" s="36">
        <v>0</v>
      </c>
      <c r="BE107" s="36">
        <v>0</v>
      </c>
      <c r="BF107" s="36">
        <v>0</v>
      </c>
      <c r="BG107" s="36">
        <v>0</v>
      </c>
      <c r="BH107" s="36">
        <v>0</v>
      </c>
      <c r="BI107" s="36">
        <v>0</v>
      </c>
      <c r="BJ107" s="36">
        <v>0</v>
      </c>
      <c r="BK107" s="36">
        <v>0</v>
      </c>
      <c r="BL107" s="36">
        <v>0</v>
      </c>
    </row>
    <row r="108" spans="3:64" x14ac:dyDescent="0.2">
      <c r="C108" s="16" t="s">
        <v>10</v>
      </c>
      <c r="D108" s="17"/>
      <c r="E108" s="17"/>
      <c r="F108" s="17"/>
      <c r="G108" s="17"/>
      <c r="H108" s="17"/>
      <c r="I108" s="17"/>
      <c r="J108" s="17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Q108" s="36">
        <v>0</v>
      </c>
      <c r="AR108" s="36">
        <v>0</v>
      </c>
      <c r="AS108" s="36">
        <v>0</v>
      </c>
      <c r="AT108" s="36">
        <v>0</v>
      </c>
      <c r="AU108" s="36">
        <v>0</v>
      </c>
      <c r="AV108" s="36">
        <v>0</v>
      </c>
      <c r="AW108" s="36">
        <v>0</v>
      </c>
      <c r="AX108" s="36">
        <v>0</v>
      </c>
      <c r="AY108" s="36">
        <v>0</v>
      </c>
      <c r="AZ108" s="36">
        <v>0</v>
      </c>
      <c r="BA108" s="36">
        <v>0</v>
      </c>
      <c r="BB108" s="36">
        <v>0</v>
      </c>
      <c r="BC108" s="36">
        <v>0</v>
      </c>
      <c r="BD108" s="36">
        <v>0</v>
      </c>
      <c r="BE108" s="36">
        <v>0</v>
      </c>
      <c r="BF108" s="36">
        <v>0</v>
      </c>
      <c r="BG108" s="36">
        <v>0</v>
      </c>
      <c r="BH108" s="36">
        <v>0</v>
      </c>
      <c r="BI108" s="36">
        <v>0</v>
      </c>
      <c r="BJ108" s="36">
        <v>0</v>
      </c>
      <c r="BK108" s="36">
        <v>0</v>
      </c>
      <c r="BL108" s="36">
        <v>0</v>
      </c>
    </row>
    <row r="109" spans="3:64" x14ac:dyDescent="0.2">
      <c r="C109" s="16" t="s">
        <v>10</v>
      </c>
      <c r="D109" s="17"/>
      <c r="E109" s="17"/>
      <c r="F109" s="17"/>
      <c r="G109" s="17"/>
      <c r="H109" s="17"/>
      <c r="I109" s="17"/>
      <c r="J109" s="17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Q109" s="36">
        <v>0</v>
      </c>
      <c r="AR109" s="36">
        <v>0</v>
      </c>
      <c r="AS109" s="36">
        <v>0</v>
      </c>
      <c r="AT109" s="36">
        <v>0</v>
      </c>
      <c r="AU109" s="36">
        <v>0</v>
      </c>
      <c r="AV109" s="36">
        <v>0</v>
      </c>
      <c r="AW109" s="36">
        <v>0</v>
      </c>
      <c r="AX109" s="36">
        <v>0</v>
      </c>
      <c r="AY109" s="36">
        <v>0</v>
      </c>
      <c r="AZ109" s="36">
        <v>0</v>
      </c>
      <c r="BA109" s="36">
        <v>0</v>
      </c>
      <c r="BB109" s="36">
        <v>0</v>
      </c>
      <c r="BC109" s="36">
        <v>0</v>
      </c>
      <c r="BD109" s="36">
        <v>0</v>
      </c>
      <c r="BE109" s="36">
        <v>0</v>
      </c>
      <c r="BF109" s="36">
        <v>0</v>
      </c>
      <c r="BG109" s="36">
        <v>0</v>
      </c>
      <c r="BH109" s="36">
        <v>0</v>
      </c>
      <c r="BI109" s="36">
        <v>0</v>
      </c>
      <c r="BJ109" s="36">
        <v>0</v>
      </c>
      <c r="BK109" s="36">
        <v>0</v>
      </c>
      <c r="BL109" s="36">
        <v>0</v>
      </c>
    </row>
    <row r="110" spans="3:64" x14ac:dyDescent="0.2">
      <c r="C110" s="16" t="s">
        <v>10</v>
      </c>
      <c r="D110" s="17"/>
      <c r="E110" s="17"/>
      <c r="F110" s="17"/>
      <c r="G110" s="17"/>
      <c r="H110" s="17"/>
      <c r="I110" s="17"/>
      <c r="J110" s="17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Q110" s="36">
        <v>0</v>
      </c>
      <c r="AR110" s="36">
        <v>0</v>
      </c>
      <c r="AS110" s="36">
        <v>0</v>
      </c>
      <c r="AT110" s="36">
        <v>0</v>
      </c>
      <c r="AU110" s="36">
        <v>0</v>
      </c>
      <c r="AV110" s="36">
        <v>0</v>
      </c>
      <c r="AW110" s="36">
        <v>0</v>
      </c>
      <c r="AX110" s="36">
        <v>0</v>
      </c>
      <c r="AY110" s="36">
        <v>0</v>
      </c>
      <c r="AZ110" s="36">
        <v>0</v>
      </c>
      <c r="BA110" s="36">
        <v>0</v>
      </c>
      <c r="BB110" s="36">
        <v>0</v>
      </c>
      <c r="BC110" s="36">
        <v>0</v>
      </c>
      <c r="BD110" s="36">
        <v>0</v>
      </c>
      <c r="BE110" s="36">
        <v>0</v>
      </c>
      <c r="BF110" s="36">
        <v>0</v>
      </c>
      <c r="BG110" s="36">
        <v>0</v>
      </c>
      <c r="BH110" s="36">
        <v>0</v>
      </c>
      <c r="BI110" s="36">
        <v>0</v>
      </c>
      <c r="BJ110" s="36">
        <v>0</v>
      </c>
      <c r="BK110" s="36">
        <v>0</v>
      </c>
      <c r="BL110" s="36">
        <v>0</v>
      </c>
    </row>
    <row r="111" spans="3:64" x14ac:dyDescent="0.2">
      <c r="C111" s="16" t="s">
        <v>10</v>
      </c>
      <c r="D111" s="17"/>
      <c r="E111" s="17"/>
      <c r="F111" s="17"/>
      <c r="G111" s="17"/>
      <c r="H111" s="17"/>
      <c r="I111" s="17"/>
      <c r="J111" s="17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Q111" s="36">
        <v>0</v>
      </c>
      <c r="AR111" s="36">
        <v>0</v>
      </c>
      <c r="AS111" s="36">
        <v>0</v>
      </c>
      <c r="AT111" s="36">
        <v>0</v>
      </c>
      <c r="AU111" s="36">
        <v>0</v>
      </c>
      <c r="AV111" s="36">
        <v>0</v>
      </c>
      <c r="AW111" s="36">
        <v>0</v>
      </c>
      <c r="AX111" s="36">
        <v>0</v>
      </c>
      <c r="AY111" s="36">
        <v>0</v>
      </c>
      <c r="AZ111" s="36">
        <v>0</v>
      </c>
      <c r="BA111" s="36">
        <v>0</v>
      </c>
      <c r="BB111" s="36">
        <v>0</v>
      </c>
      <c r="BC111" s="36">
        <v>0</v>
      </c>
      <c r="BD111" s="36">
        <v>0</v>
      </c>
      <c r="BE111" s="36">
        <v>0</v>
      </c>
      <c r="BF111" s="36">
        <v>0</v>
      </c>
      <c r="BG111" s="36">
        <v>0</v>
      </c>
      <c r="BH111" s="36">
        <v>0</v>
      </c>
      <c r="BI111" s="36">
        <v>0</v>
      </c>
      <c r="BJ111" s="36">
        <v>0</v>
      </c>
      <c r="BK111" s="36">
        <v>0</v>
      </c>
      <c r="BL111" s="36">
        <v>0</v>
      </c>
    </row>
    <row r="112" spans="3:64" x14ac:dyDescent="0.2">
      <c r="C112" s="10" t="s">
        <v>39</v>
      </c>
      <c r="D112" s="11"/>
      <c r="E112" s="11"/>
      <c r="F112" s="11"/>
      <c r="G112" s="11"/>
      <c r="H112" s="11"/>
      <c r="I112" s="11"/>
      <c r="J112" s="11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Q112" s="12">
        <f>SUM(AQ106:AQ111)</f>
        <v>0</v>
      </c>
      <c r="AR112" s="12">
        <f t="shared" ref="AR112:BL112" si="79">SUM(AR106:AR111)</f>
        <v>0</v>
      </c>
      <c r="AS112" s="12">
        <f t="shared" si="79"/>
        <v>0</v>
      </c>
      <c r="AT112" s="12">
        <f t="shared" si="79"/>
        <v>0</v>
      </c>
      <c r="AU112" s="12">
        <f t="shared" si="79"/>
        <v>0</v>
      </c>
      <c r="AV112" s="12">
        <f t="shared" si="79"/>
        <v>0</v>
      </c>
      <c r="AW112" s="12">
        <f t="shared" si="79"/>
        <v>0</v>
      </c>
      <c r="AX112" s="12">
        <f t="shared" si="79"/>
        <v>0</v>
      </c>
      <c r="AY112" s="12">
        <f t="shared" si="79"/>
        <v>0</v>
      </c>
      <c r="AZ112" s="12">
        <f t="shared" si="79"/>
        <v>0</v>
      </c>
      <c r="BA112" s="12">
        <f t="shared" si="79"/>
        <v>0</v>
      </c>
      <c r="BB112" s="12">
        <f t="shared" si="79"/>
        <v>0</v>
      </c>
      <c r="BC112" s="12">
        <f t="shared" si="79"/>
        <v>0</v>
      </c>
      <c r="BD112" s="12">
        <f t="shared" si="79"/>
        <v>0</v>
      </c>
      <c r="BE112" s="12">
        <f t="shared" si="79"/>
        <v>0</v>
      </c>
      <c r="BF112" s="12">
        <f t="shared" si="79"/>
        <v>0</v>
      </c>
      <c r="BG112" s="12">
        <f t="shared" si="79"/>
        <v>0</v>
      </c>
      <c r="BH112" s="12">
        <f t="shared" si="79"/>
        <v>0</v>
      </c>
      <c r="BI112" s="12">
        <f t="shared" si="79"/>
        <v>0</v>
      </c>
      <c r="BJ112" s="12">
        <f t="shared" si="79"/>
        <v>0</v>
      </c>
      <c r="BK112" s="12">
        <f t="shared" si="79"/>
        <v>0</v>
      </c>
      <c r="BL112" s="12">
        <f t="shared" si="79"/>
        <v>0</v>
      </c>
    </row>
    <row r="113" spans="1:64" x14ac:dyDescent="0.2">
      <c r="C113" s="8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</row>
    <row r="114" spans="1:64" s="8" customFormat="1" x14ac:dyDescent="0.2">
      <c r="C114" s="8" t="s">
        <v>40</v>
      </c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Q114" s="80">
        <f>++IFERROR((AQ104/AQ112),0)</f>
        <v>0</v>
      </c>
      <c r="AR114" s="80">
        <f t="shared" ref="AR114:BL114" si="80">++IFERROR((AR104/AR112),0)</f>
        <v>0</v>
      </c>
      <c r="AS114" s="80">
        <f t="shared" si="80"/>
        <v>0</v>
      </c>
      <c r="AT114" s="80">
        <f t="shared" si="80"/>
        <v>0</v>
      </c>
      <c r="AU114" s="80">
        <f t="shared" si="80"/>
        <v>0</v>
      </c>
      <c r="AV114" s="80">
        <f t="shared" si="80"/>
        <v>0</v>
      </c>
      <c r="AW114" s="80">
        <f t="shared" si="80"/>
        <v>0</v>
      </c>
      <c r="AX114" s="80">
        <f t="shared" si="80"/>
        <v>0</v>
      </c>
      <c r="AY114" s="80">
        <f t="shared" si="80"/>
        <v>0</v>
      </c>
      <c r="AZ114" s="80">
        <f t="shared" si="80"/>
        <v>0</v>
      </c>
      <c r="BA114" s="80">
        <f t="shared" si="80"/>
        <v>0</v>
      </c>
      <c r="BB114" s="80">
        <f t="shared" si="80"/>
        <v>0</v>
      </c>
      <c r="BC114" s="80">
        <f t="shared" si="80"/>
        <v>0</v>
      </c>
      <c r="BD114" s="80">
        <f t="shared" si="80"/>
        <v>0</v>
      </c>
      <c r="BE114" s="80">
        <f t="shared" si="80"/>
        <v>0</v>
      </c>
      <c r="BF114" s="80">
        <f t="shared" si="80"/>
        <v>0</v>
      </c>
      <c r="BG114" s="80">
        <f t="shared" si="80"/>
        <v>0</v>
      </c>
      <c r="BH114" s="80">
        <f t="shared" si="80"/>
        <v>0</v>
      </c>
      <c r="BI114" s="80">
        <f t="shared" si="80"/>
        <v>0</v>
      </c>
      <c r="BJ114" s="80">
        <f t="shared" si="80"/>
        <v>0</v>
      </c>
      <c r="BK114" s="80">
        <f t="shared" si="80"/>
        <v>0</v>
      </c>
      <c r="BL114" s="80">
        <f t="shared" si="80"/>
        <v>0</v>
      </c>
    </row>
    <row r="115" spans="1:64" x14ac:dyDescent="0.2">
      <c r="C115" s="1" t="s">
        <v>41</v>
      </c>
      <c r="D115" s="51"/>
      <c r="E115" s="51"/>
      <c r="F115" s="51"/>
      <c r="G115" s="51"/>
      <c r="H115" s="51"/>
      <c r="I115" s="51"/>
      <c r="J115" s="51"/>
      <c r="K115" s="51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Q115" s="52">
        <v>0</v>
      </c>
      <c r="AR115" s="52">
        <v>0</v>
      </c>
      <c r="AS115" s="52">
        <v>0</v>
      </c>
      <c r="AT115" s="52">
        <v>0</v>
      </c>
      <c r="AU115" s="52">
        <v>0</v>
      </c>
      <c r="AV115" s="52">
        <v>0</v>
      </c>
      <c r="AW115" s="52">
        <v>0</v>
      </c>
      <c r="AX115" s="52">
        <v>0</v>
      </c>
      <c r="AY115" s="52">
        <v>0</v>
      </c>
      <c r="AZ115" s="52">
        <v>0</v>
      </c>
      <c r="BA115" s="52">
        <v>0</v>
      </c>
      <c r="BB115" s="52">
        <v>0</v>
      </c>
      <c r="BC115" s="52">
        <v>0</v>
      </c>
      <c r="BD115" s="52">
        <v>0</v>
      </c>
      <c r="BE115" s="52">
        <v>0</v>
      </c>
      <c r="BF115" s="52">
        <v>0</v>
      </c>
      <c r="BG115" s="52">
        <v>0</v>
      </c>
      <c r="BH115" s="52">
        <v>0</v>
      </c>
      <c r="BI115" s="52">
        <v>0</v>
      </c>
      <c r="BJ115" s="52">
        <v>0</v>
      </c>
      <c r="BK115" s="52">
        <v>0</v>
      </c>
      <c r="BL115" s="52">
        <v>0</v>
      </c>
    </row>
    <row r="116" spans="1:64" x14ac:dyDescent="0.2">
      <c r="C116" s="14" t="s">
        <v>36</v>
      </c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Q116" s="20">
        <f t="shared" ref="AQ116:BL116" si="81">++IFERROR(1-AQ114/AQ115,0)</f>
        <v>0</v>
      </c>
      <c r="AR116" s="20">
        <f t="shared" si="81"/>
        <v>0</v>
      </c>
      <c r="AS116" s="20">
        <f t="shared" si="81"/>
        <v>0</v>
      </c>
      <c r="AT116" s="20">
        <f t="shared" si="81"/>
        <v>0</v>
      </c>
      <c r="AU116" s="20">
        <f t="shared" si="81"/>
        <v>0</v>
      </c>
      <c r="AV116" s="20">
        <f t="shared" si="81"/>
        <v>0</v>
      </c>
      <c r="AW116" s="20">
        <f t="shared" si="81"/>
        <v>0</v>
      </c>
      <c r="AX116" s="20">
        <f t="shared" si="81"/>
        <v>0</v>
      </c>
      <c r="AY116" s="20">
        <f t="shared" si="81"/>
        <v>0</v>
      </c>
      <c r="AZ116" s="20">
        <f t="shared" si="81"/>
        <v>0</v>
      </c>
      <c r="BA116" s="20">
        <f t="shared" si="81"/>
        <v>0</v>
      </c>
      <c r="BB116" s="20">
        <f t="shared" si="81"/>
        <v>0</v>
      </c>
      <c r="BC116" s="20">
        <f t="shared" si="81"/>
        <v>0</v>
      </c>
      <c r="BD116" s="20">
        <f t="shared" si="81"/>
        <v>0</v>
      </c>
      <c r="BE116" s="20">
        <f t="shared" si="81"/>
        <v>0</v>
      </c>
      <c r="BF116" s="20">
        <f t="shared" si="81"/>
        <v>0</v>
      </c>
      <c r="BG116" s="20">
        <f t="shared" si="81"/>
        <v>0</v>
      </c>
      <c r="BH116" s="20">
        <f t="shared" si="81"/>
        <v>0</v>
      </c>
      <c r="BI116" s="20">
        <f t="shared" si="81"/>
        <v>0</v>
      </c>
      <c r="BJ116" s="20">
        <f t="shared" si="81"/>
        <v>0</v>
      </c>
      <c r="BK116" s="20">
        <f t="shared" si="81"/>
        <v>0</v>
      </c>
      <c r="BL116" s="20">
        <f t="shared" si="81"/>
        <v>0</v>
      </c>
    </row>
    <row r="118" spans="1:64" x14ac:dyDescent="0.2">
      <c r="A118" s="2"/>
      <c r="B118" s="2" t="s">
        <v>2</v>
      </c>
      <c r="C118" s="3" t="s">
        <v>42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 spans="1:64" ht="5.0999999999999996" customHeight="1" x14ac:dyDescent="0.2"/>
    <row r="120" spans="1:64" x14ac:dyDescent="0.2">
      <c r="C120" s="1" t="s">
        <v>43</v>
      </c>
      <c r="L120" s="61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Q120" s="35">
        <v>0</v>
      </c>
      <c r="AR120" s="35">
        <v>0</v>
      </c>
      <c r="AS120" s="35">
        <v>0</v>
      </c>
      <c r="AT120" s="35">
        <v>0</v>
      </c>
      <c r="AU120" s="35">
        <v>0</v>
      </c>
      <c r="AV120" s="35">
        <v>0</v>
      </c>
      <c r="AW120" s="35">
        <v>0</v>
      </c>
      <c r="AX120" s="35">
        <v>0</v>
      </c>
      <c r="AY120" s="35">
        <v>0</v>
      </c>
      <c r="AZ120" s="35">
        <v>0</v>
      </c>
      <c r="BA120" s="35">
        <v>0</v>
      </c>
      <c r="BB120" s="35">
        <v>0</v>
      </c>
      <c r="BC120" s="35">
        <v>0</v>
      </c>
      <c r="BD120" s="35">
        <v>0</v>
      </c>
      <c r="BE120" s="35">
        <v>0</v>
      </c>
      <c r="BF120" s="35">
        <v>0</v>
      </c>
      <c r="BG120" s="35">
        <v>0</v>
      </c>
      <c r="BH120" s="35">
        <v>0</v>
      </c>
      <c r="BI120" s="35">
        <v>0</v>
      </c>
      <c r="BJ120" s="35">
        <v>0</v>
      </c>
      <c r="BK120" s="35">
        <v>0</v>
      </c>
      <c r="BL120" s="35">
        <v>0</v>
      </c>
    </row>
    <row r="121" spans="1:64" x14ac:dyDescent="0.2">
      <c r="C121" s="1" t="s">
        <v>44</v>
      </c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Q121" s="36">
        <v>0</v>
      </c>
      <c r="AR121" s="36">
        <v>0</v>
      </c>
      <c r="AS121" s="36">
        <v>0</v>
      </c>
      <c r="AT121" s="36">
        <v>0</v>
      </c>
      <c r="AU121" s="36">
        <v>0</v>
      </c>
      <c r="AV121" s="36">
        <v>0</v>
      </c>
      <c r="AW121" s="36">
        <v>0</v>
      </c>
      <c r="AX121" s="36">
        <v>0</v>
      </c>
      <c r="AY121" s="36">
        <v>0</v>
      </c>
      <c r="AZ121" s="36">
        <v>0</v>
      </c>
      <c r="BA121" s="36">
        <v>0</v>
      </c>
      <c r="BB121" s="36">
        <v>0</v>
      </c>
      <c r="BC121" s="36">
        <v>0</v>
      </c>
      <c r="BD121" s="36">
        <v>0</v>
      </c>
      <c r="BE121" s="36">
        <v>0</v>
      </c>
      <c r="BF121" s="36">
        <v>0</v>
      </c>
      <c r="BG121" s="36">
        <v>0</v>
      </c>
      <c r="BH121" s="36">
        <v>0</v>
      </c>
      <c r="BI121" s="36">
        <v>0</v>
      </c>
      <c r="BJ121" s="36">
        <v>0</v>
      </c>
      <c r="BK121" s="36">
        <v>0</v>
      </c>
      <c r="BL121" s="36">
        <v>0</v>
      </c>
    </row>
    <row r="122" spans="1:64" x14ac:dyDescent="0.2">
      <c r="C122" s="10" t="s">
        <v>45</v>
      </c>
      <c r="D122" s="11"/>
      <c r="E122" s="11"/>
      <c r="F122" s="11"/>
      <c r="G122" s="11"/>
      <c r="H122" s="11"/>
      <c r="I122" s="11"/>
      <c r="J122" s="11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Q122" s="12">
        <f>++SUM(AQ120,-AQ121)</f>
        <v>0</v>
      </c>
      <c r="AR122" s="12">
        <f t="shared" ref="AR122:BL122" si="82">++SUM(AR120,-AR121)</f>
        <v>0</v>
      </c>
      <c r="AS122" s="12">
        <f t="shared" si="82"/>
        <v>0</v>
      </c>
      <c r="AT122" s="12">
        <f t="shared" si="82"/>
        <v>0</v>
      </c>
      <c r="AU122" s="12">
        <f t="shared" si="82"/>
        <v>0</v>
      </c>
      <c r="AV122" s="12">
        <f t="shared" si="82"/>
        <v>0</v>
      </c>
      <c r="AW122" s="12">
        <f t="shared" si="82"/>
        <v>0</v>
      </c>
      <c r="AX122" s="12">
        <f t="shared" si="82"/>
        <v>0</v>
      </c>
      <c r="AY122" s="12">
        <f t="shared" si="82"/>
        <v>0</v>
      </c>
      <c r="AZ122" s="12">
        <f t="shared" si="82"/>
        <v>0</v>
      </c>
      <c r="BA122" s="12">
        <f t="shared" si="82"/>
        <v>0</v>
      </c>
      <c r="BB122" s="12">
        <f t="shared" si="82"/>
        <v>0</v>
      </c>
      <c r="BC122" s="12">
        <f t="shared" si="82"/>
        <v>0</v>
      </c>
      <c r="BD122" s="12">
        <f t="shared" si="82"/>
        <v>0</v>
      </c>
      <c r="BE122" s="12">
        <f t="shared" si="82"/>
        <v>0</v>
      </c>
      <c r="BF122" s="12">
        <f t="shared" si="82"/>
        <v>0</v>
      </c>
      <c r="BG122" s="12">
        <f t="shared" si="82"/>
        <v>0</v>
      </c>
      <c r="BH122" s="12">
        <f t="shared" si="82"/>
        <v>0</v>
      </c>
      <c r="BI122" s="12">
        <f t="shared" si="82"/>
        <v>0</v>
      </c>
      <c r="BJ122" s="12">
        <f t="shared" si="82"/>
        <v>0</v>
      </c>
      <c r="BK122" s="12">
        <f t="shared" si="82"/>
        <v>0</v>
      </c>
      <c r="BL122" s="12">
        <f t="shared" si="82"/>
        <v>0</v>
      </c>
    </row>
    <row r="123" spans="1:64" x14ac:dyDescent="0.2">
      <c r="C123" s="76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spans="1:64" s="8" customFormat="1" x14ac:dyDescent="0.2">
      <c r="C124" s="8" t="s">
        <v>32</v>
      </c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Q124" s="78">
        <f>++AQ84</f>
        <v>0</v>
      </c>
      <c r="AR124" s="78">
        <f t="shared" ref="AR124:BL124" si="83">++AR84</f>
        <v>0</v>
      </c>
      <c r="AS124" s="78">
        <f t="shared" si="83"/>
        <v>0</v>
      </c>
      <c r="AT124" s="78">
        <f t="shared" si="83"/>
        <v>0</v>
      </c>
      <c r="AU124" s="78">
        <f t="shared" si="83"/>
        <v>0</v>
      </c>
      <c r="AV124" s="78">
        <f t="shared" si="83"/>
        <v>0</v>
      </c>
      <c r="AW124" s="78">
        <f t="shared" si="83"/>
        <v>0</v>
      </c>
      <c r="AX124" s="78">
        <f t="shared" si="83"/>
        <v>0</v>
      </c>
      <c r="AY124" s="78">
        <f t="shared" si="83"/>
        <v>0</v>
      </c>
      <c r="AZ124" s="78">
        <f t="shared" si="83"/>
        <v>0</v>
      </c>
      <c r="BA124" s="78">
        <f t="shared" si="83"/>
        <v>0</v>
      </c>
      <c r="BB124" s="78">
        <f t="shared" si="83"/>
        <v>0</v>
      </c>
      <c r="BC124" s="78">
        <f t="shared" si="83"/>
        <v>0</v>
      </c>
      <c r="BD124" s="78">
        <f t="shared" si="83"/>
        <v>0</v>
      </c>
      <c r="BE124" s="78">
        <f t="shared" si="83"/>
        <v>0</v>
      </c>
      <c r="BF124" s="78">
        <f t="shared" si="83"/>
        <v>0</v>
      </c>
      <c r="BG124" s="78">
        <f t="shared" si="83"/>
        <v>0</v>
      </c>
      <c r="BH124" s="78">
        <f t="shared" si="83"/>
        <v>0</v>
      </c>
      <c r="BI124" s="78">
        <f t="shared" si="83"/>
        <v>0</v>
      </c>
      <c r="BJ124" s="78">
        <f t="shared" si="83"/>
        <v>0</v>
      </c>
      <c r="BK124" s="78">
        <f t="shared" si="83"/>
        <v>0</v>
      </c>
      <c r="BL124" s="78">
        <f t="shared" si="83"/>
        <v>0</v>
      </c>
    </row>
    <row r="125" spans="1:64" x14ac:dyDescent="0.2">
      <c r="C125" s="8"/>
    </row>
    <row r="126" spans="1:64" x14ac:dyDescent="0.2">
      <c r="C126" s="8" t="s">
        <v>46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Q126" s="73">
        <f>++SUM(AQ122,AQ124)</f>
        <v>0</v>
      </c>
      <c r="AR126" s="73">
        <f t="shared" ref="AR126:BL126" si="84">++SUM(AR122,AR124)</f>
        <v>0</v>
      </c>
      <c r="AS126" s="73">
        <f t="shared" si="84"/>
        <v>0</v>
      </c>
      <c r="AT126" s="73">
        <f t="shared" si="84"/>
        <v>0</v>
      </c>
      <c r="AU126" s="73">
        <f t="shared" si="84"/>
        <v>0</v>
      </c>
      <c r="AV126" s="73">
        <f t="shared" si="84"/>
        <v>0</v>
      </c>
      <c r="AW126" s="73">
        <f t="shared" si="84"/>
        <v>0</v>
      </c>
      <c r="AX126" s="73">
        <f t="shared" si="84"/>
        <v>0</v>
      </c>
      <c r="AY126" s="73">
        <f t="shared" si="84"/>
        <v>0</v>
      </c>
      <c r="AZ126" s="73">
        <f t="shared" si="84"/>
        <v>0</v>
      </c>
      <c r="BA126" s="73">
        <f t="shared" si="84"/>
        <v>0</v>
      </c>
      <c r="BB126" s="73">
        <f t="shared" si="84"/>
        <v>0</v>
      </c>
      <c r="BC126" s="73">
        <f t="shared" si="84"/>
        <v>0</v>
      </c>
      <c r="BD126" s="73">
        <f t="shared" si="84"/>
        <v>0</v>
      </c>
      <c r="BE126" s="73">
        <f t="shared" si="84"/>
        <v>0</v>
      </c>
      <c r="BF126" s="73">
        <f t="shared" si="84"/>
        <v>0</v>
      </c>
      <c r="BG126" s="73">
        <f t="shared" si="84"/>
        <v>0</v>
      </c>
      <c r="BH126" s="73">
        <f t="shared" si="84"/>
        <v>0</v>
      </c>
      <c r="BI126" s="73">
        <f t="shared" si="84"/>
        <v>0</v>
      </c>
      <c r="BJ126" s="73">
        <f t="shared" si="84"/>
        <v>0</v>
      </c>
      <c r="BK126" s="73">
        <f t="shared" si="84"/>
        <v>0</v>
      </c>
      <c r="BL126" s="73">
        <f t="shared" si="84"/>
        <v>0</v>
      </c>
    </row>
    <row r="127" spans="1:64" x14ac:dyDescent="0.2">
      <c r="C127" s="1" t="s">
        <v>47</v>
      </c>
      <c r="D127" s="51"/>
      <c r="E127" s="51"/>
      <c r="F127" s="51"/>
      <c r="G127" s="51"/>
      <c r="H127" s="51"/>
      <c r="I127" s="51"/>
      <c r="J127" s="51"/>
      <c r="K127" s="51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Q127" s="36">
        <v>0</v>
      </c>
      <c r="AR127" s="36">
        <v>0</v>
      </c>
      <c r="AS127" s="36">
        <v>0</v>
      </c>
      <c r="AT127" s="36">
        <v>0</v>
      </c>
      <c r="AU127" s="36">
        <v>0</v>
      </c>
      <c r="AV127" s="36">
        <v>0</v>
      </c>
      <c r="AW127" s="36">
        <v>0</v>
      </c>
      <c r="AX127" s="36">
        <v>0</v>
      </c>
      <c r="AY127" s="36">
        <v>0</v>
      </c>
      <c r="AZ127" s="36">
        <v>0</v>
      </c>
      <c r="BA127" s="36">
        <v>0</v>
      </c>
      <c r="BB127" s="36">
        <v>0</v>
      </c>
      <c r="BC127" s="36">
        <v>0</v>
      </c>
      <c r="BD127" s="36">
        <v>0</v>
      </c>
      <c r="BE127" s="36">
        <v>0</v>
      </c>
      <c r="BF127" s="36">
        <v>0</v>
      </c>
      <c r="BG127" s="36">
        <v>0</v>
      </c>
      <c r="BH127" s="36">
        <v>0</v>
      </c>
      <c r="BI127" s="36">
        <v>0</v>
      </c>
      <c r="BJ127" s="36">
        <v>0</v>
      </c>
      <c r="BK127" s="36">
        <v>0</v>
      </c>
      <c r="BL127" s="36">
        <v>0</v>
      </c>
    </row>
    <row r="128" spans="1:64" x14ac:dyDescent="0.2">
      <c r="C128" s="14" t="s">
        <v>48</v>
      </c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Q128" s="81">
        <f>++AQ126-AQ127</f>
        <v>0</v>
      </c>
      <c r="AR128" s="81">
        <f t="shared" ref="AR128:BL128" si="85">++AR126-AR127</f>
        <v>0</v>
      </c>
      <c r="AS128" s="81">
        <f t="shared" si="85"/>
        <v>0</v>
      </c>
      <c r="AT128" s="81">
        <f t="shared" si="85"/>
        <v>0</v>
      </c>
      <c r="AU128" s="81">
        <f t="shared" si="85"/>
        <v>0</v>
      </c>
      <c r="AV128" s="81">
        <f t="shared" si="85"/>
        <v>0</v>
      </c>
      <c r="AW128" s="81">
        <f t="shared" si="85"/>
        <v>0</v>
      </c>
      <c r="AX128" s="81">
        <f t="shared" si="85"/>
        <v>0</v>
      </c>
      <c r="AY128" s="81">
        <f t="shared" si="85"/>
        <v>0</v>
      </c>
      <c r="AZ128" s="81">
        <f t="shared" si="85"/>
        <v>0</v>
      </c>
      <c r="BA128" s="81">
        <f t="shared" si="85"/>
        <v>0</v>
      </c>
      <c r="BB128" s="81">
        <f t="shared" si="85"/>
        <v>0</v>
      </c>
      <c r="BC128" s="81">
        <f t="shared" si="85"/>
        <v>0</v>
      </c>
      <c r="BD128" s="81">
        <f t="shared" si="85"/>
        <v>0</v>
      </c>
      <c r="BE128" s="81">
        <f t="shared" si="85"/>
        <v>0</v>
      </c>
      <c r="BF128" s="81">
        <f t="shared" si="85"/>
        <v>0</v>
      </c>
      <c r="BG128" s="81">
        <f t="shared" si="85"/>
        <v>0</v>
      </c>
      <c r="BH128" s="81">
        <f t="shared" si="85"/>
        <v>0</v>
      </c>
      <c r="BI128" s="81">
        <f t="shared" si="85"/>
        <v>0</v>
      </c>
      <c r="BJ128" s="81">
        <f t="shared" si="85"/>
        <v>0</v>
      </c>
      <c r="BK128" s="81">
        <f t="shared" si="85"/>
        <v>0</v>
      </c>
      <c r="BL128" s="81">
        <f t="shared" si="85"/>
        <v>0</v>
      </c>
    </row>
  </sheetData>
  <dataValidations disablePrompts="1" count="1">
    <dataValidation type="list" allowBlank="1" showInputMessage="1" showErrorMessage="1" sqref="J63 J66 J78:J82" xr:uid="{A128B865-4543-4CF1-8093-80640246AF6C}">
      <formula1>"Before, After, $, N/A"</formula1>
    </dataValidation>
  </dataValidations>
  <pageMargins left="0.7" right="0.7" top="0.75" bottom="0.75" header="0.3" footer="0.3"/>
  <customProperties>
    <customPr name="OrphanNamesChecke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BGID xmlns="dc6d7f3b-2388-4907-95e9-67fe6707918b" xsi:nil="true"/>
    <Analyst xmlns="dc6d7f3b-2388-4907-95e9-67fe6707918b">
      <UserInfo>
        <DisplayName/>
        <AccountId xsi:nil="true"/>
        <AccountType/>
      </UserInfo>
    </Analyst>
    <OtherName xmlns="dc6d7f3b-2388-4907-95e9-67fe6707918b" xsi:nil="true"/>
    <TaxCatchAll xmlns="5adca3f6-50e5-45d3-816d-7d8e2e1aafa3" xsi:nil="true"/>
    <lcf76f155ced4ddcb4097134ff3c332f xmlns="dc6d7f3b-2388-4907-95e9-67fe6707918b">
      <Terms xmlns="http://schemas.microsoft.com/office/infopath/2007/PartnerControls"/>
    </lcf76f155ced4ddcb4097134ff3c332f>
    <LoanXID xmlns="dc6d7f3b-2388-4907-95e9-67fe670791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5D7B6EDD6B944996098F92CD81FE4" ma:contentTypeVersion="20" ma:contentTypeDescription="Create a new document." ma:contentTypeScope="" ma:versionID="c2fbab9bba8e931dae7869dce07a7632">
  <xsd:schema xmlns:xsd="http://www.w3.org/2001/XMLSchema" xmlns:xs="http://www.w3.org/2001/XMLSchema" xmlns:p="http://schemas.microsoft.com/office/2006/metadata/properties" xmlns:ns2="dc6d7f3b-2388-4907-95e9-67fe6707918b" xmlns:ns3="5adca3f6-50e5-45d3-816d-7d8e2e1aafa3" targetNamespace="http://schemas.microsoft.com/office/2006/metadata/properties" ma:root="true" ma:fieldsID="7f9b71cf218f09fb69a31198b8827546" ns2:_="" ns3:_="">
    <xsd:import namespace="dc6d7f3b-2388-4907-95e9-67fe6707918b"/>
    <xsd:import namespace="5adca3f6-50e5-45d3-816d-7d8e2e1aaf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oanXID" minOccurs="0"/>
                <xsd:element ref="ns2:BBGID" minOccurs="0"/>
                <xsd:element ref="ns2:OtherName" minOccurs="0"/>
                <xsd:element ref="ns2:Analys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d7f3b-2388-4907-95e9-67fe67079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oanXID" ma:index="14" nillable="true" ma:displayName="LoanXID" ma:format="Dropdown" ma:internalName="LoanXID">
      <xsd:simpleType>
        <xsd:restriction base="dms:Text">
          <xsd:maxLength value="255"/>
        </xsd:restriction>
      </xsd:simpleType>
    </xsd:element>
    <xsd:element name="BBGID" ma:index="15" nillable="true" ma:displayName="BBG ID" ma:format="Dropdown" ma:internalName="BBGID">
      <xsd:simpleType>
        <xsd:restriction base="dms:Text">
          <xsd:maxLength value="255"/>
        </xsd:restriction>
      </xsd:simpleType>
    </xsd:element>
    <xsd:element name="OtherName" ma:index="16" nillable="true" ma:displayName="Other Name" ma:format="Dropdown" ma:internalName="OtherName">
      <xsd:simpleType>
        <xsd:restriction base="dms:Text">
          <xsd:maxLength value="255"/>
        </xsd:restriction>
      </xsd:simpleType>
    </xsd:element>
    <xsd:element name="Analyst" ma:index="17" nillable="true" ma:displayName="Analyst" ma:format="Dropdown" ma:list="UserInfo" ma:SharePointGroup="0" ma:internalName="Analys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79f4741-edd0-46e2-ac4d-1126041b5b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ca3f6-50e5-45d3-816d-7d8e2e1aa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46f4493-59bb-4c92-aa70-2de8333e7a5a}" ma:internalName="TaxCatchAll" ma:showField="CatchAllData" ma:web="5adca3f6-50e5-45d3-816d-7d8e2e1aaf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39FE5D-255B-4857-B4BE-C44EE2AD07CC}">
  <ds:schemaRefs>
    <ds:schemaRef ds:uri="http://schemas.microsoft.com/office/2006/metadata/properties"/>
    <ds:schemaRef ds:uri="http://schemas.microsoft.com/office/infopath/2007/PartnerControls"/>
    <ds:schemaRef ds:uri="dc6d7f3b-2388-4907-95e9-67fe6707918b"/>
    <ds:schemaRef ds:uri="5adca3f6-50e5-45d3-816d-7d8e2e1aafa3"/>
  </ds:schemaRefs>
</ds:datastoreItem>
</file>

<file path=customXml/itemProps2.xml><?xml version="1.0" encoding="utf-8"?>
<ds:datastoreItem xmlns:ds="http://schemas.openxmlformats.org/officeDocument/2006/customXml" ds:itemID="{F5F01898-6DF8-40AA-B94C-C72C69E3C1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8D29E6-083F-42A2-804F-27BA8D4430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6d7f3b-2388-4907-95e9-67fe6707918b"/>
    <ds:schemaRef ds:uri="5adca3f6-50e5-45d3-816d-7d8e2e1aa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Gormley, Ryan</dc:creator>
  <cp:keywords/>
  <dc:description/>
  <cp:lastModifiedBy>Smith, Sarah</cp:lastModifiedBy>
  <cp:revision/>
  <dcterms:created xsi:type="dcterms:W3CDTF">2024-12-03T17:18:42Z</dcterms:created>
  <dcterms:modified xsi:type="dcterms:W3CDTF">2026-02-23T23:07:49Z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0x0101000CD5D7B6EDD6B944996098F92CD81FE4</vt:lpwstr>
  </property>
  <property fmtid="{D5CDD505-2E9C-101B-9397-08002B2CF9AE}" pid="3" name="MediaServiceImageTags">
    <vt:lpwstr/>
  </property>
  <property fmtid="{D5CDD505-2E9C-101B-9397-08002B2CF9AE}" pid="4" name="{A44787D4-0540-4523-9961-78E4036D8C6D}">
    <vt:lpwstr>{907373E8-FDAF-4AAB-B5CD-F2B327D5041C}</vt:lpwstr>
  </property>
</Properties>
</file>