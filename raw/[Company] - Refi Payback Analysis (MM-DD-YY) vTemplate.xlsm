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centerbridge.sharepoint.com/sites/Overland/Shared Documents/00 Underwriting Templates/03 Excel Templates/"/>
    </mc:Choice>
  </mc:AlternateContent>
  <xr:revisionPtr revIDLastSave="252" documentId="8_{7901285F-5676-44FD-8FC8-C8915186556A}" xr6:coauthVersionLast="47" xr6:coauthVersionMax="47" xr10:uidLastSave="{80B2F162-F438-49ED-ACFA-781D656A1BE9}"/>
  <bookViews>
    <workbookView xWindow="43080" yWindow="-120" windowWidth="29040" windowHeight="17520" xr2:uid="{5521B851-37A1-446D-8DB7-C9C0334C9259}"/>
  </bookViews>
  <sheets>
    <sheet name="Sheet1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_xlnm.Print_Area" localSheetId="0">Sheet1!$B$3:$P$66</definedName>
  </definedNames>
  <calcPr calcId="191028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" i="1" l="1"/>
  <c r="B17" i="1" l="1"/>
  <c r="B16" i="1"/>
  <c r="B15" i="1"/>
  <c r="P17" i="1"/>
  <c r="L15" i="1"/>
  <c r="G40" i="1" l="1"/>
  <c r="F40" i="1"/>
  <c r="M40" i="1"/>
  <c r="L40" i="1"/>
  <c r="L22" i="1"/>
  <c r="L18" i="1"/>
  <c r="M50" i="1" l="1"/>
  <c r="M51" i="1" s="1"/>
  <c r="L13" i="1"/>
  <c r="L27" i="1" s="1"/>
  <c r="L16" i="1"/>
  <c r="L51" i="1"/>
  <c r="F51" i="1"/>
  <c r="F52" i="1" s="1"/>
  <c r="N52" i="1"/>
  <c r="L52" i="1"/>
  <c r="O49" i="1"/>
  <c r="H52" i="1"/>
  <c r="G52" i="1"/>
  <c r="F16" i="1"/>
  <c r="I50" i="1"/>
  <c r="J50" i="1" s="1"/>
  <c r="I49" i="1"/>
  <c r="J49" i="1" s="1"/>
  <c r="N40" i="1"/>
  <c r="P40" i="1" s="1"/>
  <c r="N39" i="1"/>
  <c r="N38" i="1"/>
  <c r="P38" i="1" s="1"/>
  <c r="F27" i="1"/>
  <c r="H40" i="1"/>
  <c r="J40" i="1" s="1"/>
  <c r="H39" i="1"/>
  <c r="H38" i="1"/>
  <c r="J38" i="1" s="1"/>
  <c r="B40" i="1"/>
  <c r="B39" i="1"/>
  <c r="M30" i="1"/>
  <c r="M15" i="1" s="1"/>
  <c r="J17" i="1"/>
  <c r="G22" i="1"/>
  <c r="G18" i="1"/>
  <c r="G17" i="1"/>
  <c r="G15" i="1"/>
  <c r="H31" i="1"/>
  <c r="H15" i="1" s="1"/>
  <c r="O50" i="1" l="1"/>
  <c r="P50" i="1" s="1"/>
  <c r="L53" i="1"/>
  <c r="F19" i="1"/>
  <c r="F20" i="1" s="1"/>
  <c r="H20" i="1" s="1"/>
  <c r="J39" i="1"/>
  <c r="J41" i="1" s="1"/>
  <c r="L19" i="1"/>
  <c r="M19" i="1" s="1"/>
  <c r="P39" i="1"/>
  <c r="L28" i="1"/>
  <c r="N53" i="1"/>
  <c r="O51" i="1"/>
  <c r="P51" i="1" s="1"/>
  <c r="M52" i="1"/>
  <c r="M53" i="1" s="1"/>
  <c r="I51" i="1"/>
  <c r="J51" i="1" s="1"/>
  <c r="J52" i="1" s="1"/>
  <c r="P49" i="1"/>
  <c r="G16" i="1"/>
  <c r="F41" i="1"/>
  <c r="N41" i="1"/>
  <c r="L41" i="1"/>
  <c r="M22" i="1"/>
  <c r="H41" i="1"/>
  <c r="H18" i="1"/>
  <c r="H22" i="1"/>
  <c r="N31" i="1"/>
  <c r="N22" i="1" s="1"/>
  <c r="M16" i="1"/>
  <c r="H16" i="1"/>
  <c r="M17" i="1"/>
  <c r="H17" i="1"/>
  <c r="M18" i="1"/>
  <c r="L20" i="1" l="1"/>
  <c r="M20" i="1" s="1"/>
  <c r="L23" i="1"/>
  <c r="N23" i="1" s="1"/>
  <c r="G20" i="1"/>
  <c r="H19" i="1"/>
  <c r="G19" i="1"/>
  <c r="F23" i="1"/>
  <c r="G23" i="1" s="1"/>
  <c r="N42" i="1"/>
  <c r="L42" i="1"/>
  <c r="J58" i="1"/>
  <c r="I52" i="1"/>
  <c r="P52" i="1"/>
  <c r="P53" i="1" s="1"/>
  <c r="P41" i="1"/>
  <c r="P42" i="1" s="1"/>
  <c r="F65" i="1" s="1"/>
  <c r="N16" i="1"/>
  <c r="N17" i="1"/>
  <c r="N18" i="1"/>
  <c r="N19" i="1"/>
  <c r="N15" i="1"/>
  <c r="H23" i="1" l="1"/>
  <c r="F24" i="1"/>
  <c r="H24" i="1" s="1"/>
  <c r="L24" i="1"/>
  <c r="N24" i="1" s="1"/>
  <c r="N25" i="1" s="1"/>
  <c r="M23" i="1"/>
  <c r="N20" i="1"/>
  <c r="P58" i="1"/>
  <c r="P59" i="1" s="1"/>
  <c r="F64" i="1" s="1"/>
  <c r="F66" i="1" s="1"/>
  <c r="O52" i="1"/>
  <c r="O53" i="1" s="1"/>
  <c r="G24" i="1"/>
  <c r="M24" i="1" l="1"/>
  <c r="M25" i="1" s="1"/>
  <c r="L25" i="1"/>
</calcChain>
</file>

<file path=xl/sharedStrings.xml><?xml version="1.0" encoding="utf-8"?>
<sst xmlns="http://schemas.openxmlformats.org/spreadsheetml/2006/main" count="80" uniqueCount="52">
  <si>
    <t>Structure Summary</t>
  </si>
  <si>
    <t>USD in 000s</t>
  </si>
  <si>
    <t>Scenario A: Wells &amp; Overland [1L / Split-Lien] Refi</t>
  </si>
  <si>
    <t>Scenario B: [Existing Facilities / Incumbent Proposal / BSL Refi]</t>
  </si>
  <si>
    <t>Multiple</t>
  </si>
  <si>
    <t>$</t>
  </si>
  <si>
    <t>Adjusted</t>
  </si>
  <si>
    <t>Financeable</t>
  </si>
  <si>
    <t>Tenor</t>
  </si>
  <si>
    <t>Call Pro</t>
  </si>
  <si>
    <t>[Prio / ABL] Revolver (Total Facility)</t>
  </si>
  <si>
    <t>[First Lien] Term Loan (Total Facility</t>
  </si>
  <si>
    <t>[First Lien] DDTL (Total Facility)</t>
  </si>
  <si>
    <t>Cash &amp; Equivalents</t>
  </si>
  <si>
    <t>5 Years</t>
  </si>
  <si>
    <t>n/a</t>
  </si>
  <si>
    <t>102 / 101</t>
  </si>
  <si>
    <t>Capital Leases</t>
  </si>
  <si>
    <t>Senior Debt</t>
  </si>
  <si>
    <t>Senior Net Debt</t>
  </si>
  <si>
    <t>Seller Notes</t>
  </si>
  <si>
    <t>Total Debt</t>
  </si>
  <si>
    <t>Total Net Debt</t>
  </si>
  <si>
    <t>∆ Scenario A</t>
  </si>
  <si>
    <t>Liquidity (Cash + Undrawn RCF + DDTL)</t>
  </si>
  <si>
    <t>LTM PF Adjusted EBITDA</t>
  </si>
  <si>
    <t>LTM Financeable EBITDA</t>
  </si>
  <si>
    <t>Interest Summary</t>
  </si>
  <si>
    <t>USD 3mo Term SOFR</t>
  </si>
  <si>
    <t>Spread</t>
  </si>
  <si>
    <t>Floor</t>
  </si>
  <si>
    <t>All-In</t>
  </si>
  <si>
    <t>Unused</t>
  </si>
  <si>
    <t>Interest $</t>
  </si>
  <si>
    <t>Total / Average</t>
  </si>
  <si>
    <t>Fees &amp; Expenses Summary</t>
  </si>
  <si>
    <t>OID</t>
  </si>
  <si>
    <t>UW Fee</t>
  </si>
  <si>
    <t>Other Fee(s)</t>
  </si>
  <si>
    <t>Total (%)</t>
  </si>
  <si>
    <t>Total ($)</t>
  </si>
  <si>
    <t>ABL Revolver</t>
  </si>
  <si>
    <t>First Lien Term Loan</t>
  </si>
  <si>
    <t>First Lien DDTL</t>
  </si>
  <si>
    <t>Ratings</t>
  </si>
  <si>
    <t>Legal</t>
  </si>
  <si>
    <t>QoE, Misc., &amp; OOP</t>
  </si>
  <si>
    <t>Total Fees &amp; Expenses</t>
  </si>
  <si>
    <t>Payback Analysis (Scenario B vs. Scenario A)</t>
  </si>
  <si>
    <t>Incremental Scenario B Fees</t>
  </si>
  <si>
    <t>∆ Annual Scenario A Interest Savings</t>
  </si>
  <si>
    <t>Payback Period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</si>
</sst>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&quot;$&quot;#,##0_);\(&quot;$&quot;#,##0\);&quot;$--&quot;_);@_)"/>
    <numFmt numFmtId="165" formatCode="#,##0_);\(#,##0\);&quot;--&quot;_);@_)"/>
    <numFmt numFmtId="166" formatCode="#,##0.00\x_);\(#,##0.00\x\);&quot;--x&quot;_);@_)"/>
    <numFmt numFmtId="167" formatCode="#,##0.000%_);\(#,##0.000%\);&quot;--%&quot;_);@_)"/>
    <numFmt numFmtId="168" formatCode="&quot;S + &quot;#,##0_);&quot;S + &quot;\(#,##0\);&quot;S + --&quot;_);@_)"/>
  </numFmts>
  <fonts count="11" x14ac:knownFonts="1">
    <font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u val="singleAccounting"/>
      <sz val="10"/>
      <color theme="1"/>
      <name val="Calibri"/>
      <family val="2"/>
    </font>
    <font>
      <sz val="10"/>
      <color rgb="FF0000FF"/>
      <name val="Calibri"/>
      <family val="2"/>
    </font>
    <font>
      <b/>
      <i/>
      <sz val="10"/>
      <color theme="1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i/>
      <sz val="10"/>
      <color rgb="FF000000"/>
      <name val="Calibri"/>
      <family val="2"/>
    </font>
    <font>
      <b/>
      <u val="singleAccounting"/>
      <sz val="10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3" fillId="0" borderId="0" xfId="0" applyFont="1"/>
    <xf numFmtId="44" fontId="4" fillId="0" borderId="0" xfId="0" applyNumberFormat="1" applyFont="1" applyAlignment="1">
      <alignment horizontal="center"/>
    </xf>
    <xf numFmtId="44" fontId="4" fillId="0" borderId="0" xfId="0" applyNumberFormat="1" applyFont="1" applyAlignment="1">
      <alignment horizontal="centerContinuous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4" fontId="3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right"/>
    </xf>
    <xf numFmtId="0" fontId="0" fillId="0" borderId="2" xfId="0" applyBorder="1"/>
    <xf numFmtId="165" fontId="0" fillId="0" borderId="2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0" fontId="2" fillId="0" borderId="0" xfId="0" applyFont="1"/>
    <xf numFmtId="0" fontId="3" fillId="0" borderId="0" xfId="0" applyFont="1" applyAlignment="1">
      <alignment horizontal="left" indent="1"/>
    </xf>
    <xf numFmtId="0" fontId="0" fillId="2" borderId="0" xfId="0" applyFill="1"/>
    <xf numFmtId="0" fontId="1" fillId="2" borderId="0" xfId="0" applyFont="1" applyFill="1"/>
    <xf numFmtId="0" fontId="2" fillId="3" borderId="0" xfId="0" applyFont="1" applyFill="1"/>
    <xf numFmtId="0" fontId="0" fillId="3" borderId="0" xfId="0" applyFill="1"/>
    <xf numFmtId="164" fontId="2" fillId="3" borderId="0" xfId="0" applyNumberFormat="1" applyFont="1" applyFill="1" applyAlignment="1">
      <alignment horizontal="right"/>
    </xf>
    <xf numFmtId="166" fontId="2" fillId="3" borderId="0" xfId="0" applyNumberFormat="1" applyFont="1" applyFill="1" applyAlignment="1">
      <alignment horizontal="right"/>
    </xf>
    <xf numFmtId="0" fontId="0" fillId="4" borderId="3" xfId="0" applyFill="1" applyBorder="1"/>
    <xf numFmtId="0" fontId="0" fillId="4" borderId="4" xfId="0" applyFill="1" applyBorder="1"/>
    <xf numFmtId="164" fontId="0" fillId="4" borderId="4" xfId="0" applyNumberForma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2" xfId="0" applyFill="1" applyBorder="1"/>
    <xf numFmtId="164" fontId="0" fillId="4" borderId="2" xfId="0" applyNumberFormat="1" applyFill="1" applyBorder="1"/>
    <xf numFmtId="0" fontId="0" fillId="4" borderId="7" xfId="0" applyFill="1" applyBorder="1"/>
    <xf numFmtId="168" fontId="5" fillId="0" borderId="0" xfId="0" applyNumberFormat="1" applyFont="1" applyAlignment="1">
      <alignment horizontal="right"/>
    </xf>
    <xf numFmtId="167" fontId="0" fillId="0" borderId="0" xfId="0" applyNumberFormat="1" applyAlignment="1">
      <alignment horizontal="right"/>
    </xf>
    <xf numFmtId="168" fontId="5" fillId="0" borderId="2" xfId="0" applyNumberFormat="1" applyFon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8" fontId="2" fillId="3" borderId="0" xfId="0" applyNumberFormat="1" applyFont="1" applyFill="1" applyAlignment="1">
      <alignment horizontal="right"/>
    </xf>
    <xf numFmtId="167" fontId="0" fillId="3" borderId="0" xfId="0" applyNumberFormat="1" applyFill="1" applyAlignment="1">
      <alignment horizontal="right"/>
    </xf>
    <xf numFmtId="167" fontId="2" fillId="3" borderId="0" xfId="0" applyNumberFormat="1" applyFont="1" applyFill="1" applyAlignment="1">
      <alignment horizontal="right"/>
    </xf>
    <xf numFmtId="165" fontId="0" fillId="0" borderId="2" xfId="0" applyNumberFormat="1" applyBorder="1"/>
    <xf numFmtId="165" fontId="7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164" fontId="2" fillId="0" borderId="0" xfId="0" applyNumberFormat="1" applyFont="1"/>
    <xf numFmtId="0" fontId="0" fillId="4" borderId="0" xfId="0" applyFill="1"/>
    <xf numFmtId="0" fontId="2" fillId="3" borderId="8" xfId="0" applyFont="1" applyFill="1" applyBorder="1"/>
    <xf numFmtId="0" fontId="0" fillId="3" borderId="8" xfId="0" applyFill="1" applyBorder="1"/>
    <xf numFmtId="164" fontId="2" fillId="3" borderId="8" xfId="0" applyNumberFormat="1" applyFont="1" applyFill="1" applyBorder="1"/>
    <xf numFmtId="167" fontId="0" fillId="0" borderId="0" xfId="0" applyNumberFormat="1"/>
    <xf numFmtId="167" fontId="0" fillId="0" borderId="2" xfId="0" applyNumberFormat="1" applyBorder="1"/>
    <xf numFmtId="0" fontId="6" fillId="0" borderId="0" xfId="0" applyFont="1" applyAlignment="1">
      <alignment horizontal="left" indent="1"/>
    </xf>
    <xf numFmtId="164" fontId="6" fillId="0" borderId="0" xfId="0" applyNumberFormat="1" applyFont="1"/>
    <xf numFmtId="168" fontId="9" fillId="0" borderId="0" xfId="0" applyNumberFormat="1" applyFont="1" applyAlignment="1">
      <alignment horizontal="right"/>
    </xf>
    <xf numFmtId="167" fontId="6" fillId="0" borderId="0" xfId="0" applyNumberFormat="1" applyFont="1" applyAlignment="1">
      <alignment horizontal="right"/>
    </xf>
    <xf numFmtId="167" fontId="3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44" fontId="4" fillId="2" borderId="0" xfId="0" applyNumberFormat="1" applyFont="1" applyFill="1" applyAlignment="1">
      <alignment horizontal="centerContinuous"/>
    </xf>
    <xf numFmtId="44" fontId="10" fillId="2" borderId="0" xfId="0" applyNumberFormat="1" applyFont="1" applyFill="1" applyAlignment="1">
      <alignment horizontal="centerContinuous"/>
    </xf>
    <xf numFmtId="0" fontId="2" fillId="5" borderId="8" xfId="0" applyFont="1" applyFill="1" applyBorder="1"/>
    <xf numFmtId="0" fontId="0" fillId="5" borderId="8" xfId="0" applyFill="1" applyBorder="1"/>
    <xf numFmtId="166" fontId="2" fillId="5" borderId="8" xfId="0" applyNumberFormat="1" applyFont="1" applyFill="1" applyBorder="1"/>
    <xf numFmtId="167" fontId="5" fillId="6" borderId="1" xfId="0" applyNumberFormat="1" applyFont="1" applyFill="1" applyBorder="1"/>
    <xf numFmtId="167" fontId="0" fillId="4" borderId="0" xfId="0" applyNumberFormat="1" applyFill="1" applyAlignment="1">
      <alignment horizontal="right"/>
    </xf>
    <xf numFmtId="164" fontId="5" fillId="6" borderId="0" xfId="0" applyNumberFormat="1" applyFont="1" applyFill="1"/>
    <xf numFmtId="165" fontId="5" fillId="6" borderId="0" xfId="0" applyNumberFormat="1" applyFont="1" applyFill="1" applyAlignment="1">
      <alignment horizontal="right"/>
    </xf>
    <xf numFmtId="165" fontId="5" fillId="6" borderId="2" xfId="0" applyNumberFormat="1" applyFont="1" applyFill="1" applyBorder="1" applyAlignment="1">
      <alignment horizontal="right"/>
    </xf>
    <xf numFmtId="164" fontId="5" fillId="6" borderId="4" xfId="0" applyNumberFormat="1" applyFont="1" applyFill="1" applyBorder="1"/>
    <xf numFmtId="164" fontId="5" fillId="6" borderId="2" xfId="0" applyNumberFormat="1" applyFont="1" applyFill="1" applyBorder="1"/>
    <xf numFmtId="168" fontId="5" fillId="6" borderId="0" xfId="0" applyNumberFormat="1" applyFont="1" applyFill="1" applyAlignment="1">
      <alignment horizontal="right"/>
    </xf>
    <xf numFmtId="168" fontId="5" fillId="6" borderId="2" xfId="0" applyNumberFormat="1" applyFont="1" applyFill="1" applyBorder="1" applyAlignment="1">
      <alignment horizontal="right"/>
    </xf>
    <xf numFmtId="167" fontId="5" fillId="6" borderId="0" xfId="0" applyNumberFormat="1" applyFont="1" applyFill="1" applyAlignment="1">
      <alignment horizontal="right"/>
    </xf>
    <xf numFmtId="167" fontId="5" fillId="6" borderId="2" xfId="0" applyNumberFormat="1" applyFont="1" applyFill="1" applyBorder="1" applyAlignment="1">
      <alignment horizontal="right"/>
    </xf>
    <xf numFmtId="165" fontId="5" fillId="6" borderId="0" xfId="0" applyNumberFormat="1" applyFont="1" applyFill="1"/>
    <xf numFmtId="0" fontId="5" fillId="6" borderId="0" xfId="0" applyFont="1" applyFill="1" applyAlignment="1">
      <alignment horizontal="center"/>
    </xf>
    <xf numFmtId="0" fontId="0" fillId="6" borderId="0" xfId="0" applyFill="1"/>
    <xf numFmtId="0" fontId="5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2024 Centerbridge PPT Template">
  <a:themeElements>
    <a:clrScheme name="Centerbridge">
      <a:dk1>
        <a:sysClr val="windowText" lastClr="000000"/>
      </a:dk1>
      <a:lt1>
        <a:srgbClr val="FFFFFF"/>
      </a:lt1>
      <a:dk2>
        <a:srgbClr val="00453F"/>
      </a:dk2>
      <a:lt2>
        <a:srgbClr val="F3F3F3"/>
      </a:lt2>
      <a:accent1>
        <a:srgbClr val="49839F"/>
      </a:accent1>
      <a:accent2>
        <a:srgbClr val="1C4A68"/>
      </a:accent2>
      <a:accent3>
        <a:srgbClr val="AFBE70"/>
      </a:accent3>
      <a:accent4>
        <a:srgbClr val="328F85"/>
      </a:accent4>
      <a:accent5>
        <a:srgbClr val="9098A4"/>
      </a:accent5>
      <a:accent6>
        <a:srgbClr val="5D616C"/>
      </a:accent6>
      <a:hlink>
        <a:srgbClr val="49839F"/>
      </a:hlink>
      <a:folHlink>
        <a:srgbClr val="2E3035"/>
      </a:folHlink>
    </a:clrScheme>
    <a:fontScheme name="Offic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chemeClr val="accent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2024 Centerbridge PPT Template" id="{E338F891-CCA0-4B3E-B1B4-BAC7D2572629}" vid="{46F8C29D-BADC-4AC5-B9B3-5C7D1CE9F84E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EF805-EE19-4779-9E00-F5F6BB718C7B}">
  <sheetPr>
    <pageSetUpPr fitToPage="1"/>
  </sheetPr>
  <dimension ref="B3:P67"/>
  <sheetViews>
    <sheetView showGridLines="0" tabSelected="1" view="pageBreakPreview" zoomScale="85" zoomScaleNormal="85" zoomScaleSheetLayoutView="85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F17" sqref="F17"/>
    </sheetView>
  </sheetViews>
  <sheetFormatPr defaultRowHeight="12.75" x14ac:dyDescent="0.2"/>
  <cols>
    <col min="2" max="4" width="11.28515625" customWidth="1"/>
    <col min="5" max="5" width="2.7109375" customWidth="1"/>
    <col min="6" max="10" width="11.28515625" customWidth="1"/>
    <col min="11" max="11" width="2.7109375" customWidth="1"/>
    <col min="12" max="16" width="11.28515625" customWidth="1"/>
  </cols>
  <sheetData>
    <row r="3" spans="2:16" x14ac:dyDescent="0.2">
      <c r="B3" s="18" t="s">
        <v>0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</row>
    <row r="4" spans="2:16" ht="5.0999999999999996" customHeight="1" x14ac:dyDescent="0.2"/>
    <row r="5" spans="2:16" ht="15" x14ac:dyDescent="0.35">
      <c r="B5" s="1" t="s">
        <v>1</v>
      </c>
      <c r="F5" s="56" t="s">
        <v>2</v>
      </c>
      <c r="G5" s="55"/>
      <c r="H5" s="55"/>
      <c r="I5" s="55"/>
      <c r="J5" s="55"/>
      <c r="L5" s="56" t="s">
        <v>3</v>
      </c>
      <c r="M5" s="55"/>
      <c r="N5" s="55"/>
      <c r="O5" s="55"/>
      <c r="P5" s="55"/>
    </row>
    <row r="6" spans="2:16" ht="15" x14ac:dyDescent="0.35">
      <c r="G6" s="3" t="s">
        <v>4</v>
      </c>
      <c r="H6" s="3"/>
      <c r="M6" s="3" t="s">
        <v>4</v>
      </c>
      <c r="N6" s="3"/>
    </row>
    <row r="7" spans="2:16" ht="15" x14ac:dyDescent="0.35"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L7" s="2" t="s">
        <v>5</v>
      </c>
      <c r="M7" s="2" t="s">
        <v>6</v>
      </c>
      <c r="N7" s="2" t="s">
        <v>7</v>
      </c>
      <c r="O7" s="2" t="s">
        <v>8</v>
      </c>
      <c r="P7" s="2" t="s">
        <v>9</v>
      </c>
    </row>
    <row r="8" spans="2:16" ht="5.0999999999999996" customHeight="1" x14ac:dyDescent="0.2"/>
    <row r="9" spans="2:16" x14ac:dyDescent="0.2">
      <c r="B9" s="74" t="s">
        <v>10</v>
      </c>
      <c r="C9" s="73"/>
      <c r="D9" s="73"/>
      <c r="F9" s="62">
        <v>0</v>
      </c>
      <c r="G9" s="6"/>
      <c r="H9" s="6"/>
      <c r="L9" s="62">
        <v>0</v>
      </c>
      <c r="M9" s="6"/>
      <c r="N9" s="6"/>
    </row>
    <row r="10" spans="2:16" x14ac:dyDescent="0.2">
      <c r="B10" s="74" t="s">
        <v>11</v>
      </c>
      <c r="C10" s="73"/>
      <c r="D10" s="73"/>
      <c r="F10" s="62">
        <v>0</v>
      </c>
      <c r="G10" s="6"/>
      <c r="H10" s="6"/>
      <c r="L10" s="62">
        <v>0</v>
      </c>
      <c r="M10" s="6"/>
      <c r="N10" s="6"/>
    </row>
    <row r="11" spans="2:16" x14ac:dyDescent="0.2">
      <c r="B11" s="74" t="s">
        <v>12</v>
      </c>
      <c r="C11" s="73"/>
      <c r="D11" s="73"/>
      <c r="F11" s="62">
        <v>0</v>
      </c>
      <c r="G11" s="6"/>
      <c r="H11" s="6"/>
      <c r="L11" s="62">
        <v>0</v>
      </c>
      <c r="M11" s="6"/>
      <c r="N11" s="6"/>
    </row>
    <row r="13" spans="2:16" x14ac:dyDescent="0.2">
      <c r="B13" t="s">
        <v>13</v>
      </c>
      <c r="F13" s="62">
        <v>0</v>
      </c>
      <c r="G13" s="6"/>
      <c r="H13" s="6"/>
      <c r="L13" s="62">
        <f>++F13</f>
        <v>0</v>
      </c>
      <c r="M13" s="6"/>
      <c r="N13" s="6"/>
    </row>
    <row r="15" spans="2:16" x14ac:dyDescent="0.2">
      <c r="B15" t="str">
        <f>++LEFT(B9,SEARCH(" (",B9)-1)&amp;" (Drawn)"</f>
        <v>[Prio / ABL] Revolver (Drawn)</v>
      </c>
      <c r="F15" s="63">
        <v>0</v>
      </c>
      <c r="G15" s="9">
        <f t="shared" ref="G15:G20" si="0">++IFERROR(F15/G$30,0)</f>
        <v>0</v>
      </c>
      <c r="H15" s="9">
        <f t="shared" ref="H15:H20" si="1">++IFERROR(F15/H$31,0)</f>
        <v>0</v>
      </c>
      <c r="I15" s="72" t="s">
        <v>14</v>
      </c>
      <c r="J15" s="72" t="s">
        <v>15</v>
      </c>
      <c r="L15" s="63">
        <f>++F15</f>
        <v>0</v>
      </c>
      <c r="M15" s="9">
        <f t="shared" ref="M15:M20" si="2">++IFERROR(L15/M$30,0)</f>
        <v>0</v>
      </c>
      <c r="N15" s="9">
        <f t="shared" ref="N15:N20" si="3">++IFERROR(L15/N$31,0)</f>
        <v>0</v>
      </c>
      <c r="O15" s="72" t="s">
        <v>14</v>
      </c>
      <c r="P15" s="72" t="s">
        <v>15</v>
      </c>
    </row>
    <row r="16" spans="2:16" x14ac:dyDescent="0.2">
      <c r="B16" t="str">
        <f>++LEFT(B10,SEARCH(" (",B10)-1)</f>
        <v>[First Lien] Term Loan</v>
      </c>
      <c r="F16" s="39">
        <f>++F10</f>
        <v>0</v>
      </c>
      <c r="G16" s="9">
        <f t="shared" si="0"/>
        <v>0</v>
      </c>
      <c r="H16" s="9">
        <f t="shared" si="1"/>
        <v>0</v>
      </c>
      <c r="I16" s="72" t="s">
        <v>14</v>
      </c>
      <c r="J16" s="72" t="s">
        <v>16</v>
      </c>
      <c r="L16" s="39">
        <f>++L10</f>
        <v>0</v>
      </c>
      <c r="M16" s="9">
        <f t="shared" si="2"/>
        <v>0</v>
      </c>
      <c r="N16" s="9">
        <f t="shared" si="3"/>
        <v>0</v>
      </c>
      <c r="O16" s="72" t="s">
        <v>14</v>
      </c>
      <c r="P16" s="72" t="s">
        <v>16</v>
      </c>
    </row>
    <row r="17" spans="2:16" x14ac:dyDescent="0.2">
      <c r="B17" t="str">
        <f t="shared" ref="B17" si="4">++LEFT(B11,SEARCH(" (",B11)-1)</f>
        <v>[First Lien] DDTL</v>
      </c>
      <c r="F17" s="63">
        <v>0</v>
      </c>
      <c r="G17" s="9">
        <f t="shared" si="0"/>
        <v>0</v>
      </c>
      <c r="H17" s="9">
        <f t="shared" si="1"/>
        <v>0</v>
      </c>
      <c r="I17" s="72" t="s">
        <v>14</v>
      </c>
      <c r="J17" s="72" t="str">
        <f>++J16</f>
        <v>102 / 101</v>
      </c>
      <c r="L17" s="63">
        <v>0</v>
      </c>
      <c r="M17" s="9">
        <f t="shared" si="2"/>
        <v>0</v>
      </c>
      <c r="N17" s="9">
        <f t="shared" si="3"/>
        <v>0</v>
      </c>
      <c r="O17" s="72" t="s">
        <v>14</v>
      </c>
      <c r="P17" s="72" t="str">
        <f>++P16</f>
        <v>102 / 101</v>
      </c>
    </row>
    <row r="18" spans="2:16" x14ac:dyDescent="0.2">
      <c r="B18" s="12" t="s">
        <v>17</v>
      </c>
      <c r="C18" s="12"/>
      <c r="D18" s="12"/>
      <c r="F18" s="64">
        <v>0</v>
      </c>
      <c r="G18" s="14">
        <f t="shared" si="0"/>
        <v>0</v>
      </c>
      <c r="H18" s="14">
        <f t="shared" si="1"/>
        <v>0</v>
      </c>
      <c r="I18" s="12"/>
      <c r="J18" s="12"/>
      <c r="L18" s="64">
        <f>++F18</f>
        <v>0</v>
      </c>
      <c r="M18" s="14">
        <f t="shared" si="2"/>
        <v>0</v>
      </c>
      <c r="N18" s="14">
        <f t="shared" si="3"/>
        <v>0</v>
      </c>
      <c r="O18" s="12"/>
      <c r="P18" s="12"/>
    </row>
    <row r="19" spans="2:16" x14ac:dyDescent="0.2">
      <c r="B19" s="19" t="s">
        <v>18</v>
      </c>
      <c r="C19" s="20"/>
      <c r="D19" s="20"/>
      <c r="E19" s="20"/>
      <c r="F19" s="21">
        <f>++SUM(F15:F18)</f>
        <v>0</v>
      </c>
      <c r="G19" s="22">
        <f t="shared" si="0"/>
        <v>0</v>
      </c>
      <c r="H19" s="22">
        <f t="shared" si="1"/>
        <v>0</v>
      </c>
      <c r="I19" s="19"/>
      <c r="J19" s="19"/>
      <c r="L19" s="21">
        <f>++SUM(L15:L18)</f>
        <v>0</v>
      </c>
      <c r="M19" s="22">
        <f t="shared" si="2"/>
        <v>0</v>
      </c>
      <c r="N19" s="22">
        <f t="shared" si="3"/>
        <v>0</v>
      </c>
      <c r="O19" s="19"/>
      <c r="P19" s="19"/>
    </row>
    <row r="20" spans="2:16" x14ac:dyDescent="0.2">
      <c r="B20" s="16" t="s">
        <v>19</v>
      </c>
      <c r="F20" s="10">
        <f>++F19-F$13</f>
        <v>0</v>
      </c>
      <c r="G20" s="11">
        <f t="shared" si="0"/>
        <v>0</v>
      </c>
      <c r="H20" s="11">
        <f t="shared" si="1"/>
        <v>0</v>
      </c>
      <c r="L20" s="10">
        <f>++L19-L$13</f>
        <v>0</v>
      </c>
      <c r="M20" s="11">
        <f t="shared" si="2"/>
        <v>0</v>
      </c>
      <c r="N20" s="11">
        <f t="shared" si="3"/>
        <v>0</v>
      </c>
    </row>
    <row r="22" spans="2:16" x14ac:dyDescent="0.2">
      <c r="B22" s="12" t="s">
        <v>20</v>
      </c>
      <c r="C22" s="12"/>
      <c r="D22" s="12"/>
      <c r="F22" s="64">
        <v>0</v>
      </c>
      <c r="G22" s="14">
        <f>++IFERROR(F22/G$30,0)</f>
        <v>0</v>
      </c>
      <c r="H22" s="14">
        <f>++IFERROR(F22/H$31,0)</f>
        <v>0</v>
      </c>
      <c r="I22" s="12"/>
      <c r="J22" s="12"/>
      <c r="L22" s="64">
        <f>++F22</f>
        <v>0</v>
      </c>
      <c r="M22" s="14">
        <f>++IFERROR(L22/M$30,0)</f>
        <v>0</v>
      </c>
      <c r="N22" s="14">
        <f>++IFERROR(L22/N$31,0)</f>
        <v>0</v>
      </c>
      <c r="O22" s="12"/>
      <c r="P22" s="12"/>
    </row>
    <row r="23" spans="2:16" x14ac:dyDescent="0.2">
      <c r="B23" s="19" t="s">
        <v>21</v>
      </c>
      <c r="C23" s="20"/>
      <c r="D23" s="20"/>
      <c r="E23" s="20"/>
      <c r="F23" s="21">
        <f>++SUM(F19,F22)</f>
        <v>0</v>
      </c>
      <c r="G23" s="22">
        <f>++IFERROR(F23/G$30,0)</f>
        <v>0</v>
      </c>
      <c r="H23" s="22">
        <f>++IFERROR(F23/H$31,0)</f>
        <v>0</v>
      </c>
      <c r="I23" s="19"/>
      <c r="J23" s="19"/>
      <c r="L23" s="21">
        <f>++SUM(L19,L22)</f>
        <v>0</v>
      </c>
      <c r="M23" s="22">
        <f>++IFERROR(L23/M$30,0)</f>
        <v>0</v>
      </c>
      <c r="N23" s="22">
        <f>++IFERROR(L23/N$31,0)</f>
        <v>0</v>
      </c>
      <c r="O23" s="19"/>
      <c r="P23" s="19"/>
    </row>
    <row r="24" spans="2:16" x14ac:dyDescent="0.2">
      <c r="B24" s="16" t="s">
        <v>22</v>
      </c>
      <c r="F24" s="10">
        <f>++F23-F$13</f>
        <v>0</v>
      </c>
      <c r="G24" s="11">
        <f>++IFERROR(F24/G$30,0)</f>
        <v>0</v>
      </c>
      <c r="H24" s="11">
        <f>++IFERROR(F24/H$31,0)</f>
        <v>0</v>
      </c>
      <c r="L24" s="10">
        <f>++L23-L$13</f>
        <v>0</v>
      </c>
      <c r="M24" s="11">
        <f>++IFERROR(L24/M$30,0)</f>
        <v>0</v>
      </c>
      <c r="N24" s="11">
        <f>++IFERROR(L24/N$31,0)</f>
        <v>0</v>
      </c>
    </row>
    <row r="25" spans="2:16" x14ac:dyDescent="0.2">
      <c r="B25" s="48" t="s">
        <v>23</v>
      </c>
      <c r="F25" s="42"/>
      <c r="G25" s="42"/>
      <c r="H25" s="42"/>
      <c r="I25" s="42"/>
      <c r="J25" s="42"/>
      <c r="L25" s="49">
        <f>++L24-F24</f>
        <v>0</v>
      </c>
      <c r="M25" s="54">
        <f t="shared" ref="M25:N25" si="5">++M24-G24</f>
        <v>0</v>
      </c>
      <c r="N25" s="54">
        <f t="shared" si="5"/>
        <v>0</v>
      </c>
    </row>
    <row r="27" spans="2:16" x14ac:dyDescent="0.2">
      <c r="B27" t="s">
        <v>24</v>
      </c>
      <c r="F27" s="4">
        <f>++SUM(F13,F9-F15,F11-F17)</f>
        <v>0</v>
      </c>
      <c r="L27" s="4">
        <f>++SUM(L13,L9-L15,L11-L17)</f>
        <v>0</v>
      </c>
    </row>
    <row r="28" spans="2:16" x14ac:dyDescent="0.2">
      <c r="B28" s="48" t="s">
        <v>23</v>
      </c>
      <c r="F28" s="42"/>
      <c r="G28" s="42"/>
      <c r="H28" s="42"/>
      <c r="I28" s="42"/>
      <c r="J28" s="42"/>
      <c r="L28" s="49">
        <f>++L27-F27</f>
        <v>0</v>
      </c>
    </row>
    <row r="30" spans="2:16" x14ac:dyDescent="0.2">
      <c r="B30" s="23" t="s">
        <v>25</v>
      </c>
      <c r="C30" s="24"/>
      <c r="D30" s="24"/>
      <c r="E30" s="24"/>
      <c r="F30" s="24"/>
      <c r="G30" s="65">
        <v>0</v>
      </c>
      <c r="H30" s="24"/>
      <c r="I30" s="25"/>
      <c r="J30" s="25"/>
      <c r="K30" s="25"/>
      <c r="L30" s="25"/>
      <c r="M30" s="25">
        <f>++G30</f>
        <v>0</v>
      </c>
      <c r="N30" s="25"/>
      <c r="O30" s="24"/>
      <c r="P30" s="26"/>
    </row>
    <row r="31" spans="2:16" x14ac:dyDescent="0.2">
      <c r="B31" s="27" t="s">
        <v>26</v>
      </c>
      <c r="C31" s="28"/>
      <c r="D31" s="28"/>
      <c r="E31" s="28"/>
      <c r="F31" s="28"/>
      <c r="G31" s="28"/>
      <c r="H31" s="66">
        <f>++G30</f>
        <v>0</v>
      </c>
      <c r="I31" s="28"/>
      <c r="J31" s="28"/>
      <c r="K31" s="28"/>
      <c r="L31" s="28"/>
      <c r="M31" s="28"/>
      <c r="N31" s="29">
        <f>++H31</f>
        <v>0</v>
      </c>
      <c r="O31" s="28"/>
      <c r="P31" s="30"/>
    </row>
    <row r="34" spans="2:16" x14ac:dyDescent="0.2">
      <c r="B34" s="18" t="s">
        <v>27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2:16" ht="5.0999999999999996" customHeight="1" x14ac:dyDescent="0.2"/>
    <row r="36" spans="2:16" ht="15" x14ac:dyDescent="0.35">
      <c r="B36" t="s">
        <v>28</v>
      </c>
      <c r="D36" s="60">
        <v>4.3212300000000002E-2</v>
      </c>
      <c r="F36" s="2" t="s">
        <v>29</v>
      </c>
      <c r="G36" s="2" t="s">
        <v>30</v>
      </c>
      <c r="H36" s="2" t="s">
        <v>31</v>
      </c>
      <c r="I36" s="2" t="s">
        <v>32</v>
      </c>
      <c r="J36" s="2" t="s">
        <v>33</v>
      </c>
      <c r="L36" s="2" t="s">
        <v>29</v>
      </c>
      <c r="M36" s="2" t="s">
        <v>30</v>
      </c>
      <c r="N36" s="2" t="s">
        <v>31</v>
      </c>
      <c r="O36" s="2" t="s">
        <v>32</v>
      </c>
      <c r="P36" s="2" t="s">
        <v>33</v>
      </c>
    </row>
    <row r="37" spans="2:16" ht="5.0999999999999996" customHeight="1" x14ac:dyDescent="0.2"/>
    <row r="38" spans="2:16" x14ac:dyDescent="0.2">
      <c r="B38" t="str">
        <f>++LEFT(B9,SEARCH(" (",B9)-1)</f>
        <v>[Prio / ABL] Revolver</v>
      </c>
      <c r="D38" s="5"/>
      <c r="F38" s="67">
        <v>0</v>
      </c>
      <c r="G38" s="69">
        <v>0</v>
      </c>
      <c r="H38" s="32">
        <f>++IFERROR(SUM(MAX($D$36,G38),F38/10000),0)</f>
        <v>4.3212300000000002E-2</v>
      </c>
      <c r="I38" s="69">
        <v>0</v>
      </c>
      <c r="J38" s="7">
        <f>++IFERROR(SUM(F15*H38,(F9-F15)*I38),0)</f>
        <v>0</v>
      </c>
      <c r="L38" s="31">
        <v>0</v>
      </c>
      <c r="M38" s="69">
        <v>0</v>
      </c>
      <c r="N38" s="32">
        <f>++IFERROR(SUM(MAX($D$36,M38),L38/10000),0)</f>
        <v>4.3212300000000002E-2</v>
      </c>
      <c r="O38" s="69">
        <v>0</v>
      </c>
      <c r="P38" s="7">
        <f>++IFERROR(SUM(L15*N38,(L9-L15)*O38),0)</f>
        <v>0</v>
      </c>
    </row>
    <row r="39" spans="2:16" x14ac:dyDescent="0.2">
      <c r="B39" t="str">
        <f>++B16</f>
        <v>[First Lien] Term Loan</v>
      </c>
      <c r="F39" s="67">
        <v>0</v>
      </c>
      <c r="G39" s="69">
        <v>0</v>
      </c>
      <c r="H39" s="32">
        <f>++IFERROR(SUM(MAX($D$36,G39),F39/10000),0)</f>
        <v>4.3212300000000002E-2</v>
      </c>
      <c r="I39" s="61"/>
      <c r="J39" s="8">
        <f>++IFERROR(F16*H39,0)</f>
        <v>0</v>
      </c>
      <c r="L39" s="31">
        <v>0</v>
      </c>
      <c r="M39" s="69">
        <v>0</v>
      </c>
      <c r="N39" s="32">
        <f>++IFERROR(SUM(MAX($D$36,M39),L39/10000),0)</f>
        <v>4.3212300000000002E-2</v>
      </c>
      <c r="O39" s="61"/>
      <c r="P39" s="8">
        <f>++IFERROR(L16*N39,0)</f>
        <v>0</v>
      </c>
    </row>
    <row r="40" spans="2:16" x14ac:dyDescent="0.2">
      <c r="B40" s="12" t="str">
        <f t="shared" ref="B40" si="6">++B17</f>
        <v>[First Lien] DDTL</v>
      </c>
      <c r="C40" s="12"/>
      <c r="D40" s="12"/>
      <c r="F40" s="68">
        <f>++F39</f>
        <v>0</v>
      </c>
      <c r="G40" s="70">
        <f>++G39</f>
        <v>0</v>
      </c>
      <c r="H40" s="34">
        <f>++IFERROR(SUM(MAX($D$36,G40),F40/10000),0)</f>
        <v>4.3212300000000002E-2</v>
      </c>
      <c r="I40" s="70">
        <v>0</v>
      </c>
      <c r="J40" s="13">
        <f>++IFERROR(SUM(F17*H40,(F11-F17)*I40),0)</f>
        <v>0</v>
      </c>
      <c r="L40" s="33">
        <f>++L39</f>
        <v>0</v>
      </c>
      <c r="M40" s="70">
        <f>++M39</f>
        <v>0</v>
      </c>
      <c r="N40" s="34">
        <f>++IFERROR(SUM(MAX($D$36,M40),L40/10000),0)</f>
        <v>4.3212300000000002E-2</v>
      </c>
      <c r="O40" s="70">
        <v>0</v>
      </c>
      <c r="P40" s="13">
        <f>++IFERROR(SUM(L17*N40,(L11-L17)*O40),0)</f>
        <v>0</v>
      </c>
    </row>
    <row r="41" spans="2:16" x14ac:dyDescent="0.2">
      <c r="B41" s="19" t="s">
        <v>34</v>
      </c>
      <c r="C41" s="20"/>
      <c r="D41" s="20"/>
      <c r="E41" s="20"/>
      <c r="F41" s="35">
        <f>++IFERROR(SUMPRODUCT(F$15:F$17,F$38:F$40)/SUM(F$15:F$17),0)</f>
        <v>0</v>
      </c>
      <c r="G41" s="36"/>
      <c r="H41" s="37">
        <f>++IFERROR(SUMPRODUCT(F$15:F$17,H$38:H$40)/SUM(F$15:F$17),0)</f>
        <v>0</v>
      </c>
      <c r="I41" s="36"/>
      <c r="J41" s="21">
        <f>++SUM(J38:J40)</f>
        <v>0</v>
      </c>
      <c r="L41" s="35">
        <f>++IFERROR(SUMPRODUCT(L$15:L$17,L$38:L$40)/SUM(L$15:L$17),0)</f>
        <v>0</v>
      </c>
      <c r="M41" s="36"/>
      <c r="N41" s="37">
        <f>++IFERROR(SUMPRODUCT(L$15:L$17,N$38:N$40)/SUM(L$15:L$17),0)</f>
        <v>0</v>
      </c>
      <c r="O41" s="36"/>
      <c r="P41" s="21">
        <f>++SUM(P38:P40)</f>
        <v>0</v>
      </c>
    </row>
    <row r="42" spans="2:16" x14ac:dyDescent="0.2">
      <c r="B42" s="48" t="s">
        <v>23</v>
      </c>
      <c r="F42" s="42"/>
      <c r="G42" s="42"/>
      <c r="H42" s="42"/>
      <c r="I42" s="42"/>
      <c r="J42" s="42"/>
      <c r="L42" s="50">
        <f>++L41-F41</f>
        <v>0</v>
      </c>
      <c r="N42" s="51">
        <f>++N41-H41</f>
        <v>0</v>
      </c>
      <c r="O42" s="52"/>
      <c r="P42" s="53">
        <f>++P41-J41</f>
        <v>0</v>
      </c>
    </row>
    <row r="45" spans="2:16" x14ac:dyDescent="0.2">
      <c r="B45" s="18" t="s">
        <v>35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2:16" ht="5.0999999999999996" customHeight="1" x14ac:dyDescent="0.2"/>
    <row r="47" spans="2:16" ht="15" x14ac:dyDescent="0.35">
      <c r="F47" s="2" t="s">
        <v>36</v>
      </c>
      <c r="G47" s="2" t="s">
        <v>37</v>
      </c>
      <c r="H47" s="2" t="s">
        <v>38</v>
      </c>
      <c r="I47" s="2" t="s">
        <v>39</v>
      </c>
      <c r="J47" s="2" t="s">
        <v>40</v>
      </c>
      <c r="L47" s="2" t="s">
        <v>36</v>
      </c>
      <c r="M47" s="2" t="s">
        <v>37</v>
      </c>
      <c r="N47" s="2" t="s">
        <v>38</v>
      </c>
      <c r="O47" s="2" t="s">
        <v>39</v>
      </c>
      <c r="P47" s="2" t="s">
        <v>40</v>
      </c>
    </row>
    <row r="48" spans="2:16" ht="5.0999999999999996" customHeight="1" x14ac:dyDescent="0.2"/>
    <row r="49" spans="2:16" x14ac:dyDescent="0.2">
      <c r="B49" t="s">
        <v>41</v>
      </c>
      <c r="F49" s="69">
        <v>0.01</v>
      </c>
      <c r="G49" s="69">
        <v>0</v>
      </c>
      <c r="H49" s="69">
        <v>0</v>
      </c>
      <c r="I49" s="46">
        <f>++SUM(F49:H49)</f>
        <v>0.01</v>
      </c>
      <c r="J49" s="4">
        <f>++F9*I49</f>
        <v>0</v>
      </c>
      <c r="L49" s="69">
        <v>0</v>
      </c>
      <c r="M49" s="69">
        <v>0</v>
      </c>
      <c r="N49" s="69">
        <v>0</v>
      </c>
      <c r="O49" s="46">
        <f>++SUM(L49:N49)</f>
        <v>0</v>
      </c>
      <c r="P49" s="4">
        <f>++L9*O49</f>
        <v>0</v>
      </c>
    </row>
    <row r="50" spans="2:16" x14ac:dyDescent="0.2">
      <c r="B50" t="s">
        <v>42</v>
      </c>
      <c r="F50" s="69">
        <v>1.4999999999999999E-2</v>
      </c>
      <c r="G50" s="69">
        <v>0</v>
      </c>
      <c r="H50" s="69">
        <v>0</v>
      </c>
      <c r="I50" s="46">
        <f t="shared" ref="I50:I51" si="7">++SUM(F50:H50)</f>
        <v>1.4999999999999999E-2</v>
      </c>
      <c r="J50" s="5">
        <f>++F10*I50</f>
        <v>0</v>
      </c>
      <c r="L50" s="69">
        <v>0</v>
      </c>
      <c r="M50" s="69">
        <f>++M49</f>
        <v>0</v>
      </c>
      <c r="N50" s="69">
        <v>0</v>
      </c>
      <c r="O50" s="46">
        <f t="shared" ref="O50:O51" si="8">++SUM(L50:N50)</f>
        <v>0</v>
      </c>
      <c r="P50" s="5">
        <f>++L10*O50</f>
        <v>0</v>
      </c>
    </row>
    <row r="51" spans="2:16" x14ac:dyDescent="0.2">
      <c r="B51" s="12" t="s">
        <v>43</v>
      </c>
      <c r="C51" s="12"/>
      <c r="D51" s="12"/>
      <c r="F51" s="70">
        <f>++F50/2</f>
        <v>7.4999999999999997E-3</v>
      </c>
      <c r="G51" s="70">
        <v>0</v>
      </c>
      <c r="H51" s="70">
        <v>0</v>
      </c>
      <c r="I51" s="47">
        <f t="shared" si="7"/>
        <v>7.4999999999999997E-3</v>
      </c>
      <c r="J51" s="38">
        <f>++F11*I51</f>
        <v>0</v>
      </c>
      <c r="L51" s="70">
        <f>++L50/2</f>
        <v>0</v>
      </c>
      <c r="M51" s="70">
        <f t="shared" ref="M51" si="9">++M50</f>
        <v>0</v>
      </c>
      <c r="N51" s="70">
        <v>0</v>
      </c>
      <c r="O51" s="47">
        <f t="shared" si="8"/>
        <v>0</v>
      </c>
      <c r="P51" s="38">
        <f>++L11*O51</f>
        <v>0</v>
      </c>
    </row>
    <row r="52" spans="2:16" x14ac:dyDescent="0.2">
      <c r="B52" s="15" t="s">
        <v>34</v>
      </c>
      <c r="F52" s="40">
        <f>++IFERROR(SUMPRODUCT(F$9:F$11,F$49:F$51)/SUM(F$9:F$11),0)</f>
        <v>0</v>
      </c>
      <c r="G52" s="40">
        <f>++IFERROR(SUMPRODUCT(F$9:F$11,G$49:G$51)/SUM(F$9:F$11),0)</f>
        <v>0</v>
      </c>
      <c r="H52" s="40">
        <f>++IFERROR(SUMPRODUCT(F$9:F$11,H$49:H$51)/SUM(F$9:F$11),0)</f>
        <v>0</v>
      </c>
      <c r="I52" s="40">
        <f>++IFERROR(J52/SUM(F9:F11),0)</f>
        <v>0</v>
      </c>
      <c r="J52" s="41">
        <f>++SUM(J49:J51)</f>
        <v>0</v>
      </c>
      <c r="L52" s="40">
        <f>++IFERROR(SUMPRODUCT(L$9:L$11,L$49:L$51)/SUM(L$9:L$11),0)</f>
        <v>0</v>
      </c>
      <c r="M52" s="40">
        <f>++IFERROR(SUMPRODUCT(L$9:L$11,M$49:M$51)/SUM(L$9:L$11),0)</f>
        <v>0</v>
      </c>
      <c r="N52" s="40">
        <f>++IFERROR(SUMPRODUCT(L$9:L$11,N$49:N$51)/SUM(L$9:L$11),0)</f>
        <v>0</v>
      </c>
      <c r="O52" s="40">
        <f>++IFERROR(P52/SUM(L9:L11),0)</f>
        <v>0</v>
      </c>
      <c r="P52" s="41">
        <f>++SUM(P49:P51)</f>
        <v>0</v>
      </c>
    </row>
    <row r="53" spans="2:16" x14ac:dyDescent="0.2">
      <c r="B53" s="48" t="s">
        <v>23</v>
      </c>
      <c r="F53" s="42"/>
      <c r="G53" s="42"/>
      <c r="H53" s="42"/>
      <c r="I53" s="42"/>
      <c r="J53" s="42"/>
      <c r="L53" s="51">
        <f t="shared" ref="L53:M53" si="10">++L52-F52</f>
        <v>0</v>
      </c>
      <c r="M53" s="51">
        <f t="shared" si="10"/>
        <v>0</v>
      </c>
      <c r="N53" s="51">
        <f>++N52-H52</f>
        <v>0</v>
      </c>
      <c r="O53" s="51">
        <f t="shared" ref="O53" si="11">++O52-I52</f>
        <v>0</v>
      </c>
      <c r="P53" s="53">
        <f>++P52-J52</f>
        <v>0</v>
      </c>
    </row>
    <row r="55" spans="2:16" x14ac:dyDescent="0.2">
      <c r="B55" t="s">
        <v>44</v>
      </c>
      <c r="F55" s="42"/>
      <c r="G55" s="42"/>
      <c r="H55" s="42"/>
      <c r="I55" s="42"/>
      <c r="J55" s="71">
        <v>0</v>
      </c>
      <c r="L55" s="42"/>
      <c r="M55" s="42"/>
      <c r="N55" s="42"/>
      <c r="O55" s="42"/>
      <c r="P55" s="71">
        <v>0</v>
      </c>
    </row>
    <row r="56" spans="2:16" x14ac:dyDescent="0.2">
      <c r="B56" t="s">
        <v>45</v>
      </c>
      <c r="F56" s="42"/>
      <c r="G56" s="42"/>
      <c r="H56" s="42"/>
      <c r="I56" s="42"/>
      <c r="J56" s="71">
        <v>0</v>
      </c>
      <c r="L56" s="42"/>
      <c r="M56" s="42"/>
      <c r="N56" s="42"/>
      <c r="O56" s="42"/>
      <c r="P56" s="71">
        <v>0</v>
      </c>
    </row>
    <row r="57" spans="2:16" x14ac:dyDescent="0.2">
      <c r="B57" t="s">
        <v>46</v>
      </c>
      <c r="F57" s="42"/>
      <c r="G57" s="42"/>
      <c r="H57" s="42"/>
      <c r="I57" s="42"/>
      <c r="J57" s="71">
        <v>0</v>
      </c>
      <c r="L57" s="42"/>
      <c r="M57" s="42"/>
      <c r="N57" s="42"/>
      <c r="O57" s="42"/>
      <c r="P57" s="71">
        <v>0</v>
      </c>
    </row>
    <row r="58" spans="2:16" ht="13.5" thickBot="1" x14ac:dyDescent="0.25">
      <c r="B58" s="43" t="s">
        <v>47</v>
      </c>
      <c r="C58" s="44"/>
      <c r="D58" s="44"/>
      <c r="E58" s="20"/>
      <c r="F58" s="44"/>
      <c r="G58" s="44"/>
      <c r="H58" s="44"/>
      <c r="I58" s="44"/>
      <c r="J58" s="45">
        <f>++SUM(J52,J55:J57)</f>
        <v>0</v>
      </c>
      <c r="L58" s="44"/>
      <c r="M58" s="44"/>
      <c r="N58" s="44"/>
      <c r="O58" s="44"/>
      <c r="P58" s="45">
        <f>++SUM(P52,P55:P57)</f>
        <v>0</v>
      </c>
    </row>
    <row r="59" spans="2:16" ht="13.5" thickTop="1" x14ac:dyDescent="0.2">
      <c r="B59" s="48" t="s">
        <v>23</v>
      </c>
      <c r="F59" s="42"/>
      <c r="G59" s="42"/>
      <c r="H59" s="42"/>
      <c r="I59" s="42"/>
      <c r="J59" s="42"/>
      <c r="L59" s="50"/>
      <c r="N59" s="51"/>
      <c r="O59" s="52"/>
      <c r="P59" s="53">
        <f>++P58-J58</f>
        <v>0</v>
      </c>
    </row>
    <row r="62" spans="2:16" x14ac:dyDescent="0.2">
      <c r="B62" s="18" t="s">
        <v>48</v>
      </c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2:16" ht="5.0999999999999996" customHeight="1" x14ac:dyDescent="0.2"/>
    <row r="64" spans="2:16" x14ac:dyDescent="0.2">
      <c r="B64" t="s">
        <v>49</v>
      </c>
      <c r="F64" s="4">
        <f>++P59</f>
        <v>0</v>
      </c>
    </row>
    <row r="65" spans="2:6" x14ac:dyDescent="0.2">
      <c r="B65" t="s">
        <v>50</v>
      </c>
      <c r="F65" s="5">
        <f>++P42</f>
        <v>0</v>
      </c>
    </row>
    <row r="66" spans="2:6" ht="13.5" thickBot="1" x14ac:dyDescent="0.25">
      <c r="B66" s="57" t="s">
        <v>51</v>
      </c>
      <c r="C66" s="58"/>
      <c r="D66" s="58"/>
      <c r="E66" s="58"/>
      <c r="F66" s="59">
        <f>++IFERROR(F64/-F65,0)</f>
        <v>0</v>
      </c>
    </row>
    <row r="67" spans="2:6" ht="13.5" thickTop="1" x14ac:dyDescent="0.2"/>
  </sheetData>
  <pageMargins left="0.25" right="0.25" top="0.25" bottom="0.25" header="0.3" footer="0.3"/>
  <pageSetup scale="74" fitToHeight="0" orientation="portrait" horizontalDpi="1200" verticalDpi="1200" r:id="rId1"/>
  <customProperties>
    <customPr name="OrphanNamesChecke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BGID xmlns="dc6d7f3b-2388-4907-95e9-67fe6707918b" xsi:nil="true"/>
    <Analyst xmlns="dc6d7f3b-2388-4907-95e9-67fe6707918b">
      <UserInfo>
        <DisplayName/>
        <AccountId xsi:nil="true"/>
        <AccountType/>
      </UserInfo>
    </Analyst>
    <OtherName xmlns="dc6d7f3b-2388-4907-95e9-67fe6707918b" xsi:nil="true"/>
    <TaxCatchAll xmlns="5adca3f6-50e5-45d3-816d-7d8e2e1aafa3" xsi:nil="true"/>
    <lcf76f155ced4ddcb4097134ff3c332f xmlns="dc6d7f3b-2388-4907-95e9-67fe6707918b">
      <Terms xmlns="http://schemas.microsoft.com/office/infopath/2007/PartnerControls"/>
    </lcf76f155ced4ddcb4097134ff3c332f>
    <LoanXID xmlns="dc6d7f3b-2388-4907-95e9-67fe6707918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D5D7B6EDD6B944996098F92CD81FE4" ma:contentTypeVersion="20" ma:contentTypeDescription="Create a new document." ma:contentTypeScope="" ma:versionID="c2fbab9bba8e931dae7869dce07a7632">
  <xsd:schema xmlns:xsd="http://www.w3.org/2001/XMLSchema" xmlns:xs="http://www.w3.org/2001/XMLSchema" xmlns:p="http://schemas.microsoft.com/office/2006/metadata/properties" xmlns:ns2="dc6d7f3b-2388-4907-95e9-67fe6707918b" xmlns:ns3="5adca3f6-50e5-45d3-816d-7d8e2e1aafa3" targetNamespace="http://schemas.microsoft.com/office/2006/metadata/properties" ma:root="true" ma:fieldsID="7f9b71cf218f09fb69a31198b8827546" ns2:_="" ns3:_="">
    <xsd:import namespace="dc6d7f3b-2388-4907-95e9-67fe6707918b"/>
    <xsd:import namespace="5adca3f6-50e5-45d3-816d-7d8e2e1aaf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LoanXID" minOccurs="0"/>
                <xsd:element ref="ns2:BBGID" minOccurs="0"/>
                <xsd:element ref="ns2:OtherName" minOccurs="0"/>
                <xsd:element ref="ns2:Analyst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d7f3b-2388-4907-95e9-67fe670791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oanXID" ma:index="14" nillable="true" ma:displayName="LoanXID" ma:format="Dropdown" ma:internalName="LoanXID">
      <xsd:simpleType>
        <xsd:restriction base="dms:Text">
          <xsd:maxLength value="255"/>
        </xsd:restriction>
      </xsd:simpleType>
    </xsd:element>
    <xsd:element name="BBGID" ma:index="15" nillable="true" ma:displayName="BBG ID" ma:format="Dropdown" ma:internalName="BBGID">
      <xsd:simpleType>
        <xsd:restriction base="dms:Text">
          <xsd:maxLength value="255"/>
        </xsd:restriction>
      </xsd:simpleType>
    </xsd:element>
    <xsd:element name="OtherName" ma:index="16" nillable="true" ma:displayName="Other Name" ma:format="Dropdown" ma:internalName="OtherName">
      <xsd:simpleType>
        <xsd:restriction base="dms:Text">
          <xsd:maxLength value="255"/>
        </xsd:restriction>
      </xsd:simpleType>
    </xsd:element>
    <xsd:element name="Analyst" ma:index="17" nillable="true" ma:displayName="Analyst" ma:format="Dropdown" ma:list="UserInfo" ma:SharePointGroup="0" ma:internalName="Analyst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179f4741-edd0-46e2-ac4d-1126041b5b0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6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ca3f6-50e5-45d3-816d-7d8e2e1aafa3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746f4493-59bb-4c92-aa70-2de8333e7a5a}" ma:internalName="TaxCatchAll" ma:showField="CatchAllData" ma:web="5adca3f6-50e5-45d3-816d-7d8e2e1aafa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2398C1-9D83-48EE-91F8-A9A82C6ACEDD}">
  <ds:schemaRefs>
    <ds:schemaRef ds:uri="http://schemas.microsoft.com/office/2006/metadata/properties"/>
    <ds:schemaRef ds:uri="http://schemas.microsoft.com/office/infopath/2007/PartnerControls"/>
    <ds:schemaRef ds:uri="dc6d7f3b-2388-4907-95e9-67fe6707918b"/>
    <ds:schemaRef ds:uri="5adca3f6-50e5-45d3-816d-7d8e2e1aafa3"/>
  </ds:schemaRefs>
</ds:datastoreItem>
</file>

<file path=customXml/itemProps2.xml><?xml version="1.0" encoding="utf-8"?>
<ds:datastoreItem xmlns:ds="http://schemas.openxmlformats.org/officeDocument/2006/customXml" ds:itemID="{ECCC9D25-2CD8-45DB-9065-C776C36705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6d7f3b-2388-4907-95e9-67fe6707918b"/>
    <ds:schemaRef ds:uri="5adca3f6-50e5-45d3-816d-7d8e2e1aaf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B583126-AD4D-4A76-A1CB-C1168DF2925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Jamie Anderson</dc:creator>
  <cp:keywords/>
  <dc:description/>
  <cp:lastModifiedBy>Yang, Caleb</cp:lastModifiedBy>
  <cp:revision/>
  <dcterms:created xsi:type="dcterms:W3CDTF">2025-08-04T14:45:51Z</dcterms:created>
  <dcterms:modified xsi:type="dcterms:W3CDTF">2026-05-05T17:24:58Z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0x0101000CD5D7B6EDD6B944996098F92CD81FE4</vt:lpwstr>
  </property>
  <property fmtid="{D5CDD505-2E9C-101B-9397-08002B2CF9AE}" pid="3" name="MediaServiceImageTags">
    <vt:lpwstr/>
  </property>
  <property fmtid="{D5CDD505-2E9C-101B-9397-08002B2CF9AE}" pid="4" name="{A44787D4-0540-4523-9961-78E4036D8C6D}">
    <vt:lpwstr>{34D5DFD7-44E5-424F-AEF3-49B52BC65830}</vt:lpwstr>
  </property>
</Properties>
</file>