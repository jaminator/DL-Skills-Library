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595" documentId="13_ncr:1_{B79C56F2-3572-421B-A0DF-0FF2E1452D4C}" xr6:coauthVersionLast="47" xr6:coauthVersionMax="47" xr10:uidLastSave="{ED1FFE08-6ABC-4FED-B523-5564276790E4}"/>
  <bookViews>
    <workbookView showHorizontalScroll="0" showVerticalScroll="0" showSheetTabs="0" xWindow="-120" yWindow="-120" windowWidth="29040" windowHeight="17520" xr2:uid="{DBE607C2-C939-405C-9D19-2B0A573B0E31}"/>
  </bookViews>
  <sheets>
    <sheet name="Model" sheetId="1" r:id="rId1"/>
  </sheets>
  <definedNames>
    <definedName name="__FDS_HYPERLINK_TOGGLE_STATE__" hidden="1">"ON"</definedName>
    <definedName name="_1__FDSAUDITLINK__" hidden="1">{"fdsup://directions/FAT Viewer?action=UPDATE&amp;creator=factset&amp;DYN_ARGS=TRUE&amp;DOC_NAME=FAT:FQL_AUDITING_CLIENT_TEMPLATE.FAT&amp;display_string=Audit&amp;VAR:KEY=UPWLGLMXMP&amp;VAR:QUERY=KEZGX0RFQlRfTFQoUVRSLDAsLCwsVVNEKUBGRl9ERUJUX0xUKEFOTiwwLCwsLFVTRCkp&amp;WINDOW=FIRST_POP","UP&amp;HEIGHT=450&amp;WIDTH=450&amp;START_MAXIMIZED=FALSE&amp;VAR:CALENDAR=US&amp;VAR:SYMBOL=682150&amp;VAR:INDEX=0"}</definedName>
    <definedName name="_10__FDSAUDITLINK__" hidden="1">{"fdsup://IBCentral/FAT Viewer?action=UPDATE&amp;creator=factset&amp;DOC_NAME=fat:reuters_annual_source_window.fat&amp;display_string=Audit&amp;DYN_ARGS=TRUE&amp;VAR:ID1=26224110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47110910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annual_source_window.fat&amp;display_string=Audit&amp;DYN_ARGS=TRUE&amp;VAR:ID1=35610810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1__FDSAUDITLINK__" hidden="1">{"fdsup://IBCentral/FAT Viewer?action=UPDATE&amp;creator=factset&amp;DOC_NAME=fat:reuters_annual_source_window.fat&amp;display_string=Audit&amp;DYN_ARGS=TRUE&amp;VAR:ID1=35610810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2__FDSAUDITLINK__" hidden="1">{"fdsup://IBCentral/FAT Viewer?action=UPDATE&amp;creator=factset&amp;DOC_NAME=fat:reuters_annual_source_window.fat&amp;display_string=Audit&amp;DYN_ARGS=TRUE&amp;VAR:ID1=30700010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3__FDSAUDITLINK__" hidden="1">{"fdsup://IBCentral/FAT Viewer?action=UPDATE&amp;creator=factset&amp;DOC_NAME=fat:reuters_annual_source_window.fat&amp;display_string=Audit&amp;DYN_ARGS=TRUE&amp;VAR:ID1=30700010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4__FDSAUDITLINK__" hidden="1">{"fdsup://IBCentral/FAT Viewer?action=UPDATE&amp;creator=factset&amp;DOC_NAME=fat:reuters_annual_source_window.fat&amp;display_string=Audit&amp;DYN_ARGS=TRUE&amp;VAR:ID1=30700010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5__FDSAUDITLINK__" hidden="1">{"fdsup://IBCentral/FAT Viewer?action=UPDATE&amp;creator=factset&amp;DOC_NAME=fat:reuters_annual_source_window.fat&amp;display_string=Audit&amp;DYN_ARGS=TRUE&amp;VAR:ID1=30700010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6__FDSAUDITLINK__" hidden="1">{"fdsup://IBCentral/FAT Viewer?action=UPDATE&amp;creator=factset&amp;DOC_NAME=fat:reuters_annual_source_window.fat&amp;display_string=Audit&amp;DYN_ARGS=TRUE&amp;VAR:ID1=25674710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7__FDSAUDITLINK__" hidden="1">{"fdsup://IBCentral/FAT Viewer?action=UPDATE&amp;creator=factset&amp;DOC_NAME=fat:reuters_annual_source_window.fat&amp;display_string=Audit&amp;DYN_ARGS=TRUE&amp;VAR:ID1=25674710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25674710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25674710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annual_source_window.fat&amp;display_string=Audit&amp;DYN_ARGS=TRUE&amp;VAR:ID1=G4412G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65440K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1__FDSAUDITLINK__" hidden="1">{"fdsup://IBCentral/FAT Viewer?action=UPDATE&amp;creator=factset&amp;DOC_NAME=fat:reuters_annual_source_window.fat&amp;display_string=Audit&amp;DYN_ARGS=TRUE&amp;VAR:ID1=65440K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2__FDSAUDITLINK__" hidden="1">{"fdsup://IBCentral/FAT Viewer?action=UPDATE&amp;creator=factset&amp;DOC_NAME=fat:reuters_annual_source_window.fat&amp;display_string=Audit&amp;DYN_ARGS=TRUE&amp;VAR:ID1=65440K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3__FDSAUDITLINK__" hidden="1">{"fdsup://IBCentral/FAT Viewer?action=UPDATE&amp;creator=factset&amp;DOC_NAME=fat:reuters_annual_source_window.fat&amp;display_string=Audit&amp;DYN_ARGS=TRUE&amp;VAR:ID1=65440K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4__FDSAUDITLINK__" hidden="1">{"fdsup://IBCentral/FAT Viewer?action=UPDATE&amp;creator=factset&amp;DOC_NAME=fat:reuters_annual_source_window.fat&amp;display_string=Audit&amp;DYN_ARGS=TRUE&amp;VAR:ID1=93114210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5__FDSAUDITLINK__" hidden="1">{"fdsup://IBCentral/FAT Viewer?action=UPDATE&amp;creator=factset&amp;DOC_NAME=fat:reuters_annual_source_window.fat&amp;display_string=Audit&amp;DYN_ARGS=TRUE&amp;VAR:ID1=93114210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6__FDSAUDITLINK__" hidden="1">{"fdsup://IBCentral/FAT Viewer?action=UPDATE&amp;creator=factset&amp;DOC_NAME=fat:reuters_annual_source_window.fat&amp;display_string=Audit&amp;DYN_ARGS=TRUE&amp;VAR:ID1=93114210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7__FDSAUDITLINK__" hidden="1">{"fdsup://IBCentral/FAT Viewer?action=UPDATE&amp;creator=factset&amp;DOC_NAME=fat:reuters_annual_source_window.fat&amp;display_string=Audit&amp;DYN_ARGS=TRUE&amp;VAR:ID1=93114210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8__FDSAUDITLINK__" hidden="1">{"fdsup://IBCentral/FAT Viewer?action=UPDATE&amp;creator=factset&amp;DOC_NAME=fat:reuters_annual_source_window.fat&amp;display_string=Audit&amp;DYN_ARGS=TRUE&amp;VAR:ID1=87612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19__FDSAUDITLINK__" hidden="1">{"fdsup://IBCentral/FAT Viewer?action=UPDATE&amp;creator=factset&amp;DOC_NAME=fat:reuters_annual_source_window.fat&amp;display_string=Audit&amp;DYN_ARGS=TRUE&amp;VAR:ID1=87612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annual_source_window.fat&amp;display_string=Audit&amp;DYN_ARGS=TRUE&amp;VAR:ID1=G4388N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annual_source_window.fat&amp;display_string=Audit&amp;DYN_ARGS=TRUE&amp;VAR:ID1=87612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1__FDSAUDITLINK__" hidden="1">{"fdsup://IBCentral/FAT Viewer?action=UPDATE&amp;creator=factset&amp;DOC_NAME=fat:reuters_annual_source_window.fat&amp;display_string=Audit&amp;DYN_ARGS=TRUE&amp;VAR:ID1=87612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2__FDSAUDITLINK__" hidden="1">{"fdsup://IBCentral/FAT Viewer?action=UPDATE&amp;creator=factset&amp;DOC_NAME=fat:reuters_annual_source_window.fat&amp;display_string=Audit&amp;DYN_ARGS=TRUE&amp;VAR:ID1=22160K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3__FDSAUDITLINK__" hidden="1">{"fdsup://IBCentral/FAT Viewer?action=UPDATE&amp;creator=factset&amp;DOC_NAME=fat:reuters_annual_source_window.fat&amp;display_string=Audit&amp;DYN_ARGS=TRUE&amp;VAR:ID1=22160K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22160K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22160K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05548J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05548J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8__FDSAUDITLINK__" hidden="1">{"fdsup://IBCentral/FAT Viewer?action=UPDATE&amp;creator=factset&amp;DOC_NAME=fat:reuters_annual_source_window.fat&amp;display_string=Audit&amp;DYN_ARGS=TRUE&amp;VAR:ID1=05548J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29__FDSAUDITLINK__" hidden="1">{"fdsup://IBCentral/FAT Viewer?action=UPDATE&amp;creator=factset&amp;DOC_NAME=fat:reuters_annual_source_window.fat&amp;display_string=Audit&amp;DYN_ARGS=TRUE&amp;VAR:ID1=05548J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annual_source_window.fat&amp;display_string=Audit&amp;DYN_ARGS=TRUE&amp;VAR:ID1=29266R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annual_source_window.fat&amp;display_string=Audit&amp;DYN_ARGS=TRUE&amp;VAR:ID1=69865710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1__FDSAUDITLINK__" hidden="1">{"fdsup://IBCentral/FAT Viewer?action=UPDATE&amp;creator=factset&amp;DOC_NAME=fat:reuters_annual_source_window.fat&amp;display_string=Audit&amp;DYN_ARGS=TRUE&amp;VAR:ID1=69865710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2__FDSAUDITLINK__" hidden="1">{"fdsup://IBCentral/FAT Viewer?action=UPDATE&amp;creator=factset&amp;DOC_NAME=fat:reuters_annual_source_window.fat&amp;display_string=Audit&amp;DYN_ARGS=TRUE&amp;VAR:ID1=69865710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3__FDSAUDITLINK__" hidden="1">{"fdsup://IBCentral/FAT Viewer?action=UPDATE&amp;creator=factset&amp;DOC_NAME=fat:reuters_annual_source_window.fat&amp;display_string=Audit&amp;DYN_ARGS=TRUE&amp;VAR:ID1=69865710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4__FDSAUDITLINK__" hidden="1">{"fdsup://IBCentral/FAT Viewer?action=UPDATE&amp;creator=factset&amp;DOC_NAME=fat:reuters_annual_source_window.fat&amp;display_string=Audit&amp;DYN_ARGS=TRUE&amp;VAR:ID1=201164&amp;VAR:RCODE=SCEX&amp;VAR:SDATE=20070499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35__FDSAUDITLINK__" hidden="1">{"fdsup://IBCentral/FAT Viewer?action=UPDATE&amp;creator=factset&amp;DOC_NAME=fat:reuters_annual_source_window.fat&amp;display_string=Audit&amp;DYN_ARGS=TRUE&amp;VAR:ID1=201164&amp;VAR:RCODE=SCEX&amp;VAR:SDATE=20070499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36__FDSAUDITLINK__" hidden="1">{"fdsup://IBCentral/FAT Viewer?action=UPDATE&amp;creator=factset&amp;DOC_NAME=fat:reuters_annual_source_window.fat&amp;display_string=Audit&amp;DYN_ARGS=TRUE&amp;VAR:ID1=201164&amp;VAR:RCODE=CFGR&amp;VAR:SDATE=20070499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37__FDSAUDITLINK__" hidden="1">{"fdsup://IBCentral/FAT Viewer?action=UPDATE&amp;creator=factset&amp;DOC_NAME=fat:reuters_annual_source_window.fat&amp;display_string=Audit&amp;DYN_ARGS=TRUE&amp;VAR:ID1=201164&amp;VAR:RCODE=CFGR&amp;VAR:SDATE=20070499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38__FDSAUDITLINK__" hidden="1">{"fdsup://IBCentral/FAT Viewer?action=UPDATE&amp;creator=factset&amp;DOC_NAME=fat:reuters_annual_source_window.fat&amp;display_string=Audit&amp;DYN_ARGS=TRUE&amp;VAR:ID1=14752810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39__FDSAUDITLINK__" hidden="1">{"fdsup://IBCentral/FAT Viewer?action=UPDATE&amp;creator=factset&amp;DOC_NAME=fat:reuters_annual_source_window.fat&amp;display_string=Audit&amp;DYN_ARGS=TRUE&amp;VAR:ID1=14752810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18905410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40__FDSAUDITLINK__" hidden="1">{"fdsup://IBCentral/FAT Viewer?action=UPDATE&amp;creator=factset&amp;DOC_NAME=fat:reuters_annual_source_window.fat&amp;display_string=Audit&amp;DYN_ARGS=TRUE&amp;VAR:ID1=14752810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14752810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93142210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93142210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93142210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5__FDSAUDITLINK__" hidden="1">{"fdsup://IBCentral/FAT Viewer?action=UPDATE&amp;creator=factset&amp;DOC_NAME=fat:reuters_annual_source_window.fat&amp;display_string=Audit&amp;DYN_ARGS=TRUE&amp;VAR:ID1=93142210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6__FDSAUDITLINK__" hidden="1">{"fdsup://IBCentral/FAT Viewer?action=UPDATE&amp;creator=factset&amp;DOC_NAME=fat:reuters_annual_source_window.fat&amp;display_string=Audit&amp;DYN_ARGS=TRUE&amp;VAR:ID1=76775410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7__FDSAUDITLINK__" hidden="1">{"fdsup://IBCentral/FAT Viewer?action=UPDATE&amp;creator=factset&amp;DOC_NAME=fat:reuters_annual_source_window.fat&amp;display_string=Audit&amp;DYN_ARGS=TRUE&amp;VAR:ID1=76775410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8__FDSAUDITLINK__" hidden="1">{"fdsup://IBCentral/FAT Viewer?action=UPDATE&amp;creator=factset&amp;DOC_NAME=fat:reuters_annual_source_window.fat&amp;display_string=Audit&amp;DYN_ARGS=TRUE&amp;VAR:ID1=76775410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49__FDSAUDITLINK__" hidden="1">{"fdsup://IBCentral/FAT Viewer?action=UPDATE&amp;creator=factset&amp;DOC_NAME=fat:reuters_annual_source_window.fat&amp;display_string=Audit&amp;DYN_ARGS=TRUE&amp;VAR:ID1=76775410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15352710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annual_source_window.fat&amp;display_string=Audit&amp;DYN_ARGS=TRUE&amp;VAR:ID1=54316210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1__FDSAUDITLINK__" hidden="1">{"fdsup://IBCentral/FAT Viewer?action=UPDATE&amp;creator=factset&amp;DOC_NAME=fat:reuters_annual_source_window.fat&amp;display_string=Audit&amp;DYN_ARGS=TRUE&amp;VAR:ID1=54316210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2__FDSAUDITLINK__" hidden="1">{"fdsup://IBCentral/FAT Viewer?action=UPDATE&amp;creator=factset&amp;DOC_NAME=fat:reuters_annual_source_window.fat&amp;display_string=Audit&amp;DYN_ARGS=TRUE&amp;VAR:ID1=54316210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3__FDSAUDITLINK__" hidden="1">{"fdsup://IBCentral/FAT Viewer?action=UPDATE&amp;creator=factset&amp;DOC_NAME=fat:reuters_annual_source_window.fat&amp;display_string=Audit&amp;DYN_ARGS=TRUE&amp;VAR:ID1=54316210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4__FDSAUDITLINK__" hidden="1">{"fdsup://IBCentral/FAT Viewer?action=UPDATE&amp;creator=factset&amp;DOC_NAME=fat:reuters_annual_source_window.fat&amp;display_string=Audit&amp;DYN_ARGS=TRUE&amp;VAR:ID1=12665010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5__FDSAUDITLINK__" hidden="1">{"fdsup://IBCentral/FAT Viewer?action=UPDATE&amp;creator=factset&amp;DOC_NAME=fat:reuters_annual_source_window.fat&amp;display_string=Audit&amp;DYN_ARGS=TRUE&amp;VAR:ID1=12665010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6__FDSAUDITLINK__" hidden="1">{"fdsup://IBCentral/FAT Viewer?action=UPDATE&amp;creator=factset&amp;DOC_NAME=fat:reuters_annual_source_window.fat&amp;display_string=Audit&amp;DYN_ARGS=TRUE&amp;VAR:ID1=12665010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7__FDSAUDITLINK__" hidden="1">{"fdsup://IBCentral/FAT Viewer?action=UPDATE&amp;creator=factset&amp;DOC_NAME=fat:reuters_annual_source_window.fat&amp;display_string=Audit&amp;DYN_ARGS=TRUE&amp;VAR:ID1=12665010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96683710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96683710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90328M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96683710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96683710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62__FDSAUDITLINK__" hidden="1">{"fdsup://IBCentral/FAT Viewer?action=UPDATE&amp;creator=factset&amp;DOC_NAME=fat:reuters_annual_source_window.fat&amp;display_string=Audit&amp;DYN_ARGS=TRUE&amp;VAR:ID1=282119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3__FDSAUDITLINK__" hidden="1">{"fdsup://IBCentral/FAT Viewer?action=UPDATE&amp;creator=factset&amp;DOC_NAME=fat:reuters_annual_source_window.fat&amp;display_string=Audit&amp;DYN_ARGS=TRUE&amp;VAR:ID1=282119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4__FDSAUDITLINK__" hidden="1">{"fdsup://IBCentral/FAT Viewer?action=UPDATE&amp;creator=factset&amp;DOC_NAME=fat:reuters_annual_source_window.fat&amp;display_string=Audit&amp;DYN_ARGS=TRUE&amp;VAR:ID1=282119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5__FDSAUDITLINK__" hidden="1">{"fdsup://IBCentral/FAT Viewer?action=UPDATE&amp;creator=factset&amp;DOC_NAME=fat:reuters_annual_source_window.fat&amp;display_string=Audit&amp;DYN_ARGS=TRUE&amp;VAR:ID1=282119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6__FDSAUDITLINK__" hidden="1">{"fdsup://IBCentral/FAT Viewer?action=UPDATE&amp;creator=factset&amp;DOC_NAME=fat:reuters_annual_source_window.fat&amp;display_string=Audit&amp;DYN_ARGS=TRUE&amp;VAR:ID1=258395&amp;VAR:RCODE=SCEX&amp;VAR:SDATE=20070999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7__FDSAUDITLINK__" hidden="1">{"fdsup://IBCentral/FAT Viewer?action=UPDATE&amp;creator=factset&amp;DOC_NAME=fat:reuters_annual_source_window.fat&amp;display_string=Audit&amp;DYN_ARGS=TRUE&amp;VAR:ID1=258395&amp;VAR:RCODE=SCEX&amp;VAR:SDATE=20070999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8__FDSAUDITLINK__" hidden="1">{"fdsup://IBCentral/FAT Viewer?action=UPDATE&amp;creator=factset&amp;DOC_NAME=fat:reuters_annual_source_window.fat&amp;display_string=Audit&amp;DYN_ARGS=TRUE&amp;VAR:ID1=258395&amp;VAR:RCODE=CFGR&amp;VAR:SDATE=20070999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69__FDSAUDITLINK__" hidden="1">{"fdsup://IBCentral/FAT Viewer?action=UPDATE&amp;creator=factset&amp;DOC_NAME=fat:reuters_annual_source_window.fat&amp;display_string=Audit&amp;DYN_ARGS=TRUE&amp;VAR:ID1=258395&amp;VAR:RCODE=CFGR&amp;VAR:SDATE=20070999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79546E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70__FDSAUDITLINK__" hidden="1">{"fdsup://IBCentral/FAT Viewer?action=UPDATE&amp;creator=factset&amp;DOC_NAME=fat:reuters_annual_source_window.fat&amp;display_string=Audit&amp;DYN_ARGS=TRUE&amp;VAR:ID1=252180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1__FDSAUDITLINK__" hidden="1">{"fdsup://IBCentral/FAT Viewer?action=UPDATE&amp;creator=factset&amp;DOC_NAME=fat:reuters_annual_source_window.fat&amp;display_string=Audit&amp;DYN_ARGS=TRUE&amp;VAR:ID1=252180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2__FDSAUDITLINK__" hidden="1">{"fdsup://IBCentral/FAT Viewer?action=UPDATE&amp;creator=factset&amp;DOC_NAME=fat:reuters_annual_source_window.fat&amp;display_string=Audit&amp;DYN_ARGS=TRUE&amp;VAR:ID1=247154&amp;VAR:RCODE=SCEX&amp;VAR:SDATE=20070599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3__FDSAUDITLINK__" hidden="1">{"fdsup://IBCentral/FAT Viewer?action=UPDATE&amp;creator=factset&amp;DOC_NAME=fat:reuters_annual_source_window.fat&amp;display_string=Audit&amp;DYN_ARGS=TRUE&amp;VAR:ID1=247154&amp;VAR:RCODE=SCEX&amp;VAR:SDATE=20070599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4__FDSAUDITLINK__" hidden="1">{"fdsup://IBCentral/FAT Viewer?action=UPDATE&amp;creator=factset&amp;DOC_NAME=fat:reuters_annual_source_window.fat&amp;display_string=Audit&amp;DYN_ARGS=TRUE&amp;VAR:ID1=247154&amp;VAR:RCODE=CFGR&amp;VAR:SDATE=20070599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247154&amp;VAR:RCODE=CFGR&amp;VAR:SDATE=20070599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088470&amp;VAR:RCODE=SCEX&amp;VAR:SDATE=20070299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088470&amp;VAR:RCODE=SCEX&amp;VAR:SDATE=20070299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088470&amp;VAR:RCODE=CFGR&amp;VAR:SDATE=20070299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79__FDSAUDITLINK__" hidden="1">{"fdsup://IBCentral/FAT Viewer?action=UPDATE&amp;creator=factset&amp;DOC_NAME=fat:reuters_annual_source_window.fat&amp;display_string=Audit&amp;DYN_ARGS=TRUE&amp;VAR:ID1=088470&amp;VAR:RCODE=CFGR&amp;VAR:SDATE=20070299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76152550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80__FDSAUDITLINK__" hidden="1">{"fdsup://IBCentral/FAT Viewer?action=UPDATE&amp;creator=factset&amp;DOC_NAME=fat:reuters_annual_source_window.fat&amp;display_string=Audit&amp;DYN_ARGS=TRUE&amp;VAR:ID1=B019KW&amp;VAR:RCODE=SCEX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1__FDSAUDITLINK__" hidden="1">{"fdsup://IBCentral/FAT Viewer?action=UPDATE&amp;creator=factset&amp;DOC_NAME=fat:reuters_annual_source_window.fat&amp;display_string=Audit&amp;DYN_ARGS=TRUE&amp;VAR:ID1=B019KW&amp;VAR:RCODE=SCEX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2__FDSAUDITLINK__" hidden="1">{"fdsup://IBCentral/FAT Viewer?action=UPDATE&amp;creator=factset&amp;DOC_NAME=fat:reuters_annual_source_window.fat&amp;display_string=Audit&amp;DYN_ARGS=TRUE&amp;VAR:ID1=B019KW&amp;VAR:RCODE=CFGR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3__FDSAUDITLINK__" hidden="1">{"fdsup://IBCentral/FAT Viewer?action=UPDATE&amp;creator=factset&amp;DOC_NAME=fat:reuters_annual_source_window.fat&amp;display_string=Audit&amp;DYN_ARGS=TRUE&amp;VAR:ID1=B019KW&amp;VAR:RCODE=CFGR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4__FDSAUDITLINK__" hidden="1">{"fdsup://IBCentral/FAT Viewer?action=UPDATE&amp;creator=factset&amp;DOC_NAME=fat:reuters_annual_source_window.fat&amp;display_string=Audit&amp;DYN_ARGS=TRUE&amp;VAR:ID1=504141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5__FDSAUDITLINK__" hidden="1">{"fdsup://IBCentral/FAT Viewer?action=UPDATE&amp;creator=factset&amp;DOC_NAME=fat:reuters_annual_source_window.fat&amp;display_string=Audit&amp;DYN_ARGS=TRUE&amp;VAR:ID1=504141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6__FDSAUDITLINK__" hidden="1">{"fdsup://IBCentral/FAT Viewer?action=UPDATE&amp;creator=factset&amp;DOC_NAME=fat:reuters_annual_source_window.fat&amp;display_string=Audit&amp;DYN_ARGS=TRUE&amp;VAR:ID1=426211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7__FDSAUDITLINK__" hidden="1">{"fdsup://IBCentral/FAT Viewer?action=UPDATE&amp;creator=factset&amp;DOC_NAME=fat:reuters_annual_source_window.fat&amp;display_string=Audit&amp;DYN_ARGS=TRUE&amp;VAR:ID1=426211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8__FDSAUDITLINK__" hidden="1">{"fdsup://IBCentral/FAT Viewer?action=UPDATE&amp;creator=factset&amp;DOC_NAME=fat:reuters_annual_source_window.fat&amp;display_string=Audit&amp;DYN_ARGS=TRUE&amp;VAR:ID1=417841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89__FDSAUDITLINK__" hidden="1">{"fdsup://IBCentral/FAT Viewer?action=UPDATE&amp;creator=factset&amp;DOC_NAME=fat:reuters_annual_source_window.fat&amp;display_string=Audit&amp;DYN_ARGS=TRUE&amp;VAR:ID1=417841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74112D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0__FDSAUDITLINK__" hidden="1">{"fdsup://IBCentral/FAT Viewer?action=UPDATE&amp;creator=factset&amp;DOC_NAME=fat:reuters_annual_source_window.fat&amp;display_string=Audit&amp;DYN_ARGS=TRUE&amp;VAR:ID1=564156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91__FDSAUDITLINK__" hidden="1">{"fdsup://IBCentral/FAT Viewer?action=UPDATE&amp;creator=factset&amp;DOC_NAME=fat:reuters_annual_source_window.fat&amp;display_string=Audit&amp;DYN_ARGS=TRUE&amp;VAR:ID1=564156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92__FDSAUDITLINK__" hidden="1">{"fdsup://IBCentral/FAT Viewer?action=UPDATE&amp;creator=factset&amp;DOC_NAME=fat:reuters_annual_source_window.fat&amp;display_string=Audit&amp;DYN_ARGS=TRUE&amp;VAR:ID1=525260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525260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97428030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97428030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97428030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97428030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94884910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94884910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08883T20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71942710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annual_source_window.fat&amp;display_string=Audit&amp;DYN_ARGS=TRUE&amp;VAR:ID1=92710740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annual_source_window.fat&amp;display_string=Audit&amp;DYN_ARGS=TRUE&amp;VAR:ID1=92710740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92710740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92710740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84682210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annual_source_window.fat&amp;display_string=Audit&amp;DYN_ARGS=TRUE&amp;VAR:ID1=84682210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6__FDSAUDITLINK__" hidden="1">{"fdsup://IBCentral/FAT Viewer?action=UPDATE&amp;creator=factset&amp;DOC_NAME=fat:reuters_annual_source_window.fat&amp;display_string=Audit&amp;DYN_ARGS=TRUE&amp;VAR:ID1=84682210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annual_source_window.fat&amp;display_string=Audit&amp;DYN_ARGS=TRUE&amp;VAR:ID1=84682210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78125810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annual_source_window.fat&amp;display_string=Audit&amp;DYN_ARGS=TRUE&amp;VAR:ID1=78125810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70164510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annual_source_window.fat&amp;display_string=Audit&amp;DYN_ARGS=TRUE&amp;VAR:ID1=78125810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annual_source_window.fat&amp;display_string=Audit&amp;DYN_ARGS=TRUE&amp;VAR:ID1=78125810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annual_source_window.fat&amp;display_string=Audit&amp;DYN_ARGS=TRUE&amp;VAR:ID1=70322A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annual_source_window.fat&amp;display_string=Audit&amp;DYN_ARGS=TRUE&amp;VAR:ID1=70322A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annual_source_window.fat&amp;display_string=Audit&amp;DYN_ARGS=TRUE&amp;VAR:ID1=70322A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annual_source_window.fat&amp;display_string=Audit&amp;DYN_ARGS=TRUE&amp;VAR:ID1=70322A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annual_source_window.fat&amp;display_string=Audit&amp;DYN_ARGS=TRUE&amp;VAR:ID1=45703010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annual_source_window.fat&amp;display_string=Audit&amp;DYN_ARGS=TRUE&amp;VAR:ID1=45703010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8__FDSAUDITLINK__" hidden="1">{"fdsup://IBCentral/FAT Viewer?action=UPDATE&amp;creator=factset&amp;DOC_NAME=fat:reuters_annual_source_window.fat&amp;display_string=Audit&amp;DYN_ARGS=TRUE&amp;VAR:ID1=45703010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19__FDSAUDITLINK__" hidden="1">{"fdsup://IBCentral/FAT Viewer?action=UPDATE&amp;creator=factset&amp;DOC_NAME=fat:reuters_annual_source_window.fat&amp;display_string=Audit&amp;DYN_ARGS=TRUE&amp;VAR:ID1=45703010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67018T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20__FDSAUDITLINK__" hidden="1">{"fdsup://IBCentral/FAT Viewer?action=UPDATE&amp;creator=factset&amp;DOC_NAME=fat:reuters_annual_source_window.fat&amp;display_string=Audit&amp;DYN_ARGS=TRUE&amp;VAR:ID1=39006410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1__FDSAUDITLINK__" hidden="1">{"fdsup://IBCentral/FAT Viewer?action=UPDATE&amp;creator=factset&amp;DOC_NAME=fat:reuters_annual_source_window.fat&amp;display_string=Audit&amp;DYN_ARGS=TRUE&amp;VAR:ID1=39006410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2__FDSAUDITLINK__" hidden="1">{"fdsup://IBCentral/FAT Viewer?action=UPDATE&amp;creator=factset&amp;DOC_NAME=fat:reuters_annual_source_window.fat&amp;display_string=Audit&amp;DYN_ARGS=TRUE&amp;VAR:ID1=39006410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3__FDSAUDITLINK__" hidden="1">{"fdsup://IBCentral/FAT Viewer?action=UPDATE&amp;creator=factset&amp;DOC_NAME=fat:reuters_annual_source_window.fat&amp;display_string=Audit&amp;DYN_ARGS=TRUE&amp;VAR:ID1=39006410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4__FDSAUDITLINK__" hidden="1">{"fdsup://IBCentral/FAT Viewer?action=UPDATE&amp;creator=factset&amp;DOC_NAME=fat:reuters_annual_source_window.fat&amp;display_string=Audit&amp;DYN_ARGS=TRUE&amp;VAR:ID1=86853610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5__FDSAUDITLINK__" hidden="1">{"fdsup://IBCentral/FAT Viewer?action=UPDATE&amp;creator=factset&amp;DOC_NAME=fat:reuters_annual_source_window.fat&amp;display_string=Audit&amp;DYN_ARGS=TRUE&amp;VAR:ID1=86853610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6__FDSAUDITLINK__" hidden="1">{"fdsup://IBCentral/FAT Viewer?action=UPDATE&amp;creator=factset&amp;DOC_NAME=fat:reuters_annual_source_window.fat&amp;display_string=Audit&amp;DYN_ARGS=TRUE&amp;VAR:ID1=86853610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7__FDSAUDITLINK__" hidden="1">{"fdsup://IBCentral/FAT Viewer?action=UPDATE&amp;creator=factset&amp;DOC_NAME=fat:reuters_annual_source_window.fat&amp;display_string=Audit&amp;DYN_ARGS=TRUE&amp;VAR:ID1=86853610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8__FDSAUDITLINK__" hidden="1">{"fdsup://IBCentral/FAT Viewer?action=UPDATE&amp;creator=factset&amp;DOC_NAME=fat:reuters_annual_source_window.fat&amp;display_string=Audit&amp;DYN_ARGS=TRUE&amp;VAR:ID1=78651420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29__FDSAUDITLINK__" hidden="1">{"fdsup://IBCentral/FAT Viewer?action=UPDATE&amp;creator=factset&amp;DOC_NAME=fat:reuters_annual_source_window.fat&amp;display_string=Audit&amp;DYN_ARGS=TRUE&amp;VAR:ID1=78651420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47816010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30__FDSAUDITLINK__" hidden="1">{"fdsup://IBCentral/FAT Viewer?action=UPDATE&amp;creator=factset&amp;DOC_NAME=fat:reuters_annual_source_window.fat&amp;display_string=Audit&amp;DYN_ARGS=TRUE&amp;VAR:ID1=78651420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annual_source_window.fat&amp;display_string=Audit&amp;DYN_ARGS=TRUE&amp;VAR:ID1=78651420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annual_source_window.fat&amp;display_string=Audit&amp;DYN_ARGS=TRUE&amp;VAR:ID1=50104410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annual_source_window.fat&amp;display_string=Audit&amp;DYN_ARGS=TRUE&amp;VAR:ID1=50104410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annual_source_window.fat&amp;display_string=Audit&amp;DYN_ARGS=TRUE&amp;VAR:ID1=50104410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50104410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87254010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annual_source_window.fat&amp;display_string=Audit&amp;DYN_ARGS=TRUE&amp;VAR:ID1=87254010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annual_source_window.fat&amp;display_string=Audit&amp;DYN_ARGS=TRUE&amp;VAR:ID1=87254010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annual_source_window.fat&amp;display_string=Audit&amp;DYN_ARGS=TRUE&amp;VAR:ID1=87254010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51843910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annual_source_window.fat&amp;display_string=Audit&amp;DYN_ARGS=TRUE&amp;VAR:ID1=87155110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annual_source_window.fat&amp;display_string=Audit&amp;DYN_ARGS=TRUE&amp;VAR:ID1=87155110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annual_source_window.fat&amp;display_string=Audit&amp;DYN_ARGS=TRUE&amp;VAR:ID1=87155110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annual_source_window.fat&amp;display_string=Audit&amp;DYN_ARGS=TRUE&amp;VAR:ID1=87155110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annual_source_window.fat&amp;display_string=Audit&amp;DYN_ARGS=TRUE&amp;VAR:ID1=85837510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annual_source_window.fat&amp;display_string=Audit&amp;DYN_ARGS=TRUE&amp;VAR:ID1=85837510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annual_source_window.fat&amp;display_string=Audit&amp;DYN_ARGS=TRUE&amp;VAR:ID1=85837510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annual_source_window.fat&amp;display_string=Audit&amp;DYN_ARGS=TRUE&amp;VAR:ID1=85837510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annual_source_window.fat&amp;display_string=Audit&amp;DYN_ARGS=TRUE&amp;VAR:ID1=77829610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annual_source_window.fat&amp;display_string=Audit&amp;DYN_ARGS=TRUE&amp;VAR:ID1=77829610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28660G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annual_source_window.fat&amp;display_string=Audit&amp;DYN_ARGS=TRUE&amp;VAR:ID1=77829610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annual_source_window.fat&amp;display_string=Audit&amp;DYN_ARGS=TRUE&amp;VAR:ID1=77829610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annual_source_window.fat&amp;display_string=Audit&amp;DYN_ARGS=TRUE&amp;VAR:ID1=76128Y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annual_source_window.fat&amp;display_string=Audit&amp;DYN_ARGS=TRUE&amp;VAR:ID1=76128Y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annual_source_window.fat&amp;display_string=Audit&amp;DYN_ARGS=TRUE&amp;VAR:ID1=76128Y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annual_source_window.fat&amp;display_string=Audit&amp;DYN_ARGS=TRUE&amp;VAR:ID1=76128Y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annual_source_window.fat&amp;display_string=Audit&amp;DYN_ARGS=TRUE&amp;VAR:ID1=26157010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annual_source_window.fat&amp;display_string=Audit&amp;DYN_ARGS=TRUE&amp;VAR:ID1=26157010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annual_source_window.fat&amp;display_string=Audit&amp;DYN_ARGS=TRUE&amp;VAR:ID1=26157010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annual_source_window.fat&amp;display_string=Audit&amp;DYN_ARGS=TRUE&amp;VAR:ID1=26157010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19416210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annual_source_window.fat&amp;display_string=Audit&amp;DYN_ARGS=TRUE&amp;VAR:ID1=17306X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annual_source_window.fat&amp;display_string=Audit&amp;DYN_ARGS=TRUE&amp;VAR:ID1=17306X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annual_source_window.fat&amp;display_string=Audit&amp;DYN_ARGS=TRUE&amp;VAR:ID1=17306X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annual_source_window.fat&amp;display_string=Audit&amp;DYN_ARGS=TRUE&amp;VAR:ID1=17306X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annual_source_window.fat&amp;display_string=Audit&amp;DYN_ARGS=TRUE&amp;VAR:ID1=14920510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5__FDSAUDITLINK__" hidden="1">{"fdsup://IBCentral/FAT Viewer?action=UPDATE&amp;creator=factset&amp;DOC_NAME=fat:reuters_annual_source_window.fat&amp;display_string=Audit&amp;DYN_ARGS=TRUE&amp;VAR:ID1=14920510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6__FDSAUDITLINK__" hidden="1">{"fdsup://IBCentral/FAT Viewer?action=UPDATE&amp;creator=factset&amp;DOC_NAME=fat:reuters_annual_source_window.fat&amp;display_string=Audit&amp;DYN_ARGS=TRUE&amp;VAR:ID1=14920510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7__FDSAUDITLINK__" hidden="1">{"fdsup://IBCentral/FAT Viewer?action=UPDATE&amp;creator=factset&amp;DOC_NAME=fat:reuters_annual_source_window.fat&amp;display_string=Audit&amp;DYN_ARGS=TRUE&amp;VAR:ID1=14920510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8__FDSAUDITLINK__" hidden="1">{"fdsup://IBCentral/FAT Viewer?action=UPDATE&amp;creator=factset&amp;DOC_NAME=fat:reuters_annual_source_window.fat&amp;display_string=Audit&amp;DYN_ARGS=TRUE&amp;VAR:ID1=08930210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69__FDSAUDITLINK__" hidden="1">{"fdsup://IBCentral/FAT Viewer?action=UPDATE&amp;creator=factset&amp;DOC_NAME=fat:reuters_annual_source_window.fat&amp;display_string=Audit&amp;DYN_ARGS=TRUE&amp;VAR:ID1=08930210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17134010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70__FDSAUDITLINK__" hidden="1">{"fdsup://IBCentral/FAT Viewer?action=UPDATE&amp;creator=factset&amp;DOC_NAME=fat:reuters_annual_source_window.fat&amp;display_string=Audit&amp;DYN_ARGS=TRUE&amp;VAR:ID1=08930210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1__FDSAUDITLINK__" hidden="1">{"fdsup://IBCentral/FAT Viewer?action=UPDATE&amp;creator=factset&amp;DOC_NAME=fat:reuters_annual_source_window.fat&amp;display_string=Audit&amp;DYN_ARGS=TRUE&amp;VAR:ID1=08930210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2__FDSAUDITLINK__" hidden="1">{"fdsup://IBCentral/FAT Viewer?action=UPDATE&amp;creator=factset&amp;DOC_NAME=fat:reuters_annual_source_window.fat&amp;display_string=Audit&amp;DYN_ARGS=TRUE&amp;VAR:ID1=85254C30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3__FDSAUDITLINK__" hidden="1">{"fdsup://IBCentral/FAT Viewer?action=UPDATE&amp;creator=factset&amp;DOC_NAME=fat:reuters_annual_source_window.fat&amp;display_string=Audit&amp;DYN_ARGS=TRUE&amp;VAR:ID1=85254C30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4__FDSAUDITLINK__" hidden="1">{"fdsup://IBCentral/FAT Viewer?action=UPDATE&amp;creator=factset&amp;DOC_NAME=fat:reuters_annual_source_window.fat&amp;display_string=Audit&amp;DYN_ARGS=TRUE&amp;VAR:ID1=85254C30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5__FDSAUDITLINK__" hidden="1">{"fdsup://IBCentral/FAT Viewer?action=UPDATE&amp;creator=factset&amp;DOC_NAME=fat:reuters_annual_source_window.fat&amp;display_string=Audit&amp;DYN_ARGS=TRUE&amp;VAR:ID1=85254C30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6__FDSAUDITLINK__" hidden="1">{"fdsup://IBCentral/FAT Viewer?action=UPDATE&amp;creator=factset&amp;DOC_NAME=fat:reuters_annual_source_window.fat&amp;display_string=Audit&amp;DYN_ARGS=TRUE&amp;VAR:ID1=81235010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7__FDSAUDITLINK__" hidden="1">{"fdsup://IBCentral/FAT Viewer?action=UPDATE&amp;creator=factset&amp;DOC_NAME=fat:reuters_annual_source_window.fat&amp;display_string=Audit&amp;DYN_ARGS=TRUE&amp;VAR:ID1=81235010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8__FDSAUDITLINK__" hidden="1">{"fdsup://IBCentral/FAT Viewer?action=UPDATE&amp;creator=factset&amp;DOC_NAME=fat:reuters_annual_source_window.fat&amp;display_string=Audit&amp;DYN_ARGS=TRUE&amp;VAR:ID1=81235010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79__FDSAUDITLINK__" hidden="1">{"fdsup://IBCentral/FAT Viewer?action=UPDATE&amp;creator=factset&amp;DOC_NAME=fat:reuters_annual_source_window.fat&amp;display_string=Audit&amp;DYN_ARGS=TRUE&amp;VAR:ID1=81235010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annual_source_window.fat&amp;display_string=Audit&amp;DYN_ARGS=TRUE&amp;VAR:ID1=16245610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80__FDSAUDITLINK__" hidden="1">{"fdsup://IBCentral/FAT Viewer?action=UPDATE&amp;creator=factset&amp;DOC_NAME=fat:reuters_annual_source_window.fat&amp;display_string=Audit&amp;DYN_ARGS=TRUE&amp;VAR:ID1=79377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1__FDSAUDITLINK__" hidden="1">{"fdsup://IBCentral/FAT Viewer?action=UPDATE&amp;creator=factset&amp;DOC_NAME=fat:reuters_annual_source_window.fat&amp;display_string=Audit&amp;DYN_ARGS=TRUE&amp;VAR:ID1=79377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2__FDSAUDITLINK__" hidden="1">{"fdsup://IBCentral/FAT Viewer?action=UPDATE&amp;creator=factset&amp;DOC_NAME=fat:reuters_annual_source_window.fat&amp;display_string=Audit&amp;DYN_ARGS=TRUE&amp;VAR:ID1=79377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3__FDSAUDITLINK__" hidden="1">{"fdsup://IBCentral/FAT Viewer?action=UPDATE&amp;creator=factset&amp;DOC_NAME=fat:reuters_annual_source_window.fat&amp;display_string=Audit&amp;DYN_ARGS=TRUE&amp;VAR:ID1=79377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4__FDSAUDITLINK__" hidden="1">{"fdsup://IBCentral/FAT Viewer?action=UPDATE&amp;creator=factset&amp;DOC_NAME=fat:reuters_annual_source_window.fat&amp;display_string=Audit&amp;DYN_ARGS=TRUE&amp;VAR:ID1=65566410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5__FDSAUDITLINK__" hidden="1">{"fdsup://IBCentral/FAT Viewer?action=UPDATE&amp;creator=factset&amp;DOC_NAME=fat:reuters_annual_source_window.fat&amp;display_string=Audit&amp;DYN_ARGS=TRUE&amp;VAR:ID1=65566410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6__FDSAUDITLINK__" hidden="1">{"fdsup://IBCentral/FAT Viewer?action=UPDATE&amp;creator=factset&amp;DOC_NAME=fat:reuters_annual_source_window.fat&amp;display_string=Audit&amp;DYN_ARGS=TRUE&amp;VAR:ID1=65566410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7__FDSAUDITLINK__" hidden="1">{"fdsup://IBCentral/FAT Viewer?action=UPDATE&amp;creator=factset&amp;DOC_NAME=fat:reuters_annual_source_window.fat&amp;display_string=Audit&amp;DYN_ARGS=TRUE&amp;VAR:ID1=65566410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8__FDSAUDITLINK__" hidden="1">{"fdsup://IBCentral/FAT Viewer?action=UPDATE&amp;creator=factset&amp;DOC_NAME=fat:reuters_annual_source_window.fat&amp;display_string=Audit&amp;DYN_ARGS=TRUE&amp;VAR:ID1=55616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89__FDSAUDITLINK__" hidden="1">{"fdsup://IBCentral/FAT Viewer?action=UPDATE&amp;creator=factset&amp;DOC_NAME=fat:reuters_annual_source_window.fat&amp;display_string=Audit&amp;DYN_ARGS=TRUE&amp;VAR:ID1=55616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06751110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90__FDSAUDITLINK__" hidden="1">{"fdsup://IBCentral/FAT Viewer?action=UPDATE&amp;creator=factset&amp;DOC_NAME=fat:reuters_annual_source_window.fat&amp;display_string=Audit&amp;DYN_ARGS=TRUE&amp;VAR:ID1=55616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1__FDSAUDITLINK__" hidden="1">{"fdsup://IBCentral/FAT Viewer?action=UPDATE&amp;creator=factset&amp;DOC_NAME=fat:reuters_annual_source_window.fat&amp;display_string=Audit&amp;DYN_ARGS=TRUE&amp;VAR:ID1=55616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2__FDSAUDITLINK__" hidden="1">{"fdsup://IBCentral/FAT Viewer?action=UPDATE&amp;creator=factset&amp;DOC_NAME=fat:reuters_annual_source_window.fat&amp;display_string=Audit&amp;DYN_ARGS=TRUE&amp;VAR:ID1=50025510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3__FDSAUDITLINK__" hidden="1">{"fdsup://IBCentral/FAT Viewer?action=UPDATE&amp;creator=factset&amp;DOC_NAME=fat:reuters_annual_source_window.fat&amp;display_string=Audit&amp;DYN_ARGS=TRUE&amp;VAR:ID1=50025510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4__FDSAUDITLINK__" hidden="1">{"fdsup://IBCentral/FAT Viewer?action=UPDATE&amp;creator=factset&amp;DOC_NAME=fat:reuters_annual_source_window.fat&amp;display_string=Audit&amp;DYN_ARGS=TRUE&amp;VAR:ID1=50025510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5__FDSAUDITLINK__" hidden="1">{"fdsup://IBCentral/FAT Viewer?action=UPDATE&amp;creator=factset&amp;DOC_NAME=fat:reuters_annual_source_window.fat&amp;display_string=Audit&amp;DYN_ARGS=TRUE&amp;VAR:ID1=50025510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6__FDSAUDITLINK__" hidden="1">{"fdsup://IBCentral/FAT Viewer?action=UPDATE&amp;creator=factset&amp;DOC_NAME=fat:reuters_annual_source_window.fat&amp;display_string=Audit&amp;DYN_ARGS=TRUE&amp;VAR:ID1=70816010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7__FDSAUDITLINK__" hidden="1">{"fdsup://IBCentral/FAT Viewer?action=UPDATE&amp;creator=factset&amp;DOC_NAME=fat:reuters_annual_source_window.fat&amp;display_string=Audit&amp;DYN_ARGS=TRUE&amp;VAR:ID1=70816010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8__FDSAUDITLINK__" hidden="1">{"fdsup://IBCentral/FAT Viewer?action=UPDATE&amp;creator=factset&amp;DOC_NAME=fat:reuters_annual_source_window.fat&amp;display_string=Audit&amp;DYN_ARGS=TRUE&amp;VAR:ID1=70816010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199__FDSAUDITLINK__" hidden="1">{"fdsup://IBCentral/FAT Viewer?action=UPDATE&amp;creator=factset&amp;DOC_NAME=fat:reuters_annual_source_window.fat&amp;display_string=Audit&amp;DYN_ARGS=TRUE&amp;VAR:ID1=70816010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406141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source_window.fat&amp;display_string=Audit&amp;DYN_ARGS=TRUE&amp;VAR:ID1=05430310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00__FDSAUDITLINK__" hidden="1">{"fdsup://IBCentral/FAT Viewer?action=UPDATE&amp;creator=factset&amp;DOC_NAME=fat:reuters_annual_source_window.fat&amp;display_string=Audit&amp;DYN_ARGS=TRUE&amp;VAR:ID1=38348510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1__FDSAUDITLINK__" hidden="1">{"fdsup://IBCentral/FAT Viewer?action=UPDATE&amp;creator=factset&amp;DOC_NAME=fat:reuters_annual_source_window.fat&amp;display_string=Audit&amp;DYN_ARGS=TRUE&amp;VAR:ID1=38348510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2__FDSAUDITLINK__" hidden="1">{"fdsup://IBCentral/FAT Viewer?action=UPDATE&amp;creator=factset&amp;DOC_NAME=fat:reuters_annual_source_window.fat&amp;display_string=Audit&amp;DYN_ARGS=TRUE&amp;VAR:ID1=38348510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3__FDSAUDITLINK__" hidden="1">{"fdsup://IBCentral/FAT Viewer?action=UPDATE&amp;creator=factset&amp;DOC_NAME=fat:reuters_annual_source_window.fat&amp;display_string=Audit&amp;DYN_ARGS=TRUE&amp;VAR:ID1=38348510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4__FDSAUDITLINK__" hidden="1">{"fdsup://IBCentral/FAT Viewer?action=UPDATE&amp;creator=factset&amp;DOC_NAME=fat:reuters_annual_source_window.fat&amp;display_string=Audit&amp;DYN_ARGS=TRUE&amp;VAR:ID1=25406710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5__FDSAUDITLINK__" hidden="1">{"fdsup://IBCentral/FAT Viewer?action=UPDATE&amp;creator=factset&amp;DOC_NAME=fat:reuters_annual_source_window.fat&amp;display_string=Audit&amp;DYN_ARGS=TRUE&amp;VAR:ID1=25406710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6__FDSAUDITLINK__" hidden="1">{"fdsup://IBCentral/FAT Viewer?action=UPDATE&amp;creator=factset&amp;DOC_NAME=fat:reuters_annual_source_window.fat&amp;display_string=Audit&amp;DYN_ARGS=TRUE&amp;VAR:ID1=25406710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7__FDSAUDITLINK__" hidden="1">{"fdsup://IBCentral/FAT Viewer?action=UPDATE&amp;creator=factset&amp;DOC_NAME=fat:reuters_annual_source_window.fat&amp;display_string=Audit&amp;DYN_ARGS=TRUE&amp;VAR:ID1=25406710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8__FDSAUDITLINK__" hidden="1">{"fdsup://IBCentral/FAT Viewer?action=UPDATE&amp;creator=factset&amp;DOC_NAME=fat:reuters_annual_source_window.fat&amp;display_string=Audit&amp;DYN_ARGS=TRUE&amp;VAR:ID1=09776J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09__FDSAUDITLINK__" hidden="1">{"fdsup://IBCentral/FAT Viewer?action=UPDATE&amp;creator=factset&amp;DOC_NAME=fat:reuters_annual_source_window.fat&amp;display_string=Audit&amp;DYN_ARGS=TRUE&amp;VAR:ID1=09776J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annual_source_window.fat&amp;display_string=Audit&amp;DYN_ARGS=TRUE&amp;VAR:ID1=01307810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10__FDSAUDITLINK__" hidden="1">{"fdsup://IBCentral/FAT Viewer?action=UPDATE&amp;creator=factset&amp;DOC_NAME=fat:reuters_annual_source_window.fat&amp;display_string=Audit&amp;DYN_ARGS=TRUE&amp;VAR:ID1=09776J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1__FDSAUDITLINK__" hidden="1">{"fdsup://IBCentral/FAT Viewer?action=UPDATE&amp;creator=factset&amp;DOC_NAME=fat:reuters_annual_source_window.fat&amp;display_string=Audit&amp;DYN_ARGS=TRUE&amp;VAR:ID1=09776J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2__FDSAUDITLINK__" hidden="1">{"fdsup://IBCentral/FAT Viewer?action=UPDATE&amp;creator=factset&amp;DOC_NAME=fat:reuters_annual_source_window.fat&amp;display_string=Audit&amp;DYN_ARGS=TRUE&amp;VAR:ID1=76774410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3__FDSAUDITLINK__" hidden="1">{"fdsup://IBCentral/FAT Viewer?action=UPDATE&amp;creator=factset&amp;DOC_NAME=fat:reuters_annual_source_window.fat&amp;display_string=Audit&amp;DYN_ARGS=TRUE&amp;VAR:ID1=76774410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4__FDSAUDITLINK__" hidden="1">{"fdsup://IBCentral/FAT Viewer?action=UPDATE&amp;creator=factset&amp;DOC_NAME=fat:reuters_annual_source_window.fat&amp;display_string=Audit&amp;DYN_ARGS=TRUE&amp;VAR:ID1=76774410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5__FDSAUDITLINK__" hidden="1">{"fdsup://IBCentral/FAT Viewer?action=UPDATE&amp;creator=factset&amp;DOC_NAME=fat:reuters_annual_source_window.fat&amp;display_string=Audit&amp;DYN_ARGS=TRUE&amp;VAR:ID1=76774410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6__FDSAUDITLINK__" hidden="1">{"fdsup://IBCentral/FAT Viewer?action=UPDATE&amp;creator=factset&amp;DOC_NAME=fat:reuters_annual_source_window.fat&amp;display_string=Audit&amp;DYN_ARGS=TRUE&amp;VAR:ID1=61023610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7__FDSAUDITLINK__" hidden="1">{"fdsup://IBCentral/FAT Viewer?action=UPDATE&amp;creator=factset&amp;DOC_NAME=fat:reuters_annual_source_window.fat&amp;display_string=Audit&amp;DYN_ARGS=TRUE&amp;VAR:ID1=61023610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8__FDSAUDITLINK__" hidden="1">{"fdsup://IBCentral/FAT Viewer?action=UPDATE&amp;creator=factset&amp;DOC_NAME=fat:reuters_annual_source_window.fat&amp;display_string=Audit&amp;DYN_ARGS=TRUE&amp;VAR:ID1=61023610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19__FDSAUDITLINK__" hidden="1">{"fdsup://IBCentral/FAT Viewer?action=UPDATE&amp;creator=factset&amp;DOC_NAME=fat:reuters_annual_source_window.fat&amp;display_string=Audit&amp;DYN_ARGS=TRUE&amp;VAR:ID1=61023610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annual_source_window.fat&amp;display_string=Audit&amp;DYN_ARGS=TRUE&amp;VAR:ID1=00635P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20__FDSAUDITLINK__" hidden="1">{"fdsup://IBCentral/FAT Viewer?action=UPDATE&amp;creator=factset&amp;DOC_NAME=fat:reuters_annual_source_window.fat&amp;display_string=Audit&amp;DYN_ARGS=TRUE&amp;VAR:ID1=50188920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1__FDSAUDITLINK__" hidden="1">{"fdsup://IBCentral/FAT Viewer?action=UPDATE&amp;creator=factset&amp;DOC_NAME=fat:reuters_annual_source_window.fat&amp;display_string=Audit&amp;DYN_ARGS=TRUE&amp;VAR:ID1=50188920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2__FDSAUDITLINK__" hidden="1">{"fdsup://IBCentral/FAT Viewer?action=UPDATE&amp;creator=factset&amp;DOC_NAME=fat:reuters_annual_source_window.fat&amp;display_string=Audit&amp;DYN_ARGS=TRUE&amp;VAR:ID1=50188920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3__FDSAUDITLINK__" hidden="1">{"fdsup://IBCentral/FAT Viewer?action=UPDATE&amp;creator=factset&amp;DOC_NAME=fat:reuters_annual_source_window.fat&amp;display_string=Audit&amp;DYN_ARGS=TRUE&amp;VAR:ID1=50188920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4__FDSAUDITLINK__" hidden="1">{"fdsup://IBCentral/FAT Viewer?action=UPDATE&amp;creator=factset&amp;DOC_NAME=fat:reuters_annual_source_window.fat&amp;display_string=Audit&amp;DYN_ARGS=TRUE&amp;VAR:ID1=37246010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5__FDSAUDITLINK__" hidden="1">{"fdsup://IBCentral/FAT Viewer?action=UPDATE&amp;creator=factset&amp;DOC_NAME=fat:reuters_annual_source_window.fat&amp;display_string=Audit&amp;DYN_ARGS=TRUE&amp;VAR:ID1=37246010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6__FDSAUDITLINK__" hidden="1">{"fdsup://IBCentral/FAT Viewer?action=UPDATE&amp;creator=factset&amp;DOC_NAME=fat:reuters_annual_source_window.fat&amp;display_string=Audit&amp;DYN_ARGS=TRUE&amp;VAR:ID1=37246010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7__FDSAUDITLINK__" hidden="1">{"fdsup://IBCentral/FAT Viewer?action=UPDATE&amp;creator=factset&amp;DOC_NAME=fat:reuters_annual_source_window.fat&amp;display_string=Audit&amp;DYN_ARGS=TRUE&amp;VAR:ID1=37246010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8__FDSAUDITLINK__" hidden="1">{"fdsup://IBCentral/FAT Viewer?action=UPDATE&amp;creator=factset&amp;DOC_NAME=fat:reuters_annual_source_window.fat&amp;display_string=Audit&amp;DYN_ARGS=TRUE&amp;VAR:ID1=71327810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29__FDSAUDITLINK__" hidden="1">{"fdsup://IBCentral/FAT Viewer?action=UPDATE&amp;creator=factset&amp;DOC_NAME=fat:reuters_annual_source_window.fat&amp;display_string=Audit&amp;DYN_ARGS=TRUE&amp;VAR:ID1=71327810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078396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30__FDSAUDITLINK__" hidden="1">{"fdsup://IBCentral/FAT Viewer?action=UPDATE&amp;creator=factset&amp;DOC_NAME=fat:reuters_annual_source_window.fat&amp;display_string=Audit&amp;DYN_ARGS=TRUE&amp;VAR:ID1=71327810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1__FDSAUDITLINK__" hidden="1">{"fdsup://IBCentral/FAT Viewer?action=UPDATE&amp;creator=factset&amp;DOC_NAME=fat:reuters_annual_source_window.fat&amp;display_string=Audit&amp;DYN_ARGS=TRUE&amp;VAR:ID1=71327810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2__FDSAUDITLINK__" hidden="1">{"fdsup://IBCentral/FAT Viewer?action=UPDATE&amp;creator=factset&amp;DOC_NAME=fat:reuters_annual_source_window.fat&amp;display_string=Audit&amp;DYN_ARGS=TRUE&amp;VAR:ID1=68609110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3__FDSAUDITLINK__" hidden="1">{"fdsup://IBCentral/FAT Viewer?action=UPDATE&amp;creator=factset&amp;DOC_NAME=fat:reuters_annual_source_window.fat&amp;display_string=Audit&amp;DYN_ARGS=TRUE&amp;VAR:ID1=68609110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4__FDSAUDITLINK__" hidden="1">{"fdsup://IBCentral/FAT Viewer?action=UPDATE&amp;creator=factset&amp;DOC_NAME=fat:reuters_annual_source_window.fat&amp;display_string=Audit&amp;DYN_ARGS=TRUE&amp;VAR:ID1=12596510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5__FDSAUDITLINK__" hidden="1">{"fdsup://IBCentral/FAT Viewer?action=UPDATE&amp;creator=factset&amp;DOC_NAME=fat:reuters_annual_source_window.fat&amp;display_string=Audit&amp;DYN_ARGS=TRUE&amp;VAR:ID1=12596510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6__FDSAUDITLINK__" hidden="1">{"fdsup://IBCentral/FAT Viewer?action=UPDATE&amp;creator=factset&amp;DOC_NAME=fat:reuters_annual_source_window.fat&amp;display_string=Audit&amp;DYN_ARGS=TRUE&amp;VAR:ID1=12596510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7__FDSAUDITLINK__" hidden="1">{"fdsup://IBCentral/FAT Viewer?action=UPDATE&amp;creator=factset&amp;DOC_NAME=fat:reuters_annual_source_window.fat&amp;display_string=Audit&amp;DYN_ARGS=TRUE&amp;VAR:ID1=12596510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8__FDSAUDITLINK__" hidden="1">{"fdsup://IBCentral/FAT Viewer?action=UPDATE&amp;creator=factset&amp;DOC_NAME=fat:reuters_annual_source_window.fat&amp;display_string=Audit&amp;DYN_ARGS=TRUE&amp;VAR:ID1=05333210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39__FDSAUDITLINK__" hidden="1">{"fdsup://IBCentral/FAT Viewer?action=UPDATE&amp;creator=factset&amp;DOC_NAME=fat:reuters_annual_source_window.fat&amp;display_string=Audit&amp;DYN_ARGS=TRUE&amp;VAR:ID1=05333210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048354&amp;VAR:RCODE=TTAX&amp;VAR:SDATE=20070399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40__FDSAUDITLINK__" hidden="1">{"fdsup://IBCentral/FAT Viewer?action=UPDATE&amp;creator=factset&amp;DOC_NAME=fat:reuters_annual_source_window.fat&amp;display_string=Audit&amp;DYN_ARGS=TRUE&amp;VAR:ID1=05333210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1__FDSAUDITLINK__" hidden="1">{"fdsup://IBCentral/FAT Viewer?action=UPDATE&amp;creator=factset&amp;DOC_NAME=fat:reuters_annual_source_window.fat&amp;display_string=Audit&amp;DYN_ARGS=TRUE&amp;VAR:ID1=05333210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2__FDSAUDITLINK__" hidden="1">{"fdsup://IBCentral/FAT Viewer?action=UPDATE&amp;creator=factset&amp;DOC_NAME=fat:reuters_annual_source_window.fat&amp;display_string=Audit&amp;DYN_ARGS=TRUE&amp;VAR:ID1=00751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3__FDSAUDITLINK__" hidden="1">{"fdsup://IBCentral/FAT Viewer?action=UPDATE&amp;creator=factset&amp;DOC_NAME=fat:reuters_annual_source_window.fat&amp;display_string=Audit&amp;DYN_ARGS=TRUE&amp;VAR:ID1=00751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4__FDSAUDITLINK__" hidden="1">{"fdsup://IBCentral/FAT Viewer?action=UPDATE&amp;creator=factset&amp;DOC_NAME=fat:reuters_annual_source_window.fat&amp;display_string=Audit&amp;DYN_ARGS=TRUE&amp;VAR:ID1=00751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5__FDSAUDITLINK__" hidden="1">{"fdsup://IBCentral/FAT Viewer?action=UPDATE&amp;creator=factset&amp;DOC_NAME=fat:reuters_annual_source_window.fat&amp;display_string=Audit&amp;DYN_ARGS=TRUE&amp;VAR:ID1=00751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6__FDSAUDITLINK__" hidden="1">{"fdsup://IBCentral/FAT Viewer?action=UPDATE&amp;creator=factset&amp;DOC_NAME=fat:reuters_annual_source_window.fat&amp;display_string=Audit&amp;DYN_ARGS=TRUE&amp;VAR:ID1=70959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7__FDSAUDITLINK__" hidden="1">{"fdsup://IBCentral/FAT Viewer?action=UPDATE&amp;creator=factset&amp;DOC_NAME=fat:reuters_annual_source_window.fat&amp;display_string=Audit&amp;DYN_ARGS=TRUE&amp;VAR:ID1=70959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8__FDSAUDITLINK__" hidden="1">{"fdsup://IBCentral/FAT Viewer?action=UPDATE&amp;creator=factset&amp;DOC_NAME=fat:reuters_annual_source_window.fat&amp;display_string=Audit&amp;DYN_ARGS=TRUE&amp;VAR:ID1=70959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49__FDSAUDITLINK__" hidden="1">{"fdsup://IBCentral/FAT Viewer?action=UPDATE&amp;creator=factset&amp;DOC_NAME=fat:reuters_annual_source_window.fat&amp;display_string=Audit&amp;DYN_ARGS=TRUE&amp;VAR:ID1=70959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468232&amp;VAR:RCODE=TTAX&amp;VAR:SDATE=20070699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50__FDSAUDITLINK__" hidden="1">{"fdsup://IBCentral/FAT Viewer?action=UPDATE&amp;creator=factset&amp;DOC_NAME=fat:reuters_annual_source_window.fat&amp;display_string=Audit&amp;DYN_ARGS=TRUE&amp;VAR:ID1=83545G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1__FDSAUDITLINK__" hidden="1">{"fdsup://IBCentral/FAT Viewer?action=UPDATE&amp;creator=factset&amp;DOC_NAME=fat:reuters_annual_source_window.fat&amp;display_string=Audit&amp;DYN_ARGS=TRUE&amp;VAR:ID1=83545G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2__FDSAUDITLINK__" hidden="1">{"fdsup://IBCentral/FAT Viewer?action=UPDATE&amp;creator=factset&amp;DOC_NAME=fat:reuters_annual_source_window.fat&amp;display_string=Audit&amp;DYN_ARGS=TRUE&amp;VAR:ID1=39890510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3__FDSAUDITLINK__" hidden="1">{"fdsup://IBCentral/FAT Viewer?action=UPDATE&amp;creator=factset&amp;DOC_NAME=fat:reuters_annual_source_window.fat&amp;display_string=Audit&amp;DYN_ARGS=TRUE&amp;VAR:ID1=39890510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4__FDSAUDITLINK__" hidden="1">{"fdsup://IBCentral/FAT Viewer?action=UPDATE&amp;creator=factset&amp;DOC_NAME=fat:reuters_annual_source_window.fat&amp;display_string=Audit&amp;DYN_ARGS=TRUE&amp;VAR:ID1=14313010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5__FDSAUDITLINK__" hidden="1">{"fdsup://IBCentral/FAT Viewer?action=UPDATE&amp;creator=factset&amp;DOC_NAME=fat:reuters_annual_source_window.fat&amp;display_string=Audit&amp;DYN_ARGS=TRUE&amp;VAR:ID1=14313010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6__FDSAUDITLINK__" hidden="1">{"fdsup://IBCentral/FAT Viewer?action=UPDATE&amp;creator=factset&amp;DOC_NAME=fat:reuters_annual_source_window.fat&amp;display_string=Audit&amp;DYN_ARGS=TRUE&amp;VAR:ID1=14313010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7__FDSAUDITLINK__" hidden="1">{"fdsup://IBCentral/FAT Viewer?action=UPDATE&amp;creator=factset&amp;DOC_NAME=fat:reuters_annual_source_window.fat&amp;display_string=Audit&amp;DYN_ARGS=TRUE&amp;VAR:ID1=14313010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8__FDSAUDITLINK__" hidden="1">{"fdsup://IBCentral/FAT Viewer?action=UPDATE&amp;creator=factset&amp;DOC_NAME=fat:reuters_annual_source_window.fat&amp;display_string=Audit&amp;DYN_ARGS=TRUE&amp;VAR:ID1=05329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59__FDSAUDITLINK__" hidden="1">{"fdsup://IBCentral/FAT Viewer?action=UPDATE&amp;creator=factset&amp;DOC_NAME=fat:reuters_annual_source_window.fat&amp;display_string=Audit&amp;DYN_ARGS=TRUE&amp;VAR:ID1=05329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60871R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60__FDSAUDITLINK__" hidden="1">{"fdsup://IBCentral/FAT Viewer?action=UPDATE&amp;creator=factset&amp;DOC_NAME=fat:reuters_annual_source_window.fat&amp;display_string=Audit&amp;DYN_ARGS=TRUE&amp;VAR:ID1=04343610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1__FDSAUDITLINK__" hidden="1">{"fdsup://IBCentral/FAT Viewer?action=UPDATE&amp;creator=factset&amp;DOC_NAME=fat:reuters_annual_source_window.fat&amp;display_string=Audit&amp;DYN_ARGS=TRUE&amp;VAR:ID1=04343610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2__FDSAUDITLINK__" hidden="1">{"fdsup://IBCentral/FAT Viewer?action=UPDATE&amp;creator=factset&amp;DOC_NAME=fat:reuters_annual_source_window.fat&amp;display_string=Audit&amp;DYN_ARGS=TRUE&amp;VAR:ID1=56790810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3__FDSAUDITLINK__" hidden="1">{"fdsup://IBCentral/FAT Viewer?action=UPDATE&amp;creator=factset&amp;DOC_NAME=fat:reuters_annual_source_window.fat&amp;display_string=Audit&amp;DYN_ARGS=TRUE&amp;VAR:ID1=56790810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4__FDSAUDITLINK__" hidden="1">{"fdsup://IBCentral/FAT Viewer?action=UPDATE&amp;creator=factset&amp;DOC_NAME=fat:reuters_annual_source_window.fat&amp;display_string=Audit&amp;DYN_ARGS=TRUE&amp;VAR:ID1=56790810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5__FDSAUDITLINK__" hidden="1">{"fdsup://IBCentral/FAT Viewer?action=UPDATE&amp;creator=factset&amp;DOC_NAME=fat:reuters_annual_source_window.fat&amp;display_string=Audit&amp;DYN_ARGS=TRUE&amp;VAR:ID1=56790810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6__FDSAUDITLINK__" hidden="1">{"fdsup://IBCentral/FAT Viewer?action=UPDATE&amp;creator=factset&amp;DOC_NAME=fat:reuters_annual_source_window.fat&amp;display_string=Audit&amp;DYN_ARGS=TRUE&amp;VAR:ID1=84916320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7__FDSAUDITLINK__" hidden="1">{"fdsup://IBCentral/FAT Viewer?action=UPDATE&amp;creator=factset&amp;DOC_NAME=fat:reuters_annual_source_window.fat&amp;display_string=Audit&amp;DYN_ARGS=TRUE&amp;VAR:ID1=84916320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8__FDSAUDITLINK__" hidden="1">{"fdsup://IBCentral/FAT Viewer?action=UPDATE&amp;creator=factset&amp;DOC_NAME=fat:reuters_annual_source_window.fat&amp;display_string=Audit&amp;DYN_ARGS=TRUE&amp;VAR:ID1=84916320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69__FDSAUDITLINK__" hidden="1">{"fdsup://IBCentral/FAT Viewer?action=UPDATE&amp;creator=factset&amp;DOC_NAME=fat:reuters_annual_source_window.fat&amp;display_string=Audit&amp;DYN_ARGS=TRUE&amp;VAR:ID1=84916320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10055710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70__FDSAUDITLINK__" hidden="1">{"fdsup://IBCentral/FAT Viewer?action=UPDATE&amp;creator=factset&amp;DOC_NAME=fat:reuters_annual_source_window.fat&amp;display_string=Audit&amp;DYN_ARGS=TRUE&amp;VAR:ID1=42856710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1__FDSAUDITLINK__" hidden="1">{"fdsup://IBCentral/FAT Viewer?action=UPDATE&amp;creator=factset&amp;DOC_NAME=fat:reuters_annual_source_window.fat&amp;display_string=Audit&amp;DYN_ARGS=TRUE&amp;VAR:ID1=42856710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2__FDSAUDITLINK__" hidden="1">{"fdsup://IBCentral/FAT Viewer?action=UPDATE&amp;creator=factset&amp;DOC_NAME=fat:reuters_annual_source_window.fat&amp;display_string=Audit&amp;DYN_ARGS=TRUE&amp;VAR:ID1=42856710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3__FDSAUDITLINK__" hidden="1">{"fdsup://IBCentral/FAT Viewer?action=UPDATE&amp;creator=factset&amp;DOC_NAME=fat:reuters_annual_source_window.fat&amp;display_string=Audit&amp;DYN_ARGS=TRUE&amp;VAR:ID1=42856710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4__FDSAUDITLINK__" hidden="1">{"fdsup://IBCentral/FAT Viewer?action=UPDATE&amp;creator=factset&amp;DOC_NAME=fat:reuters_annual_source_window.fat&amp;display_string=Audit&amp;DYN_ARGS=TRUE&amp;VAR:ID1=36471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5__FDSAUDITLINK__" hidden="1">{"fdsup://IBCentral/FAT Viewer?action=UPDATE&amp;creator=factset&amp;DOC_NAME=fat:reuters_annual_source_window.fat&amp;display_string=Audit&amp;DYN_ARGS=TRUE&amp;VAR:ID1=36471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6__FDSAUDITLINK__" hidden="1">{"fdsup://IBCentral/FAT Viewer?action=UPDATE&amp;creator=factset&amp;DOC_NAME=fat:reuters_annual_source_window.fat&amp;display_string=Audit&amp;DYN_ARGS=TRUE&amp;VAR:ID1=36471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7__FDSAUDITLINK__" hidden="1">{"fdsup://IBCentral/FAT Viewer?action=UPDATE&amp;creator=factset&amp;DOC_NAME=fat:reuters_annual_source_window.fat&amp;display_string=Audit&amp;DYN_ARGS=TRUE&amp;VAR:ID1=36471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8__FDSAUDITLINK__" hidden="1">{"fdsup://IBCentral/FAT Viewer?action=UPDATE&amp;creator=factset&amp;DOC_NAME=fat:reuters_annual_source_window.fat&amp;display_string=Audit&amp;DYN_ARGS=TRUE&amp;VAR:ID1=25339310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79__FDSAUDITLINK__" hidden="1">{"fdsup://IBCentral/FAT Viewer?action=UPDATE&amp;creator=factset&amp;DOC_NAME=fat:reuters_annual_source_window.fat&amp;display_string=Audit&amp;DYN_ARGS=TRUE&amp;VAR:ID1=25339310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475531&amp;VAR:RCODE=TTAX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80__FDSAUDITLINK__" hidden="1">{"fdsup://IBCentral/FAT Viewer?action=UPDATE&amp;creator=factset&amp;DOC_NAME=fat:reuters_annual_source_window.fat&amp;display_string=Audit&amp;DYN_ARGS=TRUE&amp;VAR:ID1=25339310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1__FDSAUDITLINK__" hidden="1">{"fdsup://IBCentral/FAT Viewer?action=UPDATE&amp;creator=factset&amp;DOC_NAME=fat:reuters_annual_source_window.fat&amp;display_string=Audit&amp;DYN_ARGS=TRUE&amp;VAR:ID1=25339310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2__FDSAUDITLINK__" hidden="1">{"fdsup://IBCentral/FAT Viewer?action=UPDATE&amp;creator=factset&amp;DOC_NAME=fat:reuters_annual_source_window.fat&amp;display_string=Audit&amp;DYN_ARGS=TRUE&amp;VAR:ID1=12680430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3__FDSAUDITLINK__" hidden="1">{"fdsup://IBCentral/FAT Viewer?action=UPDATE&amp;creator=factset&amp;DOC_NAME=fat:reuters_annual_source_window.fat&amp;display_string=Audit&amp;DYN_ARGS=TRUE&amp;VAR:ID1=12680430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4__FDSAUDITLINK__" hidden="1">{"fdsup://IBCentral/FAT Viewer?action=UPDATE&amp;creator=factset&amp;DOC_NAME=fat:reuters_annual_source_window.fat&amp;display_string=Audit&amp;DYN_ARGS=TRUE&amp;VAR:ID1=08915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5__FDSAUDITLINK__" hidden="1">{"fdsup://IBCentral/FAT Viewer?action=UPDATE&amp;creator=factset&amp;DOC_NAME=fat:reuters_annual_source_window.fat&amp;display_string=Audit&amp;DYN_ARGS=TRUE&amp;VAR:ID1=08915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6__FDSAUDITLINK__" hidden="1">{"fdsup://IBCentral/FAT Viewer?action=UPDATE&amp;creator=factset&amp;DOC_NAME=fat:reuters_annual_source_window.fat&amp;display_string=Audit&amp;DYN_ARGS=TRUE&amp;VAR:ID1=47758P30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7__FDSAUDITLINK__" hidden="1">{"fdsup://IBCentral/FAT Viewer?action=UPDATE&amp;creator=factset&amp;DOC_NAME=fat:reuters_annual_source_window.fat&amp;display_string=Audit&amp;DYN_ARGS=TRUE&amp;VAR:ID1=47758P30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8__FDSAUDITLINK__" hidden="1">{"fdsup://IBCentral/FAT Viewer?action=UPDATE&amp;creator=factset&amp;DOC_NAME=fat:reuters_annual_source_window.fat&amp;display_string=Audit&amp;DYN_ARGS=TRUE&amp;VAR:ID1=47758P30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89__FDSAUDITLINK__" hidden="1">{"fdsup://IBCentral/FAT Viewer?action=UPDATE&amp;creator=factset&amp;DOC_NAME=fat:reuters_annual_source_window.fat&amp;display_string=Audit&amp;DYN_ARGS=TRUE&amp;VAR:ID1=47758P30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779255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90__FDSAUDITLINK__" hidden="1">{"fdsup://IBCentral/FAT Viewer?action=UPDATE&amp;creator=factset&amp;DOC_NAME=fat:reuters_annual_source_window.fat&amp;display_string=Audit&amp;DYN_ARGS=TRUE&amp;VAR:ID1=40990010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1__FDSAUDITLINK__" hidden="1">{"fdsup://IBCentral/FAT Viewer?action=UPDATE&amp;creator=factset&amp;DOC_NAME=fat:reuters_annual_source_window.fat&amp;display_string=Audit&amp;DYN_ARGS=TRUE&amp;VAR:ID1=40990010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2__FDSAUDITLINK__" hidden="1">{"fdsup://IBCentral/FAT Viewer?action=UPDATE&amp;creator=factset&amp;DOC_NAME=fat:reuters_annual_source_window.fat&amp;display_string=Audit&amp;DYN_ARGS=TRUE&amp;VAR:ID1=40990010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3__FDSAUDITLINK__" hidden="1">{"fdsup://IBCentral/FAT Viewer?action=UPDATE&amp;creator=factset&amp;DOC_NAME=fat:reuters_annual_source_window.fat&amp;display_string=Audit&amp;DYN_ARGS=TRUE&amp;VAR:ID1=40990010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4__FDSAUDITLINK__" hidden="1">{"fdsup://IBCentral/FAT Viewer?action=UPDATE&amp;creator=factset&amp;DOC_NAME=fat:reuters_annual_source_window.fat&amp;display_string=Audit&amp;DYN_ARGS=TRUE&amp;VAR:ID1=09643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5__FDSAUDITLINK__" hidden="1">{"fdsup://IBCentral/FAT Viewer?action=UPDATE&amp;creator=factset&amp;DOC_NAME=fat:reuters_annual_source_window.fat&amp;display_string=Audit&amp;DYN_ARGS=TRUE&amp;VAR:ID1=09643P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6__FDSAUDITLINK__" hidden="1">{"fdsup://IBCentral/FAT Viewer?action=UPDATE&amp;creator=factset&amp;DOC_NAME=fat:reuters_annual_source_window.fat&amp;display_string=Audit&amp;DYN_ARGS=TRUE&amp;VAR:ID1=09643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7__FDSAUDITLINK__" hidden="1">{"fdsup://IBCentral/FAT Viewer?action=UPDATE&amp;creator=factset&amp;DOC_NAME=fat:reuters_annual_source_window.fat&amp;display_string=Audit&amp;DYN_ARGS=TRUE&amp;VAR:ID1=09643P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8__FDSAUDITLINK__" hidden="1">{"fdsup://IBCentral/FAT Viewer?action=UPDATE&amp;creator=factset&amp;DOC_NAME=fat:reuters_annual_source_window.fat&amp;display_string=Audit&amp;DYN_ARGS=TRUE&amp;VAR:ID1=00086T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299__FDSAUDITLINK__" hidden="1">{"fdsup://IBCentral/FAT Viewer?action=UPDATE&amp;creator=factset&amp;DOC_NAME=fat:reuters_annual_source_window.fat&amp;display_string=Audit&amp;DYN_ARGS=TRUE&amp;VAR:ID1=00086T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annual_source_window.fat&amp;display_string=Audit&amp;DYN_ARGS=TRUE&amp;VAR:ID1=85375C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634926&amp;VAR:RCODE=TTAX&amp;VAR:SDATE=20070699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00__FDSAUDITLINK__" hidden="1">{"fdsup://IBCentral/FAT Viewer?action=UPDATE&amp;creator=factset&amp;DOC_NAME=fat:reuters_annual_source_window.fat&amp;display_string=Audit&amp;DYN_ARGS=TRUE&amp;VAR:ID1=96990410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1__FDSAUDITLINK__" hidden="1">{"fdsup://IBCentral/FAT Viewer?action=UPDATE&amp;creator=factset&amp;DOC_NAME=fat:reuters_annual_source_window.fat&amp;display_string=Audit&amp;DYN_ARGS=TRUE&amp;VAR:ID1=96990410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2__FDSAUDITLINK__" hidden="1">{"fdsup://IBCentral/FAT Viewer?action=UPDATE&amp;creator=factset&amp;DOC_NAME=fat:reuters_annual_source_window.fat&amp;display_string=Audit&amp;DYN_ARGS=TRUE&amp;VAR:ID1=96990410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3__FDSAUDITLINK__" hidden="1">{"fdsup://IBCentral/FAT Viewer?action=UPDATE&amp;creator=factset&amp;DOC_NAME=fat:reuters_annual_source_window.fat&amp;display_string=Audit&amp;DYN_ARGS=TRUE&amp;VAR:ID1=96990410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4__FDSAUDITLINK__" hidden="1">{"fdsup://IBCentral/FAT Viewer?action=UPDATE&amp;creator=factset&amp;DOC_NAME=fat:reuters_annual_source_window.fat&amp;display_string=Audit&amp;DYN_ARGS=TRUE&amp;VAR:ID1=76098110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5__FDSAUDITLINK__" hidden="1">{"fdsup://IBCentral/FAT Viewer?action=UPDATE&amp;creator=factset&amp;DOC_NAME=fat:reuters_annual_source_window.fat&amp;display_string=Audit&amp;DYN_ARGS=TRUE&amp;VAR:ID1=76098110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6__FDSAUDITLINK__" hidden="1">{"fdsup://IBCentral/FAT Viewer?action=UPDATE&amp;creator=factset&amp;DOC_NAME=fat:reuters_annual_source_window.fat&amp;display_string=Audit&amp;DYN_ARGS=TRUE&amp;VAR:ID1=76098110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7__FDSAUDITLINK__" hidden="1">{"fdsup://IBCentral/FAT Viewer?action=UPDATE&amp;creator=factset&amp;DOC_NAME=fat:reuters_annual_source_window.fat&amp;display_string=Audit&amp;DYN_ARGS=TRUE&amp;VAR:ID1=76098110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8__FDSAUDITLINK__" hidden="1">{"fdsup://IBCentral/FAT Viewer?action=UPDATE&amp;creator=factset&amp;DOC_NAME=fat:reuters_annual_source_window.fat&amp;display_string=Audit&amp;DYN_ARGS=TRUE&amp;VAR:ID1=72027910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09__FDSAUDITLINK__" hidden="1">{"fdsup://IBCentral/FAT Viewer?action=UPDATE&amp;creator=factset&amp;DOC_NAME=fat:reuters_annual_source_window.fat&amp;display_string=Audit&amp;DYN_ARGS=TRUE&amp;VAR:ID1=72027910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annual_source_window.fat&amp;display_string=Audit&amp;DYN_ARGS=TRUE&amp;VAR:ID1=34963110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10__FDSAUDITLINK__" hidden="1">{"fdsup://IBCentral/FAT Viewer?action=UPDATE&amp;creator=factset&amp;DOC_NAME=fat:reuters_annual_source_window.fat&amp;display_string=Audit&amp;DYN_ARGS=TRUE&amp;VAR:ID1=72027910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1__FDSAUDITLINK__" hidden="1">{"fdsup://IBCentral/FAT Viewer?action=UPDATE&amp;creator=factset&amp;DOC_NAME=fat:reuters_annual_source_window.fat&amp;display_string=Audit&amp;DYN_ARGS=TRUE&amp;VAR:ID1=72027910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2__FDSAUDITLINK__" hidden="1">{"fdsup://IBCentral/FAT Viewer?action=UPDATE&amp;creator=factset&amp;DOC_NAME=fat:reuters_annual_source_window.fat&amp;display_string=Audit&amp;DYN_ARGS=TRUE&amp;VAR:ID1=49749810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3__FDSAUDITLINK__" hidden="1">{"fdsup://IBCentral/FAT Viewer?action=UPDATE&amp;creator=factset&amp;DOC_NAME=fat:reuters_annual_source_window.fat&amp;display_string=Audit&amp;DYN_ARGS=TRUE&amp;VAR:ID1=49749810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4__FDSAUDITLINK__" hidden="1">{"fdsup://IBCentral/FAT Viewer?action=UPDATE&amp;creator=factset&amp;DOC_NAME=fat:reuters_annual_source_window.fat&amp;display_string=Audit&amp;DYN_ARGS=TRUE&amp;VAR:ID1=49749810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5__FDSAUDITLINK__" hidden="1">{"fdsup://IBCentral/FAT Viewer?action=UPDATE&amp;creator=factset&amp;DOC_NAME=fat:reuters_annual_source_window.fat&amp;display_string=Audit&amp;DYN_ARGS=TRUE&amp;VAR:ID1=49749810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6__FDSAUDITLINK__" hidden="1">{"fdsup://IBCentral/FAT Viewer?action=UPDATE&amp;creator=factset&amp;DOC_NAME=fat:reuters_annual_source_window.fat&amp;display_string=Audit&amp;DYN_ARGS=TRUE&amp;VAR:ID1=30267U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7__FDSAUDITLINK__" hidden="1">{"fdsup://IBCentral/FAT Viewer?action=UPDATE&amp;creator=factset&amp;DOC_NAME=fat:reuters_annual_source_window.fat&amp;display_string=Audit&amp;DYN_ARGS=TRUE&amp;VAR:ID1=30267U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8__FDSAUDITLINK__" hidden="1">{"fdsup://IBCentral/FAT Viewer?action=UPDATE&amp;creator=factset&amp;DOC_NAME=fat:reuters_annual_source_window.fat&amp;display_string=Audit&amp;DYN_ARGS=TRUE&amp;VAR:ID1=30267U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19__FDSAUDITLINK__" hidden="1">{"fdsup://IBCentral/FAT Viewer?action=UPDATE&amp;creator=factset&amp;DOC_NAME=fat:reuters_annual_source_window.fat&amp;display_string=Audit&amp;DYN_ARGS=TRUE&amp;VAR:ID1=30267U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annual_source_window.fat&amp;display_string=Audit&amp;DYN_ARGS=TRUE&amp;VAR:ID1=023740&amp;VAR:RCODE=TTAX&amp;VAR:SDATE=20070699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20__FDSAUDITLINK__" hidden="1">{"fdsup://IBCentral/FAT Viewer?action=UPDATE&amp;creator=factset&amp;DOC_NAME=fat:reuters_annual_source_window.fat&amp;display_string=Audit&amp;DYN_ARGS=TRUE&amp;VAR:ID1=22148510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1__FDSAUDITLINK__" hidden="1">{"fdsup://IBCentral/FAT Viewer?action=UPDATE&amp;creator=factset&amp;DOC_NAME=fat:reuters_annual_source_window.fat&amp;display_string=Audit&amp;DYN_ARGS=TRUE&amp;VAR:ID1=22148510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2__FDSAUDITLINK__" hidden="1">{"fdsup://IBCentral/FAT Viewer?action=UPDATE&amp;creator=factset&amp;DOC_NAME=fat:reuters_annual_source_window.fat&amp;display_string=Audit&amp;DYN_ARGS=TRUE&amp;VAR:ID1=22148510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3__FDSAUDITLINK__" hidden="1">{"fdsup://IBCentral/FAT Viewer?action=UPDATE&amp;creator=factset&amp;DOC_NAME=fat:reuters_annual_source_window.fat&amp;display_string=Audit&amp;DYN_ARGS=TRUE&amp;VAR:ID1=22148510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4__FDSAUDITLINK__" hidden="1">{"fdsup://IBCentral/FAT Viewer?action=UPDATE&amp;creator=factset&amp;DOC_NAME=fat:reuters_annual_source_window.fat&amp;display_string=Audit&amp;DYN_ARGS=TRUE&amp;VAR:ID1=09792410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5__FDSAUDITLINK__" hidden="1">{"fdsup://IBCentral/FAT Viewer?action=UPDATE&amp;creator=factset&amp;DOC_NAME=fat:reuters_annual_source_window.fat&amp;display_string=Audit&amp;DYN_ARGS=TRUE&amp;VAR:ID1=09792410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6__FDSAUDITLINK__" hidden="1">{"fdsup://IBCentral/FAT Viewer?action=UPDATE&amp;creator=factset&amp;DOC_NAME=fat:reuters_annual_source_window.fat&amp;display_string=Audit&amp;DYN_ARGS=TRUE&amp;VAR:ID1=09792410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7__FDSAUDITLINK__" hidden="1">{"fdsup://IBCentral/FAT Viewer?action=UPDATE&amp;creator=factset&amp;DOC_NAME=fat:reuters_annual_source_window.fat&amp;display_string=Audit&amp;DYN_ARGS=TRUE&amp;VAR:ID1=09792410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8__FDSAUDITLINK__" hidden="1">{"fdsup://IBCentral/FAT Viewer?action=UPDATE&amp;creator=factset&amp;DOC_NAME=fat:reuters_annual_source_window.fat&amp;display_string=Audit&amp;DYN_ARGS=TRUE&amp;VAR:ID1=07589610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29__FDSAUDITLINK__" hidden="1">{"fdsup://IBCentral/FAT Viewer?action=UPDATE&amp;creator=factset&amp;DOC_NAME=fat:reuters_annual_source_window.fat&amp;display_string=Audit&amp;DYN_ARGS=TRUE&amp;VAR:ID1=07589610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annual_source_window.fat&amp;display_string=Audit&amp;DYN_ARGS=TRUE&amp;VAR:ID1=21036P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30__FDSAUDITLINK__" hidden="1">{"fdsup://IBCentral/FAT Viewer?action=UPDATE&amp;creator=factset&amp;DOC_NAME=fat:reuters_annual_source_window.fat&amp;display_string=Audit&amp;DYN_ARGS=TRUE&amp;VAR:ID1=07589610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1__FDSAUDITLINK__" hidden="1">{"fdsup://IBCentral/FAT Viewer?action=UPDATE&amp;creator=factset&amp;DOC_NAME=fat:reuters_annual_source_window.fat&amp;display_string=Audit&amp;DYN_ARGS=TRUE&amp;VAR:ID1=07589610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2__FDSAUDITLINK__" hidden="1">{"fdsup://IBCentral/FAT Viewer?action=UPDATE&amp;creator=factset&amp;DOC_NAME=fat:reuters_annual_source_window.fat&amp;display_string=Audit&amp;DYN_ARGS=TRUE&amp;VAR:ID1=68243Q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3__FDSAUDITLINK__" hidden="1">{"fdsup://IBCentral/FAT Viewer?action=UPDATE&amp;creator=factset&amp;DOC_NAME=fat:reuters_annual_source_window.fat&amp;display_string=Audit&amp;DYN_ARGS=TRUE&amp;VAR:ID1=68243Q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4__FDSAUDITLINK__" hidden="1">{"fdsup://IBCentral/FAT Viewer?action=UPDATE&amp;creator=factset&amp;DOC_NAME=fat:reuters_annual_source_window.fat&amp;display_string=Audit&amp;DYN_ARGS=TRUE&amp;VAR:ID1=68243Q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5__FDSAUDITLINK__" hidden="1">{"fdsup://IBCentral/FAT Viewer?action=UPDATE&amp;creator=factset&amp;DOC_NAME=fat:reuters_annual_source_window.fat&amp;display_string=Audit&amp;DYN_ARGS=TRUE&amp;VAR:ID1=68243Q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6__FDSAUDITLINK__" hidden="1">{"fdsup://IBCentral/FAT Viewer?action=UPDATE&amp;creator=factset&amp;DOC_NAME=fat:reuters_annual_source_window.fat&amp;display_string=Audit&amp;DYN_ARGS=TRUE&amp;VAR:ID1=71676810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7__FDSAUDITLINK__" hidden="1">{"fdsup://IBCentral/FAT Viewer?action=UPDATE&amp;creator=factset&amp;DOC_NAME=fat:reuters_annual_source_window.fat&amp;display_string=Audit&amp;DYN_ARGS=TRUE&amp;VAR:ID1=71676810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8__FDSAUDITLINK__" hidden="1">{"fdsup://IBCentral/FAT Viewer?action=UPDATE&amp;creator=factset&amp;DOC_NAME=fat:reuters_annual_source_window.fat&amp;display_string=Audit&amp;DYN_ARGS=TRUE&amp;VAR:ID1=71676810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39__FDSAUDITLINK__" hidden="1">{"fdsup://IBCentral/FAT Viewer?action=UPDATE&amp;creator=factset&amp;DOC_NAME=fat:reuters_annual_source_window.fat&amp;display_string=Audit&amp;DYN_ARGS=TRUE&amp;VAR:ID1=71676810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annual_source_window.fat&amp;display_string=Audit&amp;DYN_ARGS=TRUE&amp;VAR:ID1=416921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40__FDSAUDITLINK__" hidden="1">{"fdsup://IBCentral/FAT Viewer?action=UPDATE&amp;creator=factset&amp;DOC_NAME=fat:reuters_annual_source_window.fat&amp;display_string=Audit&amp;DYN_ARGS=TRUE&amp;VAR:ID1=98885810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1__FDSAUDITLINK__" hidden="1">{"fdsup://IBCentral/FAT Viewer?action=UPDATE&amp;creator=factset&amp;DOC_NAME=fat:reuters_annual_source_window.fat&amp;display_string=Audit&amp;DYN_ARGS=TRUE&amp;VAR:ID1=98885810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2__FDSAUDITLINK__" hidden="1">{"fdsup://IBCentral/FAT Viewer?action=UPDATE&amp;creator=factset&amp;DOC_NAME=fat:reuters_annual_source_window.fat&amp;display_string=Audit&amp;DYN_ARGS=TRUE&amp;VAR:ID1=98885810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3__FDSAUDITLINK__" hidden="1">{"fdsup://IBCentral/FAT Viewer?action=UPDATE&amp;creator=factset&amp;DOC_NAME=fat:reuters_annual_source_window.fat&amp;display_string=Audit&amp;DYN_ARGS=TRUE&amp;VAR:ID1=98885810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4__FDSAUDITLINK__" hidden="1">{"fdsup://IBCentral/FAT Viewer?action=UPDATE&amp;creator=factset&amp;DOC_NAME=fat:reuters_annual_source_window.fat&amp;display_string=Audit&amp;DYN_ARGS=TRUE&amp;VAR:ID1=88654710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5__FDSAUDITLINK__" hidden="1">{"fdsup://IBCentral/FAT Viewer?action=UPDATE&amp;creator=factset&amp;DOC_NAME=fat:reuters_annual_source_window.fat&amp;display_string=Audit&amp;DYN_ARGS=TRUE&amp;VAR:ID1=88654710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6__FDSAUDITLINK__" hidden="1">{"fdsup://IBCentral/FAT Viewer?action=UPDATE&amp;creator=factset&amp;DOC_NAME=fat:reuters_annual_source_window.fat&amp;display_string=Audit&amp;DYN_ARGS=TRUE&amp;VAR:ID1=88654710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7__FDSAUDITLINK__" hidden="1">{"fdsup://IBCentral/FAT Viewer?action=UPDATE&amp;creator=factset&amp;DOC_NAME=fat:reuters_annual_source_window.fat&amp;display_string=Audit&amp;DYN_ARGS=TRUE&amp;VAR:ID1=88654710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8__FDSAUDITLINK__" hidden="1">{"fdsup://IBCentral/FAT Viewer?action=UPDATE&amp;creator=factset&amp;DOC_NAME=fat:reuters_annual_source_window.fat&amp;display_string=Audit&amp;DYN_ARGS=TRUE&amp;VAR:ID1=82668L87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49__FDSAUDITLINK__" hidden="1">{"fdsup://IBCentral/FAT Viewer?action=UPDATE&amp;creator=factset&amp;DOC_NAME=fat:reuters_annual_source_window.fat&amp;display_string=Audit&amp;DYN_ARGS=TRUE&amp;VAR:ID1=82668L87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11563720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0__FDSAUDITLINK__" hidden="1">{"fdsup://IBCentral/FAT Viewer?action=UPDATE&amp;creator=factset&amp;DOC_NAME=fat:reuters_annual_source_window.fat&amp;display_string=Audit&amp;DYN_ARGS=TRUE&amp;VAR:ID1=82668L87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1__FDSAUDITLINK__" hidden="1">{"fdsup://IBCentral/FAT Viewer?action=UPDATE&amp;creator=factset&amp;DOC_NAME=fat:reuters_annual_source_window.fat&amp;display_string=Audit&amp;DYN_ARGS=TRUE&amp;VAR:ID1=82668L87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2__FDSAUDITLINK__" hidden="1">{"fdsup://IBCentral/FAT Viewer?action=UPDATE&amp;creator=factset&amp;DOC_NAME=fat:reuters_annual_source_window.fat&amp;display_string=Audit&amp;DYN_ARGS=TRUE&amp;VAR:ID1=34988210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3__FDSAUDITLINK__" hidden="1">{"fdsup://IBCentral/FAT Viewer?action=UPDATE&amp;creator=factset&amp;DOC_NAME=fat:reuters_annual_source_window.fat&amp;display_string=Audit&amp;DYN_ARGS=TRUE&amp;VAR:ID1=34988210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4__FDSAUDITLINK__" hidden="1">{"fdsup://IBCentral/FAT Viewer?action=UPDATE&amp;creator=factset&amp;DOC_NAME=fat:reuters_annual_source_window.fat&amp;display_string=Audit&amp;DYN_ARGS=TRUE&amp;VAR:ID1=31788420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5__FDSAUDITLINK__" hidden="1">{"fdsup://IBCentral/FAT Viewer?action=UPDATE&amp;creator=factset&amp;DOC_NAME=fat:reuters_annual_source_window.fat&amp;display_string=Audit&amp;DYN_ARGS=TRUE&amp;VAR:ID1=31788420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6__FDSAUDITLINK__" hidden="1">{"fdsup://IBCentral/FAT Viewer?action=UPDATE&amp;creator=factset&amp;DOC_NAME=fat:reuters_annual_source_window.fat&amp;display_string=Audit&amp;DYN_ARGS=TRUE&amp;VAR:ID1=31788420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7__FDSAUDITLINK__" hidden="1">{"fdsup://IBCentral/FAT Viewer?action=UPDATE&amp;creator=factset&amp;DOC_NAME=fat:reuters_annual_source_window.fat&amp;display_string=Audit&amp;DYN_ARGS=TRUE&amp;VAR:ID1=31788420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8__FDSAUDITLINK__" hidden="1">{"fdsup://IBCentral/FAT Viewer?action=UPDATE&amp;creator=factset&amp;DOC_NAME=fat:reuters_annual_source_window.fat&amp;display_string=Audit&amp;DYN_ARGS=TRUE&amp;VAR:ID1=09578R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59__FDSAUDITLINK__" hidden="1">{"fdsup://IBCentral/FAT Viewer?action=UPDATE&amp;creator=factset&amp;DOC_NAME=fat:reuters_annual_source_window.fat&amp;display_string=Audit&amp;DYN_ARGS=TRUE&amp;VAR:ID1=09578R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annual_source_window.fat&amp;display_string=Audit&amp;DYN_ARGS=TRUE&amp;VAR:ID1=03522910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60__FDSAUDITLINK__" hidden="1">{"fdsup://IBCentral/FAT Viewer?action=UPDATE&amp;creator=factset&amp;DOC_NAME=fat:reuters_annual_source_window.fat&amp;display_string=Audit&amp;DYN_ARGS=TRUE&amp;VAR:ID1=09578R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1__FDSAUDITLINK__" hidden="1">{"fdsup://IBCentral/FAT Viewer?action=UPDATE&amp;creator=factset&amp;DOC_NAME=fat:reuters_annual_source_window.fat&amp;display_string=Audit&amp;DYN_ARGS=TRUE&amp;VAR:ID1=09578R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2__FDSAUDITLINK__" hidden="1">{"fdsup://IBCentral/FAT Viewer?action=UPDATE&amp;creator=factset&amp;DOC_NAME=fat:reuters_annual_source_window.fat&amp;display_string=Audit&amp;DYN_ARGS=TRUE&amp;VAR:ID1=09970910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3__FDSAUDITLINK__" hidden="1">{"fdsup://IBCentral/FAT Viewer?action=UPDATE&amp;creator=factset&amp;DOC_NAME=fat:reuters_annual_source_window.fat&amp;display_string=Audit&amp;DYN_ARGS=TRUE&amp;VAR:ID1=09970910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4__FDSAUDITLINK__" hidden="1">{"fdsup://IBCentral/FAT Viewer?action=UPDATE&amp;creator=factset&amp;DOC_NAME=fat:reuters_annual_source_window.fat&amp;display_string=Audit&amp;DYN_ARGS=TRUE&amp;VAR:ID1=09970910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5__FDSAUDITLINK__" hidden="1">{"fdsup://IBCentral/FAT Viewer?action=UPDATE&amp;creator=factset&amp;DOC_NAME=fat:reuters_annual_source_window.fat&amp;display_string=Audit&amp;DYN_ARGS=TRUE&amp;VAR:ID1=09970910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6__FDSAUDITLINK__" hidden="1">{"fdsup://IBCentral/FAT Viewer?action=UPDATE&amp;creator=factset&amp;DOC_NAME=fat:reuters_annual_source_window.fat&amp;display_string=Audit&amp;DYN_ARGS=TRUE&amp;VAR:ID1=09857010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7__FDSAUDITLINK__" hidden="1">{"fdsup://IBCentral/FAT Viewer?action=UPDATE&amp;creator=factset&amp;DOC_NAME=fat:reuters_annual_source_window.fat&amp;display_string=Audit&amp;DYN_ARGS=TRUE&amp;VAR:ID1=09857010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8__FDSAUDITLINK__" hidden="1">{"fdsup://IBCentral/FAT Viewer?action=UPDATE&amp;creator=factset&amp;DOC_NAME=fat:reuters_annual_source_window.fat&amp;display_string=Audit&amp;DYN_ARGS=TRUE&amp;VAR:ID1=09857010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69__FDSAUDITLINK__" hidden="1">{"fdsup://IBCentral/FAT Viewer?action=UPDATE&amp;creator=factset&amp;DOC_NAME=fat:reuters_annual_source_window.fat&amp;display_string=Audit&amp;DYN_ARGS=TRUE&amp;VAR:ID1=09857010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annual_source_window.fat&amp;display_string=Audit&amp;DYN_ARGS=TRUE&amp;VAR:ID1=71344810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70__FDSAUDITLINK__" hidden="1">{"fdsup://IBCentral/FAT Viewer?action=UPDATE&amp;creator=factset&amp;DOC_NAME=fat:reuters_annual_source_window.fat&amp;display_string=Audit&amp;DYN_ARGS=TRUE&amp;VAR:ID1=06777410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1__FDSAUDITLINK__" hidden="1">{"fdsup://IBCentral/FAT Viewer?action=UPDATE&amp;creator=factset&amp;DOC_NAME=fat:reuters_annual_source_window.fat&amp;display_string=Audit&amp;DYN_ARGS=TRUE&amp;VAR:ID1=06777410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2__FDSAUDITLINK__" hidden="1">{"fdsup://IBCentral/FAT Viewer?action=UPDATE&amp;creator=factset&amp;DOC_NAME=fat:reuters_annual_source_window.fat&amp;display_string=Audit&amp;DYN_ARGS=TRUE&amp;VAR:ID1=06777410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3__FDSAUDITLINK__" hidden="1">{"fdsup://IBCentral/FAT Viewer?action=UPDATE&amp;creator=factset&amp;DOC_NAME=fat:reuters_annual_source_window.fat&amp;display_string=Audit&amp;DYN_ARGS=TRUE&amp;VAR:ID1=06777410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4__FDSAUDITLINK__" hidden="1">{"fdsup://IBCentral/FAT Viewer?action=UPDATE&amp;creator=factset&amp;DOC_NAME=fat:reuters_annual_source_window.fat&amp;display_string=Audit&amp;DYN_ARGS=TRUE&amp;VAR:ID1=02313510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5__FDSAUDITLINK__" hidden="1">{"fdsup://IBCentral/FAT Viewer?action=UPDATE&amp;creator=factset&amp;DOC_NAME=fat:reuters_annual_source_window.fat&amp;display_string=Audit&amp;DYN_ARGS=TRUE&amp;VAR:ID1=02313510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6__FDSAUDITLINK__" hidden="1">{"fdsup://IBCentral/FAT Viewer?action=UPDATE&amp;creator=factset&amp;DOC_NAME=fat:reuters_annual_source_window.fat&amp;display_string=Audit&amp;DYN_ARGS=TRUE&amp;VAR:ID1=02313510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7__FDSAUDITLINK__" hidden="1">{"fdsup://IBCentral/FAT Viewer?action=UPDATE&amp;creator=factset&amp;DOC_NAME=fat:reuters_annual_source_window.fat&amp;display_string=Audit&amp;DYN_ARGS=TRUE&amp;VAR:ID1=02313510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8__FDSAUDITLINK__" hidden="1">{"fdsup://IBCentral/FAT Viewer?action=UPDATE&amp;creator=factset&amp;DOC_NAME=fat:reuters_annual_source_window.fat&amp;display_string=Audit&amp;DYN_ARGS=TRUE&amp;VAR:ID1=82001310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79__FDSAUDITLINK__" hidden="1">{"fdsup://IBCentral/FAT Viewer?action=UPDATE&amp;creator=factset&amp;DOC_NAME=fat:reuters_annual_source_window.fat&amp;display_string=Audit&amp;DYN_ARGS=TRUE&amp;VAR:ID1=82001310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annual_source_window.fat&amp;display_string=Audit&amp;DYN_ARGS=TRUE&amp;VAR:ID1=71343P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80__FDSAUDITLINK__" hidden="1">{"fdsup://IBCentral/FAT Viewer?action=UPDATE&amp;creator=factset&amp;DOC_NAME=fat:reuters_annual_source_window.fat&amp;display_string=Audit&amp;DYN_ARGS=TRUE&amp;VAR:ID1=82001310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1__FDSAUDITLINK__" hidden="1">{"fdsup://IBCentral/FAT Viewer?action=UPDATE&amp;creator=factset&amp;DOC_NAME=fat:reuters_annual_source_window.fat&amp;display_string=Audit&amp;DYN_ARGS=TRUE&amp;VAR:ID1=82001310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2__FDSAUDITLINK__" hidden="1">{"fdsup://IBCentral/FAT Viewer?action=UPDATE&amp;creator=factset&amp;DOC_NAME=fat:reuters_annual_source_window.fat&amp;display_string=Audit&amp;DYN_ARGS=TRUE&amp;VAR:ID1=76162410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3__FDSAUDITLINK__" hidden="1">{"fdsup://IBCentral/FAT Viewer?action=UPDATE&amp;creator=factset&amp;DOC_NAME=fat:reuters_annual_source_window.fat&amp;display_string=Audit&amp;DYN_ARGS=TRUE&amp;VAR:ID1=76162410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4__FDSAUDITLINK__" hidden="1">{"fdsup://IBCentral/FAT Viewer?action=UPDATE&amp;creator=factset&amp;DOC_NAME=fat:reuters_annual_source_window.fat&amp;display_string=Audit&amp;DYN_ARGS=TRUE&amp;VAR:ID1=76162410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5__FDSAUDITLINK__" hidden="1">{"fdsup://IBCentral/FAT Viewer?action=UPDATE&amp;creator=factset&amp;DOC_NAME=fat:reuters_annual_source_window.fat&amp;display_string=Audit&amp;DYN_ARGS=TRUE&amp;VAR:ID1=76162410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6__FDSAUDITLINK__" hidden="1">{"fdsup://IBCentral/FAT Viewer?action=UPDATE&amp;creator=factset&amp;DOC_NAME=fat:reuters_annual_source_window.fat&amp;display_string=Audit&amp;DYN_ARGS=TRUE&amp;VAR:ID1=75043810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7__FDSAUDITLINK__" hidden="1">{"fdsup://IBCentral/FAT Viewer?action=UPDATE&amp;creator=factset&amp;DOC_NAME=fat:reuters_annual_source_window.fat&amp;display_string=Audit&amp;DYN_ARGS=TRUE&amp;VAR:ID1=75043810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8__FDSAUDITLINK__" hidden="1">{"fdsup://IBCentral/FAT Viewer?action=UPDATE&amp;creator=factset&amp;DOC_NAME=fat:reuters_annual_source_window.fat&amp;display_string=Audit&amp;DYN_ARGS=TRUE&amp;VAR:ID1=75043810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89__FDSAUDITLINK__" hidden="1">{"fdsup://IBCentral/FAT Viewer?action=UPDATE&amp;creator=factset&amp;DOC_NAME=fat:reuters_annual_source_window.fat&amp;display_string=Audit&amp;DYN_ARGS=TRUE&amp;VAR:ID1=75043810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annual_source_window.fat&amp;display_string=Audit&amp;DYN_ARGS=TRUE&amp;VAR:ID1=71340910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90__FDSAUDITLINK__" hidden="1">{"fdsup://IBCentral/FAT Viewer?action=UPDATE&amp;creator=factset&amp;DOC_NAME=fat:reuters_annual_source_window.fat&amp;display_string=Audit&amp;DYN_ARGS=TRUE&amp;VAR:ID1=42833L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1__FDSAUDITLINK__" hidden="1">{"fdsup://IBCentral/FAT Viewer?action=UPDATE&amp;creator=factset&amp;DOC_NAME=fat:reuters_annual_source_window.fat&amp;display_string=Audit&amp;DYN_ARGS=TRUE&amp;VAR:ID1=42833L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2__FDSAUDITLINK__" hidden="1">{"fdsup://IBCentral/FAT Viewer?action=UPDATE&amp;creator=factset&amp;DOC_NAME=fat:reuters_annual_source_window.fat&amp;display_string=Audit&amp;DYN_ARGS=TRUE&amp;VAR:ID1=42833L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3__FDSAUDITLINK__" hidden="1">{"fdsup://IBCentral/FAT Viewer?action=UPDATE&amp;creator=factset&amp;DOC_NAME=fat:reuters_annual_source_window.fat&amp;display_string=Audit&amp;DYN_ARGS=TRUE&amp;VAR:ID1=42833L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4__FDSAUDITLINK__" hidden="1">{"fdsup://IBCentral/FAT Viewer?action=UPDATE&amp;creator=factset&amp;DOC_NAME=fat:reuters_annual_source_window.fat&amp;display_string=Audit&amp;DYN_ARGS=TRUE&amp;VAR:ID1=36467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5__FDSAUDITLINK__" hidden="1">{"fdsup://IBCentral/FAT Viewer?action=UPDATE&amp;creator=factset&amp;DOC_NAME=fat:reuters_annual_source_window.fat&amp;display_string=Audit&amp;DYN_ARGS=TRUE&amp;VAR:ID1=36467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6__FDSAUDITLINK__" hidden="1">{"fdsup://IBCentral/FAT Viewer?action=UPDATE&amp;creator=factset&amp;DOC_NAME=fat:reuters_annual_source_window.fat&amp;display_string=Audit&amp;DYN_ARGS=TRUE&amp;VAR:ID1=36467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7__FDSAUDITLINK__" hidden="1">{"fdsup://IBCentral/FAT Viewer?action=UPDATE&amp;creator=factset&amp;DOC_NAME=fat:reuters_annual_source_window.fat&amp;display_string=Audit&amp;DYN_ARGS=TRUE&amp;VAR:ID1=36467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8__FDSAUDITLINK__" hidden="1">{"fdsup://IBCentral/FAT Viewer?action=UPDATE&amp;creator=factset&amp;DOC_NAME=fat:reuters_annual_source_window.fat&amp;display_string=Audit&amp;DYN_ARGS=TRUE&amp;VAR:ID1=20824210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399__FDSAUDITLINK__" hidden="1">{"fdsup://IBCentral/FAT Viewer?action=UPDATE&amp;creator=factset&amp;DOC_NAME=fat:reuters_annual_source_window.fat&amp;display_string=Audit&amp;DYN_ARGS=TRUE&amp;VAR:ID1=20824210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07556Q10&amp;VAR:RCODE=TTAX&amp;VAR:SDATE=20060999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annual_source_window.fat&amp;display_string=Audit&amp;DYN_ARGS=TRUE&amp;VAR:ID1=B013Q7&amp;VAR:RCODE=TTAX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00__FDSAUDITLINK__" hidden="1">{"fdsup://IBCentral/FAT Viewer?action=UPDATE&amp;creator=factset&amp;DOC_NAME=fat:reuters_annual_source_window.fat&amp;display_string=Audit&amp;DYN_ARGS=TRUE&amp;VAR:ID1=20824210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1__FDSAUDITLINK__" hidden="1">{"fdsup://IBCentral/FAT Viewer?action=UPDATE&amp;creator=factset&amp;DOC_NAME=fat:reuters_annual_source_window.fat&amp;display_string=Audit&amp;DYN_ARGS=TRUE&amp;VAR:ID1=20824210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2__FDSAUDITLINK__" hidden="1">{"fdsup://IBCentral/FAT Viewer?action=UPDATE&amp;creator=factset&amp;DOC_NAME=fat:reuters_annual_source_window.fat&amp;display_string=Audit&amp;DYN_ARGS=TRUE&amp;VAR:ID1=17273710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3__FDSAUDITLINK__" hidden="1">{"fdsup://IBCentral/FAT Viewer?action=UPDATE&amp;creator=factset&amp;DOC_NAME=fat:reuters_annual_source_window.fat&amp;display_string=Audit&amp;DYN_ARGS=TRUE&amp;VAR:ID1=17273710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4__FDSAUDITLINK__" hidden="1">{"fdsup://IBCentral/FAT Viewer?action=UPDATE&amp;creator=factset&amp;DOC_NAME=fat:reuters_annual_source_window.fat&amp;display_string=Audit&amp;DYN_ARGS=TRUE&amp;VAR:ID1=17273710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5__FDSAUDITLINK__" hidden="1">{"fdsup://IBCentral/FAT Viewer?action=UPDATE&amp;creator=factset&amp;DOC_NAME=fat:reuters_annual_source_window.fat&amp;display_string=Audit&amp;DYN_ARGS=TRUE&amp;VAR:ID1=17273710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6__FDSAUDITLINK__" hidden="1">{"fdsup://IBCentral/FAT Viewer?action=UPDATE&amp;creator=factset&amp;DOC_NAME=fat:reuters_annual_source_window.fat&amp;display_string=Audit&amp;DYN_ARGS=TRUE&amp;VAR:ID1=08651610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7__FDSAUDITLINK__" hidden="1">{"fdsup://IBCentral/FAT Viewer?action=UPDATE&amp;creator=factset&amp;DOC_NAME=fat:reuters_annual_source_window.fat&amp;display_string=Audit&amp;DYN_ARGS=TRUE&amp;VAR:ID1=08651610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8__FDSAUDITLINK__" hidden="1">{"fdsup://IBCentral/FAT Viewer?action=UPDATE&amp;creator=factset&amp;DOC_NAME=fat:reuters_annual_source_window.fat&amp;display_string=Audit&amp;DYN_ARGS=TRUE&amp;VAR:ID1=08651610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09__FDSAUDITLINK__" hidden="1">{"fdsup://IBCentral/FAT Viewer?action=UPDATE&amp;creator=factset&amp;DOC_NAME=fat:reuters_annual_source_window.fat&amp;display_string=Audit&amp;DYN_ARGS=TRUE&amp;VAR:ID1=08651610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41131010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10__FDSAUDITLINK__" hidden="1">{"fdsup://IBCentral/FAT Viewer?action=UPDATE&amp;creator=factset&amp;DOC_NAME=fat:reuters_annual_source_window.fat&amp;display_string=Audit&amp;DYN_ARGS=TRUE&amp;VAR:ID1=85503010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1__FDSAUDITLINK__" hidden="1">{"fdsup://IBCentral/FAT Viewer?action=UPDATE&amp;creator=factset&amp;DOC_NAME=fat:reuters_annual_source_window.fat&amp;display_string=Audit&amp;DYN_ARGS=TRUE&amp;VAR:ID1=85503010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2__FDSAUDITLINK__" hidden="1">{"fdsup://IBCentral/FAT Viewer?action=UPDATE&amp;creator=factset&amp;DOC_NAME=fat:reuters_annual_source_window.fat&amp;display_string=Audit&amp;DYN_ARGS=TRUE&amp;VAR:ID1=85503010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3__FDSAUDITLINK__" hidden="1">{"fdsup://IBCentral/FAT Viewer?action=UPDATE&amp;creator=factset&amp;DOC_NAME=fat:reuters_annual_source_window.fat&amp;display_string=Audit&amp;DYN_ARGS=TRUE&amp;VAR:ID1=85503010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4__FDSAUDITLINK__" hidden="1">{"fdsup://IBCentral/FAT Viewer?action=UPDATE&amp;creator=factset&amp;DOC_NAME=fat:reuters_annual_source_window.fat&amp;display_string=Audit&amp;DYN_ARGS=TRUE&amp;VAR:ID1=67622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5__FDSAUDITLINK__" hidden="1">{"fdsup://IBCentral/FAT Viewer?action=UPDATE&amp;creator=factset&amp;DOC_NAME=fat:reuters_annual_source_window.fat&amp;display_string=Audit&amp;DYN_ARGS=TRUE&amp;VAR:ID1=67622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6__FDSAUDITLINK__" hidden="1">{"fdsup://IBCentral/FAT Viewer?action=UPDATE&amp;creator=factset&amp;DOC_NAME=fat:reuters_annual_source_window.fat&amp;display_string=Audit&amp;DYN_ARGS=TRUE&amp;VAR:ID1=67622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7__FDSAUDITLINK__" hidden="1">{"fdsup://IBCentral/FAT Viewer?action=UPDATE&amp;creator=factset&amp;DOC_NAME=fat:reuters_annual_source_window.fat&amp;display_string=Audit&amp;DYN_ARGS=TRUE&amp;VAR:ID1=67622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8__FDSAUDITLINK__" hidden="1">{"fdsup://IBCentral/FAT Viewer?action=UPDATE&amp;creator=factset&amp;DOC_NAME=fat:reuters_annual_source_window.fat&amp;display_string=Audit&amp;DYN_ARGS=TRUE&amp;VAR:ID1=67622010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19__FDSAUDITLINK__" hidden="1">{"fdsup://IBCentral/FAT Viewer?action=UPDATE&amp;creator=factset&amp;DOC_NAME=fat:reuters_annual_source_window.fat&amp;display_string=Audit&amp;DYN_ARGS=TRUE&amp;VAR:ID1=67622010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annual_source_window.fat&amp;display_string=Audit&amp;DYN_ARGS=TRUE&amp;VAR:ID1=22163N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20__FDSAUDITLINK__" hidden="1">{"fdsup://IBCentral/FAT Viewer?action=UPDATE&amp;creator=factset&amp;DOC_NAME=fat:reuters_annual_source_window.fat&amp;display_string=Audit&amp;DYN_ARGS=TRUE&amp;VAR:ID1=67622010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1__FDSAUDITLINK__" hidden="1">{"fdsup://IBCentral/FAT Viewer?action=UPDATE&amp;creator=factset&amp;DOC_NAME=fat:reuters_annual_source_window.fat&amp;display_string=Audit&amp;DYN_ARGS=TRUE&amp;VAR:ID1=67622010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2__FDSAUDITLINK__" hidden="1">{"fdsup://IBCentral/FAT Viewer?action=UPDATE&amp;creator=factset&amp;DOC_NAME=fat:reuters_annual_source_window.fat&amp;display_string=Audit&amp;DYN_ARGS=TRUE&amp;VAR:ID1=551675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423__FDSAUDITLINK__" hidden="1">{"fdsup://IBCentral/FAT Viewer?action=UPDATE&amp;creator=factset&amp;DOC_NAME=fat:reuters_annual_source_window.fat&amp;display_string=Audit&amp;DYN_ARGS=TRUE&amp;VAR:ID1=551675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424__FDSAUDITLINK__" hidden="1">{"fdsup://IBCentral/FAT Viewer?action=UPDATE&amp;creator=factset&amp;DOC_NAME=fat:reuters_annual_source_window.fat&amp;display_string=Audit&amp;DYN_ARGS=TRUE&amp;VAR:ID1=551675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425__FDSAUDITLINK__" hidden="1">{"fdsup://IBCentral/FAT Viewer?action=UPDATE&amp;creator=factset&amp;DOC_NAME=fat:reuters_annual_source_window.fat&amp;display_string=Audit&amp;DYN_ARGS=TRUE&amp;VAR:ID1=89235610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6__FDSAUDITLINK__" hidden="1">{"fdsup://IBCentral/FAT Viewer?action=UPDATE&amp;creator=factset&amp;DOC_NAME=fat:reuters_annual_source_window.fat&amp;display_string=Audit&amp;DYN_ARGS=TRUE&amp;VAR:ID1=89235610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7__FDSAUDITLINK__" hidden="1">{"fdsup://IBCentral/FAT Viewer?action=UPDATE&amp;creator=factset&amp;DOC_NAME=fat:reuters_annual_source_window.fat&amp;display_string=Audit&amp;DYN_ARGS=TRUE&amp;VAR:ID1=89235610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8__FDSAUDITLINK__" hidden="1">{"fdsup://IBCentral/FAT Viewer?action=UPDATE&amp;creator=factset&amp;DOC_NAME=fat:reuters_annual_source_window.fat&amp;display_string=Audit&amp;DYN_ARGS=TRUE&amp;VAR:ID1=89235610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29__FDSAUDITLINK__" hidden="1">{"fdsup://IBCentral/FAT Viewer?action=UPDATE&amp;creator=factset&amp;DOC_NAME=fat:reuters_annual_source_window.fat&amp;display_string=Audit&amp;DYN_ARGS=TRUE&amp;VAR:ID1=82434810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annual_source_window.fat&amp;display_string=Audit&amp;DYN_ARGS=TRUE&amp;VAR:ID1=19121910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30__FDSAUDITLINK__" hidden="1">{"fdsup://IBCentral/FAT Viewer?action=UPDATE&amp;creator=factset&amp;DOC_NAME=fat:reuters_annual_source_window.fat&amp;display_string=Audit&amp;DYN_ARGS=TRUE&amp;VAR:ID1=82434810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1__FDSAUDITLINK__" hidden="1">{"fdsup://IBCentral/FAT Viewer?action=UPDATE&amp;creator=factset&amp;DOC_NAME=fat:reuters_annual_source_window.fat&amp;display_string=Audit&amp;DYN_ARGS=TRUE&amp;VAR:ID1=54866110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2__FDSAUDITLINK__" hidden="1">{"fdsup://IBCentral/FAT Viewer?action=UPDATE&amp;creator=factset&amp;DOC_NAME=fat:reuters_annual_source_window.fat&amp;display_string=Audit&amp;DYN_ARGS=TRUE&amp;VAR:ID1=54866110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3__FDSAUDITLINK__" hidden="1">{"fdsup://IBCentral/FAT Viewer?action=UPDATE&amp;creator=factset&amp;DOC_NAME=fat:reuters_annual_source_window.fat&amp;display_string=Audit&amp;DYN_ARGS=TRUE&amp;VAR:ID1=54866110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4__FDSAUDITLINK__" hidden="1">{"fdsup://IBCentral/FAT Viewer?action=UPDATE&amp;creator=factset&amp;DOC_NAME=fat:reuters_annual_source_window.fat&amp;display_string=Audit&amp;DYN_ARGS=TRUE&amp;VAR:ID1=54866110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5__FDSAUDITLINK__" hidden="1">{"fdsup://IBCentral/FAT Viewer?action=UPDATE&amp;creator=factset&amp;DOC_NAME=fat:reuters_annual_source_window.fat&amp;display_string=Audit&amp;DYN_ARGS=TRUE&amp;VAR:ID1=43707610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6__FDSAUDITLINK__" hidden="1">{"fdsup://IBCentral/FAT Viewer?action=UPDATE&amp;creator=factset&amp;DOC_NAME=fat:reuters_annual_source_window.fat&amp;display_string=Audit&amp;DYN_ARGS=TRUE&amp;VAR:ID1=43707610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7__FDSAUDITLINK__" hidden="1">{"fdsup://IBCentral/FAT Viewer?action=UPDATE&amp;creator=factset&amp;DOC_NAME=fat:reuters_annual_source_window.fat&amp;display_string=Audit&amp;DYN_ARGS=TRUE&amp;VAR:ID1=43707610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8__FDSAUDITLINK__" hidden="1">{"fdsup://IBCentral/FAT Viewer?action=UPDATE&amp;creator=factset&amp;DOC_NAME=fat:reuters_annual_source_window.fat&amp;display_string=Audit&amp;DYN_ARGS=TRUE&amp;VAR:ID1=43707610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39__FDSAUDITLINK__" hidden="1">{"fdsup://IBCentral/FAT Viewer?action=UPDATE&amp;creator=factset&amp;DOC_NAME=fat:reuters_annual_source_window.fat&amp;display_string=Audit&amp;DYN_ARGS=TRUE&amp;VAR:ID1=88023U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annual_source_window.fat&amp;display_string=Audit&amp;DYN_ARGS=TRUE&amp;VAR:ID1=19121610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40__FDSAUDITLINK__" hidden="1">{"fdsup://IBCentral/FAT Viewer?action=UPDATE&amp;creator=factset&amp;DOC_NAME=fat:reuters_annual_source_window.fat&amp;display_string=Audit&amp;DYN_ARGS=TRUE&amp;VAR:ID1=88023U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1__FDSAUDITLINK__" hidden="1">{"fdsup://IBCentral/FAT Viewer?action=UPDATE&amp;creator=factset&amp;DOC_NAME=fat:reuters_annual_source_window.fat&amp;display_string=Audit&amp;DYN_ARGS=TRUE&amp;VAR:ID1=88023U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2__FDSAUDITLINK__" hidden="1">{"fdsup://IBCentral/FAT Viewer?action=UPDATE&amp;creator=factset&amp;DOC_NAME=fat:reuters_annual_source_window.fat&amp;display_string=Audit&amp;DYN_ARGS=TRUE&amp;VAR:ID1=88023U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3__FDSAUDITLINK__" hidden="1">{"fdsup://IBCentral/FAT Viewer?action=UPDATE&amp;creator=factset&amp;DOC_NAME=fat:reuters_annual_source_window.fat&amp;display_string=Audit&amp;DYN_ARGS=TRUE&amp;VAR:ID1=81616X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4__FDSAUDITLINK__" hidden="1">{"fdsup://IBCentral/FAT Viewer?action=UPDATE&amp;creator=factset&amp;DOC_NAME=fat:reuters_annual_source_window.fat&amp;display_string=Audit&amp;DYN_ARGS=TRUE&amp;VAR:ID1=81616X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5__FDSAUDITLINK__" hidden="1">{"fdsup://IBCentral/FAT Viewer?action=UPDATE&amp;creator=factset&amp;DOC_NAME=fat:reuters_annual_source_window.fat&amp;display_string=Audit&amp;DYN_ARGS=TRUE&amp;VAR:ID1=81616X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6__FDSAUDITLINK__" hidden="1">{"fdsup://IBCentral/FAT Viewer?action=UPDATE&amp;creator=factset&amp;DOC_NAME=fat:reuters_annual_source_window.fat&amp;display_string=Audit&amp;DYN_ARGS=TRUE&amp;VAR:ID1=81616X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7__FDSAUDITLINK__" hidden="1">{"fdsup://IBCentral/FAT Viewer?action=UPDATE&amp;creator=factset&amp;DOC_NAME=fat:reuters_annual_source_window.fat&amp;display_string=Audit&amp;DYN_ARGS=TRUE&amp;VAR:ID1=81213930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8__FDSAUDITLINK__" hidden="1">{"fdsup://IBCentral/FAT Viewer?action=UPDATE&amp;creator=factset&amp;DOC_NAME=fat:reuters_annual_source_window.fat&amp;display_string=Audit&amp;DYN_ARGS=TRUE&amp;VAR:ID1=81213930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49__FDSAUDITLINK__" hidden="1">{"fdsup://IBCentral/FAT Viewer?action=UPDATE&amp;creator=factset&amp;DOC_NAME=fat:reuters_annual_source_window.fat&amp;display_string=Audit&amp;DYN_ARGS=TRUE&amp;VAR:ID1=81213930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14843510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50__FDSAUDITLINK__" hidden="1">{"fdsup://IBCentral/FAT Viewer?action=UPDATE&amp;creator=factset&amp;DOC_NAME=fat:reuters_annual_source_window.fat&amp;display_string=Audit&amp;DYN_ARGS=TRUE&amp;VAR:ID1=81213930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1__FDSAUDITLINK__" hidden="1">{"fdsup://IBCentral/FAT Viewer?action=UPDATE&amp;creator=factset&amp;DOC_NAME=fat:reuters_annual_source_window.fat&amp;display_string=Audit&amp;DYN_ARGS=TRUE&amp;VAR:ID1=85815520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2__FDSAUDITLINK__" hidden="1">{"fdsup://IBCentral/FAT Viewer?action=UPDATE&amp;creator=factset&amp;DOC_NAME=fat:reuters_annual_source_window.fat&amp;display_string=Audit&amp;DYN_ARGS=TRUE&amp;VAR:ID1=85815520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3__FDSAUDITLINK__" hidden="1">{"fdsup://IBCentral/FAT Viewer?action=UPDATE&amp;creator=factset&amp;DOC_NAME=fat:reuters_annual_source_window.fat&amp;display_string=Audit&amp;DYN_ARGS=TRUE&amp;VAR:ID1=85815520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4__FDSAUDITLINK__" hidden="1">{"fdsup://IBCentral/FAT Viewer?action=UPDATE&amp;creator=factset&amp;DOC_NAME=fat:reuters_annual_source_window.fat&amp;display_string=Audit&amp;DYN_ARGS=TRUE&amp;VAR:ID1=85815520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5__FDSAUDITLINK__" hidden="1">{"fdsup://IBCentral/FAT Viewer?action=UPDATE&amp;creator=factset&amp;DOC_NAME=fat:reuters_annual_source_window.fat&amp;display_string=Audit&amp;DYN_ARGS=TRUE&amp;VAR:ID1=85430520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6__FDSAUDITLINK__" hidden="1">{"fdsup://IBCentral/FAT Viewer?action=UPDATE&amp;creator=factset&amp;DOC_NAME=fat:reuters_annual_source_window.fat&amp;display_string=Audit&amp;DYN_ARGS=TRUE&amp;VAR:ID1=85430520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7__FDSAUDITLINK__" hidden="1">{"fdsup://IBCentral/FAT Viewer?action=UPDATE&amp;creator=factset&amp;DOC_NAME=fat:reuters_annual_source_window.fat&amp;display_string=Audit&amp;DYN_ARGS=TRUE&amp;VAR:ID1=85430520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8__FDSAUDITLINK__" hidden="1">{"fdsup://IBCentral/FAT Viewer?action=UPDATE&amp;creator=factset&amp;DOC_NAME=fat:reuters_annual_source_window.fat&amp;display_string=Audit&amp;DYN_ARGS=TRUE&amp;VAR:ID1=76009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59__FDSAUDITLINK__" hidden="1">{"fdsup://IBCentral/FAT Viewer?action=UPDATE&amp;creator=factset&amp;DOC_NAME=fat:reuters_annual_source_window.fat&amp;display_string=Audit&amp;DYN_ARGS=TRUE&amp;VAR:ID1=76009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annual_source_window.fat&amp;display_string=Audit&amp;DYN_ARGS=TRUE&amp;VAR:ID1=98252610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60__FDSAUDITLINK__" hidden="1">{"fdsup://IBCentral/FAT Viewer?action=UPDATE&amp;creator=factset&amp;DOC_NAME=fat:reuters_annual_source_window.fat&amp;display_string=Audit&amp;DYN_ARGS=TRUE&amp;VAR:ID1=50533610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1__FDSAUDITLINK__" hidden="1">{"fdsup://IBCentral/FAT Viewer?action=UPDATE&amp;creator=factset&amp;DOC_NAME=fat:reuters_annual_source_window.fat&amp;display_string=Audit&amp;DYN_ARGS=TRUE&amp;VAR:ID1=50533610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2__FDSAUDITLINK__" hidden="1">{"fdsup://IBCentral/FAT Viewer?action=UPDATE&amp;creator=factset&amp;DOC_NAME=fat:reuters_annual_source_window.fat&amp;display_string=Audit&amp;DYN_ARGS=TRUE&amp;VAR:ID1=50533610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3__FDSAUDITLINK__" hidden="1">{"fdsup://IBCentral/FAT Viewer?action=UPDATE&amp;creator=factset&amp;DOC_NAME=fat:reuters_annual_source_window.fat&amp;display_string=Audit&amp;DYN_ARGS=TRUE&amp;VAR:ID1=50533610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4__FDSAUDITLINK__" hidden="1">{"fdsup://IBCentral/FAT Viewer?action=UPDATE&amp;creator=factset&amp;DOC_NAME=fat:reuters_annual_source_window.fat&amp;display_string=Audit&amp;DYN_ARGS=TRUE&amp;VAR:ID1=49890420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5__FDSAUDITLINK__" hidden="1">{"fdsup://IBCentral/FAT Viewer?action=UPDATE&amp;creator=factset&amp;DOC_NAME=fat:reuters_annual_source_window.fat&amp;display_string=Audit&amp;DYN_ARGS=TRUE&amp;VAR:ID1=49890420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6__FDSAUDITLINK__" hidden="1">{"fdsup://IBCentral/FAT Viewer?action=UPDATE&amp;creator=factset&amp;DOC_NAME=fat:reuters_annual_source_window.fat&amp;display_string=Audit&amp;DYN_ARGS=TRUE&amp;VAR:ID1=49890420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7__FDSAUDITLINK__" hidden="1">{"fdsup://IBCentral/FAT Viewer?action=UPDATE&amp;creator=factset&amp;DOC_NAME=fat:reuters_annual_source_window.fat&amp;display_string=Audit&amp;DYN_ARGS=TRUE&amp;VAR:ID1=40425110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8__FDSAUDITLINK__" hidden="1">{"fdsup://IBCentral/FAT Viewer?action=UPDATE&amp;creator=factset&amp;DOC_NAME=fat:reuters_annual_source_window.fat&amp;display_string=Audit&amp;DYN_ARGS=TRUE&amp;VAR:ID1=40425110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69__FDSAUDITLINK__" hidden="1">{"fdsup://IBCentral/FAT Viewer?action=UPDATE&amp;creator=factset&amp;DOC_NAME=fat:reuters_annual_source_window.fat&amp;display_string=Audit&amp;DYN_ARGS=TRUE&amp;VAR:ID1=40425110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annual_source_window.fat&amp;display_string=Audit&amp;DYN_ARGS=TRUE&amp;VAR:ID1=91116310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70__FDSAUDITLINK__" hidden="1">{"fdsup://IBCentral/FAT Viewer?action=UPDATE&amp;creator=factset&amp;DOC_NAME=fat:reuters_annual_source_window.fat&amp;display_string=Audit&amp;DYN_ARGS=TRUE&amp;VAR:ID1=40425110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1__FDSAUDITLINK__" hidden="1">{"fdsup://IBCentral/FAT Viewer?action=UPDATE&amp;creator=factset&amp;DOC_NAME=fat:reuters_annual_source_window.fat&amp;display_string=Audit&amp;DYN_ARGS=TRUE&amp;VAR:ID1=60054410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2__FDSAUDITLINK__" hidden="1">{"fdsup://IBCentral/FAT Viewer?action=UPDATE&amp;creator=factset&amp;DOC_NAME=fat:reuters_annual_source_window.fat&amp;display_string=Audit&amp;DYN_ARGS=TRUE&amp;VAR:ID1=60054410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3__FDSAUDITLINK__" hidden="1">{"fdsup://IBCentral/FAT Viewer?action=UPDATE&amp;creator=factset&amp;DOC_NAME=fat:reuters_annual_source_window.fat&amp;display_string=Audit&amp;DYN_ARGS=TRUE&amp;VAR:ID1=60054410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4__FDSAUDITLINK__" hidden="1">{"fdsup://IBCentral/FAT Viewer?action=UPDATE&amp;creator=factset&amp;DOC_NAME=fat:reuters_annual_source_window.fat&amp;display_string=Audit&amp;DYN_ARGS=TRUE&amp;VAR:ID1=60054410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5__FDSAUDITLINK__" hidden="1">{"fdsup://IBCentral/FAT Viewer?action=UPDATE&amp;creator=factset&amp;DOC_NAME=fat:reuters_annual_source_window.fat&amp;display_string=Audit&amp;DYN_ARGS=TRUE&amp;VAR:ID1=41959610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6__FDSAUDITLINK__" hidden="1">{"fdsup://IBCentral/FAT Viewer?action=UPDATE&amp;creator=factset&amp;DOC_NAME=fat:reuters_annual_source_window.fat&amp;display_string=Audit&amp;DYN_ARGS=TRUE&amp;VAR:ID1=41959610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7__FDSAUDITLINK__" hidden="1">{"fdsup://IBCentral/FAT Viewer?action=UPDATE&amp;creator=factset&amp;DOC_NAME=fat:reuters_annual_source_window.fat&amp;display_string=Audit&amp;DYN_ARGS=TRUE&amp;VAR:ID1=41959610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8__FDSAUDITLINK__" hidden="1">{"fdsup://IBCentral/FAT Viewer?action=UPDATE&amp;creator=factset&amp;DOC_NAME=fat:reuters_annual_source_window.fat&amp;display_string=Audit&amp;DYN_ARGS=TRUE&amp;VAR:ID1=41959610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79__FDSAUDITLINK__" hidden="1">{"fdsup://IBCentral/FAT Viewer?action=UPDATE&amp;creator=factset&amp;DOC_NAME=fat:reuters_annual_source_window.fat&amp;display_string=Audit&amp;DYN_ARGS=TRUE&amp;VAR:ID1=36092110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annual_source_window.fat&amp;display_string=Audit&amp;DYN_ARGS=TRUE&amp;VAR:ID1=B12T3J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80__FDSAUDITLINK__" hidden="1">{"fdsup://IBCentral/FAT Viewer?action=UPDATE&amp;creator=factset&amp;DOC_NAME=fat:reuters_annual_source_window.fat&amp;display_string=Audit&amp;DYN_ARGS=TRUE&amp;VAR:ID1=36092110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1__FDSAUDITLINK__" hidden="1">{"fdsup://IBCentral/FAT Viewer?action=UPDATE&amp;creator=factset&amp;DOC_NAME=fat:reuters_annual_source_window.fat&amp;display_string=Audit&amp;DYN_ARGS=TRUE&amp;VAR:ID1=36092110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2__FDSAUDITLINK__" hidden="1">{"fdsup://IBCentral/FAT Viewer?action=UPDATE&amp;creator=factset&amp;DOC_NAME=fat:reuters_annual_source_window.fat&amp;display_string=Audit&amp;DYN_ARGS=TRUE&amp;VAR:ID1=36092110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3__FDSAUDITLINK__" hidden="1">{"fdsup://IBCentral/FAT Viewer?action=UPDATE&amp;creator=factset&amp;DOC_NAME=fat:reuters_annual_source_window.fat&amp;display_string=Audit&amp;DYN_ARGS=TRUE&amp;VAR:ID1=29760210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4__FDSAUDITLINK__" hidden="1">{"fdsup://IBCentral/FAT Viewer?action=UPDATE&amp;creator=factset&amp;DOC_NAME=fat:reuters_annual_source_window.fat&amp;display_string=Audit&amp;DYN_ARGS=TRUE&amp;VAR:ID1=29760210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5__FDSAUDITLINK__" hidden="1">{"fdsup://IBCentral/FAT Viewer?action=UPDATE&amp;creator=factset&amp;DOC_NAME=fat:reuters_annual_source_window.fat&amp;display_string=Audit&amp;DYN_ARGS=TRUE&amp;VAR:ID1=29760210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6__FDSAUDITLINK__" hidden="1">{"fdsup://IBCentral/FAT Viewer?action=UPDATE&amp;creator=factset&amp;DOC_NAME=fat:reuters_annual_source_window.fat&amp;display_string=Audit&amp;DYN_ARGS=TRUE&amp;VAR:ID1=29760210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7__FDSAUDITLINK__" hidden="1">{"fdsup://IBCentral/FAT Viewer?action=UPDATE&amp;creator=factset&amp;DOC_NAME=fat:reuters_annual_source_window.fat&amp;display_string=Audit&amp;DYN_ARGS=TRUE&amp;VAR:ID1=07020310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8__FDSAUDITLINK__" hidden="1">{"fdsup://IBCentral/FAT Viewer?action=UPDATE&amp;creator=factset&amp;DOC_NAME=fat:reuters_annual_source_window.fat&amp;display_string=Audit&amp;DYN_ARGS=TRUE&amp;VAR:ID1=07020310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89__FDSAUDITLINK__" hidden="1">{"fdsup://IBCentral/FAT Viewer?action=UPDATE&amp;creator=factset&amp;DOC_NAME=fat:reuters_annual_source_window.fat&amp;display_string=Audit&amp;DYN_ARGS=TRUE&amp;VAR:ID1=07020310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annual_source_window.fat&amp;display_string=Audit&amp;DYN_ARGS=TRUE&amp;VAR:ID1=90249410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490__FDSAUDITLINK__" hidden="1">{"fdsup://IBCentral/FAT Viewer?action=UPDATE&amp;creator=factset&amp;DOC_NAME=fat:reuters_annual_source_window.fat&amp;display_string=Audit&amp;DYN_ARGS=TRUE&amp;VAR:ID1=07020310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1__FDSAUDITLINK__" hidden="1">{"fdsup://IBCentral/FAT Viewer?action=UPDATE&amp;creator=factset&amp;DOC_NAME=fat:reuters_annual_source_window.fat&amp;display_string=Audit&amp;DYN_ARGS=TRUE&amp;VAR:ID1=00253520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2__FDSAUDITLINK__" hidden="1">{"fdsup://IBCentral/FAT Viewer?action=UPDATE&amp;creator=factset&amp;DOC_NAME=fat:reuters_annual_source_window.fat&amp;display_string=Audit&amp;DYN_ARGS=TRUE&amp;VAR:ID1=00253520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3__FDSAUDITLINK__" hidden="1">{"fdsup://IBCentral/FAT Viewer?action=UPDATE&amp;creator=factset&amp;DOC_NAME=fat:reuters_annual_source_window.fat&amp;display_string=Audit&amp;DYN_ARGS=TRUE&amp;VAR:ID1=82488910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4__FDSAUDITLINK__" hidden="1">{"fdsup://IBCentral/FAT Viewer?action=UPDATE&amp;creator=factset&amp;DOC_NAME=fat:reuters_annual_source_window.fat&amp;display_string=Audit&amp;DYN_ARGS=TRUE&amp;VAR:ID1=82488910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5__FDSAUDITLINK__" hidden="1">{"fdsup://IBCentral/FAT Viewer?action=UPDATE&amp;creator=factset&amp;DOC_NAME=fat:reuters_annual_source_window.fat&amp;display_string=Audit&amp;DYN_ARGS=TRUE&amp;VAR:ID1=82488910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6__FDSAUDITLINK__" hidden="1">{"fdsup://IBCentral/FAT Viewer?action=UPDATE&amp;creator=factset&amp;DOC_NAME=fat:reuters_annual_source_window.fat&amp;display_string=Audit&amp;DYN_ARGS=TRUE&amp;VAR:ID1=82488910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7__FDSAUDITLINK__" hidden="1">{"fdsup://IBCentral/FAT Viewer?action=UPDATE&amp;creator=factset&amp;DOC_NAME=fat:reuters_annual_source_window.fat&amp;display_string=Audit&amp;DYN_ARGS=TRUE&amp;VAR:ID1=19421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8__FDSAUDITLINK__" hidden="1">{"fdsup://IBCentral/FAT Viewer?action=UPDATE&amp;creator=factset&amp;DOC_NAME=fat:reuters_annual_source_window.fat&amp;display_string=Audit&amp;DYN_ARGS=TRUE&amp;VAR:ID1=19421W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499__FDSAUDITLINK__" hidden="1">{"fdsup://IBCentral/FAT Viewer?action=UPDATE&amp;creator=factset&amp;DOC_NAME=fat:reuters_annual_source_window.fat&amp;display_string=Audit&amp;DYN_ARGS=TRUE&amp;VAR:ID1=19421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annual_source_window.fat&amp;display_string=Audit&amp;DYN_ARGS=TRUE&amp;VAR:ID1=78376410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annual_source_window.fat&amp;display_string=Audit&amp;DYN_ARGS=TRUE&amp;VAR:ID1=89469A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00__FDSAUDITLINK__" hidden="1">{"fdsup://IBCentral/FAT Viewer?action=UPDATE&amp;creator=factset&amp;DOC_NAME=fat:reuters_annual_source_window.fat&amp;display_string=Audit&amp;DYN_ARGS=TRUE&amp;VAR:ID1=19421W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1__FDSAUDITLINK__" hidden="1">{"fdsup://IBCentral/FAT Viewer?action=UPDATE&amp;creator=factset&amp;DOC_NAME=fat:reuters_annual_source_window.fat&amp;display_string=Audit&amp;DYN_ARGS=TRUE&amp;VAR:ID1=34484910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2__FDSAUDITLINK__" hidden="1">{"fdsup://IBCentral/FAT Viewer?action=UPDATE&amp;creator=factset&amp;DOC_NAME=fat:reuters_annual_source_window.fat&amp;display_string=Audit&amp;DYN_ARGS=TRUE&amp;VAR:ID1=34484910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3__FDSAUDITLINK__" hidden="1">{"fdsup://IBCentral/FAT Viewer?action=UPDATE&amp;creator=factset&amp;DOC_NAME=fat:reuters_annual_source_window.fat&amp;display_string=Audit&amp;DYN_ARGS=TRUE&amp;VAR:ID1=34484910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4__FDSAUDITLINK__" hidden="1">{"fdsup://IBCentral/FAT Viewer?action=UPDATE&amp;creator=factset&amp;DOC_NAME=fat:reuters_annual_source_window.fat&amp;display_string=Audit&amp;DYN_ARGS=TRUE&amp;VAR:ID1=34484910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5__FDSAUDITLINK__" hidden="1">{"fdsup://IBCentral/FAT Viewer?action=UPDATE&amp;creator=factset&amp;DOC_NAME=fat:reuters_annual_source_window.fat&amp;display_string=Audit&amp;DYN_ARGS=TRUE&amp;VAR:ID1=31792310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6__FDSAUDITLINK__" hidden="1">{"fdsup://IBCentral/FAT Viewer?action=UPDATE&amp;creator=factset&amp;DOC_NAME=fat:reuters_annual_source_window.fat&amp;display_string=Audit&amp;DYN_ARGS=TRUE&amp;VAR:ID1=31792310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7__FDSAUDITLINK__" hidden="1">{"fdsup://IBCentral/FAT Viewer?action=UPDATE&amp;creator=factset&amp;DOC_NAME=fat:reuters_annual_source_window.fat&amp;display_string=Audit&amp;DYN_ARGS=TRUE&amp;VAR:ID1=31792310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8__FDSAUDITLINK__" hidden="1">{"fdsup://IBCentral/FAT Viewer?action=UPDATE&amp;creator=factset&amp;DOC_NAME=fat:reuters_annual_source_window.fat&amp;display_string=Audit&amp;DYN_ARGS=TRUE&amp;VAR:ID1=31792310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09__FDSAUDITLINK__" hidden="1">{"fdsup://IBCentral/FAT Viewer?action=UPDATE&amp;creator=factset&amp;DOC_NAME=fat:reuters_annual_source_window.fat&amp;display_string=Audit&amp;DYN_ARGS=TRUE&amp;VAR:ID1=23334L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87655330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10__FDSAUDITLINK__" hidden="1">{"fdsup://IBCentral/FAT Viewer?action=UPDATE&amp;creator=factset&amp;DOC_NAME=fat:reuters_annual_source_window.fat&amp;display_string=Audit&amp;DYN_ARGS=TRUE&amp;VAR:ID1=23334L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1__FDSAUDITLINK__" hidden="1">{"fdsup://IBCentral/FAT Viewer?action=UPDATE&amp;creator=factset&amp;DOC_NAME=fat:reuters_annual_source_window.fat&amp;display_string=Audit&amp;DYN_ARGS=TRUE&amp;VAR:ID1=23334L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2__FDSAUDITLINK__" hidden="1">{"fdsup://IBCentral/FAT Viewer?action=UPDATE&amp;creator=factset&amp;DOC_NAME=fat:reuters_annual_source_window.fat&amp;display_string=Audit&amp;DYN_ARGS=TRUE&amp;VAR:ID1=23334L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3__FDSAUDITLINK__" hidden="1">{"fdsup://IBCentral/FAT Viewer?action=UPDATE&amp;creator=factset&amp;DOC_NAME=fat:reuters_annual_source_window.fat&amp;display_string=Audit&amp;DYN_ARGS=TRUE&amp;VAR:ID1=05746510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4__FDSAUDITLINK__" hidden="1">{"fdsup://IBCentral/FAT Viewer?action=UPDATE&amp;creator=factset&amp;DOC_NAME=fat:reuters_annual_source_window.fat&amp;display_string=Audit&amp;DYN_ARGS=TRUE&amp;VAR:ID1=05746510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5__FDSAUDITLINK__" hidden="1">{"fdsup://IBCentral/FAT Viewer?action=UPDATE&amp;creator=factset&amp;DOC_NAME=fat:reuters_annual_source_window.fat&amp;display_string=Audit&amp;DYN_ARGS=TRUE&amp;VAR:ID1=05746510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6__FDSAUDITLINK__" hidden="1">{"fdsup://IBCentral/FAT Viewer?action=UPDATE&amp;creator=factset&amp;DOC_NAME=fat:reuters_annual_source_window.fat&amp;display_string=Audit&amp;DYN_ARGS=TRUE&amp;VAR:ID1=05746510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17__FDSAUDITLINK__" hidden="1">{"fdsup://IBCentral/FAT Viewer?action=UPDATE&amp;creator=factset&amp;DOC_NAME=fat:reuters_annual_source_window.fat&amp;display_string=Audit&amp;DYN_ARGS=TRUE&amp;VAR:ID1=B044JP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518__FDSAUDITLINK__" hidden="1">{"fdsup://IBCentral/FAT Viewer?action=UPDATE&amp;creator=factset&amp;DOC_NAME=fat:reuters_annual_source_window.fat&amp;display_string=Audit&amp;DYN_ARGS=TRUE&amp;VAR:ID1=B044JP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519__FDSAUDITLINK__" hidden="1">{"fdsup://IBCentral/FAT Viewer?action=UPDATE&amp;creator=factset&amp;DOC_NAME=fat:reuters_annual_source_window.fat&amp;display_string=Audit&amp;DYN_ARGS=TRUE&amp;VAR:ID1=97809710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annual_source_window.fat&amp;display_string=Audit&amp;DYN_ARGS=TRUE&amp;VAR:ID1=87182910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20__FDSAUDITLINK__" hidden="1">{"fdsup://IBCentral/FAT Viewer?action=UPDATE&amp;creator=factset&amp;DOC_NAME=fat:reuters_annual_source_window.fat&amp;display_string=Audit&amp;DYN_ARGS=TRUE&amp;VAR:ID1=97809710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1__FDSAUDITLINK__" hidden="1">{"fdsup://IBCentral/FAT Viewer?action=UPDATE&amp;creator=factset&amp;DOC_NAME=fat:reuters_annual_source_window.fat&amp;display_string=Audit&amp;DYN_ARGS=TRUE&amp;VAR:ID1=97809710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2__FDSAUDITLINK__" hidden="1">{"fdsup://IBCentral/FAT Viewer?action=UPDATE&amp;creator=factset&amp;DOC_NAME=fat:reuters_annual_source_window.fat&amp;display_string=Audit&amp;DYN_ARGS=TRUE&amp;VAR:ID1=97809710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3__FDSAUDITLINK__" hidden="1">{"fdsup://IBCentral/FAT Viewer?action=UPDATE&amp;creator=factset&amp;DOC_NAME=fat:reuters_annual_source_window.fat&amp;display_string=Audit&amp;DYN_ARGS=TRUE&amp;VAR:ID1=96214910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4__FDSAUDITLINK__" hidden="1">{"fdsup://IBCentral/FAT Viewer?action=UPDATE&amp;creator=factset&amp;DOC_NAME=fat:reuters_annual_source_window.fat&amp;display_string=Audit&amp;DYN_ARGS=TRUE&amp;VAR:ID1=96214910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5__FDSAUDITLINK__" hidden="1">{"fdsup://IBCentral/FAT Viewer?action=UPDATE&amp;creator=factset&amp;DOC_NAME=fat:reuters_annual_source_window.fat&amp;display_string=Audit&amp;DYN_ARGS=TRUE&amp;VAR:ID1=96214910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6__FDSAUDITLINK__" hidden="1">{"fdsup://IBCentral/FAT Viewer?action=UPDATE&amp;creator=factset&amp;DOC_NAME=fat:reuters_annual_source_window.fat&amp;display_string=Audit&amp;DYN_ARGS=TRUE&amp;VAR:ID1=96214910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7__FDSAUDITLINK__" hidden="1">{"fdsup://IBCentral/FAT Viewer?action=UPDATE&amp;creator=factset&amp;DOC_NAME=fat:reuters_annual_source_window.fat&amp;display_string=Audit&amp;DYN_ARGS=TRUE&amp;VAR:ID1=55626910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8__FDSAUDITLINK__" hidden="1">{"fdsup://IBCentral/FAT Viewer?action=UPDATE&amp;creator=factset&amp;DOC_NAME=fat:reuters_annual_source_window.fat&amp;display_string=Audit&amp;DYN_ARGS=TRUE&amp;VAR:ID1=55626910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29__FDSAUDITLINK__" hidden="1">{"fdsup://IBCentral/FAT Viewer?action=UPDATE&amp;creator=factset&amp;DOC_NAME=fat:reuters_annual_source_window.fat&amp;display_string=Audit&amp;DYN_ARGS=TRUE&amp;VAR:ID1=83056610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annual_source_window.fat&amp;display_string=Audit&amp;DYN_ARGS=TRUE&amp;VAR:ID1=83224810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30__FDSAUDITLINK__" hidden="1">{"fdsup://IBCentral/FAT Viewer?action=UPDATE&amp;creator=factset&amp;DOC_NAME=fat:reuters_annual_source_window.fat&amp;display_string=Audit&amp;DYN_ARGS=TRUE&amp;VAR:ID1=83056610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1__FDSAUDITLINK__" hidden="1">{"fdsup://IBCentral/FAT Viewer?action=UPDATE&amp;creator=factset&amp;DOC_NAME=fat:reuters_annual_source_window.fat&amp;display_string=Audit&amp;DYN_ARGS=TRUE&amp;VAR:ID1=37153210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2__FDSAUDITLINK__" hidden="1">{"fdsup://IBCentral/FAT Viewer?action=UPDATE&amp;creator=factset&amp;DOC_NAME=fat:reuters_annual_source_window.fat&amp;display_string=Audit&amp;DYN_ARGS=TRUE&amp;VAR:ID1=37153210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3__FDSAUDITLINK__" hidden="1">{"fdsup://IBCentral/FAT Viewer?action=UPDATE&amp;creator=factset&amp;DOC_NAME=fat:reuters_annual_source_window.fat&amp;display_string=Audit&amp;DYN_ARGS=TRUE&amp;VAR:ID1=37153210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4__FDSAUDITLINK__" hidden="1">{"fdsup://IBCentral/FAT Viewer?action=UPDATE&amp;creator=factset&amp;DOC_NAME=fat:reuters_annual_source_window.fat&amp;display_string=Audit&amp;DYN_ARGS=TRUE&amp;VAR:ID1=37153210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5__FDSAUDITLINK__" hidden="1">{"fdsup://IBCentral/FAT Viewer?action=UPDATE&amp;creator=factset&amp;DOC_NAME=fat:reuters_annual_source_window.fat&amp;display_string=Audit&amp;DYN_ARGS=TRUE&amp;VAR:ID1=22704610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6__FDSAUDITLINK__" hidden="1">{"fdsup://IBCentral/FAT Viewer?action=UPDATE&amp;creator=factset&amp;DOC_NAME=fat:reuters_annual_source_window.fat&amp;display_string=Audit&amp;DYN_ARGS=TRUE&amp;VAR:ID1=22704610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7__FDSAUDITLINK__" hidden="1">{"fdsup://IBCentral/FAT Viewer?action=UPDATE&amp;creator=factset&amp;DOC_NAME=fat:reuters_annual_source_window.fat&amp;display_string=Audit&amp;DYN_ARGS=TRUE&amp;VAR:ID1=11573610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8__FDSAUDITLINK__" hidden="1">{"fdsup://IBCentral/FAT Viewer?action=UPDATE&amp;creator=factset&amp;DOC_NAME=fat:reuters_annual_source_window.fat&amp;display_string=Audit&amp;DYN_ARGS=TRUE&amp;VAR:ID1=11573610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39__FDSAUDITLINK__" hidden="1">{"fdsup://IBCentral/FAT Viewer?action=UPDATE&amp;creator=factset&amp;DOC_NAME=fat:reuters_annual_source_window.fat&amp;display_string=Audit&amp;DYN_ARGS=TRUE&amp;VAR:ID1=11573610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annual_source_window.fat&amp;display_string=Audit&amp;DYN_ARGS=TRUE&amp;VAR:ID1=80311110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40__FDSAUDITLINK__" hidden="1">{"fdsup://IBCentral/FAT Viewer?action=UPDATE&amp;creator=factset&amp;DOC_NAME=fat:reuters_annual_source_window.fat&amp;display_string=Audit&amp;DYN_ARGS=TRUE&amp;VAR:ID1=11573610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1__FDSAUDITLINK__" hidden="1">{"fdsup://IBCentral/FAT Viewer?action=UPDATE&amp;creator=factset&amp;DOC_NAME=fat:reuters_annual_source_window.fat&amp;display_string=Audit&amp;DYN_ARGS=TRUE&amp;VAR:ID1=98981710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2__FDSAUDITLINK__" hidden="1">{"fdsup://IBCentral/FAT Viewer?action=UPDATE&amp;creator=factset&amp;DOC_NAME=fat:reuters_annual_source_window.fat&amp;display_string=Audit&amp;DYN_ARGS=TRUE&amp;VAR:ID1=98981710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3__FDSAUDITLINK__" hidden="1">{"fdsup://IBCentral/FAT Viewer?action=UPDATE&amp;creator=factset&amp;DOC_NAME=fat:reuters_annual_source_window.fat&amp;display_string=Audit&amp;DYN_ARGS=TRUE&amp;VAR:ID1=98981710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4__FDSAUDITLINK__" hidden="1">{"fdsup://IBCentral/FAT Viewer?action=UPDATE&amp;creator=factset&amp;DOC_NAME=fat:reuters_annual_source_window.fat&amp;display_string=Audit&amp;DYN_ARGS=TRUE&amp;VAR:ID1=98981710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5__FDSAUDITLINK__" hidden="1">{"fdsup://IBCentral/FAT Viewer?action=UPDATE&amp;creator=factset&amp;DOC_NAME=fat:reuters_annual_source_window.fat&amp;display_string=Audit&amp;DYN_ARGS=TRUE&amp;VAR:ID1=96184010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6__FDSAUDITLINK__" hidden="1">{"fdsup://IBCentral/FAT Viewer?action=UPDATE&amp;creator=factset&amp;DOC_NAME=fat:reuters_annual_source_window.fat&amp;display_string=Audit&amp;DYN_ARGS=TRUE&amp;VAR:ID1=96184010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7__FDSAUDITLINK__" hidden="1">{"fdsup://IBCentral/FAT Viewer?action=UPDATE&amp;creator=factset&amp;DOC_NAME=fat:reuters_annual_source_window.fat&amp;display_string=Audit&amp;DYN_ARGS=TRUE&amp;VAR:ID1=96184010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8__FDSAUDITLINK__" hidden="1">{"fdsup://IBCentral/FAT Viewer?action=UPDATE&amp;creator=factset&amp;DOC_NAME=fat:reuters_annual_source_window.fat&amp;display_string=Audit&amp;DYN_ARGS=TRUE&amp;VAR:ID1=96184010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49__FDSAUDITLINK__" hidden="1">{"fdsup://IBCentral/FAT Viewer?action=UPDATE&amp;creator=factset&amp;DOC_NAME=fat:reuters_annual_source_window.fat&amp;display_string=Audit&amp;DYN_ARGS=TRUE&amp;VAR:ID1=91704710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annual_source_window.fat&amp;display_string=Audit&amp;DYN_ARGS=TRUE&amp;VAR:ID1=80305420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50__FDSAUDITLINK__" hidden="1">{"fdsup://IBCentral/FAT Viewer?action=UPDATE&amp;creator=factset&amp;DOC_NAME=fat:reuters_annual_source_window.fat&amp;display_string=Audit&amp;DYN_ARGS=TRUE&amp;VAR:ID1=91704710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1__FDSAUDITLINK__" hidden="1">{"fdsup://IBCentral/FAT Viewer?action=UPDATE&amp;creator=factset&amp;DOC_NAME=fat:reuters_annual_source_window.fat&amp;display_string=Audit&amp;DYN_ARGS=TRUE&amp;VAR:ID1=91704710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2__FDSAUDITLINK__" hidden="1">{"fdsup://IBCentral/FAT Viewer?action=UPDATE&amp;creator=factset&amp;DOC_NAME=fat:reuters_annual_source_window.fat&amp;display_string=Audit&amp;DYN_ARGS=TRUE&amp;VAR:ID1=91704710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3__FDSAUDITLINK__" hidden="1">{"fdsup://IBCentral/FAT Viewer?action=UPDATE&amp;creator=factset&amp;DOC_NAME=fat:reuters_annual_source_window.fat&amp;display_string=Audit&amp;DYN_ARGS=TRUE&amp;VAR:ID1=90116610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4__FDSAUDITLINK__" hidden="1">{"fdsup://IBCentral/FAT Viewer?action=UPDATE&amp;creator=factset&amp;DOC_NAME=fat:reuters_annual_source_window.fat&amp;display_string=Audit&amp;DYN_ARGS=TRUE&amp;VAR:ID1=90116610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5__FDSAUDITLINK__" hidden="1">{"fdsup://IBCentral/FAT Viewer?action=UPDATE&amp;creator=factset&amp;DOC_NAME=fat:reuters_annual_source_window.fat&amp;display_string=Audit&amp;DYN_ARGS=TRUE&amp;VAR:ID1=90116610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6__FDSAUDITLINK__" hidden="1">{"fdsup://IBCentral/FAT Viewer?action=UPDATE&amp;creator=factset&amp;DOC_NAME=fat:reuters_annual_source_window.fat&amp;display_string=Audit&amp;DYN_ARGS=TRUE&amp;VAR:ID1=90116610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7__FDSAUDITLINK__" hidden="1">{"fdsup://IBCentral/FAT Viewer?action=UPDATE&amp;creator=factset&amp;DOC_NAME=fat:reuters_annual_source_window.fat&amp;display_string=Audit&amp;DYN_ARGS=TRUE&amp;VAR:ID1=87416110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8__FDSAUDITLINK__" hidden="1">{"fdsup://IBCentral/FAT Viewer?action=UPDATE&amp;creator=factset&amp;DOC_NAME=fat:reuters_annual_source_window.fat&amp;display_string=Audit&amp;DYN_ARGS=TRUE&amp;VAR:ID1=87416110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59__FDSAUDITLINK__" hidden="1">{"fdsup://IBCentral/FAT Viewer?action=UPDATE&amp;creator=factset&amp;DOC_NAME=fat:reuters_annual_source_window.fat&amp;display_string=Audit&amp;DYN_ARGS=TRUE&amp;VAR:ID1=87416110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annual_source_window.fat&amp;display_string=Audit&amp;DYN_ARGS=TRUE&amp;VAR:ID1=80001310&amp;VAR:RCODE=TTAX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60__FDSAUDITLINK__" hidden="1">{"fdsup://IBCentral/FAT Viewer?action=UPDATE&amp;creator=factset&amp;DOC_NAME=fat:reuters_annual_source_window.fat&amp;display_string=Audit&amp;DYN_ARGS=TRUE&amp;VAR:ID1=87416110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1__FDSAUDITLINK__" hidden="1">{"fdsup://IBCentral/FAT Viewer?action=UPDATE&amp;creator=factset&amp;DOC_NAME=fat:reuters_annual_source_window.fat&amp;display_string=Audit&amp;DYN_ARGS=TRUE&amp;VAR:ID1=69487310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2__FDSAUDITLINK__" hidden="1">{"fdsup://IBCentral/FAT Viewer?action=UPDATE&amp;creator=factset&amp;DOC_NAME=fat:reuters_annual_source_window.fat&amp;display_string=Audit&amp;DYN_ARGS=TRUE&amp;VAR:ID1=69487310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3__FDSAUDITLINK__" hidden="1">{"fdsup://IBCentral/FAT Viewer?action=UPDATE&amp;creator=factset&amp;DOC_NAME=fat:reuters_annual_source_window.fat&amp;display_string=Audit&amp;DYN_ARGS=TRUE&amp;VAR:ID1=69487310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4__FDSAUDITLINK__" hidden="1">{"fdsup://IBCentral/FAT Viewer?action=UPDATE&amp;creator=factset&amp;DOC_NAME=fat:reuters_annual_source_window.fat&amp;display_string=Audit&amp;DYN_ARGS=TRUE&amp;VAR:ID1=69487310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5__FDSAUDITLINK__" hidden="1">{"fdsup://IBCentral/FAT Viewer?action=UPDATE&amp;creator=factset&amp;DOC_NAME=fat:reuters_annual_source_window.fat&amp;display_string=Audit&amp;DYN_ARGS=TRUE&amp;VAR:ID1=64929510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6__FDSAUDITLINK__" hidden="1">{"fdsup://IBCentral/FAT Viewer?action=UPDATE&amp;creator=factset&amp;DOC_NAME=fat:reuters_annual_source_window.fat&amp;display_string=Audit&amp;DYN_ARGS=TRUE&amp;VAR:ID1=64929510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7__FDSAUDITLINK__" hidden="1">{"fdsup://IBCentral/FAT Viewer?action=UPDATE&amp;creator=factset&amp;DOC_NAME=fat:reuters_annual_source_window.fat&amp;display_string=Audit&amp;DYN_ARGS=TRUE&amp;VAR:ID1=64929510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8__FDSAUDITLINK__" hidden="1">{"fdsup://IBCentral/FAT Viewer?action=UPDATE&amp;creator=factset&amp;DOC_NAME=fat:reuters_annual_source_window.fat&amp;display_string=Audit&amp;DYN_ARGS=TRUE&amp;VAR:ID1=64929510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69__FDSAUDITLINK__" hidden="1">{"fdsup://IBCentral/FAT Viewer?action=UPDATE&amp;creator=factset&amp;DOC_NAME=fat:reuters_annual_source_window.fat&amp;display_string=Audit&amp;DYN_ARGS=TRUE&amp;VAR:ID1=58711810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annual_source_window.fat&amp;display_string=Audit&amp;DYN_ARGS=TRUE&amp;VAR:ID1=75102810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70__FDSAUDITLINK__" hidden="1">{"fdsup://IBCentral/FAT Viewer?action=UPDATE&amp;creator=factset&amp;DOC_NAME=fat:reuters_annual_source_window.fat&amp;display_string=Audit&amp;DYN_ARGS=TRUE&amp;VAR:ID1=58711810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1__FDSAUDITLINK__" hidden="1">{"fdsup://IBCentral/FAT Viewer?action=UPDATE&amp;creator=factset&amp;DOC_NAME=fat:reuters_annual_source_window.fat&amp;display_string=Audit&amp;DYN_ARGS=TRUE&amp;VAR:ID1=58711810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2__FDSAUDITLINK__" hidden="1">{"fdsup://IBCentral/FAT Viewer?action=UPDATE&amp;creator=factset&amp;DOC_NAME=fat:reuters_annual_source_window.fat&amp;display_string=Audit&amp;DYN_ARGS=TRUE&amp;VAR:ID1=58711810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3__FDSAUDITLINK__" hidden="1">{"fdsup://IBCentral/FAT Viewer?action=UPDATE&amp;creator=factset&amp;DOC_NAME=fat:reuters_annual_source_window.fat&amp;display_string=Audit&amp;DYN_ARGS=TRUE&amp;VAR:ID1=55002110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4__FDSAUDITLINK__" hidden="1">{"fdsup://IBCentral/FAT Viewer?action=UPDATE&amp;creator=factset&amp;DOC_NAME=fat:reuters_annual_source_window.fat&amp;display_string=Audit&amp;DYN_ARGS=TRUE&amp;VAR:ID1=55002110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5__FDSAUDITLINK__" hidden="1">{"fdsup://IBCentral/FAT Viewer?action=UPDATE&amp;creator=factset&amp;DOC_NAME=fat:reuters_annual_source_window.fat&amp;display_string=Audit&amp;DYN_ARGS=TRUE&amp;VAR:ID1=55002110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6__FDSAUDITLINK__" hidden="1">{"fdsup://IBCentral/FAT Viewer?action=UPDATE&amp;creator=factset&amp;DOC_NAME=fat:reuters_annual_source_window.fat&amp;display_string=Audit&amp;DYN_ARGS=TRUE&amp;VAR:ID1=55002110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7__FDSAUDITLINK__" hidden="1">{"fdsup://IBCentral/FAT Viewer?action=UPDATE&amp;creator=factset&amp;DOC_NAME=fat:reuters_annual_source_window.fat&amp;display_string=Audit&amp;DYN_ARGS=TRUE&amp;VAR:ID1=53271610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8__FDSAUDITLINK__" hidden="1">{"fdsup://IBCentral/FAT Viewer?action=UPDATE&amp;creator=factset&amp;DOC_NAME=fat:reuters_annual_source_window.fat&amp;display_string=Audit&amp;DYN_ARGS=TRUE&amp;VAR:ID1=53271610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79__FDSAUDITLINK__" hidden="1">{"fdsup://IBCentral/FAT Viewer?action=UPDATE&amp;creator=factset&amp;DOC_NAME=fat:reuters_annual_source_window.fat&amp;display_string=Audit&amp;DYN_ARGS=TRUE&amp;VAR:ID1=53271610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annual_source_window.fat&amp;display_string=Audit&amp;DYN_ARGS=TRUE&amp;VAR:ID1=72146710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80__FDSAUDITLINK__" hidden="1">{"fdsup://IBCentral/FAT Viewer?action=UPDATE&amp;creator=factset&amp;DOC_NAME=fat:reuters_annual_source_window.fat&amp;display_string=Audit&amp;DYN_ARGS=TRUE&amp;VAR:ID1=53271610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1__FDSAUDITLINK__" hidden="1">{"fdsup://IBCentral/FAT Viewer?action=UPDATE&amp;creator=factset&amp;DOC_NAME=fat:reuters_annual_source_window.fat&amp;display_string=Audit&amp;DYN_ARGS=TRUE&amp;VAR:ID1=48083810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2__FDSAUDITLINK__" hidden="1">{"fdsup://IBCentral/FAT Viewer?action=UPDATE&amp;creator=factset&amp;DOC_NAME=fat:reuters_annual_source_window.fat&amp;display_string=Audit&amp;DYN_ARGS=TRUE&amp;VAR:ID1=48083810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3__FDSAUDITLINK__" hidden="1">{"fdsup://IBCentral/FAT Viewer?action=UPDATE&amp;creator=factset&amp;DOC_NAME=fat:reuters_annual_source_window.fat&amp;display_string=Audit&amp;DYN_ARGS=TRUE&amp;VAR:ID1=48083810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4__FDSAUDITLINK__" hidden="1">{"fdsup://IBCentral/FAT Viewer?action=UPDATE&amp;creator=factset&amp;DOC_NAME=fat:reuters_annual_source_window.fat&amp;display_string=Audit&amp;DYN_ARGS=TRUE&amp;VAR:ID1=48083810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5__FDSAUDITLINK__" hidden="1">{"fdsup://IBCentral/FAT Viewer?action=UPDATE&amp;creator=factset&amp;DOC_NAME=fat:reuters_annual_source_window.fat&amp;display_string=Audit&amp;DYN_ARGS=TRUE&amp;VAR:ID1=46612H40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6__FDSAUDITLINK__" hidden="1">{"fdsup://IBCentral/FAT Viewer?action=UPDATE&amp;creator=factset&amp;DOC_NAME=fat:reuters_annual_source_window.fat&amp;display_string=Audit&amp;DYN_ARGS=TRUE&amp;VAR:ID1=46612H40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7__FDSAUDITLINK__" hidden="1">{"fdsup://IBCentral/FAT Viewer?action=UPDATE&amp;creator=factset&amp;DOC_NAME=fat:reuters_annual_source_window.fat&amp;display_string=Audit&amp;DYN_ARGS=TRUE&amp;VAR:ID1=46612H40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8__FDSAUDITLINK__" hidden="1">{"fdsup://IBCentral/FAT Viewer?action=UPDATE&amp;creator=factset&amp;DOC_NAME=fat:reuters_annual_source_window.fat&amp;display_string=Audit&amp;DYN_ARGS=TRUE&amp;VAR:ID1=46612H40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89__FDSAUDITLINK__" hidden="1">{"fdsup://IBCentral/FAT Viewer?action=UPDATE&amp;creator=factset&amp;DOC_NAME=fat:reuters_annual_source_window.fat&amp;display_string=Audit&amp;DYN_ARGS=TRUE&amp;VAR:ID1=44133910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annual_source_window.fat&amp;display_string=Audit&amp;DYN_ARGS=TRUE&amp;VAR:ID1=71375510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590__FDSAUDITLINK__" hidden="1">{"fdsup://IBCentral/FAT Viewer?action=UPDATE&amp;creator=factset&amp;DOC_NAME=fat:reuters_annual_source_window.fat&amp;display_string=Audit&amp;DYN_ARGS=TRUE&amp;VAR:ID1=44133910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1__FDSAUDITLINK__" hidden="1">{"fdsup://IBCentral/FAT Viewer?action=UPDATE&amp;creator=factset&amp;DOC_NAME=fat:reuters_annual_source_window.fat&amp;display_string=Audit&amp;DYN_ARGS=TRUE&amp;VAR:ID1=44133910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2__FDSAUDITLINK__" hidden="1">{"fdsup://IBCentral/FAT Viewer?action=UPDATE&amp;creator=factset&amp;DOC_NAME=fat:reuters_annual_source_window.fat&amp;display_string=Audit&amp;DYN_ARGS=TRUE&amp;VAR:ID1=44133910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3__FDSAUDITLINK__" hidden="1">{"fdsup://IBCentral/FAT Viewer?action=UPDATE&amp;creator=factset&amp;DOC_NAME=fat:reuters_annual_source_window.fat&amp;display_string=Audit&amp;DYN_ARGS=TRUE&amp;VAR:ID1=40377710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4__FDSAUDITLINK__" hidden="1">{"fdsup://IBCentral/FAT Viewer?action=UPDATE&amp;creator=factset&amp;DOC_NAME=fat:reuters_annual_source_window.fat&amp;display_string=Audit&amp;DYN_ARGS=TRUE&amp;VAR:ID1=40377710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5__FDSAUDITLINK__" hidden="1">{"fdsup://IBCentral/FAT Viewer?action=UPDATE&amp;creator=factset&amp;DOC_NAME=fat:reuters_annual_source_window.fat&amp;display_string=Audit&amp;DYN_ARGS=TRUE&amp;VAR:ID1=40377710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6__FDSAUDITLINK__" hidden="1">{"fdsup://IBCentral/FAT Viewer?action=UPDATE&amp;creator=factset&amp;DOC_NAME=fat:reuters_annual_source_window.fat&amp;display_string=Audit&amp;DYN_ARGS=TRUE&amp;VAR:ID1=40377710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7__FDSAUDITLINK__" hidden="1">{"fdsup://IBCentral/FAT Viewer?action=UPDATE&amp;creator=factset&amp;DOC_NAME=fat:reuters_annual_source_window.fat&amp;display_string=Audit&amp;DYN_ARGS=TRUE&amp;VAR:ID1=40161710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8__FDSAUDITLINK__" hidden="1">{"fdsup://IBCentral/FAT Viewer?action=UPDATE&amp;creator=factset&amp;DOC_NAME=fat:reuters_annual_source_window.fat&amp;display_string=Audit&amp;DYN_ARGS=TRUE&amp;VAR:ID1=40161710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599__FDSAUDITLINK__" hidden="1">{"fdsup://IBCentral/FAT Viewer?action=UPDATE&amp;creator=factset&amp;DOC_NAME=fat:reuters_annual_source_window.fat&amp;display_string=Audit&amp;DYN_ARGS=TRUE&amp;VAR:ID1=36476010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annual_source_window.fat&amp;display_string=Audit&amp;DYN_ARGS=TRUE&amp;VAR:ID1=88947810&amp;VAR:RCODE=TTAX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annual_source_window.fat&amp;display_string=Audit&amp;DYN_ARGS=TRUE&amp;VAR:ID1=712387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00__FDSAUDITLINK__" hidden="1">{"fdsup://IBCentral/FAT Viewer?action=UPDATE&amp;creator=factset&amp;DOC_NAME=fat:reuters_annual_source_window.fat&amp;display_string=Audit&amp;DYN_ARGS=TRUE&amp;VAR:ID1=36476010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1__FDSAUDITLINK__" hidden="1">{"fdsup://IBCentral/FAT Viewer?action=UPDATE&amp;creator=factset&amp;DOC_NAME=fat:reuters_annual_source_window.fat&amp;display_string=Audit&amp;DYN_ARGS=TRUE&amp;VAR:ID1=36476010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2__FDSAUDITLINK__" hidden="1">{"fdsup://IBCentral/FAT Viewer?action=UPDATE&amp;creator=factset&amp;DOC_NAME=fat:reuters_annual_source_window.fat&amp;display_string=Audit&amp;DYN_ARGS=TRUE&amp;VAR:ID1=36476010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3__FDSAUDITLINK__" hidden="1">{"fdsup://IBCentral/FAT Viewer?action=UPDATE&amp;creator=factset&amp;DOC_NAME=fat:reuters_annual_source_window.fat&amp;display_string=Audit&amp;DYN_ARGS=TRUE&amp;VAR:ID1=19306810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4__FDSAUDITLINK__" hidden="1">{"fdsup://IBCentral/FAT Viewer?action=UPDATE&amp;creator=factset&amp;DOC_NAME=fat:reuters_annual_source_window.fat&amp;display_string=Audit&amp;DYN_ARGS=TRUE&amp;VAR:ID1=19306810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5__FDSAUDITLINK__" hidden="1">{"fdsup://IBCentral/FAT Viewer?action=UPDATE&amp;creator=factset&amp;DOC_NAME=fat:reuters_annual_source_window.fat&amp;display_string=Audit&amp;DYN_ARGS=TRUE&amp;VAR:ID1=19306810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6__FDSAUDITLINK__" hidden="1">{"fdsup://IBCentral/FAT Viewer?action=UPDATE&amp;creator=factset&amp;DOC_NAME=fat:reuters_annual_source_window.fat&amp;display_string=Audit&amp;DYN_ARGS=TRUE&amp;VAR:ID1=19306810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7__FDSAUDITLINK__" hidden="1">{"fdsup://IBCentral/FAT Viewer?action=UPDATE&amp;creator=factset&amp;DOC_NAME=fat:reuters_annual_source_window.fat&amp;display_string=Audit&amp;DYN_ARGS=TRUE&amp;VAR:ID1=17104610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8__FDSAUDITLINK__" hidden="1">{"fdsup://IBCentral/FAT Viewer?action=UPDATE&amp;creator=factset&amp;DOC_NAME=fat:reuters_annual_source_window.fat&amp;display_string=Audit&amp;DYN_ARGS=TRUE&amp;VAR:ID1=17104610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09__FDSAUDITLINK__" hidden="1">{"fdsup://IBCentral/FAT Viewer?action=UPDATE&amp;creator=factset&amp;DOC_NAME=fat:reuters_annual_source_window.fat&amp;display_string=Audit&amp;DYN_ARGS=TRUE&amp;VAR:ID1=17104610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annual_source_window.fat&amp;display_string=Audit&amp;DYN_ARGS=TRUE&amp;VAR:ID1=63115810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10__FDSAUDITLINK__" hidden="1">{"fdsup://IBCentral/FAT Viewer?action=UPDATE&amp;creator=factset&amp;DOC_NAME=fat:reuters_annual_source_window.fat&amp;display_string=Audit&amp;DYN_ARGS=TRUE&amp;VAR:ID1=17104610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1__FDSAUDITLINK__" hidden="1">{"fdsup://IBCentral/FAT Viewer?action=UPDATE&amp;creator=factset&amp;DOC_NAME=fat:reuters_annual_source_window.fat&amp;display_string=Audit&amp;DYN_ARGS=TRUE&amp;VAR:ID1=16890510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2__FDSAUDITLINK__" hidden="1">{"fdsup://IBCentral/FAT Viewer?action=UPDATE&amp;creator=factset&amp;DOC_NAME=fat:reuters_annual_source_window.fat&amp;display_string=Audit&amp;DYN_ARGS=TRUE&amp;VAR:ID1=16890510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3__FDSAUDITLINK__" hidden="1">{"fdsup://IBCentral/FAT Viewer?action=UPDATE&amp;creator=factset&amp;DOC_NAME=fat:reuters_annual_source_window.fat&amp;display_string=Audit&amp;DYN_ARGS=TRUE&amp;VAR:ID1=16890510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4__FDSAUDITLINK__" hidden="1">{"fdsup://IBCentral/FAT Viewer?action=UPDATE&amp;creator=factset&amp;DOC_NAME=fat:reuters_annual_source_window.fat&amp;display_string=Audit&amp;DYN_ARGS=TRUE&amp;VAR:ID1=16890510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5__FDSAUDITLINK__" hidden="1">{"fdsup://IBCentral/FAT Viewer?action=UPDATE&amp;creator=factset&amp;DOC_NAME=fat:reuters_annual_source_window.fat&amp;display_string=Audit&amp;DYN_ARGS=TRUE&amp;VAR:ID1=16861510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6__FDSAUDITLINK__" hidden="1">{"fdsup://IBCentral/FAT Viewer?action=UPDATE&amp;creator=factset&amp;DOC_NAME=fat:reuters_annual_source_window.fat&amp;display_string=Audit&amp;DYN_ARGS=TRUE&amp;VAR:ID1=16861510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7__FDSAUDITLINK__" hidden="1">{"fdsup://IBCentral/FAT Viewer?action=UPDATE&amp;creator=factset&amp;DOC_NAME=fat:reuters_annual_source_window.fat&amp;display_string=Audit&amp;DYN_ARGS=TRUE&amp;VAR:ID1=16861510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8__FDSAUDITLINK__" hidden="1">{"fdsup://IBCentral/FAT Viewer?action=UPDATE&amp;creator=factset&amp;DOC_NAME=fat:reuters_annual_source_window.fat&amp;display_string=Audit&amp;DYN_ARGS=TRUE&amp;VAR:ID1=16861510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19__FDSAUDITLINK__" hidden="1">{"fdsup://IBCentral/FAT Viewer?action=UPDATE&amp;creator=factset&amp;DOC_NAME=fat:reuters_annual_source_window.fat&amp;display_string=Audit&amp;DYN_ARGS=TRUE&amp;VAR:ID1=16113310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annual_source_window.fat&amp;display_string=Audit&amp;DYN_ARGS=TRUE&amp;VAR:ID1=57978020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20__FDSAUDITLINK__" hidden="1">{"fdsup://IBCentral/FAT Viewer?action=UPDATE&amp;creator=factset&amp;DOC_NAME=fat:reuters_annual_source_window.fat&amp;display_string=Audit&amp;DYN_ARGS=TRUE&amp;VAR:ID1=16113310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1__FDSAUDITLINK__" hidden="1">{"fdsup://IBCentral/FAT Viewer?action=UPDATE&amp;creator=factset&amp;DOC_NAME=fat:reuters_annual_source_window.fat&amp;display_string=Audit&amp;DYN_ARGS=TRUE&amp;VAR:ID1=16113310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2__FDSAUDITLINK__" hidden="1">{"fdsup://IBCentral/FAT Viewer?action=UPDATE&amp;creator=factset&amp;DOC_NAME=fat:reuters_annual_source_window.fat&amp;display_string=Audit&amp;DYN_ARGS=TRUE&amp;VAR:ID1=16113310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3__FDSAUDITLINK__" hidden="1">{"fdsup://IBCentral/FAT Viewer?action=UPDATE&amp;creator=factset&amp;DOC_NAME=fat:reuters_annual_source_window.fat&amp;display_string=Audit&amp;DYN_ARGS=TRUE&amp;VAR:ID1=16104810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4__FDSAUDITLINK__" hidden="1">{"fdsup://IBCentral/FAT Viewer?action=UPDATE&amp;creator=factset&amp;DOC_NAME=fat:reuters_annual_source_window.fat&amp;display_string=Audit&amp;DYN_ARGS=TRUE&amp;VAR:ID1=16104810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5__FDSAUDITLINK__" hidden="1">{"fdsup://IBCentral/FAT Viewer?action=UPDATE&amp;creator=factset&amp;DOC_NAME=fat:reuters_annual_source_window.fat&amp;display_string=Audit&amp;DYN_ARGS=TRUE&amp;VAR:ID1=16104810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6__FDSAUDITLINK__" hidden="1">{"fdsup://IBCentral/FAT Viewer?action=UPDATE&amp;creator=factset&amp;DOC_NAME=fat:reuters_annual_source_window.fat&amp;display_string=Audit&amp;DYN_ARGS=TRUE&amp;VAR:ID1=16104810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7__FDSAUDITLINK__" hidden="1">{"fdsup://IBCentral/FAT Viewer?action=UPDATE&amp;creator=factset&amp;DOC_NAME=fat:reuters_annual_source_window.fat&amp;display_string=Audit&amp;DYN_ARGS=TRUE&amp;VAR:ID1=14871110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8__FDSAUDITLINK__" hidden="1">{"fdsup://IBCentral/FAT Viewer?action=UPDATE&amp;creator=factset&amp;DOC_NAME=fat:reuters_annual_source_window.fat&amp;display_string=Audit&amp;DYN_ARGS=TRUE&amp;VAR:ID1=14871110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29__FDSAUDITLINK__" hidden="1">{"fdsup://IBCentral/FAT Viewer?action=UPDATE&amp;creator=factset&amp;DOC_NAME=fat:reuters_annual_source_window.fat&amp;display_string=Audit&amp;DYN_ARGS=TRUE&amp;VAR:ID1=14871110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annual_source_window.fat&amp;display_string=Audit&amp;DYN_ARGS=TRUE&amp;VAR:ID1=B0B87F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30__FDSAUDITLINK__" hidden="1">{"fdsup://IBCentral/FAT Viewer?action=UPDATE&amp;creator=factset&amp;DOC_NAME=fat:reuters_annual_source_window.fat&amp;display_string=Audit&amp;DYN_ARGS=TRUE&amp;VAR:ID1=14871110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1__FDSAUDITLINK__" hidden="1">{"fdsup://IBCentral/FAT Viewer?action=UPDATE&amp;creator=factset&amp;DOC_NAME=fat:reuters_annual_source_window.fat&amp;display_string=Audit&amp;DYN_ARGS=TRUE&amp;VAR:ID1=12715030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2__FDSAUDITLINK__" hidden="1">{"fdsup://IBCentral/FAT Viewer?action=UPDATE&amp;creator=factset&amp;DOC_NAME=fat:reuters_annual_source_window.fat&amp;display_string=Audit&amp;DYN_ARGS=TRUE&amp;VAR:ID1=12715030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3__FDSAUDITLINK__" hidden="1">{"fdsup://IBCentral/FAT Viewer?action=UPDATE&amp;creator=factset&amp;DOC_NAME=fat:reuters_annual_source_window.fat&amp;display_string=Audit&amp;DYN_ARGS=TRUE&amp;VAR:ID1=11844010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4__FDSAUDITLINK__" hidden="1">{"fdsup://IBCentral/FAT Viewer?action=UPDATE&amp;creator=factset&amp;DOC_NAME=fat:reuters_annual_source_window.fat&amp;display_string=Audit&amp;DYN_ARGS=TRUE&amp;VAR:ID1=11844010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5__FDSAUDITLINK__" hidden="1">{"fdsup://IBCentral/FAT Viewer?action=UPDATE&amp;creator=factset&amp;DOC_NAME=fat:reuters_annual_source_window.fat&amp;display_string=Audit&amp;DYN_ARGS=TRUE&amp;VAR:ID1=11844010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6__FDSAUDITLINK__" hidden="1">{"fdsup://IBCentral/FAT Viewer?action=UPDATE&amp;creator=factset&amp;DOC_NAME=fat:reuters_annual_source_window.fat&amp;display_string=Audit&amp;DYN_ARGS=TRUE&amp;VAR:ID1=11844010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7__FDSAUDITLINK__" hidden="1">{"fdsup://IBCentral/FAT Viewer?action=UPDATE&amp;creator=factset&amp;DOC_NAME=fat:reuters_annual_source_window.fat&amp;display_string=Audit&amp;DYN_ARGS=TRUE&amp;VAR:ID1=07557110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8__FDSAUDITLINK__" hidden="1">{"fdsup://IBCentral/FAT Viewer?action=UPDATE&amp;creator=factset&amp;DOC_NAME=fat:reuters_annual_source_window.fat&amp;display_string=Audit&amp;DYN_ARGS=TRUE&amp;VAR:ID1=07557110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39__FDSAUDITLINK__" hidden="1">{"fdsup://IBCentral/FAT Viewer?action=UPDATE&amp;creator=factset&amp;DOC_NAME=fat:reuters_annual_source_window.fat&amp;display_string=Audit&amp;DYN_ARGS=TRUE&amp;VAR:ID1=07557110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annual_source_window.fat&amp;display_string=Audit&amp;DYN_ARGS=TRUE&amp;VAR:ID1=51460610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40__FDSAUDITLINK__" hidden="1">{"fdsup://IBCentral/FAT Viewer?action=UPDATE&amp;creator=factset&amp;DOC_NAME=fat:reuters_annual_source_window.fat&amp;display_string=Audit&amp;DYN_ARGS=TRUE&amp;VAR:ID1=07557110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1__FDSAUDITLINK__" hidden="1">{"fdsup://IBCentral/FAT Viewer?action=UPDATE&amp;creator=factset&amp;DOC_NAME=fat:reuters_annual_source_window.fat&amp;display_string=Audit&amp;DYN_ARGS=TRUE&amp;VAR:ID1=03611510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2__FDSAUDITLINK__" hidden="1">{"fdsup://IBCentral/FAT Viewer?action=UPDATE&amp;creator=factset&amp;DOC_NAME=fat:reuters_annual_source_window.fat&amp;display_string=Audit&amp;DYN_ARGS=TRUE&amp;VAR:ID1=03611510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3__FDSAUDITLINK__" hidden="1">{"fdsup://IBCentral/FAT Viewer?action=UPDATE&amp;creator=factset&amp;DOC_NAME=fat:reuters_annual_source_window.fat&amp;display_string=Audit&amp;DYN_ARGS=TRUE&amp;VAR:ID1=03611510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4__FDSAUDITLINK__" hidden="1">{"fdsup://IBCentral/FAT Viewer?action=UPDATE&amp;creator=factset&amp;DOC_NAME=fat:reuters_annual_source_window.fat&amp;display_string=Audit&amp;DYN_ARGS=TRUE&amp;VAR:ID1=03611510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5__FDSAUDITLINK__" hidden="1">{"fdsup://IBCentral/FAT Viewer?action=UPDATE&amp;creator=factset&amp;DOC_NAME=fat:reuters_annual_source_window.fat&amp;display_string=Audit&amp;DYN_ARGS=TRUE&amp;VAR:ID1=02553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6__FDSAUDITLINK__" hidden="1">{"fdsup://IBCentral/FAT Viewer?action=UPDATE&amp;creator=factset&amp;DOC_NAME=fat:reuters_annual_source_window.fat&amp;display_string=Audit&amp;DYN_ARGS=TRUE&amp;VAR:ID1=02553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7__FDSAUDITLINK__" hidden="1">{"fdsup://IBCentral/FAT Viewer?action=UPDATE&amp;creator=factset&amp;DOC_NAME=fat:reuters_annual_source_window.fat&amp;display_string=Audit&amp;DYN_ARGS=TRUE&amp;VAR:ID1=02553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8__FDSAUDITLINK__" hidden="1">{"fdsup://IBCentral/FAT Viewer?action=UPDATE&amp;creator=factset&amp;DOC_NAME=fat:reuters_annual_source_window.fat&amp;display_string=Audit&amp;DYN_ARGS=TRUE&amp;VAR:ID1=02553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49__FDSAUDITLINK__" hidden="1">{"fdsup://IBCentral/FAT Viewer?action=UPDATE&amp;creator=factset&amp;DOC_NAME=fat:reuters_annual_source_window.fat&amp;display_string=Audit&amp;DYN_ARGS=TRUE&amp;VAR:ID1=00786510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annual_source_window.fat&amp;display_string=Audit&amp;DYN_ARGS=TRUE&amp;VAR:ID1=50075N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50__FDSAUDITLINK__" hidden="1">{"fdsup://IBCentral/FAT Viewer?action=UPDATE&amp;creator=factset&amp;DOC_NAME=fat:reuters_annual_source_window.fat&amp;display_string=Audit&amp;DYN_ARGS=TRUE&amp;VAR:ID1=00786510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1__FDSAUDITLINK__" hidden="1">{"fdsup://IBCentral/FAT Viewer?action=UPDATE&amp;creator=factset&amp;DOC_NAME=fat:reuters_annual_source_window.fat&amp;display_string=Audit&amp;DYN_ARGS=TRUE&amp;VAR:ID1=00786510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2__FDSAUDITLINK__" hidden="1">{"fdsup://IBCentral/FAT Viewer?action=UPDATE&amp;creator=factset&amp;DOC_NAME=fat:reuters_annual_source_window.fat&amp;display_string=Audit&amp;DYN_ARGS=TRUE&amp;VAR:ID1=00786510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3__FDSAUDITLINK__" hidden="1">{"fdsup://IBCentral/FAT Viewer?action=UPDATE&amp;creator=factset&amp;DOC_NAME=fat:reuters_annual_source_window.fat&amp;display_string=Audit&amp;DYN_ARGS=TRUE&amp;VAR:ID1=00289620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4__FDSAUDITLINK__" hidden="1">{"fdsup://IBCentral/FAT Viewer?action=UPDATE&amp;creator=factset&amp;DOC_NAME=fat:reuters_annual_source_window.fat&amp;display_string=Audit&amp;DYN_ARGS=TRUE&amp;VAR:ID1=00289620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5__FDSAUDITLINK__" hidden="1">{"fdsup://IBCentral/FAT Viewer?action=UPDATE&amp;creator=factset&amp;DOC_NAME=fat:reuters_annual_source_window.fat&amp;display_string=Audit&amp;DYN_ARGS=TRUE&amp;VAR:ID1=00289620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6__FDSAUDITLINK__" hidden="1">{"fdsup://IBCentral/FAT Viewer?action=UPDATE&amp;creator=factset&amp;DOC_NAME=fat:reuters_annual_source_window.fat&amp;display_string=Audit&amp;DYN_ARGS=TRUE&amp;VAR:ID1=00289620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7__FDSAUDITLINK__" hidden="1">{"fdsup://IBCentral/FAT Viewer?action=UPDATE&amp;creator=factset&amp;DOC_NAME=fat:reuters_annual_source_window.fat&amp;display_string=Audit&amp;DYN_ARGS=TRUE&amp;VAR:ID1=92864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8__FDSAUDITLINK__" hidden="1">{"fdsup://IBCentral/FAT Viewer?action=UPDATE&amp;creator=factset&amp;DOC_NAME=fat:reuters_annual_source_window.fat&amp;display_string=Audit&amp;DYN_ARGS=TRUE&amp;VAR:ID1=92864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59__FDSAUDITLINK__" hidden="1">{"fdsup://IBCentral/FAT Viewer?action=UPDATE&amp;creator=factset&amp;DOC_NAME=fat:reuters_annual_source_window.fat&amp;display_string=Audit&amp;DYN_ARGS=TRUE&amp;VAR:ID1=92864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annual_source_window.fat&amp;display_string=Audit&amp;DYN_ARGS=TRUE&amp;VAR:ID1=48783610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60__FDSAUDITLINK__" hidden="1">{"fdsup://IBCentral/FAT Viewer?action=UPDATE&amp;creator=factset&amp;DOC_NAME=fat:reuters_annual_source_window.fat&amp;display_string=Audit&amp;DYN_ARGS=TRUE&amp;VAR:ID1=92864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1__FDSAUDITLINK__" hidden="1">{"fdsup://IBCentral/FAT Viewer?action=UPDATE&amp;creator=factset&amp;DOC_NAME=fat:reuters_annual_source_window.fat&amp;display_string=Audit&amp;DYN_ARGS=TRUE&amp;VAR:ID1=90431110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2__FDSAUDITLINK__" hidden="1">{"fdsup://IBCentral/FAT Viewer?action=UPDATE&amp;creator=factset&amp;DOC_NAME=fat:reuters_annual_source_window.fat&amp;display_string=Audit&amp;DYN_ARGS=TRUE&amp;VAR:ID1=90431110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3__FDSAUDITLINK__" hidden="1">{"fdsup://IBCentral/FAT Viewer?action=UPDATE&amp;creator=factset&amp;DOC_NAME=fat:reuters_annual_source_window.fat&amp;display_string=Audit&amp;DYN_ARGS=TRUE&amp;VAR:ID1=90431110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4__FDSAUDITLINK__" hidden="1">{"fdsup://IBCentral/FAT Viewer?action=UPDATE&amp;creator=factset&amp;DOC_NAME=fat:reuters_annual_source_window.fat&amp;display_string=Audit&amp;DYN_ARGS=TRUE&amp;VAR:ID1=90431110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5__FDSAUDITLINK__" hidden="1">{"fdsup://IBCentral/FAT Viewer?action=UPDATE&amp;creator=factset&amp;DOC_NAME=fat:reuters_annual_source_window.fat&amp;display_string=Audit&amp;DYN_ARGS=TRUE&amp;VAR:ID1=88710010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6__FDSAUDITLINK__" hidden="1">{"fdsup://IBCentral/FAT Viewer?action=UPDATE&amp;creator=factset&amp;DOC_NAME=fat:reuters_annual_source_window.fat&amp;display_string=Audit&amp;DYN_ARGS=TRUE&amp;VAR:ID1=88710010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7__FDSAUDITLINK__" hidden="1">{"fdsup://IBCentral/FAT Viewer?action=UPDATE&amp;creator=factset&amp;DOC_NAME=fat:reuters_annual_source_window.fat&amp;display_string=Audit&amp;DYN_ARGS=TRUE&amp;VAR:ID1=88710010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8__FDSAUDITLINK__" hidden="1">{"fdsup://IBCentral/FAT Viewer?action=UPDATE&amp;creator=factset&amp;DOC_NAME=fat:reuters_annual_source_window.fat&amp;display_string=Audit&amp;DYN_ARGS=TRUE&amp;VAR:ID1=88710010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69__FDSAUDITLINK__" hidden="1">{"fdsup://IBCentral/FAT Viewer?action=UPDATE&amp;creator=factset&amp;DOC_NAME=fat:reuters_annual_source_window.fat&amp;display_string=Audit&amp;DYN_ARGS=TRUE&amp;VAR:ID1=74838C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annual_source_window.fat&amp;display_string=Audit&amp;DYN_ARGS=TRUE&amp;VAR:ID1=83269640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70__FDSAUDITLINK__" hidden="1">{"fdsup://IBCentral/FAT Viewer?action=UPDATE&amp;creator=factset&amp;DOC_NAME=fat:reuters_annual_source_window.fat&amp;display_string=Audit&amp;DYN_ARGS=TRUE&amp;VAR:ID1=74838C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1__FDSAUDITLINK__" hidden="1">{"fdsup://IBCentral/FAT Viewer?action=UPDATE&amp;creator=factset&amp;DOC_NAME=fat:reuters_annual_source_window.fat&amp;display_string=Audit&amp;DYN_ARGS=TRUE&amp;VAR:ID1=74838C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2__FDSAUDITLINK__" hidden="1">{"fdsup://IBCentral/FAT Viewer?action=UPDATE&amp;creator=factset&amp;DOC_NAME=fat:reuters_annual_source_window.fat&amp;display_string=Audit&amp;DYN_ARGS=TRUE&amp;VAR:ID1=74838C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3__FDSAUDITLINK__" hidden="1">{"fdsup://IBCentral/FAT Viewer?action=UPDATE&amp;creator=factset&amp;DOC_NAME=fat:reuters_annual_source_window.fat&amp;display_string=Audit&amp;DYN_ARGS=TRUE&amp;VAR:ID1=506472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674__FDSAUDITLINK__" hidden="1">{"fdsup://IBCentral/FAT Viewer?action=UPDATE&amp;creator=factset&amp;DOC_NAME=fat:reuters_annual_source_window.fat&amp;display_string=Audit&amp;DYN_ARGS=TRUE&amp;VAR:ID1=506472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675__FDSAUDITLINK__" hidden="1">{"fdsup://IBCentral/FAT Viewer?action=UPDATE&amp;creator=factset&amp;DOC_NAME=fat:reuters_annual_source_window.fat&amp;display_string=Audit&amp;DYN_ARGS=TRUE&amp;VAR:ID1=506472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676__FDSAUDITLINK__" hidden="1">{"fdsup://IBCentral/FAT Viewer?action=UPDATE&amp;creator=factset&amp;DOC_NAME=fat:reuters_annual_source_window.fat&amp;display_string=Audit&amp;DYN_ARGS=TRUE&amp;VAR:ID1=506472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1677__FDSAUDITLINK__" hidden="1">{"fdsup://IBCentral/FAT Viewer?action=UPDATE&amp;creator=factset&amp;DOC_NAME=fat:reuters_annual_source_window.fat&amp;display_string=Audit&amp;DYN_ARGS=TRUE&amp;VAR:ID1=65410610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8__FDSAUDITLINK__" hidden="1">{"fdsup://IBCentral/FAT Viewer?action=UPDATE&amp;creator=factset&amp;DOC_NAME=fat:reuters_annual_source_window.fat&amp;display_string=Audit&amp;DYN_ARGS=TRUE&amp;VAR:ID1=65410610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79__FDSAUDITLINK__" hidden="1">{"fdsup://IBCentral/FAT Viewer?action=UPDATE&amp;creator=factset&amp;DOC_NAME=fat:reuters_annual_source_window.fat&amp;display_string=Audit&amp;DYN_ARGS=TRUE&amp;VAR:ID1=65410610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annual_source_window.fat&amp;display_string=Audit&amp;DYN_ARGS=TRUE&amp;VAR:ID1=44045210&amp;VAR:RCODE=TTAX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80__FDSAUDITLINK__" hidden="1">{"fdsup://IBCentral/FAT Viewer?action=UPDATE&amp;creator=factset&amp;DOC_NAME=fat:reuters_annual_source_window.fat&amp;display_string=Audit&amp;DYN_ARGS=TRUE&amp;VAR:ID1=65410610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1__FDSAUDITLINK__" hidden="1">{"fdsup://IBCentral/FAT Viewer?action=UPDATE&amp;creator=factset&amp;DOC_NAME=fat:reuters_annual_source_window.fat&amp;display_string=Audit&amp;DYN_ARGS=TRUE&amp;VAR:ID1=48268610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2__FDSAUDITLINK__" hidden="1">{"fdsup://IBCentral/FAT Viewer?action=UPDATE&amp;creator=factset&amp;DOC_NAME=fat:reuters_annual_source_window.fat&amp;display_string=Audit&amp;DYN_ARGS=TRUE&amp;VAR:ID1=48268610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3__FDSAUDITLINK__" hidden="1">{"fdsup://IBCentral/FAT Viewer?action=UPDATE&amp;creator=factset&amp;DOC_NAME=fat:reuters_annual_source_window.fat&amp;display_string=Audit&amp;DYN_ARGS=TRUE&amp;VAR:ID1=48268610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4__FDSAUDITLINK__" hidden="1">{"fdsup://IBCentral/FAT Viewer?action=UPDATE&amp;creator=factset&amp;DOC_NAME=fat:reuters_annual_source_window.fat&amp;display_string=Audit&amp;DYN_ARGS=TRUE&amp;VAR:ID1=48268610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5__FDSAUDITLINK__" hidden="1">{"fdsup://IBCentral/FAT Viewer?action=UPDATE&amp;creator=factset&amp;DOC_NAME=fat:reuters_annual_source_window.fat&amp;display_string=Audit&amp;DYN_ARGS=TRUE&amp;VAR:ID1=19851610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6__FDSAUDITLINK__" hidden="1">{"fdsup://IBCentral/FAT Viewer?action=UPDATE&amp;creator=factset&amp;DOC_NAME=fat:reuters_annual_source_window.fat&amp;display_string=Audit&amp;DYN_ARGS=TRUE&amp;VAR:ID1=19851610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7__FDSAUDITLINK__" hidden="1">{"fdsup://IBCentral/FAT Viewer?action=UPDATE&amp;creator=factset&amp;DOC_NAME=fat:reuters_annual_source_window.fat&amp;display_string=Audit&amp;DYN_ARGS=TRUE&amp;VAR:ID1=93439040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8__FDSAUDITLINK__" hidden="1">{"fdsup://IBCentral/FAT Viewer?action=UPDATE&amp;creator=factset&amp;DOC_NAME=fat:reuters_annual_source_window.fat&amp;display_string=Audit&amp;DYN_ARGS=TRUE&amp;VAR:ID1=93439040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89__FDSAUDITLINK__" hidden="1">{"fdsup://IBCentral/FAT Viewer?action=UPDATE&amp;creator=factset&amp;DOC_NAME=fat:reuters_annual_source_window.fat&amp;display_string=Audit&amp;DYN_ARGS=TRUE&amp;VAR:ID1=91820410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annual_source_window.fat&amp;display_string=Audit&amp;DYN_ARGS=TRUE&amp;VAR:ID1=42786610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690__FDSAUDITLINK__" hidden="1">{"fdsup://IBCentral/FAT Viewer?action=UPDATE&amp;creator=factset&amp;DOC_NAME=fat:reuters_annual_source_window.fat&amp;display_string=Audit&amp;DYN_ARGS=TRUE&amp;VAR:ID1=91820410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1__FDSAUDITLINK__" hidden="1">{"fdsup://IBCentral/FAT Viewer?action=UPDATE&amp;creator=factset&amp;DOC_NAME=fat:reuters_annual_source_window.fat&amp;display_string=Audit&amp;DYN_ARGS=TRUE&amp;VAR:ID1=91820410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2__FDSAUDITLINK__" hidden="1">{"fdsup://IBCentral/FAT Viewer?action=UPDATE&amp;creator=factset&amp;DOC_NAME=fat:reuters_annual_source_window.fat&amp;display_string=Audit&amp;DYN_ARGS=TRUE&amp;VAR:ID1=91820410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3__FDSAUDITLINK__" hidden="1">{"fdsup://IBCentral/FAT Viewer?action=UPDATE&amp;creator=factset&amp;DOC_NAME=fat:reuters_annual_source_window.fat&amp;display_string=Audit&amp;DYN_ARGS=TRUE&amp;VAR:ID1=73157210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4__FDSAUDITLINK__" hidden="1">{"fdsup://IBCentral/FAT Viewer?action=UPDATE&amp;creator=factset&amp;DOC_NAME=fat:reuters_annual_source_window.fat&amp;display_string=Audit&amp;DYN_ARGS=TRUE&amp;VAR:ID1=73157210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5__FDSAUDITLINK__" hidden="1">{"fdsup://IBCentral/FAT Viewer?action=UPDATE&amp;creator=factset&amp;DOC_NAME=fat:reuters_annual_source_window.fat&amp;display_string=Audit&amp;DYN_ARGS=TRUE&amp;VAR:ID1=73157210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6__FDSAUDITLINK__" hidden="1">{"fdsup://IBCentral/FAT Viewer?action=UPDATE&amp;creator=factset&amp;DOC_NAME=fat:reuters_annual_source_window.fat&amp;display_string=Audit&amp;DYN_ARGS=TRUE&amp;VAR:ID1=73157210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7__FDSAUDITLINK__" hidden="1">{"fdsup://IBCentral/FAT Viewer?action=UPDATE&amp;creator=factset&amp;DOC_NAME=fat:reuters_annual_source_window.fat&amp;display_string=Audit&amp;DYN_ARGS=TRUE&amp;VAR:ID1=71859210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8__FDSAUDITLINK__" hidden="1">{"fdsup://IBCentral/FAT Viewer?action=UPDATE&amp;creator=factset&amp;DOC_NAME=fat:reuters_annual_source_window.fat&amp;display_string=Audit&amp;DYN_ARGS=TRUE&amp;VAR:ID1=71859210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699__FDSAUDITLINK__" hidden="1">{"fdsup://IBCentral/FAT Viewer?action=UPDATE&amp;creator=factset&amp;DOC_NAME=fat:reuters_annual_source_window.fat&amp;display_string=Audit&amp;DYN_ARGS=TRUE&amp;VAR:ID1=71859210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annual_source_window.fat&amp;display_string=Audit&amp;DYN_ARGS=TRUE&amp;VAR:ID1=48666K10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source_window.fat&amp;display_string=Audit&amp;DYN_ARGS=TRUE&amp;VAR:ID1=42307410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00__FDSAUDITLINK__" hidden="1">{"fdsup://IBCentral/FAT Viewer?action=UPDATE&amp;creator=factset&amp;DOC_NAME=fat:reuters_annual_source_window.fat&amp;display_string=Audit&amp;DYN_ARGS=TRUE&amp;VAR:ID1=71859210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1__FDSAUDITLINK__" hidden="1">{"fdsup://IBCentral/FAT Viewer?action=UPDATE&amp;creator=factset&amp;DOC_NAME=fat:reuters_annual_source_window.fat&amp;display_string=Audit&amp;DYN_ARGS=TRUE&amp;VAR:ID1=28885310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2__FDSAUDITLINK__" hidden="1">{"fdsup://IBCentral/FAT Viewer?action=UPDATE&amp;creator=factset&amp;DOC_NAME=fat:reuters_annual_source_window.fat&amp;display_string=Audit&amp;DYN_ARGS=TRUE&amp;VAR:ID1=28885310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3__FDSAUDITLINK__" hidden="1">{"fdsup://IBCentral/FAT Viewer?action=UPDATE&amp;creator=factset&amp;DOC_NAME=fat:reuters_annual_source_window.fat&amp;display_string=Audit&amp;DYN_ARGS=TRUE&amp;VAR:ID1=28885310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4__FDSAUDITLINK__" hidden="1">{"fdsup://IBCentral/FAT Viewer?action=UPDATE&amp;creator=factset&amp;DOC_NAME=fat:reuters_annual_source_window.fat&amp;display_string=Audit&amp;DYN_ARGS=TRUE&amp;VAR:ID1=28885310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5__FDSAUDITLINK__" hidden="1">{"fdsup://IBCentral/FAT Viewer?action=UPDATE&amp;creator=factset&amp;DOC_NAME=fat:reuters_annual_source_window.fat&amp;display_string=Audit&amp;DYN_ARGS=TRUE&amp;VAR:ID1=69149730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6__FDSAUDITLINK__" hidden="1">{"fdsup://IBCentral/FAT Viewer?action=UPDATE&amp;creator=factset&amp;DOC_NAME=fat:reuters_annual_source_window.fat&amp;display_string=Audit&amp;DYN_ARGS=TRUE&amp;VAR:ID1=69149730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7__FDSAUDITLINK__" hidden="1">{"fdsup://IBCentral/FAT Viewer?action=UPDATE&amp;creator=factset&amp;DOC_NAME=fat:reuters_annual_source_window.fat&amp;display_string=Audit&amp;DYN_ARGS=TRUE&amp;VAR:ID1=69149730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8__FDSAUDITLINK__" hidden="1">{"fdsup://IBCentral/FAT Viewer?action=UPDATE&amp;creator=factset&amp;DOC_NAME=fat:reuters_annual_source_window.fat&amp;display_string=Audit&amp;DYN_ARGS=TRUE&amp;VAR:ID1=69149730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09__FDSAUDITLINK__" hidden="1">{"fdsup://IBCentral/FAT Viewer?action=UPDATE&amp;creator=factset&amp;DOC_NAME=fat:reuters_annual_source_window.fat&amp;display_string=Audit&amp;DYN_ARGS=TRUE&amp;VAR:ID1=48804410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annual_source_window.fat&amp;display_string=Audit&amp;DYN_ARGS=TRUE&amp;VAR:ID1=40521710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10__FDSAUDITLINK__" hidden="1">{"fdsup://IBCentral/FAT Viewer?action=UPDATE&amp;creator=factset&amp;DOC_NAME=fat:reuters_annual_source_window.fat&amp;display_string=Audit&amp;DYN_ARGS=TRUE&amp;VAR:ID1=48804410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1__FDSAUDITLINK__" hidden="1">{"fdsup://IBCentral/FAT Viewer?action=UPDATE&amp;creator=factset&amp;DOC_NAME=fat:reuters_annual_source_window.fat&amp;display_string=Audit&amp;DYN_ARGS=TRUE&amp;VAR:ID1=48804410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2__FDSAUDITLINK__" hidden="1">{"fdsup://IBCentral/FAT Viewer?action=UPDATE&amp;creator=factset&amp;DOC_NAME=fat:reuters_annual_source_window.fat&amp;display_string=Audit&amp;DYN_ARGS=TRUE&amp;VAR:ID1=48804410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3__FDSAUDITLINK__" hidden="1">{"fdsup://IBCentral/FAT Viewer?action=UPDATE&amp;creator=factset&amp;DOC_NAME=fat:reuters_annual_source_window.fat&amp;display_string=Audit&amp;DYN_ARGS=TRUE&amp;VAR:ID1=45105510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4__FDSAUDITLINK__" hidden="1">{"fdsup://IBCentral/FAT Viewer?action=UPDATE&amp;creator=factset&amp;DOC_NAME=fat:reuters_annual_source_window.fat&amp;display_string=Audit&amp;DYN_ARGS=TRUE&amp;VAR:ID1=45105510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5__FDSAUDITLINK__" hidden="1">{"fdsup://IBCentral/FAT Viewer?action=UPDATE&amp;creator=factset&amp;DOC_NAME=fat:reuters_annual_source_window.fat&amp;display_string=Audit&amp;DYN_ARGS=TRUE&amp;VAR:ID1=48007410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6__FDSAUDITLINK__" hidden="1">{"fdsup://IBCentral/FAT Viewer?action=UPDATE&amp;creator=factset&amp;DOC_NAME=fat:reuters_annual_source_window.fat&amp;display_string=Audit&amp;DYN_ARGS=TRUE&amp;VAR:ID1=48007410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7__FDSAUDITLINK__" hidden="1">{"fdsup://IBCentral/FAT Viewer?action=UPDATE&amp;creator=factset&amp;DOC_NAME=fat:reuters_annual_source_window.fat&amp;display_string=Audit&amp;DYN_ARGS=TRUE&amp;VAR:ID1=48007410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8__FDSAUDITLINK__" hidden="1">{"fdsup://IBCentral/FAT Viewer?action=UPDATE&amp;creator=factset&amp;DOC_NAME=fat:reuters_annual_source_window.fat&amp;display_string=Audit&amp;DYN_ARGS=TRUE&amp;VAR:ID1=48007410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19__FDSAUDITLINK__" hidden="1">{"fdsup://IBCentral/FAT Viewer?action=UPDATE&amp;creator=factset&amp;DOC_NAME=fat:reuters_annual_source_window.fat&amp;display_string=Audit&amp;DYN_ARGS=TRUE&amp;VAR:ID1=41711910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annual_source_window.fat&amp;display_string=Audit&amp;DYN_ARGS=TRUE&amp;VAR:ID1=239247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720__FDSAUDITLINK__" hidden="1">{"fdsup://IBCentral/FAT Viewer?action=UPDATE&amp;creator=factset&amp;DOC_NAME=fat:reuters_annual_source_window.fat&amp;display_string=Audit&amp;DYN_ARGS=TRUE&amp;VAR:ID1=41711910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1__FDSAUDITLINK__" hidden="1">{"fdsup://IBCentral/FAT Viewer?action=UPDATE&amp;creator=factset&amp;DOC_NAME=fat:reuters_annual_source_window.fat&amp;display_string=Audit&amp;DYN_ARGS=TRUE&amp;VAR:ID1=41711910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2__FDSAUDITLINK__" hidden="1">{"fdsup://IBCentral/FAT Viewer?action=UPDATE&amp;creator=factset&amp;DOC_NAME=fat:reuters_annual_source_window.fat&amp;display_string=Audit&amp;DYN_ARGS=TRUE&amp;VAR:ID1=41711910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3__FDSAUDITLINK__" hidden="1">{"fdsup://IBCentral/FAT Viewer?action=UPDATE&amp;creator=factset&amp;DOC_NAME=fat:reuters_annual_source_window.fat&amp;display_string=Audit&amp;DYN_ARGS=TRUE&amp;VAR:ID1=41034510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4__FDSAUDITLINK__" hidden="1">{"fdsup://IBCentral/FAT Viewer?action=UPDATE&amp;creator=factset&amp;DOC_NAME=fat:reuters_annual_source_window.fat&amp;display_string=Audit&amp;DYN_ARGS=TRUE&amp;VAR:ID1=41034510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5__FDSAUDITLINK__" hidden="1">{"fdsup://IBCentral/FAT Viewer?action=UPDATE&amp;creator=factset&amp;DOC_NAME=fat:reuters_annual_source_window.fat&amp;display_string=Audit&amp;DYN_ARGS=TRUE&amp;VAR:ID1=41034510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6__FDSAUDITLINK__" hidden="1">{"fdsup://IBCentral/FAT Viewer?action=UPDATE&amp;creator=factset&amp;DOC_NAME=fat:reuters_annual_source_window.fat&amp;display_string=Audit&amp;DYN_ARGS=TRUE&amp;VAR:ID1=41034510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7__FDSAUDITLINK__" hidden="1">{"fdsup://IBCentral/FAT Viewer?action=UPDATE&amp;creator=factset&amp;DOC_NAME=fat:reuters_annual_source_window.fat&amp;display_string=Audit&amp;DYN_ARGS=TRUE&amp;VAR:ID1=18975410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8__FDSAUDITLINK__" hidden="1">{"fdsup://IBCentral/FAT Viewer?action=UPDATE&amp;creator=factset&amp;DOC_NAME=fat:reuters_annual_source_window.fat&amp;display_string=Audit&amp;DYN_ARGS=TRUE&amp;VAR:ID1=18975410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29__FDSAUDITLINK__" hidden="1">{"fdsup://IBCentral/FAT Viewer?action=UPDATE&amp;creator=factset&amp;DOC_NAME=fat:reuters_annual_source_window.fat&amp;display_string=Audit&amp;DYN_ARGS=TRUE&amp;VAR:ID1=18975410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annual_source_window.fat&amp;display_string=Audit&amp;DYN_ARGS=TRUE&amp;VAR:ID1=37033410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30__FDSAUDITLINK__" hidden="1">{"fdsup://IBCentral/FAT Viewer?action=UPDATE&amp;creator=factset&amp;DOC_NAME=fat:reuters_annual_source_window.fat&amp;display_string=Audit&amp;DYN_ARGS=TRUE&amp;VAR:ID1=18975410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1__FDSAUDITLINK__" hidden="1">{"fdsup://IBCentral/FAT Viewer?action=UPDATE&amp;creator=factset&amp;DOC_NAME=fat:reuters_annual_source_window.fat&amp;display_string=Audit&amp;DYN_ARGS=TRUE&amp;VAR:ID1=14622910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2__FDSAUDITLINK__" hidden="1">{"fdsup://IBCentral/FAT Viewer?action=UPDATE&amp;creator=factset&amp;DOC_NAME=fat:reuters_annual_source_window.fat&amp;display_string=Audit&amp;DYN_ARGS=TRUE&amp;VAR:ID1=14622910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3__FDSAUDITLINK__" hidden="1">{"fdsup://IBCentral/FAT Viewer?action=UPDATE&amp;creator=factset&amp;DOC_NAME=fat:reuters_annual_source_window.fat&amp;display_string=Audit&amp;DYN_ARGS=TRUE&amp;VAR:ID1=04516H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4__FDSAUDITLINK__" hidden="1">{"fdsup://IBCentral/FAT Viewer?action=UPDATE&amp;creator=factset&amp;DOC_NAME=fat:reuters_annual_source_window.fat&amp;display_string=Audit&amp;DYN_ARGS=TRUE&amp;VAR:ID1=04516H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5__FDSAUDITLINK__" hidden="1">{"fdsup://IBCentral/FAT Viewer?action=UPDATE&amp;creator=factset&amp;DOC_NAME=fat:reuters_annual_source_window.fat&amp;display_string=Audit&amp;DYN_ARGS=TRUE&amp;VAR:ID1=04516H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36__FDSAUDITLINK__" hidden="1">{"fdsup://IBCentral/FAT Viewer?action=UPDATE&amp;creator=factset&amp;DOC_NAME=fat:reuters_annual_source_window.fat&amp;display_string=Audit&amp;DYN_ARGS=TRUE&amp;VAR:ID1=04516H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annual_source_window.fat&amp;display_string=Audit&amp;DYN_ARGS=TRUE&amp;VAR:ID1=G3673810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annual_source_window.fat&amp;display_string=Audit&amp;DYN_ARGS=TRUE&amp;VAR:ID1=34349810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annual_source_window.fat&amp;display_string=Audit&amp;DYN_ARGS=TRUE&amp;VAR:ID1=24522P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annual_source_window.fat&amp;display_string=Audit&amp;DYN_ARGS=TRUE&amp;VAR:ID1=24237010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annual_source_window.fat&amp;display_string=Audit&amp;DYN_ARGS=TRUE&amp;VAR:ID1=21902310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annual_source_window.fat&amp;display_string=Audit&amp;DYN_ARGS=TRUE&amp;VAR:ID1=20588710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annual_source_window.fat&amp;display_string=Audit&amp;DYN_ARGS=TRUE&amp;VAR:ID1=52605710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annual_source_window.fat&amp;display_string=Audit&amp;DYN_ARGS=TRUE&amp;VAR:ID1=17003280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annual_source_window.fat&amp;display_string=Audit&amp;DYN_ARGS=TRUE&amp;VAR:ID1=13442910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annual_source_window.fat&amp;display_string=Audit&amp;DYN_ARGS=TRUE&amp;VAR:ID1=061070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annual_source_window.fat&amp;display_string=Audit&amp;DYN_ARGS=TRUE&amp;VAR:ID1=G1696210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source_window.fat&amp;display_string=Audit&amp;DYN_ARGS=TRUE&amp;VAR:ID1=38724Q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annual_source_window.fat&amp;display_string=Audit&amp;DYN_ARGS=TRUE&amp;VAR:ID1=05508R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03948310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88706M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85524410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70556010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annual_source_window.fat&amp;display_string=Audit&amp;DYN_ARGS=TRUE&amp;VAR:ID1=15231210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source_window.fat&amp;display_string=Audit&amp;DYN_ARGS=TRUE&amp;VAR:ID1=39312210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annual_source_window.fat&amp;display_string=Audit&amp;DYN_ARGS=TRUE&amp;VAR:ID1=14204220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30700010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source_window.fat&amp;display_string=Audit&amp;DYN_ARGS=TRUE&amp;VAR:ID1=25674710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annual_source_window.fat&amp;display_string=Audit&amp;DYN_ARGS=TRUE&amp;VAR:ID1=65440K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annual_source_window.fat&amp;display_string=Audit&amp;DYN_ARGS=TRUE&amp;VAR:ID1=93114210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annual_source_window.fat&amp;display_string=Audit&amp;DYN_ARGS=TRUE&amp;VAR:ID1=87612E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22160K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annual_source_window.fat&amp;display_string=Audit&amp;DYN_ARGS=TRUE&amp;VAR:ID1=20444930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annual_source_window.fat&amp;display_string=Audit&amp;DYN_ARGS=TRUE&amp;VAR:ID1=05548J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__FDSAUDITLINK__" hidden="1">{"fdsup://directions/FAT Viewer?action=UPDATE&amp;creator=factset&amp;DYN_ARGS=TRUE&amp;DOC_NAME=FAT:FQL_AUDITING_CLIENT_TEMPLATE.FAT&amp;display_string=Audit&amp;VAR:KEY=DMNKBCRSPI&amp;VAR:QUERY=KEZGX0RFQlRfTFQoUVRSLDAsLCwsVVNEKUBGRl9ERUJUX0xUKEFOTiwwLCwsLFVTRCkp&amp;WINDOW=FIRST_POP","UP&amp;HEIGHT=450&amp;WIDTH=450&amp;START_MAXIMIZED=FALSE&amp;VAR:CALENDAR=US&amp;VAR:SYMBOL=NOK&amp;VAR:INDEX=0"}</definedName>
    <definedName name="_20__FDSAUDITLINK__" hidden="1">{"fdsup://IBCentral/FAT Viewer?action=UPDATE&amp;creator=factset&amp;DOC_NAME=fat:reuters_annual_source_window.fat&amp;display_string=Audit&amp;DYN_ARGS=TRUE&amp;VAR:ID1=74586710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69865710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86923310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201164&amp;VAR:RCODE=TTAX&amp;VAR:SDATE=20070499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14752810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93142210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annual_source_window.fat&amp;display_string=Audit&amp;DYN_ARGS=TRUE&amp;VAR:ID1=76775410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annual_source_window.fat&amp;display_string=Audit&amp;DYN_ARGS=TRUE&amp;VAR:ID1=54316210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12665010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annual_source_window.fat&amp;display_string=Audit&amp;DYN_ARGS=TRUE&amp;VAR:ID1=96683710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annual_source_window.fat&amp;display_string=Audit&amp;DYN_ARGS=TRUE&amp;VAR:ID1=282119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23331A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258395&amp;VAR:RCODE=TTAX&amp;VAR:SDATE=20070999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source_window.fat&amp;display_string=Audit&amp;DYN_ARGS=TRUE&amp;VAR:ID1=252180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annual_source_window.fat&amp;display_string=Audit&amp;DYN_ARGS=TRUE&amp;VAR:ID1=247154&amp;VAR:RCODE=TTAX&amp;VAR:SDATE=20070599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088470&amp;VAR:RCODE=TTAX&amp;VAR:SDATE=20070299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B019KW&amp;VAR:RCODE=TTAX&amp;VAR:SDATE=20070399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ource_window.fat&amp;display_string=Audit&amp;DYN_ARGS=TRUE&amp;VAR:ID1=97428030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ource_window.fat&amp;display_string=Audit&amp;DYN_ARGS=TRUE&amp;VAR:ID1=94884910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92710740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84682210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78125810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61943010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70322A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45703010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annual_source_window.fat&amp;display_string=Audit&amp;DYN_ARGS=TRUE&amp;VAR:ID1=39006410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86853610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annual_source_window.fat&amp;display_string=Audit&amp;DYN_ARGS=TRUE&amp;VAR:ID1=78651420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annual_source_window.fat&amp;display_string=Audit&amp;DYN_ARGS=TRUE&amp;VAR:ID1=74466310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annual_source_window.fat&amp;display_string=Audit&amp;DYN_ARGS=TRUE&amp;VAR:ID1=50104410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87254010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annual_source_window.fat&amp;display_string=Audit&amp;DYN_ARGS=TRUE&amp;VAR:ID1=87155110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annual_source_window.fat&amp;display_string=Audit&amp;DYN_ARGS=TRUE&amp;VAR:ID1=26157010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78333210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17306X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annual_source_window.fat&amp;display_string=Audit&amp;DYN_ARGS=TRUE&amp;VAR:ID1=08930210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annual_source_window.fat&amp;display_string=Audit&amp;DYN_ARGS=TRUE&amp;VAR:ID1=81235010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79377W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annual_source_window.fat&amp;display_string=Audit&amp;DYN_ARGS=TRUE&amp;VAR:ID1=65566410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55616P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70816010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38348510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25406710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09776J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67082310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annual_source_window.fat&amp;display_string=Audit&amp;DYN_ARGS=TRUE&amp;VAR:ID1=76774410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1__FDSAUDITLINK__" hidden="1">{"fdsup://IBCentral/FAT Viewer?action=UPDATE&amp;creator=factset&amp;DOC_NAME=fat:reuters_annual_source_window.fat&amp;display_string=Audit&amp;DYN_ARGS=TRUE&amp;VAR:ID1=61023610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59562610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annual_source_window.fat&amp;display_string=Audit&amp;DYN_ARGS=TRUE&amp;VAR:ID1=50188920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annual_source_window.fat&amp;display_string=Audit&amp;DYN_ARGS=TRUE&amp;VAR:ID1=37246010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71327810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6__FDSAUDITLINK__" hidden="1">{"fdsup://IBCentral/FAT Viewer?action=UPDATE&amp;creator=factset&amp;DOC_NAME=fat:reuters_annual_source_window.fat&amp;display_string=Audit&amp;DYN_ARGS=TRUE&amp;VAR:ID1=68609110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7__FDSAUDITLINK__" hidden="1">{"fdsup://IBCentral/FAT Viewer?action=UPDATE&amp;creator=factset&amp;DOC_NAME=fat:reuters_annual_source_window.fat&amp;display_string=Audit&amp;DYN_ARGS=TRUE&amp;VAR:ID1=12596510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annual_source_window.fat&amp;display_string=Audit&amp;DYN_ARGS=TRUE&amp;VAR:ID1=05333210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00751Y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13054D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annual_source_window.fat&amp;display_string=Audit&amp;DYN_ARGS=TRUE&amp;VAR:ID1=70959W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annual_source_window.fat&amp;display_string=Audit&amp;DYN_ARGS=TRUE&amp;VAR:ID1=83545G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53679710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39890510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14313010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05329W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6__FDSAUDITLINK__" hidden="1">{"fdsup://IBCentral/FAT Viewer?action=UPDATE&amp;creator=factset&amp;DOC_NAME=fat:reuters_annual_source_window.fat&amp;display_string=Audit&amp;DYN_ARGS=TRUE&amp;VAR:ID1=04343610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7__FDSAUDITLINK__" hidden="1">{"fdsup://IBCentral/FAT Viewer?action=UPDATE&amp;creator=factset&amp;DOC_NAME=fat:reuters_annual_source_window.fat&amp;display_string=Audit&amp;DYN_ARGS=TRUE&amp;VAR:ID1=95423510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8__FDSAUDITLINK__" hidden="1">{"fdsup://IBCentral/FAT Viewer?action=UPDATE&amp;creator=factset&amp;DOC_NAME=fat:reuters_annual_source_window.fat&amp;display_string=Audit&amp;DYN_ARGS=TRUE&amp;VAR:ID1=56790810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59__FDSAUDITLINK__" hidden="1">{"fdsup://IBCentral/FAT Viewer?action=UPDATE&amp;creator=factset&amp;DOC_NAME=fat:reuters_annual_source_window.fat&amp;display_string=Audit&amp;DYN_ARGS=TRUE&amp;VAR:ID1=84916320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75689M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0__FDSAUDITLINK__" hidden="1">{"fdsup://IBCentral/FAT Viewer?action=UPDATE&amp;creator=factset&amp;DOC_NAME=fat:reuters_annual_source_window.fat&amp;display_string=Audit&amp;DYN_ARGS=TRUE&amp;VAR:ID1=42856710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1__FDSAUDITLINK__" hidden="1">{"fdsup://IBCentral/FAT Viewer?action=UPDATE&amp;creator=factset&amp;DOC_NAME=fat:reuters_annual_source_window.fat&amp;display_string=Audit&amp;DYN_ARGS=TRUE&amp;VAR:ID1=38168Y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2__FDSAUDITLINK__" hidden="1">{"fdsup://IBCentral/FAT Viewer?action=UPDATE&amp;creator=factset&amp;DOC_NAME=fat:reuters_annual_source_window.fat&amp;display_string=Audit&amp;DYN_ARGS=TRUE&amp;VAR:ID1=36471P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3__FDSAUDITLINK__" hidden="1">{"fdsup://IBCentral/FAT Viewer?action=UPDATE&amp;creator=factset&amp;DOC_NAME=fat:reuters_annual_source_window.fat&amp;display_string=Audit&amp;DYN_ARGS=TRUE&amp;VAR:ID1=25339310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4__FDSAUDITLINK__" hidden="1">{"fdsup://IBCentral/FAT Viewer?action=UPDATE&amp;creator=factset&amp;DOC_NAME=fat:reuters_annual_source_window.fat&amp;display_string=Audit&amp;DYN_ARGS=TRUE&amp;VAR:ID1=12680430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5__FDSAUDITLINK__" hidden="1">{"fdsup://IBCentral/FAT Viewer?action=UPDATE&amp;creator=factset&amp;DOC_NAME=fat:reuters_annual_source_window.fat&amp;display_string=Audit&amp;DYN_ARGS=TRUE&amp;VAR:ID1=40990010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6__FDSAUDITLINK__" hidden="1">{"fdsup://IBCentral/FAT Viewer?action=UPDATE&amp;creator=factset&amp;DOC_NAME=fat:reuters_annual_source_window.fat&amp;display_string=Audit&amp;DYN_ARGS=TRUE&amp;VAR:ID1=09643P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7__FDSAUDITLINK__" hidden="1">{"fdsup://IBCentral/FAT Viewer?action=UPDATE&amp;creator=factset&amp;DOC_NAME=fat:reuters_annual_source_window.fat&amp;display_string=Audit&amp;DYN_ARGS=TRUE&amp;VAR:ID1=96990410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8__FDSAUDITLINK__" hidden="1">{"fdsup://IBCentral/FAT Viewer?action=UPDATE&amp;creator=factset&amp;DOC_NAME=fat:reuters_annual_source_window.fat&amp;display_string=Audit&amp;DYN_ARGS=TRUE&amp;VAR:ID1=89903550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9__FDSAUDITLINK__" hidden="1">{"fdsup://IBCentral/FAT Viewer?action=UPDATE&amp;creator=factset&amp;DOC_NAME=fat:reuters_annual_source_window.fat&amp;display_string=Audit&amp;DYN_ARGS=TRUE&amp;VAR:ID1=76098110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51508L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0__FDSAUDITLINK__" hidden="1">{"fdsup://IBCentral/FAT Viewer?action=UPDATE&amp;creator=factset&amp;DOC_NAME=fat:reuters_annual_source_window.fat&amp;display_string=Audit&amp;DYN_ARGS=TRUE&amp;VAR:ID1=72027910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49749810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annual_source_window.fat&amp;display_string=Audit&amp;DYN_ARGS=TRUE&amp;VAR:ID1=30267U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3__FDSAUDITLINK__" hidden="1">{"fdsup://IBCentral/FAT Viewer?action=UPDATE&amp;creator=factset&amp;DOC_NAME=fat:reuters_annual_source_window.fat&amp;display_string=Audit&amp;DYN_ARGS=TRUE&amp;VAR:ID1=25055710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4__FDSAUDITLINK__" hidden="1">{"fdsup://IBCentral/FAT Viewer?action=UPDATE&amp;creator=factset&amp;DOC_NAME=fat:reuters_annual_source_window.fat&amp;display_string=Audit&amp;DYN_ARGS=TRUE&amp;VAR:ID1=22148510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5__FDSAUDITLINK__" hidden="1">{"fdsup://IBCentral/FAT Viewer?action=UPDATE&amp;creator=factset&amp;DOC_NAME=fat:reuters_annual_source_window.fat&amp;display_string=Audit&amp;DYN_ARGS=TRUE&amp;VAR:ID1=09792410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07589610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68243Q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71676810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98885810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44962310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annual_source_window.fat&amp;display_string=Audit&amp;DYN_ARGS=TRUE&amp;VAR:ID1=88654710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annual_source_window.fat&amp;display_string=Audit&amp;DYN_ARGS=TRUE&amp;VAR:ID1=82668L87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annual_source_window.fat&amp;display_string=Audit&amp;DYN_ARGS=TRUE&amp;VAR:ID1=34988210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annual_source_window.fat&amp;display_string=Audit&amp;DYN_ARGS=TRUE&amp;VAR:ID1=09578R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annual_source_window.fat&amp;display_string=Audit&amp;DYN_ARGS=TRUE&amp;VAR:ID1=09970910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annual_source_window.fat&amp;display_string=Audit&amp;DYN_ARGS=TRUE&amp;VAR:ID1=09857010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annual_source_window.fat&amp;display_string=Audit&amp;DYN_ARGS=TRUE&amp;VAR:ID1=06777410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annual_source_window.fat&amp;display_string=Audit&amp;DYN_ARGS=TRUE&amp;VAR:ID1=02313510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annual_source_window.fat&amp;display_string=Audit&amp;DYN_ARGS=TRUE&amp;VAR:ID1=90116710&amp;VAR:RCODE=TTAX&amp;VAR:SDATE=20060999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annual_source_window.fat&amp;display_string=Audit&amp;DYN_ARGS=TRUE&amp;VAR:ID1=82001310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12489V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annual_source_window.fat&amp;display_string=Audit&amp;DYN_ARGS=TRUE&amp;VAR:ID1=76162410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annual_source_window.fat&amp;display_string=Audit&amp;DYN_ARGS=TRUE&amp;VAR:ID1=75043810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annual_source_window.fat&amp;display_string=Audit&amp;DYN_ARGS=TRUE&amp;VAR:ID1=42833L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36467W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17273710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08651610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85503010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annual_source_window.fat&amp;display_string=Audit&amp;DYN_ARGS=TRUE&amp;VAR:ID1=67622P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annual_source_window.fat&amp;display_string=Audit&amp;DYN_ARGS=TRUE&amp;VAR:ID1=67622010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9__FDSAUDITLINK__" hidden="1">{"fdsup://IBCentral/FAT Viewer?action=UPDATE&amp;creator=factset&amp;DOC_NAME=fat:reuters_annual_source_window.fat&amp;display_string=Audit&amp;DYN_ARGS=TRUE&amp;VAR:ID1=551675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annual_source_window.fat&amp;display_string=Audit&amp;DYN_ARGS=TRUE&amp;VAR:ID1=09367910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12513710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0__FDSAUDITLINK__" hidden="1">{"fdsup://IBCentral/FAT Viewer?action=UPDATE&amp;creator=factset&amp;DOC_NAME=fat:reuters_annual_source_window.fat&amp;display_string=Audit&amp;DYN_ARGS=TRUE&amp;VAR:ID1=55003Q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1__FDSAUDITLINK__" hidden="1">{"fdsup://IBCentral/FAT Viewer?action=UPDATE&amp;creator=factset&amp;DOC_NAME=fat:reuters_annual_source_window.fat&amp;display_string=Audit&amp;DYN_ARGS=TRUE&amp;VAR:ID1=89235610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2__FDSAUDITLINK__" hidden="1">{"fdsup://IBCentral/FAT Viewer?action=UPDATE&amp;creator=factset&amp;DOC_NAME=fat:reuters_annual_source_window.fat&amp;display_string=Audit&amp;DYN_ARGS=TRUE&amp;VAR:ID1=82434810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3__FDSAUDITLINK__" hidden="1">{"fdsup://IBCentral/FAT Viewer?action=UPDATE&amp;creator=factset&amp;DOC_NAME=fat:reuters_annual_source_window.fat&amp;display_string=Audit&amp;DYN_ARGS=TRUE&amp;VAR:ID1=54866110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4__FDSAUDITLINK__" hidden="1">{"fdsup://IBCentral/FAT Viewer?action=UPDATE&amp;creator=factset&amp;DOC_NAME=fat:reuters_annual_source_window.fat&amp;display_string=Audit&amp;DYN_ARGS=TRUE&amp;VAR:ID1=43707610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5__FDSAUDITLINK__" hidden="1">{"fdsup://IBCentral/FAT Viewer?action=UPDATE&amp;creator=factset&amp;DOC_NAME=fat:reuters_annual_source_window.fat&amp;display_string=Audit&amp;DYN_ARGS=TRUE&amp;VAR:ID1=88023U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6__FDSAUDITLINK__" hidden="1">{"fdsup://IBCentral/FAT Viewer?action=UPDATE&amp;creator=factset&amp;DOC_NAME=fat:reuters_annual_source_window.fat&amp;display_string=Audit&amp;DYN_ARGS=TRUE&amp;VAR:ID1=81616X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7__FDSAUDITLINK__" hidden="1">{"fdsup://IBCentral/FAT Viewer?action=UPDATE&amp;creator=factset&amp;DOC_NAME=fat:reuters_annual_source_window.fat&amp;display_string=Audit&amp;DYN_ARGS=TRUE&amp;VAR:ID1=81213930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8__FDSAUDITLINK__" hidden="1">{"fdsup://IBCentral/FAT Viewer?action=UPDATE&amp;creator=factset&amp;DOC_NAME=fat:reuters_annual_source_window.fat&amp;display_string=Audit&amp;DYN_ARGS=TRUE&amp;VAR:ID1=85815520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85430520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09676110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76009N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50533610&amp;VAR:RCODE=TTAX&amp;VAR:SDATE=20070499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49890420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annual_source_window.fat&amp;display_string=Audit&amp;DYN_ARGS=TRUE&amp;VAR:ID1=43903810&amp;VAR:RCODE=TTAX&amp;VAR:SDATE=20061199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annual_source_window.fat&amp;display_string=Audit&amp;DYN_ARGS=TRUE&amp;VAR:ID1=40425110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annual_source_window.fat&amp;display_string=Audit&amp;DYN_ARGS=TRUE&amp;VAR:ID1=60054410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annual_source_window.fat&amp;display_string=Audit&amp;DYN_ARGS=TRUE&amp;VAR:ID1=41959610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annual_source_window.fat&amp;display_string=Audit&amp;DYN_ARGS=TRUE&amp;VAR:ID1=36092110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annual_source_window.fat&amp;display_string=Audit&amp;DYN_ARGS=TRUE&amp;VAR:ID1=29760210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annual_source_window.fat&amp;display_string=Audit&amp;DYN_ARGS=TRUE&amp;VAR:ID1=07020310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78118210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annual_source_window.fat&amp;display_string=Audit&amp;DYN_ARGS=TRUE&amp;VAR:ID1=00253520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annual_source_window.fat&amp;display_string=Audit&amp;DYN_ARGS=TRUE&amp;VAR:ID1=19421W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annual_source_window.fat&amp;display_string=Audit&amp;DYN_ARGS=TRUE&amp;VAR:ID1=34484910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annual_source_window.fat&amp;display_string=Audit&amp;DYN_ARGS=TRUE&amp;VAR:ID1=31792310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annual_source_window.fat&amp;display_string=Audit&amp;DYN_ARGS=TRUE&amp;VAR:ID1=B044JP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97809710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96214910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55626910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83056610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annual_source_window.fat&amp;display_string=Audit&amp;DYN_ARGS=TRUE&amp;VAR:ID1=77451510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10964110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annual_source_window.fat&amp;display_string=Audit&amp;DYN_ARGS=TRUE&amp;VAR:ID1=19329410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1__FDSAUDITLINK__" hidden="1">{"fdsup://IBCentral/FAT Viewer?action=UPDATE&amp;creator=factset&amp;DOC_NAME=fat:reuters_annual_source_window.fat&amp;display_string=Audit&amp;DYN_ARGS=TRUE&amp;VAR:ID1=42279M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annual_source_window.fat&amp;display_string=Audit&amp;DYN_ARGS=TRUE&amp;VAR:ID1=37153210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annual_source_window.fat&amp;display_string=Audit&amp;DYN_ARGS=TRUE&amp;VAR:ID1=24353710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annual_source_window.fat&amp;display_string=Audit&amp;DYN_ARGS=TRUE&amp;VAR:ID1=22704610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annual_source_window.fat&amp;display_string=Audit&amp;DYN_ARGS=TRUE&amp;VAR:ID1=11573610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annual_source_window.fat&amp;display_string=Audit&amp;DYN_ARGS=TRUE&amp;VAR:ID1=07162510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annual_source_window.fat&amp;display_string=Audit&amp;DYN_ARGS=TRUE&amp;VAR:ID1=98981710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annual_source_window.fat&amp;display_string=Audit&amp;DYN_ARGS=TRUE&amp;VAR:ID1=96184010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annual_source_window.fat&amp;display_string=Audit&amp;DYN_ARGS=TRUE&amp;VAR:ID1=91704710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23719410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annual_source_window.fat&amp;display_string=Audit&amp;DYN_ARGS=TRUE&amp;VAR:ID1=90116610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annual_source_window.fat&amp;display_string=Audit&amp;DYN_ARGS=TRUE&amp;VAR:ID1=87416110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69487310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58711810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55002110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48083810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6__FDSAUDITLINK__" hidden="1">{"fdsup://IBCentral/FAT Viewer?action=UPDATE&amp;creator=factset&amp;DOC_NAME=fat:reuters_annual_source_window.fat&amp;display_string=Audit&amp;DYN_ARGS=TRUE&amp;VAR:ID1=46612H40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7__FDSAUDITLINK__" hidden="1">{"fdsup://IBCentral/FAT Viewer?action=UPDATE&amp;creator=factset&amp;DOC_NAME=fat:reuters_annual_source_window.fat&amp;display_string=Audit&amp;DYN_ARGS=TRUE&amp;VAR:ID1=44133910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8__FDSAUDITLINK__" hidden="1">{"fdsup://IBCentral/FAT Viewer?action=UPDATE&amp;creator=factset&amp;DOC_NAME=fat:reuters_annual_source_window.fat&amp;display_string=Audit&amp;DYN_ARGS=TRUE&amp;VAR:ID1=40161710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9__FDSAUDITLINK__" hidden="1">{"fdsup://IBCentral/FAT Viewer?action=UPDATE&amp;creator=factset&amp;DOC_NAME=fat:reuters_annual_source_window.fat&amp;display_string=Audit&amp;DYN_ARGS=TRUE&amp;VAR:ID1=36476010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57979310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annual_source_window.fat&amp;display_string=Audit&amp;DYN_ARGS=TRUE&amp;VAR:ID1=19306810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1__FDSAUDITLINK__" hidden="1">{"fdsup://IBCentral/FAT Viewer?action=UPDATE&amp;creator=factset&amp;DOC_NAME=fat:reuters_annual_source_window.fat&amp;display_string=Audit&amp;DYN_ARGS=TRUE&amp;VAR:ID1=17104610&amp;VAR:RCODE=TTAX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2__FDSAUDITLINK__" hidden="1">{"fdsup://IBCentral/FAT Viewer?action=UPDATE&amp;creator=factset&amp;DOC_NAME=fat:reuters_annual_source_window.fat&amp;display_string=Audit&amp;DYN_ARGS=TRUE&amp;VAR:ID1=16890510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3__FDSAUDITLINK__" hidden="1">{"fdsup://IBCentral/FAT Viewer?action=UPDATE&amp;creator=factset&amp;DOC_NAME=fat:reuters_annual_source_window.fat&amp;display_string=Audit&amp;DYN_ARGS=TRUE&amp;VAR:ID1=16861510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4__FDSAUDITLINK__" hidden="1">{"fdsup://IBCentral/FAT Viewer?action=UPDATE&amp;creator=factset&amp;DOC_NAME=fat:reuters_annual_source_window.fat&amp;display_string=Audit&amp;DYN_ARGS=TRUE&amp;VAR:ID1=16113310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5__FDSAUDITLINK__" hidden="1">{"fdsup://IBCentral/FAT Viewer?action=UPDATE&amp;creator=factset&amp;DOC_NAME=fat:reuters_annual_source_window.fat&amp;display_string=Audit&amp;DYN_ARGS=TRUE&amp;VAR:ID1=16104810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6__FDSAUDITLINK__" hidden="1">{"fdsup://IBCentral/FAT Viewer?action=UPDATE&amp;creator=factset&amp;DOC_NAME=fat:reuters_annual_source_window.fat&amp;display_string=Audit&amp;DYN_ARGS=TRUE&amp;VAR:ID1=14871110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7__FDSAUDITLINK__" hidden="1">{"fdsup://IBCentral/FAT Viewer?action=UPDATE&amp;creator=factset&amp;DOC_NAME=fat:reuters_annual_source_window.fat&amp;display_string=Audit&amp;DYN_ARGS=TRUE&amp;VAR:ID1=12715030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8__FDSAUDITLINK__" hidden="1">{"fdsup://IBCentral/FAT Viewer?action=UPDATE&amp;creator=factset&amp;DOC_NAME=fat:reuters_annual_source_window.fat&amp;display_string=Audit&amp;DYN_ARGS=TRUE&amp;VAR:ID1=07557110&amp;VAR:RCODE=TTA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02553E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09180C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00786510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00289620&amp;VAR:RCODE=TTAX&amp;VAR:SDATE=20080199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92864N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3__FDSAUDITLINK__" hidden="1">{"fdsup://IBCentral/FAT Viewer?action=UPDATE&amp;creator=factset&amp;DOC_NAME=fat:reuters_annual_source_window.fat&amp;display_string=Audit&amp;DYN_ARGS=TRUE&amp;VAR:ID1=90431110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4__FDSAUDITLINK__" hidden="1">{"fdsup://IBCentral/FAT Viewer?action=UPDATE&amp;creator=factset&amp;DOC_NAME=fat:reuters_annual_source_window.fat&amp;display_string=Audit&amp;DYN_ARGS=TRUE&amp;VAR:ID1=88710010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5__FDSAUDITLINK__" hidden="1">{"fdsup://IBCentral/FAT Viewer?action=UPDATE&amp;creator=factset&amp;DOC_NAME=fat:reuters_annual_source_window.fat&amp;display_string=Audit&amp;DYN_ARGS=TRUE&amp;VAR:ID1=74838C10&amp;VAR:RCODE=TTAX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6__FDSAUDITLINK__" hidden="1">{"fdsup://IBCentral/FAT Viewer?action=UPDATE&amp;creator=factset&amp;DOC_NAME=fat:reuters_annual_source_window.fat&amp;display_string=Audit&amp;DYN_ARGS=TRUE&amp;VAR:ID1=506472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67__FDSAUDITLINK__" hidden="1">{"fdsup://IBCentral/FAT Viewer?action=UPDATE&amp;creator=factset&amp;DOC_NAME=fat:reuters_annual_source_window.fat&amp;display_string=Audit&amp;DYN_ARGS=TRUE&amp;VAR:ID1=65410610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8__FDSAUDITLINK__" hidden="1">{"fdsup://IBCentral/FAT Viewer?action=UPDATE&amp;creator=factset&amp;DOC_NAME=fat:reuters_annual_source_window.fat&amp;display_string=Audit&amp;DYN_ARGS=TRUE&amp;VAR:ID1=48268610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9__FDSAUDITLINK__" hidden="1">{"fdsup://IBCentral/FAT Viewer?action=UPDATE&amp;creator=factset&amp;DOC_NAME=fat:reuters_annual_source_window.fat&amp;display_string=Audit&amp;DYN_ARGS=TRUE&amp;VAR:ID1=19851610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11984810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annual_source_window.fat&amp;display_string=Audit&amp;DYN_ARGS=TRUE&amp;VAR:ID1=403197&amp;VAR:RCODE=TTAX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71__FDSAUDITLINK__" hidden="1">{"fdsup://IBCentral/FAT Viewer?action=UPDATE&amp;creator=factset&amp;DOC_NAME=fat:reuters_annual_source_window.fat&amp;display_string=Audit&amp;DYN_ARGS=TRUE&amp;VAR:ID1=93439040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2__FDSAUDITLINK__" hidden="1">{"fdsup://IBCentral/FAT Viewer?action=UPDATE&amp;creator=factset&amp;DOC_NAME=fat:reuters_annual_source_window.fat&amp;display_string=Audit&amp;DYN_ARGS=TRUE&amp;VAR:ID1=91820410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3__FDSAUDITLINK__" hidden="1">{"fdsup://IBCentral/FAT Viewer?action=UPDATE&amp;creator=factset&amp;DOC_NAME=fat:reuters_annual_source_window.fat&amp;display_string=Audit&amp;DYN_ARGS=TRUE&amp;VAR:ID1=89784N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4__FDSAUDITLINK__" hidden="1">{"fdsup://IBCentral/FAT Viewer?action=UPDATE&amp;creator=factset&amp;DOC_NAME=fat:reuters_annual_source_window.fat&amp;display_string=Audit&amp;DYN_ARGS=TRUE&amp;VAR:ID1=73157210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5__FDSAUDITLINK__" hidden="1">{"fdsup://IBCentral/FAT Viewer?action=UPDATE&amp;creator=factset&amp;DOC_NAME=fat:reuters_annual_source_window.fat&amp;display_string=Audit&amp;DYN_ARGS=TRUE&amp;VAR:ID1=71859210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28885310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69149730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56030510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53932010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69333Y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0__FDSAUDITLINK__" hidden="1">{"fdsup://IBCentral/FAT Viewer?action=UPDATE&amp;creator=factset&amp;DOC_NAME=fat:reuters_annual_source_window.fat&amp;display_string=Audit&amp;DYN_ARGS=TRUE&amp;VAR:ID1=48804410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1__FDSAUDITLINK__" hidden="1">{"fdsup://IBCentral/FAT Viewer?action=UPDATE&amp;creator=factset&amp;DOC_NAME=fat:reuters_annual_source_window.fat&amp;display_string=Audit&amp;DYN_ARGS=TRUE&amp;VAR:ID1=45105510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2__FDSAUDITLINK__" hidden="1">{"fdsup://IBCentral/FAT Viewer?action=UPDATE&amp;creator=factset&amp;DOC_NAME=fat:reuters_annual_source_window.fat&amp;display_string=Audit&amp;DYN_ARGS=TRUE&amp;VAR:ID1=48007410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3__FDSAUDITLINK__" hidden="1">{"fdsup://IBCentral/FAT Viewer?action=UPDATE&amp;creator=factset&amp;DOC_NAME=fat:reuters_annual_source_window.fat&amp;display_string=Audit&amp;DYN_ARGS=TRUE&amp;VAR:ID1=41711910&amp;VAR:RCODE=TTAX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4__FDSAUDITLINK__" hidden="1">{"fdsup://IBCentral/FAT Viewer?action=UPDATE&amp;creator=factset&amp;DOC_NAME=fat:reuters_annual_source_window.fat&amp;display_string=Audit&amp;DYN_ARGS=TRUE&amp;VAR:ID1=41034510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5__FDSAUDITLINK__" hidden="1">{"fdsup://IBCentral/FAT Viewer?action=UPDATE&amp;creator=factset&amp;DOC_NAME=fat:reuters_annual_source_window.fat&amp;display_string=Audit&amp;DYN_ARGS=TRUE&amp;VAR:ID1=18975410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6__FDSAUDITLINK__" hidden="1">{"fdsup://IBCentral/FAT Viewer?action=UPDATE&amp;creator=factset&amp;DOC_NAME=fat:reuters_annual_source_window.fat&amp;display_string=Audit&amp;DYN_ARGS=TRUE&amp;VAR:ID1=14622910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7__FDSAUDITLINK__" hidden="1">{"fdsup://IBCentral/FAT Viewer?action=UPDATE&amp;creator=factset&amp;DOC_NAME=fat:reuters_annual_source_window.fat&amp;display_string=Audit&amp;DYN_ARGS=TRUE&amp;VAR:ID1=04516H10&amp;VAR:RCODE=TTAX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8__FDSAUDITLINK__" hidden="1">{"fdsup://IBCentral/FAT Viewer?action=UPDATE&amp;creator=factset&amp;DOC_NAME=fat:reuters_annual_source_window.fat&amp;display_string=Audit&amp;DYN_ARGS=TRUE&amp;VAR:ID1=63910B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89__FDSAUDITLINK__" hidden="1">{"fdsup://IBCentral/FAT Viewer?action=UPDATE&amp;creator=factset&amp;DOC_NAME=fat:reuters_annual_source_window.fat&amp;display_string=Audit&amp;DYN_ARGS=TRUE&amp;VAR:ID1=63910B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88268110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annual_source_window.fat&amp;display_string=Audit&amp;DYN_ARGS=TRUE&amp;VAR:ID1=96332010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1__FDSAUDITLINK__" hidden="1">{"fdsup://IBCentral/FAT Viewer?action=UPDATE&amp;creator=factset&amp;DOC_NAME=fat:reuters_annual_source_window.fat&amp;display_string=Audit&amp;DYN_ARGS=TRUE&amp;VAR:ID1=96332010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2__FDSAUDITLINK__" hidden="1">{"fdsup://IBCentral/FAT Viewer?action=UPDATE&amp;creator=factset&amp;DOC_NAME=fat:reuters_annual_source_window.fat&amp;display_string=Audit&amp;DYN_ARGS=TRUE&amp;VAR:ID1=96332010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96332010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203728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203728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203728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397__FDSAUDITLINK__" hidden="1">{"fdsup://IBCentral/FAT Viewer?action=UPDATE&amp;creator=factset&amp;DOC_NAME=fat:reuters_annual_source_window.fat&amp;display_string=Audit&amp;DYN_ARGS=TRUE&amp;VAR:ID1=203728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398__FDSAUDITLINK__" hidden="1">{"fdsup://IBCentral/FAT Viewer?action=UPDATE&amp;creator=factset&amp;DOC_NAME=fat:reuters_annual_source_window.fat&amp;display_string=Audit&amp;DYN_ARGS=TRUE&amp;VAR:ID1=71638210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399__FDSAUDITLINK__" hidden="1">{"fdsup://IBCentral/FAT Viewer?action=UPDATE&amp;creator=factset&amp;DOC_NAME=fat:reuters_annual_source_window.fat&amp;display_string=Audit&amp;DYN_ARGS=TRUE&amp;VAR:ID1=71638210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annual_source_window.fat&amp;display_string=Audit&amp;DYN_ARGS=TRUE&amp;VAR:ID1=96332010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16307210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00__FDSAUDITLINK__" hidden="1">{"fdsup://IBCentral/FAT Viewer?action=UPDATE&amp;creator=factset&amp;DOC_NAME=fat:reuters_annual_source_window.fat&amp;display_string=Audit&amp;DYN_ARGS=TRUE&amp;VAR:ID1=71638210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1__FDSAUDITLINK__" hidden="1">{"fdsup://IBCentral/FAT Viewer?action=UPDATE&amp;creator=factset&amp;DOC_NAME=fat:reuters_annual_source_window.fat&amp;display_string=Audit&amp;DYN_ARGS=TRUE&amp;VAR:ID1=71638210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2__FDSAUDITLINK__" hidden="1">{"fdsup://IBCentral/FAT Viewer?action=UPDATE&amp;creator=factset&amp;DOC_NAME=fat:reuters_annual_source_window.fat&amp;display_string=Audit&amp;DYN_ARGS=TRUE&amp;VAR:ID1=69037010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3__FDSAUDITLINK__" hidden="1">{"fdsup://IBCentral/FAT Viewer?action=UPDATE&amp;creator=factset&amp;DOC_NAME=fat:reuters_annual_source_window.fat&amp;display_string=Audit&amp;DYN_ARGS=TRUE&amp;VAR:ID1=69037010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4__FDSAUDITLINK__" hidden="1">{"fdsup://IBCentral/FAT Viewer?action=UPDATE&amp;creator=factset&amp;DOC_NAME=fat:reuters_annual_source_window.fat&amp;display_string=Audit&amp;DYN_ARGS=TRUE&amp;VAR:ID1=69037010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5__FDSAUDITLINK__" hidden="1">{"fdsup://IBCentral/FAT Viewer?action=UPDATE&amp;creator=factset&amp;DOC_NAME=fat:reuters_annual_source_window.fat&amp;display_string=Audit&amp;DYN_ARGS=TRUE&amp;VAR:ID1=69037010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6__FDSAUDITLINK__" hidden="1">{"fdsup://IBCentral/FAT Viewer?action=UPDATE&amp;creator=factset&amp;DOC_NAME=fat:reuters_annual_source_window.fat&amp;display_string=Audit&amp;DYN_ARGS=TRUE&amp;VAR:ID1=53635B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7__FDSAUDITLINK__" hidden="1">{"fdsup://IBCentral/FAT Viewer?action=UPDATE&amp;creator=factset&amp;DOC_NAME=fat:reuters_annual_source_window.fat&amp;display_string=Audit&amp;DYN_ARGS=TRUE&amp;VAR:ID1=53635B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8__FDSAUDITLINK__" hidden="1">{"fdsup://IBCentral/FAT Viewer?action=UPDATE&amp;creator=factset&amp;DOC_NAME=fat:reuters_annual_source_window.fat&amp;display_string=Audit&amp;DYN_ARGS=TRUE&amp;VAR:ID1=53635B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09__FDSAUDITLINK__" hidden="1">{"fdsup://IBCentral/FAT Viewer?action=UPDATE&amp;creator=factset&amp;DOC_NAME=fat:reuters_annual_source_window.fat&amp;display_string=Audit&amp;DYN_ARGS=TRUE&amp;VAR:ID1=53635B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28257U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26224110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26224110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26224110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26224110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4__FDSAUDITLINK__" hidden="1">{"fdsup://IBCentral/FAT Viewer?action=UPDATE&amp;creator=factset&amp;DOC_NAME=fat:reuters_annual_source_window.fat&amp;display_string=Audit&amp;DYN_ARGS=TRUE&amp;VAR:ID1=406141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415__FDSAUDITLINK__" hidden="1">{"fdsup://IBCentral/FAT Viewer?action=UPDATE&amp;creator=factset&amp;DOC_NAME=fat:reuters_annual_source_window.fat&amp;display_string=Audit&amp;DYN_ARGS=TRUE&amp;VAR:ID1=406141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416__FDSAUDITLINK__" hidden="1">{"fdsup://IBCentral/FAT Viewer?action=UPDATE&amp;creator=factset&amp;DOC_NAME=fat:reuters_annual_source_window.fat&amp;display_string=Audit&amp;DYN_ARGS=TRUE&amp;VAR:ID1=406141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417__FDSAUDITLINK__" hidden="1">{"fdsup://IBCentral/FAT Viewer?action=UPDATE&amp;creator=factset&amp;DOC_NAME=fat:reuters_annual_source_window.fat&amp;display_string=Audit&amp;DYN_ARGS=TRUE&amp;VAR:ID1=406141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418__FDSAUDITLINK__" hidden="1">{"fdsup://IBCentral/FAT Viewer?action=UPDATE&amp;creator=factset&amp;DOC_NAME=fat:reuters_annual_source_window.fat&amp;display_string=Audit&amp;DYN_ARGS=TRUE&amp;VAR:ID1=85375C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19__FDSAUDITLINK__" hidden="1">{"fdsup://IBCentral/FAT Viewer?action=UPDATE&amp;creator=factset&amp;DOC_NAME=fat:reuters_annual_source_window.fat&amp;display_string=Audit&amp;DYN_ARGS=TRUE&amp;VAR:ID1=85375C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78116B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0__FDSAUDITLINK__" hidden="1">{"fdsup://IBCentral/FAT Viewer?action=UPDATE&amp;creator=factset&amp;DOC_NAME=fat:reuters_annual_source_window.fat&amp;display_string=Audit&amp;DYN_ARGS=TRUE&amp;VAR:ID1=85375C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1__FDSAUDITLINK__" hidden="1">{"fdsup://IBCentral/FAT Viewer?action=UPDATE&amp;creator=factset&amp;DOC_NAME=fat:reuters_annual_source_window.fat&amp;display_string=Audit&amp;DYN_ARGS=TRUE&amp;VAR:ID1=85375C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2__FDSAUDITLINK__" hidden="1">{"fdsup://IBCentral/FAT Viewer?action=UPDATE&amp;creator=factset&amp;DOC_NAME=fat:reuters_annual_source_window.fat&amp;display_string=Audit&amp;DYN_ARGS=TRUE&amp;VAR:ID1=78376410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3__FDSAUDITLINK__" hidden="1">{"fdsup://IBCentral/FAT Viewer?action=UPDATE&amp;creator=factset&amp;DOC_NAME=fat:reuters_annual_source_window.fat&amp;display_string=Audit&amp;DYN_ARGS=TRUE&amp;VAR:ID1=78376410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4__FDSAUDITLINK__" hidden="1">{"fdsup://IBCentral/FAT Viewer?action=UPDATE&amp;creator=factset&amp;DOC_NAME=fat:reuters_annual_source_window.fat&amp;display_string=Audit&amp;DYN_ARGS=TRUE&amp;VAR:ID1=88947810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5__FDSAUDITLINK__" hidden="1">{"fdsup://IBCentral/FAT Viewer?action=UPDATE&amp;creator=factset&amp;DOC_NAME=fat:reuters_annual_source_window.fat&amp;display_string=Audit&amp;DYN_ARGS=TRUE&amp;VAR:ID1=88947810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6__FDSAUDITLINK__" hidden="1">{"fdsup://IBCentral/FAT Viewer?action=UPDATE&amp;creator=factset&amp;DOC_NAME=fat:reuters_annual_source_window.fat&amp;display_string=Audit&amp;DYN_ARGS=TRUE&amp;VAR:ID1=88947810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88947810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48666K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48666K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annual_source_window.fat&amp;display_string=Audit&amp;DYN_ARGS=TRUE&amp;VAR:ID1=14574X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48666K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1__FDSAUDITLINK__" hidden="1">{"fdsup://IBCentral/FAT Viewer?action=UPDATE&amp;creator=factset&amp;DOC_NAME=fat:reuters_annual_source_window.fat&amp;display_string=Audit&amp;DYN_ARGS=TRUE&amp;VAR:ID1=52605710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2__FDSAUDITLINK__" hidden="1">{"fdsup://IBCentral/FAT Viewer?action=UPDATE&amp;creator=factset&amp;DOC_NAME=fat:reuters_annual_source_window.fat&amp;display_string=Audit&amp;DYN_ARGS=TRUE&amp;VAR:ID1=52605710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3__FDSAUDITLINK__" hidden="1">{"fdsup://IBCentral/FAT Viewer?action=UPDATE&amp;creator=factset&amp;DOC_NAME=fat:reuters_annual_source_window.fat&amp;display_string=Audit&amp;DYN_ARGS=TRUE&amp;VAR:ID1=52605710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4__FDSAUDITLINK__" hidden="1">{"fdsup://IBCentral/FAT Viewer?action=UPDATE&amp;creator=factset&amp;DOC_NAME=fat:reuters_annual_source_window.fat&amp;display_string=Audit&amp;DYN_ARGS=TRUE&amp;VAR:ID1=15231210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5__FDSAUDITLINK__" hidden="1">{"fdsup://IBCentral/FAT Viewer?action=UPDATE&amp;creator=factset&amp;DOC_NAME=fat:reuters_annual_source_window.fat&amp;display_string=Audit&amp;DYN_ARGS=TRUE&amp;VAR:ID1=15231210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6__FDSAUDITLINK__" hidden="1">{"fdsup://IBCentral/FAT Viewer?action=UPDATE&amp;creator=factset&amp;DOC_NAME=fat:reuters_annual_source_window.fat&amp;display_string=Audit&amp;DYN_ARGS=TRUE&amp;VAR:ID1=15231210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7__FDSAUDITLINK__" hidden="1">{"fdsup://IBCentral/FAT Viewer?action=UPDATE&amp;creator=factset&amp;DOC_NAME=fat:reuters_annual_source_window.fat&amp;display_string=Audit&amp;DYN_ARGS=TRUE&amp;VAR:ID1=15231210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8__FDSAUDITLINK__" hidden="1">{"fdsup://IBCentral/FAT Viewer?action=UPDATE&amp;creator=factset&amp;DOC_NAME=fat:reuters_annual_source_window.fat&amp;display_string=Audit&amp;DYN_ARGS=TRUE&amp;VAR:ID1=74586710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39__FDSAUDITLINK__" hidden="1">{"fdsup://IBCentral/FAT Viewer?action=UPDATE&amp;creator=factset&amp;DOC_NAME=fat:reuters_annual_source_window.fat&amp;display_string=Audit&amp;DYN_ARGS=TRUE&amp;VAR:ID1=74586710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annual_source_window.fat&amp;display_string=Audit&amp;DYN_ARGS=TRUE&amp;VAR:ID1=25754A20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annual_source_window.fat&amp;display_string=Audit&amp;DYN_ARGS=TRUE&amp;VAR:ID1=74586710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1__FDSAUDITLINK__" hidden="1">{"fdsup://IBCentral/FAT Viewer?action=UPDATE&amp;creator=factset&amp;DOC_NAME=fat:reuters_annual_source_window.fat&amp;display_string=Audit&amp;DYN_ARGS=TRUE&amp;VAR:ID1=74586710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2__FDSAUDITLINK__" hidden="1">{"fdsup://IBCentral/FAT Viewer?action=UPDATE&amp;creator=factset&amp;DOC_NAME=fat:reuters_annual_source_window.fat&amp;display_string=Audit&amp;DYN_ARGS=TRUE&amp;VAR:ID1=23331A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3__FDSAUDITLINK__" hidden="1">{"fdsup://IBCentral/FAT Viewer?action=UPDATE&amp;creator=factset&amp;DOC_NAME=fat:reuters_annual_source_window.fat&amp;display_string=Audit&amp;DYN_ARGS=TRUE&amp;VAR:ID1=23331A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23331A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23331A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67082310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67082310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8__FDSAUDITLINK__" hidden="1">{"fdsup://IBCentral/FAT Viewer?action=UPDATE&amp;creator=factset&amp;DOC_NAME=fat:reuters_annual_source_window.fat&amp;display_string=Audit&amp;DYN_ARGS=TRUE&amp;VAR:ID1=13054D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49__FDSAUDITLINK__" hidden="1">{"fdsup://IBCentral/FAT Viewer?action=UPDATE&amp;creator=factset&amp;DOC_NAME=fat:reuters_annual_source_window.fat&amp;display_string=Audit&amp;DYN_ARGS=TRUE&amp;VAR:ID1=13054D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annual_source_window.fat&amp;display_string=Audit&amp;DYN_ARGS=TRUE&amp;VAR:ID1=69881310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annual_source_window.fat&amp;display_string=Audit&amp;DYN_ARGS=TRUE&amp;VAR:ID1=75689M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1__FDSAUDITLINK__" hidden="1">{"fdsup://IBCentral/FAT Viewer?action=UPDATE&amp;creator=factset&amp;DOC_NAME=fat:reuters_annual_source_window.fat&amp;display_string=Audit&amp;DYN_ARGS=TRUE&amp;VAR:ID1=75689M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2__FDSAUDITLINK__" hidden="1">{"fdsup://IBCentral/FAT Viewer?action=UPDATE&amp;creator=factset&amp;DOC_NAME=fat:reuters_annual_source_window.fat&amp;display_string=Audit&amp;DYN_ARGS=TRUE&amp;VAR:ID1=75689M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3__FDSAUDITLINK__" hidden="1">{"fdsup://IBCentral/FAT Viewer?action=UPDATE&amp;creator=factset&amp;DOC_NAME=fat:reuters_annual_source_window.fat&amp;display_string=Audit&amp;DYN_ARGS=TRUE&amp;VAR:ID1=75689M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4__FDSAUDITLINK__" hidden="1">{"fdsup://IBCentral/FAT Viewer?action=UPDATE&amp;creator=factset&amp;DOC_NAME=fat:reuters_annual_source_window.fat&amp;display_string=Audit&amp;DYN_ARGS=TRUE&amp;VAR:ID1=12489V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5__FDSAUDITLINK__" hidden="1">{"fdsup://IBCentral/FAT Viewer?action=UPDATE&amp;creator=factset&amp;DOC_NAME=fat:reuters_annual_source_window.fat&amp;display_string=Audit&amp;DYN_ARGS=TRUE&amp;VAR:ID1=12489V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6__FDSAUDITLINK__" hidden="1">{"fdsup://IBCentral/FAT Viewer?action=UPDATE&amp;creator=factset&amp;DOC_NAME=fat:reuters_annual_source_window.fat&amp;display_string=Audit&amp;DYN_ARGS=TRUE&amp;VAR:ID1=12489V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7__FDSAUDITLINK__" hidden="1">{"fdsup://IBCentral/FAT Viewer?action=UPDATE&amp;creator=factset&amp;DOC_NAME=fat:reuters_annual_source_window.fat&amp;display_string=Audit&amp;DYN_ARGS=TRUE&amp;VAR:ID1=12489V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8__FDSAUDITLINK__" hidden="1">{"fdsup://IBCentral/FAT Viewer?action=UPDATE&amp;creator=factset&amp;DOC_NAME=fat:reuters_annual_source_window.fat&amp;display_string=Audit&amp;DYN_ARGS=TRUE&amp;VAR:ID1=12513710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59__FDSAUDITLINK__" hidden="1">{"fdsup://IBCentral/FAT Viewer?action=UPDATE&amp;creator=factset&amp;DOC_NAME=fat:reuters_annual_source_window.fat&amp;display_string=Audit&amp;DYN_ARGS=TRUE&amp;VAR:ID1=12513710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annual_source_window.fat&amp;display_string=Audit&amp;DYN_ARGS=TRUE&amp;VAR:ID1=12561E10&amp;VAR:RCODE=TTAX&amp;VAR:SDATE=20070199&amp;VAR:FREQ=Y&amp;VAR:RELITEM=RP&amp;VAR:CURRENCY=&amp;VAR:CURRSOURCE=EXSHARE&amp;V","AR:NATFREQ=ANNUAL&amp;VAR:RFIELD=FINALIZED&amp;VAR:DB_TYPE=&amp;VAR:UNITS=M&amp;window=popup&amp;width=450&amp;height=300&amp;START_MAXIMIZED=FALSE"}</definedName>
    <definedName name="_460__FDSAUDITLINK__" hidden="1">{"fdsup://IBCentral/FAT Viewer?action=UPDATE&amp;creator=factset&amp;DOC_NAME=fat:reuters_annual_source_window.fat&amp;display_string=Audit&amp;DYN_ARGS=TRUE&amp;VAR:ID1=09676110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09676110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09676110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09676110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78118210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5__FDSAUDITLINK__" hidden="1">{"fdsup://IBCentral/FAT Viewer?action=UPDATE&amp;creator=factset&amp;DOC_NAME=fat:reuters_annual_source_window.fat&amp;display_string=Audit&amp;DYN_ARGS=TRUE&amp;VAR:ID1=78118210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6__FDSAUDITLINK__" hidden="1">{"fdsup://IBCentral/FAT Viewer?action=UPDATE&amp;creator=factset&amp;DOC_NAME=fat:reuters_annual_source_window.fat&amp;display_string=Audit&amp;DYN_ARGS=TRUE&amp;VAR:ID1=78118210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7__FDSAUDITLINK__" hidden="1">{"fdsup://IBCentral/FAT Viewer?action=UPDATE&amp;creator=factset&amp;DOC_NAME=fat:reuters_annual_source_window.fat&amp;display_string=Audit&amp;DYN_ARGS=TRUE&amp;VAR:ID1=78118210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8__FDSAUDITLINK__" hidden="1">{"fdsup://IBCentral/FAT Viewer?action=UPDATE&amp;creator=factset&amp;DOC_NAME=fat:reuters_annual_source_window.fat&amp;display_string=Audit&amp;DYN_ARGS=TRUE&amp;VAR:ID1=10964110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69__FDSAUDITLINK__" hidden="1">{"fdsup://IBCentral/FAT Viewer?action=UPDATE&amp;creator=factset&amp;DOC_NAME=fat:reuters_annual_source_window.fat&amp;display_string=Audit&amp;DYN_ARGS=TRUE&amp;VAR:ID1=10964110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annual_source_window.fat&amp;display_string=Audit&amp;DYN_ARGS=TRUE&amp;VAR:ID1=83545110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annual_source_window.fat&amp;display_string=Audit&amp;DYN_ARGS=TRUE&amp;VAR:ID1=10964110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1__FDSAUDITLINK__" hidden="1">{"fdsup://IBCentral/FAT Viewer?action=UPDATE&amp;creator=factset&amp;DOC_NAME=fat:reuters_annual_source_window.fat&amp;display_string=Audit&amp;DYN_ARGS=TRUE&amp;VAR:ID1=10964110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2__FDSAUDITLINK__" hidden="1">{"fdsup://IBCentral/FAT Viewer?action=UPDATE&amp;creator=factset&amp;DOC_NAME=fat:reuters_annual_source_window.fat&amp;display_string=Audit&amp;DYN_ARGS=TRUE&amp;VAR:ID1=23719410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3__FDSAUDITLINK__" hidden="1">{"fdsup://IBCentral/FAT Viewer?action=UPDATE&amp;creator=factset&amp;DOC_NAME=fat:reuters_annual_source_window.fat&amp;display_string=Audit&amp;DYN_ARGS=TRUE&amp;VAR:ID1=23719410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4__FDSAUDITLINK__" hidden="1">{"fdsup://IBCentral/FAT Viewer?action=UPDATE&amp;creator=factset&amp;DOC_NAME=fat:reuters_annual_source_window.fat&amp;display_string=Audit&amp;DYN_ARGS=TRUE&amp;VAR:ID1=23719410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5__FDSAUDITLINK__" hidden="1">{"fdsup://IBCentral/FAT Viewer?action=UPDATE&amp;creator=factset&amp;DOC_NAME=fat:reuters_annual_source_window.fat&amp;display_string=Audit&amp;DYN_ARGS=TRUE&amp;VAR:ID1=23719410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6__FDSAUDITLINK__" hidden="1">{"fdsup://IBCentral/FAT Viewer?action=UPDATE&amp;creator=factset&amp;DOC_NAME=fat:reuters_annual_source_window.fat&amp;display_string=Audit&amp;DYN_ARGS=TRUE&amp;VAR:ID1=57979310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57979310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09180C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09180C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46636710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11984810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1__FDSAUDITLINK__" hidden="1">{"fdsup://IBCentral/FAT Viewer?action=UPDATE&amp;creator=factset&amp;DOC_NAME=fat:reuters_annual_source_window.fat&amp;display_string=Audit&amp;DYN_ARGS=TRUE&amp;VAR:ID1=11984810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2__FDSAUDITLINK__" hidden="1">{"fdsup://IBCentral/FAT Viewer?action=UPDATE&amp;creator=factset&amp;DOC_NAME=fat:reuters_annual_source_window.fat&amp;display_string=Audit&amp;DYN_ARGS=TRUE&amp;VAR:ID1=11984810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3__FDSAUDITLINK__" hidden="1">{"fdsup://IBCentral/FAT Viewer?action=UPDATE&amp;creator=factset&amp;DOC_NAME=fat:reuters_annual_source_window.fat&amp;display_string=Audit&amp;DYN_ARGS=TRUE&amp;VAR:ID1=11984810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4__FDSAUDITLINK__" hidden="1">{"fdsup://IBCentral/FAT Viewer?action=UPDATE&amp;creator=factset&amp;DOC_NAME=fat:reuters_annual_source_window.fat&amp;display_string=Audit&amp;DYN_ARGS=TRUE&amp;VAR:ID1=69333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5__FDSAUDITLINK__" hidden="1">{"fdsup://IBCentral/FAT Viewer?action=UPDATE&amp;creator=factset&amp;DOC_NAME=fat:reuters_annual_source_window.fat&amp;display_string=Audit&amp;DYN_ARGS=TRUE&amp;VAR:ID1=69333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6__FDSAUDITLINK__" hidden="1">{"fdsup://IBCentral/FAT Viewer?action=UPDATE&amp;creator=factset&amp;DOC_NAME=fat:reuters_annual_source_window.fat&amp;display_string=Audit&amp;DYN_ARGS=TRUE&amp;VAR:ID1=69333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7__FDSAUDITLINK__" hidden="1">{"fdsup://IBCentral/FAT Viewer?action=UPDATE&amp;creator=factset&amp;DOC_NAME=fat:reuters_annual_source_window.fat&amp;display_string=Audit&amp;DYN_ARGS=TRUE&amp;VAR:ID1=69333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8__FDSAUDITLINK__" hidden="1">{"fdsup://IBCentral/FAT Viewer?action=UPDATE&amp;creator=factset&amp;DOC_NAME=fat:reuters_annual_source_window.fat&amp;display_string=Audit&amp;DYN_ARGS=TRUE&amp;VAR:ID1=88268110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89__FDSAUDITLINK__" hidden="1">{"fdsup://IBCentral/FAT Viewer?action=UPDATE&amp;creator=factset&amp;DOC_NAME=fat:reuters_annual_source_window.fat&amp;display_string=Audit&amp;DYN_ARGS=TRUE&amp;VAR:ID1=88268110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annual_source_window.fat&amp;display_string=Audit&amp;DYN_ARGS=TRUE&amp;VAR:ID1=95059010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0__FDSAUDITLINK__" hidden="1">{"fdsup://IBCentral/FAT Viewer?action=UPDATE&amp;creator=factset&amp;DOC_NAME=fat:reuters_annual_source_window.fat&amp;display_string=Audit&amp;DYN_ARGS=TRUE&amp;VAR:ID1=88268110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1__FDSAUDITLINK__" hidden="1">{"fdsup://IBCentral/FAT Viewer?action=UPDATE&amp;creator=factset&amp;DOC_NAME=fat:reuters_annual_source_window.fat&amp;display_string=Audit&amp;DYN_ARGS=TRUE&amp;VAR:ID1=88268110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2__FDSAUDITLINK__" hidden="1">{"fdsup://IBCentral/FAT Viewer?action=UPDATE&amp;creator=factset&amp;DOC_NAME=fat:reuters_annual_source_window.fat&amp;display_string=Audit&amp;DYN_ARGS=TRUE&amp;VAR:ID1=16307210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3__FDSAUDITLINK__" hidden="1">{"fdsup://IBCentral/FAT Viewer?action=UPDATE&amp;creator=factset&amp;DOC_NAME=fat:reuters_annual_source_window.fat&amp;display_string=Audit&amp;DYN_ARGS=TRUE&amp;VAR:ID1=16307210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22122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22122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25754A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25754A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8__FDSAUDITLINK__" hidden="1">{"fdsup://IBCentral/FAT Viewer?action=UPDATE&amp;creator=factset&amp;DOC_NAME=fat:reuters_annual_source_window.fat&amp;display_string=Audit&amp;DYN_ARGS=TRUE&amp;VAR:ID1=25754A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499__FDSAUDITLINK__" hidden="1">{"fdsup://IBCentral/FAT Viewer?action=UPDATE&amp;creator=factset&amp;DOC_NAME=fat:reuters_annual_source_window.fat&amp;display_string=Audit&amp;DYN_ARGS=TRUE&amp;VAR:ID1=25754A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203728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98849810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00__FDSAUDITLINK__" hidden="1">{"fdsup://IBCentral/FAT Viewer?action=UPDATE&amp;creator=factset&amp;DOC_NAME=fat:reuters_annual_source_window.fat&amp;display_string=Audit&amp;DYN_ARGS=TRUE&amp;VAR:ID1=69881310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1__FDSAUDITLINK__" hidden="1">{"fdsup://IBCentral/FAT Viewer?action=UPDATE&amp;creator=factset&amp;DOC_NAME=fat:reuters_annual_source_window.fat&amp;display_string=Audit&amp;DYN_ARGS=TRUE&amp;VAR:ID1=69881310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2__FDSAUDITLINK__" hidden="1">{"fdsup://IBCentral/FAT Viewer?action=UPDATE&amp;creator=factset&amp;DOC_NAME=fat:reuters_annual_source_window.fat&amp;display_string=Audit&amp;DYN_ARGS=TRUE&amp;VAR:ID1=69881310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3__FDSAUDITLINK__" hidden="1">{"fdsup://IBCentral/FAT Viewer?action=UPDATE&amp;creator=factset&amp;DOC_NAME=fat:reuters_annual_source_window.fat&amp;display_string=Audit&amp;DYN_ARGS=TRUE&amp;VAR:ID1=69881310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4__FDSAUDITLINK__" hidden="1">{"fdsup://IBCentral/FAT Viewer?action=UPDATE&amp;creator=factset&amp;DOC_NAME=fat:reuters_annual_source_window.fat&amp;display_string=Audit&amp;DYN_ARGS=TRUE&amp;VAR:ID1=12561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5__FDSAUDITLINK__" hidden="1">{"fdsup://IBCentral/FAT Viewer?action=UPDATE&amp;creator=factset&amp;DOC_NAME=fat:reuters_annual_source_window.fat&amp;display_string=Audit&amp;DYN_ARGS=TRUE&amp;VAR:ID1=12561E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6__FDSAUDITLINK__" hidden="1">{"fdsup://IBCentral/FAT Viewer?action=UPDATE&amp;creator=factset&amp;DOC_NAME=fat:reuters_annual_source_window.fat&amp;display_string=Audit&amp;DYN_ARGS=TRUE&amp;VAR:ID1=12561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7__FDSAUDITLINK__" hidden="1">{"fdsup://IBCentral/FAT Viewer?action=UPDATE&amp;creator=factset&amp;DOC_NAME=fat:reuters_annual_source_window.fat&amp;display_string=Audit&amp;DYN_ARGS=TRUE&amp;VAR:ID1=12561E10&amp;VAR:RCODE=CFGR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8__FDSAUDITLINK__" hidden="1">{"fdsup://IBCentral/FAT Viewer?action=UPDATE&amp;creator=factset&amp;DOC_NAME=fat:reuters_annual_source_window.fat&amp;display_string=Audit&amp;DYN_ARGS=TRUE&amp;VAR:ID1=83545110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09__FDSAUDITLINK__" hidden="1">{"fdsup://IBCentral/FAT Viewer?action=UPDATE&amp;creator=factset&amp;DOC_NAME=fat:reuters_annual_source_window.fat&amp;display_string=Audit&amp;DYN_ARGS=TRUE&amp;VAR:ID1=83545110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annual_source_window.fat&amp;display_string=Audit&amp;DYN_ARGS=TRUE&amp;VAR:ID1=12120820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10__FDSAUDITLINK__" hidden="1">{"fdsup://IBCentral/FAT Viewer?action=UPDATE&amp;creator=factset&amp;DOC_NAME=fat:reuters_annual_source_window.fat&amp;display_string=Audit&amp;DYN_ARGS=TRUE&amp;VAR:ID1=83545110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83545110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46636710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46636710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46636710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5__FDSAUDITLINK__" hidden="1">{"fdsup://IBCentral/FAT Viewer?action=UPDATE&amp;creator=factset&amp;DOC_NAME=fat:reuters_annual_source_window.fat&amp;display_string=Audit&amp;DYN_ARGS=TRUE&amp;VAR:ID1=46636710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6__FDSAUDITLINK__" hidden="1">{"fdsup://IBCentral/FAT Viewer?action=UPDATE&amp;creator=factset&amp;DOC_NAME=fat:reuters_annual_source_window.fat&amp;display_string=Audit&amp;DYN_ARGS=TRUE&amp;VAR:ID1=95059010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7__FDSAUDITLINK__" hidden="1">{"fdsup://IBCentral/FAT Viewer?action=UPDATE&amp;creator=factset&amp;DOC_NAME=fat:reuters_annual_source_window.fat&amp;display_string=Audit&amp;DYN_ARGS=TRUE&amp;VAR:ID1=95059010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8__FDSAUDITLINK__" hidden="1">{"fdsup://IBCentral/FAT Viewer?action=UPDATE&amp;creator=factset&amp;DOC_NAME=fat:reuters_annual_source_window.fat&amp;display_string=Audit&amp;DYN_ARGS=TRUE&amp;VAR:ID1=98849810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19__FDSAUDITLINK__" hidden="1">{"fdsup://IBCentral/FAT Viewer?action=UPDATE&amp;creator=factset&amp;DOC_NAME=fat:reuters_annual_source_window.fat&amp;display_string=Audit&amp;DYN_ARGS=TRUE&amp;VAR:ID1=98849810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58013510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annual_source_window.fat&amp;display_string=Audit&amp;DYN_ARGS=TRUE&amp;VAR:ID1=98849810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1__FDSAUDITLINK__" hidden="1">{"fdsup://IBCentral/FAT Viewer?action=UPDATE&amp;creator=factset&amp;DOC_NAME=fat:reuters_annual_source_window.fat&amp;display_string=Audit&amp;DYN_ARGS=TRUE&amp;VAR:ID1=98849810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2__FDSAUDITLINK__" hidden="1">{"fdsup://IBCentral/FAT Viewer?action=UPDATE&amp;creator=factset&amp;DOC_NAME=fat:reuters_annual_source_window.fat&amp;display_string=Audit&amp;DYN_ARGS=TRUE&amp;VAR:ID1=12120820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3__FDSAUDITLINK__" hidden="1">{"fdsup://IBCentral/FAT Viewer?action=UPDATE&amp;creator=factset&amp;DOC_NAME=fat:reuters_annual_source_window.fat&amp;display_string=Audit&amp;DYN_ARGS=TRUE&amp;VAR:ID1=12120820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4__FDSAUDITLINK__" hidden="1">{"fdsup://IBCentral/FAT Viewer?action=UPDATE&amp;creator=factset&amp;DOC_NAME=fat:reuters_annual_source_window.fat&amp;display_string=Audit&amp;DYN_ARGS=TRUE&amp;VAR:ID1=12120820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5__FDSAUDITLINK__" hidden="1">{"fdsup://IBCentral/FAT Viewer?action=UPDATE&amp;creator=factset&amp;DOC_NAME=fat:reuters_annual_source_window.fat&amp;display_string=Audit&amp;DYN_ARGS=TRUE&amp;VAR:ID1=12120820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6__FDSAUDITLINK__" hidden="1">{"fdsup://IBCentral/FAT Viewer?action=UPDATE&amp;creator=factset&amp;DOC_NAME=fat:reuters_annual_source_window.fat&amp;display_string=Audit&amp;DYN_ARGS=TRUE&amp;VAR:ID1=58013510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7__FDSAUDITLINK__" hidden="1">{"fdsup://IBCentral/FAT Viewer?action=UPDATE&amp;creator=factset&amp;DOC_NAME=fat:reuters_annual_source_window.fat&amp;display_string=Audit&amp;DYN_ARGS=TRUE&amp;VAR:ID1=58013510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58013510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58013510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69840W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69840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69840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2__FDSAUDITLINK__" hidden="1">{"fdsup://IBCentral/FAT Viewer?action=UPDATE&amp;creator=factset&amp;DOC_NAME=fat:reuters_annual_source_window.fat&amp;display_string=Audit&amp;DYN_ARGS=TRUE&amp;VAR:ID1=69840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3__FDSAUDITLINK__" hidden="1">{"fdsup://IBCentral/FAT Viewer?action=UPDATE&amp;creator=factset&amp;DOC_NAME=fat:reuters_annual_source_window.fat&amp;display_string=Audit&amp;DYN_ARGS=TRUE&amp;VAR:ID1=69840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4__FDSAUDITLINK__" hidden="1">{"fdsup://IBCentral/FAT Viewer?action=UPDATE&amp;creator=factset&amp;DOC_NAME=fat:reuters_annual_source_window.fat&amp;display_string=Audit&amp;DYN_ARGS=TRUE&amp;VAR:ID1=16965610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5__FDSAUDITLINK__" hidden="1">{"fdsup://IBCentral/FAT Viewer?action=UPDATE&amp;creator=factset&amp;DOC_NAME=fat:reuters_annual_source_window.fat&amp;display_string=Audit&amp;DYN_ARGS=TRUE&amp;VAR:ID1=16965610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6__FDSAUDITLINK__" hidden="1">{"fdsup://IBCentral/FAT Viewer?action=UPDATE&amp;creator=factset&amp;DOC_NAME=fat:reuters_annual_source_window.fat&amp;display_string=Audit&amp;DYN_ARGS=TRUE&amp;VAR:ID1=12008R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7__FDSAUDITLINK__" hidden="1">{"fdsup://IBCentral/FAT Viewer?action=UPDATE&amp;creator=factset&amp;DOC_NAME=fat:reuters_annual_source_window.fat&amp;display_string=Audit&amp;DYN_ARGS=TRUE&amp;VAR:ID1=12008R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8__FDSAUDITLINK__" hidden="1">{"fdsup://IBCentral/FAT Viewer?action=UPDATE&amp;creator=factset&amp;DOC_NAME=fat:reuters_annual_source_window.fat&amp;display_string=Audit&amp;DYN_ARGS=TRUE&amp;VAR:ID1=12008R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39__FDSAUDITLINK__" hidden="1">{"fdsup://IBCentral/FAT Viewer?action=UPDATE&amp;creator=factset&amp;DOC_NAME=fat:reuters_annual_source_window.fat&amp;display_string=Audit&amp;DYN_ARGS=TRUE&amp;VAR:ID1=12008R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16965610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0__FDSAUDITLINK__" hidden="1">{"fdsup://IBCentral/FAT Viewer?action=UPDATE&amp;creator=factset&amp;DOC_NAME=fat:reuters_annual_source_window.fat&amp;display_string=Audit&amp;DYN_ARGS=TRUE&amp;VAR:ID1=09624H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1__FDSAUDITLINK__" hidden="1">{"fdsup://IBCentral/FAT Viewer?action=UPDATE&amp;creator=factset&amp;DOC_NAME=fat:reuters_annual_source_window.fat&amp;display_string=Audit&amp;DYN_ARGS=TRUE&amp;VAR:ID1=09624H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2__FDSAUDITLINK__" hidden="1">{"fdsup://IBCentral/FAT Viewer?action=UPDATE&amp;creator=factset&amp;DOC_NAME=fat:reuters_annual_source_window.fat&amp;display_string=Audit&amp;DYN_ARGS=TRUE&amp;VAR:ID1=09624H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3__FDSAUDITLINK__" hidden="1">{"fdsup://IBCentral/FAT Viewer?action=UPDATE&amp;creator=factset&amp;DOC_NAME=fat:reuters_annual_source_window.fat&amp;display_string=Audit&amp;DYN_ARGS=TRUE&amp;VAR:ID1=09624H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4__FDSAUDITLINK__" hidden="1">{"fdsup://IBCentral/FAT Viewer?action=UPDATE&amp;creator=factset&amp;DOC_NAME=fat:reuters_annual_source_window.fat&amp;display_string=Audit&amp;DYN_ARGS=TRUE&amp;VAR:ID1=57459910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5__FDSAUDITLINK__" hidden="1">{"fdsup://IBCentral/FAT Viewer?action=UPDATE&amp;creator=factset&amp;DOC_NAME=fat:reuters_annual_source_window.fat&amp;display_string=Audit&amp;DYN_ARGS=TRUE&amp;VAR:ID1=57459910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57459910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57459910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78351310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78351310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12008R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78351310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annual_source_window.fat&amp;display_string=Audit&amp;DYN_ARGS=TRUE&amp;VAR:ID1=78351310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annual_source_window.fat&amp;display_string=Audit&amp;DYN_ARGS=TRUE&amp;VAR:ID1=83087910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annual_source_window.fat&amp;display_string=Audit&amp;DYN_ARGS=TRUE&amp;VAR:ID1=83087910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annual_source_window.fat&amp;display_string=Audit&amp;DYN_ARGS=TRUE&amp;VAR:ID1=83087910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annual_source_window.fat&amp;display_string=Audit&amp;DYN_ARGS=TRUE&amp;VAR:ID1=83087910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annual_source_window.fat&amp;display_string=Audit&amp;DYN_ARGS=TRUE&amp;VAR:ID1=76027610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annual_source_window.fat&amp;display_string=Audit&amp;DYN_ARGS=TRUE&amp;VAR:ID1=76027610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annual_source_window.fat&amp;display_string=Audit&amp;DYN_ARGS=TRUE&amp;VAR:ID1=76027610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annual_source_window.fat&amp;display_string=Audit&amp;DYN_ARGS=TRUE&amp;VAR:ID1=76027610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12011310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annual_source_window.fat&amp;display_string=Audit&amp;DYN_ARGS=TRUE&amp;VAR:ID1=59047910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annual_source_window.fat&amp;display_string=Audit&amp;DYN_ARGS=TRUE&amp;VAR:ID1=59047910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2__FDSAUDITLINK__" hidden="1">{"fdsup://IBCentral/FAT Viewer?action=UPDATE&amp;creator=factset&amp;DOC_NAME=fat:reuters_annual_source_window.fat&amp;display_string=Audit&amp;DYN_ARGS=TRUE&amp;VAR:ID1=59047910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annual_source_window.fat&amp;display_string=Audit&amp;DYN_ARGS=TRUE&amp;VAR:ID1=59047910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annual_source_window.fat&amp;display_string=Audit&amp;DYN_ARGS=TRUE&amp;VAR:ID1=47714310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47714310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47714310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47714310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35905910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annual_source_window.fat&amp;display_string=Audit&amp;DYN_ARGS=TRUE&amp;VAR:ID1=35905910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09624H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annual_source_window.fat&amp;display_string=Audit&amp;DYN_ARGS=TRUE&amp;VAR:ID1=35905910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1__FDSAUDITLINK__" hidden="1">{"fdsup://IBCentral/FAT Viewer?action=UPDATE&amp;creator=factset&amp;DOC_NAME=fat:reuters_annual_source_window.fat&amp;display_string=Audit&amp;DYN_ARGS=TRUE&amp;VAR:ID1=35905910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2__FDSAUDITLINK__" hidden="1">{"fdsup://IBCentral/FAT Viewer?action=UPDATE&amp;creator=factset&amp;DOC_NAME=fat:reuters_annual_source_window.fat&amp;display_string=Audit&amp;DYN_ARGS=TRUE&amp;VAR:ID1=01748X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3__FDSAUDITLINK__" hidden="1">{"fdsup://IBCentral/FAT Viewer?action=UPDATE&amp;creator=factset&amp;DOC_NAME=fat:reuters_annual_source_window.fat&amp;display_string=Audit&amp;DYN_ARGS=TRUE&amp;VAR:ID1=01748X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4__FDSAUDITLINK__" hidden="1">{"fdsup://IBCentral/FAT Viewer?action=UPDATE&amp;creator=factset&amp;DOC_NAME=fat:reuters_annual_source_window.fat&amp;display_string=Audit&amp;DYN_ARGS=TRUE&amp;VAR:ID1=00949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5__FDSAUDITLINK__" hidden="1">{"fdsup://IBCentral/FAT Viewer?action=UPDATE&amp;creator=factset&amp;DOC_NAME=fat:reuters_annual_source_window.fat&amp;display_string=Audit&amp;DYN_ARGS=TRUE&amp;VAR:ID1=00949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6__FDSAUDITLINK__" hidden="1">{"fdsup://IBCentral/FAT Viewer?action=UPDATE&amp;creator=factset&amp;DOC_NAME=fat:reuters_annual_source_window.fat&amp;display_string=Audit&amp;DYN_ARGS=TRUE&amp;VAR:ID1=00949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7__FDSAUDITLINK__" hidden="1">{"fdsup://IBCentral/FAT Viewer?action=UPDATE&amp;creator=factset&amp;DOC_NAME=fat:reuters_annual_source_window.fat&amp;display_string=Audit&amp;DYN_ARGS=TRUE&amp;VAR:ID1=00949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8__FDSAUDITLINK__" hidden="1">{"fdsup://IBCentral/FAT Viewer?action=UPDATE&amp;creator=factset&amp;DOC_NAME=fat:reuters_annual_source_window.fat&amp;display_string=Audit&amp;DYN_ARGS=TRUE&amp;VAR:ID1=90341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79__FDSAUDITLINK__" hidden="1">{"fdsup://IBCentral/FAT Viewer?action=UPDATE&amp;creator=factset&amp;DOC_NAME=fat:reuters_annual_source_window.fat&amp;display_string=Audit&amp;DYN_ARGS=TRUE&amp;VAR:ID1=90341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57459910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annual_source_window.fat&amp;display_string=Audit&amp;DYN_ARGS=TRUE&amp;VAR:ID1=90341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1__FDSAUDITLINK__" hidden="1">{"fdsup://IBCentral/FAT Viewer?action=UPDATE&amp;creator=factset&amp;DOC_NAME=fat:reuters_annual_source_window.fat&amp;display_string=Audit&amp;DYN_ARGS=TRUE&amp;VAR:ID1=90341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21079530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21079530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21079530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annual_source_window.fat&amp;display_string=Audit&amp;DYN_ARGS=TRUE&amp;VAR:ID1=21079530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annual_source_window.fat&amp;display_string=Audit&amp;DYN_ARGS=TRUE&amp;VAR:ID1=66728040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annual_source_window.fat&amp;display_string=Audit&amp;DYN_ARGS=TRUE&amp;VAR:ID1=66728040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annual_source_window.fat&amp;display_string=Audit&amp;DYN_ARGS=TRUE&amp;VAR:ID1=24736170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annual_source_window.fat&amp;display_string=Audit&amp;DYN_ARGS=TRUE&amp;VAR:ID1=24736170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72344310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0__FDSAUDITLINK__" hidden="1">{"fdsup://IBCentral/FAT Viewer?action=UPDATE&amp;creator=factset&amp;DOC_NAME=fat:reuters_annual_source_window.fat&amp;display_string=Audit&amp;DYN_ARGS=TRUE&amp;VAR:ID1=24736170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annual_source_window.fat&amp;display_string=Audit&amp;DYN_ARGS=TRUE&amp;VAR:ID1=24736170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annual_source_window.fat&amp;display_string=Audit&amp;DYN_ARGS=TRUE&amp;VAR:ID1=90254980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annual_source_window.fat&amp;display_string=Audit&amp;DYN_ARGS=TRUE&amp;VAR:ID1=90254980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annual_source_window.fat&amp;display_string=Audit&amp;DYN_ARGS=TRUE&amp;VAR:ID1=90254980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annual_source_window.fat&amp;display_string=Audit&amp;DYN_ARGS=TRUE&amp;VAR:ID1=84474110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annual_source_window.fat&amp;display_string=Audit&amp;DYN_ARGS=TRUE&amp;VAR:ID1=84474110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84474110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84474110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00176510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annual_source_window.fat&amp;display_string=Audit&amp;DYN_ARGS=TRUE&amp;VAR:ID1=90343C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78351310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{"fdsup://IBCentral/FAT Viewer?action=UPDATE&amp;creator=factset&amp;DOC_NAME=fat:reuters_annual_source_window.fat&amp;display_string=Audit&amp;DYN_ARGS=TRUE&amp;VAR:ID1=00176510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1__FDSAUDITLINK__" hidden="1">{"fdsup://IBCentral/FAT Viewer?action=UPDATE&amp;creator=factset&amp;DOC_NAME=fat:reuters_annual_source_window.fat&amp;display_string=Audit&amp;DYN_ARGS=TRUE&amp;VAR:ID1=00176510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annual_source_window.fat&amp;display_string=Audit&amp;DYN_ARGS=TRUE&amp;VAR:ID1=00176510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annual_source_window.fat&amp;display_string=Audit&amp;DYN_ARGS=TRUE&amp;VAR:ID1=01165910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annual_source_window.fat&amp;display_string=Audit&amp;DYN_ARGS=TRUE&amp;VAR:ID1=01165910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annual_source_window.fat&amp;display_string=Audit&amp;DYN_ARGS=TRUE&amp;VAR:ID1=01165910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annual_source_window.fat&amp;display_string=Audit&amp;DYN_ARGS=TRUE&amp;VAR:ID1=01165910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annual_source_window.fat&amp;display_string=Audit&amp;DYN_ARGS=TRUE&amp;VAR:ID1=59491810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annual_source_window.fat&amp;display_string=Audit&amp;DYN_ARGS=TRUE&amp;VAR:ID1=59491810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annual_source_window.fat&amp;display_string=Audit&amp;DYN_ARGS=TRUE&amp;VAR:ID1=59491810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83087910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annual_source_window.fat&amp;display_string=Audit&amp;DYN_ARGS=TRUE&amp;VAR:ID1=59491810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annual_source_window.fat&amp;display_string=Audit&amp;DYN_ARGS=TRUE&amp;VAR:ID1=19121610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annual_source_window.fat&amp;display_string=Audit&amp;DYN_ARGS=TRUE&amp;VAR:ID1=19121610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annual_source_window.fat&amp;display_string=Audit&amp;DYN_ARGS=TRUE&amp;VAR:ID1=19121610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19121610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25468710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25468710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25468710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8__FDSAUDITLINK__" hidden="1">{"fdsup://IBCentral/FAT Viewer?action=UPDATE&amp;creator=factset&amp;DOC_NAME=fat:reuters_annual_source_window.fat&amp;display_string=Audit&amp;DYN_ARGS=TRUE&amp;VAR:ID1=25468710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19__FDSAUDITLINK__" hidden="1">{"fdsup://IBCentral/FAT Viewer?action=UPDATE&amp;creator=factset&amp;DOC_NAME=fat:reuters_annual_source_window.fat&amp;display_string=Audit&amp;DYN_ARGS=TRUE&amp;VAR:ID1=03783310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76027610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annual_source_window.fat&amp;display_string=Audit&amp;DYN_ARGS=TRUE&amp;VAR:ID1=03783310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1__FDSAUDITLINK__" hidden="1">{"fdsup://IBCentral/FAT Viewer?action=UPDATE&amp;creator=factset&amp;DOC_NAME=fat:reuters_annual_source_window.fat&amp;display_string=Audit&amp;DYN_ARGS=TRUE&amp;VAR:ID1=03783310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2__FDSAUDITLINK__" hidden="1">{"fdsup://IBCentral/FAT Viewer?action=UPDATE&amp;creator=factset&amp;DOC_NAME=fat:reuters_annual_source_window.fat&amp;display_string=Audit&amp;DYN_ARGS=TRUE&amp;VAR:ID1=03783310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3__FDSAUDITLINK__" hidden="1">{"fdsup://IBCentral/FAT Viewer?action=UPDATE&amp;creator=factset&amp;DOC_NAME=fat:reuters_annual_source_window.fat&amp;display_string=Audit&amp;DYN_ARGS=TRUE&amp;VAR:ID1=58013510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4__FDSAUDITLINK__" hidden="1">{"fdsup://IBCentral/FAT Viewer?action=UPDATE&amp;creator=factset&amp;DOC_NAME=fat:reuters_annual_source_window.fat&amp;display_string=Audit&amp;DYN_ARGS=TRUE&amp;VAR:ID1=58013510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5__FDSAUDITLINK__" hidden="1">{"fdsup://IBCentral/FAT Viewer?action=UPDATE&amp;creator=factset&amp;DOC_NAME=fat:reuters_annual_source_window.fat&amp;display_string=Audit&amp;DYN_ARGS=TRUE&amp;VAR:ID1=58013510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6__FDSAUDITLINK__" hidden="1">{"fdsup://IBCentral/FAT Viewer?action=UPDATE&amp;creator=factset&amp;DOC_NAME=fat:reuters_annual_source_window.fat&amp;display_string=Audit&amp;DYN_ARGS=TRUE&amp;VAR:ID1=58013510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7__FDSAUDITLINK__" hidden="1">{"fdsup://IBCentral/FAT Viewer?action=UPDATE&amp;creator=factset&amp;DOC_NAME=fat:reuters_annual_source_window.fat&amp;display_string=Audit&amp;DYN_ARGS=TRUE&amp;VAR:ID1=65410610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8__FDSAUDITLINK__" hidden="1">{"fdsup://IBCentral/FAT Viewer?action=UPDATE&amp;creator=factset&amp;DOC_NAME=fat:reuters_annual_source_window.fat&amp;display_string=Audit&amp;DYN_ARGS=TRUE&amp;VAR:ID1=65410610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29__FDSAUDITLINK__" hidden="1">{"fdsup://IBCentral/FAT Viewer?action=UPDATE&amp;creator=factset&amp;DOC_NAME=fat:reuters_annual_source_window.fat&amp;display_string=Audit&amp;DYN_ARGS=TRUE&amp;VAR:ID1=65410610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59047910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annual_source_window.fat&amp;display_string=Audit&amp;DYN_ARGS=TRUE&amp;VAR:ID1=65410610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1__FDSAUDITLINK__" hidden="1">{"fdsup://IBCentral/FAT Viewer?action=UPDATE&amp;creator=factset&amp;DOC_NAME=fat:reuters_annual_source_window.fat&amp;display_string=Audit&amp;DYN_ARGS=TRUE&amp;VAR:ID1=22122P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22122P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83545110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83545110&amp;VAR:RCODE=SCEX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5__FDSAUDITLINK__" hidden="1">{"fdsup://IBCentral/FAT Viewer?action=UPDATE&amp;creator=factset&amp;DOC_NAME=fat:reuters_annual_source_window.fat&amp;display_string=Audit&amp;DYN_ARGS=TRUE&amp;VAR:ID1=83545110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6__FDSAUDITLINK__" hidden="1">{"fdsup://IBCentral/FAT Viewer?action=UPDATE&amp;creator=factset&amp;DOC_NAME=fat:reuters_annual_source_window.fat&amp;display_string=Audit&amp;DYN_ARGS=TRUE&amp;VAR:ID1=83545110&amp;VAR:RCODE=CFGR&amp;VAR:SDATE=20070899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7__FDSAUDITLINK__" hidden="1">{"fdsup://IBCentral/FAT Viewer?action=UPDATE&amp;creator=factset&amp;DOC_NAME=fat:reuters_annual_source_window.fat&amp;display_string=Audit&amp;DYN_ARGS=TRUE&amp;VAR:ID1=69333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8__FDSAUDITLINK__" hidden="1">{"fdsup://IBCentral/FAT Viewer?action=UPDATE&amp;creator=factset&amp;DOC_NAME=fat:reuters_annual_source_window.fat&amp;display_string=Audit&amp;DYN_ARGS=TRUE&amp;VAR:ID1=69333Y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39__FDSAUDITLINK__" hidden="1">{"fdsup://IBCentral/FAT Viewer?action=UPDATE&amp;creator=factset&amp;DOC_NAME=fat:reuters_annual_source_window.fat&amp;display_string=Audit&amp;DYN_ARGS=TRUE&amp;VAR:ID1=69333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47714310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annual_source_window.fat&amp;display_string=Audit&amp;DYN_ARGS=TRUE&amp;VAR:ID1=69333Y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1__FDSAUDITLINK__" hidden="1">{"fdsup://IBCentral/FAT Viewer?action=UPDATE&amp;creator=factset&amp;DOC_NAME=fat:reuters_annual_source_window.fat&amp;display_string=Audit&amp;DYN_ARGS=TRUE&amp;VAR:ID1=69840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2__FDSAUDITLINK__" hidden="1">{"fdsup://IBCentral/FAT Viewer?action=UPDATE&amp;creator=factset&amp;DOC_NAME=fat:reuters_annual_source_window.fat&amp;display_string=Audit&amp;DYN_ARGS=TRUE&amp;VAR:ID1=69840W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3__FDSAUDITLINK__" hidden="1">{"fdsup://IBCentral/FAT Viewer?action=UPDATE&amp;creator=factset&amp;DOC_NAME=fat:reuters_annual_source_window.fat&amp;display_string=Audit&amp;DYN_ARGS=TRUE&amp;VAR:ID1=69840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4__FDSAUDITLINK__" hidden="1">{"fdsup://IBCentral/FAT Viewer?action=UPDATE&amp;creator=factset&amp;DOC_NAME=fat:reuters_annual_source_window.fat&amp;display_string=Audit&amp;DYN_ARGS=TRUE&amp;VAR:ID1=69840W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5__FDSAUDITLINK__" hidden="1">{"fdsup://IBCentral/FAT Viewer?action=UPDATE&amp;creator=factset&amp;DOC_NAME=fat:reuters_annual_source_window.fat&amp;display_string=Audit&amp;DYN_ARGS=TRUE&amp;VAR:ID1=16965610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6__FDSAUDITLINK__" hidden="1">{"fdsup://IBCentral/FAT Viewer?action=UPDATE&amp;creator=factset&amp;DOC_NAME=fat:reuters_annual_source_window.fat&amp;display_string=Audit&amp;DYN_ARGS=TRUE&amp;VAR:ID1=16965610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7__FDSAUDITLINK__" hidden="1">{"fdsup://IBCentral/FAT Viewer?action=UPDATE&amp;creator=factset&amp;DOC_NAME=fat:reuters_annual_source_window.fat&amp;display_string=Audit&amp;DYN_ARGS=TRUE&amp;VAR:ID1=11984810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11984810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11984810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41987910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11984810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B24CGK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652__FDSAUDITLINK__" hidden="1">{"fdsup://IBCentral/FAT Viewer?action=UPDATE&amp;creator=factset&amp;DOC_NAME=fat:reuters_annual_source_window.fat&amp;display_string=Audit&amp;DYN_ARGS=TRUE&amp;VAR:ID1=B24CGK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653__FDSAUDITLINK__" hidden="1">{"fdsup://IBCentral/FAT Viewer?action=UPDATE&amp;creator=factset&amp;DOC_NAME=fat:reuters_annual_source_window.fat&amp;display_string=Audit&amp;DYN_ARGS=TRUE&amp;VAR:ID1=B24CGK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654__FDSAUDITLINK__" hidden="1">{"fdsup://IBCentral/FAT Viewer?action=UPDATE&amp;creator=factset&amp;DOC_NAME=fat:reuters_annual_source_window.fat&amp;display_string=Audit&amp;DYN_ARGS=TRUE&amp;VAR:ID1=B24CGK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655__FDSAUDITLINK__" hidden="1">{"fdsup://IBCentral/FAT Viewer?action=UPDATE&amp;creator=factset&amp;DOC_NAME=fat:reuters_annual_source_window.fat&amp;display_string=Audit&amp;DYN_ARGS=TRUE&amp;VAR:ID1=74271810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6__FDSAUDITLINK__" hidden="1">{"fdsup://IBCentral/FAT Viewer?action=UPDATE&amp;creator=factset&amp;DOC_NAME=fat:reuters_annual_source_window.fat&amp;display_string=Audit&amp;DYN_ARGS=TRUE&amp;VAR:ID1=74271810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7__FDSAUDITLINK__" hidden="1">{"fdsup://IBCentral/FAT Viewer?action=UPDATE&amp;creator=factset&amp;DOC_NAME=fat:reuters_annual_source_window.fat&amp;display_string=Audit&amp;DYN_ARGS=TRUE&amp;VAR:ID1=74271810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8__FDSAUDITLINK__" hidden="1">{"fdsup://IBCentral/FAT Viewer?action=UPDATE&amp;creator=factset&amp;DOC_NAME=fat:reuters_annual_source_window.fat&amp;display_string=Audit&amp;DYN_ARGS=TRUE&amp;VAR:ID1=74271810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59__FDSAUDITLINK__" hidden="1">{"fdsup://IBCentral/FAT Viewer?action=UPDATE&amp;creator=factset&amp;DOC_NAME=fat:reuters_annual_source_window.fat&amp;display_string=Audit&amp;DYN_ARGS=TRUE&amp;VAR:ID1=94862610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35905910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annual_source_window.fat&amp;display_string=Audit&amp;DYN_ARGS=TRUE&amp;VAR:ID1=94862610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1__FDSAUDITLINK__" hidden="1">{"fdsup://IBCentral/FAT Viewer?action=UPDATE&amp;creator=factset&amp;DOC_NAME=fat:reuters_annual_source_window.fat&amp;display_string=Audit&amp;DYN_ARGS=TRUE&amp;VAR:ID1=84762L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2__FDSAUDITLINK__" hidden="1">{"fdsup://IBCentral/FAT Viewer?action=UPDATE&amp;creator=factset&amp;DOC_NAME=fat:reuters_annual_source_window.fat&amp;display_string=Audit&amp;DYN_ARGS=TRUE&amp;VAR:ID1=84762L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3__FDSAUDITLINK__" hidden="1">{"fdsup://IBCentral/FAT Viewer?action=UPDATE&amp;creator=factset&amp;DOC_NAME=fat:reuters_annual_source_window.fat&amp;display_string=Audit&amp;DYN_ARGS=TRUE&amp;VAR:ID1=84762L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4__FDSAUDITLINK__" hidden="1">{"fdsup://IBCentral/FAT Viewer?action=UPDATE&amp;creator=factset&amp;DOC_NAME=fat:reuters_annual_source_window.fat&amp;display_string=Audit&amp;DYN_ARGS=TRUE&amp;VAR:ID1=84762L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81018610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81018610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81018610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81018610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69__FDSAUDITLINK__" hidden="1">{"fdsup://IBCentral/FAT Viewer?action=UPDATE&amp;creator=factset&amp;DOC_NAME=fat:reuters_annual_source_window.fat&amp;display_string=Audit&amp;DYN_ARGS=TRUE&amp;VAR:ID1=73278L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30218U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annual_source_window.fat&amp;display_string=Audit&amp;DYN_ARGS=TRUE&amp;VAR:ID1=73278L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1__FDSAUDITLINK__" hidden="1">{"fdsup://IBCentral/FAT Viewer?action=UPDATE&amp;creator=factset&amp;DOC_NAME=fat:reuters_annual_source_window.fat&amp;display_string=Audit&amp;DYN_ARGS=TRUE&amp;VAR:ID1=73278L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2__FDSAUDITLINK__" hidden="1">{"fdsup://IBCentral/FAT Viewer?action=UPDATE&amp;creator=factset&amp;DOC_NAME=fat:reuters_annual_source_window.fat&amp;display_string=Audit&amp;DYN_ARGS=TRUE&amp;VAR:ID1=73278L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3__FDSAUDITLINK__" hidden="1">{"fdsup://IBCentral/FAT Viewer?action=UPDATE&amp;creator=factset&amp;DOC_NAME=fat:reuters_annual_source_window.fat&amp;display_string=Audit&amp;DYN_ARGS=TRUE&amp;VAR:ID1=67069D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4__FDSAUDITLINK__" hidden="1">{"fdsup://IBCentral/FAT Viewer?action=UPDATE&amp;creator=factset&amp;DOC_NAME=fat:reuters_annual_source_window.fat&amp;display_string=Audit&amp;DYN_ARGS=TRUE&amp;VAR:ID1=67069D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5__FDSAUDITLINK__" hidden="1">{"fdsup://IBCentral/FAT Viewer?action=UPDATE&amp;creator=factset&amp;DOC_NAME=fat:reuters_annual_source_window.fat&amp;display_string=Audit&amp;DYN_ARGS=TRUE&amp;VAR:ID1=67069D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6__FDSAUDITLINK__" hidden="1">{"fdsup://IBCentral/FAT Viewer?action=UPDATE&amp;creator=factset&amp;DOC_NAME=fat:reuters_annual_source_window.fat&amp;display_string=Audit&amp;DYN_ARGS=TRUE&amp;VAR:ID1=67069D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7__FDSAUDITLINK__" hidden="1">{"fdsup://IBCentral/FAT Viewer?action=UPDATE&amp;creator=factset&amp;DOC_NAME=fat:reuters_annual_source_window.fat&amp;display_string=Audit&amp;DYN_ARGS=TRUE&amp;VAR:ID1=65122910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8__FDSAUDITLINK__" hidden="1">{"fdsup://IBCentral/FAT Viewer?action=UPDATE&amp;creator=factset&amp;DOC_NAME=fat:reuters_annual_source_window.fat&amp;display_string=Audit&amp;DYN_ARGS=TRUE&amp;VAR:ID1=65122910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79__FDSAUDITLINK__" hidden="1">{"fdsup://IBCentral/FAT Viewer?action=UPDATE&amp;creator=factset&amp;DOC_NAME=fat:reuters_annual_source_window.fat&amp;display_string=Audit&amp;DYN_ARGS=TRUE&amp;VAR:ID1=65122910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01748X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80__FDSAUDITLINK__" hidden="1">{"fdsup://IBCentral/FAT Viewer?action=UPDATE&amp;creator=factset&amp;DOC_NAME=fat:reuters_annual_source_window.fat&amp;display_string=Audit&amp;DYN_ARGS=TRUE&amp;VAR:ID1=65122910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1__FDSAUDITLINK__" hidden="1">{"fdsup://IBCentral/FAT Viewer?action=UPDATE&amp;creator=factset&amp;DOC_NAME=fat:reuters_annual_source_window.fat&amp;display_string=Audit&amp;DYN_ARGS=TRUE&amp;VAR:ID1=49436810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49436810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49436810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49436810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47110910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6__FDSAUDITLINK__" hidden="1">{"fdsup://IBCentral/FAT Viewer?action=UPDATE&amp;creator=factset&amp;DOC_NAME=fat:reuters_annual_source_window.fat&amp;display_string=Audit&amp;DYN_ARGS=TRUE&amp;VAR:ID1=47110910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7__FDSAUDITLINK__" hidden="1">{"fdsup://IBCentral/FAT Viewer?action=UPDATE&amp;creator=factset&amp;DOC_NAME=fat:reuters_annual_source_window.fat&amp;display_string=Audit&amp;DYN_ARGS=TRUE&amp;VAR:ID1=47110910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8__FDSAUDITLINK__" hidden="1">{"fdsup://IBCentral/FAT Viewer?action=UPDATE&amp;creator=factset&amp;DOC_NAME=fat:reuters_annual_source_window.fat&amp;display_string=Audit&amp;DYN_ARGS=TRUE&amp;VAR:ID1=47110910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89__FDSAUDITLINK__" hidden="1">{"fdsup://IBCentral/FAT Viewer?action=UPDATE&amp;creator=factset&amp;DOC_NAME=fat:reuters_annual_source_window.fat&amp;display_string=Audit&amp;DYN_ARGS=TRUE&amp;VAR:ID1=G4412G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00949P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90__FDSAUDITLINK__" hidden="1">{"fdsup://IBCentral/FAT Viewer?action=UPDATE&amp;creator=factset&amp;DOC_NAME=fat:reuters_annual_source_window.fat&amp;display_string=Audit&amp;DYN_ARGS=TRUE&amp;VAR:ID1=G4412G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1__FDSAUDITLINK__" hidden="1">{"fdsup://IBCentral/FAT Viewer?action=UPDATE&amp;creator=factset&amp;DOC_NAME=fat:reuters_annual_source_window.fat&amp;display_string=Audit&amp;DYN_ARGS=TRUE&amp;VAR:ID1=G4412G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2__FDSAUDITLINK__" hidden="1">{"fdsup://IBCentral/FAT Viewer?action=UPDATE&amp;creator=factset&amp;DOC_NAME=fat:reuters_annual_source_window.fat&amp;display_string=Audit&amp;DYN_ARGS=TRUE&amp;VAR:ID1=G4412G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3__FDSAUDITLINK__" hidden="1">{"fdsup://IBCentral/FAT Viewer?action=UPDATE&amp;creator=factset&amp;DOC_NAME=fat:reuters_annual_source_window.fat&amp;display_string=Audit&amp;DYN_ARGS=TRUE&amp;VAR:ID1=G4388N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4__FDSAUDITLINK__" hidden="1">{"fdsup://IBCentral/FAT Viewer?action=UPDATE&amp;creator=factset&amp;DOC_NAME=fat:reuters_annual_source_window.fat&amp;display_string=Audit&amp;DYN_ARGS=TRUE&amp;VAR:ID1=G4388N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5__FDSAUDITLINK__" hidden="1">{"fdsup://IBCentral/FAT Viewer?action=UPDATE&amp;creator=factset&amp;DOC_NAME=fat:reuters_annual_source_window.fat&amp;display_string=Audit&amp;DYN_ARGS=TRUE&amp;VAR:ID1=G4388N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6__FDSAUDITLINK__" hidden="1">{"fdsup://IBCentral/FAT Viewer?action=UPDATE&amp;creator=factset&amp;DOC_NAME=fat:reuters_annual_source_window.fat&amp;display_string=Audit&amp;DYN_ARGS=TRUE&amp;VAR:ID1=G4388N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7__FDSAUDITLINK__" hidden="1">{"fdsup://IBCentral/FAT Viewer?action=UPDATE&amp;creator=factset&amp;DOC_NAME=fat:reuters_annual_source_window.fat&amp;display_string=Audit&amp;DYN_ARGS=TRUE&amp;VAR:ID1=29266R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8__FDSAUDITLINK__" hidden="1">{"fdsup://IBCentral/FAT Viewer?action=UPDATE&amp;creator=factset&amp;DOC_NAME=fat:reuters_annual_source_window.fat&amp;display_string=Audit&amp;DYN_ARGS=TRUE&amp;VAR:ID1=29266R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29266R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annual_source_window.fat&amp;display_string=Audit&amp;DYN_ARGS=TRUE&amp;VAR:ID1=71638210&amp;VAR:RCODE=TTAX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90341W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00__FDSAUDITLINK__" hidden="1">{"fdsup://IBCentral/FAT Viewer?action=UPDATE&amp;creator=factset&amp;DOC_NAME=fat:reuters_annual_source_window.fat&amp;display_string=Audit&amp;DYN_ARGS=TRUE&amp;VAR:ID1=29266R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18905410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18905410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3__FDSAUDITLINK__" hidden="1">{"fdsup://IBCentral/FAT Viewer?action=UPDATE&amp;creator=factset&amp;DOC_NAME=fat:reuters_annual_source_window.fat&amp;display_string=Audit&amp;DYN_ARGS=TRUE&amp;VAR:ID1=18905410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4__FDSAUDITLINK__" hidden="1">{"fdsup://IBCentral/FAT Viewer?action=UPDATE&amp;creator=factset&amp;DOC_NAME=fat:reuters_annual_source_window.fat&amp;display_string=Audit&amp;DYN_ARGS=TRUE&amp;VAR:ID1=18905410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5__FDSAUDITLINK__" hidden="1">{"fdsup://IBCentral/FAT Viewer?action=UPDATE&amp;creator=factset&amp;DOC_NAME=fat:reuters_annual_source_window.fat&amp;display_string=Audit&amp;DYN_ARGS=TRUE&amp;VAR:ID1=15352710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6__FDSAUDITLINK__" hidden="1">{"fdsup://IBCentral/FAT Viewer?action=UPDATE&amp;creator=factset&amp;DOC_NAME=fat:reuters_annual_source_window.fat&amp;display_string=Audit&amp;DYN_ARGS=TRUE&amp;VAR:ID1=15352710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7__FDSAUDITLINK__" hidden="1">{"fdsup://IBCentral/FAT Viewer?action=UPDATE&amp;creator=factset&amp;DOC_NAME=fat:reuters_annual_source_window.fat&amp;display_string=Audit&amp;DYN_ARGS=TRUE&amp;VAR:ID1=15352710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8__FDSAUDITLINK__" hidden="1">{"fdsup://IBCentral/FAT Viewer?action=UPDATE&amp;creator=factset&amp;DOC_NAME=fat:reuters_annual_source_window.fat&amp;display_string=Audit&amp;DYN_ARGS=TRUE&amp;VAR:ID1=15352710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09__FDSAUDITLINK__" hidden="1">{"fdsup://IBCentral/FAT Viewer?action=UPDATE&amp;creator=factset&amp;DOC_NAME=fat:reuters_annual_source_window.fat&amp;display_string=Audit&amp;DYN_ARGS=TRUE&amp;VAR:ID1=90328M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21079530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10__FDSAUDITLINK__" hidden="1">{"fdsup://IBCentral/FAT Viewer?action=UPDATE&amp;creator=factset&amp;DOC_NAME=fat:reuters_annual_source_window.fat&amp;display_string=Audit&amp;DYN_ARGS=TRUE&amp;VAR:ID1=90328M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1__FDSAUDITLINK__" hidden="1">{"fdsup://IBCentral/FAT Viewer?action=UPDATE&amp;creator=factset&amp;DOC_NAME=fat:reuters_annual_source_window.fat&amp;display_string=Audit&amp;DYN_ARGS=TRUE&amp;VAR:ID1=79546E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2__FDSAUDITLINK__" hidden="1">{"fdsup://IBCentral/FAT Viewer?action=UPDATE&amp;creator=factset&amp;DOC_NAME=fat:reuters_annual_source_window.fat&amp;display_string=Audit&amp;DYN_ARGS=TRUE&amp;VAR:ID1=79546E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3__FDSAUDITLINK__" hidden="1">{"fdsup://IBCentral/FAT Viewer?action=UPDATE&amp;creator=factset&amp;DOC_NAME=fat:reuters_annual_source_window.fat&amp;display_string=Audit&amp;DYN_ARGS=TRUE&amp;VAR:ID1=79546E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4__FDSAUDITLINK__" hidden="1">{"fdsup://IBCentral/FAT Viewer?action=UPDATE&amp;creator=factset&amp;DOC_NAME=fat:reuters_annual_source_window.fat&amp;display_string=Audit&amp;DYN_ARGS=TRUE&amp;VAR:ID1=79546E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5__FDSAUDITLINK__" hidden="1">{"fdsup://IBCentral/FAT Viewer?action=UPDATE&amp;creator=factset&amp;DOC_NAME=fat:reuters_annual_source_window.fat&amp;display_string=Audit&amp;DYN_ARGS=TRUE&amp;VAR:ID1=74112D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74112D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74112D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74112D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70164510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66728040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annual_source_window.fat&amp;display_string=Audit&amp;DYN_ARGS=TRUE&amp;VAR:ID1=70164510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1__FDSAUDITLINK__" hidden="1">{"fdsup://IBCentral/FAT Viewer?action=UPDATE&amp;creator=factset&amp;DOC_NAME=fat:reuters_annual_source_window.fat&amp;display_string=Audit&amp;DYN_ARGS=TRUE&amp;VAR:ID1=70164510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2__FDSAUDITLINK__" hidden="1">{"fdsup://IBCentral/FAT Viewer?action=UPDATE&amp;creator=factset&amp;DOC_NAME=fat:reuters_annual_source_window.fat&amp;display_string=Audit&amp;DYN_ARGS=TRUE&amp;VAR:ID1=70164510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3__FDSAUDITLINK__" hidden="1">{"fdsup://IBCentral/FAT Viewer?action=UPDATE&amp;creator=factset&amp;DOC_NAME=fat:reuters_annual_source_window.fat&amp;display_string=Audit&amp;DYN_ARGS=TRUE&amp;VAR:ID1=67018T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4__FDSAUDITLINK__" hidden="1">{"fdsup://IBCentral/FAT Viewer?action=UPDATE&amp;creator=factset&amp;DOC_NAME=fat:reuters_annual_source_window.fat&amp;display_string=Audit&amp;DYN_ARGS=TRUE&amp;VAR:ID1=67018T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5__FDSAUDITLINK__" hidden="1">{"fdsup://IBCentral/FAT Viewer?action=UPDATE&amp;creator=factset&amp;DOC_NAME=fat:reuters_annual_source_window.fat&amp;display_string=Audit&amp;DYN_ARGS=TRUE&amp;VAR:ID1=47816010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6__FDSAUDITLINK__" hidden="1">{"fdsup://IBCentral/FAT Viewer?action=UPDATE&amp;creator=factset&amp;DOC_NAME=fat:reuters_annual_source_window.fat&amp;display_string=Audit&amp;DYN_ARGS=TRUE&amp;VAR:ID1=47816010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7__FDSAUDITLINK__" hidden="1">{"fdsup://IBCentral/FAT Viewer?action=UPDATE&amp;creator=factset&amp;DOC_NAME=fat:reuters_annual_source_window.fat&amp;display_string=Audit&amp;DYN_ARGS=TRUE&amp;VAR:ID1=47816010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8__FDSAUDITLINK__" hidden="1">{"fdsup://IBCentral/FAT Viewer?action=UPDATE&amp;creator=factset&amp;DOC_NAME=fat:reuters_annual_source_window.fat&amp;display_string=Audit&amp;DYN_ARGS=TRUE&amp;VAR:ID1=47816010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29__FDSAUDITLINK__" hidden="1">{"fdsup://IBCentral/FAT Viewer?action=UPDATE&amp;creator=factset&amp;DOC_NAME=fat:reuters_annual_source_window.fat&amp;display_string=Audit&amp;DYN_ARGS=TRUE&amp;VAR:ID1=45833410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24736170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annual_source_window.fat&amp;display_string=Audit&amp;DYN_ARGS=TRUE&amp;VAR:ID1=45833410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1__FDSAUDITLINK__" hidden="1">{"fdsup://IBCentral/FAT Viewer?action=UPDATE&amp;creator=factset&amp;DOC_NAME=fat:reuters_annual_source_window.fat&amp;display_string=Audit&amp;DYN_ARGS=TRUE&amp;VAR:ID1=51843910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2__FDSAUDITLINK__" hidden="1">{"fdsup://IBCentral/FAT Viewer?action=UPDATE&amp;creator=factset&amp;DOC_NAME=fat:reuters_annual_source_window.fat&amp;display_string=Audit&amp;DYN_ARGS=TRUE&amp;VAR:ID1=51843910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51843910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51843910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28660G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28660G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7__FDSAUDITLINK__" hidden="1">{"fdsup://IBCentral/FAT Viewer?action=UPDATE&amp;creator=factset&amp;DOC_NAME=fat:reuters_annual_source_window.fat&amp;display_string=Audit&amp;DYN_ARGS=TRUE&amp;VAR:ID1=28660G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8__FDSAUDITLINK__" hidden="1">{"fdsup://IBCentral/FAT Viewer?action=UPDATE&amp;creator=factset&amp;DOC_NAME=fat:reuters_annual_source_window.fat&amp;display_string=Audit&amp;DYN_ARGS=TRUE&amp;VAR:ID1=28660G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39__FDSAUDITLINK__" hidden="1">{"fdsup://IBCentral/FAT Viewer?action=UPDATE&amp;creator=factset&amp;DOC_NAME=fat:reuters_annual_source_window.fat&amp;display_string=Audit&amp;DYN_ARGS=TRUE&amp;VAR:ID1=19416210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90254980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annual_source_window.fat&amp;display_string=Audit&amp;DYN_ARGS=TRUE&amp;VAR:ID1=19416210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1__FDSAUDITLINK__" hidden="1">{"fdsup://IBCentral/FAT Viewer?action=UPDATE&amp;creator=factset&amp;DOC_NAME=fat:reuters_annual_source_window.fat&amp;display_string=Audit&amp;DYN_ARGS=TRUE&amp;VAR:ID1=19416210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2__FDSAUDITLINK__" hidden="1">{"fdsup://IBCentral/FAT Viewer?action=UPDATE&amp;creator=factset&amp;DOC_NAME=fat:reuters_annual_source_window.fat&amp;display_string=Audit&amp;DYN_ARGS=TRUE&amp;VAR:ID1=19416210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3__FDSAUDITLINK__" hidden="1">{"fdsup://IBCentral/FAT Viewer?action=UPDATE&amp;creator=factset&amp;DOC_NAME=fat:reuters_annual_source_window.fat&amp;display_string=Audit&amp;DYN_ARGS=TRUE&amp;VAR:ID1=17134010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4__FDSAUDITLINK__" hidden="1">{"fdsup://IBCentral/FAT Viewer?action=UPDATE&amp;creator=factset&amp;DOC_NAME=fat:reuters_annual_source_window.fat&amp;display_string=Audit&amp;DYN_ARGS=TRUE&amp;VAR:ID1=17134010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5__FDSAUDITLINK__" hidden="1">{"fdsup://IBCentral/FAT Viewer?action=UPDATE&amp;creator=factset&amp;DOC_NAME=fat:reuters_annual_source_window.fat&amp;display_string=Audit&amp;DYN_ARGS=TRUE&amp;VAR:ID1=17134010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6__FDSAUDITLINK__" hidden="1">{"fdsup://IBCentral/FAT Viewer?action=UPDATE&amp;creator=factset&amp;DOC_NAME=fat:reuters_annual_source_window.fat&amp;display_string=Audit&amp;DYN_ARGS=TRUE&amp;VAR:ID1=17134010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7__FDSAUDITLINK__" hidden="1">{"fdsup://IBCentral/FAT Viewer?action=UPDATE&amp;creator=factset&amp;DOC_NAME=fat:reuters_annual_source_window.fat&amp;display_string=Audit&amp;DYN_ARGS=TRUE&amp;VAR:ID1=16245610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16245610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16245610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84474110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16245610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06751110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2__FDSAUDITLINK__" hidden="1">{"fdsup://IBCentral/FAT Viewer?action=UPDATE&amp;creator=factset&amp;DOC_NAME=fat:reuters_annual_source_window.fat&amp;display_string=Audit&amp;DYN_ARGS=TRUE&amp;VAR:ID1=06751110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3__FDSAUDITLINK__" hidden="1">{"fdsup://IBCentral/FAT Viewer?action=UPDATE&amp;creator=factset&amp;DOC_NAME=fat:reuters_annual_source_window.fat&amp;display_string=Audit&amp;DYN_ARGS=TRUE&amp;VAR:ID1=05430310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4__FDSAUDITLINK__" hidden="1">{"fdsup://IBCentral/FAT Viewer?action=UPDATE&amp;creator=factset&amp;DOC_NAME=fat:reuters_annual_source_window.fat&amp;display_string=Audit&amp;DYN_ARGS=TRUE&amp;VAR:ID1=05430310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5__FDSAUDITLINK__" hidden="1">{"fdsup://IBCentral/FAT Viewer?action=UPDATE&amp;creator=factset&amp;DOC_NAME=fat:reuters_annual_source_window.fat&amp;display_string=Audit&amp;DYN_ARGS=TRUE&amp;VAR:ID1=05430310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6__FDSAUDITLINK__" hidden="1">{"fdsup://IBCentral/FAT Viewer?action=UPDATE&amp;creator=factset&amp;DOC_NAME=fat:reuters_annual_source_window.fat&amp;display_string=Audit&amp;DYN_ARGS=TRUE&amp;VAR:ID1=05430310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7__FDSAUDITLINK__" hidden="1">{"fdsup://IBCentral/FAT Viewer?action=UPDATE&amp;creator=factset&amp;DOC_NAME=fat:reuters_annual_source_window.fat&amp;display_string=Audit&amp;DYN_ARGS=TRUE&amp;VAR:ID1=01307810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8__FDSAUDITLINK__" hidden="1">{"fdsup://IBCentral/FAT Viewer?action=UPDATE&amp;creator=factset&amp;DOC_NAME=fat:reuters_annual_source_window.fat&amp;display_string=Audit&amp;DYN_ARGS=TRUE&amp;VAR:ID1=01307810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59__FDSAUDITLINK__" hidden="1">{"fdsup://IBCentral/FAT Viewer?action=UPDATE&amp;creator=factset&amp;DOC_NAME=fat:reuters_annual_source_window.fat&amp;display_string=Audit&amp;DYN_ARGS=TRUE&amp;VAR:ID1=01307810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00176510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annual_source_window.fat&amp;display_string=Audit&amp;DYN_ARGS=TRUE&amp;VAR:ID1=01307810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1__FDSAUDITLINK__" hidden="1">{"fdsup://IBCentral/FAT Viewer?action=UPDATE&amp;creator=factset&amp;DOC_NAME=fat:reuters_annual_source_window.fat&amp;display_string=Audit&amp;DYN_ARGS=TRUE&amp;VAR:ID1=00635P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2__FDSAUDITLINK__" hidden="1">{"fdsup://IBCentral/FAT Viewer?action=UPDATE&amp;creator=factset&amp;DOC_NAME=fat:reuters_annual_source_window.fat&amp;display_string=Audit&amp;DYN_ARGS=TRUE&amp;VAR:ID1=00635P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3__FDSAUDITLINK__" hidden="1">{"fdsup://IBCentral/FAT Viewer?action=UPDATE&amp;creator=factset&amp;DOC_NAME=fat:reuters_annual_source_window.fat&amp;display_string=Audit&amp;DYN_ARGS=TRUE&amp;VAR:ID1=00635P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4__FDSAUDITLINK__" hidden="1">{"fdsup://IBCentral/FAT Viewer?action=UPDATE&amp;creator=factset&amp;DOC_NAME=fat:reuters_annual_source_window.fat&amp;display_string=Audit&amp;DYN_ARGS=TRUE&amp;VAR:ID1=00635P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078396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078396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078396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078396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69__FDSAUDITLINK__" hidden="1">{"fdsup://IBCentral/FAT Viewer?action=UPDATE&amp;creator=factset&amp;DOC_NAME=fat:reuters_annual_source_window.fat&amp;display_string=Audit&amp;DYN_ARGS=TRUE&amp;VAR:ID1=048354&amp;VAR:RCODE=SCEX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01165910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annual_source_window.fat&amp;display_string=Audit&amp;DYN_ARGS=TRUE&amp;VAR:ID1=048354&amp;VAR:RCODE=SCEX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1__FDSAUDITLINK__" hidden="1">{"fdsup://IBCentral/FAT Viewer?action=UPDATE&amp;creator=factset&amp;DOC_NAME=fat:reuters_annual_source_window.fat&amp;display_string=Audit&amp;DYN_ARGS=TRUE&amp;VAR:ID1=048354&amp;VAR:RCODE=CFGR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2__FDSAUDITLINK__" hidden="1">{"fdsup://IBCentral/FAT Viewer?action=UPDATE&amp;creator=factset&amp;DOC_NAME=fat:reuters_annual_source_window.fat&amp;display_string=Audit&amp;DYN_ARGS=TRUE&amp;VAR:ID1=048354&amp;VAR:RCODE=CFGR&amp;VAR:SDATE=20070399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3__FDSAUDITLINK__" hidden="1">{"fdsup://IBCentral/FAT Viewer?action=UPDATE&amp;creator=factset&amp;DOC_NAME=fat:reuters_annual_source_window.fat&amp;display_string=Audit&amp;DYN_ARGS=TRUE&amp;VAR:ID1=468232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4__FDSAUDITLINK__" hidden="1">{"fdsup://IBCentral/FAT Viewer?action=UPDATE&amp;creator=factset&amp;DOC_NAME=fat:reuters_annual_source_window.fat&amp;display_string=Audit&amp;DYN_ARGS=TRUE&amp;VAR:ID1=468232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5__FDSAUDITLINK__" hidden="1">{"fdsup://IBCentral/FAT Viewer?action=UPDATE&amp;creator=factset&amp;DOC_NAME=fat:reuters_annual_source_window.fat&amp;display_string=Audit&amp;DYN_ARGS=TRUE&amp;VAR:ID1=468232&amp;VAR:RCODE=CFGR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6__FDSAUDITLINK__" hidden="1">{"fdsup://IBCentral/FAT Viewer?action=UPDATE&amp;creator=factset&amp;DOC_NAME=fat:reuters_annual_source_window.fat&amp;display_string=Audit&amp;DYN_ARGS=TRUE&amp;VAR:ID1=468232&amp;VAR:RCODE=CFGR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77__FDSAUDITLINK__" hidden="1">{"fdsup://IBCentral/FAT Viewer?action=UPDATE&amp;creator=factset&amp;DOC_NAME=fat:reuters_annual_source_window.fat&amp;display_string=Audit&amp;DYN_ARGS=TRUE&amp;VAR:ID1=60871R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78__FDSAUDITLINK__" hidden="1">{"fdsup://IBCentral/FAT Viewer?action=UPDATE&amp;creator=factset&amp;DOC_NAME=fat:reuters_annual_source_window.fat&amp;display_string=Audit&amp;DYN_ARGS=TRUE&amp;VAR:ID1=60871R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79__FDSAUDITLINK__" hidden="1">{"fdsup://IBCentral/FAT Viewer?action=UPDATE&amp;creator=factset&amp;DOC_NAME=fat:reuters_annual_source_window.fat&amp;display_string=Audit&amp;DYN_ARGS=TRUE&amp;VAR:ID1=60871R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65490220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annual_source_window.fat&amp;display_string=Audit&amp;DYN_ARGS=TRUE&amp;VAR:ID1=60871R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81__FDSAUDITLINK__" hidden="1">{"fdsup://IBCentral/FAT Viewer?action=UPDATE&amp;creator=factset&amp;DOC_NAME=fat:reuters_annual_source_window.fat&amp;display_string=Audit&amp;DYN_ARGS=TRUE&amp;VAR:ID1=779255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779255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779255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779255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634926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6__FDSAUDITLINK__" hidden="1">{"fdsup://IBCentral/FAT Viewer?action=UPDATE&amp;creator=factset&amp;DOC_NAME=fat:reuters_annual_source_window.fat&amp;display_string=Audit&amp;DYN_ARGS=TRUE&amp;VAR:ID1=634926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7__FDSAUDITLINK__" hidden="1">{"fdsup://IBCentral/FAT Viewer?action=UPDATE&amp;creator=factset&amp;DOC_NAME=fat:reuters_annual_source_window.fat&amp;display_string=Audit&amp;DYN_ARGS=TRUE&amp;VAR:ID1=634926&amp;VAR:RCODE=CFGR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88__FDSAUDITLINK__" hidden="1">{"fdsup://IBCentral/FAT Viewer?action=UPDATE&amp;creator=factset&amp;DOC_NAME=fat:reuters_annual_source_window.fat&amp;display_string=Audit&amp;DYN_ARGS=TRUE&amp;VAR:ID1=34963110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89__FDSAUDITLINK__" hidden="1">{"fdsup://IBCentral/FAT Viewer?action=UPDATE&amp;creator=factset&amp;DOC_NAME=fat:reuters_annual_source_window.fat&amp;display_string=Audit&amp;DYN_ARGS=TRUE&amp;VAR:ID1=34963110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59491810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annual_source_window.fat&amp;display_string=Audit&amp;DYN_ARGS=TRUE&amp;VAR:ID1=023740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91__FDSAUDITLINK__" hidden="1">{"fdsup://IBCentral/FAT Viewer?action=UPDATE&amp;creator=factset&amp;DOC_NAME=fat:reuters_annual_source_window.fat&amp;display_string=Audit&amp;DYN_ARGS=TRUE&amp;VAR:ID1=023740&amp;VAR:RCODE=SCEX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92__FDSAUDITLINK__" hidden="1">{"fdsup://IBCentral/FAT Viewer?action=UPDATE&amp;creator=factset&amp;DOC_NAME=fat:reuters_annual_source_window.fat&amp;display_string=Audit&amp;DYN_ARGS=TRUE&amp;VAR:ID1=023740&amp;VAR:RCODE=CFGR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93__FDSAUDITLINK__" hidden="1">{"fdsup://IBCentral/FAT Viewer?action=UPDATE&amp;creator=factset&amp;DOC_NAME=fat:reuters_annual_source_window.fat&amp;display_string=Audit&amp;DYN_ARGS=TRUE&amp;VAR:ID1=023740&amp;VAR:RCODE=CFGR&amp;VAR:SDATE=20070699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94__FDSAUDITLINK__" hidden="1">{"fdsup://IBCentral/FAT Viewer?action=UPDATE&amp;creator=factset&amp;DOC_NAME=fat:reuters_annual_source_window.fat&amp;display_string=Audit&amp;DYN_ARGS=TRUE&amp;VAR:ID1=21036P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95__FDSAUDITLINK__" hidden="1">{"fdsup://IBCentral/FAT Viewer?action=UPDATE&amp;creator=factset&amp;DOC_NAME=fat:reuters_annual_source_window.fat&amp;display_string=Audit&amp;DYN_ARGS=TRUE&amp;VAR:ID1=21036P10&amp;VAR:RCODE=SCEX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96__FDSAUDITLINK__" hidden="1">{"fdsup://IBCentral/FAT Viewer?action=UPDATE&amp;creator=factset&amp;DOC_NAME=fat:reuters_annual_source_window.fat&amp;display_string=Audit&amp;DYN_ARGS=TRUE&amp;VAR:ID1=21036P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97__FDSAUDITLINK__" hidden="1">{"fdsup://IBCentral/FAT Viewer?action=UPDATE&amp;creator=factset&amp;DOC_NAME=fat:reuters_annual_source_window.fat&amp;display_string=Audit&amp;DYN_ARGS=TRUE&amp;VAR:ID1=21036P10&amp;VAR:RCODE=CFGR&amp;VAR:SDATE=20070299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798__FDSAUDITLINK__" hidden="1">{"fdsup://IBCentral/FAT Viewer?action=UPDATE&amp;creator=factset&amp;DOC_NAME=fat:reuters_annual_source_window.fat&amp;display_string=Audit&amp;DYN_ARGS=TRUE&amp;VAR:ID1=416921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416921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annual_source_window.fat&amp;display_string=Audit&amp;DYN_ARGS=TRUE&amp;VAR:ID1=69037010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annual_source_window.fat&amp;display_string=Audit&amp;DYN_ARGS=TRUE&amp;VAR:ID1=19121610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416921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416921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11563720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3__FDSAUDITLINK__" hidden="1">{"fdsup://IBCentral/FAT Viewer?action=UPDATE&amp;creator=factset&amp;DOC_NAME=fat:reuters_annual_source_window.fat&amp;display_string=Audit&amp;DYN_ARGS=TRUE&amp;VAR:ID1=11563720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4__FDSAUDITLINK__" hidden="1">{"fdsup://IBCentral/FAT Viewer?action=UPDATE&amp;creator=factset&amp;DOC_NAME=fat:reuters_annual_source_window.fat&amp;display_string=Audit&amp;DYN_ARGS=TRUE&amp;VAR:ID1=11563720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5__FDSAUDITLINK__" hidden="1">{"fdsup://IBCentral/FAT Viewer?action=UPDATE&amp;creator=factset&amp;DOC_NAME=fat:reuters_annual_source_window.fat&amp;display_string=Audit&amp;DYN_ARGS=TRUE&amp;VAR:ID1=11563720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6__FDSAUDITLINK__" hidden="1">{"fdsup://IBCentral/FAT Viewer?action=UPDATE&amp;creator=factset&amp;DOC_NAME=fat:reuters_annual_source_window.fat&amp;display_string=Audit&amp;DYN_ARGS=TRUE&amp;VAR:ID1=03522910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7__FDSAUDITLINK__" hidden="1">{"fdsup://IBCentral/FAT Viewer?action=UPDATE&amp;creator=factset&amp;DOC_NAME=fat:reuters_annual_source_window.fat&amp;display_string=Audit&amp;DYN_ARGS=TRUE&amp;VAR:ID1=03522910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8__FDSAUDITLINK__" hidden="1">{"fdsup://IBCentral/FAT Viewer?action=UPDATE&amp;creator=factset&amp;DOC_NAME=fat:reuters_annual_source_window.fat&amp;display_string=Audit&amp;DYN_ARGS=TRUE&amp;VAR:ID1=03522910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09__FDSAUDITLINK__" hidden="1">{"fdsup://IBCentral/FAT Viewer?action=UPDATE&amp;creator=factset&amp;DOC_NAME=fat:reuters_annual_source_window.fat&amp;display_string=Audit&amp;DYN_ARGS=TRUE&amp;VAR:ID1=03522910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25468710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annual_source_window.fat&amp;display_string=Audit&amp;DYN_ARGS=TRUE&amp;VAR:ID1=71344810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1__FDSAUDITLINK__" hidden="1">{"fdsup://IBCentral/FAT Viewer?action=UPDATE&amp;creator=factset&amp;DOC_NAME=fat:reuters_annual_source_window.fat&amp;display_string=Audit&amp;DYN_ARGS=TRUE&amp;VAR:ID1=71344810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2__FDSAUDITLINK__" hidden="1">{"fdsup://IBCentral/FAT Viewer?action=UPDATE&amp;creator=factset&amp;DOC_NAME=fat:reuters_annual_source_window.fat&amp;display_string=Audit&amp;DYN_ARGS=TRUE&amp;VAR:ID1=71344810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3__FDSAUDITLINK__" hidden="1">{"fdsup://IBCentral/FAT Viewer?action=UPDATE&amp;creator=factset&amp;DOC_NAME=fat:reuters_annual_source_window.fat&amp;display_string=Audit&amp;DYN_ARGS=TRUE&amp;VAR:ID1=71344810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4__FDSAUDITLINK__" hidden="1">{"fdsup://IBCentral/FAT Viewer?action=UPDATE&amp;creator=factset&amp;DOC_NAME=fat:reuters_annual_source_window.fat&amp;display_string=Audit&amp;DYN_ARGS=TRUE&amp;VAR:ID1=71343P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5__FDSAUDITLINK__" hidden="1">{"fdsup://IBCentral/FAT Viewer?action=UPDATE&amp;creator=factset&amp;DOC_NAME=fat:reuters_annual_source_window.fat&amp;display_string=Audit&amp;DYN_ARGS=TRUE&amp;VAR:ID1=71343P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6__FDSAUDITLINK__" hidden="1">{"fdsup://IBCentral/FAT Viewer?action=UPDATE&amp;creator=factset&amp;DOC_NAME=fat:reuters_annual_source_window.fat&amp;display_string=Audit&amp;DYN_ARGS=TRUE&amp;VAR:ID1=71343P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71343P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71340910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annual_source_window.fat&amp;display_string=Audit&amp;DYN_ARGS=TRUE&amp;VAR:ID1=71340910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annual_source_window.fat&amp;display_string=Audit&amp;DYN_ARGS=TRUE&amp;VAR:ID1=03783310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annual_source_window.fat&amp;display_string=Audit&amp;DYN_ARGS=TRUE&amp;VAR:ID1=71340910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1__FDSAUDITLINK__" hidden="1">{"fdsup://IBCentral/FAT Viewer?action=UPDATE&amp;creator=factset&amp;DOC_NAME=fat:reuters_annual_source_window.fat&amp;display_string=Audit&amp;DYN_ARGS=TRUE&amp;VAR:ID1=71340910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2__FDSAUDITLINK__" hidden="1">{"fdsup://IBCentral/FAT Viewer?action=UPDATE&amp;creator=factset&amp;DOC_NAME=fat:reuters_annual_source_window.fat&amp;display_string=Audit&amp;DYN_ARGS=TRUE&amp;VAR:ID1=22163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22163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19121910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19121910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19121910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annual_source_window.fat&amp;display_string=Audit&amp;DYN_ARGS=TRUE&amp;VAR:ID1=19121910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annual_source_window.fat&amp;display_string=Audit&amp;DYN_ARGS=TRUE&amp;VAR:ID1=19121610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annual_source_window.fat&amp;display_string=Audit&amp;DYN_ARGS=TRUE&amp;VAR:ID1=19121610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annual_source_window.fat&amp;display_string=Audit&amp;DYN_ARGS=TRUE&amp;VAR:ID1=58013510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annual_source_window.fat&amp;display_string=Audit&amp;DYN_ARGS=TRUE&amp;VAR:ID1=19121610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annual_source_window.fat&amp;display_string=Audit&amp;DYN_ARGS=TRUE&amp;VAR:ID1=19121610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annual_source_window.fat&amp;display_string=Audit&amp;DYN_ARGS=TRUE&amp;VAR:ID1=14843510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annual_source_window.fat&amp;display_string=Audit&amp;DYN_ARGS=TRUE&amp;VAR:ID1=14843510&amp;VAR:RCODE=SCEX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annual_source_window.fat&amp;display_string=Audit&amp;DYN_ARGS=TRUE&amp;VAR:ID1=14843510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annual_source_window.fat&amp;display_string=Audit&amp;DYN_ARGS=TRUE&amp;VAR:ID1=14843510&amp;VAR:RCODE=CFGR&amp;VAR:SDATE=20070399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annual_source_window.fat&amp;display_string=Audit&amp;DYN_ARGS=TRUE&amp;VAR:ID1=98252610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annual_source_window.fat&amp;display_string=Audit&amp;DYN_ARGS=TRUE&amp;VAR:ID1=98252610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annual_source_window.fat&amp;display_string=Audit&amp;DYN_ARGS=TRUE&amp;VAR:ID1=98252610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annual_source_window.fat&amp;display_string=Audit&amp;DYN_ARGS=TRUE&amp;VAR:ID1=98252610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annual_source_window.fat&amp;display_string=Audit&amp;DYN_ARGS=TRUE&amp;VAR:ID1=65410610&amp;VAR:RCODE=TTAX&amp;VAR:SDATE=20070599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91116310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91116310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91116310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91116310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annual_source_window.fat&amp;display_string=Audit&amp;DYN_ARGS=TRUE&amp;VAR:ID1=B12T3J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45__FDSAUDITLINK__" hidden="1">{"fdsup://IBCentral/FAT Viewer?action=UPDATE&amp;creator=factset&amp;DOC_NAME=fat:reuters_annual_source_window.fat&amp;display_string=Audit&amp;DYN_ARGS=TRUE&amp;VAR:ID1=B12T3J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46__FDSAUDITLINK__" hidden="1">{"fdsup://IBCentral/FAT Viewer?action=UPDATE&amp;creator=factset&amp;DOC_NAME=fat:reuters_annual_source_window.fat&amp;display_string=Audit&amp;DYN_ARGS=TRUE&amp;VAR:ID1=B12T3J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47__FDSAUDITLINK__" hidden="1">{"fdsup://IBCentral/FAT Viewer?action=UPDATE&amp;creator=factset&amp;DOC_NAME=fat:reuters_annual_source_window.fat&amp;display_string=Audit&amp;DYN_ARGS=TRUE&amp;VAR:ID1=B12T3J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48__FDSAUDITLINK__" hidden="1">{"fdsup://IBCentral/FAT Viewer?action=UPDATE&amp;creator=factset&amp;DOC_NAME=fat:reuters_annual_source_window.fat&amp;display_string=Audit&amp;DYN_ARGS=TRUE&amp;VAR:ID1=90249410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49__FDSAUDITLINK__" hidden="1">{"fdsup://IBCentral/FAT Viewer?action=UPDATE&amp;creator=factset&amp;DOC_NAME=fat:reuters_annual_source_window.fat&amp;display_string=Audit&amp;DYN_ARGS=TRUE&amp;VAR:ID1=90249410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78116B10&amp;VAR:RCODE=TTAX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annual_source_window.fat&amp;display_string=Audit&amp;DYN_ARGS=TRUE&amp;VAR:ID1=90249410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1__FDSAUDITLINK__" hidden="1">{"fdsup://IBCentral/FAT Viewer?action=UPDATE&amp;creator=factset&amp;DOC_NAME=fat:reuters_annual_source_window.fat&amp;display_string=Audit&amp;DYN_ARGS=TRUE&amp;VAR:ID1=90249410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2__FDSAUDITLINK__" hidden="1">{"fdsup://IBCentral/FAT Viewer?action=UPDATE&amp;creator=factset&amp;DOC_NAME=fat:reuters_annual_source_window.fat&amp;display_string=Audit&amp;DYN_ARGS=TRUE&amp;VAR:ID1=89469A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3__FDSAUDITLINK__" hidden="1">{"fdsup://IBCentral/FAT Viewer?action=UPDATE&amp;creator=factset&amp;DOC_NAME=fat:reuters_annual_source_window.fat&amp;display_string=Audit&amp;DYN_ARGS=TRUE&amp;VAR:ID1=89469A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4__FDSAUDITLINK__" hidden="1">{"fdsup://IBCentral/FAT Viewer?action=UPDATE&amp;creator=factset&amp;DOC_NAME=fat:reuters_annual_source_window.fat&amp;display_string=Audit&amp;DYN_ARGS=TRUE&amp;VAR:ID1=87182910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5__FDSAUDITLINK__" hidden="1">{"fdsup://IBCentral/FAT Viewer?action=UPDATE&amp;creator=factset&amp;DOC_NAME=fat:reuters_annual_source_window.fat&amp;display_string=Audit&amp;DYN_ARGS=TRUE&amp;VAR:ID1=87182910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87182910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87182910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83224810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83224810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83545110&amp;VAR:RCODE=TTAX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annual_source_window.fat&amp;display_string=Audit&amp;DYN_ARGS=TRUE&amp;VAR:ID1=83224810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annual_source_window.fat&amp;display_string=Audit&amp;DYN_ARGS=TRUE&amp;VAR:ID1=83224810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annual_source_window.fat&amp;display_string=Audit&amp;DYN_ARGS=TRUE&amp;VAR:ID1=80311110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annual_source_window.fat&amp;display_string=Audit&amp;DYN_ARGS=TRUE&amp;VAR:ID1=80311110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annual_source_window.fat&amp;display_string=Audit&amp;DYN_ARGS=TRUE&amp;VAR:ID1=80311110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annual_source_window.fat&amp;display_string=Audit&amp;DYN_ARGS=TRUE&amp;VAR:ID1=80311110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annual_source_window.fat&amp;display_string=Audit&amp;DYN_ARGS=TRUE&amp;VAR:ID1=80305420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annual_source_window.fat&amp;display_string=Audit&amp;DYN_ARGS=TRUE&amp;VAR:ID1=80305420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annual_source_window.fat&amp;display_string=Audit&amp;DYN_ARGS=TRUE&amp;VAR:ID1=80305420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annual_source_window.fat&amp;display_string=Audit&amp;DYN_ARGS=TRUE&amp;VAR:ID1=80305420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69333Y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annual_source_window.fat&amp;display_string=Audit&amp;DYN_ARGS=TRUE&amp;VAR:ID1=80001310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annual_source_window.fat&amp;display_string=Audit&amp;DYN_ARGS=TRUE&amp;VAR:ID1=80001310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80001310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80001310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75102810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75102810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annual_source_window.fat&amp;display_string=Audit&amp;DYN_ARGS=TRUE&amp;VAR:ID1=75102810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annual_source_window.fat&amp;display_string=Audit&amp;DYN_ARGS=TRUE&amp;VAR:ID1=75102810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annual_source_window.fat&amp;display_string=Audit&amp;DYN_ARGS=TRUE&amp;VAR:ID1=72146710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annual_source_window.fat&amp;display_string=Audit&amp;DYN_ARGS=TRUE&amp;VAR:ID1=72146710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69840W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annual_source_window.fat&amp;display_string=Audit&amp;DYN_ARGS=TRUE&amp;VAR:ID1=72146710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annual_source_window.fat&amp;display_string=Audit&amp;DYN_ARGS=TRUE&amp;VAR:ID1=72146710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annual_source_window.fat&amp;display_string=Audit&amp;DYN_ARGS=TRUE&amp;VAR:ID1=71375510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annual_source_window.fat&amp;display_string=Audit&amp;DYN_ARGS=TRUE&amp;VAR:ID1=71375510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annual_source_window.fat&amp;display_string=Audit&amp;DYN_ARGS=TRUE&amp;VAR:ID1=71375510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annual_source_window.fat&amp;display_string=Audit&amp;DYN_ARGS=TRUE&amp;VAR:ID1=71375510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annual_source_window.fat&amp;display_string=Audit&amp;DYN_ARGS=TRUE&amp;VAR:ID1=712387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annual_source_window.fat&amp;display_string=Audit&amp;DYN_ARGS=TRUE&amp;VAR:ID1=712387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annual_source_window.fat&amp;display_string=Audit&amp;DYN_ARGS=TRUE&amp;VAR:ID1=712387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712387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16965610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57978020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57978020&amp;VAR:RCODE=SCEX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57978020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3__FDSAUDITLINK__" hidden="1">{"fdsup://IBCentral/FAT Viewer?action=UPDATE&amp;creator=factset&amp;DOC_NAME=fat:reuters_annual_source_window.fat&amp;display_string=Audit&amp;DYN_ARGS=TRUE&amp;VAR:ID1=57978020&amp;VAR:RCODE=CFGR&amp;VAR:SDATE=20071199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4__FDSAUDITLINK__" hidden="1">{"fdsup://IBCentral/FAT Viewer?action=UPDATE&amp;creator=factset&amp;DOC_NAME=fat:reuters_annual_source_window.fat&amp;display_string=Audit&amp;DYN_ARGS=TRUE&amp;VAR:ID1=B0B87F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95__FDSAUDITLINK__" hidden="1">{"fdsup://IBCentral/FAT Viewer?action=UPDATE&amp;creator=factset&amp;DOC_NAME=fat:reuters_annual_source_window.fat&amp;display_string=Audit&amp;DYN_ARGS=TRUE&amp;VAR:ID1=B0B87F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896__FDSAUDITLINK__" hidden="1">{"fdsup://IBCentral/FAT Viewer?action=UPDATE&amp;creator=factset&amp;DOC_NAME=fat:reuters_annual_source_window.fat&amp;display_string=Audit&amp;DYN_ARGS=TRUE&amp;VAR:ID1=51460610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7__FDSAUDITLINK__" hidden="1">{"fdsup://IBCentral/FAT Viewer?action=UPDATE&amp;creator=factset&amp;DOC_NAME=fat:reuters_annual_source_window.fat&amp;display_string=Audit&amp;DYN_ARGS=TRUE&amp;VAR:ID1=51460610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8__FDSAUDITLINK__" hidden="1">{"fdsup://IBCentral/FAT Viewer?action=UPDATE&amp;creator=factset&amp;DOC_NAME=fat:reuters_annual_source_window.fat&amp;display_string=Audit&amp;DYN_ARGS=TRUE&amp;VAR:ID1=51460610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899__FDSAUDITLINK__" hidden="1">{"fdsup://IBCentral/FAT Viewer?action=UPDATE&amp;creator=factset&amp;DOC_NAME=fat:reuters_annual_source_window.fat&amp;display_string=Audit&amp;DYN_ARGS=TRUE&amp;VAR:ID1=51460610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53635B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11984810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00__FDSAUDITLINK__" hidden="1">{"fdsup://IBCentral/FAT Viewer?action=UPDATE&amp;creator=factset&amp;DOC_NAME=fat:reuters_annual_source_window.fat&amp;display_string=Audit&amp;DYN_ARGS=TRUE&amp;VAR:ID1=50075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1__FDSAUDITLINK__" hidden="1">{"fdsup://IBCentral/FAT Viewer?action=UPDATE&amp;creator=factset&amp;DOC_NAME=fat:reuters_annual_source_window.fat&amp;display_string=Audit&amp;DYN_ARGS=TRUE&amp;VAR:ID1=50075N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2__FDSAUDITLINK__" hidden="1">{"fdsup://IBCentral/FAT Viewer?action=UPDATE&amp;creator=factset&amp;DOC_NAME=fat:reuters_annual_source_window.fat&amp;display_string=Audit&amp;DYN_ARGS=TRUE&amp;VAR:ID1=50075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3__FDSAUDITLINK__" hidden="1">{"fdsup://IBCentral/FAT Viewer?action=UPDATE&amp;creator=factset&amp;DOC_NAME=fat:reuters_annual_source_window.fat&amp;display_string=Audit&amp;DYN_ARGS=TRUE&amp;VAR:ID1=50075N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4__FDSAUDITLINK__" hidden="1">{"fdsup://IBCentral/FAT Viewer?action=UPDATE&amp;creator=factset&amp;DOC_NAME=fat:reuters_annual_source_window.fat&amp;display_string=Audit&amp;DYN_ARGS=TRUE&amp;VAR:ID1=48783610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5__FDSAUDITLINK__" hidden="1">{"fdsup://IBCentral/FAT Viewer?action=UPDATE&amp;creator=factset&amp;DOC_NAME=fat:reuters_annual_source_window.fat&amp;display_string=Audit&amp;DYN_ARGS=TRUE&amp;VAR:ID1=48783610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48783610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48783610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83269640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83269640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B24CGK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910__FDSAUDITLINK__" hidden="1">{"fdsup://IBCentral/FAT Viewer?action=UPDATE&amp;creator=factset&amp;DOC_NAME=fat:reuters_annual_source_window.fat&amp;display_string=Audit&amp;DYN_ARGS=TRUE&amp;VAR:ID1=83269640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1__FDSAUDITLINK__" hidden="1">{"fdsup://IBCentral/FAT Viewer?action=UPDATE&amp;creator=factset&amp;DOC_NAME=fat:reuters_annual_source_window.fat&amp;display_string=Audit&amp;DYN_ARGS=TRUE&amp;VAR:ID1=83269640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2__FDSAUDITLINK__" hidden="1">{"fdsup://IBCentral/FAT Viewer?action=UPDATE&amp;creator=factset&amp;DOC_NAME=fat:reuters_annual_source_window.fat&amp;display_string=Audit&amp;DYN_ARGS=TRUE&amp;VAR:ID1=44045210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3__FDSAUDITLINK__" hidden="1">{"fdsup://IBCentral/FAT Viewer?action=UPDATE&amp;creator=factset&amp;DOC_NAME=fat:reuters_annual_source_window.fat&amp;display_string=Audit&amp;DYN_ARGS=TRUE&amp;VAR:ID1=44045210&amp;VAR:RCODE=SCEX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4__FDSAUDITLINK__" hidden="1">{"fdsup://IBCentral/FAT Viewer?action=UPDATE&amp;creator=factset&amp;DOC_NAME=fat:reuters_annual_source_window.fat&amp;display_string=Audit&amp;DYN_ARGS=TRUE&amp;VAR:ID1=44045210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5__FDSAUDITLINK__" hidden="1">{"fdsup://IBCentral/FAT Viewer?action=UPDATE&amp;creator=factset&amp;DOC_NAME=fat:reuters_annual_source_window.fat&amp;display_string=Audit&amp;DYN_ARGS=TRUE&amp;VAR:ID1=44045210&amp;VAR:RCODE=CFGR&amp;VAR:SDATE=20071099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6__FDSAUDITLINK__" hidden="1">{"fdsup://IBCentral/FAT Viewer?action=UPDATE&amp;creator=factset&amp;DOC_NAME=fat:reuters_annual_source_window.fat&amp;display_string=Audit&amp;DYN_ARGS=TRUE&amp;VAR:ID1=42786610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7__FDSAUDITLINK__" hidden="1">{"fdsup://IBCentral/FAT Viewer?action=UPDATE&amp;creator=factset&amp;DOC_NAME=fat:reuters_annual_source_window.fat&amp;display_string=Audit&amp;DYN_ARGS=TRUE&amp;VAR:ID1=42786610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8__FDSAUDITLINK__" hidden="1">{"fdsup://IBCentral/FAT Viewer?action=UPDATE&amp;creator=factset&amp;DOC_NAME=fat:reuters_annual_source_window.fat&amp;display_string=Audit&amp;DYN_ARGS=TRUE&amp;VAR:ID1=42786610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19__FDSAUDITLINK__" hidden="1">{"fdsup://IBCentral/FAT Viewer?action=UPDATE&amp;creator=factset&amp;DOC_NAME=fat:reuters_annual_source_window.fat&amp;display_string=Audit&amp;DYN_ARGS=TRUE&amp;VAR:ID1=42786610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74271810&amp;VAR:RCODE=TTA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920__FDSAUDITLINK__" hidden="1">{"fdsup://IBCentral/FAT Viewer?action=UPDATE&amp;creator=factset&amp;DOC_NAME=fat:reuters_annual_source_window.fat&amp;display_string=Audit&amp;DYN_ARGS=TRUE&amp;VAR:ID1=42307410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1__FDSAUDITLINK__" hidden="1">{"fdsup://IBCentral/FAT Viewer?action=UPDATE&amp;creator=factset&amp;DOC_NAME=fat:reuters_annual_source_window.fat&amp;display_string=Audit&amp;DYN_ARGS=TRUE&amp;VAR:ID1=42307410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2__FDSAUDITLINK__" hidden="1">{"fdsup://IBCentral/FAT Viewer?action=UPDATE&amp;creator=factset&amp;DOC_NAME=fat:reuters_annual_source_window.fat&amp;display_string=Audit&amp;DYN_ARGS=TRUE&amp;VAR:ID1=42307410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42307410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40521710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40521710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40521710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7__FDSAUDITLINK__" hidden="1">{"fdsup://IBCentral/FAT Viewer?action=UPDATE&amp;creator=factset&amp;DOC_NAME=fat:reuters_annual_source_window.fat&amp;display_string=Audit&amp;DYN_ARGS=TRUE&amp;VAR:ID1=40521710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28__FDSAUDITLINK__" hidden="1">{"fdsup://IBCentral/FAT Viewer?action=UPDATE&amp;creator=factset&amp;DOC_NAME=fat:reuters_annual_source_window.fat&amp;display_string=Audit&amp;DYN_ARGS=TRUE&amp;VAR:ID1=239247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29__FDSAUDITLINK__" hidden="1">{"fdsup://IBCentral/FAT Viewer?action=UPDATE&amp;creator=factset&amp;DOC_NAME=fat:reuters_annual_source_window.fat&amp;display_string=Audit&amp;DYN_ARGS=TRUE&amp;VAR:ID1=239247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94862610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30__FDSAUDITLINK__" hidden="1">{"fdsup://IBCentral/FAT Viewer?action=UPDATE&amp;creator=factset&amp;DOC_NAME=fat:reuters_annual_source_window.fat&amp;display_string=Audit&amp;DYN_ARGS=TRUE&amp;VAR:ID1=239247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31__FDSAUDITLINK__" hidden="1">{"fdsup://IBCentral/FAT Viewer?action=UPDATE&amp;creator=factset&amp;DOC_NAME=fat:reuters_annual_source_window.fat&amp;display_string=Audit&amp;DYN_ARGS=TRUE&amp;VAR:ID1=239247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32__FDSAUDITLINK__" hidden="1">{"fdsup://IBCentral/FAT Viewer?action=UPDATE&amp;creator=factset&amp;DOC_NAME=fat:reuters_annual_source_window.fat&amp;display_string=Audit&amp;DYN_ARGS=TRUE&amp;VAR:ID1=37033410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3__FDSAUDITLINK__" hidden="1">{"fdsup://IBCentral/FAT Viewer?action=UPDATE&amp;creator=factset&amp;DOC_NAME=fat:reuters_annual_source_window.fat&amp;display_string=Audit&amp;DYN_ARGS=TRUE&amp;VAR:ID1=37033410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4__FDSAUDITLINK__" hidden="1">{"fdsup://IBCentral/FAT Viewer?action=UPDATE&amp;creator=factset&amp;DOC_NAME=fat:reuters_annual_source_window.fat&amp;display_string=Audit&amp;DYN_ARGS=TRUE&amp;VAR:ID1=37033410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5__FDSAUDITLINK__" hidden="1">{"fdsup://IBCentral/FAT Viewer?action=UPDATE&amp;creator=factset&amp;DOC_NAME=fat:reuters_annual_source_window.fat&amp;display_string=Audit&amp;DYN_ARGS=TRUE&amp;VAR:ID1=37033410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6__FDSAUDITLINK__" hidden="1">{"fdsup://IBCentral/FAT Viewer?action=UPDATE&amp;creator=factset&amp;DOC_NAME=fat:reuters_annual_source_window.fat&amp;display_string=Audit&amp;DYN_ARGS=TRUE&amp;VAR:ID1=G3673810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7__FDSAUDITLINK__" hidden="1">{"fdsup://IBCentral/FAT Viewer?action=UPDATE&amp;creator=factset&amp;DOC_NAME=fat:reuters_annual_source_window.fat&amp;display_string=Audit&amp;DYN_ARGS=TRUE&amp;VAR:ID1=G3673810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8__FDSAUDITLINK__" hidden="1">{"fdsup://IBCentral/FAT Viewer?action=UPDATE&amp;creator=factset&amp;DOC_NAME=fat:reuters_annual_source_window.fat&amp;display_string=Audit&amp;DYN_ARGS=TRUE&amp;VAR:ID1=34349810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39__FDSAUDITLINK__" hidden="1">{"fdsup://IBCentral/FAT Viewer?action=UPDATE&amp;creator=factset&amp;DOC_NAME=fat:reuters_annual_source_window.fat&amp;display_string=Audit&amp;DYN_ARGS=TRUE&amp;VAR:ID1=34349810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84762L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940__FDSAUDITLINK__" hidden="1">{"fdsup://IBCentral/FAT Viewer?action=UPDATE&amp;creator=factset&amp;DOC_NAME=fat:reuters_annual_source_window.fat&amp;display_string=Audit&amp;DYN_ARGS=TRUE&amp;VAR:ID1=34349810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34349810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24522P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24522P10&amp;VAR:RCODE=SCEX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4__FDSAUDITLINK__" hidden="1">{"fdsup://IBCentral/FAT Viewer?action=UPDATE&amp;creator=factset&amp;DOC_NAME=fat:reuters_annual_source_window.fat&amp;display_string=Audit&amp;DYN_ARGS=TRUE&amp;VAR:ID1=24522P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5__FDSAUDITLINK__" hidden="1">{"fdsup://IBCentral/FAT Viewer?action=UPDATE&amp;creator=factset&amp;DOC_NAME=fat:reuters_annual_source_window.fat&amp;display_string=Audit&amp;DYN_ARGS=TRUE&amp;VAR:ID1=24522P10&amp;VAR:RCODE=CFGR&amp;VAR:SDATE=20070499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6__FDSAUDITLINK__" hidden="1">{"fdsup://IBCentral/FAT Viewer?action=UPDATE&amp;creator=factset&amp;DOC_NAME=fat:reuters_annual_source_window.fat&amp;display_string=Audit&amp;DYN_ARGS=TRUE&amp;VAR:ID1=24237010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7__FDSAUDITLINK__" hidden="1">{"fdsup://IBCentral/FAT Viewer?action=UPDATE&amp;creator=factset&amp;DOC_NAME=fat:reuters_annual_source_window.fat&amp;display_string=Audit&amp;DYN_ARGS=TRUE&amp;VAR:ID1=24237010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8__FDSAUDITLINK__" hidden="1">{"fdsup://IBCentral/FAT Viewer?action=UPDATE&amp;creator=factset&amp;DOC_NAME=fat:reuters_annual_source_window.fat&amp;display_string=Audit&amp;DYN_ARGS=TRUE&amp;VAR:ID1=24237010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49__FDSAUDITLINK__" hidden="1">{"fdsup://IBCentral/FAT Viewer?action=UPDATE&amp;creator=factset&amp;DOC_NAME=fat:reuters_annual_source_window.fat&amp;display_string=Audit&amp;DYN_ARGS=TRUE&amp;VAR:ID1=24237010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81018610&amp;VAR:RCODE=TTAX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950__FDSAUDITLINK__" hidden="1">{"fdsup://IBCentral/FAT Viewer?action=UPDATE&amp;creator=factset&amp;DOC_NAME=fat:reuters_annual_source_window.fat&amp;display_string=Audit&amp;DYN_ARGS=TRUE&amp;VAR:ID1=B1Y9TB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51__FDSAUDITLINK__" hidden="1">{"fdsup://IBCentral/FAT Viewer?action=UPDATE&amp;creator=factset&amp;DOC_NAME=fat:reuters_annual_source_window.fat&amp;display_string=Audit&amp;DYN_ARGS=TRUE&amp;VAR:ID1=B1Y9TB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52__FDSAUDITLINK__" hidden="1">{"fdsup://IBCentral/FAT Viewer?action=UPDATE&amp;creator=factset&amp;DOC_NAME=fat:reuters_annual_source_window.fat&amp;display_string=Audit&amp;DYN_ARGS=TRUE&amp;VAR:ID1=21902310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3__FDSAUDITLINK__" hidden="1">{"fdsup://IBCentral/FAT Viewer?action=UPDATE&amp;creator=factset&amp;DOC_NAME=fat:reuters_annual_source_window.fat&amp;display_string=Audit&amp;DYN_ARGS=TRUE&amp;VAR:ID1=21902310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4__FDSAUDITLINK__" hidden="1">{"fdsup://IBCentral/FAT Viewer?action=UPDATE&amp;creator=factset&amp;DOC_NAME=fat:reuters_annual_source_window.fat&amp;display_string=Audit&amp;DYN_ARGS=TRUE&amp;VAR:ID1=21902310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5__FDSAUDITLINK__" hidden="1">{"fdsup://IBCentral/FAT Viewer?action=UPDATE&amp;creator=factset&amp;DOC_NAME=fat:reuters_annual_source_window.fat&amp;display_string=Audit&amp;DYN_ARGS=TRUE&amp;VAR:ID1=21902310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6__FDSAUDITLINK__" hidden="1">{"fdsup://IBCentral/FAT Viewer?action=UPDATE&amp;creator=factset&amp;DOC_NAME=fat:reuters_annual_source_window.fat&amp;display_string=Audit&amp;DYN_ARGS=TRUE&amp;VAR:ID1=20588710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20588710&amp;VAR:RCODE=SCEX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20588710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20588710&amp;VAR:RCODE=CFGR&amp;VAR:SDATE=20070599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73278L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17003280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1__FDSAUDITLINK__" hidden="1">{"fdsup://IBCentral/FAT Viewer?action=UPDATE&amp;creator=factset&amp;DOC_NAME=fat:reuters_annual_source_window.fat&amp;display_string=Audit&amp;DYN_ARGS=TRUE&amp;VAR:ID1=17003280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2__FDSAUDITLINK__" hidden="1">{"fdsup://IBCentral/FAT Viewer?action=UPDATE&amp;creator=factset&amp;DOC_NAME=fat:reuters_annual_source_window.fat&amp;display_string=Audit&amp;DYN_ARGS=TRUE&amp;VAR:ID1=13442910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3__FDSAUDITLINK__" hidden="1">{"fdsup://IBCentral/FAT Viewer?action=UPDATE&amp;creator=factset&amp;DOC_NAME=fat:reuters_annual_source_window.fat&amp;display_string=Audit&amp;DYN_ARGS=TRUE&amp;VAR:ID1=13442910&amp;VAR:RCODE=SCEX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4__FDSAUDITLINK__" hidden="1">{"fdsup://IBCentral/FAT Viewer?action=UPDATE&amp;creator=factset&amp;DOC_NAME=fat:reuters_annual_source_window.fat&amp;display_string=Audit&amp;DYN_ARGS=TRUE&amp;VAR:ID1=13442910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5__FDSAUDITLINK__" hidden="1">{"fdsup://IBCentral/FAT Viewer?action=UPDATE&amp;creator=factset&amp;DOC_NAME=fat:reuters_annual_source_window.fat&amp;display_string=Audit&amp;DYN_ARGS=TRUE&amp;VAR:ID1=13442910&amp;VAR:RCODE=CFGR&amp;VAR:SDATE=20070799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66__FDSAUDITLINK__" hidden="1">{"fdsup://IBCentral/FAT Viewer?action=UPDATE&amp;creator=factset&amp;DOC_NAME=fat:reuters_annual_source_window.fat&amp;display_string=Audit&amp;DYN_ARGS=TRUE&amp;VAR:ID1=061070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67__FDSAUDITLINK__" hidden="1">{"fdsup://IBCentral/FAT Viewer?action=UPDATE&amp;creator=factset&amp;DOC_NAME=fat:reuters_annual_source_window.fat&amp;display_string=Audit&amp;DYN_ARGS=TRUE&amp;VAR:ID1=061070&amp;VAR:RCODE=SCEX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68__FDSAUDITLINK__" hidden="1">{"fdsup://IBCentral/FAT Viewer?action=UPDATE&amp;creator=factset&amp;DOC_NAME=fat:reuters_annual_source_window.fat&amp;display_string=Audit&amp;DYN_ARGS=TRUE&amp;VAR:ID1=061070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69__FDSAUDITLINK__" hidden="1">{"fdsup://IBCentral/FAT Viewer?action=UPDATE&amp;creator=factset&amp;DOC_NAME=fat:reuters_annual_source_window.fat&amp;display_string=Audit&amp;DYN_ARGS=TRUE&amp;VAR:ID1=061070&amp;VAR:RCODE=CFGR&amp;VAR:SDATE=20071299&amp;VAR:FREQ=CALENDAR_YEARLY&amp;VAR:RELITEM=RP&amp;VAR:CURRENCY=&amp;VAR:CURRSOUR","CE=EXSHARE&amp;VAR:NATFREQ=ANNUAL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67069D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annual_source_window.fat&amp;display_string=Audit&amp;DYN_ARGS=TRUE&amp;VAR:ID1=G1696210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1__FDSAUDITLINK__" hidden="1">{"fdsup://IBCentral/FAT Viewer?action=UPDATE&amp;creator=factset&amp;DOC_NAME=fat:reuters_annual_source_window.fat&amp;display_string=Audit&amp;DYN_ARGS=TRUE&amp;VAR:ID1=G1696210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2__FDSAUDITLINK__" hidden="1">{"fdsup://IBCentral/FAT Viewer?action=UPDATE&amp;creator=factset&amp;DOC_NAME=fat:reuters_annual_source_window.fat&amp;display_string=Audit&amp;DYN_ARGS=TRUE&amp;VAR:ID1=G1696210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3__FDSAUDITLINK__" hidden="1">{"fdsup://IBCentral/FAT Viewer?action=UPDATE&amp;creator=factset&amp;DOC_NAME=fat:reuters_annual_source_window.fat&amp;display_string=Audit&amp;DYN_ARGS=TRUE&amp;VAR:ID1=G1696210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38724Q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38724Q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03948310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03948310&amp;VAR:RCODE=SCEX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8__FDSAUDITLINK__" hidden="1">{"fdsup://IBCentral/FAT Viewer?action=UPDATE&amp;creator=factset&amp;DOC_NAME=fat:reuters_annual_source_window.fat&amp;display_string=Audit&amp;DYN_ARGS=TRUE&amp;VAR:ID1=03948310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79__FDSAUDITLINK__" hidden="1">{"fdsup://IBCentral/FAT Viewer?action=UPDATE&amp;creator=factset&amp;DOC_NAME=fat:reuters_annual_source_window.fat&amp;display_string=Audit&amp;DYN_ARGS=TRUE&amp;VAR:ID1=03948310&amp;VAR:RCODE=CFGR&amp;VAR:SDATE=20070699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65122910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80__FDSAUDITLINK__" hidden="1">{"fdsup://IBCentral/FAT Viewer?action=UPDATE&amp;creator=factset&amp;DOC_NAME=fat:reuters_annual_source_window.fat&amp;display_string=Audit&amp;DYN_ARGS=TRUE&amp;VAR:ID1=88706M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1__FDSAUDITLINK__" hidden="1">{"fdsup://IBCentral/FAT Viewer?action=UPDATE&amp;creator=factset&amp;DOC_NAME=fat:reuters_annual_source_window.fat&amp;display_string=Audit&amp;DYN_ARGS=TRUE&amp;VAR:ID1=88706M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2__FDSAUDITLINK__" hidden="1">{"fdsup://IBCentral/FAT Viewer?action=UPDATE&amp;creator=factset&amp;DOC_NAME=fat:reuters_annual_source_window.fat&amp;display_string=Audit&amp;DYN_ARGS=TRUE&amp;VAR:ID1=88706M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3__FDSAUDITLINK__" hidden="1">{"fdsup://IBCentral/FAT Viewer?action=UPDATE&amp;creator=factset&amp;DOC_NAME=fat:reuters_annual_source_window.fat&amp;display_string=Audit&amp;DYN_ARGS=TRUE&amp;VAR:ID1=88706M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4__FDSAUDITLINK__" hidden="1">{"fdsup://IBCentral/FAT Viewer?action=UPDATE&amp;creator=factset&amp;DOC_NAME=fat:reuters_annual_source_window.fat&amp;display_string=Audit&amp;DYN_ARGS=TRUE&amp;VAR:ID1=85524410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5__FDSAUDITLINK__" hidden="1">{"fdsup://IBCentral/FAT Viewer?action=UPDATE&amp;creator=factset&amp;DOC_NAME=fat:reuters_annual_source_window.fat&amp;display_string=Audit&amp;DYN_ARGS=TRUE&amp;VAR:ID1=85524410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6__FDSAUDITLINK__" hidden="1">{"fdsup://IBCentral/FAT Viewer?action=UPDATE&amp;creator=factset&amp;DOC_NAME=fat:reuters_annual_source_window.fat&amp;display_string=Audit&amp;DYN_ARGS=TRUE&amp;VAR:ID1=85524410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7__FDSAUDITLINK__" hidden="1">{"fdsup://IBCentral/FAT Viewer?action=UPDATE&amp;creator=factset&amp;DOC_NAME=fat:reuters_annual_source_window.fat&amp;display_string=Audit&amp;DYN_ARGS=TRUE&amp;VAR:ID1=85524410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8__FDSAUDITLINK__" hidden="1">{"fdsup://IBCentral/FAT Viewer?action=UPDATE&amp;creator=factset&amp;DOC_NAME=fat:reuters_annual_source_window.fat&amp;display_string=Audit&amp;DYN_ARGS=TRUE&amp;VAR:ID1=70556010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89__FDSAUDITLINK__" hidden="1">{"fdsup://IBCentral/FAT Viewer?action=UPDATE&amp;creator=factset&amp;DOC_NAME=fat:reuters_annual_source_window.fat&amp;display_string=Audit&amp;DYN_ARGS=TRUE&amp;VAR:ID1=70556010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49436810&amp;VAR:RCODE=TTAX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annual_source_window.fat&amp;display_string=Audit&amp;DYN_ARGS=TRUE&amp;VAR:ID1=47023A10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47023A10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39312210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39312210&amp;VAR:RCODE=SCEX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39312210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5__FDSAUDITLINK__" hidden="1">{"fdsup://IBCentral/FAT Viewer?action=UPDATE&amp;creator=factset&amp;DOC_NAME=fat:reuters_annual_source_window.fat&amp;display_string=Audit&amp;DYN_ARGS=TRUE&amp;VAR:ID1=39312210&amp;VAR:RCODE=CFGR&amp;VAR:SDATE=20070999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6__FDSAUDITLINK__" hidden="1">{"fdsup://IBCentral/FAT Viewer?action=UPDATE&amp;creator=factset&amp;DOC_NAME=fat:reuters_annual_source_window.fat&amp;display_string=Audit&amp;DYN_ARGS=TRUE&amp;VAR:ID1=14204220&amp;VAR:RCODE=SCEX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7__FDSAUDITLINK__" hidden="1">{"fdsup://IBCentral/FAT Viewer?action=UPDATE&amp;creator=factset&amp;DOC_NAME=fat:reuters_annual_source_window.fat&amp;display_string=Audit&amp;DYN_ARGS=TRUE&amp;VAR:ID1=14204220&amp;VAR:RCODE=CFGR&amp;VAR:SDATE=20071299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8__FDSAUDITLINK__" hidden="1">{"fdsup://IBCentral/FAT Viewer?action=UPDATE&amp;creator=factset&amp;DOC_NAME=fat:reuters_annual_source_window.fat&amp;display_string=Audit&amp;DYN_ARGS=TRUE&amp;VAR:ID1=35610810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999__FDSAUDITLINK__" hidden="1">{"fdsup://IBCentral/FAT Viewer?action=UPDATE&amp;creator=factset&amp;DOC_NAME=fat:reuters_annual_source_window.fat&amp;display_string=Audit&amp;DYN_ARGS=TRUE&amp;VAR:ID1=35610810&amp;VAR:RCODE=SCEX&amp;VAR:SDATE=20070199&amp;VAR:FREQ=CALENDAR_YEARLY&amp;VAR:RELITEM=RP&amp;VAR:CURRENCY=&amp;VAR:CURRSO","URCE=EXSHARE&amp;VAR:NATFREQ=ANNUAL&amp;VAR:RFIELD=FINALIZED&amp;VAR:DB_TYPE=&amp;VAR:UNITS=M&amp;window=popup&amp;width=450&amp;height=300&amp;START_MAXIMIZED=FALSE"}</definedName>
    <definedName name="_bdm.00FD845F78854FC8A48898207E5F0F91.edm" hidden="1">#REF!</definedName>
    <definedName name="_bdm.02C5A115C3DC4FCAAF78FDA256669552.edm" hidden="1">#REF!</definedName>
    <definedName name="_bdm.075E2B9E0E0C4515B3D53A8238B64099.edm" hidden="1">#REF!</definedName>
    <definedName name="_bdm.0B32E2537AFC4D6FB379D9316A45A580.edm" hidden="1">#REF!</definedName>
    <definedName name="_bdm.0C4307E2350A4869AE33A80B28BA1257.edm" hidden="1">#REF!</definedName>
    <definedName name="_bdm.0F72D09471A74A57BCEBAA08E82EFE5C.edm" hidden="1">#REF!</definedName>
    <definedName name="_bdm.0FBBA1FF78324D3AA66233738B5F1A02.edm" hidden="1">#REF!</definedName>
    <definedName name="_bdm.118777C91C784F9094F02C334432CD88.edm" hidden="1">#REF!</definedName>
    <definedName name="_bdm.1492B9DA1E004A7FB282254F9CD6F2EE.edm" hidden="1">#REF!</definedName>
    <definedName name="_bdm.197C53940BE744E0AC8CA6956DE4152B.edm" hidden="1">#REF!</definedName>
    <definedName name="_bdm.1F24FA9E3B5D42439821224AB6FCC294.edm" hidden="1">#REF!</definedName>
    <definedName name="_bdm.1F7E20A940FE478E8D430FB680127B6B.edm" hidden="1">#REF!</definedName>
    <definedName name="_bdm.1FAC6CC97EE5402EA6FECF18A2093760.edm" hidden="1">#REF!</definedName>
    <definedName name="_bdm.2106A0CD54C54BA9AE5C2DD68C8574E0.edm" hidden="1">#REF!</definedName>
    <definedName name="_bdm.2B6CFECC1ED644E6ADA91F2A523364E9.edm" hidden="1">#REF!</definedName>
    <definedName name="_bdm.2F0BD103AEB7452591568BA995B0012A.edm" hidden="1">#REF!</definedName>
    <definedName name="_bdm.31E6DB61170746018A547F6792512C01.edm" hidden="1">#REF!</definedName>
    <definedName name="_bdm.32C8F54B9F2A4D6C8EBCACE9F48FDBEA.edm" hidden="1">#REF!</definedName>
    <definedName name="_bdm.3372973DFF6B46BB8927358AFC9D0B2F.edm" hidden="1">#REF!</definedName>
    <definedName name="_bdm.416DD438D9744B16A256CE7FA054A497.edm" hidden="1">#REF!</definedName>
    <definedName name="_bdm.4324B0978FF443F686B43FD97F976D58.edm" hidden="1">#REF!</definedName>
    <definedName name="_bdm.464F17A7E9924E2095B4400A38F63E88.edm" hidden="1">#REF!</definedName>
    <definedName name="_bdm.467AADDD52794ECF8194E0E20A081429.edm" hidden="1">#REF!</definedName>
    <definedName name="_bdm.4710641E8CFB4E99AFD0499A21593BCF.edm" hidden="1">#REF!</definedName>
    <definedName name="_bdm.49AA5885481044CBACCDC6CB461BE795.edm" hidden="1">#REF!</definedName>
    <definedName name="_bdm.4CFC67971AA74E5984C94AFB75D0C2EE.edm" hidden="1">#REF!</definedName>
    <definedName name="_bdm.51882EBAFDA742E2A35B09549CD91318.edm" hidden="1">#REF!</definedName>
    <definedName name="_bdm.55B5BAFAD9BA42CAA03EAC99479E6925.edm" hidden="1">#REF!</definedName>
    <definedName name="_bdm.58BC737A543148D1B81681D410C275BE.edm" hidden="1">#REF!</definedName>
    <definedName name="_bdm.5A617936D50A41A282157E8F629847DB.edm" hidden="1">#REF!</definedName>
    <definedName name="_bdm.5B87F04B58B445CBBAF675774D0CA8A7.edm" hidden="1">#REF!</definedName>
    <definedName name="_bdm.5BF172623E194FD0A2EB3248068B242B.edm" hidden="1">#REF!</definedName>
    <definedName name="_bdm.5CEDFE628BF24DCA9291D315EFD4C3E8.edm" hidden="1">#REF!</definedName>
    <definedName name="_bdm.5EFD37805A81431999264ADA52614BC4.edm" hidden="1">#REF!</definedName>
    <definedName name="_bdm.5F2E14C303A74D128449235496DB9426.edm" hidden="1">#REF!</definedName>
    <definedName name="_bdm.6245D0B0FD2C4BDDABDAB110C4F5046D.edm" hidden="1">#REF!</definedName>
    <definedName name="_bdm.63C851557701440C9619BD1782B6D2D9.edm" hidden="1">#REF!</definedName>
    <definedName name="_bdm.6ADAA7A9AB254463B4B44BD9B613BBD1.edm" hidden="1">#REF!</definedName>
    <definedName name="_bdm.6C4C14D196484B5C91916F8B7CB2C1DC.edm" hidden="1">#REF!</definedName>
    <definedName name="_bdm.6C4E89326BCA43959F133E4702E597F4.edm" hidden="1">#REF!</definedName>
    <definedName name="_bdm.71D0E215154B4A59979ECB0A87ABF63A.edm" hidden="1">#REF!</definedName>
    <definedName name="_bdm.75ECB4262EB14AF68AC85A48C85D1FAE.edm" hidden="1">#REF!</definedName>
    <definedName name="_bdm.7A735BD7311340D7A90ECC1296FF0880.edm" hidden="1">#REF!</definedName>
    <definedName name="_bdm.7C2AE41BCB3A4E7A86B40BA8D241724A.edm" hidden="1">#REF!</definedName>
    <definedName name="_bdm.7D4661ABA126442A9892E8778EE4A722.edm" hidden="1">#REF!</definedName>
    <definedName name="_bdm.7E62034CB04D4DBEBA3DCC78E23A55B6.edm" hidden="1">#REF!</definedName>
    <definedName name="_bdm.7EF8A6C2D72848468BE7911676657B5D.edm" hidden="1">#REF!</definedName>
    <definedName name="_bdm.7F6A07C57AD04793BCC911108136C448.edm" hidden="1">#REF!</definedName>
    <definedName name="_bdm.813A83CB7D8C4502B98BFB7E3BB58C97.edm" hidden="1">#REF!</definedName>
    <definedName name="_bdm.8603DFE7F6FE4929A54C8A279A991613.edm" hidden="1">#REF!</definedName>
    <definedName name="_bdm.8E1A4A704FBB4567A2CB0AF7190BDF4E.edm" hidden="1">#REF!</definedName>
    <definedName name="_bdm.8E59F8F1906C462ABD234284D0ADA51E.edm" hidden="1">#REF!</definedName>
    <definedName name="_bdm.8EF3CAE175E9416BAC2A4740285CED9E.edm" hidden="1">#REF!</definedName>
    <definedName name="_bdm.8FB36174B53F4EDBB28607BE632A3895.edm" hidden="1">#REF!</definedName>
    <definedName name="_bdm.8FB9B884F1F14856B48251E31126B755.edm" hidden="1">#REF!</definedName>
    <definedName name="_bdm.905D9CA731734823847CE189937880FE.edm" hidden="1">#REF!</definedName>
    <definedName name="_bdm.90E678AE1E1A4A97813585608E9C01BE.edm" hidden="1">#REF!</definedName>
    <definedName name="_bdm.92ECBD10BF7048D6BF41A09B4841D022.edm" hidden="1">#REF!</definedName>
    <definedName name="_bdm.9481633D2ECE4EE6A63A389D73BE7D17.edm" hidden="1">#REF!</definedName>
    <definedName name="_bdm.95941FF6DCEB4014BAF42A2338D1147B.edm" hidden="1">#REF!</definedName>
    <definedName name="_bdm.9E17221B632F4708877B4F6F4B21EAA7.edm" hidden="1">#REF!</definedName>
    <definedName name="_bdm.9FFE8CE036E64D6F99CF3A4300BC0F44.edm" hidden="1">#REF!</definedName>
    <definedName name="_bdm.A1A304E9CAB3404AB0421B1D046F85C5.edm" hidden="1">#REF!</definedName>
    <definedName name="_bdm.A1E8B070FFCA422DB8D53815C0D53FC8.edm" hidden="1">#REF!</definedName>
    <definedName name="_bdm.A23EE373F70743D58D24A99073F9318A.edm" hidden="1">#REF!</definedName>
    <definedName name="_bdm.A4C2EEED64744576A5B9458A013FD50A.edm" hidden="1">#REF!</definedName>
    <definedName name="_bdm.A54C4EE0C4764CAA9FA7C439346080F3.edm" hidden="1">#REF!</definedName>
    <definedName name="_bdm.A5E138EEA7354BA6AE244CE0A860BE71.edm" hidden="1">#REF!</definedName>
    <definedName name="_bdm.A90C5C6C822B4171BDD11A555A762C31.edm" hidden="1">#REF!</definedName>
    <definedName name="_bdm.A93C704CB39C487483869D0239A8C5BF.edm" hidden="1">#REF!</definedName>
    <definedName name="_bdm.ACFA1547F63D41A48FB634DF566352EC.edm" hidden="1">#REF!</definedName>
    <definedName name="_bdm.AE743E9E8DA547658F70B2F478FE5944.edm" hidden="1">#REF!</definedName>
    <definedName name="_bdm.B2714C64345D4816B0D669BCD16C240E.edm" hidden="1">#REF!</definedName>
    <definedName name="_bdm.B3D22D365D1A4A02B53F1A1E946FB5C5.edm" hidden="1">#REF!</definedName>
    <definedName name="_bdm.BC035172A82A4BD3BAA76724F1ED0203.edm" hidden="1">#REF!</definedName>
    <definedName name="_bdm.BD0C9C205ADD449D80FC485250031AF6.edm" hidden="1">#REF!</definedName>
    <definedName name="_bdm.C0AB890FFF28481A9457DFC89860F1FD.edm" hidden="1">#REF!</definedName>
    <definedName name="_bdm.C30FAAC402CC49D1A0B68FF7E0FFFE03.edm" hidden="1">#REF!</definedName>
    <definedName name="_bdm.C595950DB4FE4E25B0C1717256C55015.edm" hidden="1">#REF!</definedName>
    <definedName name="_bdm.C6DC1CD5F31449C1B87D9DE68BF7A3FB.edm" hidden="1">#REF!</definedName>
    <definedName name="_bdm.C9260195B7DF4CB8BC91A146F1BF6608.edm" hidden="1">#REF!</definedName>
    <definedName name="_bdm.CE3D401525BD4ABA91B842D142A76786.edm" hidden="1">#REF!</definedName>
    <definedName name="_bdm.CF0896AEB4F54A3A93547B36D5FF54E7.edm" hidden="1">#REF!</definedName>
    <definedName name="_bdm.D0B7374F4AF446E4B9BD5C68D69F03AA.edm" hidden="1">#REF!</definedName>
    <definedName name="_bdm.D128B8BF9C164AB8A841C6636550DA12.edm" hidden="1">#REF!</definedName>
    <definedName name="_bdm.D251C107A8774D1A86A73884E69CA09D.edm" hidden="1">#REF!</definedName>
    <definedName name="_bdm.D2B51B6539464CDE9D605BBD9534B1FF.edm" hidden="1">#REF!</definedName>
    <definedName name="_bdm.D4978BAA60A94113A614EEDCE8B1C140.edm" hidden="1">#REF!</definedName>
    <definedName name="_bdm.DBEAEF7D62CD46D99E0D23D33110EB2A.edm" hidden="1">#REF!</definedName>
    <definedName name="_bdm.DF2E7686A7734A2F9ABB7C04A56D5246.edm" hidden="1">#REF!</definedName>
    <definedName name="_bdm.E2813AF0D534488F8C70FEE8928CCA56.edm" hidden="1">#REF!</definedName>
    <definedName name="_bdm.EA08289608D242A5A3A2296498FFD822.edm" hidden="1">#REF!</definedName>
    <definedName name="_bdm.EC808FB928AC424C95782E44CB427878.edm" hidden="1">#REF!</definedName>
    <definedName name="_bdm.ED8DF05921134C8FB447907219F0B9BC.edm" hidden="1">#REF!</definedName>
    <definedName name="_bdm.F078283815C84ADB86A9C6ECA4E24F42.edm" hidden="1">#REF!</definedName>
    <definedName name="_bdm.F80535E51CD24BA2A8EB1AB147D0C98E.edm" hidden="1">#REF!</definedName>
    <definedName name="_bdm.F8697920FDEF4963B12A1B5CEEE427ED.edm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a" hidden="1">{"histincome",#N/A,FALSE,"hyfins";"closing balance",#N/A,FALSE,"hyfins"}</definedName>
    <definedName name="aa" hidden="1">{#N/A,#N/A,FALSE,"Projections";#N/A,#N/A,FALSE,"Multiples Valuation";#N/A,#N/A,FALSE,"LBO";#N/A,#N/A,FALSE,"Multiples_Sensitivity";#N/A,#N/A,FALSE,"Summary"}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ase">#REF!</definedName>
    <definedName name="adfa" hidden="1">{"histincome",#N/A,FALSE,"hyfins";"closing balance",#N/A,FALSE,"hyfins"}</definedName>
    <definedName name="adfads" hidden="1">{"histincome",#N/A,FALSE,"hyfins";"closing balance",#N/A,FALSE,"hyfins"}</definedName>
    <definedName name="adfafadf" hidden="1">{#N/A,#N/A,FALSE,"Brad_DCFM";#N/A,#N/A,FALSE,"Nick_DCFM";#N/A,#N/A,FALSE,"Mobile_DCFM"}</definedName>
    <definedName name="adfas" hidden="1">{#N/A,#N/A,FALSE,"Brad_DCFM";#N/A,#N/A,FALSE,"Nick_DCFM";#N/A,#N/A,FALSE,"Mobile_DCFM"}</definedName>
    <definedName name="adf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dfasf" hidden="1">{"histincome",#N/A,FALSE,"hyfins";"closing balance",#N/A,FALSE,"hyfins"}</definedName>
    <definedName name="adsf" hidden="1">{"histincome",#N/A,FALSE,"hyfins";"closing balance",#N/A,FALSE,"hyfins"}</definedName>
    <definedName name="adsfasd" hidden="1">{"histincome",#N/A,FALSE,"hyfins";"closing balance",#N/A,FALSE,"hyfins"}</definedName>
    <definedName name="adsfdas" hidden="1">{#N/A,#N/A,FALSE,"Summary";#N/A,#N/A,FALSE,"Nottingham";#N/A,#N/A,FALSE,"Cablelink";#N/A,#N/A,FALSE,"Triangle Total";#N/A,#N/A,FALSE,"Triangle LLC";#N/A,#N/A,FALSE,"Teeside";#N/A,#N/A,FALSE,"Cambridge";#N/A,#N/A,FALSE,"Bank Group";#N/A,#N/A,FALSE,"ntl (UK) Group";#N/A,#N/A,FALSE,"ntl Business Ltd";#N/A,#N/A,FALSE,"Consumer Co";#N/A,#N/A,FALSE,"Scanners";#N/A,#N/A,FALSE,"Xtant inc Moleseye";#N/A,#N/A,FALSE,"Bank Facilities";#N/A,#N/A,FALSE,"Parent Funding"}</definedName>
    <definedName name="af" hidden="1">{#N/A,#N/A,FALSE,"Op-BS";#N/A,#N/A,FALSE,"Assum";#N/A,#N/A,FALSE,"IS";#N/A,#N/A,FALSE,"Syn+Elim";#N/A,#N/A,FALSE,"BSCF";#N/A,#N/A,FALSE,"Blue_IS";#N/A,#N/A,FALSE,"Blue_BSCF";#N/A,#N/A,FALSE,"Ratings"}</definedName>
    <definedName name="afa" hidden="1">{"Final",#N/A,FALSE,"Feb-96"}</definedName>
    <definedName name="afasd" hidden="1">{"Final",#N/A,FALSE,"Feb-96"}</definedName>
    <definedName name="afasdfasd" hidden="1">{"'Directory'!$A$72:$E$91"}</definedName>
    <definedName name="afgagagadg" hidden="1">{"Final",#N/A,FALSE,"Feb-96"}</definedName>
    <definedName name="afsd" hidden="1">{"'Directory'!$A$72:$E$91"}</definedName>
    <definedName name="Airlines">#REF!</definedName>
    <definedName name="Annual">#REF!</definedName>
    <definedName name="anscount" hidden="1">1</definedName>
    <definedName name="APPL">#REF!</definedName>
    <definedName name="Area">#REF!</definedName>
    <definedName name="arpu">#REF!</definedName>
    <definedName name="arwegvfr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" hidden="1">{"'Sheet1'!$A$1:$O$40"}</definedName>
    <definedName name="AS2DocOpenMode" hidden="1">"AS2DocumentEdit"</definedName>
    <definedName name="asd" hidden="1">{#N/A,#N/A,TRUE,"Acq-Ass";#N/A,#N/A,TRUE,"Acq-IS";#N/A,#N/A,TRUE,"Acq-BS";#N/A,#N/A,TRUE,"Acq-CF"}</definedName>
    <definedName name="asd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asdas" hidden="1">{"Final",#N/A,FALSE,"Feb-96"}</definedName>
    <definedName name="asdasdf" hidden="1">{"'Directory'!$A$72:$E$91"}</definedName>
    <definedName name="asdasdfasdg" hidden="1">{"Final",#N/A,FALSE,"Feb-96"}</definedName>
    <definedName name="asdasdf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asdg" hidden="1">{"histincome",#N/A,FALSE,"hyfins";"closing balance",#N/A,FALSE,"hyfins"}</definedName>
    <definedName name="asdassd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dd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f" hidden="1">{"histincome",#N/A,FALSE,"hyfins";"closing balance",#N/A,FALSE,"hyfins"}</definedName>
    <definedName name="asdfa" hidden="1">{"histincome",#N/A,FALSE,"hyfins";"closing balance",#N/A,FALSE,"hyfins"}</definedName>
    <definedName name="asdfad" hidden="1">{"histincome",#N/A,FALSE,"hyfins";"closing balance",#N/A,FALSE,"hyfins"}</definedName>
    <definedName name="asdfadefasd" hidden="1">#REF!</definedName>
    <definedName name="asdfadf" hidden="1">{"histincome",#N/A,FALSE,"hyfins";"closing balance",#N/A,FALSE,"hyfins"}</definedName>
    <definedName name="asdfadsfas" hidden="1">{"histincome",#N/A,FALSE,"hyfins";"closing balance",#N/A,FALSE,"hyfins"}</definedName>
    <definedName name="asdfasd" hidden="1">{"histincome",#N/A,FALSE,"hyfins";"closing balance",#N/A,FALSE,"hyfins"}</definedName>
    <definedName name="asdfasdd" hidden="1">{"histincome",#N/A,FALSE,"hyfins";"closing balance",#N/A,FALSE,"hyfins"}</definedName>
    <definedName name="asdfasddfa" hidden="1">{"histincome",#N/A,FALSE,"hyfins";"closing balance",#N/A,FALSE,"hyfins"}</definedName>
    <definedName name="asdfasdf" hidden="1">{"'Directory'!$A$72:$E$91"}</definedName>
    <definedName name="asdfasdfasdadf" hidden="1">{"'Directory'!$A$72:$E$91"}</definedName>
    <definedName name="asdfasdfg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sdfd" hidden="1">{"histincome",#N/A,FALSE,"hyfins";"closing balance",#N/A,FALSE,"hyfins"}</definedName>
    <definedName name="asdfdaf" hidden="1">{#N/A,#N/A,FALSE,"Tar-Ass";#N/A,#N/A,FALSE,"Tar-IS";#N/A,#N/A,FALSE,"Tar-BS";#N/A,#N/A,FALSE,"Tar-Adg BS";#N/A,#N/A,FALSE,"Tar-CF"}</definedName>
    <definedName name="asdffasd" hidden="1">{#N/A,#N/A,FALSE,"Combo-Ass ";#N/A,#N/A,FALSE,"Combo-IS";#N/A,#N/A,FALSE,"Combo-BS";#N/A,#N/A,FALSE,"Combo-CF"}</definedName>
    <definedName name="asdfsda" hidden="1">{#N/A,#N/A,FALSE,"FY97";#N/A,#N/A,FALSE,"FY98";#N/A,#N/A,FALSE,"FY99";#N/A,#N/A,FALSE,"FY00";#N/A,#N/A,FALSE,"FY01"}</definedName>
    <definedName name="asdgaerghawergt" hidden="1">{"histincome",#N/A,FALSE,"hyfins";"closing balance",#N/A,FALSE,"hyfins"}</definedName>
    <definedName name="asdgasdfasdfas" hidden="1">{"histincome",#N/A,FALSE,"hyfins";"closing balance",#N/A,FALSE,"hyfins"}</definedName>
    <definedName name="asdgasrgasdf" hidden="1">{"histincome",#N/A,FALSE,"hyfins";"closing balance",#N/A,FALSE,"hyfins"}</definedName>
    <definedName name="asdsda" hidden="1">{#N/A,#N/A,FALSE,"Tar-Ass";#N/A,#N/A,FALSE,"Tar-IS";#N/A,#N/A,FALSE,"Tar-BS";#N/A,#N/A,FALSE,"Tar-Adg BS";#N/A,#N/A,FALSE,"Tar-CF"}</definedName>
    <definedName name="asdsdf" hidden="1">{#N/A,#N/A,TRUE,"Acq-Ass";#N/A,#N/A,TRUE,"Acq-IS";#N/A,#N/A,TRUE,"Acq-BS";#N/A,#N/A,TRUE,"Acq-CF"}</definedName>
    <definedName name="asdsdfasdf" hidden="1">{"'Directory'!$A$72:$E$91"}</definedName>
    <definedName name="asf" hidden="1">{"'Directory'!$A$72:$E$91"}</definedName>
    <definedName name="asfads" hidden="1">{"histincome",#N/A,FALSE,"hyfins";"closing balance",#N/A,FALSE,"hyfins"}</definedName>
    <definedName name="asfaeq4rwegfta" hidden="1">{"Final",#N/A,FALSE,"Feb-96"}</definedName>
    <definedName name="asfdf" hidden="1">{#N/A,#N/A,TRUE,"Pivots-Employee";#N/A,"Scenario1",TRUE,"Assumptions Summary"}</definedName>
    <definedName name="asfsd" hidden="1">{#N/A,#N/A,TRUE,"Val - sum";#N/A,#N/A,TRUE,"Val - Sum1";#N/A,#N/A,TRUE,"Val - sum2";#N/A,#N/A,TRUE,"Val - Sum3";#N/A,#N/A,TRUE,"Tar-DCF";#N/A,#N/A,TRUE,"Tar-Val LBO";#N/A,#N/A,TRUE,"Tar-Mult Val"}</definedName>
    <definedName name="asg" hidden="1">{"'Directory'!$A$72:$E$91"}</definedName>
    <definedName name="asregregseer" hidden="1">{"Final",#N/A,FALSE,"Feb-96"}</definedName>
    <definedName name="assets">#REF!</definedName>
    <definedName name="Assigned">#REF!</definedName>
    <definedName name="b" hidden="1">{"histincome",#N/A,FALSE,"hyfins";"closing balance",#N/A,FALSE,"hyfins"}</definedName>
    <definedName name="Balance">#REF!</definedName>
    <definedName name="BaseYear">#REF!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hsdf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blah" hidden="1">{"'Perf 96'!$A$1:$P$98"}</definedName>
    <definedName name="bob" hidden="1">#REF!</definedName>
    <definedName name="bthtgbhtrnhjy" hidden="1">{"Draft",#N/A,FALSE,"Feb-96"}</definedName>
    <definedName name="capcase">#REF!</definedName>
    <definedName name="case">#REF!</definedName>
    <definedName name="Case1Name">#REF!</definedName>
    <definedName name="Case2Name">#REF!</definedName>
    <definedName name="Case3Name">#REF!</definedName>
    <definedName name="CAT">#REF!</definedName>
    <definedName name="cf">#REF!</definedName>
    <definedName name="Chart_1">#REF!</definedName>
    <definedName name="Chart_2">#REF!</definedName>
    <definedName name="Chart_3">#REF!</definedName>
    <definedName name="Chart_4">#REF!</definedName>
    <definedName name="Chart_5">#REF!</definedName>
    <definedName name="Chart_6">#REF!</definedName>
    <definedName name="Chart_7">#REF!</definedName>
    <definedName name="CIQWBGuid" hidden="1">"d971cb8c-785a-4e28-a672-ba74933310a6"</definedName>
    <definedName name="CIQWBInfo" hidden="1">"{ ""CIQVersion"":""9.45.614.5792"" }"</definedName>
    <definedName name="CloseDate">#REF!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a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a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dasfda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ATA_SET">#REF!</definedName>
    <definedName name="ddd" hidden="1">{"histincome",#N/A,FALSE,"hyfins";"closing balance",#N/A,FALSE,"hyfins"}</definedName>
    <definedName name="DepInCogs">#REF!</definedName>
    <definedName name="df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dfa" hidden="1">{"histincome",#N/A,FALSE,"hyfins";"closing balance",#N/A,FALSE,"hyfins"}</definedName>
    <definedName name="dfasdf" hidden="1">{"Final",#N/A,FALSE,"Feb-96"}</definedName>
    <definedName name="dfdfgj" hidden="1">{#N/A,#N/A,TRUE,"Pivots-Employee";#N/A,"Scenario1",TRUE,"Assumptions Summary"}</definedName>
    <definedName name="dfff" hidden="1">{"'Directory'!$A$72:$E$91"}</definedName>
    <definedName name="dfg" hidden="1">{#N/A,#N/A,FALSE,"Op-BS";#N/A,#N/A,FALSE,"Assum";#N/A,#N/A,FALSE,"IS";#N/A,#N/A,FALSE,"Syn+Elim";#N/A,#N/A,FALSE,"BSCF";#N/A,#N/A,FALSE,"Blue_IS";#N/A,#N/A,FALSE,"Blue_BSCF";#N/A,#N/A,FALSE,"Ratings"}</definedName>
    <definedName name="dfghddfgq" hidden="1">{"histincome",#N/A,FALSE,"hyfins";"closing balance",#N/A,FALSE,"hyfins"}</definedName>
    <definedName name="dfghgdhgfhd" hidden="1">{"'Sheet1'!$A$1:$O$40"}</definedName>
    <definedName name="dfgj" hidden="1">{#N/A,#N/A,TRUE,"Pivots-Employee";#N/A,"Scenerio2",TRUE,"Assumptions Summary"}</definedName>
    <definedName name="dfgjd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fgjgf" hidden="1">{"Agg Output",#N/A,FALSE,"Operational Drivers Output";"NW Output",#N/A,FALSE,"Operational Drivers Output";"South Output",#N/A,FALSE,"Operational Drivers Output";"Central Output",#N/A,FALSE,"Operational Drivers Output"}</definedName>
    <definedName name="dfh" hidden="1">{"'Directory'!$A$72:$E$91"}</definedName>
    <definedName name="dfhdfgfgfg" hidden="1">#REF!</definedName>
    <definedName name="dfhdfghdg" hidden="1">{"histincome",#N/A,FALSE,"hyfins";"closing balance",#N/A,FALSE,"hyfins"}</definedName>
    <definedName name="dfhdgdgdfghjdjyj" hidden="1">{"histincome",#N/A,FALSE,"hyfins";"closing balance",#N/A,FALSE,"hyfins"}</definedName>
    <definedName name="dfhg" hidden="1">{"'Directory'!$A$72:$E$91"}</definedName>
    <definedName name="dfjf" hidden="1">{"Final",#N/A,FALSE,"Feb-96"}</definedName>
    <definedName name="df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g" hidden="1">{"'Sheet1'!$A$1:$O$40"}</definedName>
    <definedName name="dg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gfd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ghdf" hidden="1">{"'Directory'!$A$72:$E$91"}</definedName>
    <definedName name="dghdgdjyukyu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ghdghd" hidden="1">{"'Directory'!$A$72:$E$91"}</definedName>
    <definedName name="dghdrxtgbhtr" hidden="1">{#N/A,#N/A,FALSE,"Acq-Val";#N/A,#N/A,FALSE,"Acq-Mult Val"}</definedName>
    <definedName name="dghfhsdgbsdf" hidden="1">{"histincome",#N/A,FALSE,"hyfins";"closing balance",#N/A,FALSE,"hyfins"}</definedName>
    <definedName name="dghgdgf" hidden="1">{"Final",#N/A,FALSE,"Feb-96"}</definedName>
    <definedName name="dgsdf" hidden="1">{#N/A,#N/A,FALSE,"Tar-Ass";#N/A,#N/A,FALSE,"Tar-IS";#N/A,#N/A,FALSE,"Tar-BS";#N/A,#N/A,FALSE,"Tar-Adg BS";#N/A,#N/A,FALSE,"Tar-CF"}</definedName>
    <definedName name="djdfhdfghg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om">#REF!</definedName>
    <definedName name="DomFleet">#REF!</definedName>
    <definedName name="drthjdrnh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sf" hidden="1">{"'Directory'!$A$72:$E$91"}</definedName>
    <definedName name="dsfasd" hidden="1">{#N/A,#N/A,FALSE,"FY97";#N/A,#N/A,FALSE,"FY98";#N/A,#N/A,FALSE,"FY99";#N/A,#N/A,FALSE,"FY00";#N/A,#N/A,FALSE,"FY01"}</definedName>
    <definedName name="ds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sfssfdg" hidden="1">{#N/A,#N/A,TRUE,"Pivots-Employee";#N/A,"Scenario1",TRUE,"Assumptions Summary"}</definedName>
    <definedName name="dtr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easfasd" hidden="1">{"histincome",#N/A,FALSE,"hyfins";"closing balance",#N/A,FALSE,"hyfins"}</definedName>
    <definedName name="ebitdaswitch">#REF!</definedName>
    <definedName name="ENT">#REF!</definedName>
    <definedName name="entry">#REF!</definedName>
    <definedName name="Equip">#REF!</definedName>
    <definedName name="er" hidden="1">{#N/A,#N/A,FALSE,"Brad_DCFM";#N/A,#N/A,FALSE,"Nick_DCFM";#N/A,#N/A,FALSE,"Mobile_DCFM"}</definedName>
    <definedName name="erbgegve" hidden="1">{"histincome",#N/A,FALSE,"hyfins";"closing balance",#N/A,FALSE,"hyfins"}</definedName>
    <definedName name="erbghergver" hidden="1">{#N/A,#N/A,FALSE,"Op-BS";#N/A,#N/A,FALSE,"Assum";#N/A,#N/A,FALSE,"IS";#N/A,#N/A,FALSE,"Syn+Elim";#N/A,#N/A,FALSE,"BSCF";#N/A,#N/A,FALSE,"Blue_IS";#N/A,#N/A,FALSE,"Blue_BSCF";#N/A,#N/A,FALSE,"Ratings"}</definedName>
    <definedName name="erer" hidden="1">{#N/A,#N/A,FALSE,"FY97";#N/A,#N/A,FALSE,"FY98";#N/A,#N/A,FALSE,"FY99";#N/A,#N/A,FALSE,"FY00";#N/A,#N/A,FALSE,"FY01"}</definedName>
    <definedName name="erg" hidden="1">{"Final",#N/A,FALSE,"Feb-96"}</definedName>
    <definedName name="ergaergr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erh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ervgseer" hidden="1">{#N/A,#N/A,FALSE,"FY97";#N/A,#N/A,FALSE,"FY98";#N/A,#N/A,FALSE,"FY99";#N/A,#N/A,FALSE,"FY00";#N/A,#N/A,FALSE,"FY01"}</definedName>
    <definedName name="exit">#REF!</definedName>
    <definedName name="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fa" hidden="1">{"'Sheet1'!$A$1:$O$40"}</definedName>
    <definedName name="fafa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fafdsfa" hidden="1">{"histincome",#N/A,FALSE,"hyfins";"closing balance",#N/A,FALSE,"hyfins"}</definedName>
    <definedName name="fas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asdg" hidden="1">{"'Directory'!$A$72:$E$91"}</definedName>
    <definedName name="fasd" hidden="1">{"'Directory'!$A$72:$E$91"}</definedName>
    <definedName name="fasdas" hidden="1">{#N/A,#N/A,FALSE,"Acq-Val";#N/A,#N/A,FALSE,"Acq-Mult Val"}</definedName>
    <definedName name="fasdasd" hidden="1">{"Final",#N/A,FALSE,"Feb-96"}</definedName>
    <definedName name="fasdasdasd" hidden="1">{"'Directory'!$A$72:$E$91"}</definedName>
    <definedName name="fasdasdf" hidden="1">{"Agg Output",#N/A,FALSE,"Operational Drivers Output";"NW Output",#N/A,FALSE,"Operational Drivers Output";"South Output",#N/A,FALSE,"Operational Drivers Output";"Central Output",#N/A,FALSE,"Operational Drivers Output"}</definedName>
    <definedName name="fasdasdfad" hidden="1">{"'Directory'!$A$72:$E$91"}</definedName>
    <definedName name="fasdasdsdaf" hidden="1">{#N/A,#N/A,TRUE,"Acq-Ass";#N/A,#N/A,TRUE,"Acq-IS";#N/A,#N/A,TRUE,"Acq-BS";#N/A,#N/A,TRUE,"Acq-CF"}</definedName>
    <definedName name="fasddasfd" hidden="1">{#N/A,#N/A,TRUE,"Pivots-Employee";#N/A,"Scenerio2",TRUE,"Assumptions Summary"}</definedName>
    <definedName name="fasdf" hidden="1">{#N/A,#N/A,FALSE,"Acq-Val";#N/A,#N/A,FALSE,"Acq-Mult Val"}</definedName>
    <definedName name="fasdfad" hidden="1">{"'Directory'!$A$72:$E$91"}</definedName>
    <definedName name="fasdfasd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fasdfasdasdf" hidden="1">{"'Directory'!$A$72:$E$91"}</definedName>
    <definedName name="fasdfasdasdfasdf" hidden="1">{#N/A,#N/A,TRUE,"Acq-Ass";#N/A,#N/A,TRUE,"Acq-IS";#N/A,#N/A,TRUE,"Acq-BS";#N/A,#N/A,TRUE,"Acq-CF"}</definedName>
    <definedName name="fasdfasd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asdfasdfa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dfasf" hidden="1">{"'Directory'!$A$72:$E$91"}</definedName>
    <definedName name="fasdfsda" hidden="1">{#N/A,#N/A,TRUE,"Val - sum";#N/A,#N/A,TRUE,"Val - Sum1";#N/A,#N/A,TRUE,"Val - sum2";#N/A,#N/A,TRUE,"Val - Sum3";#N/A,#N/A,TRUE,"Tar-DCF";#N/A,#N/A,TRUE,"Tar-Val LBO";#N/A,#N/A,TRUE,"Tar-Mult Val"}</definedName>
    <definedName name="fasdsdf" hidden="1">{"Final",#N/A,FALSE,"Feb-96"}</definedName>
    <definedName name="fasfasd" hidden="1">{"histincome",#N/A,FALSE,"hyfins";"closing balance",#N/A,FALSE,"hyfins"}</definedName>
    <definedName name="fawe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f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fdasasdf" hidden="1">{#N/A,#N/A,FALSE,"Acq-Val";#N/A,#N/A,FALSE,"Acq-Mult Val"}</definedName>
    <definedName name="fdasfasg" hidden="1">{"'Directory'!$A$72:$E$91"}</definedName>
    <definedName name="fdasfsa" hidden="1">{"Final",#N/A,FALSE,"Feb-96"}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as" hidden="1">{"Final",#N/A,FALSE,"Feb-96"}</definedName>
    <definedName name="fds" hidden="1">{"'Directory'!$A$72:$E$91"}</definedName>
    <definedName name="fdsafsd" hidden="1">{"histincome",#N/A,FALSE,"hyfins";"closing balance",#N/A,FALSE,"hyfins"}</definedName>
    <definedName name="fee">#REF!</definedName>
    <definedName name="ff" hidden="1">{"'Sheet1'!$A$1:$O$40"}</definedName>
    <definedName name="ffa" hidden="1">{"histincome",#N/A,FALSE,"hyfins";"closing balance",#N/A,FALSE,"hyfins"}</definedName>
    <definedName name="ffdas" hidden="1">{"histincome",#N/A,FALSE,"hyfins";"closing balance",#N/A,FALSE,"hyfins"}</definedName>
    <definedName name="Fixed">#REF!</definedName>
    <definedName name="Floating">#REF!</definedName>
    <definedName name="Flows">#REF!</definedName>
    <definedName name="FRE">#REF!</definedName>
    <definedName name="fs" hidden="1">{"'Directory'!$A$72:$E$91"}</definedName>
    <definedName name="fs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fsadf" hidden="1">{#N/A,#N/A,TRUE,"Acq-Ass";#N/A,#N/A,TRUE,"Acq-IS";#N/A,#N/A,TRUE,"Acq-BS";#N/A,#N/A,TRUE,"Acq-CF"}</definedName>
    <definedName name="fsd" hidden="1">{#N/A,#N/A,TRUE,"Pivots-Employee";#N/A,"Scenerio2",TRUE,"Assumptions Summary"}</definedName>
    <definedName name="fsda" hidden="1">{"histincome",#N/A,FALSE,"hyfins";"closing balance",#N/A,FALSE,"hyfins"}</definedName>
    <definedName name="fsdafas" hidden="1">{"Final",#N/A,FALSE,"Feb-96"}</definedName>
    <definedName name="fsdf" hidden="1">{#N/A,#N/A,FALSE,"Acq-Val";#N/A,#N/A,FALSE,"Acq-Mult Val"}</definedName>
    <definedName name="fsdfasd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fsdf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fas" hidden="1">{"'Directory'!$A$72:$E$91"}</definedName>
    <definedName name="ftr">#REF!</definedName>
    <definedName name="ftrbhtrghstr" hidden="1">{#N/A,#N/A,TRUE,"Val - sum";#N/A,#N/A,TRUE,"Val - Sum1";#N/A,#N/A,TRUE,"Val - sum2";#N/A,#N/A,TRUE,"Val - Sum3";#N/A,#N/A,TRUE,"Tar-DCF";#N/A,#N/A,TRUE,"Tar-Val LBO";#N/A,#N/A,TRUE,"Tar-Mult Val"}</definedName>
    <definedName name="FXConvers">#REF!</definedName>
    <definedName name="FYEDate">#REF!</definedName>
    <definedName name="FYEndDate">#REF!</definedName>
    <definedName name="g" hidden="1">{"'Directory'!$A$72:$E$91"}</definedName>
    <definedName name="ga" hidden="1">{"'Directory'!$A$72:$E$91"}</definedName>
    <definedName name="gaf" hidden="1">{#N/A,#N/A,TRUE,"Pivots-Employee";#N/A,"Scenerio2",TRUE,"Assumptions Summary"}</definedName>
    <definedName name="gasdf" hidden="1">{#N/A,#N/A,TRUE,"Acq-Ass";#N/A,#N/A,TRUE,"Acq-IS";#N/A,#N/A,TRUE,"Acq-BS";#N/A,#N/A,TRUE,"Acq-CF"}</definedName>
    <definedName name="gd" hidden="1">{#N/A,#N/A,FALSE,"Acq-Val";#N/A,#N/A,FALSE,"Acq-Mult Val"}</definedName>
    <definedName name="gdf" hidden="1">{"Final",#N/A,FALSE,"Feb-96"}</definedName>
    <definedName name="gdfg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gdfgdfg" hidden="1">{#N/A,#N/A,FALSE,"Op-BS";#N/A,#N/A,FALSE,"Assum";#N/A,#N/A,FALSE,"IS";#N/A,#N/A,FALSE,"Syn+Elim";#N/A,#N/A,FALSE,"BSCF";#N/A,#N/A,FALSE,"Blue_IS";#N/A,#N/A,FALSE,"Blue_BSCF";#N/A,#N/A,FALSE,"Ratings"}</definedName>
    <definedName name="gdfgh" hidden="1">{#N/A,#N/A,FALSE,"FY97";#N/A,#N/A,FALSE,"FY98";#N/A,#N/A,FALSE,"FY99";#N/A,#N/A,FALSE,"FY00";#N/A,#N/A,FALSE,"FY01"}</definedName>
    <definedName name="gdsf" hidden="1">{#N/A,#N/A,TRUE,"Pivots-Employee";#N/A,"Scenario1",TRUE,"Assumptions Summary"}</definedName>
    <definedName name="Generic">#REF!</definedName>
    <definedName name="gf" hidden="1">{"histincome",#N/A,FALSE,"hyfins";"closing balance",#N/A,FALSE,"hyfins"}</definedName>
    <definedName name="gfbngnhjdf" hidden="1">{"histincome",#N/A,FALSE,"hyfins";"closing balance",#N/A,FALSE,"hyfins"}</definedName>
    <definedName name="gfh" hidden="1">{#N/A,#N/A,FALSE,"FY97";#N/A,#N/A,FALSE,"FY98";#N/A,#N/A,FALSE,"FY99";#N/A,#N/A,FALSE,"FY00";#N/A,#N/A,FALSE,"FY01"}</definedName>
    <definedName name="gfhg" hidden="1">{"'Directory'!$A$72:$E$91"}</definedName>
    <definedName name="gfjf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g" hidden="1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ggsd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h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ghdf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jnhnnhj" hidden="1">{#N/A,#N/A,FALSE,"Combo-Ass ";#N/A,#N/A,FALSE,"Combo-IS";#N/A,#N/A,FALSE,"Combo-BS";#N/A,#N/A,FALSE,"Combo-CF"}</definedName>
    <definedName name="ghmkj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glgglglhlghlgh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rouphd">#REF!</definedName>
    <definedName name="gsd" hidden="1">{"Draft",#N/A,FALSE,"Feb-96"}</definedName>
    <definedName name="gsdf" hidden="1">{#N/A,#N/A,TRUE,"Acq-Ass";#N/A,#N/A,TRUE,"Acq-IS";#N/A,#N/A,TRUE,"Acq-BS";#N/A,#N/A,TRUE,"Acq-CF"}</definedName>
    <definedName name="gsdfdf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dfgsdf" hidden="1">{"Agg Output",#N/A,FALSE,"Operational Drivers Output";"NW Output",#N/A,FALSE,"Operational Drivers Output";"South Output",#N/A,FALSE,"Operational Drivers Output";"Central Output",#N/A,FALSE,"Operational Drivers Output"}</definedName>
    <definedName name="gsdfsf" hidden="1">{#N/A,#N/A,TRUE,"Pivots-Employee";#N/A,"Scenerio2",TRUE,"Assumptions Summary"}</definedName>
    <definedName name="gsfdh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h" hidden="1">{"'Directory'!$A$72:$E$91"}</definedName>
    <definedName name="GWAmortPeriod">#REF!</definedName>
    <definedName name="GWTaxDed">#REF!</definedName>
    <definedName name="h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hdfg" hidden="1">{#N/A,#N/A,FALSE,"Combo-Ass ";#N/A,#N/A,FALSE,"Combo-IS";#N/A,#N/A,FALSE,"Combo-BS";#N/A,#N/A,FALSE,"Combo-CF"}</definedName>
    <definedName name="hds" hidden="1">{"Final",#N/A,FALSE,"Feb-96"}</definedName>
    <definedName name="hgfjfh" hidden="1">{"Agg Output",#N/A,FALSE,"Operational Drivers Output";"NW Output",#N/A,FALSE,"Operational Drivers Output";"South Output",#N/A,FALSE,"Operational Drivers Output";"Central Output",#N/A,FALSE,"Operational Drivers Output"}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r" hidden="1">{#N/A,#N/A,FALSE,"Tar-Ass";#N/A,#N/A,FALSE,"Tar-IS";#N/A,#N/A,FALSE,"Tar-BS";#N/A,#N/A,FALSE,"Tar-Adg BS";#N/A,#N/A,FALSE,"Tar-CF"}</definedName>
    <definedName name="h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hthtrh" hidden="1">{"histincome",#N/A,FALSE,"hyfins";"closing balance",#N/A,FALSE,"hyfins"}</definedName>
    <definedName name="HTML_CodePage" hidden="1">1252</definedName>
    <definedName name="HTML_Control" hidden="1">{"'Perf 96'!$A$1:$P$98"}</definedName>
    <definedName name="Html_control1" hidden="1">{"'Perf 96'!$A$1:$P$98"}</definedName>
    <definedName name="HTML_Description" hidden="1">""</definedName>
    <definedName name="HTML_Email" hidden="1">""</definedName>
    <definedName name="HTML_Header" hidden="1">"Sheet1"</definedName>
    <definedName name="HTML_LastUpdate" hidden="1">"2/5/99"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"E:\statements-2.0\from_excel.htm"</definedName>
    <definedName name="HTML_PathFileMac" hidden="1">"Macintosh HD:HomePageStuff:pc:datasets:implprem.html"</definedName>
    <definedName name="HTML_Title" hidden="1">"S&amp;P Implied Equity Premiums"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2_10" hidden="1">"technology@midwal.ca"</definedName>
    <definedName name="HTML2_11" hidden="1">1</definedName>
    <definedName name="HTML2_12" hidden="1">"u:\internet\comps2.htm"</definedName>
    <definedName name="HTML2_2" hidden="1">1</definedName>
    <definedName name="HTML2_3" hidden="1">"Technology Stock Comparables"</definedName>
    <definedName name="HTML2_4" hidden="1">"Software Comparables"</definedName>
    <definedName name="HTML2_6" hidden="1">1</definedName>
    <definedName name="HTML2_7" hidden="1">1</definedName>
    <definedName name="HTML2_8" hidden="1">35192</definedName>
    <definedName name="HTML3_11" hidden="1">1</definedName>
    <definedName name="HTML3_12" hidden="1">"C:\Ian\Techsite\telecom.htm"</definedName>
    <definedName name="HTML3_2" hidden="1">1</definedName>
    <definedName name="HTML3_3" hidden="1">"Technology Stock Comparables"</definedName>
    <definedName name="HTML3_4" hidden="1">"Telecom &amp; Network &amp; Semi."</definedName>
    <definedName name="HTML3_6" hidden="1">-4146</definedName>
    <definedName name="HTML3_7" hidden="1">-4146</definedName>
    <definedName name="HTML3_8" hidden="1">35355</definedName>
    <definedName name="HTML3_9" hidden="1">"Ian Prittie"</definedName>
    <definedName name="HTML4_11" hidden="1">1</definedName>
    <definedName name="HTML4_12" hidden="1">"C:\Ian\Techsite\docs.htm"</definedName>
    <definedName name="HTML4_2" hidden="1">1</definedName>
    <definedName name="HTML4_3" hidden="1">"Technology Stock Comparables"</definedName>
    <definedName name="HTML4_4" hidden="1">"Volpe, Welty &amp; Co. Comps."</definedName>
    <definedName name="HTML4_6" hidden="1">-4146</definedName>
    <definedName name="HTML4_7" hidden="1">-4146</definedName>
    <definedName name="HTML4_8" hidden="1">35355</definedName>
    <definedName name="HTML4_9" hidden="1">"Ian Prittie"</definedName>
    <definedName name="HTML5_11" hidden="1">1</definedName>
    <definedName name="HTML5_12" hidden="1">"C:\Ian\Techsite\fibre.htm"</definedName>
    <definedName name="HTML5_2" hidden="1">1</definedName>
    <definedName name="HTML5_3" hidden="1">"Technology Stock Comparables"</definedName>
    <definedName name="HTML5_4" hidden="1">"Fibre Optics"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6_11" hidden="1">1</definedName>
    <definedName name="HTML6_12" hidden="1">"C:\Ian\Techsite\internet.htm"</definedName>
    <definedName name="HTML6_2" hidden="1">1</definedName>
    <definedName name="HTML6_3" hidden="1">"Technology Stock Comparables"</definedName>
    <definedName name="HTML6_4" hidden="1">"Internet"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Count" hidden="1">1</definedName>
    <definedName name="htrhdfgagadf" hidden="1">{#N/A,#N/A,FALSE,"Op-BS";#N/A,#N/A,FALSE,"Assum";#N/A,#N/A,FALSE,"IS";#N/A,#N/A,FALSE,"Syn+Elim";#N/A,#N/A,FALSE,"BSCF";#N/A,#N/A,FALSE,"Blue_IS";#N/A,#N/A,FALSE,"Blue_BSCF";#N/A,#N/A,FALSE,"Ratings"}</definedName>
    <definedName name="iiiiii" hidden="1">{#N/A,#N/A,FALSE,"PERSONAL";#N/A,#N/A,FALSE,"explotación";#N/A,#N/A,FALSE,"generales"}</definedName>
    <definedName name="Img_ML_2d2r9j7a" hidden="1">"IMG_11"</definedName>
    <definedName name="Img_ML_3c7g1a7g" hidden="1">"IMG_3"</definedName>
    <definedName name="Img_ML_5e7g5e5e" hidden="1">"IMG_11"</definedName>
    <definedName name="Img_ML_5g9y2u4m" hidden="1">"IMG_11"</definedName>
    <definedName name="Img_ML_6k9c9p4d" hidden="1">"IMG_5"</definedName>
    <definedName name="Img_ML_7g5e5e2b" hidden="1">"IMG_3"</definedName>
    <definedName name="Img_ML_7j9t7u1i" hidden="1">"IMG_6"</definedName>
    <definedName name="Img_ML_7m5m4k3b" hidden="1">"IMG_6"</definedName>
    <definedName name="Img_ML_7n6h3t1t" hidden="1">"IMG_12"</definedName>
    <definedName name="Img_ML_8b9j5t1p" hidden="1">"IMG_18"</definedName>
    <definedName name="Img_ML_8c2q5i2r" hidden="1">"IMG_6"</definedName>
    <definedName name="Img_ML_8h5e9i3c" hidden="1">"IMG_11"</definedName>
    <definedName name="Img_ML_8h7g3c9i" hidden="1">"IMG_18"</definedName>
    <definedName name="Img_ML_8h7g4d4d" hidden="1">"IMG_3"</definedName>
    <definedName name="Img_ML_8k8v5t9j" hidden="1">"IMG_6"</definedName>
    <definedName name="Img_ML_8r1k8t4y" hidden="1">"IMG_18"</definedName>
    <definedName name="Img_ML_8s3q3c1i" hidden="1">"IMG_5"</definedName>
    <definedName name="Img_ML_9s7y2o2w" hidden="1">"IMG_6"</definedName>
    <definedName name="Img_Production_Breakdown" hidden="1">"IMG_3"</definedName>
    <definedName name="Income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EPS_SURPRISE" hidden="1">"c1635"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45706.5960069444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ision_date_2" hidden="1">39241.8932523148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ShowHideColumns" hidden="1">"iQShowQuarterlyAnnual"</definedName>
    <definedName name="j" hidden="1">{"Final",#N/A,FALSE,"Feb-96"}</definedName>
    <definedName name="jdf" hidden="1">{#N/A,#N/A,FALSE,"Tar-Ass";#N/A,#N/A,FALSE,"Tar-IS";#N/A,#N/A,FALSE,"Tar-BS";#N/A,#N/A,FALSE,"Tar-Adg BS";#N/A,#N/A,FALSE,"Tar-CF"}</definedName>
    <definedName name="jgf" hidden="1">{#N/A,#N/A,TRUE,"Pivots-Employee";#N/A,"Scenario1",TRUE,"Assumptions Summary"}</definedName>
    <definedName name="jgfj" hidden="1">{"histincome",#N/A,FALSE,"hyfins";"closing balance",#N/A,FALSE,"hyfins"}</definedName>
    <definedName name="jgh" hidden="1">{#N/A,#N/A,TRUE,"Val - sum";#N/A,#N/A,TRUE,"Val - Sum1";#N/A,#N/A,TRUE,"Val - sum2";#N/A,#N/A,TRUE,"Val - Sum3";#N/A,#N/A,TRUE,"Tar-DCF";#N/A,#N/A,TRUE,"Tar-Val LBO";#N/A,#N/A,TRUE,"Tar-Mult Val"}</definedName>
    <definedName name="jim" hidden="1">{"'Directory'!$A$72:$E$91"}</definedName>
    <definedName name="jimm" hidden="1">{"'Directory'!$A$72:$E$91"}</definedName>
    <definedName name="jj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JNPRpublish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jt" hidden="1">{#N/A,#N/A,TRUE,"Pivots-Employee";#N/A,"Scenerio2",TRUE,"Assumptions Summary"}</definedName>
    <definedName name="jtrj" hidden="1">{#N/A,#N/A,TRUE,"Pivots-Employee";#N/A,"Scenerio2",TRUE,"Assumptions Summary"}</definedName>
    <definedName name="jty" hidden="1">{"Agg Output",#N/A,FALSE,"Operational Drivers Output";"NW Output",#N/A,FALSE,"Operational Drivers Output";"South Output",#N/A,FALSE,"Operational Drivers Output";"Central Output",#N/A,FALSE,"Operational Drivers Output"}</definedName>
    <definedName name="jtyj" hidden="1">{"Draft",#N/A,FALSE,"Feb-96"}</definedName>
    <definedName name="jtyjk" hidden="1">{#N/A,#N/A,FALSE,"FY97";#N/A,#N/A,FALSE,"FY98";#N/A,#N/A,FALSE,"FY99";#N/A,#N/A,FALSE,"FY00";#N/A,#N/A,FALSE,"FY01"}</definedName>
    <definedName name="jythjftddfgsd" hidden="1">{"'Sheet1'!$A$1:$O$40"}</definedName>
    <definedName name="kgjlhjmkjmgf" hidden="1">{"histincome",#N/A,FALSE,"hyfins";"closing balance",#N/A,FALSE,"hyfins"}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yujkgfujhy" hidden="1">{"histincome",#N/A,FALSE,"hyfins";"closing balance",#N/A,FALSE,"hyfins"}</definedName>
    <definedName name="LastFY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vRecap">#REF!</definedName>
    <definedName name="liabilities">#REF!</definedName>
    <definedName name="LIBOR">#REF!</definedName>
    <definedName name="libor2">#REF!</definedName>
    <definedName name="LIBOR6">#REF!</definedName>
    <definedName name="limcount" hidden="1">1</definedName>
    <definedName name="lkjlkj" hidden="1">{"Final",#N/A,FALSE,"Feb-96"}</definedName>
    <definedName name="lmn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kup04">#REF!</definedName>
    <definedName name="Lookup05">#REF!</definedName>
    <definedName name="LTM_Date">#REF!</definedName>
    <definedName name="LTMAfterLastFY">#REF!</definedName>
    <definedName name="LTMDate">#REF!</definedName>
    <definedName name="LTMEBITDA">#REF!</definedName>
    <definedName name="M_PlaceofPath" hidden="1">"\\SNYCEQT0100\HOME\LZURLO\DATA\TELMEX\Models\tmx_vdf.xls"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N2Eyes">#REF!</definedName>
    <definedName name="Name">#REF!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bel" hidden="1">{"'Directory'!$A$72:$E$91"}</definedName>
    <definedName name="newbls" hidden="1">{"'Directory'!$A$72:$E$91"}</definedName>
    <definedName name="newt" hidden="1">{"'Directory'!$A$72:$E$91"}</definedName>
    <definedName name="newwcom" hidden="1">{"'Directory'!$A$72:$E$91"}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nDedTxCosts">#REF!</definedName>
    <definedName name="OpCase">Model!$P$3</definedName>
    <definedName name="PER">#REF!</definedName>
    <definedName name="prefint1">#REF!</definedName>
    <definedName name="prefint1_pik">#REF!</definedName>
    <definedName name="prefint2">#REF!</definedName>
    <definedName name="prefint2_pik">#REF!</definedName>
    <definedName name="Prime">#REF!</definedName>
    <definedName name="_xlnm.Print_Area" localSheetId="0">Model!$C$5:$O$90</definedName>
    <definedName name="Print_CSC_Report_2" hidden="1">{"CSC_1",#N/A,FALSE,"CSC Outputs";"CSC_2",#N/A,FALSE,"CSC Outputs"}</definedName>
    <definedName name="Q1_04">#REF!</definedName>
    <definedName name="Q1_05">#REF!</definedName>
    <definedName name="Q1_06">#REF!</definedName>
    <definedName name="Q1_07">#REF!</definedName>
    <definedName name="Q2_04">#REF!</definedName>
    <definedName name="Q2_05">#REF!</definedName>
    <definedName name="Q2_06">#REF!</definedName>
    <definedName name="Q2_07">#REF!</definedName>
    <definedName name="Q3_04">#REF!</definedName>
    <definedName name="Q3_05">#REF!</definedName>
    <definedName name="Q3_06">#REF!</definedName>
    <definedName name="Q3_07">#REF!</definedName>
    <definedName name="Q4_04">#REF!</definedName>
    <definedName name="Q4_05">#REF!</definedName>
    <definedName name="Q4_06">#REF!</definedName>
    <definedName name="Q4_07">#REF!</definedName>
    <definedName name="RateData">#REF!</definedName>
    <definedName name="re">#REF!</definedName>
    <definedName name="REBUILD">#REF!</definedName>
    <definedName name="red_percent">#REF!</definedName>
    <definedName name="ref">#REF!</definedName>
    <definedName name="regvervgervg" hidden="1">{"Agg Output",#N/A,FALSE,"Operational Drivers Output";"NW Output",#N/A,FALSE,"Operational Drivers Output";"South Output",#N/A,FALSE,"Operational Drivers Output";"Central Output",#N/A,FALSE,"Operational Drivers Output"}</definedName>
    <definedName name="Report_Annual" hidden="1">{"annual",#N/A,FALSE,"MAS";"margins",#N/A,FALSE,"MAS";"Q",#N/A,FALSE,"Qtrs."}</definedName>
    <definedName name="revint">#REF!</definedName>
    <definedName name="rfgvbvgsdfb" hidden="1">{#N/A,#N/A,FALSE,"Tar-Ass";#N/A,#N/A,FALSE,"Tar-IS";#N/A,#N/A,FALSE,"Tar-BS";#N/A,#N/A,FALSE,"Tar-Adg BS";#N/A,#N/A,FALSE,"Tar-CF"}</definedName>
    <definedName name="rgbegbver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ytjktyhjyhjd" hidden="1">{"'Directory'!$A$72:$E$91"}</definedName>
    <definedName name="s" hidden="1">{"'Trades'!$A$120:$F$141"}</definedName>
    <definedName name="saasdsf" hidden="1">{#N/A,#N/A,TRUE,"Pivots-Employee";#N/A,"Scenerio2",TRUE,"Assumptions Summary"}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ch11pres">#REF!</definedName>
    <definedName name="sch9pres">#REF!</definedName>
    <definedName name="s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a" hidden="1">{"histincome",#N/A,FALSE,"hyfins";"closing balance",#N/A,FALSE,"hyfins"}</definedName>
    <definedName name="sdaf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sdaff" hidden="1">{#N/A,#N/A,FALSE,"Combo-Ass ";#N/A,#N/A,FALSE,"Combo-IS";#N/A,#N/A,FALSE,"Combo-BS";#N/A,#N/A,FALSE,"Combo-CF"}</definedName>
    <definedName name="sdaffdsafd" hidden="1">{#N/A,#N/A,FALSE,"Brad_DCFM";#N/A,#N/A,FALSE,"Nick_DCFM";#N/A,#N/A,FALSE,"Mobile_DCFM"}</definedName>
    <definedName name="sdas" hidden="1">{#N/A,#N/A,FALSE,"Op-BS";#N/A,#N/A,FALSE,"Assum";#N/A,#N/A,FALSE,"IS";#N/A,#N/A,FALSE,"Syn+Elim";#N/A,#N/A,FALSE,"BSCF";#N/A,#N/A,FALSE,"Blue_IS";#N/A,#N/A,FALSE,"Blue_BSCF";#N/A,#N/A,FALSE,"Ratings"}</definedName>
    <definedName name="sdasdaf" hidden="1">{"'Directory'!$A$72:$E$91"}</definedName>
    <definedName name="sd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ddfadf" hidden="1">{"'Directory'!$A$72:$E$91"}</definedName>
    <definedName name="sdf" hidden="1">{#N/A,#N/A,FALSE,"Combo-Ass ";#N/A,#N/A,FALSE,"Combo-IS";#N/A,#N/A,FALSE,"Combo-BS";#N/A,#N/A,FALSE,"Combo-CF"}</definedName>
    <definedName name="sdfasdf" hidden="1">{"histincome",#N/A,FALSE,"hyfins";"closing balance",#N/A,FALSE,"hyfins"}</definedName>
    <definedName name="sdfdfg" hidden="1">{"'Directory'!$A$72:$E$91"}</definedName>
    <definedName name="sdfgsd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sdfgsdfgbve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 hidden="1">{"histincome",#N/A,FALSE,"hyfins";"closing balance",#N/A,FALSE,"hyfins"}</definedName>
    <definedName name="sdfgsfd" hidden="1">{"histincome",#N/A,FALSE,"hyfins";"closing balance",#N/A,FALSE,"hyfins"}</definedName>
    <definedName name="sdfhbtgbhtr" hidden="1">{"Final",#N/A,FALSE,"Feb-96"}</definedName>
    <definedName name="sdfhdgfhdgfhdg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sdfgsdfgsdfg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rgarger" hidden="1">{"'Directory'!$A$72:$E$91"}</definedName>
    <definedName name="sdrgesrgergsdf" hidden="1">{#N/A,#N/A,TRUE,"Acq-Ass";#N/A,#N/A,TRUE,"Acq-IS";#N/A,#N/A,TRUE,"Acq-BS";#N/A,#N/A,TRUE,"Acq-CF"}</definedName>
    <definedName name="sellerpik">#REF!</definedName>
    <definedName name="sellint">#REF!</definedName>
    <definedName name="sellpik">#REF!</definedName>
    <definedName name="sencount" hidden="1">1</definedName>
    <definedName name="Service">#REF!</definedName>
    <definedName name="sf" hidden="1">{"'Directory'!$A$72:$E$91"}</definedName>
    <definedName name="sfasd" hidden="1">{"histincome",#N/A,FALSE,"hyfins";"closing balance",#N/A,FALSE,"hyfins"}</definedName>
    <definedName name="sfdas" hidden="1">{#N/A,#N/A,FALSE,"Acq-Val";#N/A,#N/A,FALSE,"Acq-Mult Val"}</definedName>
    <definedName name="sjhydjgyjufkf" hidden="1">{"Final",#N/A,FALSE,"Feb-96"}</definedName>
    <definedName name="sjtshgth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olver_lin" hidden="1">0</definedName>
    <definedName name="solver_num" hidden="1">0</definedName>
    <definedName name="solver_typ" hidden="1">3</definedName>
    <definedName name="solver_val" hidden="1">0.6</definedName>
    <definedName name="SOsa">#REF!</definedName>
    <definedName name="SPWS_WBID">"42C93244-E664-41FF-B59A-E93590F08781"</definedName>
    <definedName name="stbhgthnsrt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tub">#REF!</definedName>
    <definedName name="subint">#REF!</definedName>
    <definedName name="subint_pik">#REF!</definedName>
    <definedName name="subint2">#REF!</definedName>
    <definedName name="subint2_pik">#REF!</definedName>
    <definedName name="TaxRate">#REF!</definedName>
    <definedName name="Tbl_capex">#REF!</definedName>
    <definedName name="tbl_capexmaint">#REF!</definedName>
    <definedName name="TBL_Dep">#REF!</definedName>
    <definedName name="Tbl_EBITDA">#REF!</definedName>
    <definedName name="Tbl_revenue">#REF!</definedName>
    <definedName name="termaint">#REF!</definedName>
    <definedName name="termbint">#REF!</definedName>
    <definedName name="termcint">#REF!</definedName>
    <definedName name="termcint_pik">#REF!</definedName>
    <definedName name="teytr" hidden="1">{#N/A,#N/A,FALSE,"Brad_DCFM";#N/A,#N/A,FALSE,"Nick_DCFM";#N/A,#N/A,FALSE,"Mobile_DCFM"}</definedName>
    <definedName name="thj" hidden="1">{#N/A,#N/A,FALSE,"Combo-Ass ";#N/A,#N/A,FALSE,"Combo-IS";#N/A,#N/A,FALSE,"Combo-BS";#N/A,#N/A,FALSE,"Combo-CF"}</definedName>
    <definedName name="TotalDebt">#REF!</definedName>
    <definedName name="trhdthdgjdjkty" hidden="1">{"'Directory'!$A$72:$E$91"}</definedName>
    <definedName name="trjhtrhbtr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truhydtrhdrth" hidden="1">{#N/A,#N/A,FALSE,"Brad_DCFM";#N/A,#N/A,FALSE,"Nick_DCFM";#N/A,#N/A,FALSE,"Mobile_DCFM"}</definedName>
    <definedName name="tryuryuy" hidden="1">{"'Directory'!$A$72:$E$91"}</definedName>
    <definedName name="TxAmortPeriod">#REF!</definedName>
    <definedName name="ty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virus?" hidden="1">{#N/A,#N/A,FALSE,"Market Share";#N/A,#N/A,FALSE,"dcf";#N/A,#N/A,FALSE,"Base"}</definedName>
    <definedName name="Virus2" hidden="1">{#N/A,#N/A,FALSE,"Market Share";#N/A,#N/A,FALSE,"dcf";#N/A,#N/A,FALSE,"Base"}</definedName>
    <definedName name="virus3" hidden="1">{#N/A,#N/A,FALSE,"Market Share";#N/A,#N/A,FALSE,"dcf";#N/A,#N/A,FALSE,"Base"}</definedName>
    <definedName name="virus4" hidden="1">{#N/A,#N/A,FALSE,"Market Share";#N/A,#N/A,FALSE,"dcf";#N/A,#N/A,FALSE,"Base"}</definedName>
    <definedName name="virus5" hidden="1">{#N/A,#N/A,FALSE,"Market Share";#N/A,#N/A,FALSE,"dcf";#N/A,#N/A,FALSE,"Base"}</definedName>
    <definedName name="virus6" hidden="1">{#N/A,#N/A,FALSE,"Market Share";#N/A,#N/A,FALSE,"dcf";#N/A,#N/A,FALSE,"Base"}</definedName>
    <definedName name="volume">#REF!</definedName>
    <definedName name="volytd">#REF!</definedName>
    <definedName name="w45ty45t54" hidden="1">{"'Directory'!$A$72:$E$91"}</definedName>
    <definedName name="w45yu45hyh" hidden="1">{#N/A,#N/A,TRUE,"Acq-Ass";#N/A,#N/A,TRUE,"Acq-IS";#N/A,#N/A,TRUE,"Acq-BS";#N/A,#N/A,TRUE,"Acq-CF"}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rrantPrefA">#REF!</definedName>
    <definedName name="WarrantPrefB">#REF!</definedName>
    <definedName name="werqwerq" hidden="1">{"histincome",#N/A,FALSE,"hyfins";"closing balance",#N/A,FALSE,"hyfins"}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">#REF!</definedName>
    <definedName name="wrgerger" hidden="1">{#N/A,#N/A,TRUE,"Pivots-Employee";#N/A,"Scenario1",TRUE,"Assumptions Summary"}</definedName>
    <definedName name="wrgr53gt3gtv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LL.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REPORTS." hidden="1">{#N/A,#N/A,FALSE,"Summary";#N/A,#N/A,FALSE,"Nottingham";#N/A,#N/A,FALSE,"Cablelink";#N/A,#N/A,FALSE,"Triangle Total";#N/A,#N/A,FALSE,"Triangle LLC";#N/A,#N/A,FALSE,"Teeside";#N/A,#N/A,FALSE,"Cambridge";#N/A,#N/A,FALSE,"Bank Group";#N/A,#N/A,FALSE,"ntl (UK) Group";#N/A,#N/A,FALSE,"ntl Business Ltd";#N/A,#N/A,FALSE,"Consumer Co";#N/A,#N/A,FALSE,"Scanners";#N/A,#N/A,FALSE,"Xtant inc Moleseye";#N/A,#N/A,FALSE,"Bank Facilities";#N/A,#N/A,FALSE,"Parent Funding"}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Bank._.Group." hidden="1">{#N/A,#N/A,FALSE,"Bank Group";#N/A,#N/A,FALSE,"ntl (UK) Group";#N/A,#N/A,FALSE,"ntl Business Ltd";#N/A,#N/A,FALSE,"Consumer Co";#N/A,#N/A,FALSE,"Scanners";#N/A,#N/A,FALSE,"Xtant inc Moleseye";#N/A,#N/A,FALSE,"Bank Facilities"}</definedName>
    <definedName name="wrn.basics." hidden="1">{#N/A,#N/A,FALSE,"TSUM";#N/A,#N/A,FALSE,"shares";#N/A,#N/A,FALSE,"earnout";#N/A,#N/A,FALSE,"Heaty";#N/A,#N/A,FALSE,"self-tend";#N/A,#N/A,FALSE,"self-sum"}</definedName>
    <definedName name="wrn.BDK" hidden="1">{"annual",#N/A,FALSE,"MAS";"margins",#N/A,FALSE,"MAS";"Q",#N/A,FALSE,"Qtrs."}</definedName>
    <definedName name="wrn.BidCo." hidden="1">{#N/A,#N/A,FALSE,"BidCo Assumptions";#N/A,#N/A,FALSE,"Credit Stats";#N/A,#N/A,FALSE,"Bidco Summary";#N/A,#N/A,FALSE,"BIDCO Consolidated"}</definedName>
    <definedName name="wrn.bullshit1." hidden="1">{#N/A,#N/A,FALSE,"Sheet1";#N/A,#N/A,FALSE,"Summary";#N/A,#N/A,FALSE,"proj1";#N/A,#N/A,FALSE,"proj2"}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ed._.Statements." hidden="1">{"view1",#N/A,FALSE,"EARN (US$)";"view1",#N/A,FALSE,"DASTBS (US$)";"view1",#N/A,FALSE,"DASTCF (US$)"}</definedName>
    <definedName name="wrn.contribution." hidden="1">{#N/A,#N/A,FALSE,"Contribution Analysis"}</definedName>
    <definedName name="wrn.Covers." hidden="1">{"view1",#N/A,FALSE,"MOTEARN";"view1",#N/A,FALSE,"Bal Sht";"view1",#N/A,FALSE,"Cash Flows"}</definedName>
    <definedName name="wrn.Crisp_2002_1." hidden="1">{#N/A,#N/A,FALSE,"Report"}</definedName>
    <definedName name="wrn.csc." hidden="1">{"orixcsc",#N/A,FALSE,"ORIX CSC";"orixcsc2",#N/A,FALSE,"ORIX 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etail._.income._.and._.expense." hidden="1">{#N/A,#N/A,TRUE,"Assumptions";#N/A,#N/A,TRUE,"Revenue &amp; Direct Expense";#N/A,#N/A,TRUE,"Indirect Expense"}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nball." hidden="1">{"dnbcash",#N/A,FALSE,"DNBann";"dnbinc",#N/A,FALSE,"DNBann";"dnbrevs",#N/A,FALSE,"DNBann";"dnbdirin",#N/A,FALSE,"DNBann";"dnbmktg",#N/A,FALSE,"DNBann";"dnbother",#N/A,FALSE,"DNBann";"dnbsoftw",#N/A,FALSE,"DNBann"}</definedName>
    <definedName name="wrn.Draft." hidden="1">{"Draft",#N/A,FALSE,"Feb-96"}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b." hidden="1">{"AnnMarg",#N/A,FALSE,"FALCON";"Q",#N/A,FALSE,"Qtrs."}</definedName>
    <definedName name="wrn.Fees._.by._.Quarter." hidden="1">{#N/A,#N/A,FALSE,"Fees by QTR"}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{"Final",#N/A,FALSE,"Feb-96"}</definedName>
    <definedName name="wrn.financials." hidden="1">{#N/A,#N/A,TRUE,"Income Statement";#N/A,#N/A,TRUE,"Balance Sheet";#N/A,#N/A,TRUE,"Cash Flow"}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SV._.5._.year._.model." hidden="1">{"Assns Fax",#N/A,FALSE,"Assumptions";"Financial View",#N/A,FALSE,"Earnings";"DCF View",#N/A,FALSE,"Earnings";"Sensitivity",#N/A,FALSE,"DCF"}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Y97SBP." hidden="1">{#N/A,#N/A,FALSE,"FY97";#N/A,#N/A,FALSE,"FY98";#N/A,#N/A,FALSE,"FY99";#N/A,#N/A,FALSE,"FY00";#N/A,#N/A,FALSE,"FY01"}</definedName>
    <definedName name="wrn.gastos." hidden="1">{#N/A,#N/A,FALSE,"PERSONAL";#N/A,#N/A,FALSE,"explotación";#N/A,#N/A,FALSE,"generales"}</definedName>
    <definedName name="wrn.gciall." hidden="1">{"gcicash",#N/A,FALSE,"GCIINC";"gciinc",#N/A,FALSE,"GCIINC";"gciexclusa",#N/A,FALSE,"GCIINC";"usatdy",#N/A,FALSE,"GCIINC"}</definedName>
    <definedName name="wrn.gjkgjhg" hidden="1">{#N/A,#N/A,FALSE,"Triangle Total";#N/A,#N/A,FALSE,"Triangle LLC";#N/A,#N/A,FALSE,"Triangle LLC";#N/A,#N/A,FALSE,"Teeside"}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kriall." hidden="1">{"kricash",#N/A,FALSE,"INC";"kriinc",#N/A,FALSE,"INC";"krimiami",#N/A,FALSE,"INC";"kripaper",#N/A,FALSE,"INC";"kripapers",#N/A,FALSE,"INC";"kriother",#N/A,FALSE,"INC"}</definedName>
    <definedName name="wrn.LBO._.Summary." hidden="1">{"LBO Summary",#N/A,FALSE,"Summary"}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." hidden="1">{"annual",#N/A,FALSE,"MAS";"margins",#N/A,FALSE,"MAS";"Q",#N/A,FALSE,"Qtrs."}</definedName>
    <definedName name="wrn.merge." hidden="1">{#N/A,#N/A,FALSE,"IPO";#N/A,#N/A,FALSE,"DCF";#N/A,#N/A,FALSE,"LBO";#N/A,#N/A,FALSE,"MULT_VAL";#N/A,#N/A,FALSE,"Status Quo";#N/A,#N/A,FALSE,"Recap"}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niall." hidden="1">{"mnicash",#N/A,FALSE,"MCINC2";"mniinc",#N/A,FALSE,"MCINC2";"mniperchng",#N/A,FALSE,"MCINC2";"mniprops",#N/A,FALSE,"MCINC2";"mnisac",#N/A,FALSE,"MCINC2";"mnianctri",#N/A,FALSE,"MCINC2";"mnianch",#N/A,FALSE,"MCINC2";"mnimodtac",#N/A,FALSE,"MCINC2";"mnipprinc",#N/A,FALSE,"MCINC2";"mniprops",#N/A,FALSE,"MCINC2";"rock",#N/A,FALSE,"MCINC2";"tacanch",#N/A,FALSE,"MCINC2";"tri",#N/A,FALSE,"MCINC2"}</definedName>
    <definedName name="wrn.Model_Analysis." hidden="1">{"Quarterly Model",#N/A,FALSE,"Income";"Quarterly Analysis",#N/A,FALSE,"Income"}</definedName>
    <definedName name="wrn.nema." hidden="1">{#N/A,#N/A,FALSE,"Distbn Ntwrk";#N/A,#N/A,FALSE,"Workforce";#N/A,#N/A,FALSE,"cur-prod1";#N/A,#N/A,FALSE,"in-proc"}</definedName>
    <definedName name="wrn.newest." hidden="1">{#N/A,#N/A,TRUE,"TS";#N/A,#N/A,TRUE,"Combo";#N/A,#N/A,TRUE,"FAIR";#N/A,#N/A,TRUE,"RBC";#N/A,#N/A,TRUE,"xxxx"}</definedName>
    <definedName name="wrn.omcall." hidden="1">{"omcfirst",#N/A,FALSE,"OMCQTRS";"omcsecond",#N/A,FALSE,"OMCQTRS";"omcthird",#N/A,FALSE,"OMCQTRS";"omcfourth",#N/A,FALSE,"OMCQTRS";"omcfull",#N/A,FALSE,"OMCQTRS"}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CSC." hidden="1">{"CSC_1",#N/A,FALSE,"CSC Outputs";"CSC_2",#N/A,FALSE,"CSC Outputs"}</definedName>
    <definedName name="wrn.Print_Inputs." hidden="1">{"Inputs_1",#N/A,FALSE,"Inputs";"Inputs_2",#N/A,FALSE,"Inputs";"Inputs_3",#N/A,FALSE,"Inputs";"Inputs_4",#N/A,FALSE,"Inputs"}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oforma." hidden="1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Analysis." hidden="1">{"Quarterly Analysis",#N/A,FALSE,"Income"}</definedName>
    <definedName name="wrn.Quarterly._.Model." hidden="1">{"Quarterly Model",#N/A,FALSE,"Income"}</definedName>
    <definedName name="wrn.quarterly._.package." hidden="1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wrn.RELEVANTSHEETS." hidden="1">{#N/A,#N/A,FALSE,"AD_Purch";#N/A,#N/A,FALSE,"Projections";#N/A,#N/A,FALSE,"DCF";#N/A,#N/A,FALSE,"Mkt Val"}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.2." hidden="1">{#N/A,#N/A,TRUE,"Pivots-Employee";#N/A,"Scenerio2",TRUE,"Assumptions Summary"}</definedName>
    <definedName name="wrn.Report1." hidden="1">{#N/A,#N/A,TRUE,"Pivots-Employee";#N/A,"Scenario1",TRUE,"Assumptions Summary"}</definedName>
    <definedName name="wrn.sales." hidden="1">{"sales",#N/A,FALSE,"Sales";"sales existing",#N/A,FALSE,"Sales";"sales rd1",#N/A,FALSE,"Sales";"sales rd2",#N/A,FALSE,"Sales"}</definedName>
    <definedName name="wrn.sdi." hidden="1">{#N/A,#N/A,FALSE,"Customer Base";#N/A,#N/A,FALSE,"Workforce";#N/A,#N/A,FALSE,"cur prod";#N/A,#N/A,FALSE,"in-proc";#N/A,#N/A,FALSE,"Trademark"}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nsitivity._.Analysis." hidden="1">{"Sensitivity Tables",#N/A,FALSE,"DCF"}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}</definedName>
    <definedName name="wrn.Standard." hidden="1">{#N/A,#N/A,FALSE,"Market Share";#N/A,#N/A,FALSE,"dcf";#N/A,#N/A,FALSE,"Base"}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WK." hidden="1">{"Annual",#N/A,FALSE,"SWK";"Margins",#N/A,FALSE,"SWK";"Q",#N/A,FALSE,"Qtrs."}</definedName>
    <definedName name="wrn.Tables." hidden="1">{"view1",#N/A,FALSE,"Tables";"view2",#N/A,FALSE,"Tables";"view3",#N/A,FALSE,"Tables"}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MCALL." hidden="1">{"tmccash",#N/A,FALSE,"INCX";"tmcinc",#N/A,FALSE,"INCX";"tmcpretx",#N/A,FALSE,"INCX";"tmcadrev",#N/A,FALSE,"INCX";"tmcbooks",#N/A,FALSE,"INCX"}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iangle." hidden="1">{#N/A,#N/A,FALSE,"Triangle Total";#N/A,#N/A,FALSE,"Triangle LLC";#N/A,#N/A,FALSE,"Triangle LLC";#N/A,#N/A,FALSE,"Teeside"}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stairs." hidden="1">{"histincome",#N/A,FALSE,"hyfins";"closing balance",#N/A,FALSE,"hyfins"}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cc." hidden="1">{"Area1",#N/A,FALSE,"OREWACC";"Area2",#N/A,FALSE,"OREWACC"}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n" hidden="1">{#N/A,#N/A,FALSE,"PERSONAL";#N/A,#N/A,FALSE,"explotación";#N/A,#N/A,FALSE,"generales"}</definedName>
    <definedName name="wrvg" hidden="1">{#N/A,#N/A,TRUE,"Pivots-Employee";#N/A,"Scenerio2",TRUE,"Assumptions Summary"}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" hidden="1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ear1Header">#REF!</definedName>
    <definedName name="Year2Header">#REF!</definedName>
    <definedName name="Year3Header">#REF!</definedName>
    <definedName name="Year4Header">#REF!</definedName>
    <definedName name="Year5Header">#REF!</definedName>
    <definedName name="yhjkhdfhset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ytd">#REF!</definedName>
    <definedName name="ytg">#REF!</definedName>
    <definedName name="ytjdyfhfgdfh" hidden="1">{"histincome",#N/A,FALSE,"hyfins";"closing balance",#N/A,FALSE,"hyfins"}</definedName>
    <definedName name="yu" hidden="1">{#N/A,#N/A,FALSE,"Op-BS";#N/A,#N/A,FALSE,"Assum";#N/A,#N/A,FALSE,"IS";#N/A,#N/A,FALSE,"Syn+Elim";#N/A,#N/A,FALSE,"BSCF";#N/A,#N/A,FALSE,"Blue_IS";#N/A,#N/A,FALSE,"Blue_BSCF";#N/A,#N/A,FALSE,"Ratings"}</definedName>
    <definedName name="yuk" hidden="1">{"Draft",#N/A,FALSE,"Feb-96"}</definedName>
    <definedName name="yy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M28" i="1"/>
  <c r="L28" i="1"/>
  <c r="K28" i="1"/>
  <c r="J28" i="1"/>
  <c r="M27" i="1"/>
  <c r="L27" i="1"/>
  <c r="K27" i="1"/>
  <c r="J27" i="1"/>
  <c r="M26" i="1"/>
  <c r="L26" i="1"/>
  <c r="K26" i="1"/>
  <c r="J26" i="1"/>
  <c r="I28" i="1"/>
  <c r="H28" i="1"/>
  <c r="I27" i="1"/>
  <c r="I26" i="1"/>
  <c r="H27" i="1"/>
  <c r="H26" i="1"/>
  <c r="H181" i="1"/>
  <c r="H180" i="1"/>
  <c r="G18" i="1"/>
  <c r="C3" i="1"/>
  <c r="H2" i="1"/>
  <c r="W2" i="1" s="1"/>
  <c r="G8" i="1"/>
  <c r="C8" i="1"/>
  <c r="AT2" i="1"/>
  <c r="AH2" i="1"/>
  <c r="V2" i="1"/>
  <c r="C67" i="1"/>
  <c r="C64" i="1"/>
  <c r="C60" i="1"/>
  <c r="V175" i="1"/>
  <c r="V174" i="1" s="1"/>
  <c r="S175" i="1"/>
  <c r="S176" i="1" s="1"/>
  <c r="S163" i="1"/>
  <c r="S164" i="1" s="1"/>
  <c r="S165" i="1" s="1"/>
  <c r="S142" i="1"/>
  <c r="S141" i="1" s="1"/>
  <c r="S140" i="1" s="1"/>
  <c r="H61" i="1"/>
  <c r="I61" i="1" s="1"/>
  <c r="J61" i="1" s="1"/>
  <c r="K61" i="1" s="1"/>
  <c r="L61" i="1" s="1"/>
  <c r="M61" i="1" s="1"/>
  <c r="AZ29" i="1"/>
  <c r="AZ17" i="1"/>
  <c r="AT11" i="1"/>
  <c r="AT10" i="1"/>
  <c r="AT21" i="1"/>
  <c r="AT33" i="1"/>
  <c r="AT56" i="1"/>
  <c r="AT51" i="1"/>
  <c r="AT48" i="1"/>
  <c r="AT53" i="1" s="1"/>
  <c r="AT45" i="1"/>
  <c r="AU45" i="1" s="1"/>
  <c r="AT42" i="1"/>
  <c r="AT39" i="1"/>
  <c r="AT36" i="1"/>
  <c r="AT37" i="1" s="1"/>
  <c r="AH56" i="1"/>
  <c r="AH51" i="1"/>
  <c r="AH48" i="1"/>
  <c r="AH53" i="1" s="1"/>
  <c r="AH54" i="1" s="1"/>
  <c r="AH45" i="1"/>
  <c r="AI45" i="1" s="1"/>
  <c r="AJ45" i="1" s="1"/>
  <c r="AH42" i="1"/>
  <c r="AH39" i="1"/>
  <c r="AH36" i="1"/>
  <c r="AH33" i="1"/>
  <c r="AH21" i="1"/>
  <c r="AH11" i="1"/>
  <c r="AH10" i="1"/>
  <c r="M148" i="1"/>
  <c r="L148" i="1"/>
  <c r="K148" i="1"/>
  <c r="J148" i="1"/>
  <c r="I148" i="1"/>
  <c r="H148" i="1"/>
  <c r="G21" i="1"/>
  <c r="V77" i="1"/>
  <c r="V75" i="1"/>
  <c r="G41" i="1"/>
  <c r="M32" i="1"/>
  <c r="M41" i="1" s="1"/>
  <c r="L32" i="1"/>
  <c r="L41" i="1" s="1"/>
  <c r="K32" i="1"/>
  <c r="K41" i="1" s="1"/>
  <c r="J32" i="1"/>
  <c r="J41" i="1" s="1"/>
  <c r="I32" i="1"/>
  <c r="I41" i="1" s="1"/>
  <c r="G15" i="1"/>
  <c r="F26" i="1"/>
  <c r="W45" i="1"/>
  <c r="W175" i="1"/>
  <c r="W176" i="1" s="1"/>
  <c r="T175" i="1"/>
  <c r="T176" i="1" s="1"/>
  <c r="G57" i="1"/>
  <c r="C5" i="1"/>
  <c r="AQ36" i="1"/>
  <c r="AE36" i="1"/>
  <c r="S36" i="1"/>
  <c r="H121" i="1"/>
  <c r="AS25" i="1"/>
  <c r="AS28" i="1" s="1"/>
  <c r="AS13" i="1"/>
  <c r="AS16" i="1" s="1"/>
  <c r="G136" i="1"/>
  <c r="H32" i="1" l="1"/>
  <c r="H41" i="1" s="1"/>
  <c r="AI2" i="1"/>
  <c r="AU2" i="1"/>
  <c r="AV45" i="1"/>
  <c r="T174" i="1"/>
  <c r="W174" i="1"/>
  <c r="AT46" i="1"/>
  <c r="S174" i="1"/>
  <c r="V176" i="1"/>
  <c r="AT54" i="1"/>
  <c r="AT40" i="1"/>
  <c r="AT43" i="1"/>
  <c r="AT52" i="1"/>
  <c r="AT57" i="1"/>
  <c r="AT49" i="1"/>
  <c r="AK45" i="1"/>
  <c r="AT35" i="1"/>
  <c r="AH35" i="1"/>
  <c r="AW45" i="1" l="1"/>
  <c r="AL45" i="1"/>
  <c r="AA37" i="1"/>
  <c r="W49" i="1"/>
  <c r="AA22" i="1"/>
  <c r="AB22" i="1" s="1"/>
  <c r="Z22" i="1"/>
  <c r="Y22" i="1"/>
  <c r="X22" i="1"/>
  <c r="W22" i="1"/>
  <c r="AX45" i="1" l="1"/>
  <c r="AM45" i="1"/>
  <c r="AI22" i="1"/>
  <c r="AJ22" i="1" s="1"/>
  <c r="AK22" i="1" s="1"/>
  <c r="AL22" i="1" s="1"/>
  <c r="AM22" i="1" s="1"/>
  <c r="AN22" i="1" s="1"/>
  <c r="AI49" i="1"/>
  <c r="AJ49" i="1" s="1"/>
  <c r="AK49" i="1" s="1"/>
  <c r="AL49" i="1" s="1"/>
  <c r="AM49" i="1" s="1"/>
  <c r="AN49" i="1" s="1"/>
  <c r="AU49" i="1"/>
  <c r="AV49" i="1" s="1"/>
  <c r="AW49" i="1" s="1"/>
  <c r="AX49" i="1" s="1"/>
  <c r="AY49" i="1" s="1"/>
  <c r="AZ49" i="1" s="1"/>
  <c r="AY45" i="1" l="1"/>
  <c r="AN45" i="1"/>
  <c r="AG25" i="1"/>
  <c r="AG28" i="1" s="1"/>
  <c r="AG13" i="1"/>
  <c r="AG16" i="1" s="1"/>
  <c r="H48" i="1"/>
  <c r="I48" i="1"/>
  <c r="J48" i="1"/>
  <c r="K48" i="1"/>
  <c r="L48" i="1"/>
  <c r="M48" i="1"/>
  <c r="C39" i="1"/>
  <c r="Y65" i="1"/>
  <c r="Y66" i="1" s="1"/>
  <c r="F14" i="1"/>
  <c r="W52" i="1"/>
  <c r="AI52" i="1" s="1"/>
  <c r="Z37" i="1"/>
  <c r="Y37" i="1"/>
  <c r="X37" i="1"/>
  <c r="W37" i="1"/>
  <c r="V35" i="1"/>
  <c r="V30" i="1"/>
  <c r="AZ45" i="1" l="1"/>
  <c r="AI37" i="1"/>
  <c r="AJ37" i="1" s="1"/>
  <c r="AK37" i="1" s="1"/>
  <c r="AL37" i="1" s="1"/>
  <c r="AM37" i="1" s="1"/>
  <c r="AN37" i="1" s="1"/>
  <c r="F25" i="1"/>
  <c r="F19" i="1"/>
  <c r="AH30" i="1"/>
  <c r="AH25" i="1" s="1"/>
  <c r="AH26" i="1" s="1"/>
  <c r="AU52" i="1"/>
  <c r="AK52" i="1"/>
  <c r="AL52" i="1" s="1"/>
  <c r="AM52" i="1" s="1"/>
  <c r="AN52" i="1" s="1"/>
  <c r="AH37" i="1"/>
  <c r="AH22" i="1"/>
  <c r="AH18" i="1"/>
  <c r="AH57" i="1"/>
  <c r="AH31" i="1" l="1"/>
  <c r="AH28" i="1"/>
  <c r="AT22" i="1"/>
  <c r="AT30" i="1"/>
  <c r="AT18" i="1"/>
  <c r="AB37" i="1"/>
  <c r="AH16" i="1"/>
  <c r="AH13" i="1"/>
  <c r="AH14" i="1" s="1"/>
  <c r="AH19" i="1"/>
  <c r="AT25" i="1" l="1"/>
  <c r="AT28" i="1"/>
  <c r="AT13" i="1"/>
  <c r="AT14" i="1" s="1"/>
  <c r="AT16" i="1"/>
  <c r="AT19" i="1"/>
  <c r="AT26" i="1"/>
  <c r="AT31" i="1"/>
  <c r="AB11" i="1"/>
  <c r="M11" i="1" s="1"/>
  <c r="AA11" i="1"/>
  <c r="Z11" i="1"/>
  <c r="Y11" i="1"/>
  <c r="J11" i="1" s="1"/>
  <c r="X11" i="1"/>
  <c r="I11" i="1" s="1"/>
  <c r="W11" i="1"/>
  <c r="F8" i="1"/>
  <c r="M202" i="1"/>
  <c r="M204" i="1" s="1"/>
  <c r="L202" i="1"/>
  <c r="L204" i="1" s="1"/>
  <c r="K202" i="1"/>
  <c r="K204" i="1" s="1"/>
  <c r="J202" i="1"/>
  <c r="J204" i="1" s="1"/>
  <c r="I202" i="1"/>
  <c r="I204" i="1" s="1"/>
  <c r="H202" i="1"/>
  <c r="H204" i="1" s="1"/>
  <c r="M198" i="1"/>
  <c r="L198" i="1"/>
  <c r="K198" i="1"/>
  <c r="J198" i="1"/>
  <c r="I198" i="1"/>
  <c r="H198" i="1"/>
  <c r="M196" i="1"/>
  <c r="L196" i="1"/>
  <c r="K196" i="1"/>
  <c r="J196" i="1"/>
  <c r="I196" i="1"/>
  <c r="H196" i="1"/>
  <c r="F185" i="1"/>
  <c r="F184" i="1"/>
  <c r="C175" i="1"/>
  <c r="C174" i="1"/>
  <c r="C173" i="1"/>
  <c r="H161" i="1"/>
  <c r="M159" i="1"/>
  <c r="M189" i="1" s="1"/>
  <c r="L159" i="1"/>
  <c r="L189" i="1" s="1"/>
  <c r="K159" i="1"/>
  <c r="K189" i="1" s="1"/>
  <c r="J159" i="1"/>
  <c r="J189" i="1" s="1"/>
  <c r="I159" i="1"/>
  <c r="I189" i="1" s="1"/>
  <c r="H159" i="1"/>
  <c r="H189" i="1" s="1"/>
  <c r="M146" i="1"/>
  <c r="L146" i="1"/>
  <c r="K146" i="1"/>
  <c r="J146" i="1"/>
  <c r="I146" i="1"/>
  <c r="H146" i="1"/>
  <c r="H142" i="1"/>
  <c r="G59" i="1"/>
  <c r="H125" i="1"/>
  <c r="I121" i="1"/>
  <c r="J121" i="1" s="1"/>
  <c r="K121" i="1" s="1"/>
  <c r="L121" i="1" s="1"/>
  <c r="M121" i="1" s="1"/>
  <c r="H108" i="1"/>
  <c r="I105" i="1"/>
  <c r="J105" i="1" s="1"/>
  <c r="K105" i="1" s="1"/>
  <c r="L105" i="1" s="1"/>
  <c r="M105" i="1" s="1"/>
  <c r="M90" i="1"/>
  <c r="L90" i="1"/>
  <c r="K90" i="1"/>
  <c r="J90" i="1"/>
  <c r="I90" i="1"/>
  <c r="H90" i="1"/>
  <c r="M89" i="1"/>
  <c r="L89" i="1"/>
  <c r="K89" i="1"/>
  <c r="J89" i="1"/>
  <c r="I89" i="1"/>
  <c r="H89" i="1"/>
  <c r="M88" i="1"/>
  <c r="L88" i="1"/>
  <c r="K88" i="1"/>
  <c r="J88" i="1"/>
  <c r="I88" i="1"/>
  <c r="H88" i="1"/>
  <c r="V87" i="1"/>
  <c r="V88" i="1" s="1"/>
  <c r="V89" i="1" s="1"/>
  <c r="V90" i="1" s="1"/>
  <c r="M87" i="1"/>
  <c r="L87" i="1"/>
  <c r="K87" i="1"/>
  <c r="J87" i="1"/>
  <c r="I87" i="1"/>
  <c r="H87" i="1"/>
  <c r="S78" i="1"/>
  <c r="S77" i="1"/>
  <c r="S75" i="1"/>
  <c r="Z66" i="1"/>
  <c r="AB66" i="1" s="1"/>
  <c r="S66" i="1"/>
  <c r="S76" i="1" s="1"/>
  <c r="Z64" i="1"/>
  <c r="AB64" i="1" s="1"/>
  <c r="S64" i="1"/>
  <c r="S74" i="1" s="1"/>
  <c r="V57" i="1"/>
  <c r="H55" i="1"/>
  <c r="V31" i="1"/>
  <c r="U28" i="1"/>
  <c r="V22" i="1"/>
  <c r="U16" i="1"/>
  <c r="F11" i="1"/>
  <c r="AU11" i="1" l="1"/>
  <c r="AI11" i="1"/>
  <c r="AI10" i="1" s="1"/>
  <c r="AI46" i="1" s="1"/>
  <c r="AB57" i="1"/>
  <c r="V8" i="1"/>
  <c r="H8" i="1"/>
  <c r="C59" i="1"/>
  <c r="H52" i="1"/>
  <c r="V25" i="1"/>
  <c r="V26" i="1" s="1"/>
  <c r="H199" i="1"/>
  <c r="H206" i="1" s="1"/>
  <c r="H85" i="1" s="1"/>
  <c r="I199" i="1"/>
  <c r="I206" i="1" s="1"/>
  <c r="I85" i="1" s="1"/>
  <c r="J199" i="1"/>
  <c r="J206" i="1" s="1"/>
  <c r="J85" i="1" s="1"/>
  <c r="F18" i="1"/>
  <c r="F20" i="1" s="1"/>
  <c r="V28" i="1"/>
  <c r="L199" i="1"/>
  <c r="L206" i="1" s="1"/>
  <c r="L85" i="1" s="1"/>
  <c r="K199" i="1"/>
  <c r="K206" i="1" s="1"/>
  <c r="K85" i="1" s="1"/>
  <c r="M199" i="1"/>
  <c r="M206" i="1" s="1"/>
  <c r="M85" i="1" s="1"/>
  <c r="I2" i="1"/>
  <c r="C172" i="1"/>
  <c r="V49" i="1"/>
  <c r="H134" i="1"/>
  <c r="H24" i="1"/>
  <c r="H38" i="1" s="1"/>
  <c r="F10" i="1"/>
  <c r="V18" i="1"/>
  <c r="V37" i="1"/>
  <c r="AJ2" i="1" l="1"/>
  <c r="X2" i="1"/>
  <c r="AV2" i="1"/>
  <c r="F39" i="1"/>
  <c r="F21" i="1"/>
  <c r="Y57" i="1"/>
  <c r="Z57" i="1"/>
  <c r="W57" i="1"/>
  <c r="X57" i="1"/>
  <c r="AH8" i="1"/>
  <c r="AT8" i="1"/>
  <c r="AA57" i="1"/>
  <c r="W8" i="1"/>
  <c r="F40" i="1"/>
  <c r="F13" i="1"/>
  <c r="F15" i="1"/>
  <c r="I8" i="1"/>
  <c r="W18" i="1"/>
  <c r="J2" i="1"/>
  <c r="V19" i="1"/>
  <c r="V13" i="1"/>
  <c r="V14" i="1" s="1"/>
  <c r="V16" i="1"/>
  <c r="AK2" i="1" l="1"/>
  <c r="Y2" i="1"/>
  <c r="AW2" i="1"/>
  <c r="AI57" i="1"/>
  <c r="AU57" i="1"/>
  <c r="Y52" i="1"/>
  <c r="Y49" i="1"/>
  <c r="X52" i="1"/>
  <c r="X49" i="1"/>
  <c r="AA52" i="1"/>
  <c r="AA49" i="1"/>
  <c r="Z52" i="1"/>
  <c r="Z49" i="1"/>
  <c r="AB52" i="1"/>
  <c r="AZ52" i="1" s="1"/>
  <c r="AB49" i="1"/>
  <c r="AU10" i="1"/>
  <c r="H11" i="1"/>
  <c r="H10" i="1" s="1"/>
  <c r="I10" i="1" s="1"/>
  <c r="J10" i="1" s="1"/>
  <c r="AI8" i="1"/>
  <c r="AU8" i="1"/>
  <c r="AI36" i="1"/>
  <c r="AI51" i="1"/>
  <c r="AI48" i="1"/>
  <c r="AI56" i="1"/>
  <c r="AI21" i="1"/>
  <c r="AI18" i="1" s="1"/>
  <c r="AJ57" i="1"/>
  <c r="AK57" i="1" s="1"/>
  <c r="AL57" i="1" s="1"/>
  <c r="AM57" i="1" s="1"/>
  <c r="AN57" i="1" s="1"/>
  <c r="AV57" i="1"/>
  <c r="AW57" i="1" s="1"/>
  <c r="AX57" i="1" s="1"/>
  <c r="AY57" i="1" s="1"/>
  <c r="AZ57" i="1" s="1"/>
  <c r="X8" i="1"/>
  <c r="J8" i="1"/>
  <c r="W13" i="1"/>
  <c r="W14" i="1" s="1"/>
  <c r="AU14" i="1" s="1"/>
  <c r="W19" i="1"/>
  <c r="K2" i="1"/>
  <c r="W53" i="1"/>
  <c r="X18" i="1"/>
  <c r="Z2" i="1" l="1"/>
  <c r="AL2" i="1"/>
  <c r="AX2" i="1"/>
  <c r="AU51" i="1"/>
  <c r="AU46" i="1"/>
  <c r="AU48" i="1"/>
  <c r="AU53" i="1" s="1"/>
  <c r="AU54" i="1" s="1"/>
  <c r="AJ8" i="1"/>
  <c r="AV8" i="1"/>
  <c r="AU56" i="1"/>
  <c r="AI13" i="1"/>
  <c r="AI14" i="1" s="1"/>
  <c r="AI16" i="1"/>
  <c r="AI17" i="1" s="1"/>
  <c r="AI19" i="1"/>
  <c r="V40" i="1"/>
  <c r="AH40" i="1"/>
  <c r="Y8" i="1"/>
  <c r="K8" i="1"/>
  <c r="X53" i="1"/>
  <c r="W16" i="1"/>
  <c r="W17" i="1" s="1"/>
  <c r="X13" i="1"/>
  <c r="X14" i="1" s="1"/>
  <c r="X19" i="1"/>
  <c r="L2" i="1"/>
  <c r="W54" i="1"/>
  <c r="AA2" i="1" l="1"/>
  <c r="AY2" i="1"/>
  <c r="AM2" i="1"/>
  <c r="AU17" i="1"/>
  <c r="AU16" i="1" s="1"/>
  <c r="G13" i="1"/>
  <c r="AB40" i="1"/>
  <c r="H45" i="1"/>
  <c r="AK8" i="1"/>
  <c r="AW8" i="1"/>
  <c r="Z8" i="1"/>
  <c r="L8" i="1"/>
  <c r="X16" i="1"/>
  <c r="X17" i="1" s="1"/>
  <c r="X54" i="1"/>
  <c r="Y53" i="1"/>
  <c r="Y18" i="1"/>
  <c r="Z18" i="1"/>
  <c r="M2" i="1"/>
  <c r="AB2" i="1" l="1"/>
  <c r="AZ2" i="1"/>
  <c r="AN2" i="1"/>
  <c r="AL8" i="1"/>
  <c r="AX8" i="1"/>
  <c r="AA8" i="1"/>
  <c r="Z53" i="1"/>
  <c r="M8" i="1"/>
  <c r="AA18" i="1"/>
  <c r="Y13" i="1"/>
  <c r="Y14" i="1" s="1"/>
  <c r="Y19" i="1"/>
  <c r="Y54" i="1"/>
  <c r="Z19" i="1"/>
  <c r="Z13" i="1"/>
  <c r="Z14" i="1" s="1"/>
  <c r="Z54" i="1" l="1"/>
  <c r="AM8" i="1"/>
  <c r="AY8" i="1"/>
  <c r="AB8" i="1"/>
  <c r="AA53" i="1"/>
  <c r="Y16" i="1"/>
  <c r="Y17" i="1" s="1"/>
  <c r="O8" i="1"/>
  <c r="Z16" i="1"/>
  <c r="AA19" i="1"/>
  <c r="AA13" i="1"/>
  <c r="AA14" i="1" s="1"/>
  <c r="AA54" i="1" l="1"/>
  <c r="AN8" i="1"/>
  <c r="AZ8" i="1"/>
  <c r="Z17" i="1"/>
  <c r="AB53" i="1"/>
  <c r="AB18" i="1"/>
  <c r="AA16" i="1"/>
  <c r="AA17" i="1" s="1"/>
  <c r="AB13" i="1" l="1"/>
  <c r="AB14" i="1" s="1"/>
  <c r="AB19" i="1"/>
  <c r="AB54" i="1"/>
  <c r="AB16" i="1" l="1"/>
  <c r="AB17" i="1" s="1"/>
  <c r="W40" i="1" l="1"/>
  <c r="AI40" i="1" s="1"/>
  <c r="AJ40" i="1" s="1"/>
  <c r="AK40" i="1" s="1"/>
  <c r="AL40" i="1" s="1"/>
  <c r="AM40" i="1" s="1"/>
  <c r="AN40" i="1" s="1"/>
  <c r="X40" i="1"/>
  <c r="Y40" i="1"/>
  <c r="Z40" i="1"/>
  <c r="AA40" i="1"/>
  <c r="AU40" i="1" l="1"/>
  <c r="V52" i="1"/>
  <c r="V53" i="1"/>
  <c r="AI39" i="1" l="1"/>
  <c r="AV40" i="1"/>
  <c r="AW40" i="1" s="1"/>
  <c r="AX40" i="1" s="1"/>
  <c r="AY40" i="1" s="1"/>
  <c r="AZ40" i="1" s="1"/>
  <c r="AU39" i="1"/>
  <c r="V54" i="1"/>
  <c r="AH49" i="1" l="1"/>
  <c r="AH52" i="1"/>
  <c r="AI53" i="1" l="1"/>
  <c r="AI54" i="1" l="1"/>
  <c r="H44" i="1"/>
  <c r="W30" i="1"/>
  <c r="W35" i="1"/>
  <c r="AI35" i="1" l="1"/>
  <c r="AU35" i="1"/>
  <c r="AJ35" i="1"/>
  <c r="AK35" i="1" s="1"/>
  <c r="AL35" i="1" s="1"/>
  <c r="AM35" i="1" s="1"/>
  <c r="AN35" i="1" s="1"/>
  <c r="AI33" i="1"/>
  <c r="AI30" i="1" s="1"/>
  <c r="H19" i="1"/>
  <c r="H40" i="1" s="1"/>
  <c r="W31" i="1"/>
  <c r="W25" i="1"/>
  <c r="W26" i="1" s="1"/>
  <c r="AU26" i="1" s="1"/>
  <c r="AI31" i="1" l="1"/>
  <c r="AI25" i="1"/>
  <c r="AI26" i="1" s="1"/>
  <c r="H25" i="1"/>
  <c r="W28" i="1"/>
  <c r="W29" i="1" s="1"/>
  <c r="X30" i="1"/>
  <c r="X35" i="1"/>
  <c r="AU29" i="1" l="1"/>
  <c r="AU28" i="1" s="1"/>
  <c r="AI28" i="1"/>
  <c r="AI29" i="1" s="1"/>
  <c r="I19" i="1"/>
  <c r="I40" i="1" s="1"/>
  <c r="X31" i="1"/>
  <c r="X25" i="1"/>
  <c r="I25" i="1" l="1"/>
  <c r="X28" i="1"/>
  <c r="X29" i="1" s="1"/>
  <c r="X26" i="1"/>
  <c r="Y30" i="1"/>
  <c r="Y35" i="1"/>
  <c r="J19" i="1" l="1"/>
  <c r="Y31" i="1"/>
  <c r="Y25" i="1"/>
  <c r="Y26" i="1" s="1"/>
  <c r="Z30" i="1"/>
  <c r="Z35" i="1"/>
  <c r="K19" i="1" l="1"/>
  <c r="K40" i="1" s="1"/>
  <c r="J40" i="1"/>
  <c r="Y28" i="1"/>
  <c r="Y29" i="1" s="1"/>
  <c r="Z31" i="1"/>
  <c r="Z25" i="1"/>
  <c r="Z26" i="1" s="1"/>
  <c r="K25" i="1" l="1"/>
  <c r="J25" i="1"/>
  <c r="Z28" i="1"/>
  <c r="Z29" i="1" s="1"/>
  <c r="AA30" i="1"/>
  <c r="AA35" i="1"/>
  <c r="L19" i="1" l="1"/>
  <c r="L40" i="1" s="1"/>
  <c r="AA31" i="1"/>
  <c r="AA25" i="1"/>
  <c r="AA26" i="1" s="1"/>
  <c r="AB30" i="1"/>
  <c r="AB35" i="1"/>
  <c r="L25" i="1" l="1"/>
  <c r="AB25" i="1"/>
  <c r="AB26" i="1" s="1"/>
  <c r="M19" i="1"/>
  <c r="M40" i="1" s="1"/>
  <c r="AB31" i="1"/>
  <c r="AA28" i="1"/>
  <c r="AA29" i="1" s="1"/>
  <c r="AB28" i="1"/>
  <c r="AJ10" i="1"/>
  <c r="AJ48" i="1" l="1"/>
  <c r="AJ46" i="1"/>
  <c r="AJ21" i="1"/>
  <c r="AJ18" i="1" s="1"/>
  <c r="AJ16" i="1" s="1"/>
  <c r="AJ17" i="1" s="1"/>
  <c r="AK10" i="1"/>
  <c r="AJ56" i="1"/>
  <c r="AJ39" i="1"/>
  <c r="AJ36" i="1"/>
  <c r="AJ33" i="1" s="1"/>
  <c r="M25" i="1"/>
  <c r="AB29" i="1"/>
  <c r="AJ51" i="1"/>
  <c r="AJ53" i="1" s="1"/>
  <c r="AK48" i="1" l="1"/>
  <c r="AK46" i="1"/>
  <c r="AJ30" i="1"/>
  <c r="AJ25" i="1" s="1"/>
  <c r="AJ26" i="1" s="1"/>
  <c r="AK36" i="1"/>
  <c r="AK33" i="1" s="1"/>
  <c r="AK51" i="1"/>
  <c r="AJ54" i="1"/>
  <c r="I44" i="1"/>
  <c r="AK39" i="1"/>
  <c r="AK56" i="1"/>
  <c r="AK53" i="1"/>
  <c r="AJ31" i="1"/>
  <c r="AK21" i="1"/>
  <c r="AK18" i="1" s="1"/>
  <c r="AK13" i="1" s="1"/>
  <c r="AK14" i="1" s="1"/>
  <c r="AL10" i="1"/>
  <c r="AL46" i="1" s="1"/>
  <c r="AJ19" i="1"/>
  <c r="AJ13" i="1"/>
  <c r="AJ14" i="1" s="1"/>
  <c r="AJ28" i="1" l="1"/>
  <c r="AJ29" i="1" s="1"/>
  <c r="AK54" i="1"/>
  <c r="J44" i="1"/>
  <c r="AK16" i="1"/>
  <c r="AK17" i="1" s="1"/>
  <c r="AK19" i="1"/>
  <c r="AL21" i="1"/>
  <c r="AL18" i="1" s="1"/>
  <c r="AM10" i="1"/>
  <c r="AM46" i="1" s="1"/>
  <c r="AL48" i="1"/>
  <c r="AL51" i="1"/>
  <c r="AL36" i="1"/>
  <c r="AL33" i="1" s="1"/>
  <c r="AL30" i="1" s="1"/>
  <c r="AL56" i="1"/>
  <c r="AL39" i="1"/>
  <c r="AK30" i="1"/>
  <c r="AL53" i="1" l="1"/>
  <c r="AK31" i="1"/>
  <c r="AK25" i="1"/>
  <c r="AK26" i="1" s="1"/>
  <c r="AL25" i="1"/>
  <c r="AL31" i="1"/>
  <c r="AM36" i="1"/>
  <c r="AM33" i="1" s="1"/>
  <c r="AM51" i="1"/>
  <c r="AM21" i="1"/>
  <c r="AM39" i="1"/>
  <c r="AM56" i="1"/>
  <c r="AM48" i="1"/>
  <c r="AN10" i="1"/>
  <c r="AN46" i="1" s="1"/>
  <c r="AL16" i="1"/>
  <c r="AL17" i="1" s="1"/>
  <c r="AL19" i="1"/>
  <c r="AL13" i="1"/>
  <c r="AL14" i="1" s="1"/>
  <c r="AL54" i="1" l="1"/>
  <c r="K44" i="1"/>
  <c r="AM53" i="1"/>
  <c r="AM30" i="1"/>
  <c r="AN39" i="1"/>
  <c r="AN56" i="1"/>
  <c r="AN48" i="1"/>
  <c r="AN51" i="1"/>
  <c r="AN36" i="1"/>
  <c r="AN33" i="1" s="1"/>
  <c r="AN21" i="1"/>
  <c r="AM25" i="1"/>
  <c r="AM26" i="1" s="1"/>
  <c r="AM31" i="1"/>
  <c r="AL26" i="1"/>
  <c r="AL28" i="1"/>
  <c r="AM18" i="1"/>
  <c r="AK28" i="1"/>
  <c r="AK29" i="1" s="1"/>
  <c r="AV10" i="1"/>
  <c r="AV39" i="1" l="1"/>
  <c r="AV46" i="1"/>
  <c r="AM54" i="1"/>
  <c r="L44" i="1"/>
  <c r="AV56" i="1"/>
  <c r="AL29" i="1"/>
  <c r="AM16" i="1"/>
  <c r="AM17" i="1" s="1"/>
  <c r="AM19" i="1"/>
  <c r="AM13" i="1"/>
  <c r="AM14" i="1" s="1"/>
  <c r="AM28" i="1"/>
  <c r="AM29" i="1" s="1"/>
  <c r="AN18" i="1"/>
  <c r="AN30" i="1"/>
  <c r="I45" i="1"/>
  <c r="AN53" i="1"/>
  <c r="AV48" i="1"/>
  <c r="AV51" i="1"/>
  <c r="AW10" i="1"/>
  <c r="AW56" i="1" l="1"/>
  <c r="J45" i="1" s="1"/>
  <c r="AW46" i="1"/>
  <c r="AN54" i="1"/>
  <c r="M44" i="1"/>
  <c r="AW39" i="1"/>
  <c r="AN25" i="1"/>
  <c r="AN26" i="1" s="1"/>
  <c r="AN31" i="1"/>
  <c r="AN16" i="1"/>
  <c r="AN17" i="1" s="1"/>
  <c r="AN19" i="1"/>
  <c r="AN13" i="1"/>
  <c r="AN14" i="1" s="1"/>
  <c r="AW51" i="1"/>
  <c r="AW48" i="1"/>
  <c r="AY11" i="1"/>
  <c r="L11" i="1" s="1"/>
  <c r="AX11" i="1"/>
  <c r="K11" i="1" s="1"/>
  <c r="K10" i="1" s="1"/>
  <c r="AV53" i="1"/>
  <c r="AV54" i="1" s="1"/>
  <c r="AN28" i="1" l="1"/>
  <c r="AN29" i="1" s="1"/>
  <c r="AW53" i="1"/>
  <c r="AW54" i="1" s="1"/>
  <c r="L10" i="1"/>
  <c r="M10" i="1" s="1"/>
  <c r="O10" i="1" s="1"/>
  <c r="AX10" i="1"/>
  <c r="AX56" i="1" l="1"/>
  <c r="AX46" i="1"/>
  <c r="AX39" i="1"/>
  <c r="AX48" i="1"/>
  <c r="AX51" i="1"/>
  <c r="K45" i="1"/>
  <c r="AY10" i="1"/>
  <c r="AY39" i="1" l="1"/>
  <c r="AY46" i="1"/>
  <c r="AY56" i="1"/>
  <c r="AX53" i="1"/>
  <c r="AX54" i="1" s="1"/>
  <c r="L45" i="1"/>
  <c r="AY51" i="1"/>
  <c r="AY48" i="1"/>
  <c r="AZ10" i="1"/>
  <c r="AZ46" i="1" s="1"/>
  <c r="AY53" i="1" l="1"/>
  <c r="AY54" i="1" s="1"/>
  <c r="AZ51" i="1"/>
  <c r="AZ48" i="1"/>
  <c r="AZ56" i="1"/>
  <c r="M45" i="1" s="1"/>
  <c r="AZ39" i="1"/>
  <c r="AU13" i="1"/>
  <c r="AU18" i="1" s="1"/>
  <c r="H13" i="1" s="1"/>
  <c r="H14" i="1" s="1"/>
  <c r="AV14" i="1"/>
  <c r="AW14" i="1" s="1"/>
  <c r="AZ53" i="1" l="1"/>
  <c r="AZ54" i="1" s="1"/>
  <c r="H15" i="1"/>
  <c r="H16" i="1"/>
  <c r="AV13" i="1"/>
  <c r="AX14" i="1"/>
  <c r="AW13" i="1"/>
  <c r="AU19" i="1"/>
  <c r="AU21" i="1"/>
  <c r="AU22" i="1" s="1"/>
  <c r="AY14" i="1" l="1"/>
  <c r="AX13" i="1"/>
  <c r="AZ14" i="1" l="1"/>
  <c r="AZ13" i="1" s="1"/>
  <c r="AY13" i="1"/>
  <c r="AU25" i="1"/>
  <c r="AV26" i="1"/>
  <c r="AV25" i="1" s="1"/>
  <c r="AU30" i="1"/>
  <c r="H18" i="1" s="1"/>
  <c r="AW26" i="1" l="1"/>
  <c r="H20" i="1"/>
  <c r="H39" i="1" s="1"/>
  <c r="AU31" i="1"/>
  <c r="AU33" i="1"/>
  <c r="AU36" i="1" s="1"/>
  <c r="AU37" i="1" s="1"/>
  <c r="AW25" i="1" l="1"/>
  <c r="AX26" i="1"/>
  <c r="H21" i="1"/>
  <c r="H22" i="1"/>
  <c r="AY26" i="1" l="1"/>
  <c r="AX25" i="1"/>
  <c r="G39" i="1"/>
  <c r="AZ26" i="1" l="1"/>
  <c r="AZ25" i="1" s="1"/>
  <c r="AY25" i="1"/>
  <c r="G162" i="1"/>
  <c r="X67" i="1"/>
  <c r="Z67" i="1" s="1"/>
  <c r="AB67" i="1" s="1"/>
  <c r="G40" i="1"/>
  <c r="G25" i="1" s="1"/>
  <c r="X65" i="1"/>
  <c r="G143" i="1"/>
  <c r="K160" i="1" l="1"/>
  <c r="H160" i="1"/>
  <c r="M160" i="1"/>
  <c r="L160" i="1"/>
  <c r="H158" i="1"/>
  <c r="G64" i="1"/>
  <c r="J160" i="1"/>
  <c r="I160" i="1"/>
  <c r="H139" i="1"/>
  <c r="G60" i="1"/>
  <c r="G62" i="1" s="1"/>
  <c r="G72" i="1" s="1"/>
  <c r="Z65" i="1"/>
  <c r="AB65" i="1" l="1"/>
  <c r="H162" i="1"/>
  <c r="G71" i="1"/>
  <c r="G65" i="1"/>
  <c r="G73" i="1" l="1"/>
  <c r="G74" i="1"/>
  <c r="H64" i="1"/>
  <c r="I158" i="1"/>
  <c r="H174" i="1"/>
  <c r="F27" i="1" l="1"/>
  <c r="V43" i="1"/>
  <c r="AH43" i="1" l="1"/>
  <c r="AH46" i="1"/>
  <c r="F28" i="1"/>
  <c r="F29" i="1" s="1"/>
  <c r="V46" i="1"/>
  <c r="W43" i="1" l="1"/>
  <c r="AI43" i="1" s="1"/>
  <c r="X43" i="1"/>
  <c r="Y43" i="1"/>
  <c r="Z43" i="1"/>
  <c r="AA43" i="1"/>
  <c r="AB43" i="1"/>
  <c r="AU43" i="1" l="1"/>
  <c r="G29" i="1"/>
  <c r="X45" i="1"/>
  <c r="W46" i="1"/>
  <c r="H29" i="1"/>
  <c r="H106" i="1" l="1"/>
  <c r="Y45" i="1"/>
  <c r="X46" i="1"/>
  <c r="I29" i="1"/>
  <c r="AJ43" i="1"/>
  <c r="AI42" i="1"/>
  <c r="AV43" i="1"/>
  <c r="AU42" i="1"/>
  <c r="AW43" i="1" l="1"/>
  <c r="AV42" i="1"/>
  <c r="AK43" i="1"/>
  <c r="AJ42" i="1"/>
  <c r="Z45" i="1"/>
  <c r="Y46" i="1"/>
  <c r="J29" i="1"/>
  <c r="AA45" i="1" l="1"/>
  <c r="Z46" i="1"/>
  <c r="K29" i="1"/>
  <c r="AL43" i="1"/>
  <c r="AK42" i="1"/>
  <c r="AX43" i="1"/>
  <c r="AW42" i="1"/>
  <c r="AY43" i="1" l="1"/>
  <c r="AX42" i="1"/>
  <c r="AM43" i="1"/>
  <c r="AL42" i="1"/>
  <c r="AB45" i="1"/>
  <c r="AA46" i="1"/>
  <c r="L29" i="1"/>
  <c r="AB46" i="1" l="1"/>
  <c r="M29" i="1"/>
  <c r="AN43" i="1"/>
  <c r="AN42" i="1" s="1"/>
  <c r="AM42" i="1"/>
  <c r="AZ43" i="1"/>
  <c r="AZ42" i="1" s="1"/>
  <c r="AY42" i="1"/>
  <c r="G47" i="1" l="1"/>
  <c r="G44" i="1" l="1"/>
  <c r="I13" i="1"/>
  <c r="I14" i="1" s="1"/>
  <c r="I15" i="1" s="1"/>
  <c r="J13" i="1"/>
  <c r="J14" i="1" s="1"/>
  <c r="J15" i="1" s="1"/>
  <c r="K13" i="1"/>
  <c r="K14" i="1" s="1"/>
  <c r="K15" i="1" s="1"/>
  <c r="L13" i="1"/>
  <c r="L14" i="1" s="1"/>
  <c r="L15" i="1" s="1"/>
  <c r="M13" i="1"/>
  <c r="M14" i="1" s="1"/>
  <c r="I18" i="1"/>
  <c r="J18" i="1"/>
  <c r="K18" i="1"/>
  <c r="L18" i="1"/>
  <c r="M18" i="1"/>
  <c r="O18" i="1" s="1"/>
  <c r="M15" i="1" l="1"/>
  <c r="O14" i="1"/>
  <c r="O13" i="1"/>
  <c r="M16" i="1"/>
  <c r="M20" i="1"/>
  <c r="L16" i="1"/>
  <c r="L20" i="1"/>
  <c r="K16" i="1"/>
  <c r="K20" i="1"/>
  <c r="J16" i="1"/>
  <c r="J20" i="1"/>
  <c r="I16" i="1"/>
  <c r="I20" i="1"/>
  <c r="K39" i="1" l="1"/>
  <c r="K22" i="1"/>
  <c r="K21" i="1"/>
  <c r="I22" i="1"/>
  <c r="I39" i="1"/>
  <c r="I21" i="1"/>
  <c r="J22" i="1"/>
  <c r="J39" i="1"/>
  <c r="J21" i="1"/>
  <c r="L39" i="1"/>
  <c r="L22" i="1"/>
  <c r="L21" i="1"/>
  <c r="M39" i="1"/>
  <c r="M21" i="1"/>
  <c r="M22" i="1"/>
  <c r="O20" i="1"/>
  <c r="J104" i="1" l="1"/>
  <c r="J106" i="1" s="1"/>
  <c r="I104" i="1"/>
  <c r="I106" i="1" s="1"/>
  <c r="M104" i="1"/>
  <c r="M106" i="1" s="1"/>
  <c r="L104" i="1"/>
  <c r="L106" i="1" s="1"/>
  <c r="K104" i="1"/>
  <c r="K106" i="1" s="1"/>
  <c r="V78" i="1" l="1"/>
  <c r="X68" i="1" s="1"/>
  <c r="Z68" i="1" l="1"/>
  <c r="X69" i="1"/>
  <c r="G169" i="1"/>
  <c r="H167" i="1" s="1"/>
  <c r="H175" i="1" s="1"/>
  <c r="G67" i="1"/>
  <c r="G68" i="1" s="1"/>
  <c r="Z69" i="1" l="1"/>
  <c r="AA76" i="1" s="1"/>
  <c r="AB68" i="1"/>
  <c r="AB69" i="1" s="1"/>
  <c r="G76" i="1"/>
  <c r="G75" i="1"/>
  <c r="H177" i="1"/>
  <c r="H190" i="1" s="1"/>
  <c r="H168" i="1"/>
  <c r="H169" i="1" s="1"/>
  <c r="K31" i="1" l="1"/>
  <c r="M31" i="1"/>
  <c r="L31" i="1"/>
  <c r="H31" i="1"/>
  <c r="J31" i="1"/>
  <c r="I31" i="1"/>
  <c r="I167" i="1"/>
  <c r="H67" i="1"/>
  <c r="I175" i="1" l="1"/>
  <c r="I177" i="1" l="1"/>
  <c r="I190" i="1" s="1"/>
  <c r="I168" i="1"/>
  <c r="I169" i="1" s="1"/>
  <c r="I67" i="1" l="1"/>
  <c r="J167" i="1"/>
  <c r="J175" i="1" l="1"/>
  <c r="J177" i="1" l="1"/>
  <c r="J190" i="1" s="1"/>
  <c r="J168" i="1"/>
  <c r="J169" i="1" s="1"/>
  <c r="J67" i="1" l="1"/>
  <c r="K167" i="1"/>
  <c r="K175" i="1" l="1"/>
  <c r="K177" i="1" l="1"/>
  <c r="K190" i="1" s="1"/>
  <c r="K168" i="1"/>
  <c r="K169" i="1" s="1"/>
  <c r="K67" i="1" l="1"/>
  <c r="L167" i="1"/>
  <c r="L175" i="1" l="1"/>
  <c r="L168" i="1" l="1"/>
  <c r="L169" i="1" s="1"/>
  <c r="L177" i="1"/>
  <c r="L190" i="1" s="1"/>
  <c r="L67" i="1" l="1"/>
  <c r="M167" i="1"/>
  <c r="M175" i="1" l="1"/>
  <c r="M177" i="1" l="1"/>
  <c r="M190" i="1" s="1"/>
  <c r="M168" i="1"/>
  <c r="M169" i="1" s="1"/>
  <c r="M67" i="1" s="1"/>
  <c r="AV16" i="1"/>
  <c r="AV18" i="1" s="1"/>
  <c r="AV19" i="1" l="1"/>
  <c r="AV21" i="1"/>
  <c r="AW16" i="1"/>
  <c r="AW18" i="1" l="1"/>
  <c r="AX16" i="1"/>
  <c r="AV22" i="1"/>
  <c r="AX18" i="1" l="1"/>
  <c r="AY16" i="1"/>
  <c r="AW19" i="1"/>
  <c r="AW21" i="1"/>
  <c r="AW22" i="1" l="1"/>
  <c r="AZ16" i="1"/>
  <c r="AZ18" i="1" s="1"/>
  <c r="AY18" i="1"/>
  <c r="AX19" i="1"/>
  <c r="AX21" i="1"/>
  <c r="AY19" i="1" l="1"/>
  <c r="AY21" i="1"/>
  <c r="AX22" i="1"/>
  <c r="AZ21" i="1"/>
  <c r="AZ19" i="1"/>
  <c r="AZ22" i="1" l="1"/>
  <c r="AY22" i="1"/>
  <c r="H120" i="1" l="1"/>
  <c r="AV28" i="1" l="1"/>
  <c r="AW28" i="1"/>
  <c r="AX28" i="1"/>
  <c r="AY28" i="1"/>
  <c r="AZ28" i="1"/>
  <c r="AV29" i="1"/>
  <c r="AW29" i="1"/>
  <c r="AX29" i="1"/>
  <c r="AY29" i="1"/>
  <c r="H30" i="1"/>
  <c r="I30" i="1"/>
  <c r="J30" i="1"/>
  <c r="K30" i="1"/>
  <c r="L30" i="1"/>
  <c r="M30" i="1"/>
  <c r="AV30" i="1"/>
  <c r="AW30" i="1"/>
  <c r="AX30" i="1"/>
  <c r="AY30" i="1"/>
  <c r="AZ30" i="1"/>
  <c r="AV31" i="1"/>
  <c r="AW31" i="1"/>
  <c r="AX31" i="1"/>
  <c r="AY31" i="1"/>
  <c r="AZ31" i="1"/>
  <c r="H33" i="1"/>
  <c r="I33" i="1"/>
  <c r="J33" i="1"/>
  <c r="K33" i="1"/>
  <c r="L33" i="1"/>
  <c r="M33" i="1"/>
  <c r="AV33" i="1"/>
  <c r="AW33" i="1"/>
  <c r="AX33" i="1"/>
  <c r="AY33" i="1"/>
  <c r="AZ33" i="1"/>
  <c r="H35" i="1"/>
  <c r="I35" i="1"/>
  <c r="J35" i="1"/>
  <c r="K35" i="1"/>
  <c r="L35" i="1"/>
  <c r="M35" i="1"/>
  <c r="H36" i="1"/>
  <c r="I36" i="1"/>
  <c r="J36" i="1"/>
  <c r="K36" i="1"/>
  <c r="L36" i="1"/>
  <c r="M36" i="1"/>
  <c r="AV36" i="1"/>
  <c r="AW36" i="1"/>
  <c r="AX36" i="1"/>
  <c r="AY36" i="1"/>
  <c r="AZ36" i="1"/>
  <c r="AV37" i="1"/>
  <c r="AW37" i="1"/>
  <c r="AX37" i="1"/>
  <c r="AY37" i="1"/>
  <c r="AZ37" i="1"/>
  <c r="G42" i="1"/>
  <c r="H42" i="1"/>
  <c r="I42" i="1"/>
  <c r="J42" i="1"/>
  <c r="K42" i="1"/>
  <c r="L42" i="1"/>
  <c r="M42" i="1"/>
  <c r="G43" i="1"/>
  <c r="H43" i="1"/>
  <c r="I43" i="1"/>
  <c r="J43" i="1"/>
  <c r="K43" i="1"/>
  <c r="L43" i="1"/>
  <c r="M43" i="1"/>
  <c r="G46" i="1"/>
  <c r="H46" i="1"/>
  <c r="I46" i="1"/>
  <c r="J46" i="1"/>
  <c r="K46" i="1"/>
  <c r="L46" i="1"/>
  <c r="M46" i="1"/>
  <c r="H49" i="1"/>
  <c r="I49" i="1"/>
  <c r="J49" i="1"/>
  <c r="K49" i="1"/>
  <c r="L49" i="1"/>
  <c r="M49" i="1"/>
  <c r="H51" i="1"/>
  <c r="I51" i="1"/>
  <c r="J51" i="1"/>
  <c r="K51" i="1"/>
  <c r="L51" i="1"/>
  <c r="M51" i="1"/>
  <c r="I52" i="1"/>
  <c r="J52" i="1"/>
  <c r="K52" i="1"/>
  <c r="L52" i="1"/>
  <c r="M52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9" i="1"/>
  <c r="I59" i="1"/>
  <c r="J59" i="1"/>
  <c r="K59" i="1"/>
  <c r="L59" i="1"/>
  <c r="M59" i="1"/>
  <c r="H60" i="1"/>
  <c r="I60" i="1"/>
  <c r="J60" i="1"/>
  <c r="K60" i="1"/>
  <c r="L60" i="1"/>
  <c r="M60" i="1"/>
  <c r="H62" i="1"/>
  <c r="I62" i="1"/>
  <c r="J62" i="1"/>
  <c r="K62" i="1"/>
  <c r="L62" i="1"/>
  <c r="M62" i="1"/>
  <c r="I64" i="1"/>
  <c r="J64" i="1"/>
  <c r="K64" i="1"/>
  <c r="L64" i="1"/>
  <c r="M64" i="1"/>
  <c r="H65" i="1"/>
  <c r="I65" i="1"/>
  <c r="J65" i="1"/>
  <c r="K65" i="1"/>
  <c r="L65" i="1"/>
  <c r="M65" i="1"/>
  <c r="H68" i="1"/>
  <c r="I68" i="1"/>
  <c r="J68" i="1"/>
  <c r="K68" i="1"/>
  <c r="L68" i="1"/>
  <c r="M68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AA74" i="1"/>
  <c r="AB74" i="1"/>
  <c r="H75" i="1"/>
  <c r="I75" i="1"/>
  <c r="J75" i="1"/>
  <c r="K75" i="1"/>
  <c r="L75" i="1"/>
  <c r="M75" i="1"/>
  <c r="AA75" i="1"/>
  <c r="H76" i="1"/>
  <c r="I76" i="1"/>
  <c r="J76" i="1"/>
  <c r="K76" i="1"/>
  <c r="L76" i="1"/>
  <c r="M76" i="1"/>
  <c r="G79" i="1"/>
  <c r="H79" i="1"/>
  <c r="I79" i="1"/>
  <c r="J79" i="1"/>
  <c r="K79" i="1"/>
  <c r="L79" i="1"/>
  <c r="M79" i="1"/>
  <c r="G80" i="1"/>
  <c r="H80" i="1"/>
  <c r="I80" i="1"/>
  <c r="J80" i="1"/>
  <c r="K80" i="1"/>
  <c r="L80" i="1"/>
  <c r="M80" i="1"/>
  <c r="V80" i="1"/>
  <c r="G81" i="1"/>
  <c r="H81" i="1"/>
  <c r="I81" i="1"/>
  <c r="J81" i="1"/>
  <c r="K81" i="1"/>
  <c r="L81" i="1"/>
  <c r="M81" i="1"/>
  <c r="V81" i="1"/>
  <c r="AA81" i="1"/>
  <c r="W85" i="1"/>
  <c r="X85" i="1"/>
  <c r="Y85" i="1"/>
  <c r="Z85" i="1"/>
  <c r="AA85" i="1"/>
  <c r="AB85" i="1"/>
  <c r="H102" i="1"/>
  <c r="I102" i="1"/>
  <c r="J102" i="1"/>
  <c r="K102" i="1"/>
  <c r="L102" i="1"/>
  <c r="M102" i="1"/>
  <c r="I108" i="1"/>
  <c r="J108" i="1"/>
  <c r="K108" i="1"/>
  <c r="L108" i="1"/>
  <c r="M108" i="1"/>
  <c r="H109" i="1"/>
  <c r="I109" i="1"/>
  <c r="J109" i="1"/>
  <c r="K109" i="1"/>
  <c r="L109" i="1"/>
  <c r="M109" i="1"/>
  <c r="H110" i="1"/>
  <c r="I110" i="1"/>
  <c r="J110" i="1"/>
  <c r="K110" i="1"/>
  <c r="L110" i="1"/>
  <c r="M110" i="1"/>
  <c r="H111" i="1"/>
  <c r="I111" i="1"/>
  <c r="J111" i="1"/>
  <c r="K111" i="1"/>
  <c r="L111" i="1"/>
  <c r="M111" i="1"/>
  <c r="H113" i="1"/>
  <c r="I113" i="1"/>
  <c r="J113" i="1"/>
  <c r="K113" i="1"/>
  <c r="L113" i="1"/>
  <c r="M113" i="1"/>
  <c r="H115" i="1"/>
  <c r="I115" i="1"/>
  <c r="J115" i="1"/>
  <c r="K115" i="1"/>
  <c r="L115" i="1"/>
  <c r="M115" i="1"/>
  <c r="H116" i="1"/>
  <c r="I116" i="1"/>
  <c r="J116" i="1"/>
  <c r="K116" i="1"/>
  <c r="L116" i="1"/>
  <c r="M116" i="1"/>
  <c r="H117" i="1"/>
  <c r="I117" i="1"/>
  <c r="J117" i="1"/>
  <c r="K117" i="1"/>
  <c r="L117" i="1"/>
  <c r="M117" i="1"/>
  <c r="H118" i="1"/>
  <c r="I118" i="1"/>
  <c r="J118" i="1"/>
  <c r="K118" i="1"/>
  <c r="L118" i="1"/>
  <c r="M118" i="1"/>
  <c r="I120" i="1"/>
  <c r="J120" i="1"/>
  <c r="K120" i="1"/>
  <c r="L120" i="1"/>
  <c r="M120" i="1"/>
  <c r="H122" i="1"/>
  <c r="I122" i="1"/>
  <c r="J122" i="1"/>
  <c r="K122" i="1"/>
  <c r="L122" i="1"/>
  <c r="M122" i="1"/>
  <c r="I125" i="1"/>
  <c r="J125" i="1"/>
  <c r="K125" i="1"/>
  <c r="L125" i="1"/>
  <c r="M125" i="1"/>
  <c r="H126" i="1"/>
  <c r="I126" i="1"/>
  <c r="J126" i="1"/>
  <c r="K126" i="1"/>
  <c r="L126" i="1"/>
  <c r="M126" i="1"/>
  <c r="I127" i="1"/>
  <c r="J127" i="1"/>
  <c r="K127" i="1"/>
  <c r="L127" i="1"/>
  <c r="M127" i="1"/>
  <c r="H128" i="1"/>
  <c r="I128" i="1"/>
  <c r="J128" i="1"/>
  <c r="K128" i="1"/>
  <c r="L128" i="1"/>
  <c r="M128" i="1"/>
  <c r="I134" i="1"/>
  <c r="J134" i="1"/>
  <c r="K134" i="1"/>
  <c r="L134" i="1"/>
  <c r="M134" i="1"/>
  <c r="H135" i="1"/>
  <c r="I135" i="1"/>
  <c r="J135" i="1"/>
  <c r="K135" i="1"/>
  <c r="L135" i="1"/>
  <c r="M135" i="1"/>
  <c r="H136" i="1"/>
  <c r="I136" i="1"/>
  <c r="J136" i="1"/>
  <c r="K136" i="1"/>
  <c r="L136" i="1"/>
  <c r="M136" i="1"/>
  <c r="I139" i="1"/>
  <c r="J139" i="1"/>
  <c r="K139" i="1"/>
  <c r="L139" i="1"/>
  <c r="M139" i="1"/>
  <c r="H140" i="1"/>
  <c r="I140" i="1"/>
  <c r="J140" i="1"/>
  <c r="K140" i="1"/>
  <c r="L140" i="1"/>
  <c r="M140" i="1"/>
  <c r="H141" i="1"/>
  <c r="I141" i="1"/>
  <c r="J141" i="1"/>
  <c r="K141" i="1"/>
  <c r="L141" i="1"/>
  <c r="M141" i="1"/>
  <c r="I142" i="1"/>
  <c r="J142" i="1"/>
  <c r="K142" i="1"/>
  <c r="L142" i="1"/>
  <c r="M142" i="1"/>
  <c r="H143" i="1"/>
  <c r="I143" i="1"/>
  <c r="J143" i="1"/>
  <c r="K143" i="1"/>
  <c r="L143" i="1"/>
  <c r="M143" i="1"/>
  <c r="H149" i="1"/>
  <c r="I149" i="1"/>
  <c r="J149" i="1"/>
  <c r="K149" i="1"/>
  <c r="L149" i="1"/>
  <c r="M149" i="1"/>
  <c r="H150" i="1"/>
  <c r="I150" i="1"/>
  <c r="J150" i="1"/>
  <c r="K150" i="1"/>
  <c r="L150" i="1"/>
  <c r="M150" i="1"/>
  <c r="H152" i="1"/>
  <c r="I152" i="1"/>
  <c r="J152" i="1"/>
  <c r="K152" i="1"/>
  <c r="L152" i="1"/>
  <c r="M152" i="1"/>
  <c r="H154" i="1"/>
  <c r="I154" i="1"/>
  <c r="J154" i="1"/>
  <c r="K154" i="1"/>
  <c r="L154" i="1"/>
  <c r="M154" i="1"/>
  <c r="J158" i="1"/>
  <c r="K158" i="1"/>
  <c r="L158" i="1"/>
  <c r="M158" i="1"/>
  <c r="I161" i="1"/>
  <c r="J161" i="1"/>
  <c r="K161" i="1"/>
  <c r="L161" i="1"/>
  <c r="M161" i="1"/>
  <c r="I162" i="1"/>
  <c r="J162" i="1"/>
  <c r="K162" i="1"/>
  <c r="L162" i="1"/>
  <c r="M162" i="1"/>
  <c r="J164" i="1"/>
  <c r="K164" i="1"/>
  <c r="L164" i="1"/>
  <c r="M164" i="1"/>
  <c r="H172" i="1"/>
  <c r="I172" i="1"/>
  <c r="J172" i="1"/>
  <c r="K172" i="1"/>
  <c r="L172" i="1"/>
  <c r="M172" i="1"/>
  <c r="H173" i="1"/>
  <c r="I173" i="1"/>
  <c r="J173" i="1"/>
  <c r="K173" i="1"/>
  <c r="L173" i="1"/>
  <c r="M173" i="1"/>
  <c r="I174" i="1"/>
  <c r="J174" i="1"/>
  <c r="K174" i="1"/>
  <c r="L174" i="1"/>
  <c r="M174" i="1"/>
  <c r="H176" i="1"/>
  <c r="I176" i="1"/>
  <c r="J176" i="1"/>
  <c r="K176" i="1"/>
  <c r="L176" i="1"/>
  <c r="M176" i="1"/>
  <c r="H178" i="1"/>
  <c r="I178" i="1"/>
  <c r="J178" i="1"/>
  <c r="K178" i="1"/>
  <c r="L178" i="1"/>
  <c r="M178" i="1"/>
  <c r="I180" i="1"/>
  <c r="J180" i="1"/>
  <c r="K180" i="1"/>
  <c r="L180" i="1"/>
  <c r="M180" i="1"/>
  <c r="I181" i="1"/>
  <c r="J181" i="1"/>
  <c r="K181" i="1"/>
  <c r="L181" i="1"/>
  <c r="M181" i="1"/>
  <c r="H184" i="1"/>
  <c r="I184" i="1"/>
  <c r="J184" i="1"/>
  <c r="K184" i="1"/>
  <c r="L184" i="1"/>
  <c r="M184" i="1"/>
  <c r="H185" i="1"/>
  <c r="I185" i="1"/>
  <c r="J185" i="1"/>
  <c r="K185" i="1"/>
  <c r="L185" i="1"/>
  <c r="M185" i="1"/>
  <c r="H186" i="1"/>
  <c r="I186" i="1"/>
  <c r="J186" i="1"/>
  <c r="K186" i="1"/>
  <c r="L186" i="1"/>
  <c r="M186" i="1"/>
  <c r="H188" i="1"/>
  <c r="I188" i="1"/>
  <c r="J188" i="1"/>
  <c r="K188" i="1"/>
  <c r="L188" i="1"/>
  <c r="M188" i="1"/>
  <c r="H191" i="1"/>
  <c r="I191" i="1"/>
  <c r="J191" i="1"/>
  <c r="K191" i="1"/>
  <c r="L191" i="1"/>
  <c r="M191" i="1"/>
</calcChain>
</file>

<file path=xl/sharedStrings.xml><?xml version="1.0" encoding="utf-8"?>
<sst xmlns="http://schemas.openxmlformats.org/spreadsheetml/2006/main" count="308" uniqueCount="181">
  <si>
    <t>[Company Name]</t>
  </si>
  <si>
    <t>Min Cash</t>
  </si>
  <si>
    <t>Overland Model</t>
  </si>
  <si>
    <t>Print</t>
  </si>
  <si>
    <t>Case</t>
  </si>
  <si>
    <t>x</t>
  </si>
  <si>
    <t>Sponsor Base Case</t>
  </si>
  <si>
    <t>Overland Flat Case</t>
  </si>
  <si>
    <t>Overland Downside Case</t>
  </si>
  <si>
    <t>USD in 000's, except where noted</t>
  </si>
  <si>
    <t>TTM Period Ending,</t>
  </si>
  <si>
    <t>Projection Period Ending,</t>
  </si>
  <si>
    <t>CAGR</t>
  </si>
  <si>
    <t>Forecast Drivers</t>
  </si>
  <si>
    <t>Revenue</t>
  </si>
  <si>
    <t>% y/y</t>
  </si>
  <si>
    <t>COGS</t>
  </si>
  <si>
    <t>Variable COGS</t>
  </si>
  <si>
    <t>Gross Profit</t>
  </si>
  <si>
    <t>% revenue</t>
  </si>
  <si>
    <t>% margin</t>
  </si>
  <si>
    <t>Fixed COGS</t>
  </si>
  <si>
    <t>Operating Expenses</t>
  </si>
  <si>
    <t>Less / (Plus): Adjustments</t>
  </si>
  <si>
    <t>CA EBITDA</t>
  </si>
  <si>
    <t>Adjustments</t>
  </si>
  <si>
    <t>Variable SG&amp;A</t>
  </si>
  <si>
    <t>Depreciation</t>
  </si>
  <si>
    <t>Amortization (Intangibles)</t>
  </si>
  <si>
    <t>Amortization (Goodwill)</t>
  </si>
  <si>
    <t>Fixed SG&amp;A</t>
  </si>
  <si>
    <t>Depreciation &amp; Amortization</t>
  </si>
  <si>
    <t>Interest Expense: Cash &amp; PIK</t>
  </si>
  <si>
    <t>Interest Expense: Fin. Fee Amortization</t>
  </si>
  <si>
    <t>Sponsor &amp; Admin Agency Fees</t>
  </si>
  <si>
    <t>Pre-Tax Income (Loss)</t>
  </si>
  <si>
    <t>Reported EBITDA</t>
  </si>
  <si>
    <t>Income Tax Expense (Benefit)</t>
  </si>
  <si>
    <t>Net Income</t>
  </si>
  <si>
    <t>Free Cash Flow</t>
  </si>
  <si>
    <t>( - ) Adjustments</t>
  </si>
  <si>
    <t>( - ) Sponsor &amp; Admin Agency Fees</t>
  </si>
  <si>
    <t>( - ) Cash Interest Expense</t>
  </si>
  <si>
    <t>( - ) Cash Taxes</t>
  </si>
  <si>
    <t>( - ) Capex</t>
  </si>
  <si>
    <t>( - ) Change NWC</t>
  </si>
  <si>
    <t>( - ) Mandatory Principal Repayments</t>
  </si>
  <si>
    <t>( - ) Capital Lease Principal Amortization</t>
  </si>
  <si>
    <t>( - ) Preferred Equity Cash Dividends</t>
  </si>
  <si>
    <t>Maintenance Capex</t>
  </si>
  <si>
    <t>Revolver Draw (Repayment)</t>
  </si>
  <si>
    <t>Growth Capex</t>
  </si>
  <si>
    <t>ECF Sweep</t>
  </si>
  <si>
    <t>Capex</t>
  </si>
  <si>
    <t>Cash</t>
  </si>
  <si>
    <t>Closing</t>
  </si>
  <si>
    <t>Beginning of Period</t>
  </si>
  <si>
    <t>Net Change</t>
  </si>
  <si>
    <t>NWC</t>
  </si>
  <si>
    <t>End of Period</t>
  </si>
  <si>
    <t>Capital Leases</t>
  </si>
  <si>
    <t>Financing Fees</t>
  </si>
  <si>
    <t>Total First Lien Debt</t>
  </si>
  <si>
    <t>Tranche</t>
  </si>
  <si>
    <t>Facility ($)</t>
  </si>
  <si>
    <t>Fee %</t>
  </si>
  <si>
    <t>Fee ($)</t>
  </si>
  <si>
    <t>Tenor</t>
  </si>
  <si>
    <t>Amort</t>
  </si>
  <si>
    <t>Total Debt</t>
  </si>
  <si>
    <t>First Lien Term Loan</t>
  </si>
  <si>
    <t>Second Lien Term Loan</t>
  </si>
  <si>
    <t>Total Debt + Preferred</t>
  </si>
  <si>
    <t>HoldCo PIK Notes</t>
  </si>
  <si>
    <t>Total</t>
  </si>
  <si>
    <t>Leverage</t>
  </si>
  <si>
    <t>Senior Net Leverage</t>
  </si>
  <si>
    <t>Sources &amp; Uses</t>
  </si>
  <si>
    <t>Senior Gross Leverage</t>
  </si>
  <si>
    <t>Total Net Leverage</t>
  </si>
  <si>
    <t>Sources</t>
  </si>
  <si>
    <t>Uses</t>
  </si>
  <si>
    <t>Total Gross Leverage</t>
  </si>
  <si>
    <t>Purchase Price</t>
  </si>
  <si>
    <t>Total Debt + HoldCo Net Leverage</t>
  </si>
  <si>
    <t>Transaction Expenses</t>
  </si>
  <si>
    <t>Total Debt + HoldCo Gross Leverage</t>
  </si>
  <si>
    <t>Cash to Balance Sheet</t>
  </si>
  <si>
    <t>Coverage</t>
  </si>
  <si>
    <t>[Use]</t>
  </si>
  <si>
    <t>Interest Coverage</t>
  </si>
  <si>
    <t>Cash from Balance Sheet</t>
  </si>
  <si>
    <t>Debt-Service Coverage</t>
  </si>
  <si>
    <t>Common Equity</t>
  </si>
  <si>
    <t>Fixed Charge Coverage</t>
  </si>
  <si>
    <t>Total Sources</t>
  </si>
  <si>
    <t>Total Uses</t>
  </si>
  <si>
    <t>Fixed Charge Coverage Ratio Sensitivity</t>
  </si>
  <si>
    <t>3M Forward SOFR Curve / Floor</t>
  </si>
  <si>
    <t>SOFR + 0.50%</t>
  </si>
  <si>
    <t>SOFR + 1.00%</t>
  </si>
  <si>
    <t>SOFR + 1.50%</t>
  </si>
  <si>
    <t>SOFR + 2.00%</t>
  </si>
  <si>
    <t>Cash Tax Schedule</t>
  </si>
  <si>
    <t>GAAP Interest Expense</t>
  </si>
  <si>
    <t>EBIT</t>
  </si>
  <si>
    <t>Max Interest Deduction - %</t>
  </si>
  <si>
    <t>Max Interest Deduction - $</t>
  </si>
  <si>
    <t>Carry-Forward of Interest Limit - BOP</t>
  </si>
  <si>
    <t>Addition of Carry-Forward Interest</t>
  </si>
  <si>
    <t>Usage of Carry-Forward Interest</t>
  </si>
  <si>
    <t>Carry-Forward of Interest Limit - EOP</t>
  </si>
  <si>
    <t>Interest Expense, for Tax Purposes</t>
  </si>
  <si>
    <t>Pre-Tax Income</t>
  </si>
  <si>
    <t>( + ) GAAP Interest Expense</t>
  </si>
  <si>
    <t>( - ) Tax Interest Expense</t>
  </si>
  <si>
    <t>Pre-Tax Income, for Tax Purposes</t>
  </si>
  <si>
    <t>NOL (Used)</t>
  </si>
  <si>
    <t>Assumed Tax Rate %</t>
  </si>
  <si>
    <t>Cash Taxes</t>
  </si>
  <si>
    <t>NOL Schedule</t>
  </si>
  <si>
    <t>Beginning NOL</t>
  </si>
  <si>
    <t>NOL Created</t>
  </si>
  <si>
    <t>NOL Used</t>
  </si>
  <si>
    <t>Ending NOL</t>
  </si>
  <si>
    <t>Debt Schedule</t>
  </si>
  <si>
    <t>Revolver</t>
  </si>
  <si>
    <t>Draw / (Repayment)</t>
  </si>
  <si>
    <t>Senior Debt</t>
  </si>
  <si>
    <t>Amort Grid</t>
  </si>
  <si>
    <t>FLNL</t>
  </si>
  <si>
    <t>Sweep %</t>
  </si>
  <si>
    <t>DDTL Draws</t>
  </si>
  <si>
    <t>Scheduled Prepayments</t>
  </si>
  <si>
    <t>DDTL / Acquisitions</t>
  </si>
  <si>
    <t>DDTL Finance</t>
  </si>
  <si>
    <t>Leverage Governor</t>
  </si>
  <si>
    <t>Acquisition Upfront Consideration</t>
  </si>
  <si>
    <t>Max DDTL Draw, Subject to Governor</t>
  </si>
  <si>
    <t>DDTL Draw</t>
  </si>
  <si>
    <t>Acquisition - Shortfall (If Any)</t>
  </si>
  <si>
    <t>Internal Cash Flow</t>
  </si>
  <si>
    <t>Implied Equity Infusion</t>
  </si>
  <si>
    <t>Subordinated Debt</t>
  </si>
  <si>
    <t xml:space="preserve">PIK </t>
  </si>
  <si>
    <t>ECF Sweep (1=Y/0=N)</t>
  </si>
  <si>
    <t>ECF Grid</t>
  </si>
  <si>
    <t>Excess Cash Flow Sweep</t>
  </si>
  <si>
    <t xml:space="preserve">Preferred </t>
  </si>
  <si>
    <t>Interest Expense / Distributions</t>
  </si>
  <si>
    <t>Floating</t>
  </si>
  <si>
    <t>Rate</t>
  </si>
  <si>
    <t>Cash/PIK</t>
  </si>
  <si>
    <t>Security</t>
  </si>
  <si>
    <t>Sr. Pricing Grid</t>
  </si>
  <si>
    <t>RCF Pricing Grid</t>
  </si>
  <si>
    <t>Spread</t>
  </si>
  <si>
    <t>Total Interest Expense / Distributions</t>
  </si>
  <si>
    <t>Less: Preferred Distributions</t>
  </si>
  <si>
    <t xml:space="preserve">Total Interest Expense   </t>
  </si>
  <si>
    <t>Revolver Rate (Spread)</t>
  </si>
  <si>
    <t>Senior Debt Rate (Spread)</t>
  </si>
  <si>
    <t>Unused Fees</t>
  </si>
  <si>
    <t>DDTL</t>
  </si>
  <si>
    <t>Total Unused Fees</t>
  </si>
  <si>
    <t>Total Interest Expense + Unused Fees</t>
  </si>
  <si>
    <t>Less: PIK Interest - Subordinated Debt</t>
  </si>
  <si>
    <t xml:space="preserve">Less: PIK Interest - Preferred </t>
  </si>
  <si>
    <t>Total Cash Interest Expense + Unused Fees (Excl. PIK)</t>
  </si>
  <si>
    <t>SOFR / LIBOR Toggle</t>
  </si>
  <si>
    <t>SOFR</t>
  </si>
  <si>
    <t>SOFR Floor</t>
  </si>
  <si>
    <t>SOFR Curve</t>
  </si>
  <si>
    <t>CSA</t>
  </si>
  <si>
    <t>Effective SOFR</t>
  </si>
  <si>
    <t>LIBOR</t>
  </si>
  <si>
    <t>LIBOR Floor</t>
  </si>
  <si>
    <t>LIBOR Curve</t>
  </si>
  <si>
    <t>Effective LIBOR</t>
  </si>
  <si>
    <t>Effective SOFR / LIBOR Rate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</si>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</sst>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&quot;$&quot;#,##0_);\(&quot;$&quot;#,##0\);&quot;$--&quot;_);@_)"/>
    <numFmt numFmtId="165" formatCode="#,##0.0%_);\(#,##0.0%\);&quot;--%&quot;_);@_)"/>
    <numFmt numFmtId="166" formatCode="#,##0_);\(#,##0\);&quot;--&quot;_);@_)"/>
    <numFmt numFmtId="167" formatCode="#,##0.0_);\(#,##0.0\);&quot;--&quot;_);@_)"/>
    <numFmt numFmtId="168" formatCode="&quot;$&quot;#,##0.0_);\(&quot;$&quot;#,##0.0\);&quot;$--&quot;_);@_)"/>
    <numFmt numFmtId="169" formatCode="#,##0.000%_);\(#,##0.000%\);&quot;--%&quot;_);@_)"/>
    <numFmt numFmtId="170" formatCode="#,##0.00\x_);\(#,##0.00\x\);&quot;--x&quot;_);@_)"/>
    <numFmt numFmtId="171" formatCode="#,##0.00%_);\(#,##0.00%\);&quot;--%&quot;_);@_)"/>
    <numFmt numFmtId="172" formatCode="\✓;\(#,##0\);\-_)"/>
    <numFmt numFmtId="173" formatCode="&quot;Cash&quot;;&quot;ERROR&quot;;&quot;PIK&quot;"/>
    <numFmt numFmtId="174" formatCode="&quot;Debt&quot;;&quot;ERROR&quot;;&quot;Equity&quot;"/>
    <numFmt numFmtId="175" formatCode="&quot;SOFR&quot;;&quot;ERROR&quot;;&quot;LIBOR&quot;"/>
  </numFmts>
  <fonts count="23" x14ac:knownFonts="1">
    <font>
      <sz val="10"/>
      <color theme="1"/>
      <name val="Times New Roman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B05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17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0" xfId="0" applyFont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" fillId="4" borderId="0" xfId="0" applyFont="1" applyFill="1"/>
    <xf numFmtId="44" fontId="7" fillId="0" borderId="0" xfId="0" applyNumberFormat="1" applyFont="1" applyAlignment="1">
      <alignment horizontal="centerContinuous"/>
    </xf>
    <xf numFmtId="44" fontId="7" fillId="0" borderId="0" xfId="0" applyNumberFormat="1" applyFont="1" applyAlignment="1">
      <alignment horizontal="center"/>
    </xf>
    <xf numFmtId="44" fontId="7" fillId="0" borderId="13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13" xfId="0" applyFont="1" applyBorder="1"/>
    <xf numFmtId="164" fontId="3" fillId="3" borderId="13" xfId="0" applyNumberFormat="1" applyFont="1" applyFill="1" applyBorder="1"/>
    <xf numFmtId="164" fontId="3" fillId="3" borderId="0" xfId="0" applyNumberFormat="1" applyFont="1" applyFill="1"/>
    <xf numFmtId="164" fontId="9" fillId="0" borderId="13" xfId="0" applyNumberFormat="1" applyFont="1" applyBorder="1"/>
    <xf numFmtId="164" fontId="10" fillId="0" borderId="0" xfId="0" applyNumberFormat="1" applyFont="1"/>
    <xf numFmtId="0" fontId="11" fillId="0" borderId="0" xfId="0" applyFont="1" applyAlignment="1">
      <alignment horizontal="left" indent="1"/>
    </xf>
    <xf numFmtId="165" fontId="11" fillId="0" borderId="0" xfId="0" applyNumberFormat="1" applyFont="1" applyAlignment="1">
      <alignment horizontal="right"/>
    </xf>
    <xf numFmtId="165" fontId="6" fillId="0" borderId="0" xfId="0" applyNumberFormat="1" applyFont="1"/>
    <xf numFmtId="165" fontId="13" fillId="0" borderId="13" xfId="0" applyNumberFormat="1" applyFont="1" applyBorder="1"/>
    <xf numFmtId="165" fontId="12" fillId="3" borderId="0" xfId="0" applyNumberFormat="1" applyFont="1" applyFill="1"/>
    <xf numFmtId="0" fontId="10" fillId="0" borderId="13" xfId="0" applyFont="1" applyBorder="1"/>
    <xf numFmtId="0" fontId="10" fillId="0" borderId="0" xfId="0" applyFont="1"/>
    <xf numFmtId="0" fontId="1" fillId="0" borderId="8" xfId="0" applyFont="1" applyBorder="1"/>
    <xf numFmtId="166" fontId="1" fillId="0" borderId="8" xfId="0" applyNumberFormat="1" applyFont="1" applyBorder="1" applyAlignment="1">
      <alignment horizontal="right"/>
    </xf>
    <xf numFmtId="165" fontId="3" fillId="3" borderId="6" xfId="0" applyNumberFormat="1" applyFont="1" applyFill="1" applyBorder="1" applyAlignment="1">
      <alignment horizontal="right"/>
    </xf>
    <xf numFmtId="166" fontId="10" fillId="0" borderId="13" xfId="0" applyNumberFormat="1" applyFont="1" applyBorder="1"/>
    <xf numFmtId="166" fontId="10" fillId="0" borderId="0" xfId="0" applyNumberFormat="1" applyFont="1"/>
    <xf numFmtId="165" fontId="9" fillId="3" borderId="6" xfId="0" applyNumberFormat="1" applyFont="1" applyFill="1" applyBorder="1" applyAlignment="1">
      <alignment horizontal="right"/>
    </xf>
    <xf numFmtId="0" fontId="2" fillId="0" borderId="0" xfId="0" applyFont="1"/>
    <xf numFmtId="164" fontId="8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6" fillId="0" borderId="13" xfId="0" applyNumberFormat="1" applyFont="1" applyBorder="1"/>
    <xf numFmtId="165" fontId="10" fillId="0" borderId="6" xfId="0" applyNumberFormat="1" applyFont="1" applyBorder="1" applyAlignment="1">
      <alignment horizontal="right"/>
    </xf>
    <xf numFmtId="0" fontId="11" fillId="0" borderId="8" xfId="0" applyFont="1" applyBorder="1" applyAlignment="1">
      <alignment horizontal="left" indent="1"/>
    </xf>
    <xf numFmtId="165" fontId="6" fillId="0" borderId="16" xfId="0" applyNumberFormat="1" applyFont="1" applyBorder="1"/>
    <xf numFmtId="165" fontId="11" fillId="0" borderId="8" xfId="0" applyNumberFormat="1" applyFont="1" applyBorder="1"/>
    <xf numFmtId="165" fontId="6" fillId="0" borderId="8" xfId="0" applyNumberFormat="1" applyFont="1" applyBorder="1"/>
    <xf numFmtId="165" fontId="12" fillId="3" borderId="8" xfId="0" applyNumberFormat="1" applyFont="1" applyFill="1" applyBorder="1"/>
    <xf numFmtId="166" fontId="10" fillId="0" borderId="0" xfId="0" applyNumberFormat="1" applyFont="1" applyAlignment="1">
      <alignment horizontal="right"/>
    </xf>
    <xf numFmtId="164" fontId="10" fillId="0" borderId="13" xfId="0" applyNumberFormat="1" applyFont="1" applyBorder="1"/>
    <xf numFmtId="164" fontId="1" fillId="0" borderId="0" xfId="0" applyNumberFormat="1" applyFont="1"/>
    <xf numFmtId="165" fontId="11" fillId="0" borderId="0" xfId="0" applyNumberFormat="1" applyFont="1"/>
    <xf numFmtId="166" fontId="3" fillId="3" borderId="11" xfId="0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right"/>
    </xf>
    <xf numFmtId="166" fontId="3" fillId="3" borderId="14" xfId="0" applyNumberFormat="1" applyFont="1" applyFill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6" fontId="10" fillId="0" borderId="16" xfId="0" applyNumberFormat="1" applyFont="1" applyBorder="1"/>
    <xf numFmtId="166" fontId="10" fillId="0" borderId="8" xfId="0" applyNumberFormat="1" applyFont="1" applyBorder="1"/>
    <xf numFmtId="164" fontId="1" fillId="0" borderId="0" xfId="0" applyNumberFormat="1" applyFont="1" applyAlignment="1">
      <alignment horizontal="right"/>
    </xf>
    <xf numFmtId="165" fontId="6" fillId="0" borderId="20" xfId="0" applyNumberFormat="1" applyFont="1" applyBorder="1"/>
    <xf numFmtId="0" fontId="1" fillId="0" borderId="14" xfId="0" applyFont="1" applyBorder="1"/>
    <xf numFmtId="0" fontId="2" fillId="0" borderId="8" xfId="0" applyFont="1" applyBorder="1"/>
    <xf numFmtId="164" fontId="2" fillId="0" borderId="8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167" fontId="2" fillId="0" borderId="8" xfId="0" applyNumberFormat="1" applyFon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164" fontId="3" fillId="0" borderId="0" xfId="0" applyNumberFormat="1" applyFont="1"/>
    <xf numFmtId="169" fontId="3" fillId="0" borderId="0" xfId="0" applyNumberFormat="1" applyFont="1"/>
    <xf numFmtId="167" fontId="3" fillId="0" borderId="0" xfId="0" applyNumberFormat="1" applyFont="1"/>
    <xf numFmtId="0" fontId="1" fillId="0" borderId="2" xfId="0" applyFont="1" applyBorder="1"/>
    <xf numFmtId="166" fontId="3" fillId="0" borderId="0" xfId="0" applyNumberFormat="1" applyFont="1"/>
    <xf numFmtId="169" fontId="3" fillId="0" borderId="8" xfId="0" applyNumberFormat="1" applyFont="1" applyBorder="1"/>
    <xf numFmtId="167" fontId="3" fillId="0" borderId="8" xfId="0" applyNumberFormat="1" applyFont="1" applyBorder="1"/>
    <xf numFmtId="164" fontId="2" fillId="0" borderId="0" xfId="0" applyNumberFormat="1" applyFont="1"/>
    <xf numFmtId="0" fontId="2" fillId="0" borderId="8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0" fontId="1" fillId="0" borderId="1" xfId="0" applyFont="1" applyBorder="1"/>
    <xf numFmtId="170" fontId="3" fillId="0" borderId="3" xfId="0" applyNumberFormat="1" applyFont="1" applyBorder="1"/>
    <xf numFmtId="164" fontId="10" fillId="0" borderId="2" xfId="0" applyNumberFormat="1" applyFont="1" applyBorder="1"/>
    <xf numFmtId="170" fontId="3" fillId="3" borderId="3" xfId="0" applyNumberFormat="1" applyFont="1" applyFill="1" applyBorder="1"/>
    <xf numFmtId="0" fontId="1" fillId="0" borderId="4" xfId="0" applyFont="1" applyBorder="1"/>
    <xf numFmtId="166" fontId="1" fillId="0" borderId="0" xfId="0" applyNumberFormat="1" applyFont="1"/>
    <xf numFmtId="170" fontId="3" fillId="3" borderId="5" xfId="0" applyNumberFormat="1" applyFont="1" applyFill="1" applyBorder="1"/>
    <xf numFmtId="165" fontId="3" fillId="3" borderId="5" xfId="0" applyNumberFormat="1" applyFont="1" applyFill="1" applyBorder="1"/>
    <xf numFmtId="170" fontId="3" fillId="0" borderId="5" xfId="0" applyNumberFormat="1" applyFont="1" applyBorder="1"/>
    <xf numFmtId="170" fontId="1" fillId="0" borderId="5" xfId="0" applyNumberFormat="1" applyFont="1" applyBorder="1"/>
    <xf numFmtId="0" fontId="1" fillId="0" borderId="21" xfId="0" applyFont="1" applyBorder="1"/>
    <xf numFmtId="0" fontId="3" fillId="0" borderId="0" xfId="0" applyFont="1"/>
    <xf numFmtId="0" fontId="1" fillId="0" borderId="7" xfId="0" applyFont="1" applyBorder="1"/>
    <xf numFmtId="166" fontId="1" fillId="0" borderId="8" xfId="0" applyNumberFormat="1" applyFont="1" applyBorder="1"/>
    <xf numFmtId="170" fontId="1" fillId="0" borderId="9" xfId="0" applyNumberFormat="1" applyFont="1" applyBorder="1"/>
    <xf numFmtId="0" fontId="3" fillId="0" borderId="8" xfId="0" applyFont="1" applyBorder="1"/>
    <xf numFmtId="0" fontId="2" fillId="0" borderId="7" xfId="0" applyFont="1" applyBorder="1"/>
    <xf numFmtId="164" fontId="2" fillId="0" borderId="8" xfId="0" applyNumberFormat="1" applyFont="1" applyBorder="1"/>
    <xf numFmtId="170" fontId="1" fillId="0" borderId="0" xfId="0" applyNumberFormat="1" applyFont="1"/>
    <xf numFmtId="171" fontId="1" fillId="0" borderId="0" xfId="0" applyNumberFormat="1" applyFont="1"/>
    <xf numFmtId="0" fontId="1" fillId="0" borderId="0" xfId="0" quotePrefix="1" applyFont="1"/>
    <xf numFmtId="0" fontId="1" fillId="0" borderId="3" xfId="0" applyFont="1" applyBorder="1"/>
    <xf numFmtId="0" fontId="14" fillId="0" borderId="4" xfId="0" applyFont="1" applyBorder="1"/>
    <xf numFmtId="0" fontId="1" fillId="0" borderId="5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2" fillId="3" borderId="24" xfId="0" applyNumberFormat="1" applyFont="1" applyFill="1" applyBorder="1"/>
    <xf numFmtId="165" fontId="11" fillId="0" borderId="9" xfId="0" applyNumberFormat="1" applyFont="1" applyBorder="1"/>
    <xf numFmtId="164" fontId="1" fillId="0" borderId="5" xfId="0" applyNumberFormat="1" applyFont="1" applyBorder="1"/>
    <xf numFmtId="166" fontId="1" fillId="0" borderId="5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4" fontId="3" fillId="3" borderId="6" xfId="0" applyNumberFormat="1" applyFont="1" applyFill="1" applyBorder="1"/>
    <xf numFmtId="164" fontId="2" fillId="0" borderId="5" xfId="0" applyNumberFormat="1" applyFont="1" applyBorder="1"/>
    <xf numFmtId="164" fontId="2" fillId="0" borderId="9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2" fillId="0" borderId="6" xfId="0" applyFont="1" applyBorder="1" applyAlignment="1">
      <alignment horizontal="center"/>
    </xf>
    <xf numFmtId="170" fontId="3" fillId="3" borderId="6" xfId="0" applyNumberFormat="1" applyFont="1" applyFill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9" fontId="3" fillId="3" borderId="6" xfId="0" applyNumberFormat="1" applyFont="1" applyFill="1" applyBorder="1" applyAlignment="1">
      <alignment horizontal="right"/>
    </xf>
    <xf numFmtId="166" fontId="10" fillId="0" borderId="5" xfId="0" applyNumberFormat="1" applyFont="1" applyBorder="1" applyAlignment="1">
      <alignment horizontal="right"/>
    </xf>
    <xf numFmtId="170" fontId="3" fillId="0" borderId="6" xfId="0" applyNumberFormat="1" applyFont="1" applyBorder="1" applyAlignment="1">
      <alignment horizontal="center"/>
    </xf>
    <xf numFmtId="170" fontId="3" fillId="3" borderId="6" xfId="0" applyNumberFormat="1" applyFont="1" applyFill="1" applyBorder="1"/>
    <xf numFmtId="166" fontId="10" fillId="0" borderId="8" xfId="0" applyNumberFormat="1" applyFont="1" applyBorder="1" applyAlignment="1">
      <alignment horizontal="right"/>
    </xf>
    <xf numFmtId="166" fontId="10" fillId="0" borderId="9" xfId="0" applyNumberFormat="1" applyFont="1" applyBorder="1" applyAlignment="1">
      <alignment horizontal="right"/>
    </xf>
    <xf numFmtId="164" fontId="8" fillId="0" borderId="5" xfId="0" applyNumberFormat="1" applyFont="1" applyBorder="1" applyAlignment="1">
      <alignment horizontal="right"/>
    </xf>
    <xf numFmtId="166" fontId="16" fillId="0" borderId="8" xfId="0" applyNumberFormat="1" applyFont="1" applyBorder="1" applyAlignment="1">
      <alignment horizontal="right"/>
    </xf>
    <xf numFmtId="166" fontId="16" fillId="0" borderId="9" xfId="0" applyNumberFormat="1" applyFont="1" applyBorder="1" applyAlignment="1">
      <alignment horizontal="right"/>
    </xf>
    <xf numFmtId="169" fontId="3" fillId="3" borderId="6" xfId="0" applyNumberFormat="1" applyFont="1" applyFill="1" applyBorder="1" applyAlignment="1">
      <alignment horizontal="center"/>
    </xf>
    <xf numFmtId="166" fontId="3" fillId="3" borderId="6" xfId="0" applyNumberFormat="1" applyFont="1" applyFill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11" fillId="0" borderId="4" xfId="0" applyFont="1" applyBorder="1"/>
    <xf numFmtId="0" fontId="11" fillId="0" borderId="0" xfId="0" applyFont="1"/>
    <xf numFmtId="0" fontId="11" fillId="0" borderId="11" xfId="0" applyFont="1" applyBorder="1"/>
    <xf numFmtId="165" fontId="12" fillId="3" borderId="6" xfId="0" applyNumberFormat="1" applyFont="1" applyFill="1" applyBorder="1" applyAlignment="1">
      <alignment horizontal="right"/>
    </xf>
    <xf numFmtId="165" fontId="11" fillId="0" borderId="5" xfId="0" applyNumberFormat="1" applyFont="1" applyBorder="1" applyAlignment="1">
      <alignment horizontal="right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172" fontId="3" fillId="0" borderId="6" xfId="0" applyNumberFormat="1" applyFont="1" applyBorder="1" applyAlignment="1">
      <alignment horizontal="center" vertical="center"/>
    </xf>
    <xf numFmtId="173" fontId="3" fillId="0" borderId="24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 vertical="center"/>
    </xf>
    <xf numFmtId="169" fontId="6" fillId="0" borderId="0" xfId="0" applyNumberFormat="1" applyFont="1" applyAlignment="1">
      <alignment horizontal="right"/>
    </xf>
    <xf numFmtId="169" fontId="6" fillId="0" borderId="5" xfId="0" applyNumberFormat="1" applyFont="1" applyBorder="1" applyAlignment="1">
      <alignment horizontal="right"/>
    </xf>
    <xf numFmtId="164" fontId="1" fillId="0" borderId="6" xfId="0" applyNumberFormat="1" applyFont="1" applyBorder="1"/>
    <xf numFmtId="166" fontId="1" fillId="0" borderId="6" xfId="0" applyNumberFormat="1" applyFont="1" applyBorder="1"/>
    <xf numFmtId="175" fontId="3" fillId="3" borderId="6" xfId="0" applyNumberFormat="1" applyFont="1" applyFill="1" applyBorder="1" applyAlignment="1">
      <alignment horizontal="center"/>
    </xf>
    <xf numFmtId="169" fontId="1" fillId="0" borderId="0" xfId="0" applyNumberFormat="1" applyFont="1" applyAlignment="1">
      <alignment horizontal="right"/>
    </xf>
    <xf numFmtId="169" fontId="1" fillId="0" borderId="5" xfId="0" applyNumberFormat="1" applyFont="1" applyBorder="1" applyAlignment="1">
      <alignment horizontal="right"/>
    </xf>
    <xf numFmtId="0" fontId="1" fillId="0" borderId="29" xfId="0" applyFont="1" applyBorder="1"/>
    <xf numFmtId="169" fontId="1" fillId="0" borderId="8" xfId="0" applyNumberFormat="1" applyFont="1" applyBorder="1" applyAlignment="1">
      <alignment horizontal="right"/>
    </xf>
    <xf numFmtId="169" fontId="1" fillId="0" borderId="9" xfId="0" applyNumberFormat="1" applyFont="1" applyBorder="1" applyAlignment="1">
      <alignment horizontal="right"/>
    </xf>
    <xf numFmtId="0" fontId="2" fillId="0" borderId="11" xfId="0" applyFont="1" applyBorder="1"/>
    <xf numFmtId="169" fontId="2" fillId="0" borderId="0" xfId="0" applyNumberFormat="1" applyFont="1" applyAlignment="1">
      <alignment horizontal="right"/>
    </xf>
    <xf numFmtId="169" fontId="2" fillId="0" borderId="5" xfId="0" applyNumberFormat="1" applyFont="1" applyBorder="1" applyAlignment="1">
      <alignment horizontal="right"/>
    </xf>
    <xf numFmtId="0" fontId="1" fillId="0" borderId="20" xfId="0" applyFont="1" applyBorder="1"/>
    <xf numFmtId="169" fontId="2" fillId="0" borderId="8" xfId="0" applyNumberFormat="1" applyFont="1" applyBorder="1" applyAlignment="1">
      <alignment horizontal="right"/>
    </xf>
    <xf numFmtId="169" fontId="2" fillId="0" borderId="9" xfId="0" applyNumberFormat="1" applyFont="1" applyBorder="1" applyAlignment="1">
      <alignment horizontal="right"/>
    </xf>
    <xf numFmtId="165" fontId="12" fillId="3" borderId="0" xfId="0" applyNumberFormat="1" applyFont="1" applyFill="1" applyAlignment="1">
      <alignment horizontal="right"/>
    </xf>
    <xf numFmtId="165" fontId="12" fillId="3" borderId="13" xfId="0" applyNumberFormat="1" applyFont="1" applyFill="1" applyBorder="1"/>
    <xf numFmtId="164" fontId="3" fillId="3" borderId="2" xfId="0" applyNumberFormat="1" applyFont="1" applyFill="1" applyBorder="1"/>
    <xf numFmtId="166" fontId="3" fillId="3" borderId="0" xfId="0" applyNumberFormat="1" applyFont="1" applyFill="1"/>
    <xf numFmtId="166" fontId="3" fillId="3" borderId="8" xfId="0" applyNumberFormat="1" applyFont="1" applyFill="1" applyBorder="1"/>
    <xf numFmtId="164" fontId="18" fillId="5" borderId="11" xfId="0" applyNumberFormat="1" applyFont="1" applyFill="1" applyBorder="1" applyAlignment="1">
      <alignment horizontal="right"/>
    </xf>
    <xf numFmtId="17" fontId="3" fillId="0" borderId="0" xfId="0" applyNumberFormat="1" applyFont="1" applyAlignment="1">
      <alignment horizontal="center"/>
    </xf>
    <xf numFmtId="165" fontId="13" fillId="3" borderId="0" xfId="0" applyNumberFormat="1" applyFont="1" applyFill="1"/>
    <xf numFmtId="165" fontId="13" fillId="3" borderId="20" xfId="0" applyNumberFormat="1" applyFont="1" applyFill="1" applyBorder="1"/>
    <xf numFmtId="165" fontId="13" fillId="3" borderId="8" xfId="0" applyNumberFormat="1" applyFont="1" applyFill="1" applyBorder="1"/>
    <xf numFmtId="166" fontId="9" fillId="3" borderId="8" xfId="0" applyNumberFormat="1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1" fillId="4" borderId="23" xfId="0" applyFont="1" applyFill="1" applyBorder="1" applyAlignment="1">
      <alignment horizontal="centerContinuous"/>
    </xf>
    <xf numFmtId="0" fontId="1" fillId="4" borderId="24" xfId="0" applyFont="1" applyFill="1" applyBorder="1" applyAlignment="1">
      <alignment horizontal="centerContinuous"/>
    </xf>
    <xf numFmtId="0" fontId="5" fillId="4" borderId="22" xfId="0" applyFont="1" applyFill="1" applyBorder="1" applyAlignment="1">
      <alignment horizontal="centerContinuous"/>
    </xf>
    <xf numFmtId="0" fontId="17" fillId="4" borderId="23" xfId="0" applyFont="1" applyFill="1" applyBorder="1" applyAlignment="1">
      <alignment horizontal="centerContinuous"/>
    </xf>
    <xf numFmtId="0" fontId="17" fillId="4" borderId="24" xfId="0" applyFont="1" applyFill="1" applyBorder="1" applyAlignment="1">
      <alignment horizontal="centerContinuous"/>
    </xf>
    <xf numFmtId="170" fontId="9" fillId="0" borderId="6" xfId="0" applyNumberFormat="1" applyFont="1" applyBorder="1" applyAlignment="1">
      <alignment horizontal="center"/>
    </xf>
    <xf numFmtId="169" fontId="9" fillId="0" borderId="6" xfId="0" applyNumberFormat="1" applyFont="1" applyBorder="1" applyAlignment="1">
      <alignment horizontal="center"/>
    </xf>
    <xf numFmtId="165" fontId="12" fillId="3" borderId="11" xfId="0" applyNumberFormat="1" applyFont="1" applyFill="1" applyBorder="1" applyAlignment="1">
      <alignment horizontal="right"/>
    </xf>
    <xf numFmtId="0" fontId="18" fillId="2" borderId="1" xfId="0" applyFont="1" applyFill="1" applyBorder="1"/>
    <xf numFmtId="171" fontId="3" fillId="0" borderId="0" xfId="0" applyNumberFormat="1" applyFont="1"/>
    <xf numFmtId="0" fontId="15" fillId="2" borderId="31" xfId="0" applyFont="1" applyFill="1" applyBorder="1" applyAlignment="1">
      <alignment vertical="center"/>
    </xf>
    <xf numFmtId="0" fontId="15" fillId="2" borderId="29" xfId="0" applyFont="1" applyFill="1" applyBorder="1" applyAlignment="1">
      <alignment vertical="center"/>
    </xf>
    <xf numFmtId="0" fontId="15" fillId="2" borderId="32" xfId="0" applyFont="1" applyFill="1" applyBorder="1" applyAlignment="1">
      <alignment vertical="center"/>
    </xf>
    <xf numFmtId="164" fontId="18" fillId="3" borderId="11" xfId="0" applyNumberFormat="1" applyFont="1" applyFill="1" applyBorder="1" applyAlignment="1">
      <alignment horizontal="right"/>
    </xf>
    <xf numFmtId="0" fontId="19" fillId="0" borderId="0" xfId="0" applyFont="1"/>
    <xf numFmtId="0" fontId="15" fillId="0" borderId="0" xfId="0" applyFont="1"/>
    <xf numFmtId="44" fontId="20" fillId="0" borderId="0" xfId="0" applyNumberFormat="1" applyFont="1" applyAlignment="1">
      <alignment horizontal="centerContinuous"/>
    </xf>
    <xf numFmtId="44" fontId="20" fillId="2" borderId="10" xfId="0" applyNumberFormat="1" applyFont="1" applyFill="1" applyBorder="1" applyAlignment="1">
      <alignment horizontal="center"/>
    </xf>
    <xf numFmtId="44" fontId="20" fillId="0" borderId="0" xfId="0" applyNumberFormat="1" applyFont="1" applyAlignment="1">
      <alignment horizontal="center"/>
    </xf>
    <xf numFmtId="44" fontId="20" fillId="0" borderId="11" xfId="0" applyNumberFormat="1" applyFont="1" applyBorder="1" applyAlignment="1">
      <alignment horizontal="center"/>
    </xf>
    <xf numFmtId="44" fontId="20" fillId="2" borderId="12" xfId="0" applyNumberFormat="1" applyFont="1" applyFill="1" applyBorder="1" applyAlignment="1">
      <alignment horizontal="center"/>
    </xf>
    <xf numFmtId="0" fontId="15" fillId="0" borderId="11" xfId="0" applyFont="1" applyBorder="1"/>
    <xf numFmtId="0" fontId="15" fillId="2" borderId="12" xfId="0" applyFont="1" applyFill="1" applyBorder="1"/>
    <xf numFmtId="0" fontId="21" fillId="5" borderId="0" xfId="0" applyFont="1" applyFill="1"/>
    <xf numFmtId="0" fontId="15" fillId="5" borderId="0" xfId="0" applyFont="1" applyFill="1"/>
    <xf numFmtId="164" fontId="21" fillId="5" borderId="0" xfId="0" applyNumberFormat="1" applyFont="1" applyFill="1" applyAlignment="1">
      <alignment horizontal="right"/>
    </xf>
    <xf numFmtId="165" fontId="21" fillId="2" borderId="12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 indent="1"/>
    </xf>
    <xf numFmtId="165" fontId="19" fillId="0" borderId="0" xfId="0" applyNumberFormat="1" applyFont="1" applyAlignment="1">
      <alignment horizontal="right"/>
    </xf>
    <xf numFmtId="0" fontId="15" fillId="0" borderId="8" xfId="0" applyFont="1" applyBorder="1"/>
    <xf numFmtId="166" fontId="15" fillId="0" borderId="8" xfId="0" applyNumberFormat="1" applyFont="1" applyBorder="1" applyAlignment="1">
      <alignment horizontal="right"/>
    </xf>
    <xf numFmtId="166" fontId="15" fillId="0" borderId="14" xfId="0" applyNumberFormat="1" applyFont="1" applyBorder="1" applyAlignment="1">
      <alignment horizontal="right"/>
    </xf>
    <xf numFmtId="165" fontId="15" fillId="2" borderId="15" xfId="0" applyNumberFormat="1" applyFont="1" applyFill="1" applyBorder="1" applyAlignment="1">
      <alignment horizontal="center"/>
    </xf>
    <xf numFmtId="0" fontId="21" fillId="0" borderId="0" xfId="0" applyFont="1"/>
    <xf numFmtId="164" fontId="21" fillId="0" borderId="0" xfId="0" applyNumberFormat="1" applyFont="1" applyAlignment="1">
      <alignment horizontal="right"/>
    </xf>
    <xf numFmtId="165" fontId="19" fillId="0" borderId="11" xfId="0" applyNumberFormat="1" applyFont="1" applyBorder="1" applyAlignment="1">
      <alignment horizontal="right"/>
    </xf>
    <xf numFmtId="166" fontId="15" fillId="0" borderId="0" xfId="0" applyNumberFormat="1" applyFont="1" applyAlignment="1">
      <alignment horizontal="right"/>
    </xf>
    <xf numFmtId="166" fontId="15" fillId="0" borderId="11" xfId="0" applyNumberFormat="1" applyFont="1" applyBorder="1" applyAlignment="1">
      <alignment horizontal="right"/>
    </xf>
    <xf numFmtId="165" fontId="15" fillId="2" borderId="12" xfId="0" applyNumberFormat="1" applyFont="1" applyFill="1" applyBorder="1" applyAlignment="1">
      <alignment horizontal="center"/>
    </xf>
    <xf numFmtId="0" fontId="15" fillId="2" borderId="15" xfId="0" applyFont="1" applyFill="1" applyBorder="1"/>
    <xf numFmtId="164" fontId="21" fillId="0" borderId="11" xfId="0" applyNumberFormat="1" applyFont="1" applyBorder="1" applyAlignment="1">
      <alignment horizontal="right"/>
    </xf>
    <xf numFmtId="0" fontId="21" fillId="5" borderId="17" xfId="0" applyFont="1" applyFill="1" applyBorder="1"/>
    <xf numFmtId="0" fontId="15" fillId="5" borderId="17" xfId="0" applyFont="1" applyFill="1" applyBorder="1"/>
    <xf numFmtId="164" fontId="21" fillId="5" borderId="17" xfId="0" applyNumberFormat="1" applyFont="1" applyFill="1" applyBorder="1" applyAlignment="1">
      <alignment horizontal="right"/>
    </xf>
    <xf numFmtId="164" fontId="21" fillId="5" borderId="18" xfId="0" applyNumberFormat="1" applyFont="1" applyFill="1" applyBorder="1" applyAlignment="1">
      <alignment horizontal="right"/>
    </xf>
    <xf numFmtId="0" fontId="22" fillId="0" borderId="0" xfId="0" applyFont="1"/>
    <xf numFmtId="164" fontId="15" fillId="0" borderId="0" xfId="0" applyNumberFormat="1" applyFont="1" applyAlignment="1">
      <alignment horizontal="right"/>
    </xf>
    <xf numFmtId="164" fontId="15" fillId="0" borderId="11" xfId="0" applyNumberFormat="1" applyFont="1" applyBorder="1" applyAlignment="1">
      <alignment horizontal="right"/>
    </xf>
    <xf numFmtId="0" fontId="15" fillId="5" borderId="18" xfId="0" applyFont="1" applyFill="1" applyBorder="1"/>
    <xf numFmtId="164" fontId="21" fillId="5" borderId="19" xfId="0" applyNumberFormat="1" applyFont="1" applyFill="1" applyBorder="1" applyAlignment="1">
      <alignment horizontal="right"/>
    </xf>
    <xf numFmtId="0" fontId="15" fillId="0" borderId="16" xfId="0" applyFont="1" applyBorder="1"/>
    <xf numFmtId="0" fontId="15" fillId="0" borderId="14" xfId="0" applyFont="1" applyBorder="1"/>
    <xf numFmtId="164" fontId="21" fillId="0" borderId="21" xfId="0" applyNumberFormat="1" applyFont="1" applyBorder="1" applyAlignment="1">
      <alignment horizontal="right"/>
    </xf>
    <xf numFmtId="164" fontId="21" fillId="0" borderId="2" xfId="0" applyNumberFormat="1" applyFont="1" applyBorder="1" applyAlignment="1">
      <alignment horizontal="right"/>
    </xf>
    <xf numFmtId="0" fontId="21" fillId="0" borderId="2" xfId="0" applyFont="1" applyBorder="1"/>
    <xf numFmtId="0" fontId="15" fillId="0" borderId="2" xfId="0" applyFont="1" applyBorder="1"/>
    <xf numFmtId="0" fontId="15" fillId="0" borderId="30" xfId="0" applyFont="1" applyBorder="1"/>
    <xf numFmtId="0" fontId="22" fillId="0" borderId="8" xfId="0" applyFont="1" applyBorder="1"/>
    <xf numFmtId="0" fontId="15" fillId="2" borderId="1" xfId="0" applyFont="1" applyFill="1" applyBorder="1"/>
    <xf numFmtId="0" fontId="15" fillId="2" borderId="0" xfId="0" applyFont="1" applyFill="1"/>
    <xf numFmtId="170" fontId="15" fillId="2" borderId="11" xfId="0" applyNumberFormat="1" applyFont="1" applyFill="1" applyBorder="1" applyAlignment="1">
      <alignment horizontal="right"/>
    </xf>
    <xf numFmtId="170" fontId="15" fillId="2" borderId="0" xfId="0" applyNumberFormat="1" applyFont="1" applyFill="1" applyAlignment="1">
      <alignment horizontal="right"/>
    </xf>
    <xf numFmtId="170" fontId="15" fillId="2" borderId="5" xfId="0" applyNumberFormat="1" applyFont="1" applyFill="1" applyBorder="1" applyAlignment="1">
      <alignment horizontal="right"/>
    </xf>
    <xf numFmtId="0" fontId="15" fillId="2" borderId="4" xfId="0" applyFont="1" applyFill="1" applyBorder="1"/>
    <xf numFmtId="0" fontId="15" fillId="2" borderId="7" xfId="0" applyFont="1" applyFill="1" applyBorder="1"/>
    <xf numFmtId="170" fontId="15" fillId="2" borderId="9" xfId="0" applyNumberFormat="1" applyFont="1" applyFill="1" applyBorder="1" applyAlignment="1">
      <alignment horizontal="right"/>
    </xf>
    <xf numFmtId="0" fontId="15" fillId="0" borderId="21" xfId="0" applyFont="1" applyBorder="1"/>
    <xf numFmtId="0" fontId="15" fillId="2" borderId="2" xfId="0" applyFont="1" applyFill="1" applyBorder="1"/>
    <xf numFmtId="170" fontId="15" fillId="2" borderId="21" xfId="0" applyNumberFormat="1" applyFont="1" applyFill="1" applyBorder="1" applyAlignment="1">
      <alignment horizontal="right"/>
    </xf>
    <xf numFmtId="170" fontId="15" fillId="2" borderId="2" xfId="0" applyNumberFormat="1" applyFont="1" applyFill="1" applyBorder="1" applyAlignment="1">
      <alignment horizontal="right"/>
    </xf>
    <xf numFmtId="170" fontId="15" fillId="2" borderId="3" xfId="0" applyNumberFormat="1" applyFont="1" applyFill="1" applyBorder="1" applyAlignment="1">
      <alignment horizontal="right"/>
    </xf>
    <xf numFmtId="0" fontId="15" fillId="2" borderId="8" xfId="0" applyFont="1" applyFill="1" applyBorder="1"/>
    <xf numFmtId="170" fontId="15" fillId="2" borderId="14" xfId="0" applyNumberFormat="1" applyFont="1" applyFill="1" applyBorder="1" applyAlignment="1">
      <alignment horizontal="right"/>
    </xf>
    <xf numFmtId="170" fontId="15" fillId="2" borderId="8" xfId="0" applyNumberFormat="1" applyFont="1" applyFill="1" applyBorder="1" applyAlignment="1">
      <alignment horizontal="right"/>
    </xf>
    <xf numFmtId="0" fontId="15" fillId="0" borderId="25" xfId="0" applyFont="1" applyBorder="1"/>
    <xf numFmtId="171" fontId="19" fillId="0" borderId="0" xfId="0" applyNumberFormat="1" applyFont="1"/>
    <xf numFmtId="0" fontId="15" fillId="2" borderId="25" xfId="0" applyFont="1" applyFill="1" applyBorder="1"/>
    <xf numFmtId="170" fontId="15" fillId="2" borderId="25" xfId="0" applyNumberFormat="1" applyFont="1" applyFill="1" applyBorder="1"/>
    <xf numFmtId="170" fontId="15" fillId="2" borderId="26" xfId="0" applyNumberFormat="1" applyFont="1" applyFill="1" applyBorder="1"/>
    <xf numFmtId="170" fontId="15" fillId="2" borderId="0" xfId="0" applyNumberFormat="1" applyFont="1" applyFill="1"/>
    <xf numFmtId="170" fontId="15" fillId="2" borderId="13" xfId="0" applyNumberFormat="1" applyFont="1" applyFill="1" applyBorder="1"/>
    <xf numFmtId="0" fontId="15" fillId="2" borderId="27" xfId="0" applyFont="1" applyFill="1" applyBorder="1"/>
    <xf numFmtId="170" fontId="15" fillId="2" borderId="27" xfId="0" applyNumberFormat="1" applyFont="1" applyFill="1" applyBorder="1"/>
    <xf numFmtId="170" fontId="15" fillId="2" borderId="28" xfId="0" applyNumberFormat="1" applyFont="1" applyFill="1" applyBorder="1"/>
    <xf numFmtId="166" fontId="3" fillId="3" borderId="0" xfId="0" applyNumberFormat="1" applyFont="1" applyFill="1" applyAlignment="1">
      <alignment horizontal="right"/>
    </xf>
    <xf numFmtId="164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024 Centerbridge PPT Template">
  <a:themeElements>
    <a:clrScheme name="Centerbridge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AFBE70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2E303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8434-CFAA-451E-B4BA-EBB2098D6F2C}">
  <sheetPr>
    <pageSetUpPr fitToPage="1"/>
  </sheetPr>
  <dimension ref="A1:AZ209"/>
  <sheetViews>
    <sheetView showGridLines="0" tabSelected="1" zoomScaleNormal="100" zoomScaleSheetLayoutView="85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Q25" sqref="Q25"/>
    </sheetView>
  </sheetViews>
  <sheetFormatPr defaultColWidth="9.33203125" defaultRowHeight="12.75" outlineLevelRow="1" outlineLevelCol="2" x14ac:dyDescent="0.2"/>
  <cols>
    <col min="1" max="2" width="2.83203125" style="1" customWidth="1"/>
    <col min="3" max="13" width="13.33203125" style="1" customWidth="1"/>
    <col min="14" max="14" width="2.83203125" style="1" customWidth="1"/>
    <col min="15" max="16" width="13.33203125" style="1" customWidth="1"/>
    <col min="17" max="18" width="9.33203125" style="1"/>
    <col min="19" max="28" width="13.33203125" style="1" customWidth="1" outlineLevel="2"/>
    <col min="29" max="29" width="9.33203125" style="1" customWidth="1" outlineLevel="2"/>
    <col min="30" max="30" width="1" style="1" customWidth="1" outlineLevel="1"/>
    <col min="31" max="40" width="13.33203125" style="1" customWidth="1" outlineLevel="2"/>
    <col min="41" max="41" width="9.33203125" style="1" customWidth="1" outlineLevel="2"/>
    <col min="42" max="42" width="1" style="1" customWidth="1" outlineLevel="1"/>
    <col min="43" max="52" width="13.33203125" style="1" customWidth="1" outlineLevel="2"/>
    <col min="53" max="16384" width="9.33203125" style="1"/>
  </cols>
  <sheetData>
    <row r="1" spans="1:52" x14ac:dyDescent="0.2">
      <c r="C1" s="175" t="s">
        <v>0</v>
      </c>
      <c r="D1" s="2"/>
      <c r="E1" s="3"/>
      <c r="O1" s="8" t="s">
        <v>1</v>
      </c>
      <c r="P1" s="252">
        <v>0</v>
      </c>
    </row>
    <row r="2" spans="1:52" x14ac:dyDescent="0.2">
      <c r="C2" s="4" t="s">
        <v>2</v>
      </c>
      <c r="D2" s="5"/>
      <c r="E2" s="6"/>
      <c r="F2" s="160">
        <v>45657</v>
      </c>
      <c r="G2" s="160">
        <v>45930</v>
      </c>
      <c r="H2" s="7">
        <f>++IF(EOMONTH(F2,12)=G2,EOMONTH(G2,12),EOMONTH(F2,12))</f>
        <v>46022</v>
      </c>
      <c r="I2" s="7">
        <f>++EOMONTH(H2,12)</f>
        <v>46387</v>
      </c>
      <c r="J2" s="7">
        <f t="shared" ref="J2:M2" si="0">++EOMONTH(I2,12)</f>
        <v>46752</v>
      </c>
      <c r="K2" s="7">
        <f t="shared" si="0"/>
        <v>47118</v>
      </c>
      <c r="L2" s="7">
        <f t="shared" si="0"/>
        <v>47483</v>
      </c>
      <c r="M2" s="7">
        <f t="shared" si="0"/>
        <v>47848</v>
      </c>
      <c r="O2" s="8" t="s">
        <v>3</v>
      </c>
      <c r="P2" s="9">
        <v>1</v>
      </c>
      <c r="V2" s="7">
        <f>++$F2</f>
        <v>45657</v>
      </c>
      <c r="W2" s="7">
        <f>++$H2</f>
        <v>46022</v>
      </c>
      <c r="X2" s="7">
        <f>++$I2</f>
        <v>46387</v>
      </c>
      <c r="Y2" s="7">
        <f>++$J2</f>
        <v>46752</v>
      </c>
      <c r="Z2" s="7">
        <f>++$K2</f>
        <v>47118</v>
      </c>
      <c r="AA2" s="7">
        <f>++$L2</f>
        <v>47483</v>
      </c>
      <c r="AB2" s="7">
        <f>++$M2</f>
        <v>47848</v>
      </c>
      <c r="AH2" s="7">
        <f>++$F2</f>
        <v>45657</v>
      </c>
      <c r="AI2" s="7">
        <f>++$H2</f>
        <v>46022</v>
      </c>
      <c r="AJ2" s="7">
        <f>++$I2</f>
        <v>46387</v>
      </c>
      <c r="AK2" s="7">
        <f>++$J2</f>
        <v>46752</v>
      </c>
      <c r="AL2" s="7">
        <f>++$K2</f>
        <v>47118</v>
      </c>
      <c r="AM2" s="7">
        <f>++$L2</f>
        <v>47483</v>
      </c>
      <c r="AN2" s="7">
        <f>++$M2</f>
        <v>47848</v>
      </c>
      <c r="AT2" s="7">
        <f>++$F2</f>
        <v>45657</v>
      </c>
      <c r="AU2" s="7">
        <f>++$H2</f>
        <v>46022</v>
      </c>
      <c r="AV2" s="7">
        <f>++$I2</f>
        <v>46387</v>
      </c>
      <c r="AW2" s="7">
        <f>++$J2</f>
        <v>46752</v>
      </c>
      <c r="AX2" s="7">
        <f>++$K2</f>
        <v>47118</v>
      </c>
      <c r="AY2" s="7">
        <f>++$L2</f>
        <v>47483</v>
      </c>
      <c r="AZ2" s="7">
        <f>++$M2</f>
        <v>47848</v>
      </c>
    </row>
    <row r="3" spans="1:52" x14ac:dyDescent="0.2">
      <c r="C3" s="10" t="str">
        <f ca="1">++TEXT(TODAY(),"MMMM D, YYYY")</f>
        <v>April 28, 2026</v>
      </c>
      <c r="D3" s="11"/>
      <c r="E3" s="12"/>
      <c r="O3" s="8" t="s">
        <v>4</v>
      </c>
      <c r="P3" s="9">
        <v>1</v>
      </c>
    </row>
    <row r="5" spans="1:52" x14ac:dyDescent="0.2">
      <c r="A5" s="13" t="s">
        <v>5</v>
      </c>
      <c r="B5" s="13" t="s">
        <v>5</v>
      </c>
      <c r="C5" s="14" t="str">
        <f>++C2&amp;" - "&amp;CHOOSE(OpCase,S5,AE5,AQ5)</f>
        <v>Overland Model - Sponsor Base Case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S5" s="14" t="s">
        <v>6</v>
      </c>
      <c r="T5" s="15"/>
      <c r="U5" s="15"/>
      <c r="V5" s="15"/>
      <c r="W5" s="15"/>
      <c r="X5" s="15"/>
      <c r="Y5" s="15"/>
      <c r="Z5" s="15"/>
      <c r="AA5" s="15"/>
      <c r="AB5" s="15"/>
      <c r="AE5" s="14" t="s">
        <v>7</v>
      </c>
      <c r="AF5" s="15"/>
      <c r="AG5" s="15"/>
      <c r="AH5" s="15"/>
      <c r="AI5" s="15"/>
      <c r="AJ5" s="15"/>
      <c r="AK5" s="15"/>
      <c r="AL5" s="15"/>
      <c r="AM5" s="15"/>
      <c r="AN5" s="15"/>
      <c r="AQ5" s="14" t="s">
        <v>8</v>
      </c>
      <c r="AR5" s="15"/>
      <c r="AS5" s="15"/>
      <c r="AT5" s="15"/>
      <c r="AU5" s="15"/>
      <c r="AV5" s="15"/>
      <c r="AW5" s="15"/>
      <c r="AX5" s="15"/>
      <c r="AY5" s="15"/>
      <c r="AZ5" s="15"/>
    </row>
    <row r="6" spans="1:52" ht="5.0999999999999996" customHeight="1" x14ac:dyDescent="0.2"/>
    <row r="7" spans="1:52" ht="15" x14ac:dyDescent="0.35">
      <c r="C7" s="181" t="s">
        <v>9</v>
      </c>
      <c r="D7" s="182"/>
      <c r="E7" s="182"/>
      <c r="F7" s="183" t="s">
        <v>10</v>
      </c>
      <c r="G7" s="183"/>
      <c r="H7" s="183" t="s">
        <v>11</v>
      </c>
      <c r="I7" s="183"/>
      <c r="J7" s="183"/>
      <c r="K7" s="183"/>
      <c r="L7" s="183"/>
      <c r="M7" s="183"/>
      <c r="N7" s="182"/>
      <c r="O7" s="184" t="s">
        <v>12</v>
      </c>
      <c r="V7" s="16"/>
      <c r="W7" s="16" t="s">
        <v>13</v>
      </c>
      <c r="X7" s="16"/>
      <c r="Y7" s="16"/>
      <c r="Z7" s="16"/>
      <c r="AA7" s="16"/>
      <c r="AB7" s="16"/>
      <c r="AH7" s="16"/>
      <c r="AI7" s="16" t="s">
        <v>13</v>
      </c>
      <c r="AJ7" s="16"/>
      <c r="AK7" s="16"/>
      <c r="AL7" s="16"/>
      <c r="AM7" s="16"/>
      <c r="AN7" s="16"/>
      <c r="AT7" s="16"/>
      <c r="AU7" s="16" t="s">
        <v>13</v>
      </c>
      <c r="AV7" s="16"/>
      <c r="AW7" s="16"/>
      <c r="AX7" s="16"/>
      <c r="AY7" s="16"/>
      <c r="AZ7" s="16"/>
    </row>
    <row r="8" spans="1:52" ht="15" x14ac:dyDescent="0.35">
      <c r="C8" s="181" t="str">
        <f>++"Fiscal Year End "&amp;TEXT($F$2,"MMM-D")</f>
        <v>Fiscal Year End Dec-31</v>
      </c>
      <c r="D8" s="182"/>
      <c r="E8" s="182"/>
      <c r="F8" s="185" t="str">
        <f>++"FY'"&amp;RIGHT(YEAR(F$2),2)&amp;"A"</f>
        <v>FY'24A</v>
      </c>
      <c r="G8" s="186" t="str">
        <f>++"LTM "&amp;TEXT(G$2,"M/YY")&amp;"A"</f>
        <v>LTM 9/25A</v>
      </c>
      <c r="H8" s="185" t="str">
        <f>++"FY'"&amp;RIGHT(YEAR(H$2),2)&amp;"E"</f>
        <v>FY'25E</v>
      </c>
      <c r="I8" s="185" t="str">
        <f>++"FY'"&amp;RIGHT(YEAR(I$2),2)&amp;"P"</f>
        <v>FY'26P</v>
      </c>
      <c r="J8" s="185" t="str">
        <f t="shared" ref="J8:M8" si="1">++"FY'"&amp;RIGHT(YEAR(J$2),2)&amp;"P"</f>
        <v>FY'27P</v>
      </c>
      <c r="K8" s="185" t="str">
        <f t="shared" si="1"/>
        <v>FY'28P</v>
      </c>
      <c r="L8" s="185" t="str">
        <f t="shared" si="1"/>
        <v>FY'29P</v>
      </c>
      <c r="M8" s="185" t="str">
        <f t="shared" si="1"/>
        <v>FY'30P</v>
      </c>
      <c r="N8" s="182"/>
      <c r="O8" s="187" t="str">
        <f>++"LTM-"&amp;RIGHT(M8,4)</f>
        <v>LTM-'30P</v>
      </c>
      <c r="V8" s="18" t="str">
        <f>++"FY'"&amp;RIGHT(YEAR(V$2),2)&amp;"A"</f>
        <v>FY'24A</v>
      </c>
      <c r="W8" s="17" t="str">
        <f>++"FY'"&amp;RIGHT(YEAR(W$2),2)&amp;"E"</f>
        <v>FY'25E</v>
      </c>
      <c r="X8" s="17" t="str">
        <f>++"FY'"&amp;RIGHT(YEAR(X$2),2)&amp;"P"</f>
        <v>FY'26P</v>
      </c>
      <c r="Y8" s="17" t="str">
        <f t="shared" ref="Y8:AB8" si="2">++"FY'"&amp;RIGHT(YEAR(Y$2),2)&amp;"P"</f>
        <v>FY'27P</v>
      </c>
      <c r="Z8" s="17" t="str">
        <f t="shared" si="2"/>
        <v>FY'28P</v>
      </c>
      <c r="AA8" s="17" t="str">
        <f t="shared" si="2"/>
        <v>FY'29P</v>
      </c>
      <c r="AB8" s="17" t="str">
        <f t="shared" si="2"/>
        <v>FY'30P</v>
      </c>
      <c r="AH8" s="18" t="str">
        <f>++"FY'"&amp;RIGHT(YEAR(AH$2),2)&amp;"A"</f>
        <v>FY'24A</v>
      </c>
      <c r="AI8" s="17" t="str">
        <f>++"FY'"&amp;RIGHT(YEAR(AI$2),2)&amp;"E"</f>
        <v>FY'25E</v>
      </c>
      <c r="AJ8" s="17" t="str">
        <f>++"FY'"&amp;RIGHT(YEAR(AJ$2),2)&amp;"P"</f>
        <v>FY'26P</v>
      </c>
      <c r="AK8" s="17" t="str">
        <f t="shared" ref="AK8:AN8" si="3">++"FY'"&amp;RIGHT(YEAR(AK$2),2)&amp;"P"</f>
        <v>FY'27P</v>
      </c>
      <c r="AL8" s="17" t="str">
        <f t="shared" si="3"/>
        <v>FY'28P</v>
      </c>
      <c r="AM8" s="17" t="str">
        <f t="shared" si="3"/>
        <v>FY'29P</v>
      </c>
      <c r="AN8" s="17" t="str">
        <f t="shared" si="3"/>
        <v>FY'30P</v>
      </c>
      <c r="AT8" s="18" t="str">
        <f>++"FY'"&amp;RIGHT(YEAR(AT$2),2)&amp;"A"</f>
        <v>FY'24A</v>
      </c>
      <c r="AU8" s="17" t="str">
        <f>++"FY'"&amp;RIGHT(YEAR(AU$2),2)&amp;"E"</f>
        <v>FY'25E</v>
      </c>
      <c r="AV8" s="17" t="str">
        <f>++"FY'"&amp;RIGHT(YEAR(AV$2),2)&amp;"P"</f>
        <v>FY'26P</v>
      </c>
      <c r="AW8" s="17" t="str">
        <f t="shared" ref="AW8:AZ8" si="4">++"FY'"&amp;RIGHT(YEAR(AW$2),2)&amp;"P"</f>
        <v>FY'27P</v>
      </c>
      <c r="AX8" s="17" t="str">
        <f t="shared" si="4"/>
        <v>FY'28P</v>
      </c>
      <c r="AY8" s="17" t="str">
        <f t="shared" si="4"/>
        <v>FY'29P</v>
      </c>
      <c r="AZ8" s="17" t="str">
        <f t="shared" si="4"/>
        <v>FY'30P</v>
      </c>
    </row>
    <row r="9" spans="1:52" ht="5.0999999999999996" customHeight="1" x14ac:dyDescent="0.2">
      <c r="C9" s="182"/>
      <c r="D9" s="182"/>
      <c r="E9" s="182"/>
      <c r="F9" s="182"/>
      <c r="G9" s="188"/>
      <c r="H9" s="182"/>
      <c r="I9" s="182"/>
      <c r="J9" s="182"/>
      <c r="K9" s="182"/>
      <c r="L9" s="182"/>
      <c r="M9" s="182"/>
      <c r="N9" s="182"/>
      <c r="O9" s="189"/>
      <c r="V9" s="20"/>
      <c r="AH9" s="20"/>
      <c r="AT9" s="20"/>
    </row>
    <row r="10" spans="1:52" x14ac:dyDescent="0.2">
      <c r="A10" s="13" t="s">
        <v>5</v>
      </c>
      <c r="B10" s="13" t="s">
        <v>5</v>
      </c>
      <c r="C10" s="190" t="s">
        <v>14</v>
      </c>
      <c r="D10" s="191"/>
      <c r="E10" s="191"/>
      <c r="F10" s="192">
        <f>++V10</f>
        <v>0</v>
      </c>
      <c r="G10" s="159">
        <v>0</v>
      </c>
      <c r="H10" s="192">
        <f>++F10*(1+H11)</f>
        <v>0</v>
      </c>
      <c r="I10" s="192">
        <f>++H10*(1+I11)</f>
        <v>0</v>
      </c>
      <c r="J10" s="192">
        <f t="shared" ref="J10:M10" si="5">++I10*(1+J11)</f>
        <v>0</v>
      </c>
      <c r="K10" s="192">
        <f t="shared" si="5"/>
        <v>0</v>
      </c>
      <c r="L10" s="192">
        <f t="shared" si="5"/>
        <v>0</v>
      </c>
      <c r="M10" s="192">
        <f t="shared" si="5"/>
        <v>0</v>
      </c>
      <c r="N10" s="182"/>
      <c r="O10" s="193">
        <f>++IFERROR((M10/G10)^(1/YEARFRAC(G$2,M$2,1))-1,0)</f>
        <v>0</v>
      </c>
      <c r="S10" s="1" t="s">
        <v>14</v>
      </c>
      <c r="V10" s="21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E10" s="1" t="s">
        <v>14</v>
      </c>
      <c r="AH10" s="23">
        <f>++$V10</f>
        <v>0</v>
      </c>
      <c r="AI10" s="24">
        <f>++IFERROR((1+AI11)*AH10,0)</f>
        <v>0</v>
      </c>
      <c r="AJ10" s="24">
        <f t="shared" ref="AJ10:AN10" si="6">++IFERROR((1+AJ11)*AI10,0)</f>
        <v>0</v>
      </c>
      <c r="AK10" s="24">
        <f t="shared" si="6"/>
        <v>0</v>
      </c>
      <c r="AL10" s="24">
        <f t="shared" si="6"/>
        <v>0</v>
      </c>
      <c r="AM10" s="24">
        <f t="shared" si="6"/>
        <v>0</v>
      </c>
      <c r="AN10" s="24">
        <f t="shared" si="6"/>
        <v>0</v>
      </c>
      <c r="AQ10" s="1" t="s">
        <v>14</v>
      </c>
      <c r="AT10" s="23">
        <f>++$V10</f>
        <v>0</v>
      </c>
      <c r="AU10" s="24">
        <f>++IFERROR((1+AU11)*AT10,0)</f>
        <v>0</v>
      </c>
      <c r="AV10" s="24">
        <f t="shared" ref="AV10" si="7">++IFERROR((1+AV11)*AU10,0)</f>
        <v>0</v>
      </c>
      <c r="AW10" s="24">
        <f t="shared" ref="AW10" si="8">++IFERROR((1+AW11)*AV10,0)</f>
        <v>0</v>
      </c>
      <c r="AX10" s="24">
        <f t="shared" ref="AX10" si="9">++IFERROR((1+AX11)*AW10,0)</f>
        <v>0</v>
      </c>
      <c r="AY10" s="24">
        <f t="shared" ref="AY10" si="10">++IFERROR((1+AY11)*AX10,0)</f>
        <v>0</v>
      </c>
      <c r="AZ10" s="24">
        <f t="shared" ref="AZ10" si="11">++IFERROR((1+AZ11)*AY10,0)</f>
        <v>0</v>
      </c>
    </row>
    <row r="11" spans="1:52" x14ac:dyDescent="0.2">
      <c r="C11" s="194" t="s">
        <v>15</v>
      </c>
      <c r="D11" s="182"/>
      <c r="E11" s="182"/>
      <c r="F11" s="195">
        <f t="shared" ref="F11" si="12">++V11</f>
        <v>0</v>
      </c>
      <c r="G11" s="174">
        <v>0</v>
      </c>
      <c r="H11" s="195">
        <f t="shared" ref="H11:M11" si="13">++CHOOSE(OpCase,W11,AI11,AU11)</f>
        <v>0</v>
      </c>
      <c r="I11" s="195">
        <f t="shared" si="13"/>
        <v>0</v>
      </c>
      <c r="J11" s="195">
        <f t="shared" si="13"/>
        <v>0</v>
      </c>
      <c r="K11" s="195">
        <f t="shared" si="13"/>
        <v>0</v>
      </c>
      <c r="L11" s="195">
        <f t="shared" si="13"/>
        <v>0</v>
      </c>
      <c r="M11" s="195">
        <f t="shared" si="13"/>
        <v>0</v>
      </c>
      <c r="N11" s="182"/>
      <c r="O11" s="189"/>
      <c r="S11" s="25" t="s">
        <v>15</v>
      </c>
      <c r="V11" s="155">
        <v>0</v>
      </c>
      <c r="W11" s="27">
        <f>++IFERROR(W10/V10-1,0)</f>
        <v>0</v>
      </c>
      <c r="X11" s="27">
        <f t="shared" ref="X11:AB11" si="14">++IFERROR(X10/W10-1,0)</f>
        <v>0</v>
      </c>
      <c r="Y11" s="27">
        <f t="shared" si="14"/>
        <v>0</v>
      </c>
      <c r="Z11" s="27">
        <f t="shared" si="14"/>
        <v>0</v>
      </c>
      <c r="AA11" s="27">
        <f t="shared" si="14"/>
        <v>0</v>
      </c>
      <c r="AB11" s="27">
        <f t="shared" si="14"/>
        <v>0</v>
      </c>
      <c r="AE11" s="25" t="s">
        <v>15</v>
      </c>
      <c r="AH11" s="28">
        <f>++$V11</f>
        <v>0</v>
      </c>
      <c r="AI11" s="161">
        <f>++$W11</f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Q11" s="25" t="s">
        <v>15</v>
      </c>
      <c r="AT11" s="28">
        <f>++$V11</f>
        <v>0</v>
      </c>
      <c r="AU11" s="161">
        <f>++$W11</f>
        <v>0</v>
      </c>
      <c r="AV11" s="29">
        <v>-0.1</v>
      </c>
      <c r="AW11" s="29">
        <v>-0.05</v>
      </c>
      <c r="AX11" s="29">
        <f>++IFERROR(($AU10/$AW10)^(0.5)-1,0)</f>
        <v>0</v>
      </c>
      <c r="AY11" s="29">
        <f t="shared" ref="AY11" si="15">++IFERROR(($AU10/$AW10)^(0.5)-1,0)</f>
        <v>0</v>
      </c>
      <c r="AZ11" s="29">
        <v>0.03</v>
      </c>
    </row>
    <row r="12" spans="1:52" ht="5.0999999999999996" customHeight="1" x14ac:dyDescent="0.2">
      <c r="C12" s="182"/>
      <c r="D12" s="182"/>
      <c r="E12" s="182"/>
      <c r="F12" s="182"/>
      <c r="G12" s="188"/>
      <c r="H12" s="182"/>
      <c r="I12" s="182"/>
      <c r="J12" s="182"/>
      <c r="K12" s="182"/>
      <c r="L12" s="182"/>
      <c r="M12" s="182"/>
      <c r="N12" s="182"/>
      <c r="O12" s="189"/>
      <c r="V12" s="30"/>
      <c r="AH12" s="30"/>
      <c r="AI12" s="31"/>
      <c r="AJ12" s="31"/>
      <c r="AK12" s="31"/>
      <c r="AL12" s="31"/>
      <c r="AM12" s="31"/>
      <c r="AN12" s="31"/>
      <c r="AT12" s="30"/>
      <c r="AU12" s="31"/>
      <c r="AV12" s="31"/>
      <c r="AW12" s="31"/>
      <c r="AX12" s="31"/>
      <c r="AY12" s="31"/>
      <c r="AZ12" s="31"/>
    </row>
    <row r="13" spans="1:52" outlineLevel="1" x14ac:dyDescent="0.2">
      <c r="C13" s="196" t="s">
        <v>16</v>
      </c>
      <c r="D13" s="196"/>
      <c r="E13" s="196"/>
      <c r="F13" s="197">
        <f>++F10-F14</f>
        <v>0</v>
      </c>
      <c r="G13" s="198">
        <f>++G10-G14</f>
        <v>0</v>
      </c>
      <c r="H13" s="197">
        <f t="shared" ref="H13:M13" si="16">++CHOOSE(OpCase,W18,AI18,AU18)</f>
        <v>0</v>
      </c>
      <c r="I13" s="197">
        <f t="shared" si="16"/>
        <v>0</v>
      </c>
      <c r="J13" s="197">
        <f t="shared" si="16"/>
        <v>0</v>
      </c>
      <c r="K13" s="197">
        <f t="shared" si="16"/>
        <v>0</v>
      </c>
      <c r="L13" s="197">
        <f t="shared" si="16"/>
        <v>0</v>
      </c>
      <c r="M13" s="197">
        <f t="shared" si="16"/>
        <v>0</v>
      </c>
      <c r="N13" s="182"/>
      <c r="O13" s="199">
        <f t="shared" ref="O13:O14" si="17">++IFERROR((M13/G13)^(1/YEARFRAC(G$2,M$2,1))-1,0)</f>
        <v>0</v>
      </c>
      <c r="S13" s="1" t="s">
        <v>17</v>
      </c>
      <c r="U13" s="34">
        <v>0.9</v>
      </c>
      <c r="V13" s="35">
        <f t="shared" ref="V13:AB13" si="18">++V$18*$U13</f>
        <v>0</v>
      </c>
      <c r="W13" s="36">
        <f t="shared" si="18"/>
        <v>0</v>
      </c>
      <c r="X13" s="36">
        <f t="shared" si="18"/>
        <v>0</v>
      </c>
      <c r="Y13" s="36">
        <f t="shared" si="18"/>
        <v>0</v>
      </c>
      <c r="Z13" s="36">
        <f t="shared" si="18"/>
        <v>0</v>
      </c>
      <c r="AA13" s="36">
        <f t="shared" si="18"/>
        <v>0</v>
      </c>
      <c r="AB13" s="36">
        <f t="shared" si="18"/>
        <v>0</v>
      </c>
      <c r="AE13" s="1" t="s">
        <v>17</v>
      </c>
      <c r="AG13" s="37">
        <f>++$U13</f>
        <v>0.9</v>
      </c>
      <c r="AH13" s="35">
        <f>++AH$18*$AG13</f>
        <v>0</v>
      </c>
      <c r="AI13" s="36">
        <f t="shared" ref="AI13:AN13" si="19">++AI$18*$AG13</f>
        <v>0</v>
      </c>
      <c r="AJ13" s="36">
        <f t="shared" si="19"/>
        <v>0</v>
      </c>
      <c r="AK13" s="36">
        <f t="shared" si="19"/>
        <v>0</v>
      </c>
      <c r="AL13" s="36">
        <f t="shared" si="19"/>
        <v>0</v>
      </c>
      <c r="AM13" s="36">
        <f t="shared" si="19"/>
        <v>0</v>
      </c>
      <c r="AN13" s="36">
        <f t="shared" si="19"/>
        <v>0</v>
      </c>
      <c r="AQ13" s="1" t="s">
        <v>17</v>
      </c>
      <c r="AS13" s="37">
        <f>++$U13</f>
        <v>0.9</v>
      </c>
      <c r="AT13" s="35">
        <f>++AT$18*$AS13</f>
        <v>0</v>
      </c>
      <c r="AU13" s="36">
        <f>++AU14*AU$10</f>
        <v>0</v>
      </c>
      <c r="AV13" s="36">
        <f t="shared" ref="AV13:AZ13" si="20">++AV14*AV$10</f>
        <v>0</v>
      </c>
      <c r="AW13" s="36">
        <f t="shared" si="20"/>
        <v>0</v>
      </c>
      <c r="AX13" s="36">
        <f t="shared" si="20"/>
        <v>0</v>
      </c>
      <c r="AY13" s="36">
        <f t="shared" si="20"/>
        <v>0</v>
      </c>
      <c r="AZ13" s="36">
        <f t="shared" si="20"/>
        <v>0</v>
      </c>
    </row>
    <row r="14" spans="1:52" outlineLevel="1" x14ac:dyDescent="0.2">
      <c r="C14" s="200" t="s">
        <v>18</v>
      </c>
      <c r="D14" s="182"/>
      <c r="E14" s="182"/>
      <c r="F14" s="201">
        <f>++V21</f>
        <v>0</v>
      </c>
      <c r="G14" s="180">
        <v>0</v>
      </c>
      <c r="H14" s="201">
        <f>++H10-H13</f>
        <v>0</v>
      </c>
      <c r="I14" s="201">
        <f t="shared" ref="I14:M14" si="21">++I10-I13</f>
        <v>0</v>
      </c>
      <c r="J14" s="201">
        <f t="shared" si="21"/>
        <v>0</v>
      </c>
      <c r="K14" s="201">
        <f t="shared" si="21"/>
        <v>0</v>
      </c>
      <c r="L14" s="201">
        <f t="shared" si="21"/>
        <v>0</v>
      </c>
      <c r="M14" s="201">
        <f t="shared" si="21"/>
        <v>0</v>
      </c>
      <c r="N14" s="182"/>
      <c r="O14" s="193">
        <f t="shared" si="17"/>
        <v>0</v>
      </c>
      <c r="S14" s="25" t="s">
        <v>19</v>
      </c>
      <c r="V14" s="41">
        <f t="shared" ref="V14:AB14" si="22">++IFERROR(V13/V$10,0)</f>
        <v>0</v>
      </c>
      <c r="W14" s="27">
        <f t="shared" si="22"/>
        <v>0</v>
      </c>
      <c r="X14" s="27">
        <f t="shared" si="22"/>
        <v>0</v>
      </c>
      <c r="Y14" s="27">
        <f t="shared" si="22"/>
        <v>0</v>
      </c>
      <c r="Z14" s="27">
        <f t="shared" si="22"/>
        <v>0</v>
      </c>
      <c r="AA14" s="27">
        <f t="shared" si="22"/>
        <v>0</v>
      </c>
      <c r="AB14" s="27">
        <f t="shared" si="22"/>
        <v>0</v>
      </c>
      <c r="AE14" s="25" t="s">
        <v>19</v>
      </c>
      <c r="AH14" s="41">
        <f t="shared" ref="AH14:AN14" si="23">++IFERROR(AH13/AH$10,0)</f>
        <v>0</v>
      </c>
      <c r="AI14" s="27">
        <f t="shared" si="23"/>
        <v>0</v>
      </c>
      <c r="AJ14" s="27">
        <f t="shared" si="23"/>
        <v>0</v>
      </c>
      <c r="AK14" s="27">
        <f t="shared" si="23"/>
        <v>0</v>
      </c>
      <c r="AL14" s="27">
        <f t="shared" si="23"/>
        <v>0</v>
      </c>
      <c r="AM14" s="27">
        <f t="shared" si="23"/>
        <v>0</v>
      </c>
      <c r="AN14" s="27">
        <f t="shared" si="23"/>
        <v>0</v>
      </c>
      <c r="AQ14" s="25" t="s">
        <v>19</v>
      </c>
      <c r="AT14" s="41">
        <f t="shared" ref="AT14" si="24">++IFERROR(AT13/AT$10,0)</f>
        <v>0</v>
      </c>
      <c r="AU14" s="161">
        <f>++$W14</f>
        <v>0</v>
      </c>
      <c r="AV14" s="29">
        <f>++AU14</f>
        <v>0</v>
      </c>
      <c r="AW14" s="29">
        <f t="shared" ref="AW14:AZ14" si="25">++AV14</f>
        <v>0</v>
      </c>
      <c r="AX14" s="29">
        <f t="shared" si="25"/>
        <v>0</v>
      </c>
      <c r="AY14" s="29">
        <f t="shared" si="25"/>
        <v>0</v>
      </c>
      <c r="AZ14" s="29">
        <f t="shared" si="25"/>
        <v>0</v>
      </c>
    </row>
    <row r="15" spans="1:52" outlineLevel="1" x14ac:dyDescent="0.2">
      <c r="C15" s="194" t="s">
        <v>20</v>
      </c>
      <c r="D15" s="182"/>
      <c r="E15" s="182"/>
      <c r="F15" s="195">
        <f t="shared" ref="F15:M15" si="26">++IFERROR(F14/F$10,0)</f>
        <v>0</v>
      </c>
      <c r="G15" s="202">
        <f t="shared" si="26"/>
        <v>0</v>
      </c>
      <c r="H15" s="195">
        <f t="shared" si="26"/>
        <v>0</v>
      </c>
      <c r="I15" s="195">
        <f t="shared" si="26"/>
        <v>0</v>
      </c>
      <c r="J15" s="195">
        <f t="shared" si="26"/>
        <v>0</v>
      </c>
      <c r="K15" s="195">
        <f t="shared" si="26"/>
        <v>0</v>
      </c>
      <c r="L15" s="195">
        <f t="shared" si="26"/>
        <v>0</v>
      </c>
      <c r="M15" s="195">
        <f t="shared" si="26"/>
        <v>0</v>
      </c>
      <c r="N15" s="182"/>
      <c r="O15" s="189"/>
      <c r="V15" s="30"/>
      <c r="AH15" s="30"/>
      <c r="AI15" s="31"/>
      <c r="AJ15" s="31"/>
      <c r="AK15" s="31"/>
      <c r="AL15" s="31"/>
      <c r="AM15" s="31"/>
      <c r="AN15" s="31"/>
      <c r="AT15" s="30"/>
      <c r="AU15" s="31"/>
      <c r="AV15" s="31"/>
      <c r="AW15" s="31"/>
      <c r="AX15" s="31"/>
      <c r="AY15" s="31"/>
      <c r="AZ15" s="31"/>
    </row>
    <row r="16" spans="1:52" outlineLevel="1" x14ac:dyDescent="0.2">
      <c r="C16" s="194" t="s">
        <v>15</v>
      </c>
      <c r="D16" s="182"/>
      <c r="E16" s="182"/>
      <c r="F16" s="154">
        <v>0</v>
      </c>
      <c r="G16" s="174">
        <v>0</v>
      </c>
      <c r="H16" s="195">
        <f>++IFERROR(H14/F14-1,0)</f>
        <v>0</v>
      </c>
      <c r="I16" s="195">
        <f>++IFERROR(I14/H14-1,0)</f>
        <v>0</v>
      </c>
      <c r="J16" s="195">
        <f>++IFERROR(J14/I14-1,0)</f>
        <v>0</v>
      </c>
      <c r="K16" s="195">
        <f>++IFERROR(K14/J14-1,0)</f>
        <v>0</v>
      </c>
      <c r="L16" s="195">
        <f>++IFERROR(L14/K14-1,0)</f>
        <v>0</v>
      </c>
      <c r="M16" s="195">
        <f>++IFERROR(M14/L14-1,0)</f>
        <v>0</v>
      </c>
      <c r="N16" s="182"/>
      <c r="O16" s="189"/>
      <c r="S16" s="1" t="s">
        <v>21</v>
      </c>
      <c r="U16" s="42">
        <f>1-U13</f>
        <v>9.9999999999999978E-2</v>
      </c>
      <c r="V16" s="35">
        <f t="shared" ref="V16" si="27">++V$18*$U16</f>
        <v>0</v>
      </c>
      <c r="W16" s="36">
        <f>++W18-W13</f>
        <v>0</v>
      </c>
      <c r="X16" s="36">
        <f t="shared" ref="X16:AB16" si="28">++X18-X13</f>
        <v>0</v>
      </c>
      <c r="Y16" s="36">
        <f t="shared" si="28"/>
        <v>0</v>
      </c>
      <c r="Z16" s="36">
        <f t="shared" si="28"/>
        <v>0</v>
      </c>
      <c r="AA16" s="36">
        <f t="shared" si="28"/>
        <v>0</v>
      </c>
      <c r="AB16" s="36">
        <f t="shared" si="28"/>
        <v>0</v>
      </c>
      <c r="AE16" s="1" t="s">
        <v>21</v>
      </c>
      <c r="AG16" s="42">
        <f>1-AG13</f>
        <v>9.9999999999999978E-2</v>
      </c>
      <c r="AH16" s="35">
        <f>++AH$18*$AG16</f>
        <v>0</v>
      </c>
      <c r="AI16" s="36">
        <f t="shared" ref="AI16:AN16" si="29">++AI$18*$AG16</f>
        <v>0</v>
      </c>
      <c r="AJ16" s="36">
        <f t="shared" si="29"/>
        <v>0</v>
      </c>
      <c r="AK16" s="36">
        <f t="shared" si="29"/>
        <v>0</v>
      </c>
      <c r="AL16" s="36">
        <f t="shared" si="29"/>
        <v>0</v>
      </c>
      <c r="AM16" s="36">
        <f t="shared" si="29"/>
        <v>0</v>
      </c>
      <c r="AN16" s="36">
        <f t="shared" si="29"/>
        <v>0</v>
      </c>
      <c r="AQ16" s="1" t="s">
        <v>21</v>
      </c>
      <c r="AS16" s="42">
        <f>1-AS13</f>
        <v>9.9999999999999978E-2</v>
      </c>
      <c r="AT16" s="35">
        <f>++AT$18*$AS16</f>
        <v>0</v>
      </c>
      <c r="AU16" s="36">
        <f>++IFERROR((1+AU17)*AT16,0)</f>
        <v>0</v>
      </c>
      <c r="AV16" s="36">
        <f t="shared" ref="AV16" si="30">++IFERROR((1+AV17)*AU16,0)</f>
        <v>0</v>
      </c>
      <c r="AW16" s="36">
        <f t="shared" ref="AW16" si="31">++IFERROR((1+AW17)*AV16,0)</f>
        <v>0</v>
      </c>
      <c r="AX16" s="36">
        <f t="shared" ref="AX16" si="32">++IFERROR((1+AX17)*AW16,0)</f>
        <v>0</v>
      </c>
      <c r="AY16" s="36">
        <f t="shared" ref="AY16" si="33">++IFERROR((1+AY17)*AX16,0)</f>
        <v>0</v>
      </c>
      <c r="AZ16" s="36">
        <f t="shared" ref="AZ16" si="34">++IFERROR((1+AZ17)*AY16,0)</f>
        <v>0</v>
      </c>
    </row>
    <row r="17" spans="3:52" outlineLevel="1" x14ac:dyDescent="0.2">
      <c r="C17" s="182"/>
      <c r="D17" s="182"/>
      <c r="E17" s="182"/>
      <c r="F17" s="182"/>
      <c r="G17" s="188"/>
      <c r="H17" s="182"/>
      <c r="I17" s="182"/>
      <c r="J17" s="182"/>
      <c r="K17" s="182"/>
      <c r="L17" s="182"/>
      <c r="M17" s="182"/>
      <c r="N17" s="182"/>
      <c r="O17" s="189"/>
      <c r="S17" s="43" t="s">
        <v>15</v>
      </c>
      <c r="T17" s="32"/>
      <c r="U17" s="32"/>
      <c r="V17" s="44"/>
      <c r="W17" s="45">
        <f>++IFERROR(W16/V16-1,0)</f>
        <v>0</v>
      </c>
      <c r="X17" s="45">
        <f>++IFERROR(X16/W16-1,0)</f>
        <v>0</v>
      </c>
      <c r="Y17" s="45">
        <f t="shared" ref="Y17:AB17" si="35">++IFERROR(Y16/X16-1,0)</f>
        <v>0</v>
      </c>
      <c r="Z17" s="45">
        <f t="shared" si="35"/>
        <v>0</v>
      </c>
      <c r="AA17" s="45">
        <f t="shared" si="35"/>
        <v>0</v>
      </c>
      <c r="AB17" s="45">
        <f t="shared" si="35"/>
        <v>0</v>
      </c>
      <c r="AE17" s="43" t="s">
        <v>15</v>
      </c>
      <c r="AF17" s="32"/>
      <c r="AG17" s="32"/>
      <c r="AH17" s="44"/>
      <c r="AI17" s="46">
        <f>++IFERROR(AI16/AH16-1,0)</f>
        <v>0</v>
      </c>
      <c r="AJ17" s="46">
        <f>++IFERROR(AJ16/AI16-1,0)</f>
        <v>0</v>
      </c>
      <c r="AK17" s="46">
        <f t="shared" ref="AK17" si="36">++IFERROR(AK16/AJ16-1,0)</f>
        <v>0</v>
      </c>
      <c r="AL17" s="46">
        <f t="shared" ref="AL17" si="37">++IFERROR(AL16/AK16-1,0)</f>
        <v>0</v>
      </c>
      <c r="AM17" s="46">
        <f t="shared" ref="AM17" si="38">++IFERROR(AM16/AL16-1,0)</f>
        <v>0</v>
      </c>
      <c r="AN17" s="46">
        <f t="shared" ref="AN17" si="39">++IFERROR(AN16/AM16-1,0)</f>
        <v>0</v>
      </c>
      <c r="AQ17" s="43" t="s">
        <v>15</v>
      </c>
      <c r="AR17" s="32"/>
      <c r="AS17" s="32"/>
      <c r="AT17" s="44"/>
      <c r="AU17" s="163">
        <f>++$W17</f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f>++AZ$11</f>
        <v>0.03</v>
      </c>
    </row>
    <row r="18" spans="3:52" outlineLevel="1" x14ac:dyDescent="0.2">
      <c r="C18" s="182" t="s">
        <v>22</v>
      </c>
      <c r="D18" s="182"/>
      <c r="E18" s="182"/>
      <c r="F18" s="203">
        <f>++V30</f>
        <v>0</v>
      </c>
      <c r="G18" s="204">
        <f>++G14-G20-G19</f>
        <v>0</v>
      </c>
      <c r="H18" s="203">
        <f t="shared" ref="H18:M18" si="40">++CHOOSE(OpCase,W30,AI30,AU30)</f>
        <v>0</v>
      </c>
      <c r="I18" s="203">
        <f t="shared" si="40"/>
        <v>0</v>
      </c>
      <c r="J18" s="203">
        <f t="shared" si="40"/>
        <v>0</v>
      </c>
      <c r="K18" s="203">
        <f t="shared" si="40"/>
        <v>0</v>
      </c>
      <c r="L18" s="203">
        <f t="shared" si="40"/>
        <v>0</v>
      </c>
      <c r="M18" s="203">
        <f t="shared" si="40"/>
        <v>0</v>
      </c>
      <c r="N18" s="182"/>
      <c r="O18" s="205">
        <f t="shared" ref="O18" si="41">++IFERROR((M18/G18)^(1/YEARFRAC(G$2,M$2,1))-1,0)</f>
        <v>0</v>
      </c>
      <c r="S18" s="1" t="s">
        <v>16</v>
      </c>
      <c r="V18" s="49">
        <f t="shared" ref="V18:AB18" si="42">++V10-V21</f>
        <v>0</v>
      </c>
      <c r="W18" s="50">
        <f t="shared" si="42"/>
        <v>0</v>
      </c>
      <c r="X18" s="50">
        <f t="shared" si="42"/>
        <v>0</v>
      </c>
      <c r="Y18" s="50">
        <f t="shared" si="42"/>
        <v>0</v>
      </c>
      <c r="Z18" s="50">
        <f t="shared" si="42"/>
        <v>0</v>
      </c>
      <c r="AA18" s="50">
        <f t="shared" si="42"/>
        <v>0</v>
      </c>
      <c r="AB18" s="50">
        <f t="shared" si="42"/>
        <v>0</v>
      </c>
      <c r="AE18" s="1" t="s">
        <v>16</v>
      </c>
      <c r="AH18" s="49">
        <f t="shared" ref="AH18:AN18" si="43">++AH10-AH21</f>
        <v>0</v>
      </c>
      <c r="AI18" s="24">
        <f t="shared" si="43"/>
        <v>0</v>
      </c>
      <c r="AJ18" s="24">
        <f t="shared" si="43"/>
        <v>0</v>
      </c>
      <c r="AK18" s="24">
        <f t="shared" si="43"/>
        <v>0</v>
      </c>
      <c r="AL18" s="24">
        <f t="shared" si="43"/>
        <v>0</v>
      </c>
      <c r="AM18" s="24">
        <f t="shared" si="43"/>
        <v>0</v>
      </c>
      <c r="AN18" s="24">
        <f t="shared" si="43"/>
        <v>0</v>
      </c>
      <c r="AQ18" s="1" t="s">
        <v>16</v>
      </c>
      <c r="AT18" s="49">
        <f t="shared" ref="AT18" si="44">++AT10-AT21</f>
        <v>0</v>
      </c>
      <c r="AU18" s="24">
        <f>++SUM(AU13,AU16)</f>
        <v>0</v>
      </c>
      <c r="AV18" s="24">
        <f t="shared" ref="AV18:AZ18" si="45">++SUM(AV13,AV16)</f>
        <v>0</v>
      </c>
      <c r="AW18" s="24">
        <f t="shared" si="45"/>
        <v>0</v>
      </c>
      <c r="AX18" s="24">
        <f t="shared" si="45"/>
        <v>0</v>
      </c>
      <c r="AY18" s="24">
        <f t="shared" si="45"/>
        <v>0</v>
      </c>
      <c r="AZ18" s="24">
        <f t="shared" si="45"/>
        <v>0</v>
      </c>
    </row>
    <row r="19" spans="3:52" outlineLevel="1" x14ac:dyDescent="0.2">
      <c r="C19" s="196" t="s">
        <v>23</v>
      </c>
      <c r="D19" s="196"/>
      <c r="E19" s="196"/>
      <c r="F19" s="197">
        <f>++V35</f>
        <v>0</v>
      </c>
      <c r="G19" s="54">
        <v>0</v>
      </c>
      <c r="H19" s="197">
        <f t="shared" ref="H19:M19" si="46">++-CHOOSE(OpCase,W35,AI35,AU35)</f>
        <v>0</v>
      </c>
      <c r="I19" s="197">
        <f t="shared" si="46"/>
        <v>0</v>
      </c>
      <c r="J19" s="197">
        <f t="shared" si="46"/>
        <v>0</v>
      </c>
      <c r="K19" s="197">
        <f t="shared" si="46"/>
        <v>0</v>
      </c>
      <c r="L19" s="197">
        <f t="shared" si="46"/>
        <v>0</v>
      </c>
      <c r="M19" s="197">
        <f t="shared" si="46"/>
        <v>0</v>
      </c>
      <c r="N19" s="182"/>
      <c r="O19" s="199"/>
      <c r="S19" s="25" t="s">
        <v>19</v>
      </c>
      <c r="V19" s="41">
        <f t="shared" ref="V19:AB19" si="47">++IFERROR(V18/V$10,0)</f>
        <v>0</v>
      </c>
      <c r="W19" s="51">
        <f t="shared" si="47"/>
        <v>0</v>
      </c>
      <c r="X19" s="51">
        <f t="shared" si="47"/>
        <v>0</v>
      </c>
      <c r="Y19" s="51">
        <f t="shared" si="47"/>
        <v>0</v>
      </c>
      <c r="Z19" s="51">
        <f t="shared" si="47"/>
        <v>0</v>
      </c>
      <c r="AA19" s="51">
        <f t="shared" si="47"/>
        <v>0</v>
      </c>
      <c r="AB19" s="51">
        <f t="shared" si="47"/>
        <v>0</v>
      </c>
      <c r="AE19" s="25" t="s">
        <v>19</v>
      </c>
      <c r="AH19" s="41">
        <f t="shared" ref="AH19:AN19" si="48">++IFERROR(AH18/AH$10,0)</f>
        <v>0</v>
      </c>
      <c r="AI19" s="27">
        <f t="shared" si="48"/>
        <v>0</v>
      </c>
      <c r="AJ19" s="27">
        <f t="shared" si="48"/>
        <v>0</v>
      </c>
      <c r="AK19" s="27">
        <f t="shared" si="48"/>
        <v>0</v>
      </c>
      <c r="AL19" s="27">
        <f t="shared" si="48"/>
        <v>0</v>
      </c>
      <c r="AM19" s="27">
        <f t="shared" si="48"/>
        <v>0</v>
      </c>
      <c r="AN19" s="27">
        <f t="shared" si="48"/>
        <v>0</v>
      </c>
      <c r="AQ19" s="25" t="s">
        <v>19</v>
      </c>
      <c r="AT19" s="41">
        <f t="shared" ref="AT19:AZ19" si="49">++IFERROR(AT18/AT$10,0)</f>
        <v>0</v>
      </c>
      <c r="AU19" s="27">
        <f t="shared" si="49"/>
        <v>0</v>
      </c>
      <c r="AV19" s="27">
        <f t="shared" si="49"/>
        <v>0</v>
      </c>
      <c r="AW19" s="27">
        <f t="shared" si="49"/>
        <v>0</v>
      </c>
      <c r="AX19" s="27">
        <f t="shared" si="49"/>
        <v>0</v>
      </c>
      <c r="AY19" s="27">
        <f t="shared" si="49"/>
        <v>0</v>
      </c>
      <c r="AZ19" s="27">
        <f t="shared" si="49"/>
        <v>0</v>
      </c>
    </row>
    <row r="20" spans="3:52" x14ac:dyDescent="0.2">
      <c r="C20" s="190" t="s">
        <v>24</v>
      </c>
      <c r="D20" s="191"/>
      <c r="E20" s="191"/>
      <c r="F20" s="192">
        <f>++F14-SUM(F18:F19)</f>
        <v>0</v>
      </c>
      <c r="G20" s="159">
        <v>0</v>
      </c>
      <c r="H20" s="192">
        <f>++H14-SUM(H18:H19)</f>
        <v>0</v>
      </c>
      <c r="I20" s="192">
        <f t="shared" ref="I20:M20" si="50">++I14-SUM(I18:I19)</f>
        <v>0</v>
      </c>
      <c r="J20" s="192">
        <f t="shared" si="50"/>
        <v>0</v>
      </c>
      <c r="K20" s="192">
        <f t="shared" si="50"/>
        <v>0</v>
      </c>
      <c r="L20" s="192">
        <f t="shared" si="50"/>
        <v>0</v>
      </c>
      <c r="M20" s="192">
        <f t="shared" si="50"/>
        <v>0</v>
      </c>
      <c r="N20" s="182"/>
      <c r="O20" s="193">
        <f t="shared" ref="O20" si="51">++IFERROR((M20/G20)^(1/YEARFRAC(G$2,M$2,1))-1,0)</f>
        <v>0</v>
      </c>
      <c r="V20" s="30"/>
      <c r="AH20" s="30"/>
      <c r="AI20" s="31"/>
      <c r="AJ20" s="31"/>
      <c r="AK20" s="31"/>
      <c r="AL20" s="31"/>
      <c r="AM20" s="31"/>
      <c r="AN20" s="31"/>
      <c r="AT20" s="30"/>
      <c r="AU20" s="31"/>
      <c r="AV20" s="31"/>
      <c r="AW20" s="31"/>
      <c r="AX20" s="31"/>
      <c r="AY20" s="31"/>
      <c r="AZ20" s="31"/>
    </row>
    <row r="21" spans="3:52" x14ac:dyDescent="0.2">
      <c r="C21" s="194" t="s">
        <v>20</v>
      </c>
      <c r="D21" s="182"/>
      <c r="E21" s="182"/>
      <c r="F21" s="195">
        <f t="shared" ref="F21:M21" si="52">++IFERROR(F20/F$10,0)</f>
        <v>0</v>
      </c>
      <c r="G21" s="202">
        <f t="shared" si="52"/>
        <v>0</v>
      </c>
      <c r="H21" s="195">
        <f t="shared" si="52"/>
        <v>0</v>
      </c>
      <c r="I21" s="195">
        <f t="shared" si="52"/>
        <v>0</v>
      </c>
      <c r="J21" s="195">
        <f t="shared" si="52"/>
        <v>0</v>
      </c>
      <c r="K21" s="195">
        <f t="shared" si="52"/>
        <v>0</v>
      </c>
      <c r="L21" s="195">
        <f t="shared" si="52"/>
        <v>0</v>
      </c>
      <c r="M21" s="195">
        <f t="shared" si="52"/>
        <v>0</v>
      </c>
      <c r="N21" s="182"/>
      <c r="O21" s="189"/>
      <c r="S21" s="1" t="s">
        <v>18</v>
      </c>
      <c r="V21" s="21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E21" s="1" t="s">
        <v>18</v>
      </c>
      <c r="AH21" s="23">
        <f>++$V21</f>
        <v>0</v>
      </c>
      <c r="AI21" s="24">
        <f>++IFERROR(AI$10*AI22,0)</f>
        <v>0</v>
      </c>
      <c r="AJ21" s="24">
        <f t="shared" ref="AJ21:AN21" si="53">++IFERROR(AJ$10*AJ22,0)</f>
        <v>0</v>
      </c>
      <c r="AK21" s="24">
        <f t="shared" si="53"/>
        <v>0</v>
      </c>
      <c r="AL21" s="24">
        <f t="shared" si="53"/>
        <v>0</v>
      </c>
      <c r="AM21" s="24">
        <f t="shared" si="53"/>
        <v>0</v>
      </c>
      <c r="AN21" s="24">
        <f t="shared" si="53"/>
        <v>0</v>
      </c>
      <c r="AQ21" s="1" t="s">
        <v>18</v>
      </c>
      <c r="AT21" s="23">
        <f>++$V21</f>
        <v>0</v>
      </c>
      <c r="AU21" s="24">
        <f>++AU10-AU18</f>
        <v>0</v>
      </c>
      <c r="AV21" s="24">
        <f t="shared" ref="AV21:AZ21" si="54">++AV10-AV18</f>
        <v>0</v>
      </c>
      <c r="AW21" s="24">
        <f t="shared" si="54"/>
        <v>0</v>
      </c>
      <c r="AX21" s="24">
        <f t="shared" si="54"/>
        <v>0</v>
      </c>
      <c r="AY21" s="24">
        <f t="shared" si="54"/>
        <v>0</v>
      </c>
      <c r="AZ21" s="24">
        <f t="shared" si="54"/>
        <v>0</v>
      </c>
    </row>
    <row r="22" spans="3:52" x14ac:dyDescent="0.2">
      <c r="C22" s="194" t="s">
        <v>15</v>
      </c>
      <c r="D22" s="182"/>
      <c r="E22" s="182"/>
      <c r="F22" s="154">
        <v>0</v>
      </c>
      <c r="G22" s="174">
        <v>0</v>
      </c>
      <c r="H22" s="195">
        <f>++IFERROR(H20/F20-1,0)</f>
        <v>0</v>
      </c>
      <c r="I22" s="195">
        <f>++IFERROR(I20/H20-1,0)</f>
        <v>0</v>
      </c>
      <c r="J22" s="195">
        <f>++IFERROR(J20/I20-1,0)</f>
        <v>0</v>
      </c>
      <c r="K22" s="195">
        <f>++IFERROR(K20/J20-1,0)</f>
        <v>0</v>
      </c>
      <c r="L22" s="195">
        <f>++IFERROR(L20/K20-1,0)</f>
        <v>0</v>
      </c>
      <c r="M22" s="195">
        <f>++IFERROR(M20/L20-1,0)</f>
        <v>0</v>
      </c>
      <c r="N22" s="182"/>
      <c r="O22" s="206"/>
      <c r="S22" s="25" t="s">
        <v>20</v>
      </c>
      <c r="V22" s="41">
        <f>++IFERROR(V21/V$10,0)</f>
        <v>0</v>
      </c>
      <c r="W22" s="27">
        <f t="shared" ref="W22:AA22" si="55">++IFERROR(W21/W$10,0)</f>
        <v>0</v>
      </c>
      <c r="X22" s="27">
        <f t="shared" si="55"/>
        <v>0</v>
      </c>
      <c r="Y22" s="27">
        <f t="shared" si="55"/>
        <v>0</v>
      </c>
      <c r="Z22" s="27">
        <f t="shared" si="55"/>
        <v>0</v>
      </c>
      <c r="AA22" s="27">
        <f t="shared" si="55"/>
        <v>0</v>
      </c>
      <c r="AB22" s="27">
        <f>++AA22</f>
        <v>0</v>
      </c>
      <c r="AE22" s="25" t="s">
        <v>20</v>
      </c>
      <c r="AH22" s="41">
        <f>++IFERROR(AH21/AH$10,0)</f>
        <v>0</v>
      </c>
      <c r="AI22" s="161">
        <f>++W22</f>
        <v>0</v>
      </c>
      <c r="AJ22" s="29">
        <f>++AI22</f>
        <v>0</v>
      </c>
      <c r="AK22" s="29">
        <f t="shared" ref="AK22:AN22" si="56">++AJ22</f>
        <v>0</v>
      </c>
      <c r="AL22" s="29">
        <f t="shared" si="56"/>
        <v>0</v>
      </c>
      <c r="AM22" s="29">
        <f t="shared" si="56"/>
        <v>0</v>
      </c>
      <c r="AN22" s="29">
        <f t="shared" si="56"/>
        <v>0</v>
      </c>
      <c r="AQ22" s="25" t="s">
        <v>20</v>
      </c>
      <c r="AT22" s="41">
        <f>++IFERROR(AT21/AT$10,0)</f>
        <v>0</v>
      </c>
      <c r="AU22" s="27">
        <f t="shared" ref="AU22:AZ22" si="57">++IFERROR(AU21/AU$10,0)</f>
        <v>0</v>
      </c>
      <c r="AV22" s="27">
        <f t="shared" si="57"/>
        <v>0</v>
      </c>
      <c r="AW22" s="27">
        <f t="shared" si="57"/>
        <v>0</v>
      </c>
      <c r="AX22" s="27">
        <f t="shared" si="57"/>
        <v>0</v>
      </c>
      <c r="AY22" s="27">
        <f t="shared" si="57"/>
        <v>0</v>
      </c>
      <c r="AZ22" s="27">
        <f t="shared" si="57"/>
        <v>0</v>
      </c>
    </row>
    <row r="23" spans="3:52" ht="5.0999999999999996" customHeight="1" x14ac:dyDescent="0.2">
      <c r="C23" s="182"/>
      <c r="D23" s="182"/>
      <c r="E23" s="182"/>
      <c r="F23" s="182"/>
      <c r="G23" s="188"/>
      <c r="H23" s="182"/>
      <c r="I23" s="182"/>
      <c r="J23" s="182"/>
      <c r="K23" s="182"/>
      <c r="L23" s="182"/>
      <c r="M23" s="182"/>
      <c r="N23" s="182"/>
      <c r="O23" s="182"/>
      <c r="V23" s="30"/>
      <c r="AH23" s="30"/>
      <c r="AI23" s="31"/>
      <c r="AJ23" s="31"/>
      <c r="AK23" s="31"/>
      <c r="AL23" s="31"/>
      <c r="AM23" s="31"/>
      <c r="AN23" s="31"/>
      <c r="AT23" s="30"/>
      <c r="AU23" s="31"/>
      <c r="AV23" s="31"/>
      <c r="AW23" s="31"/>
      <c r="AX23" s="31"/>
      <c r="AY23" s="31"/>
      <c r="AZ23" s="31"/>
    </row>
    <row r="24" spans="3:52" ht="15" x14ac:dyDescent="0.35">
      <c r="C24" s="182"/>
      <c r="D24" s="182"/>
      <c r="E24" s="182"/>
      <c r="F24" s="182"/>
      <c r="G24" s="188"/>
      <c r="H24" s="185" t="str">
        <f>++TEXT(YEARFRAC(G$2,H$2)*12,"#0")&amp;" Mo. Stub"</f>
        <v>3 Mo. Stub</v>
      </c>
      <c r="I24" s="182"/>
      <c r="J24" s="182"/>
      <c r="K24" s="182"/>
      <c r="L24" s="182"/>
      <c r="M24" s="182"/>
      <c r="N24" s="182"/>
      <c r="O24" s="182"/>
      <c r="V24" s="30"/>
      <c r="AH24" s="30"/>
      <c r="AI24" s="31"/>
      <c r="AJ24" s="31"/>
      <c r="AK24" s="31"/>
      <c r="AL24" s="31"/>
      <c r="AM24" s="31"/>
      <c r="AN24" s="31"/>
      <c r="AT24" s="30"/>
      <c r="AU24" s="31"/>
      <c r="AV24" s="31"/>
      <c r="AW24" s="31"/>
      <c r="AX24" s="31"/>
      <c r="AY24" s="31"/>
      <c r="AZ24" s="31"/>
    </row>
    <row r="25" spans="3:52" x14ac:dyDescent="0.2">
      <c r="C25" s="182" t="s">
        <v>25</v>
      </c>
      <c r="D25" s="182"/>
      <c r="E25" s="182"/>
      <c r="F25" s="203">
        <f>++V35</f>
        <v>0</v>
      </c>
      <c r="G25" s="204">
        <f t="shared" ref="G25:M25" si="58">++-G40</f>
        <v>0</v>
      </c>
      <c r="H25" s="203">
        <f t="shared" si="58"/>
        <v>0</v>
      </c>
      <c r="I25" s="203">
        <f t="shared" si="58"/>
        <v>0</v>
      </c>
      <c r="J25" s="203">
        <f t="shared" si="58"/>
        <v>0</v>
      </c>
      <c r="K25" s="203">
        <f t="shared" si="58"/>
        <v>0</v>
      </c>
      <c r="L25" s="203">
        <f t="shared" si="58"/>
        <v>0</v>
      </c>
      <c r="M25" s="203">
        <f t="shared" si="58"/>
        <v>0</v>
      </c>
      <c r="N25" s="182"/>
      <c r="O25" s="182"/>
      <c r="S25" s="1" t="s">
        <v>26</v>
      </c>
      <c r="U25" s="34">
        <v>0.5</v>
      </c>
      <c r="V25" s="35">
        <f t="shared" ref="V25:AB25" si="59">++V$30*$U25</f>
        <v>0</v>
      </c>
      <c r="W25" s="36">
        <f t="shared" si="59"/>
        <v>0</v>
      </c>
      <c r="X25" s="36">
        <f t="shared" si="59"/>
        <v>0</v>
      </c>
      <c r="Y25" s="36">
        <f t="shared" si="59"/>
        <v>0</v>
      </c>
      <c r="Z25" s="36">
        <f t="shared" si="59"/>
        <v>0</v>
      </c>
      <c r="AA25" s="36">
        <f t="shared" si="59"/>
        <v>0</v>
      </c>
      <c r="AB25" s="36">
        <f t="shared" si="59"/>
        <v>0</v>
      </c>
      <c r="AE25" s="1" t="s">
        <v>26</v>
      </c>
      <c r="AG25" s="37">
        <f>++$U25</f>
        <v>0.5</v>
      </c>
      <c r="AH25" s="35">
        <f>++AH$30*$AG25</f>
        <v>0</v>
      </c>
      <c r="AI25" s="36">
        <f>++AI$30*$AG25</f>
        <v>0</v>
      </c>
      <c r="AJ25" s="36">
        <f t="shared" ref="AJ25:AN25" si="60">++AJ$30*$AG25</f>
        <v>0</v>
      </c>
      <c r="AK25" s="36">
        <f t="shared" si="60"/>
        <v>0</v>
      </c>
      <c r="AL25" s="36">
        <f t="shared" si="60"/>
        <v>0</v>
      </c>
      <c r="AM25" s="36">
        <f t="shared" si="60"/>
        <v>0</v>
      </c>
      <c r="AN25" s="36">
        <f t="shared" si="60"/>
        <v>0</v>
      </c>
      <c r="AQ25" s="1" t="s">
        <v>26</v>
      </c>
      <c r="AS25" s="37">
        <f>++$U25</f>
        <v>0.5</v>
      </c>
      <c r="AT25" s="35">
        <f>++AT$30*$AS25</f>
        <v>0</v>
      </c>
      <c r="AU25" s="36">
        <f>++AU26*AU$10</f>
        <v>0</v>
      </c>
      <c r="AV25" s="36">
        <f t="shared" ref="AV25" si="61">++AV26*AV$10</f>
        <v>0</v>
      </c>
      <c r="AW25" s="36">
        <f t="shared" ref="AW25" si="62">++AW26*AW$10</f>
        <v>0</v>
      </c>
      <c r="AX25" s="36">
        <f t="shared" ref="AX25" si="63">++AX26*AX$10</f>
        <v>0</v>
      </c>
      <c r="AY25" s="36">
        <f t="shared" ref="AY25" si="64">++AY26*AY$10</f>
        <v>0</v>
      </c>
      <c r="AZ25" s="36">
        <f t="shared" ref="AZ25" si="65">++AZ26*AZ$10</f>
        <v>0</v>
      </c>
    </row>
    <row r="26" spans="3:52" outlineLevel="1" x14ac:dyDescent="0.2">
      <c r="C26" s="182" t="s">
        <v>27</v>
      </c>
      <c r="D26" s="182"/>
      <c r="E26" s="182"/>
      <c r="F26" s="203">
        <f>++V39</f>
        <v>0</v>
      </c>
      <c r="G26" s="52">
        <v>0</v>
      </c>
      <c r="H26" s="203">
        <f>++CHOOSE(OpCase,W39,AI39,AU39)*YEARFRAC(G$2,H$2,1)</f>
        <v>0</v>
      </c>
      <c r="I26" s="203">
        <f>++CHOOSE(OpCase,X39,AJ39,AV39)</f>
        <v>0</v>
      </c>
      <c r="J26" s="203">
        <f>++CHOOSE(OpCase,Y39,AK39,AW39)</f>
        <v>0</v>
      </c>
      <c r="K26" s="203">
        <f>++CHOOSE(OpCase,Z39,AL39,AX39)</f>
        <v>0</v>
      </c>
      <c r="L26" s="203">
        <f>++CHOOSE(OpCase,AA39,AM39,AY39)</f>
        <v>0</v>
      </c>
      <c r="M26" s="203">
        <f>++CHOOSE(OpCase,AB39,AN39,AZ39)</f>
        <v>0</v>
      </c>
      <c r="N26" s="182"/>
      <c r="O26" s="182"/>
      <c r="S26" s="25" t="s">
        <v>19</v>
      </c>
      <c r="V26" s="41">
        <f t="shared" ref="V26:AB26" si="66">++IFERROR(V25/V$10,0)</f>
        <v>0</v>
      </c>
      <c r="W26" s="27">
        <f t="shared" si="66"/>
        <v>0</v>
      </c>
      <c r="X26" s="27">
        <f t="shared" si="66"/>
        <v>0</v>
      </c>
      <c r="Y26" s="27">
        <f t="shared" si="66"/>
        <v>0</v>
      </c>
      <c r="Z26" s="27">
        <f t="shared" si="66"/>
        <v>0</v>
      </c>
      <c r="AA26" s="27">
        <f t="shared" si="66"/>
        <v>0</v>
      </c>
      <c r="AB26" s="27">
        <f t="shared" si="66"/>
        <v>0</v>
      </c>
      <c r="AE26" s="25" t="s">
        <v>19</v>
      </c>
      <c r="AH26" s="41">
        <f t="shared" ref="AH26:AN26" si="67">++IFERROR(AH25/AH$10,0)</f>
        <v>0</v>
      </c>
      <c r="AI26" s="27">
        <f t="shared" si="67"/>
        <v>0</v>
      </c>
      <c r="AJ26" s="27">
        <f t="shared" si="67"/>
        <v>0</v>
      </c>
      <c r="AK26" s="27">
        <f t="shared" si="67"/>
        <v>0</v>
      </c>
      <c r="AL26" s="27">
        <f t="shared" si="67"/>
        <v>0</v>
      </c>
      <c r="AM26" s="27">
        <f t="shared" si="67"/>
        <v>0</v>
      </c>
      <c r="AN26" s="27">
        <f t="shared" si="67"/>
        <v>0</v>
      </c>
      <c r="AQ26" s="25" t="s">
        <v>19</v>
      </c>
      <c r="AT26" s="41">
        <f t="shared" ref="AT26" si="68">++IFERROR(AT25/AT$10,0)</f>
        <v>0</v>
      </c>
      <c r="AU26" s="161">
        <f>++$W26</f>
        <v>0</v>
      </c>
      <c r="AV26" s="29">
        <f>++AU26</f>
        <v>0</v>
      </c>
      <c r="AW26" s="29">
        <f t="shared" ref="AW26:AZ26" si="69">++AV26</f>
        <v>0</v>
      </c>
      <c r="AX26" s="29">
        <f t="shared" si="69"/>
        <v>0</v>
      </c>
      <c r="AY26" s="29">
        <f t="shared" si="69"/>
        <v>0</v>
      </c>
      <c r="AZ26" s="29">
        <f t="shared" si="69"/>
        <v>0</v>
      </c>
    </row>
    <row r="27" spans="3:52" outlineLevel="1" x14ac:dyDescent="0.2">
      <c r="C27" s="182" t="s">
        <v>28</v>
      </c>
      <c r="D27" s="182"/>
      <c r="E27" s="182"/>
      <c r="F27" s="203">
        <f>++V42</f>
        <v>0</v>
      </c>
      <c r="G27" s="52">
        <v>0</v>
      </c>
      <c r="H27" s="203">
        <f>++CHOOSE(OpCase,W42,AI42,AU42)*YEARFRAC(G$2,H$2,1)</f>
        <v>0</v>
      </c>
      <c r="I27" s="203">
        <f>++CHOOSE(OpCase,X42,AJ42,AV42)</f>
        <v>0</v>
      </c>
      <c r="J27" s="203">
        <f>++CHOOSE(OpCase,Y42,AK42,AW42)</f>
        <v>0</v>
      </c>
      <c r="K27" s="203">
        <f>++CHOOSE(OpCase,Z42,AL42,AX42)</f>
        <v>0</v>
      </c>
      <c r="L27" s="203">
        <f>++CHOOSE(OpCase,AA42,AM42,AY42)</f>
        <v>0</v>
      </c>
      <c r="M27" s="203">
        <f>++CHOOSE(OpCase,AB42,AN42,AZ42)</f>
        <v>0</v>
      </c>
      <c r="N27" s="182"/>
      <c r="O27" s="182"/>
      <c r="V27" s="30"/>
      <c r="AH27" s="30"/>
      <c r="AI27" s="31"/>
      <c r="AJ27" s="31"/>
      <c r="AK27" s="31"/>
      <c r="AL27" s="31"/>
      <c r="AM27" s="31"/>
      <c r="AN27" s="31"/>
      <c r="AT27" s="30"/>
      <c r="AU27" s="31"/>
      <c r="AV27" s="31"/>
      <c r="AW27" s="31"/>
      <c r="AX27" s="31"/>
      <c r="AY27" s="31"/>
      <c r="AZ27" s="31"/>
    </row>
    <row r="28" spans="3:52" outlineLevel="1" x14ac:dyDescent="0.2">
      <c r="C28" s="182" t="s">
        <v>29</v>
      </c>
      <c r="D28" s="182"/>
      <c r="E28" s="182"/>
      <c r="F28" s="203">
        <f>++V45</f>
        <v>0</v>
      </c>
      <c r="G28" s="52">
        <v>0</v>
      </c>
      <c r="H28" s="203">
        <f>++CHOOSE(OpCase,W45,AI45,AU45)*YEARFRAC(G$2,H$2,1)</f>
        <v>0</v>
      </c>
      <c r="I28" s="203">
        <f>++CHOOSE(OpCase,X45,AJ45,AV45)</f>
        <v>0</v>
      </c>
      <c r="J28" s="203">
        <f>++CHOOSE(OpCase,Y45,AK45,AW45)</f>
        <v>0</v>
      </c>
      <c r="K28" s="203">
        <f>++CHOOSE(OpCase,Z45,AL45,AX45)</f>
        <v>0</v>
      </c>
      <c r="L28" s="203">
        <f>++CHOOSE(OpCase,AA45,AM45,AY45)</f>
        <v>0</v>
      </c>
      <c r="M28" s="203">
        <f>++CHOOSE(OpCase,AB45,AN45,AZ45)</f>
        <v>0</v>
      </c>
      <c r="N28" s="182"/>
      <c r="O28" s="182"/>
      <c r="S28" s="1" t="s">
        <v>30</v>
      </c>
      <c r="U28" s="42">
        <f>1-U25</f>
        <v>0.5</v>
      </c>
      <c r="V28" s="35">
        <f>++V$30*$U28</f>
        <v>0</v>
      </c>
      <c r="W28" s="36">
        <f t="shared" ref="W28:AB28" si="70">++W30-W25</f>
        <v>0</v>
      </c>
      <c r="X28" s="36">
        <f t="shared" si="70"/>
        <v>0</v>
      </c>
      <c r="Y28" s="36">
        <f t="shared" si="70"/>
        <v>0</v>
      </c>
      <c r="Z28" s="36">
        <f t="shared" si="70"/>
        <v>0</v>
      </c>
      <c r="AA28" s="36">
        <f t="shared" si="70"/>
        <v>0</v>
      </c>
      <c r="AB28" s="36">
        <f t="shared" si="70"/>
        <v>0</v>
      </c>
      <c r="AE28" s="1" t="s">
        <v>30</v>
      </c>
      <c r="AG28" s="42">
        <f>1-AG25</f>
        <v>0.5</v>
      </c>
      <c r="AH28" s="35">
        <f>++AH$30*$AG28</f>
        <v>0</v>
      </c>
      <c r="AI28" s="36">
        <f t="shared" ref="AI28:AN28" si="71">++AI30-AI25</f>
        <v>0</v>
      </c>
      <c r="AJ28" s="36">
        <f t="shared" si="71"/>
        <v>0</v>
      </c>
      <c r="AK28" s="36">
        <f t="shared" si="71"/>
        <v>0</v>
      </c>
      <c r="AL28" s="36">
        <f t="shared" si="71"/>
        <v>0</v>
      </c>
      <c r="AM28" s="36">
        <f t="shared" si="71"/>
        <v>0</v>
      </c>
      <c r="AN28" s="36">
        <f t="shared" si="71"/>
        <v>0</v>
      </c>
      <c r="AQ28" s="1" t="s">
        <v>30</v>
      </c>
      <c r="AS28" s="42">
        <f>1-AS25</f>
        <v>0.5</v>
      </c>
      <c r="AT28" s="35">
        <f>++AT$30*$AS28</f>
        <v>0</v>
      </c>
      <c r="AU28" s="36">
        <f>++IFERROR((1+AU29)*AT28,0)</f>
        <v>0</v>
      </c>
      <c r="AV28" s="36">
        <f t="shared" ref="AV28" ca="1" si="72">++IFERROR((1+AV29)*AU28,0)</f>
        <v>0</v>
      </c>
      <c r="AW28" s="36">
        <f t="shared" ref="AW28" ca="1" si="73">++IFERROR((1+AW29)*AV28,0)</f>
        <v>0</v>
      </c>
      <c r="AX28" s="36">
        <f t="shared" ref="AX28" ca="1" si="74">++IFERROR((1+AX29)*AW28,0)</f>
        <v>0</v>
      </c>
      <c r="AY28" s="36">
        <f t="shared" ref="AY28" ca="1" si="75">++IFERROR((1+AY29)*AX28,0)</f>
        <v>0</v>
      </c>
      <c r="AZ28" s="36">
        <f t="shared" ref="AZ28" ca="1" si="76">++IFERROR((1+AZ29)*AY28,0)</f>
        <v>0</v>
      </c>
    </row>
    <row r="29" spans="3:52" x14ac:dyDescent="0.2">
      <c r="C29" s="182" t="s">
        <v>31</v>
      </c>
      <c r="D29" s="182"/>
      <c r="E29" s="182"/>
      <c r="F29" s="203">
        <f t="shared" ref="F29:M29" si="77">++SUM(F26:F28)</f>
        <v>0</v>
      </c>
      <c r="G29" s="204">
        <f t="shared" si="77"/>
        <v>0</v>
      </c>
      <c r="H29" s="203">
        <f t="shared" si="77"/>
        <v>0</v>
      </c>
      <c r="I29" s="203">
        <f t="shared" si="77"/>
        <v>0</v>
      </c>
      <c r="J29" s="203">
        <f t="shared" si="77"/>
        <v>0</v>
      </c>
      <c r="K29" s="203">
        <f t="shared" si="77"/>
        <v>0</v>
      </c>
      <c r="L29" s="203">
        <f t="shared" si="77"/>
        <v>0</v>
      </c>
      <c r="M29" s="203">
        <f t="shared" si="77"/>
        <v>0</v>
      </c>
      <c r="N29" s="182"/>
      <c r="O29" s="182"/>
      <c r="S29" s="43" t="s">
        <v>15</v>
      </c>
      <c r="T29" s="32"/>
      <c r="U29" s="32"/>
      <c r="V29" s="44"/>
      <c r="W29" s="45">
        <f t="shared" ref="W29:AB29" si="78">++IFERROR(W28/V28-1,0)</f>
        <v>0</v>
      </c>
      <c r="X29" s="45">
        <f t="shared" si="78"/>
        <v>0</v>
      </c>
      <c r="Y29" s="45">
        <f t="shared" si="78"/>
        <v>0</v>
      </c>
      <c r="Z29" s="45">
        <f t="shared" si="78"/>
        <v>0</v>
      </c>
      <c r="AA29" s="45">
        <f t="shared" si="78"/>
        <v>0</v>
      </c>
      <c r="AB29" s="45">
        <f t="shared" si="78"/>
        <v>0</v>
      </c>
      <c r="AE29" s="43" t="s">
        <v>15</v>
      </c>
      <c r="AF29" s="32"/>
      <c r="AG29" s="32"/>
      <c r="AH29" s="44"/>
      <c r="AI29" s="46">
        <f t="shared" ref="AI29" si="79">++IFERROR(AI28/AH28-1,0)</f>
        <v>0</v>
      </c>
      <c r="AJ29" s="46">
        <f t="shared" ref="AJ29" si="80">++IFERROR(AJ28/AI28-1,0)</f>
        <v>0</v>
      </c>
      <c r="AK29" s="46">
        <f t="shared" ref="AK29" si="81">++IFERROR(AK28/AJ28-1,0)</f>
        <v>0</v>
      </c>
      <c r="AL29" s="46">
        <f t="shared" ref="AL29" si="82">++IFERROR(AL28/AK28-1,0)</f>
        <v>0</v>
      </c>
      <c r="AM29" s="46">
        <f t="shared" ref="AM29" si="83">++IFERROR(AM28/AL28-1,0)</f>
        <v>0</v>
      </c>
      <c r="AN29" s="46">
        <f t="shared" ref="AN29" si="84">++IFERROR(AN28/AM28-1,0)</f>
        <v>0</v>
      </c>
      <c r="AQ29" s="43" t="s">
        <v>15</v>
      </c>
      <c r="AR29" s="32"/>
      <c r="AS29" s="32"/>
      <c r="AT29" s="44"/>
      <c r="AU29" s="163">
        <f>++$W29</f>
        <v>0</v>
      </c>
      <c r="AV29" s="47">
        <f t="shared" ref="AV29" ca="1" si="85">++IFERROR(AV28/AU28-1,0)</f>
        <v>0</v>
      </c>
      <c r="AW29" s="47">
        <f t="shared" ref="AW29" ca="1" si="86">++IFERROR(AW28/AV28-1,0)</f>
        <v>0</v>
      </c>
      <c r="AX29" s="47">
        <f t="shared" ref="AX29" ca="1" si="87">++IFERROR(AX28/AW28-1,0)</f>
        <v>0</v>
      </c>
      <c r="AY29" s="47">
        <f t="shared" ref="AY29" ca="1" si="88">++IFERROR(AY28/AX28-1,0)</f>
        <v>0</v>
      </c>
      <c r="AZ29" s="47">
        <f>++AZ$11</f>
        <v>0.03</v>
      </c>
    </row>
    <row r="30" spans="3:52" x14ac:dyDescent="0.2">
      <c r="C30" s="182" t="s">
        <v>32</v>
      </c>
      <c r="D30" s="182"/>
      <c r="E30" s="182"/>
      <c r="F30" s="203"/>
      <c r="G30" s="204"/>
      <c r="H30" s="203">
        <f t="shared" ref="H30:M30" ca="1" si="89">++IFERROR(H188,0)</f>
        <v>0</v>
      </c>
      <c r="I30" s="203">
        <f t="shared" ca="1" si="89"/>
        <v>0</v>
      </c>
      <c r="J30" s="203">
        <f t="shared" ca="1" si="89"/>
        <v>0</v>
      </c>
      <c r="K30" s="203">
        <f t="shared" ca="1" si="89"/>
        <v>0</v>
      </c>
      <c r="L30" s="203">
        <f t="shared" ca="1" si="89"/>
        <v>0</v>
      </c>
      <c r="M30" s="203">
        <f t="shared" ca="1" si="89"/>
        <v>0</v>
      </c>
      <c r="N30" s="182"/>
      <c r="O30" s="182"/>
      <c r="S30" s="1" t="s">
        <v>22</v>
      </c>
      <c r="V30" s="49">
        <f>++V21-V33</f>
        <v>0</v>
      </c>
      <c r="W30" s="24">
        <f t="shared" ref="W30:AB30" si="90">++W21-W33</f>
        <v>0</v>
      </c>
      <c r="X30" s="24">
        <f t="shared" si="90"/>
        <v>0</v>
      </c>
      <c r="Y30" s="24">
        <f t="shared" si="90"/>
        <v>0</v>
      </c>
      <c r="Z30" s="24">
        <f t="shared" si="90"/>
        <v>0</v>
      </c>
      <c r="AA30" s="24">
        <f t="shared" si="90"/>
        <v>0</v>
      </c>
      <c r="AB30" s="24">
        <f t="shared" si="90"/>
        <v>0</v>
      </c>
      <c r="AE30" s="1" t="s">
        <v>22</v>
      </c>
      <c r="AH30" s="49">
        <f>++AH21-AH33</f>
        <v>0</v>
      </c>
      <c r="AI30" s="24">
        <f t="shared" ref="AI30:AN30" si="91">++AI21-AI33</f>
        <v>0</v>
      </c>
      <c r="AJ30" s="24">
        <f t="shared" si="91"/>
        <v>0</v>
      </c>
      <c r="AK30" s="24">
        <f t="shared" si="91"/>
        <v>0</v>
      </c>
      <c r="AL30" s="24">
        <f t="shared" si="91"/>
        <v>0</v>
      </c>
      <c r="AM30" s="24">
        <f t="shared" si="91"/>
        <v>0</v>
      </c>
      <c r="AN30" s="24">
        <f t="shared" si="91"/>
        <v>0</v>
      </c>
      <c r="AQ30" s="1" t="s">
        <v>22</v>
      </c>
      <c r="AT30" s="49">
        <f>++AT21-AT33</f>
        <v>0</v>
      </c>
      <c r="AU30" s="24">
        <f>++SUM(AU25,AU28)</f>
        <v>0</v>
      </c>
      <c r="AV30" s="24">
        <f t="shared" ref="AV30:AZ30" ca="1" si="92">++SUM(AV25,AV28)</f>
        <v>0</v>
      </c>
      <c r="AW30" s="24">
        <f t="shared" ca="1" si="92"/>
        <v>0</v>
      </c>
      <c r="AX30" s="24">
        <f t="shared" ca="1" si="92"/>
        <v>0</v>
      </c>
      <c r="AY30" s="24">
        <f t="shared" ca="1" si="92"/>
        <v>0</v>
      </c>
      <c r="AZ30" s="24">
        <f t="shared" ca="1" si="92"/>
        <v>0</v>
      </c>
    </row>
    <row r="31" spans="3:52" x14ac:dyDescent="0.2">
      <c r="C31" s="182" t="s">
        <v>33</v>
      </c>
      <c r="D31" s="182"/>
      <c r="E31" s="182"/>
      <c r="F31" s="203"/>
      <c r="G31" s="204"/>
      <c r="H31" s="203">
        <f>++$AB69*YEARFRAC(G$2,H$2,1)</f>
        <v>0</v>
      </c>
      <c r="I31" s="203">
        <f>++$AB69</f>
        <v>0</v>
      </c>
      <c r="J31" s="203">
        <f>++$AB69</f>
        <v>0</v>
      </c>
      <c r="K31" s="203">
        <f>++$AB69</f>
        <v>0</v>
      </c>
      <c r="L31" s="203">
        <f>++$AB69</f>
        <v>0</v>
      </c>
      <c r="M31" s="203">
        <f>++$AB69</f>
        <v>0</v>
      </c>
      <c r="N31" s="182"/>
      <c r="O31" s="182"/>
      <c r="S31" s="25" t="s">
        <v>19</v>
      </c>
      <c r="V31" s="41">
        <f>++IFERROR(V30/V$10,0)</f>
        <v>0</v>
      </c>
      <c r="W31" s="27">
        <f t="shared" ref="W31:AB31" si="93">++IFERROR(W30/W$10,0)</f>
        <v>0</v>
      </c>
      <c r="X31" s="27">
        <f t="shared" si="93"/>
        <v>0</v>
      </c>
      <c r="Y31" s="27">
        <f t="shared" si="93"/>
        <v>0</v>
      </c>
      <c r="Z31" s="27">
        <f t="shared" si="93"/>
        <v>0</v>
      </c>
      <c r="AA31" s="27">
        <f t="shared" si="93"/>
        <v>0</v>
      </c>
      <c r="AB31" s="27">
        <f t="shared" si="93"/>
        <v>0</v>
      </c>
      <c r="AE31" s="25" t="s">
        <v>19</v>
      </c>
      <c r="AH31" s="41">
        <f>++IFERROR(AH30/AH$10,0)</f>
        <v>0</v>
      </c>
      <c r="AI31" s="27">
        <f t="shared" ref="AI31:AN31" si="94">++IFERROR(AI30/AI$10,0)</f>
        <v>0</v>
      </c>
      <c r="AJ31" s="27">
        <f t="shared" si="94"/>
        <v>0</v>
      </c>
      <c r="AK31" s="27">
        <f t="shared" si="94"/>
        <v>0</v>
      </c>
      <c r="AL31" s="27">
        <f t="shared" si="94"/>
        <v>0</v>
      </c>
      <c r="AM31" s="27">
        <f t="shared" si="94"/>
        <v>0</v>
      </c>
      <c r="AN31" s="27">
        <f t="shared" si="94"/>
        <v>0</v>
      </c>
      <c r="AQ31" s="25" t="s">
        <v>19</v>
      </c>
      <c r="AT31" s="41">
        <f>++IFERROR(AT30/AT$10,0)</f>
        <v>0</v>
      </c>
      <c r="AU31" s="27">
        <f t="shared" ref="AU31:AZ31" si="95">++IFERROR(AU30/AU$10,0)</f>
        <v>0</v>
      </c>
      <c r="AV31" s="27">
        <f t="shared" ca="1" si="95"/>
        <v>0</v>
      </c>
      <c r="AW31" s="27">
        <f t="shared" ca="1" si="95"/>
        <v>0</v>
      </c>
      <c r="AX31" s="27">
        <f t="shared" ca="1" si="95"/>
        <v>0</v>
      </c>
      <c r="AY31" s="27">
        <f t="shared" ca="1" si="95"/>
        <v>0</v>
      </c>
      <c r="AZ31" s="27">
        <f t="shared" ca="1" si="95"/>
        <v>0</v>
      </c>
    </row>
    <row r="32" spans="3:52" x14ac:dyDescent="0.2">
      <c r="C32" s="196" t="s">
        <v>34</v>
      </c>
      <c r="D32" s="196"/>
      <c r="E32" s="196"/>
      <c r="F32" s="197"/>
      <c r="G32" s="54">
        <v>0</v>
      </c>
      <c r="H32" s="197">
        <f>++$G32*YEARFRAC(G$2,H$2,1)</f>
        <v>0</v>
      </c>
      <c r="I32" s="197">
        <f>++$G32</f>
        <v>0</v>
      </c>
      <c r="J32" s="197">
        <f t="shared" ref="J32:M32" si="96">++$G32</f>
        <v>0</v>
      </c>
      <c r="K32" s="197">
        <f t="shared" si="96"/>
        <v>0</v>
      </c>
      <c r="L32" s="197">
        <f t="shared" si="96"/>
        <v>0</v>
      </c>
      <c r="M32" s="197">
        <f t="shared" si="96"/>
        <v>0</v>
      </c>
      <c r="N32" s="182"/>
      <c r="O32" s="182"/>
      <c r="V32" s="30"/>
      <c r="AH32" s="30"/>
      <c r="AI32" s="31"/>
      <c r="AJ32" s="31"/>
      <c r="AK32" s="31"/>
      <c r="AL32" s="31"/>
      <c r="AM32" s="31"/>
      <c r="AN32" s="31"/>
      <c r="AT32" s="30"/>
      <c r="AU32" s="31"/>
      <c r="AV32" s="31"/>
      <c r="AW32" s="31"/>
      <c r="AX32" s="31"/>
      <c r="AY32" s="31"/>
      <c r="AZ32" s="31"/>
    </row>
    <row r="33" spans="1:52" x14ac:dyDescent="0.2">
      <c r="C33" s="200" t="s">
        <v>35</v>
      </c>
      <c r="D33" s="182"/>
      <c r="E33" s="182"/>
      <c r="F33" s="201"/>
      <c r="G33" s="207"/>
      <c r="H33" s="201">
        <f ca="1">++H39-SUM(H25,H29:H32)</f>
        <v>0</v>
      </c>
      <c r="I33" s="201">
        <f t="shared" ref="I33:M33" ca="1" si="97">++I39-SUM(I25,I29:I32)</f>
        <v>0</v>
      </c>
      <c r="J33" s="201">
        <f t="shared" ca="1" si="97"/>
        <v>0</v>
      </c>
      <c r="K33" s="201">
        <f t="shared" ca="1" si="97"/>
        <v>0</v>
      </c>
      <c r="L33" s="201">
        <f t="shared" ca="1" si="97"/>
        <v>0</v>
      </c>
      <c r="M33" s="201">
        <f t="shared" ca="1" si="97"/>
        <v>0</v>
      </c>
      <c r="N33" s="182"/>
      <c r="O33" s="182"/>
      <c r="S33" s="1" t="s">
        <v>36</v>
      </c>
      <c r="V33" s="21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E33" s="1" t="s">
        <v>36</v>
      </c>
      <c r="AH33" s="23">
        <f>++$V33</f>
        <v>0</v>
      </c>
      <c r="AI33" s="24">
        <f t="shared" ref="AI33:AN33" si="98">++AI36-AI35</f>
        <v>0</v>
      </c>
      <c r="AJ33" s="24">
        <f t="shared" si="98"/>
        <v>0</v>
      </c>
      <c r="AK33" s="24">
        <f t="shared" si="98"/>
        <v>0</v>
      </c>
      <c r="AL33" s="24">
        <f t="shared" si="98"/>
        <v>0</v>
      </c>
      <c r="AM33" s="24">
        <f t="shared" si="98"/>
        <v>0</v>
      </c>
      <c r="AN33" s="24">
        <f t="shared" si="98"/>
        <v>0</v>
      </c>
      <c r="AQ33" s="1" t="s">
        <v>36</v>
      </c>
      <c r="AT33" s="23">
        <f>++$V33</f>
        <v>0</v>
      </c>
      <c r="AU33" s="24">
        <f>++AU21-AU30</f>
        <v>0</v>
      </c>
      <c r="AV33" s="24">
        <f t="shared" ref="AV33:AZ33" ca="1" si="99">++AV21-AV30</f>
        <v>0</v>
      </c>
      <c r="AW33" s="24">
        <f t="shared" ca="1" si="99"/>
        <v>0</v>
      </c>
      <c r="AX33" s="24">
        <f t="shared" ca="1" si="99"/>
        <v>0</v>
      </c>
      <c r="AY33" s="24">
        <f t="shared" ca="1" si="99"/>
        <v>0</v>
      </c>
      <c r="AZ33" s="24">
        <f t="shared" ca="1" si="99"/>
        <v>0</v>
      </c>
    </row>
    <row r="34" spans="1:52" x14ac:dyDescent="0.2">
      <c r="C34" s="182"/>
      <c r="D34" s="182"/>
      <c r="E34" s="182"/>
      <c r="F34" s="182"/>
      <c r="G34" s="188"/>
      <c r="H34" s="182"/>
      <c r="I34" s="182"/>
      <c r="J34" s="182"/>
      <c r="K34" s="182"/>
      <c r="L34" s="182"/>
      <c r="M34" s="182"/>
      <c r="N34" s="182"/>
      <c r="O34" s="182"/>
      <c r="V34" s="30"/>
      <c r="AH34" s="30"/>
      <c r="AI34" s="31"/>
      <c r="AJ34" s="31"/>
      <c r="AK34" s="31"/>
      <c r="AL34" s="31"/>
      <c r="AM34" s="31"/>
      <c r="AN34" s="31"/>
      <c r="AT34" s="30"/>
      <c r="AU34" s="31"/>
      <c r="AV34" s="31"/>
      <c r="AW34" s="31"/>
      <c r="AX34" s="31"/>
      <c r="AY34" s="31"/>
      <c r="AZ34" s="31"/>
    </row>
    <row r="35" spans="1:52" x14ac:dyDescent="0.2">
      <c r="C35" s="196" t="s">
        <v>37</v>
      </c>
      <c r="D35" s="196"/>
      <c r="E35" s="196"/>
      <c r="F35" s="197"/>
      <c r="G35" s="198"/>
      <c r="H35" s="197">
        <f t="shared" ref="H35:M35" ca="1" si="100">++H122</f>
        <v>0</v>
      </c>
      <c r="I35" s="197">
        <f t="shared" ca="1" si="100"/>
        <v>0</v>
      </c>
      <c r="J35" s="197">
        <f t="shared" ca="1" si="100"/>
        <v>0</v>
      </c>
      <c r="K35" s="197">
        <f t="shared" ca="1" si="100"/>
        <v>0</v>
      </c>
      <c r="L35" s="197">
        <f t="shared" ca="1" si="100"/>
        <v>0</v>
      </c>
      <c r="M35" s="197">
        <f t="shared" ca="1" si="100"/>
        <v>0</v>
      </c>
      <c r="N35" s="182"/>
      <c r="O35" s="182"/>
      <c r="S35" s="32" t="s">
        <v>25</v>
      </c>
      <c r="T35" s="32"/>
      <c r="U35" s="32"/>
      <c r="V35" s="56">
        <f>++V36-V33</f>
        <v>0</v>
      </c>
      <c r="W35" s="57">
        <f>++W36-W33</f>
        <v>0</v>
      </c>
      <c r="X35" s="57">
        <f t="shared" ref="X35:AB35" si="101">++X36-X33</f>
        <v>0</v>
      </c>
      <c r="Y35" s="57">
        <f t="shared" si="101"/>
        <v>0</v>
      </c>
      <c r="Z35" s="57">
        <f t="shared" si="101"/>
        <v>0</v>
      </c>
      <c r="AA35" s="57">
        <f t="shared" si="101"/>
        <v>0</v>
      </c>
      <c r="AB35" s="57">
        <f t="shared" si="101"/>
        <v>0</v>
      </c>
      <c r="AE35" s="32" t="s">
        <v>25</v>
      </c>
      <c r="AF35" s="32"/>
      <c r="AG35" s="32"/>
      <c r="AH35" s="56">
        <f>++AH36-AH33</f>
        <v>0</v>
      </c>
      <c r="AI35" s="164">
        <f>++W35</f>
        <v>0</v>
      </c>
      <c r="AJ35" s="158">
        <f>++AI35</f>
        <v>0</v>
      </c>
      <c r="AK35" s="158">
        <f t="shared" ref="AK35:AN35" si="102">++AJ35</f>
        <v>0</v>
      </c>
      <c r="AL35" s="158">
        <f t="shared" si="102"/>
        <v>0</v>
      </c>
      <c r="AM35" s="158">
        <f t="shared" si="102"/>
        <v>0</v>
      </c>
      <c r="AN35" s="158">
        <f t="shared" si="102"/>
        <v>0</v>
      </c>
      <c r="AQ35" s="32" t="s">
        <v>25</v>
      </c>
      <c r="AR35" s="32"/>
      <c r="AS35" s="32"/>
      <c r="AT35" s="56">
        <f>++AT36-AT33</f>
        <v>0</v>
      </c>
      <c r="AU35" s="164">
        <f>++$W35</f>
        <v>0</v>
      </c>
      <c r="AV35" s="158">
        <v>0</v>
      </c>
      <c r="AW35" s="158">
        <v>0</v>
      </c>
      <c r="AX35" s="158">
        <v>0</v>
      </c>
      <c r="AY35" s="158">
        <v>0</v>
      </c>
      <c r="AZ35" s="158">
        <v>0</v>
      </c>
    </row>
    <row r="36" spans="1:52" ht="13.5" thickBot="1" x14ac:dyDescent="0.25">
      <c r="C36" s="208" t="s">
        <v>38</v>
      </c>
      <c r="D36" s="209"/>
      <c r="E36" s="209"/>
      <c r="F36" s="210"/>
      <c r="G36" s="211"/>
      <c r="H36" s="210">
        <f ca="1">++SUM(H33,-H35)</f>
        <v>0</v>
      </c>
      <c r="I36" s="210">
        <f t="shared" ref="I36:M36" ca="1" si="103">++SUM(I33,-I35)</f>
        <v>0</v>
      </c>
      <c r="J36" s="210">
        <f t="shared" ca="1" si="103"/>
        <v>0</v>
      </c>
      <c r="K36" s="210">
        <f t="shared" ca="1" si="103"/>
        <v>0</v>
      </c>
      <c r="L36" s="210">
        <f t="shared" ca="1" si="103"/>
        <v>0</v>
      </c>
      <c r="M36" s="210">
        <f t="shared" ca="1" si="103"/>
        <v>0</v>
      </c>
      <c r="N36" s="182"/>
      <c r="O36" s="182"/>
      <c r="S36" s="1" t="str">
        <f>++$C20</f>
        <v>CA EBITDA</v>
      </c>
      <c r="V36" s="21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E36" s="1" t="str">
        <f>++$C20</f>
        <v>CA EBITDA</v>
      </c>
      <c r="AH36" s="23">
        <f>++$V36</f>
        <v>0</v>
      </c>
      <c r="AI36" s="24">
        <f>++IFERROR(AI$10*AI37,0)</f>
        <v>0</v>
      </c>
      <c r="AJ36" s="24">
        <f t="shared" ref="AJ36" si="104">++IFERROR(AJ$10*AJ37,0)</f>
        <v>0</v>
      </c>
      <c r="AK36" s="24">
        <f t="shared" ref="AK36" si="105">++IFERROR(AK$10*AK37,0)</f>
        <v>0</v>
      </c>
      <c r="AL36" s="24">
        <f t="shared" ref="AL36" si="106">++IFERROR(AL$10*AL37,0)</f>
        <v>0</v>
      </c>
      <c r="AM36" s="24">
        <f t="shared" ref="AM36" si="107">++IFERROR(AM$10*AM37,0)</f>
        <v>0</v>
      </c>
      <c r="AN36" s="24">
        <f t="shared" ref="AN36" si="108">++IFERROR(AN$10*AN37,0)</f>
        <v>0</v>
      </c>
      <c r="AQ36" s="1" t="str">
        <f>++$C20</f>
        <v>CA EBITDA</v>
      </c>
      <c r="AT36" s="23">
        <f>++$V36</f>
        <v>0</v>
      </c>
      <c r="AU36" s="24">
        <f>++SUM(AU33,AU35)</f>
        <v>0</v>
      </c>
      <c r="AV36" s="24">
        <f t="shared" ref="AV36:AZ36" ca="1" si="109">++SUM(AV33,AV35)</f>
        <v>0</v>
      </c>
      <c r="AW36" s="24">
        <f t="shared" ca="1" si="109"/>
        <v>0</v>
      </c>
      <c r="AX36" s="24">
        <f t="shared" ca="1" si="109"/>
        <v>0</v>
      </c>
      <c r="AY36" s="24">
        <f t="shared" ca="1" si="109"/>
        <v>0</v>
      </c>
      <c r="AZ36" s="24">
        <f t="shared" ca="1" si="109"/>
        <v>0</v>
      </c>
    </row>
    <row r="37" spans="1:52" ht="13.5" thickTop="1" x14ac:dyDescent="0.2">
      <c r="C37" s="182"/>
      <c r="D37" s="182"/>
      <c r="E37" s="182"/>
      <c r="F37" s="182"/>
      <c r="G37" s="188"/>
      <c r="H37" s="182"/>
      <c r="I37" s="182"/>
      <c r="J37" s="182"/>
      <c r="K37" s="182"/>
      <c r="L37" s="182"/>
      <c r="M37" s="182"/>
      <c r="N37" s="182"/>
      <c r="O37" s="182"/>
      <c r="S37" s="25" t="s">
        <v>20</v>
      </c>
      <c r="V37" s="41">
        <f>++IFERROR(V36/V$10,0)</f>
        <v>0</v>
      </c>
      <c r="W37" s="27">
        <f t="shared" ref="W37:Z37" si="110">++IFERROR(W36/W$10,0)</f>
        <v>0</v>
      </c>
      <c r="X37" s="27">
        <f t="shared" si="110"/>
        <v>0</v>
      </c>
      <c r="Y37" s="27">
        <f t="shared" si="110"/>
        <v>0</v>
      </c>
      <c r="Z37" s="27">
        <f t="shared" si="110"/>
        <v>0</v>
      </c>
      <c r="AA37" s="27">
        <f t="shared" ref="AA37:AB37" si="111">++IFERROR(AA36/AA$10,0)</f>
        <v>0</v>
      </c>
      <c r="AB37" s="27">
        <f t="shared" si="111"/>
        <v>0</v>
      </c>
      <c r="AE37" s="25" t="s">
        <v>20</v>
      </c>
      <c r="AH37" s="41">
        <f>++IFERROR(AH36/AH$10,0)</f>
        <v>0</v>
      </c>
      <c r="AI37" s="161">
        <f>++W37</f>
        <v>0</v>
      </c>
      <c r="AJ37" s="29">
        <f>++AI37</f>
        <v>0</v>
      </c>
      <c r="AK37" s="29">
        <f t="shared" ref="AK37:AN37" si="112">++AJ37</f>
        <v>0</v>
      </c>
      <c r="AL37" s="29">
        <f t="shared" si="112"/>
        <v>0</v>
      </c>
      <c r="AM37" s="29">
        <f t="shared" si="112"/>
        <v>0</v>
      </c>
      <c r="AN37" s="29">
        <f t="shared" si="112"/>
        <v>0</v>
      </c>
      <c r="AQ37" s="25" t="s">
        <v>20</v>
      </c>
      <c r="AT37" s="41">
        <f>++IFERROR(AT36/AT$10,0)</f>
        <v>0</v>
      </c>
      <c r="AU37" s="27">
        <f t="shared" ref="AU37:AZ37" si="113">++IFERROR(AU36/AU$10,0)</f>
        <v>0</v>
      </c>
      <c r="AV37" s="27">
        <f t="shared" ca="1" si="113"/>
        <v>0</v>
      </c>
      <c r="AW37" s="27">
        <f t="shared" ca="1" si="113"/>
        <v>0</v>
      </c>
      <c r="AX37" s="27">
        <f t="shared" ca="1" si="113"/>
        <v>0</v>
      </c>
      <c r="AY37" s="27">
        <f t="shared" ca="1" si="113"/>
        <v>0</v>
      </c>
      <c r="AZ37" s="27">
        <f t="shared" ca="1" si="113"/>
        <v>0</v>
      </c>
    </row>
    <row r="38" spans="1:52" ht="15" x14ac:dyDescent="0.35">
      <c r="A38" s="13" t="s">
        <v>5</v>
      </c>
      <c r="B38" s="13" t="s">
        <v>5</v>
      </c>
      <c r="C38" s="212" t="s">
        <v>39</v>
      </c>
      <c r="D38" s="182"/>
      <c r="E38" s="182"/>
      <c r="F38" s="182"/>
      <c r="G38" s="188"/>
      <c r="H38" s="185" t="str">
        <f>++H$24</f>
        <v>3 Mo. Stub</v>
      </c>
      <c r="I38" s="182"/>
      <c r="J38" s="182"/>
      <c r="K38" s="182"/>
      <c r="L38" s="182"/>
      <c r="M38" s="182"/>
      <c r="N38" s="182"/>
      <c r="O38" s="182"/>
      <c r="V38" s="30"/>
      <c r="AH38" s="30"/>
      <c r="AI38" s="31"/>
      <c r="AJ38" s="31"/>
      <c r="AK38" s="31"/>
      <c r="AL38" s="31"/>
      <c r="AM38" s="31"/>
      <c r="AN38" s="31"/>
      <c r="AT38" s="30"/>
      <c r="AU38" s="31"/>
      <c r="AV38" s="31"/>
      <c r="AW38" s="31"/>
      <c r="AX38" s="31"/>
      <c r="AY38" s="31"/>
      <c r="AZ38" s="31"/>
    </row>
    <row r="39" spans="1:52" x14ac:dyDescent="0.2">
      <c r="C39" s="182" t="str">
        <f>++C20</f>
        <v>CA EBITDA</v>
      </c>
      <c r="D39" s="182"/>
      <c r="E39" s="182"/>
      <c r="F39" s="213">
        <f>++F20</f>
        <v>0</v>
      </c>
      <c r="G39" s="214">
        <f t="shared" ref="G39" si="114">++G20</f>
        <v>0</v>
      </c>
      <c r="H39" s="213">
        <f>++H20*YEARFRAC(G$2,H$2,1)</f>
        <v>0</v>
      </c>
      <c r="I39" s="213">
        <f>++I20</f>
        <v>0</v>
      </c>
      <c r="J39" s="213">
        <f>++J20</f>
        <v>0</v>
      </c>
      <c r="K39" s="213">
        <f>++K20</f>
        <v>0</v>
      </c>
      <c r="L39" s="213">
        <f>++L20</f>
        <v>0</v>
      </c>
      <c r="M39" s="213">
        <f>++M20</f>
        <v>0</v>
      </c>
      <c r="N39" s="182"/>
      <c r="O39" s="182"/>
      <c r="S39" s="1" t="s">
        <v>27</v>
      </c>
      <c r="V39" s="21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E39" s="1" t="s">
        <v>27</v>
      </c>
      <c r="AH39" s="23">
        <f>++$V39</f>
        <v>0</v>
      </c>
      <c r="AI39" s="24">
        <f>++IFERROR(AI$10*AI40,0)</f>
        <v>0</v>
      </c>
      <c r="AJ39" s="24">
        <f t="shared" ref="AJ39" si="115">++IFERROR(AJ$10*AJ40,0)</f>
        <v>0</v>
      </c>
      <c r="AK39" s="24">
        <f t="shared" ref="AK39" si="116">++IFERROR(AK$10*AK40,0)</f>
        <v>0</v>
      </c>
      <c r="AL39" s="24">
        <f t="shared" ref="AL39" si="117">++IFERROR(AL$10*AL40,0)</f>
        <v>0</v>
      </c>
      <c r="AM39" s="24">
        <f t="shared" ref="AM39" si="118">++IFERROR(AM$10*AM40,0)</f>
        <v>0</v>
      </c>
      <c r="AN39" s="24">
        <f t="shared" ref="AN39" si="119">++IFERROR(AN$10*AN40,0)</f>
        <v>0</v>
      </c>
      <c r="AQ39" s="1" t="s">
        <v>27</v>
      </c>
      <c r="AT39" s="23">
        <f>++$V39</f>
        <v>0</v>
      </c>
      <c r="AU39" s="24">
        <f>++IFERROR(AU$10*AU40,0)</f>
        <v>0</v>
      </c>
      <c r="AV39" s="24">
        <f t="shared" ref="AV39" si="120">++IFERROR(AV$10*AV40,0)</f>
        <v>0</v>
      </c>
      <c r="AW39" s="24">
        <f t="shared" ref="AW39" si="121">++IFERROR(AW$10*AW40,0)</f>
        <v>0</v>
      </c>
      <c r="AX39" s="24">
        <f t="shared" ref="AX39" si="122">++IFERROR(AX$10*AX40,0)</f>
        <v>0</v>
      </c>
      <c r="AY39" s="24">
        <f t="shared" ref="AY39" si="123">++IFERROR(AY$10*AY40,0)</f>
        <v>0</v>
      </c>
      <c r="AZ39" s="24">
        <f t="shared" ref="AZ39" si="124">++IFERROR(AZ$10*AZ40,0)</f>
        <v>0</v>
      </c>
    </row>
    <row r="40" spans="1:52" x14ac:dyDescent="0.2">
      <c r="C40" s="182" t="s">
        <v>40</v>
      </c>
      <c r="D40" s="182"/>
      <c r="E40" s="182"/>
      <c r="F40" s="203">
        <f>++F19</f>
        <v>0</v>
      </c>
      <c r="G40" s="204">
        <f>++G19</f>
        <v>0</v>
      </c>
      <c r="H40" s="203">
        <f>++H19*YEARFRAC(G$2,H$2,1)</f>
        <v>0</v>
      </c>
      <c r="I40" s="203">
        <f>++I19</f>
        <v>0</v>
      </c>
      <c r="J40" s="203">
        <f>++J19</f>
        <v>0</v>
      </c>
      <c r="K40" s="203">
        <f>++K19</f>
        <v>0</v>
      </c>
      <c r="L40" s="203">
        <f>++L19</f>
        <v>0</v>
      </c>
      <c r="M40" s="203">
        <f>++M19</f>
        <v>0</v>
      </c>
      <c r="N40" s="182"/>
      <c r="O40" s="182"/>
      <c r="S40" s="25" t="s">
        <v>19</v>
      </c>
      <c r="V40" s="41">
        <f>++IFERROR(V39/V$10,0)</f>
        <v>0</v>
      </c>
      <c r="W40" s="27">
        <f t="shared" ref="W40:AB40" si="125">++IFERROR(W39/W$10,0)</f>
        <v>0</v>
      </c>
      <c r="X40" s="27">
        <f t="shared" si="125"/>
        <v>0</v>
      </c>
      <c r="Y40" s="27">
        <f t="shared" si="125"/>
        <v>0</v>
      </c>
      <c r="Z40" s="27">
        <f t="shared" si="125"/>
        <v>0</v>
      </c>
      <c r="AA40" s="27">
        <f t="shared" si="125"/>
        <v>0</v>
      </c>
      <c r="AB40" s="27">
        <f t="shared" si="125"/>
        <v>0</v>
      </c>
      <c r="AE40" s="25" t="s">
        <v>19</v>
      </c>
      <c r="AH40" s="41">
        <f>++IFERROR(AH39/AH$10,0)</f>
        <v>0</v>
      </c>
      <c r="AI40" s="161">
        <f>++W40</f>
        <v>0</v>
      </c>
      <c r="AJ40" s="29">
        <f>++AI40</f>
        <v>0</v>
      </c>
      <c r="AK40" s="29">
        <f t="shared" ref="AK40:AN40" si="126">++AJ40</f>
        <v>0</v>
      </c>
      <c r="AL40" s="29">
        <f t="shared" si="126"/>
        <v>0</v>
      </c>
      <c r="AM40" s="29">
        <f t="shared" si="126"/>
        <v>0</v>
      </c>
      <c r="AN40" s="29">
        <f t="shared" si="126"/>
        <v>0</v>
      </c>
      <c r="AQ40" s="25" t="s">
        <v>19</v>
      </c>
      <c r="AT40" s="41">
        <f>++IFERROR(AT39/AT$10,0)</f>
        <v>0</v>
      </c>
      <c r="AU40" s="161">
        <f>++W40</f>
        <v>0</v>
      </c>
      <c r="AV40" s="29">
        <f>++AU40</f>
        <v>0</v>
      </c>
      <c r="AW40" s="29">
        <f t="shared" ref="AW40:AZ40" si="127">++AV40</f>
        <v>0</v>
      </c>
      <c r="AX40" s="29">
        <f t="shared" si="127"/>
        <v>0</v>
      </c>
      <c r="AY40" s="29">
        <f t="shared" si="127"/>
        <v>0</v>
      </c>
      <c r="AZ40" s="29">
        <f t="shared" si="127"/>
        <v>0</v>
      </c>
    </row>
    <row r="41" spans="1:52" x14ac:dyDescent="0.2">
      <c r="C41" s="182" t="s">
        <v>41</v>
      </c>
      <c r="D41" s="182"/>
      <c r="E41" s="182"/>
      <c r="F41" s="182"/>
      <c r="G41" s="52">
        <f>++-G32</f>
        <v>0</v>
      </c>
      <c r="H41" s="203">
        <f t="shared" ref="H41:M41" si="128">++-H32</f>
        <v>0</v>
      </c>
      <c r="I41" s="203">
        <f t="shared" si="128"/>
        <v>0</v>
      </c>
      <c r="J41" s="203">
        <f t="shared" si="128"/>
        <v>0</v>
      </c>
      <c r="K41" s="203">
        <f t="shared" si="128"/>
        <v>0</v>
      </c>
      <c r="L41" s="203">
        <f t="shared" si="128"/>
        <v>0</v>
      </c>
      <c r="M41" s="203">
        <f t="shared" si="128"/>
        <v>0</v>
      </c>
      <c r="N41" s="182"/>
      <c r="O41" s="182"/>
      <c r="V41" s="30"/>
      <c r="AH41" s="30"/>
      <c r="AI41" s="31"/>
      <c r="AJ41" s="31"/>
      <c r="AK41" s="31"/>
      <c r="AL41" s="31"/>
      <c r="AM41" s="31"/>
      <c r="AN41" s="31"/>
      <c r="AT41" s="30"/>
      <c r="AU41" s="31"/>
      <c r="AV41" s="31"/>
      <c r="AW41" s="31"/>
      <c r="AX41" s="31"/>
      <c r="AY41" s="31"/>
      <c r="AZ41" s="31"/>
    </row>
    <row r="42" spans="1:52" x14ac:dyDescent="0.2">
      <c r="C42" s="182" t="s">
        <v>42</v>
      </c>
      <c r="D42" s="182"/>
      <c r="E42" s="182"/>
      <c r="F42" s="182"/>
      <c r="G42" s="52">
        <f ca="1">++H42/YEARFRAC(G$2,H$2,1)</f>
        <v>0</v>
      </c>
      <c r="H42" s="203">
        <f t="shared" ref="H42:M42" ca="1" si="129">++-H191</f>
        <v>0</v>
      </c>
      <c r="I42" s="203">
        <f t="shared" ca="1" si="129"/>
        <v>0</v>
      </c>
      <c r="J42" s="203">
        <f t="shared" ca="1" si="129"/>
        <v>0</v>
      </c>
      <c r="K42" s="203">
        <f t="shared" ca="1" si="129"/>
        <v>0</v>
      </c>
      <c r="L42" s="203">
        <f t="shared" ca="1" si="129"/>
        <v>0</v>
      </c>
      <c r="M42" s="203">
        <f t="shared" ca="1" si="129"/>
        <v>0</v>
      </c>
      <c r="N42" s="182"/>
      <c r="O42" s="182"/>
      <c r="S42" s="1" t="s">
        <v>28</v>
      </c>
      <c r="V42" s="21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E42" s="1" t="s">
        <v>28</v>
      </c>
      <c r="AH42" s="23">
        <f>++$V42</f>
        <v>0</v>
      </c>
      <c r="AI42" s="24">
        <f>++IFERROR(AI$10*AI43,0)</f>
        <v>0</v>
      </c>
      <c r="AJ42" s="24">
        <f t="shared" ref="AJ42" si="130">++IFERROR(AJ$10*AJ43,0)</f>
        <v>0</v>
      </c>
      <c r="AK42" s="24">
        <f t="shared" ref="AK42" si="131">++IFERROR(AK$10*AK43,0)</f>
        <v>0</v>
      </c>
      <c r="AL42" s="24">
        <f t="shared" ref="AL42" si="132">++IFERROR(AL$10*AL43,0)</f>
        <v>0</v>
      </c>
      <c r="AM42" s="24">
        <f t="shared" ref="AM42" si="133">++IFERROR(AM$10*AM43,0)</f>
        <v>0</v>
      </c>
      <c r="AN42" s="24">
        <f t="shared" ref="AN42" si="134">++IFERROR(AN$10*AN43,0)</f>
        <v>0</v>
      </c>
      <c r="AQ42" s="1" t="s">
        <v>28</v>
      </c>
      <c r="AT42" s="23">
        <f>++$V42</f>
        <v>0</v>
      </c>
      <c r="AU42" s="24">
        <f>++IFERROR(AU$10*AU43,0)</f>
        <v>0</v>
      </c>
      <c r="AV42" s="24">
        <f t="shared" ref="AV42" si="135">++IFERROR(AV$10*AV43,0)</f>
        <v>0</v>
      </c>
      <c r="AW42" s="24">
        <f t="shared" ref="AW42" si="136">++IFERROR(AW$10*AW43,0)</f>
        <v>0</v>
      </c>
      <c r="AX42" s="24">
        <f t="shared" ref="AX42" si="137">++IFERROR(AX$10*AX43,0)</f>
        <v>0</v>
      </c>
      <c r="AY42" s="24">
        <f t="shared" ref="AY42" si="138">++IFERROR(AY$10*AY43,0)</f>
        <v>0</v>
      </c>
      <c r="AZ42" s="24">
        <f t="shared" ref="AZ42" si="139">++IFERROR(AZ$10*AZ43,0)</f>
        <v>0</v>
      </c>
    </row>
    <row r="43" spans="1:52" x14ac:dyDescent="0.2">
      <c r="C43" s="182" t="s">
        <v>43</v>
      </c>
      <c r="D43" s="182"/>
      <c r="E43" s="182"/>
      <c r="F43" s="182"/>
      <c r="G43" s="52">
        <f ca="1">++H43/YEARFRAC(G$2,H$2,1)</f>
        <v>0</v>
      </c>
      <c r="H43" s="203">
        <f t="shared" ref="H43:M43" ca="1" si="140">++-H122</f>
        <v>0</v>
      </c>
      <c r="I43" s="203">
        <f t="shared" ca="1" si="140"/>
        <v>0</v>
      </c>
      <c r="J43" s="203">
        <f t="shared" ca="1" si="140"/>
        <v>0</v>
      </c>
      <c r="K43" s="203">
        <f t="shared" ca="1" si="140"/>
        <v>0</v>
      </c>
      <c r="L43" s="203">
        <f t="shared" ca="1" si="140"/>
        <v>0</v>
      </c>
      <c r="M43" s="203">
        <f t="shared" ca="1" si="140"/>
        <v>0</v>
      </c>
      <c r="N43" s="182"/>
      <c r="O43" s="182"/>
      <c r="S43" s="25" t="s">
        <v>19</v>
      </c>
      <c r="V43" s="41">
        <f>++IFERROR(V42/V$10,0)</f>
        <v>0</v>
      </c>
      <c r="W43" s="27">
        <f t="shared" ref="W43:AB43" si="141">++IFERROR(W42/W$10,0)</f>
        <v>0</v>
      </c>
      <c r="X43" s="27">
        <f t="shared" si="141"/>
        <v>0</v>
      </c>
      <c r="Y43" s="27">
        <f t="shared" si="141"/>
        <v>0</v>
      </c>
      <c r="Z43" s="27">
        <f t="shared" si="141"/>
        <v>0</v>
      </c>
      <c r="AA43" s="27">
        <f t="shared" si="141"/>
        <v>0</v>
      </c>
      <c r="AB43" s="27">
        <f t="shared" si="141"/>
        <v>0</v>
      </c>
      <c r="AE43" s="25" t="s">
        <v>19</v>
      </c>
      <c r="AH43" s="41">
        <f>++IFERROR(AH42/AH$10,0)</f>
        <v>0</v>
      </c>
      <c r="AI43" s="161">
        <f>++W43</f>
        <v>0</v>
      </c>
      <c r="AJ43" s="29">
        <f>++AI43</f>
        <v>0</v>
      </c>
      <c r="AK43" s="29">
        <f t="shared" ref="AK43:AN43" si="142">++AJ43</f>
        <v>0</v>
      </c>
      <c r="AL43" s="29">
        <f t="shared" si="142"/>
        <v>0</v>
      </c>
      <c r="AM43" s="29">
        <f t="shared" si="142"/>
        <v>0</v>
      </c>
      <c r="AN43" s="29">
        <f t="shared" si="142"/>
        <v>0</v>
      </c>
      <c r="AQ43" s="25" t="s">
        <v>19</v>
      </c>
      <c r="AT43" s="41">
        <f>++IFERROR(AT42/AT$10,0)</f>
        <v>0</v>
      </c>
      <c r="AU43" s="161">
        <f>++W43</f>
        <v>0</v>
      </c>
      <c r="AV43" s="29">
        <f>++AU43</f>
        <v>0</v>
      </c>
      <c r="AW43" s="29">
        <f t="shared" ref="AW43:AZ43" si="143">++AV43</f>
        <v>0</v>
      </c>
      <c r="AX43" s="29">
        <f t="shared" si="143"/>
        <v>0</v>
      </c>
      <c r="AY43" s="29">
        <f t="shared" si="143"/>
        <v>0</v>
      </c>
      <c r="AZ43" s="29">
        <f t="shared" si="143"/>
        <v>0</v>
      </c>
    </row>
    <row r="44" spans="1:52" x14ac:dyDescent="0.2">
      <c r="C44" s="182" t="s">
        <v>44</v>
      </c>
      <c r="D44" s="182"/>
      <c r="E44" s="182"/>
      <c r="F44" s="182"/>
      <c r="G44" s="52">
        <f t="shared" ref="G44" si="144">++H44/YEARFRAC(G$2,H$2,1)</f>
        <v>0</v>
      </c>
      <c r="H44" s="203">
        <f>++-CHOOSE(OpCase,W53,AI53,AU53)*YEARFRAC(G$2,H$2,1)</f>
        <v>0</v>
      </c>
      <c r="I44" s="203">
        <f>++-CHOOSE(OpCase,X53,AJ53,AV53)</f>
        <v>0</v>
      </c>
      <c r="J44" s="203">
        <f>++-CHOOSE(OpCase,Y53,AK53,AW53)</f>
        <v>0</v>
      </c>
      <c r="K44" s="203">
        <f>++-CHOOSE(OpCase,Z53,AL53,AX53)</f>
        <v>0</v>
      </c>
      <c r="L44" s="203">
        <f>++-CHOOSE(OpCase,AA53,AM53,AY53)</f>
        <v>0</v>
      </c>
      <c r="M44" s="203">
        <f>++-CHOOSE(OpCase,AB53,AN53,AZ53)</f>
        <v>0</v>
      </c>
      <c r="N44" s="182"/>
      <c r="O44" s="182"/>
      <c r="V44" s="30"/>
      <c r="AH44" s="30"/>
      <c r="AI44" s="31"/>
      <c r="AJ44" s="31"/>
      <c r="AK44" s="31"/>
      <c r="AL44" s="31"/>
      <c r="AM44" s="31"/>
      <c r="AN44" s="31"/>
      <c r="AT44" s="30"/>
      <c r="AU44" s="31"/>
      <c r="AV44" s="31"/>
      <c r="AW44" s="31"/>
      <c r="AX44" s="31"/>
      <c r="AY44" s="31"/>
      <c r="AZ44" s="31"/>
    </row>
    <row r="45" spans="1:52" x14ac:dyDescent="0.2">
      <c r="C45" s="182" t="s">
        <v>45</v>
      </c>
      <c r="D45" s="182"/>
      <c r="E45" s="182"/>
      <c r="F45" s="182"/>
      <c r="G45" s="52">
        <v>0</v>
      </c>
      <c r="H45" s="203">
        <f>++CHOOSE(OpCase,(V56-W56),(AH56-AI56),(AT56-AU56))*YEARFRAC(G$2,H$2,1)</f>
        <v>0</v>
      </c>
      <c r="I45" s="203">
        <f>++CHOOSE(OpCase,(W56-X56),(AI56-AJ56),(AU56-AV56))</f>
        <v>0</v>
      </c>
      <c r="J45" s="203">
        <f>++CHOOSE(OpCase,(X56-Y56),(AJ56-AK56),(AV56-AW56))</f>
        <v>0</v>
      </c>
      <c r="K45" s="203">
        <f>++CHOOSE(OpCase,(Y56-Z56),(AK56-AL56),(AW56-AX56))</f>
        <v>0</v>
      </c>
      <c r="L45" s="203">
        <f>++CHOOSE(OpCase,(Z56-AA56),(AL56-AM56),(AX56-AY56))</f>
        <v>0</v>
      </c>
      <c r="M45" s="203">
        <f>++CHOOSE(OpCase,(AA56-AB56),(AM56-AN56),(AY56-AZ56))</f>
        <v>0</v>
      </c>
      <c r="N45" s="182"/>
      <c r="O45" s="182"/>
      <c r="S45" s="1" t="s">
        <v>29</v>
      </c>
      <c r="V45" s="21">
        <v>0</v>
      </c>
      <c r="W45" s="22">
        <f>++V45</f>
        <v>0</v>
      </c>
      <c r="X45" s="22">
        <f>++W45</f>
        <v>0</v>
      </c>
      <c r="Y45" s="22">
        <f t="shared" ref="Y45:AB45" si="145">++X45</f>
        <v>0</v>
      </c>
      <c r="Z45" s="22">
        <f t="shared" si="145"/>
        <v>0</v>
      </c>
      <c r="AA45" s="22">
        <f t="shared" si="145"/>
        <v>0</v>
      </c>
      <c r="AB45" s="22">
        <f t="shared" si="145"/>
        <v>0</v>
      </c>
      <c r="AE45" s="1" t="s">
        <v>29</v>
      </c>
      <c r="AH45" s="23">
        <f>++$V45</f>
        <v>0</v>
      </c>
      <c r="AI45" s="22">
        <f>++AH45</f>
        <v>0</v>
      </c>
      <c r="AJ45" s="22">
        <f>++AI45</f>
        <v>0</v>
      </c>
      <c r="AK45" s="22">
        <f t="shared" ref="AK45" si="146">++AJ45</f>
        <v>0</v>
      </c>
      <c r="AL45" s="22">
        <f t="shared" ref="AL45" si="147">++AK45</f>
        <v>0</v>
      </c>
      <c r="AM45" s="22">
        <f t="shared" ref="AM45" si="148">++AL45</f>
        <v>0</v>
      </c>
      <c r="AN45" s="22">
        <f t="shared" ref="AN45" si="149">++AM45</f>
        <v>0</v>
      </c>
      <c r="AQ45" s="1" t="s">
        <v>29</v>
      </c>
      <c r="AT45" s="23">
        <f>++$V45</f>
        <v>0</v>
      </c>
      <c r="AU45" s="22">
        <f>++AT45</f>
        <v>0</v>
      </c>
      <c r="AV45" s="22">
        <f>++AU45</f>
        <v>0</v>
      </c>
      <c r="AW45" s="22">
        <f t="shared" ref="AW45" si="150">++AV45</f>
        <v>0</v>
      </c>
      <c r="AX45" s="22">
        <f t="shared" ref="AX45" si="151">++AW45</f>
        <v>0</v>
      </c>
      <c r="AY45" s="22">
        <f t="shared" ref="AY45" si="152">++AX45</f>
        <v>0</v>
      </c>
      <c r="AZ45" s="22">
        <f t="shared" ref="AZ45" si="153">++AY45</f>
        <v>0</v>
      </c>
    </row>
    <row r="46" spans="1:52" x14ac:dyDescent="0.2">
      <c r="C46" s="182" t="s">
        <v>46</v>
      </c>
      <c r="D46" s="182"/>
      <c r="E46" s="182"/>
      <c r="F46" s="182"/>
      <c r="G46" s="52">
        <f ca="1">++H46/YEARFRAC(G$2,H$2,1)</f>
        <v>0</v>
      </c>
      <c r="H46" s="203">
        <f t="shared" ref="H46:M46" ca="1" si="154">++SUM(H141,H160)</f>
        <v>0</v>
      </c>
      <c r="I46" s="203">
        <f t="shared" ca="1" si="154"/>
        <v>0</v>
      </c>
      <c r="J46" s="203">
        <f t="shared" ca="1" si="154"/>
        <v>0</v>
      </c>
      <c r="K46" s="203">
        <f t="shared" ca="1" si="154"/>
        <v>0</v>
      </c>
      <c r="L46" s="203">
        <f t="shared" ca="1" si="154"/>
        <v>0</v>
      </c>
      <c r="M46" s="203">
        <f t="shared" ca="1" si="154"/>
        <v>0</v>
      </c>
      <c r="N46" s="182"/>
      <c r="O46" s="182"/>
      <c r="S46" s="25" t="s">
        <v>19</v>
      </c>
      <c r="V46" s="41">
        <f>++IFERROR(V45/V$10,0)</f>
        <v>0</v>
      </c>
      <c r="W46" s="27">
        <f t="shared" ref="W46" si="155">++IFERROR(W45/W$10,0)</f>
        <v>0</v>
      </c>
      <c r="X46" s="27">
        <f t="shared" ref="X46" si="156">++IFERROR(X45/X$10,0)</f>
        <v>0</v>
      </c>
      <c r="Y46" s="27">
        <f t="shared" ref="Y46" si="157">++IFERROR(Y45/Y$10,0)</f>
        <v>0</v>
      </c>
      <c r="Z46" s="27">
        <f t="shared" ref="Z46" si="158">++IFERROR(Z45/Z$10,0)</f>
        <v>0</v>
      </c>
      <c r="AA46" s="27">
        <f t="shared" ref="AA46" si="159">++IFERROR(AA45/AA$10,0)</f>
        <v>0</v>
      </c>
      <c r="AB46" s="27">
        <f t="shared" ref="AB46" si="160">++IFERROR(AB45/AB$10,0)</f>
        <v>0</v>
      </c>
      <c r="AE46" s="25" t="s">
        <v>19</v>
      </c>
      <c r="AH46" s="41">
        <f>++IFERROR(AH45/AH$10,0)</f>
        <v>0</v>
      </c>
      <c r="AI46" s="27">
        <f t="shared" ref="AI46:AN46" si="161">++IFERROR(AI45/AI$10,0)</f>
        <v>0</v>
      </c>
      <c r="AJ46" s="27">
        <f t="shared" si="161"/>
        <v>0</v>
      </c>
      <c r="AK46" s="27">
        <f t="shared" si="161"/>
        <v>0</v>
      </c>
      <c r="AL46" s="27">
        <f t="shared" si="161"/>
        <v>0</v>
      </c>
      <c r="AM46" s="27">
        <f t="shared" si="161"/>
        <v>0</v>
      </c>
      <c r="AN46" s="27">
        <f t="shared" si="161"/>
        <v>0</v>
      </c>
      <c r="AQ46" s="25" t="s">
        <v>19</v>
      </c>
      <c r="AT46" s="41">
        <f>++IFERROR(AT45/AT$10,0)</f>
        <v>0</v>
      </c>
      <c r="AU46" s="27">
        <f t="shared" ref="AU46:AZ46" si="162">++IFERROR(AU45/AU$10,0)</f>
        <v>0</v>
      </c>
      <c r="AV46" s="27">
        <f t="shared" si="162"/>
        <v>0</v>
      </c>
      <c r="AW46" s="27">
        <f t="shared" si="162"/>
        <v>0</v>
      </c>
      <c r="AX46" s="27">
        <f t="shared" si="162"/>
        <v>0</v>
      </c>
      <c r="AY46" s="27">
        <f t="shared" si="162"/>
        <v>0</v>
      </c>
      <c r="AZ46" s="27">
        <f t="shared" si="162"/>
        <v>0</v>
      </c>
    </row>
    <row r="47" spans="1:52" outlineLevel="1" x14ac:dyDescent="0.2">
      <c r="C47" s="182" t="s">
        <v>47</v>
      </c>
      <c r="D47" s="182"/>
      <c r="E47" s="182"/>
      <c r="F47" s="182"/>
      <c r="G47" s="52">
        <f t="shared" ref="G47" si="163">++H47/YEARFRAC(G$2,H$2,1)</f>
        <v>0</v>
      </c>
      <c r="H47" s="251">
        <v>0</v>
      </c>
      <c r="I47" s="251">
        <v>0</v>
      </c>
      <c r="J47" s="251">
        <v>0</v>
      </c>
      <c r="K47" s="251">
        <v>0</v>
      </c>
      <c r="L47" s="251">
        <v>0</v>
      </c>
      <c r="M47" s="251">
        <v>0</v>
      </c>
      <c r="N47" s="182"/>
      <c r="O47" s="182"/>
      <c r="V47" s="30"/>
      <c r="AH47" s="30"/>
      <c r="AI47" s="31"/>
      <c r="AJ47" s="31"/>
      <c r="AK47" s="31"/>
      <c r="AL47" s="31"/>
      <c r="AM47" s="31"/>
      <c r="AN47" s="31"/>
      <c r="AT47" s="30"/>
      <c r="AU47" s="31"/>
      <c r="AV47" s="31"/>
      <c r="AW47" s="31"/>
      <c r="AX47" s="31"/>
      <c r="AY47" s="31"/>
      <c r="AZ47" s="31"/>
    </row>
    <row r="48" spans="1:52" outlineLevel="1" x14ac:dyDescent="0.2">
      <c r="C48" s="182" t="s">
        <v>48</v>
      </c>
      <c r="D48" s="182"/>
      <c r="E48" s="182"/>
      <c r="F48" s="182"/>
      <c r="G48" s="52">
        <v>0</v>
      </c>
      <c r="H48" s="203">
        <f t="shared" ref="H48:M48" si="164">+IF(AND($F$175=1,$G$175=0),-H175,0)</f>
        <v>0</v>
      </c>
      <c r="I48" s="203">
        <f t="shared" si="164"/>
        <v>0</v>
      </c>
      <c r="J48" s="203">
        <f t="shared" si="164"/>
        <v>0</v>
      </c>
      <c r="K48" s="203">
        <f t="shared" si="164"/>
        <v>0</v>
      </c>
      <c r="L48" s="203">
        <f t="shared" si="164"/>
        <v>0</v>
      </c>
      <c r="M48" s="203">
        <f t="shared" si="164"/>
        <v>0</v>
      </c>
      <c r="N48" s="182"/>
      <c r="O48" s="182"/>
      <c r="S48" s="1" t="s">
        <v>49</v>
      </c>
      <c r="V48" s="21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E48" s="1" t="s">
        <v>49</v>
      </c>
      <c r="AH48" s="23">
        <f>++$V48</f>
        <v>0</v>
      </c>
      <c r="AI48" s="24">
        <f>++IFERROR(AI$10*AI49,0)</f>
        <v>0</v>
      </c>
      <c r="AJ48" s="24">
        <f t="shared" ref="AJ48" si="165">++IFERROR(AJ$10*AJ49,0)</f>
        <v>0</v>
      </c>
      <c r="AK48" s="24">
        <f t="shared" ref="AK48" si="166">++IFERROR(AK$10*AK49,0)</f>
        <v>0</v>
      </c>
      <c r="AL48" s="24">
        <f t="shared" ref="AL48" si="167">++IFERROR(AL$10*AL49,0)</f>
        <v>0</v>
      </c>
      <c r="AM48" s="24">
        <f t="shared" ref="AM48" si="168">++IFERROR(AM$10*AM49,0)</f>
        <v>0</v>
      </c>
      <c r="AN48" s="24">
        <f t="shared" ref="AN48" si="169">++IFERROR(AN$10*AN49,0)</f>
        <v>0</v>
      </c>
      <c r="AQ48" s="1" t="s">
        <v>49</v>
      </c>
      <c r="AT48" s="23">
        <f>++$V48</f>
        <v>0</v>
      </c>
      <c r="AU48" s="24">
        <f>++IFERROR(AU$10*AU49,0)</f>
        <v>0</v>
      </c>
      <c r="AV48" s="24">
        <f t="shared" ref="AV48" si="170">++IFERROR(AV$10*AV49,0)</f>
        <v>0</v>
      </c>
      <c r="AW48" s="24">
        <f t="shared" ref="AW48" si="171">++IFERROR(AW$10*AW49,0)</f>
        <v>0</v>
      </c>
      <c r="AX48" s="24">
        <f t="shared" ref="AX48" si="172">++IFERROR(AX$10*AX49,0)</f>
        <v>0</v>
      </c>
      <c r="AY48" s="24">
        <f t="shared" ref="AY48" si="173">++IFERROR(AY$10*AY49,0)</f>
        <v>0</v>
      </c>
      <c r="AZ48" s="24">
        <f t="shared" ref="AZ48" si="174">++IFERROR(AZ$10*AZ49,0)</f>
        <v>0</v>
      </c>
    </row>
    <row r="49" spans="3:52" ht="13.5" thickBot="1" x14ac:dyDescent="0.25">
      <c r="C49" s="208" t="s">
        <v>39</v>
      </c>
      <c r="D49" s="209"/>
      <c r="E49" s="209"/>
      <c r="F49" s="209"/>
      <c r="G49" s="215"/>
      <c r="H49" s="216">
        <f t="shared" ref="H49:M49" ca="1" si="175">++SUM(H39:H48)</f>
        <v>0</v>
      </c>
      <c r="I49" s="210">
        <f t="shared" ca="1" si="175"/>
        <v>0</v>
      </c>
      <c r="J49" s="210">
        <f t="shared" ca="1" si="175"/>
        <v>0</v>
      </c>
      <c r="K49" s="210">
        <f t="shared" ca="1" si="175"/>
        <v>0</v>
      </c>
      <c r="L49" s="210">
        <f t="shared" ca="1" si="175"/>
        <v>0</v>
      </c>
      <c r="M49" s="210">
        <f t="shared" ca="1" si="175"/>
        <v>0</v>
      </c>
      <c r="N49" s="182"/>
      <c r="O49" s="182"/>
      <c r="S49" s="25" t="s">
        <v>19</v>
      </c>
      <c r="V49" s="41">
        <f>++IFERROR(V48/V$10,0)</f>
        <v>0</v>
      </c>
      <c r="W49" s="27">
        <f t="shared" ref="W49:AB49" si="176">++IFERROR(W48/W$10,0)</f>
        <v>0</v>
      </c>
      <c r="X49" s="27">
        <f t="shared" si="176"/>
        <v>0</v>
      </c>
      <c r="Y49" s="27">
        <f t="shared" si="176"/>
        <v>0</v>
      </c>
      <c r="Z49" s="27">
        <f t="shared" si="176"/>
        <v>0</v>
      </c>
      <c r="AA49" s="27">
        <f t="shared" si="176"/>
        <v>0</v>
      </c>
      <c r="AB49" s="27">
        <f t="shared" si="176"/>
        <v>0</v>
      </c>
      <c r="AE49" s="25" t="s">
        <v>19</v>
      </c>
      <c r="AH49" s="41">
        <f>++IFERROR(AH48/AH$10,0)</f>
        <v>0</v>
      </c>
      <c r="AI49" s="161">
        <f>++W49</f>
        <v>0</v>
      </c>
      <c r="AJ49" s="29">
        <f>++AI49</f>
        <v>0</v>
      </c>
      <c r="AK49" s="29">
        <f t="shared" ref="AK49:AN49" si="177">++AJ49</f>
        <v>0</v>
      </c>
      <c r="AL49" s="29">
        <f t="shared" si="177"/>
        <v>0</v>
      </c>
      <c r="AM49" s="29">
        <f t="shared" si="177"/>
        <v>0</v>
      </c>
      <c r="AN49" s="29">
        <f t="shared" si="177"/>
        <v>0</v>
      </c>
      <c r="AQ49" s="25" t="s">
        <v>19</v>
      </c>
      <c r="AT49" s="41">
        <f>++IFERROR(AT48/AT$10,0)</f>
        <v>0</v>
      </c>
      <c r="AU49" s="161">
        <f>++W49</f>
        <v>0</v>
      </c>
      <c r="AV49" s="29">
        <f>++AU49</f>
        <v>0</v>
      </c>
      <c r="AW49" s="29">
        <f t="shared" ref="AW49:AZ49" si="178">++AV49</f>
        <v>0</v>
      </c>
      <c r="AX49" s="29">
        <f t="shared" si="178"/>
        <v>0</v>
      </c>
      <c r="AY49" s="29">
        <f t="shared" si="178"/>
        <v>0</v>
      </c>
      <c r="AZ49" s="29">
        <f t="shared" si="178"/>
        <v>0</v>
      </c>
    </row>
    <row r="50" spans="3:52" ht="13.5" thickTop="1" x14ac:dyDescent="0.2">
      <c r="C50" s="182"/>
      <c r="D50" s="182"/>
      <c r="E50" s="182"/>
      <c r="F50" s="182"/>
      <c r="G50" s="188"/>
      <c r="H50" s="182"/>
      <c r="I50" s="182"/>
      <c r="J50" s="182"/>
      <c r="K50" s="182"/>
      <c r="L50" s="182"/>
      <c r="M50" s="182"/>
      <c r="N50" s="182"/>
      <c r="O50" s="182"/>
      <c r="V50" s="30"/>
      <c r="AH50" s="30"/>
      <c r="AI50" s="31"/>
      <c r="AJ50" s="31"/>
      <c r="AK50" s="31"/>
      <c r="AL50" s="31"/>
      <c r="AM50" s="31"/>
      <c r="AN50" s="31"/>
      <c r="AT50" s="30"/>
      <c r="AU50" s="31"/>
      <c r="AV50" s="31"/>
      <c r="AW50" s="31"/>
      <c r="AX50" s="31"/>
      <c r="AY50" s="31"/>
      <c r="AZ50" s="31"/>
    </row>
    <row r="51" spans="3:52" x14ac:dyDescent="0.2">
      <c r="C51" s="182" t="s">
        <v>50</v>
      </c>
      <c r="D51" s="182"/>
      <c r="E51" s="182"/>
      <c r="F51" s="182"/>
      <c r="G51" s="188"/>
      <c r="H51" s="213">
        <f ca="1">++H135</f>
        <v>0</v>
      </c>
      <c r="I51" s="213">
        <f t="shared" ref="I51:M51" ca="1" si="179">++I135</f>
        <v>0</v>
      </c>
      <c r="J51" s="213">
        <f t="shared" ca="1" si="179"/>
        <v>0</v>
      </c>
      <c r="K51" s="213">
        <f t="shared" ca="1" si="179"/>
        <v>0</v>
      </c>
      <c r="L51" s="213">
        <f t="shared" ca="1" si="179"/>
        <v>0</v>
      </c>
      <c r="M51" s="213">
        <f t="shared" ca="1" si="179"/>
        <v>0</v>
      </c>
      <c r="N51" s="182"/>
      <c r="O51" s="182"/>
      <c r="S51" s="1" t="s">
        <v>51</v>
      </c>
      <c r="V51" s="21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E51" s="1" t="s">
        <v>51</v>
      </c>
      <c r="AH51" s="23">
        <f>++$V51</f>
        <v>0</v>
      </c>
      <c r="AI51" s="24">
        <f>++IFERROR(AI$10*AI52,0)</f>
        <v>0</v>
      </c>
      <c r="AJ51" s="24">
        <f t="shared" ref="AJ51" si="180">++IFERROR(AJ$10*AJ52,0)</f>
        <v>0</v>
      </c>
      <c r="AK51" s="24">
        <f t="shared" ref="AK51" si="181">++IFERROR(AK$10*AK52,0)</f>
        <v>0</v>
      </c>
      <c r="AL51" s="24">
        <f t="shared" ref="AL51" si="182">++IFERROR(AL$10*AL52,0)</f>
        <v>0</v>
      </c>
      <c r="AM51" s="24">
        <f t="shared" ref="AM51" si="183">++IFERROR(AM$10*AM52,0)</f>
        <v>0</v>
      </c>
      <c r="AN51" s="24">
        <f t="shared" ref="AN51" si="184">++IFERROR(AN$10*AN52,0)</f>
        <v>0</v>
      </c>
      <c r="AQ51" s="1" t="s">
        <v>51</v>
      </c>
      <c r="AT51" s="23">
        <f>++$V51</f>
        <v>0</v>
      </c>
      <c r="AU51" s="24">
        <f>++IFERROR(AU$10*AU52,0)</f>
        <v>0</v>
      </c>
      <c r="AV51" s="24">
        <f t="shared" ref="AV51" si="185">++IFERROR(AV$10*AV52,0)</f>
        <v>0</v>
      </c>
      <c r="AW51" s="24">
        <f t="shared" ref="AW51" si="186">++IFERROR(AW$10*AW52,0)</f>
        <v>0</v>
      </c>
      <c r="AX51" s="24">
        <f t="shared" ref="AX51" si="187">++IFERROR(AX$10*AX52,0)</f>
        <v>0</v>
      </c>
      <c r="AY51" s="24">
        <f t="shared" ref="AY51" si="188">++IFERROR(AY$10*AY52,0)</f>
        <v>0</v>
      </c>
      <c r="AZ51" s="24">
        <f t="shared" ref="AZ51" si="189">++IFERROR(AZ$10*AZ52,0)</f>
        <v>0</v>
      </c>
    </row>
    <row r="52" spans="3:52" x14ac:dyDescent="0.2">
      <c r="C52" s="182" t="s">
        <v>52</v>
      </c>
      <c r="D52" s="182"/>
      <c r="E52" s="182"/>
      <c r="F52" s="182"/>
      <c r="G52" s="188"/>
      <c r="H52" s="213">
        <f t="shared" ref="H52:M52" si="190">++SUM(H142,H161)</f>
        <v>0</v>
      </c>
      <c r="I52" s="213">
        <f t="shared" ca="1" si="190"/>
        <v>0</v>
      </c>
      <c r="J52" s="213">
        <f t="shared" ca="1" si="190"/>
        <v>0</v>
      </c>
      <c r="K52" s="213">
        <f t="shared" ca="1" si="190"/>
        <v>0</v>
      </c>
      <c r="L52" s="213">
        <f t="shared" ca="1" si="190"/>
        <v>0</v>
      </c>
      <c r="M52" s="213">
        <f t="shared" ca="1" si="190"/>
        <v>0</v>
      </c>
      <c r="N52" s="182"/>
      <c r="O52" s="182"/>
      <c r="S52" s="43" t="s">
        <v>19</v>
      </c>
      <c r="T52" s="32"/>
      <c r="U52" s="32"/>
      <c r="V52" s="44">
        <f t="shared" ref="V52:AB52" si="191">++IFERROR(V51/V$10,0)</f>
        <v>0</v>
      </c>
      <c r="W52" s="59">
        <f t="shared" si="191"/>
        <v>0</v>
      </c>
      <c r="X52" s="46">
        <f t="shared" si="191"/>
        <v>0</v>
      </c>
      <c r="Y52" s="46">
        <f t="shared" si="191"/>
        <v>0</v>
      </c>
      <c r="Z52" s="46">
        <f t="shared" si="191"/>
        <v>0</v>
      </c>
      <c r="AA52" s="46">
        <f t="shared" si="191"/>
        <v>0</v>
      </c>
      <c r="AB52" s="46">
        <f t="shared" si="191"/>
        <v>0</v>
      </c>
      <c r="AE52" s="43" t="s">
        <v>19</v>
      </c>
      <c r="AF52" s="32"/>
      <c r="AG52" s="32"/>
      <c r="AH52" s="44">
        <f>++IFERROR(AH51/AH$10,0)</f>
        <v>0</v>
      </c>
      <c r="AI52" s="162">
        <f>++W52</f>
        <v>0</v>
      </c>
      <c r="AJ52" s="47">
        <v>0</v>
      </c>
      <c r="AK52" s="47">
        <f t="shared" ref="AK52:AN52" si="192">++AJ52</f>
        <v>0</v>
      </c>
      <c r="AL52" s="47">
        <f t="shared" si="192"/>
        <v>0</v>
      </c>
      <c r="AM52" s="47">
        <f t="shared" si="192"/>
        <v>0</v>
      </c>
      <c r="AN52" s="47">
        <f t="shared" si="192"/>
        <v>0</v>
      </c>
      <c r="AQ52" s="43" t="s">
        <v>19</v>
      </c>
      <c r="AR52" s="32"/>
      <c r="AS52" s="32"/>
      <c r="AT52" s="44">
        <f>++IFERROR(AT51/AT$10,0)</f>
        <v>0</v>
      </c>
      <c r="AU52" s="162">
        <f>++W52</f>
        <v>0</v>
      </c>
      <c r="AV52" s="47">
        <v>0</v>
      </c>
      <c r="AW52" s="47">
        <v>0</v>
      </c>
      <c r="AX52" s="47">
        <v>0</v>
      </c>
      <c r="AY52" s="47">
        <v>0</v>
      </c>
      <c r="AZ52" s="163">
        <f>++AB52</f>
        <v>0</v>
      </c>
    </row>
    <row r="53" spans="3:52" x14ac:dyDescent="0.2">
      <c r="C53" s="182"/>
      <c r="D53" s="182"/>
      <c r="E53" s="182"/>
      <c r="F53" s="182"/>
      <c r="G53" s="188"/>
      <c r="H53" s="182"/>
      <c r="I53" s="182"/>
      <c r="J53" s="182"/>
      <c r="K53" s="182"/>
      <c r="L53" s="182"/>
      <c r="M53" s="182"/>
      <c r="N53" s="182"/>
      <c r="O53" s="182"/>
      <c r="S53" s="1" t="s">
        <v>53</v>
      </c>
      <c r="V53" s="49">
        <f>++SUM(V48,V51)</f>
        <v>0</v>
      </c>
      <c r="W53" s="24">
        <f>++SUM(W48,W51)</f>
        <v>0</v>
      </c>
      <c r="X53" s="24">
        <f t="shared" ref="X53:AB53" si="193">++SUM(X48,X51)</f>
        <v>0</v>
      </c>
      <c r="Y53" s="24">
        <f t="shared" si="193"/>
        <v>0</v>
      </c>
      <c r="Z53" s="24">
        <f t="shared" si="193"/>
        <v>0</v>
      </c>
      <c r="AA53" s="24">
        <f t="shared" si="193"/>
        <v>0</v>
      </c>
      <c r="AB53" s="24">
        <f t="shared" si="193"/>
        <v>0</v>
      </c>
      <c r="AE53" s="1" t="s">
        <v>53</v>
      </c>
      <c r="AH53" s="49">
        <f>++SUM(AH48,AH51)</f>
        <v>0</v>
      </c>
      <c r="AI53" s="24">
        <f>++SUM(AI48,AI51)</f>
        <v>0</v>
      </c>
      <c r="AJ53" s="24">
        <f t="shared" ref="AJ53:AN53" si="194">++SUM(AJ48,AJ51)</f>
        <v>0</v>
      </c>
      <c r="AK53" s="24">
        <f t="shared" si="194"/>
        <v>0</v>
      </c>
      <c r="AL53" s="24">
        <f t="shared" si="194"/>
        <v>0</v>
      </c>
      <c r="AM53" s="24">
        <f t="shared" si="194"/>
        <v>0</v>
      </c>
      <c r="AN53" s="24">
        <f t="shared" si="194"/>
        <v>0</v>
      </c>
      <c r="AQ53" s="1" t="s">
        <v>53</v>
      </c>
      <c r="AT53" s="49">
        <f>++SUM(AT48,AT51)</f>
        <v>0</v>
      </c>
      <c r="AU53" s="24">
        <f>++SUM(AU48,AU51)</f>
        <v>0</v>
      </c>
      <c r="AV53" s="24">
        <f t="shared" ref="AV53:AZ53" si="195">++SUM(AV48,AV51)</f>
        <v>0</v>
      </c>
      <c r="AW53" s="24">
        <f t="shared" si="195"/>
        <v>0</v>
      </c>
      <c r="AX53" s="24">
        <f t="shared" si="195"/>
        <v>0</v>
      </c>
      <c r="AY53" s="24">
        <f t="shared" si="195"/>
        <v>0</v>
      </c>
      <c r="AZ53" s="24">
        <f t="shared" si="195"/>
        <v>0</v>
      </c>
    </row>
    <row r="54" spans="3:52" ht="15" x14ac:dyDescent="0.35">
      <c r="C54" s="212" t="s">
        <v>54</v>
      </c>
      <c r="D54" s="182"/>
      <c r="E54" s="182"/>
      <c r="F54" s="182"/>
      <c r="G54" s="186" t="s">
        <v>55</v>
      </c>
      <c r="H54" s="182"/>
      <c r="I54" s="182"/>
      <c r="J54" s="182"/>
      <c r="K54" s="182"/>
      <c r="L54" s="182"/>
      <c r="M54" s="182"/>
      <c r="N54" s="182"/>
      <c r="O54" s="182"/>
      <c r="S54" s="25" t="s">
        <v>19</v>
      </c>
      <c r="V54" s="41">
        <f t="shared" ref="V54:AB54" si="196">++IFERROR(V53/V$10,0)</f>
        <v>0</v>
      </c>
      <c r="W54" s="51">
        <f t="shared" si="196"/>
        <v>0</v>
      </c>
      <c r="X54" s="51">
        <f t="shared" si="196"/>
        <v>0</v>
      </c>
      <c r="Y54" s="51">
        <f t="shared" si="196"/>
        <v>0</v>
      </c>
      <c r="Z54" s="51">
        <f t="shared" si="196"/>
        <v>0</v>
      </c>
      <c r="AA54" s="51">
        <f t="shared" si="196"/>
        <v>0</v>
      </c>
      <c r="AB54" s="51">
        <f t="shared" si="196"/>
        <v>0</v>
      </c>
      <c r="AE54" s="25" t="s">
        <v>19</v>
      </c>
      <c r="AH54" s="41">
        <f t="shared" ref="AH54" si="197">++IFERROR(AH53/AH$10,0)</f>
        <v>0</v>
      </c>
      <c r="AI54" s="27">
        <f t="shared" ref="AI54:AN54" si="198">++IFERROR(AI53/AI$10,0)</f>
        <v>0</v>
      </c>
      <c r="AJ54" s="27">
        <f t="shared" si="198"/>
        <v>0</v>
      </c>
      <c r="AK54" s="27">
        <f t="shared" si="198"/>
        <v>0</v>
      </c>
      <c r="AL54" s="27">
        <f t="shared" si="198"/>
        <v>0</v>
      </c>
      <c r="AM54" s="27">
        <f t="shared" si="198"/>
        <v>0</v>
      </c>
      <c r="AN54" s="27">
        <f t="shared" si="198"/>
        <v>0</v>
      </c>
      <c r="AQ54" s="25" t="s">
        <v>19</v>
      </c>
      <c r="AT54" s="41">
        <f t="shared" ref="AT54" si="199">++IFERROR(AT53/AT$10,0)</f>
        <v>0</v>
      </c>
      <c r="AU54" s="27">
        <f t="shared" ref="AU54:AZ54" si="200">++IFERROR(AU53/AU$10,0)</f>
        <v>0</v>
      </c>
      <c r="AV54" s="27">
        <f t="shared" si="200"/>
        <v>0</v>
      </c>
      <c r="AW54" s="27">
        <f t="shared" si="200"/>
        <v>0</v>
      </c>
      <c r="AX54" s="27">
        <f t="shared" si="200"/>
        <v>0</v>
      </c>
      <c r="AY54" s="27">
        <f t="shared" si="200"/>
        <v>0</v>
      </c>
      <c r="AZ54" s="27">
        <f t="shared" si="200"/>
        <v>0</v>
      </c>
    </row>
    <row r="55" spans="3:52" x14ac:dyDescent="0.2">
      <c r="C55" s="182" t="s">
        <v>56</v>
      </c>
      <c r="D55" s="182"/>
      <c r="E55" s="182"/>
      <c r="F55" s="182"/>
      <c r="G55" s="188"/>
      <c r="H55" s="213">
        <f>++G57</f>
        <v>0</v>
      </c>
      <c r="I55" s="213">
        <f t="shared" ref="I55:M55" ca="1" si="201">++H57</f>
        <v>0</v>
      </c>
      <c r="J55" s="213">
        <f t="shared" ca="1" si="201"/>
        <v>0</v>
      </c>
      <c r="K55" s="213">
        <f t="shared" ca="1" si="201"/>
        <v>0</v>
      </c>
      <c r="L55" s="213">
        <f t="shared" ca="1" si="201"/>
        <v>0</v>
      </c>
      <c r="M55" s="213">
        <f t="shared" ca="1" si="201"/>
        <v>0</v>
      </c>
      <c r="N55" s="182"/>
      <c r="O55" s="182"/>
      <c r="V55" s="30"/>
      <c r="AH55" s="30"/>
      <c r="AI55" s="31"/>
      <c r="AJ55" s="31"/>
      <c r="AK55" s="31"/>
      <c r="AL55" s="31"/>
      <c r="AM55" s="31"/>
      <c r="AN55" s="31"/>
      <c r="AT55" s="30"/>
      <c r="AU55" s="31"/>
      <c r="AV55" s="31"/>
      <c r="AW55" s="31"/>
      <c r="AX55" s="31"/>
      <c r="AY55" s="31"/>
      <c r="AZ55" s="31"/>
    </row>
    <row r="56" spans="3:52" x14ac:dyDescent="0.2">
      <c r="C56" s="196" t="s">
        <v>57</v>
      </c>
      <c r="D56" s="196"/>
      <c r="E56" s="196"/>
      <c r="F56" s="217"/>
      <c r="G56" s="218"/>
      <c r="H56" s="203">
        <f ca="1">++SUM(H49,H51:H52)</f>
        <v>0</v>
      </c>
      <c r="I56" s="203">
        <f t="shared" ref="I56:M56" ca="1" si="202">++SUM(I49,I51:I52)</f>
        <v>0</v>
      </c>
      <c r="J56" s="203">
        <f t="shared" ca="1" si="202"/>
        <v>0</v>
      </c>
      <c r="K56" s="203">
        <f t="shared" ca="1" si="202"/>
        <v>0</v>
      </c>
      <c r="L56" s="203">
        <f t="shared" ca="1" si="202"/>
        <v>0</v>
      </c>
      <c r="M56" s="203">
        <f t="shared" ca="1" si="202"/>
        <v>0</v>
      </c>
      <c r="N56" s="182"/>
      <c r="O56" s="182"/>
      <c r="S56" s="1" t="s">
        <v>58</v>
      </c>
      <c r="V56" s="21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E56" s="1" t="s">
        <v>58</v>
      </c>
      <c r="AH56" s="23">
        <f>++$V56</f>
        <v>0</v>
      </c>
      <c r="AI56" s="24">
        <f>++IFERROR(AI$10*AI57,0)</f>
        <v>0</v>
      </c>
      <c r="AJ56" s="24">
        <f t="shared" ref="AJ56" si="203">++IFERROR(AJ$10*AJ57,0)</f>
        <v>0</v>
      </c>
      <c r="AK56" s="24">
        <f t="shared" ref="AK56" si="204">++IFERROR(AK$10*AK57,0)</f>
        <v>0</v>
      </c>
      <c r="AL56" s="24">
        <f t="shared" ref="AL56" si="205">++IFERROR(AL$10*AL57,0)</f>
        <v>0</v>
      </c>
      <c r="AM56" s="24">
        <f t="shared" ref="AM56" si="206">++IFERROR(AM$10*AM57,0)</f>
        <v>0</v>
      </c>
      <c r="AN56" s="24">
        <f t="shared" ref="AN56" si="207">++IFERROR(AN$10*AN57,0)</f>
        <v>0</v>
      </c>
      <c r="AQ56" s="1" t="s">
        <v>58</v>
      </c>
      <c r="AT56" s="23">
        <f>++$V56</f>
        <v>0</v>
      </c>
      <c r="AU56" s="24">
        <f>++IFERROR(AU$10*AU57,0)</f>
        <v>0</v>
      </c>
      <c r="AV56" s="24">
        <f t="shared" ref="AV56" si="208">++IFERROR(AV$10*AV57,0)</f>
        <v>0</v>
      </c>
      <c r="AW56" s="24">
        <f t="shared" ref="AW56" si="209">++IFERROR(AW$10*AW57,0)</f>
        <v>0</v>
      </c>
      <c r="AX56" s="24">
        <f t="shared" ref="AX56" si="210">++IFERROR(AX$10*AX57,0)</f>
        <v>0</v>
      </c>
      <c r="AY56" s="24">
        <f t="shared" ref="AY56" si="211">++IFERROR(AY$10*AY57,0)</f>
        <v>0</v>
      </c>
      <c r="AZ56" s="24">
        <f t="shared" ref="AZ56" si="212">++IFERROR(AZ$10*AZ57,0)</f>
        <v>0</v>
      </c>
    </row>
    <row r="57" spans="3:52" x14ac:dyDescent="0.2">
      <c r="C57" s="200" t="s">
        <v>59</v>
      </c>
      <c r="D57" s="182"/>
      <c r="E57" s="182"/>
      <c r="F57" s="182"/>
      <c r="G57" s="219">
        <f>++AA77</f>
        <v>0</v>
      </c>
      <c r="H57" s="220">
        <f ca="1">SUM(H55:H56)</f>
        <v>0</v>
      </c>
      <c r="I57" s="220">
        <f t="shared" ref="I57:M57" ca="1" si="213">SUM(I55:I56)</f>
        <v>0</v>
      </c>
      <c r="J57" s="220">
        <f t="shared" ca="1" si="213"/>
        <v>0</v>
      </c>
      <c r="K57" s="220">
        <f t="shared" ca="1" si="213"/>
        <v>0</v>
      </c>
      <c r="L57" s="220">
        <f t="shared" ca="1" si="213"/>
        <v>0</v>
      </c>
      <c r="M57" s="220">
        <f t="shared" ca="1" si="213"/>
        <v>0</v>
      </c>
      <c r="N57" s="182"/>
      <c r="O57" s="182"/>
      <c r="S57" s="25" t="s">
        <v>19</v>
      </c>
      <c r="V57" s="41">
        <f>++IFERROR(V56/V$10,0)</f>
        <v>0</v>
      </c>
      <c r="W57" s="27">
        <f t="shared" ref="W57:AB57" si="214">++IFERROR(W56/W$10,0)</f>
        <v>0</v>
      </c>
      <c r="X57" s="27">
        <f t="shared" si="214"/>
        <v>0</v>
      </c>
      <c r="Y57" s="27">
        <f t="shared" si="214"/>
        <v>0</v>
      </c>
      <c r="Z57" s="27">
        <f t="shared" si="214"/>
        <v>0</v>
      </c>
      <c r="AA57" s="27">
        <f t="shared" si="214"/>
        <v>0</v>
      </c>
      <c r="AB57" s="27">
        <f t="shared" si="214"/>
        <v>0</v>
      </c>
      <c r="AE57" s="25" t="s">
        <v>19</v>
      </c>
      <c r="AH57" s="41">
        <f>++IFERROR(AH56/AH$10,0)</f>
        <v>0</v>
      </c>
      <c r="AI57" s="161">
        <f>++W57</f>
        <v>0</v>
      </c>
      <c r="AJ57" s="29">
        <f>++AI57</f>
        <v>0</v>
      </c>
      <c r="AK57" s="29">
        <f t="shared" ref="AK57:AN57" si="215">++AJ57</f>
        <v>0</v>
      </c>
      <c r="AL57" s="29">
        <f t="shared" si="215"/>
        <v>0</v>
      </c>
      <c r="AM57" s="29">
        <f t="shared" si="215"/>
        <v>0</v>
      </c>
      <c r="AN57" s="29">
        <f t="shared" si="215"/>
        <v>0</v>
      </c>
      <c r="AQ57" s="25" t="s">
        <v>19</v>
      </c>
      <c r="AT57" s="41">
        <f>++IFERROR(AT56/AT$10,0)</f>
        <v>0</v>
      </c>
      <c r="AU57" s="161">
        <f>++W57</f>
        <v>0</v>
      </c>
      <c r="AV57" s="29">
        <f>++AU57</f>
        <v>0</v>
      </c>
      <c r="AW57" s="29">
        <f t="shared" ref="AW57:AZ57" si="216">++AV57</f>
        <v>0</v>
      </c>
      <c r="AX57" s="29">
        <f t="shared" si="216"/>
        <v>0</v>
      </c>
      <c r="AY57" s="29">
        <f t="shared" si="216"/>
        <v>0</v>
      </c>
      <c r="AZ57" s="29">
        <f t="shared" si="216"/>
        <v>0</v>
      </c>
    </row>
    <row r="58" spans="3:52" x14ac:dyDescent="0.2">
      <c r="C58" s="182"/>
      <c r="D58" s="182"/>
      <c r="E58" s="182"/>
      <c r="F58" s="182"/>
      <c r="G58" s="188"/>
      <c r="H58" s="182"/>
      <c r="I58" s="182"/>
      <c r="J58" s="182"/>
      <c r="K58" s="182"/>
      <c r="L58" s="182"/>
      <c r="M58" s="182"/>
      <c r="N58" s="182"/>
      <c r="O58" s="182"/>
    </row>
    <row r="59" spans="3:52" x14ac:dyDescent="0.2">
      <c r="C59" s="182" t="str">
        <f>++S64</f>
        <v>Revolver ($0.0MM)</v>
      </c>
      <c r="D59" s="182"/>
      <c r="E59" s="182"/>
      <c r="F59" s="182"/>
      <c r="G59" s="214">
        <f>++G136</f>
        <v>0</v>
      </c>
      <c r="H59" s="213">
        <f t="shared" ref="H59:M59" ca="1" si="217">++H136</f>
        <v>0</v>
      </c>
      <c r="I59" s="213">
        <f t="shared" ca="1" si="217"/>
        <v>0</v>
      </c>
      <c r="J59" s="213">
        <f t="shared" ca="1" si="217"/>
        <v>0</v>
      </c>
      <c r="K59" s="213">
        <f t="shared" ca="1" si="217"/>
        <v>0</v>
      </c>
      <c r="L59" s="213">
        <f t="shared" ca="1" si="217"/>
        <v>0</v>
      </c>
      <c r="M59" s="213">
        <f t="shared" ca="1" si="217"/>
        <v>0</v>
      </c>
      <c r="N59" s="182"/>
      <c r="O59" s="182"/>
      <c r="V59" s="31"/>
    </row>
    <row r="60" spans="3:52" x14ac:dyDescent="0.2">
      <c r="C60" s="182" t="str">
        <f>++$S65</f>
        <v>First Lien Term Loan</v>
      </c>
      <c r="D60" s="182"/>
      <c r="E60" s="182"/>
      <c r="F60" s="182"/>
      <c r="G60" s="204">
        <f>++G143</f>
        <v>0</v>
      </c>
      <c r="H60" s="203">
        <f t="shared" ref="H60:M60" ca="1" si="218">++H143</f>
        <v>0</v>
      </c>
      <c r="I60" s="203">
        <f t="shared" ca="1" si="218"/>
        <v>0</v>
      </c>
      <c r="J60" s="203">
        <f t="shared" ca="1" si="218"/>
        <v>0</v>
      </c>
      <c r="K60" s="203">
        <f t="shared" ca="1" si="218"/>
        <v>0</v>
      </c>
      <c r="L60" s="203">
        <f t="shared" ca="1" si="218"/>
        <v>0</v>
      </c>
      <c r="M60" s="203">
        <f t="shared" ca="1" si="218"/>
        <v>0</v>
      </c>
      <c r="N60" s="182"/>
      <c r="O60" s="182"/>
    </row>
    <row r="61" spans="3:52" outlineLevel="1" x14ac:dyDescent="0.2">
      <c r="C61" s="196" t="s">
        <v>60</v>
      </c>
      <c r="D61" s="196"/>
      <c r="E61" s="196"/>
      <c r="F61" s="217"/>
      <c r="G61" s="54">
        <v>0</v>
      </c>
      <c r="H61" s="203">
        <f>++G61+H47</f>
        <v>0</v>
      </c>
      <c r="I61" s="203">
        <f t="shared" ref="I61:M61" si="219">++H61+I47</f>
        <v>0</v>
      </c>
      <c r="J61" s="203">
        <f t="shared" si="219"/>
        <v>0</v>
      </c>
      <c r="K61" s="203">
        <f t="shared" si="219"/>
        <v>0</v>
      </c>
      <c r="L61" s="203">
        <f t="shared" si="219"/>
        <v>0</v>
      </c>
      <c r="M61" s="203">
        <f t="shared" si="219"/>
        <v>0</v>
      </c>
      <c r="N61" s="182"/>
      <c r="O61" s="182"/>
      <c r="S61" s="169" t="s">
        <v>61</v>
      </c>
      <c r="T61" s="170"/>
      <c r="U61" s="170"/>
      <c r="V61" s="170"/>
      <c r="W61" s="170"/>
      <c r="X61" s="170"/>
      <c r="Y61" s="170"/>
      <c r="Z61" s="170"/>
      <c r="AA61" s="170"/>
      <c r="AB61" s="171"/>
    </row>
    <row r="62" spans="3:52" outlineLevel="1" x14ac:dyDescent="0.2">
      <c r="C62" s="200" t="s">
        <v>62</v>
      </c>
      <c r="D62" s="182"/>
      <c r="E62" s="182"/>
      <c r="F62" s="182"/>
      <c r="G62" s="219">
        <f>++SUM(G59:G61)</f>
        <v>0</v>
      </c>
      <c r="H62" s="220">
        <f t="shared" ref="H62:M62" ca="1" si="220">++SUM(H59:H61)</f>
        <v>0</v>
      </c>
      <c r="I62" s="220">
        <f t="shared" ca="1" si="220"/>
        <v>0</v>
      </c>
      <c r="J62" s="220">
        <f t="shared" ca="1" si="220"/>
        <v>0</v>
      </c>
      <c r="K62" s="220">
        <f t="shared" ca="1" si="220"/>
        <v>0</v>
      </c>
      <c r="L62" s="220">
        <f t="shared" ca="1" si="220"/>
        <v>0</v>
      </c>
      <c r="M62" s="220">
        <f t="shared" ca="1" si="220"/>
        <v>0</v>
      </c>
      <c r="N62" s="182"/>
      <c r="O62" s="182"/>
    </row>
    <row r="63" spans="3:52" outlineLevel="1" x14ac:dyDescent="0.2">
      <c r="C63" s="182"/>
      <c r="D63" s="182"/>
      <c r="E63" s="182"/>
      <c r="F63" s="182"/>
      <c r="G63" s="188"/>
      <c r="H63" s="182"/>
      <c r="I63" s="182"/>
      <c r="J63" s="182"/>
      <c r="K63" s="182"/>
      <c r="L63" s="182"/>
      <c r="M63" s="182"/>
      <c r="N63" s="182"/>
      <c r="O63" s="182"/>
      <c r="S63" s="61" t="s">
        <v>63</v>
      </c>
      <c r="T63" s="32"/>
      <c r="U63" s="32"/>
      <c r="V63" s="32"/>
      <c r="W63" s="32"/>
      <c r="X63" s="62" t="s">
        <v>64</v>
      </c>
      <c r="Y63" s="63" t="s">
        <v>65</v>
      </c>
      <c r="Z63" s="62" t="s">
        <v>66</v>
      </c>
      <c r="AA63" s="64" t="s">
        <v>67</v>
      </c>
      <c r="AB63" s="65" t="s">
        <v>68</v>
      </c>
    </row>
    <row r="64" spans="3:52" outlineLevel="1" x14ac:dyDescent="0.2">
      <c r="C64" s="196" t="str">
        <f>++$S67</f>
        <v>Second Lien Term Loan</v>
      </c>
      <c r="D64" s="196"/>
      <c r="E64" s="196"/>
      <c r="F64" s="217"/>
      <c r="G64" s="204">
        <f>++G162</f>
        <v>0</v>
      </c>
      <c r="H64" s="203">
        <f t="shared" ref="H64:M64" si="221">++H162</f>
        <v>0</v>
      </c>
      <c r="I64" s="203">
        <f t="shared" ca="1" si="221"/>
        <v>0</v>
      </c>
      <c r="J64" s="203">
        <f t="shared" ca="1" si="221"/>
        <v>0</v>
      </c>
      <c r="K64" s="203">
        <f t="shared" ca="1" si="221"/>
        <v>0</v>
      </c>
      <c r="L64" s="203">
        <f t="shared" ca="1" si="221"/>
        <v>0</v>
      </c>
      <c r="M64" s="203">
        <f t="shared" ca="1" si="221"/>
        <v>0</v>
      </c>
      <c r="N64" s="182"/>
      <c r="O64" s="182"/>
      <c r="S64" s="1" t="str">
        <f>++"Revolver ("&amp;TEXT(X64/1000,"$#,##0.0")&amp;"MM)"</f>
        <v>Revolver ($0.0MM)</v>
      </c>
      <c r="X64" s="66">
        <v>0</v>
      </c>
      <c r="Y64" s="67">
        <v>0.02</v>
      </c>
      <c r="Z64" s="24">
        <f>++X64*Y64</f>
        <v>0</v>
      </c>
      <c r="AA64" s="68">
        <v>5</v>
      </c>
      <c r="AB64" s="24">
        <f>++IFERROR(Z64/AA64,0)</f>
        <v>0</v>
      </c>
    </row>
    <row r="65" spans="3:28" x14ac:dyDescent="0.2">
      <c r="C65" s="221" t="s">
        <v>69</v>
      </c>
      <c r="D65" s="222"/>
      <c r="E65" s="222"/>
      <c r="F65" s="223"/>
      <c r="G65" s="219">
        <f>++SUM(G62,G64)</f>
        <v>0</v>
      </c>
      <c r="H65" s="220">
        <f t="shared" ref="H65:M65" ca="1" si="222">++SUM(H62,H64)</f>
        <v>0</v>
      </c>
      <c r="I65" s="220">
        <f t="shared" ca="1" si="222"/>
        <v>0</v>
      </c>
      <c r="J65" s="220">
        <f t="shared" ca="1" si="222"/>
        <v>0</v>
      </c>
      <c r="K65" s="220">
        <f t="shared" ca="1" si="222"/>
        <v>0</v>
      </c>
      <c r="L65" s="220">
        <f t="shared" ca="1" si="222"/>
        <v>0</v>
      </c>
      <c r="M65" s="220">
        <f t="shared" ca="1" si="222"/>
        <v>0</v>
      </c>
      <c r="N65" s="182"/>
      <c r="O65" s="182"/>
      <c r="S65" s="165" t="s">
        <v>70</v>
      </c>
      <c r="T65" s="165"/>
      <c r="X65" s="36">
        <f>++V75</f>
        <v>0</v>
      </c>
      <c r="Y65" s="67">
        <f>++Y64</f>
        <v>0.02</v>
      </c>
      <c r="Z65" s="36">
        <f>++X65*Y65</f>
        <v>0</v>
      </c>
      <c r="AA65" s="68">
        <v>6</v>
      </c>
      <c r="AB65" s="36">
        <f t="shared" ref="AB65:AB68" si="223">++IFERROR(Z65/AA65,0)</f>
        <v>0</v>
      </c>
    </row>
    <row r="66" spans="3:28" x14ac:dyDescent="0.2">
      <c r="C66" s="182"/>
      <c r="D66" s="182"/>
      <c r="E66" s="182"/>
      <c r="F66" s="182"/>
      <c r="G66" s="188"/>
      <c r="H66" s="182"/>
      <c r="I66" s="182"/>
      <c r="J66" s="182"/>
      <c r="K66" s="182"/>
      <c r="L66" s="182"/>
      <c r="M66" s="182"/>
      <c r="N66" s="182"/>
      <c r="O66" s="182"/>
      <c r="S66" s="1" t="str">
        <f>++"First Lien DDTL ("&amp;TEXT(X66/1000,"$#,##0.0")&amp;"MM)"</f>
        <v>First Lien DDTL ($0.0MM)</v>
      </c>
      <c r="X66" s="70">
        <v>0</v>
      </c>
      <c r="Y66" s="67">
        <f t="shared" ref="Y66" si="224">++Y65</f>
        <v>0.02</v>
      </c>
      <c r="Z66" s="36">
        <f>++X66*Y66</f>
        <v>0</v>
      </c>
      <c r="AA66" s="68">
        <v>6</v>
      </c>
      <c r="AB66" s="36">
        <f t="shared" si="223"/>
        <v>0</v>
      </c>
    </row>
    <row r="67" spans="3:28" outlineLevel="1" x14ac:dyDescent="0.2">
      <c r="C67" s="196" t="str">
        <f>++$S68</f>
        <v>HoldCo PIK Notes</v>
      </c>
      <c r="D67" s="196"/>
      <c r="E67" s="196"/>
      <c r="F67" s="217"/>
      <c r="G67" s="204">
        <f>++G169</f>
        <v>0</v>
      </c>
      <c r="H67" s="203">
        <f t="shared" ref="H67:M67" si="225">++H169</f>
        <v>0</v>
      </c>
      <c r="I67" s="203">
        <f t="shared" si="225"/>
        <v>0</v>
      </c>
      <c r="J67" s="203">
        <f t="shared" si="225"/>
        <v>0</v>
      </c>
      <c r="K67" s="203">
        <f t="shared" si="225"/>
        <v>0</v>
      </c>
      <c r="L67" s="203">
        <f t="shared" si="225"/>
        <v>0</v>
      </c>
      <c r="M67" s="203">
        <f t="shared" si="225"/>
        <v>0</v>
      </c>
      <c r="N67" s="182"/>
      <c r="O67" s="182"/>
      <c r="S67" s="165" t="s">
        <v>71</v>
      </c>
      <c r="T67" s="165"/>
      <c r="X67" s="36">
        <f>++V77</f>
        <v>0</v>
      </c>
      <c r="Y67" s="67">
        <v>0</v>
      </c>
      <c r="Z67" s="36">
        <f>++X67*Y67</f>
        <v>0</v>
      </c>
      <c r="AA67" s="68">
        <v>0</v>
      </c>
      <c r="AB67" s="36">
        <f t="shared" si="223"/>
        <v>0</v>
      </c>
    </row>
    <row r="68" spans="3:28" outlineLevel="1" x14ac:dyDescent="0.2">
      <c r="C68" s="200" t="s">
        <v>72</v>
      </c>
      <c r="D68" s="182"/>
      <c r="E68" s="182"/>
      <c r="F68" s="182"/>
      <c r="G68" s="219">
        <f>++SUM(G65,G67)</f>
        <v>0</v>
      </c>
      <c r="H68" s="220">
        <f t="shared" ref="H68:M68" ca="1" si="226">++SUM(H65,H67)</f>
        <v>0</v>
      </c>
      <c r="I68" s="220">
        <f t="shared" ca="1" si="226"/>
        <v>0</v>
      </c>
      <c r="J68" s="220">
        <f t="shared" ca="1" si="226"/>
        <v>0</v>
      </c>
      <c r="K68" s="220">
        <f t="shared" ca="1" si="226"/>
        <v>0</v>
      </c>
      <c r="L68" s="220">
        <f t="shared" ca="1" si="226"/>
        <v>0</v>
      </c>
      <c r="M68" s="220">
        <f t="shared" ca="1" si="226"/>
        <v>0</v>
      </c>
      <c r="N68" s="182"/>
      <c r="O68" s="182"/>
      <c r="S68" s="166" t="s">
        <v>73</v>
      </c>
      <c r="T68" s="166"/>
      <c r="U68" s="32"/>
      <c r="V68" s="32"/>
      <c r="W68" s="32"/>
      <c r="X68" s="57">
        <f>++V78</f>
        <v>0</v>
      </c>
      <c r="Y68" s="71">
        <v>0</v>
      </c>
      <c r="Z68" s="57">
        <f>++X68*Y68</f>
        <v>0</v>
      </c>
      <c r="AA68" s="72">
        <v>0</v>
      </c>
      <c r="AB68" s="57">
        <f t="shared" si="223"/>
        <v>0</v>
      </c>
    </row>
    <row r="69" spans="3:28" outlineLevel="1" x14ac:dyDescent="0.2">
      <c r="C69" s="182"/>
      <c r="D69" s="182"/>
      <c r="E69" s="182"/>
      <c r="F69" s="182"/>
      <c r="G69" s="188"/>
      <c r="H69" s="182"/>
      <c r="I69" s="182"/>
      <c r="J69" s="182"/>
      <c r="K69" s="182"/>
      <c r="L69" s="182"/>
      <c r="M69" s="182"/>
      <c r="N69" s="182"/>
      <c r="O69" s="182"/>
      <c r="S69" s="38" t="s">
        <v>74</v>
      </c>
      <c r="X69" s="73">
        <f>++SUM(X64:X68)</f>
        <v>0</v>
      </c>
      <c r="Z69" s="73">
        <f>++SUM(Z64:Z68)</f>
        <v>0</v>
      </c>
      <c r="AB69" s="73">
        <f>++SUM(AB64:AB68)</f>
        <v>0</v>
      </c>
    </row>
    <row r="70" spans="3:28" x14ac:dyDescent="0.2">
      <c r="C70" s="224" t="s">
        <v>75</v>
      </c>
      <c r="D70" s="196"/>
      <c r="E70" s="196"/>
      <c r="F70" s="196"/>
      <c r="G70" s="218"/>
      <c r="H70" s="196"/>
      <c r="I70" s="196"/>
      <c r="J70" s="196"/>
      <c r="K70" s="196"/>
      <c r="L70" s="196"/>
      <c r="M70" s="196"/>
      <c r="N70" s="182"/>
      <c r="O70" s="182"/>
      <c r="V70" s="31"/>
    </row>
    <row r="71" spans="3:28" outlineLevel="1" x14ac:dyDescent="0.2">
      <c r="C71" s="225" t="s">
        <v>76</v>
      </c>
      <c r="D71" s="226"/>
      <c r="E71" s="226"/>
      <c r="F71" s="226"/>
      <c r="G71" s="227">
        <f>++IFERROR(SUM(-G57,G62)/G$20,0)</f>
        <v>0</v>
      </c>
      <c r="H71" s="228">
        <f t="shared" ref="H71:M71" ca="1" si="227">++IFERROR(SUM(-H57,H62)/H$20,0)</f>
        <v>0</v>
      </c>
      <c r="I71" s="228">
        <f t="shared" ca="1" si="227"/>
        <v>0</v>
      </c>
      <c r="J71" s="228">
        <f t="shared" ca="1" si="227"/>
        <v>0</v>
      </c>
      <c r="K71" s="228">
        <f t="shared" ca="1" si="227"/>
        <v>0</v>
      </c>
      <c r="L71" s="228">
        <f t="shared" ca="1" si="227"/>
        <v>0</v>
      </c>
      <c r="M71" s="229">
        <f t="shared" ca="1" si="227"/>
        <v>0</v>
      </c>
      <c r="N71" s="182"/>
      <c r="O71" s="182"/>
      <c r="S71" s="169" t="s">
        <v>77</v>
      </c>
      <c r="T71" s="170"/>
      <c r="U71" s="170"/>
      <c r="V71" s="170"/>
      <c r="W71" s="170"/>
      <c r="X71" s="170"/>
      <c r="Y71" s="170"/>
      <c r="Z71" s="170"/>
      <c r="AA71" s="170"/>
      <c r="AB71" s="171"/>
    </row>
    <row r="72" spans="3:28" outlineLevel="1" x14ac:dyDescent="0.2">
      <c r="C72" s="230" t="s">
        <v>78</v>
      </c>
      <c r="D72" s="226"/>
      <c r="E72" s="226"/>
      <c r="F72" s="226"/>
      <c r="G72" s="227">
        <f>++IFERROR(G62/G$20,0)</f>
        <v>0</v>
      </c>
      <c r="H72" s="228">
        <f t="shared" ref="H72:M72" ca="1" si="228">++IFERROR(H62/H$20,0)</f>
        <v>0</v>
      </c>
      <c r="I72" s="228">
        <f t="shared" ca="1" si="228"/>
        <v>0</v>
      </c>
      <c r="J72" s="228">
        <f t="shared" ca="1" si="228"/>
        <v>0</v>
      </c>
      <c r="K72" s="228">
        <f t="shared" ca="1" si="228"/>
        <v>0</v>
      </c>
      <c r="L72" s="228">
        <f t="shared" ca="1" si="228"/>
        <v>0</v>
      </c>
      <c r="M72" s="229">
        <f t="shared" ca="1" si="228"/>
        <v>0</v>
      </c>
      <c r="N72" s="182"/>
      <c r="O72" s="182"/>
    </row>
    <row r="73" spans="3:28" x14ac:dyDescent="0.2">
      <c r="C73" s="230" t="s">
        <v>79</v>
      </c>
      <c r="D73" s="226"/>
      <c r="E73" s="226"/>
      <c r="F73" s="226"/>
      <c r="G73" s="227">
        <f>++IFERROR(SUM(-G57,G65)/G$20,0)</f>
        <v>0</v>
      </c>
      <c r="H73" s="228">
        <f t="shared" ref="H73:M73" ca="1" si="229">++IFERROR(SUM(-H57,H65)/H$20,0)</f>
        <v>0</v>
      </c>
      <c r="I73" s="228">
        <f t="shared" ca="1" si="229"/>
        <v>0</v>
      </c>
      <c r="J73" s="228">
        <f t="shared" ca="1" si="229"/>
        <v>0</v>
      </c>
      <c r="K73" s="228">
        <f t="shared" ca="1" si="229"/>
        <v>0</v>
      </c>
      <c r="L73" s="228">
        <f t="shared" ca="1" si="229"/>
        <v>0</v>
      </c>
      <c r="M73" s="229">
        <f t="shared" ca="1" si="229"/>
        <v>0</v>
      </c>
      <c r="N73" s="182"/>
      <c r="O73" s="182"/>
      <c r="S73" s="74" t="s">
        <v>80</v>
      </c>
      <c r="T73" s="75"/>
      <c r="U73" s="75"/>
      <c r="V73" s="75"/>
      <c r="W73" s="75"/>
      <c r="X73" s="74" t="s">
        <v>81</v>
      </c>
      <c r="Y73" s="75"/>
      <c r="Z73" s="75"/>
      <c r="AA73" s="75"/>
      <c r="AB73" s="75"/>
    </row>
    <row r="74" spans="3:28" x14ac:dyDescent="0.2">
      <c r="C74" s="230" t="s">
        <v>82</v>
      </c>
      <c r="D74" s="226"/>
      <c r="E74" s="226"/>
      <c r="F74" s="226"/>
      <c r="G74" s="227">
        <f>++IFERROR(G65/G$20,0)</f>
        <v>0</v>
      </c>
      <c r="H74" s="228">
        <f t="shared" ref="H74:M74" ca="1" si="230">++IFERROR(H65/H$20,0)</f>
        <v>0</v>
      </c>
      <c r="I74" s="228">
        <f t="shared" ca="1" si="230"/>
        <v>0</v>
      </c>
      <c r="J74" s="228">
        <f t="shared" ca="1" si="230"/>
        <v>0</v>
      </c>
      <c r="K74" s="228">
        <f t="shared" ca="1" si="230"/>
        <v>0</v>
      </c>
      <c r="L74" s="228">
        <f t="shared" ca="1" si="230"/>
        <v>0</v>
      </c>
      <c r="M74" s="229">
        <f t="shared" ca="1" si="230"/>
        <v>0</v>
      </c>
      <c r="N74" s="182"/>
      <c r="O74" s="182"/>
      <c r="S74" s="76" t="str">
        <f>++S64</f>
        <v>Revolver ($0.0MM)</v>
      </c>
      <c r="T74" s="69"/>
      <c r="U74" s="69"/>
      <c r="V74" s="156">
        <v>0</v>
      </c>
      <c r="W74" s="77"/>
      <c r="X74" s="69" t="s">
        <v>83</v>
      </c>
      <c r="Y74" s="69"/>
      <c r="Z74" s="69"/>
      <c r="AA74" s="78">
        <f ca="1">++IFERROR(L$20*AB74,0)</f>
        <v>0</v>
      </c>
      <c r="AB74" s="79">
        <f ca="1">++IFERROR(AA74/G$20,0)</f>
        <v>0</v>
      </c>
    </row>
    <row r="75" spans="3:28" outlineLevel="1" x14ac:dyDescent="0.2">
      <c r="C75" s="230" t="s">
        <v>84</v>
      </c>
      <c r="D75" s="226"/>
      <c r="E75" s="226"/>
      <c r="F75" s="226"/>
      <c r="G75" s="227">
        <f>++IFERROR(SUM(-G57,G68)/G$20,0)</f>
        <v>0</v>
      </c>
      <c r="H75" s="228">
        <f t="shared" ref="H75:M75" ca="1" si="231">++IFERROR(SUM(-H57,H68)/H$20,0)</f>
        <v>0</v>
      </c>
      <c r="I75" s="228">
        <f t="shared" ca="1" si="231"/>
        <v>0</v>
      </c>
      <c r="J75" s="228">
        <f t="shared" ca="1" si="231"/>
        <v>0</v>
      </c>
      <c r="K75" s="228">
        <f t="shared" ca="1" si="231"/>
        <v>0</v>
      </c>
      <c r="L75" s="228">
        <f t="shared" ca="1" si="231"/>
        <v>0</v>
      </c>
      <c r="M75" s="229">
        <f t="shared" ca="1" si="231"/>
        <v>0</v>
      </c>
      <c r="N75" s="182"/>
      <c r="O75" s="182"/>
      <c r="S75" s="80" t="str">
        <f>++S65</f>
        <v>First Lien Term Loan</v>
      </c>
      <c r="V75" s="81">
        <f>++IFERROR(G$20*W75,0)</f>
        <v>0</v>
      </c>
      <c r="W75" s="82">
        <v>5</v>
      </c>
      <c r="X75" s="1" t="s">
        <v>85</v>
      </c>
      <c r="AA75" s="36">
        <f ca="1">++AA74*AB75</f>
        <v>0</v>
      </c>
      <c r="AB75" s="83">
        <v>0</v>
      </c>
    </row>
    <row r="76" spans="3:28" outlineLevel="1" x14ac:dyDescent="0.2">
      <c r="C76" s="231" t="s">
        <v>86</v>
      </c>
      <c r="D76" s="226"/>
      <c r="E76" s="226"/>
      <c r="F76" s="226"/>
      <c r="G76" s="227">
        <f>++IFERROR(G68/G$20,0)</f>
        <v>0</v>
      </c>
      <c r="H76" s="228">
        <f t="shared" ref="H76:M76" ca="1" si="232">++IFERROR(H68/H$20,0)</f>
        <v>0</v>
      </c>
      <c r="I76" s="228">
        <f t="shared" ca="1" si="232"/>
        <v>0</v>
      </c>
      <c r="J76" s="228">
        <f t="shared" ca="1" si="232"/>
        <v>0</v>
      </c>
      <c r="K76" s="228">
        <f t="shared" ca="1" si="232"/>
        <v>0</v>
      </c>
      <c r="L76" s="228">
        <f t="shared" ca="1" si="232"/>
        <v>0</v>
      </c>
      <c r="M76" s="232">
        <f t="shared" ca="1" si="232"/>
        <v>0</v>
      </c>
      <c r="N76" s="182"/>
      <c r="O76" s="182"/>
      <c r="S76" s="80" t="str">
        <f>++S66</f>
        <v>First Lien DDTL ($0.0MM)</v>
      </c>
      <c r="V76" s="157">
        <v>0</v>
      </c>
      <c r="W76" s="84"/>
      <c r="X76" s="1" t="s">
        <v>61</v>
      </c>
      <c r="AA76" s="36">
        <f>++Z69</f>
        <v>0</v>
      </c>
      <c r="AB76" s="85"/>
    </row>
    <row r="77" spans="3:28" x14ac:dyDescent="0.2">
      <c r="C77" s="222"/>
      <c r="D77" s="222"/>
      <c r="E77" s="222"/>
      <c r="F77" s="222"/>
      <c r="G77" s="233"/>
      <c r="H77" s="222"/>
      <c r="I77" s="222"/>
      <c r="J77" s="222"/>
      <c r="K77" s="222"/>
      <c r="L77" s="222"/>
      <c r="M77" s="222"/>
      <c r="N77" s="182"/>
      <c r="O77" s="182"/>
      <c r="S77" s="80" t="str">
        <f>++S67</f>
        <v>Second Lien Term Loan</v>
      </c>
      <c r="V77" s="81">
        <f>++IFERROR(G$20*W77,0)</f>
        <v>0</v>
      </c>
      <c r="W77" s="82">
        <v>0</v>
      </c>
      <c r="X77" s="87" t="s">
        <v>87</v>
      </c>
      <c r="AA77" s="157">
        <v>0</v>
      </c>
      <c r="AB77" s="85"/>
    </row>
    <row r="78" spans="3:28" x14ac:dyDescent="0.2">
      <c r="C78" s="212" t="s">
        <v>88</v>
      </c>
      <c r="D78" s="182"/>
      <c r="E78" s="182"/>
      <c r="F78" s="196"/>
      <c r="G78" s="218"/>
      <c r="H78" s="196"/>
      <c r="I78" s="182"/>
      <c r="J78" s="182"/>
      <c r="K78" s="182"/>
      <c r="L78" s="182"/>
      <c r="M78" s="182"/>
      <c r="N78" s="182"/>
      <c r="O78" s="182"/>
      <c r="S78" s="80" t="str">
        <f>++S68</f>
        <v>HoldCo PIK Notes</v>
      </c>
      <c r="V78" s="81">
        <f>++IFERROR(G$20*W78,0)</f>
        <v>0</v>
      </c>
      <c r="W78" s="82">
        <v>0</v>
      </c>
      <c r="X78" s="87" t="s">
        <v>89</v>
      </c>
      <c r="AA78" s="157">
        <v>0</v>
      </c>
      <c r="AB78" s="85"/>
    </row>
    <row r="79" spans="3:28" x14ac:dyDescent="0.2">
      <c r="C79" s="225" t="s">
        <v>90</v>
      </c>
      <c r="D79" s="234"/>
      <c r="E79" s="234"/>
      <c r="F79" s="234"/>
      <c r="G79" s="235">
        <f t="shared" ref="G79:M79" ca="1" si="233">++IFERROR(SUM(G39:G40)/-SUM(G42:G42),0)</f>
        <v>0</v>
      </c>
      <c r="H79" s="236">
        <f t="shared" ca="1" si="233"/>
        <v>0</v>
      </c>
      <c r="I79" s="236">
        <f t="shared" ca="1" si="233"/>
        <v>0</v>
      </c>
      <c r="J79" s="236">
        <f t="shared" ca="1" si="233"/>
        <v>0</v>
      </c>
      <c r="K79" s="236">
        <f t="shared" ca="1" si="233"/>
        <v>0</v>
      </c>
      <c r="L79" s="236">
        <f t="shared" ca="1" si="233"/>
        <v>0</v>
      </c>
      <c r="M79" s="237">
        <f t="shared" ca="1" si="233"/>
        <v>0</v>
      </c>
      <c r="N79" s="182"/>
      <c r="O79" s="182"/>
      <c r="S79" s="80" t="s">
        <v>91</v>
      </c>
      <c r="V79" s="157">
        <v>0</v>
      </c>
      <c r="W79" s="84"/>
      <c r="X79" s="87" t="s">
        <v>89</v>
      </c>
      <c r="AA79" s="157">
        <v>0</v>
      </c>
      <c r="AB79" s="85"/>
    </row>
    <row r="80" spans="3:28" x14ac:dyDescent="0.2">
      <c r="C80" s="230" t="s">
        <v>92</v>
      </c>
      <c r="D80" s="226"/>
      <c r="E80" s="226"/>
      <c r="F80" s="226"/>
      <c r="G80" s="227">
        <f ca="1">++IFERROR(SUM(G39:G40)/-SUM(G42,G46),0)</f>
        <v>0</v>
      </c>
      <c r="H80" s="228">
        <f t="shared" ref="H80:M80" ca="1" si="234">++IFERROR(SUM(H39:H40)/-SUM(H42,H46),0)</f>
        <v>0</v>
      </c>
      <c r="I80" s="228">
        <f t="shared" ca="1" si="234"/>
        <v>0</v>
      </c>
      <c r="J80" s="228">
        <f t="shared" ca="1" si="234"/>
        <v>0</v>
      </c>
      <c r="K80" s="228">
        <f t="shared" ca="1" si="234"/>
        <v>0</v>
      </c>
      <c r="L80" s="228">
        <f t="shared" ca="1" si="234"/>
        <v>0</v>
      </c>
      <c r="M80" s="229">
        <f t="shared" ca="1" si="234"/>
        <v>0</v>
      </c>
      <c r="N80" s="182"/>
      <c r="O80" s="182"/>
      <c r="S80" s="88" t="s">
        <v>93</v>
      </c>
      <c r="T80" s="32"/>
      <c r="U80" s="32"/>
      <c r="V80" s="89">
        <f ca="1">++V81-SUM(V74:V79)</f>
        <v>0</v>
      </c>
      <c r="W80" s="90"/>
      <c r="X80" s="91" t="s">
        <v>89</v>
      </c>
      <c r="Y80" s="32"/>
      <c r="Z80" s="32"/>
      <c r="AA80" s="158">
        <v>0</v>
      </c>
      <c r="AB80" s="90"/>
    </row>
    <row r="81" spans="3:28" x14ac:dyDescent="0.2">
      <c r="C81" s="231" t="s">
        <v>94</v>
      </c>
      <c r="D81" s="238"/>
      <c r="E81" s="238"/>
      <c r="F81" s="238"/>
      <c r="G81" s="239">
        <f ca="1">++IFERROR(SUM(G39:G41,G43:G44)/-SUM(G42,G46:G48),0)</f>
        <v>0</v>
      </c>
      <c r="H81" s="240">
        <f t="shared" ref="H81:M81" ca="1" si="235">++IFERROR(SUM(H39:H41,H43:H44)/-SUM(H42,H46:H48),0)</f>
        <v>0</v>
      </c>
      <c r="I81" s="240">
        <f t="shared" ca="1" si="235"/>
        <v>0</v>
      </c>
      <c r="J81" s="240">
        <f t="shared" ca="1" si="235"/>
        <v>0</v>
      </c>
      <c r="K81" s="240">
        <f t="shared" ca="1" si="235"/>
        <v>0</v>
      </c>
      <c r="L81" s="240">
        <f t="shared" ca="1" si="235"/>
        <v>0</v>
      </c>
      <c r="M81" s="232">
        <f t="shared" ca="1" si="235"/>
        <v>0</v>
      </c>
      <c r="N81" s="182"/>
      <c r="O81" s="182"/>
      <c r="S81" s="92" t="s">
        <v>95</v>
      </c>
      <c r="T81" s="32"/>
      <c r="U81" s="32"/>
      <c r="V81" s="93">
        <f ca="1">++AA81</f>
        <v>0</v>
      </c>
      <c r="W81" s="90"/>
      <c r="X81" s="61" t="s">
        <v>96</v>
      </c>
      <c r="Y81" s="32"/>
      <c r="Z81" s="32"/>
      <c r="AA81" s="93">
        <f ca="1">++SUM(AA74:AA80)</f>
        <v>0</v>
      </c>
      <c r="AB81" s="90"/>
    </row>
    <row r="82" spans="3:28" ht="5.0999999999999996" customHeight="1" x14ac:dyDescent="0.2"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</row>
    <row r="83" spans="3:28" ht="5.0999999999999996" customHeight="1" x14ac:dyDescent="0.2"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182"/>
      <c r="O83" s="182"/>
    </row>
    <row r="84" spans="3:28" x14ac:dyDescent="0.2">
      <c r="C84" s="212" t="s">
        <v>97</v>
      </c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</row>
    <row r="85" spans="3:28" x14ac:dyDescent="0.2">
      <c r="C85" s="182" t="s">
        <v>98</v>
      </c>
      <c r="D85" s="182"/>
      <c r="E85" s="182"/>
      <c r="F85" s="182"/>
      <c r="G85" s="182"/>
      <c r="H85" s="242">
        <f>++H206</f>
        <v>4.7022000000000001E-2</v>
      </c>
      <c r="I85" s="242">
        <f t="shared" ref="I85:M85" si="236">++I206</f>
        <v>3.1951258333333336E-2</v>
      </c>
      <c r="J85" s="242">
        <f t="shared" si="236"/>
        <v>2.8529725000000002E-2</v>
      </c>
      <c r="K85" s="242">
        <f t="shared" si="236"/>
        <v>2.9186975000000004E-2</v>
      </c>
      <c r="L85" s="242">
        <f t="shared" si="236"/>
        <v>3.0194133333333331E-2</v>
      </c>
      <c r="M85" s="242">
        <f t="shared" si="236"/>
        <v>3.115388333333333E-2</v>
      </c>
      <c r="N85" s="182"/>
      <c r="O85" s="182"/>
      <c r="W85" s="94">
        <f t="shared" ref="W85:AB85" ca="1" si="237">++H81</f>
        <v>0</v>
      </c>
      <c r="X85" s="94">
        <f t="shared" ca="1" si="237"/>
        <v>0</v>
      </c>
      <c r="Y85" s="94">
        <f t="shared" ca="1" si="237"/>
        <v>0</v>
      </c>
      <c r="Z85" s="94">
        <f t="shared" ca="1" si="237"/>
        <v>0</v>
      </c>
      <c r="AA85" s="94">
        <f t="shared" ca="1" si="237"/>
        <v>0</v>
      </c>
      <c r="AB85" s="94">
        <f t="shared" ca="1" si="237"/>
        <v>0</v>
      </c>
    </row>
    <row r="86" spans="3:28" ht="5.0999999999999996" customHeight="1" x14ac:dyDescent="0.2"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V86" s="176">
        <v>0</v>
      </c>
      <c r="W86" s="94">
        <f t="dataTable" ref="W86:AB90" dt2D="0" dtr="0" r1="G206" ca="1"/>
        <v>0</v>
      </c>
      <c r="X86" s="94">
        <v>0</v>
      </c>
      <c r="Y86" s="94">
        <v>0</v>
      </c>
      <c r="Z86" s="94">
        <v>0</v>
      </c>
      <c r="AA86" s="94">
        <v>0</v>
      </c>
      <c r="AB86" s="94">
        <v>0</v>
      </c>
    </row>
    <row r="87" spans="3:28" x14ac:dyDescent="0.2">
      <c r="C87" s="177" t="s">
        <v>99</v>
      </c>
      <c r="D87" s="243"/>
      <c r="E87" s="243"/>
      <c r="F87" s="243"/>
      <c r="G87" s="243"/>
      <c r="H87" s="244">
        <f>++W87</f>
        <v>0</v>
      </c>
      <c r="I87" s="244">
        <f t="shared" ref="I87:M90" si="238">++X87</f>
        <v>0</v>
      </c>
      <c r="J87" s="244">
        <f t="shared" si="238"/>
        <v>0</v>
      </c>
      <c r="K87" s="244">
        <f t="shared" si="238"/>
        <v>0</v>
      </c>
      <c r="L87" s="244">
        <f t="shared" si="238"/>
        <v>0</v>
      </c>
      <c r="M87" s="245">
        <f t="shared" si="238"/>
        <v>0</v>
      </c>
      <c r="N87" s="182"/>
      <c r="O87" s="182"/>
      <c r="V87" s="95">
        <f>++V86+0.5%</f>
        <v>5.0000000000000001E-3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</row>
    <row r="88" spans="3:28" x14ac:dyDescent="0.2">
      <c r="C88" s="178" t="s">
        <v>100</v>
      </c>
      <c r="D88" s="226"/>
      <c r="E88" s="226"/>
      <c r="F88" s="226"/>
      <c r="G88" s="226"/>
      <c r="H88" s="246">
        <f t="shared" ref="H88:H90" si="239">++W88</f>
        <v>0</v>
      </c>
      <c r="I88" s="246">
        <f t="shared" si="238"/>
        <v>0</v>
      </c>
      <c r="J88" s="246">
        <f t="shared" si="238"/>
        <v>0</v>
      </c>
      <c r="K88" s="246">
        <f t="shared" si="238"/>
        <v>0</v>
      </c>
      <c r="L88" s="246">
        <f t="shared" si="238"/>
        <v>0</v>
      </c>
      <c r="M88" s="247">
        <f t="shared" si="238"/>
        <v>0</v>
      </c>
      <c r="N88" s="182"/>
      <c r="O88" s="182"/>
      <c r="V88" s="95">
        <f t="shared" ref="V88:V90" si="240">++V87+0.5%</f>
        <v>0.01</v>
      </c>
      <c r="W88" s="94">
        <v>0</v>
      </c>
      <c r="X88" s="94">
        <v>0</v>
      </c>
      <c r="Y88" s="94">
        <v>0</v>
      </c>
      <c r="Z88" s="94">
        <v>0</v>
      </c>
      <c r="AA88" s="94">
        <v>0</v>
      </c>
      <c r="AB88" s="94">
        <v>0</v>
      </c>
    </row>
    <row r="89" spans="3:28" x14ac:dyDescent="0.2">
      <c r="C89" s="178" t="s">
        <v>101</v>
      </c>
      <c r="D89" s="226"/>
      <c r="E89" s="226"/>
      <c r="F89" s="226"/>
      <c r="G89" s="226"/>
      <c r="H89" s="246">
        <f t="shared" si="239"/>
        <v>0</v>
      </c>
      <c r="I89" s="246">
        <f t="shared" si="238"/>
        <v>0</v>
      </c>
      <c r="J89" s="246">
        <f t="shared" si="238"/>
        <v>0</v>
      </c>
      <c r="K89" s="246">
        <f t="shared" si="238"/>
        <v>0</v>
      </c>
      <c r="L89" s="246">
        <f t="shared" si="238"/>
        <v>0</v>
      </c>
      <c r="M89" s="247">
        <f t="shared" si="238"/>
        <v>0</v>
      </c>
      <c r="N89" s="182"/>
      <c r="O89" s="182"/>
      <c r="V89" s="95">
        <f t="shared" si="240"/>
        <v>1.4999999999999999E-2</v>
      </c>
      <c r="W89" s="94">
        <v>0</v>
      </c>
      <c r="X89" s="94">
        <v>0</v>
      </c>
      <c r="Y89" s="94">
        <v>0</v>
      </c>
      <c r="Z89" s="94">
        <v>0</v>
      </c>
      <c r="AA89" s="94">
        <v>0</v>
      </c>
      <c r="AB89" s="94">
        <v>0</v>
      </c>
    </row>
    <row r="90" spans="3:28" x14ac:dyDescent="0.2">
      <c r="C90" s="179" t="s">
        <v>102</v>
      </c>
      <c r="D90" s="248"/>
      <c r="E90" s="248"/>
      <c r="F90" s="248"/>
      <c r="G90" s="248"/>
      <c r="H90" s="249">
        <f t="shared" si="239"/>
        <v>0</v>
      </c>
      <c r="I90" s="249">
        <f t="shared" si="238"/>
        <v>0</v>
      </c>
      <c r="J90" s="249">
        <f t="shared" si="238"/>
        <v>0</v>
      </c>
      <c r="K90" s="249">
        <f t="shared" si="238"/>
        <v>0</v>
      </c>
      <c r="L90" s="249">
        <f t="shared" si="238"/>
        <v>0</v>
      </c>
      <c r="M90" s="250">
        <f t="shared" si="238"/>
        <v>0</v>
      </c>
      <c r="N90" s="182"/>
      <c r="O90" s="182"/>
      <c r="V90" s="95">
        <f t="shared" si="240"/>
        <v>0.02</v>
      </c>
      <c r="W90" s="94">
        <v>0</v>
      </c>
      <c r="X90" s="94">
        <v>0</v>
      </c>
      <c r="Y90" s="94">
        <v>0</v>
      </c>
      <c r="Z90" s="94">
        <v>0</v>
      </c>
      <c r="AA90" s="94">
        <v>0</v>
      </c>
      <c r="AB90" s="94">
        <v>0</v>
      </c>
    </row>
    <row r="91" spans="3:28" ht="4.5" customHeight="1" x14ac:dyDescent="0.2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3:28" ht="4.5" customHeight="1" x14ac:dyDescent="0.2"/>
    <row r="93" spans="3:28" x14ac:dyDescent="0.2">
      <c r="C93" s="96"/>
    </row>
    <row r="94" spans="3:28" x14ac:dyDescent="0.2">
      <c r="C94" s="96"/>
    </row>
    <row r="95" spans="3:28" x14ac:dyDescent="0.2">
      <c r="C95" s="96"/>
    </row>
    <row r="96" spans="3:28" x14ac:dyDescent="0.2">
      <c r="C96" s="96"/>
    </row>
    <row r="97" spans="2:28" x14ac:dyDescent="0.2">
      <c r="C97" s="96"/>
    </row>
    <row r="99" spans="2:28" outlineLevel="1" x14ac:dyDescent="0.2">
      <c r="B99" s="13" t="s">
        <v>5</v>
      </c>
      <c r="C99" s="169" t="s">
        <v>103</v>
      </c>
      <c r="D99" s="170"/>
      <c r="E99" s="170"/>
      <c r="F99" s="170"/>
      <c r="G99" s="170"/>
      <c r="H99" s="170"/>
      <c r="I99" s="170"/>
      <c r="J99" s="170"/>
      <c r="K99" s="170"/>
      <c r="L99" s="170"/>
      <c r="M99" s="171"/>
    </row>
    <row r="100" spans="2:28" ht="5.0999999999999996" customHeight="1" outlineLevel="1" x14ac:dyDescent="0.2">
      <c r="C100" s="76"/>
      <c r="D100" s="69"/>
      <c r="E100" s="69"/>
      <c r="F100" s="69"/>
      <c r="G100" s="86"/>
      <c r="H100" s="69"/>
      <c r="I100" s="69"/>
      <c r="J100" s="69"/>
      <c r="K100" s="69"/>
      <c r="L100" s="69"/>
      <c r="M100" s="97"/>
    </row>
    <row r="101" spans="2:28" outlineLevel="1" x14ac:dyDescent="0.2">
      <c r="C101" s="98" t="s">
        <v>103</v>
      </c>
      <c r="G101" s="19"/>
      <c r="M101" s="99"/>
    </row>
    <row r="102" spans="2:28" outlineLevel="1" x14ac:dyDescent="0.2">
      <c r="C102" s="100" t="s">
        <v>104</v>
      </c>
      <c r="G102" s="19"/>
      <c r="H102" s="40">
        <f t="shared" ref="H102:M102" ca="1" si="241">++SUM(H30:H31)</f>
        <v>0</v>
      </c>
      <c r="I102" s="40">
        <f t="shared" ca="1" si="241"/>
        <v>0</v>
      </c>
      <c r="J102" s="40">
        <f t="shared" ca="1" si="241"/>
        <v>0</v>
      </c>
      <c r="K102" s="40">
        <f t="shared" ca="1" si="241"/>
        <v>0</v>
      </c>
      <c r="L102" s="40">
        <f t="shared" ca="1" si="241"/>
        <v>0</v>
      </c>
      <c r="M102" s="101">
        <f t="shared" ca="1" si="241"/>
        <v>0</v>
      </c>
      <c r="S102"/>
      <c r="T102"/>
      <c r="U102"/>
      <c r="V102"/>
      <c r="W102"/>
      <c r="X102"/>
      <c r="Y102"/>
      <c r="Z102"/>
      <c r="AA102"/>
      <c r="AB102"/>
    </row>
    <row r="103" spans="2:28" outlineLevel="1" x14ac:dyDescent="0.2">
      <c r="C103" s="80"/>
      <c r="G103" s="19"/>
      <c r="M103" s="99"/>
      <c r="S103"/>
      <c r="T103"/>
      <c r="U103"/>
      <c r="V103"/>
      <c r="W103"/>
      <c r="X103"/>
      <c r="Y103"/>
      <c r="Z103"/>
      <c r="AA103"/>
      <c r="AB103"/>
    </row>
    <row r="104" spans="2:28" outlineLevel="1" x14ac:dyDescent="0.2">
      <c r="C104" s="80" t="s">
        <v>105</v>
      </c>
      <c r="G104" s="19"/>
      <c r="H104" s="58">
        <f>++SUM(-H29,H39)</f>
        <v>0</v>
      </c>
      <c r="I104" s="58">
        <f t="shared" ref="I104:M104" si="242">++SUM(-I29,I39)</f>
        <v>0</v>
      </c>
      <c r="J104" s="58">
        <f t="shared" si="242"/>
        <v>0</v>
      </c>
      <c r="K104" s="58">
        <f t="shared" si="242"/>
        <v>0</v>
      </c>
      <c r="L104" s="58">
        <f t="shared" si="242"/>
        <v>0</v>
      </c>
      <c r="M104" s="102">
        <f t="shared" si="242"/>
        <v>0</v>
      </c>
    </row>
    <row r="105" spans="2:28" outlineLevel="1" x14ac:dyDescent="0.2">
      <c r="C105" s="88" t="s">
        <v>106</v>
      </c>
      <c r="D105" s="32"/>
      <c r="E105" s="32"/>
      <c r="F105" s="32"/>
      <c r="G105" s="60"/>
      <c r="H105" s="103">
        <v>0.3</v>
      </c>
      <c r="I105" s="45">
        <f>++H105</f>
        <v>0.3</v>
      </c>
      <c r="J105" s="45">
        <f t="shared" ref="J105:M105" si="243">++I105</f>
        <v>0.3</v>
      </c>
      <c r="K105" s="45">
        <f t="shared" si="243"/>
        <v>0.3</v>
      </c>
      <c r="L105" s="45">
        <f t="shared" si="243"/>
        <v>0.3</v>
      </c>
      <c r="M105" s="104">
        <f t="shared" si="243"/>
        <v>0.3</v>
      </c>
    </row>
    <row r="106" spans="2:28" outlineLevel="1" x14ac:dyDescent="0.2">
      <c r="C106" s="100" t="s">
        <v>107</v>
      </c>
      <c r="G106" s="19"/>
      <c r="H106" s="40">
        <f>++H104*H105</f>
        <v>0</v>
      </c>
      <c r="I106" s="40">
        <f t="shared" ref="I106:M106" si="244">++I104*I105</f>
        <v>0</v>
      </c>
      <c r="J106" s="40">
        <f t="shared" si="244"/>
        <v>0</v>
      </c>
      <c r="K106" s="40">
        <f t="shared" si="244"/>
        <v>0</v>
      </c>
      <c r="L106" s="40">
        <f t="shared" si="244"/>
        <v>0</v>
      </c>
      <c r="M106" s="101">
        <f t="shared" si="244"/>
        <v>0</v>
      </c>
    </row>
    <row r="107" spans="2:28" outlineLevel="1" x14ac:dyDescent="0.2">
      <c r="C107" s="80"/>
      <c r="G107" s="19"/>
      <c r="M107" s="99"/>
    </row>
    <row r="108" spans="2:28" outlineLevel="1" x14ac:dyDescent="0.2">
      <c r="C108" s="80" t="s">
        <v>108</v>
      </c>
      <c r="G108" s="19"/>
      <c r="H108" s="50">
        <f>++G111</f>
        <v>0</v>
      </c>
      <c r="I108" s="50">
        <f t="shared" ref="I108:M108" ca="1" si="245">++H111</f>
        <v>0</v>
      </c>
      <c r="J108" s="50">
        <f t="shared" ca="1" si="245"/>
        <v>0</v>
      </c>
      <c r="K108" s="50">
        <f t="shared" ca="1" si="245"/>
        <v>0</v>
      </c>
      <c r="L108" s="50">
        <f t="shared" ca="1" si="245"/>
        <v>0</v>
      </c>
      <c r="M108" s="105">
        <f t="shared" ca="1" si="245"/>
        <v>0</v>
      </c>
    </row>
    <row r="109" spans="2:28" outlineLevel="1" x14ac:dyDescent="0.2">
      <c r="C109" s="80" t="s">
        <v>109</v>
      </c>
      <c r="G109" s="19"/>
      <c r="H109" s="53">
        <f ca="1">IF(H106&lt;H102,-(H106-H102),0)</f>
        <v>0</v>
      </c>
      <c r="I109" s="53">
        <f t="shared" ref="I109:M109" ca="1" si="246">IF(I106&lt;I102,-(I106-I102),0)</f>
        <v>0</v>
      </c>
      <c r="J109" s="53">
        <f t="shared" ca="1" si="246"/>
        <v>0</v>
      </c>
      <c r="K109" s="53">
        <f t="shared" ca="1" si="246"/>
        <v>0</v>
      </c>
      <c r="L109" s="53">
        <f t="shared" ca="1" si="246"/>
        <v>0</v>
      </c>
      <c r="M109" s="106">
        <f t="shared" ca="1" si="246"/>
        <v>0</v>
      </c>
    </row>
    <row r="110" spans="2:28" outlineLevel="1" x14ac:dyDescent="0.2">
      <c r="C110" s="88" t="s">
        <v>110</v>
      </c>
      <c r="D110" s="32"/>
      <c r="E110" s="32"/>
      <c r="F110" s="32"/>
      <c r="G110" s="60"/>
      <c r="H110" s="33">
        <f ca="1">-IF(H102&lt;H106,MIN(H108,H106-H102),0)</f>
        <v>0</v>
      </c>
      <c r="I110" s="33">
        <f t="shared" ref="I110:M110" ca="1" si="247">-IF(I102&lt;I106,MIN(I108,I106-I102),0)</f>
        <v>0</v>
      </c>
      <c r="J110" s="33">
        <f t="shared" ca="1" si="247"/>
        <v>0</v>
      </c>
      <c r="K110" s="33">
        <f t="shared" ca="1" si="247"/>
        <v>0</v>
      </c>
      <c r="L110" s="33">
        <f t="shared" ca="1" si="247"/>
        <v>0</v>
      </c>
      <c r="M110" s="107">
        <f t="shared" ca="1" si="247"/>
        <v>0</v>
      </c>
    </row>
    <row r="111" spans="2:28" outlineLevel="1" x14ac:dyDescent="0.2">
      <c r="C111" s="100" t="s">
        <v>111</v>
      </c>
      <c r="G111" s="108">
        <v>0</v>
      </c>
      <c r="H111" s="40">
        <f ca="1">++SUM(H108:H110)</f>
        <v>0</v>
      </c>
      <c r="I111" s="40">
        <f t="shared" ref="I111:M111" ca="1" si="248">++SUM(I108:I110)</f>
        <v>0</v>
      </c>
      <c r="J111" s="40">
        <f t="shared" ca="1" si="248"/>
        <v>0</v>
      </c>
      <c r="K111" s="40">
        <f t="shared" ca="1" si="248"/>
        <v>0</v>
      </c>
      <c r="L111" s="40">
        <f t="shared" ca="1" si="248"/>
        <v>0</v>
      </c>
      <c r="M111" s="101">
        <f t="shared" ca="1" si="248"/>
        <v>0</v>
      </c>
    </row>
    <row r="112" spans="2:28" outlineLevel="1" x14ac:dyDescent="0.2">
      <c r="C112" s="80"/>
      <c r="G112" s="19"/>
      <c r="M112" s="99"/>
    </row>
    <row r="113" spans="3:13" outlineLevel="1" x14ac:dyDescent="0.2">
      <c r="C113" s="100" t="s">
        <v>112</v>
      </c>
      <c r="G113" s="19"/>
      <c r="H113" s="73">
        <f ca="1">MIN(H106,H102-H110)</f>
        <v>0</v>
      </c>
      <c r="I113" s="73">
        <f t="shared" ref="I113:M113" ca="1" si="249">MIN(I106,I102-I110)</f>
        <v>0</v>
      </c>
      <c r="J113" s="73">
        <f t="shared" ca="1" si="249"/>
        <v>0</v>
      </c>
      <c r="K113" s="73">
        <f t="shared" ca="1" si="249"/>
        <v>0</v>
      </c>
      <c r="L113" s="73">
        <f t="shared" ca="1" si="249"/>
        <v>0</v>
      </c>
      <c r="M113" s="109">
        <f t="shared" ca="1" si="249"/>
        <v>0</v>
      </c>
    </row>
    <row r="114" spans="3:13" outlineLevel="1" x14ac:dyDescent="0.2">
      <c r="C114" s="80"/>
      <c r="G114" s="19"/>
      <c r="M114" s="99"/>
    </row>
    <row r="115" spans="3:13" outlineLevel="1" x14ac:dyDescent="0.2">
      <c r="C115" s="80" t="s">
        <v>113</v>
      </c>
      <c r="G115" s="19"/>
      <c r="H115" s="53">
        <f t="shared" ref="H115:M115" ca="1" si="250">++H33</f>
        <v>0</v>
      </c>
      <c r="I115" s="53">
        <f t="shared" ca="1" si="250"/>
        <v>0</v>
      </c>
      <c r="J115" s="53">
        <f t="shared" ca="1" si="250"/>
        <v>0</v>
      </c>
      <c r="K115" s="53">
        <f t="shared" ca="1" si="250"/>
        <v>0</v>
      </c>
      <c r="L115" s="53">
        <f t="shared" ca="1" si="250"/>
        <v>0</v>
      </c>
      <c r="M115" s="106">
        <f t="shared" ca="1" si="250"/>
        <v>0</v>
      </c>
    </row>
    <row r="116" spans="3:13" outlineLevel="1" x14ac:dyDescent="0.2">
      <c r="C116" s="80" t="s">
        <v>114</v>
      </c>
      <c r="G116" s="19"/>
      <c r="H116" s="53">
        <f ca="1">++H102</f>
        <v>0</v>
      </c>
      <c r="I116" s="53">
        <f t="shared" ref="I116:M116" ca="1" si="251">++I102</f>
        <v>0</v>
      </c>
      <c r="J116" s="53">
        <f t="shared" ca="1" si="251"/>
        <v>0</v>
      </c>
      <c r="K116" s="53">
        <f t="shared" ca="1" si="251"/>
        <v>0</v>
      </c>
      <c r="L116" s="53">
        <f t="shared" ca="1" si="251"/>
        <v>0</v>
      </c>
      <c r="M116" s="106">
        <f t="shared" ca="1" si="251"/>
        <v>0</v>
      </c>
    </row>
    <row r="117" spans="3:13" outlineLevel="1" x14ac:dyDescent="0.2">
      <c r="C117" s="88" t="s">
        <v>115</v>
      </c>
      <c r="D117" s="32"/>
      <c r="E117" s="32"/>
      <c r="F117" s="32"/>
      <c r="G117" s="60"/>
      <c r="H117" s="33">
        <f ca="1">++-H113</f>
        <v>0</v>
      </c>
      <c r="I117" s="33">
        <f t="shared" ref="I117:M117" ca="1" si="252">++-I113</f>
        <v>0</v>
      </c>
      <c r="J117" s="33">
        <f t="shared" ca="1" si="252"/>
        <v>0</v>
      </c>
      <c r="K117" s="33">
        <f t="shared" ca="1" si="252"/>
        <v>0</v>
      </c>
      <c r="L117" s="33">
        <f t="shared" ca="1" si="252"/>
        <v>0</v>
      </c>
      <c r="M117" s="107">
        <f t="shared" ca="1" si="252"/>
        <v>0</v>
      </c>
    </row>
    <row r="118" spans="3:13" outlineLevel="1" x14ac:dyDescent="0.2">
      <c r="C118" s="100" t="s">
        <v>116</v>
      </c>
      <c r="G118" s="19"/>
      <c r="H118" s="40">
        <f ca="1">++SUM(H115:H117)</f>
        <v>0</v>
      </c>
      <c r="I118" s="40">
        <f t="shared" ref="I118:M118" ca="1" si="253">++SUM(I115:I117)</f>
        <v>0</v>
      </c>
      <c r="J118" s="40">
        <f t="shared" ca="1" si="253"/>
        <v>0</v>
      </c>
      <c r="K118" s="40">
        <f t="shared" ca="1" si="253"/>
        <v>0</v>
      </c>
      <c r="L118" s="40">
        <f t="shared" ca="1" si="253"/>
        <v>0</v>
      </c>
      <c r="M118" s="101">
        <f t="shared" ca="1" si="253"/>
        <v>0</v>
      </c>
    </row>
    <row r="119" spans="3:13" outlineLevel="1" x14ac:dyDescent="0.2">
      <c r="C119" s="80"/>
      <c r="G119" s="19"/>
      <c r="M119" s="99"/>
    </row>
    <row r="120" spans="3:13" outlineLevel="1" x14ac:dyDescent="0.2">
      <c r="C120" s="80" t="s">
        <v>117</v>
      </c>
      <c r="G120" s="19"/>
      <c r="H120" s="53" t="str">
        <f>++H127</f>
        <v>`</v>
      </c>
      <c r="I120" s="53">
        <f t="shared" ref="I120:L120" ca="1" si="254">++I127</f>
        <v>0</v>
      </c>
      <c r="J120" s="53">
        <f t="shared" ca="1" si="254"/>
        <v>0</v>
      </c>
      <c r="K120" s="53">
        <f t="shared" ca="1" si="254"/>
        <v>0</v>
      </c>
      <c r="L120" s="53">
        <f t="shared" ca="1" si="254"/>
        <v>0</v>
      </c>
      <c r="M120" s="106">
        <f ca="1">++M127</f>
        <v>0</v>
      </c>
    </row>
    <row r="121" spans="3:13" outlineLevel="1" x14ac:dyDescent="0.2">
      <c r="C121" s="88" t="s">
        <v>118</v>
      </c>
      <c r="D121" s="32"/>
      <c r="E121" s="32"/>
      <c r="F121" s="32"/>
      <c r="G121" s="60"/>
      <c r="H121" s="103">
        <f>0.37+0.0425+0.0125</f>
        <v>0.42499999999999999</v>
      </c>
      <c r="I121" s="45">
        <f>++H121</f>
        <v>0.42499999999999999</v>
      </c>
      <c r="J121" s="45">
        <f t="shared" ref="J121:M121" si="255">++I121</f>
        <v>0.42499999999999999</v>
      </c>
      <c r="K121" s="45">
        <f t="shared" si="255"/>
        <v>0.42499999999999999</v>
      </c>
      <c r="L121" s="45">
        <f t="shared" si="255"/>
        <v>0.42499999999999999</v>
      </c>
      <c r="M121" s="104">
        <f t="shared" si="255"/>
        <v>0.42499999999999999</v>
      </c>
    </row>
    <row r="122" spans="3:13" outlineLevel="1" x14ac:dyDescent="0.2">
      <c r="C122" s="100" t="s">
        <v>119</v>
      </c>
      <c r="G122" s="19"/>
      <c r="H122" s="40">
        <f ca="1">IF(H118&gt;0,(H118+H120)*H121,0)</f>
        <v>0</v>
      </c>
      <c r="I122" s="40">
        <f t="shared" ref="I122:M122" ca="1" si="256">IF(I118&gt;0,(I118+I120)*I121,0)</f>
        <v>0</v>
      </c>
      <c r="J122" s="40">
        <f t="shared" ca="1" si="256"/>
        <v>0</v>
      </c>
      <c r="K122" s="40">
        <f t="shared" ca="1" si="256"/>
        <v>0</v>
      </c>
      <c r="L122" s="40">
        <f t="shared" ca="1" si="256"/>
        <v>0</v>
      </c>
      <c r="M122" s="101">
        <f t="shared" ca="1" si="256"/>
        <v>0</v>
      </c>
    </row>
    <row r="123" spans="3:13" outlineLevel="1" x14ac:dyDescent="0.2">
      <c r="C123" s="80"/>
      <c r="G123" s="19"/>
      <c r="M123" s="99"/>
    </row>
    <row r="124" spans="3:13" outlineLevel="1" x14ac:dyDescent="0.2">
      <c r="C124" s="98" t="s">
        <v>120</v>
      </c>
      <c r="G124" s="19"/>
      <c r="M124" s="99"/>
    </row>
    <row r="125" spans="3:13" outlineLevel="1" x14ac:dyDescent="0.2">
      <c r="C125" s="80" t="s">
        <v>121</v>
      </c>
      <c r="G125" s="19"/>
      <c r="H125" s="53">
        <f>++G128</f>
        <v>0</v>
      </c>
      <c r="I125" s="53">
        <f t="shared" ref="I125:M125" ca="1" si="257">++H128</f>
        <v>0</v>
      </c>
      <c r="J125" s="53">
        <f t="shared" ca="1" si="257"/>
        <v>0</v>
      </c>
      <c r="K125" s="53">
        <f t="shared" ca="1" si="257"/>
        <v>0</v>
      </c>
      <c r="L125" s="53">
        <f t="shared" ca="1" si="257"/>
        <v>0</v>
      </c>
      <c r="M125" s="106">
        <f t="shared" ca="1" si="257"/>
        <v>0</v>
      </c>
    </row>
    <row r="126" spans="3:13" outlineLevel="1" x14ac:dyDescent="0.2">
      <c r="C126" s="80" t="s">
        <v>122</v>
      </c>
      <c r="G126" s="19"/>
      <c r="H126" s="53">
        <f ca="1">+IF(H118&lt;0,-H118,0)</f>
        <v>0</v>
      </c>
      <c r="I126" s="53">
        <f t="shared" ref="I126:M126" ca="1" si="258">+IF(I118&lt;0,-I118,0)</f>
        <v>0</v>
      </c>
      <c r="J126" s="53">
        <f t="shared" ca="1" si="258"/>
        <v>0</v>
      </c>
      <c r="K126" s="53">
        <f t="shared" ca="1" si="258"/>
        <v>0</v>
      </c>
      <c r="L126" s="53">
        <f t="shared" ca="1" si="258"/>
        <v>0</v>
      </c>
      <c r="M126" s="106">
        <f t="shared" ca="1" si="258"/>
        <v>0</v>
      </c>
    </row>
    <row r="127" spans="3:13" outlineLevel="1" x14ac:dyDescent="0.2">
      <c r="C127" s="88" t="s">
        <v>123</v>
      </c>
      <c r="D127" s="32"/>
      <c r="E127" s="32"/>
      <c r="F127" s="32"/>
      <c r="G127" s="60"/>
      <c r="H127" s="33" t="s">
        <v>180</v>
      </c>
      <c r="I127" s="33">
        <f t="shared" ref="I127:M127" ca="1" si="259">+IF(I118&gt;0,-MIN(I125,I118),0)</f>
        <v>0</v>
      </c>
      <c r="J127" s="33">
        <f t="shared" ca="1" si="259"/>
        <v>0</v>
      </c>
      <c r="K127" s="33">
        <f t="shared" ca="1" si="259"/>
        <v>0</v>
      </c>
      <c r="L127" s="33">
        <f t="shared" ca="1" si="259"/>
        <v>0</v>
      </c>
      <c r="M127" s="107">
        <f t="shared" ca="1" si="259"/>
        <v>0</v>
      </c>
    </row>
    <row r="128" spans="3:13" outlineLevel="1" x14ac:dyDescent="0.2">
      <c r="C128" s="92" t="s">
        <v>124</v>
      </c>
      <c r="D128" s="32"/>
      <c r="E128" s="32"/>
      <c r="F128" s="32"/>
      <c r="G128" s="108">
        <v>0</v>
      </c>
      <c r="H128" s="62">
        <f ca="1">++SUM(H125:H127)</f>
        <v>0</v>
      </c>
      <c r="I128" s="62">
        <f t="shared" ref="I128:M128" ca="1" si="260">++SUM(I125:I127)</f>
        <v>0</v>
      </c>
      <c r="J128" s="62">
        <f t="shared" ca="1" si="260"/>
        <v>0</v>
      </c>
      <c r="K128" s="62">
        <f t="shared" ca="1" si="260"/>
        <v>0</v>
      </c>
      <c r="L128" s="62">
        <f t="shared" ca="1" si="260"/>
        <v>0</v>
      </c>
      <c r="M128" s="110">
        <f t="shared" ca="1" si="260"/>
        <v>0</v>
      </c>
    </row>
    <row r="129" spans="2:20" outlineLevel="1" x14ac:dyDescent="0.2"/>
    <row r="130" spans="2:20" outlineLevel="1" x14ac:dyDescent="0.2"/>
    <row r="131" spans="2:20" outlineLevel="1" x14ac:dyDescent="0.2">
      <c r="B131" s="13" t="s">
        <v>5</v>
      </c>
      <c r="C131" s="169" t="s">
        <v>125</v>
      </c>
      <c r="D131" s="167"/>
      <c r="E131" s="167"/>
      <c r="F131" s="167"/>
      <c r="G131" s="167"/>
      <c r="H131" s="167"/>
      <c r="I131" s="167"/>
      <c r="J131" s="167"/>
      <c r="K131" s="167"/>
      <c r="L131" s="167"/>
      <c r="M131" s="168"/>
    </row>
    <row r="132" spans="2:20" ht="5.0999999999999996" customHeight="1" outlineLevel="1" x14ac:dyDescent="0.2">
      <c r="C132" s="76"/>
      <c r="D132" s="69"/>
      <c r="E132" s="69"/>
      <c r="F132" s="69"/>
      <c r="G132" s="86"/>
      <c r="H132" s="69"/>
      <c r="I132" s="69"/>
      <c r="J132" s="69"/>
      <c r="K132" s="69"/>
      <c r="L132" s="69"/>
      <c r="M132" s="97"/>
    </row>
    <row r="133" spans="2:20" outlineLevel="1" x14ac:dyDescent="0.2">
      <c r="C133" s="98" t="s">
        <v>126</v>
      </c>
      <c r="G133" s="19"/>
      <c r="M133" s="99"/>
    </row>
    <row r="134" spans="2:20" outlineLevel="1" x14ac:dyDescent="0.2">
      <c r="C134" s="80" t="s">
        <v>56</v>
      </c>
      <c r="G134" s="19"/>
      <c r="H134" s="58">
        <f>++G136</f>
        <v>0</v>
      </c>
      <c r="I134" s="58">
        <f t="shared" ref="I134:M134" ca="1" si="261">++H136</f>
        <v>0</v>
      </c>
      <c r="J134" s="58">
        <f t="shared" ca="1" si="261"/>
        <v>0</v>
      </c>
      <c r="K134" s="58">
        <f t="shared" ca="1" si="261"/>
        <v>0</v>
      </c>
      <c r="L134" s="58">
        <f t="shared" ca="1" si="261"/>
        <v>0</v>
      </c>
      <c r="M134" s="102">
        <f t="shared" ca="1" si="261"/>
        <v>0</v>
      </c>
    </row>
    <row r="135" spans="2:20" outlineLevel="1" x14ac:dyDescent="0.2">
      <c r="C135" s="88" t="s">
        <v>127</v>
      </c>
      <c r="D135" s="32"/>
      <c r="E135" s="32"/>
      <c r="F135" s="32"/>
      <c r="G135" s="60"/>
      <c r="H135" s="33">
        <f ca="1">++IF(SUM(H49,H52,H55-$P$1)&lt;0,-SUM(H49,H52,H55-$P$1),IF(H134&gt;0,-MIN(H134,SUM(H49,H52,H55-$P$1)),0))</f>
        <v>0</v>
      </c>
      <c r="I135" s="33">
        <f t="shared" ref="I135:M135" ca="1" si="262">++IF(SUM(I49,I52,I55-$P$1)&lt;0,-SUM(I49,I52,I55-$P$1),IF(I134&gt;0,-MIN(I134,SUM(I49,I52,I55-$P$1)),0))</f>
        <v>0</v>
      </c>
      <c r="J135" s="33">
        <f t="shared" ca="1" si="262"/>
        <v>0</v>
      </c>
      <c r="K135" s="33">
        <f t="shared" ca="1" si="262"/>
        <v>0</v>
      </c>
      <c r="L135" s="33">
        <f t="shared" ca="1" si="262"/>
        <v>0</v>
      </c>
      <c r="M135" s="107">
        <f t="shared" ca="1" si="262"/>
        <v>0</v>
      </c>
    </row>
    <row r="136" spans="2:20" outlineLevel="1" x14ac:dyDescent="0.2">
      <c r="C136" s="100" t="s">
        <v>59</v>
      </c>
      <c r="G136" s="55">
        <f>++V74</f>
        <v>0</v>
      </c>
      <c r="H136" s="40">
        <f ca="1">++SUM(H134:H135)</f>
        <v>0</v>
      </c>
      <c r="I136" s="40">
        <f t="shared" ref="I136:M136" ca="1" si="263">++SUM(I134:I135)</f>
        <v>0</v>
      </c>
      <c r="J136" s="40">
        <f t="shared" ca="1" si="263"/>
        <v>0</v>
      </c>
      <c r="K136" s="40">
        <f t="shared" ca="1" si="263"/>
        <v>0</v>
      </c>
      <c r="L136" s="40">
        <f t="shared" ca="1" si="263"/>
        <v>0</v>
      </c>
      <c r="M136" s="101">
        <f t="shared" ca="1" si="263"/>
        <v>0</v>
      </c>
    </row>
    <row r="137" spans="2:20" outlineLevel="1" x14ac:dyDescent="0.2">
      <c r="C137" s="80"/>
      <c r="G137" s="19"/>
      <c r="M137" s="99"/>
    </row>
    <row r="138" spans="2:20" outlineLevel="1" x14ac:dyDescent="0.2">
      <c r="C138" s="98" t="s">
        <v>128</v>
      </c>
      <c r="G138" s="19"/>
      <c r="M138" s="99"/>
      <c r="S138" s="111" t="s">
        <v>129</v>
      </c>
      <c r="T138" s="112"/>
    </row>
    <row r="139" spans="2:20" outlineLevel="1" x14ac:dyDescent="0.2">
      <c r="C139" s="80" t="s">
        <v>56</v>
      </c>
      <c r="G139" s="19"/>
      <c r="H139" s="53">
        <f>++G143</f>
        <v>0</v>
      </c>
      <c r="I139" s="53">
        <f t="shared" ref="I139:M139" ca="1" si="264">++H143</f>
        <v>0</v>
      </c>
      <c r="J139" s="53">
        <f t="shared" ca="1" si="264"/>
        <v>0</v>
      </c>
      <c r="K139" s="53">
        <f t="shared" ca="1" si="264"/>
        <v>0</v>
      </c>
      <c r="L139" s="53">
        <f t="shared" ca="1" si="264"/>
        <v>0</v>
      </c>
      <c r="M139" s="106">
        <f t="shared" ca="1" si="264"/>
        <v>0</v>
      </c>
      <c r="S139" s="113" t="s">
        <v>130</v>
      </c>
      <c r="T139" s="113" t="s">
        <v>131</v>
      </c>
    </row>
    <row r="140" spans="2:20" outlineLevel="1" x14ac:dyDescent="0.2">
      <c r="C140" s="80" t="s">
        <v>132</v>
      </c>
      <c r="G140" s="19"/>
      <c r="H140" s="53">
        <f ca="1">++H150</f>
        <v>0</v>
      </c>
      <c r="I140" s="53">
        <f t="shared" ref="I140:M140" ca="1" si="265">++I150</f>
        <v>0</v>
      </c>
      <c r="J140" s="53">
        <f t="shared" ca="1" si="265"/>
        <v>0</v>
      </c>
      <c r="K140" s="53">
        <f t="shared" ca="1" si="265"/>
        <v>0</v>
      </c>
      <c r="L140" s="53">
        <f t="shared" ca="1" si="265"/>
        <v>0</v>
      </c>
      <c r="M140" s="106">
        <f t="shared" ca="1" si="265"/>
        <v>0</v>
      </c>
      <c r="S140" s="114">
        <f>++S141+0.5</f>
        <v>6</v>
      </c>
      <c r="T140" s="115">
        <v>0.03</v>
      </c>
    </row>
    <row r="141" spans="2:20" outlineLevel="1" x14ac:dyDescent="0.2">
      <c r="C141" s="80" t="s">
        <v>133</v>
      </c>
      <c r="G141" s="116">
        <v>0.01</v>
      </c>
      <c r="H141" s="48">
        <f ca="1">++-IF(G$72&gt;$S140,$T140,IF(G$72&gt;$S141,$T141,$T142))*SUM($G143,H140)*((MONTH(H$2)-MONTH(G$2))/12)</f>
        <v>0</v>
      </c>
      <c r="I141" s="48">
        <f ca="1">++-IF(H$72&gt;$S140,$T140,IF(H$72&gt;$S141,$T141,$T142))*SUM($G143,$H140:I140)</f>
        <v>0</v>
      </c>
      <c r="J141" s="48">
        <f ca="1">++-IF(I$72&gt;$S140,$T140,IF(I$72&gt;$S141,$T141,$T142))*SUM($G143,$H140:J140)</f>
        <v>0</v>
      </c>
      <c r="K141" s="48">
        <f ca="1">++-IF(J$72&gt;$S140,$T140,IF(J$72&gt;$S141,$T141,$T142))*SUM($G143,$H140:K140)</f>
        <v>0</v>
      </c>
      <c r="L141" s="48">
        <f ca="1">++-IF(K$72&gt;$S140,$T140,IF(K$72&gt;$S141,$T141,$T142))*SUM($G143,$H140:L140)</f>
        <v>0</v>
      </c>
      <c r="M141" s="117">
        <f ca="1">++-IF(L$72&gt;$S140,$T140,IF(L$72&gt;$S141,$T141,$T142))*SUM($G143,$H140:M140)</f>
        <v>0</v>
      </c>
      <c r="S141" s="114">
        <f>++S142+0.5</f>
        <v>5.5</v>
      </c>
      <c r="T141" s="115">
        <v>0.02</v>
      </c>
    </row>
    <row r="142" spans="2:20" outlineLevel="1" x14ac:dyDescent="0.2">
      <c r="C142" s="88" t="s">
        <v>52</v>
      </c>
      <c r="D142" s="32"/>
      <c r="E142" s="32"/>
      <c r="F142" s="32"/>
      <c r="G142" s="60"/>
      <c r="H142" s="33">
        <f t="shared" ref="H142:M142" si="266">++IF(G49&lt;=0,0,-G49*H$164-H161)</f>
        <v>0</v>
      </c>
      <c r="I142" s="33">
        <f t="shared" ca="1" si="266"/>
        <v>0</v>
      </c>
      <c r="J142" s="33">
        <f t="shared" ca="1" si="266"/>
        <v>0</v>
      </c>
      <c r="K142" s="33">
        <f t="shared" ca="1" si="266"/>
        <v>0</v>
      </c>
      <c r="L142" s="33">
        <f t="shared" ca="1" si="266"/>
        <v>0</v>
      </c>
      <c r="M142" s="107">
        <f t="shared" ca="1" si="266"/>
        <v>0</v>
      </c>
      <c r="S142" s="172">
        <f>++$W$75</f>
        <v>5</v>
      </c>
      <c r="T142" s="115">
        <v>0.01</v>
      </c>
    </row>
    <row r="143" spans="2:20" outlineLevel="1" x14ac:dyDescent="0.2">
      <c r="C143" s="100" t="s">
        <v>59</v>
      </c>
      <c r="G143" s="55">
        <f>++SUM(V75:V76)</f>
        <v>0</v>
      </c>
      <c r="H143" s="40">
        <f ca="1">++SUM(H139:H142)</f>
        <v>0</v>
      </c>
      <c r="I143" s="40">
        <f t="shared" ref="I143:M143" ca="1" si="267">++SUM(I139:I142)</f>
        <v>0</v>
      </c>
      <c r="J143" s="40">
        <f t="shared" ca="1" si="267"/>
        <v>0</v>
      </c>
      <c r="K143" s="40">
        <f t="shared" ca="1" si="267"/>
        <v>0</v>
      </c>
      <c r="L143" s="40">
        <f t="shared" ca="1" si="267"/>
        <v>0</v>
      </c>
      <c r="M143" s="101">
        <f t="shared" ca="1" si="267"/>
        <v>0</v>
      </c>
    </row>
    <row r="144" spans="2:20" outlineLevel="1" x14ac:dyDescent="0.2">
      <c r="C144" s="80"/>
      <c r="G144" s="19"/>
      <c r="M144" s="99"/>
    </row>
    <row r="145" spans="3:52" outlineLevel="1" x14ac:dyDescent="0.2">
      <c r="C145" s="98" t="s">
        <v>134</v>
      </c>
      <c r="G145" s="19"/>
      <c r="M145" s="99"/>
      <c r="S145" s="8" t="s">
        <v>135</v>
      </c>
      <c r="T145" s="9">
        <v>0</v>
      </c>
    </row>
    <row r="146" spans="3:52" outlineLevel="1" x14ac:dyDescent="0.2">
      <c r="C146" s="80" t="s">
        <v>136</v>
      </c>
      <c r="G146" s="119">
        <v>5</v>
      </c>
      <c r="H146" s="94">
        <f>++$G146</f>
        <v>5</v>
      </c>
      <c r="I146" s="94">
        <f t="shared" ref="I146:M146" si="268">++$G146</f>
        <v>5</v>
      </c>
      <c r="J146" s="94">
        <f t="shared" si="268"/>
        <v>5</v>
      </c>
      <c r="K146" s="94">
        <f t="shared" si="268"/>
        <v>5</v>
      </c>
      <c r="L146" s="94">
        <f t="shared" si="268"/>
        <v>5</v>
      </c>
      <c r="M146" s="85">
        <f t="shared" si="268"/>
        <v>5</v>
      </c>
    </row>
    <row r="147" spans="3:52" outlineLevel="1" x14ac:dyDescent="0.2">
      <c r="C147" s="80"/>
      <c r="G147" s="19"/>
      <c r="M147" s="99"/>
    </row>
    <row r="148" spans="3:52" outlineLevel="1" x14ac:dyDescent="0.2">
      <c r="C148" s="80" t="s">
        <v>137</v>
      </c>
      <c r="G148" s="19"/>
      <c r="H148" s="48">
        <f t="shared" ref="H148:M148" si="269">++CHOOSE(OpCase,W148,AI148,AU148)</f>
        <v>0</v>
      </c>
      <c r="I148" s="48">
        <f t="shared" si="269"/>
        <v>0</v>
      </c>
      <c r="J148" s="48">
        <f t="shared" si="269"/>
        <v>0</v>
      </c>
      <c r="K148" s="48">
        <f t="shared" si="269"/>
        <v>0</v>
      </c>
      <c r="L148" s="48">
        <f t="shared" si="269"/>
        <v>0</v>
      </c>
      <c r="M148" s="117">
        <f t="shared" si="269"/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2">
        <v>0</v>
      </c>
    </row>
    <row r="149" spans="3:52" outlineLevel="1" x14ac:dyDescent="0.2">
      <c r="C149" s="88" t="s">
        <v>138</v>
      </c>
      <c r="D149" s="32"/>
      <c r="E149" s="32"/>
      <c r="F149" s="32"/>
      <c r="G149" s="60"/>
      <c r="H149" s="120">
        <f ca="1">++IFERROR(MAX(MIN(H148,H20*H146-SUM(-H57,H136,H139,H141:H142),$F185-SUM($G148:G148)),0),0)</f>
        <v>0</v>
      </c>
      <c r="I149" s="120">
        <f ca="1">++IFERROR(MAX(MIN(I148,I20*I146-SUM(-I57,I136,I139,I141:I142),$F185-SUM($G148:H148)),0),0)</f>
        <v>0</v>
      </c>
      <c r="J149" s="120">
        <f ca="1">++IFERROR(MAX(MIN(J148,J20*J146-SUM(-J57,J136,J139,J141:J142),$F185-SUM($G148:I148)),0),0)</f>
        <v>0</v>
      </c>
      <c r="K149" s="120">
        <f ca="1">++IFERROR(MAX(MIN(K148,K20*K146-SUM(-K57,K136,K139,K141:K142),$F185-SUM($G148:J148)),0),0)</f>
        <v>0</v>
      </c>
      <c r="L149" s="120">
        <f ca="1">++IFERROR(MAX(MIN(L148,L20*L146-SUM(-L57,L136,L139,L141:L142),$F185-SUM($G148:K148)),0),0)</f>
        <v>0</v>
      </c>
      <c r="M149" s="121">
        <f ca="1">++IFERROR(MAX(MIN(M148,M20*M146-SUM(-M57,M136,M139,M141:M142),$F185-SUM($G148:L148)),0),0)</f>
        <v>0</v>
      </c>
    </row>
    <row r="150" spans="3:52" outlineLevel="1" x14ac:dyDescent="0.2">
      <c r="C150" s="100" t="s">
        <v>139</v>
      </c>
      <c r="G150" s="19"/>
      <c r="H150" s="39">
        <f ca="1">++H149</f>
        <v>0</v>
      </c>
      <c r="I150" s="39">
        <f t="shared" ref="I150:M150" ca="1" si="270">++I149</f>
        <v>0</v>
      </c>
      <c r="J150" s="39">
        <f t="shared" ca="1" si="270"/>
        <v>0</v>
      </c>
      <c r="K150" s="39">
        <f t="shared" ca="1" si="270"/>
        <v>0</v>
      </c>
      <c r="L150" s="39">
        <f t="shared" ca="1" si="270"/>
        <v>0</v>
      </c>
      <c r="M150" s="122">
        <f t="shared" ca="1" si="270"/>
        <v>0</v>
      </c>
    </row>
    <row r="151" spans="3:52" outlineLevel="1" x14ac:dyDescent="0.2">
      <c r="C151" s="80"/>
      <c r="G151" s="19"/>
      <c r="M151" s="99"/>
    </row>
    <row r="152" spans="3:52" outlineLevel="1" x14ac:dyDescent="0.2">
      <c r="C152" s="80" t="s">
        <v>140</v>
      </c>
      <c r="G152" s="19"/>
      <c r="H152" s="48">
        <f ca="1">++H148-H150</f>
        <v>0</v>
      </c>
      <c r="I152" s="48">
        <f t="shared" ref="I152:M152" ca="1" si="271">++I148-I150</f>
        <v>0</v>
      </c>
      <c r="J152" s="48">
        <f t="shared" ca="1" si="271"/>
        <v>0</v>
      </c>
      <c r="K152" s="48">
        <f t="shared" ca="1" si="271"/>
        <v>0</v>
      </c>
      <c r="L152" s="48">
        <f t="shared" ca="1" si="271"/>
        <v>0</v>
      </c>
      <c r="M152" s="117">
        <f t="shared" ca="1" si="271"/>
        <v>0</v>
      </c>
    </row>
    <row r="153" spans="3:52" outlineLevel="1" x14ac:dyDescent="0.2">
      <c r="C153" s="88" t="s">
        <v>141</v>
      </c>
      <c r="D153" s="32"/>
      <c r="E153" s="32"/>
      <c r="F153" s="32"/>
      <c r="G153" s="60"/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4">
        <v>0</v>
      </c>
    </row>
    <row r="154" spans="3:52" outlineLevel="1" x14ac:dyDescent="0.2">
      <c r="C154" s="100" t="s">
        <v>142</v>
      </c>
      <c r="G154" s="19"/>
      <c r="H154" s="39">
        <f ca="1">++SUM(H152:H153)</f>
        <v>0</v>
      </c>
      <c r="I154" s="39">
        <f t="shared" ref="I154:M154" ca="1" si="272">++SUM(I152:I153)</f>
        <v>0</v>
      </c>
      <c r="J154" s="39">
        <f t="shared" ca="1" si="272"/>
        <v>0</v>
      </c>
      <c r="K154" s="39">
        <f t="shared" ca="1" si="272"/>
        <v>0</v>
      </c>
      <c r="L154" s="39">
        <f t="shared" ca="1" si="272"/>
        <v>0</v>
      </c>
      <c r="M154" s="122">
        <f t="shared" ca="1" si="272"/>
        <v>0</v>
      </c>
    </row>
    <row r="155" spans="3:52" outlineLevel="1" x14ac:dyDescent="0.2">
      <c r="C155" s="80"/>
      <c r="G155" s="19"/>
      <c r="M155" s="99"/>
    </row>
    <row r="156" spans="3:52" outlineLevel="1" x14ac:dyDescent="0.2">
      <c r="C156" s="80"/>
      <c r="G156" s="19"/>
      <c r="M156" s="99"/>
    </row>
    <row r="157" spans="3:52" outlineLevel="1" x14ac:dyDescent="0.2">
      <c r="C157" s="98" t="s">
        <v>143</v>
      </c>
      <c r="G157" s="19"/>
      <c r="M157" s="99"/>
    </row>
    <row r="158" spans="3:52" outlineLevel="1" x14ac:dyDescent="0.2">
      <c r="C158" s="80" t="s">
        <v>56</v>
      </c>
      <c r="G158" s="19"/>
      <c r="H158" s="53">
        <f>++G162</f>
        <v>0</v>
      </c>
      <c r="I158" s="53">
        <f t="shared" ref="I158:M158" si="273">++H162</f>
        <v>0</v>
      </c>
      <c r="J158" s="53">
        <f t="shared" ca="1" si="273"/>
        <v>0</v>
      </c>
      <c r="K158" s="53">
        <f t="shared" ca="1" si="273"/>
        <v>0</v>
      </c>
      <c r="L158" s="53">
        <f t="shared" ca="1" si="273"/>
        <v>0</v>
      </c>
      <c r="M158" s="106">
        <f t="shared" ca="1" si="273"/>
        <v>0</v>
      </c>
    </row>
    <row r="159" spans="3:52" outlineLevel="1" x14ac:dyDescent="0.2">
      <c r="C159" s="80" t="s">
        <v>144</v>
      </c>
      <c r="G159" s="19"/>
      <c r="H159" s="53">
        <f>++IF($F174=0,H174,0)</f>
        <v>0</v>
      </c>
      <c r="I159" s="53">
        <f t="shared" ref="I159:M159" si="274">++IF($F174=0,I174,0)</f>
        <v>0</v>
      </c>
      <c r="J159" s="53">
        <f t="shared" si="274"/>
        <v>0</v>
      </c>
      <c r="K159" s="53">
        <f t="shared" si="274"/>
        <v>0</v>
      </c>
      <c r="L159" s="53">
        <f t="shared" si="274"/>
        <v>0</v>
      </c>
      <c r="M159" s="106">
        <f t="shared" si="274"/>
        <v>0</v>
      </c>
    </row>
    <row r="160" spans="3:52" outlineLevel="1" x14ac:dyDescent="0.2">
      <c r="C160" s="80" t="s">
        <v>133</v>
      </c>
      <c r="G160" s="125">
        <v>0</v>
      </c>
      <c r="H160" s="53">
        <f>++-$G162*$G160*YEARFRAC(G$2,H$2,1)</f>
        <v>0</v>
      </c>
      <c r="I160" s="53">
        <f>++-$G162*$G160</f>
        <v>0</v>
      </c>
      <c r="J160" s="53">
        <f t="shared" ref="J160:M160" si="275">++-$G162*$G160</f>
        <v>0</v>
      </c>
      <c r="K160" s="53">
        <f>++-$G162*$G160</f>
        <v>0</v>
      </c>
      <c r="L160" s="53">
        <f t="shared" si="275"/>
        <v>0</v>
      </c>
      <c r="M160" s="106">
        <f t="shared" si="275"/>
        <v>0</v>
      </c>
    </row>
    <row r="161" spans="3:23" outlineLevel="1" x14ac:dyDescent="0.2">
      <c r="C161" s="88" t="s">
        <v>145</v>
      </c>
      <c r="D161" s="32"/>
      <c r="E161" s="32"/>
      <c r="F161" s="32"/>
      <c r="G161" s="126">
        <v>0</v>
      </c>
      <c r="H161" s="33">
        <f t="shared" ref="H161:M161" si="276">++$G161*IF(G$49&lt;=0,0,G$49*-H164*$G$162/SUM($G$143,$G$162))</f>
        <v>0</v>
      </c>
      <c r="I161" s="33">
        <f t="shared" ca="1" si="276"/>
        <v>0</v>
      </c>
      <c r="J161" s="33">
        <f t="shared" ca="1" si="276"/>
        <v>0</v>
      </c>
      <c r="K161" s="33">
        <f t="shared" ca="1" si="276"/>
        <v>0</v>
      </c>
      <c r="L161" s="33">
        <f t="shared" ca="1" si="276"/>
        <v>0</v>
      </c>
      <c r="M161" s="107">
        <f t="shared" ca="1" si="276"/>
        <v>0</v>
      </c>
      <c r="S161" s="111" t="s">
        <v>146</v>
      </c>
      <c r="T161" s="112"/>
    </row>
    <row r="162" spans="3:23" outlineLevel="1" x14ac:dyDescent="0.2">
      <c r="C162" s="100" t="s">
        <v>59</v>
      </c>
      <c r="G162" s="55">
        <f>++V77</f>
        <v>0</v>
      </c>
      <c r="H162" s="40">
        <f>++SUM(H158:H161)</f>
        <v>0</v>
      </c>
      <c r="I162" s="40">
        <f t="shared" ref="I162:M162" ca="1" si="277">++SUM(I158:I161)</f>
        <v>0</v>
      </c>
      <c r="J162" s="40">
        <f t="shared" ca="1" si="277"/>
        <v>0</v>
      </c>
      <c r="K162" s="40">
        <f t="shared" ca="1" si="277"/>
        <v>0</v>
      </c>
      <c r="L162" s="40">
        <f t="shared" ca="1" si="277"/>
        <v>0</v>
      </c>
      <c r="M162" s="101">
        <f t="shared" ca="1" si="277"/>
        <v>0</v>
      </c>
      <c r="S162" s="113" t="s">
        <v>130</v>
      </c>
      <c r="T162" s="113" t="s">
        <v>131</v>
      </c>
    </row>
    <row r="163" spans="3:23" outlineLevel="1" x14ac:dyDescent="0.2">
      <c r="C163" s="80"/>
      <c r="G163" s="19"/>
      <c r="M163" s="99"/>
      <c r="S163" s="172">
        <f>++$W$75</f>
        <v>5</v>
      </c>
      <c r="T163" s="127">
        <v>0.5</v>
      </c>
    </row>
    <row r="164" spans="3:23" outlineLevel="1" x14ac:dyDescent="0.2">
      <c r="C164" s="128" t="s">
        <v>147</v>
      </c>
      <c r="D164" s="129"/>
      <c r="E164" s="129"/>
      <c r="F164" s="129"/>
      <c r="G164" s="130"/>
      <c r="H164" s="131">
        <v>0</v>
      </c>
      <c r="I164" s="131">
        <v>0</v>
      </c>
      <c r="J164" s="26">
        <f ca="1">++IF(I$73&gt;$S163,$T163,IF(I$73&gt;$S164,$T164,IF(I$73&gt;$S165,$T165,$T166)))</f>
        <v>0</v>
      </c>
      <c r="K164" s="26">
        <f t="shared" ref="K164:M164" ca="1" si="278">++IF(J$73&gt;$S163,$T163,IF(J$73&gt;$S164,$T164,IF(J$73&gt;$S165,$T165,$T166)))</f>
        <v>0</v>
      </c>
      <c r="L164" s="26">
        <f t="shared" ca="1" si="278"/>
        <v>0</v>
      </c>
      <c r="M164" s="132">
        <f t="shared" ca="1" si="278"/>
        <v>0</v>
      </c>
      <c r="S164" s="114">
        <f>++S163-0.5</f>
        <v>4.5</v>
      </c>
      <c r="T164" s="127">
        <v>0.25</v>
      </c>
    </row>
    <row r="165" spans="3:23" outlineLevel="1" x14ac:dyDescent="0.2">
      <c r="C165" s="80"/>
      <c r="G165" s="19"/>
      <c r="M165" s="99"/>
      <c r="S165" s="114">
        <f t="shared" ref="S165" si="279">++S164-0.5</f>
        <v>4</v>
      </c>
      <c r="T165" s="127">
        <v>0</v>
      </c>
    </row>
    <row r="166" spans="3:23" outlineLevel="1" x14ac:dyDescent="0.2">
      <c r="C166" s="98" t="s">
        <v>148</v>
      </c>
      <c r="G166" s="19"/>
      <c r="M166" s="99"/>
      <c r="S166" s="118"/>
      <c r="T166" s="127">
        <v>0</v>
      </c>
    </row>
    <row r="167" spans="3:23" outlineLevel="1" x14ac:dyDescent="0.2">
      <c r="C167" s="80" t="s">
        <v>56</v>
      </c>
      <c r="G167" s="19"/>
      <c r="H167" s="53">
        <f>++G169</f>
        <v>0</v>
      </c>
      <c r="I167" s="53">
        <f t="shared" ref="I167:M167" si="280">++H169</f>
        <v>0</v>
      </c>
      <c r="J167" s="53">
        <f t="shared" si="280"/>
        <v>0</v>
      </c>
      <c r="K167" s="53">
        <f t="shared" si="280"/>
        <v>0</v>
      </c>
      <c r="L167" s="53">
        <f t="shared" si="280"/>
        <v>0</v>
      </c>
      <c r="M167" s="106">
        <f t="shared" si="280"/>
        <v>0</v>
      </c>
    </row>
    <row r="168" spans="3:23" outlineLevel="1" x14ac:dyDescent="0.2">
      <c r="C168" s="88" t="s">
        <v>144</v>
      </c>
      <c r="D168" s="32"/>
      <c r="E168" s="32"/>
      <c r="F168" s="32"/>
      <c r="G168" s="60"/>
      <c r="H168" s="33">
        <f>++H175</f>
        <v>0</v>
      </c>
      <c r="I168" s="33">
        <f t="shared" ref="I168:M168" si="281">++I175</f>
        <v>0</v>
      </c>
      <c r="J168" s="33">
        <f t="shared" si="281"/>
        <v>0</v>
      </c>
      <c r="K168" s="33">
        <f t="shared" si="281"/>
        <v>0</v>
      </c>
      <c r="L168" s="33">
        <f t="shared" si="281"/>
        <v>0</v>
      </c>
      <c r="M168" s="107">
        <f t="shared" si="281"/>
        <v>0</v>
      </c>
    </row>
    <row r="169" spans="3:23" outlineLevel="1" x14ac:dyDescent="0.2">
      <c r="C169" s="100" t="s">
        <v>59</v>
      </c>
      <c r="G169" s="55">
        <f>++V78</f>
        <v>0</v>
      </c>
      <c r="H169" s="40">
        <f>++SUM(H167:H168)</f>
        <v>0</v>
      </c>
      <c r="I169" s="40">
        <f t="shared" ref="I169:M169" si="282">++SUM(I167:I168)</f>
        <v>0</v>
      </c>
      <c r="J169" s="40">
        <f t="shared" si="282"/>
        <v>0</v>
      </c>
      <c r="K169" s="40">
        <f t="shared" si="282"/>
        <v>0</v>
      </c>
      <c r="L169" s="40">
        <f t="shared" si="282"/>
        <v>0</v>
      </c>
      <c r="M169" s="101">
        <f t="shared" si="282"/>
        <v>0</v>
      </c>
    </row>
    <row r="170" spans="3:23" outlineLevel="1" x14ac:dyDescent="0.2">
      <c r="C170" s="80"/>
      <c r="G170" s="19"/>
      <c r="M170" s="99"/>
    </row>
    <row r="171" spans="3:23" outlineLevel="1" x14ac:dyDescent="0.2">
      <c r="C171" s="98" t="s">
        <v>149</v>
      </c>
      <c r="D171" s="133" t="s">
        <v>150</v>
      </c>
      <c r="E171" s="133" t="s">
        <v>151</v>
      </c>
      <c r="F171" s="133" t="s">
        <v>152</v>
      </c>
      <c r="G171" s="134" t="s">
        <v>153</v>
      </c>
      <c r="M171" s="99"/>
    </row>
    <row r="172" spans="3:23" outlineLevel="1" x14ac:dyDescent="0.2">
      <c r="C172" s="80" t="str">
        <f>++S64</f>
        <v>Revolver ($0.0MM)</v>
      </c>
      <c r="D172" s="135">
        <v>1</v>
      </c>
      <c r="E172" s="115">
        <v>3.5000000000000003E-2</v>
      </c>
      <c r="G172" s="19"/>
      <c r="H172" s="53">
        <f ca="1">++IFERROR(AVERAGE(H134,H136)*SUM(H180,$D172*H$206)*YEARFRAC(G$2,H$2,1),0)</f>
        <v>0</v>
      </c>
      <c r="I172" s="53">
        <f ca="1">++IFERROR(AVERAGE(I134,I136)*SUM(I180,$D172*I$206),0)</f>
        <v>0</v>
      </c>
      <c r="J172" s="53">
        <f ca="1">++IFERROR(AVERAGE(J134,J136)*SUM(J180,$D172*J$206),0)</f>
        <v>0</v>
      </c>
      <c r="K172" s="53">
        <f ca="1">++IFERROR(AVERAGE(K134,K136)*SUM(K180,$D172*K$206),0)</f>
        <v>0</v>
      </c>
      <c r="L172" s="53">
        <f ca="1">++IFERROR(AVERAGE(L134,L136)*SUM(L180,$D172*L$206),0)</f>
        <v>0</v>
      </c>
      <c r="M172" s="106">
        <f ca="1">++IFERROR(AVERAGE(M134,M136)*SUM(M180,$D172*M$206),0)</f>
        <v>0</v>
      </c>
      <c r="S172" s="111" t="s">
        <v>154</v>
      </c>
      <c r="T172" s="112"/>
      <c r="V172" s="111" t="s">
        <v>155</v>
      </c>
      <c r="W172" s="112"/>
    </row>
    <row r="173" spans="3:23" outlineLevel="1" x14ac:dyDescent="0.2">
      <c r="C173" s="80" t="str">
        <f>++S65</f>
        <v>First Lien Term Loan</v>
      </c>
      <c r="D173" s="135">
        <v>1</v>
      </c>
      <c r="E173" s="115">
        <v>5.5E-2</v>
      </c>
      <c r="G173" s="19"/>
      <c r="H173" s="53">
        <f ca="1">++IFERROR(AVERAGE(H139,H143)*SUM(H181,$D173*H$206)*YEARFRAC(G$2,H$2,1),0)</f>
        <v>0</v>
      </c>
      <c r="I173" s="53">
        <f ca="1">++IFERROR(AVERAGE(I139,I143)*SUM(I181,$D173*I$206),0)</f>
        <v>0</v>
      </c>
      <c r="J173" s="53">
        <f ca="1">++IFERROR(AVERAGE(J139,J143)*SUM(J181,$D173*J$206),0)</f>
        <v>0</v>
      </c>
      <c r="K173" s="53">
        <f ca="1">++IFERROR(AVERAGE(K139,K143)*SUM(K181,$D173*K$206),0)</f>
        <v>0</v>
      </c>
      <c r="L173" s="53">
        <f ca="1">++IFERROR(AVERAGE(L139,L143)*SUM(L181,$D173*L$206),0)</f>
        <v>0</v>
      </c>
      <c r="M173" s="106">
        <f ca="1">++IFERROR(AVERAGE(M139,M143)*SUM(M181,$D173*M$206),0)</f>
        <v>0</v>
      </c>
      <c r="S173" s="113" t="s">
        <v>130</v>
      </c>
      <c r="T173" s="113" t="s">
        <v>156</v>
      </c>
      <c r="V173" s="113" t="s">
        <v>130</v>
      </c>
      <c r="W173" s="113" t="s">
        <v>156</v>
      </c>
    </row>
    <row r="174" spans="3:23" outlineLevel="1" x14ac:dyDescent="0.2">
      <c r="C174" s="80" t="str">
        <f>++S67</f>
        <v>Second Lien Term Loan</v>
      </c>
      <c r="D174" s="135">
        <v>1</v>
      </c>
      <c r="E174" s="115">
        <v>0</v>
      </c>
      <c r="F174" s="136">
        <v>1</v>
      </c>
      <c r="G174" s="19"/>
      <c r="H174" s="53">
        <f>++IFERROR(AVERAGE(H158,H162)*SUM($E174,$D174*H$206)*YEARFRAC(G$2,H$2,1),0)</f>
        <v>0</v>
      </c>
      <c r="I174" s="53">
        <f ca="1">++IFERROR(AVERAGE(I158,I162)*SUM($E174,$D174*I$206),0)</f>
        <v>0</v>
      </c>
      <c r="J174" s="53">
        <f ca="1">++IFERROR(AVERAGE(J158,J162)*SUM($E174,$D174*J$206),0)</f>
        <v>0</v>
      </c>
      <c r="K174" s="53">
        <f ca="1">++IFERROR(AVERAGE(K158,K162)*SUM($E174,$D174*K$206),0)</f>
        <v>0</v>
      </c>
      <c r="L174" s="53">
        <f ca="1">++IFERROR(AVERAGE(L158,L162)*SUM($E174,$D174*L$206),0)</f>
        <v>0</v>
      </c>
      <c r="M174" s="106">
        <f ca="1">++IFERROR(AVERAGE(M158,M162)*SUM($E174,$D174*M$206),0)</f>
        <v>0</v>
      </c>
      <c r="S174" s="114">
        <f>++S175+0.5</f>
        <v>5.5</v>
      </c>
      <c r="T174" s="125">
        <f>++T175+0.25%</f>
        <v>5.7500000000000002E-2</v>
      </c>
      <c r="V174" s="114">
        <f>++V175+0.5</f>
        <v>5.5</v>
      </c>
      <c r="W174" s="125">
        <f>++W175+0.25%</f>
        <v>3.7500000000000006E-2</v>
      </c>
    </row>
    <row r="175" spans="3:23" outlineLevel="1" x14ac:dyDescent="0.2">
      <c r="C175" s="88" t="str">
        <f>++S68</f>
        <v>HoldCo PIK Notes</v>
      </c>
      <c r="D175" s="135">
        <v>0</v>
      </c>
      <c r="E175" s="115">
        <v>0.1</v>
      </c>
      <c r="F175" s="136">
        <v>0</v>
      </c>
      <c r="G175" s="137">
        <v>0</v>
      </c>
      <c r="H175" s="33">
        <f>++IFERROR(H167*SUM($E175,$D175*H$206)*YEARFRAC(G$2,H$2,1),0)</f>
        <v>0</v>
      </c>
      <c r="I175" s="33">
        <f>++IFERROR(I167*SUM($E175,$D175*I$206),0)</f>
        <v>0</v>
      </c>
      <c r="J175" s="33">
        <f>++IFERROR(J167*SUM($E175,$D175*J$206),0)</f>
        <v>0</v>
      </c>
      <c r="K175" s="33">
        <f>++IFERROR(K167*SUM($E175,$D175*K$206),0)</f>
        <v>0</v>
      </c>
      <c r="L175" s="33">
        <f>++IFERROR(L167*SUM($E175,$D175*L$206),0)</f>
        <v>0</v>
      </c>
      <c r="M175" s="107">
        <f>++IFERROR(M167*SUM($E175,$D175*M$206),0)</f>
        <v>0</v>
      </c>
      <c r="S175" s="172">
        <f>++$W$75</f>
        <v>5</v>
      </c>
      <c r="T175" s="173">
        <f>++E173</f>
        <v>5.5E-2</v>
      </c>
      <c r="V175" s="172">
        <f>++$W$75</f>
        <v>5</v>
      </c>
      <c r="W175" s="173">
        <f>++E172</f>
        <v>3.5000000000000003E-2</v>
      </c>
    </row>
    <row r="176" spans="3:23" outlineLevel="1" x14ac:dyDescent="0.2">
      <c r="C176" s="100" t="s">
        <v>157</v>
      </c>
      <c r="G176" s="19"/>
      <c r="H176" s="40">
        <f ca="1">++SUM(H172:H175)</f>
        <v>0</v>
      </c>
      <c r="I176" s="40">
        <f t="shared" ref="I176:M176" ca="1" si="283">++SUM(I172:I175)</f>
        <v>0</v>
      </c>
      <c r="J176" s="40">
        <f t="shared" ca="1" si="283"/>
        <v>0</v>
      </c>
      <c r="K176" s="40">
        <f t="shared" ca="1" si="283"/>
        <v>0</v>
      </c>
      <c r="L176" s="40">
        <f t="shared" ca="1" si="283"/>
        <v>0</v>
      </c>
      <c r="M176" s="101">
        <f t="shared" ca="1" si="283"/>
        <v>0</v>
      </c>
      <c r="S176" s="114">
        <f t="shared" ref="S176" si="284">++S175-0.5</f>
        <v>4.5</v>
      </c>
      <c r="T176" s="125">
        <f>++T175-0.25%</f>
        <v>5.2499999999999998E-2</v>
      </c>
      <c r="V176" s="114">
        <f t="shared" ref="V176" si="285">++V175-0.5</f>
        <v>4.5</v>
      </c>
      <c r="W176" s="125">
        <f>++W175-0.25%</f>
        <v>3.2500000000000001E-2</v>
      </c>
    </row>
    <row r="177" spans="3:13" outlineLevel="1" x14ac:dyDescent="0.2">
      <c r="C177" s="88" t="s">
        <v>158</v>
      </c>
      <c r="D177" s="32"/>
      <c r="E177" s="32"/>
      <c r="F177" s="32"/>
      <c r="G177" s="60"/>
      <c r="H177" s="33">
        <f>++IFERROR(IF($G175=0,-H175,0),0)</f>
        <v>0</v>
      </c>
      <c r="I177" s="33">
        <f t="shared" ref="I177:M177" si="286">++IFERROR(IF($G175=0,-I175,0),0)</f>
        <v>0</v>
      </c>
      <c r="J177" s="33">
        <f t="shared" si="286"/>
        <v>0</v>
      </c>
      <c r="K177" s="33">
        <f t="shared" si="286"/>
        <v>0</v>
      </c>
      <c r="L177" s="33">
        <f t="shared" si="286"/>
        <v>0</v>
      </c>
      <c r="M177" s="107">
        <f t="shared" si="286"/>
        <v>0</v>
      </c>
    </row>
    <row r="178" spans="3:13" outlineLevel="1" x14ac:dyDescent="0.2">
      <c r="C178" s="100" t="s">
        <v>159</v>
      </c>
      <c r="G178" s="19"/>
      <c r="H178" s="40">
        <f ca="1">++SUM(H176:H177)</f>
        <v>0</v>
      </c>
      <c r="I178" s="40">
        <f t="shared" ref="I178:M178" ca="1" si="287">++SUM(I176:I177)</f>
        <v>0</v>
      </c>
      <c r="J178" s="40">
        <f t="shared" ca="1" si="287"/>
        <v>0</v>
      </c>
      <c r="K178" s="40">
        <f t="shared" ca="1" si="287"/>
        <v>0</v>
      </c>
      <c r="L178" s="40">
        <f t="shared" ca="1" si="287"/>
        <v>0</v>
      </c>
      <c r="M178" s="101">
        <f t="shared" ca="1" si="287"/>
        <v>0</v>
      </c>
    </row>
    <row r="179" spans="3:13" outlineLevel="1" x14ac:dyDescent="0.2">
      <c r="C179" s="80"/>
      <c r="G179" s="19"/>
      <c r="M179" s="99"/>
    </row>
    <row r="180" spans="3:13" outlineLevel="1" x14ac:dyDescent="0.2">
      <c r="C180" s="128" t="s">
        <v>160</v>
      </c>
      <c r="D180" s="129"/>
      <c r="E180" s="129"/>
      <c r="F180" s="129"/>
      <c r="G180" s="130"/>
      <c r="H180" s="138">
        <f>++E172</f>
        <v>3.5000000000000003E-2</v>
      </c>
      <c r="I180" s="138">
        <f ca="1">++IFERROR(IF(H$73&gt;$V174,$W174,IF(H$73&gt;$V175,$W175,$W176)),0)</f>
        <v>3.2500000000000001E-2</v>
      </c>
      <c r="J180" s="138">
        <f t="shared" ref="J180:M180" ca="1" si="288">++IFERROR(IF(I$71&gt;$V174,$W174,IF(I$71&gt;$V175,$W175,$W176)),0)</f>
        <v>3.2500000000000001E-2</v>
      </c>
      <c r="K180" s="138">
        <f t="shared" ca="1" si="288"/>
        <v>3.2500000000000001E-2</v>
      </c>
      <c r="L180" s="138">
        <f t="shared" ca="1" si="288"/>
        <v>3.2500000000000001E-2</v>
      </c>
      <c r="M180" s="139">
        <f t="shared" ca="1" si="288"/>
        <v>3.2500000000000001E-2</v>
      </c>
    </row>
    <row r="181" spans="3:13" outlineLevel="1" x14ac:dyDescent="0.2">
      <c r="C181" s="128" t="s">
        <v>161</v>
      </c>
      <c r="D181" s="129"/>
      <c r="E181" s="129"/>
      <c r="F181" s="129"/>
      <c r="G181" s="130"/>
      <c r="H181" s="138">
        <f t="shared" ref="H181" si="289">++E173</f>
        <v>5.5E-2</v>
      </c>
      <c r="I181" s="138">
        <f ca="1">++IFERROR(IF(H$73&gt;$S174,$T174,IF(H$73&gt;$S175,$T175,$T176)),0)</f>
        <v>5.2499999999999998E-2</v>
      </c>
      <c r="J181" s="138">
        <f t="shared" ref="J181:M181" ca="1" si="290">++IFERROR(IF(I$73&gt;$S174,$T174,IF(I$73&gt;$S175,$T175,$T176)),0)</f>
        <v>5.2499999999999998E-2</v>
      </c>
      <c r="K181" s="138">
        <f t="shared" ca="1" si="290"/>
        <v>5.2499999999999998E-2</v>
      </c>
      <c r="L181" s="138">
        <f t="shared" ca="1" si="290"/>
        <v>5.2499999999999998E-2</v>
      </c>
      <c r="M181" s="139">
        <f t="shared" ca="1" si="290"/>
        <v>5.2499999999999998E-2</v>
      </c>
    </row>
    <row r="182" spans="3:13" outlineLevel="1" x14ac:dyDescent="0.2">
      <c r="C182" s="80"/>
      <c r="G182" s="19"/>
      <c r="M182" s="99"/>
    </row>
    <row r="183" spans="3:13" outlineLevel="1" x14ac:dyDescent="0.2">
      <c r="C183" s="98" t="s">
        <v>162</v>
      </c>
      <c r="F183" s="133" t="s">
        <v>74</v>
      </c>
      <c r="G183" s="134" t="s">
        <v>151</v>
      </c>
      <c r="M183" s="99"/>
    </row>
    <row r="184" spans="3:13" outlineLevel="1" x14ac:dyDescent="0.2">
      <c r="C184" s="80" t="s">
        <v>126</v>
      </c>
      <c r="F184" s="140">
        <f>++X64</f>
        <v>0</v>
      </c>
      <c r="G184" s="116">
        <v>5.0000000000000001E-3</v>
      </c>
      <c r="H184" s="53">
        <f ca="1">++IFERROR(MAX($F184-AVERAGE(H134,H136),0)*$G184*YEARFRAC(G$2,H$2,1),0)</f>
        <v>0</v>
      </c>
      <c r="I184" s="53">
        <f ca="1">++IFERROR(MAX($F184-AVERAGE(I134,I136),0)*$G184,0)</f>
        <v>0</v>
      </c>
      <c r="J184" s="53">
        <f ca="1">++IFERROR(MAX($F184-AVERAGE(J134,J136),0)*$G184,0)</f>
        <v>0</v>
      </c>
      <c r="K184" s="53">
        <f ca="1">++IFERROR(MAX($F184-AVERAGE(K134,K136),0)*$G184,0)</f>
        <v>0</v>
      </c>
      <c r="L184" s="53">
        <f ca="1">++IFERROR(MAX($F184-AVERAGE(L134,L136),0)*$G184,0)</f>
        <v>0</v>
      </c>
      <c r="M184" s="106">
        <f ca="1">++IFERROR(MAX($F184-AVERAGE(M134,M136),0)*$G184,0)</f>
        <v>0</v>
      </c>
    </row>
    <row r="185" spans="3:13" outlineLevel="1" x14ac:dyDescent="0.2">
      <c r="C185" s="88" t="s">
        <v>163</v>
      </c>
      <c r="D185" s="32"/>
      <c r="E185" s="32"/>
      <c r="F185" s="141">
        <f>++X66</f>
        <v>0</v>
      </c>
      <c r="G185" s="116">
        <v>0.01</v>
      </c>
      <c r="H185" s="33">
        <f ca="1">++IFERROR(($F185-SUM($G140:H140))*$G185*YEARFRAC(G$2,H$2,1),0)</f>
        <v>0</v>
      </c>
      <c r="I185" s="33">
        <f ca="1">++IFERROR(($F185-SUM($G140:I140))*$G185,0)</f>
        <v>0</v>
      </c>
      <c r="J185" s="33">
        <f ca="1">++IFERROR(($F185-SUM($G140:J140))*$G185,0)</f>
        <v>0</v>
      </c>
      <c r="K185" s="33">
        <f ca="1">++IFERROR(($F185-SUM($G140:K140))*$G185,0)</f>
        <v>0</v>
      </c>
      <c r="L185" s="33">
        <f ca="1">++IFERROR(($F185-SUM($G140:L140))*$G185,0)</f>
        <v>0</v>
      </c>
      <c r="M185" s="107">
        <f ca="1">++IFERROR(($F185-SUM($G140:M140))*$G185,0)</f>
        <v>0</v>
      </c>
    </row>
    <row r="186" spans="3:13" outlineLevel="1" x14ac:dyDescent="0.2">
      <c r="C186" s="100" t="s">
        <v>164</v>
      </c>
      <c r="G186" s="19"/>
      <c r="H186" s="40">
        <f ca="1">++SUM(H184:H185)</f>
        <v>0</v>
      </c>
      <c r="I186" s="40">
        <f t="shared" ref="I186:M186" ca="1" si="291">++SUM(I184:I185)</f>
        <v>0</v>
      </c>
      <c r="J186" s="40">
        <f t="shared" ca="1" si="291"/>
        <v>0</v>
      </c>
      <c r="K186" s="40">
        <f t="shared" ca="1" si="291"/>
        <v>0</v>
      </c>
      <c r="L186" s="40">
        <f t="shared" ca="1" si="291"/>
        <v>0</v>
      </c>
      <c r="M186" s="101">
        <f t="shared" ca="1" si="291"/>
        <v>0</v>
      </c>
    </row>
    <row r="187" spans="3:13" outlineLevel="1" x14ac:dyDescent="0.2">
      <c r="C187" s="80"/>
      <c r="G187" s="19"/>
      <c r="M187" s="99"/>
    </row>
    <row r="188" spans="3:13" outlineLevel="1" x14ac:dyDescent="0.2">
      <c r="C188" s="80" t="s">
        <v>165</v>
      </c>
      <c r="G188" s="19"/>
      <c r="H188" s="53">
        <f ca="1">++SUM(H178,H186)</f>
        <v>0</v>
      </c>
      <c r="I188" s="53">
        <f t="shared" ref="I188:M188" ca="1" si="292">++SUM(I178,I186)</f>
        <v>0</v>
      </c>
      <c r="J188" s="53">
        <f t="shared" ca="1" si="292"/>
        <v>0</v>
      </c>
      <c r="K188" s="53">
        <f t="shared" ca="1" si="292"/>
        <v>0</v>
      </c>
      <c r="L188" s="53">
        <f t="shared" ca="1" si="292"/>
        <v>0</v>
      </c>
      <c r="M188" s="106">
        <f t="shared" ca="1" si="292"/>
        <v>0</v>
      </c>
    </row>
    <row r="189" spans="3:13" outlineLevel="1" x14ac:dyDescent="0.2">
      <c r="C189" s="80" t="s">
        <v>166</v>
      </c>
      <c r="G189" s="19"/>
      <c r="H189" s="53">
        <f>++-H159</f>
        <v>0</v>
      </c>
      <c r="I189" s="53">
        <f t="shared" ref="I189:M189" si="293">++-I159</f>
        <v>0</v>
      </c>
      <c r="J189" s="53">
        <f t="shared" si="293"/>
        <v>0</v>
      </c>
      <c r="K189" s="53">
        <f t="shared" si="293"/>
        <v>0</v>
      </c>
      <c r="L189" s="53">
        <f t="shared" si="293"/>
        <v>0</v>
      </c>
      <c r="M189" s="106">
        <f t="shared" si="293"/>
        <v>0</v>
      </c>
    </row>
    <row r="190" spans="3:13" outlineLevel="1" x14ac:dyDescent="0.2">
      <c r="C190" s="88" t="s">
        <v>167</v>
      </c>
      <c r="D190" s="32"/>
      <c r="E190" s="32"/>
      <c r="F190" s="32"/>
      <c r="G190" s="60"/>
      <c r="H190" s="33">
        <f>++-SUM(H175,H177)</f>
        <v>0</v>
      </c>
      <c r="I190" s="33">
        <f t="shared" ref="I190:M190" si="294">++-SUM(I175,I177)</f>
        <v>0</v>
      </c>
      <c r="J190" s="33">
        <f t="shared" si="294"/>
        <v>0</v>
      </c>
      <c r="K190" s="33">
        <f t="shared" si="294"/>
        <v>0</v>
      </c>
      <c r="L190" s="33">
        <f t="shared" si="294"/>
        <v>0</v>
      </c>
      <c r="M190" s="107">
        <f t="shared" si="294"/>
        <v>0</v>
      </c>
    </row>
    <row r="191" spans="3:13" outlineLevel="1" x14ac:dyDescent="0.2">
      <c r="C191" s="100" t="s">
        <v>168</v>
      </c>
      <c r="G191" s="19"/>
      <c r="H191" s="40">
        <f ca="1">++SUM(H188:H190)</f>
        <v>0</v>
      </c>
      <c r="I191" s="40">
        <f t="shared" ref="I191:M191" ca="1" si="295">++SUM(I188:I190)</f>
        <v>0</v>
      </c>
      <c r="J191" s="40">
        <f t="shared" ca="1" si="295"/>
        <v>0</v>
      </c>
      <c r="K191" s="40">
        <f t="shared" ca="1" si="295"/>
        <v>0</v>
      </c>
      <c r="L191" s="40">
        <f t="shared" ca="1" si="295"/>
        <v>0</v>
      </c>
      <c r="M191" s="101">
        <f t="shared" ca="1" si="295"/>
        <v>0</v>
      </c>
    </row>
    <row r="192" spans="3:13" outlineLevel="1" x14ac:dyDescent="0.2">
      <c r="C192" s="80"/>
      <c r="G192" s="19"/>
      <c r="M192" s="99"/>
    </row>
    <row r="193" spans="3:13" outlineLevel="1" x14ac:dyDescent="0.2">
      <c r="C193" s="80" t="s">
        <v>169</v>
      </c>
      <c r="G193" s="142">
        <v>1</v>
      </c>
      <c r="M193" s="99"/>
    </row>
    <row r="194" spans="3:13" outlineLevel="1" x14ac:dyDescent="0.2">
      <c r="C194" s="80"/>
      <c r="G194" s="19"/>
      <c r="M194" s="99"/>
    </row>
    <row r="195" spans="3:13" outlineLevel="1" x14ac:dyDescent="0.2">
      <c r="C195" s="98" t="s">
        <v>170</v>
      </c>
      <c r="G195" s="19"/>
      <c r="M195" s="99"/>
    </row>
    <row r="196" spans="3:13" outlineLevel="1" x14ac:dyDescent="0.2">
      <c r="C196" s="80" t="s">
        <v>171</v>
      </c>
      <c r="G196" s="116">
        <v>0.01</v>
      </c>
      <c r="H196" s="143">
        <f t="shared" ref="H196" si="296">++$G196</f>
        <v>0.01</v>
      </c>
      <c r="I196" s="143">
        <f>++$G196</f>
        <v>0.01</v>
      </c>
      <c r="J196" s="143">
        <f>++$G196</f>
        <v>0.01</v>
      </c>
      <c r="K196" s="143">
        <f>++$G196</f>
        <v>0.01</v>
      </c>
      <c r="L196" s="143">
        <f>++$G196</f>
        <v>0.01</v>
      </c>
      <c r="M196" s="144">
        <f>++$G196</f>
        <v>0.01</v>
      </c>
    </row>
    <row r="197" spans="3:13" outlineLevel="1" x14ac:dyDescent="0.2">
      <c r="C197" s="80" t="s">
        <v>172</v>
      </c>
      <c r="G197" s="145"/>
      <c r="H197" s="116">
        <v>4.7022000000000001E-2</v>
      </c>
      <c r="I197" s="116">
        <v>3.1951258333333336E-2</v>
      </c>
      <c r="J197" s="116">
        <v>2.8529725000000002E-2</v>
      </c>
      <c r="K197" s="116">
        <v>2.9186975000000004E-2</v>
      </c>
      <c r="L197" s="116">
        <v>3.0194133333333331E-2</v>
      </c>
      <c r="M197" s="116">
        <v>3.115388333333333E-2</v>
      </c>
    </row>
    <row r="198" spans="3:13" outlineLevel="1" x14ac:dyDescent="0.2">
      <c r="C198" s="88" t="s">
        <v>173</v>
      </c>
      <c r="D198" s="32"/>
      <c r="E198" s="32"/>
      <c r="F198" s="32"/>
      <c r="G198" s="116">
        <v>0</v>
      </c>
      <c r="H198" s="146">
        <f t="shared" ref="H198" si="297">++$G198</f>
        <v>0</v>
      </c>
      <c r="I198" s="146">
        <f>++$G198</f>
        <v>0</v>
      </c>
      <c r="J198" s="146">
        <f>++$G198</f>
        <v>0</v>
      </c>
      <c r="K198" s="146">
        <f>++$G198</f>
        <v>0</v>
      </c>
      <c r="L198" s="146">
        <f>++$G198</f>
        <v>0</v>
      </c>
      <c r="M198" s="147">
        <f>++$G198</f>
        <v>0</v>
      </c>
    </row>
    <row r="199" spans="3:13" outlineLevel="1" x14ac:dyDescent="0.2">
      <c r="C199" s="100" t="s">
        <v>174</v>
      </c>
      <c r="D199" s="38"/>
      <c r="E199" s="38"/>
      <c r="F199" s="38"/>
      <c r="G199" s="148"/>
      <c r="H199" s="149">
        <f>++MAX(H196,SUM(H197:H198))</f>
        <v>4.7022000000000001E-2</v>
      </c>
      <c r="I199" s="149">
        <f t="shared" ref="I199:M199" si="298">++MAX(I196,SUM(I197:I198))</f>
        <v>3.1951258333333336E-2</v>
      </c>
      <c r="J199" s="149">
        <f t="shared" si="298"/>
        <v>2.8529725000000002E-2</v>
      </c>
      <c r="K199" s="149">
        <f t="shared" si="298"/>
        <v>2.9186975000000004E-2</v>
      </c>
      <c r="L199" s="149">
        <f t="shared" si="298"/>
        <v>3.0194133333333331E-2</v>
      </c>
      <c r="M199" s="150">
        <f t="shared" si="298"/>
        <v>3.115388333333333E-2</v>
      </c>
    </row>
    <row r="200" spans="3:13" outlineLevel="1" x14ac:dyDescent="0.2">
      <c r="C200" s="80"/>
      <c r="G200" s="19"/>
      <c r="M200" s="99"/>
    </row>
    <row r="201" spans="3:13" outlineLevel="1" x14ac:dyDescent="0.2">
      <c r="C201" s="98" t="s">
        <v>175</v>
      </c>
      <c r="G201" s="19"/>
      <c r="M201" s="99"/>
    </row>
    <row r="202" spans="3:13" outlineLevel="1" x14ac:dyDescent="0.2">
      <c r="C202" s="80" t="s">
        <v>176</v>
      </c>
      <c r="G202" s="116">
        <v>0.01</v>
      </c>
      <c r="H202" s="143">
        <f t="shared" ref="H202" si="299">++$G202</f>
        <v>0.01</v>
      </c>
      <c r="I202" s="143">
        <f>++$G202</f>
        <v>0.01</v>
      </c>
      <c r="J202" s="143">
        <f>++$G202</f>
        <v>0.01</v>
      </c>
      <c r="K202" s="143">
        <f>++$G202</f>
        <v>0.01</v>
      </c>
      <c r="L202" s="143">
        <f>++$G202</f>
        <v>0.01</v>
      </c>
      <c r="M202" s="144">
        <f>++$G202</f>
        <v>0.01</v>
      </c>
    </row>
    <row r="203" spans="3:13" outlineLevel="1" x14ac:dyDescent="0.2">
      <c r="C203" s="88" t="s">
        <v>177</v>
      </c>
      <c r="D203" s="32"/>
      <c r="E203" s="32"/>
      <c r="F203" s="32"/>
      <c r="G203" s="151"/>
      <c r="H203" s="116">
        <v>4.8968699999999997E-2</v>
      </c>
      <c r="I203" s="116">
        <v>4.3421599999999998E-2</v>
      </c>
      <c r="J203" s="116">
        <v>3.7094000000000002E-2</v>
      </c>
      <c r="K203" s="116">
        <v>3.5207099999999998E-2</v>
      </c>
      <c r="L203" s="116">
        <v>3.45016E-2</v>
      </c>
      <c r="M203" s="116">
        <v>3.38882E-2</v>
      </c>
    </row>
    <row r="204" spans="3:13" outlineLevel="1" x14ac:dyDescent="0.2">
      <c r="C204" s="100" t="s">
        <v>178</v>
      </c>
      <c r="D204" s="38"/>
      <c r="E204" s="38"/>
      <c r="F204" s="38"/>
      <c r="G204" s="148"/>
      <c r="H204" s="149">
        <f>++MAX(H202:H203)</f>
        <v>4.8968699999999997E-2</v>
      </c>
      <c r="I204" s="149">
        <f t="shared" ref="I204:M204" si="300">++MAX(I202:I203)</f>
        <v>4.3421599999999998E-2</v>
      </c>
      <c r="J204" s="149">
        <f t="shared" si="300"/>
        <v>3.7094000000000002E-2</v>
      </c>
      <c r="K204" s="149">
        <f t="shared" si="300"/>
        <v>3.5207099999999998E-2</v>
      </c>
      <c r="L204" s="149">
        <f t="shared" si="300"/>
        <v>3.45016E-2</v>
      </c>
      <c r="M204" s="150">
        <f t="shared" si="300"/>
        <v>3.38882E-2</v>
      </c>
    </row>
    <row r="205" spans="3:13" outlineLevel="1" x14ac:dyDescent="0.2">
      <c r="C205" s="80"/>
      <c r="G205" s="19"/>
      <c r="M205" s="99"/>
    </row>
    <row r="206" spans="3:13" outlineLevel="1" x14ac:dyDescent="0.2">
      <c r="C206" s="92" t="s">
        <v>179</v>
      </c>
      <c r="D206" s="32"/>
      <c r="E206" s="32"/>
      <c r="F206" s="32"/>
      <c r="G206" s="116">
        <v>0</v>
      </c>
      <c r="H206" s="152">
        <f>+IF($G193=1,H199,H204)+$G206</f>
        <v>4.7022000000000001E-2</v>
      </c>
      <c r="I206" s="152">
        <f t="shared" ref="I206:M206" si="301">+IF($G193=1,I199,I204)+$G206</f>
        <v>3.1951258333333336E-2</v>
      </c>
      <c r="J206" s="152">
        <f t="shared" si="301"/>
        <v>2.8529725000000002E-2</v>
      </c>
      <c r="K206" s="152">
        <f t="shared" si="301"/>
        <v>2.9186975000000004E-2</v>
      </c>
      <c r="L206" s="152">
        <f t="shared" si="301"/>
        <v>3.0194133333333331E-2</v>
      </c>
      <c r="M206" s="153">
        <f t="shared" si="301"/>
        <v>3.115388333333333E-2</v>
      </c>
    </row>
    <row r="207" spans="3:13" outlineLevel="1" x14ac:dyDescent="0.2"/>
    <row r="208" spans="3:13" outlineLevel="1" x14ac:dyDescent="0.2"/>
    <row r="209" spans="1:2" x14ac:dyDescent="0.2">
      <c r="A209" s="13" t="s">
        <v>5</v>
      </c>
      <c r="B209" s="13" t="s">
        <v>5</v>
      </c>
    </row>
  </sheetData>
  <conditionalFormatting sqref="F25:G29 G32 F39:G41 G41:G48 F47:G47">
    <cfRule type="expression" dxfId="6" priority="15">
      <formula>$P$2=1</formula>
    </cfRule>
  </conditionalFormatting>
  <conditionalFormatting sqref="G10 G20">
    <cfRule type="expression" dxfId="5" priority="5">
      <formula>$P$2=1</formula>
    </cfRule>
  </conditionalFormatting>
  <conditionalFormatting sqref="G11 F16:G16 F22:G22">
    <cfRule type="expression" dxfId="4" priority="7">
      <formula>$P$2=1</formula>
    </cfRule>
  </conditionalFormatting>
  <conditionalFormatting sqref="G14">
    <cfRule type="expression" dxfId="3" priority="6">
      <formula>$P$2=1</formula>
    </cfRule>
  </conditionalFormatting>
  <conditionalFormatting sqref="G19">
    <cfRule type="expression" dxfId="2" priority="3">
      <formula>$P$2=1</formula>
    </cfRule>
  </conditionalFormatting>
  <conditionalFormatting sqref="G61">
    <cfRule type="expression" dxfId="1" priority="1">
      <formula>$P$2=1</formula>
    </cfRule>
  </conditionalFormatting>
  <conditionalFormatting sqref="H47:M47">
    <cfRule type="expression" dxfId="0" priority="2">
      <formula>$P$2=1</formula>
    </cfRule>
  </conditionalFormatting>
  <pageMargins left="0.25" right="0.25" top="0.75" bottom="0.75" header="0.3" footer="0.3"/>
  <pageSetup scale="70" orientation="portrait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  <LoanXID xmlns="dc6d7f3b-2388-4907-95e9-67fe670791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20" ma:contentTypeDescription="Create a new document." ma:contentTypeScope="" ma:versionID="c2fbab9bba8e931dae7869dce07a7632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7f9b71cf218f09fb69a31198b8827546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FF76F9-D56E-476D-A101-35F759770133}">
  <ds:schemaRefs>
    <ds:schemaRef ds:uri="http://schemas.microsoft.com/office/2006/metadata/properties"/>
    <ds:schemaRef ds:uri="http://schemas.microsoft.com/office/infopath/2007/PartnerControls"/>
    <ds:schemaRef ds:uri="dc6d7f3b-2388-4907-95e9-67fe6707918b"/>
    <ds:schemaRef ds:uri="5adca3f6-50e5-45d3-816d-7d8e2e1aafa3"/>
  </ds:schemaRefs>
</ds:datastoreItem>
</file>

<file path=customXml/itemProps2.xml><?xml version="1.0" encoding="utf-8"?>
<ds:datastoreItem xmlns:ds="http://schemas.openxmlformats.org/officeDocument/2006/customXml" ds:itemID="{8CC1B801-2FF3-4F40-9949-F8665EF81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d7f3b-2388-4907-95e9-67fe6707918b"/>
    <ds:schemaRef ds:uri="5adca3f6-50e5-45d3-816d-7d8e2e1aa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A5CEC6-DD2F-4B14-A4F5-9A8691577D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Model</vt:lpstr>
      <vt:lpstr>OpCase</vt:lpstr>
      <vt:lpstr>Model!Print_Area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Anderson</dc:creator>
  <cp:keywords/>
  <dc:description/>
  <cp:lastModifiedBy>Jamie Anderson</cp:lastModifiedBy>
  <cp:revision/>
  <dcterms:created xsi:type="dcterms:W3CDTF">2024-08-23T17:43:42Z</dcterms:created>
  <dcterms:modified xsi:type="dcterms:W3CDTF">2026-04-28T20:01:45Z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{E29A3E7A-E776-426C-8158-081B75B772C8}</vt:lpwstr>
  </property>
  <property fmtid="{D5CDD505-2E9C-101B-9397-08002B2CF9AE}" pid="3" name="ContentTypeId">
    <vt:lpwstr>0x0101000CD5D7B6EDD6B944996098F92CD81FE4</vt:lpwstr>
  </property>
  <property fmtid="{D5CDD505-2E9C-101B-9397-08002B2CF9AE}" pid="4" name="MediaServiceImageTags">
    <vt:lpwstr/>
  </property>
</Properties>
</file>