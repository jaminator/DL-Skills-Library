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mc:AlternateContent xmlns:mc="http://schemas.openxmlformats.org/markup-compatibility/2006">
    <mc:Choice Requires="x15">
      <x15ac:absPath xmlns:x15ac="http://schemas.microsoft.com/office/spreadsheetml/2010/11/ac" url="https://centerbridge.sharepoint.com/sites/Overland/Shared Documents/00 Underwriting Templates/03 Excel Templates/"/>
    </mc:Choice>
  </mc:AlternateContent>
  <xr:revisionPtr revIDLastSave="18" documentId="8_{9D3CD011-93B4-40FC-8EBD-CFE72BBE3DB1}" xr6:coauthVersionLast="47" xr6:coauthVersionMax="47" xr10:uidLastSave="{E344DA34-7331-4E87-883E-A4E5C47588D5}"/>
  <bookViews>
    <workbookView xWindow="71880" yWindow="-120" windowWidth="29040" windowHeight="17520" firstSheet="2" activeTab="2" xr2:uid="{1426941F-DD0F-40D5-88AE-AD8456F0CDB1}"/>
  </bookViews>
  <sheets>
    <sheet name="__snloffice" sheetId="25" state="veryHidden" r:id="rId1"/>
    <sheet name="_CIQHiddenCacheSheet" sheetId="24" state="veryHidden" r:id="rId2"/>
    <sheet name="Public Comparables" sheetId="15" r:id="rId3"/>
    <sheet name="Precedent Trx" sheetId="10" r:id="rId4"/>
  </sheets>
  <definedNames>
    <definedName name="CIQWBGuid" hidden="1">"8e76f7ba-1617-4442-b6e4-725e176c39cb"</definedName>
    <definedName name="CIQWBInfo" hidden="1">"{ ""CIQVersion"":""9.51.3510.3078"" }"</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45706.5960069444</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s>
  <calcPr calcId="191028" calcMode="autoNoTable"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15" l="1"/>
  <c r="BJ10" i="15"/>
  <c r="BD10" i="15"/>
  <c r="BE10" i="15"/>
  <c r="BF10" i="15"/>
  <c r="BG10" i="15"/>
  <c r="BH10" i="15"/>
  <c r="BC10" i="15"/>
  <c r="AX10" i="15"/>
  <c r="AY10" i="15"/>
  <c r="AZ10" i="15"/>
  <c r="BA10" i="15"/>
  <c r="BB10" i="15"/>
  <c r="AW10" i="15"/>
  <c r="AR10" i="15"/>
  <c r="AS10" i="15"/>
  <c r="AT10" i="15"/>
  <c r="AU10" i="15"/>
  <c r="AV10" i="15"/>
  <c r="AQ10" i="15"/>
  <c r="AP10" i="15"/>
  <c r="AO10" i="15"/>
  <c r="AM10" i="15"/>
  <c r="AL10" i="15"/>
  <c r="AK10" i="15"/>
  <c r="AJ10" i="15"/>
  <c r="AI10" i="15"/>
  <c r="AF10" i="15"/>
  <c r="AG10" i="15"/>
  <c r="AE10" i="15"/>
  <c r="C14" i="15"/>
  <c r="C15" i="15"/>
  <c r="C16" i="15"/>
  <c r="C17" i="15"/>
  <c r="C18" i="15"/>
  <c r="C19" i="15"/>
  <c r="C20" i="15"/>
  <c r="C29" i="15"/>
  <c r="C30" i="15"/>
  <c r="C31" i="15"/>
  <c r="C32" i="15"/>
  <c r="C33" i="15"/>
  <c r="C34" i="15"/>
  <c r="C35" i="15"/>
  <c r="C36" i="15"/>
  <c r="C3" i="10"/>
  <c r="C5" i="10"/>
  <c r="J30" i="10"/>
  <c r="K30" i="10"/>
  <c r="M30" i="10"/>
  <c r="N30" i="10"/>
  <c r="O30" i="10"/>
  <c r="J31" i="10"/>
  <c r="K31" i="10"/>
  <c r="M31" i="10"/>
  <c r="N31" i="10"/>
  <c r="O31" i="10"/>
  <c r="J32" i="10"/>
  <c r="K32" i="10"/>
  <c r="M32" i="10"/>
  <c r="N32" i="10"/>
  <c r="O32" i="10"/>
  <c r="J33" i="10"/>
  <c r="K33" i="10"/>
  <c r="M33" i="10"/>
  <c r="N33" i="10"/>
  <c r="O33" i="10"/>
  <c r="J36" i="10"/>
  <c r="K36" i="10"/>
  <c r="M36" i="10"/>
  <c r="N36" i="10"/>
  <c r="O36" i="10"/>
  <c r="J37" i="10"/>
  <c r="K37" i="10"/>
  <c r="M37" i="10"/>
  <c r="N37" i="10"/>
  <c r="O37" i="10"/>
  <c r="J38" i="10"/>
  <c r="K38" i="10"/>
  <c r="M38" i="10"/>
  <c r="N38" i="10"/>
  <c r="O38" i="10"/>
  <c r="J39" i="10"/>
  <c r="K39" i="10"/>
  <c r="M39" i="10"/>
  <c r="N39" i="10"/>
  <c r="O39" i="10"/>
  <c r="J42" i="10" a="1"/>
  <c r="J42" i="10" s="1"/>
  <c r="K42" i="10" a="1"/>
  <c r="K42" i="10" s="1"/>
  <c r="M42" i="10" a="1"/>
  <c r="M42" i="10" s="1"/>
  <c r="N42" i="10"/>
  <c r="O42" i="10"/>
  <c r="J43" i="10" a="1"/>
  <c r="J43" i="10"/>
  <c r="K43" i="10" a="1"/>
  <c r="K43" i="10"/>
  <c r="M43" i="10" a="1"/>
  <c r="M43" i="10"/>
  <c r="N43" i="10"/>
  <c r="O43" i="10"/>
  <c r="J44" i="10"/>
  <c r="K44" i="10"/>
  <c r="M44" i="10"/>
  <c r="N44" i="10"/>
  <c r="O44" i="10"/>
  <c r="J45" i="10"/>
  <c r="K45" i="10"/>
  <c r="M45" i="10"/>
  <c r="N45" i="10"/>
  <c r="O45" i="10"/>
  <c r="C3" i="15"/>
  <c r="C5" i="15"/>
  <c r="BN10" i="15"/>
  <c r="BR10" i="15" s="1"/>
  <c r="BL10" i="15"/>
  <c r="BP10" i="15" s="1"/>
  <c r="BT10" i="15" s="1"/>
  <c r="BM10" i="15"/>
  <c r="BQ10" i="15" s="1"/>
  <c r="BU10" i="15" s="1"/>
  <c r="BO10" i="15"/>
  <c r="BS10" i="15" s="1"/>
  <c r="BB30" i="15" a="1"/>
  <c r="AL32" i="15" a="1"/>
  <c r="AA31" i="15" a="1"/>
  <c r="K30" i="15" a="1"/>
  <c r="AJ19" i="15" a="1"/>
  <c r="AF14" i="15" a="1"/>
  <c r="M14" i="15" a="1"/>
  <c r="AE20" i="15" a="1"/>
  <c r="X19" i="15" a="1"/>
  <c r="BA19" i="15" a="1"/>
  <c r="K19" i="15" a="1"/>
  <c r="AA36" i="15" a="1"/>
  <c r="AF15" i="15" a="1"/>
  <c r="AW34" i="15" a="1"/>
  <c r="AK33" i="15" a="1"/>
  <c r="O34" i="15" a="1"/>
  <c r="AY29" i="15" a="1"/>
  <c r="AO31" i="15" a="1"/>
  <c r="Z29" i="15" a="1"/>
  <c r="AI19" i="15" a="1"/>
  <c r="Z18" i="15" a="1"/>
  <c r="AJ18" i="15" a="1"/>
  <c r="O36" i="15" a="1"/>
  <c r="AJ36" i="15" a="1"/>
  <c r="AF31" i="15" a="1"/>
  <c r="V30" i="15" a="1"/>
  <c r="AZ18" i="15" a="1"/>
  <c r="AP17" i="15" a="1"/>
  <c r="AA16" i="15" a="1"/>
  <c r="BA35" i="15" a="1"/>
  <c r="AE35" i="15" a="1"/>
  <c r="AM29" i="15" a="1"/>
  <c r="M33" i="15" a="1"/>
  <c r="AK16" i="15" a="1"/>
  <c r="AZ31" i="15" a="1"/>
  <c r="AA30" i="15" a="1"/>
  <c r="AN17" i="15" a="1"/>
  <c r="BA29" i="15" a="1"/>
  <c r="AP20" i="15" a="1"/>
  <c r="V20" i="15" a="1"/>
  <c r="K14" i="15" a="1"/>
  <c r="AX19" i="15" a="1"/>
  <c r="N16" i="15" a="1"/>
  <c r="AX15" i="15" a="1"/>
  <c r="N20" i="15" a="1"/>
  <c r="AG14" i="15" a="1"/>
  <c r="AZ29" i="15" a="1"/>
  <c r="AP31" i="15" a="1"/>
  <c r="AA29" i="15" a="1"/>
  <c r="AX20" i="15" a="1"/>
  <c r="AN18" i="15" a="1"/>
  <c r="Y19" i="15" a="1"/>
  <c r="J17" i="15" a="1"/>
  <c r="AM18" i="15" a="1"/>
  <c r="X17" i="15" a="1"/>
  <c r="AW17" i="15" a="1"/>
  <c r="BB32" i="15" a="1"/>
  <c r="AA32" i="15" a="1"/>
  <c r="Y20" i="15" a="1"/>
  <c r="BA32" i="15" a="1"/>
  <c r="AO32" i="15" a="1"/>
  <c r="O30" i="15" a="1"/>
  <c r="AK36" i="15" a="1"/>
  <c r="AG31" i="15" a="1"/>
  <c r="V31" i="15" a="1"/>
  <c r="AE16" i="15" a="1"/>
  <c r="V15" i="15" a="1"/>
  <c r="AN15" i="15" a="1"/>
  <c r="O32" i="15" a="1"/>
  <c r="AN35" i="15" a="1"/>
  <c r="AJ30" i="15" a="1"/>
  <c r="N35" i="15" a="1"/>
  <c r="AX17" i="15" a="1"/>
  <c r="AH17" i="15" a="1"/>
  <c r="AA14" i="15" a="1"/>
  <c r="AY34" i="15" a="1"/>
  <c r="AI34" i="15" a="1"/>
  <c r="AE29" i="15" a="1"/>
  <c r="M31" i="15" a="1"/>
  <c r="AK14" i="15" a="1"/>
  <c r="AX30" i="15" a="1"/>
  <c r="P36" i="15" a="1"/>
  <c r="AJ16" i="15" a="1"/>
  <c r="AM34" i="15" a="1"/>
  <c r="AE19" i="15" a="1"/>
  <c r="K17" i="15" a="1"/>
  <c r="AY32" i="15" a="1"/>
  <c r="AY15" i="15" a="1"/>
  <c r="J14" i="15" a="1"/>
  <c r="AH16" i="15" a="1"/>
  <c r="AX35" i="15" a="1"/>
  <c r="N14" i="15" a="1"/>
  <c r="AZ20" i="15" a="1"/>
  <c r="N18" i="15" a="1"/>
  <c r="M30" i="15" a="1"/>
  <c r="P16" i="15" a="1"/>
  <c r="AY16" i="15" a="1"/>
  <c r="AI14" i="15" a="1"/>
  <c r="AW18" i="15" a="1"/>
  <c r="N32" i="15" a="1"/>
  <c r="AZ36" i="15" a="1"/>
  <c r="AY20" i="15" a="1"/>
  <c r="AL19" i="15" a="1"/>
  <c r="N31" i="15" a="1"/>
  <c r="AE33" i="15" a="1"/>
  <c r="N17" i="15" a="1"/>
  <c r="Y18" i="15" a="1"/>
  <c r="AI29" i="15" a="1"/>
  <c r="AL15" i="15" a="1"/>
  <c r="AI33" i="15" a="1"/>
  <c r="AH18" i="15" a="1"/>
  <c r="AX31" i="15" a="1"/>
  <c r="P14" i="15" a="1"/>
  <c r="AF32" i="15" a="1"/>
  <c r="AN36" i="15" a="1"/>
  <c r="AO20" i="15" a="1"/>
  <c r="BA33" i="15" a="1"/>
  <c r="O16" i="15" a="1"/>
  <c r="V34" i="15" a="1"/>
  <c r="AM19" i="15" a="1"/>
  <c r="Z19" i="15" a="1"/>
  <c r="AL36" i="15" a="1"/>
  <c r="AH31" i="15" a="1"/>
  <c r="V32" i="15" a="1"/>
  <c r="BB18" i="15" a="1"/>
  <c r="AF18" i="15" a="1"/>
  <c r="Y17" i="15" a="1"/>
  <c r="O29" i="15" a="1"/>
  <c r="AE18" i="15" a="1"/>
  <c r="V17" i="15" a="1"/>
  <c r="AK20" i="15" a="1"/>
  <c r="AP36" i="15" a="1"/>
  <c r="P34" i="15" a="1"/>
  <c r="Y14" i="15" a="1"/>
  <c r="AY31" i="15" a="1"/>
  <c r="AK31" i="15" a="1"/>
  <c r="J36" i="15" a="1"/>
  <c r="AO35" i="15" a="1"/>
  <c r="AK30" i="15" a="1"/>
  <c r="O35" i="15" a="1"/>
  <c r="X15" i="15" a="1"/>
  <c r="N15" i="15" a="1"/>
  <c r="M19" i="15" a="1"/>
  <c r="BB35" i="15" a="1"/>
  <c r="AF35" i="15" a="1"/>
  <c r="AN29" i="15" a="1"/>
  <c r="N33" i="15" a="1"/>
  <c r="BB15" i="15" a="1"/>
  <c r="AL16" i="15" a="1"/>
  <c r="V16" i="15" a="1"/>
  <c r="AW33" i="15" a="1"/>
  <c r="AM33" i="15" a="1"/>
  <c r="X35" i="15" a="1"/>
  <c r="J33" i="15" a="1"/>
  <c r="Z16" i="15" a="1"/>
  <c r="AH36" i="15" a="1"/>
  <c r="P32" i="15" a="1"/>
  <c r="AJ14" i="15" a="1"/>
  <c r="AE32" i="15" a="1"/>
  <c r="AK17" i="15" a="1"/>
  <c r="N36" i="15" a="1"/>
  <c r="AE36" i="15" a="1"/>
  <c r="AG20" i="15" a="1"/>
  <c r="Z17" i="15" a="1"/>
  <c r="AN34" i="15" a="1"/>
  <c r="BB33" i="15" a="1"/>
  <c r="BA16" i="15" a="1"/>
  <c r="J18" i="15" a="1"/>
  <c r="AZ32" i="15" a="1"/>
  <c r="AI18" i="15" a="1"/>
  <c r="O20" i="15" a="1"/>
  <c r="AW14" i="15" a="1"/>
  <c r="AZ14" i="15" a="1"/>
  <c r="O19" i="15" a="1"/>
  <c r="BA31" i="15" a="1"/>
  <c r="J29" i="15" a="1"/>
  <c r="K32" i="15" a="1"/>
  <c r="AH20" i="15" a="1"/>
  <c r="AF36" i="15" a="1"/>
  <c r="AM17" i="15" a="1"/>
  <c r="P18" i="15" a="1"/>
  <c r="M35" i="15" a="1"/>
  <c r="AA34" i="15" a="1"/>
  <c r="X32" i="15" a="1"/>
  <c r="AG18" i="15" a="1"/>
  <c r="AP35" i="15" a="1"/>
  <c r="AL30" i="15" a="1"/>
  <c r="P35" i="15" a="1"/>
  <c r="AZ17" i="15" a="1"/>
  <c r="AJ17" i="15" a="1"/>
  <c r="Y15" i="15" a="1"/>
  <c r="J30" i="15" a="1"/>
  <c r="AI17" i="15" a="1"/>
  <c r="P19" i="15" a="1"/>
  <c r="AO19" i="15" a="1"/>
  <c r="AL35" i="15" a="1"/>
  <c r="K36" i="15" a="1"/>
  <c r="V14" i="15" a="1"/>
  <c r="AW30" i="15" a="1"/>
  <c r="AG30" i="15" a="1"/>
  <c r="AW36" i="15" a="1"/>
  <c r="AG35" i="15" a="1"/>
  <c r="AO29" i="15" a="1"/>
  <c r="O33" i="15" a="1"/>
  <c r="P15" i="15" a="1"/>
  <c r="AL29" i="15" a="1"/>
  <c r="AO34" i="15" a="1"/>
  <c r="AZ34" i="15" a="1"/>
  <c r="AJ34" i="15" a="1"/>
  <c r="AF29" i="15" a="1"/>
  <c r="AP15" i="15" a="1"/>
  <c r="X33" i="15" a="1"/>
  <c r="AH34" i="15" a="1"/>
  <c r="AZ16" i="15" a="1"/>
  <c r="AO16" i="15" a="1"/>
  <c r="AY36" i="15" a="1"/>
  <c r="AL17" i="15" a="1"/>
  <c r="X14" i="15" a="1"/>
  <c r="AY19" i="15" a="1"/>
  <c r="AX36" i="15" a="1"/>
  <c r="AH35" i="15" a="1"/>
  <c r="AP29" i="15" a="1"/>
  <c r="P33" i="15" a="1"/>
  <c r="AX16" i="15" a="1"/>
  <c r="AN16" i="15" a="1"/>
  <c r="V18" i="15" a="1"/>
  <c r="AW20" i="15" a="1"/>
  <c r="AM16" i="15" a="1"/>
  <c r="P17" i="15" a="1"/>
  <c r="AO15" i="15" a="1"/>
  <c r="AP34" i="15" a="1"/>
  <c r="AX18" i="15" a="1"/>
  <c r="M17" i="15" a="1"/>
  <c r="AO36" i="15" a="1"/>
  <c r="Z36" i="15" a="1"/>
  <c r="BA34" i="15" a="1"/>
  <c r="AK34" i="15" a="1"/>
  <c r="AG29" i="15" a="1"/>
  <c r="O31" i="15" a="1"/>
  <c r="AY14" i="15" a="1"/>
  <c r="V36" i="15" a="1"/>
  <c r="AG32" i="15" a="1"/>
  <c r="AX33" i="15" a="1"/>
  <c r="AN33" i="15" a="1"/>
  <c r="Y35" i="15" a="1"/>
  <c r="N29" i="15" a="1"/>
  <c r="AL20" i="15" a="1"/>
  <c r="AH15" i="15" a="1"/>
  <c r="O17" i="15" a="1"/>
  <c r="AY30" i="15" a="1"/>
  <c r="AI32" i="15" a="1"/>
  <c r="X31" i="15" a="1"/>
  <c r="AY18" i="15" a="1"/>
  <c r="K15" i="15" a="1"/>
  <c r="AP32" i="15" a="1"/>
  <c r="AZ19" i="15" a="1"/>
  <c r="Y16" i="15" a="1"/>
  <c r="X30" i="15" a="1"/>
  <c r="X20" i="15" a="1"/>
  <c r="AP14" i="15" a="1"/>
  <c r="AM30" i="15" a="1"/>
  <c r="AI16" i="15" a="1"/>
  <c r="AJ35" i="15" a="1"/>
  <c r="AM32" i="15" a="1"/>
  <c r="Y30" i="15" a="1"/>
  <c r="AF34" i="15" a="1"/>
  <c r="AP18" i="15" a="1"/>
  <c r="AM36" i="15" a="1"/>
  <c r="AI20" i="15" a="1"/>
  <c r="AJ33" i="15" a="1"/>
  <c r="AF30" i="15" a="1"/>
  <c r="AW31" i="15" a="1"/>
  <c r="AH14" i="15" a="1"/>
  <c r="AM15" i="15" a="1"/>
  <c r="J31" i="15" a="1"/>
  <c r="AE17" i="15" a="1"/>
  <c r="AO18" i="15" a="1"/>
  <c r="AN30" i="15" a="1"/>
  <c r="AI35" i="15" a="1"/>
  <c r="X16" i="15" a="1"/>
  <c r="AA20" i="15" a="1"/>
  <c r="J20" i="15" a="1"/>
  <c r="AI36" i="15" a="1"/>
  <c r="AE31" i="15" a="1"/>
  <c r="AH30" i="15" a="1"/>
  <c r="J15" i="15" a="1"/>
  <c r="BA20" i="15" a="1"/>
  <c r="O18" i="15" a="1"/>
  <c r="V19" i="15" a="1"/>
  <c r="AA17" i="15" a="1"/>
  <c r="Y34" i="15" a="1"/>
  <c r="AW35" i="15" a="1"/>
  <c r="K18" i="15" a="1"/>
  <c r="J35" i="15" a="1"/>
  <c r="N34" i="15" a="1"/>
  <c r="X36" i="15" a="1"/>
  <c r="K31" i="15" a="1"/>
  <c r="AJ29" i="15" a="1"/>
  <c r="BB34" i="15" a="1"/>
  <c r="AL34" i="15" a="1"/>
  <c r="AH29" i="15" a="1"/>
  <c r="P31" i="15" a="1"/>
  <c r="BB14" i="15" a="1"/>
  <c r="AF16" i="15" a="1"/>
  <c r="M20" i="15" a="1"/>
  <c r="AY17" i="15" a="1"/>
  <c r="AI15" i="15" a="1"/>
  <c r="K20" i="15" a="1"/>
  <c r="Z20" i="15" a="1"/>
  <c r="AL33" i="15" a="1"/>
  <c r="AX14" i="15" a="1"/>
  <c r="J19" i="15" a="1"/>
  <c r="AG36" i="15" a="1"/>
  <c r="Z34" i="15" a="1"/>
  <c r="AY33" i="15" a="1"/>
  <c r="AO33" i="15" a="1"/>
  <c r="Z35" i="15" a="1"/>
  <c r="J34" i="15" a="1"/>
  <c r="AK18" i="15" a="1"/>
  <c r="P30" i="15" a="1"/>
  <c r="AO30" i="15" a="1"/>
  <c r="BB31" i="15" a="1"/>
  <c r="AF33" i="15" a="1"/>
  <c r="Y33" i="15" a="1"/>
  <c r="K33" i="15" a="1"/>
  <c r="AP19" i="15" a="1"/>
  <c r="AL14" i="15" a="1"/>
  <c r="O15" i="15" a="1"/>
  <c r="AW29" i="15" a="1"/>
  <c r="AM31" i="15" a="1"/>
  <c r="X29" i="15" a="1"/>
  <c r="BA15" i="15" a="1"/>
  <c r="BB36" i="15" a="1"/>
  <c r="AL31" i="15" a="1"/>
  <c r="AZ15" i="15" a="1"/>
  <c r="M15" i="15" a="1"/>
  <c r="M32" i="15" a="1"/>
  <c r="Z15" i="15" a="1"/>
  <c r="X18" i="15" a="1"/>
  <c r="X34" i="15" a="1"/>
  <c r="AO14" i="15" a="1"/>
  <c r="AN32" i="15" a="1"/>
  <c r="M34" i="15" a="1"/>
  <c r="AJ31" i="15" a="1"/>
  <c r="AE34" i="15" a="1"/>
  <c r="J32" i="15" a="1"/>
  <c r="AA15" i="15" a="1"/>
  <c r="Y31" i="15" a="1"/>
  <c r="AH19" i="15" a="1"/>
  <c r="V29" i="15" a="1"/>
  <c r="AG19" i="15" a="1"/>
  <c r="AZ35" i="15" a="1"/>
  <c r="Y36" i="15" a="1"/>
  <c r="AE30" i="15" a="1"/>
  <c r="O14" i="15" a="1"/>
  <c r="AK19" i="15" a="1"/>
  <c r="AA19" i="15" a="1"/>
  <c r="V33" i="15" a="1"/>
  <c r="AZ33" i="15" a="1"/>
  <c r="AP33" i="15" a="1"/>
  <c r="AA35" i="15" a="1"/>
  <c r="P29" i="15" a="1"/>
  <c r="AN20" i="15" a="1"/>
  <c r="AJ15" i="15" a="1"/>
  <c r="M18" i="15" a="1"/>
  <c r="AW16" i="15" a="1"/>
  <c r="AM14" i="15" a="1"/>
  <c r="K16" i="15" a="1"/>
  <c r="Z14" i="15" a="1"/>
  <c r="AH32" i="15" a="1"/>
  <c r="AF19" i="15" a="1"/>
  <c r="BA36" i="15" a="1"/>
  <c r="AK35" i="15" a="1"/>
  <c r="Z30" i="15" a="1"/>
  <c r="AW32" i="15" a="1"/>
  <c r="AG33" i="15" a="1"/>
  <c r="Z33" i="15" a="1"/>
  <c r="BA18" i="15" a="1"/>
  <c r="AG17" i="15" a="1"/>
  <c r="BB20" i="15" a="1"/>
  <c r="AK29" i="15" a="1"/>
  <c r="AZ30" i="15" a="1"/>
  <c r="AJ32" i="15" a="1"/>
  <c r="K29" i="15" a="1"/>
  <c r="AJ20" i="15" a="1"/>
  <c r="M36" i="15" a="1"/>
  <c r="Y32" i="15" a="1"/>
  <c r="AW15" i="15" a="1"/>
  <c r="BB17" i="15" a="1"/>
  <c r="AK15" i="15" a="1"/>
  <c r="AI31" i="15" a="1"/>
  <c r="AP16" i="15" a="1"/>
  <c r="AW19" i="15" a="1"/>
  <c r="AX34" i="15" a="1"/>
  <c r="P20" i="15" a="1"/>
  <c r="AE15" i="15" a="1"/>
  <c r="N30" i="15" a="1"/>
  <c r="AX32" i="15" a="1"/>
  <c r="AH33" i="15" a="1"/>
  <c r="AA33" i="15" a="1"/>
  <c r="K34" i="15" a="1"/>
  <c r="AF20" i="15" a="1"/>
  <c r="AN14" i="15" a="1"/>
  <c r="M16" i="15" a="1"/>
  <c r="AM20" i="15" a="1"/>
  <c r="AE14" i="15" a="1"/>
  <c r="M29" i="15" a="1"/>
  <c r="N19" i="15" a="1"/>
  <c r="AP30" i="15" a="1"/>
  <c r="AF17" i="15" a="1"/>
  <c r="AY35" i="15" a="1"/>
  <c r="AG34" i="15" a="1"/>
  <c r="V35" i="15" a="1"/>
  <c r="BA30" i="15" a="1"/>
  <c r="AK32" i="15" a="1"/>
  <c r="Z31" i="15" a="1"/>
  <c r="BA14" i="15" a="1"/>
  <c r="AG15" i="15" a="1"/>
  <c r="BB16" i="15" a="1"/>
  <c r="Z32" i="15" a="1"/>
  <c r="AX29" i="15" a="1"/>
  <c r="AN31" i="15" a="1"/>
  <c r="Y29" i="15" a="1"/>
  <c r="BB19" i="15" a="1"/>
  <c r="AL18" i="15" a="1"/>
  <c r="AA18" i="15" a="1"/>
  <c r="J16" i="15" a="1"/>
  <c r="AM35" i="15" a="1"/>
  <c r="AI30" i="15" a="1"/>
  <c r="AO17" i="15" a="1"/>
  <c r="AN19" i="15" a="1"/>
  <c r="BA17" i="15" a="1"/>
  <c r="AG16" i="15" a="1"/>
  <c r="K35" i="15" a="1"/>
  <c r="BB29" i="15" a="1"/>
  <c r="J14" i="15" l="1"/>
  <c r="K14" i="15"/>
  <c r="J15" i="15"/>
  <c r="K15" i="15"/>
  <c r="J16" i="15"/>
  <c r="K16" i="15"/>
  <c r="J17" i="15"/>
  <c r="K17" i="15"/>
  <c r="J18" i="15"/>
  <c r="K18" i="15"/>
  <c r="J19" i="15"/>
  <c r="K19" i="15"/>
  <c r="J20" i="15"/>
  <c r="K20" i="15"/>
  <c r="M14" i="15"/>
  <c r="N14" i="15"/>
  <c r="O14" i="15"/>
  <c r="P14" i="15"/>
  <c r="M15" i="15"/>
  <c r="N15" i="15"/>
  <c r="O15" i="15"/>
  <c r="P15" i="15"/>
  <c r="M16" i="15"/>
  <c r="N16" i="15"/>
  <c r="O16" i="15"/>
  <c r="P16" i="15"/>
  <c r="M17" i="15"/>
  <c r="N17" i="15"/>
  <c r="O17" i="15"/>
  <c r="P17" i="15"/>
  <c r="M18" i="15"/>
  <c r="N18" i="15"/>
  <c r="O18" i="15"/>
  <c r="P18" i="15"/>
  <c r="M19" i="15"/>
  <c r="N19" i="15"/>
  <c r="O19" i="15"/>
  <c r="P19" i="15"/>
  <c r="M20" i="15"/>
  <c r="N20" i="15"/>
  <c r="O20" i="15"/>
  <c r="P20" i="15"/>
  <c r="V14" i="15"/>
  <c r="V15" i="15"/>
  <c r="V16" i="15"/>
  <c r="V17" i="15"/>
  <c r="V18" i="15"/>
  <c r="V19" i="15"/>
  <c r="V20" i="15"/>
  <c r="X14" i="15"/>
  <c r="Y14" i="15"/>
  <c r="Z14" i="15"/>
  <c r="AA14" i="15"/>
  <c r="X15" i="15"/>
  <c r="Y15" i="15"/>
  <c r="Z15" i="15"/>
  <c r="AA15" i="15"/>
  <c r="X16" i="15"/>
  <c r="Y16" i="15"/>
  <c r="Z16" i="15"/>
  <c r="AA16" i="15"/>
  <c r="X17" i="15"/>
  <c r="Y17" i="15"/>
  <c r="Z17" i="15"/>
  <c r="AA17" i="15"/>
  <c r="X18" i="15"/>
  <c r="Y18" i="15"/>
  <c r="Z18" i="15"/>
  <c r="AA18" i="15"/>
  <c r="X19" i="15"/>
  <c r="Y19" i="15"/>
  <c r="Z19" i="15"/>
  <c r="AA19" i="15"/>
  <c r="X20" i="15"/>
  <c r="Y20" i="15"/>
  <c r="Z20" i="15"/>
  <c r="AA20" i="15"/>
  <c r="AE14" i="15"/>
  <c r="AF14" i="15"/>
  <c r="AG14" i="15"/>
  <c r="AH14" i="15"/>
  <c r="AI14" i="15"/>
  <c r="AJ14" i="15"/>
  <c r="AK14" i="15"/>
  <c r="AL14" i="15"/>
  <c r="AM14" i="15"/>
  <c r="AN14" i="15"/>
  <c r="AO14" i="15"/>
  <c r="AP14" i="15"/>
  <c r="AE15" i="15"/>
  <c r="AF15" i="15"/>
  <c r="AG15" i="15"/>
  <c r="AH15" i="15"/>
  <c r="AI15" i="15"/>
  <c r="AJ15" i="15"/>
  <c r="AK15" i="15"/>
  <c r="AL15" i="15"/>
  <c r="AM15" i="15"/>
  <c r="AN15" i="15"/>
  <c r="AO15" i="15"/>
  <c r="AP15" i="15"/>
  <c r="AE16" i="15"/>
  <c r="AF16" i="15"/>
  <c r="AG16" i="15"/>
  <c r="AH16" i="15"/>
  <c r="AI16" i="15"/>
  <c r="AJ16" i="15"/>
  <c r="AK16" i="15"/>
  <c r="AL16" i="15"/>
  <c r="AM16" i="15"/>
  <c r="AN16" i="15"/>
  <c r="AO16" i="15"/>
  <c r="AP16" i="15"/>
  <c r="AE17" i="15"/>
  <c r="AF17" i="15"/>
  <c r="AG17" i="15"/>
  <c r="AH17" i="15"/>
  <c r="AI17" i="15"/>
  <c r="AJ17" i="15"/>
  <c r="AK17" i="15"/>
  <c r="AL17" i="15"/>
  <c r="AM17" i="15"/>
  <c r="AN17" i="15"/>
  <c r="AO17" i="15"/>
  <c r="AP17" i="15"/>
  <c r="AE18" i="15"/>
  <c r="AF18" i="15"/>
  <c r="AG18" i="15"/>
  <c r="AH18" i="15"/>
  <c r="AI18" i="15"/>
  <c r="AJ18" i="15"/>
  <c r="AK18" i="15"/>
  <c r="AL18" i="15"/>
  <c r="AM18" i="15"/>
  <c r="AN18" i="15"/>
  <c r="AO18" i="15"/>
  <c r="AP18" i="15"/>
  <c r="AE19" i="15"/>
  <c r="AF19" i="15"/>
  <c r="AG19" i="15"/>
  <c r="AH19" i="15"/>
  <c r="AI19" i="15"/>
  <c r="AJ19" i="15"/>
  <c r="AK19" i="15"/>
  <c r="AL19" i="15"/>
  <c r="AM19" i="15"/>
  <c r="AN19" i="15"/>
  <c r="AO19" i="15"/>
  <c r="AP19" i="15"/>
  <c r="AE20" i="15"/>
  <c r="AF20" i="15"/>
  <c r="AG20" i="15"/>
  <c r="AH20" i="15"/>
  <c r="AI20" i="15"/>
  <c r="AJ20" i="15"/>
  <c r="AK20" i="15"/>
  <c r="AL20" i="15"/>
  <c r="AM20" i="15"/>
  <c r="AN20" i="15"/>
  <c r="AO20" i="15"/>
  <c r="AP20" i="15"/>
  <c r="AW14" i="15"/>
  <c r="AX14" i="15"/>
  <c r="AY14" i="15"/>
  <c r="AZ14" i="15"/>
  <c r="BA14" i="15"/>
  <c r="BB14" i="15"/>
  <c r="AW15" i="15"/>
  <c r="AX15" i="15"/>
  <c r="AY15" i="15"/>
  <c r="AZ15" i="15"/>
  <c r="BA15" i="15"/>
  <c r="BB15" i="15"/>
  <c r="AW16" i="15"/>
  <c r="AX16" i="15"/>
  <c r="AY16" i="15"/>
  <c r="AZ16" i="15"/>
  <c r="BA16" i="15"/>
  <c r="BB16" i="15"/>
  <c r="AW17" i="15"/>
  <c r="AX17" i="15"/>
  <c r="AY17" i="15"/>
  <c r="AZ17" i="15"/>
  <c r="BA17" i="15"/>
  <c r="BB17" i="15"/>
  <c r="AW18" i="15"/>
  <c r="AX18" i="15"/>
  <c r="AY18" i="15"/>
  <c r="AZ18" i="15"/>
  <c r="BA18" i="15"/>
  <c r="BB18" i="15"/>
  <c r="AW19" i="15"/>
  <c r="AX19" i="15"/>
  <c r="AY19" i="15"/>
  <c r="AZ19" i="15"/>
  <c r="BA19" i="15"/>
  <c r="BB19" i="15"/>
  <c r="AW20" i="15"/>
  <c r="AX20" i="15"/>
  <c r="AY20" i="15"/>
  <c r="AZ20" i="15"/>
  <c r="BA20" i="15"/>
  <c r="BB20" i="15"/>
  <c r="J29" i="15"/>
  <c r="K29" i="15"/>
  <c r="J30" i="15"/>
  <c r="K30" i="15"/>
  <c r="J31" i="15"/>
  <c r="K31" i="15"/>
  <c r="J32" i="15"/>
  <c r="K32" i="15"/>
  <c r="J33" i="15"/>
  <c r="K33" i="15"/>
  <c r="J34" i="15"/>
  <c r="K34" i="15"/>
  <c r="J35" i="15"/>
  <c r="K35" i="15"/>
  <c r="J36" i="15"/>
  <c r="K36" i="15"/>
  <c r="M29" i="15"/>
  <c r="N29" i="15"/>
  <c r="O29" i="15"/>
  <c r="P29" i="15"/>
  <c r="M30" i="15"/>
  <c r="N30" i="15"/>
  <c r="O30" i="15"/>
  <c r="P30" i="15"/>
  <c r="M31" i="15"/>
  <c r="N31" i="15"/>
  <c r="O31" i="15"/>
  <c r="P31" i="15"/>
  <c r="M32" i="15"/>
  <c r="N32" i="15"/>
  <c r="O32" i="15"/>
  <c r="P32" i="15"/>
  <c r="M33" i="15"/>
  <c r="N33" i="15"/>
  <c r="O33" i="15"/>
  <c r="P33" i="15"/>
  <c r="M34" i="15"/>
  <c r="N34" i="15"/>
  <c r="O34" i="15"/>
  <c r="P34" i="15"/>
  <c r="M35" i="15"/>
  <c r="N35" i="15"/>
  <c r="O35" i="15"/>
  <c r="P35" i="15"/>
  <c r="M36" i="15"/>
  <c r="N36" i="15"/>
  <c r="O36" i="15"/>
  <c r="P36" i="15"/>
  <c r="V29" i="15"/>
  <c r="V30" i="15"/>
  <c r="V31" i="15"/>
  <c r="V32" i="15"/>
  <c r="V33" i="15"/>
  <c r="V34" i="15"/>
  <c r="V35" i="15"/>
  <c r="V36" i="15"/>
  <c r="X29" i="15"/>
  <c r="Y29" i="15"/>
  <c r="Z29" i="15"/>
  <c r="AA29" i="15"/>
  <c r="X30" i="15"/>
  <c r="Y30" i="15"/>
  <c r="Z30" i="15"/>
  <c r="AA30" i="15"/>
  <c r="X31" i="15"/>
  <c r="Y31" i="15"/>
  <c r="Z31" i="15"/>
  <c r="AA31" i="15"/>
  <c r="X32" i="15"/>
  <c r="Y32" i="15"/>
  <c r="Z32" i="15"/>
  <c r="AA32" i="15"/>
  <c r="X33" i="15"/>
  <c r="Y33" i="15"/>
  <c r="Z33" i="15"/>
  <c r="AA33" i="15"/>
  <c r="X34" i="15"/>
  <c r="Y34" i="15"/>
  <c r="Z34" i="15"/>
  <c r="AA34" i="15"/>
  <c r="X35" i="15"/>
  <c r="Y35" i="15"/>
  <c r="Z35" i="15"/>
  <c r="AA35" i="15"/>
  <c r="X36" i="15"/>
  <c r="Y36" i="15"/>
  <c r="Z36" i="15"/>
  <c r="AA36" i="15"/>
  <c r="AE29" i="15"/>
  <c r="AF29" i="15"/>
  <c r="AG29" i="15"/>
  <c r="AH29" i="15"/>
  <c r="AI29" i="15"/>
  <c r="AJ29" i="15"/>
  <c r="AK29" i="15"/>
  <c r="AL29" i="15"/>
  <c r="AM29" i="15"/>
  <c r="AN29" i="15"/>
  <c r="AO29" i="15"/>
  <c r="AP29" i="15"/>
  <c r="AE30" i="15"/>
  <c r="AF30" i="15"/>
  <c r="AG30" i="15"/>
  <c r="AH30" i="15"/>
  <c r="AI30" i="15"/>
  <c r="AJ30" i="15"/>
  <c r="AK30" i="15"/>
  <c r="AL30" i="15"/>
  <c r="AM30" i="15"/>
  <c r="AN30" i="15"/>
  <c r="AO30" i="15"/>
  <c r="AP30" i="15"/>
  <c r="AE31" i="15"/>
  <c r="AF31" i="15"/>
  <c r="AG31" i="15"/>
  <c r="AH31" i="15"/>
  <c r="AI31" i="15"/>
  <c r="AJ31" i="15"/>
  <c r="AK31" i="15"/>
  <c r="AL31" i="15"/>
  <c r="AM31" i="15"/>
  <c r="AN31" i="15"/>
  <c r="AO31" i="15"/>
  <c r="AP31" i="15"/>
  <c r="AE32" i="15"/>
  <c r="AF32" i="15"/>
  <c r="AG32" i="15"/>
  <c r="AH32" i="15"/>
  <c r="AI32" i="15"/>
  <c r="AJ32" i="15"/>
  <c r="AK32" i="15"/>
  <c r="AL32" i="15"/>
  <c r="AM32" i="15"/>
  <c r="AN32" i="15"/>
  <c r="AO32" i="15"/>
  <c r="AP32" i="15"/>
  <c r="AE33" i="15"/>
  <c r="AF33" i="15"/>
  <c r="AG33" i="15"/>
  <c r="AH33" i="15"/>
  <c r="AI33" i="15"/>
  <c r="AJ33" i="15"/>
  <c r="AK33" i="15"/>
  <c r="AL33" i="15"/>
  <c r="AM33" i="15"/>
  <c r="AN33" i="15"/>
  <c r="AO33" i="15"/>
  <c r="AP33" i="15"/>
  <c r="AE34" i="15"/>
  <c r="AF34" i="15"/>
  <c r="AG34" i="15"/>
  <c r="AH34" i="15"/>
  <c r="AI34" i="15"/>
  <c r="AJ34" i="15"/>
  <c r="AK34" i="15"/>
  <c r="AL34" i="15"/>
  <c r="AM34" i="15"/>
  <c r="AN34" i="15"/>
  <c r="AO34" i="15"/>
  <c r="AP34" i="15"/>
  <c r="AE35" i="15"/>
  <c r="AF35" i="15"/>
  <c r="AG35" i="15"/>
  <c r="AH35" i="15"/>
  <c r="AI35" i="15"/>
  <c r="AJ35" i="15"/>
  <c r="AK35" i="15"/>
  <c r="AL35" i="15"/>
  <c r="AM35" i="15"/>
  <c r="AN35" i="15"/>
  <c r="AO35" i="15"/>
  <c r="AP35" i="15"/>
  <c r="AE36" i="15"/>
  <c r="AF36" i="15"/>
  <c r="AG36" i="15"/>
  <c r="AH36" i="15"/>
  <c r="AI36" i="15"/>
  <c r="AJ36" i="15"/>
  <c r="AK36" i="15"/>
  <c r="AL36" i="15"/>
  <c r="AM36" i="15"/>
  <c r="AN36" i="15"/>
  <c r="AO36" i="15"/>
  <c r="AP36" i="15"/>
  <c r="AW29" i="15"/>
  <c r="AX29" i="15"/>
  <c r="AY29" i="15"/>
  <c r="AZ29" i="15"/>
  <c r="BA29" i="15"/>
  <c r="BB29" i="15"/>
  <c r="AW30" i="15"/>
  <c r="AX30" i="15"/>
  <c r="AY30" i="15"/>
  <c r="AZ30" i="15"/>
  <c r="BA30" i="15"/>
  <c r="BB30" i="15"/>
  <c r="AW31" i="15"/>
  <c r="AX31" i="15"/>
  <c r="AY31" i="15"/>
  <c r="AZ31" i="15"/>
  <c r="BA31" i="15"/>
  <c r="BB31" i="15"/>
  <c r="AW32" i="15"/>
  <c r="AX32" i="15"/>
  <c r="AY32" i="15"/>
  <c r="AZ32" i="15"/>
  <c r="BA32" i="15"/>
  <c r="BB32" i="15"/>
  <c r="AW33" i="15"/>
  <c r="AX33" i="15"/>
  <c r="AY33" i="15"/>
  <c r="AZ33" i="15"/>
  <c r="BA33" i="15"/>
  <c r="BB33" i="15"/>
  <c r="AW34" i="15"/>
  <c r="AX34" i="15"/>
  <c r="AY34" i="15"/>
  <c r="AZ34" i="15"/>
  <c r="BA34" i="15"/>
  <c r="BB34" i="15"/>
  <c r="AW35" i="15"/>
  <c r="AX35" i="15"/>
  <c r="AY35" i="15"/>
  <c r="AZ35" i="15"/>
  <c r="BA35" i="15"/>
  <c r="BB35" i="15"/>
  <c r="AW36" i="15"/>
  <c r="AX36" i="15"/>
  <c r="AY36" i="15"/>
  <c r="AZ36" i="15"/>
  <c r="BA36" i="15"/>
  <c r="BB36" i="15"/>
  <c r="W14" i="15" l="1"/>
  <c r="AC36" i="15"/>
  <c r="BJ36" i="15" s="1"/>
  <c r="AC34" i="15"/>
  <c r="BU34" i="15" s="1"/>
  <c r="AC29" i="15"/>
  <c r="BR29" i="15" s="1"/>
  <c r="AC18" i="15"/>
  <c r="BU18" i="15" s="1"/>
  <c r="AB14" i="15"/>
  <c r="AC31" i="15"/>
  <c r="BM31" i="15" s="1"/>
  <c r="W31" i="15"/>
  <c r="AB31" i="15" s="1"/>
  <c r="W19" i="15"/>
  <c r="AB19" i="15" s="1"/>
  <c r="AC35" i="15"/>
  <c r="BJ35" i="15" s="1"/>
  <c r="AC32" i="15"/>
  <c r="BT32" i="15" s="1"/>
  <c r="AC33" i="15"/>
  <c r="BL33" i="15" s="1"/>
  <c r="W29" i="15"/>
  <c r="AB29" i="15" s="1"/>
  <c r="R14" i="15"/>
  <c r="R20" i="15"/>
  <c r="R19" i="15"/>
  <c r="R17" i="15"/>
  <c r="R18" i="15"/>
  <c r="R29" i="15"/>
  <c r="S29" i="15"/>
  <c r="T29" i="15"/>
  <c r="L29" i="15"/>
  <c r="Q29" i="15"/>
  <c r="BE33" i="15"/>
  <c r="AS33" i="15"/>
  <c r="AG48" i="15"/>
  <c r="AG46" i="15"/>
  <c r="AG41" i="15"/>
  <c r="AG40" i="15"/>
  <c r="AG39" i="15"/>
  <c r="AG47" i="15"/>
  <c r="AG38" i="15"/>
  <c r="AG45" i="15"/>
  <c r="BE19" i="15"/>
  <c r="AS19" i="15"/>
  <c r="AU32" i="15"/>
  <c r="BG32" i="15"/>
  <c r="L31" i="15"/>
  <c r="T31" i="15"/>
  <c r="S31" i="15"/>
  <c r="R31" i="15"/>
  <c r="Q31" i="15"/>
  <c r="AU34" i="15"/>
  <c r="BG34" i="15"/>
  <c r="BP34" i="15" s="1"/>
  <c r="W16" i="15"/>
  <c r="AB16" i="15" s="1"/>
  <c r="AQ35" i="15"/>
  <c r="BC35" i="15"/>
  <c r="BS36" i="15"/>
  <c r="BF14" i="15"/>
  <c r="AN22" i="15"/>
  <c r="AN25" i="15"/>
  <c r="AT14" i="15"/>
  <c r="AN23" i="15"/>
  <c r="AN24" i="15"/>
  <c r="AQ17" i="15"/>
  <c r="BC17" i="15"/>
  <c r="AJ39" i="15"/>
  <c r="AJ38" i="15"/>
  <c r="AJ47" i="15"/>
  <c r="AJ46" i="15"/>
  <c r="AJ48" i="15"/>
  <c r="AJ41" i="15"/>
  <c r="AJ40" i="15"/>
  <c r="AJ45" i="15"/>
  <c r="BG20" i="15"/>
  <c r="AU20" i="15"/>
  <c r="AS29" i="15"/>
  <c r="BE29" i="15"/>
  <c r="BN29" i="15" s="1"/>
  <c r="AM41" i="15"/>
  <c r="AM39" i="15"/>
  <c r="AM48" i="15"/>
  <c r="AM47" i="15"/>
  <c r="AM38" i="15"/>
  <c r="AM46" i="15"/>
  <c r="AM40" i="15"/>
  <c r="AM45" i="15"/>
  <c r="BD16" i="15"/>
  <c r="AR16" i="15"/>
  <c r="AR31" i="15"/>
  <c r="BD31" i="15"/>
  <c r="BH20" i="15"/>
  <c r="AV20" i="15"/>
  <c r="BD19" i="15"/>
  <c r="AR19" i="15"/>
  <c r="W20" i="15"/>
  <c r="AB20" i="15" s="1"/>
  <c r="AV29" i="15"/>
  <c r="BH29" i="15"/>
  <c r="AP45" i="15"/>
  <c r="AP40" i="15"/>
  <c r="AP38" i="15"/>
  <c r="AP41" i="15"/>
  <c r="AP39" i="15"/>
  <c r="AP48" i="15"/>
  <c r="AP47" i="15"/>
  <c r="AP46" i="15"/>
  <c r="AQ34" i="15"/>
  <c r="BC34" i="15"/>
  <c r="AT32" i="15"/>
  <c r="BF32" i="15"/>
  <c r="AT31" i="15"/>
  <c r="BF31" i="15"/>
  <c r="AU35" i="15"/>
  <c r="BG35" i="15"/>
  <c r="BF36" i="15"/>
  <c r="BO36" i="15" s="1"/>
  <c r="AT36" i="15"/>
  <c r="AO22" i="15"/>
  <c r="AU14" i="15"/>
  <c r="AO23" i="15"/>
  <c r="BG14" i="15"/>
  <c r="AO25" i="15"/>
  <c r="AO24" i="15"/>
  <c r="BE16" i="15"/>
  <c r="AS16" i="15"/>
  <c r="AK22" i="15"/>
  <c r="AK25" i="15"/>
  <c r="BC14" i="15"/>
  <c r="AK24" i="15"/>
  <c r="AQ14" i="15"/>
  <c r="AK23" i="15"/>
  <c r="AS30" i="15"/>
  <c r="BE30" i="15"/>
  <c r="AI38" i="15"/>
  <c r="AI48" i="15"/>
  <c r="AI46" i="15"/>
  <c r="AI45" i="15"/>
  <c r="AI39" i="15"/>
  <c r="AI47" i="15"/>
  <c r="AI41" i="15"/>
  <c r="AI40" i="15"/>
  <c r="AT29" i="15"/>
  <c r="BF29" i="15"/>
  <c r="BO29" i="15" s="1"/>
  <c r="AN45" i="15"/>
  <c r="AN40" i="15"/>
  <c r="AN38" i="15"/>
  <c r="AN41" i="15"/>
  <c r="AN48" i="15"/>
  <c r="AN47" i="15"/>
  <c r="AN39" i="15"/>
  <c r="AN46" i="15"/>
  <c r="W36" i="15"/>
  <c r="AB36" i="15" s="1"/>
  <c r="BG36" i="15"/>
  <c r="AU36" i="15"/>
  <c r="BG15" i="15"/>
  <c r="AU15" i="15"/>
  <c r="AQ31" i="15"/>
  <c r="BC31" i="15"/>
  <c r="AQ30" i="15"/>
  <c r="BC30" i="15"/>
  <c r="BC18" i="15"/>
  <c r="AQ18" i="15"/>
  <c r="W17" i="15"/>
  <c r="AB17" i="15" s="1"/>
  <c r="BF33" i="15"/>
  <c r="AT33" i="15"/>
  <c r="AS34" i="15"/>
  <c r="BE34" i="15"/>
  <c r="BN34" i="15" s="1"/>
  <c r="AS36" i="15"/>
  <c r="BE36" i="15"/>
  <c r="S30" i="15"/>
  <c r="T30" i="15"/>
  <c r="L30" i="15"/>
  <c r="R30" i="15"/>
  <c r="Q30" i="15"/>
  <c r="BE35" i="15"/>
  <c r="AS35" i="15"/>
  <c r="AC16" i="15"/>
  <c r="BE20" i="15"/>
  <c r="AS20" i="15"/>
  <c r="BE17" i="15"/>
  <c r="AS17" i="15"/>
  <c r="BF17" i="15"/>
  <c r="AT17" i="15"/>
  <c r="BD32" i="15"/>
  <c r="AR32" i="15"/>
  <c r="AV16" i="15"/>
  <c r="BH16" i="15"/>
  <c r="AR20" i="15"/>
  <c r="BD20" i="15"/>
  <c r="AI24" i="15"/>
  <c r="AI22" i="15"/>
  <c r="AI25" i="15"/>
  <c r="AI23" i="15"/>
  <c r="AV32" i="15"/>
  <c r="BH32" i="15"/>
  <c r="AV15" i="15"/>
  <c r="BH15" i="15"/>
  <c r="BD33" i="15"/>
  <c r="AR33" i="15"/>
  <c r="L19" i="15"/>
  <c r="T19" i="15"/>
  <c r="Q19" i="15"/>
  <c r="S19" i="15"/>
  <c r="AC20" i="15"/>
  <c r="BH31" i="15"/>
  <c r="AV31" i="15"/>
  <c r="AR29" i="15"/>
  <c r="BD29" i="15"/>
  <c r="AL41" i="15"/>
  <c r="AL40" i="15"/>
  <c r="AL38" i="15"/>
  <c r="AL48" i="15"/>
  <c r="AL39" i="15"/>
  <c r="AL47" i="15"/>
  <c r="AL46" i="15"/>
  <c r="AL45" i="15"/>
  <c r="BG16" i="15"/>
  <c r="AU16" i="15"/>
  <c r="Q17" i="15"/>
  <c r="S17" i="15"/>
  <c r="T17" i="15"/>
  <c r="L17" i="15"/>
  <c r="AC19" i="15"/>
  <c r="AC17" i="15"/>
  <c r="AU29" i="15"/>
  <c r="AO46" i="15"/>
  <c r="BG29" i="15"/>
  <c r="AO41" i="15"/>
  <c r="AO39" i="15"/>
  <c r="AO48" i="15"/>
  <c r="AO47" i="15"/>
  <c r="AO45" i="15"/>
  <c r="AO38" i="15"/>
  <c r="AO40" i="15"/>
  <c r="W18" i="15"/>
  <c r="AB18" i="15" s="1"/>
  <c r="BE18" i="15"/>
  <c r="AS18" i="15"/>
  <c r="Q16" i="15"/>
  <c r="S16" i="15"/>
  <c r="T16" i="15"/>
  <c r="L16" i="15"/>
  <c r="R16" i="15"/>
  <c r="AR34" i="15"/>
  <c r="BD34" i="15"/>
  <c r="R15" i="15"/>
  <c r="S15" i="15"/>
  <c r="T15" i="15"/>
  <c r="L15" i="15"/>
  <c r="Q15" i="15"/>
  <c r="R33" i="15"/>
  <c r="Q33" i="15"/>
  <c r="S33" i="15"/>
  <c r="L33" i="15"/>
  <c r="T33" i="15"/>
  <c r="BH34" i="15"/>
  <c r="BQ34" i="15" s="1"/>
  <c r="AV34" i="15"/>
  <c r="BH19" i="15"/>
  <c r="AV19" i="15"/>
  <c r="BC32" i="15"/>
  <c r="AQ32" i="15"/>
  <c r="BG18" i="15"/>
  <c r="AU18" i="15"/>
  <c r="BF18" i="15"/>
  <c r="AT18" i="15"/>
  <c r="AR30" i="15"/>
  <c r="BD30" i="15"/>
  <c r="AF47" i="15"/>
  <c r="AF45" i="15"/>
  <c r="AF40" i="15"/>
  <c r="AF39" i="15"/>
  <c r="AF46" i="15"/>
  <c r="AF38" i="15"/>
  <c r="AF48" i="15"/>
  <c r="AF41" i="15"/>
  <c r="S14" i="15"/>
  <c r="Q14" i="15"/>
  <c r="T14" i="15"/>
  <c r="L14" i="15"/>
  <c r="AH47" i="15"/>
  <c r="AH45" i="15"/>
  <c r="AH41" i="15"/>
  <c r="AH46" i="15"/>
  <c r="AH48" i="15"/>
  <c r="AH40" i="15"/>
  <c r="AH38" i="15"/>
  <c r="AH39" i="15"/>
  <c r="BD17" i="15"/>
  <c r="AR17" i="15"/>
  <c r="AC14" i="15"/>
  <c r="AV36" i="15"/>
  <c r="BH36" i="15"/>
  <c r="BD36" i="15"/>
  <c r="AR36" i="15"/>
  <c r="BD35" i="15"/>
  <c r="AR35" i="15"/>
  <c r="S36" i="15"/>
  <c r="L36" i="15"/>
  <c r="T36" i="15"/>
  <c r="Q36" i="15"/>
  <c r="R36" i="15"/>
  <c r="BF35" i="15"/>
  <c r="AT35" i="15"/>
  <c r="AH24" i="15"/>
  <c r="AH23" i="15"/>
  <c r="AH22" i="15"/>
  <c r="AH25" i="15"/>
  <c r="BF16" i="15"/>
  <c r="AT16" i="15"/>
  <c r="BC15" i="15"/>
  <c r="AQ15" i="15"/>
  <c r="AM22" i="15"/>
  <c r="AM25" i="15"/>
  <c r="BE14" i="15"/>
  <c r="AS14" i="15"/>
  <c r="AM24" i="15"/>
  <c r="AM23" i="15"/>
  <c r="AG24" i="15"/>
  <c r="AG23" i="15"/>
  <c r="AG22" i="15"/>
  <c r="AG25" i="15"/>
  <c r="BG19" i="15"/>
  <c r="AU19" i="15"/>
  <c r="BG17" i="15"/>
  <c r="AU17" i="15"/>
  <c r="W30" i="15"/>
  <c r="AB30" i="15" s="1"/>
  <c r="BH17" i="15"/>
  <c r="AV17" i="15"/>
  <c r="AE24" i="15"/>
  <c r="AE23" i="15"/>
  <c r="AE25" i="15"/>
  <c r="AE22" i="15"/>
  <c r="W34" i="15"/>
  <c r="AB34" i="15" s="1"/>
  <c r="AV33" i="15"/>
  <c r="BH33" i="15"/>
  <c r="AT30" i="15"/>
  <c r="BF30" i="15"/>
  <c r="AQ20" i="15"/>
  <c r="BC20" i="15"/>
  <c r="Q20" i="15"/>
  <c r="S20" i="15"/>
  <c r="L20" i="15"/>
  <c r="T20" i="15"/>
  <c r="AF25" i="15"/>
  <c r="AF23" i="15"/>
  <c r="AF24" i="15"/>
  <c r="AF22" i="15"/>
  <c r="BF19" i="15"/>
  <c r="AT19" i="15"/>
  <c r="AU33" i="15"/>
  <c r="BG33" i="15"/>
  <c r="Q18" i="15"/>
  <c r="T18" i="15"/>
  <c r="L18" i="15"/>
  <c r="S18" i="15"/>
  <c r="AJ24" i="15"/>
  <c r="AJ22" i="15"/>
  <c r="AJ25" i="15"/>
  <c r="AJ23" i="15"/>
  <c r="BC16" i="15"/>
  <c r="AQ16" i="15"/>
  <c r="AU30" i="15"/>
  <c r="BG30" i="15"/>
  <c r="AC15" i="15"/>
  <c r="AP23" i="15"/>
  <c r="AV14" i="15"/>
  <c r="AP22" i="15"/>
  <c r="BH14" i="15"/>
  <c r="AP25" i="15"/>
  <c r="AP24" i="15"/>
  <c r="Q35" i="15"/>
  <c r="S35" i="15"/>
  <c r="T35" i="15"/>
  <c r="L35" i="15"/>
  <c r="R35" i="15"/>
  <c r="AQ36" i="15"/>
  <c r="BC36" i="15"/>
  <c r="Q34" i="15"/>
  <c r="S34" i="15"/>
  <c r="T34" i="15"/>
  <c r="L34" i="15"/>
  <c r="R34" i="15"/>
  <c r="BL34" i="15"/>
  <c r="BS34" i="15"/>
  <c r="BM34" i="15"/>
  <c r="BR34" i="15"/>
  <c r="BT34" i="15"/>
  <c r="BD15" i="15"/>
  <c r="AR15" i="15"/>
  <c r="AE46" i="15"/>
  <c r="AE41" i="15"/>
  <c r="AE39" i="15"/>
  <c r="AE38" i="15"/>
  <c r="AE40" i="15"/>
  <c r="AE45" i="15"/>
  <c r="AE48" i="15"/>
  <c r="AE47" i="15"/>
  <c r="W15" i="15"/>
  <c r="AB15" i="15" s="1"/>
  <c r="AR18" i="15"/>
  <c r="BD18" i="15"/>
  <c r="AL22" i="15"/>
  <c r="AL25" i="15"/>
  <c r="BD14" i="15"/>
  <c r="AL24" i="15"/>
  <c r="AR14" i="15"/>
  <c r="AL23" i="15"/>
  <c r="W33" i="15"/>
  <c r="AB33" i="15" s="1"/>
  <c r="BE32" i="15"/>
  <c r="AS32" i="15"/>
  <c r="AS31" i="15"/>
  <c r="BE31" i="15"/>
  <c r="AV35" i="15"/>
  <c r="BH35" i="15"/>
  <c r="W32" i="15"/>
  <c r="AB32" i="15" s="1"/>
  <c r="BC33" i="15"/>
  <c r="AQ33" i="15"/>
  <c r="AQ29" i="15"/>
  <c r="BC29" i="15"/>
  <c r="AK40" i="15"/>
  <c r="AK39" i="15"/>
  <c r="AK48" i="15"/>
  <c r="AK47" i="15"/>
  <c r="AK41" i="15"/>
  <c r="AK46" i="15"/>
  <c r="AK38" i="15"/>
  <c r="AK45" i="15"/>
  <c r="AS15" i="15"/>
  <c r="BE15" i="15"/>
  <c r="BF15" i="15"/>
  <c r="AT15" i="15"/>
  <c r="AC30" i="15"/>
  <c r="AV18" i="15"/>
  <c r="BH18" i="15"/>
  <c r="BR18" i="15"/>
  <c r="BG31" i="15"/>
  <c r="AU31" i="15"/>
  <c r="AT20" i="15"/>
  <c r="BF20" i="15"/>
  <c r="AQ19" i="15"/>
  <c r="BC19" i="15"/>
  <c r="BF34" i="15"/>
  <c r="BO34" i="15" s="1"/>
  <c r="AT34" i="15"/>
  <c r="T32" i="15"/>
  <c r="S32" i="15"/>
  <c r="Q32" i="15"/>
  <c r="R32" i="15"/>
  <c r="L32" i="15"/>
  <c r="AV30" i="15"/>
  <c r="BH30" i="15"/>
  <c r="W35" i="15"/>
  <c r="AB35" i="15" s="1"/>
  <c r="BT31" i="15" l="1"/>
  <c r="BK36" i="15"/>
  <c r="BN36" i="15"/>
  <c r="BP36" i="15"/>
  <c r="BU36" i="15"/>
  <c r="BP31" i="15"/>
  <c r="BL18" i="15"/>
  <c r="BU29" i="15"/>
  <c r="BK34" i="15"/>
  <c r="BK29" i="15"/>
  <c r="BQ35" i="15"/>
  <c r="BJ34" i="15"/>
  <c r="BT29" i="15"/>
  <c r="BT36" i="15"/>
  <c r="BN18" i="15"/>
  <c r="BM18" i="15"/>
  <c r="BP18" i="15"/>
  <c r="BN31" i="15"/>
  <c r="BL29" i="15"/>
  <c r="BT18" i="15"/>
  <c r="BJ29" i="15"/>
  <c r="BM29" i="15"/>
  <c r="BP29" i="15"/>
  <c r="BS18" i="15"/>
  <c r="BQ18" i="15"/>
  <c r="BJ31" i="15"/>
  <c r="BK18" i="15"/>
  <c r="BS31" i="15"/>
  <c r="BQ31" i="15"/>
  <c r="BJ18" i="15"/>
  <c r="BO18" i="15"/>
  <c r="BS29" i="15"/>
  <c r="BR31" i="15"/>
  <c r="BK31" i="15"/>
  <c r="BQ29" i="15"/>
  <c r="BQ36" i="15"/>
  <c r="BL31" i="15"/>
  <c r="BR36" i="15"/>
  <c r="BO31" i="15"/>
  <c r="BM36" i="15"/>
  <c r="BL36" i="15"/>
  <c r="BU31" i="15"/>
  <c r="BN35" i="15"/>
  <c r="BP35" i="15"/>
  <c r="BT33" i="15"/>
  <c r="BK32" i="15"/>
  <c r="BJ32" i="15"/>
  <c r="BM35" i="15"/>
  <c r="BR32" i="15"/>
  <c r="BL35" i="15"/>
  <c r="BK35" i="15"/>
  <c r="BS35" i="15"/>
  <c r="BO33" i="15"/>
  <c r="BP33" i="15"/>
  <c r="BQ33" i="15"/>
  <c r="BO35" i="15"/>
  <c r="BR35" i="15"/>
  <c r="BU35" i="15"/>
  <c r="BM33" i="15"/>
  <c r="BK33" i="15"/>
  <c r="BM32" i="15"/>
  <c r="BJ33" i="15"/>
  <c r="BL32" i="15"/>
  <c r="BT35" i="15"/>
  <c r="BS33" i="15"/>
  <c r="BQ32" i="15"/>
  <c r="BU33" i="15"/>
  <c r="BN32" i="15"/>
  <c r="BN33" i="15"/>
  <c r="BU32" i="15"/>
  <c r="BR33" i="15"/>
  <c r="BS32" i="15"/>
  <c r="BP32" i="15"/>
  <c r="BO32" i="15"/>
  <c r="AS23" i="15"/>
  <c r="AS24" i="15"/>
  <c r="AS22" i="15"/>
  <c r="AS25" i="15"/>
  <c r="L22" i="15"/>
  <c r="L25" i="15"/>
  <c r="L24" i="15"/>
  <c r="L23" i="15"/>
  <c r="BS14" i="15"/>
  <c r="BP14" i="15"/>
  <c r="BQ14" i="15"/>
  <c r="BR14" i="15"/>
  <c r="BT14" i="15"/>
  <c r="BU14" i="15"/>
  <c r="BK14" i="15"/>
  <c r="BL14" i="15"/>
  <c r="BM14" i="15"/>
  <c r="BN14" i="15"/>
  <c r="BO14" i="15"/>
  <c r="BJ14" i="15"/>
  <c r="T23" i="15"/>
  <c r="T22" i="15"/>
  <c r="T24" i="15"/>
  <c r="T25" i="15"/>
  <c r="R23" i="15"/>
  <c r="R22" i="15"/>
  <c r="R25" i="15"/>
  <c r="R24" i="15"/>
  <c r="AR47" i="15"/>
  <c r="AR45" i="15"/>
  <c r="AR40" i="15"/>
  <c r="AR39" i="15"/>
  <c r="AR41" i="15"/>
  <c r="AR38" i="15"/>
  <c r="AR48" i="15"/>
  <c r="AR46" i="15"/>
  <c r="AT24" i="15"/>
  <c r="AT23" i="15"/>
  <c r="AT22" i="15"/>
  <c r="AT25" i="15"/>
  <c r="Q22" i="15"/>
  <c r="Q25" i="15"/>
  <c r="Q23" i="15"/>
  <c r="Q24" i="15"/>
  <c r="AS48" i="15"/>
  <c r="AS46" i="15"/>
  <c r="AS41" i="15"/>
  <c r="AS40" i="15"/>
  <c r="AS45" i="15"/>
  <c r="AS38" i="15"/>
  <c r="AS39" i="15"/>
  <c r="AS47" i="15"/>
  <c r="S22" i="15"/>
  <c r="S23" i="15"/>
  <c r="S25" i="15"/>
  <c r="S24" i="15"/>
  <c r="AV39" i="15"/>
  <c r="AV38" i="15"/>
  <c r="AV47" i="15"/>
  <c r="AV46" i="15"/>
  <c r="AV40" i="15"/>
  <c r="AV45" i="15"/>
  <c r="AV41" i="15"/>
  <c r="AV48" i="15"/>
  <c r="BM20" i="15"/>
  <c r="BT20" i="15"/>
  <c r="BU20" i="15"/>
  <c r="BJ20" i="15"/>
  <c r="BK20" i="15"/>
  <c r="BL20" i="15"/>
  <c r="BP20" i="15"/>
  <c r="BQ20" i="15"/>
  <c r="BS20" i="15"/>
  <c r="BN20" i="15"/>
  <c r="BO20" i="15"/>
  <c r="BR20" i="15"/>
  <c r="AU38" i="15"/>
  <c r="AU48" i="15"/>
  <c r="AU46" i="15"/>
  <c r="AU45" i="15"/>
  <c r="AU40" i="15"/>
  <c r="AU41" i="15"/>
  <c r="AU39" i="15"/>
  <c r="AU47" i="15"/>
  <c r="Q41" i="15"/>
  <c r="Q39" i="15"/>
  <c r="Q40" i="15"/>
  <c r="Q38" i="15"/>
  <c r="Q45" i="15"/>
  <c r="Q48" i="15"/>
  <c r="Q47" i="15"/>
  <c r="Q46" i="15"/>
  <c r="BO30" i="15"/>
  <c r="BL30" i="15"/>
  <c r="BM30" i="15"/>
  <c r="BN30" i="15"/>
  <c r="BP30" i="15"/>
  <c r="BQ30" i="15"/>
  <c r="BR30" i="15"/>
  <c r="BU30" i="15"/>
  <c r="BK30" i="15"/>
  <c r="BJ30" i="15"/>
  <c r="BS30" i="15"/>
  <c r="BT30" i="15"/>
  <c r="AV24" i="15"/>
  <c r="AV22" i="15"/>
  <c r="AV25" i="15"/>
  <c r="AV23" i="15"/>
  <c r="BJ17" i="15"/>
  <c r="BR17" i="15"/>
  <c r="BS17" i="15"/>
  <c r="BT17" i="15"/>
  <c r="BU17" i="15"/>
  <c r="BK17" i="15"/>
  <c r="BM17" i="15"/>
  <c r="BN17" i="15"/>
  <c r="BO17" i="15"/>
  <c r="BP17" i="15"/>
  <c r="BQ17" i="15"/>
  <c r="BL17" i="15"/>
  <c r="AU24" i="15"/>
  <c r="AU23" i="15"/>
  <c r="AU22" i="15"/>
  <c r="AU25" i="15"/>
  <c r="L41" i="15"/>
  <c r="L40" i="15"/>
  <c r="L38" i="15"/>
  <c r="L48" i="15"/>
  <c r="L45" i="15"/>
  <c r="L39" i="15"/>
  <c r="L47" i="15"/>
  <c r="L46" i="15"/>
  <c r="BT19" i="15"/>
  <c r="BS19" i="15"/>
  <c r="BU19" i="15"/>
  <c r="BJ19" i="15"/>
  <c r="BK19" i="15"/>
  <c r="BL19" i="15"/>
  <c r="BO19" i="15"/>
  <c r="BP19" i="15"/>
  <c r="BR19" i="15"/>
  <c r="BN19" i="15"/>
  <c r="BQ19" i="15"/>
  <c r="BM19" i="15"/>
  <c r="AT47" i="15"/>
  <c r="AT45" i="15"/>
  <c r="AT41" i="15"/>
  <c r="AT38" i="15"/>
  <c r="AT39" i="15"/>
  <c r="AT48" i="15"/>
  <c r="AT46" i="15"/>
  <c r="AT40" i="15"/>
  <c r="AQ24" i="15"/>
  <c r="AQ23" i="15"/>
  <c r="AQ22" i="15"/>
  <c r="AQ25" i="15"/>
  <c r="T45" i="15"/>
  <c r="T40" i="15"/>
  <c r="T38" i="15"/>
  <c r="T46" i="15"/>
  <c r="T48" i="15"/>
  <c r="T41" i="15"/>
  <c r="T39" i="15"/>
  <c r="T47" i="15"/>
  <c r="AQ46" i="15"/>
  <c r="AQ41" i="15"/>
  <c r="AQ39" i="15"/>
  <c r="AQ38" i="15"/>
  <c r="AQ45" i="15"/>
  <c r="AQ48" i="15"/>
  <c r="AQ47" i="15"/>
  <c r="AQ40" i="15"/>
  <c r="AR25" i="15"/>
  <c r="AR23" i="15"/>
  <c r="AR22" i="15"/>
  <c r="AR24" i="15"/>
  <c r="BL15" i="15"/>
  <c r="BQ15" i="15"/>
  <c r="BR15" i="15"/>
  <c r="BS15" i="15"/>
  <c r="BT15" i="15"/>
  <c r="BU15" i="15"/>
  <c r="BK15" i="15"/>
  <c r="BM15" i="15"/>
  <c r="BN15" i="15"/>
  <c r="BO15" i="15"/>
  <c r="BP15" i="15"/>
  <c r="BJ15" i="15"/>
  <c r="BQ16" i="15"/>
  <c r="BR16" i="15"/>
  <c r="BS16" i="15"/>
  <c r="BT16" i="15"/>
  <c r="BU16" i="15"/>
  <c r="BJ16" i="15"/>
  <c r="BL16" i="15"/>
  <c r="BM16" i="15"/>
  <c r="BN16" i="15"/>
  <c r="BO16" i="15"/>
  <c r="BP16" i="15"/>
  <c r="BK16" i="15"/>
  <c r="S46" i="15"/>
  <c r="S41" i="15"/>
  <c r="S39" i="15"/>
  <c r="S45" i="15"/>
  <c r="S40" i="15"/>
  <c r="S38" i="15"/>
  <c r="S47" i="15"/>
  <c r="S48" i="15"/>
  <c r="R45" i="15"/>
  <c r="R40" i="15"/>
  <c r="R38" i="15"/>
  <c r="R47" i="15"/>
  <c r="R48" i="15"/>
  <c r="R41" i="15"/>
  <c r="R39" i="15"/>
  <c r="R46" i="15"/>
  <c r="BP40" i="15" l="1"/>
  <c r="BJ41" i="15"/>
  <c r="BT38" i="15"/>
  <c r="BL39" i="15"/>
  <c r="BM38" i="15"/>
  <c r="BU39" i="15"/>
  <c r="BN39" i="15"/>
  <c r="BS40" i="15"/>
  <c r="BL38" i="15"/>
  <c r="BL40" i="15"/>
  <c r="BL41" i="15"/>
  <c r="BJ38" i="15"/>
  <c r="BJ39" i="15"/>
  <c r="BJ40" i="15"/>
  <c r="BN40" i="15"/>
  <c r="BM40" i="15"/>
  <c r="BM39" i="15"/>
  <c r="BO45" i="15"/>
  <c r="BJ46" i="15"/>
  <c r="BU45" i="15"/>
  <c r="BN48" i="15"/>
  <c r="BM41" i="15"/>
  <c r="BJ45" i="15"/>
  <c r="BP45" i="15"/>
  <c r="BN46" i="15"/>
  <c r="BJ47" i="15"/>
  <c r="BM48" i="15"/>
  <c r="BJ48" i="15"/>
  <c r="BK45" i="15"/>
  <c r="BK47" i="15"/>
  <c r="BR47" i="15"/>
  <c r="BU40" i="15"/>
  <c r="BQ47" i="15"/>
  <c r="BN41" i="15"/>
  <c r="BP46" i="15"/>
  <c r="BM45" i="15"/>
  <c r="BL48" i="15"/>
  <c r="BR40" i="15"/>
  <c r="BT41" i="15"/>
  <c r="BL22" i="15"/>
  <c r="BL25" i="15"/>
  <c r="BL24" i="15"/>
  <c r="BL23" i="15"/>
  <c r="BS48" i="15"/>
  <c r="BL46" i="15"/>
  <c r="BN45" i="15"/>
  <c r="BT40" i="15"/>
  <c r="BK48" i="15"/>
  <c r="BR41" i="15"/>
  <c r="BK22" i="15"/>
  <c r="BK25" i="15"/>
  <c r="BK24" i="15"/>
  <c r="BK23" i="15"/>
  <c r="BS41" i="15"/>
  <c r="BP47" i="15"/>
  <c r="BT47" i="15"/>
  <c r="BU48" i="15"/>
  <c r="BK38" i="15"/>
  <c r="BR46" i="15"/>
  <c r="BU24" i="15"/>
  <c r="BU23" i="15"/>
  <c r="BU22" i="15"/>
  <c r="BU25" i="15"/>
  <c r="BS45" i="15"/>
  <c r="BN38" i="15"/>
  <c r="BP48" i="15"/>
  <c r="BT39" i="15"/>
  <c r="BU41" i="15"/>
  <c r="BK40" i="15"/>
  <c r="BR48" i="15"/>
  <c r="BT24" i="15"/>
  <c r="BT23" i="15"/>
  <c r="BT22" i="15"/>
  <c r="BT25" i="15"/>
  <c r="BS47" i="15"/>
  <c r="BN47" i="15"/>
  <c r="BO41" i="15"/>
  <c r="BP38" i="15"/>
  <c r="BQ41" i="15"/>
  <c r="BT45" i="15"/>
  <c r="BU46" i="15"/>
  <c r="BR23" i="15"/>
  <c r="BR22" i="15"/>
  <c r="BR25" i="15"/>
  <c r="BR24" i="15"/>
  <c r="BO39" i="15"/>
  <c r="BP39" i="15"/>
  <c r="BQ38" i="15"/>
  <c r="BT46" i="15"/>
  <c r="BU47" i="15"/>
  <c r="BQ25" i="15"/>
  <c r="BQ23" i="15"/>
  <c r="BQ22" i="15"/>
  <c r="BQ24" i="15"/>
  <c r="BO46" i="15"/>
  <c r="BP41" i="15"/>
  <c r="BQ46" i="15"/>
  <c r="BT48" i="15"/>
  <c r="BU38" i="15"/>
  <c r="BP24" i="15"/>
  <c r="BP23" i="15"/>
  <c r="BP22" i="15"/>
  <c r="BP25" i="15"/>
  <c r="BM47" i="15"/>
  <c r="BO47" i="15"/>
  <c r="BQ48" i="15"/>
  <c r="BS23" i="15"/>
  <c r="BS24" i="15"/>
  <c r="BS22" i="15"/>
  <c r="BS25" i="15"/>
  <c r="BM46" i="15"/>
  <c r="BL45" i="15"/>
  <c r="BO48" i="15"/>
  <c r="BQ39" i="15"/>
  <c r="BK46" i="15"/>
  <c r="BR39" i="15"/>
  <c r="BJ24" i="15"/>
  <c r="BJ22" i="15"/>
  <c r="BJ25" i="15"/>
  <c r="BJ23" i="15"/>
  <c r="BS39" i="15"/>
  <c r="BL47" i="15"/>
  <c r="BO38" i="15"/>
  <c r="BQ40" i="15"/>
  <c r="BK41" i="15"/>
  <c r="BR45" i="15"/>
  <c r="BO23" i="15"/>
  <c r="BO22" i="15"/>
  <c r="BO25" i="15"/>
  <c r="BO24" i="15"/>
  <c r="BS38" i="15"/>
  <c r="BO40" i="15"/>
  <c r="BQ45" i="15"/>
  <c r="BK39" i="15"/>
  <c r="BR38" i="15"/>
  <c r="BN22" i="15"/>
  <c r="BN25" i="15"/>
  <c r="BN23" i="15"/>
  <c r="BN24" i="15"/>
  <c r="BS46" i="15"/>
  <c r="BM22" i="15"/>
  <c r="BM25" i="15"/>
  <c r="BM23" i="15"/>
  <c r="BM24"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<sst xmlns="http://schemas.openxmlformats.org/spreadsheetml/2006/main" count="278" uniqueCount="98">
  <si>
    <t>BAABTAVMT0NBTAFI/////wFQPgAAABhDSVEuVFNDTy5JUV9DT01QQU5ZX05BTUUBAAAAHQcFAAMAAAAWVHJhY3RvciBTdXBwbHkgQ29tcGFueQAvXXjx3gfdCEwdGPLeB90IGENJUS5DT1NULklRX0NPTVBBTllfTkFNRQEAAACRagEAAwAAABxDb3N0Y28gV2hvbGVzYWxlIENvcnBvcmF0aW9uAC9dePHeB90Is8Md8t4H3QgmQ0lRLlRTQ08uSVFfTEFTVFNBTEVQUklDRS44LzEvMjAyNC5VU0QBAAAAHQcFAAIAAAAGMjU2LjI2AC9dePHeB90IsgcZ8t4H3QghQ0lRLlRTQ08uSVFfWUVBUkhJR0guOC8xLzIwMjQuVVNEAQAAAB0HBQACAAAABjI5MC4zOAAvXXjx3gfdCDmxHPLeB90II0NJUS5UU0NPLklRX0xBU1RTQUxFUFJJQ0UuNDUyOTIuVVNEAQAAAB0HBQACAAAABjIxNS4wMwAvXXjx3gfdCOxeHvLeB90II0NJUS5UU0NPLklRX0xBU1RTQUxFUFJJQ0UuNDUxMzkuVVNEAQAAAB0HBQACAAAABjIyNC4xOQAvXXjx3gfdCOLtG/LeB90II0NJUS5UU0NPLklRX0xBU1RTQUxFUFJJQ0UuNDU0MTMuVVNEAQAAAB0HBQACAAAABjI3MS4xNwAvXXjx3gfdCN+aFPLeB90II0NJUS5UU0NPLklRX0xBU1RTQUxFUFJJQ0UuNDQ0MDkuVVNEAQAAAB0HBQACAAAABjE4MC45MwAvXXjx3gfdCJVSG/LeB90IIkNJUS5UU0NPLklRX01BUktFVENBUC44LzEvMjAyNC5VU0QBAAAAHQcFAAIAAAAMMjc2MjcuNDkxODIzAQYAAAAF</t>
  </si>
  <si>
    <t>AAAAATEBAAAACy0xOTg2NTE1OTQyAwAAAAMxNjACAAAABjEwMDA1NAQAAAABMAcAAAAIOC8xLzIwMjQvXXjx3gfdCN10HfLeB90II0NJUS5UU0NPLklRX0xBU1RTQUxFUFJJQ0UuNDU1OTcuVVNEAQAAAB0HBQACAAAABjI2Ni41NwAvXXjx3gfdCGa1GvLeB90IJkNJUS5DT1NULklRX0xBU1RTQUxFUFJJQ0UuOC8xLzIwMjQuVVNEAQAAAJFqAQACAAAABjgxNi44OQAvXXjx3gfdCGEmHfLeB90IIUNJUS5DT1NULklRX1lFQVJISUdILjgvMS8yMDI0LlVTRAEAAACRagEAAgAAAAY4OTYuNjcAL1148d4H3Qg2ehvy3gfdCCNDSVEuQ09TVC5JUV9MQVNUU0FMRVBSSUNFLjQ1MjkyLlVTRAEAAACRagEAAgAAAAY2NjAuMDgAL1148d4H3Qickhjy3gfdCCNDSVEuQ09TVC5JUV9MQVNUU0FMRVBSSUNFLjQ1MTM5LlVTRAEAAACRagEAAgAAAAY1NTUuNDcAL1148d4H3Qjsoxny3gfdCCNDSVEuQ09TVC5JUV9MQVNUU0FMRVBSSUNFLjQ1NDEzLlVTRAEAAACRagEAAgAAAAY3MjIuMjIAL1148d4H3QhDihzy3gfdCCNDSVEuQ09TVC5JUV9MQVNUU0FMRVBSSUNFLjQ0NDA5LlVTRAEAAACRagEAAgAAAAY0MjkuNzIAL1148d4H3QgNPR7y3gfdCCJDSVEuQ09TVC5JUV9NQVJLRVRDQVAuOC8xLzIwMjQuVVNEAQAAAJFqAQACAAAADTM2MjE1NS45NDc3NTUBBgAAAAUAAAABMQEAAAALLTE5ODk4OTI0MDEDAAAAAzE2MAIAAAAG</t>
  </si>
  <si>
    <t>MTAwMDU0BAAAAAEwBwAAAAg4LzEvMjAyNC9dePHeB90I5C4Z8t4H3QgjQ0lRLkNPU1QuSVFfTEFTVFNBTEVQUklDRS40NTU5Ny5VU0QBAAAAkWoBAAIAAAAGODc3LjMxAC9dePHeB90IYSYd8t4H3QgtQ0lRLlRTQ08uSVFfUkVWRU5VRV9FU1QuQ1kyMDI0LjgvMS8yMDI0Li4uVVNEAQAAAB0HBQACAAAACzE0OTA0LjE3Nzk2AQ4AAAAFAAAAAjExAQAAAAEwAgAAAAoxMDAyNTY4NjYwAwAAAAYxMDAxODAEAAAAATIGAAAAATAHAAAAAzE2MAgAAAABMAkAAAABMQoAAAABMAsAAAALMTM4NjQzODUzOTMMAAAAATcNAAAACDgvMi8yMDI0EAAAAAg4LzEvMjAyNKaDePHeB90I7BAe8t4H3QgtQ0lRLlRTQ08uSVFfUkVWRU5VRV9FU1QuQ1kyMDI1LjgvMS8yMDI0Li4uVVNEAQAAAB0HBQACAAAACTE1NzY3Ljc2OAEOAAAABQAAAAIxMQEAAAABMAIAAAAKMTAwMjU2ODY2MQMAAAAGMTAwMTgwBAAAAAEyBgAAAAEwBwAAAAMxNjAIAAAAATAJAAAAATEKAAAAATALAAAACzEzODY0Mzg0OTk3DAAAAAE3DQAAAAg4LzIvMjAyNBAAAAAIOC8xLzIwMjSmg3jx3gfdCOTpHfLeB90IM0NJUS5UU0NPLklRX0VCSVREQV9NRURJQU5fRVNULkNZMjAyNC44LzEvMjAyNC4uLlVTRAEAAAAdBwUAAgAAAAQxOTIyAQ4AAAAFAAAAAjExAQAAAAEwAgAAAAoxMDAyNTY4NjYwAwAAAAYxMDAxODgEAAAAATIGAAAAATAHAAAAAzE2MAgAAAAB</t>
  </si>
  <si>
    <t>MAkAAAABMQoAAAABMAsAAAALMTM4NjQzODUzODgMAAAAATcNAAAACDgvMi8yMDI0EAAAAAg4LzEvMjAyNKaDePHeB90ITB0Y8t4H3QgzQ0lRLlRTQ08uSVFfRUJJVERBX01FRElBTl9FU1QuQ1kyMDI1LjgvMS8yMDI0Li4uVVNEAQAAAB0HBQACAAAACjIwODAuNjIzMzcBDgAAAAUAAAACMTEBAAAAATACAAAACjEwMDI1Njg2NjEDAAAABjEwMDE4OAQAAAABMgYAAAABMAcAAAADMTYwCAAAAAEwCQAAAAExCgAAAAEwCwAAAAsxMzg2NDM4NTI3NAwAAAABNw0AAAAIOC8yLzIwMjQQAAAACDgvMS8yMDI0poN48d4H3QgaPBzy3gfdCDJDSVEuVFNDTy5JUV9DQVBFWF9NRURJQU5fRVNULkNZMjAyNC44LzEvMjAyNC4uLlVTRAEAAAAdBwUAAgAAAAQtNjgwAQ4AAAAFAAAAAjExAQAAAAEwAgAAAAoxMDAyNTY4NjYwAwAAAAYxMDQwOTEEAAAAATIGAAAAATAHAAAAAzE2MAgAAAABMAkAAAABMQoAAAABMAsAAAALMTM5ODMzNDY2OTUMAAAAATcNAAAACDgvMi8yMDI0EAAAAAg4LzEvMjAyNKaDePHeB90IlVIb8t4H3QgyQ0lRLlRTQ08uSVFfQ0FQRVhfTUVESUFOX0VTVC5DWTIwMjUuOC8xLzIwMjQuLi5VU0QBAAAAHQcFAAIAAAAGLTY5Mi41AQ4AAAAFAAAAAjExAQAAAAEwAgAAAAoxMDAyNTY4NjYxAwAAAAYxMDQwOTEEAAAAATIGAAAAATAHAAAAAzE2MAgAAAABMAkAAAABMQoAAAABMAsAAAALMTM4NjIzMDk2OTQM</t>
  </si>
  <si>
    <t>AAAAATcNAAAACDgvMi8yMDI0EAAAAAg4LzEvMjAyNKaDePHeB90I7F4e8t4H3QgtQ0lRLkNPU1QuSVFfUkVWRU5VRV9FU1QuQ1kyMDI0LjgvMS8yMDI0Li4uVVNEAQAAAJFqAQACAAAACTI1OTUyOS4wNAEOAAAABQAAAAIxMQEAAAABMAIAAAAJNjU0OTY4MTQ3AwAAAAYxMDAxODAEAAAAATIGAAAAATAHAAAAAzE2MAgAAAABMAkAAAABMQoAAAABMAsAAAALMTM4NDUxMDE2NzEMAAAAATcNAAAACDgvMi8yMDI0EAAAAAg4LzEvMjAyNKaDePHeB90INnob8t4H3QgtQ0lRLkNPU1QuSVFfUkVWRU5VRV9FU1QuQ1kyMDI1LjgvMS8yMDI0Li4uVVNEAQAAAJFqAQACAAAACzI4MTczNi4xMzUzAQ4AAAAFAAAAAjExAQAAAAEwAgAAAAk2NTQ5NjgxNDgDAAAABjEwMDE4MAQAAAABMgYAAAABMAcAAAADMTYwCAAAAAEwCQAAAAExCgAAAAEwCwAAAAsxMzg0NTEwMTY4NAwAAAABNw0AAAAIOC8yLzIwMjQQAAAACDgvMS8yMDI0poN48d4H3Qi9mx3y3gfdCDNDSVEuQ09TVC5JUV9FQklUREFfTUVESUFOX0VTVC5DWTIwMjQuOC8xLzIwMjQuLi5VU0QBAAAAkWoBAAIAAAAHMTE3NTMuNAEOAAAABQAAAAIxMQEAAAABMAIAAAAJNjU0OTY4MTQ3AwAAAAYxMDAxODgEAAAAATIGAAAAATAHAAAAAzE2MAgAAAABMAkAAAABMQoAAAABMAsAAAALMTM4NDI4NzE1NjMMAAAAATcNAAAACDgvMi8yMDI0EAAAAAg4LzEvMjAyNKaDePHe</t>
  </si>
  <si>
    <t>B90IYSYd8t4H3QgzQ0lRLkNPU1QuSVFfRUJJVERBX01FRElBTl9FU1QuQ1kyMDI1LjgvMS8yMDI0Li4uVVNEAQAAAJFqAQACAAAACjEzMDQwLjQyNTcBDgAAAAUAAAACMTEBAAAAATACAAAACTY1NDk2ODE0OAMAAAAGMTAwMTg4BAAAAAEyBgAAAAEwBwAAAAMxNjAIAAAAATAJAAAAATEKAAAAATALAAAACzEzODQwNjY0MzQ3DAAAAAE3DQAAAAg4LzIvMjAyNBAAAAAIOC8xLzIwMjSmg3jx3gfdCAYVHPLeB90IMkNJUS5DT1NULklRX0NBUEVYX01FRElBTl9FU1QuQ1kyMDI0LjgvMS8yMDI0Li4uVVNEAQAAAJFqAQACAAAABy00NDMxLjcBDgAAAAUAAAACMTEBAAAAATACAAAACTY1NDk2ODE0NwMAAAAGMTA0MDkxBAAAAAEyBgAAAAEwBwAAAAMxNjAIAAAAATAJAAAAATEKAAAAATALAAAACzEzODQwNzQwMTA3DAAAAAE3DQAAAAg4LzIvMjAyNBAAAAAIOC8xLzIwMjSmg3jx3gfdCOwQHvLeB90IMkNJUS5DT1NULklRX0NBUEVYX01FRElBTl9FU1QuQ1kyMDI1LjgvMS8yMDI0Li4uVVNEAQAAAJFqAQACAAAACi00NjM5LjQ0MTMBDgAAAAUAAAACMTEBAAAAATACAAAACTY1NDk2ODE0OAMAAAAGMTA0MDkxBAAAAAEyBgAAAAEwBwAAAAMxNjAIAAAAATAJAAAAATEKAAAAATALAAAACzEzODQxMDAxNzg5DAAAAAE3DQAAAAg4LzIvMjAyNBAAAAAIOC8xLzIwMjSmg3jx3gfdCOQuGfLeB90ILENJUS5UU0NPLklRX1RP</t>
  </si>
  <si>
    <t>VEFMX0RFQlQuSVFfTFRNLjgvMS8yMDI0Li4uVVNEAQAAAB0HBQACAAAABzUxMjYuNTIBCAAAAAUAAAABMQEAAAALLTE5ODQxOTE5MzkDAAAAAzE2MAIAAAAENDE3MwQAAAABMAcAAAAIOC8xLzIwMjQIAAAACTYvMjkvMjAyNAkAAAABMKaDePHeB90IRtgc8t4H3QgyQ0lRLlRTQ08uSVFfTE9OR19URVJNX0xFQVNFUy5JUV9MVE0uOC8xLzIwMjQuLi5VU0QBAAAAHQcFAAIAAAAIMzAxMC41MzcBCAAAAAUAAAABMQEAAAALLTE5ODQxOTE5MzkDAAAAAzE2MAIAAAAEMTE4MwQAAAABMAcAAAAIOC8xLzIwMjQIAAAACTYvMjkvMjAyNAkAAAABMKaDePHeB90I5Okd8t4H3Qg1Q0lRLlRTQ08uSVFfQ1VSUkVOVF9QT1JUX0xFQVNFUy5JUV9MVE0uOC8xLzIwMjQuLi5VU0QBAAAAHQcFAAIAAAAHMzg1LjUxNgEIAAAABQAAAAExAQAAAAstMTk4NDE5MTkzOQMAAAADMTYwAgAAAAQxMDkwBAAAAAEwBwAAAAg4LzEvMjAyNAgAAAAJNi8yOS8yMDI0CQAAAAEwpoN48d4H3QgwTh3y3gfdCDBDSVEuVFNDTy5JUV9DQVNIX1NUX0lOVkVTVC5JUV9MVE0uOC8xLzIwMjQuLi5VU0QBAAAAHQcFAAIAAAAHMzk0Ljc0OAEIAAAABQAAAAExAQAAAAstMTk4NDE5MTkzOQMAAAADMTYwAgAAAAQxMDAyBAAAAAEwBwAAAAg4LzEvMjAyNAgAAAAJNi8yOS8yMDI0CQAAAAEwpoN48d4H3QjsXh7y3gfdCC9DSVEuVFNDTy5JUV9UT1RBTF9S</t>
  </si>
  <si>
    <t>RVZFTlVFLkNZMjAyMS44LzEvMjAyNC4uLlVTRAEAAAAdBwUAAgAAAAkxMjczMS4xMDUBCAAAAAUAAAABMQEAAAALLTIwMDg4OTEzNjMDAAAAAzE2MAIAAAACMjgEAAAAATAHAAAACDgvMS8yMDI0CAAAAAoxMi8yNS8yMDIxCQAAAAEwpoN48d4H3QgNPR7y3gfdCClDSVEuVFNDTy5JUV9SRVZFTlVFLkNZMjAyMi44LzEvMjAyNC4uLlVTRAEAAAAdBwUAAgAAAAkxNDIwNC43MTcBCAAAAAUAAAABMQEAAAALLTIwMDg4OTEzODIDAAAAAzE2MAIAAAADMTEyBAAAAAEwBwAAAAg4LzEvMjAyNAgAAAAKMTIvMzEvMjAyMgkAAAABMKaDePHeB90IWP8c8t4H3QgpQ0lRLlRTQ08uSVFfUkVWRU5VRS5DWTIwMjMuOC8xLzIwMjQuLi5VU0QBAAAAHQcFAAIAAAAJMTQ1NTUuNzQxAQgAAAAFAAAAATEBAAAACy0yMDA4ODkxMzEyAwAAAAMxNjACAAAAAzExMgQAAAABMAcAAAAIOC8xLzIwMjQIAAAACjEyLzMwLzIwMjMJAAAAATCmg3jx3gfdCEwdGPLeB90IKUNJUS5UU0NPLklRX1JFVkVOVUUuSVFfTFRNLjgvMS8yMDI0Li4uVVNEAQAAAB0HBQACAAAACTE0NzEzLjI3NwEIAAAABQAAAAExAQAAAAstMTk4NDE5MTkzOQMAAAADMTYwAgAAAAMxMTIEAAAAATAHAAAACDgvMS8yMDI0CAAAAAk2LzI5LzIwMjQJAAAAATCmg3jx3gfdCN10HfLeB90IKENJUS5UU0NPLklRX0VCSVREQS5DWTIwMjEuOC8xLzIwMjQuLi5VU0QBAAAA</t>
  </si>
  <si>
    <t>HQcFAAIAAAAIMTU3Ni44NTYBCAAAAAUAAAABMQEAAAALLTIwMDg4OTEzNjMDAAAAAzE2MAIAAAAENDA1MQQAAAABMAcAAAAIOC8xLzIwMjQIAAAACjEyLzI1LzIwMjEJAAAAATCmg3jx3gfdCEwdGPLeB90IKENJUS5UU0NPLklRX0VCSVREQS5DWTIwMjIuOC8xLzIwMjQuLi5VU0QBAAAAHQcFAAIAAAAIMTc3OC4wMDUBCAAAAAUAAAABMQEAAAALLTIwMDg4OTEzODIDAAAAAzE2MAIAAAAENDA1MQQAAAABMAcAAAAIOC8xLzIwMjQIAAAACjEyLzMxLzIwMjIJAAAAATCmg3jx3gfdCDBOHfLeB90IKENJUS5UU0NPLklRX0VCSVREQS5DWTIwMjMuOC8xLzIwMjQuLi5VU0QBAAAAHQcFAAIAAAAIMTg3MS45NjEBCAAAAAUAAAABMQEAAAALLTIwMDg4OTEzMTIDAAAAAzE2MAIAAAAENDA1MQQAAAABMAcAAAAIOC8xLzIwMjQIAAAACjEyLzMwLzIwMjMJAAAAATCmg3jx3gfdCBo8HPLeB90IKENJUS5UU0NPLklRX0VCSVREQS5JUV9MVE0uOC8xLzIwMjQuLi5VU0QBAAAAHQcFAAIAAAAIMTkwNi44MTkBCAAAAAUAAAABMQEAAAALLTE5ODQxOTE5MzkDAAAAAzE2MAIAAAAENDA1MQQAAAABMAcAAAAIOC8xLzIwMjQIAAAACTYvMjkvMjAyNAkAAAABMKaDePHeB90IWP8c8t4H3QgnQ0lRLlRTQ08uSVFfQ0FQRVguQ1kyMDIxLjgvMS8yMDI0Li4uVVNEAQAAAB0HBQACAAAACC02MjguNDMxAQgAAAAFAAAAATEBAAAACy0y</t>
  </si>
  <si>
    <t>MDA4ODkxMzYzAwAAAAMxNjACAAAABDIwMjEEAAAAATAHAAAACDgvMS8yMDI0CAAAAAoxMi8yNS8yMDIxCQAAAAEwpoN48d4H3QhY/xzy3gfdCCdDSVEuVFNDTy5JUV9DQVBFWC5DWTIwMjIuOC8xLzIwMjQuLi5VU0QBAAAAHQcFAAIAAAAILTc3My4zNjkBCAAAAAUAAAABMQEAAAALLTIwMDg4OTEzODIDAAAAAzE2MAIAAAAEMjAyMQQAAAABMAcAAAAIOC8xLzIwMjQIAAAACjEyLzMxLzIwMjIJAAAAATCmg3jx3gfdCLPDHfLeB90IJ0NJUS5UU0NPLklRX0NBUEVYLkNZMjAyMy44LzEvMjAyNC4uLlVTRAEAAAAdBwUAAgAAAAgtNzUzLjg4MwEIAAAABQAAAAExAQAAAAstMjAwODg5MTMxMgMAAAADMTYwAgAAAAQyMDIxBAAAAAEwBwAAAAg4LzEvMjAyNAgAAAAKMTIvMzAvMjAyMwkAAAABMKaDePHeB90ITB0Y8t4H3QgnQ0lRLlRTQ08uSVFfQ0FQRVguSVFfTFRNLjgvMS8yMDI0Li4uVVNEAQAAAB0HBQACAAAACC03NTQuMTE1AQgAAAAFAAAAATEBAAAACy0xOTg0MTkxOTM5AwAAAAMxNjACAAAABDIwMjEEAAAAATAHAAAACDgvMS8yMDI0CAAAAAk2LzI5LzIwMjQJAAAAATCmg3jx3gfdCDBOHfLeB90ILENJUS5DT1NULklRX1RPVEFMX0RFQlQuSVFfTFRNLjgvMS8yMDI0Li4uVVNEAQAAAJFqAQACAAAABDkyOTcBCAAAAAUAAAABMQEAAAALLTE5ODk4ODgzMDMDAAAAAzE2MAIAAAAENDE3MwQAAAABMAcAAAAI</t>
  </si>
  <si>
    <t>OC8xLzIwMjQIAAAACTUvMTIvMjAyNAkAAAABMDqrePHeB90IvZsd8t4H3QgyQ0lRLkNPU1QuSVFfTE9OR19URVJNX0xFQVNFUy5JUV9MVE0uOC8xLzIwMjQuLi5VU0QBAAAAkWoBAAIAAAAEMjM4NgEIAAAABQAAAAExAQAAAAstMTk4OTg4ODMwMwMAAAADMTYwAgAAAAQxMTgzBAAAAAEwBwAAAAg4LzEvMjAyNAgAAAAJNS8xMi8yMDI0CQAAAAEwOqt48d4H3Qg2ehvy3gfdCDVDSVEuQ09TVC5JUV9DVVJSRU5UX1BPUlRfTEVBU0VTLklRX0xUTS44LzEvMjAyNC4uLlVTRAEAAACRagEAAwAAAAAAOqt48d4H3Qjhnxvy3gfdCDBDSVEuQ09TVC5JUV9DQVNIX1NUX0lOVkVTVC5JUV9MVE0uOC8xLzIwMjQuLi5VU0QBAAAAkWoBAAIAAAAFMTE0OTkBCAAAAAUAAAABMQEAAAALLTE5ODk4ODgzMDMDAAAAAzE2MAIAAAAEMTAwMgQAAAABMAcAAAAIOC8xLzIwMjQIAAAACTUvMTIvMjAyNAkAAAABMDqrePHeB90I5C4Z8t4H3QgvQ0lRLkNPU1QuSVFfVE9UQUxfUkVWRU5VRS5DWTIwMjEuOC8xLzIwMjQuLi5VU0QBAAAAkWoBAAIAAAAGMjAzMDg0AQgAAAAFAAAAATEBAAAACy0yMDY0NzQ1NTcwAwAAAAMxNjACAAAAAjI4BAAAAAEwBwAAAAg4LzEvMjAyNAgAAAAKMTEvMjEvMjAyMQkAAAABMDqrePHeB90IRtgc8t4H3QgpQ0lRLkNPU1QuSVFfUkVWRU5VRS5DWTIwMjIuOC8xLzIwMjQuLi5VU0QBAAAAkWoBAAIAAAAG</t>
  </si>
  <si>
    <t>MjMxMDI4AQgAAAAFAAAAATEBAAAACy0yMDE0NTE2MDk5AwAAAAMxNjACAAAAAzExMgQAAAABMAcAAAAIOC8xLzIwMjQIAAAACjExLzIwLzIwMjIJAAAAATA6q3jx3gfdCGEmHfLeB90IKUNJUS5DT1NULklRX1JFVkVOVUUuQ1kyMDIzLjgvMS8yMDI0Li4uVVNEAQAAAJFqAQACAAAABjI0NTY1MgEIAAAABQAAAAExAQAAAAstMjAxNDUxNjA4NQMAAAADMTYwAgAAAAMxMTIEAAAAATAHAAAACDgvMS8yMDI0CAAAAAoxMS8yNi8yMDIzCQAAAAEwOqt48d4H3QhY/xzy3gfdCClDSVEuQ09TVC5JUV9SRVZFTlVFLklRX0xUTS44LzEvMjAyNC4uLlVTRAEAAACRagEAAgAAAAYyNTM2OTUBCAAAAAUAAAABMQEAAAALLTE5ODk4ODgzMDMDAAAAAzE2MAIAAAADMTEyBAAAAAEwBwAAAAg4LzEvMjAyNAgAAAAJNS8xMi8yMDI0CQAAAAEwOqt48d4H3QjkLhny3gfdCChDSVEuQ09TVC5JUV9FQklUREEuQ1kyMDIxLjgvMS8yMDI0Li4uVVNEAQAAAJFqAQACAAAABDk0MTMBCAAAAAUAAAABMQEAAAALLTIwNjQ3NDU1NzADAAAAAzE2MAIAAAAENDA1MQQAAAABMAcAAAAIOC8xLzIwMjQIAAAACjExLzIxLzIwMjEJAAAAATA6q3jx3gfdCDZ6G/LeB90IKENJUS5DT1NULklRX0VCSVREQS5DWTIwMjIuOC8xLzIwMjQuLi5VU0QBAAAAkWoBAAIAAAAEOTc2NgEIAAAABQAAAAExAQAAAAstMjAxNDUxNjA5OQMAAAADMTYwAgAAAAQ0</t>
  </si>
  <si>
    <t>MDUxBAAAAAEwBwAAAAg4LzEvMjAyNAgAAAAKMTEvMjAvMjAyMgkAAAABMDqrePHeB90I5Okd8t4H3QgoQ0lRLkNPU1QuSVFfRUJJVERBLkNZMjAyMy44LzEvMjAyNC4uLlVTRAEAAACRagEAAgAAAAUxMDg2OQEIAAAABQAAAAExAQAAAAstMjAxNDUxNjA4NQMAAAADMTYwAgAAAAQ0MDUxBAAAAAEwBwAAAAg4LzEvMjAyNAgAAAAKMTEvMjYvMjAyMwkAAAABMDqrePHeB90INI4a8t4H3QgoQ0lRLkNPU1QuSVFfRUJJVERBLklRX0xUTS44LzEvMjAyNC4uLlVTRAEAAACRagEAAgAAAAUxMTI0MwEIAAAABQAAAAExAQAAAAstMTk4OTg4ODMwMwMAAAADMTYwAgAAAAQ0MDUxBAAAAAEwBwAAAAg4LzEvMjAyNAgAAAAJNS8xMi8yMDI0CQAAAAEwOqt48d4H3QhG2Bzy3gfdCCdDSVEuQ09TVC5JUV9DQVBFWC5DWTIwMjEuOC8xLzIwMjQuLi5VU0QBAAAAkWoBAAIAAAAFLTM3NTABCAAAAAUAAAABMQEAAAALLTIwNjQ3NDU1NzADAAAAAzE2MAIAAAAEMjAyMQQAAAABMAcAAAAIOC8xLzIwMjQIAAAACjExLzIxLzIwMjEJAAAAATA6q3jx3gfdCDSOGvLeB90IJ0NJUS5DT1NULklRX0NBUEVYLkNZMjAyMi44LzEvMjAyNC4uLlVTRAEAAACRagEAAgAAAAUtMzg5MwEIAAAABQAAAAExAQAAAAstMjAxNDUxNjA5OQMAAAADMTYwAgAAAAQyMDIxBAAAAAEwBwAAAAg4LzEvMjAyNAgAAAAKMTEvMjAvMjAyMgkAAAABMDqrePHe</t>
  </si>
  <si>
    <t>B90INnob8t4H3QgnQ0lRLkNPU1QuSVFfQ0FQRVguQ1kyMDIzLjgvMS8yMDI0Li4uVVNEAQAAAJFqAQACAAAABS00MzA2AQgAAAAFAAAAATEBAAAACy0yMDE0NTE2MDg1AwAAAAMxNjACAAAABDIwMjEEAAAAATAHAAAACDgvMS8yMDI0CAAAAAoxMS8yNi8yMDIzCQAAAAEwOqt48d4H3Qizwx3y3gfdCCdDSVEuQ09TVC5JUV9DQVBFWC5JUV9MVE0uOC8xLzIwMjQuLi5VU0QBAAAAkWoBAAIAAAAFLTQ2ODkBCAAAAAUAAAABMQEAAAALLTE5ODk4ODgzMDMDAAAAAzE2MAIAAAAEMjAyMQQAAAABMAcAAAAIOC8xLzIwMjQIAAAACTUvMTIvMjAyNAkAAAABMDqrePHeB90IOGMc8t4H3Qg=</t>
  </si>
  <si>
    <t>Company Name</t>
  </si>
  <si>
    <t>HIDE</t>
  </si>
  <si>
    <t>Public Comparables</t>
  </si>
  <si>
    <t>Date</t>
  </si>
  <si>
    <t>IQ_LASTSALEPRICE</t>
  </si>
  <si>
    <t>IQ_YEARHIGH</t>
  </si>
  <si>
    <t>IQ_MARKETCAP</t>
  </si>
  <si>
    <t>IQ_TOTAL_DEBT</t>
  </si>
  <si>
    <t>IQ_LONG_TERM_LEASES</t>
  </si>
  <si>
    <t>IQ_CURRENT_PORT_LEASES</t>
  </si>
  <si>
    <t>IQ_CASH_ST_INVEST</t>
  </si>
  <si>
    <t>IQ_TOTAL_REVENUE</t>
  </si>
  <si>
    <t>IQ_REVENUE</t>
  </si>
  <si>
    <t>IQ_REVENUE_EST</t>
  </si>
  <si>
    <t>IQ_EBITDA</t>
  </si>
  <si>
    <t>IQ_EBITDA_MEDIAN_EST</t>
  </si>
  <si>
    <t>IQ_CAPEX</t>
  </si>
  <si>
    <t>IQ_CAPEX_MEDIAN_Est</t>
  </si>
  <si>
    <t>Currency</t>
  </si>
  <si>
    <t>USD</t>
  </si>
  <si>
    <t>CY2022</t>
  </si>
  <si>
    <t>CY2023</t>
  </si>
  <si>
    <t>CY2024</t>
  </si>
  <si>
    <t>IQ_LTM</t>
  </si>
  <si>
    <t>CY2025</t>
  </si>
  <si>
    <t>CY2026</t>
  </si>
  <si>
    <t>x</t>
  </si>
  <si>
    <t xml:space="preserve">USD in MMs </t>
  </si>
  <si>
    <t>Market Data</t>
  </si>
  <si>
    <t>Capitalization</t>
  </si>
  <si>
    <t>Financial Data</t>
  </si>
  <si>
    <t>Valuation</t>
  </si>
  <si>
    <t>52 Week</t>
  </si>
  <si>
    <t>% of 52</t>
  </si>
  <si>
    <t xml:space="preserve">Reference Share Price </t>
  </si>
  <si>
    <t>Share Price Performance</t>
  </si>
  <si>
    <t>Market</t>
  </si>
  <si>
    <t>Gross Debt</t>
  </si>
  <si>
    <t xml:space="preserve">Long-Term </t>
  </si>
  <si>
    <t xml:space="preserve">Enterprise </t>
  </si>
  <si>
    <t>Revenue</t>
  </si>
  <si>
    <t>EBITDA</t>
  </si>
  <si>
    <t>EBITDA Margin</t>
  </si>
  <si>
    <t>Capex</t>
  </si>
  <si>
    <t>EBITDA - Capex</t>
  </si>
  <si>
    <t>TEV / EBITDA</t>
  </si>
  <si>
    <t>TEV / EBITDA - Capex</t>
  </si>
  <si>
    <t>TEV / Revenue</t>
  </si>
  <si>
    <t>Identifier</t>
  </si>
  <si>
    <t>Share Price</t>
  </si>
  <si>
    <t>High</t>
  </si>
  <si>
    <t>Week High</t>
  </si>
  <si>
    <t>YTD</t>
  </si>
  <si>
    <t>LTM</t>
  </si>
  <si>
    <t>3 Months</t>
  </si>
  <si>
    <t>3-Years</t>
  </si>
  <si>
    <t>Incl. Leases</t>
  </si>
  <si>
    <t>Leases</t>
  </si>
  <si>
    <t>CP Leases</t>
  </si>
  <si>
    <t>Cash</t>
  </si>
  <si>
    <t>Net Debt</t>
  </si>
  <si>
    <t>Value</t>
  </si>
  <si>
    <t>Sub-Segment 1</t>
  </si>
  <si>
    <t>TSCO</t>
  </si>
  <si>
    <t>Maximum</t>
  </si>
  <si>
    <t>Minimum</t>
  </si>
  <si>
    <t>Average</t>
  </si>
  <si>
    <t>Median</t>
  </si>
  <si>
    <t>Sub-Segment 2</t>
  </si>
  <si>
    <t>COST</t>
  </si>
  <si>
    <t>Consolidated</t>
  </si>
  <si>
    <t>Precedent Transactions</t>
  </si>
  <si>
    <t>LTM Financials</t>
  </si>
  <si>
    <t>Target</t>
  </si>
  <si>
    <t xml:space="preserve">Acquiror </t>
  </si>
  <si>
    <t>Acq. Type</t>
  </si>
  <si>
    <t>TEV</t>
  </si>
  <si>
    <t>EV/EBITDA</t>
  </si>
  <si>
    <t>EV/Revenue</t>
  </si>
  <si>
    <t>Acquiror</t>
  </si>
  <si>
    <t>Sponsor</t>
  </si>
  <si>
    <t>Strategic</t>
  </si>
  <si>
    <t>n/a</t>
  </si>
  <si>
    <t>允䅁䉁䄸䅁十䅁䅁䅏癁䑁䅅睌祁䑁䅁杍ぁ䅁䅁杂䅁䅁䅯䅁䑂䕁䄸睕啂䅁䅁䅁䅁䅁䄴䅁䑂䙁䅫杍睁䑁䅉免䅁䉁䅑䅁佁䅁䅁睑婂䑁䅉䅍祁䑁䅉䅁䵁䅁䅁杄䅁䕁䅍兗祁䑁䅁杍穁䅁䅁杆䅁䅁䄴䅁䑂䙁䅫杍睁䑁䅉䅎䅁䅁䅕䅁佁䅁䅁睑婂䑁䅉䅍祁䑁䅕䅁奁䅁䅁杄䅁䕁䅍兗祁䑁䅁杍㉁䅁䅁杈䅁䑁䅯䅁䑂䝁䄸督あ䝁䅍睢杁䙁䅣䅡療䝁䅷党穂䝁䅅䅢求䍁䅁睑療䡁䅉䅣療䡁䅉兙あ䝁䅫睢畂䅁䅁睇䅁䉁䅑䅁䙂䕁䄴䅗啂䙁䅁兑㙁䕁䄴睓䅁䉁䅷䅁十䅁䅁兓剂䙁䄸睑䉂䙁䅁兒奂䅁䅁睃䅁䍁䅧䅁䩂䙁䅅睘䑂䕁䅅䅕䙂䙁䅧睘乂䕁䅕䅒䩂䕁䅅杔時䕁䅕督あ䅁䅁兄䅁䍁䅑䅁䩂䙁䅅睘䑂䕁䅅睕䥂䙁䄸睕啂䙁䄸兓佂䙁䅙兒呂䙁䅑䅁䩁䅁䅁䅉䅁䕁䅫兕時䕁䅍睔乂䙁䅁兑佂䙁䅫睘佂䕁䅅兔䙂䅁䅁兇䅁䍁䄴䅁䩂䙁䅅睘䑂䙁䅕杕卂䕁䅕杔啂䙁䄸䅕偂䙁䅉䅖時䕁䅷兒䉂䙁䅍兒呂䅁䅁䅅䅁䉁䅑䅁䩂䙁䅅睘䙂䕁䅉兓啂䕁䅑兑䅁䅁䅣䅁煁䅁䅁兓剂䙁䄸兒䍂䕁䅫䅖䕂䕁䅅睘乂䕁䅕䅒䩂䕁䅅杔時䕁䅕睕啂䅁䅁䅂䅁䍁䅉䅁䩂䙁䅅睘䵂䕁䅅睕啂䙁䅍兑䵂䕁䅕䅕卂䕁䅫睑䙂䅁䅁允䅁䍁䅧䅁䩂䙁䅅睘䵂䕁䄸杔䡂䙁䄸䅖䙂䙁䅉兔時䕁䅷兒䉂䙁䅍兒呂䅁䅁睅䅁䅁䄴䅁䩂䙁䅅睘䵂䙁䅑兔䅁䅁䅧䅁慁䅁䅁兓剂䙁䄸兔䉂䙁䅉睓䙂䙁䅑睑䉂䙁䅁䅁佁䅁䅁杆䅁䕁䅫兕時䙁䅉兒坂䕁䅕杔噂䕁䅕䅁十䅁䅁杈䅁䕁䅫兕時䙁䅉兒坂䕁䅕杔噂䕁䅕睘䙂䙁䅍䅖䅁䉁䅣䅁捁䅁䅁兓剂䙁䄸䅖偂䙁䅑兑䵂䙁䄸䅒䙂䕁䅉䅖䅁䅁䄸䅁楁䅁䅁兓剂䙁䄸䅖偂䙁䅑兑䵂䙁䄸杕䙂䙁䅙兒佂䙁䅕兒䅁䉁䅕䅁奁䅁䅁兓剂䙁䄸兗䙂䕁䅅杕䥂䕁䅫睒䥂䅁䅁权䅁䉁䅧䅁䩂䝁䄰党祂䡁䅫督杁䙁䅍杌䉂䍁䄴䅁摁䅁䅁杂䅁䕁䄴兑䅁䉁䅅䅁䭁䅁䅁䅖呂䕁䅍睔䅁䅁䅍䅁畁䅁䅁䅖祂䝁䅅睙あ䝁䄸杣杁䙁䅍兤睂䡁䅁䅢㕂䍁䅁睑療䝁䄰䅣桂䝁䄴入䅁䉁䅯䅁䥁䅁䅁兖呂䕁䅑䅁䍁䅁䅁䅁䅁䅁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</si>
</sst>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quot;$&quot;#,##0_);\(&quot;$&quot;#,##0\);&quot;$--&quot;_);@_)"/>
    <numFmt numFmtId="165" formatCode="#,##0_);\(#,##0\);&quot;--&quot;_);@_)"/>
    <numFmt numFmtId="166" formatCode="#,##0.0%_);\(#,##0.0%\);&quot;--%&quot;_);@_)"/>
    <numFmt numFmtId="167" formatCode="#,##0.0\x_);\(#,##0.0\x\);&quot;--x&quot;_);@_)"/>
    <numFmt numFmtId="168" formatCode="#,##0.00_);\(#,##0.00\);&quot;--&quot;_);@_)"/>
    <numFmt numFmtId="169" formatCode="[$-409]mmm\-yy;@"/>
    <numFmt numFmtId="170" formatCode="&quot;$&quot;#,##0.00_);\(&quot;$&quot;#,##0.00\);&quot;$--&quot;_);@_)"/>
    <numFmt numFmtId="171" formatCode="yyyy\A"/>
  </numFmts>
  <fonts count="12" x14ac:knownFonts="1">
    <font>
      <sz val="10"/>
      <color theme="1"/>
      <name val="Calibri"/>
      <family val="2"/>
    </font>
    <font>
      <b/>
      <sz val="10"/>
      <color theme="0"/>
      <name val="Calibri"/>
      <family val="2"/>
    </font>
    <font>
      <sz val="10"/>
      <name val="Calibri"/>
      <family val="2"/>
    </font>
    <font>
      <b/>
      <sz val="10"/>
      <name val="Calibri"/>
      <family val="2"/>
    </font>
    <font>
      <b/>
      <i/>
      <sz val="10"/>
      <name val="Calibri"/>
      <family val="2"/>
    </font>
    <font>
      <i/>
      <sz val="10"/>
      <name val="Calibri"/>
      <family val="2"/>
    </font>
    <font>
      <b/>
      <u val="singleAccounting"/>
      <sz val="10"/>
      <name val="Calibri"/>
      <family val="2"/>
    </font>
    <font>
      <b/>
      <u val="singleAccounting"/>
      <sz val="10"/>
      <color theme="0"/>
      <name val="Calibri"/>
      <family val="2"/>
    </font>
    <font>
      <sz val="10"/>
      <color rgb="FF0000FF"/>
      <name val="Calibri"/>
      <family val="2"/>
    </font>
    <font>
      <sz val="10"/>
      <color rgb="FFFF0000"/>
      <name val="Calibri"/>
      <family val="2"/>
    </font>
    <font>
      <sz val="10"/>
      <color rgb="FF3333FF"/>
      <name val="Calibri"/>
      <family val="2"/>
    </font>
    <font>
      <sz val="10"/>
      <color rgb="FF000000"/>
      <name val="Calibri"/>
      <family val="2"/>
    </font>
  </fonts>
  <fills count="6">
    <fill>
      <patternFill patternType="none"/>
    </fill>
    <fill>
      <patternFill patternType="gray125"/>
    </fill>
    <fill>
      <patternFill patternType="solid">
        <fgColor theme="0" tint="-4.9989318521683403E-2"/>
        <bgColor indexed="64"/>
      </patternFill>
    </fill>
    <fill>
      <patternFill patternType="solid">
        <fgColor theme="5"/>
        <bgColor indexed="64"/>
      </patternFill>
    </fill>
    <fill>
      <patternFill patternType="solid">
        <fgColor theme="4"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ashed">
        <color indexed="64"/>
      </right>
      <top/>
      <bottom style="thin">
        <color indexed="64"/>
      </bottom>
      <diagonal/>
    </border>
    <border>
      <left/>
      <right style="dashed">
        <color indexed="64"/>
      </right>
      <top/>
      <bottom/>
      <diagonal/>
    </border>
    <border>
      <left/>
      <right style="dashed">
        <color indexed="64"/>
      </right>
      <top style="thin">
        <color indexed="64"/>
      </top>
      <bottom style="thin">
        <color indexed="64"/>
      </bottom>
      <diagonal/>
    </border>
    <border>
      <left/>
      <right style="dashed">
        <color indexed="64"/>
      </right>
      <top style="thin">
        <color indexed="64"/>
      </top>
      <bottom/>
      <diagonal/>
    </border>
  </borders>
  <cellStyleXfs count="1">
    <xf numFmtId="0" fontId="0" fillId="0" borderId="0"/>
  </cellStyleXfs>
  <cellXfs count="133">
    <xf numFmtId="0" fontId="0" fillId="0" borderId="0" xfId="0"/>
    <xf numFmtId="0" fontId="2" fillId="0" borderId="0" xfId="0" applyFont="1"/>
    <xf numFmtId="0" fontId="2" fillId="2" borderId="2" xfId="0" applyFont="1" applyFill="1" applyBorder="1"/>
    <xf numFmtId="0" fontId="2" fillId="2" borderId="3" xfId="0" applyFont="1" applyFill="1" applyBorder="1"/>
    <xf numFmtId="0" fontId="2" fillId="2" borderId="0" xfId="0" applyFont="1" applyFill="1"/>
    <xf numFmtId="0" fontId="2" fillId="2" borderId="5" xfId="0" applyFont="1" applyFill="1" applyBorder="1"/>
    <xf numFmtId="0" fontId="2" fillId="2" borderId="7" xfId="0" applyFont="1" applyFill="1" applyBorder="1"/>
    <xf numFmtId="0" fontId="2" fillId="2" borderId="8" xfId="0" applyFont="1" applyFill="1" applyBorder="1"/>
    <xf numFmtId="0" fontId="3" fillId="2" borderId="1" xfId="0" applyFont="1" applyFill="1" applyBorder="1"/>
    <xf numFmtId="0" fontId="3" fillId="2" borderId="4" xfId="0" applyFont="1" applyFill="1" applyBorder="1"/>
    <xf numFmtId="0" fontId="4" fillId="2" borderId="6" xfId="0" applyFont="1" applyFill="1" applyBorder="1"/>
    <xf numFmtId="0" fontId="2" fillId="0" borderId="0" xfId="0" applyFont="1" applyAlignment="1">
      <alignment horizontal="center" vertical="center"/>
    </xf>
    <xf numFmtId="0" fontId="2" fillId="3" borderId="0" xfId="0" applyFont="1" applyFill="1"/>
    <xf numFmtId="0" fontId="5" fillId="0" borderId="0" xfId="0" applyFont="1"/>
    <xf numFmtId="17" fontId="2" fillId="0" borderId="0" xfId="0" applyNumberFormat="1" applyFont="1" applyAlignment="1">
      <alignment horizontal="center"/>
    </xf>
    <xf numFmtId="44" fontId="6" fillId="0" borderId="0" xfId="0" applyNumberFormat="1" applyFont="1" applyAlignment="1">
      <alignment horizontal="center"/>
    </xf>
    <xf numFmtId="44" fontId="7" fillId="3" borderId="0" xfId="0" applyNumberFormat="1" applyFont="1" applyFill="1" applyAlignment="1">
      <alignment horizontal="centerContinuous"/>
    </xf>
    <xf numFmtId="0" fontId="2" fillId="4" borderId="2" xfId="0" applyFont="1" applyFill="1" applyBorder="1"/>
    <xf numFmtId="17" fontId="8" fillId="0" borderId="0" xfId="0" applyNumberFormat="1" applyFont="1" applyAlignment="1">
      <alignment horizontal="center"/>
    </xf>
    <xf numFmtId="0" fontId="3" fillId="0" borderId="0" xfId="0" applyFont="1"/>
    <xf numFmtId="0" fontId="2" fillId="2" borderId="1" xfId="0" applyFont="1" applyFill="1" applyBorder="1"/>
    <xf numFmtId="0" fontId="2" fillId="2" borderId="6" xfId="0" applyFont="1" applyFill="1" applyBorder="1"/>
    <xf numFmtId="0" fontId="2" fillId="2" borderId="4" xfId="0" applyFont="1" applyFill="1" applyBorder="1"/>
    <xf numFmtId="167" fontId="2" fillId="2" borderId="5" xfId="0" applyNumberFormat="1" applyFont="1" applyFill="1" applyBorder="1" applyAlignment="1">
      <alignment horizontal="right"/>
    </xf>
    <xf numFmtId="44" fontId="6" fillId="0" borderId="0" xfId="0" applyNumberFormat="1" applyFont="1" applyAlignment="1">
      <alignment horizontal="centerContinuous"/>
    </xf>
    <xf numFmtId="0" fontId="1" fillId="3" borderId="0" xfId="0" applyFont="1" applyFill="1" applyAlignment="1">
      <alignment vertical="center"/>
    </xf>
    <xf numFmtId="165" fontId="2" fillId="0" borderId="0" xfId="0" applyNumberFormat="1" applyFont="1"/>
    <xf numFmtId="0" fontId="2" fillId="4" borderId="0" xfId="0" applyFont="1" applyFill="1"/>
    <xf numFmtId="0" fontId="8" fillId="2" borderId="2" xfId="0" applyFont="1" applyFill="1" applyBorder="1"/>
    <xf numFmtId="0" fontId="8" fillId="2" borderId="0" xfId="0" applyFont="1" applyFill="1"/>
    <xf numFmtId="165" fontId="2" fillId="2" borderId="0" xfId="0" applyNumberFormat="1" applyFont="1" applyFill="1" applyAlignment="1">
      <alignment horizontal="right"/>
    </xf>
    <xf numFmtId="0" fontId="8" fillId="2" borderId="7" xfId="0" applyFont="1" applyFill="1" applyBorder="1"/>
    <xf numFmtId="165" fontId="2" fillId="2" borderId="7" xfId="0" applyNumberFormat="1" applyFont="1" applyFill="1" applyBorder="1" applyAlignment="1">
      <alignment horizontal="right"/>
    </xf>
    <xf numFmtId="164" fontId="2" fillId="2" borderId="2" xfId="0" applyNumberFormat="1" applyFont="1" applyFill="1" applyBorder="1" applyAlignment="1">
      <alignment horizontal="right"/>
    </xf>
    <xf numFmtId="167" fontId="2" fillId="2" borderId="2" xfId="0" applyNumberFormat="1" applyFont="1" applyFill="1" applyBorder="1" applyAlignment="1">
      <alignment horizontal="right"/>
    </xf>
    <xf numFmtId="167" fontId="2" fillId="2" borderId="3" xfId="0" applyNumberFormat="1" applyFont="1" applyFill="1" applyBorder="1" applyAlignment="1">
      <alignment horizontal="right"/>
    </xf>
    <xf numFmtId="167" fontId="2" fillId="2" borderId="0" xfId="0" applyNumberFormat="1" applyFont="1" applyFill="1" applyAlignment="1">
      <alignment horizontal="right"/>
    </xf>
    <xf numFmtId="167" fontId="2" fillId="2" borderId="7" xfId="0" applyNumberFormat="1" applyFont="1" applyFill="1" applyBorder="1" applyAlignment="1">
      <alignment horizontal="right"/>
    </xf>
    <xf numFmtId="167" fontId="2" fillId="2" borderId="8" xfId="0" applyNumberFormat="1" applyFont="1" applyFill="1" applyBorder="1" applyAlignment="1">
      <alignment horizontal="right"/>
    </xf>
    <xf numFmtId="165" fontId="10" fillId="2" borderId="7" xfId="0" applyNumberFormat="1" applyFont="1" applyFill="1" applyBorder="1" applyAlignment="1">
      <alignment horizontal="right"/>
    </xf>
    <xf numFmtId="167" fontId="10" fillId="2" borderId="7" xfId="0" applyNumberFormat="1" applyFont="1" applyFill="1" applyBorder="1" applyAlignment="1">
      <alignment horizontal="right"/>
    </xf>
    <xf numFmtId="167" fontId="10" fillId="2" borderId="8" xfId="0" applyNumberFormat="1" applyFont="1" applyFill="1" applyBorder="1" applyAlignment="1">
      <alignment horizontal="right"/>
    </xf>
    <xf numFmtId="0" fontId="8" fillId="0" borderId="0" xfId="0" applyFont="1"/>
    <xf numFmtId="169" fontId="10" fillId="0" borderId="0" xfId="0" applyNumberFormat="1" applyFont="1" applyAlignment="1">
      <alignment horizontal="center"/>
    </xf>
    <xf numFmtId="0" fontId="8" fillId="0" borderId="0" xfId="0" applyFont="1" applyAlignment="1">
      <alignment horizontal="center"/>
    </xf>
    <xf numFmtId="164" fontId="8" fillId="0" borderId="0" xfId="0" applyNumberFormat="1" applyFont="1" applyAlignment="1">
      <alignment horizontal="right"/>
    </xf>
    <xf numFmtId="167" fontId="8" fillId="0" borderId="0" xfId="0" applyNumberFormat="1" applyFont="1" applyAlignment="1">
      <alignment horizontal="right"/>
    </xf>
    <xf numFmtId="165" fontId="8" fillId="0" borderId="0" xfId="0" applyNumberFormat="1" applyFont="1" applyAlignment="1">
      <alignment horizontal="right"/>
    </xf>
    <xf numFmtId="0" fontId="3" fillId="2" borderId="6" xfId="0" applyFont="1" applyFill="1" applyBorder="1"/>
    <xf numFmtId="0" fontId="10" fillId="2" borderId="8" xfId="0" applyFont="1" applyFill="1" applyBorder="1" applyAlignment="1">
      <alignment horizontal="center"/>
    </xf>
    <xf numFmtId="0" fontId="3" fillId="0" borderId="0" xfId="0" applyFont="1" applyAlignment="1">
      <alignment horizontal="center"/>
    </xf>
    <xf numFmtId="0" fontId="3" fillId="4" borderId="9" xfId="0" applyFont="1" applyFill="1" applyBorder="1"/>
    <xf numFmtId="0" fontId="2" fillId="4" borderId="10" xfId="0" applyFont="1" applyFill="1" applyBorder="1"/>
    <xf numFmtId="0" fontId="2" fillId="4" borderId="11" xfId="0" applyFont="1" applyFill="1" applyBorder="1"/>
    <xf numFmtId="0" fontId="2" fillId="4" borderId="1" xfId="0" applyFont="1" applyFill="1" applyBorder="1"/>
    <xf numFmtId="0" fontId="8" fillId="4" borderId="2" xfId="0" applyFont="1" applyFill="1" applyBorder="1"/>
    <xf numFmtId="164" fontId="2" fillId="4" borderId="2" xfId="0" applyNumberFormat="1" applyFont="1" applyFill="1" applyBorder="1" applyAlignment="1">
      <alignment horizontal="right"/>
    </xf>
    <xf numFmtId="167" fontId="2" fillId="4" borderId="2" xfId="0" applyNumberFormat="1" applyFont="1" applyFill="1" applyBorder="1" applyAlignment="1">
      <alignment horizontal="right"/>
    </xf>
    <xf numFmtId="167" fontId="2" fillId="4" borderId="3" xfId="0" applyNumberFormat="1" applyFont="1" applyFill="1" applyBorder="1" applyAlignment="1">
      <alignment horizontal="right"/>
    </xf>
    <xf numFmtId="0" fontId="2" fillId="4" borderId="4" xfId="0" applyFont="1" applyFill="1" applyBorder="1"/>
    <xf numFmtId="0" fontId="8" fillId="4" borderId="0" xfId="0" applyFont="1" applyFill="1"/>
    <xf numFmtId="165" fontId="2" fillId="4" borderId="0" xfId="0" applyNumberFormat="1" applyFont="1" applyFill="1" applyAlignment="1">
      <alignment horizontal="right"/>
    </xf>
    <xf numFmtId="167" fontId="2" fillId="4" borderId="0" xfId="0" applyNumberFormat="1" applyFont="1" applyFill="1" applyAlignment="1">
      <alignment horizontal="right"/>
    </xf>
    <xf numFmtId="167" fontId="2" fillId="4" borderId="5" xfId="0" applyNumberFormat="1" applyFont="1" applyFill="1" applyBorder="1" applyAlignment="1">
      <alignment horizontal="right"/>
    </xf>
    <xf numFmtId="0" fontId="2" fillId="4" borderId="6" xfId="0" applyFont="1" applyFill="1" applyBorder="1"/>
    <xf numFmtId="0" fontId="8" fillId="4" borderId="7" xfId="0" applyFont="1" applyFill="1" applyBorder="1"/>
    <xf numFmtId="0" fontId="2" fillId="4" borderId="7" xfId="0" applyFont="1" applyFill="1" applyBorder="1"/>
    <xf numFmtId="165" fontId="2" fillId="4" borderId="7" xfId="0" applyNumberFormat="1" applyFont="1" applyFill="1" applyBorder="1" applyAlignment="1">
      <alignment horizontal="right"/>
    </xf>
    <xf numFmtId="167" fontId="2" fillId="4" borderId="7" xfId="0" applyNumberFormat="1" applyFont="1" applyFill="1" applyBorder="1" applyAlignment="1">
      <alignment horizontal="right"/>
    </xf>
    <xf numFmtId="167" fontId="2" fillId="4" borderId="8" xfId="0" applyNumberFormat="1" applyFont="1" applyFill="1" applyBorder="1" applyAlignment="1">
      <alignment horizontal="right"/>
    </xf>
    <xf numFmtId="0" fontId="10" fillId="0" borderId="0" xfId="0" applyFont="1" applyAlignment="1">
      <alignment horizontal="center"/>
    </xf>
    <xf numFmtId="0" fontId="9" fillId="0" borderId="0" xfId="0" applyFont="1" applyAlignment="1">
      <alignment horizontal="center" vertical="center"/>
    </xf>
    <xf numFmtId="17" fontId="8" fillId="0" borderId="0" xfId="0" applyNumberFormat="1" applyFont="1" applyAlignment="1">
      <alignment horizontal="center" vertical="center"/>
    </xf>
    <xf numFmtId="170" fontId="2" fillId="0" borderId="0" xfId="0" applyNumberFormat="1" applyFont="1" applyAlignment="1">
      <alignment horizontal="right"/>
    </xf>
    <xf numFmtId="165" fontId="2" fillId="0" borderId="0" xfId="0" applyNumberFormat="1" applyFont="1" applyAlignment="1">
      <alignment horizontal="right"/>
    </xf>
    <xf numFmtId="168" fontId="2" fillId="0" borderId="0" xfId="0" applyNumberFormat="1" applyFont="1" applyAlignment="1">
      <alignment horizontal="right"/>
    </xf>
    <xf numFmtId="164" fontId="2" fillId="0" borderId="0" xfId="0" applyNumberFormat="1" applyFont="1" applyAlignment="1">
      <alignment horizontal="right"/>
    </xf>
    <xf numFmtId="166" fontId="2" fillId="0" borderId="0" xfId="0" applyNumberFormat="1" applyFont="1" applyAlignment="1">
      <alignment horizontal="right"/>
    </xf>
    <xf numFmtId="14" fontId="2" fillId="0" borderId="0" xfId="0" applyNumberFormat="1" applyFont="1"/>
    <xf numFmtId="167" fontId="2" fillId="0" borderId="0" xfId="0" applyNumberFormat="1" applyFont="1" applyAlignment="1">
      <alignment horizontal="right"/>
    </xf>
    <xf numFmtId="171" fontId="6" fillId="0" borderId="0" xfId="0" applyNumberFormat="1" applyFont="1" applyAlignment="1">
      <alignment horizontal="center"/>
    </xf>
    <xf numFmtId="171" fontId="6" fillId="0" borderId="0" xfId="0" quotePrefix="1" applyNumberFormat="1" applyFont="1" applyAlignment="1">
      <alignment horizontal="center"/>
    </xf>
    <xf numFmtId="166" fontId="2" fillId="4" borderId="2" xfId="0" applyNumberFormat="1" applyFont="1" applyFill="1" applyBorder="1" applyAlignment="1">
      <alignment horizontal="right"/>
    </xf>
    <xf numFmtId="166" fontId="2" fillId="4" borderId="0" xfId="0" applyNumberFormat="1" applyFont="1" applyFill="1" applyAlignment="1">
      <alignment horizontal="right"/>
    </xf>
    <xf numFmtId="166" fontId="2" fillId="4" borderId="7" xfId="0" applyNumberFormat="1" applyFont="1" applyFill="1" applyBorder="1" applyAlignment="1">
      <alignment horizontal="right"/>
    </xf>
    <xf numFmtId="0" fontId="3" fillId="5" borderId="9" xfId="0" applyFont="1" applyFill="1" applyBorder="1"/>
    <xf numFmtId="0" fontId="2" fillId="5" borderId="10" xfId="0" applyFont="1" applyFill="1" applyBorder="1"/>
    <xf numFmtId="0" fontId="2" fillId="5" borderId="11" xfId="0" applyFont="1" applyFill="1" applyBorder="1"/>
    <xf numFmtId="0" fontId="2" fillId="5" borderId="1" xfId="0" applyFont="1" applyFill="1" applyBorder="1"/>
    <xf numFmtId="0" fontId="8" fillId="5" borderId="2" xfId="0" applyFont="1" applyFill="1" applyBorder="1"/>
    <xf numFmtId="0" fontId="2" fillId="5" borderId="2" xfId="0" applyFont="1" applyFill="1" applyBorder="1"/>
    <xf numFmtId="164" fontId="2" fillId="5" borderId="2" xfId="0" applyNumberFormat="1" applyFont="1" applyFill="1" applyBorder="1" applyAlignment="1">
      <alignment horizontal="right"/>
    </xf>
    <xf numFmtId="166" fontId="2" fillId="5" borderId="2" xfId="0" applyNumberFormat="1" applyFont="1" applyFill="1" applyBorder="1" applyAlignment="1">
      <alignment horizontal="right"/>
    </xf>
    <xf numFmtId="167" fontId="2" fillId="5" borderId="2" xfId="0" applyNumberFormat="1" applyFont="1" applyFill="1" applyBorder="1" applyAlignment="1">
      <alignment horizontal="right"/>
    </xf>
    <xf numFmtId="167" fontId="2" fillId="5" borderId="3" xfId="0" applyNumberFormat="1" applyFont="1" applyFill="1" applyBorder="1" applyAlignment="1">
      <alignment horizontal="right"/>
    </xf>
    <xf numFmtId="0" fontId="2" fillId="5" borderId="4" xfId="0" applyFont="1" applyFill="1" applyBorder="1"/>
    <xf numFmtId="0" fontId="8" fillId="5" borderId="0" xfId="0" applyFont="1" applyFill="1"/>
    <xf numFmtId="0" fontId="2" fillId="5" borderId="0" xfId="0" applyFont="1" applyFill="1"/>
    <xf numFmtId="165" fontId="2" fillId="5" borderId="0" xfId="0" applyNumberFormat="1" applyFont="1" applyFill="1" applyAlignment="1">
      <alignment horizontal="right"/>
    </xf>
    <xf numFmtId="166" fontId="2" fillId="5" borderId="0" xfId="0" applyNumberFormat="1" applyFont="1" applyFill="1" applyAlignment="1">
      <alignment horizontal="right"/>
    </xf>
    <xf numFmtId="167" fontId="2" fillId="5" borderId="0" xfId="0" applyNumberFormat="1" applyFont="1" applyFill="1" applyAlignment="1">
      <alignment horizontal="right"/>
    </xf>
    <xf numFmtId="167" fontId="2" fillId="5" borderId="5" xfId="0" applyNumberFormat="1" applyFont="1" applyFill="1" applyBorder="1" applyAlignment="1">
      <alignment horizontal="right"/>
    </xf>
    <xf numFmtId="0" fontId="2" fillId="5" borderId="6" xfId="0" applyFont="1" applyFill="1" applyBorder="1"/>
    <xf numFmtId="0" fontId="8" fillId="5" borderId="7" xfId="0" applyFont="1" applyFill="1" applyBorder="1"/>
    <xf numFmtId="0" fontId="2" fillId="5" borderId="7" xfId="0" applyFont="1" applyFill="1" applyBorder="1"/>
    <xf numFmtId="165" fontId="2" fillId="5" borderId="7" xfId="0" applyNumberFormat="1" applyFont="1" applyFill="1" applyBorder="1" applyAlignment="1">
      <alignment horizontal="right"/>
    </xf>
    <xf numFmtId="166" fontId="2" fillId="5" borderId="7" xfId="0" applyNumberFormat="1" applyFont="1" applyFill="1" applyBorder="1" applyAlignment="1">
      <alignment horizontal="right"/>
    </xf>
    <xf numFmtId="167" fontId="2" fillId="5" borderId="7" xfId="0" applyNumberFormat="1" applyFont="1" applyFill="1" applyBorder="1" applyAlignment="1">
      <alignment horizontal="right"/>
    </xf>
    <xf numFmtId="167" fontId="2" fillId="5" borderId="8" xfId="0" applyNumberFormat="1" applyFont="1" applyFill="1" applyBorder="1" applyAlignment="1">
      <alignment horizontal="right"/>
    </xf>
    <xf numFmtId="0" fontId="3" fillId="2" borderId="9" xfId="0" applyFont="1" applyFill="1" applyBorder="1"/>
    <xf numFmtId="0" fontId="2" fillId="2" borderId="10" xfId="0" applyFont="1" applyFill="1" applyBorder="1"/>
    <xf numFmtId="0" fontId="2" fillId="2" borderId="11" xfId="0" applyFont="1" applyFill="1" applyBorder="1"/>
    <xf numFmtId="166" fontId="2" fillId="2" borderId="2" xfId="0" applyNumberFormat="1" applyFont="1" applyFill="1" applyBorder="1" applyAlignment="1">
      <alignment horizontal="right"/>
    </xf>
    <xf numFmtId="166" fontId="2" fillId="2" borderId="0" xfId="0" applyNumberFormat="1" applyFont="1" applyFill="1" applyAlignment="1">
      <alignment horizontal="right"/>
    </xf>
    <xf numFmtId="166" fontId="2" fillId="2" borderId="7" xfId="0" applyNumberFormat="1" applyFont="1" applyFill="1" applyBorder="1" applyAlignment="1">
      <alignment horizontal="right"/>
    </xf>
    <xf numFmtId="44" fontId="6" fillId="0" borderId="13" xfId="0" applyNumberFormat="1" applyFont="1" applyBorder="1" applyAlignment="1">
      <alignment horizontal="centerContinuous"/>
    </xf>
    <xf numFmtId="171" fontId="6" fillId="0" borderId="13" xfId="0" applyNumberFormat="1" applyFont="1" applyBorder="1" applyAlignment="1">
      <alignment horizontal="center"/>
    </xf>
    <xf numFmtId="0" fontId="2" fillId="0" borderId="13" xfId="0" applyFont="1" applyBorder="1"/>
    <xf numFmtId="0" fontId="2" fillId="4" borderId="14" xfId="0" applyFont="1" applyFill="1" applyBorder="1"/>
    <xf numFmtId="167" fontId="2" fillId="0" borderId="13" xfId="0" applyNumberFormat="1" applyFont="1" applyBorder="1" applyAlignment="1">
      <alignment horizontal="right"/>
    </xf>
    <xf numFmtId="167" fontId="2" fillId="4" borderId="15" xfId="0" applyNumberFormat="1" applyFont="1" applyFill="1" applyBorder="1" applyAlignment="1">
      <alignment horizontal="right"/>
    </xf>
    <xf numFmtId="167" fontId="2" fillId="4" borderId="13" xfId="0" applyNumberFormat="1" applyFont="1" applyFill="1" applyBorder="1" applyAlignment="1">
      <alignment horizontal="right"/>
    </xf>
    <xf numFmtId="167" fontId="2" fillId="4" borderId="12" xfId="0" applyNumberFormat="1" applyFont="1" applyFill="1" applyBorder="1" applyAlignment="1">
      <alignment horizontal="right"/>
    </xf>
    <xf numFmtId="167" fontId="2" fillId="5" borderId="15" xfId="0" applyNumberFormat="1" applyFont="1" applyFill="1" applyBorder="1" applyAlignment="1">
      <alignment horizontal="right"/>
    </xf>
    <xf numFmtId="167" fontId="2" fillId="5" borderId="13" xfId="0" applyNumberFormat="1" applyFont="1" applyFill="1" applyBorder="1" applyAlignment="1">
      <alignment horizontal="right"/>
    </xf>
    <xf numFmtId="167" fontId="2" fillId="5" borderId="12" xfId="0" applyNumberFormat="1" applyFont="1" applyFill="1" applyBorder="1" applyAlignment="1">
      <alignment horizontal="right"/>
    </xf>
    <xf numFmtId="167" fontId="2" fillId="2" borderId="15" xfId="0" applyNumberFormat="1" applyFont="1" applyFill="1" applyBorder="1" applyAlignment="1">
      <alignment horizontal="right"/>
    </xf>
    <xf numFmtId="167" fontId="2" fillId="2" borderId="13" xfId="0" applyNumberFormat="1" applyFont="1" applyFill="1" applyBorder="1" applyAlignment="1">
      <alignment horizontal="right"/>
    </xf>
    <xf numFmtId="167" fontId="2" fillId="2" borderId="12" xfId="0" applyNumberFormat="1" applyFont="1" applyFill="1" applyBorder="1" applyAlignment="1">
      <alignment horizontal="right"/>
    </xf>
    <xf numFmtId="0" fontId="10" fillId="2" borderId="0" xfId="0" applyFont="1" applyFill="1" applyAlignment="1">
      <alignment horizontal="center"/>
    </xf>
    <xf numFmtId="44" fontId="6" fillId="2" borderId="0" xfId="0" applyNumberFormat="1" applyFont="1" applyFill="1" applyAlignment="1">
      <alignment horizontal="centerContinuous"/>
    </xf>
    <xf numFmtId="0" fontId="0" fillId="0" borderId="0" xfId="0" applyAlignment="1">
      <alignment horizontal="left"/>
    </xf>
    <xf numFmtId="14" fontId="11" fillId="2" borderId="3" xfId="0" applyNumberFormat="1" applyFont="1" applyFill="1" applyBorder="1"/>
  </cellXfs>
  <cellStyles count="1">
    <cellStyle name="Normal" xfId="0" builtinId="0"/>
  </cellStyles>
  <dxfs count="0"/>
  <tableStyles count="0" defaultTableStyle="TableStyleMedium2" defaultPivotStyle="PivotStyleLight16"/>
  <colors>
    <mruColors>
      <color rgb="FF3333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2024 Centerbridge PPT Template">
  <a:themeElements>
    <a:clrScheme name="Centerbridge">
      <a:dk1>
        <a:srgbClr val="2E3035"/>
      </a:dk1>
      <a:lt1>
        <a:srgbClr val="FFFFFF"/>
      </a:lt1>
      <a:dk2>
        <a:srgbClr val="00453F"/>
      </a:dk2>
      <a:lt2>
        <a:srgbClr val="F3F3F3"/>
      </a:lt2>
      <a:accent1>
        <a:srgbClr val="49839F"/>
      </a:accent1>
      <a:accent2>
        <a:srgbClr val="1C4A68"/>
      </a:accent2>
      <a:accent3>
        <a:srgbClr val="AFBE70"/>
      </a:accent3>
      <a:accent4>
        <a:srgbClr val="328F85"/>
      </a:accent4>
      <a:accent5>
        <a:srgbClr val="9098A4"/>
      </a:accent5>
      <a:accent6>
        <a:srgbClr val="5D616C"/>
      </a:accent6>
      <a:hlink>
        <a:srgbClr val="49839F"/>
      </a:hlink>
      <a:folHlink>
        <a:srgbClr val="2E3035"/>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noFill/>
        </a:ln>
      </a:spPr>
      <a:bodyPr rtlCol="0" anchor="ctr"/>
      <a:lstStyle>
        <a:defPPr algn="ctr">
          <a:defRPr/>
        </a:defPPr>
      </a:lstStyle>
      <a:style>
        <a:lnRef idx="2">
          <a:schemeClr val="accent1">
            <a:shade val="50000"/>
          </a:schemeClr>
        </a:lnRef>
        <a:fillRef idx="1">
          <a:schemeClr val="accent1"/>
        </a:fillRef>
        <a:effectRef idx="0">
          <a:schemeClr val="accent1"/>
        </a:effectRef>
        <a:fontRef idx="minor">
          <a:schemeClr val="lt1"/>
        </a:fontRef>
      </a:style>
    </a:spDef>
    <a:lnDef>
      <a:spPr>
        <a:ln w="6350">
          <a:solidFill>
            <a:schemeClr val="accent1"/>
          </a:solidFill>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2024 Centerbridge PPT Template" id="{E338F891-CCA0-4B3E-B1B4-BAC7D2572629}" vid="{46F8C29D-BADC-4AC5-B9B3-5C7D1CE9F84E}"/>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3DCA-A1B0-4CD2-9588-F3B2896FD59D}">
  <dimension ref="A1"/>
  <sheetViews>
    <sheetView workbookViewId="0"/>
  </sheetViews>
  <sheetFormatPr defaultRowHeight="13.15" x14ac:dyDescent="0.4"/>
  <sheetData>
    <row r="1" spans="1:1" x14ac:dyDescent="0.4">
      <c r="A1" t="s">
        <v>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A8252-39A5-4DB0-91FA-266372BECB6C}">
  <dimension ref="A1:O1"/>
  <sheetViews>
    <sheetView workbookViewId="0"/>
  </sheetViews>
  <sheetFormatPr defaultRowHeight="13.15" x14ac:dyDescent="0.4"/>
  <sheetData>
    <row r="1" spans="1:15" x14ac:dyDescent="0.4">
      <c r="A1">
        <v>15</v>
      </c>
      <c r="B1" t="s">
        <v>0</v>
      </c>
      <c r="C1" t="s">
        <v>1</v>
      </c>
      <c r="D1" t="s">
        <v>2</v>
      </c>
      <c r="E1" t="s">
        <v>3</v>
      </c>
      <c r="F1" t="s">
        <v>4</v>
      </c>
      <c r="G1" t="s">
        <v>5</v>
      </c>
      <c r="H1" t="s">
        <v>6</v>
      </c>
      <c r="I1" t="s">
        <v>7</v>
      </c>
      <c r="J1" t="s">
        <v>8</v>
      </c>
      <c r="K1" t="s">
        <v>9</v>
      </c>
      <c r="L1" t="s">
        <v>10</v>
      </c>
      <c r="M1" t="s">
        <v>11</v>
      </c>
      <c r="N1" t="s">
        <v>12</v>
      </c>
      <c r="O1" t="s">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607D3-4F9C-4D56-B840-A425931AE251}">
  <dimension ref="A1:BV53"/>
  <sheetViews>
    <sheetView showGridLines="0" tabSelected="1" topLeftCell="E2" zoomScaleNormal="100" workbookViewId="0">
      <selection activeCell="O16" sqref="O16"/>
    </sheetView>
  </sheetViews>
  <sheetFormatPr defaultRowHeight="13.15" outlineLevelCol="1" x14ac:dyDescent="0.4"/>
  <cols>
    <col min="1" max="2" width="2.7109375" style="1" customWidth="1"/>
    <col min="3" max="5" width="10.7109375" style="1" customWidth="1"/>
    <col min="6" max="8" width="10.7109375" style="1" customWidth="1" outlineLevel="1"/>
    <col min="9" max="9" width="2.7109375" style="1" customWidth="1"/>
    <col min="10" max="12" width="11.28515625" style="1" customWidth="1"/>
    <col min="13" max="16" width="11.28515625" style="1" customWidth="1" outlineLevel="1"/>
    <col min="17" max="20" width="11.28515625" style="1" customWidth="1"/>
    <col min="21" max="21" width="2.7109375" style="1" customWidth="1"/>
    <col min="22" max="22" width="11.28515625" style="1" customWidth="1"/>
    <col min="23" max="28" width="11.28515625" style="1" customWidth="1" outlineLevel="1"/>
    <col min="29" max="29" width="11.28515625" style="1" customWidth="1"/>
    <col min="30" max="30" width="2.7109375" style="1" customWidth="1"/>
    <col min="31" max="48" width="11.28515625" style="1" customWidth="1"/>
    <col min="49" max="60" width="11.28515625" style="1" customWidth="1" outlineLevel="1"/>
    <col min="61" max="61" width="2.7109375" style="1" customWidth="1"/>
    <col min="62" max="73" width="11.28515625" style="1" customWidth="1"/>
    <col min="74" max="16384" width="9.140625" style="1"/>
  </cols>
  <sheetData>
    <row r="1" spans="1:74" x14ac:dyDescent="0.4">
      <c r="C1" s="8" t="s">
        <v>14</v>
      </c>
      <c r="D1" s="2"/>
      <c r="E1" s="3"/>
      <c r="F1" s="71" t="s">
        <v>15</v>
      </c>
      <c r="G1" s="71" t="s">
        <v>15</v>
      </c>
      <c r="H1" s="71" t="s">
        <v>15</v>
      </c>
      <c r="M1" s="71" t="s">
        <v>15</v>
      </c>
      <c r="N1" s="71" t="s">
        <v>15</v>
      </c>
      <c r="O1" s="71" t="s">
        <v>15</v>
      </c>
      <c r="P1" s="71" t="s">
        <v>15</v>
      </c>
      <c r="V1" s="71"/>
      <c r="W1" s="71" t="s">
        <v>15</v>
      </c>
      <c r="X1" s="71" t="s">
        <v>15</v>
      </c>
      <c r="Y1" s="71" t="s">
        <v>15</v>
      </c>
      <c r="Z1" s="71" t="s">
        <v>15</v>
      </c>
      <c r="AA1" s="71" t="s">
        <v>15</v>
      </c>
      <c r="AB1" s="71" t="s">
        <v>15</v>
      </c>
      <c r="AC1" s="71"/>
      <c r="AW1" s="71" t="s">
        <v>15</v>
      </c>
      <c r="AX1" s="71" t="s">
        <v>15</v>
      </c>
      <c r="AY1" s="71" t="s">
        <v>15</v>
      </c>
      <c r="AZ1" s="71" t="s">
        <v>15</v>
      </c>
      <c r="BA1" s="71" t="s">
        <v>15</v>
      </c>
      <c r="BB1" s="71" t="s">
        <v>15</v>
      </c>
      <c r="BC1" s="71" t="s">
        <v>15</v>
      </c>
      <c r="BD1" s="71" t="s">
        <v>15</v>
      </c>
      <c r="BE1" s="71" t="s">
        <v>15</v>
      </c>
      <c r="BF1" s="71" t="s">
        <v>15</v>
      </c>
      <c r="BG1" s="71" t="s">
        <v>15</v>
      </c>
      <c r="BH1" s="71" t="s">
        <v>15</v>
      </c>
    </row>
    <row r="2" spans="1:74" x14ac:dyDescent="0.4">
      <c r="C2" s="9" t="s">
        <v>16</v>
      </c>
      <c r="D2" s="4"/>
      <c r="E2" s="5"/>
      <c r="G2" s="8" t="s">
        <v>17</v>
      </c>
      <c r="H2" s="132">
        <f ca="1">TODAY()</f>
        <v>46106</v>
      </c>
      <c r="J2" s="72" t="s">
        <v>18</v>
      </c>
      <c r="K2" s="72" t="s">
        <v>19</v>
      </c>
      <c r="L2" s="18"/>
      <c r="M2" s="72" t="s">
        <v>18</v>
      </c>
      <c r="N2" s="72" t="s">
        <v>18</v>
      </c>
      <c r="O2" s="72" t="s">
        <v>18</v>
      </c>
      <c r="P2" s="72" t="s">
        <v>18</v>
      </c>
      <c r="Q2" s="72"/>
      <c r="R2" s="72"/>
      <c r="S2" s="72"/>
      <c r="T2" s="72"/>
      <c r="V2" s="18" t="s">
        <v>20</v>
      </c>
      <c r="W2" s="18"/>
      <c r="X2" s="18" t="s">
        <v>21</v>
      </c>
      <c r="Y2" s="18" t="s">
        <v>22</v>
      </c>
      <c r="Z2" s="18" t="s">
        <v>23</v>
      </c>
      <c r="AA2" s="18" t="s">
        <v>24</v>
      </c>
      <c r="AB2" s="18"/>
      <c r="AC2" s="14"/>
      <c r="AE2" s="18" t="s">
        <v>25</v>
      </c>
      <c r="AF2" s="18" t="s">
        <v>26</v>
      </c>
      <c r="AG2" s="18" t="s">
        <v>26</v>
      </c>
      <c r="AH2" s="18" t="s">
        <v>26</v>
      </c>
      <c r="AI2" s="18" t="s">
        <v>27</v>
      </c>
      <c r="AJ2" s="18" t="s">
        <v>27</v>
      </c>
      <c r="AK2" s="18" t="s">
        <v>28</v>
      </c>
      <c r="AL2" s="18" t="s">
        <v>28</v>
      </c>
      <c r="AM2" s="18" t="s">
        <v>28</v>
      </c>
      <c r="AN2" s="18" t="s">
        <v>28</v>
      </c>
      <c r="AO2" s="18" t="s">
        <v>29</v>
      </c>
      <c r="AP2" s="18" t="s">
        <v>29</v>
      </c>
      <c r="AQ2" s="18"/>
      <c r="AR2" s="18"/>
      <c r="AS2" s="18"/>
      <c r="AT2" s="18"/>
      <c r="AU2" s="18"/>
      <c r="AV2" s="18"/>
      <c r="AW2" s="18" t="s">
        <v>30</v>
      </c>
      <c r="AX2" s="18" t="s">
        <v>30</v>
      </c>
      <c r="AY2" s="18" t="s">
        <v>30</v>
      </c>
      <c r="AZ2" s="18" t="s">
        <v>30</v>
      </c>
      <c r="BA2" s="18" t="s">
        <v>31</v>
      </c>
      <c r="BB2" s="18" t="s">
        <v>31</v>
      </c>
      <c r="BC2" s="18"/>
      <c r="BD2" s="18"/>
      <c r="BE2" s="18"/>
      <c r="BF2" s="18"/>
      <c r="BG2" s="18"/>
      <c r="BH2" s="18"/>
      <c r="BJ2" s="18"/>
      <c r="BK2" s="18"/>
      <c r="BL2" s="18"/>
      <c r="BM2" s="18"/>
      <c r="BN2" s="18"/>
      <c r="BO2" s="18"/>
      <c r="BP2" s="18"/>
      <c r="BQ2" s="18"/>
      <c r="BR2" s="18"/>
      <c r="BS2" s="18"/>
      <c r="BT2" s="18"/>
      <c r="BU2" s="18"/>
    </row>
    <row r="3" spans="1:74" x14ac:dyDescent="0.4">
      <c r="C3" s="10" t="str">
        <f ca="1">++TEXT(TODAY(),"MMMM D, YYYY")</f>
        <v>March 25, 2026</v>
      </c>
      <c r="D3" s="6"/>
      <c r="E3" s="7"/>
      <c r="G3" s="48" t="s">
        <v>32</v>
      </c>
      <c r="H3" s="49" t="s">
        <v>33</v>
      </c>
      <c r="AE3" s="18" t="s">
        <v>34</v>
      </c>
      <c r="AF3" s="18" t="s">
        <v>35</v>
      </c>
      <c r="AG3" s="18" t="s">
        <v>36</v>
      </c>
      <c r="AH3" s="18" t="s">
        <v>37</v>
      </c>
      <c r="AI3" s="18" t="s">
        <v>38</v>
      </c>
      <c r="AJ3" s="18" t="s">
        <v>39</v>
      </c>
      <c r="AK3" s="18" t="s">
        <v>34</v>
      </c>
      <c r="AL3" s="18" t="s">
        <v>35</v>
      </c>
      <c r="AM3" s="18" t="s">
        <v>36</v>
      </c>
      <c r="AN3" s="18" t="s">
        <v>37</v>
      </c>
      <c r="AO3" s="18" t="s">
        <v>38</v>
      </c>
      <c r="AP3" s="18" t="s">
        <v>39</v>
      </c>
      <c r="AW3" s="18" t="s">
        <v>34</v>
      </c>
      <c r="AX3" s="18" t="s">
        <v>35</v>
      </c>
      <c r="AY3" s="18" t="s">
        <v>36</v>
      </c>
      <c r="AZ3" s="18" t="s">
        <v>37</v>
      </c>
      <c r="BA3" s="18" t="s">
        <v>38</v>
      </c>
      <c r="BB3" s="18" t="s">
        <v>39</v>
      </c>
      <c r="BC3" s="18"/>
      <c r="BD3" s="18"/>
      <c r="BE3" s="18"/>
      <c r="BF3" s="18"/>
      <c r="BG3" s="18"/>
      <c r="BH3" s="18"/>
    </row>
    <row r="5" spans="1:74" x14ac:dyDescent="0.4">
      <c r="A5" s="11" t="s">
        <v>40</v>
      </c>
      <c r="B5" s="11" t="s">
        <v>40</v>
      </c>
      <c r="C5" s="25" t="str">
        <f>++C2</f>
        <v>Public Comparables</v>
      </c>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4" ht="5.0999999999999996" customHeight="1" x14ac:dyDescent="0.4"/>
    <row r="7" spans="1:74" ht="15.4" x14ac:dyDescent="0.7">
      <c r="C7" s="13" t="s">
        <v>41</v>
      </c>
      <c r="J7" s="16" t="s">
        <v>42</v>
      </c>
      <c r="K7" s="16"/>
      <c r="L7" s="16"/>
      <c r="M7" s="16"/>
      <c r="N7" s="16"/>
      <c r="O7" s="16"/>
      <c r="P7" s="16"/>
      <c r="Q7" s="16"/>
      <c r="R7" s="16"/>
      <c r="S7" s="16"/>
      <c r="T7" s="16"/>
      <c r="V7" s="16" t="s">
        <v>43</v>
      </c>
      <c r="W7" s="16"/>
      <c r="X7" s="16"/>
      <c r="Y7" s="16"/>
      <c r="Z7" s="16"/>
      <c r="AA7" s="16"/>
      <c r="AB7" s="16"/>
      <c r="AC7" s="16"/>
      <c r="AE7" s="16" t="s">
        <v>44</v>
      </c>
      <c r="AF7" s="16"/>
      <c r="AG7" s="16"/>
      <c r="AH7" s="16"/>
      <c r="AI7" s="16"/>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J7" s="16" t="s">
        <v>45</v>
      </c>
      <c r="BK7" s="16"/>
      <c r="BL7" s="16"/>
      <c r="BM7" s="16"/>
      <c r="BN7" s="16"/>
      <c r="BO7" s="16"/>
      <c r="BP7" s="16"/>
      <c r="BQ7" s="16"/>
      <c r="BR7" s="16"/>
      <c r="BS7" s="16"/>
      <c r="BT7" s="16"/>
      <c r="BU7" s="16"/>
    </row>
    <row r="8" spans="1:74" ht="5.0999999999999996" customHeight="1" x14ac:dyDescent="0.4"/>
    <row r="9" spans="1:74" ht="15.4" x14ac:dyDescent="0.7">
      <c r="K9" s="50" t="s">
        <v>46</v>
      </c>
      <c r="L9" s="50" t="s">
        <v>47</v>
      </c>
      <c r="M9" s="24" t="s">
        <v>48</v>
      </c>
      <c r="N9" s="24"/>
      <c r="O9" s="24"/>
      <c r="P9" s="24"/>
      <c r="Q9" s="24" t="s">
        <v>49</v>
      </c>
      <c r="R9" s="24"/>
      <c r="S9" s="24"/>
      <c r="T9" s="24"/>
      <c r="V9" s="50" t="s">
        <v>50</v>
      </c>
      <c r="W9" s="50"/>
      <c r="X9" s="50" t="s">
        <v>51</v>
      </c>
      <c r="Y9" s="50" t="s">
        <v>52</v>
      </c>
      <c r="Z9" s="50"/>
      <c r="AA9" s="50"/>
      <c r="AB9" s="50"/>
      <c r="AC9" s="50" t="s">
        <v>53</v>
      </c>
      <c r="AE9" s="24" t="s">
        <v>54</v>
      </c>
      <c r="AF9" s="24"/>
      <c r="AG9" s="24"/>
      <c r="AH9" s="24"/>
      <c r="AI9" s="24"/>
      <c r="AJ9" s="24"/>
      <c r="AK9" s="24" t="s">
        <v>55</v>
      </c>
      <c r="AL9" s="24"/>
      <c r="AM9" s="24"/>
      <c r="AN9" s="24"/>
      <c r="AO9" s="24"/>
      <c r="AP9" s="24"/>
      <c r="AQ9" s="24" t="s">
        <v>56</v>
      </c>
      <c r="AR9" s="24"/>
      <c r="AS9" s="24"/>
      <c r="AT9" s="24"/>
      <c r="AU9" s="24"/>
      <c r="AV9" s="24"/>
      <c r="AW9" s="24" t="s">
        <v>57</v>
      </c>
      <c r="AX9" s="24"/>
      <c r="AY9" s="24"/>
      <c r="AZ9" s="24"/>
      <c r="BA9" s="24"/>
      <c r="BB9" s="24"/>
      <c r="BC9" s="24" t="s">
        <v>58</v>
      </c>
      <c r="BD9" s="24"/>
      <c r="BE9" s="24"/>
      <c r="BF9" s="24"/>
      <c r="BG9" s="24"/>
      <c r="BH9" s="24"/>
      <c r="BJ9" s="24" t="s">
        <v>59</v>
      </c>
      <c r="BK9" s="24"/>
      <c r="BL9" s="24"/>
      <c r="BM9" s="115"/>
      <c r="BN9" s="24" t="s">
        <v>60</v>
      </c>
      <c r="BO9" s="24"/>
      <c r="BP9" s="24"/>
      <c r="BQ9" s="115"/>
      <c r="BR9" s="24" t="s">
        <v>61</v>
      </c>
      <c r="BS9" s="24"/>
      <c r="BT9" s="24"/>
      <c r="BU9" s="24"/>
    </row>
    <row r="10" spans="1:74" ht="15.4" x14ac:dyDescent="0.7">
      <c r="C10" s="24" t="s">
        <v>14</v>
      </c>
      <c r="D10" s="24"/>
      <c r="E10" s="24"/>
      <c r="F10" s="15" t="s">
        <v>62</v>
      </c>
      <c r="G10" s="130"/>
      <c r="H10" s="130"/>
      <c r="J10" s="15" t="s">
        <v>63</v>
      </c>
      <c r="K10" s="15" t="s">
        <v>64</v>
      </c>
      <c r="L10" s="15" t="s">
        <v>65</v>
      </c>
      <c r="M10" s="15" t="s">
        <v>66</v>
      </c>
      <c r="N10" s="15" t="s">
        <v>67</v>
      </c>
      <c r="O10" s="15" t="s">
        <v>68</v>
      </c>
      <c r="P10" s="15" t="s">
        <v>69</v>
      </c>
      <c r="Q10" s="15" t="s">
        <v>66</v>
      </c>
      <c r="R10" s="15" t="s">
        <v>67</v>
      </c>
      <c r="S10" s="15" t="s">
        <v>68</v>
      </c>
      <c r="T10" s="15" t="s">
        <v>69</v>
      </c>
      <c r="V10" s="15" t="s">
        <v>43</v>
      </c>
      <c r="W10" s="15" t="s">
        <v>51</v>
      </c>
      <c r="X10" s="15" t="s">
        <v>70</v>
      </c>
      <c r="Y10" s="15" t="s">
        <v>71</v>
      </c>
      <c r="Z10" s="15" t="s">
        <v>72</v>
      </c>
      <c r="AA10" s="15" t="s">
        <v>73</v>
      </c>
      <c r="AB10" s="15" t="s">
        <v>74</v>
      </c>
      <c r="AC10" s="15" t="s">
        <v>75</v>
      </c>
      <c r="AE10" s="81" t="str">
        <f>++RIGHT(AE3,4)&amp;"A"</f>
        <v>2022A</v>
      </c>
      <c r="AF10" s="81" t="str">
        <f t="shared" ref="AF10:AG10" si="0">++RIGHT(AF3,4)&amp;"A"</f>
        <v>2023A</v>
      </c>
      <c r="AG10" s="81" t="str">
        <f t="shared" si="0"/>
        <v>2024A</v>
      </c>
      <c r="AH10" s="81" t="s">
        <v>67</v>
      </c>
      <c r="AI10" s="81" t="str">
        <f>++RIGHT(AI3,4)&amp;"E"</f>
        <v>2025E</v>
      </c>
      <c r="AJ10" s="81" t="str">
        <f>++RIGHT(AJ3,4)&amp;"E"</f>
        <v>2026E</v>
      </c>
      <c r="AK10" s="81" t="str">
        <f>++RIGHT(AK3,4)&amp;"A"</f>
        <v>2022A</v>
      </c>
      <c r="AL10" s="81" t="str">
        <f t="shared" ref="AL10:AM10" si="1">++RIGHT(AL3,4)&amp;"A"</f>
        <v>2023A</v>
      </c>
      <c r="AM10" s="81" t="str">
        <f t="shared" si="1"/>
        <v>2024A</v>
      </c>
      <c r="AN10" s="81" t="s">
        <v>67</v>
      </c>
      <c r="AO10" s="81" t="str">
        <f>++RIGHT(AO3,4)&amp;"E"</f>
        <v>2025E</v>
      </c>
      <c r="AP10" s="81" t="str">
        <f>++RIGHT(AP3,4)&amp;"E"</f>
        <v>2026E</v>
      </c>
      <c r="AQ10" s="81" t="str">
        <f>++AK10</f>
        <v>2022A</v>
      </c>
      <c r="AR10" s="81" t="str">
        <f t="shared" ref="AR10:AV10" si="2">++AL10</f>
        <v>2023A</v>
      </c>
      <c r="AS10" s="81" t="str">
        <f t="shared" si="2"/>
        <v>2024A</v>
      </c>
      <c r="AT10" s="81" t="str">
        <f t="shared" si="2"/>
        <v>LTM</v>
      </c>
      <c r="AU10" s="81" t="str">
        <f t="shared" si="2"/>
        <v>2025E</v>
      </c>
      <c r="AV10" s="81" t="str">
        <f t="shared" si="2"/>
        <v>2026E</v>
      </c>
      <c r="AW10" s="81" t="str">
        <f>++AK10</f>
        <v>2022A</v>
      </c>
      <c r="AX10" s="81" t="str">
        <f t="shared" ref="AX10:BB10" si="3">++AL10</f>
        <v>2023A</v>
      </c>
      <c r="AY10" s="81" t="str">
        <f t="shared" si="3"/>
        <v>2024A</v>
      </c>
      <c r="AZ10" s="81" t="str">
        <f t="shared" si="3"/>
        <v>LTM</v>
      </c>
      <c r="BA10" s="81" t="str">
        <f t="shared" si="3"/>
        <v>2025E</v>
      </c>
      <c r="BB10" s="81" t="str">
        <f t="shared" si="3"/>
        <v>2026E</v>
      </c>
      <c r="BC10" s="81" t="str">
        <f>++AQ10</f>
        <v>2022A</v>
      </c>
      <c r="BD10" s="81" t="str">
        <f t="shared" ref="BD10:BH10" si="4">++AR10</f>
        <v>2023A</v>
      </c>
      <c r="BE10" s="81" t="str">
        <f t="shared" si="4"/>
        <v>2024A</v>
      </c>
      <c r="BF10" s="81" t="str">
        <f t="shared" si="4"/>
        <v>LTM</v>
      </c>
      <c r="BG10" s="81" t="str">
        <f t="shared" si="4"/>
        <v>2025E</v>
      </c>
      <c r="BH10" s="81" t="str">
        <f t="shared" si="4"/>
        <v>2026E</v>
      </c>
      <c r="BJ10" s="80" t="str">
        <f>BE10</f>
        <v>2024A</v>
      </c>
      <c r="BK10" s="80" t="s">
        <v>67</v>
      </c>
      <c r="BL10" s="80" t="str">
        <f>BG10</f>
        <v>2025E</v>
      </c>
      <c r="BM10" s="116" t="str">
        <f>BH10</f>
        <v>2026E</v>
      </c>
      <c r="BN10" s="80" t="str">
        <f>BJ10</f>
        <v>2024A</v>
      </c>
      <c r="BO10" s="80" t="str">
        <f t="shared" ref="BO10:BQ10" si="5">BK10</f>
        <v>LTM</v>
      </c>
      <c r="BP10" s="80" t="str">
        <f t="shared" si="5"/>
        <v>2025E</v>
      </c>
      <c r="BQ10" s="116" t="str">
        <f t="shared" si="5"/>
        <v>2026E</v>
      </c>
      <c r="BR10" s="80" t="str">
        <f>BN10</f>
        <v>2024A</v>
      </c>
      <c r="BS10" s="80" t="str">
        <f t="shared" ref="BS10" si="6">BO10</f>
        <v>LTM</v>
      </c>
      <c r="BT10" s="80" t="str">
        <f t="shared" ref="BT10" si="7">BP10</f>
        <v>2025E</v>
      </c>
      <c r="BU10" s="80" t="str">
        <f t="shared" ref="BU10" si="8">BQ10</f>
        <v>2026E</v>
      </c>
    </row>
    <row r="11" spans="1:74" customFormat="1" ht="5.0999999999999996" customHeight="1" x14ac:dyDescent="0.4">
      <c r="J11" s="1"/>
      <c r="K11" s="1"/>
      <c r="L11" s="1"/>
      <c r="M11" s="1"/>
      <c r="N11" s="1"/>
      <c r="O11" s="1"/>
      <c r="P11" s="1"/>
      <c r="Q11" s="1"/>
      <c r="R11" s="1"/>
      <c r="S11" s="1"/>
      <c r="T11" s="1"/>
      <c r="V11" s="1"/>
      <c r="W11" s="1"/>
      <c r="X11" s="1"/>
      <c r="Y11" s="1"/>
      <c r="Z11" s="1"/>
      <c r="AA11" s="1"/>
      <c r="AB11" s="1"/>
      <c r="AC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J11" s="1"/>
      <c r="BK11" s="1"/>
      <c r="BL11" s="1"/>
      <c r="BM11" s="117"/>
      <c r="BN11" s="1"/>
      <c r="BO11" s="1"/>
      <c r="BP11" s="1"/>
      <c r="BQ11" s="117"/>
      <c r="BR11" s="1"/>
      <c r="BS11" s="1"/>
      <c r="BT11" s="1"/>
      <c r="BU11" s="1"/>
    </row>
    <row r="12" spans="1:74" x14ac:dyDescent="0.4">
      <c r="A12" s="11" t="s">
        <v>40</v>
      </c>
      <c r="B12" s="11" t="s">
        <v>40</v>
      </c>
      <c r="C12" s="51" t="s">
        <v>76</v>
      </c>
      <c r="D12" s="52"/>
      <c r="E12" s="52"/>
      <c r="F12" s="52"/>
      <c r="G12" s="52"/>
      <c r="H12" s="52"/>
      <c r="I12" s="52"/>
      <c r="J12" s="52"/>
      <c r="K12" s="52"/>
      <c r="L12" s="52"/>
      <c r="M12" s="52"/>
      <c r="N12" s="52"/>
      <c r="O12" s="52"/>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118"/>
      <c r="BN12" s="52"/>
      <c r="BO12" s="52"/>
      <c r="BP12" s="52"/>
      <c r="BQ12" s="118"/>
      <c r="BR12" s="52"/>
      <c r="BS12" s="52"/>
      <c r="BT12" s="52"/>
      <c r="BU12" s="53"/>
      <c r="BV12" s="11" t="s">
        <v>40</v>
      </c>
    </row>
    <row r="13" spans="1:74" customFormat="1" ht="5.0999999999999996" customHeight="1" x14ac:dyDescent="0.4">
      <c r="F13" s="131"/>
      <c r="J13" s="1"/>
      <c r="K13" s="1"/>
      <c r="L13" s="1"/>
      <c r="M13" s="1"/>
      <c r="N13" s="1"/>
      <c r="O13" s="1"/>
      <c r="P13" s="1"/>
      <c r="Q13" s="1"/>
      <c r="R13" s="1"/>
      <c r="S13" s="1"/>
      <c r="T13" s="1"/>
      <c r="V13" s="1"/>
      <c r="W13" s="1"/>
      <c r="X13" s="1"/>
      <c r="Y13" s="1"/>
      <c r="Z13" s="1"/>
      <c r="AA13" s="1"/>
      <c r="AB13" s="1"/>
      <c r="AC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J13" s="1"/>
      <c r="BK13" s="1"/>
      <c r="BL13" s="1"/>
      <c r="BM13" s="117"/>
      <c r="BN13" s="1"/>
      <c r="BO13" s="1"/>
      <c r="BP13" s="1"/>
      <c r="BQ13" s="117"/>
      <c r="BR13" s="1"/>
      <c r="BS13" s="1"/>
      <c r="BT13" s="1"/>
      <c r="BU13" s="1"/>
    </row>
    <row r="14" spans="1:74" x14ac:dyDescent="0.4">
      <c r="C14" s="1" t="str">
        <f>_xll.ciqfunctions.udf.CIQ(F14, "IQ_COMPANY_NAME")</f>
        <v>Tractor Supply Company</v>
      </c>
      <c r="E14" s="42"/>
      <c r="F14" s="70" t="s">
        <v>77</v>
      </c>
      <c r="G14" s="129"/>
      <c r="H14" s="129"/>
      <c r="J14" s="73" t="e" cm="1">
        <f t="array" aca="1" ref="J14" ca="1">_xll.ciqfunctions.udf.CIQ($F14,J$2,$H$2,$H$3)</f>
        <v>#NAME?</v>
      </c>
      <c r="K14" s="73" t="e" cm="1">
        <f t="array" aca="1" ref="K14" ca="1">_xll.ciqfunctions.udf.CIQ($F14,K$2,$H$2,$H$3)</f>
        <v>#NAME?</v>
      </c>
      <c r="L14" s="77" t="e">
        <f ca="1">++J14/K14</f>
        <v>#NAME?</v>
      </c>
      <c r="M14" s="73" t="e" cm="1">
        <f t="array" aca="1" ref="M14" ca="1">_xll.ciqfunctions.udf.CIQ($F14,M$2,DATE(YEAR($H$2),1,1),$H$3)</f>
        <v>#NAME?</v>
      </c>
      <c r="N14" s="73" t="e" cm="1">
        <f t="array" aca="1" ref="N14" ca="1">_xll.ciqfunctions.udf.CIQ($F14,N$2,EDATE($H$2,-12),$H$3)</f>
        <v>#NAME?</v>
      </c>
      <c r="O14" s="73" t="e" cm="1">
        <f t="array" aca="1" ref="O14" ca="1">_xll.ciqfunctions.udf.CIQ($F14,O$2,EDATE($H$2,-3),$H$3)</f>
        <v>#NAME?</v>
      </c>
      <c r="P14" s="73" t="e" cm="1">
        <f t="array" aca="1" ref="P14" ca="1">_xll.ciqfunctions.udf.CIQ($F14,P$2,EDATE($H$2,-36),$H$3)</f>
        <v>#NAME?</v>
      </c>
      <c r="Q14" s="77" t="e">
        <f ca="1">$J14/M14-1</f>
        <v>#NAME?</v>
      </c>
      <c r="R14" s="77" t="e">
        <f ca="1">$J14/N14-1</f>
        <v>#NAME?</v>
      </c>
      <c r="S14" s="77" t="e">
        <f ca="1">$J14/O14-1</f>
        <v>#NAME?</v>
      </c>
      <c r="T14" s="77" t="e">
        <f ca="1">$J14/P14-1</f>
        <v>#NAME?</v>
      </c>
      <c r="V14" s="76" t="e" cm="1">
        <f t="array" aca="1" ref="V14" ca="1">_xll.ciqfunctions.udf.CIQ($F14,V$2,$H$2,$H$3)</f>
        <v>#NAME?</v>
      </c>
      <c r="W14" s="76" t="e">
        <f ca="1">++X14-Y14-Z14</f>
        <v>#NAME?</v>
      </c>
      <c r="X14" s="76" t="e" cm="1">
        <f t="array" aca="1" ref="X14" ca="1">_xll.ciqfunctions.udf.CIQ($F14,X$2,"IQ_LTM",$H$2,,,$H$3)</f>
        <v>#NAME?</v>
      </c>
      <c r="Y14" s="76" t="e" cm="1">
        <f t="array" aca="1" ref="Y14" ca="1">_xll.ciqfunctions.udf.CIQ($F14,Y$2,"IQ_LTM",$H$2,,,$H$3)</f>
        <v>#NAME?</v>
      </c>
      <c r="Z14" s="76" t="e" cm="1">
        <f t="array" aca="1" ref="Z14" ca="1">_xll.ciqfunctions.udf.CIQ($F14,Z$2,"IQ_LTM",$H$2,,,$H$3)</f>
        <v>#NAME?</v>
      </c>
      <c r="AA14" s="76" t="e" cm="1">
        <f t="array" aca="1" ref="AA14" ca="1">_xll.ciqfunctions.udf.CIQ($F14,AA$2,"IQ_LTM",$H$2,,,$H$3)</f>
        <v>#NAME?</v>
      </c>
      <c r="AB14" s="76" t="e">
        <f ca="1">++W14-AA14</f>
        <v>#NAME?</v>
      </c>
      <c r="AC14" s="76" t="e">
        <f ca="1">++V14+X14-AA14</f>
        <v>#NAME?</v>
      </c>
      <c r="AE14" s="76" t="e" cm="1">
        <f t="array" aca="1" ref="AE14" ca="1">_xll.ciqfunctions.udf.CIQ($F14,AE$2,AE$3,$H$2,,,$H$3)</f>
        <v>#NAME?</v>
      </c>
      <c r="AF14" s="76" t="e" cm="1">
        <f t="array" aca="1" ref="AF14" ca="1">_xll.ciqfunctions.udf.CIQ($F14,AF$2,AF$3,$H$2,,,$H$3)</f>
        <v>#NAME?</v>
      </c>
      <c r="AG14" s="76" t="e" cm="1">
        <f t="array" aca="1" ref="AG14" ca="1">_xll.ciqfunctions.udf.CIQ($F14,AG$2,AG$3,$H$2,,,$H$3)</f>
        <v>#NAME?</v>
      </c>
      <c r="AH14" s="76" t="e" cm="1">
        <f t="array" aca="1" ref="AH14" ca="1">_xll.ciqfunctions.udf.CIQ($F14,AH$2,AH$3,$H$2,,,$H$3)</f>
        <v>#NAME?</v>
      </c>
      <c r="AI14" s="76" t="e" cm="1">
        <f t="array" aca="1" ref="AI14" ca="1">_xll.ciqfunctions.udf.CIQ($F14,AI$2,AI$3,$H$2,,,$H$3)</f>
        <v>#NAME?</v>
      </c>
      <c r="AJ14" s="76" t="e" cm="1">
        <f t="array" aca="1" ref="AJ14" ca="1">_xll.ciqfunctions.udf.CIQ($F14,AJ$2,AJ$3,$H$2,,,$H$3)</f>
        <v>#NAME?</v>
      </c>
      <c r="AK14" s="76" t="e" cm="1">
        <f t="array" aca="1" ref="AK14" ca="1">_xll.ciqfunctions.udf.CIQ($F14,AK$2,AK$3,$H$2,,,$H$3)</f>
        <v>#NAME?</v>
      </c>
      <c r="AL14" s="76" t="e" cm="1">
        <f t="array" aca="1" ref="AL14" ca="1">_xll.ciqfunctions.udf.CIQ($F14,AL$2,AL$3,$H$2,,,$H$3)</f>
        <v>#NAME?</v>
      </c>
      <c r="AM14" s="76" t="e" cm="1">
        <f t="array" aca="1" ref="AM14" ca="1">_xll.ciqfunctions.udf.CIQ($F14,AM$2,AM$3,$H$2,,,$H$3)</f>
        <v>#NAME?</v>
      </c>
      <c r="AN14" s="76" t="e" cm="1">
        <f t="array" aca="1" ref="AN14" ca="1">_xll.ciqfunctions.udf.CIQ($F14,AN$2,AN$3,$H$2,,,$H$3)</f>
        <v>#NAME?</v>
      </c>
      <c r="AO14" s="76" t="e" cm="1">
        <f t="array" aca="1" ref="AO14" ca="1">_xll.ciqfunctions.udf.CIQ($F14,AO$2,AO$3,$H$2,,,$H$3)</f>
        <v>#NAME?</v>
      </c>
      <c r="AP14" s="76" t="e" cm="1">
        <f t="array" aca="1" ref="AP14" ca="1">_xll.ciqfunctions.udf.CIQ($F14,AP$2,AP$3,$H$2,,,$H$3)</f>
        <v>#NAME?</v>
      </c>
      <c r="AQ14" s="77">
        <f t="shared" ref="AQ14:AV14" ca="1" si="9">++IFERROR(AK14/AE14,0)</f>
        <v>0</v>
      </c>
      <c r="AR14" s="77">
        <f t="shared" ca="1" si="9"/>
        <v>0</v>
      </c>
      <c r="AS14" s="77">
        <f t="shared" ca="1" si="9"/>
        <v>0</v>
      </c>
      <c r="AT14" s="77">
        <f t="shared" ca="1" si="9"/>
        <v>0</v>
      </c>
      <c r="AU14" s="77">
        <f t="shared" ca="1" si="9"/>
        <v>0</v>
      </c>
      <c r="AV14" s="77">
        <f t="shared" ca="1" si="9"/>
        <v>0</v>
      </c>
      <c r="AW14" s="76" t="e" cm="1">
        <f t="array" aca="1" ref="AW14" ca="1">_xll.ciqfunctions.udf.CIQ($F14,AW$2,AW$3,$H$2,,,$H$3)</f>
        <v>#NAME?</v>
      </c>
      <c r="AX14" s="76" t="e" cm="1">
        <f t="array" aca="1" ref="AX14" ca="1">_xll.ciqfunctions.udf.CIQ($F14,AX$2,AX$3,$H$2,,,$H$3)</f>
        <v>#NAME?</v>
      </c>
      <c r="AY14" s="76" t="e" cm="1">
        <f t="array" aca="1" ref="AY14" ca="1">_xll.ciqfunctions.udf.CIQ($F14,AY$2,AY$3,$H$2,,,$H$3)</f>
        <v>#NAME?</v>
      </c>
      <c r="AZ14" s="76" t="e" cm="1">
        <f t="array" aca="1" ref="AZ14" ca="1">_xll.ciqfunctions.udf.CIQ($F14,AZ$2,AZ$3,$H$2,,,$H$3)</f>
        <v>#NAME?</v>
      </c>
      <c r="BA14" s="76" t="e" cm="1">
        <f t="array" aca="1" ref="BA14" ca="1">_xll.ciqfunctions.udf.CIQ($F14,BA$2,BA$3,$H$2,,,$H$3)</f>
        <v>#NAME?</v>
      </c>
      <c r="BB14" s="76" t="e" cm="1">
        <f t="array" aca="1" ref="BB14" ca="1">_xll.ciqfunctions.udf.CIQ($F14,BB$2,BB$3,$H$2,,,$H$3)</f>
        <v>#NAME?</v>
      </c>
      <c r="BC14" s="76" t="e">
        <f ca="1">AK14+AW14</f>
        <v>#NAME?</v>
      </c>
      <c r="BD14" s="76" t="e">
        <f t="shared" ref="BD14:BD19" ca="1" si="10">AL14+AX14</f>
        <v>#NAME?</v>
      </c>
      <c r="BE14" s="76" t="e">
        <f t="shared" ref="BE14:BF19" ca="1" si="11">AM14+AY14</f>
        <v>#NAME?</v>
      </c>
      <c r="BF14" s="76" t="e">
        <f t="shared" ca="1" si="11"/>
        <v>#NAME?</v>
      </c>
      <c r="BG14" s="76" t="e">
        <f t="shared" ref="BG14:BG19" ca="1" si="12">AO14+BA14</f>
        <v>#NAME?</v>
      </c>
      <c r="BH14" s="76" t="e">
        <f t="shared" ref="BH14:BH19" ca="1" si="13">AP14+BB14</f>
        <v>#NAME?</v>
      </c>
      <c r="BJ14" s="79" t="str">
        <f ca="1">IFERROR($AC14/AM14,"n/a")</f>
        <v>n/a</v>
      </c>
      <c r="BK14" s="79" t="str">
        <f t="shared" ref="BK14:BM19" ca="1" si="14">IFERROR($AC14/AN14,"n/a")</f>
        <v>n/a</v>
      </c>
      <c r="BL14" s="79" t="str">
        <f t="shared" ca="1" si="14"/>
        <v>n/a</v>
      </c>
      <c r="BM14" s="119" t="str">
        <f t="shared" ca="1" si="14"/>
        <v>n/a</v>
      </c>
      <c r="BN14" s="79" t="str">
        <f ca="1">IFERROR($AC14/BE14,"n/a")</f>
        <v>n/a</v>
      </c>
      <c r="BO14" s="79" t="str">
        <f t="shared" ref="BO14:BQ14" ca="1" si="15">IFERROR($AC14/BF14,"n/a")</f>
        <v>n/a</v>
      </c>
      <c r="BP14" s="79" t="str">
        <f t="shared" ca="1" si="15"/>
        <v>n/a</v>
      </c>
      <c r="BQ14" s="119" t="str">
        <f t="shared" ca="1" si="15"/>
        <v>n/a</v>
      </c>
      <c r="BR14" s="79" t="str">
        <f ca="1">IFERROR($AC14/AG14,"n/a")</f>
        <v>n/a</v>
      </c>
      <c r="BS14" s="79" t="str">
        <f t="shared" ref="BS14:BU14" ca="1" si="16">IFERROR($AC14/AH14,"n/a")</f>
        <v>n/a</v>
      </c>
      <c r="BT14" s="79" t="str">
        <f t="shared" ca="1" si="16"/>
        <v>n/a</v>
      </c>
      <c r="BU14" s="79" t="str">
        <f t="shared" ca="1" si="16"/>
        <v>n/a</v>
      </c>
    </row>
    <row r="15" spans="1:74" x14ac:dyDescent="0.4">
      <c r="C15" s="1" t="str">
        <f>_xll.ciqfunctions.udf.CIQ(F15, "IQ_COMPANY_NAME")</f>
        <v>Tractor Supply Company</v>
      </c>
      <c r="E15" s="42"/>
      <c r="F15" s="70" t="s">
        <v>77</v>
      </c>
      <c r="G15" s="129"/>
      <c r="H15" s="129"/>
      <c r="J15" s="75" t="e" cm="1">
        <f t="array" aca="1" ref="J15" ca="1">_xll.ciqfunctions.udf.CIQ($F15,J$2,$H$2,$H$3)</f>
        <v>#NAME?</v>
      </c>
      <c r="K15" s="75" t="e" cm="1">
        <f t="array" aca="1" ref="K15" ca="1">_xll.ciqfunctions.udf.CIQ($F15,K$2,$H$2,$H$3)</f>
        <v>#NAME?</v>
      </c>
      <c r="L15" s="77" t="e">
        <f ca="1">++J15/K15</f>
        <v>#NAME?</v>
      </c>
      <c r="M15" s="75" t="e" cm="1">
        <f t="array" aca="1" ref="M15" ca="1">_xll.ciqfunctions.udf.CIQ($F15,M$2,DATE(YEAR($H$2),1,1),$H$3)</f>
        <v>#NAME?</v>
      </c>
      <c r="N15" s="75" t="e" cm="1">
        <f t="array" aca="1" ref="N15" ca="1">_xll.ciqfunctions.udf.CIQ($F15,N$2,EDATE($H$2,-12),$H$3)</f>
        <v>#NAME?</v>
      </c>
      <c r="O15" s="75" t="e" cm="1">
        <f t="array" aca="1" ref="O15" ca="1">_xll.ciqfunctions.udf.CIQ($F15,O$2,EDATE($H$2,-3),$H$3)</f>
        <v>#NAME?</v>
      </c>
      <c r="P15" s="75" t="e" cm="1">
        <f t="array" aca="1" ref="P15" ca="1">_xll.ciqfunctions.udf.CIQ($F15,P$2,EDATE($H$2,-36),$H$3)</f>
        <v>#NAME?</v>
      </c>
      <c r="Q15" s="77" t="e">
        <f ca="1">$J15/M15-1</f>
        <v>#NAME?</v>
      </c>
      <c r="R15" s="77" t="e">
        <f ca="1">$J15/N15-1</f>
        <v>#NAME?</v>
      </c>
      <c r="S15" s="77" t="e">
        <f ca="1">$J15/O15-1</f>
        <v>#NAME?</v>
      </c>
      <c r="T15" s="77" t="e">
        <f t="shared" ref="T15:T19" ca="1" si="17">$J15/P15-1</f>
        <v>#NAME?</v>
      </c>
      <c r="V15" s="74" t="e" cm="1">
        <f t="array" aca="1" ref="V15" ca="1">_xll.ciqfunctions.udf.CIQ($F15,V$2,$H$2,$H$3)</f>
        <v>#NAME?</v>
      </c>
      <c r="W15" s="74" t="e">
        <f ca="1">++X15-Y15-Z15</f>
        <v>#NAME?</v>
      </c>
      <c r="X15" s="74" t="e" cm="1">
        <f t="array" aca="1" ref="X15" ca="1">_xll.ciqfunctions.udf.CIQ($F15,X$2,"IQ_LTM",$H$2,,,$H$3)</f>
        <v>#NAME?</v>
      </c>
      <c r="Y15" s="74" t="e" cm="1">
        <f t="array" aca="1" ref="Y15" ca="1">_xll.ciqfunctions.udf.CIQ($F15,Y$2,"IQ_LTM",$H$2,,,$H$3)</f>
        <v>#NAME?</v>
      </c>
      <c r="Z15" s="74" t="e" cm="1">
        <f t="array" aca="1" ref="Z15" ca="1">_xll.ciqfunctions.udf.CIQ($F15,Z$2,"IQ_LTM",$H$2,,,$H$3)</f>
        <v>#NAME?</v>
      </c>
      <c r="AA15" s="74" t="e" cm="1">
        <f t="array" aca="1" ref="AA15" ca="1">_xll.ciqfunctions.udf.CIQ($F15,AA$2,"IQ_LTM",$H$2,,,$H$3)</f>
        <v>#NAME?</v>
      </c>
      <c r="AB15" s="74" t="e">
        <f ca="1">++W15-AA15</f>
        <v>#NAME?</v>
      </c>
      <c r="AC15" s="74" t="e">
        <f ca="1">++V15+X15-AA15</f>
        <v>#NAME?</v>
      </c>
      <c r="AE15" s="74" t="e" cm="1">
        <f t="array" aca="1" ref="AE15" ca="1">_xll.ciqfunctions.udf.CIQ($F15,AE$2,AE$3,$H$2,,,$H$3)</f>
        <v>#NAME?</v>
      </c>
      <c r="AF15" s="74" t="e" cm="1">
        <f t="array" aca="1" ref="AF15" ca="1">_xll.ciqfunctions.udf.CIQ($F15,AF$2,AF$3,$H$2,,,$H$3)</f>
        <v>#NAME?</v>
      </c>
      <c r="AG15" s="74" t="e" cm="1">
        <f t="array" aca="1" ref="AG15" ca="1">_xll.ciqfunctions.udf.CIQ($F15,AG$2,AG$3,$H$2,,,$H$3)</f>
        <v>#NAME?</v>
      </c>
      <c r="AH15" s="74" t="e" cm="1">
        <f t="array" aca="1" ref="AH15" ca="1">_xll.ciqfunctions.udf.CIQ($F15,AH$2,AH$3,$H$2,,,$H$3)</f>
        <v>#NAME?</v>
      </c>
      <c r="AI15" s="74" t="e" cm="1">
        <f t="array" aca="1" ref="AI15" ca="1">_xll.ciqfunctions.udf.CIQ($F15,AI$2,AI$3,$H$2,,,$H$3)</f>
        <v>#NAME?</v>
      </c>
      <c r="AJ15" s="74" t="e" cm="1">
        <f t="array" aca="1" ref="AJ15" ca="1">_xll.ciqfunctions.udf.CIQ($F15,AJ$2,AJ$3,$H$2,,,$H$3)</f>
        <v>#NAME?</v>
      </c>
      <c r="AK15" s="74" t="e" cm="1">
        <f t="array" aca="1" ref="AK15" ca="1">_xll.ciqfunctions.udf.CIQ($F15,AK$2,AK$3,$H$2,,,$H$3)</f>
        <v>#NAME?</v>
      </c>
      <c r="AL15" s="74" t="e" cm="1">
        <f t="array" aca="1" ref="AL15" ca="1">_xll.ciqfunctions.udf.CIQ($F15,AL$2,AL$3,$H$2,,,$H$3)</f>
        <v>#NAME?</v>
      </c>
      <c r="AM15" s="74" t="e" cm="1">
        <f t="array" aca="1" ref="AM15" ca="1">_xll.ciqfunctions.udf.CIQ($F15,AM$2,AM$3,$H$2,,,$H$3)</f>
        <v>#NAME?</v>
      </c>
      <c r="AN15" s="74" t="e" cm="1">
        <f t="array" aca="1" ref="AN15" ca="1">_xll.ciqfunctions.udf.CIQ($F15,AN$2,AN$3,$H$2,,,$H$3)</f>
        <v>#NAME?</v>
      </c>
      <c r="AO15" s="74" t="e" cm="1">
        <f t="array" aca="1" ref="AO15" ca="1">_xll.ciqfunctions.udf.CIQ($F15,AO$2,AO$3,$H$2,,,$H$3)</f>
        <v>#NAME?</v>
      </c>
      <c r="AP15" s="74" t="e" cm="1">
        <f t="array" aca="1" ref="AP15" ca="1">_xll.ciqfunctions.udf.CIQ($F15,AP$2,AP$3,$H$2,,,$H$3)</f>
        <v>#NAME?</v>
      </c>
      <c r="AQ15" s="77">
        <f t="shared" ref="AQ15:AQ19" ca="1" si="18">++IFERROR(AK15/AE15,0)</f>
        <v>0</v>
      </c>
      <c r="AR15" s="77">
        <f t="shared" ref="AR15:AR19" ca="1" si="19">++IFERROR(AL15/AF15,0)</f>
        <v>0</v>
      </c>
      <c r="AS15" s="77">
        <f t="shared" ref="AS15:AS19" ca="1" si="20">++IFERROR(AM15/AG15,0)</f>
        <v>0</v>
      </c>
      <c r="AT15" s="77">
        <f ca="1">++IFERROR(AN15/AH15,0)</f>
        <v>0</v>
      </c>
      <c r="AU15" s="77">
        <f ca="1">++IFERROR(AO15/AI15,0)</f>
        <v>0</v>
      </c>
      <c r="AV15" s="77">
        <f ca="1">++IFERROR(AP15/AJ15,0)</f>
        <v>0</v>
      </c>
      <c r="AW15" s="74" t="e" cm="1">
        <f t="array" aca="1" ref="AW15" ca="1">_xll.ciqfunctions.udf.CIQ($F15,AW$2,AW$3,$H$2,,,$H$3)</f>
        <v>#NAME?</v>
      </c>
      <c r="AX15" s="74" t="e" cm="1">
        <f t="array" aca="1" ref="AX15" ca="1">_xll.ciqfunctions.udf.CIQ($F15,AX$2,AX$3,$H$2,,,$H$3)</f>
        <v>#NAME?</v>
      </c>
      <c r="AY15" s="74" t="e" cm="1">
        <f t="array" aca="1" ref="AY15" ca="1">_xll.ciqfunctions.udf.CIQ($F15,AY$2,AY$3,$H$2,,,$H$3)</f>
        <v>#NAME?</v>
      </c>
      <c r="AZ15" s="74" t="e" cm="1">
        <f t="array" aca="1" ref="AZ15" ca="1">_xll.ciqfunctions.udf.CIQ($F15,AZ$2,AZ$3,$H$2,,,$H$3)</f>
        <v>#NAME?</v>
      </c>
      <c r="BA15" s="74" t="e" cm="1">
        <f t="array" aca="1" ref="BA15" ca="1">_xll.ciqfunctions.udf.CIQ($F15,BA$2,BA$3,$H$2,,,$H$3)</f>
        <v>#NAME?</v>
      </c>
      <c r="BB15" s="74" t="e" cm="1">
        <f t="array" aca="1" ref="BB15" ca="1">_xll.ciqfunctions.udf.CIQ($F15,BB$2,BB$3,$H$2,,,$H$3)</f>
        <v>#NAME?</v>
      </c>
      <c r="BC15" s="74" t="e">
        <f t="shared" ref="BC15:BC19" ca="1" si="21">AK15+AW15</f>
        <v>#NAME?</v>
      </c>
      <c r="BD15" s="74" t="e">
        <f t="shared" ca="1" si="10"/>
        <v>#NAME?</v>
      </c>
      <c r="BE15" s="74" t="e">
        <f t="shared" ca="1" si="11"/>
        <v>#NAME?</v>
      </c>
      <c r="BF15" s="74" t="e">
        <f t="shared" ca="1" si="11"/>
        <v>#NAME?</v>
      </c>
      <c r="BG15" s="74" t="e">
        <f t="shared" ca="1" si="12"/>
        <v>#NAME?</v>
      </c>
      <c r="BH15" s="74" t="e">
        <f t="shared" ca="1" si="13"/>
        <v>#NAME?</v>
      </c>
      <c r="BJ15" s="79" t="str">
        <f t="shared" ref="BJ15:BJ19" ca="1" si="22">IFERROR($AC15/AM15,"n/a")</f>
        <v>n/a</v>
      </c>
      <c r="BK15" s="79" t="str">
        <f t="shared" ca="1" si="14"/>
        <v>n/a</v>
      </c>
      <c r="BL15" s="79" t="str">
        <f t="shared" ca="1" si="14"/>
        <v>n/a</v>
      </c>
      <c r="BM15" s="119" t="str">
        <f t="shared" ca="1" si="14"/>
        <v>n/a</v>
      </c>
      <c r="BN15" s="79" t="str">
        <f t="shared" ref="BN15:BN19" ca="1" si="23">IFERROR($AC15/BE15,"n/a")</f>
        <v>n/a</v>
      </c>
      <c r="BO15" s="79" t="str">
        <f t="shared" ref="BO15:BO19" ca="1" si="24">IFERROR($AC15/BF15,"n/a")</f>
        <v>n/a</v>
      </c>
      <c r="BP15" s="79" t="str">
        <f t="shared" ref="BP15:BP19" ca="1" si="25">IFERROR($AC15/BG15,"n/a")</f>
        <v>n/a</v>
      </c>
      <c r="BQ15" s="119" t="str">
        <f t="shared" ref="BQ15:BQ19" ca="1" si="26">IFERROR($AC15/BH15,"n/a")</f>
        <v>n/a</v>
      </c>
      <c r="BR15" s="79" t="str">
        <f t="shared" ref="BR15:BR19" ca="1" si="27">IFERROR($AC15/AG15,"n/a")</f>
        <v>n/a</v>
      </c>
      <c r="BS15" s="79" t="str">
        <f t="shared" ref="BS15:BS19" ca="1" si="28">IFERROR($AC15/AH15,"n/a")</f>
        <v>n/a</v>
      </c>
      <c r="BT15" s="79" t="str">
        <f t="shared" ref="BT15:BT19" ca="1" si="29">IFERROR($AC15/AI15,"n/a")</f>
        <v>n/a</v>
      </c>
      <c r="BU15" s="79" t="str">
        <f t="shared" ref="BU15:BU19" ca="1" si="30">IFERROR($AC15/AJ15,"n/a")</f>
        <v>n/a</v>
      </c>
    </row>
    <row r="16" spans="1:74" x14ac:dyDescent="0.4">
      <c r="C16" s="1" t="str">
        <f>_xll.ciqfunctions.udf.CIQ(F16, "IQ_COMPANY_NAME")</f>
        <v>Tractor Supply Company</v>
      </c>
      <c r="E16" s="42"/>
      <c r="F16" s="70" t="s">
        <v>77</v>
      </c>
      <c r="G16" s="129"/>
      <c r="H16" s="129"/>
      <c r="J16" s="75" t="e" cm="1">
        <f t="array" aca="1" ref="J16" ca="1">_xll.ciqfunctions.udf.CIQ($F16,J$2,$H$2,$H$3)</f>
        <v>#NAME?</v>
      </c>
      <c r="K16" s="75" t="e" cm="1">
        <f t="array" aca="1" ref="K16" ca="1">_xll.ciqfunctions.udf.CIQ($F16,K$2,$H$2,$H$3)</f>
        <v>#NAME?</v>
      </c>
      <c r="L16" s="77" t="e">
        <f ca="1">++J16/K16</f>
        <v>#NAME?</v>
      </c>
      <c r="M16" s="75" t="e" cm="1">
        <f t="array" aca="1" ref="M16" ca="1">_xll.ciqfunctions.udf.CIQ($F16,M$2,DATE(YEAR($H$2),1,1),$H$3)</f>
        <v>#NAME?</v>
      </c>
      <c r="N16" s="75" t="e" cm="1">
        <f t="array" aca="1" ref="N16" ca="1">_xll.ciqfunctions.udf.CIQ($F16,N$2,EDATE($H$2,-12),$H$3)</f>
        <v>#NAME?</v>
      </c>
      <c r="O16" s="75" t="e" cm="1">
        <f t="array" aca="1" ref="O16" ca="1">_xll.ciqfunctions.udf.CIQ($F16,O$2,EDATE($H$2,3),$H$3)</f>
        <v>#NAME?</v>
      </c>
      <c r="P16" s="75" t="e" cm="1">
        <f t="array" aca="1" ref="P16" ca="1">_xll.ciqfunctions.udf.CIQ($F16,P$2,EDATE($H$2,-36),$H$3)</f>
        <v>#NAME?</v>
      </c>
      <c r="Q16" s="77" t="e">
        <f ca="1">$J16/M16-1</f>
        <v>#NAME?</v>
      </c>
      <c r="R16" s="77" t="e">
        <f t="shared" ref="R16:R19" ca="1" si="31">$J16/N16-1</f>
        <v>#NAME?</v>
      </c>
      <c r="S16" s="77" t="e">
        <f t="shared" ref="S16:S19" ca="1" si="32">$J16/O16-1</f>
        <v>#NAME?</v>
      </c>
      <c r="T16" s="77" t="e">
        <f t="shared" ca="1" si="17"/>
        <v>#NAME?</v>
      </c>
      <c r="V16" s="74" t="e" cm="1">
        <f t="array" aca="1" ref="V16" ca="1">_xll.ciqfunctions.udf.CIQ($F16,V$2,$H$2,$H$3)</f>
        <v>#NAME?</v>
      </c>
      <c r="W16" s="74" t="e">
        <f t="shared" ref="W16:W19" ca="1" si="33">++X16-Y16-Z16</f>
        <v>#NAME?</v>
      </c>
      <c r="X16" s="74" t="e" cm="1">
        <f t="array" aca="1" ref="X16" ca="1">_xll.ciqfunctions.udf.CIQ($F16,X$2,"IQ_LTM",$H$2,,,$H$3)</f>
        <v>#NAME?</v>
      </c>
      <c r="Y16" s="74" t="e" cm="1">
        <f t="array" aca="1" ref="Y16" ca="1">_xll.ciqfunctions.udf.CIQ($F16,Y$2,"IQ_LTM",$H$2,,,$H$3)</f>
        <v>#NAME?</v>
      </c>
      <c r="Z16" s="74" t="e" cm="1">
        <f t="array" aca="1" ref="Z16" ca="1">_xll.ciqfunctions.udf.CIQ($F16,Z$2,"IQ_LTM",$H$2,,,$H$3)</f>
        <v>#NAME?</v>
      </c>
      <c r="AA16" s="74" t="e" cm="1">
        <f t="array" aca="1" ref="AA16" ca="1">_xll.ciqfunctions.udf.CIQ($F16,AA$2,"IQ_LTM",$H$2,,,$H$3)</f>
        <v>#NAME?</v>
      </c>
      <c r="AB16" s="74" t="e">
        <f t="shared" ref="AB16:AB19" ca="1" si="34">++W16-AA16</f>
        <v>#NAME?</v>
      </c>
      <c r="AC16" s="74" t="e">
        <f t="shared" ref="AC16:AC19" ca="1" si="35">++V16+X16-AA16</f>
        <v>#NAME?</v>
      </c>
      <c r="AE16" s="74" t="e" cm="1">
        <f t="array" aca="1" ref="AE16" ca="1">_xll.ciqfunctions.udf.CIQ($F16,AE$2,AE$3,$H$2,,,$H$3)</f>
        <v>#NAME?</v>
      </c>
      <c r="AF16" s="74" t="e" cm="1">
        <f t="array" aca="1" ref="AF16" ca="1">_xll.ciqfunctions.udf.CIQ($F16,AF$2,AF$3,$H$2,,,$H$3)</f>
        <v>#NAME?</v>
      </c>
      <c r="AG16" s="74" t="e" cm="1">
        <f t="array" aca="1" ref="AG16" ca="1">_xll.ciqfunctions.udf.CIQ($F16,AG$2,AG$3,$H$2,,,$H$3)</f>
        <v>#NAME?</v>
      </c>
      <c r="AH16" s="74" t="e" cm="1">
        <f t="array" aca="1" ref="AH16" ca="1">_xll.ciqfunctions.udf.CIQ($F16,AH$2,AH$3,$H$2,,,$H$3)</f>
        <v>#NAME?</v>
      </c>
      <c r="AI16" s="74" t="e" cm="1">
        <f t="array" aca="1" ref="AI16" ca="1">_xll.ciqfunctions.udf.CIQ($F16,AI$2,AI$3,$H$2,,,$H$3)</f>
        <v>#NAME?</v>
      </c>
      <c r="AJ16" s="74" t="e" cm="1">
        <f t="array" aca="1" ref="AJ16" ca="1">_xll.ciqfunctions.udf.CIQ($F16,AJ$2,AJ$3,$H$2,,,$H$3)</f>
        <v>#NAME?</v>
      </c>
      <c r="AK16" s="74" t="e" cm="1">
        <f t="array" aca="1" ref="AK16" ca="1">_xll.ciqfunctions.udf.CIQ($F16,AK$2,AK$3,$H$2,,,$H$3)</f>
        <v>#NAME?</v>
      </c>
      <c r="AL16" s="74" t="e" cm="1">
        <f t="array" aca="1" ref="AL16" ca="1">_xll.ciqfunctions.udf.CIQ($F16,AL$2,AL$3,$H$2,,,$H$3)</f>
        <v>#NAME?</v>
      </c>
      <c r="AM16" s="74" t="e" cm="1">
        <f t="array" aca="1" ref="AM16" ca="1">_xll.ciqfunctions.udf.CIQ($F16,AM$2,AM$3,$H$2,,,$H$3)</f>
        <v>#NAME?</v>
      </c>
      <c r="AN16" s="74" t="e" cm="1">
        <f t="array" aca="1" ref="AN16" ca="1">_xll.ciqfunctions.udf.CIQ($F16,AN$2,AN$3,$H$2,,,$H$3)</f>
        <v>#NAME?</v>
      </c>
      <c r="AO16" s="74" t="e" cm="1">
        <f t="array" aca="1" ref="AO16" ca="1">_xll.ciqfunctions.udf.CIQ($F16,AO$2,AO$3,$H$2,,,$H$3)</f>
        <v>#NAME?</v>
      </c>
      <c r="AP16" s="74" t="e" cm="1">
        <f t="array" aca="1" ref="AP16" ca="1">_xll.ciqfunctions.udf.CIQ($F16,AP$2,AP$3,$H$2,,,$H$3)</f>
        <v>#NAME?</v>
      </c>
      <c r="AQ16" s="77">
        <f t="shared" ca="1" si="18"/>
        <v>0</v>
      </c>
      <c r="AR16" s="77">
        <f t="shared" ca="1" si="19"/>
        <v>0</v>
      </c>
      <c r="AS16" s="77">
        <f t="shared" ca="1" si="20"/>
        <v>0</v>
      </c>
      <c r="AT16" s="77">
        <f ca="1">++IFERROR(AN16/AH16,0)</f>
        <v>0</v>
      </c>
      <c r="AU16" s="77">
        <f t="shared" ref="AU16:AU19" ca="1" si="36">++IFERROR(AO16/AI16,0)</f>
        <v>0</v>
      </c>
      <c r="AV16" s="77">
        <f t="shared" ref="AV16:AV19" ca="1" si="37">++IFERROR(AP16/AJ16,0)</f>
        <v>0</v>
      </c>
      <c r="AW16" s="74" t="e" cm="1">
        <f t="array" aca="1" ref="AW16" ca="1">_xll.ciqfunctions.udf.CIQ($F16,AW$2,AW$3,$H$2,,,$H$3)</f>
        <v>#NAME?</v>
      </c>
      <c r="AX16" s="74" t="e" cm="1">
        <f t="array" aca="1" ref="AX16" ca="1">_xll.ciqfunctions.udf.CIQ($F16,AX$2,AX$3,$H$2,,,$H$3)</f>
        <v>#NAME?</v>
      </c>
      <c r="AY16" s="74" t="e" cm="1">
        <f t="array" aca="1" ref="AY16" ca="1">_xll.ciqfunctions.udf.CIQ($F16,AY$2,AY$3,$H$2,,,$H$3)</f>
        <v>#NAME?</v>
      </c>
      <c r="AZ16" s="74" t="e" cm="1">
        <f t="array" aca="1" ref="AZ16" ca="1">_xll.ciqfunctions.udf.CIQ($F16,AZ$2,AZ$3,$H$2,,,$H$3)</f>
        <v>#NAME?</v>
      </c>
      <c r="BA16" s="74" t="e" cm="1">
        <f t="array" aca="1" ref="BA16" ca="1">_xll.ciqfunctions.udf.CIQ($F16,BA$2,BA$3,$H$2,,,$H$3)</f>
        <v>#NAME?</v>
      </c>
      <c r="BB16" s="74" t="e" cm="1">
        <f t="array" aca="1" ref="BB16" ca="1">_xll.ciqfunctions.udf.CIQ($F16,BB$2,BB$3,$H$2,,,$H$3)</f>
        <v>#NAME?</v>
      </c>
      <c r="BC16" s="74" t="e">
        <f t="shared" ca="1" si="21"/>
        <v>#NAME?</v>
      </c>
      <c r="BD16" s="74" t="e">
        <f t="shared" ca="1" si="10"/>
        <v>#NAME?</v>
      </c>
      <c r="BE16" s="74" t="e">
        <f t="shared" ca="1" si="11"/>
        <v>#NAME?</v>
      </c>
      <c r="BF16" s="74" t="e">
        <f t="shared" ca="1" si="11"/>
        <v>#NAME?</v>
      </c>
      <c r="BG16" s="74" t="e">
        <f t="shared" ca="1" si="12"/>
        <v>#NAME?</v>
      </c>
      <c r="BH16" s="74" t="e">
        <f t="shared" ca="1" si="13"/>
        <v>#NAME?</v>
      </c>
      <c r="BJ16" s="79" t="str">
        <f t="shared" ca="1" si="22"/>
        <v>n/a</v>
      </c>
      <c r="BK16" s="79" t="str">
        <f t="shared" ca="1" si="14"/>
        <v>n/a</v>
      </c>
      <c r="BL16" s="79" t="str">
        <f t="shared" ca="1" si="14"/>
        <v>n/a</v>
      </c>
      <c r="BM16" s="119" t="str">
        <f t="shared" ca="1" si="14"/>
        <v>n/a</v>
      </c>
      <c r="BN16" s="79" t="str">
        <f t="shared" ca="1" si="23"/>
        <v>n/a</v>
      </c>
      <c r="BO16" s="79" t="str">
        <f t="shared" ca="1" si="24"/>
        <v>n/a</v>
      </c>
      <c r="BP16" s="79" t="str">
        <f t="shared" ca="1" si="25"/>
        <v>n/a</v>
      </c>
      <c r="BQ16" s="119" t="str">
        <f t="shared" ca="1" si="26"/>
        <v>n/a</v>
      </c>
      <c r="BR16" s="79" t="str">
        <f t="shared" ca="1" si="27"/>
        <v>n/a</v>
      </c>
      <c r="BS16" s="79" t="str">
        <f t="shared" ca="1" si="28"/>
        <v>n/a</v>
      </c>
      <c r="BT16" s="79" t="str">
        <f t="shared" ca="1" si="29"/>
        <v>n/a</v>
      </c>
      <c r="BU16" s="79" t="str">
        <f t="shared" ca="1" si="30"/>
        <v>n/a</v>
      </c>
    </row>
    <row r="17" spans="1:74" x14ac:dyDescent="0.4">
      <c r="C17" s="1" t="str">
        <f>_xll.ciqfunctions.udf.CIQ(F17, "IQ_COMPANY_NAME")</f>
        <v>Tractor Supply Company</v>
      </c>
      <c r="E17" s="42"/>
      <c r="F17" s="70" t="s">
        <v>77</v>
      </c>
      <c r="G17" s="129"/>
      <c r="H17" s="129"/>
      <c r="J17" s="75" t="e" cm="1">
        <f t="array" aca="1" ref="J17" ca="1">_xll.ciqfunctions.udf.CIQ($F17,J$2,$H$2,$H$3)</f>
        <v>#NAME?</v>
      </c>
      <c r="K17" s="75" t="e" cm="1">
        <f t="array" aca="1" ref="K17" ca="1">_xll.ciqfunctions.udf.CIQ($F17,K$2,$H$2,$H$3)</f>
        <v>#NAME?</v>
      </c>
      <c r="L17" s="77" t="e">
        <f t="shared" ref="L17:L19" ca="1" si="38">++J17/K17</f>
        <v>#NAME?</v>
      </c>
      <c r="M17" s="75" t="e" cm="1">
        <f t="array" aca="1" ref="M17" ca="1">_xll.ciqfunctions.udf.CIQ($F17,M$2,DATE(YEAR($H$2),1,1),$H$3)</f>
        <v>#NAME?</v>
      </c>
      <c r="N17" s="75" t="e" cm="1">
        <f t="array" aca="1" ref="N17" ca="1">_xll.ciqfunctions.udf.CIQ($F17,N$2,EDATE($H$2,-12),$H$3)</f>
        <v>#NAME?</v>
      </c>
      <c r="O17" s="75" t="e" cm="1">
        <f t="array" aca="1" ref="O17" ca="1">_xll.ciqfunctions.udf.CIQ($F17,O$2,EDATE($H$2,3),$H$3)</f>
        <v>#NAME?</v>
      </c>
      <c r="P17" s="75" t="e" cm="1">
        <f t="array" aca="1" ref="P17" ca="1">_xll.ciqfunctions.udf.CIQ($F17,P$2,EDATE($H$2,-36),$H$3)</f>
        <v>#NAME?</v>
      </c>
      <c r="Q17" s="77" t="e">
        <f ca="1">$J17/M17-1</f>
        <v>#NAME?</v>
      </c>
      <c r="R17" s="77" t="e">
        <f t="shared" ca="1" si="31"/>
        <v>#NAME?</v>
      </c>
      <c r="S17" s="77" t="e">
        <f t="shared" ca="1" si="32"/>
        <v>#NAME?</v>
      </c>
      <c r="T17" s="77" t="e">
        <f t="shared" ca="1" si="17"/>
        <v>#NAME?</v>
      </c>
      <c r="V17" s="74" t="e" cm="1">
        <f t="array" aca="1" ref="V17" ca="1">_xll.ciqfunctions.udf.CIQ($F17,V$2,$H$2,$H$3)</f>
        <v>#NAME?</v>
      </c>
      <c r="W17" s="74" t="e">
        <f t="shared" ca="1" si="33"/>
        <v>#NAME?</v>
      </c>
      <c r="X17" s="74" t="e" cm="1">
        <f t="array" aca="1" ref="X17" ca="1">_xll.ciqfunctions.udf.CIQ($F17,X$2,"IQ_LTM",$H$2,,,$H$3)</f>
        <v>#NAME?</v>
      </c>
      <c r="Y17" s="74" t="e" cm="1">
        <f t="array" aca="1" ref="Y17" ca="1">_xll.ciqfunctions.udf.CIQ($F17,Y$2,"IQ_LTM",$H$2,,,$H$3)</f>
        <v>#NAME?</v>
      </c>
      <c r="Z17" s="74" t="e" cm="1">
        <f t="array" aca="1" ref="Z17" ca="1">_xll.ciqfunctions.udf.CIQ($F17,Z$2,"IQ_LTM",$H$2,,,$H$3)</f>
        <v>#NAME?</v>
      </c>
      <c r="AA17" s="74" t="e" cm="1">
        <f t="array" aca="1" ref="AA17" ca="1">_xll.ciqfunctions.udf.CIQ($F17,AA$2,"IQ_LTM",$H$2,,,$H$3)</f>
        <v>#NAME?</v>
      </c>
      <c r="AB17" s="74" t="e">
        <f t="shared" ca="1" si="34"/>
        <v>#NAME?</v>
      </c>
      <c r="AC17" s="74" t="e">
        <f t="shared" ca="1" si="35"/>
        <v>#NAME?</v>
      </c>
      <c r="AE17" s="74" t="e" cm="1">
        <f t="array" aca="1" ref="AE17" ca="1">_xll.ciqfunctions.udf.CIQ($F17,AE$2,AE$3,$H$2,,,$H$3)</f>
        <v>#NAME?</v>
      </c>
      <c r="AF17" s="74" t="e" cm="1">
        <f t="array" aca="1" ref="AF17" ca="1">_xll.ciqfunctions.udf.CIQ($F17,AF$2,AF$3,$H$2,,,$H$3)</f>
        <v>#NAME?</v>
      </c>
      <c r="AG17" s="74" t="e" cm="1">
        <f t="array" aca="1" ref="AG17" ca="1">_xll.ciqfunctions.udf.CIQ($F17,AG$2,AG$3,$H$2,,,$H$3)</f>
        <v>#NAME?</v>
      </c>
      <c r="AH17" s="74" t="e" cm="1">
        <f t="array" aca="1" ref="AH17" ca="1">_xll.ciqfunctions.udf.CIQ($F17,AH$2,AH$3,$H$2,,,$H$3)</f>
        <v>#NAME?</v>
      </c>
      <c r="AI17" s="74" t="e" cm="1">
        <f t="array" aca="1" ref="AI17" ca="1">_xll.ciqfunctions.udf.CIQ($F17,AI$2,AI$3,$H$2,,,$H$3)</f>
        <v>#NAME?</v>
      </c>
      <c r="AJ17" s="74" t="e" cm="1">
        <f t="array" aca="1" ref="AJ17" ca="1">_xll.ciqfunctions.udf.CIQ($F17,AJ$2,AJ$3,$H$2,,,$H$3)</f>
        <v>#NAME?</v>
      </c>
      <c r="AK17" s="74" t="e" cm="1">
        <f t="array" aca="1" ref="AK17" ca="1">_xll.ciqfunctions.udf.CIQ($F17,AK$2,AK$3,$H$2,,,$H$3)</f>
        <v>#NAME?</v>
      </c>
      <c r="AL17" s="74" t="e" cm="1">
        <f t="array" aca="1" ref="AL17" ca="1">_xll.ciqfunctions.udf.CIQ($F17,AL$2,AL$3,$H$2,,,$H$3)</f>
        <v>#NAME?</v>
      </c>
      <c r="AM17" s="74" t="e" cm="1">
        <f t="array" aca="1" ref="AM17" ca="1">_xll.ciqfunctions.udf.CIQ($F17,AM$2,AM$3,$H$2,,,$H$3)</f>
        <v>#NAME?</v>
      </c>
      <c r="AN17" s="74" t="e" cm="1">
        <f t="array" aca="1" ref="AN17" ca="1">_xll.ciqfunctions.udf.CIQ($F17,AN$2,AN$3,$H$2,,,$H$3)</f>
        <v>#NAME?</v>
      </c>
      <c r="AO17" s="74" t="e" cm="1">
        <f t="array" aca="1" ref="AO17" ca="1">_xll.ciqfunctions.udf.CIQ($F17,AO$2,AO$3,$H$2,,,$H$3)</f>
        <v>#NAME?</v>
      </c>
      <c r="AP17" s="74" t="e" cm="1">
        <f t="array" aca="1" ref="AP17" ca="1">_xll.ciqfunctions.udf.CIQ($F17,AP$2,AP$3,$H$2,,,$H$3)</f>
        <v>#NAME?</v>
      </c>
      <c r="AQ17" s="77">
        <f t="shared" ca="1" si="18"/>
        <v>0</v>
      </c>
      <c r="AR17" s="77">
        <f t="shared" ca="1" si="19"/>
        <v>0</v>
      </c>
      <c r="AS17" s="77">
        <f t="shared" ca="1" si="20"/>
        <v>0</v>
      </c>
      <c r="AT17" s="77">
        <f ca="1">++IFERROR(AN17/AH17,0)</f>
        <v>0</v>
      </c>
      <c r="AU17" s="77">
        <f t="shared" ca="1" si="36"/>
        <v>0</v>
      </c>
      <c r="AV17" s="77">
        <f t="shared" ca="1" si="37"/>
        <v>0</v>
      </c>
      <c r="AW17" s="74" t="e" cm="1">
        <f t="array" aca="1" ref="AW17" ca="1">_xll.ciqfunctions.udf.CIQ($F17,AW$2,AW$3,$H$2,,,$H$3)</f>
        <v>#NAME?</v>
      </c>
      <c r="AX17" s="74" t="e" cm="1">
        <f t="array" aca="1" ref="AX17" ca="1">_xll.ciqfunctions.udf.CIQ($F17,AX$2,AX$3,$H$2,,,$H$3)</f>
        <v>#NAME?</v>
      </c>
      <c r="AY17" s="74" t="e" cm="1">
        <f t="array" aca="1" ref="AY17" ca="1">_xll.ciqfunctions.udf.CIQ($F17,AY$2,AY$3,$H$2,,,$H$3)</f>
        <v>#NAME?</v>
      </c>
      <c r="AZ17" s="74" t="e" cm="1">
        <f t="array" aca="1" ref="AZ17" ca="1">_xll.ciqfunctions.udf.CIQ($F17,AZ$2,AZ$3,$H$2,,,$H$3)</f>
        <v>#NAME?</v>
      </c>
      <c r="BA17" s="74" t="e" cm="1">
        <f t="array" aca="1" ref="BA17" ca="1">_xll.ciqfunctions.udf.CIQ($F17,BA$2,BA$3,$H$2,,,$H$3)</f>
        <v>#NAME?</v>
      </c>
      <c r="BB17" s="74" t="e" cm="1">
        <f t="array" aca="1" ref="BB17" ca="1">_xll.ciqfunctions.udf.CIQ($F17,BB$2,BB$3,$H$2,,,$H$3)</f>
        <v>#NAME?</v>
      </c>
      <c r="BC17" s="74" t="e">
        <f t="shared" ca="1" si="21"/>
        <v>#NAME?</v>
      </c>
      <c r="BD17" s="74" t="e">
        <f t="shared" ca="1" si="10"/>
        <v>#NAME?</v>
      </c>
      <c r="BE17" s="74" t="e">
        <f t="shared" ca="1" si="11"/>
        <v>#NAME?</v>
      </c>
      <c r="BF17" s="74" t="e">
        <f t="shared" ca="1" si="11"/>
        <v>#NAME?</v>
      </c>
      <c r="BG17" s="74" t="e">
        <f t="shared" ca="1" si="12"/>
        <v>#NAME?</v>
      </c>
      <c r="BH17" s="74" t="e">
        <f t="shared" ca="1" si="13"/>
        <v>#NAME?</v>
      </c>
      <c r="BJ17" s="79" t="str">
        <f t="shared" ca="1" si="22"/>
        <v>n/a</v>
      </c>
      <c r="BK17" s="79" t="str">
        <f t="shared" ca="1" si="14"/>
        <v>n/a</v>
      </c>
      <c r="BL17" s="79" t="str">
        <f t="shared" ca="1" si="14"/>
        <v>n/a</v>
      </c>
      <c r="BM17" s="119" t="str">
        <f t="shared" ca="1" si="14"/>
        <v>n/a</v>
      </c>
      <c r="BN17" s="79" t="str">
        <f t="shared" ca="1" si="23"/>
        <v>n/a</v>
      </c>
      <c r="BO17" s="79" t="str">
        <f t="shared" ca="1" si="24"/>
        <v>n/a</v>
      </c>
      <c r="BP17" s="79" t="str">
        <f t="shared" ca="1" si="25"/>
        <v>n/a</v>
      </c>
      <c r="BQ17" s="119" t="str">
        <f t="shared" ca="1" si="26"/>
        <v>n/a</v>
      </c>
      <c r="BR17" s="79" t="str">
        <f t="shared" ca="1" si="27"/>
        <v>n/a</v>
      </c>
      <c r="BS17" s="79" t="str">
        <f t="shared" ca="1" si="28"/>
        <v>n/a</v>
      </c>
      <c r="BT17" s="79" t="str">
        <f t="shared" ca="1" si="29"/>
        <v>n/a</v>
      </c>
      <c r="BU17" s="79" t="str">
        <f t="shared" ca="1" si="30"/>
        <v>n/a</v>
      </c>
    </row>
    <row r="18" spans="1:74" x14ac:dyDescent="0.4">
      <c r="C18" s="1" t="str">
        <f>_xll.ciqfunctions.udf.CIQ(F18, "IQ_COMPANY_NAME")</f>
        <v>Tractor Supply Company</v>
      </c>
      <c r="E18" s="42"/>
      <c r="F18" s="70" t="s">
        <v>77</v>
      </c>
      <c r="G18" s="129"/>
      <c r="H18" s="129"/>
      <c r="J18" s="75" t="e" cm="1">
        <f t="array" aca="1" ref="J18" ca="1">_xll.ciqfunctions.udf.CIQ($F18,J$2,$H$2,$H$3)</f>
        <v>#NAME?</v>
      </c>
      <c r="K18" s="75" t="e" cm="1">
        <f t="array" aca="1" ref="K18" ca="1">_xll.ciqfunctions.udf.CIQ($F18,K$2,$H$2,$H$3)</f>
        <v>#NAME?</v>
      </c>
      <c r="L18" s="77" t="e">
        <f t="shared" ca="1" si="38"/>
        <v>#NAME?</v>
      </c>
      <c r="M18" s="75" t="e" cm="1">
        <f t="array" aca="1" ref="M18" ca="1">_xll.ciqfunctions.udf.CIQ($F18,M$2,DATE(YEAR($H$2),1,1),$H$3)</f>
        <v>#NAME?</v>
      </c>
      <c r="N18" s="75" t="e" cm="1">
        <f t="array" aca="1" ref="N18" ca="1">_xll.ciqfunctions.udf.CIQ($F18,N$2,EDATE($H$2,-12),$H$3)</f>
        <v>#NAME?</v>
      </c>
      <c r="O18" s="75" t="e" cm="1">
        <f t="array" aca="1" ref="O18" ca="1">_xll.ciqfunctions.udf.CIQ($F18,O$2,EDATE($H$2,3),$H$3)</f>
        <v>#NAME?</v>
      </c>
      <c r="P18" s="75" t="e" cm="1">
        <f t="array" aca="1" ref="P18" ca="1">_xll.ciqfunctions.udf.CIQ($F18,P$2,EDATE($H$2,-36),$H$3)</f>
        <v>#NAME?</v>
      </c>
      <c r="Q18" s="77" t="e">
        <f ca="1">$J18/M18-1</f>
        <v>#NAME?</v>
      </c>
      <c r="R18" s="77" t="e">
        <f t="shared" ca="1" si="31"/>
        <v>#NAME?</v>
      </c>
      <c r="S18" s="77" t="e">
        <f t="shared" ca="1" si="32"/>
        <v>#NAME?</v>
      </c>
      <c r="T18" s="77" t="e">
        <f t="shared" ca="1" si="17"/>
        <v>#NAME?</v>
      </c>
      <c r="V18" s="74" t="e" cm="1">
        <f t="array" aca="1" ref="V18" ca="1">_xll.ciqfunctions.udf.CIQ($F18,V$2,$H$2,$H$3)</f>
        <v>#NAME?</v>
      </c>
      <c r="W18" s="74" t="e">
        <f t="shared" ca="1" si="33"/>
        <v>#NAME?</v>
      </c>
      <c r="X18" s="74" t="e" cm="1">
        <f t="array" aca="1" ref="X18" ca="1">_xll.ciqfunctions.udf.CIQ($F18,X$2,"IQ_LTM",$H$2,,,$H$3)</f>
        <v>#NAME?</v>
      </c>
      <c r="Y18" s="74" t="e" cm="1">
        <f t="array" aca="1" ref="Y18" ca="1">_xll.ciqfunctions.udf.CIQ($F18,Y$2,"IQ_LTM",$H$2,,,$H$3)</f>
        <v>#NAME?</v>
      </c>
      <c r="Z18" s="74" t="e" cm="1">
        <f t="array" aca="1" ref="Z18" ca="1">_xll.ciqfunctions.udf.CIQ($F18,Z$2,"IQ_LTM",$H$2,,,$H$3)</f>
        <v>#NAME?</v>
      </c>
      <c r="AA18" s="74" t="e" cm="1">
        <f t="array" aca="1" ref="AA18" ca="1">_xll.ciqfunctions.udf.CIQ($F18,AA$2,"IQ_LTM",$H$2,,,$H$3)</f>
        <v>#NAME?</v>
      </c>
      <c r="AB18" s="74" t="e">
        <f t="shared" ca="1" si="34"/>
        <v>#NAME?</v>
      </c>
      <c r="AC18" s="74" t="e">
        <f t="shared" ca="1" si="35"/>
        <v>#NAME?</v>
      </c>
      <c r="AE18" s="74" t="e" cm="1">
        <f t="array" aca="1" ref="AE18" ca="1">_xll.ciqfunctions.udf.CIQ($F18,AE$2,AE$3,$H$2,,,$H$3)</f>
        <v>#NAME?</v>
      </c>
      <c r="AF18" s="74" t="e" cm="1">
        <f t="array" aca="1" ref="AF18" ca="1">_xll.ciqfunctions.udf.CIQ($F18,AF$2,AF$3,$H$2,,,$H$3)</f>
        <v>#NAME?</v>
      </c>
      <c r="AG18" s="74" t="e" cm="1">
        <f t="array" aca="1" ref="AG18" ca="1">_xll.ciqfunctions.udf.CIQ($F18,AG$2,AG$3,$H$2,,,$H$3)</f>
        <v>#NAME?</v>
      </c>
      <c r="AH18" s="74" t="e" cm="1">
        <f t="array" aca="1" ref="AH18" ca="1">_xll.ciqfunctions.udf.CIQ($F18,AH$2,AH$3,$H$2,,,$H$3)</f>
        <v>#NAME?</v>
      </c>
      <c r="AI18" s="74" t="e" cm="1">
        <f t="array" aca="1" ref="AI18" ca="1">_xll.ciqfunctions.udf.CIQ($F18,AI$2,AI$3,$H$2,,,$H$3)</f>
        <v>#NAME?</v>
      </c>
      <c r="AJ18" s="74" t="e" cm="1">
        <f t="array" aca="1" ref="AJ18" ca="1">_xll.ciqfunctions.udf.CIQ($F18,AJ$2,AJ$3,$H$2,,,$H$3)</f>
        <v>#NAME?</v>
      </c>
      <c r="AK18" s="74" t="e" cm="1">
        <f t="array" aca="1" ref="AK18" ca="1">_xll.ciqfunctions.udf.CIQ($F18,AK$2,AK$3,$H$2,,,$H$3)</f>
        <v>#NAME?</v>
      </c>
      <c r="AL18" s="74" t="e" cm="1">
        <f t="array" aca="1" ref="AL18" ca="1">_xll.ciqfunctions.udf.CIQ($F18,AL$2,AL$3,$H$2,,,$H$3)</f>
        <v>#NAME?</v>
      </c>
      <c r="AM18" s="74" t="e" cm="1">
        <f t="array" aca="1" ref="AM18" ca="1">_xll.ciqfunctions.udf.CIQ($F18,AM$2,AM$3,$H$2,,,$H$3)</f>
        <v>#NAME?</v>
      </c>
      <c r="AN18" s="74" t="e" cm="1">
        <f t="array" aca="1" ref="AN18" ca="1">_xll.ciqfunctions.udf.CIQ($F18,AN$2,AN$3,$H$2,,,$H$3)</f>
        <v>#NAME?</v>
      </c>
      <c r="AO18" s="74" t="e" cm="1">
        <f t="array" aca="1" ref="AO18" ca="1">_xll.ciqfunctions.udf.CIQ($F18,AO$2,AO$3,$H$2,,,$H$3)</f>
        <v>#NAME?</v>
      </c>
      <c r="AP18" s="74" t="e" cm="1">
        <f t="array" aca="1" ref="AP18" ca="1">_xll.ciqfunctions.udf.CIQ($F18,AP$2,AP$3,$H$2,,,$H$3)</f>
        <v>#NAME?</v>
      </c>
      <c r="AQ18" s="77">
        <f t="shared" ca="1" si="18"/>
        <v>0</v>
      </c>
      <c r="AR18" s="77">
        <f t="shared" ca="1" si="19"/>
        <v>0</v>
      </c>
      <c r="AS18" s="77">
        <f t="shared" ca="1" si="20"/>
        <v>0</v>
      </c>
      <c r="AT18" s="77">
        <f ca="1">++IFERROR(AN18/AH18,0)</f>
        <v>0</v>
      </c>
      <c r="AU18" s="77">
        <f t="shared" ca="1" si="36"/>
        <v>0</v>
      </c>
      <c r="AV18" s="77">
        <f t="shared" ca="1" si="37"/>
        <v>0</v>
      </c>
      <c r="AW18" s="74" t="e" cm="1">
        <f t="array" aca="1" ref="AW18" ca="1">_xll.ciqfunctions.udf.CIQ($F18,AW$2,AW$3,$H$2,,,$H$3)</f>
        <v>#NAME?</v>
      </c>
      <c r="AX18" s="74" t="e" cm="1">
        <f t="array" aca="1" ref="AX18" ca="1">_xll.ciqfunctions.udf.CIQ($F18,AX$2,AX$3,$H$2,,,$H$3)</f>
        <v>#NAME?</v>
      </c>
      <c r="AY18" s="74" t="e" cm="1">
        <f t="array" aca="1" ref="AY18" ca="1">_xll.ciqfunctions.udf.CIQ($F18,AY$2,AY$3,$H$2,,,$H$3)</f>
        <v>#NAME?</v>
      </c>
      <c r="AZ18" s="74" t="e" cm="1">
        <f t="array" aca="1" ref="AZ18" ca="1">_xll.ciqfunctions.udf.CIQ($F18,AZ$2,AZ$3,$H$2,,,$H$3)</f>
        <v>#NAME?</v>
      </c>
      <c r="BA18" s="74" t="e" cm="1">
        <f t="array" aca="1" ref="BA18" ca="1">_xll.ciqfunctions.udf.CIQ($F18,BA$2,BA$3,$H$2,,,$H$3)</f>
        <v>#NAME?</v>
      </c>
      <c r="BB18" s="74" t="e" cm="1">
        <f t="array" aca="1" ref="BB18" ca="1">_xll.ciqfunctions.udf.CIQ($F18,BB$2,BB$3,$H$2,,,$H$3)</f>
        <v>#NAME?</v>
      </c>
      <c r="BC18" s="74" t="e">
        <f t="shared" ca="1" si="21"/>
        <v>#NAME?</v>
      </c>
      <c r="BD18" s="74" t="e">
        <f t="shared" ca="1" si="10"/>
        <v>#NAME?</v>
      </c>
      <c r="BE18" s="74" t="e">
        <f t="shared" ca="1" si="11"/>
        <v>#NAME?</v>
      </c>
      <c r="BF18" s="74" t="e">
        <f t="shared" ca="1" si="11"/>
        <v>#NAME?</v>
      </c>
      <c r="BG18" s="74" t="e">
        <f t="shared" ca="1" si="12"/>
        <v>#NAME?</v>
      </c>
      <c r="BH18" s="74" t="e">
        <f t="shared" ca="1" si="13"/>
        <v>#NAME?</v>
      </c>
      <c r="BJ18" s="79" t="str">
        <f t="shared" ca="1" si="22"/>
        <v>n/a</v>
      </c>
      <c r="BK18" s="79" t="str">
        <f t="shared" ca="1" si="14"/>
        <v>n/a</v>
      </c>
      <c r="BL18" s="79" t="str">
        <f t="shared" ca="1" si="14"/>
        <v>n/a</v>
      </c>
      <c r="BM18" s="119" t="str">
        <f t="shared" ca="1" si="14"/>
        <v>n/a</v>
      </c>
      <c r="BN18" s="79" t="str">
        <f t="shared" ca="1" si="23"/>
        <v>n/a</v>
      </c>
      <c r="BO18" s="79" t="str">
        <f t="shared" ca="1" si="24"/>
        <v>n/a</v>
      </c>
      <c r="BP18" s="79" t="str">
        <f t="shared" ca="1" si="25"/>
        <v>n/a</v>
      </c>
      <c r="BQ18" s="119" t="str">
        <f t="shared" ca="1" si="26"/>
        <v>n/a</v>
      </c>
      <c r="BR18" s="79" t="str">
        <f t="shared" ca="1" si="27"/>
        <v>n/a</v>
      </c>
      <c r="BS18" s="79" t="str">
        <f t="shared" ca="1" si="28"/>
        <v>n/a</v>
      </c>
      <c r="BT18" s="79" t="str">
        <f t="shared" ca="1" si="29"/>
        <v>n/a</v>
      </c>
      <c r="BU18" s="79" t="str">
        <f t="shared" ca="1" si="30"/>
        <v>n/a</v>
      </c>
    </row>
    <row r="19" spans="1:74" x14ac:dyDescent="0.4">
      <c r="C19" s="1" t="str">
        <f>_xll.ciqfunctions.udf.CIQ(F19, "IQ_COMPANY_NAME")</f>
        <v>Tractor Supply Company</v>
      </c>
      <c r="E19" s="42"/>
      <c r="F19" s="70" t="s">
        <v>77</v>
      </c>
      <c r="G19" s="129"/>
      <c r="H19" s="129"/>
      <c r="J19" s="75" t="e" cm="1">
        <f t="array" aca="1" ref="J19" ca="1">_xll.ciqfunctions.udf.CIQ($F19,J$2,$H$2,$H$3)</f>
        <v>#NAME?</v>
      </c>
      <c r="K19" s="75" t="e" cm="1">
        <f t="array" aca="1" ref="K19" ca="1">_xll.ciqfunctions.udf.CIQ($F19,K$2,$H$2,$H$3)</f>
        <v>#NAME?</v>
      </c>
      <c r="L19" s="77" t="e">
        <f t="shared" ca="1" si="38"/>
        <v>#NAME?</v>
      </c>
      <c r="M19" s="75" t="e" cm="1">
        <f t="array" aca="1" ref="M19" ca="1">_xll.ciqfunctions.udf.CIQ($F19,M$2,DATE(YEAR($H$2),1,1),$H$3)</f>
        <v>#NAME?</v>
      </c>
      <c r="N19" s="75" t="e" cm="1">
        <f t="array" aca="1" ref="N19" ca="1">_xll.ciqfunctions.udf.CIQ($F19,N$2,EDATE($H$2,-12),$H$3)</f>
        <v>#NAME?</v>
      </c>
      <c r="O19" s="75" t="e" cm="1">
        <f t="array" aca="1" ref="O19" ca="1">_xll.ciqfunctions.udf.CIQ($F19,O$2,EDATE($H$2,3),$H$3)</f>
        <v>#NAME?</v>
      </c>
      <c r="P19" s="75" t="e" cm="1">
        <f t="array" aca="1" ref="P19" ca="1">_xll.ciqfunctions.udf.CIQ($F19,P$2,EDATE($H$2,-36),$H$3)</f>
        <v>#NAME?</v>
      </c>
      <c r="Q19" s="77" t="e">
        <f t="shared" ref="Q19" ca="1" si="39">$J19/M19-1</f>
        <v>#NAME?</v>
      </c>
      <c r="R19" s="77" t="e">
        <f t="shared" ca="1" si="31"/>
        <v>#NAME?</v>
      </c>
      <c r="S19" s="77" t="e">
        <f t="shared" ca="1" si="32"/>
        <v>#NAME?</v>
      </c>
      <c r="T19" s="77" t="e">
        <f t="shared" ca="1" si="17"/>
        <v>#NAME?</v>
      </c>
      <c r="V19" s="74" t="e" cm="1">
        <f t="array" aca="1" ref="V19" ca="1">_xll.ciqfunctions.udf.CIQ($F19,V$2,$H$2,$H$3)</f>
        <v>#NAME?</v>
      </c>
      <c r="W19" s="74" t="e">
        <f t="shared" ca="1" si="33"/>
        <v>#NAME?</v>
      </c>
      <c r="X19" s="74" t="e" cm="1">
        <f t="array" aca="1" ref="X19" ca="1">_xll.ciqfunctions.udf.CIQ($F19,X$2,"IQ_LTM",$H$2,,,$H$3)</f>
        <v>#NAME?</v>
      </c>
      <c r="Y19" s="74" t="e" cm="1">
        <f t="array" aca="1" ref="Y19" ca="1">_xll.ciqfunctions.udf.CIQ($F19,Y$2,"IQ_LTM",$H$2,,,$H$3)</f>
        <v>#NAME?</v>
      </c>
      <c r="Z19" s="74" t="e" cm="1">
        <f t="array" aca="1" ref="Z19" ca="1">_xll.ciqfunctions.udf.CIQ($F19,Z$2,"IQ_LTM",$H$2,,,$H$3)</f>
        <v>#NAME?</v>
      </c>
      <c r="AA19" s="74" t="e" cm="1">
        <f t="array" aca="1" ref="AA19" ca="1">_xll.ciqfunctions.udf.CIQ($F19,AA$2,"IQ_LTM",$H$2,,,$H$3)</f>
        <v>#NAME?</v>
      </c>
      <c r="AB19" s="74" t="e">
        <f t="shared" ca="1" si="34"/>
        <v>#NAME?</v>
      </c>
      <c r="AC19" s="74" t="e">
        <f t="shared" ca="1" si="35"/>
        <v>#NAME?</v>
      </c>
      <c r="AE19" s="74" t="e" cm="1">
        <f t="array" aca="1" ref="AE19" ca="1">_xll.ciqfunctions.udf.CIQ($F19,AE$2,AE$3,$H$2,,,$H$3)</f>
        <v>#NAME?</v>
      </c>
      <c r="AF19" s="74" t="e" cm="1">
        <f t="array" aca="1" ref="AF19" ca="1">_xll.ciqfunctions.udf.CIQ($F19,AF$2,AF$3,$H$2,,,$H$3)</f>
        <v>#NAME?</v>
      </c>
      <c r="AG19" s="74" t="e" cm="1">
        <f t="array" aca="1" ref="AG19" ca="1">_xll.ciqfunctions.udf.CIQ($F19,AG$2,AG$3,$H$2,,,$H$3)</f>
        <v>#NAME?</v>
      </c>
      <c r="AH19" s="74" t="e" cm="1">
        <f t="array" aca="1" ref="AH19" ca="1">_xll.ciqfunctions.udf.CIQ($F19,AH$2,AH$3,$H$2,,,$H$3)</f>
        <v>#NAME?</v>
      </c>
      <c r="AI19" s="74" t="e" cm="1">
        <f t="array" aca="1" ref="AI19" ca="1">_xll.ciqfunctions.udf.CIQ($F19,AI$2,AI$3,$H$2,,,$H$3)</f>
        <v>#NAME?</v>
      </c>
      <c r="AJ19" s="74" t="e" cm="1">
        <f t="array" aca="1" ref="AJ19" ca="1">_xll.ciqfunctions.udf.CIQ($F19,AJ$2,AJ$3,$H$2,,,$H$3)</f>
        <v>#NAME?</v>
      </c>
      <c r="AK19" s="74" t="e" cm="1">
        <f t="array" aca="1" ref="AK19" ca="1">_xll.ciqfunctions.udf.CIQ($F19,AK$2,AK$3,$H$2,,,$H$3)</f>
        <v>#NAME?</v>
      </c>
      <c r="AL19" s="74" t="e" cm="1">
        <f t="array" aca="1" ref="AL19" ca="1">_xll.ciqfunctions.udf.CIQ($F19,AL$2,AL$3,$H$2,,,$H$3)</f>
        <v>#NAME?</v>
      </c>
      <c r="AM19" s="74" t="e" cm="1">
        <f t="array" aca="1" ref="AM19" ca="1">_xll.ciqfunctions.udf.CIQ($F19,AM$2,AM$3,$H$2,,,$H$3)</f>
        <v>#NAME?</v>
      </c>
      <c r="AN19" s="74" t="e" cm="1">
        <f t="array" aca="1" ref="AN19" ca="1">_xll.ciqfunctions.udf.CIQ($F19,AN$2,AN$3,$H$2,,,$H$3)</f>
        <v>#NAME?</v>
      </c>
      <c r="AO19" s="74" t="e" cm="1">
        <f t="array" aca="1" ref="AO19" ca="1">_xll.ciqfunctions.udf.CIQ($F19,AO$2,AO$3,$H$2,,,$H$3)</f>
        <v>#NAME?</v>
      </c>
      <c r="AP19" s="74" t="e" cm="1">
        <f t="array" aca="1" ref="AP19" ca="1">_xll.ciqfunctions.udf.CIQ($F19,AP$2,AP$3,$H$2,,,$H$3)</f>
        <v>#NAME?</v>
      </c>
      <c r="AQ19" s="77">
        <f t="shared" ca="1" si="18"/>
        <v>0</v>
      </c>
      <c r="AR19" s="77">
        <f t="shared" ca="1" si="19"/>
        <v>0</v>
      </c>
      <c r="AS19" s="77">
        <f t="shared" ca="1" si="20"/>
        <v>0</v>
      </c>
      <c r="AT19" s="77">
        <f ca="1">++IFERROR(AN19/AH19,0)</f>
        <v>0</v>
      </c>
      <c r="AU19" s="77">
        <f t="shared" ca="1" si="36"/>
        <v>0</v>
      </c>
      <c r="AV19" s="77">
        <f t="shared" ca="1" si="37"/>
        <v>0</v>
      </c>
      <c r="AW19" s="74" t="e" cm="1">
        <f t="array" aca="1" ref="AW19" ca="1">_xll.ciqfunctions.udf.CIQ($F19,AW$2,AW$3,$H$2,,,$H$3)</f>
        <v>#NAME?</v>
      </c>
      <c r="AX19" s="74" t="e" cm="1">
        <f t="array" aca="1" ref="AX19" ca="1">_xll.ciqfunctions.udf.CIQ($F19,AX$2,AX$3,$H$2,,,$H$3)</f>
        <v>#NAME?</v>
      </c>
      <c r="AY19" s="74" t="e" cm="1">
        <f t="array" aca="1" ref="AY19" ca="1">_xll.ciqfunctions.udf.CIQ($F19,AY$2,AY$3,$H$2,,,$H$3)</f>
        <v>#NAME?</v>
      </c>
      <c r="AZ19" s="74" t="e" cm="1">
        <f t="array" aca="1" ref="AZ19" ca="1">_xll.ciqfunctions.udf.CIQ($F19,AZ$2,AZ$3,$H$2,,,$H$3)</f>
        <v>#NAME?</v>
      </c>
      <c r="BA19" s="74" t="e" cm="1">
        <f t="array" aca="1" ref="BA19" ca="1">_xll.ciqfunctions.udf.CIQ($F19,BA$2,BA$3,$H$2,,,$H$3)</f>
        <v>#NAME?</v>
      </c>
      <c r="BB19" s="74" t="e" cm="1">
        <f t="array" aca="1" ref="BB19" ca="1">_xll.ciqfunctions.udf.CIQ($F19,BB$2,BB$3,$H$2,,,$H$3)</f>
        <v>#NAME?</v>
      </c>
      <c r="BC19" s="74" t="e">
        <f t="shared" ca="1" si="21"/>
        <v>#NAME?</v>
      </c>
      <c r="BD19" s="74" t="e">
        <f t="shared" ca="1" si="10"/>
        <v>#NAME?</v>
      </c>
      <c r="BE19" s="74" t="e">
        <f t="shared" ca="1" si="11"/>
        <v>#NAME?</v>
      </c>
      <c r="BF19" s="74" t="e">
        <f t="shared" ca="1" si="11"/>
        <v>#NAME?</v>
      </c>
      <c r="BG19" s="74" t="e">
        <f t="shared" ca="1" si="12"/>
        <v>#NAME?</v>
      </c>
      <c r="BH19" s="74" t="e">
        <f t="shared" ca="1" si="13"/>
        <v>#NAME?</v>
      </c>
      <c r="BJ19" s="79" t="str">
        <f t="shared" ca="1" si="22"/>
        <v>n/a</v>
      </c>
      <c r="BK19" s="79" t="str">
        <f t="shared" ca="1" si="14"/>
        <v>n/a</v>
      </c>
      <c r="BL19" s="79" t="str">
        <f t="shared" ca="1" si="14"/>
        <v>n/a</v>
      </c>
      <c r="BM19" s="119" t="str">
        <f t="shared" ca="1" si="14"/>
        <v>n/a</v>
      </c>
      <c r="BN19" s="79" t="str">
        <f t="shared" ca="1" si="23"/>
        <v>n/a</v>
      </c>
      <c r="BO19" s="79" t="str">
        <f t="shared" ca="1" si="24"/>
        <v>n/a</v>
      </c>
      <c r="BP19" s="79" t="str">
        <f t="shared" ca="1" si="25"/>
        <v>n/a</v>
      </c>
      <c r="BQ19" s="119" t="str">
        <f t="shared" ca="1" si="26"/>
        <v>n/a</v>
      </c>
      <c r="BR19" s="79" t="str">
        <f t="shared" ca="1" si="27"/>
        <v>n/a</v>
      </c>
      <c r="BS19" s="79" t="str">
        <f t="shared" ca="1" si="28"/>
        <v>n/a</v>
      </c>
      <c r="BT19" s="79" t="str">
        <f t="shared" ca="1" si="29"/>
        <v>n/a</v>
      </c>
      <c r="BU19" s="79" t="str">
        <f t="shared" ca="1" si="30"/>
        <v>n/a</v>
      </c>
    </row>
    <row r="20" spans="1:74" x14ac:dyDescent="0.4">
      <c r="C20" s="1" t="str">
        <f>_xll.ciqfunctions.udf.CIQ(F20, "IQ_COMPANY_NAME")</f>
        <v>Tractor Supply Company</v>
      </c>
      <c r="E20" s="42"/>
      <c r="F20" s="70" t="s">
        <v>77</v>
      </c>
      <c r="G20" s="129"/>
      <c r="H20" s="129"/>
      <c r="J20" s="75" t="e" cm="1">
        <f t="array" aca="1" ref="J20" ca="1">_xll.ciqfunctions.udf.CIQ($F20,J$2,$H$2,$H$3)</f>
        <v>#NAME?</v>
      </c>
      <c r="K20" s="75" t="e" cm="1">
        <f t="array" aca="1" ref="K20" ca="1">_xll.ciqfunctions.udf.CIQ($F20,K$2,$H$2,$H$3)</f>
        <v>#NAME?</v>
      </c>
      <c r="L20" s="77" t="e">
        <f t="shared" ref="L20" ca="1" si="40">++J20/K20</f>
        <v>#NAME?</v>
      </c>
      <c r="M20" s="75" t="e" cm="1">
        <f t="array" aca="1" ref="M20" ca="1">_xll.ciqfunctions.udf.CIQ($F20,M$2,DATE(YEAR($H$2),1,1),$H$3)</f>
        <v>#NAME?</v>
      </c>
      <c r="N20" s="75" t="e" cm="1">
        <f t="array" aca="1" ref="N20" ca="1">_xll.ciqfunctions.udf.CIQ($F20,N$2,EDATE($H$2,-12),$H$3)</f>
        <v>#NAME?</v>
      </c>
      <c r="O20" s="75" t="e" cm="1">
        <f t="array" aca="1" ref="O20" ca="1">_xll.ciqfunctions.udf.CIQ($F20,O$2,EDATE($H$2,3),$H$3)</f>
        <v>#NAME?</v>
      </c>
      <c r="P20" s="75" t="e" cm="1">
        <f t="array" aca="1" ref="P20" ca="1">_xll.ciqfunctions.udf.CIQ($F20,P$2,EDATE($H$2,-36),$H$3)</f>
        <v>#NAME?</v>
      </c>
      <c r="Q20" s="77" t="e">
        <f t="shared" ref="Q20" ca="1" si="41">$J20/M20-1</f>
        <v>#NAME?</v>
      </c>
      <c r="R20" s="77" t="e">
        <f t="shared" ref="R20" ca="1" si="42">$J20/N20-1</f>
        <v>#NAME?</v>
      </c>
      <c r="S20" s="77" t="e">
        <f t="shared" ref="S20" ca="1" si="43">$J20/O20-1</f>
        <v>#NAME?</v>
      </c>
      <c r="T20" s="77" t="e">
        <f t="shared" ref="T20" ca="1" si="44">$J20/P20-1</f>
        <v>#NAME?</v>
      </c>
      <c r="V20" s="74" t="e" cm="1">
        <f t="array" aca="1" ref="V20" ca="1">_xll.ciqfunctions.udf.CIQ($F20,V$2,$H$2,$H$3)</f>
        <v>#NAME?</v>
      </c>
      <c r="W20" s="74" t="e">
        <f t="shared" ref="W20" ca="1" si="45">++X20-Y20-Z20</f>
        <v>#NAME?</v>
      </c>
      <c r="X20" s="74" t="e" cm="1">
        <f t="array" aca="1" ref="X20" ca="1">_xll.ciqfunctions.udf.CIQ($F20,X$2,"IQ_LTM",$H$2,,,$H$3)</f>
        <v>#NAME?</v>
      </c>
      <c r="Y20" s="74" t="e" cm="1">
        <f t="array" aca="1" ref="Y20" ca="1">_xll.ciqfunctions.udf.CIQ($F20,Y$2,"IQ_LTM",$H$2,,,$H$3)</f>
        <v>#NAME?</v>
      </c>
      <c r="Z20" s="74" t="e" cm="1">
        <f t="array" aca="1" ref="Z20" ca="1">_xll.ciqfunctions.udf.CIQ($F20,Z$2,"IQ_LTM",$H$2,,,$H$3)</f>
        <v>#NAME?</v>
      </c>
      <c r="AA20" s="74" t="e" cm="1">
        <f t="array" aca="1" ref="AA20" ca="1">_xll.ciqfunctions.udf.CIQ($F20,AA$2,"IQ_LTM",$H$2,,,$H$3)</f>
        <v>#NAME?</v>
      </c>
      <c r="AB20" s="74" t="e">
        <f t="shared" ref="AB20" ca="1" si="46">++W20-AA20</f>
        <v>#NAME?</v>
      </c>
      <c r="AC20" s="74" t="e">
        <f t="shared" ref="AC20" ca="1" si="47">++V20+X20-AA20</f>
        <v>#NAME?</v>
      </c>
      <c r="AE20" s="74" t="e" cm="1">
        <f t="array" aca="1" ref="AE20" ca="1">_xll.ciqfunctions.udf.CIQ($F20,AE$2,AE$3,$H$2,,,$H$3)</f>
        <v>#NAME?</v>
      </c>
      <c r="AF20" s="74" t="e" cm="1">
        <f t="array" aca="1" ref="AF20" ca="1">_xll.ciqfunctions.udf.CIQ($F20,AF$2,AF$3,$H$2,,,$H$3)</f>
        <v>#NAME?</v>
      </c>
      <c r="AG20" s="74" t="e" cm="1">
        <f t="array" aca="1" ref="AG20" ca="1">_xll.ciqfunctions.udf.CIQ($F20,AG$2,AG$3,$H$2,,,$H$3)</f>
        <v>#NAME?</v>
      </c>
      <c r="AH20" s="74" t="e" cm="1">
        <f t="array" aca="1" ref="AH20" ca="1">_xll.ciqfunctions.udf.CIQ($F20,AH$2,AH$3,$H$2,,,$H$3)</f>
        <v>#NAME?</v>
      </c>
      <c r="AI20" s="74" t="e" cm="1">
        <f t="array" aca="1" ref="AI20" ca="1">_xll.ciqfunctions.udf.CIQ($F20,AI$2,AI$3,$H$2,,,$H$3)</f>
        <v>#NAME?</v>
      </c>
      <c r="AJ20" s="74" t="e" cm="1">
        <f t="array" aca="1" ref="AJ20" ca="1">_xll.ciqfunctions.udf.CIQ($F20,AJ$2,AJ$3,$H$2,,,$H$3)</f>
        <v>#NAME?</v>
      </c>
      <c r="AK20" s="74" t="e" cm="1">
        <f t="array" aca="1" ref="AK20" ca="1">_xll.ciqfunctions.udf.CIQ($F20,AK$2,AK$3,$H$2,,,$H$3)</f>
        <v>#NAME?</v>
      </c>
      <c r="AL20" s="74" t="e" cm="1">
        <f t="array" aca="1" ref="AL20" ca="1">_xll.ciqfunctions.udf.CIQ($F20,AL$2,AL$3,$H$2,,,$H$3)</f>
        <v>#NAME?</v>
      </c>
      <c r="AM20" s="74" t="e" cm="1">
        <f t="array" aca="1" ref="AM20" ca="1">_xll.ciqfunctions.udf.CIQ($F20,AM$2,AM$3,$H$2,,,$H$3)</f>
        <v>#NAME?</v>
      </c>
      <c r="AN20" s="74" t="e" cm="1">
        <f t="array" aca="1" ref="AN20" ca="1">_xll.ciqfunctions.udf.CIQ($F20,AN$2,AN$3,$H$2,,,$H$3)</f>
        <v>#NAME?</v>
      </c>
      <c r="AO20" s="74" t="e" cm="1">
        <f t="array" aca="1" ref="AO20" ca="1">_xll.ciqfunctions.udf.CIQ($F20,AO$2,AO$3,$H$2,,,$H$3)</f>
        <v>#NAME?</v>
      </c>
      <c r="AP20" s="74" t="e" cm="1">
        <f t="array" aca="1" ref="AP20" ca="1">_xll.ciqfunctions.udf.CIQ($F20,AP$2,AP$3,$H$2,,,$H$3)</f>
        <v>#NAME?</v>
      </c>
      <c r="AQ20" s="77">
        <f t="shared" ref="AQ20" ca="1" si="48">++IFERROR(AK20/AE20,0)</f>
        <v>0</v>
      </c>
      <c r="AR20" s="77">
        <f t="shared" ref="AR20" ca="1" si="49">++IFERROR(AL20/AF20,0)</f>
        <v>0</v>
      </c>
      <c r="AS20" s="77">
        <f t="shared" ref="AS20" ca="1" si="50">++IFERROR(AM20/AG20,0)</f>
        <v>0</v>
      </c>
      <c r="AT20" s="77">
        <f t="shared" ref="AT20" ca="1" si="51">++IFERROR(AN20/AH20,0)</f>
        <v>0</v>
      </c>
      <c r="AU20" s="77">
        <f t="shared" ref="AU20" ca="1" si="52">++IFERROR(AO20/AI20,0)</f>
        <v>0</v>
      </c>
      <c r="AV20" s="77">
        <f t="shared" ref="AV20" ca="1" si="53">++IFERROR(AP20/AJ20,0)</f>
        <v>0</v>
      </c>
      <c r="AW20" s="74" t="e" cm="1">
        <f t="array" aca="1" ref="AW20" ca="1">_xll.ciqfunctions.udf.CIQ($F20,AW$2,AW$3,$H$2,,,$H$3)</f>
        <v>#NAME?</v>
      </c>
      <c r="AX20" s="74" t="e" cm="1">
        <f t="array" aca="1" ref="AX20" ca="1">_xll.ciqfunctions.udf.CIQ($F20,AX$2,AX$3,$H$2,,,$H$3)</f>
        <v>#NAME?</v>
      </c>
      <c r="AY20" s="74" t="e" cm="1">
        <f t="array" aca="1" ref="AY20" ca="1">_xll.ciqfunctions.udf.CIQ($F20,AY$2,AY$3,$H$2,,,$H$3)</f>
        <v>#NAME?</v>
      </c>
      <c r="AZ20" s="74" t="e" cm="1">
        <f t="array" aca="1" ref="AZ20" ca="1">_xll.ciqfunctions.udf.CIQ($F20,AZ$2,AZ$3,$H$2,,,$H$3)</f>
        <v>#NAME?</v>
      </c>
      <c r="BA20" s="74" t="e" cm="1">
        <f t="array" aca="1" ref="BA20" ca="1">_xll.ciqfunctions.udf.CIQ($F20,BA$2,BA$3,$H$2,,,$H$3)</f>
        <v>#NAME?</v>
      </c>
      <c r="BB20" s="74" t="e" cm="1">
        <f t="array" aca="1" ref="BB20" ca="1">_xll.ciqfunctions.udf.CIQ($F20,BB$2,BB$3,$H$2,,,$H$3)</f>
        <v>#NAME?</v>
      </c>
      <c r="BC20" s="74" t="e">
        <f t="shared" ref="BC20" ca="1" si="54">AK20+AW20</f>
        <v>#NAME?</v>
      </c>
      <c r="BD20" s="74" t="e">
        <f t="shared" ref="BD20" ca="1" si="55">AL20+AX20</f>
        <v>#NAME?</v>
      </c>
      <c r="BE20" s="74" t="e">
        <f t="shared" ref="BE20" ca="1" si="56">AM20+AY20</f>
        <v>#NAME?</v>
      </c>
      <c r="BF20" s="74" t="e">
        <f t="shared" ref="BF20" ca="1" si="57">AN20+AZ20</f>
        <v>#NAME?</v>
      </c>
      <c r="BG20" s="74" t="e">
        <f t="shared" ref="BG20" ca="1" si="58">AO20+BA20</f>
        <v>#NAME?</v>
      </c>
      <c r="BH20" s="74" t="e">
        <f t="shared" ref="BH20" ca="1" si="59">AP20+BB20</f>
        <v>#NAME?</v>
      </c>
      <c r="BJ20" s="79" t="str">
        <f t="shared" ref="BJ20" ca="1" si="60">IFERROR($AC20/AM20,"n/a")</f>
        <v>n/a</v>
      </c>
      <c r="BK20" s="79" t="str">
        <f t="shared" ref="BK20" ca="1" si="61">IFERROR($AC20/AN20,"n/a")</f>
        <v>n/a</v>
      </c>
      <c r="BL20" s="79" t="str">
        <f t="shared" ref="BL20" ca="1" si="62">IFERROR($AC20/AO20,"n/a")</f>
        <v>n/a</v>
      </c>
      <c r="BM20" s="119" t="str">
        <f t="shared" ref="BM20" ca="1" si="63">IFERROR($AC20/AP20,"n/a")</f>
        <v>n/a</v>
      </c>
      <c r="BN20" s="79" t="str">
        <f t="shared" ref="BN20" ca="1" si="64">IFERROR($AC20/BE20,"n/a")</f>
        <v>n/a</v>
      </c>
      <c r="BO20" s="79" t="str">
        <f t="shared" ref="BO20" ca="1" si="65">IFERROR($AC20/BF20,"n/a")</f>
        <v>n/a</v>
      </c>
      <c r="BP20" s="79" t="str">
        <f t="shared" ref="BP20" ca="1" si="66">IFERROR($AC20/BG20,"n/a")</f>
        <v>n/a</v>
      </c>
      <c r="BQ20" s="119" t="str">
        <f t="shared" ref="BQ20" ca="1" si="67">IFERROR($AC20/BH20,"n/a")</f>
        <v>n/a</v>
      </c>
      <c r="BR20" s="79" t="str">
        <f t="shared" ref="BR20" ca="1" si="68">IFERROR($AC20/AG20,"n/a")</f>
        <v>n/a</v>
      </c>
      <c r="BS20" s="79" t="str">
        <f t="shared" ref="BS20" ca="1" si="69">IFERROR($AC20/AH20,"n/a")</f>
        <v>n/a</v>
      </c>
      <c r="BT20" s="79" t="str">
        <f t="shared" ref="BT20" ca="1" si="70">IFERROR($AC20/AI20,"n/a")</f>
        <v>n/a</v>
      </c>
      <c r="BU20" s="79" t="str">
        <f t="shared" ref="BU20" ca="1" si="71">IFERROR($AC20/AJ20,"n/a")</f>
        <v>n/a</v>
      </c>
    </row>
    <row r="21" spans="1:74" ht="5.0999999999999996" customHeight="1" x14ac:dyDescent="0.4">
      <c r="BM21" s="117"/>
      <c r="BQ21" s="117"/>
    </row>
    <row r="22" spans="1:74" x14ac:dyDescent="0.4">
      <c r="C22" s="54" t="s">
        <v>78</v>
      </c>
      <c r="D22" s="55"/>
      <c r="E22" s="55"/>
      <c r="F22" s="55"/>
      <c r="G22" s="55"/>
      <c r="H22" s="55"/>
      <c r="I22" s="17"/>
      <c r="J22" s="56"/>
      <c r="K22" s="56"/>
      <c r="L22" s="82" t="e">
        <f t="shared" ref="L22:T22" ca="1" si="72">++MAX(L$14:L$20)</f>
        <v>#NAME?</v>
      </c>
      <c r="M22" s="82"/>
      <c r="N22" s="82"/>
      <c r="O22" s="82"/>
      <c r="P22" s="82"/>
      <c r="Q22" s="82" t="e">
        <f t="shared" ca="1" si="72"/>
        <v>#NAME?</v>
      </c>
      <c r="R22" s="82" t="e">
        <f t="shared" ca="1" si="72"/>
        <v>#NAME?</v>
      </c>
      <c r="S22" s="82" t="e">
        <f t="shared" ca="1" si="72"/>
        <v>#NAME?</v>
      </c>
      <c r="T22" s="82" t="e">
        <f t="shared" ca="1" si="72"/>
        <v>#NAME?</v>
      </c>
      <c r="U22" s="17"/>
      <c r="V22" s="56"/>
      <c r="W22" s="56"/>
      <c r="X22" s="56"/>
      <c r="Y22" s="56"/>
      <c r="Z22" s="56"/>
      <c r="AA22" s="56"/>
      <c r="AB22" s="56"/>
      <c r="AC22" s="56"/>
      <c r="AD22" s="17"/>
      <c r="AE22" s="56" t="e">
        <f t="shared" ref="AE22:AV22" ca="1" si="73">++MAX(AE$14:AE$20)</f>
        <v>#NAME?</v>
      </c>
      <c r="AF22" s="56" t="e">
        <f t="shared" ca="1" si="73"/>
        <v>#NAME?</v>
      </c>
      <c r="AG22" s="56" t="e">
        <f t="shared" ca="1" si="73"/>
        <v>#NAME?</v>
      </c>
      <c r="AH22" s="56" t="e">
        <f t="shared" ca="1" si="73"/>
        <v>#NAME?</v>
      </c>
      <c r="AI22" s="56" t="e">
        <f t="shared" ca="1" si="73"/>
        <v>#NAME?</v>
      </c>
      <c r="AJ22" s="56" t="e">
        <f t="shared" ca="1" si="73"/>
        <v>#NAME?</v>
      </c>
      <c r="AK22" s="56" t="e">
        <f t="shared" ca="1" si="73"/>
        <v>#NAME?</v>
      </c>
      <c r="AL22" s="56" t="e">
        <f t="shared" ca="1" si="73"/>
        <v>#NAME?</v>
      </c>
      <c r="AM22" s="56" t="e">
        <f t="shared" ca="1" si="73"/>
        <v>#NAME?</v>
      </c>
      <c r="AN22" s="56" t="e">
        <f t="shared" ca="1" si="73"/>
        <v>#NAME?</v>
      </c>
      <c r="AO22" s="56" t="e">
        <f t="shared" ca="1" si="73"/>
        <v>#NAME?</v>
      </c>
      <c r="AP22" s="56" t="e">
        <f t="shared" ca="1" si="73"/>
        <v>#NAME?</v>
      </c>
      <c r="AQ22" s="82">
        <f t="shared" ca="1" si="73"/>
        <v>0</v>
      </c>
      <c r="AR22" s="82">
        <f t="shared" ca="1" si="73"/>
        <v>0</v>
      </c>
      <c r="AS22" s="82">
        <f t="shared" ca="1" si="73"/>
        <v>0</v>
      </c>
      <c r="AT22" s="82">
        <f t="shared" ca="1" si="73"/>
        <v>0</v>
      </c>
      <c r="AU22" s="82">
        <f t="shared" ca="1" si="73"/>
        <v>0</v>
      </c>
      <c r="AV22" s="82">
        <f t="shared" ca="1" si="73"/>
        <v>0</v>
      </c>
      <c r="AW22" s="56"/>
      <c r="AX22" s="56"/>
      <c r="AY22" s="56"/>
      <c r="AZ22" s="56"/>
      <c r="BA22" s="56"/>
      <c r="BB22" s="56"/>
      <c r="BC22" s="56"/>
      <c r="BD22" s="56"/>
      <c r="BE22" s="56"/>
      <c r="BF22" s="56"/>
      <c r="BG22" s="56"/>
      <c r="BH22" s="56"/>
      <c r="BI22" s="17"/>
      <c r="BJ22" s="57">
        <f t="shared" ref="BJ22:BU22" ca="1" si="74">++MAX(BJ$14:BJ$20)</f>
        <v>0</v>
      </c>
      <c r="BK22" s="57">
        <f t="shared" ca="1" si="74"/>
        <v>0</v>
      </c>
      <c r="BL22" s="57">
        <f t="shared" ca="1" si="74"/>
        <v>0</v>
      </c>
      <c r="BM22" s="120">
        <f t="shared" ca="1" si="74"/>
        <v>0</v>
      </c>
      <c r="BN22" s="57">
        <f t="shared" ca="1" si="74"/>
        <v>0</v>
      </c>
      <c r="BO22" s="57">
        <f t="shared" ca="1" si="74"/>
        <v>0</v>
      </c>
      <c r="BP22" s="57">
        <f t="shared" ca="1" si="74"/>
        <v>0</v>
      </c>
      <c r="BQ22" s="120">
        <f t="shared" ca="1" si="74"/>
        <v>0</v>
      </c>
      <c r="BR22" s="57">
        <f t="shared" ca="1" si="74"/>
        <v>0</v>
      </c>
      <c r="BS22" s="57">
        <f t="shared" ca="1" si="74"/>
        <v>0</v>
      </c>
      <c r="BT22" s="57">
        <f t="shared" ca="1" si="74"/>
        <v>0</v>
      </c>
      <c r="BU22" s="58">
        <f t="shared" ca="1" si="74"/>
        <v>0</v>
      </c>
      <c r="BV22" s="11" t="s">
        <v>40</v>
      </c>
    </row>
    <row r="23" spans="1:74" x14ac:dyDescent="0.4">
      <c r="C23" s="59" t="s">
        <v>79</v>
      </c>
      <c r="D23" s="60"/>
      <c r="E23" s="60"/>
      <c r="F23" s="60"/>
      <c r="G23" s="60"/>
      <c r="H23" s="60"/>
      <c r="I23" s="27"/>
      <c r="J23" s="61"/>
      <c r="K23" s="61"/>
      <c r="L23" s="83" t="e">
        <f t="shared" ref="L23:T23" ca="1" si="75">++MIN(L$14:L$20)</f>
        <v>#NAME?</v>
      </c>
      <c r="M23" s="83"/>
      <c r="N23" s="83"/>
      <c r="O23" s="83"/>
      <c r="P23" s="83"/>
      <c r="Q23" s="83" t="e">
        <f t="shared" ca="1" si="75"/>
        <v>#NAME?</v>
      </c>
      <c r="R23" s="83" t="e">
        <f t="shared" ca="1" si="75"/>
        <v>#NAME?</v>
      </c>
      <c r="S23" s="83" t="e">
        <f t="shared" ca="1" si="75"/>
        <v>#NAME?</v>
      </c>
      <c r="T23" s="83" t="e">
        <f t="shared" ca="1" si="75"/>
        <v>#NAME?</v>
      </c>
      <c r="U23" s="27"/>
      <c r="V23" s="61"/>
      <c r="W23" s="61"/>
      <c r="X23" s="61"/>
      <c r="Y23" s="61"/>
      <c r="Z23" s="61"/>
      <c r="AA23" s="61"/>
      <c r="AB23" s="61"/>
      <c r="AC23" s="61"/>
      <c r="AD23" s="27"/>
      <c r="AE23" s="61" t="e">
        <f t="shared" ref="AE23:AV23" ca="1" si="76">++MIN(AE$14:AE$20)</f>
        <v>#NAME?</v>
      </c>
      <c r="AF23" s="61" t="e">
        <f t="shared" ca="1" si="76"/>
        <v>#NAME?</v>
      </c>
      <c r="AG23" s="61" t="e">
        <f t="shared" ca="1" si="76"/>
        <v>#NAME?</v>
      </c>
      <c r="AH23" s="61" t="e">
        <f t="shared" ca="1" si="76"/>
        <v>#NAME?</v>
      </c>
      <c r="AI23" s="61" t="e">
        <f t="shared" ca="1" si="76"/>
        <v>#NAME?</v>
      </c>
      <c r="AJ23" s="61" t="e">
        <f t="shared" ca="1" si="76"/>
        <v>#NAME?</v>
      </c>
      <c r="AK23" s="61" t="e">
        <f t="shared" ca="1" si="76"/>
        <v>#NAME?</v>
      </c>
      <c r="AL23" s="61" t="e">
        <f t="shared" ca="1" si="76"/>
        <v>#NAME?</v>
      </c>
      <c r="AM23" s="61" t="e">
        <f t="shared" ca="1" si="76"/>
        <v>#NAME?</v>
      </c>
      <c r="AN23" s="61" t="e">
        <f t="shared" ca="1" si="76"/>
        <v>#NAME?</v>
      </c>
      <c r="AO23" s="61" t="e">
        <f t="shared" ca="1" si="76"/>
        <v>#NAME?</v>
      </c>
      <c r="AP23" s="61" t="e">
        <f t="shared" ca="1" si="76"/>
        <v>#NAME?</v>
      </c>
      <c r="AQ23" s="83">
        <f t="shared" ca="1" si="76"/>
        <v>0</v>
      </c>
      <c r="AR23" s="83">
        <f t="shared" ca="1" si="76"/>
        <v>0</v>
      </c>
      <c r="AS23" s="83">
        <f t="shared" ca="1" si="76"/>
        <v>0</v>
      </c>
      <c r="AT23" s="83">
        <f t="shared" ca="1" si="76"/>
        <v>0</v>
      </c>
      <c r="AU23" s="83">
        <f t="shared" ca="1" si="76"/>
        <v>0</v>
      </c>
      <c r="AV23" s="83">
        <f t="shared" ca="1" si="76"/>
        <v>0</v>
      </c>
      <c r="AW23" s="61"/>
      <c r="AX23" s="61"/>
      <c r="AY23" s="61"/>
      <c r="AZ23" s="61"/>
      <c r="BA23" s="61"/>
      <c r="BB23" s="61"/>
      <c r="BC23" s="61"/>
      <c r="BD23" s="61"/>
      <c r="BE23" s="61"/>
      <c r="BF23" s="61"/>
      <c r="BG23" s="61"/>
      <c r="BH23" s="61"/>
      <c r="BI23" s="27"/>
      <c r="BJ23" s="62">
        <f t="shared" ref="BJ23:BU23" ca="1" si="77">++MIN(BJ$14:BJ$20)</f>
        <v>0</v>
      </c>
      <c r="BK23" s="62">
        <f t="shared" ca="1" si="77"/>
        <v>0</v>
      </c>
      <c r="BL23" s="62">
        <f t="shared" ca="1" si="77"/>
        <v>0</v>
      </c>
      <c r="BM23" s="121">
        <f t="shared" ca="1" si="77"/>
        <v>0</v>
      </c>
      <c r="BN23" s="62">
        <f t="shared" ca="1" si="77"/>
        <v>0</v>
      </c>
      <c r="BO23" s="62">
        <f t="shared" ca="1" si="77"/>
        <v>0</v>
      </c>
      <c r="BP23" s="62">
        <f t="shared" ca="1" si="77"/>
        <v>0</v>
      </c>
      <c r="BQ23" s="121">
        <f t="shared" ca="1" si="77"/>
        <v>0</v>
      </c>
      <c r="BR23" s="62">
        <f t="shared" ca="1" si="77"/>
        <v>0</v>
      </c>
      <c r="BS23" s="62">
        <f t="shared" ca="1" si="77"/>
        <v>0</v>
      </c>
      <c r="BT23" s="62">
        <f t="shared" ca="1" si="77"/>
        <v>0</v>
      </c>
      <c r="BU23" s="63">
        <f t="shared" ca="1" si="77"/>
        <v>0</v>
      </c>
    </row>
    <row r="24" spans="1:74" x14ac:dyDescent="0.4">
      <c r="C24" s="59" t="s">
        <v>80</v>
      </c>
      <c r="D24" s="60"/>
      <c r="E24" s="60"/>
      <c r="F24" s="60"/>
      <c r="G24" s="60"/>
      <c r="H24" s="60"/>
      <c r="I24" s="27"/>
      <c r="J24" s="61"/>
      <c r="K24" s="61"/>
      <c r="L24" s="83" t="e">
        <f ca="1">++AVERAGE(L$14:L$20)</f>
        <v>#NAME?</v>
      </c>
      <c r="M24" s="83"/>
      <c r="N24" s="83"/>
      <c r="O24" s="83"/>
      <c r="P24" s="83"/>
      <c r="Q24" s="83" t="e">
        <f t="shared" ref="Q24:T24" ca="1" si="78">++AVERAGE(Q$14:Q$20)</f>
        <v>#NAME?</v>
      </c>
      <c r="R24" s="83" t="e">
        <f t="shared" ca="1" si="78"/>
        <v>#NAME?</v>
      </c>
      <c r="S24" s="83" t="e">
        <f t="shared" ca="1" si="78"/>
        <v>#NAME?</v>
      </c>
      <c r="T24" s="83" t="e">
        <f t="shared" ca="1" si="78"/>
        <v>#NAME?</v>
      </c>
      <c r="U24" s="27"/>
      <c r="V24" s="61"/>
      <c r="W24" s="61"/>
      <c r="X24" s="61"/>
      <c r="Y24" s="61"/>
      <c r="Z24" s="61"/>
      <c r="AA24" s="61"/>
      <c r="AB24" s="61"/>
      <c r="AC24" s="61"/>
      <c r="AD24" s="27"/>
      <c r="AE24" s="61" t="e">
        <f t="shared" ref="AE24:AV24" ca="1" si="79">++AVERAGE(AE$14:AE$20)</f>
        <v>#NAME?</v>
      </c>
      <c r="AF24" s="61" t="e">
        <f t="shared" ca="1" si="79"/>
        <v>#NAME?</v>
      </c>
      <c r="AG24" s="61" t="e">
        <f t="shared" ca="1" si="79"/>
        <v>#NAME?</v>
      </c>
      <c r="AH24" s="61" t="e">
        <f t="shared" ca="1" si="79"/>
        <v>#NAME?</v>
      </c>
      <c r="AI24" s="61" t="e">
        <f t="shared" ca="1" si="79"/>
        <v>#NAME?</v>
      </c>
      <c r="AJ24" s="61" t="e">
        <f t="shared" ca="1" si="79"/>
        <v>#NAME?</v>
      </c>
      <c r="AK24" s="61" t="e">
        <f t="shared" ca="1" si="79"/>
        <v>#NAME?</v>
      </c>
      <c r="AL24" s="61" t="e">
        <f t="shared" ca="1" si="79"/>
        <v>#NAME?</v>
      </c>
      <c r="AM24" s="61" t="e">
        <f t="shared" ca="1" si="79"/>
        <v>#NAME?</v>
      </c>
      <c r="AN24" s="61" t="e">
        <f t="shared" ca="1" si="79"/>
        <v>#NAME?</v>
      </c>
      <c r="AO24" s="61" t="e">
        <f t="shared" ca="1" si="79"/>
        <v>#NAME?</v>
      </c>
      <c r="AP24" s="61" t="e">
        <f t="shared" ca="1" si="79"/>
        <v>#NAME?</v>
      </c>
      <c r="AQ24" s="83">
        <f t="shared" ca="1" si="79"/>
        <v>0</v>
      </c>
      <c r="AR24" s="83">
        <f t="shared" ca="1" si="79"/>
        <v>0</v>
      </c>
      <c r="AS24" s="83">
        <f t="shared" ca="1" si="79"/>
        <v>0</v>
      </c>
      <c r="AT24" s="83">
        <f t="shared" ca="1" si="79"/>
        <v>0</v>
      </c>
      <c r="AU24" s="83">
        <f t="shared" ca="1" si="79"/>
        <v>0</v>
      </c>
      <c r="AV24" s="83">
        <f t="shared" ca="1" si="79"/>
        <v>0</v>
      </c>
      <c r="AW24" s="61"/>
      <c r="AX24" s="61"/>
      <c r="AY24" s="61"/>
      <c r="AZ24" s="61"/>
      <c r="BA24" s="61"/>
      <c r="BB24" s="61"/>
      <c r="BC24" s="61"/>
      <c r="BD24" s="61"/>
      <c r="BE24" s="61"/>
      <c r="BF24" s="61"/>
      <c r="BG24" s="61"/>
      <c r="BH24" s="61"/>
      <c r="BI24" s="27"/>
      <c r="BJ24" s="62" t="e">
        <f t="shared" ref="BJ24:BU24" ca="1" si="80">++AVERAGE(BJ$14:BJ$20)</f>
        <v>#DIV/0!</v>
      </c>
      <c r="BK24" s="62" t="e">
        <f t="shared" ca="1" si="80"/>
        <v>#DIV/0!</v>
      </c>
      <c r="BL24" s="62" t="e">
        <f t="shared" ca="1" si="80"/>
        <v>#DIV/0!</v>
      </c>
      <c r="BM24" s="121" t="e">
        <f t="shared" ca="1" si="80"/>
        <v>#DIV/0!</v>
      </c>
      <c r="BN24" s="62" t="e">
        <f t="shared" ca="1" si="80"/>
        <v>#DIV/0!</v>
      </c>
      <c r="BO24" s="62" t="e">
        <f t="shared" ca="1" si="80"/>
        <v>#DIV/0!</v>
      </c>
      <c r="BP24" s="62" t="e">
        <f t="shared" ca="1" si="80"/>
        <v>#DIV/0!</v>
      </c>
      <c r="BQ24" s="121" t="e">
        <f t="shared" ca="1" si="80"/>
        <v>#DIV/0!</v>
      </c>
      <c r="BR24" s="62" t="e">
        <f t="shared" ca="1" si="80"/>
        <v>#DIV/0!</v>
      </c>
      <c r="BS24" s="62" t="e">
        <f t="shared" ca="1" si="80"/>
        <v>#DIV/0!</v>
      </c>
      <c r="BT24" s="62" t="e">
        <f t="shared" ca="1" si="80"/>
        <v>#DIV/0!</v>
      </c>
      <c r="BU24" s="63" t="e">
        <f t="shared" ca="1" si="80"/>
        <v>#DIV/0!</v>
      </c>
    </row>
    <row r="25" spans="1:74" x14ac:dyDescent="0.4">
      <c r="B25" s="11" t="s">
        <v>40</v>
      </c>
      <c r="C25" s="64" t="s">
        <v>81</v>
      </c>
      <c r="D25" s="65"/>
      <c r="E25" s="65"/>
      <c r="F25" s="65"/>
      <c r="G25" s="65"/>
      <c r="H25" s="65"/>
      <c r="I25" s="66"/>
      <c r="J25" s="67"/>
      <c r="K25" s="67"/>
      <c r="L25" s="84" t="e">
        <f ca="1">++MEDIAN(L$14:L$20)</f>
        <v>#NAME?</v>
      </c>
      <c r="M25" s="84"/>
      <c r="N25" s="84"/>
      <c r="O25" s="84"/>
      <c r="P25" s="84"/>
      <c r="Q25" s="84" t="e">
        <f t="shared" ref="Q25:T25" ca="1" si="81">++MEDIAN(Q$14:Q$20)</f>
        <v>#NAME?</v>
      </c>
      <c r="R25" s="84" t="e">
        <f t="shared" ca="1" si="81"/>
        <v>#NAME?</v>
      </c>
      <c r="S25" s="84" t="e">
        <f t="shared" ca="1" si="81"/>
        <v>#NAME?</v>
      </c>
      <c r="T25" s="84" t="e">
        <f t="shared" ca="1" si="81"/>
        <v>#NAME?</v>
      </c>
      <c r="U25" s="66"/>
      <c r="V25" s="67"/>
      <c r="W25" s="67"/>
      <c r="X25" s="67"/>
      <c r="Y25" s="67"/>
      <c r="Z25" s="67"/>
      <c r="AA25" s="67"/>
      <c r="AB25" s="67"/>
      <c r="AC25" s="67"/>
      <c r="AD25" s="66"/>
      <c r="AE25" s="67" t="e">
        <f t="shared" ref="AE25:AV25" ca="1" si="82">++MEDIAN(AE$14:AE$20)</f>
        <v>#NAME?</v>
      </c>
      <c r="AF25" s="67" t="e">
        <f t="shared" ca="1" si="82"/>
        <v>#NAME?</v>
      </c>
      <c r="AG25" s="67" t="e">
        <f t="shared" ca="1" si="82"/>
        <v>#NAME?</v>
      </c>
      <c r="AH25" s="67" t="e">
        <f t="shared" ca="1" si="82"/>
        <v>#NAME?</v>
      </c>
      <c r="AI25" s="67" t="e">
        <f t="shared" ca="1" si="82"/>
        <v>#NAME?</v>
      </c>
      <c r="AJ25" s="67" t="e">
        <f t="shared" ca="1" si="82"/>
        <v>#NAME?</v>
      </c>
      <c r="AK25" s="67" t="e">
        <f t="shared" ca="1" si="82"/>
        <v>#NAME?</v>
      </c>
      <c r="AL25" s="67" t="e">
        <f t="shared" ca="1" si="82"/>
        <v>#NAME?</v>
      </c>
      <c r="AM25" s="67" t="e">
        <f t="shared" ca="1" si="82"/>
        <v>#NAME?</v>
      </c>
      <c r="AN25" s="67" t="e">
        <f t="shared" ca="1" si="82"/>
        <v>#NAME?</v>
      </c>
      <c r="AO25" s="67" t="e">
        <f t="shared" ca="1" si="82"/>
        <v>#NAME?</v>
      </c>
      <c r="AP25" s="67" t="e">
        <f t="shared" ca="1" si="82"/>
        <v>#NAME?</v>
      </c>
      <c r="AQ25" s="84">
        <f t="shared" ca="1" si="82"/>
        <v>0</v>
      </c>
      <c r="AR25" s="84">
        <f t="shared" ca="1" si="82"/>
        <v>0</v>
      </c>
      <c r="AS25" s="84">
        <f t="shared" ca="1" si="82"/>
        <v>0</v>
      </c>
      <c r="AT25" s="84">
        <f t="shared" ca="1" si="82"/>
        <v>0</v>
      </c>
      <c r="AU25" s="84">
        <f t="shared" ca="1" si="82"/>
        <v>0</v>
      </c>
      <c r="AV25" s="84">
        <f t="shared" ca="1" si="82"/>
        <v>0</v>
      </c>
      <c r="AW25" s="67"/>
      <c r="AX25" s="67"/>
      <c r="AY25" s="67"/>
      <c r="AZ25" s="67"/>
      <c r="BA25" s="67"/>
      <c r="BB25" s="67"/>
      <c r="BC25" s="67"/>
      <c r="BD25" s="67"/>
      <c r="BE25" s="67"/>
      <c r="BF25" s="67"/>
      <c r="BG25" s="67"/>
      <c r="BH25" s="67"/>
      <c r="BI25" s="66"/>
      <c r="BJ25" s="68" t="e">
        <f t="shared" ref="BJ25:BU25" ca="1" si="83">++MEDIAN(BJ$14:BJ$20)</f>
        <v>#NUM!</v>
      </c>
      <c r="BK25" s="68" t="e">
        <f t="shared" ca="1" si="83"/>
        <v>#NUM!</v>
      </c>
      <c r="BL25" s="68" t="e">
        <f t="shared" ca="1" si="83"/>
        <v>#NUM!</v>
      </c>
      <c r="BM25" s="122" t="e">
        <f t="shared" ca="1" si="83"/>
        <v>#NUM!</v>
      </c>
      <c r="BN25" s="68" t="e">
        <f t="shared" ca="1" si="83"/>
        <v>#NUM!</v>
      </c>
      <c r="BO25" s="68" t="e">
        <f t="shared" ca="1" si="83"/>
        <v>#NUM!</v>
      </c>
      <c r="BP25" s="68" t="e">
        <f t="shared" ca="1" si="83"/>
        <v>#NUM!</v>
      </c>
      <c r="BQ25" s="122" t="e">
        <f t="shared" ca="1" si="83"/>
        <v>#NUM!</v>
      </c>
      <c r="BR25" s="68" t="e">
        <f t="shared" ca="1" si="83"/>
        <v>#NUM!</v>
      </c>
      <c r="BS25" s="68" t="e">
        <f t="shared" ca="1" si="83"/>
        <v>#NUM!</v>
      </c>
      <c r="BT25" s="68" t="e">
        <f t="shared" ca="1" si="83"/>
        <v>#NUM!</v>
      </c>
      <c r="BU25" s="69" t="e">
        <f t="shared" ca="1" si="83"/>
        <v>#NUM!</v>
      </c>
    </row>
    <row r="26" spans="1:74" ht="5.0999999999999996" customHeight="1" x14ac:dyDescent="0.4"/>
    <row r="27" spans="1:74" x14ac:dyDescent="0.4">
      <c r="A27" s="11" t="s">
        <v>40</v>
      </c>
      <c r="B27" s="11" t="s">
        <v>40</v>
      </c>
      <c r="C27" s="85" t="s">
        <v>82</v>
      </c>
      <c r="D27" s="86"/>
      <c r="E27" s="86"/>
      <c r="F27" s="86"/>
      <c r="G27" s="86"/>
      <c r="H27" s="86"/>
      <c r="I27" s="86"/>
      <c r="J27" s="86"/>
      <c r="K27" s="86"/>
      <c r="L27" s="86"/>
      <c r="M27" s="86"/>
      <c r="N27" s="86"/>
      <c r="O27" s="86"/>
      <c r="P27" s="86"/>
      <c r="Q27" s="86"/>
      <c r="R27" s="86"/>
      <c r="S27" s="86"/>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7"/>
      <c r="BV27" s="11" t="s">
        <v>40</v>
      </c>
    </row>
    <row r="28" spans="1:74" customFormat="1" ht="5.0999999999999996" customHeight="1" x14ac:dyDescent="0.4">
      <c r="J28" s="1"/>
      <c r="K28" s="1"/>
      <c r="L28" s="1"/>
      <c r="M28" s="1"/>
      <c r="N28" s="1"/>
      <c r="O28" s="1"/>
      <c r="P28" s="1"/>
      <c r="Q28" s="1"/>
      <c r="R28" s="1"/>
      <c r="S28" s="1"/>
      <c r="T28" s="1"/>
      <c r="V28" s="1"/>
      <c r="W28" s="1"/>
      <c r="X28" s="1"/>
      <c r="Y28" s="1"/>
      <c r="Z28" s="1"/>
      <c r="AA28" s="1"/>
      <c r="AB28" s="1"/>
      <c r="AC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J28" s="1"/>
      <c r="BK28" s="1"/>
      <c r="BL28" s="1"/>
      <c r="BM28" s="1"/>
      <c r="BN28" s="1"/>
      <c r="BO28" s="1"/>
      <c r="BP28" s="1"/>
      <c r="BQ28" s="1"/>
      <c r="BR28" s="1"/>
      <c r="BS28" s="1"/>
      <c r="BT28" s="1"/>
      <c r="BU28" s="1"/>
    </row>
    <row r="29" spans="1:74" x14ac:dyDescent="0.4">
      <c r="C29" s="1" t="str">
        <f>_xll.ciqfunctions.udf.CIQ(F29, "IQ_COMPANY_NAME")</f>
        <v>Costco Wholesale Corporation</v>
      </c>
      <c r="E29" s="42"/>
      <c r="F29" s="70" t="s">
        <v>83</v>
      </c>
      <c r="G29" s="129"/>
      <c r="H29" s="129"/>
      <c r="J29" s="73" t="e" cm="1">
        <f t="array" aca="1" ref="J29" ca="1">_xll.ciqfunctions.udf.CIQ($F29,J$2,$H$2,$H$3)</f>
        <v>#NAME?</v>
      </c>
      <c r="K29" s="73" t="e" cm="1">
        <f t="array" aca="1" ref="K29" ca="1">_xll.ciqfunctions.udf.CIQ($F29,K$2,$H$2,$H$3)</f>
        <v>#NAME?</v>
      </c>
      <c r="L29" s="77" t="e">
        <f ca="1">++J29/K29</f>
        <v>#NAME?</v>
      </c>
      <c r="M29" s="73" t="e" cm="1">
        <f t="array" aca="1" ref="M29" ca="1">_xll.ciqfunctions.udf.CIQ($F29,M$2,DATE(YEAR($H$2),1,1),$H$3)</f>
        <v>#NAME?</v>
      </c>
      <c r="N29" s="73" t="e" cm="1">
        <f t="array" aca="1" ref="N29" ca="1">_xll.ciqfunctions.udf.CIQ($F29,N$2,EDATE($H$2,-12),$H$3)</f>
        <v>#NAME?</v>
      </c>
      <c r="O29" s="73" t="e" cm="1">
        <f t="array" aca="1" ref="O29" ca="1">_xll.ciqfunctions.udf.CIQ($F29,O$2,EDATE($H$2,-3),$H$3)</f>
        <v>#NAME?</v>
      </c>
      <c r="P29" s="73" t="e" cm="1">
        <f t="array" aca="1" ref="P29" ca="1">_xll.ciqfunctions.udf.CIQ($F29,P$2,EDATE($H$2,-36),$H$3)</f>
        <v>#NAME?</v>
      </c>
      <c r="Q29" s="77" t="e">
        <f ca="1">$J29/M29-1</f>
        <v>#NAME?</v>
      </c>
      <c r="R29" s="77" t="e">
        <f ca="1">$J29/N29-1</f>
        <v>#NAME?</v>
      </c>
      <c r="S29" s="77" t="e">
        <f ca="1">$J29/O29-1</f>
        <v>#NAME?</v>
      </c>
      <c r="T29" s="77" t="e">
        <f ca="1">$J29/P29-1</f>
        <v>#NAME?</v>
      </c>
      <c r="V29" s="76" t="e" cm="1">
        <f t="array" aca="1" ref="V29" ca="1">_xll.ciqfunctions.udf.CIQ($F29,V$2,$H$2,$H$3)</f>
        <v>#NAME?</v>
      </c>
      <c r="W29" s="76" t="e">
        <f ca="1">++X29-Y29-Z29</f>
        <v>#NAME?</v>
      </c>
      <c r="X29" s="76" t="e" cm="1">
        <f t="array" aca="1" ref="X29" ca="1">_xll.ciqfunctions.udf.CIQ($F29,X$2,"IQ_LTM",$H$2,,,$H$3)</f>
        <v>#NAME?</v>
      </c>
      <c r="Y29" s="76" t="e" cm="1">
        <f t="array" aca="1" ref="Y29" ca="1">_xll.ciqfunctions.udf.CIQ($F29,Y$2,"IQ_LTM",$H$2,,,$H$3)</f>
        <v>#NAME?</v>
      </c>
      <c r="Z29" s="76" t="e" cm="1">
        <f t="array" aca="1" ref="Z29" ca="1">_xll.ciqfunctions.udf.CIQ($F29,Z$2,"IQ_LTM",$H$2,,,$H$3)</f>
        <v>#NAME?</v>
      </c>
      <c r="AA29" s="76" t="e" cm="1">
        <f t="array" aca="1" ref="AA29" ca="1">_xll.ciqfunctions.udf.CIQ($F29,AA$2,"IQ_LTM",$H$2,,,$H$3)</f>
        <v>#NAME?</v>
      </c>
      <c r="AB29" s="76" t="e">
        <f ca="1">++W29-AA29</f>
        <v>#NAME?</v>
      </c>
      <c r="AC29" s="76" t="e">
        <f ca="1">++V29+X29-AA29</f>
        <v>#NAME?</v>
      </c>
      <c r="AE29" s="76" t="e" cm="1">
        <f t="array" aca="1" ref="AE29" ca="1">_xll.ciqfunctions.udf.CIQ($F29,AE$2,AE$3,$H$2,,,$H$3)</f>
        <v>#NAME?</v>
      </c>
      <c r="AF29" s="76" t="e" cm="1">
        <f t="array" aca="1" ref="AF29" ca="1">_xll.ciqfunctions.udf.CIQ($F29,AF$2,AF$3,$H$2,,,$H$3)</f>
        <v>#NAME?</v>
      </c>
      <c r="AG29" s="76" t="e" cm="1">
        <f t="array" aca="1" ref="AG29" ca="1">_xll.ciqfunctions.udf.CIQ($F29,AG$2,AG$3,$H$2,,,$H$3)</f>
        <v>#NAME?</v>
      </c>
      <c r="AH29" s="76" t="e" cm="1">
        <f t="array" aca="1" ref="AH29" ca="1">_xll.ciqfunctions.udf.CIQ($F29,AH$2,AH$3,$H$2,,,$H$3)</f>
        <v>#NAME?</v>
      </c>
      <c r="AI29" s="76" t="e" cm="1">
        <f t="array" aca="1" ref="AI29" ca="1">_xll.ciqfunctions.udf.CIQ($F29,AI$2,AI$3,$H$2,,,$H$3)</f>
        <v>#NAME?</v>
      </c>
      <c r="AJ29" s="76" t="e" cm="1">
        <f t="array" aca="1" ref="AJ29" ca="1">_xll.ciqfunctions.udf.CIQ($F29,AJ$2,AJ$3,$H$2,,,$H$3)</f>
        <v>#NAME?</v>
      </c>
      <c r="AK29" s="76" t="e" cm="1">
        <f t="array" aca="1" ref="AK29" ca="1">_xll.ciqfunctions.udf.CIQ($F29,AK$2,AK$3,$H$2,,,$H$3)</f>
        <v>#NAME?</v>
      </c>
      <c r="AL29" s="76" t="e" cm="1">
        <f t="array" aca="1" ref="AL29" ca="1">_xll.ciqfunctions.udf.CIQ($F29,AL$2,AL$3,$H$2,,,$H$3)</f>
        <v>#NAME?</v>
      </c>
      <c r="AM29" s="76" t="e" cm="1">
        <f t="array" aca="1" ref="AM29" ca="1">_xll.ciqfunctions.udf.CIQ($F29,AM$2,AM$3,$H$2,,,$H$3)</f>
        <v>#NAME?</v>
      </c>
      <c r="AN29" s="76" t="e" cm="1">
        <f t="array" aca="1" ref="AN29" ca="1">_xll.ciqfunctions.udf.CIQ($F29,AN$2,AN$3,$H$2,,,$H$3)</f>
        <v>#NAME?</v>
      </c>
      <c r="AO29" s="76" t="e" cm="1">
        <f t="array" aca="1" ref="AO29" ca="1">_xll.ciqfunctions.udf.CIQ($F29,AO$2,AO$3,$H$2,,,$H$3)</f>
        <v>#NAME?</v>
      </c>
      <c r="AP29" s="76" t="e" cm="1">
        <f t="array" aca="1" ref="AP29" ca="1">_xll.ciqfunctions.udf.CIQ($F29,AP$2,AP$3,$H$2,,,$H$3)</f>
        <v>#NAME?</v>
      </c>
      <c r="AQ29" s="77">
        <f t="shared" ref="AQ29:AV29" ca="1" si="84">++IFERROR(AK29/AE29,0)</f>
        <v>0</v>
      </c>
      <c r="AR29" s="77">
        <f t="shared" ca="1" si="84"/>
        <v>0</v>
      </c>
      <c r="AS29" s="77">
        <f t="shared" ca="1" si="84"/>
        <v>0</v>
      </c>
      <c r="AT29" s="77">
        <f t="shared" ca="1" si="84"/>
        <v>0</v>
      </c>
      <c r="AU29" s="77">
        <f t="shared" ca="1" si="84"/>
        <v>0</v>
      </c>
      <c r="AV29" s="77">
        <f t="shared" ca="1" si="84"/>
        <v>0</v>
      </c>
      <c r="AW29" s="76" t="e" cm="1">
        <f t="array" aca="1" ref="AW29" ca="1">_xll.ciqfunctions.udf.CIQ($F29,AW$2,AW$3,$H$2,,,$H$3)</f>
        <v>#NAME?</v>
      </c>
      <c r="AX29" s="76" t="e" cm="1">
        <f t="array" aca="1" ref="AX29" ca="1">_xll.ciqfunctions.udf.CIQ($F29,AX$2,AX$3,$H$2,,,$H$3)</f>
        <v>#NAME?</v>
      </c>
      <c r="AY29" s="76" t="e" cm="1">
        <f t="array" aca="1" ref="AY29" ca="1">_xll.ciqfunctions.udf.CIQ($F29,AY$2,AY$3,$H$2,,,$H$3)</f>
        <v>#NAME?</v>
      </c>
      <c r="AZ29" s="76" t="e" cm="1">
        <f t="array" aca="1" ref="AZ29" ca="1">_xll.ciqfunctions.udf.CIQ($F29,AZ$2,AZ$3,$H$2,,,$H$3)</f>
        <v>#NAME?</v>
      </c>
      <c r="BA29" s="76" t="e" cm="1">
        <f t="array" aca="1" ref="BA29" ca="1">_xll.ciqfunctions.udf.CIQ($F29,BA$2,BA$3,$H$2,,,$H$3)</f>
        <v>#NAME?</v>
      </c>
      <c r="BB29" s="76" t="e" cm="1">
        <f t="array" aca="1" ref="BB29" ca="1">_xll.ciqfunctions.udf.CIQ($F29,BB$2,BB$3,$H$2,,,$H$3)</f>
        <v>#NAME?</v>
      </c>
      <c r="BC29" s="76" t="e">
        <f ca="1">AK29+AW29</f>
        <v>#NAME?</v>
      </c>
      <c r="BD29" s="76" t="e">
        <f t="shared" ref="BD29:BD36" ca="1" si="85">AL29+AX29</f>
        <v>#NAME?</v>
      </c>
      <c r="BE29" s="76" t="e">
        <f t="shared" ref="BE29:BE36" ca="1" si="86">AM29+AY29</f>
        <v>#NAME?</v>
      </c>
      <c r="BF29" s="76" t="e">
        <f t="shared" ref="BF29:BF36" ca="1" si="87">AN29+AZ29</f>
        <v>#NAME?</v>
      </c>
      <c r="BG29" s="76" t="e">
        <f t="shared" ref="BG29:BG36" ca="1" si="88">AO29+BA29</f>
        <v>#NAME?</v>
      </c>
      <c r="BH29" s="76" t="e">
        <f t="shared" ref="BH29:BH36" ca="1" si="89">AP29+BB29</f>
        <v>#NAME?</v>
      </c>
      <c r="BJ29" s="79" t="str">
        <f ca="1">IFERROR($AC29/AM29,"n/a")</f>
        <v>n/a</v>
      </c>
      <c r="BK29" s="79" t="str">
        <f t="shared" ref="BK29:BK36" ca="1" si="90">IFERROR($AC29/AN29,"n/a")</f>
        <v>n/a</v>
      </c>
      <c r="BL29" s="79" t="str">
        <f t="shared" ref="BL29:BL36" ca="1" si="91">IFERROR($AC29/AO29,"n/a")</f>
        <v>n/a</v>
      </c>
      <c r="BM29" s="119" t="str">
        <f t="shared" ref="BM29:BM36" ca="1" si="92">IFERROR($AC29/AP29,"n/a")</f>
        <v>n/a</v>
      </c>
      <c r="BN29" s="79" t="str">
        <f ca="1">IFERROR($AC29/BE29,"n/a")</f>
        <v>n/a</v>
      </c>
      <c r="BO29" s="79" t="str">
        <f t="shared" ref="BO29:BO36" ca="1" si="93">IFERROR($AC29/BF29,"n/a")</f>
        <v>n/a</v>
      </c>
      <c r="BP29" s="79" t="str">
        <f t="shared" ref="BP29:BP36" ca="1" si="94">IFERROR($AC29/BG29,"n/a")</f>
        <v>n/a</v>
      </c>
      <c r="BQ29" s="119" t="str">
        <f t="shared" ref="BQ29:BQ36" ca="1" si="95">IFERROR($AC29/BH29,"n/a")</f>
        <v>n/a</v>
      </c>
      <c r="BR29" s="79" t="str">
        <f ca="1">IFERROR($AC29/AG29,"n/a")</f>
        <v>n/a</v>
      </c>
      <c r="BS29" s="79" t="str">
        <f t="shared" ref="BS29:BS36" ca="1" si="96">IFERROR($AC29/AH29,"n/a")</f>
        <v>n/a</v>
      </c>
      <c r="BT29" s="79" t="str">
        <f t="shared" ref="BT29:BT36" ca="1" si="97">IFERROR($AC29/AI29,"n/a")</f>
        <v>n/a</v>
      </c>
      <c r="BU29" s="79" t="str">
        <f t="shared" ref="BU29:BU36" ca="1" si="98">IFERROR($AC29/AJ29,"n/a")</f>
        <v>n/a</v>
      </c>
    </row>
    <row r="30" spans="1:74" x14ac:dyDescent="0.4">
      <c r="C30" s="1" t="str">
        <f>_xll.ciqfunctions.udf.CIQ(F30, "IQ_COMPANY_NAME")</f>
        <v>Costco Wholesale Corporation</v>
      </c>
      <c r="E30" s="42"/>
      <c r="F30" s="70" t="s">
        <v>83</v>
      </c>
      <c r="G30" s="129"/>
      <c r="H30" s="129"/>
      <c r="J30" s="75" t="e" cm="1">
        <f t="array" aca="1" ref="J30" ca="1">_xll.ciqfunctions.udf.CIQ($F30,J$2,$H$2,$H$3)</f>
        <v>#NAME?</v>
      </c>
      <c r="K30" s="75" t="e" cm="1">
        <f t="array" aca="1" ref="K30" ca="1">_xll.ciqfunctions.udf.CIQ($F30,K$2,$H$2,$H$3)</f>
        <v>#NAME?</v>
      </c>
      <c r="L30" s="77" t="e">
        <f ca="1">++J30/K30</f>
        <v>#NAME?</v>
      </c>
      <c r="M30" s="75" t="e" cm="1">
        <f t="array" aca="1" ref="M30" ca="1">_xll.ciqfunctions.udf.CIQ($F30,M$2,DATE(YEAR($H$2),1,1),$H$3)</f>
        <v>#NAME?</v>
      </c>
      <c r="N30" s="75" t="e" cm="1">
        <f t="array" aca="1" ref="N30" ca="1">_xll.ciqfunctions.udf.CIQ($F30,N$2,EDATE($H$2,-12),$H$3)</f>
        <v>#NAME?</v>
      </c>
      <c r="O30" s="75" t="e" cm="1">
        <f t="array" aca="1" ref="O30" ca="1">_xll.ciqfunctions.udf.CIQ($F30,O$2,EDATE($H$2,-3),$H$3)</f>
        <v>#NAME?</v>
      </c>
      <c r="P30" s="75" t="e" cm="1">
        <f t="array" aca="1" ref="P30" ca="1">_xll.ciqfunctions.udf.CIQ($F30,P$2,EDATE($H$2,-36),$H$3)</f>
        <v>#NAME?</v>
      </c>
      <c r="Q30" s="77" t="e">
        <f ca="1">$J30/M30-1</f>
        <v>#NAME?</v>
      </c>
      <c r="R30" s="77" t="e">
        <f ca="1">$J30/N30-1</f>
        <v>#NAME?</v>
      </c>
      <c r="S30" s="77" t="e">
        <f ca="1">$J30/O30-1</f>
        <v>#NAME?</v>
      </c>
      <c r="T30" s="77" t="e">
        <f t="shared" ref="T30:T36" ca="1" si="99">$J30/P30-1</f>
        <v>#NAME?</v>
      </c>
      <c r="V30" s="74" t="e" cm="1">
        <f t="array" aca="1" ref="V30" ca="1">_xll.ciqfunctions.udf.CIQ($F30,V$2,$H$2,$H$3)</f>
        <v>#NAME?</v>
      </c>
      <c r="W30" s="74" t="e">
        <f ca="1">++X30-Y30-Z30</f>
        <v>#NAME?</v>
      </c>
      <c r="X30" s="74" t="e" cm="1">
        <f t="array" aca="1" ref="X30" ca="1">_xll.ciqfunctions.udf.CIQ($F30,X$2,"IQ_LTM",$H$2,,,$H$3)</f>
        <v>#NAME?</v>
      </c>
      <c r="Y30" s="74" t="e" cm="1">
        <f t="array" aca="1" ref="Y30" ca="1">_xll.ciqfunctions.udf.CIQ($F30,Y$2,"IQ_LTM",$H$2,,,$H$3)</f>
        <v>#NAME?</v>
      </c>
      <c r="Z30" s="74" t="e" cm="1">
        <f t="array" aca="1" ref="Z30" ca="1">_xll.ciqfunctions.udf.CIQ($F30,Z$2,"IQ_LTM",$H$2,,,$H$3)</f>
        <v>#NAME?</v>
      </c>
      <c r="AA30" s="74" t="e" cm="1">
        <f t="array" aca="1" ref="AA30" ca="1">_xll.ciqfunctions.udf.CIQ($F30,AA$2,"IQ_LTM",$H$2,,,$H$3)</f>
        <v>#NAME?</v>
      </c>
      <c r="AB30" s="74" t="e">
        <f ca="1">++W30-AA30</f>
        <v>#NAME?</v>
      </c>
      <c r="AC30" s="74" t="e">
        <f ca="1">++V30+X30-AA30</f>
        <v>#NAME?</v>
      </c>
      <c r="AE30" s="74" t="e" cm="1">
        <f t="array" aca="1" ref="AE30" ca="1">_xll.ciqfunctions.udf.CIQ($F30,AE$2,AE$3,$H$2,,,$H$3)</f>
        <v>#NAME?</v>
      </c>
      <c r="AF30" s="74" t="e" cm="1">
        <f t="array" aca="1" ref="AF30" ca="1">_xll.ciqfunctions.udf.CIQ($F30,AF$2,AF$3,$H$2,,,$H$3)</f>
        <v>#NAME?</v>
      </c>
      <c r="AG30" s="74" t="e" cm="1">
        <f t="array" aca="1" ref="AG30" ca="1">_xll.ciqfunctions.udf.CIQ($F30,AG$2,AG$3,$H$2,,,$H$3)</f>
        <v>#NAME?</v>
      </c>
      <c r="AH30" s="74" t="e" cm="1">
        <f t="array" aca="1" ref="AH30" ca="1">_xll.ciqfunctions.udf.CIQ($F30,AH$2,AH$3,$H$2,,,$H$3)</f>
        <v>#NAME?</v>
      </c>
      <c r="AI30" s="74" t="e" cm="1">
        <f t="array" aca="1" ref="AI30" ca="1">_xll.ciqfunctions.udf.CIQ($F30,AI$2,AI$3,$H$2,,,$H$3)</f>
        <v>#NAME?</v>
      </c>
      <c r="AJ30" s="74" t="e" cm="1">
        <f t="array" aca="1" ref="AJ30" ca="1">_xll.ciqfunctions.udf.CIQ($F30,AJ$2,AJ$3,$H$2,,,$H$3)</f>
        <v>#NAME?</v>
      </c>
      <c r="AK30" s="74" t="e" cm="1">
        <f t="array" aca="1" ref="AK30" ca="1">_xll.ciqfunctions.udf.CIQ($F30,AK$2,AK$3,$H$2,,,$H$3)</f>
        <v>#NAME?</v>
      </c>
      <c r="AL30" s="74" t="e" cm="1">
        <f t="array" aca="1" ref="AL30" ca="1">_xll.ciqfunctions.udf.CIQ($F30,AL$2,AL$3,$H$2,,,$H$3)</f>
        <v>#NAME?</v>
      </c>
      <c r="AM30" s="74" t="e" cm="1">
        <f t="array" aca="1" ref="AM30" ca="1">_xll.ciqfunctions.udf.CIQ($F30,AM$2,AM$3,$H$2,,,$H$3)</f>
        <v>#NAME?</v>
      </c>
      <c r="AN30" s="74" t="e" cm="1">
        <f t="array" aca="1" ref="AN30" ca="1">_xll.ciqfunctions.udf.CIQ($F30,AN$2,AN$3,$H$2,,,$H$3)</f>
        <v>#NAME?</v>
      </c>
      <c r="AO30" s="74" t="e" cm="1">
        <f t="array" aca="1" ref="AO30" ca="1">_xll.ciqfunctions.udf.CIQ($F30,AO$2,AO$3,$H$2,,,$H$3)</f>
        <v>#NAME?</v>
      </c>
      <c r="AP30" s="74" t="e" cm="1">
        <f t="array" aca="1" ref="AP30" ca="1">_xll.ciqfunctions.udf.CIQ($F30,AP$2,AP$3,$H$2,,,$H$3)</f>
        <v>#NAME?</v>
      </c>
      <c r="AQ30" s="77">
        <f t="shared" ref="AQ30:AQ36" ca="1" si="100">++IFERROR(AK30/AE30,0)</f>
        <v>0</v>
      </c>
      <c r="AR30" s="77">
        <f t="shared" ref="AR30:AR36" ca="1" si="101">++IFERROR(AL30/AF30,0)</f>
        <v>0</v>
      </c>
      <c r="AS30" s="77">
        <f t="shared" ref="AS30:AS36" ca="1" si="102">++IFERROR(AM30/AG30,0)</f>
        <v>0</v>
      </c>
      <c r="AT30" s="77">
        <f ca="1">++IFERROR(AN30/AH30,0)</f>
        <v>0</v>
      </c>
      <c r="AU30" s="77">
        <f ca="1">++IFERROR(AO30/AI30,0)</f>
        <v>0</v>
      </c>
      <c r="AV30" s="77">
        <f ca="1">++IFERROR(AP30/AJ30,0)</f>
        <v>0</v>
      </c>
      <c r="AW30" s="74" t="e" cm="1">
        <f t="array" aca="1" ref="AW30" ca="1">_xll.ciqfunctions.udf.CIQ($F30,AW$2,AW$3,$H$2,,,$H$3)</f>
        <v>#NAME?</v>
      </c>
      <c r="AX30" s="74" t="e" cm="1">
        <f t="array" aca="1" ref="AX30" ca="1">_xll.ciqfunctions.udf.CIQ($F30,AX$2,AX$3,$H$2,,,$H$3)</f>
        <v>#NAME?</v>
      </c>
      <c r="AY30" s="74" t="e" cm="1">
        <f t="array" aca="1" ref="AY30" ca="1">_xll.ciqfunctions.udf.CIQ($F30,AY$2,AY$3,$H$2,,,$H$3)</f>
        <v>#NAME?</v>
      </c>
      <c r="AZ30" s="74" t="e" cm="1">
        <f t="array" aca="1" ref="AZ30" ca="1">_xll.ciqfunctions.udf.CIQ($F30,AZ$2,AZ$3,$H$2,,,$H$3)</f>
        <v>#NAME?</v>
      </c>
      <c r="BA30" s="74" t="e" cm="1">
        <f t="array" aca="1" ref="BA30" ca="1">_xll.ciqfunctions.udf.CIQ($F30,BA$2,BA$3,$H$2,,,$H$3)</f>
        <v>#NAME?</v>
      </c>
      <c r="BB30" s="74" t="e" cm="1">
        <f t="array" aca="1" ref="BB30" ca="1">_xll.ciqfunctions.udf.CIQ($F30,BB$2,BB$3,$H$2,,,$H$3)</f>
        <v>#NAME?</v>
      </c>
      <c r="BC30" s="74" t="e">
        <f t="shared" ref="BC30:BC36" ca="1" si="103">AK30+AW30</f>
        <v>#NAME?</v>
      </c>
      <c r="BD30" s="74" t="e">
        <f t="shared" ca="1" si="85"/>
        <v>#NAME?</v>
      </c>
      <c r="BE30" s="74" t="e">
        <f t="shared" ca="1" si="86"/>
        <v>#NAME?</v>
      </c>
      <c r="BF30" s="74" t="e">
        <f t="shared" ca="1" si="87"/>
        <v>#NAME?</v>
      </c>
      <c r="BG30" s="74" t="e">
        <f t="shared" ca="1" si="88"/>
        <v>#NAME?</v>
      </c>
      <c r="BH30" s="74" t="e">
        <f t="shared" ca="1" si="89"/>
        <v>#NAME?</v>
      </c>
      <c r="BJ30" s="79" t="str">
        <f t="shared" ref="BJ30:BJ36" ca="1" si="104">IFERROR($AC30/AM30,"n/a")</f>
        <v>n/a</v>
      </c>
      <c r="BK30" s="79" t="str">
        <f t="shared" ca="1" si="90"/>
        <v>n/a</v>
      </c>
      <c r="BL30" s="79" t="str">
        <f t="shared" ca="1" si="91"/>
        <v>n/a</v>
      </c>
      <c r="BM30" s="119" t="str">
        <f t="shared" ca="1" si="92"/>
        <v>n/a</v>
      </c>
      <c r="BN30" s="79" t="str">
        <f t="shared" ref="BN30:BN36" ca="1" si="105">IFERROR($AC30/BE30,"n/a")</f>
        <v>n/a</v>
      </c>
      <c r="BO30" s="79" t="str">
        <f t="shared" ca="1" si="93"/>
        <v>n/a</v>
      </c>
      <c r="BP30" s="79" t="str">
        <f t="shared" ca="1" si="94"/>
        <v>n/a</v>
      </c>
      <c r="BQ30" s="119" t="str">
        <f t="shared" ca="1" si="95"/>
        <v>n/a</v>
      </c>
      <c r="BR30" s="79" t="str">
        <f t="shared" ref="BR30:BR36" ca="1" si="106">IFERROR($AC30/AG30,"n/a")</f>
        <v>n/a</v>
      </c>
      <c r="BS30" s="79" t="str">
        <f t="shared" ca="1" si="96"/>
        <v>n/a</v>
      </c>
      <c r="BT30" s="79" t="str">
        <f t="shared" ca="1" si="97"/>
        <v>n/a</v>
      </c>
      <c r="BU30" s="79" t="str">
        <f t="shared" ca="1" si="98"/>
        <v>n/a</v>
      </c>
    </row>
    <row r="31" spans="1:74" x14ac:dyDescent="0.4">
      <c r="C31" s="1" t="str">
        <f>_xll.ciqfunctions.udf.CIQ(F31, "IQ_COMPANY_NAME")</f>
        <v>Costco Wholesale Corporation</v>
      </c>
      <c r="E31" s="42"/>
      <c r="F31" s="70" t="s">
        <v>83</v>
      </c>
      <c r="G31" s="129"/>
      <c r="H31" s="129"/>
      <c r="J31" s="75" t="e" cm="1">
        <f t="array" aca="1" ref="J31" ca="1">_xll.ciqfunctions.udf.CIQ($F31,J$2,$H$2,$H$3)</f>
        <v>#NAME?</v>
      </c>
      <c r="K31" s="75" t="e" cm="1">
        <f t="array" aca="1" ref="K31" ca="1">_xll.ciqfunctions.udf.CIQ($F31,K$2,$H$2,$H$3)</f>
        <v>#NAME?</v>
      </c>
      <c r="L31" s="77" t="e">
        <f ca="1">++J31/K31</f>
        <v>#NAME?</v>
      </c>
      <c r="M31" s="75" t="e" cm="1">
        <f t="array" aca="1" ref="M31" ca="1">_xll.ciqfunctions.udf.CIQ($F31,M$2,DATE(YEAR($H$2),1,1),$H$3)</f>
        <v>#NAME?</v>
      </c>
      <c r="N31" s="75" t="e" cm="1">
        <f t="array" aca="1" ref="N31" ca="1">_xll.ciqfunctions.udf.CIQ($F31,N$2,EDATE($H$2,-12),$H$3)</f>
        <v>#NAME?</v>
      </c>
      <c r="O31" s="75" t="e" cm="1">
        <f t="array" aca="1" ref="O31" ca="1">_xll.ciqfunctions.udf.CIQ($F31,O$2,EDATE($H$2,3),$H$3)</f>
        <v>#NAME?</v>
      </c>
      <c r="P31" s="75" t="e" cm="1">
        <f t="array" aca="1" ref="P31" ca="1">_xll.ciqfunctions.udf.CIQ($F31,P$2,EDATE($H$2,-36),$H$3)</f>
        <v>#NAME?</v>
      </c>
      <c r="Q31" s="77" t="e">
        <f ca="1">$J31/M31-1</f>
        <v>#NAME?</v>
      </c>
      <c r="R31" s="77" t="e">
        <f ca="1">$J31/N31-1</f>
        <v>#NAME?</v>
      </c>
      <c r="S31" s="77" t="e">
        <f t="shared" ref="S31:S36" ca="1" si="107">$J31/O31-1</f>
        <v>#NAME?</v>
      </c>
      <c r="T31" s="77" t="e">
        <f t="shared" ca="1" si="99"/>
        <v>#NAME?</v>
      </c>
      <c r="V31" s="74" t="e" cm="1">
        <f t="array" aca="1" ref="V31" ca="1">_xll.ciqfunctions.udf.CIQ($F31,V$2,$H$2,$H$3)</f>
        <v>#NAME?</v>
      </c>
      <c r="W31" s="74" t="e">
        <f t="shared" ref="W31:W36" ca="1" si="108">++X31-Y31-Z31</f>
        <v>#NAME?</v>
      </c>
      <c r="X31" s="74" t="e" cm="1">
        <f t="array" aca="1" ref="X31" ca="1">_xll.ciqfunctions.udf.CIQ($F31,X$2,"IQ_LTM",$H$2,,,$H$3)</f>
        <v>#NAME?</v>
      </c>
      <c r="Y31" s="74" t="e" cm="1">
        <f t="array" aca="1" ref="Y31" ca="1">_xll.ciqfunctions.udf.CIQ($F31,Y$2,"IQ_LTM",$H$2,,,$H$3)</f>
        <v>#NAME?</v>
      </c>
      <c r="Z31" s="74" t="e" cm="1">
        <f t="array" aca="1" ref="Z31" ca="1">_xll.ciqfunctions.udf.CIQ($F31,Z$2,"IQ_LTM",$H$2,,,$H$3)</f>
        <v>#NAME?</v>
      </c>
      <c r="AA31" s="74" t="e" cm="1">
        <f t="array" aca="1" ref="AA31" ca="1">_xll.ciqfunctions.udf.CIQ($F31,AA$2,"IQ_LTM",$H$2,,,$H$3)</f>
        <v>#NAME?</v>
      </c>
      <c r="AB31" s="74" t="e">
        <f t="shared" ref="AB31:AB36" ca="1" si="109">++W31-AA31</f>
        <v>#NAME?</v>
      </c>
      <c r="AC31" s="74" t="e">
        <f t="shared" ref="AC31:AC36" ca="1" si="110">++V31+X31-AA31</f>
        <v>#NAME?</v>
      </c>
      <c r="AE31" s="74" t="e" cm="1">
        <f t="array" aca="1" ref="AE31" ca="1">_xll.ciqfunctions.udf.CIQ($F31,AE$2,AE$3,$H$2,,,$H$3)</f>
        <v>#NAME?</v>
      </c>
      <c r="AF31" s="74" t="e" cm="1">
        <f t="array" aca="1" ref="AF31" ca="1">_xll.ciqfunctions.udf.CIQ($F31,AF$2,AF$3,$H$2,,,$H$3)</f>
        <v>#NAME?</v>
      </c>
      <c r="AG31" s="74" t="e" cm="1">
        <f t="array" aca="1" ref="AG31" ca="1">_xll.ciqfunctions.udf.CIQ($F31,AG$2,AG$3,$H$2,,,$H$3)</f>
        <v>#NAME?</v>
      </c>
      <c r="AH31" s="74" t="e" cm="1">
        <f t="array" aca="1" ref="AH31" ca="1">_xll.ciqfunctions.udf.CIQ($F31,AH$2,AH$3,$H$2,,,$H$3)</f>
        <v>#NAME?</v>
      </c>
      <c r="AI31" s="74" t="e" cm="1">
        <f t="array" aca="1" ref="AI31" ca="1">_xll.ciqfunctions.udf.CIQ($F31,AI$2,AI$3,$H$2,,,$H$3)</f>
        <v>#NAME?</v>
      </c>
      <c r="AJ31" s="74" t="e" cm="1">
        <f t="array" aca="1" ref="AJ31" ca="1">_xll.ciqfunctions.udf.CIQ($F31,AJ$2,AJ$3,$H$2,,,$H$3)</f>
        <v>#NAME?</v>
      </c>
      <c r="AK31" s="74" t="e" cm="1">
        <f t="array" aca="1" ref="AK31" ca="1">_xll.ciqfunctions.udf.CIQ($F31,AK$2,AK$3,$H$2,,,$H$3)</f>
        <v>#NAME?</v>
      </c>
      <c r="AL31" s="74" t="e" cm="1">
        <f t="array" aca="1" ref="AL31" ca="1">_xll.ciqfunctions.udf.CIQ($F31,AL$2,AL$3,$H$2,,,$H$3)</f>
        <v>#NAME?</v>
      </c>
      <c r="AM31" s="74" t="e" cm="1">
        <f t="array" aca="1" ref="AM31" ca="1">_xll.ciqfunctions.udf.CIQ($F31,AM$2,AM$3,$H$2,,,$H$3)</f>
        <v>#NAME?</v>
      </c>
      <c r="AN31" s="74" t="e" cm="1">
        <f t="array" aca="1" ref="AN31" ca="1">_xll.ciqfunctions.udf.CIQ($F31,AN$2,AN$3,$H$2,,,$H$3)</f>
        <v>#NAME?</v>
      </c>
      <c r="AO31" s="74" t="e" cm="1">
        <f t="array" aca="1" ref="AO31" ca="1">_xll.ciqfunctions.udf.CIQ($F31,AO$2,AO$3,$H$2,,,$H$3)</f>
        <v>#NAME?</v>
      </c>
      <c r="AP31" s="74" t="e" cm="1">
        <f t="array" aca="1" ref="AP31" ca="1">_xll.ciqfunctions.udf.CIQ($F31,AP$2,AP$3,$H$2,,,$H$3)</f>
        <v>#NAME?</v>
      </c>
      <c r="AQ31" s="77">
        <f t="shared" ca="1" si="100"/>
        <v>0</v>
      </c>
      <c r="AR31" s="77">
        <f t="shared" ca="1" si="101"/>
        <v>0</v>
      </c>
      <c r="AS31" s="77">
        <f t="shared" ca="1" si="102"/>
        <v>0</v>
      </c>
      <c r="AT31" s="77">
        <f t="shared" ref="AT31:AT36" ca="1" si="111">++IFERROR(AN31/AH31,0)</f>
        <v>0</v>
      </c>
      <c r="AU31" s="77">
        <f t="shared" ref="AU31:AU36" ca="1" si="112">++IFERROR(AO31/AI31,0)</f>
        <v>0</v>
      </c>
      <c r="AV31" s="77">
        <f t="shared" ref="AV31:AV36" ca="1" si="113">++IFERROR(AP31/AJ31,0)</f>
        <v>0</v>
      </c>
      <c r="AW31" s="74" t="e" cm="1">
        <f t="array" aca="1" ref="AW31" ca="1">_xll.ciqfunctions.udf.CIQ($F31,AW$2,AW$3,$H$2,,,$H$3)</f>
        <v>#NAME?</v>
      </c>
      <c r="AX31" s="74" t="e" cm="1">
        <f t="array" aca="1" ref="AX31" ca="1">_xll.ciqfunctions.udf.CIQ($F31,AX$2,AX$3,$H$2,,,$H$3)</f>
        <v>#NAME?</v>
      </c>
      <c r="AY31" s="74" t="e" cm="1">
        <f t="array" aca="1" ref="AY31" ca="1">_xll.ciqfunctions.udf.CIQ($F31,AY$2,AY$3,$H$2,,,$H$3)</f>
        <v>#NAME?</v>
      </c>
      <c r="AZ31" s="74" t="e" cm="1">
        <f t="array" aca="1" ref="AZ31" ca="1">_xll.ciqfunctions.udf.CIQ($F31,AZ$2,AZ$3,$H$2,,,$H$3)</f>
        <v>#NAME?</v>
      </c>
      <c r="BA31" s="74" t="e" cm="1">
        <f t="array" aca="1" ref="BA31" ca="1">_xll.ciqfunctions.udf.CIQ($F31,BA$2,BA$3,$H$2,,,$H$3)</f>
        <v>#NAME?</v>
      </c>
      <c r="BB31" s="74" t="e" cm="1">
        <f t="array" aca="1" ref="BB31" ca="1">_xll.ciqfunctions.udf.CIQ($F31,BB$2,BB$3,$H$2,,,$H$3)</f>
        <v>#NAME?</v>
      </c>
      <c r="BC31" s="74" t="e">
        <f t="shared" ca="1" si="103"/>
        <v>#NAME?</v>
      </c>
      <c r="BD31" s="74" t="e">
        <f t="shared" ca="1" si="85"/>
        <v>#NAME?</v>
      </c>
      <c r="BE31" s="74" t="e">
        <f t="shared" ca="1" si="86"/>
        <v>#NAME?</v>
      </c>
      <c r="BF31" s="74" t="e">
        <f t="shared" ca="1" si="87"/>
        <v>#NAME?</v>
      </c>
      <c r="BG31" s="74" t="e">
        <f t="shared" ca="1" si="88"/>
        <v>#NAME?</v>
      </c>
      <c r="BH31" s="74" t="e">
        <f t="shared" ca="1" si="89"/>
        <v>#NAME?</v>
      </c>
      <c r="BJ31" s="79" t="str">
        <f t="shared" ca="1" si="104"/>
        <v>n/a</v>
      </c>
      <c r="BK31" s="79" t="str">
        <f t="shared" ca="1" si="90"/>
        <v>n/a</v>
      </c>
      <c r="BL31" s="79" t="str">
        <f t="shared" ca="1" si="91"/>
        <v>n/a</v>
      </c>
      <c r="BM31" s="119" t="str">
        <f t="shared" ca="1" si="92"/>
        <v>n/a</v>
      </c>
      <c r="BN31" s="79" t="str">
        <f t="shared" ca="1" si="105"/>
        <v>n/a</v>
      </c>
      <c r="BO31" s="79" t="str">
        <f t="shared" ca="1" si="93"/>
        <v>n/a</v>
      </c>
      <c r="BP31" s="79" t="str">
        <f t="shared" ca="1" si="94"/>
        <v>n/a</v>
      </c>
      <c r="BQ31" s="119" t="str">
        <f t="shared" ca="1" si="95"/>
        <v>n/a</v>
      </c>
      <c r="BR31" s="79" t="str">
        <f t="shared" ca="1" si="106"/>
        <v>n/a</v>
      </c>
      <c r="BS31" s="79" t="str">
        <f t="shared" ca="1" si="96"/>
        <v>n/a</v>
      </c>
      <c r="BT31" s="79" t="str">
        <f t="shared" ca="1" si="97"/>
        <v>n/a</v>
      </c>
      <c r="BU31" s="79" t="str">
        <f t="shared" ca="1" si="98"/>
        <v>n/a</v>
      </c>
    </row>
    <row r="32" spans="1:74" x14ac:dyDescent="0.4">
      <c r="C32" s="1" t="str">
        <f>_xll.ciqfunctions.udf.CIQ(F32, "IQ_COMPANY_NAME")</f>
        <v>Costco Wholesale Corporation</v>
      </c>
      <c r="E32" s="42"/>
      <c r="F32" s="70" t="s">
        <v>83</v>
      </c>
      <c r="G32" s="129"/>
      <c r="H32" s="129"/>
      <c r="J32" s="75" t="e" cm="1">
        <f t="array" aca="1" ref="J32" ca="1">_xll.ciqfunctions.udf.CIQ($F32,J$2,$H$2,$H$3)</f>
        <v>#NAME?</v>
      </c>
      <c r="K32" s="75" t="e" cm="1">
        <f t="array" aca="1" ref="K32" ca="1">_xll.ciqfunctions.udf.CIQ($F32,K$2,$H$2,$H$3)</f>
        <v>#NAME?</v>
      </c>
      <c r="L32" s="77" t="e">
        <f t="shared" ref="L32:L36" ca="1" si="114">++J32/K32</f>
        <v>#NAME?</v>
      </c>
      <c r="M32" s="75" t="e" cm="1">
        <f t="array" aca="1" ref="M32" ca="1">_xll.ciqfunctions.udf.CIQ($F32,M$2,DATE(YEAR($H$2),1,1),$H$3)</f>
        <v>#NAME?</v>
      </c>
      <c r="N32" s="75" t="e" cm="1">
        <f t="array" aca="1" ref="N32" ca="1">_xll.ciqfunctions.udf.CIQ($F32,N$2,EDATE($H$2,-12),$H$3)</f>
        <v>#NAME?</v>
      </c>
      <c r="O32" s="75" t="e" cm="1">
        <f t="array" aca="1" ref="O32" ca="1">_xll.ciqfunctions.udf.CIQ($F32,O$2,EDATE($H$2,3),$H$3)</f>
        <v>#NAME?</v>
      </c>
      <c r="P32" s="75" t="e" cm="1">
        <f t="array" aca="1" ref="P32" ca="1">_xll.ciqfunctions.udf.CIQ($F32,P$2,EDATE($H$2,-36),$H$3)</f>
        <v>#NAME?</v>
      </c>
      <c r="Q32" s="77" t="e">
        <f ca="1">$J32/M32-1</f>
        <v>#NAME?</v>
      </c>
      <c r="R32" s="77" t="e">
        <f t="shared" ref="R32:R36" ca="1" si="115">$J32/N32-1</f>
        <v>#NAME?</v>
      </c>
      <c r="S32" s="77" t="e">
        <f t="shared" ca="1" si="107"/>
        <v>#NAME?</v>
      </c>
      <c r="T32" s="77" t="e">
        <f t="shared" ca="1" si="99"/>
        <v>#NAME?</v>
      </c>
      <c r="V32" s="74" t="e" cm="1">
        <f t="array" aca="1" ref="V32" ca="1">_xll.ciqfunctions.udf.CIQ($F32,V$2,$H$2,$H$3)</f>
        <v>#NAME?</v>
      </c>
      <c r="W32" s="74" t="e">
        <f t="shared" ca="1" si="108"/>
        <v>#NAME?</v>
      </c>
      <c r="X32" s="74" t="e" cm="1">
        <f t="array" aca="1" ref="X32" ca="1">_xll.ciqfunctions.udf.CIQ($F32,X$2,"IQ_LTM",$H$2,,,$H$3)</f>
        <v>#NAME?</v>
      </c>
      <c r="Y32" s="74" t="e" cm="1">
        <f t="array" aca="1" ref="Y32" ca="1">_xll.ciqfunctions.udf.CIQ($F32,Y$2,"IQ_LTM",$H$2,,,$H$3)</f>
        <v>#NAME?</v>
      </c>
      <c r="Z32" s="74" t="e" cm="1">
        <f t="array" aca="1" ref="Z32" ca="1">_xll.ciqfunctions.udf.CIQ($F32,Z$2,"IQ_LTM",$H$2,,,$H$3)</f>
        <v>#NAME?</v>
      </c>
      <c r="AA32" s="74" t="e" cm="1">
        <f t="array" aca="1" ref="AA32" ca="1">_xll.ciqfunctions.udf.CIQ($F32,AA$2,"IQ_LTM",$H$2,,,$H$3)</f>
        <v>#NAME?</v>
      </c>
      <c r="AB32" s="74" t="e">
        <f t="shared" ca="1" si="109"/>
        <v>#NAME?</v>
      </c>
      <c r="AC32" s="74" t="e">
        <f t="shared" ca="1" si="110"/>
        <v>#NAME?</v>
      </c>
      <c r="AE32" s="74" t="e" cm="1">
        <f t="array" aca="1" ref="AE32" ca="1">_xll.ciqfunctions.udf.CIQ($F32,AE$2,AE$3,$H$2,,,$H$3)</f>
        <v>#NAME?</v>
      </c>
      <c r="AF32" s="74" t="e" cm="1">
        <f t="array" aca="1" ref="AF32" ca="1">_xll.ciqfunctions.udf.CIQ($F32,AF$2,AF$3,$H$2,,,$H$3)</f>
        <v>#NAME?</v>
      </c>
      <c r="AG32" s="74" t="e" cm="1">
        <f t="array" aca="1" ref="AG32" ca="1">_xll.ciqfunctions.udf.CIQ($F32,AG$2,AG$3,$H$2,,,$H$3)</f>
        <v>#NAME?</v>
      </c>
      <c r="AH32" s="74" t="e" cm="1">
        <f t="array" aca="1" ref="AH32" ca="1">_xll.ciqfunctions.udf.CIQ($F32,AH$2,AH$3,$H$2,,,$H$3)</f>
        <v>#NAME?</v>
      </c>
      <c r="AI32" s="74" t="e" cm="1">
        <f t="array" aca="1" ref="AI32" ca="1">_xll.ciqfunctions.udf.CIQ($F32,AI$2,AI$3,$H$2,,,$H$3)</f>
        <v>#NAME?</v>
      </c>
      <c r="AJ32" s="74" t="e" cm="1">
        <f t="array" aca="1" ref="AJ32" ca="1">_xll.ciqfunctions.udf.CIQ($F32,AJ$2,AJ$3,$H$2,,,$H$3)</f>
        <v>#NAME?</v>
      </c>
      <c r="AK32" s="74" t="e" cm="1">
        <f t="array" aca="1" ref="AK32" ca="1">_xll.ciqfunctions.udf.CIQ($F32,AK$2,AK$3,$H$2,,,$H$3)</f>
        <v>#NAME?</v>
      </c>
      <c r="AL32" s="74" t="e" cm="1">
        <f t="array" aca="1" ref="AL32" ca="1">_xll.ciqfunctions.udf.CIQ($F32,AL$2,AL$3,$H$2,,,$H$3)</f>
        <v>#NAME?</v>
      </c>
      <c r="AM32" s="74" t="e" cm="1">
        <f t="array" aca="1" ref="AM32" ca="1">_xll.ciqfunctions.udf.CIQ($F32,AM$2,AM$3,$H$2,,,$H$3)</f>
        <v>#NAME?</v>
      </c>
      <c r="AN32" s="74" t="e" cm="1">
        <f t="array" aca="1" ref="AN32" ca="1">_xll.ciqfunctions.udf.CIQ($F32,AN$2,AN$3,$H$2,,,$H$3)</f>
        <v>#NAME?</v>
      </c>
      <c r="AO32" s="74" t="e" cm="1">
        <f t="array" aca="1" ref="AO32" ca="1">_xll.ciqfunctions.udf.CIQ($F32,AO$2,AO$3,$H$2,,,$H$3)</f>
        <v>#NAME?</v>
      </c>
      <c r="AP32" s="74" t="e" cm="1">
        <f t="array" aca="1" ref="AP32" ca="1">_xll.ciqfunctions.udf.CIQ($F32,AP$2,AP$3,$H$2,,,$H$3)</f>
        <v>#NAME?</v>
      </c>
      <c r="AQ32" s="77">
        <f t="shared" ca="1" si="100"/>
        <v>0</v>
      </c>
      <c r="AR32" s="77">
        <f t="shared" ca="1" si="101"/>
        <v>0</v>
      </c>
      <c r="AS32" s="77">
        <f t="shared" ca="1" si="102"/>
        <v>0</v>
      </c>
      <c r="AT32" s="77">
        <f t="shared" ca="1" si="111"/>
        <v>0</v>
      </c>
      <c r="AU32" s="77">
        <f t="shared" ca="1" si="112"/>
        <v>0</v>
      </c>
      <c r="AV32" s="77">
        <f t="shared" ca="1" si="113"/>
        <v>0</v>
      </c>
      <c r="AW32" s="74" t="e" cm="1">
        <f t="array" aca="1" ref="AW32" ca="1">_xll.ciqfunctions.udf.CIQ($F32,AW$2,AW$3,$H$2,,,$H$3)</f>
        <v>#NAME?</v>
      </c>
      <c r="AX32" s="74" t="e" cm="1">
        <f t="array" aca="1" ref="AX32" ca="1">_xll.ciqfunctions.udf.CIQ($F32,AX$2,AX$3,$H$2,,,$H$3)</f>
        <v>#NAME?</v>
      </c>
      <c r="AY32" s="74" t="e" cm="1">
        <f t="array" aca="1" ref="AY32" ca="1">_xll.ciqfunctions.udf.CIQ($F32,AY$2,AY$3,$H$2,,,$H$3)</f>
        <v>#NAME?</v>
      </c>
      <c r="AZ32" s="74" t="e" cm="1">
        <f t="array" aca="1" ref="AZ32" ca="1">_xll.ciqfunctions.udf.CIQ($F32,AZ$2,AZ$3,$H$2,,,$H$3)</f>
        <v>#NAME?</v>
      </c>
      <c r="BA32" s="74" t="e" cm="1">
        <f t="array" aca="1" ref="BA32" ca="1">_xll.ciqfunctions.udf.CIQ($F32,BA$2,BA$3,$H$2,,,$H$3)</f>
        <v>#NAME?</v>
      </c>
      <c r="BB32" s="74" t="e" cm="1">
        <f t="array" aca="1" ref="BB32" ca="1">_xll.ciqfunctions.udf.CIQ($F32,BB$2,BB$3,$H$2,,,$H$3)</f>
        <v>#NAME?</v>
      </c>
      <c r="BC32" s="74" t="e">
        <f t="shared" ca="1" si="103"/>
        <v>#NAME?</v>
      </c>
      <c r="BD32" s="74" t="e">
        <f t="shared" ca="1" si="85"/>
        <v>#NAME?</v>
      </c>
      <c r="BE32" s="74" t="e">
        <f t="shared" ca="1" si="86"/>
        <v>#NAME?</v>
      </c>
      <c r="BF32" s="74" t="e">
        <f t="shared" ca="1" si="87"/>
        <v>#NAME?</v>
      </c>
      <c r="BG32" s="74" t="e">
        <f t="shared" ca="1" si="88"/>
        <v>#NAME?</v>
      </c>
      <c r="BH32" s="74" t="e">
        <f t="shared" ca="1" si="89"/>
        <v>#NAME?</v>
      </c>
      <c r="BJ32" s="79" t="str">
        <f t="shared" ca="1" si="104"/>
        <v>n/a</v>
      </c>
      <c r="BK32" s="79" t="str">
        <f t="shared" ca="1" si="90"/>
        <v>n/a</v>
      </c>
      <c r="BL32" s="79" t="str">
        <f t="shared" ca="1" si="91"/>
        <v>n/a</v>
      </c>
      <c r="BM32" s="119" t="str">
        <f t="shared" ca="1" si="92"/>
        <v>n/a</v>
      </c>
      <c r="BN32" s="79" t="str">
        <f t="shared" ca="1" si="105"/>
        <v>n/a</v>
      </c>
      <c r="BO32" s="79" t="str">
        <f t="shared" ca="1" si="93"/>
        <v>n/a</v>
      </c>
      <c r="BP32" s="79" t="str">
        <f t="shared" ca="1" si="94"/>
        <v>n/a</v>
      </c>
      <c r="BQ32" s="119" t="str">
        <f t="shared" ca="1" si="95"/>
        <v>n/a</v>
      </c>
      <c r="BR32" s="79" t="str">
        <f t="shared" ca="1" si="106"/>
        <v>n/a</v>
      </c>
      <c r="BS32" s="79" t="str">
        <f t="shared" ca="1" si="96"/>
        <v>n/a</v>
      </c>
      <c r="BT32" s="79" t="str">
        <f t="shared" ca="1" si="97"/>
        <v>n/a</v>
      </c>
      <c r="BU32" s="79" t="str">
        <f t="shared" ca="1" si="98"/>
        <v>n/a</v>
      </c>
    </row>
    <row r="33" spans="1:74" x14ac:dyDescent="0.4">
      <c r="C33" s="1" t="str">
        <f>_xll.ciqfunctions.udf.CIQ(F33, "IQ_COMPANY_NAME")</f>
        <v>Costco Wholesale Corporation</v>
      </c>
      <c r="E33" s="42"/>
      <c r="F33" s="70" t="s">
        <v>83</v>
      </c>
      <c r="G33" s="129"/>
      <c r="H33" s="129"/>
      <c r="J33" s="75" t="e" cm="1">
        <f t="array" aca="1" ref="J33" ca="1">_xll.ciqfunctions.udf.CIQ($F33,J$2,$H$2,$H$3)</f>
        <v>#NAME?</v>
      </c>
      <c r="K33" s="75" t="e" cm="1">
        <f t="array" aca="1" ref="K33" ca="1">_xll.ciqfunctions.udf.CIQ($F33,K$2,$H$2,$H$3)</f>
        <v>#NAME?</v>
      </c>
      <c r="L33" s="77" t="e">
        <f t="shared" ca="1" si="114"/>
        <v>#NAME?</v>
      </c>
      <c r="M33" s="75" t="e" cm="1">
        <f t="array" aca="1" ref="M33" ca="1">_xll.ciqfunctions.udf.CIQ($F33,M$2,DATE(YEAR($H$2),1,1),$H$3)</f>
        <v>#NAME?</v>
      </c>
      <c r="N33" s="75" t="e" cm="1">
        <f t="array" aca="1" ref="N33" ca="1">_xll.ciqfunctions.udf.CIQ($F33,N$2,EDATE($H$2,-12),$H$3)</f>
        <v>#NAME?</v>
      </c>
      <c r="O33" s="75" t="e" cm="1">
        <f t="array" aca="1" ref="O33" ca="1">_xll.ciqfunctions.udf.CIQ($F33,O$2,EDATE($H$2,3),$H$3)</f>
        <v>#NAME?</v>
      </c>
      <c r="P33" s="75" t="e" cm="1">
        <f t="array" aca="1" ref="P33" ca="1">_xll.ciqfunctions.udf.CIQ($F33,P$2,EDATE($H$2,-36),$H$3)</f>
        <v>#NAME?</v>
      </c>
      <c r="Q33" s="77" t="e">
        <f ca="1">$J33/M33-1</f>
        <v>#NAME?</v>
      </c>
      <c r="R33" s="77" t="e">
        <f t="shared" ca="1" si="115"/>
        <v>#NAME?</v>
      </c>
      <c r="S33" s="77" t="e">
        <f t="shared" ca="1" si="107"/>
        <v>#NAME?</v>
      </c>
      <c r="T33" s="77" t="e">
        <f t="shared" ca="1" si="99"/>
        <v>#NAME?</v>
      </c>
      <c r="V33" s="74" t="e" cm="1">
        <f t="array" aca="1" ref="V33" ca="1">_xll.ciqfunctions.udf.CIQ($F33,V$2,$H$2,$H$3)</f>
        <v>#NAME?</v>
      </c>
      <c r="W33" s="74" t="e">
        <f t="shared" ca="1" si="108"/>
        <v>#NAME?</v>
      </c>
      <c r="X33" s="74" t="e" cm="1">
        <f t="array" aca="1" ref="X33" ca="1">_xll.ciqfunctions.udf.CIQ($F33,X$2,"IQ_LTM",$H$2,,,$H$3)</f>
        <v>#NAME?</v>
      </c>
      <c r="Y33" s="74" t="e" cm="1">
        <f t="array" aca="1" ref="Y33" ca="1">_xll.ciqfunctions.udf.CIQ($F33,Y$2,"IQ_LTM",$H$2,,,$H$3)</f>
        <v>#NAME?</v>
      </c>
      <c r="Z33" s="74" t="e" cm="1">
        <f t="array" aca="1" ref="Z33" ca="1">_xll.ciqfunctions.udf.CIQ($F33,Z$2,"IQ_LTM",$H$2,,,$H$3)</f>
        <v>#NAME?</v>
      </c>
      <c r="AA33" s="74" t="e" cm="1">
        <f t="array" aca="1" ref="AA33" ca="1">_xll.ciqfunctions.udf.CIQ($F33,AA$2,"IQ_LTM",$H$2,,,$H$3)</f>
        <v>#NAME?</v>
      </c>
      <c r="AB33" s="74" t="e">
        <f t="shared" ca="1" si="109"/>
        <v>#NAME?</v>
      </c>
      <c r="AC33" s="74" t="e">
        <f t="shared" ca="1" si="110"/>
        <v>#NAME?</v>
      </c>
      <c r="AE33" s="74" t="e" cm="1">
        <f t="array" aca="1" ref="AE33" ca="1">_xll.ciqfunctions.udf.CIQ($F33,AE$2,AE$3,$H$2,,,$H$3)</f>
        <v>#NAME?</v>
      </c>
      <c r="AF33" s="74" t="e" cm="1">
        <f t="array" aca="1" ref="AF33" ca="1">_xll.ciqfunctions.udf.CIQ($F33,AF$2,AF$3,$H$2,,,$H$3)</f>
        <v>#NAME?</v>
      </c>
      <c r="AG33" s="74" t="e" cm="1">
        <f t="array" aca="1" ref="AG33" ca="1">_xll.ciqfunctions.udf.CIQ($F33,AG$2,AG$3,$H$2,,,$H$3)</f>
        <v>#NAME?</v>
      </c>
      <c r="AH33" s="74" t="e" cm="1">
        <f t="array" aca="1" ref="AH33" ca="1">_xll.ciqfunctions.udf.CIQ($F33,AH$2,AH$3,$H$2,,,$H$3)</f>
        <v>#NAME?</v>
      </c>
      <c r="AI33" s="74" t="e" cm="1">
        <f t="array" aca="1" ref="AI33" ca="1">_xll.ciqfunctions.udf.CIQ($F33,AI$2,AI$3,$H$2,,,$H$3)</f>
        <v>#NAME?</v>
      </c>
      <c r="AJ33" s="74" t="e" cm="1">
        <f t="array" aca="1" ref="AJ33" ca="1">_xll.ciqfunctions.udf.CIQ($F33,AJ$2,AJ$3,$H$2,,,$H$3)</f>
        <v>#NAME?</v>
      </c>
      <c r="AK33" s="74" t="e" cm="1">
        <f t="array" aca="1" ref="AK33" ca="1">_xll.ciqfunctions.udf.CIQ($F33,AK$2,AK$3,$H$2,,,$H$3)</f>
        <v>#NAME?</v>
      </c>
      <c r="AL33" s="74" t="e" cm="1">
        <f t="array" aca="1" ref="AL33" ca="1">_xll.ciqfunctions.udf.CIQ($F33,AL$2,AL$3,$H$2,,,$H$3)</f>
        <v>#NAME?</v>
      </c>
      <c r="AM33" s="74" t="e" cm="1">
        <f t="array" aca="1" ref="AM33" ca="1">_xll.ciqfunctions.udf.CIQ($F33,AM$2,AM$3,$H$2,,,$H$3)</f>
        <v>#NAME?</v>
      </c>
      <c r="AN33" s="74" t="e" cm="1">
        <f t="array" aca="1" ref="AN33" ca="1">_xll.ciqfunctions.udf.CIQ($F33,AN$2,AN$3,$H$2,,,$H$3)</f>
        <v>#NAME?</v>
      </c>
      <c r="AO33" s="74" t="e" cm="1">
        <f t="array" aca="1" ref="AO33" ca="1">_xll.ciqfunctions.udf.CIQ($F33,AO$2,AO$3,$H$2,,,$H$3)</f>
        <v>#NAME?</v>
      </c>
      <c r="AP33" s="74" t="e" cm="1">
        <f t="array" aca="1" ref="AP33" ca="1">_xll.ciqfunctions.udf.CIQ($F33,AP$2,AP$3,$H$2,,,$H$3)</f>
        <v>#NAME?</v>
      </c>
      <c r="AQ33" s="77">
        <f t="shared" ca="1" si="100"/>
        <v>0</v>
      </c>
      <c r="AR33" s="77">
        <f t="shared" ca="1" si="101"/>
        <v>0</v>
      </c>
      <c r="AS33" s="77">
        <f t="shared" ca="1" si="102"/>
        <v>0</v>
      </c>
      <c r="AT33" s="77">
        <f t="shared" ca="1" si="111"/>
        <v>0</v>
      </c>
      <c r="AU33" s="77">
        <f t="shared" ca="1" si="112"/>
        <v>0</v>
      </c>
      <c r="AV33" s="77">
        <f t="shared" ca="1" si="113"/>
        <v>0</v>
      </c>
      <c r="AW33" s="74" t="e" cm="1">
        <f t="array" aca="1" ref="AW33" ca="1">_xll.ciqfunctions.udf.CIQ($F33,AW$2,AW$3,$H$2,,,$H$3)</f>
        <v>#NAME?</v>
      </c>
      <c r="AX33" s="74" t="e" cm="1">
        <f t="array" aca="1" ref="AX33" ca="1">_xll.ciqfunctions.udf.CIQ($F33,AX$2,AX$3,$H$2,,,$H$3)</f>
        <v>#NAME?</v>
      </c>
      <c r="AY33" s="74" t="e" cm="1">
        <f t="array" aca="1" ref="AY33" ca="1">_xll.ciqfunctions.udf.CIQ($F33,AY$2,AY$3,$H$2,,,$H$3)</f>
        <v>#NAME?</v>
      </c>
      <c r="AZ33" s="74" t="e" cm="1">
        <f t="array" aca="1" ref="AZ33" ca="1">_xll.ciqfunctions.udf.CIQ($F33,AZ$2,AZ$3,$H$2,,,$H$3)</f>
        <v>#NAME?</v>
      </c>
      <c r="BA33" s="74" t="e" cm="1">
        <f t="array" aca="1" ref="BA33" ca="1">_xll.ciqfunctions.udf.CIQ($F33,BA$2,BA$3,$H$2,,,$H$3)</f>
        <v>#NAME?</v>
      </c>
      <c r="BB33" s="74" t="e" cm="1">
        <f t="array" aca="1" ref="BB33" ca="1">_xll.ciqfunctions.udf.CIQ($F33,BB$2,BB$3,$H$2,,,$H$3)</f>
        <v>#NAME?</v>
      </c>
      <c r="BC33" s="74" t="e">
        <f t="shared" ca="1" si="103"/>
        <v>#NAME?</v>
      </c>
      <c r="BD33" s="74" t="e">
        <f t="shared" ca="1" si="85"/>
        <v>#NAME?</v>
      </c>
      <c r="BE33" s="74" t="e">
        <f t="shared" ca="1" si="86"/>
        <v>#NAME?</v>
      </c>
      <c r="BF33" s="74" t="e">
        <f t="shared" ca="1" si="87"/>
        <v>#NAME?</v>
      </c>
      <c r="BG33" s="74" t="e">
        <f t="shared" ca="1" si="88"/>
        <v>#NAME?</v>
      </c>
      <c r="BH33" s="74" t="e">
        <f t="shared" ca="1" si="89"/>
        <v>#NAME?</v>
      </c>
      <c r="BJ33" s="79" t="str">
        <f t="shared" ca="1" si="104"/>
        <v>n/a</v>
      </c>
      <c r="BK33" s="79" t="str">
        <f t="shared" ca="1" si="90"/>
        <v>n/a</v>
      </c>
      <c r="BL33" s="79" t="str">
        <f t="shared" ca="1" si="91"/>
        <v>n/a</v>
      </c>
      <c r="BM33" s="119" t="str">
        <f t="shared" ca="1" si="92"/>
        <v>n/a</v>
      </c>
      <c r="BN33" s="79" t="str">
        <f t="shared" ca="1" si="105"/>
        <v>n/a</v>
      </c>
      <c r="BO33" s="79" t="str">
        <f t="shared" ca="1" si="93"/>
        <v>n/a</v>
      </c>
      <c r="BP33" s="79" t="str">
        <f t="shared" ca="1" si="94"/>
        <v>n/a</v>
      </c>
      <c r="BQ33" s="119" t="str">
        <f t="shared" ca="1" si="95"/>
        <v>n/a</v>
      </c>
      <c r="BR33" s="79" t="str">
        <f t="shared" ca="1" si="106"/>
        <v>n/a</v>
      </c>
      <c r="BS33" s="79" t="str">
        <f t="shared" ca="1" si="96"/>
        <v>n/a</v>
      </c>
      <c r="BT33" s="79" t="str">
        <f t="shared" ca="1" si="97"/>
        <v>n/a</v>
      </c>
      <c r="BU33" s="79" t="str">
        <f t="shared" ca="1" si="98"/>
        <v>n/a</v>
      </c>
    </row>
    <row r="34" spans="1:74" x14ac:dyDescent="0.4">
      <c r="C34" s="1" t="str">
        <f>_xll.ciqfunctions.udf.CIQ(F34, "IQ_COMPANY_NAME")</f>
        <v>Costco Wholesale Corporation</v>
      </c>
      <c r="E34" s="42"/>
      <c r="F34" s="70" t="s">
        <v>83</v>
      </c>
      <c r="G34" s="129"/>
      <c r="H34" s="129"/>
      <c r="J34" s="75" t="e" cm="1">
        <f t="array" aca="1" ref="J34" ca="1">_xll.ciqfunctions.udf.CIQ($F34,J$2,$H$2,$H$3)</f>
        <v>#NAME?</v>
      </c>
      <c r="K34" s="75" t="e" cm="1">
        <f t="array" aca="1" ref="K34" ca="1">_xll.ciqfunctions.udf.CIQ($F34,K$2,$H$2,$H$3)</f>
        <v>#NAME?</v>
      </c>
      <c r="L34" s="77" t="e">
        <f t="shared" ca="1" si="114"/>
        <v>#NAME?</v>
      </c>
      <c r="M34" s="75" t="e" cm="1">
        <f t="array" aca="1" ref="M34" ca="1">_xll.ciqfunctions.udf.CIQ($F34,M$2,DATE(YEAR($H$2),1,1),$H$3)</f>
        <v>#NAME?</v>
      </c>
      <c r="N34" s="75" t="e" cm="1">
        <f t="array" aca="1" ref="N34" ca="1">_xll.ciqfunctions.udf.CIQ($F34,N$2,EDATE($H$2,-12),$H$3)</f>
        <v>#NAME?</v>
      </c>
      <c r="O34" s="75" t="e" cm="1">
        <f t="array" aca="1" ref="O34" ca="1">_xll.ciqfunctions.udf.CIQ($F34,O$2,EDATE($H$2,3),$H$3)</f>
        <v>#NAME?</v>
      </c>
      <c r="P34" s="75" t="e" cm="1">
        <f t="array" aca="1" ref="P34" ca="1">_xll.ciqfunctions.udf.CIQ($F34,P$2,EDATE($H$2,-36),$H$3)</f>
        <v>#NAME?</v>
      </c>
      <c r="Q34" s="77" t="e">
        <f t="shared" ref="Q34:Q36" ca="1" si="116">$J34/M34-1</f>
        <v>#NAME?</v>
      </c>
      <c r="R34" s="77" t="e">
        <f t="shared" ca="1" si="115"/>
        <v>#NAME?</v>
      </c>
      <c r="S34" s="77" t="e">
        <f t="shared" ca="1" si="107"/>
        <v>#NAME?</v>
      </c>
      <c r="T34" s="77" t="e">
        <f t="shared" ca="1" si="99"/>
        <v>#NAME?</v>
      </c>
      <c r="V34" s="74" t="e" cm="1">
        <f t="array" aca="1" ref="V34" ca="1">_xll.ciqfunctions.udf.CIQ($F34,V$2,$H$2,$H$3)</f>
        <v>#NAME?</v>
      </c>
      <c r="W34" s="74" t="e">
        <f t="shared" ca="1" si="108"/>
        <v>#NAME?</v>
      </c>
      <c r="X34" s="74" t="e" cm="1">
        <f t="array" aca="1" ref="X34" ca="1">_xll.ciqfunctions.udf.CIQ($F34,X$2,"IQ_LTM",$H$2,,,$H$3)</f>
        <v>#NAME?</v>
      </c>
      <c r="Y34" s="74" t="e" cm="1">
        <f t="array" aca="1" ref="Y34" ca="1">_xll.ciqfunctions.udf.CIQ($F34,Y$2,"IQ_LTM",$H$2,,,$H$3)</f>
        <v>#NAME?</v>
      </c>
      <c r="Z34" s="74" t="e" cm="1">
        <f t="array" aca="1" ref="Z34" ca="1">_xll.ciqfunctions.udf.CIQ($F34,Z$2,"IQ_LTM",$H$2,,,$H$3)</f>
        <v>#NAME?</v>
      </c>
      <c r="AA34" s="74" t="e" cm="1">
        <f t="array" aca="1" ref="AA34" ca="1">_xll.ciqfunctions.udf.CIQ($F34,AA$2,"IQ_LTM",$H$2,,,$H$3)</f>
        <v>#NAME?</v>
      </c>
      <c r="AB34" s="74" t="e">
        <f t="shared" ca="1" si="109"/>
        <v>#NAME?</v>
      </c>
      <c r="AC34" s="74" t="e">
        <f t="shared" ca="1" si="110"/>
        <v>#NAME?</v>
      </c>
      <c r="AE34" s="74" t="e" cm="1">
        <f t="array" aca="1" ref="AE34" ca="1">_xll.ciqfunctions.udf.CIQ($F34,AE$2,AE$3,$H$2,,,$H$3)</f>
        <v>#NAME?</v>
      </c>
      <c r="AF34" s="74" t="e" cm="1">
        <f t="array" aca="1" ref="AF34" ca="1">_xll.ciqfunctions.udf.CIQ($F34,AF$2,AF$3,$H$2,,,$H$3)</f>
        <v>#NAME?</v>
      </c>
      <c r="AG34" s="74" t="e" cm="1">
        <f t="array" aca="1" ref="AG34" ca="1">_xll.ciqfunctions.udf.CIQ($F34,AG$2,AG$3,$H$2,,,$H$3)</f>
        <v>#NAME?</v>
      </c>
      <c r="AH34" s="74" t="e" cm="1">
        <f t="array" aca="1" ref="AH34" ca="1">_xll.ciqfunctions.udf.CIQ($F34,AH$2,AH$3,$H$2,,,$H$3)</f>
        <v>#NAME?</v>
      </c>
      <c r="AI34" s="74" t="e" cm="1">
        <f t="array" aca="1" ref="AI34" ca="1">_xll.ciqfunctions.udf.CIQ($F34,AI$2,AI$3,$H$2,,,$H$3)</f>
        <v>#NAME?</v>
      </c>
      <c r="AJ34" s="74" t="e" cm="1">
        <f t="array" aca="1" ref="AJ34" ca="1">_xll.ciqfunctions.udf.CIQ($F34,AJ$2,AJ$3,$H$2,,,$H$3)</f>
        <v>#NAME?</v>
      </c>
      <c r="AK34" s="74" t="e" cm="1">
        <f t="array" aca="1" ref="AK34" ca="1">_xll.ciqfunctions.udf.CIQ($F34,AK$2,AK$3,$H$2,,,$H$3)</f>
        <v>#NAME?</v>
      </c>
      <c r="AL34" s="74" t="e" cm="1">
        <f t="array" aca="1" ref="AL34" ca="1">_xll.ciqfunctions.udf.CIQ($F34,AL$2,AL$3,$H$2,,,$H$3)</f>
        <v>#NAME?</v>
      </c>
      <c r="AM34" s="74" t="e" cm="1">
        <f t="array" aca="1" ref="AM34" ca="1">_xll.ciqfunctions.udf.CIQ($F34,AM$2,AM$3,$H$2,,,$H$3)</f>
        <v>#NAME?</v>
      </c>
      <c r="AN34" s="74" t="e" cm="1">
        <f t="array" aca="1" ref="AN34" ca="1">_xll.ciqfunctions.udf.CIQ($F34,AN$2,AN$3,$H$2,,,$H$3)</f>
        <v>#NAME?</v>
      </c>
      <c r="AO34" s="74" t="e" cm="1">
        <f t="array" aca="1" ref="AO34" ca="1">_xll.ciqfunctions.udf.CIQ($F34,AO$2,AO$3,$H$2,,,$H$3)</f>
        <v>#NAME?</v>
      </c>
      <c r="AP34" s="74" t="e" cm="1">
        <f t="array" aca="1" ref="AP34" ca="1">_xll.ciqfunctions.udf.CIQ($F34,AP$2,AP$3,$H$2,,,$H$3)</f>
        <v>#NAME?</v>
      </c>
      <c r="AQ34" s="77">
        <f t="shared" ca="1" si="100"/>
        <v>0</v>
      </c>
      <c r="AR34" s="77">
        <f t="shared" ca="1" si="101"/>
        <v>0</v>
      </c>
      <c r="AS34" s="77">
        <f t="shared" ca="1" si="102"/>
        <v>0</v>
      </c>
      <c r="AT34" s="77">
        <f t="shared" ca="1" si="111"/>
        <v>0</v>
      </c>
      <c r="AU34" s="77">
        <f t="shared" ca="1" si="112"/>
        <v>0</v>
      </c>
      <c r="AV34" s="77">
        <f t="shared" ca="1" si="113"/>
        <v>0</v>
      </c>
      <c r="AW34" s="74" t="e" cm="1">
        <f t="array" aca="1" ref="AW34" ca="1">_xll.ciqfunctions.udf.CIQ($F34,AW$2,AW$3,$H$2,,,$H$3)</f>
        <v>#NAME?</v>
      </c>
      <c r="AX34" s="74" t="e" cm="1">
        <f t="array" aca="1" ref="AX34" ca="1">_xll.ciqfunctions.udf.CIQ($F34,AX$2,AX$3,$H$2,,,$H$3)</f>
        <v>#NAME?</v>
      </c>
      <c r="AY34" s="74" t="e" cm="1">
        <f t="array" aca="1" ref="AY34" ca="1">_xll.ciqfunctions.udf.CIQ($F34,AY$2,AY$3,$H$2,,,$H$3)</f>
        <v>#NAME?</v>
      </c>
      <c r="AZ34" s="74" t="e" cm="1">
        <f t="array" aca="1" ref="AZ34" ca="1">_xll.ciqfunctions.udf.CIQ($F34,AZ$2,AZ$3,$H$2,,,$H$3)</f>
        <v>#NAME?</v>
      </c>
      <c r="BA34" s="74" t="e" cm="1">
        <f t="array" aca="1" ref="BA34" ca="1">_xll.ciqfunctions.udf.CIQ($F34,BA$2,BA$3,$H$2,,,$H$3)</f>
        <v>#NAME?</v>
      </c>
      <c r="BB34" s="74" t="e" cm="1">
        <f t="array" aca="1" ref="BB34" ca="1">_xll.ciqfunctions.udf.CIQ($F34,BB$2,BB$3,$H$2,,,$H$3)</f>
        <v>#NAME?</v>
      </c>
      <c r="BC34" s="74" t="e">
        <f t="shared" ca="1" si="103"/>
        <v>#NAME?</v>
      </c>
      <c r="BD34" s="74" t="e">
        <f t="shared" ca="1" si="85"/>
        <v>#NAME?</v>
      </c>
      <c r="BE34" s="74" t="e">
        <f t="shared" ca="1" si="86"/>
        <v>#NAME?</v>
      </c>
      <c r="BF34" s="74" t="e">
        <f t="shared" ca="1" si="87"/>
        <v>#NAME?</v>
      </c>
      <c r="BG34" s="74" t="e">
        <f t="shared" ca="1" si="88"/>
        <v>#NAME?</v>
      </c>
      <c r="BH34" s="74" t="e">
        <f t="shared" ca="1" si="89"/>
        <v>#NAME?</v>
      </c>
      <c r="BJ34" s="79" t="str">
        <f t="shared" ca="1" si="104"/>
        <v>n/a</v>
      </c>
      <c r="BK34" s="79" t="str">
        <f t="shared" ca="1" si="90"/>
        <v>n/a</v>
      </c>
      <c r="BL34" s="79" t="str">
        <f t="shared" ca="1" si="91"/>
        <v>n/a</v>
      </c>
      <c r="BM34" s="119" t="str">
        <f t="shared" ca="1" si="92"/>
        <v>n/a</v>
      </c>
      <c r="BN34" s="79" t="str">
        <f t="shared" ca="1" si="105"/>
        <v>n/a</v>
      </c>
      <c r="BO34" s="79" t="str">
        <f t="shared" ca="1" si="93"/>
        <v>n/a</v>
      </c>
      <c r="BP34" s="79" t="str">
        <f t="shared" ca="1" si="94"/>
        <v>n/a</v>
      </c>
      <c r="BQ34" s="119" t="str">
        <f t="shared" ca="1" si="95"/>
        <v>n/a</v>
      </c>
      <c r="BR34" s="79" t="str">
        <f t="shared" ca="1" si="106"/>
        <v>n/a</v>
      </c>
      <c r="BS34" s="79" t="str">
        <f t="shared" ca="1" si="96"/>
        <v>n/a</v>
      </c>
      <c r="BT34" s="79" t="str">
        <f t="shared" ca="1" si="97"/>
        <v>n/a</v>
      </c>
      <c r="BU34" s="79" t="str">
        <f t="shared" ca="1" si="98"/>
        <v>n/a</v>
      </c>
    </row>
    <row r="35" spans="1:74" x14ac:dyDescent="0.4">
      <c r="C35" s="1" t="str">
        <f>_xll.ciqfunctions.udf.CIQ(F35, "IQ_COMPANY_NAME")</f>
        <v>Costco Wholesale Corporation</v>
      </c>
      <c r="E35" s="42"/>
      <c r="F35" s="70" t="s">
        <v>83</v>
      </c>
      <c r="G35" s="129"/>
      <c r="H35" s="129"/>
      <c r="J35" s="75" t="e" cm="1">
        <f t="array" aca="1" ref="J35" ca="1">_xll.ciqfunctions.udf.CIQ($F35,J$2,$H$2,$H$3)</f>
        <v>#NAME?</v>
      </c>
      <c r="K35" s="75" t="e" cm="1">
        <f t="array" aca="1" ref="K35" ca="1">_xll.ciqfunctions.udf.CIQ($F35,K$2,$H$2,$H$3)</f>
        <v>#NAME?</v>
      </c>
      <c r="L35" s="77" t="e">
        <f ca="1">++J35/K35</f>
        <v>#NAME?</v>
      </c>
      <c r="M35" s="75" t="e" cm="1">
        <f t="array" aca="1" ref="M35" ca="1">_xll.ciqfunctions.udf.CIQ($F35,M$2,DATE(YEAR($H$2),1,1),$H$3)</f>
        <v>#NAME?</v>
      </c>
      <c r="N35" s="75" t="e" cm="1">
        <f t="array" aca="1" ref="N35" ca="1">_xll.ciqfunctions.udf.CIQ($F35,N$2,EDATE($H$2,-12),$H$3)</f>
        <v>#NAME?</v>
      </c>
      <c r="O35" s="75" t="e" cm="1">
        <f t="array" aca="1" ref="O35" ca="1">_xll.ciqfunctions.udf.CIQ($F35,O$2,EDATE($H$2,3),$H$3)</f>
        <v>#NAME?</v>
      </c>
      <c r="P35" s="75" t="e" cm="1">
        <f t="array" aca="1" ref="P35" ca="1">_xll.ciqfunctions.udf.CIQ($F35,P$2,EDATE($H$2,-36),$H$3)</f>
        <v>#NAME?</v>
      </c>
      <c r="Q35" s="77" t="e">
        <f t="shared" ca="1" si="116"/>
        <v>#NAME?</v>
      </c>
      <c r="R35" s="77" t="e">
        <f t="shared" ca="1" si="115"/>
        <v>#NAME?</v>
      </c>
      <c r="S35" s="77" t="e">
        <f t="shared" ca="1" si="107"/>
        <v>#NAME?</v>
      </c>
      <c r="T35" s="77" t="e">
        <f t="shared" ca="1" si="99"/>
        <v>#NAME?</v>
      </c>
      <c r="V35" s="74" t="e" cm="1">
        <f t="array" aca="1" ref="V35" ca="1">_xll.ciqfunctions.udf.CIQ($F35,V$2,$H$2,$H$3)</f>
        <v>#NAME?</v>
      </c>
      <c r="W35" s="74" t="e">
        <f t="shared" ca="1" si="108"/>
        <v>#NAME?</v>
      </c>
      <c r="X35" s="74" t="e" cm="1">
        <f t="array" aca="1" ref="X35" ca="1">_xll.ciqfunctions.udf.CIQ($F35,X$2,"IQ_LTM",$H$2,,,$H$3)</f>
        <v>#NAME?</v>
      </c>
      <c r="Y35" s="74" t="e" cm="1">
        <f t="array" aca="1" ref="Y35" ca="1">_xll.ciqfunctions.udf.CIQ($F35,Y$2,"IQ_LTM",$H$2,,,$H$3)</f>
        <v>#NAME?</v>
      </c>
      <c r="Z35" s="74" t="e" cm="1">
        <f t="array" aca="1" ref="Z35" ca="1">_xll.ciqfunctions.udf.CIQ($F35,Z$2,"IQ_LTM",$H$2,,,$H$3)</f>
        <v>#NAME?</v>
      </c>
      <c r="AA35" s="74" t="e" cm="1">
        <f t="array" aca="1" ref="AA35" ca="1">_xll.ciqfunctions.udf.CIQ($F35,AA$2,"IQ_LTM",$H$2,,,$H$3)</f>
        <v>#NAME?</v>
      </c>
      <c r="AB35" s="74" t="e">
        <f t="shared" ca="1" si="109"/>
        <v>#NAME?</v>
      </c>
      <c r="AC35" s="74" t="e">
        <f t="shared" ca="1" si="110"/>
        <v>#NAME?</v>
      </c>
      <c r="AE35" s="74" t="e" cm="1">
        <f t="array" aca="1" ref="AE35" ca="1">_xll.ciqfunctions.udf.CIQ($F35,AE$2,AE$3,$H$2,,,$H$3)</f>
        <v>#NAME?</v>
      </c>
      <c r="AF35" s="74" t="e" cm="1">
        <f t="array" aca="1" ref="AF35" ca="1">_xll.ciqfunctions.udf.CIQ($F35,AF$2,AF$3,$H$2,,,$H$3)</f>
        <v>#NAME?</v>
      </c>
      <c r="AG35" s="74" t="e" cm="1">
        <f t="array" aca="1" ref="AG35" ca="1">_xll.ciqfunctions.udf.CIQ($F35,AG$2,AG$3,$H$2,,,$H$3)</f>
        <v>#NAME?</v>
      </c>
      <c r="AH35" s="74" t="e" cm="1">
        <f t="array" aca="1" ref="AH35" ca="1">_xll.ciqfunctions.udf.CIQ($F35,AH$2,AH$3,$H$2,,,$H$3)</f>
        <v>#NAME?</v>
      </c>
      <c r="AI35" s="74" t="e" cm="1">
        <f t="array" aca="1" ref="AI35" ca="1">_xll.ciqfunctions.udf.CIQ($F35,AI$2,AI$3,$H$2,,,$H$3)</f>
        <v>#NAME?</v>
      </c>
      <c r="AJ35" s="74" t="e" cm="1">
        <f t="array" aca="1" ref="AJ35" ca="1">_xll.ciqfunctions.udf.CIQ($F35,AJ$2,AJ$3,$H$2,,,$H$3)</f>
        <v>#NAME?</v>
      </c>
      <c r="AK35" s="74" t="e" cm="1">
        <f t="array" aca="1" ref="AK35" ca="1">_xll.ciqfunctions.udf.CIQ($F35,AK$2,AK$3,$H$2,,,$H$3)</f>
        <v>#NAME?</v>
      </c>
      <c r="AL35" s="74" t="e" cm="1">
        <f t="array" aca="1" ref="AL35" ca="1">_xll.ciqfunctions.udf.CIQ($F35,AL$2,AL$3,$H$2,,,$H$3)</f>
        <v>#NAME?</v>
      </c>
      <c r="AM35" s="74" t="e" cm="1">
        <f t="array" aca="1" ref="AM35" ca="1">_xll.ciqfunctions.udf.CIQ($F35,AM$2,AM$3,$H$2,,,$H$3)</f>
        <v>#NAME?</v>
      </c>
      <c r="AN35" s="74" t="e" cm="1">
        <f t="array" aca="1" ref="AN35" ca="1">_xll.ciqfunctions.udf.CIQ($F35,AN$2,AN$3,$H$2,,,$H$3)</f>
        <v>#NAME?</v>
      </c>
      <c r="AO35" s="74" t="e" cm="1">
        <f t="array" aca="1" ref="AO35" ca="1">_xll.ciqfunctions.udf.CIQ($F35,AO$2,AO$3,$H$2,,,$H$3)</f>
        <v>#NAME?</v>
      </c>
      <c r="AP35" s="74" t="e" cm="1">
        <f t="array" aca="1" ref="AP35" ca="1">_xll.ciqfunctions.udf.CIQ($F35,AP$2,AP$3,$H$2,,,$H$3)</f>
        <v>#NAME?</v>
      </c>
      <c r="AQ35" s="77">
        <f t="shared" ca="1" si="100"/>
        <v>0</v>
      </c>
      <c r="AR35" s="77">
        <f t="shared" ca="1" si="101"/>
        <v>0</v>
      </c>
      <c r="AS35" s="77">
        <f t="shared" ca="1" si="102"/>
        <v>0</v>
      </c>
      <c r="AT35" s="77">
        <f t="shared" ca="1" si="111"/>
        <v>0</v>
      </c>
      <c r="AU35" s="77">
        <f t="shared" ca="1" si="112"/>
        <v>0</v>
      </c>
      <c r="AV35" s="77">
        <f t="shared" ca="1" si="113"/>
        <v>0</v>
      </c>
      <c r="AW35" s="74" t="e" cm="1">
        <f t="array" aca="1" ref="AW35" ca="1">_xll.ciqfunctions.udf.CIQ($F35,AW$2,AW$3,$H$2,,,$H$3)</f>
        <v>#NAME?</v>
      </c>
      <c r="AX35" s="74" t="e" cm="1">
        <f t="array" aca="1" ref="AX35" ca="1">_xll.ciqfunctions.udf.CIQ($F35,AX$2,AX$3,$H$2,,,$H$3)</f>
        <v>#NAME?</v>
      </c>
      <c r="AY35" s="74" t="e" cm="1">
        <f t="array" aca="1" ref="AY35" ca="1">_xll.ciqfunctions.udf.CIQ($F35,AY$2,AY$3,$H$2,,,$H$3)</f>
        <v>#NAME?</v>
      </c>
      <c r="AZ35" s="74" t="e" cm="1">
        <f t="array" aca="1" ref="AZ35" ca="1">_xll.ciqfunctions.udf.CIQ($F35,AZ$2,AZ$3,$H$2,,,$H$3)</f>
        <v>#NAME?</v>
      </c>
      <c r="BA35" s="74" t="e" cm="1">
        <f t="array" aca="1" ref="BA35" ca="1">_xll.ciqfunctions.udf.CIQ($F35,BA$2,BA$3,$H$2,,,$H$3)</f>
        <v>#NAME?</v>
      </c>
      <c r="BB35" s="74" t="e" cm="1">
        <f t="array" aca="1" ref="BB35" ca="1">_xll.ciqfunctions.udf.CIQ($F35,BB$2,BB$3,$H$2,,,$H$3)</f>
        <v>#NAME?</v>
      </c>
      <c r="BC35" s="74" t="e">
        <f t="shared" ca="1" si="103"/>
        <v>#NAME?</v>
      </c>
      <c r="BD35" s="74" t="e">
        <f t="shared" ca="1" si="85"/>
        <v>#NAME?</v>
      </c>
      <c r="BE35" s="74" t="e">
        <f t="shared" ca="1" si="86"/>
        <v>#NAME?</v>
      </c>
      <c r="BF35" s="74" t="e">
        <f t="shared" ca="1" si="87"/>
        <v>#NAME?</v>
      </c>
      <c r="BG35" s="74" t="e">
        <f t="shared" ca="1" si="88"/>
        <v>#NAME?</v>
      </c>
      <c r="BH35" s="74" t="e">
        <f t="shared" ca="1" si="89"/>
        <v>#NAME?</v>
      </c>
      <c r="BJ35" s="79" t="str">
        <f t="shared" ca="1" si="104"/>
        <v>n/a</v>
      </c>
      <c r="BK35" s="79" t="str">
        <f t="shared" ca="1" si="90"/>
        <v>n/a</v>
      </c>
      <c r="BL35" s="79" t="str">
        <f t="shared" ca="1" si="91"/>
        <v>n/a</v>
      </c>
      <c r="BM35" s="119" t="str">
        <f t="shared" ca="1" si="92"/>
        <v>n/a</v>
      </c>
      <c r="BN35" s="79" t="str">
        <f t="shared" ca="1" si="105"/>
        <v>n/a</v>
      </c>
      <c r="BO35" s="79" t="str">
        <f t="shared" ca="1" si="93"/>
        <v>n/a</v>
      </c>
      <c r="BP35" s="79" t="str">
        <f t="shared" ca="1" si="94"/>
        <v>n/a</v>
      </c>
      <c r="BQ35" s="119" t="str">
        <f t="shared" ca="1" si="95"/>
        <v>n/a</v>
      </c>
      <c r="BR35" s="79" t="str">
        <f t="shared" ca="1" si="106"/>
        <v>n/a</v>
      </c>
      <c r="BS35" s="79" t="str">
        <f t="shared" ca="1" si="96"/>
        <v>n/a</v>
      </c>
      <c r="BT35" s="79" t="str">
        <f t="shared" ca="1" si="97"/>
        <v>n/a</v>
      </c>
      <c r="BU35" s="79" t="str">
        <f t="shared" ca="1" si="98"/>
        <v>n/a</v>
      </c>
    </row>
    <row r="36" spans="1:74" x14ac:dyDescent="0.4">
      <c r="C36" s="1" t="str">
        <f>_xll.ciqfunctions.udf.CIQ(F36, "IQ_COMPANY_NAME")</f>
        <v>Costco Wholesale Corporation</v>
      </c>
      <c r="E36" s="42"/>
      <c r="F36" s="70" t="s">
        <v>83</v>
      </c>
      <c r="G36" s="129"/>
      <c r="H36" s="129"/>
      <c r="J36" s="75" t="e" cm="1">
        <f t="array" aca="1" ref="J36" ca="1">_xll.ciqfunctions.udf.CIQ($F36,J$2,$H$2,$H$3)</f>
        <v>#NAME?</v>
      </c>
      <c r="K36" s="75" t="e" cm="1">
        <f t="array" aca="1" ref="K36" ca="1">_xll.ciqfunctions.udf.CIQ($F36,K$2,$H$2,$H$3)</f>
        <v>#NAME?</v>
      </c>
      <c r="L36" s="77" t="e">
        <f t="shared" ca="1" si="114"/>
        <v>#NAME?</v>
      </c>
      <c r="M36" s="75" t="e" cm="1">
        <f t="array" aca="1" ref="M36" ca="1">_xll.ciqfunctions.udf.CIQ($F36,M$2,DATE(YEAR($H$2),1,1),$H$3)</f>
        <v>#NAME?</v>
      </c>
      <c r="N36" s="75" t="e" cm="1">
        <f t="array" aca="1" ref="N36" ca="1">_xll.ciqfunctions.udf.CIQ($F36,N$2,EDATE($H$2,-12),$H$3)</f>
        <v>#NAME?</v>
      </c>
      <c r="O36" s="75" t="e" cm="1">
        <f t="array" aca="1" ref="O36" ca="1">_xll.ciqfunctions.udf.CIQ($F36,O$2,EDATE($H$2,3),$H$3)</f>
        <v>#NAME?</v>
      </c>
      <c r="P36" s="75" t="e" cm="1">
        <f t="array" aca="1" ref="P36" ca="1">_xll.ciqfunctions.udf.CIQ($F36,P$2,EDATE($H$2,-36),$H$3)</f>
        <v>#NAME?</v>
      </c>
      <c r="Q36" s="77" t="e">
        <f t="shared" ca="1" si="116"/>
        <v>#NAME?</v>
      </c>
      <c r="R36" s="77" t="e">
        <f t="shared" ca="1" si="115"/>
        <v>#NAME?</v>
      </c>
      <c r="S36" s="77" t="e">
        <f t="shared" ca="1" si="107"/>
        <v>#NAME?</v>
      </c>
      <c r="T36" s="77" t="e">
        <f t="shared" ca="1" si="99"/>
        <v>#NAME?</v>
      </c>
      <c r="V36" s="74" t="e" cm="1">
        <f t="array" aca="1" ref="V36" ca="1">_xll.ciqfunctions.udf.CIQ($F36,V$2,$H$2,$H$3)</f>
        <v>#NAME?</v>
      </c>
      <c r="W36" s="74" t="e">
        <f t="shared" ca="1" si="108"/>
        <v>#NAME?</v>
      </c>
      <c r="X36" s="74" t="e" cm="1">
        <f t="array" aca="1" ref="X36" ca="1">_xll.ciqfunctions.udf.CIQ($F36,X$2,"IQ_LTM",$H$2,,,$H$3)</f>
        <v>#NAME?</v>
      </c>
      <c r="Y36" s="74" t="e" cm="1">
        <f t="array" aca="1" ref="Y36" ca="1">_xll.ciqfunctions.udf.CIQ($F36,Y$2,"IQ_LTM",$H$2,,,$H$3)</f>
        <v>#NAME?</v>
      </c>
      <c r="Z36" s="74" t="e" cm="1">
        <f t="array" aca="1" ref="Z36" ca="1">_xll.ciqfunctions.udf.CIQ($F36,Z$2,"IQ_LTM",$H$2,,,$H$3)</f>
        <v>#NAME?</v>
      </c>
      <c r="AA36" s="74" t="e" cm="1">
        <f t="array" aca="1" ref="AA36" ca="1">_xll.ciqfunctions.udf.CIQ($F36,AA$2,"IQ_LTM",$H$2,,,$H$3)</f>
        <v>#NAME?</v>
      </c>
      <c r="AB36" s="74" t="e">
        <f t="shared" ca="1" si="109"/>
        <v>#NAME?</v>
      </c>
      <c r="AC36" s="74" t="e">
        <f t="shared" ca="1" si="110"/>
        <v>#NAME?</v>
      </c>
      <c r="AE36" s="74" t="e" cm="1">
        <f t="array" aca="1" ref="AE36" ca="1">_xll.ciqfunctions.udf.CIQ($F36,AE$2,AE$3,$H$2,,,$H$3)</f>
        <v>#NAME?</v>
      </c>
      <c r="AF36" s="74" t="e" cm="1">
        <f t="array" aca="1" ref="AF36" ca="1">_xll.ciqfunctions.udf.CIQ($F36,AF$2,AF$3,$H$2,,,$H$3)</f>
        <v>#NAME?</v>
      </c>
      <c r="AG36" s="74" t="e" cm="1">
        <f t="array" aca="1" ref="AG36" ca="1">_xll.ciqfunctions.udf.CIQ($F36,AG$2,AG$3,$H$2,,,$H$3)</f>
        <v>#NAME?</v>
      </c>
      <c r="AH36" s="74" t="e" cm="1">
        <f t="array" aca="1" ref="AH36" ca="1">_xll.ciqfunctions.udf.CIQ($F36,AH$2,AH$3,$H$2,,,$H$3)</f>
        <v>#NAME?</v>
      </c>
      <c r="AI36" s="74" t="e" cm="1">
        <f t="array" aca="1" ref="AI36" ca="1">_xll.ciqfunctions.udf.CIQ($F36,AI$2,AI$3,$H$2,,,$H$3)</f>
        <v>#NAME?</v>
      </c>
      <c r="AJ36" s="74" t="e" cm="1">
        <f t="array" aca="1" ref="AJ36" ca="1">_xll.ciqfunctions.udf.CIQ($F36,AJ$2,AJ$3,$H$2,,,$H$3)</f>
        <v>#NAME?</v>
      </c>
      <c r="AK36" s="74" t="e" cm="1">
        <f t="array" aca="1" ref="AK36" ca="1">_xll.ciqfunctions.udf.CIQ($F36,AK$2,AK$3,$H$2,,,$H$3)</f>
        <v>#NAME?</v>
      </c>
      <c r="AL36" s="74" t="e" cm="1">
        <f t="array" aca="1" ref="AL36" ca="1">_xll.ciqfunctions.udf.CIQ($F36,AL$2,AL$3,$H$2,,,$H$3)</f>
        <v>#NAME?</v>
      </c>
      <c r="AM36" s="74" t="e" cm="1">
        <f t="array" aca="1" ref="AM36" ca="1">_xll.ciqfunctions.udf.CIQ($F36,AM$2,AM$3,$H$2,,,$H$3)</f>
        <v>#NAME?</v>
      </c>
      <c r="AN36" s="74" t="e" cm="1">
        <f t="array" aca="1" ref="AN36" ca="1">_xll.ciqfunctions.udf.CIQ($F36,AN$2,AN$3,$H$2,,,$H$3)</f>
        <v>#NAME?</v>
      </c>
      <c r="AO36" s="74" t="e" cm="1">
        <f t="array" aca="1" ref="AO36" ca="1">_xll.ciqfunctions.udf.CIQ($F36,AO$2,AO$3,$H$2,,,$H$3)</f>
        <v>#NAME?</v>
      </c>
      <c r="AP36" s="74" t="e" cm="1">
        <f t="array" aca="1" ref="AP36" ca="1">_xll.ciqfunctions.udf.CIQ($F36,AP$2,AP$3,$H$2,,,$H$3)</f>
        <v>#NAME?</v>
      </c>
      <c r="AQ36" s="77">
        <f t="shared" ca="1" si="100"/>
        <v>0</v>
      </c>
      <c r="AR36" s="77">
        <f t="shared" ca="1" si="101"/>
        <v>0</v>
      </c>
      <c r="AS36" s="77">
        <f t="shared" ca="1" si="102"/>
        <v>0</v>
      </c>
      <c r="AT36" s="77">
        <f t="shared" ca="1" si="111"/>
        <v>0</v>
      </c>
      <c r="AU36" s="77">
        <f t="shared" ca="1" si="112"/>
        <v>0</v>
      </c>
      <c r="AV36" s="77">
        <f t="shared" ca="1" si="113"/>
        <v>0</v>
      </c>
      <c r="AW36" s="74" t="e" cm="1">
        <f t="array" aca="1" ref="AW36" ca="1">_xll.ciqfunctions.udf.CIQ($F36,AW$2,AW$3,$H$2,,,$H$3)</f>
        <v>#NAME?</v>
      </c>
      <c r="AX36" s="74" t="e" cm="1">
        <f t="array" aca="1" ref="AX36" ca="1">_xll.ciqfunctions.udf.CIQ($F36,AX$2,AX$3,$H$2,,,$H$3)</f>
        <v>#NAME?</v>
      </c>
      <c r="AY36" s="74" t="e" cm="1">
        <f t="array" aca="1" ref="AY36" ca="1">_xll.ciqfunctions.udf.CIQ($F36,AY$2,AY$3,$H$2,,,$H$3)</f>
        <v>#NAME?</v>
      </c>
      <c r="AZ36" s="74" t="e" cm="1">
        <f t="array" aca="1" ref="AZ36" ca="1">_xll.ciqfunctions.udf.CIQ($F36,AZ$2,AZ$3,$H$2,,,$H$3)</f>
        <v>#NAME?</v>
      </c>
      <c r="BA36" s="74" t="e" cm="1">
        <f t="array" aca="1" ref="BA36" ca="1">_xll.ciqfunctions.udf.CIQ($F36,BA$2,BA$3,$H$2,,,$H$3)</f>
        <v>#NAME?</v>
      </c>
      <c r="BB36" s="74" t="e" cm="1">
        <f t="array" aca="1" ref="BB36" ca="1">_xll.ciqfunctions.udf.CIQ($F36,BB$2,BB$3,$H$2,,,$H$3)</f>
        <v>#NAME?</v>
      </c>
      <c r="BC36" s="74" t="e">
        <f t="shared" ca="1" si="103"/>
        <v>#NAME?</v>
      </c>
      <c r="BD36" s="74" t="e">
        <f t="shared" ca="1" si="85"/>
        <v>#NAME?</v>
      </c>
      <c r="BE36" s="74" t="e">
        <f t="shared" ca="1" si="86"/>
        <v>#NAME?</v>
      </c>
      <c r="BF36" s="74" t="e">
        <f t="shared" ca="1" si="87"/>
        <v>#NAME?</v>
      </c>
      <c r="BG36" s="74" t="e">
        <f t="shared" ca="1" si="88"/>
        <v>#NAME?</v>
      </c>
      <c r="BH36" s="74" t="e">
        <f t="shared" ca="1" si="89"/>
        <v>#NAME?</v>
      </c>
      <c r="BJ36" s="79" t="str">
        <f t="shared" ca="1" si="104"/>
        <v>n/a</v>
      </c>
      <c r="BK36" s="79" t="str">
        <f t="shared" ca="1" si="90"/>
        <v>n/a</v>
      </c>
      <c r="BL36" s="79" t="str">
        <f t="shared" ca="1" si="91"/>
        <v>n/a</v>
      </c>
      <c r="BM36" s="119" t="str">
        <f t="shared" ca="1" si="92"/>
        <v>n/a</v>
      </c>
      <c r="BN36" s="79" t="str">
        <f t="shared" ca="1" si="105"/>
        <v>n/a</v>
      </c>
      <c r="BO36" s="79" t="str">
        <f t="shared" ca="1" si="93"/>
        <v>n/a</v>
      </c>
      <c r="BP36" s="79" t="str">
        <f t="shared" ca="1" si="94"/>
        <v>n/a</v>
      </c>
      <c r="BQ36" s="119" t="str">
        <f t="shared" ca="1" si="95"/>
        <v>n/a</v>
      </c>
      <c r="BR36" s="79" t="str">
        <f t="shared" ca="1" si="106"/>
        <v>n/a</v>
      </c>
      <c r="BS36" s="79" t="str">
        <f t="shared" ca="1" si="96"/>
        <v>n/a</v>
      </c>
      <c r="BT36" s="79" t="str">
        <f t="shared" ca="1" si="97"/>
        <v>n/a</v>
      </c>
      <c r="BU36" s="79" t="str">
        <f t="shared" ca="1" si="98"/>
        <v>n/a</v>
      </c>
    </row>
    <row r="37" spans="1:74" ht="5.0999999999999996" customHeight="1" x14ac:dyDescent="0.4">
      <c r="BM37" s="117"/>
      <c r="BQ37" s="117"/>
    </row>
    <row r="38" spans="1:74" x14ac:dyDescent="0.4">
      <c r="C38" s="88" t="s">
        <v>78</v>
      </c>
      <c r="D38" s="89"/>
      <c r="E38" s="89"/>
      <c r="F38" s="89"/>
      <c r="G38" s="89"/>
      <c r="H38" s="89"/>
      <c r="I38" s="90"/>
      <c r="J38" s="91"/>
      <c r="K38" s="91"/>
      <c r="L38" s="92" t="e">
        <f ca="1">++MAX(L$29:L$36)</f>
        <v>#NAME?</v>
      </c>
      <c r="M38" s="92"/>
      <c r="N38" s="92"/>
      <c r="O38" s="92"/>
      <c r="P38" s="92"/>
      <c r="Q38" s="92" t="e">
        <f t="shared" ref="Q38:T38" ca="1" si="117">++MAX(Q$29:Q$36)</f>
        <v>#NAME?</v>
      </c>
      <c r="R38" s="92" t="e">
        <f t="shared" ca="1" si="117"/>
        <v>#NAME?</v>
      </c>
      <c r="S38" s="92" t="e">
        <f t="shared" ca="1" si="117"/>
        <v>#NAME?</v>
      </c>
      <c r="T38" s="92" t="e">
        <f t="shared" ca="1" si="117"/>
        <v>#NAME?</v>
      </c>
      <c r="U38" s="90"/>
      <c r="V38" s="91"/>
      <c r="W38" s="91"/>
      <c r="X38" s="91"/>
      <c r="Y38" s="91"/>
      <c r="Z38" s="91"/>
      <c r="AA38" s="91"/>
      <c r="AB38" s="91"/>
      <c r="AC38" s="91"/>
      <c r="AD38" s="90"/>
      <c r="AE38" s="91" t="e">
        <f t="shared" ref="AE38:AV38" ca="1" si="118">++MAX(AE$29:AE$36)</f>
        <v>#NAME?</v>
      </c>
      <c r="AF38" s="91" t="e">
        <f t="shared" ca="1" si="118"/>
        <v>#NAME?</v>
      </c>
      <c r="AG38" s="91" t="e">
        <f t="shared" ca="1" si="118"/>
        <v>#NAME?</v>
      </c>
      <c r="AH38" s="91" t="e">
        <f t="shared" ca="1" si="118"/>
        <v>#NAME?</v>
      </c>
      <c r="AI38" s="91" t="e">
        <f t="shared" ca="1" si="118"/>
        <v>#NAME?</v>
      </c>
      <c r="AJ38" s="91" t="e">
        <f t="shared" ca="1" si="118"/>
        <v>#NAME?</v>
      </c>
      <c r="AK38" s="91" t="e">
        <f t="shared" ca="1" si="118"/>
        <v>#NAME?</v>
      </c>
      <c r="AL38" s="91" t="e">
        <f t="shared" ca="1" si="118"/>
        <v>#NAME?</v>
      </c>
      <c r="AM38" s="91" t="e">
        <f t="shared" ca="1" si="118"/>
        <v>#NAME?</v>
      </c>
      <c r="AN38" s="91" t="e">
        <f t="shared" ca="1" si="118"/>
        <v>#NAME?</v>
      </c>
      <c r="AO38" s="91" t="e">
        <f t="shared" ca="1" si="118"/>
        <v>#NAME?</v>
      </c>
      <c r="AP38" s="91" t="e">
        <f t="shared" ca="1" si="118"/>
        <v>#NAME?</v>
      </c>
      <c r="AQ38" s="92">
        <f t="shared" ca="1" si="118"/>
        <v>0</v>
      </c>
      <c r="AR38" s="92">
        <f t="shared" ca="1" si="118"/>
        <v>0</v>
      </c>
      <c r="AS38" s="92">
        <f t="shared" ca="1" si="118"/>
        <v>0</v>
      </c>
      <c r="AT38" s="92">
        <f t="shared" ca="1" si="118"/>
        <v>0</v>
      </c>
      <c r="AU38" s="92">
        <f t="shared" ca="1" si="118"/>
        <v>0</v>
      </c>
      <c r="AV38" s="92">
        <f t="shared" ca="1" si="118"/>
        <v>0</v>
      </c>
      <c r="AW38" s="91"/>
      <c r="AX38" s="91"/>
      <c r="AY38" s="91"/>
      <c r="AZ38" s="91"/>
      <c r="BA38" s="91"/>
      <c r="BB38" s="91"/>
      <c r="BC38" s="91"/>
      <c r="BD38" s="91"/>
      <c r="BE38" s="91"/>
      <c r="BF38" s="91"/>
      <c r="BG38" s="91"/>
      <c r="BH38" s="91"/>
      <c r="BI38" s="90"/>
      <c r="BJ38" s="93">
        <f t="shared" ref="BJ38:BU38" ca="1" si="119">++MAX(BJ$29:BJ$36)</f>
        <v>0</v>
      </c>
      <c r="BK38" s="93">
        <f t="shared" ca="1" si="119"/>
        <v>0</v>
      </c>
      <c r="BL38" s="93">
        <f t="shared" ca="1" si="119"/>
        <v>0</v>
      </c>
      <c r="BM38" s="123">
        <f t="shared" ca="1" si="119"/>
        <v>0</v>
      </c>
      <c r="BN38" s="93">
        <f t="shared" ca="1" si="119"/>
        <v>0</v>
      </c>
      <c r="BO38" s="93">
        <f t="shared" ca="1" si="119"/>
        <v>0</v>
      </c>
      <c r="BP38" s="93">
        <f t="shared" ca="1" si="119"/>
        <v>0</v>
      </c>
      <c r="BQ38" s="123">
        <f t="shared" ca="1" si="119"/>
        <v>0</v>
      </c>
      <c r="BR38" s="93">
        <f t="shared" ca="1" si="119"/>
        <v>0</v>
      </c>
      <c r="BS38" s="93">
        <f t="shared" ca="1" si="119"/>
        <v>0</v>
      </c>
      <c r="BT38" s="93">
        <f t="shared" ca="1" si="119"/>
        <v>0</v>
      </c>
      <c r="BU38" s="94">
        <f t="shared" ca="1" si="119"/>
        <v>0</v>
      </c>
      <c r="BV38" s="11" t="s">
        <v>40</v>
      </c>
    </row>
    <row r="39" spans="1:74" x14ac:dyDescent="0.4">
      <c r="C39" s="95" t="s">
        <v>79</v>
      </c>
      <c r="D39" s="96"/>
      <c r="E39" s="96"/>
      <c r="F39" s="96"/>
      <c r="G39" s="96"/>
      <c r="H39" s="96"/>
      <c r="I39" s="97"/>
      <c r="J39" s="98"/>
      <c r="K39" s="98"/>
      <c r="L39" s="99" t="e">
        <f ca="1">++MIN(L$29:L$36)</f>
        <v>#NAME?</v>
      </c>
      <c r="M39" s="99"/>
      <c r="N39" s="99"/>
      <c r="O39" s="99"/>
      <c r="P39" s="99"/>
      <c r="Q39" s="99" t="e">
        <f t="shared" ref="Q39:T39" ca="1" si="120">++MIN(Q$29:Q$36)</f>
        <v>#NAME?</v>
      </c>
      <c r="R39" s="99" t="e">
        <f t="shared" ca="1" si="120"/>
        <v>#NAME?</v>
      </c>
      <c r="S39" s="99" t="e">
        <f t="shared" ca="1" si="120"/>
        <v>#NAME?</v>
      </c>
      <c r="T39" s="99" t="e">
        <f t="shared" ca="1" si="120"/>
        <v>#NAME?</v>
      </c>
      <c r="U39" s="97"/>
      <c r="V39" s="98"/>
      <c r="W39" s="98"/>
      <c r="X39" s="98"/>
      <c r="Y39" s="98"/>
      <c r="Z39" s="98"/>
      <c r="AA39" s="98"/>
      <c r="AB39" s="98"/>
      <c r="AC39" s="98"/>
      <c r="AD39" s="97"/>
      <c r="AE39" s="98" t="e">
        <f t="shared" ref="AE39:AV39" ca="1" si="121">++MIN(AE$29:AE$36)</f>
        <v>#NAME?</v>
      </c>
      <c r="AF39" s="98" t="e">
        <f t="shared" ca="1" si="121"/>
        <v>#NAME?</v>
      </c>
      <c r="AG39" s="98" t="e">
        <f t="shared" ca="1" si="121"/>
        <v>#NAME?</v>
      </c>
      <c r="AH39" s="98" t="e">
        <f t="shared" ca="1" si="121"/>
        <v>#NAME?</v>
      </c>
      <c r="AI39" s="98" t="e">
        <f t="shared" ca="1" si="121"/>
        <v>#NAME?</v>
      </c>
      <c r="AJ39" s="98" t="e">
        <f t="shared" ca="1" si="121"/>
        <v>#NAME?</v>
      </c>
      <c r="AK39" s="98" t="e">
        <f t="shared" ca="1" si="121"/>
        <v>#NAME?</v>
      </c>
      <c r="AL39" s="98" t="e">
        <f t="shared" ca="1" si="121"/>
        <v>#NAME?</v>
      </c>
      <c r="AM39" s="98" t="e">
        <f t="shared" ca="1" si="121"/>
        <v>#NAME?</v>
      </c>
      <c r="AN39" s="98" t="e">
        <f t="shared" ca="1" si="121"/>
        <v>#NAME?</v>
      </c>
      <c r="AO39" s="98" t="e">
        <f t="shared" ca="1" si="121"/>
        <v>#NAME?</v>
      </c>
      <c r="AP39" s="98" t="e">
        <f t="shared" ca="1" si="121"/>
        <v>#NAME?</v>
      </c>
      <c r="AQ39" s="99">
        <f t="shared" ca="1" si="121"/>
        <v>0</v>
      </c>
      <c r="AR39" s="99">
        <f t="shared" ca="1" si="121"/>
        <v>0</v>
      </c>
      <c r="AS39" s="99">
        <f t="shared" ca="1" si="121"/>
        <v>0</v>
      </c>
      <c r="AT39" s="99">
        <f t="shared" ca="1" si="121"/>
        <v>0</v>
      </c>
      <c r="AU39" s="99">
        <f t="shared" ca="1" si="121"/>
        <v>0</v>
      </c>
      <c r="AV39" s="99">
        <f t="shared" ca="1" si="121"/>
        <v>0</v>
      </c>
      <c r="AW39" s="98"/>
      <c r="AX39" s="98"/>
      <c r="AY39" s="98"/>
      <c r="AZ39" s="98"/>
      <c r="BA39" s="98"/>
      <c r="BB39" s="98"/>
      <c r="BC39" s="98"/>
      <c r="BD39" s="98"/>
      <c r="BE39" s="98"/>
      <c r="BF39" s="98"/>
      <c r="BG39" s="98"/>
      <c r="BH39" s="98"/>
      <c r="BI39" s="97"/>
      <c r="BJ39" s="100">
        <f t="shared" ref="BJ39:BU39" ca="1" si="122">++MIN(BJ$29:BJ$36)</f>
        <v>0</v>
      </c>
      <c r="BK39" s="100">
        <f t="shared" ca="1" si="122"/>
        <v>0</v>
      </c>
      <c r="BL39" s="100">
        <f t="shared" ca="1" si="122"/>
        <v>0</v>
      </c>
      <c r="BM39" s="124">
        <f t="shared" ca="1" si="122"/>
        <v>0</v>
      </c>
      <c r="BN39" s="100">
        <f t="shared" ca="1" si="122"/>
        <v>0</v>
      </c>
      <c r="BO39" s="100">
        <f t="shared" ca="1" si="122"/>
        <v>0</v>
      </c>
      <c r="BP39" s="100">
        <f t="shared" ca="1" si="122"/>
        <v>0</v>
      </c>
      <c r="BQ39" s="124">
        <f t="shared" ca="1" si="122"/>
        <v>0</v>
      </c>
      <c r="BR39" s="100">
        <f t="shared" ca="1" si="122"/>
        <v>0</v>
      </c>
      <c r="BS39" s="100">
        <f t="shared" ca="1" si="122"/>
        <v>0</v>
      </c>
      <c r="BT39" s="100">
        <f t="shared" ca="1" si="122"/>
        <v>0</v>
      </c>
      <c r="BU39" s="101">
        <f t="shared" ca="1" si="122"/>
        <v>0</v>
      </c>
    </row>
    <row r="40" spans="1:74" x14ac:dyDescent="0.4">
      <c r="C40" s="95" t="s">
        <v>80</v>
      </c>
      <c r="D40" s="96"/>
      <c r="E40" s="96"/>
      <c r="F40" s="96"/>
      <c r="G40" s="96"/>
      <c r="H40" s="96"/>
      <c r="I40" s="97"/>
      <c r="J40" s="98"/>
      <c r="K40" s="98"/>
      <c r="L40" s="99" t="e">
        <f ca="1">++AVERAGE(L$29:L$36)</f>
        <v>#NAME?</v>
      </c>
      <c r="M40" s="99"/>
      <c r="N40" s="99"/>
      <c r="O40" s="99"/>
      <c r="P40" s="99"/>
      <c r="Q40" s="99" t="e">
        <f t="shared" ref="Q40:T40" ca="1" si="123">++AVERAGE(Q$29:Q$36)</f>
        <v>#NAME?</v>
      </c>
      <c r="R40" s="99" t="e">
        <f t="shared" ca="1" si="123"/>
        <v>#NAME?</v>
      </c>
      <c r="S40" s="99" t="e">
        <f t="shared" ca="1" si="123"/>
        <v>#NAME?</v>
      </c>
      <c r="T40" s="99" t="e">
        <f t="shared" ca="1" si="123"/>
        <v>#NAME?</v>
      </c>
      <c r="U40" s="97"/>
      <c r="V40" s="98"/>
      <c r="W40" s="98"/>
      <c r="X40" s="98"/>
      <c r="Y40" s="98"/>
      <c r="Z40" s="98"/>
      <c r="AA40" s="98"/>
      <c r="AB40" s="98"/>
      <c r="AC40" s="98"/>
      <c r="AD40" s="97"/>
      <c r="AE40" s="98" t="e">
        <f t="shared" ref="AE40:AV40" ca="1" si="124">++AVERAGE(AE$29:AE$36)</f>
        <v>#NAME?</v>
      </c>
      <c r="AF40" s="98" t="e">
        <f t="shared" ca="1" si="124"/>
        <v>#NAME?</v>
      </c>
      <c r="AG40" s="98" t="e">
        <f t="shared" ca="1" si="124"/>
        <v>#NAME?</v>
      </c>
      <c r="AH40" s="98" t="e">
        <f t="shared" ca="1" si="124"/>
        <v>#NAME?</v>
      </c>
      <c r="AI40" s="98" t="e">
        <f t="shared" ca="1" si="124"/>
        <v>#NAME?</v>
      </c>
      <c r="AJ40" s="98" t="e">
        <f t="shared" ca="1" si="124"/>
        <v>#NAME?</v>
      </c>
      <c r="AK40" s="98" t="e">
        <f t="shared" ca="1" si="124"/>
        <v>#NAME?</v>
      </c>
      <c r="AL40" s="98" t="e">
        <f t="shared" ca="1" si="124"/>
        <v>#NAME?</v>
      </c>
      <c r="AM40" s="98" t="e">
        <f t="shared" ca="1" si="124"/>
        <v>#NAME?</v>
      </c>
      <c r="AN40" s="98" t="e">
        <f t="shared" ca="1" si="124"/>
        <v>#NAME?</v>
      </c>
      <c r="AO40" s="98" t="e">
        <f t="shared" ca="1" si="124"/>
        <v>#NAME?</v>
      </c>
      <c r="AP40" s="98" t="e">
        <f t="shared" ca="1" si="124"/>
        <v>#NAME?</v>
      </c>
      <c r="AQ40" s="99">
        <f t="shared" ca="1" si="124"/>
        <v>0</v>
      </c>
      <c r="AR40" s="99">
        <f t="shared" ca="1" si="124"/>
        <v>0</v>
      </c>
      <c r="AS40" s="99">
        <f t="shared" ca="1" si="124"/>
        <v>0</v>
      </c>
      <c r="AT40" s="99">
        <f t="shared" ca="1" si="124"/>
        <v>0</v>
      </c>
      <c r="AU40" s="99">
        <f t="shared" ca="1" si="124"/>
        <v>0</v>
      </c>
      <c r="AV40" s="99">
        <f t="shared" ca="1" si="124"/>
        <v>0</v>
      </c>
      <c r="AW40" s="98"/>
      <c r="AX40" s="98"/>
      <c r="AY40" s="98"/>
      <c r="AZ40" s="98"/>
      <c r="BA40" s="98"/>
      <c r="BB40" s="98"/>
      <c r="BC40" s="98"/>
      <c r="BD40" s="98"/>
      <c r="BE40" s="98"/>
      <c r="BF40" s="98"/>
      <c r="BG40" s="98"/>
      <c r="BH40" s="98"/>
      <c r="BI40" s="97"/>
      <c r="BJ40" s="100" t="e">
        <f t="shared" ref="BJ40:BU40" ca="1" si="125">++AVERAGE(BJ$29:BJ$36)</f>
        <v>#DIV/0!</v>
      </c>
      <c r="BK40" s="100" t="e">
        <f t="shared" ca="1" si="125"/>
        <v>#DIV/0!</v>
      </c>
      <c r="BL40" s="100" t="e">
        <f t="shared" ca="1" si="125"/>
        <v>#DIV/0!</v>
      </c>
      <c r="BM40" s="124" t="e">
        <f t="shared" ca="1" si="125"/>
        <v>#DIV/0!</v>
      </c>
      <c r="BN40" s="100" t="e">
        <f t="shared" ca="1" si="125"/>
        <v>#DIV/0!</v>
      </c>
      <c r="BO40" s="100" t="e">
        <f t="shared" ca="1" si="125"/>
        <v>#DIV/0!</v>
      </c>
      <c r="BP40" s="100" t="e">
        <f t="shared" ca="1" si="125"/>
        <v>#DIV/0!</v>
      </c>
      <c r="BQ40" s="124" t="e">
        <f t="shared" ca="1" si="125"/>
        <v>#DIV/0!</v>
      </c>
      <c r="BR40" s="100" t="e">
        <f t="shared" ca="1" si="125"/>
        <v>#DIV/0!</v>
      </c>
      <c r="BS40" s="100" t="e">
        <f t="shared" ca="1" si="125"/>
        <v>#DIV/0!</v>
      </c>
      <c r="BT40" s="100" t="e">
        <f t="shared" ca="1" si="125"/>
        <v>#DIV/0!</v>
      </c>
      <c r="BU40" s="101" t="e">
        <f t="shared" ca="1" si="125"/>
        <v>#DIV/0!</v>
      </c>
    </row>
    <row r="41" spans="1:74" x14ac:dyDescent="0.4">
      <c r="B41" s="11" t="s">
        <v>40</v>
      </c>
      <c r="C41" s="102" t="s">
        <v>81</v>
      </c>
      <c r="D41" s="103"/>
      <c r="E41" s="103"/>
      <c r="F41" s="103"/>
      <c r="G41" s="103"/>
      <c r="H41" s="103"/>
      <c r="I41" s="104"/>
      <c r="J41" s="105"/>
      <c r="K41" s="105"/>
      <c r="L41" s="106" t="e">
        <f ca="1">++MEDIAN(L$29:L$36)</f>
        <v>#NAME?</v>
      </c>
      <c r="M41" s="106"/>
      <c r="N41" s="106"/>
      <c r="O41" s="106"/>
      <c r="P41" s="106"/>
      <c r="Q41" s="106" t="e">
        <f t="shared" ref="Q41:T41" ca="1" si="126">++MEDIAN(Q$29:Q$36)</f>
        <v>#NAME?</v>
      </c>
      <c r="R41" s="106" t="e">
        <f t="shared" ca="1" si="126"/>
        <v>#NAME?</v>
      </c>
      <c r="S41" s="106" t="e">
        <f t="shared" ca="1" si="126"/>
        <v>#NAME?</v>
      </c>
      <c r="T41" s="106" t="e">
        <f t="shared" ca="1" si="126"/>
        <v>#NAME?</v>
      </c>
      <c r="U41" s="104"/>
      <c r="V41" s="105"/>
      <c r="W41" s="105"/>
      <c r="X41" s="105"/>
      <c r="Y41" s="105"/>
      <c r="Z41" s="105"/>
      <c r="AA41" s="105"/>
      <c r="AB41" s="105"/>
      <c r="AC41" s="105"/>
      <c r="AD41" s="104"/>
      <c r="AE41" s="105" t="e">
        <f t="shared" ref="AE41:AV41" ca="1" si="127">++MEDIAN(AE$29:AE$36)</f>
        <v>#NAME?</v>
      </c>
      <c r="AF41" s="105" t="e">
        <f t="shared" ca="1" si="127"/>
        <v>#NAME?</v>
      </c>
      <c r="AG41" s="105" t="e">
        <f t="shared" ca="1" si="127"/>
        <v>#NAME?</v>
      </c>
      <c r="AH41" s="105" t="e">
        <f t="shared" ca="1" si="127"/>
        <v>#NAME?</v>
      </c>
      <c r="AI41" s="105" t="e">
        <f t="shared" ca="1" si="127"/>
        <v>#NAME?</v>
      </c>
      <c r="AJ41" s="105" t="e">
        <f t="shared" ca="1" si="127"/>
        <v>#NAME?</v>
      </c>
      <c r="AK41" s="105" t="e">
        <f t="shared" ca="1" si="127"/>
        <v>#NAME?</v>
      </c>
      <c r="AL41" s="105" t="e">
        <f t="shared" ca="1" si="127"/>
        <v>#NAME?</v>
      </c>
      <c r="AM41" s="105" t="e">
        <f t="shared" ca="1" si="127"/>
        <v>#NAME?</v>
      </c>
      <c r="AN41" s="105" t="e">
        <f t="shared" ca="1" si="127"/>
        <v>#NAME?</v>
      </c>
      <c r="AO41" s="105" t="e">
        <f t="shared" ca="1" si="127"/>
        <v>#NAME?</v>
      </c>
      <c r="AP41" s="105" t="e">
        <f t="shared" ca="1" si="127"/>
        <v>#NAME?</v>
      </c>
      <c r="AQ41" s="106">
        <f t="shared" ca="1" si="127"/>
        <v>0</v>
      </c>
      <c r="AR41" s="106">
        <f t="shared" ca="1" si="127"/>
        <v>0</v>
      </c>
      <c r="AS41" s="106">
        <f t="shared" ca="1" si="127"/>
        <v>0</v>
      </c>
      <c r="AT41" s="106">
        <f t="shared" ca="1" si="127"/>
        <v>0</v>
      </c>
      <c r="AU41" s="106">
        <f t="shared" ca="1" si="127"/>
        <v>0</v>
      </c>
      <c r="AV41" s="106">
        <f t="shared" ca="1" si="127"/>
        <v>0</v>
      </c>
      <c r="AW41" s="105"/>
      <c r="AX41" s="105"/>
      <c r="AY41" s="105"/>
      <c r="AZ41" s="105"/>
      <c r="BA41" s="105"/>
      <c r="BB41" s="105"/>
      <c r="BC41" s="105"/>
      <c r="BD41" s="105"/>
      <c r="BE41" s="105"/>
      <c r="BF41" s="105"/>
      <c r="BG41" s="105"/>
      <c r="BH41" s="105"/>
      <c r="BI41" s="104"/>
      <c r="BJ41" s="107" t="e">
        <f t="shared" ref="BJ41:BU41" ca="1" si="128">++MEDIAN(BJ$29:BJ$36)</f>
        <v>#NUM!</v>
      </c>
      <c r="BK41" s="107" t="e">
        <f t="shared" ca="1" si="128"/>
        <v>#NUM!</v>
      </c>
      <c r="BL41" s="107" t="e">
        <f t="shared" ca="1" si="128"/>
        <v>#NUM!</v>
      </c>
      <c r="BM41" s="125" t="e">
        <f t="shared" ca="1" si="128"/>
        <v>#NUM!</v>
      </c>
      <c r="BN41" s="107" t="e">
        <f t="shared" ca="1" si="128"/>
        <v>#NUM!</v>
      </c>
      <c r="BO41" s="107" t="e">
        <f t="shared" ca="1" si="128"/>
        <v>#NUM!</v>
      </c>
      <c r="BP41" s="107" t="e">
        <f t="shared" ca="1" si="128"/>
        <v>#NUM!</v>
      </c>
      <c r="BQ41" s="125" t="e">
        <f t="shared" ca="1" si="128"/>
        <v>#NUM!</v>
      </c>
      <c r="BR41" s="107" t="e">
        <f t="shared" ca="1" si="128"/>
        <v>#NUM!</v>
      </c>
      <c r="BS41" s="107" t="e">
        <f t="shared" ca="1" si="128"/>
        <v>#NUM!</v>
      </c>
      <c r="BT41" s="107" t="e">
        <f t="shared" ca="1" si="128"/>
        <v>#NUM!</v>
      </c>
      <c r="BU41" s="108" t="e">
        <f t="shared" ca="1" si="128"/>
        <v>#NUM!</v>
      </c>
    </row>
    <row r="42" spans="1:74" ht="5.0999999999999996" customHeight="1" x14ac:dyDescent="0.4"/>
    <row r="43" spans="1:74" x14ac:dyDescent="0.4">
      <c r="A43" s="11" t="s">
        <v>40</v>
      </c>
      <c r="B43" s="11" t="s">
        <v>40</v>
      </c>
      <c r="C43" s="109" t="s">
        <v>84</v>
      </c>
      <c r="D43" s="110"/>
      <c r="E43" s="110"/>
      <c r="F43" s="110"/>
      <c r="G43" s="110"/>
      <c r="H43" s="110"/>
      <c r="I43" s="110"/>
      <c r="J43" s="110"/>
      <c r="K43" s="110"/>
      <c r="L43" s="110"/>
      <c r="M43" s="110"/>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1"/>
      <c r="BV43" s="11" t="s">
        <v>40</v>
      </c>
    </row>
    <row r="44" spans="1:74" ht="5.0999999999999996" customHeight="1" x14ac:dyDescent="0.4"/>
    <row r="45" spans="1:74" x14ac:dyDescent="0.4">
      <c r="C45" s="20" t="s">
        <v>78</v>
      </c>
      <c r="D45" s="28"/>
      <c r="E45" s="28"/>
      <c r="F45" s="28"/>
      <c r="G45" s="28"/>
      <c r="H45" s="28"/>
      <c r="I45" s="2"/>
      <c r="J45" s="33"/>
      <c r="K45" s="33"/>
      <c r="L45" s="112" t="e">
        <f ca="1">++MAX(L$29:L$36,L$14:L$20)</f>
        <v>#NAME?</v>
      </c>
      <c r="M45" s="112"/>
      <c r="N45" s="112"/>
      <c r="O45" s="112"/>
      <c r="P45" s="112"/>
      <c r="Q45" s="112" t="e">
        <f t="shared" ref="Q45:T45" ca="1" si="129">++MAX(Q$29:Q$36,Q$14:Q$20)</f>
        <v>#NAME?</v>
      </c>
      <c r="R45" s="112" t="e">
        <f t="shared" ca="1" si="129"/>
        <v>#NAME?</v>
      </c>
      <c r="S45" s="112" t="e">
        <f t="shared" ca="1" si="129"/>
        <v>#NAME?</v>
      </c>
      <c r="T45" s="112" t="e">
        <f t="shared" ca="1" si="129"/>
        <v>#NAME?</v>
      </c>
      <c r="U45" s="2"/>
      <c r="V45" s="33"/>
      <c r="W45" s="33"/>
      <c r="X45" s="33"/>
      <c r="Y45" s="33"/>
      <c r="Z45" s="33"/>
      <c r="AA45" s="33"/>
      <c r="AB45" s="33"/>
      <c r="AC45" s="33"/>
      <c r="AD45" s="2"/>
      <c r="AE45" s="33" t="e">
        <f t="shared" ref="AE45:AV45" ca="1" si="130">++MAX(AE$29:AE$36,AE$14:AE$20)</f>
        <v>#NAME?</v>
      </c>
      <c r="AF45" s="33" t="e">
        <f t="shared" ca="1" si="130"/>
        <v>#NAME?</v>
      </c>
      <c r="AG45" s="33" t="e">
        <f t="shared" ca="1" si="130"/>
        <v>#NAME?</v>
      </c>
      <c r="AH45" s="33" t="e">
        <f t="shared" ca="1" si="130"/>
        <v>#NAME?</v>
      </c>
      <c r="AI45" s="33" t="e">
        <f t="shared" ca="1" si="130"/>
        <v>#NAME?</v>
      </c>
      <c r="AJ45" s="33" t="e">
        <f t="shared" ca="1" si="130"/>
        <v>#NAME?</v>
      </c>
      <c r="AK45" s="33" t="e">
        <f t="shared" ca="1" si="130"/>
        <v>#NAME?</v>
      </c>
      <c r="AL45" s="33" t="e">
        <f t="shared" ca="1" si="130"/>
        <v>#NAME?</v>
      </c>
      <c r="AM45" s="33" t="e">
        <f t="shared" ca="1" si="130"/>
        <v>#NAME?</v>
      </c>
      <c r="AN45" s="33" t="e">
        <f t="shared" ca="1" si="130"/>
        <v>#NAME?</v>
      </c>
      <c r="AO45" s="33" t="e">
        <f t="shared" ca="1" si="130"/>
        <v>#NAME?</v>
      </c>
      <c r="AP45" s="33" t="e">
        <f t="shared" ca="1" si="130"/>
        <v>#NAME?</v>
      </c>
      <c r="AQ45" s="112">
        <f t="shared" ca="1" si="130"/>
        <v>0</v>
      </c>
      <c r="AR45" s="112">
        <f t="shared" ca="1" si="130"/>
        <v>0</v>
      </c>
      <c r="AS45" s="112">
        <f t="shared" ca="1" si="130"/>
        <v>0</v>
      </c>
      <c r="AT45" s="112">
        <f t="shared" ca="1" si="130"/>
        <v>0</v>
      </c>
      <c r="AU45" s="112">
        <f t="shared" ca="1" si="130"/>
        <v>0</v>
      </c>
      <c r="AV45" s="112">
        <f t="shared" ca="1" si="130"/>
        <v>0</v>
      </c>
      <c r="AW45" s="33"/>
      <c r="AX45" s="33"/>
      <c r="AY45" s="33"/>
      <c r="AZ45" s="33"/>
      <c r="BA45" s="33"/>
      <c r="BB45" s="33"/>
      <c r="BC45" s="33"/>
      <c r="BD45" s="33"/>
      <c r="BE45" s="33"/>
      <c r="BF45" s="33"/>
      <c r="BG45" s="33"/>
      <c r="BH45" s="33"/>
      <c r="BI45" s="2"/>
      <c r="BJ45" s="34">
        <f t="shared" ref="BJ45:BU45" ca="1" si="131">++MAX(BJ$29:BJ$36,BJ$14:BJ$20)</f>
        <v>0</v>
      </c>
      <c r="BK45" s="34">
        <f t="shared" ca="1" si="131"/>
        <v>0</v>
      </c>
      <c r="BL45" s="34">
        <f t="shared" ca="1" si="131"/>
        <v>0</v>
      </c>
      <c r="BM45" s="126">
        <f t="shared" ca="1" si="131"/>
        <v>0</v>
      </c>
      <c r="BN45" s="34">
        <f t="shared" ca="1" si="131"/>
        <v>0</v>
      </c>
      <c r="BO45" s="34">
        <f t="shared" ca="1" si="131"/>
        <v>0</v>
      </c>
      <c r="BP45" s="34">
        <f t="shared" ca="1" si="131"/>
        <v>0</v>
      </c>
      <c r="BQ45" s="126">
        <f t="shared" ca="1" si="131"/>
        <v>0</v>
      </c>
      <c r="BR45" s="34">
        <f t="shared" ca="1" si="131"/>
        <v>0</v>
      </c>
      <c r="BS45" s="34">
        <f t="shared" ca="1" si="131"/>
        <v>0</v>
      </c>
      <c r="BT45" s="34">
        <f t="shared" ca="1" si="131"/>
        <v>0</v>
      </c>
      <c r="BU45" s="35">
        <f t="shared" ca="1" si="131"/>
        <v>0</v>
      </c>
    </row>
    <row r="46" spans="1:74" x14ac:dyDescent="0.4">
      <c r="C46" s="22" t="s">
        <v>79</v>
      </c>
      <c r="D46" s="29"/>
      <c r="E46" s="29"/>
      <c r="F46" s="29"/>
      <c r="G46" s="29"/>
      <c r="H46" s="29"/>
      <c r="I46" s="4"/>
      <c r="J46" s="30"/>
      <c r="K46" s="30"/>
      <c r="L46" s="113" t="e">
        <f ca="1">++MIN(L$29:L$36,L$14:L$20)</f>
        <v>#NAME?</v>
      </c>
      <c r="M46" s="113"/>
      <c r="N46" s="113"/>
      <c r="O46" s="113"/>
      <c r="P46" s="113"/>
      <c r="Q46" s="113" t="e">
        <f t="shared" ref="Q46:T46" ca="1" si="132">++MIN(Q$29:Q$36,Q$14:Q$20)</f>
        <v>#NAME?</v>
      </c>
      <c r="R46" s="113" t="e">
        <f t="shared" ca="1" si="132"/>
        <v>#NAME?</v>
      </c>
      <c r="S46" s="113" t="e">
        <f t="shared" ca="1" si="132"/>
        <v>#NAME?</v>
      </c>
      <c r="T46" s="113" t="e">
        <f t="shared" ca="1" si="132"/>
        <v>#NAME?</v>
      </c>
      <c r="U46" s="4"/>
      <c r="V46" s="30"/>
      <c r="W46" s="30"/>
      <c r="X46" s="30"/>
      <c r="Y46" s="30"/>
      <c r="Z46" s="30"/>
      <c r="AA46" s="30"/>
      <c r="AB46" s="30"/>
      <c r="AC46" s="30"/>
      <c r="AD46" s="4"/>
      <c r="AE46" s="30" t="e">
        <f t="shared" ref="AE46:AV46" ca="1" si="133">++MIN(AE$29:AE$36,AE$14:AE$20)</f>
        <v>#NAME?</v>
      </c>
      <c r="AF46" s="30" t="e">
        <f t="shared" ca="1" si="133"/>
        <v>#NAME?</v>
      </c>
      <c r="AG46" s="30" t="e">
        <f t="shared" ca="1" si="133"/>
        <v>#NAME?</v>
      </c>
      <c r="AH46" s="30" t="e">
        <f t="shared" ca="1" si="133"/>
        <v>#NAME?</v>
      </c>
      <c r="AI46" s="30" t="e">
        <f t="shared" ca="1" si="133"/>
        <v>#NAME?</v>
      </c>
      <c r="AJ46" s="30" t="e">
        <f t="shared" ca="1" si="133"/>
        <v>#NAME?</v>
      </c>
      <c r="AK46" s="30" t="e">
        <f t="shared" ca="1" si="133"/>
        <v>#NAME?</v>
      </c>
      <c r="AL46" s="30" t="e">
        <f t="shared" ca="1" si="133"/>
        <v>#NAME?</v>
      </c>
      <c r="AM46" s="30" t="e">
        <f t="shared" ca="1" si="133"/>
        <v>#NAME?</v>
      </c>
      <c r="AN46" s="30" t="e">
        <f t="shared" ca="1" si="133"/>
        <v>#NAME?</v>
      </c>
      <c r="AO46" s="30" t="e">
        <f t="shared" ca="1" si="133"/>
        <v>#NAME?</v>
      </c>
      <c r="AP46" s="30" t="e">
        <f t="shared" ca="1" si="133"/>
        <v>#NAME?</v>
      </c>
      <c r="AQ46" s="113">
        <f t="shared" ca="1" si="133"/>
        <v>0</v>
      </c>
      <c r="AR46" s="113">
        <f t="shared" ca="1" si="133"/>
        <v>0</v>
      </c>
      <c r="AS46" s="113">
        <f t="shared" ca="1" si="133"/>
        <v>0</v>
      </c>
      <c r="AT46" s="113">
        <f t="shared" ca="1" si="133"/>
        <v>0</v>
      </c>
      <c r="AU46" s="113">
        <f ca="1">++MIN(AU$29:AU$36,AU$14:AU$20)</f>
        <v>0</v>
      </c>
      <c r="AV46" s="113">
        <f t="shared" ca="1" si="133"/>
        <v>0</v>
      </c>
      <c r="AW46" s="30"/>
      <c r="AX46" s="30"/>
      <c r="AY46" s="30"/>
      <c r="AZ46" s="30"/>
      <c r="BA46" s="30"/>
      <c r="BB46" s="30"/>
      <c r="BC46" s="30"/>
      <c r="BD46" s="30"/>
      <c r="BE46" s="30"/>
      <c r="BF46" s="30"/>
      <c r="BG46" s="30"/>
      <c r="BH46" s="30"/>
      <c r="BI46" s="4"/>
      <c r="BJ46" s="36">
        <f t="shared" ref="BJ46:BU46" ca="1" si="134">++MIN(BJ$29:BJ$36,BJ$14:BJ$20)</f>
        <v>0</v>
      </c>
      <c r="BK46" s="36">
        <f t="shared" ca="1" si="134"/>
        <v>0</v>
      </c>
      <c r="BL46" s="36">
        <f t="shared" ca="1" si="134"/>
        <v>0</v>
      </c>
      <c r="BM46" s="127">
        <f t="shared" ca="1" si="134"/>
        <v>0</v>
      </c>
      <c r="BN46" s="36">
        <f t="shared" ca="1" si="134"/>
        <v>0</v>
      </c>
      <c r="BO46" s="36">
        <f t="shared" ca="1" si="134"/>
        <v>0</v>
      </c>
      <c r="BP46" s="36">
        <f t="shared" ca="1" si="134"/>
        <v>0</v>
      </c>
      <c r="BQ46" s="127">
        <f t="shared" ca="1" si="134"/>
        <v>0</v>
      </c>
      <c r="BR46" s="36">
        <f t="shared" ca="1" si="134"/>
        <v>0</v>
      </c>
      <c r="BS46" s="36">
        <f t="shared" ca="1" si="134"/>
        <v>0</v>
      </c>
      <c r="BT46" s="36">
        <f t="shared" ca="1" si="134"/>
        <v>0</v>
      </c>
      <c r="BU46" s="23">
        <f t="shared" ca="1" si="134"/>
        <v>0</v>
      </c>
    </row>
    <row r="47" spans="1:74" x14ac:dyDescent="0.4">
      <c r="C47" s="22" t="s">
        <v>80</v>
      </c>
      <c r="D47" s="29"/>
      <c r="E47" s="29"/>
      <c r="F47" s="29"/>
      <c r="G47" s="29"/>
      <c r="H47" s="29"/>
      <c r="I47" s="4"/>
      <c r="J47" s="30"/>
      <c r="K47" s="30"/>
      <c r="L47" s="113" t="e">
        <f ca="1">++AVERAGE(L$29:L$36,L$14:L$20)</f>
        <v>#NAME?</v>
      </c>
      <c r="M47" s="113"/>
      <c r="N47" s="113"/>
      <c r="O47" s="113"/>
      <c r="P47" s="113"/>
      <c r="Q47" s="113" t="e">
        <f t="shared" ref="Q47:T47" ca="1" si="135">++AVERAGE(Q$29:Q$36,Q$14:Q$20)</f>
        <v>#NAME?</v>
      </c>
      <c r="R47" s="113" t="e">
        <f t="shared" ca="1" si="135"/>
        <v>#NAME?</v>
      </c>
      <c r="S47" s="113" t="e">
        <f t="shared" ca="1" si="135"/>
        <v>#NAME?</v>
      </c>
      <c r="T47" s="113" t="e">
        <f t="shared" ca="1" si="135"/>
        <v>#NAME?</v>
      </c>
      <c r="U47" s="4"/>
      <c r="V47" s="30"/>
      <c r="W47" s="30"/>
      <c r="X47" s="30"/>
      <c r="Y47" s="30"/>
      <c r="Z47" s="30"/>
      <c r="AA47" s="30"/>
      <c r="AB47" s="30"/>
      <c r="AC47" s="30"/>
      <c r="AD47" s="4"/>
      <c r="AE47" s="30" t="e">
        <f t="shared" ref="AE47:AV47" ca="1" si="136">++AVERAGE(AE$29:AE$36,AE$14:AE$20)</f>
        <v>#NAME?</v>
      </c>
      <c r="AF47" s="30" t="e">
        <f t="shared" ca="1" si="136"/>
        <v>#NAME?</v>
      </c>
      <c r="AG47" s="30" t="e">
        <f t="shared" ca="1" si="136"/>
        <v>#NAME?</v>
      </c>
      <c r="AH47" s="30" t="e">
        <f t="shared" ca="1" si="136"/>
        <v>#NAME?</v>
      </c>
      <c r="AI47" s="30" t="e">
        <f t="shared" ca="1" si="136"/>
        <v>#NAME?</v>
      </c>
      <c r="AJ47" s="30" t="e">
        <f t="shared" ca="1" si="136"/>
        <v>#NAME?</v>
      </c>
      <c r="AK47" s="30" t="e">
        <f t="shared" ca="1" si="136"/>
        <v>#NAME?</v>
      </c>
      <c r="AL47" s="30" t="e">
        <f t="shared" ca="1" si="136"/>
        <v>#NAME?</v>
      </c>
      <c r="AM47" s="30" t="e">
        <f t="shared" ca="1" si="136"/>
        <v>#NAME?</v>
      </c>
      <c r="AN47" s="30" t="e">
        <f t="shared" ca="1" si="136"/>
        <v>#NAME?</v>
      </c>
      <c r="AO47" s="30" t="e">
        <f t="shared" ca="1" si="136"/>
        <v>#NAME?</v>
      </c>
      <c r="AP47" s="30" t="e">
        <f t="shared" ca="1" si="136"/>
        <v>#NAME?</v>
      </c>
      <c r="AQ47" s="113">
        <f t="shared" ca="1" si="136"/>
        <v>0</v>
      </c>
      <c r="AR47" s="113">
        <f t="shared" ca="1" si="136"/>
        <v>0</v>
      </c>
      <c r="AS47" s="113">
        <f t="shared" ca="1" si="136"/>
        <v>0</v>
      </c>
      <c r="AT47" s="113">
        <f ca="1">++AVERAGE(AT$29:AT$36,AT$14:AT$20)</f>
        <v>0</v>
      </c>
      <c r="AU47" s="113">
        <f t="shared" ca="1" si="136"/>
        <v>0</v>
      </c>
      <c r="AV47" s="113">
        <f t="shared" ca="1" si="136"/>
        <v>0</v>
      </c>
      <c r="AW47" s="30"/>
      <c r="AX47" s="30"/>
      <c r="AY47" s="30"/>
      <c r="AZ47" s="30"/>
      <c r="BA47" s="30"/>
      <c r="BB47" s="30"/>
      <c r="BC47" s="30"/>
      <c r="BD47" s="30"/>
      <c r="BE47" s="30"/>
      <c r="BF47" s="30"/>
      <c r="BG47" s="30"/>
      <c r="BH47" s="30"/>
      <c r="BI47" s="4"/>
      <c r="BJ47" s="36" t="e">
        <f t="shared" ref="BJ47:BU47" ca="1" si="137">++AVERAGE(BJ$29:BJ$36,BJ$14:BJ$20)</f>
        <v>#DIV/0!</v>
      </c>
      <c r="BK47" s="36" t="e">
        <f t="shared" ca="1" si="137"/>
        <v>#DIV/0!</v>
      </c>
      <c r="BL47" s="36" t="e">
        <f t="shared" ca="1" si="137"/>
        <v>#DIV/0!</v>
      </c>
      <c r="BM47" s="127" t="e">
        <f t="shared" ca="1" si="137"/>
        <v>#DIV/0!</v>
      </c>
      <c r="BN47" s="36" t="e">
        <f t="shared" ca="1" si="137"/>
        <v>#DIV/0!</v>
      </c>
      <c r="BO47" s="36" t="e">
        <f t="shared" ca="1" si="137"/>
        <v>#DIV/0!</v>
      </c>
      <c r="BP47" s="36" t="e">
        <f t="shared" ca="1" si="137"/>
        <v>#DIV/0!</v>
      </c>
      <c r="BQ47" s="127" t="e">
        <f t="shared" ca="1" si="137"/>
        <v>#DIV/0!</v>
      </c>
      <c r="BR47" s="36" t="e">
        <f t="shared" ca="1" si="137"/>
        <v>#DIV/0!</v>
      </c>
      <c r="BS47" s="36" t="e">
        <f t="shared" ca="1" si="137"/>
        <v>#DIV/0!</v>
      </c>
      <c r="BT47" s="36" t="e">
        <f t="shared" ca="1" si="137"/>
        <v>#DIV/0!</v>
      </c>
      <c r="BU47" s="23" t="e">
        <f t="shared" ca="1" si="137"/>
        <v>#DIV/0!</v>
      </c>
    </row>
    <row r="48" spans="1:74" x14ac:dyDescent="0.4">
      <c r="B48" s="11" t="s">
        <v>40</v>
      </c>
      <c r="C48" s="21" t="s">
        <v>81</v>
      </c>
      <c r="D48" s="31"/>
      <c r="E48" s="31"/>
      <c r="F48" s="31"/>
      <c r="G48" s="31"/>
      <c r="H48" s="31"/>
      <c r="I48" s="6"/>
      <c r="J48" s="39"/>
      <c r="K48" s="39"/>
      <c r="L48" s="114" t="e">
        <f ca="1">++MEDIAN(L$29:L$36,L$14:L$20)</f>
        <v>#NAME?</v>
      </c>
      <c r="M48" s="114"/>
      <c r="N48" s="114"/>
      <c r="O48" s="114"/>
      <c r="P48" s="114"/>
      <c r="Q48" s="114" t="e">
        <f t="shared" ref="Q48:T48" ca="1" si="138">++MEDIAN(Q$29:Q$36,Q$14:Q$20)</f>
        <v>#NAME?</v>
      </c>
      <c r="R48" s="114" t="e">
        <f t="shared" ca="1" si="138"/>
        <v>#NAME?</v>
      </c>
      <c r="S48" s="114" t="e">
        <f t="shared" ca="1" si="138"/>
        <v>#NAME?</v>
      </c>
      <c r="T48" s="114" t="e">
        <f t="shared" ca="1" si="138"/>
        <v>#NAME?</v>
      </c>
      <c r="U48" s="6"/>
      <c r="V48" s="32"/>
      <c r="W48" s="32"/>
      <c r="X48" s="32"/>
      <c r="Y48" s="32"/>
      <c r="Z48" s="32"/>
      <c r="AA48" s="32"/>
      <c r="AB48" s="32"/>
      <c r="AC48" s="32"/>
      <c r="AD48" s="6"/>
      <c r="AE48" s="32" t="e">
        <f t="shared" ref="AE48:AV48" ca="1" si="139">++MEDIAN(AE$29:AE$36,AE$14:AE$20)</f>
        <v>#NAME?</v>
      </c>
      <c r="AF48" s="32" t="e">
        <f t="shared" ca="1" si="139"/>
        <v>#NAME?</v>
      </c>
      <c r="AG48" s="32" t="e">
        <f t="shared" ca="1" si="139"/>
        <v>#NAME?</v>
      </c>
      <c r="AH48" s="32" t="e">
        <f t="shared" ca="1" si="139"/>
        <v>#NAME?</v>
      </c>
      <c r="AI48" s="32" t="e">
        <f t="shared" ca="1" si="139"/>
        <v>#NAME?</v>
      </c>
      <c r="AJ48" s="32" t="e">
        <f t="shared" ca="1" si="139"/>
        <v>#NAME?</v>
      </c>
      <c r="AK48" s="32" t="e">
        <f t="shared" ca="1" si="139"/>
        <v>#NAME?</v>
      </c>
      <c r="AL48" s="32" t="e">
        <f t="shared" ca="1" si="139"/>
        <v>#NAME?</v>
      </c>
      <c r="AM48" s="32" t="e">
        <f t="shared" ca="1" si="139"/>
        <v>#NAME?</v>
      </c>
      <c r="AN48" s="32" t="e">
        <f t="shared" ca="1" si="139"/>
        <v>#NAME?</v>
      </c>
      <c r="AO48" s="32" t="e">
        <f t="shared" ca="1" si="139"/>
        <v>#NAME?</v>
      </c>
      <c r="AP48" s="32" t="e">
        <f t="shared" ca="1" si="139"/>
        <v>#NAME?</v>
      </c>
      <c r="AQ48" s="114">
        <f t="shared" ca="1" si="139"/>
        <v>0</v>
      </c>
      <c r="AR48" s="114">
        <f t="shared" ca="1" si="139"/>
        <v>0</v>
      </c>
      <c r="AS48" s="114">
        <f t="shared" ca="1" si="139"/>
        <v>0</v>
      </c>
      <c r="AT48" s="114">
        <f ca="1">++MEDIAN(AT$29:AT$36,AT$14:AT$20)</f>
        <v>0</v>
      </c>
      <c r="AU48" s="114">
        <f t="shared" ca="1" si="139"/>
        <v>0</v>
      </c>
      <c r="AV48" s="114">
        <f t="shared" ca="1" si="139"/>
        <v>0</v>
      </c>
      <c r="AW48" s="32"/>
      <c r="AX48" s="32"/>
      <c r="AY48" s="32"/>
      <c r="AZ48" s="32"/>
      <c r="BA48" s="32"/>
      <c r="BB48" s="32"/>
      <c r="BC48" s="32"/>
      <c r="BD48" s="32"/>
      <c r="BE48" s="32"/>
      <c r="BF48" s="32"/>
      <c r="BG48" s="32"/>
      <c r="BH48" s="32"/>
      <c r="BI48" s="6"/>
      <c r="BJ48" s="37" t="e">
        <f t="shared" ref="BJ48:BU48" ca="1" si="140">++MEDIAN(BJ$29:BJ$36,BJ$14:BJ$20)</f>
        <v>#NUM!</v>
      </c>
      <c r="BK48" s="37" t="e">
        <f t="shared" ca="1" si="140"/>
        <v>#NUM!</v>
      </c>
      <c r="BL48" s="37" t="e">
        <f t="shared" ca="1" si="140"/>
        <v>#NUM!</v>
      </c>
      <c r="BM48" s="128" t="e">
        <f t="shared" ca="1" si="140"/>
        <v>#NUM!</v>
      </c>
      <c r="BN48" s="37" t="e">
        <f t="shared" ca="1" si="140"/>
        <v>#NUM!</v>
      </c>
      <c r="BO48" s="37" t="e">
        <f t="shared" ca="1" si="140"/>
        <v>#NUM!</v>
      </c>
      <c r="BP48" s="37" t="e">
        <f t="shared" ca="1" si="140"/>
        <v>#NUM!</v>
      </c>
      <c r="BQ48" s="128" t="e">
        <f t="shared" ca="1" si="140"/>
        <v>#NUM!</v>
      </c>
      <c r="BR48" s="37" t="e">
        <f t="shared" ca="1" si="140"/>
        <v>#NUM!</v>
      </c>
      <c r="BS48" s="37" t="e">
        <f t="shared" ca="1" si="140"/>
        <v>#NUM!</v>
      </c>
      <c r="BT48" s="37" t="e">
        <f t="shared" ca="1" si="140"/>
        <v>#NUM!</v>
      </c>
      <c r="BU48" s="38" t="e">
        <f t="shared" ca="1" si="140"/>
        <v>#NUM!</v>
      </c>
    </row>
    <row r="49" spans="1:73" ht="5.0999999999999996" customHeight="1" x14ac:dyDescent="0.4"/>
    <row r="50" spans="1:73" ht="5.0999999999999996" customHeight="1" x14ac:dyDescent="0.4"/>
    <row r="52" spans="1:73" x14ac:dyDescent="0.4">
      <c r="J52" s="26"/>
      <c r="K52" s="26"/>
      <c r="L52" s="26"/>
      <c r="M52" s="78"/>
      <c r="N52" s="26"/>
      <c r="O52" s="26"/>
      <c r="P52" s="26"/>
      <c r="Q52" s="78"/>
      <c r="R52" s="26"/>
      <c r="S52" s="26"/>
      <c r="T52" s="26"/>
      <c r="V52" s="26"/>
      <c r="W52" s="26"/>
      <c r="X52" s="26"/>
      <c r="Y52" s="26"/>
      <c r="Z52" s="26"/>
      <c r="AA52" s="26"/>
      <c r="AB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J52" s="26"/>
      <c r="BK52" s="26"/>
      <c r="BL52" s="26"/>
      <c r="BM52" s="26"/>
      <c r="BN52" s="26"/>
      <c r="BO52" s="26"/>
      <c r="BP52" s="26"/>
      <c r="BQ52" s="26"/>
      <c r="BR52" s="26"/>
      <c r="BS52" s="26"/>
      <c r="BT52" s="26"/>
      <c r="BU52" s="26"/>
    </row>
    <row r="53" spans="1:73" x14ac:dyDescent="0.4">
      <c r="A53" s="11" t="s">
        <v>40</v>
      </c>
      <c r="B53" s="11" t="s">
        <v>40</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DE3FD-18BC-4C27-B095-2C1F7DDBDD97}">
  <dimension ref="A1:O50"/>
  <sheetViews>
    <sheetView showGridLines="0" zoomScale="85" zoomScaleNormal="85" workbookViewId="0">
      <pane xSplit="9" ySplit="10" topLeftCell="J11" activePane="bottomRight" state="frozen"/>
      <selection pane="topRight" activeCell="G1" sqref="G1"/>
      <selection pane="bottomLeft" activeCell="A11" sqref="A11"/>
      <selection pane="bottomRight"/>
    </sheetView>
  </sheetViews>
  <sheetFormatPr defaultRowHeight="13.15" x14ac:dyDescent="0.4"/>
  <cols>
    <col min="1" max="2" width="2.7109375" style="1" customWidth="1"/>
    <col min="3" max="8" width="10.7109375" style="1" customWidth="1"/>
    <col min="9" max="9" width="2.7109375" style="1" customWidth="1"/>
    <col min="10" max="11" width="11.28515625" style="1" customWidth="1"/>
    <col min="12" max="12" width="2.7109375" style="1" customWidth="1"/>
    <col min="13" max="15" width="11.28515625" style="1" customWidth="1"/>
    <col min="16" max="16384" width="9.140625" style="1"/>
  </cols>
  <sheetData>
    <row r="1" spans="1:15" x14ac:dyDescent="0.4">
      <c r="C1" s="8" t="s">
        <v>14</v>
      </c>
      <c r="D1" s="2"/>
      <c r="E1" s="3"/>
    </row>
    <row r="2" spans="1:15" x14ac:dyDescent="0.4">
      <c r="C2" s="9" t="s">
        <v>85</v>
      </c>
      <c r="D2" s="4"/>
      <c r="E2" s="5"/>
      <c r="J2" s="18"/>
      <c r="K2" s="14"/>
      <c r="M2" s="18"/>
      <c r="N2" s="14"/>
      <c r="O2" s="14"/>
    </row>
    <row r="3" spans="1:15" x14ac:dyDescent="0.4">
      <c r="C3" s="10" t="str">
        <f ca="1">++TEXT(TODAY(),"MMMM D, YYYY")</f>
        <v>March 25, 2026</v>
      </c>
      <c r="D3" s="6"/>
      <c r="E3" s="7"/>
    </row>
    <row r="5" spans="1:15" x14ac:dyDescent="0.4">
      <c r="A5" s="11" t="s">
        <v>40</v>
      </c>
      <c r="B5" s="11" t="s">
        <v>40</v>
      </c>
      <c r="C5" s="25" t="str">
        <f>++C2</f>
        <v>Precedent Transactions</v>
      </c>
      <c r="D5" s="12"/>
      <c r="E5" s="12"/>
      <c r="F5" s="12"/>
      <c r="G5" s="12"/>
      <c r="H5" s="12"/>
      <c r="I5" s="12"/>
      <c r="J5" s="12"/>
      <c r="K5" s="12"/>
      <c r="L5" s="12"/>
      <c r="M5" s="12"/>
      <c r="N5" s="12"/>
      <c r="O5" s="12"/>
    </row>
    <row r="6" spans="1:15" ht="5.0999999999999996" customHeight="1" x14ac:dyDescent="0.4"/>
    <row r="7" spans="1:15" ht="15.4" x14ac:dyDescent="0.7">
      <c r="C7" s="13" t="s">
        <v>41</v>
      </c>
      <c r="J7" s="16" t="s">
        <v>86</v>
      </c>
      <c r="K7" s="16"/>
      <c r="M7" s="16" t="s">
        <v>45</v>
      </c>
      <c r="N7" s="16"/>
      <c r="O7" s="16"/>
    </row>
    <row r="8" spans="1:15" ht="5.0999999999999996" customHeight="1" x14ac:dyDescent="0.4"/>
    <row r="9" spans="1:15" ht="15.4" x14ac:dyDescent="0.7">
      <c r="C9" s="24" t="s">
        <v>87</v>
      </c>
      <c r="D9" s="24"/>
      <c r="E9" s="24" t="s">
        <v>88</v>
      </c>
      <c r="F9" s="24"/>
      <c r="G9" s="24" t="s">
        <v>17</v>
      </c>
      <c r="H9" s="24" t="s">
        <v>89</v>
      </c>
      <c r="J9" s="15" t="s">
        <v>54</v>
      </c>
      <c r="K9" s="15" t="s">
        <v>55</v>
      </c>
      <c r="M9" s="15" t="s">
        <v>90</v>
      </c>
      <c r="N9" s="15" t="s">
        <v>91</v>
      </c>
      <c r="O9" s="15" t="s">
        <v>92</v>
      </c>
    </row>
    <row r="10" spans="1:15" customFormat="1" ht="5.0999999999999996" customHeight="1" x14ac:dyDescent="0.4">
      <c r="J10" s="1"/>
      <c r="K10" s="1"/>
      <c r="M10" s="1"/>
      <c r="N10" s="1"/>
      <c r="O10" s="1"/>
    </row>
    <row r="11" spans="1:15" x14ac:dyDescent="0.4">
      <c r="A11" s="11" t="s">
        <v>40</v>
      </c>
      <c r="B11" s="11" t="s">
        <v>40</v>
      </c>
      <c r="C11" s="42" t="s">
        <v>87</v>
      </c>
      <c r="E11" s="42" t="s">
        <v>93</v>
      </c>
      <c r="G11" s="43">
        <v>45444</v>
      </c>
      <c r="H11" s="44" t="s">
        <v>94</v>
      </c>
      <c r="J11" s="45">
        <v>504</v>
      </c>
      <c r="K11" s="45">
        <v>250</v>
      </c>
      <c r="M11" s="45">
        <v>504</v>
      </c>
      <c r="N11" s="46">
        <v>4.5</v>
      </c>
      <c r="O11" s="46">
        <v>0.2</v>
      </c>
    </row>
    <row r="12" spans="1:15" x14ac:dyDescent="0.4">
      <c r="C12" s="42" t="s">
        <v>87</v>
      </c>
      <c r="E12" s="42" t="s">
        <v>93</v>
      </c>
      <c r="G12" s="43">
        <v>45383</v>
      </c>
      <c r="H12" s="44" t="s">
        <v>95</v>
      </c>
      <c r="J12" s="47">
        <v>504</v>
      </c>
      <c r="K12" s="47">
        <v>250</v>
      </c>
      <c r="M12" s="47">
        <v>1080</v>
      </c>
      <c r="N12" s="46">
        <v>5.8</v>
      </c>
      <c r="O12" s="46">
        <v>0.6</v>
      </c>
    </row>
    <row r="13" spans="1:15" x14ac:dyDescent="0.4">
      <c r="C13" s="42" t="s">
        <v>87</v>
      </c>
      <c r="E13" s="42" t="s">
        <v>93</v>
      </c>
      <c r="G13" s="43">
        <v>45352</v>
      </c>
      <c r="H13" s="44" t="s">
        <v>95</v>
      </c>
      <c r="J13" s="47">
        <v>504</v>
      </c>
      <c r="K13" s="47">
        <v>250</v>
      </c>
      <c r="M13" s="47">
        <v>18250</v>
      </c>
      <c r="N13" s="46">
        <v>16.100000000000001</v>
      </c>
      <c r="O13" s="46">
        <v>1.8</v>
      </c>
    </row>
    <row r="14" spans="1:15" x14ac:dyDescent="0.4">
      <c r="C14" s="42" t="s">
        <v>87</v>
      </c>
      <c r="E14" s="42" t="s">
        <v>93</v>
      </c>
      <c r="G14" s="43">
        <v>45170</v>
      </c>
      <c r="H14" s="44" t="s">
        <v>94</v>
      </c>
      <c r="J14" s="47">
        <v>504</v>
      </c>
      <c r="K14" s="47">
        <v>250</v>
      </c>
      <c r="M14" s="47">
        <v>1000</v>
      </c>
      <c r="N14" s="46">
        <v>5.6</v>
      </c>
      <c r="O14" s="46">
        <v>0.5</v>
      </c>
    </row>
    <row r="15" spans="1:15" x14ac:dyDescent="0.4">
      <c r="C15" s="42" t="s">
        <v>87</v>
      </c>
      <c r="E15" s="42" t="s">
        <v>93</v>
      </c>
      <c r="G15" s="43">
        <v>45047</v>
      </c>
      <c r="H15" s="44" t="s">
        <v>95</v>
      </c>
      <c r="J15" s="47">
        <v>504</v>
      </c>
      <c r="K15" s="47">
        <v>250</v>
      </c>
      <c r="M15" s="47">
        <v>4000</v>
      </c>
      <c r="N15" s="46">
        <v>9.3000000000000007</v>
      </c>
      <c r="O15" s="46">
        <v>1</v>
      </c>
    </row>
    <row r="16" spans="1:15" x14ac:dyDescent="0.4">
      <c r="C16" s="42" t="s">
        <v>87</v>
      </c>
      <c r="E16" s="42" t="s">
        <v>93</v>
      </c>
      <c r="G16" s="43">
        <v>44470</v>
      </c>
      <c r="H16" s="44" t="s">
        <v>95</v>
      </c>
      <c r="J16" s="47">
        <v>504</v>
      </c>
      <c r="K16" s="47">
        <v>250</v>
      </c>
      <c r="M16" s="47">
        <v>505</v>
      </c>
      <c r="N16" s="46">
        <v>7.1</v>
      </c>
      <c r="O16" s="46">
        <v>1.1000000000000001</v>
      </c>
    </row>
    <row r="17" spans="3:15" x14ac:dyDescent="0.4">
      <c r="C17" s="42" t="s">
        <v>87</v>
      </c>
      <c r="E17" s="42" t="s">
        <v>93</v>
      </c>
      <c r="G17" s="43">
        <v>44409</v>
      </c>
      <c r="H17" s="44" t="s">
        <v>95</v>
      </c>
      <c r="J17" s="47">
        <v>504</v>
      </c>
      <c r="K17" s="47">
        <v>250</v>
      </c>
      <c r="M17" s="47">
        <v>360</v>
      </c>
      <c r="N17" s="46">
        <v>10</v>
      </c>
      <c r="O17" s="46">
        <v>2.1</v>
      </c>
    </row>
    <row r="18" spans="3:15" x14ac:dyDescent="0.4">
      <c r="C18" s="42" t="s">
        <v>87</v>
      </c>
      <c r="E18" s="42" t="s">
        <v>93</v>
      </c>
      <c r="G18" s="43">
        <v>44409</v>
      </c>
      <c r="H18" s="44" t="s">
        <v>95</v>
      </c>
      <c r="J18" s="47">
        <v>504</v>
      </c>
      <c r="K18" s="47">
        <v>250</v>
      </c>
      <c r="M18" s="47">
        <v>750</v>
      </c>
      <c r="N18" s="46">
        <v>12</v>
      </c>
      <c r="O18" s="46">
        <v>1.8</v>
      </c>
    </row>
    <row r="19" spans="3:15" x14ac:dyDescent="0.4">
      <c r="C19" s="42" t="s">
        <v>87</v>
      </c>
      <c r="E19" s="42" t="s">
        <v>93</v>
      </c>
      <c r="G19" s="43">
        <v>44317</v>
      </c>
      <c r="H19" s="44" t="s">
        <v>95</v>
      </c>
      <c r="J19" s="47">
        <v>504</v>
      </c>
      <c r="K19" s="47">
        <v>250</v>
      </c>
      <c r="M19" s="47">
        <v>1710</v>
      </c>
      <c r="N19" s="46">
        <v>15.1</v>
      </c>
      <c r="O19" s="46" t="s">
        <v>96</v>
      </c>
    </row>
    <row r="20" spans="3:15" x14ac:dyDescent="0.4">
      <c r="C20" s="42" t="s">
        <v>87</v>
      </c>
      <c r="E20" s="42" t="s">
        <v>93</v>
      </c>
      <c r="G20" s="43">
        <v>44317</v>
      </c>
      <c r="H20" s="44" t="s">
        <v>94</v>
      </c>
      <c r="J20" s="47">
        <v>504</v>
      </c>
      <c r="K20" s="47">
        <v>250</v>
      </c>
      <c r="M20" s="47">
        <v>2800</v>
      </c>
      <c r="N20" s="46">
        <v>7.8</v>
      </c>
      <c r="O20" s="46">
        <v>1.6</v>
      </c>
    </row>
    <row r="21" spans="3:15" x14ac:dyDescent="0.4">
      <c r="C21" s="42" t="s">
        <v>87</v>
      </c>
      <c r="E21" s="42" t="s">
        <v>93</v>
      </c>
      <c r="G21" s="43">
        <v>44256</v>
      </c>
      <c r="H21" s="44" t="s">
        <v>94</v>
      </c>
      <c r="J21" s="47">
        <v>504</v>
      </c>
      <c r="K21" s="47">
        <v>250</v>
      </c>
      <c r="M21" s="47">
        <v>4420</v>
      </c>
      <c r="N21" s="46">
        <v>6.7</v>
      </c>
      <c r="O21" s="46">
        <v>0.8</v>
      </c>
    </row>
    <row r="22" spans="3:15" x14ac:dyDescent="0.4">
      <c r="C22" s="42" t="s">
        <v>87</v>
      </c>
      <c r="E22" s="42" t="s">
        <v>93</v>
      </c>
      <c r="G22" s="43">
        <v>44228</v>
      </c>
      <c r="H22" s="44" t="s">
        <v>95</v>
      </c>
      <c r="J22" s="47">
        <v>504</v>
      </c>
      <c r="K22" s="47">
        <v>250</v>
      </c>
      <c r="M22" s="47">
        <v>495</v>
      </c>
      <c r="N22" s="46">
        <v>10.9</v>
      </c>
      <c r="O22" s="46" t="s">
        <v>96</v>
      </c>
    </row>
    <row r="23" spans="3:15" x14ac:dyDescent="0.4">
      <c r="C23" s="42" t="s">
        <v>87</v>
      </c>
      <c r="E23" s="42" t="s">
        <v>93</v>
      </c>
      <c r="G23" s="43">
        <v>44228</v>
      </c>
      <c r="H23" s="44" t="s">
        <v>95</v>
      </c>
      <c r="J23" s="47">
        <v>504</v>
      </c>
      <c r="K23" s="47">
        <v>250</v>
      </c>
      <c r="M23" s="47">
        <v>320</v>
      </c>
      <c r="N23" s="46">
        <v>6.3</v>
      </c>
      <c r="O23" s="46" t="s">
        <v>96</v>
      </c>
    </row>
    <row r="24" spans="3:15" x14ac:dyDescent="0.4">
      <c r="C24" s="42" t="s">
        <v>87</v>
      </c>
      <c r="E24" s="42" t="s">
        <v>93</v>
      </c>
      <c r="G24" s="43">
        <v>44166</v>
      </c>
      <c r="H24" s="44" t="s">
        <v>95</v>
      </c>
      <c r="J24" s="47">
        <v>504</v>
      </c>
      <c r="K24" s="47">
        <v>250</v>
      </c>
      <c r="M24" s="47">
        <v>681</v>
      </c>
      <c r="N24" s="46">
        <v>11.4</v>
      </c>
      <c r="O24" s="46" t="s">
        <v>96</v>
      </c>
    </row>
    <row r="25" spans="3:15" x14ac:dyDescent="0.4">
      <c r="C25" s="42" t="s">
        <v>87</v>
      </c>
      <c r="E25" s="42" t="s">
        <v>93</v>
      </c>
      <c r="G25" s="43">
        <v>44166</v>
      </c>
      <c r="H25" s="44" t="s">
        <v>95</v>
      </c>
      <c r="J25" s="47">
        <v>504</v>
      </c>
      <c r="K25" s="47">
        <v>250</v>
      </c>
      <c r="M25" s="47">
        <v>774</v>
      </c>
      <c r="N25" s="46">
        <v>10.3</v>
      </c>
      <c r="O25" s="46">
        <v>0.9</v>
      </c>
    </row>
    <row r="26" spans="3:15" x14ac:dyDescent="0.4">
      <c r="C26" s="42" t="s">
        <v>87</v>
      </c>
      <c r="E26" s="42" t="s">
        <v>93</v>
      </c>
      <c r="G26" s="43">
        <v>44075</v>
      </c>
      <c r="H26" s="44" t="s">
        <v>95</v>
      </c>
      <c r="J26" s="47">
        <v>504</v>
      </c>
      <c r="K26" s="47">
        <v>250</v>
      </c>
      <c r="M26" s="47">
        <v>8500</v>
      </c>
      <c r="N26" s="46">
        <v>16.399999999999999</v>
      </c>
      <c r="O26" s="46">
        <v>1.3</v>
      </c>
    </row>
    <row r="27" spans="3:15" x14ac:dyDescent="0.4">
      <c r="C27" s="42" t="s">
        <v>87</v>
      </c>
      <c r="E27" s="42" t="s">
        <v>93</v>
      </c>
      <c r="G27" s="43">
        <v>43800</v>
      </c>
      <c r="H27" s="44" t="s">
        <v>95</v>
      </c>
      <c r="J27" s="47">
        <v>504</v>
      </c>
      <c r="K27" s="47">
        <v>250</v>
      </c>
      <c r="M27" s="47">
        <v>400</v>
      </c>
      <c r="N27" s="46">
        <v>14.9</v>
      </c>
      <c r="O27" s="46">
        <v>2.2000000000000002</v>
      </c>
    </row>
    <row r="28" spans="3:15" ht="5.0999999999999996" customHeight="1" x14ac:dyDescent="0.4"/>
    <row r="29" spans="3:15" x14ac:dyDescent="0.4">
      <c r="C29" s="19" t="s">
        <v>84</v>
      </c>
    </row>
    <row r="30" spans="3:15" x14ac:dyDescent="0.4">
      <c r="C30" s="20" t="s">
        <v>78</v>
      </c>
      <c r="D30" s="28"/>
      <c r="E30" s="28"/>
      <c r="F30" s="28"/>
      <c r="G30" s="28"/>
      <c r="H30" s="28"/>
      <c r="I30" s="2"/>
      <c r="J30" s="33">
        <f>++MAX(J$11:J$27)</f>
        <v>504</v>
      </c>
      <c r="K30" s="33">
        <f>++MAX(K$11:K$27)</f>
        <v>250</v>
      </c>
      <c r="L30" s="2"/>
      <c r="M30" s="33">
        <f>++MAX(M$11:M$27)</f>
        <v>18250</v>
      </c>
      <c r="N30" s="34">
        <f t="shared" ref="N30:O30" si="0">++MAX(N$11:N$27)</f>
        <v>16.399999999999999</v>
      </c>
      <c r="O30" s="35">
        <f t="shared" si="0"/>
        <v>2.2000000000000002</v>
      </c>
    </row>
    <row r="31" spans="3:15" x14ac:dyDescent="0.4">
      <c r="C31" s="22" t="s">
        <v>79</v>
      </c>
      <c r="D31" s="29"/>
      <c r="E31" s="29"/>
      <c r="F31" s="29"/>
      <c r="G31" s="29"/>
      <c r="H31" s="29"/>
      <c r="I31" s="4"/>
      <c r="J31" s="30">
        <f>++MIN(J$11:J$27)</f>
        <v>504</v>
      </c>
      <c r="K31" s="30">
        <f>++MIN(K$11:K$27)</f>
        <v>250</v>
      </c>
      <c r="L31" s="4"/>
      <c r="M31" s="30">
        <f>++MIN(M$11:M$27)</f>
        <v>320</v>
      </c>
      <c r="N31" s="36">
        <f t="shared" ref="N31:O31" si="1">++MIN(N$11:N$27)</f>
        <v>4.5</v>
      </c>
      <c r="O31" s="23">
        <f t="shared" si="1"/>
        <v>0.2</v>
      </c>
    </row>
    <row r="32" spans="3:15" x14ac:dyDescent="0.4">
      <c r="C32" s="22" t="s">
        <v>80</v>
      </c>
      <c r="D32" s="29"/>
      <c r="E32" s="29"/>
      <c r="F32" s="29"/>
      <c r="G32" s="29"/>
      <c r="H32" s="29"/>
      <c r="I32" s="4"/>
      <c r="J32" s="30">
        <f>++AVERAGE(J$11:J$27)</f>
        <v>504</v>
      </c>
      <c r="K32" s="30">
        <f>++AVERAGE(K$11:K$27)</f>
        <v>250</v>
      </c>
      <c r="L32" s="4"/>
      <c r="M32" s="30">
        <f>++AVERAGE(M$11:M$27)</f>
        <v>2738.1764705882351</v>
      </c>
      <c r="N32" s="36">
        <f t="shared" ref="N32:O32" si="2">++AVERAGE(N$11:N$27)</f>
        <v>10.011764705882355</v>
      </c>
      <c r="O32" s="23">
        <f t="shared" si="2"/>
        <v>1.2230769230769232</v>
      </c>
    </row>
    <row r="33" spans="2:15" x14ac:dyDescent="0.4">
      <c r="B33" s="11" t="s">
        <v>40</v>
      </c>
      <c r="C33" s="21" t="s">
        <v>81</v>
      </c>
      <c r="D33" s="31"/>
      <c r="E33" s="31"/>
      <c r="F33" s="31"/>
      <c r="G33" s="31"/>
      <c r="H33" s="31"/>
      <c r="I33" s="6"/>
      <c r="J33" s="32">
        <f>++MEDIAN(J$11:J$27)</f>
        <v>504</v>
      </c>
      <c r="K33" s="32">
        <f>++MEDIAN(K$11:K$27)</f>
        <v>250</v>
      </c>
      <c r="L33" s="6"/>
      <c r="M33" s="32">
        <f>++MEDIAN(M$11:M$27)</f>
        <v>774</v>
      </c>
      <c r="N33" s="37">
        <f t="shared" ref="N33:O33" si="3">++MEDIAN(N$11:N$27)</f>
        <v>10</v>
      </c>
      <c r="O33" s="38">
        <f t="shared" si="3"/>
        <v>1.1000000000000001</v>
      </c>
    </row>
    <row r="34" spans="2:15" ht="5.0999999999999996" customHeight="1" x14ac:dyDescent="0.4"/>
    <row r="35" spans="2:15" x14ac:dyDescent="0.4">
      <c r="C35" s="19" t="s">
        <v>95</v>
      </c>
    </row>
    <row r="36" spans="2:15" x14ac:dyDescent="0.4">
      <c r="C36" s="20" t="s">
        <v>78</v>
      </c>
      <c r="D36" s="28"/>
      <c r="E36" s="28"/>
      <c r="F36" s="28"/>
      <c r="G36" s="28"/>
      <c r="H36" s="28"/>
      <c r="I36" s="2"/>
      <c r="J36" s="33">
        <f>++_xlfn.MAXIFS(J$11:J$27,$H$11:$H$27,$C$35)</f>
        <v>504</v>
      </c>
      <c r="K36" s="33">
        <f>++_xlfn.MAXIFS(K$11:K$27,$H$11:$H$27,$C$35)</f>
        <v>250</v>
      </c>
      <c r="L36" s="2"/>
      <c r="M36" s="33">
        <f>++_xlfn.MAXIFS(M$11:M$27,$H$11:$H$27,$C$35)</f>
        <v>18250</v>
      </c>
      <c r="N36" s="34">
        <f>++_xlfn.MAXIFS(N$11:N$27,$H$11:$H$27,$C$35)</f>
        <v>16.399999999999999</v>
      </c>
      <c r="O36" s="35">
        <f>++_xlfn.MAXIFS(O$11:O$27,$H$11:$H$27,$C$35)</f>
        <v>2.2000000000000002</v>
      </c>
    </row>
    <row r="37" spans="2:15" x14ac:dyDescent="0.4">
      <c r="C37" s="22" t="s">
        <v>79</v>
      </c>
      <c r="D37" s="29"/>
      <c r="E37" s="29"/>
      <c r="F37" s="29"/>
      <c r="G37" s="29"/>
      <c r="H37" s="29"/>
      <c r="I37" s="4"/>
      <c r="J37" s="30">
        <f>++_xlfn.MINIFS(J$11:J$27,$H$11:$H$27,$C$35)</f>
        <v>504</v>
      </c>
      <c r="K37" s="30">
        <f>++_xlfn.MINIFS(K$11:K$27,$H$11:$H$27,$C$35)</f>
        <v>250</v>
      </c>
      <c r="L37" s="4"/>
      <c r="M37" s="30">
        <f>++_xlfn.MINIFS(M$11:M$27,$H$11:$H$27,$C$35)</f>
        <v>320</v>
      </c>
      <c r="N37" s="36">
        <f t="shared" ref="N37:O37" si="4">++_xlfn.MINIFS(N$11:N$27,$H$11:$H$27,$C$35)</f>
        <v>5.8</v>
      </c>
      <c r="O37" s="23">
        <f t="shared" si="4"/>
        <v>0.6</v>
      </c>
    </row>
    <row r="38" spans="2:15" x14ac:dyDescent="0.4">
      <c r="C38" s="22" t="s">
        <v>80</v>
      </c>
      <c r="D38" s="29"/>
      <c r="E38" s="29"/>
      <c r="F38" s="29"/>
      <c r="G38" s="29"/>
      <c r="H38" s="29"/>
      <c r="I38" s="4"/>
      <c r="J38" s="30">
        <f>++AVERAGEIFS(J$11:J$27,$H$11:$H$27,$C$35)</f>
        <v>504</v>
      </c>
      <c r="K38" s="30">
        <f>++AVERAGEIFS(K$11:K$27,$H$11:$H$27,$C$35)</f>
        <v>250</v>
      </c>
      <c r="L38" s="4"/>
      <c r="M38" s="30">
        <f>++AVERAGEIFS(M$11:M$27,$H$11:$H$27,$C$35)</f>
        <v>2909.6153846153848</v>
      </c>
      <c r="N38" s="36">
        <f t="shared" ref="N38:O38" si="5">++AVERAGEIFS(N$11:N$27,$H$11:$H$27,$C$35)</f>
        <v>11.200000000000001</v>
      </c>
      <c r="O38" s="23">
        <f t="shared" si="5"/>
        <v>1.4222222222222223</v>
      </c>
    </row>
    <row r="39" spans="2:15" x14ac:dyDescent="0.4">
      <c r="B39" s="11" t="s">
        <v>40</v>
      </c>
      <c r="C39" s="21" t="s">
        <v>81</v>
      </c>
      <c r="D39" s="31"/>
      <c r="E39" s="31"/>
      <c r="F39" s="31"/>
      <c r="G39" s="31"/>
      <c r="H39" s="31"/>
      <c r="I39" s="6"/>
      <c r="J39" s="39">
        <f>++MEDIAN(J$12:J$13,J$15:J$19,J$22:J$27)</f>
        <v>504</v>
      </c>
      <c r="K39" s="39">
        <f>++MEDIAN(K$12:K$13,K$15:K$19,K$22:K$27)</f>
        <v>250</v>
      </c>
      <c r="L39" s="6"/>
      <c r="M39" s="39">
        <f>++MEDIAN(M$12:M$13,M$15:M$19,M$22:M$27)</f>
        <v>750</v>
      </c>
      <c r="N39" s="40">
        <f t="shared" ref="N39:O39" si="6">++MEDIAN(N$12:N$13,N$15:N$19,N$22:N$27)</f>
        <v>10.9</v>
      </c>
      <c r="O39" s="41">
        <f t="shared" si="6"/>
        <v>1.3</v>
      </c>
    </row>
    <row r="40" spans="2:15" ht="5.0999999999999996" customHeight="1" x14ac:dyDescent="0.4"/>
    <row r="41" spans="2:15" x14ac:dyDescent="0.4">
      <c r="C41" s="19" t="s">
        <v>94</v>
      </c>
      <c r="J41" s="26"/>
      <c r="M41" s="26"/>
    </row>
    <row r="42" spans="2:15" x14ac:dyDescent="0.4">
      <c r="C42" s="20" t="s">
        <v>78</v>
      </c>
      <c r="D42" s="28"/>
      <c r="E42" s="28"/>
      <c r="F42" s="28"/>
      <c r="G42" s="28"/>
      <c r="H42" s="28"/>
      <c r="I42" s="2"/>
      <c r="J42" s="33">
        <f t="array" ref="J42">++_xlfn.MAXIFS(J$11:J$27,$H$11:$H$27,$C$41)</f>
        <v>504</v>
      </c>
      <c r="K42" s="33">
        <f t="array" ref="K42">++_xlfn.MAXIFS(K$11:K$27,$H$11:$H$27,$C$41)</f>
        <v>250</v>
      </c>
      <c r="L42" s="2"/>
      <c r="M42" s="33">
        <f t="array" ref="M42">++_xlfn.MAXIFS(M$11:M$27,$H$11:$H$27,$C$41)</f>
        <v>4420</v>
      </c>
      <c r="N42" s="34">
        <f t="shared" ref="N42:O42" si="7">++_xlfn.MAXIFS(N$11:N$27,$H$11:$H$27,$C$41)</f>
        <v>7.8</v>
      </c>
      <c r="O42" s="35">
        <f t="shared" si="7"/>
        <v>1.6</v>
      </c>
    </row>
    <row r="43" spans="2:15" x14ac:dyDescent="0.4">
      <c r="C43" s="22" t="s">
        <v>79</v>
      </c>
      <c r="D43" s="29"/>
      <c r="E43" s="29"/>
      <c r="F43" s="29"/>
      <c r="G43" s="29"/>
      <c r="H43" s="29"/>
      <c r="I43" s="4"/>
      <c r="J43" s="30">
        <f t="array" ref="J43">++_xlfn.MINIFS(J$11:J$27,$H$11:$H$27,$C$41)</f>
        <v>504</v>
      </c>
      <c r="K43" s="30">
        <f t="array" ref="K43">++_xlfn.MINIFS(K$11:K$27,$H$11:$H$27,$C$41)</f>
        <v>250</v>
      </c>
      <c r="L43" s="4"/>
      <c r="M43" s="30">
        <f t="array" ref="M43">++_xlfn.MINIFS(M$11:M$27,$H$11:$H$27,$C$41)</f>
        <v>504</v>
      </c>
      <c r="N43" s="36">
        <f t="shared" ref="N43:O43" si="8">++_xlfn.MINIFS(N$11:N$27,$H$11:$H$27,$C$41)</f>
        <v>4.5</v>
      </c>
      <c r="O43" s="23">
        <f t="shared" si="8"/>
        <v>0.2</v>
      </c>
    </row>
    <row r="44" spans="2:15" x14ac:dyDescent="0.4">
      <c r="C44" s="22" t="s">
        <v>80</v>
      </c>
      <c r="D44" s="29"/>
      <c r="E44" s="29"/>
      <c r="F44" s="29"/>
      <c r="G44" s="29"/>
      <c r="H44" s="29"/>
      <c r="I44" s="4"/>
      <c r="J44" s="30">
        <f>++AVERAGEIFS(J$11:J$27,$H$11:$H$27,$C$41)</f>
        <v>504</v>
      </c>
      <c r="K44" s="30">
        <f>++AVERAGEIFS(K$11:K$27,$H$11:$H$27,$C$41)</f>
        <v>250</v>
      </c>
      <c r="L44" s="4"/>
      <c r="M44" s="30">
        <f>++AVERAGEIFS(M$11:M$27,$H$11:$H$27,$C$41)</f>
        <v>2181</v>
      </c>
      <c r="N44" s="36">
        <f t="shared" ref="N44:O44" si="9">++AVERAGEIFS(N$11:N$27,$H$11:$H$27,$C$41)</f>
        <v>6.1499999999999995</v>
      </c>
      <c r="O44" s="23">
        <f t="shared" si="9"/>
        <v>0.77499999999999991</v>
      </c>
    </row>
    <row r="45" spans="2:15" x14ac:dyDescent="0.4">
      <c r="B45" s="11" t="s">
        <v>40</v>
      </c>
      <c r="C45" s="21" t="s">
        <v>81</v>
      </c>
      <c r="D45" s="31"/>
      <c r="E45" s="31"/>
      <c r="F45" s="31"/>
      <c r="G45" s="31"/>
      <c r="H45" s="31"/>
      <c r="I45" s="6"/>
      <c r="J45" s="39">
        <f>++MEDIAN(J$11,J$14,J$20:J$21)</f>
        <v>504</v>
      </c>
      <c r="K45" s="39">
        <f>++MEDIAN(K$11,K$14,K$20:K$21)</f>
        <v>250</v>
      </c>
      <c r="L45" s="6"/>
      <c r="M45" s="39">
        <f>++MEDIAN(M$11,M$14,M$20:M$21)</f>
        <v>1900</v>
      </c>
      <c r="N45" s="40">
        <f t="shared" ref="N45:O45" si="10">++MEDIAN(N$11,N$14,N$20:N$21)</f>
        <v>6.15</v>
      </c>
      <c r="O45" s="41">
        <f t="shared" si="10"/>
        <v>0.65</v>
      </c>
    </row>
    <row r="46" spans="2:15" ht="5.0999999999999996" customHeight="1" x14ac:dyDescent="0.4"/>
    <row r="47" spans="2:15" ht="5.0999999999999996" customHeight="1" x14ac:dyDescent="0.4"/>
    <row r="49" spans="1:13" x14ac:dyDescent="0.4">
      <c r="J49" s="26"/>
      <c r="M49" s="26"/>
    </row>
    <row r="50" spans="1:13" x14ac:dyDescent="0.4">
      <c r="A50" s="11" t="s">
        <v>40</v>
      </c>
      <c r="B50" s="11" t="s">
        <v>40</v>
      </c>
    </row>
  </sheetData>
  <sortState xmlns:xlrd2="http://schemas.microsoft.com/office/spreadsheetml/2017/richdata2" ref="C11:O27">
    <sortCondition descending="1" ref="G11:G27"/>
  </sortState>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D5D7B6EDD6B944996098F92CD81FE4" ma:contentTypeVersion="20" ma:contentTypeDescription="Create a new document." ma:contentTypeScope="" ma:versionID="c2fbab9bba8e931dae7869dce07a7632">
  <xsd:schema xmlns:xsd="http://www.w3.org/2001/XMLSchema" xmlns:xs="http://www.w3.org/2001/XMLSchema" xmlns:p="http://schemas.microsoft.com/office/2006/metadata/properties" xmlns:ns2="dc6d7f3b-2388-4907-95e9-67fe6707918b" xmlns:ns3="5adca3f6-50e5-45d3-816d-7d8e2e1aafa3" targetNamespace="http://schemas.microsoft.com/office/2006/metadata/properties" ma:root="true" ma:fieldsID="7f9b71cf218f09fb69a31198b8827546" ns2:_="" ns3:_="">
    <xsd:import namespace="dc6d7f3b-2388-4907-95e9-67fe6707918b"/>
    <xsd:import namespace="5adca3f6-50e5-45d3-816d-7d8e2e1aafa3"/>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element ref="ns2:LoanXID" minOccurs="0"/>
                <xsd:element ref="ns2:BBGID" minOccurs="0"/>
                <xsd:element ref="ns2:OtherName" minOccurs="0"/>
                <xsd:element ref="ns2:Analyst"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6d7f3b-2388-4907-95e9-67fe670791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oanXID" ma:index="14" nillable="true" ma:displayName="LoanXID" ma:format="Dropdown" ma:internalName="LoanXID">
      <xsd:simpleType>
        <xsd:restriction base="dms:Text">
          <xsd:maxLength value="255"/>
        </xsd:restriction>
      </xsd:simpleType>
    </xsd:element>
    <xsd:element name="BBGID" ma:index="15" nillable="true" ma:displayName="BBG ID" ma:format="Dropdown" ma:internalName="BBGID">
      <xsd:simpleType>
        <xsd:restriction base="dms:Text">
          <xsd:maxLength value="255"/>
        </xsd:restriction>
      </xsd:simpleType>
    </xsd:element>
    <xsd:element name="OtherName" ma:index="16" nillable="true" ma:displayName="Other Name" ma:format="Dropdown" ma:internalName="OtherName">
      <xsd:simpleType>
        <xsd:restriction base="dms:Text">
          <xsd:maxLength value="255"/>
        </xsd:restriction>
      </xsd:simpleType>
    </xsd:element>
    <xsd:element name="Analyst" ma:index="17" nillable="true" ma:displayName="Analyst" ma:format="Dropdown" ma:list="UserInfo" ma:SharePointGroup="0" ma:internalName="Analyst">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179f4741-edd0-46e2-ac4d-1126041b5b01" ma:termSetId="09814cd3-568e-fe90-9814-8d621ff8fb84" ma:anchorId="fba54fb3-c3e1-fe81-a776-ca4b69148c4d" ma:open="true" ma:isKeyword="false">
      <xsd:complexType>
        <xsd:sequence>
          <xsd:element ref="pc:Terms" minOccurs="0" maxOccurs="1"/>
        </xsd:sequence>
      </xsd:complexType>
    </xsd:element>
    <xsd:element name="MediaServiceOCR" ma:index="25" nillable="true" ma:displayName="Extracted Text" ma:internalName="MediaServiceOCR" ma:readOnly="true">
      <xsd:simpleType>
        <xsd:restriction base="dms:Note">
          <xsd:maxLength value="255"/>
        </xsd:restriction>
      </xsd:simpleType>
    </xsd:element>
    <xsd:element name="MediaServiceLocation" ma:index="26"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adca3f6-50e5-45d3-816d-7d8e2e1aafa3"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746f4493-59bb-4c92-aa70-2de8333e7a5a}" ma:internalName="TaxCatchAll" ma:showField="CatchAllData" ma:web="5adca3f6-50e5-45d3-816d-7d8e2e1aafa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BBGID xmlns="dc6d7f3b-2388-4907-95e9-67fe6707918b" xsi:nil="true"/>
    <Analyst xmlns="dc6d7f3b-2388-4907-95e9-67fe6707918b">
      <UserInfo>
        <DisplayName/>
        <AccountId xsi:nil="true"/>
        <AccountType/>
      </UserInfo>
    </Analyst>
    <OtherName xmlns="dc6d7f3b-2388-4907-95e9-67fe6707918b" xsi:nil="true"/>
    <TaxCatchAll xmlns="5adca3f6-50e5-45d3-816d-7d8e2e1aafa3" xsi:nil="true"/>
    <lcf76f155ced4ddcb4097134ff3c332f xmlns="dc6d7f3b-2388-4907-95e9-67fe6707918b">
      <Terms xmlns="http://schemas.microsoft.com/office/infopath/2007/PartnerControls"/>
    </lcf76f155ced4ddcb4097134ff3c332f>
    <LoanXID xmlns="dc6d7f3b-2388-4907-95e9-67fe6707918b" xsi:nil="true"/>
  </documentManagement>
</p:properties>
</file>

<file path=customXml/itemProps1.xml><?xml version="1.0" encoding="utf-8"?>
<ds:datastoreItem xmlns:ds="http://schemas.openxmlformats.org/officeDocument/2006/customXml" ds:itemID="{125E0625-0ACC-4F72-9E7F-A82B6E0183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c6d7f3b-2388-4907-95e9-67fe6707918b"/>
    <ds:schemaRef ds:uri="5adca3f6-50e5-45d3-816d-7d8e2e1aaf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0591B9F-6F8A-4F45-93D8-D0771A877394}">
  <ds:schemaRefs>
    <ds:schemaRef ds:uri="http://schemas.microsoft.com/sharepoint/v3/contenttype/forms"/>
  </ds:schemaRefs>
</ds:datastoreItem>
</file>

<file path=customXml/itemProps3.xml><?xml version="1.0" encoding="utf-8"?>
<ds:datastoreItem xmlns:ds="http://schemas.openxmlformats.org/officeDocument/2006/customXml" ds:itemID="{50731607-C667-4A64-98A7-AA7658A45B5A}">
  <ds:schemaRefs>
    <ds:schemaRef ds:uri="http://schemas.microsoft.com/office/2006/metadata/properties"/>
    <ds:schemaRef ds:uri="http://schemas.microsoft.com/office/infopath/2007/PartnerControls"/>
    <ds:schemaRef ds:uri="dc6d7f3b-2388-4907-95e9-67fe6707918b"/>
    <ds:schemaRef ds:uri="5adca3f6-50e5-45d3-816d-7d8e2e1aafa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Public Comparables</vt:lpstr>
      <vt:lpstr>Precedent Trx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Jamie Anderson</dc:creator>
  <cp:keywords/>
  <dc:description/>
  <cp:lastModifiedBy>Yang, Caleb</cp:lastModifiedBy>
  <cp:revision/>
  <dcterms:created xsi:type="dcterms:W3CDTF">2024-07-16T12:19:12Z</dcterms:created>
  <dcterms:modified xsi:type="dcterms:W3CDTF">2026-03-26T01:55:00Z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0x0101000CD5D7B6EDD6B944996098F92CD81FE4</vt:lpwstr>
  </property>
  <property fmtid="{D5CDD505-2E9C-101B-9397-08002B2CF9AE}" pid="3" name="MediaServiceImageTags">
    <vt:lpwstr/>
  </property>
  <property fmtid="{D5CDD505-2E9C-101B-9397-08002B2CF9AE}" pid="4" name="{A44787D4-0540-4523-9961-78E4036D8C6D}">
    <vt:lpwstr>{2ED58086-AAE7-454F-A87B-F17D1342219C}</vt:lpwstr>
  </property>
</Properties>
</file>